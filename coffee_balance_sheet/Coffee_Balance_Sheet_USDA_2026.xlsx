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Brazil" sheetId="1" r:id="rId1"/>
    <sheet name="Vietnam" sheetId="2" r:id="rId2"/>
    <sheet name="Colombia" sheetId="3" r:id="rId3"/>
    <sheet name="Ethiopia" sheetId="4" r:id="rId4"/>
    <sheet name="Indonesia" sheetId="5" r:id="rId5"/>
    <sheet name="Uganda" sheetId="6" r:id="rId6"/>
    <sheet name="Honduras" sheetId="7" r:id="rId7"/>
    <sheet name="Others" sheetId="8" r:id="rId8"/>
    <sheet name="World" sheetId="9" r:id="rId9"/>
  </sheets>
  <calcPr calcId="191029" fullCalcOnLoad="1"/>
</workbook>
</file>

<file path=xl/sharedStrings.xml><?xml version="1.0" encoding="utf-8"?>
<sst xmlns="http://schemas.openxmlformats.org/spreadsheetml/2006/main" count="456" uniqueCount="103">
  <si>
    <t>Market Year</t>
  </si>
  <si>
    <t>Area Harvested (1,000 ha)</t>
  </si>
  <si>
    <t>Yield (bags/ha)</t>
  </si>
  <si>
    <t>Beginning Stocks</t>
  </si>
  <si>
    <t>Production</t>
  </si>
  <si>
    <t>MY Imports</t>
  </si>
  <si>
    <t>Total Supply (Official)</t>
  </si>
  <si>
    <t>Roast &amp; Ground Consumption</t>
  </si>
  <si>
    <t>Soluble Consumption</t>
  </si>
  <si>
    <t>Total Consumption</t>
  </si>
  <si>
    <t>MY Exports</t>
  </si>
  <si>
    <t>Ending Stocks</t>
  </si>
  <si>
    <t>Total Distribution (Official)</t>
  </si>
  <si>
    <t>Stocks / Use Domestic + Exports</t>
  </si>
  <si>
    <t>2010/11</t>
  </si>
  <si>
    <t>2011/12</t>
  </si>
  <si>
    <t>2012/13</t>
  </si>
  <si>
    <t>2013/14</t>
  </si>
  <si>
    <t>2014/15</t>
  </si>
  <si>
    <t>2015/16</t>
  </si>
  <si>
    <t>2016/17</t>
  </si>
  <si>
    <t>2017/18</t>
  </si>
  <si>
    <t>2018/19</t>
  </si>
  <si>
    <t>2019/20</t>
  </si>
  <si>
    <t>2020/21</t>
  </si>
  <si>
    <t>2021/22</t>
  </si>
  <si>
    <t>2022/23</t>
  </si>
  <si>
    <t>2023/24</t>
  </si>
  <si>
    <t>2024/25</t>
  </si>
  <si>
    <t>2025/26</t>
  </si>
  <si>
    <t>2026/27 (USDA Jun 2026)</t>
  </si>
  <si>
    <t>2026/27 (USDA attaché, Jun 2026)</t>
  </si>
  <si>
    <t>2026/27 My Estimate</t>
  </si>
  <si>
    <t>Brazil: marketing year Jul-Jun.</t>
  </si>
  <si>
    <t>Units: 1,000 60-kg bags (green bean equivalent); area in 1,000 ha; yield = production / area harvested (bags/ha).</t>
  </si>
  <si>
    <t>Balance: USDA FAS PSD Online, coffee (update of July 2026; 2026/27 = USDA June 2026 forecast). Total Supply = Beginning Stocks + Production + Imports; Total Distribution = Consumption + Exports + Ending Stocks; Stocks/Use = Ending Stocks / (Consumption + Exports).</t>
  </si>
  <si>
    <t>Consumption columns: USDA roast &amp; ground and soluble domestic consumption (the coffee counterparts of Feed &amp; Residual and FSI in the corn sheet).</t>
  </si>
  <si>
    <t>Area harvested: FAOSTAT (item 656 Coffee, green; official national data compiled by FAO, bulk release Dec 2025): calendar year Y shown in MY Y/Y+1 (Mexico and Uganda: Y-1/Y). USDA's PSD has no coffee area. Grey italics = latest FAO value carried forward (FAO ends with 2024).</t>
  </si>
  <si>
    <t>2026/27 My Estimate: yellow cells with blue figures are your inputs (start = USDA June values): area, yield, imports, consumption (roast &amp; ground, soluble) and exports. Production = area x yield; beginning stocks = 2025/26 ending stocks; ending stocks = supply - consumption - exports. Black = formulas; green = links to another sheet.</t>
  </si>
  <si>
    <t>Area carried forward from the last FAO year for 2025/26, 2026/27.</t>
  </si>
  <si>
    <t>2026/27 (USDA attaché): post estimate of the USDA GAIN Coffee Annual BR2026-0025 (Jun 2026); its area is the post's harvested area where the report gives one.</t>
  </si>
  <si>
    <t>2026/27 (USDA attaché, May 2026)</t>
  </si>
  <si>
    <t>Vietnam: marketing year Oct-Sep.</t>
  </si>
  <si>
    <t>2026/27 (USDA attaché): post estimate of the USDA GAIN Coffee Annual VM2026-0016 (May 2026); its area is the post's harvested area where the report gives one.</t>
  </si>
  <si>
    <t>Colombia: marketing year Oct-Sep.</t>
  </si>
  <si>
    <t>2026/27 (USDA attaché): post estimate of the USDA GAIN Coffee Annual CO2026-0008 (May 2026); its area is the post's harvested area where the report gives one.</t>
  </si>
  <si>
    <t>Ethiopia: marketing year Oct-Sep.</t>
  </si>
  <si>
    <t>FAO area estimated or imputed by FAO (flags E/I) for 2011/12, 2012/13, 2014/15, 2015/16, 2019/20, 2021/22, 2023/24, 2024/25.</t>
  </si>
  <si>
    <t>2026/27 (USDA attaché): post estimate of the USDA GAIN Coffee Annual ET2026-0005 (May 2026); its area is the post's harvested area where the report gives one.</t>
  </si>
  <si>
    <t>Indonesia: marketing year Apr-Mar.</t>
  </si>
  <si>
    <t>2026/27 (USDA attaché): post estimate of the USDA GAIN Coffee Annual ID2026-0021 (May 2026); its area is the post's harvested area where the report gives one.</t>
  </si>
  <si>
    <t>Uganda: marketing year Oct-Sep.</t>
  </si>
  <si>
    <t>FAO area estimated or imputed by FAO (flags E/I) for 2010/11, 2011/12, 2012/13, 2013/14, 2014/15, 2015/16, 2016/17, 2017/18, 2018/19, 2019/20, 2020/21, 2021/22, 2022/23, 2023/24.</t>
  </si>
  <si>
    <t>Area carried forward from the last FAO year for 2024/25, 2025/26, 2026/27.</t>
  </si>
  <si>
    <t>2026/27 (USDA attaché): post estimate of the USDA GAIN Coffee Annual UG2026-0001 (May 2026); its area is the post's harvested area where the report gives one.</t>
  </si>
  <si>
    <t>2026/27 (USDA attaché, Apr 2026)</t>
  </si>
  <si>
    <t>Honduras: marketing year Oct-Sep.</t>
  </si>
  <si>
    <t>FAO area estimated or imputed by FAO (flags E/I) for 2013/14, 2016/17, 2017/18, 2018/19, 2019/20, 2020/21, 2021/22, 2022/23, 2023/24, 2024/25.</t>
  </si>
  <si>
    <t>2026/27 (USDA attaché): post estimate of the USDA GAIN Coffee Annual HO2026-0002 (Apr 2026); its area is the post's harvested area where the report gives one.</t>
  </si>
  <si>
    <t>Others: all USDA PSD countries except Brazil, Vietnam, Colombia, Indonesia, Ethiopia, Uganda and Honduras (= World - the seven countries); local marketing years.</t>
  </si>
  <si>
    <t>2026/27 My Estimate for Others = World sheet estimate minus the seven country sheets (edit the Others / importer / China rows of the World sheet to change it).</t>
  </si>
  <si>
    <t>市场年度 Market Year</t>
  </si>
  <si>
    <t>区域 Region</t>
  </si>
  <si>
    <t>期初库存 Beginning Stocks (1,000 60-kg bags)</t>
  </si>
  <si>
    <t>收获面积 Area Harvested (1,000 ha)</t>
  </si>
  <si>
    <t>单产 Yield (bags/ha)</t>
  </si>
  <si>
    <t>产量 Production (1,000 60-kg bags)</t>
  </si>
  <si>
    <t>市场年度进口 MY Imports (1,000 60-kg bags)</t>
  </si>
  <si>
    <t>总供应 Total Supply (1,000 60-kg bags)</t>
  </si>
  <si>
    <t>市场年度出口 MY Exports (1,000 60-kg bags)</t>
  </si>
  <si>
    <t>烘焙及研磨咖啡消费 Roast &amp; Ground Consumption (1,000 60-kg bags)</t>
  </si>
  <si>
    <t>速溶咖啡消费 Soluble Consumption (1,000 60-kg bags)</t>
  </si>
  <si>
    <t>国内消费 Domestic Consumption (1,000 60-kg bags)</t>
  </si>
  <si>
    <t>期末库存 Ending Stocks (1,000 60-kg bags)</t>
  </si>
  <si>
    <t>总分配 Total Distribution (1,000 60-kg bags)</t>
  </si>
  <si>
    <t>库存使用比 Stocks / Use (Domestic + Exports)</t>
  </si>
  <si>
    <t>World</t>
  </si>
  <si>
    <t>Ex Brazil</t>
  </si>
  <si>
    <t>Major Exporters</t>
  </si>
  <si>
    <t>Brazil</t>
  </si>
  <si>
    <t>Vietnam</t>
  </si>
  <si>
    <t>Colombia</t>
  </si>
  <si>
    <t>Indonesia</t>
  </si>
  <si>
    <t>Ethiopia</t>
  </si>
  <si>
    <t>Uganda</t>
  </si>
  <si>
    <t>Honduras</t>
  </si>
  <si>
    <t>Others</t>
  </si>
  <si>
    <t>Major Importers</t>
  </si>
  <si>
    <t>European Union</t>
  </si>
  <si>
    <t>United States</t>
  </si>
  <si>
    <t>Japan</t>
  </si>
  <si>
    <t>Philippines</t>
  </si>
  <si>
    <t>Canada</t>
  </si>
  <si>
    <t>United Kingdom</t>
  </si>
  <si>
    <t>Russia</t>
  </si>
  <si>
    <t>Korea</t>
  </si>
  <si>
    <t>Selected Other</t>
  </si>
  <si>
    <t>China</t>
  </si>
  <si>
    <t>World = all 93 countries of the USDA PSD coffee database = Major Exporters + Major Importers + Selected Other; Ex Brazil = World - Brazil. Totals match the USDA June 2026 circular (2026/27: production 189.7, consumption 179.7, ending stocks 26.3 million bags).</t>
  </si>
  <si>
    <t>Groups are fixed for all years, from 2026/27 trade: Others (exporters) = net exporters Angola, Bolivia, Burundi, Cameroon, Congo (Kinshasa), Costa Rica, Cote d'Ivoire, Cuba, Dominican Republic, Ecuador, El Salvador, Guatemala, Guinea, India, Jamaica, Kenya, Laos, Madagascar, Malaysia, Mexico, Nicaragua, Papua New Guinea, Peru, Rwanda, Sierra Leone, Tanzania, Togo.</t>
  </si>
  <si>
    <t>Others (importers) = net importers Albania, Algeria, Argentina, Armenia, Australia, Benin, Bosnia and Herzegovina, Central African Republic, Chile, Congo (Brazzaville), Croatia, Egypt, Equatorial Guinea, Gabon, Georgia, Ghana, Guyana, Haiti, Iran, Jordan, Kazakhstan, Kosovo, Liberia, Malawi, Montenegro, Morocco, New Caledonia, New Zealand, Nigeria, North Macedonia, Norway, Panama, Paraguay, Saudi Arabia, Senegal, Serbia, Singapore, South Africa, Sri Lanka, Switzerland, Taiwan, Thailand, Trinidad and Tobago, Turkey, Ukraine, Uruguay, Venezuela, Yemen, Zambia, Zimbabwe.</t>
  </si>
  <si>
    <t>World and group area = sum of the FAO areas of the countries with USDA production that year (grey italics when at least one country is carried forward). China's FAO area (32,000 ha, imputed by FAO) implies about 60 bags/ha against USDA's production and is left out, so China and Selected Other have no area or yield. FAO areas imputed by FAO (flag I) for several African producers (e.g. Cote d'Ivoire, Guinea) give very low yields; they are kept as published.</t>
  </si>
  <si>
    <t>2026/27 My Estimate block: the seven exporters come from their country sheets (green); the other rows are inputs (blue on yellow); beginning stocks = 2025/26 ending stocks.</t>
  </si>
</sst>
</file>

<file path=xl/styles.xml><?xml version="1.0" encoding="utf-8"?>
<styleSheet xmlns="http://schemas.openxmlformats.org/spreadsheetml/2006/main">
  <numFmts count="1">
    <numFmt numFmtId="164" formatCode="0.0%"/>
  </numFmts>
  <fonts count="8">
    <font>
      <sz val="10"/>
      <color rgb="FF000000"/>
      <name val="Arial"/>
      <family val="2"/>
    </font>
    <font>
      <b/>
      <sz val="10"/>
      <color rgb="FFFFFFFF"/>
      <name val="Arial"/>
      <family val="2"/>
    </font>
    <font>
      <i/>
      <sz val="10"/>
      <color rgb="FF7F7F7F"/>
      <name val="Arial"/>
      <family val="2"/>
    </font>
    <font>
      <b/>
      <sz val="10"/>
      <color rgb="FF000000"/>
      <name val="Arial"/>
      <family val="2"/>
    </font>
    <font>
      <sz val="10"/>
      <color rgb="FF0000FF"/>
      <name val="Arial"/>
      <family val="2"/>
    </font>
    <font>
      <i/>
      <sz val="9"/>
      <color rgb="FF595959"/>
      <name val="Arial"/>
      <family val="2"/>
    </font>
    <font>
      <sz val="10"/>
      <color rgb="FF008000"/>
      <name val="Arial"/>
      <family val="2"/>
    </font>
    <font>
      <b/>
      <sz val="9"/>
      <color rgb="FF000000"/>
      <name val="Arial"/>
      <family val="2"/>
    </font>
  </fonts>
  <fills count="7">
    <fill>
      <patternFill patternType="none"/>
    </fill>
    <fill>
      <patternFill patternType="gray125"/>
    </fill>
    <fill>
      <patternFill patternType="solid">
        <fgColor rgb="FF4472C4"/>
        <bgColor indexed="64"/>
      </patternFill>
    </fill>
    <fill>
      <patternFill patternType="solid">
        <fgColor rgb="FFDCE6F1"/>
        <bgColor indexed="64"/>
      </patternFill>
    </fill>
    <fill>
      <patternFill patternType="solid">
        <fgColor rgb="FFFFFFFF"/>
        <bgColor indexed="64"/>
      </patternFill>
    </fill>
    <fill>
      <patternFill patternType="solid">
        <fgColor rgb="FFFFF2CC"/>
        <bgColor indexed="64"/>
      </patternFill>
    </fill>
    <fill>
      <patternFill patternType="solid">
        <fgColor rgb="FFC5D9F1"/>
        <bgColor indexed="64"/>
      </patternFill>
    </fill>
  </fills>
  <borders count="1">
    <border>
      <left/>
      <right/>
      <top/>
      <bottom/>
      <diagonal/>
    </border>
  </borders>
  <cellStyleXfs count="1">
    <xf numFmtId="0" fontId="0" fillId="0" borderId="0"/>
  </cellStyleXfs>
  <cellXfs count="41">
    <xf numFmtId="0" fontId="0" fillId="0" borderId="0" xfId="0" applyNumberFormat="1" applyFont="1" applyFill="1" applyAlignment="1">
      <alignment vertical="center"/>
    </xf>
    <xf numFmtId="0" fontId="1" fillId="2" borderId="0" xfId="0" applyNumberFormat="1" applyFont="1" applyFill="1" applyAlignment="1">
      <alignment horizontal="center" vertical="center" wrapText="1"/>
    </xf>
    <xf numFmtId="0" fontId="1" fillId="2" borderId="0" xfId="0" applyNumberFormat="1" applyFont="1" applyFill="1" applyAlignment="1">
      <alignment horizontal="left" vertical="center" wrapText="1"/>
    </xf>
    <xf numFmtId="0" fontId="0" fillId="3" borderId="0" xfId="0" applyNumberFormat="1" applyFont="1" applyFill="1" applyAlignment="1">
      <alignment vertical="center"/>
    </xf>
    <xf numFmtId="3" fontId="0" fillId="3" borderId="0" xfId="0" applyNumberFormat="1" applyFont="1" applyFill="1" applyAlignment="1">
      <alignment vertical="center"/>
    </xf>
    <xf numFmtId="2" fontId="0" fillId="3" borderId="0" xfId="0" applyNumberFormat="1" applyFont="1" applyFill="1" applyAlignment="1">
      <alignment vertical="center"/>
    </xf>
    <xf numFmtId="164" fontId="0" fillId="3" borderId="0" xfId="0" applyNumberFormat="1" applyFont="1" applyFill="1" applyAlignment="1">
      <alignment vertical="center"/>
    </xf>
    <xf numFmtId="0" fontId="0" fillId="4" borderId="0" xfId="0" applyNumberFormat="1" applyFont="1" applyFill="1" applyAlignment="1">
      <alignment vertical="center"/>
    </xf>
    <xf numFmtId="3" fontId="0" fillId="4" borderId="0" xfId="0" applyNumberFormat="1" applyFont="1" applyFill="1" applyAlignment="1">
      <alignment vertical="center"/>
    </xf>
    <xf numFmtId="2" fontId="0" fillId="4" borderId="0" xfId="0" applyNumberFormat="1" applyFont="1" applyFill="1" applyAlignment="1">
      <alignment vertical="center"/>
    </xf>
    <xf numFmtId="164" fontId="0" fillId="4" borderId="0" xfId="0" applyNumberFormat="1" applyFont="1" applyFill="1" applyAlignment="1">
      <alignment vertical="center"/>
    </xf>
    <xf numFmtId="3" fontId="2" fillId="4" borderId="0" xfId="0" applyNumberFormat="1" applyFont="1" applyFill="1" applyAlignment="1">
      <alignment vertical="center"/>
    </xf>
    <xf numFmtId="3" fontId="2" fillId="3" borderId="0" xfId="0" applyNumberFormat="1" applyFont="1" applyFill="1" applyAlignment="1">
      <alignment vertical="center"/>
    </xf>
    <xf numFmtId="0" fontId="3" fillId="5" borderId="0" xfId="0" applyNumberFormat="1" applyFont="1" applyFill="1" applyAlignment="1">
      <alignment vertical="center"/>
    </xf>
    <xf numFmtId="3" fontId="4" fillId="5" borderId="0" xfId="0" applyNumberFormat="1" applyFont="1" applyFill="1" applyAlignment="1">
      <alignment vertical="center"/>
    </xf>
    <xf numFmtId="2" fontId="4" fillId="5" borderId="0" xfId="0" applyNumberFormat="1" applyFont="1" applyFill="1" applyAlignment="1">
      <alignment vertical="center"/>
    </xf>
    <xf numFmtId="3" fontId="0" fillId="5" borderId="0" xfId="0" applyNumberFormat="1" applyFont="1" applyFill="1" applyAlignment="1">
      <alignment vertical="center"/>
    </xf>
    <xf numFmtId="164" fontId="0" fillId="5" borderId="0" xfId="0" applyNumberFormat="1" applyFont="1" applyFill="1" applyAlignment="1">
      <alignment vertical="center"/>
    </xf>
    <xf numFmtId="0" fontId="5" fillId="0" borderId="0" xfId="0" applyNumberFormat="1" applyFont="1" applyFill="1" applyAlignment="1"/>
    <xf numFmtId="3" fontId="6" fillId="5" borderId="0" xfId="0" applyNumberFormat="1" applyFont="1" applyFill="1" applyAlignment="1">
      <alignment vertical="center"/>
    </xf>
    <xf numFmtId="2" fontId="0" fillId="5" borderId="0" xfId="0" applyNumberFormat="1" applyFont="1" applyFill="1" applyAlignment="1">
      <alignment vertical="center"/>
    </xf>
    <xf numFmtId="0" fontId="7" fillId="6" borderId="0" xfId="0" applyNumberFormat="1" applyFont="1" applyFill="1" applyAlignment="1">
      <alignment horizontal="left" vertical="center" wrapText="1"/>
    </xf>
    <xf numFmtId="0" fontId="7" fillId="6" borderId="0" xfId="0" applyNumberFormat="1" applyFont="1" applyFill="1" applyAlignment="1">
      <alignment horizontal="center" vertical="center" wrapText="1"/>
    </xf>
    <xf numFmtId="0" fontId="0" fillId="4" borderId="0" xfId="0" applyNumberFormat="1" applyFont="1" applyFill="1" applyAlignment="1">
      <alignment horizontal="center" vertical="center" wrapText="1"/>
    </xf>
    <xf numFmtId="0" fontId="3" fillId="3" borderId="0" xfId="0" applyNumberFormat="1" applyFont="1" applyFill="1" applyAlignment="1">
      <alignment horizontal="left" vertical="center"/>
    </xf>
    <xf numFmtId="3" fontId="3" fillId="3" borderId="0" xfId="0" applyNumberFormat="1" applyFont="1" applyFill="1" applyAlignment="1">
      <alignment vertical="center"/>
    </xf>
    <xf numFmtId="2" fontId="3" fillId="3" borderId="0" xfId="0" applyNumberFormat="1" applyFont="1" applyFill="1" applyAlignment="1">
      <alignment vertical="center"/>
    </xf>
    <xf numFmtId="164" fontId="3" fillId="3" borderId="0" xfId="0" applyNumberFormat="1" applyFont="1" applyFill="1" applyAlignment="1">
      <alignment vertical="center"/>
    </xf>
    <xf numFmtId="0" fontId="3" fillId="4" borderId="0" xfId="0" applyNumberFormat="1" applyFont="1" applyFill="1" applyAlignment="1">
      <alignment horizontal="left" vertical="center"/>
    </xf>
    <xf numFmtId="3" fontId="3" fillId="4" borderId="0" xfId="0" applyNumberFormat="1" applyFont="1" applyFill="1" applyAlignment="1">
      <alignment vertical="center"/>
    </xf>
    <xf numFmtId="2" fontId="3" fillId="4" borderId="0" xfId="0" applyNumberFormat="1" applyFont="1" applyFill="1" applyAlignment="1">
      <alignment vertical="center"/>
    </xf>
    <xf numFmtId="164" fontId="3" fillId="4" borderId="0" xfId="0" applyNumberFormat="1" applyFont="1" applyFill="1" applyAlignment="1">
      <alignment vertical="center"/>
    </xf>
    <xf numFmtId="0" fontId="0" fillId="4" borderId="0" xfId="0" applyNumberFormat="1" applyFont="1" applyFill="1" applyAlignment="1">
      <alignment horizontal="left" vertical="center" indent="2"/>
    </xf>
    <xf numFmtId="0" fontId="0" fillId="3" borderId="0" xfId="0" applyNumberFormat="1" applyFont="1" applyFill="1" applyAlignment="1">
      <alignment horizontal="left" vertical="center" indent="2"/>
    </xf>
    <xf numFmtId="0" fontId="3" fillId="5" borderId="0" xfId="0" applyNumberFormat="1" applyFont="1" applyFill="1" applyAlignment="1">
      <alignment horizontal="center" vertical="center" wrapText="1"/>
    </xf>
    <xf numFmtId="0" fontId="0" fillId="5" borderId="0" xfId="0" applyNumberFormat="1" applyFont="1" applyFill="1" applyAlignment="1">
      <alignment vertical="center"/>
    </xf>
    <xf numFmtId="0" fontId="3" fillId="5" borderId="0" xfId="0" applyNumberFormat="1" applyFont="1" applyFill="1" applyAlignment="1">
      <alignment horizontal="left" vertical="center"/>
    </xf>
    <xf numFmtId="3" fontId="3" fillId="5" borderId="0" xfId="0" applyNumberFormat="1" applyFont="1" applyFill="1" applyAlignment="1">
      <alignment vertical="center"/>
    </xf>
    <xf numFmtId="2" fontId="3" fillId="5" borderId="0" xfId="0" applyNumberFormat="1" applyFont="1" applyFill="1" applyAlignment="1">
      <alignment vertical="center"/>
    </xf>
    <xf numFmtId="164" fontId="3" fillId="5" borderId="0" xfId="0" applyNumberFormat="1" applyFont="1" applyFill="1" applyAlignment="1">
      <alignment vertical="center"/>
    </xf>
    <xf numFmtId="0" fontId="0" fillId="5" borderId="0" xfId="0" applyNumberFormat="1" applyFont="1" applyFill="1" applyAlignment="1">
      <alignment horizontal="left" vertical="center" indent="2"/>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 Id="rId11"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N32"/>
  <sheetViews>
    <sheetView tabSelected="1"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2159.785</v>
      </c>
      <c r="C2" s="5">
        <f>IF(N(B2)&gt;0,E2/B2,"")</f>
        <v>25.233993198397066</v>
      </c>
      <c r="D2" s="4">
        <v>2836</v>
      </c>
      <c r="E2" s="4">
        <v>54500</v>
      </c>
      <c r="F2" s="4">
        <v>0</v>
      </c>
      <c r="G2" s="4">
        <f>D2+E2+F2</f>
        <v>57336</v>
      </c>
      <c r="H2" s="4">
        <v>18330</v>
      </c>
      <c r="I2" s="4">
        <v>1090</v>
      </c>
      <c r="J2" s="4">
        <f>H2+I2</f>
        <v>19420</v>
      </c>
      <c r="K2" s="4">
        <v>35010</v>
      </c>
      <c r="L2" s="4">
        <v>2906</v>
      </c>
      <c r="M2" s="4">
        <f>J2+K2+L2</f>
        <v>57336</v>
      </c>
      <c r="N2" s="6">
        <f>IF((J2+K2)&gt;0,L2/(J2+K2),"")</f>
        <v>0.05338967481168473</v>
      </c>
    </row>
    <row r="3">
      <c r="A3" s="7" t="s">
        <v>15</v>
      </c>
      <c r="B3" s="8">
        <v>2148.775</v>
      </c>
      <c r="C3" s="9">
        <f>IF(N(B3)&gt;0,E3/B3,"")</f>
        <v>22.896766762457677</v>
      </c>
      <c r="D3" s="8">
        <v>2906</v>
      </c>
      <c r="E3" s="8">
        <v>49200</v>
      </c>
      <c r="F3" s="8">
        <v>0</v>
      </c>
      <c r="G3" s="8">
        <f>D3+E3+F3</f>
        <v>52106</v>
      </c>
      <c r="H3" s="8">
        <v>18905</v>
      </c>
      <c r="I3" s="8">
        <v>1120</v>
      </c>
      <c r="J3" s="8">
        <f>H3+I3</f>
        <v>20025</v>
      </c>
      <c r="K3" s="8">
        <v>29843</v>
      </c>
      <c r="L3" s="8">
        <v>2238</v>
      </c>
      <c r="M3" s="8">
        <f>J3+K3+L3</f>
        <v>52106</v>
      </c>
      <c r="N3" s="10">
        <f>IF((J3+K3)&gt;0,L3/(J3+K3),"")</f>
        <v>0.04487847918504853</v>
      </c>
    </row>
    <row r="4">
      <c r="A4" s="3" t="s">
        <v>16</v>
      </c>
      <c r="B4" s="4">
        <v>2120.08</v>
      </c>
      <c r="C4" s="5">
        <f>IF(N(B4)&gt;0,E4/B4,"")</f>
        <v>27.168786083544017</v>
      </c>
      <c r="D4" s="4">
        <v>2238</v>
      </c>
      <c r="E4" s="4">
        <v>57600</v>
      </c>
      <c r="F4" s="4">
        <v>0</v>
      </c>
      <c r="G4" s="4">
        <f>D4+E4+F4</f>
        <v>59838</v>
      </c>
      <c r="H4" s="4">
        <v>19000</v>
      </c>
      <c r="I4" s="4">
        <v>1110</v>
      </c>
      <c r="J4" s="4">
        <f>H4+I4</f>
        <v>20110</v>
      </c>
      <c r="K4" s="4">
        <v>30660</v>
      </c>
      <c r="L4" s="4">
        <v>9068</v>
      </c>
      <c r="M4" s="4">
        <f>J4+K4+L4</f>
        <v>59838</v>
      </c>
      <c r="N4" s="6">
        <f>IF((J4+K4)&gt;0,L4/(J4+K4),"")</f>
        <v>0.17860941500886351</v>
      </c>
    </row>
    <row r="5">
      <c r="A5" s="7" t="s">
        <v>17</v>
      </c>
      <c r="B5" s="8">
        <v>2085.522</v>
      </c>
      <c r="C5" s="9">
        <f>IF(N(B5)&gt;0,E5/B5,"")</f>
        <v>27.427186095375642</v>
      </c>
      <c r="D5" s="8">
        <v>9068</v>
      </c>
      <c r="E5" s="8">
        <v>57200</v>
      </c>
      <c r="F5" s="8">
        <v>34</v>
      </c>
      <c r="G5" s="8">
        <f>D5+E5+F5</f>
        <v>66302</v>
      </c>
      <c r="H5" s="8">
        <v>19130</v>
      </c>
      <c r="I5" s="8">
        <v>1080</v>
      </c>
      <c r="J5" s="8">
        <f>H5+I5</f>
        <v>20210</v>
      </c>
      <c r="K5" s="8">
        <v>34146</v>
      </c>
      <c r="L5" s="8">
        <v>11946</v>
      </c>
      <c r="M5" s="8">
        <f>J5+K5+L5</f>
        <v>66302</v>
      </c>
      <c r="N5" s="10">
        <f>IF((J5+K5)&gt;0,L5/(J5+K5),"")</f>
        <v>0.21977334608874824</v>
      </c>
    </row>
    <row r="6">
      <c r="A6" s="3" t="s">
        <v>18</v>
      </c>
      <c r="B6" s="4">
        <v>1997.827</v>
      </c>
      <c r="C6" s="5">
        <f>IF(N(B6)&gt;0,E6/B6,"")</f>
        <v>27.17953055995339</v>
      </c>
      <c r="D6" s="4">
        <v>11946</v>
      </c>
      <c r="E6" s="4">
        <v>54300</v>
      </c>
      <c r="F6" s="4">
        <v>52</v>
      </c>
      <c r="G6" s="4">
        <f>D6+E6+F6</f>
        <v>66298</v>
      </c>
      <c r="H6" s="4">
        <v>19325</v>
      </c>
      <c r="I6" s="4">
        <v>1095</v>
      </c>
      <c r="J6" s="4">
        <f>H6+I6</f>
        <v>20420</v>
      </c>
      <c r="K6" s="4">
        <v>36573</v>
      </c>
      <c r="L6" s="4">
        <v>9305</v>
      </c>
      <c r="M6" s="4">
        <f>J6+K6+L6</f>
        <v>66298</v>
      </c>
      <c r="N6" s="6">
        <f>IF((J6+K6)&gt;0,L6/(J6+K6),"")</f>
        <v>0.16326566420437597</v>
      </c>
    </row>
    <row r="7">
      <c r="A7" s="7" t="s">
        <v>19</v>
      </c>
      <c r="B7" s="8">
        <v>1977.714</v>
      </c>
      <c r="C7" s="9">
        <f>IF(N(B7)&gt;0,E7/B7,"")</f>
        <v>24.978333570981448</v>
      </c>
      <c r="D7" s="8">
        <v>9305</v>
      </c>
      <c r="E7" s="8">
        <v>49400</v>
      </c>
      <c r="F7" s="8">
        <v>65</v>
      </c>
      <c r="G7" s="8">
        <f>D7+E7+F7</f>
        <v>58770</v>
      </c>
      <c r="H7" s="8">
        <v>19750</v>
      </c>
      <c r="I7" s="8">
        <v>1105</v>
      </c>
      <c r="J7" s="8">
        <f>H7+I7</f>
        <v>20855</v>
      </c>
      <c r="K7" s="8">
        <v>35543</v>
      </c>
      <c r="L7" s="8">
        <v>2372</v>
      </c>
      <c r="M7" s="8">
        <f>J7+K7+L7</f>
        <v>58770</v>
      </c>
      <c r="N7" s="10">
        <f>IF((J7+K7)&gt;0,L7/(J7+K7),"")</f>
        <v>0.042058229015213305</v>
      </c>
    </row>
    <row r="8">
      <c r="A8" s="3" t="s">
        <v>20</v>
      </c>
      <c r="B8" s="4">
        <v>1996.604</v>
      </c>
      <c r="C8" s="5">
        <f>IF(N(B8)&gt;0,E8/B8,"")</f>
        <v>28.097709911429607</v>
      </c>
      <c r="D8" s="4">
        <v>2372</v>
      </c>
      <c r="E8" s="4">
        <v>56100</v>
      </c>
      <c r="F8" s="4">
        <v>62</v>
      </c>
      <c r="G8" s="4">
        <f>D8+E8+F8</f>
        <v>58534</v>
      </c>
      <c r="H8" s="4">
        <v>20500</v>
      </c>
      <c r="I8" s="4">
        <v>1125</v>
      </c>
      <c r="J8" s="4">
        <f>H8+I8</f>
        <v>21625</v>
      </c>
      <c r="K8" s="4">
        <v>33081</v>
      </c>
      <c r="L8" s="4">
        <v>3828</v>
      </c>
      <c r="M8" s="4">
        <f>J8+K8+L8</f>
        <v>58534</v>
      </c>
      <c r="N8" s="6">
        <f>IF((J8+K8)&gt;0,L8/(J8+K8),"")</f>
        <v>0.06997404306657405</v>
      </c>
    </row>
    <row r="9">
      <c r="A9" s="7" t="s">
        <v>21</v>
      </c>
      <c r="B9" s="8">
        <v>1802.417</v>
      </c>
      <c r="C9" s="9">
        <f>IF(N(B9)&gt;0,E9/B9,"")</f>
        <v>28.905630606014036</v>
      </c>
      <c r="D9" s="8">
        <v>3828</v>
      </c>
      <c r="E9" s="8">
        <v>52100</v>
      </c>
      <c r="F9" s="8">
        <v>61</v>
      </c>
      <c r="G9" s="8">
        <f>D9+E9+F9</f>
        <v>55989</v>
      </c>
      <c r="H9" s="8">
        <v>21275</v>
      </c>
      <c r="I9" s="8">
        <v>1145</v>
      </c>
      <c r="J9" s="8">
        <f>H9+I9</f>
        <v>22420</v>
      </c>
      <c r="K9" s="8">
        <v>30454</v>
      </c>
      <c r="L9" s="8">
        <v>3115</v>
      </c>
      <c r="M9" s="8">
        <f>J9+K9+L9</f>
        <v>55989</v>
      </c>
      <c r="N9" s="10">
        <f>IF((J9+K9)&gt;0,L9/(J9+K9),"")</f>
        <v>0.05891364375685592</v>
      </c>
    </row>
    <row r="10">
      <c r="A10" s="3" t="s">
        <v>22</v>
      </c>
      <c r="B10" s="4">
        <v>1863.966</v>
      </c>
      <c r="C10" s="5">
        <f>IF(N(B10)&gt;0,E10/B10,"")</f>
        <v>35.67661641896902</v>
      </c>
      <c r="D10" s="4">
        <v>3115</v>
      </c>
      <c r="E10" s="4">
        <v>66500</v>
      </c>
      <c r="F10" s="4">
        <v>67</v>
      </c>
      <c r="G10" s="4">
        <f>D10+E10+F10</f>
        <v>69682</v>
      </c>
      <c r="H10" s="4">
        <v>22020</v>
      </c>
      <c r="I10" s="4">
        <v>1180</v>
      </c>
      <c r="J10" s="4">
        <f>H10+I10</f>
        <v>23200</v>
      </c>
      <c r="K10" s="4">
        <v>41426</v>
      </c>
      <c r="L10" s="4">
        <v>5056</v>
      </c>
      <c r="M10" s="4">
        <f>J10+K10+L10</f>
        <v>69682</v>
      </c>
      <c r="N10" s="6">
        <f>IF((J10+K10)&gt;0,L10/(J10+K10),"")</f>
        <v>0.07823476619317303</v>
      </c>
    </row>
    <row r="11">
      <c r="A11" s="7" t="s">
        <v>23</v>
      </c>
      <c r="B11" s="8">
        <v>1825.283</v>
      </c>
      <c r="C11" s="9">
        <f>IF(N(B11)&gt;0,E11/B11,"")</f>
        <v>33.14554510177326</v>
      </c>
      <c r="D11" s="8">
        <v>5056</v>
      </c>
      <c r="E11" s="8">
        <v>60500</v>
      </c>
      <c r="F11" s="8">
        <v>67</v>
      </c>
      <c r="G11" s="8">
        <f>D11+E11+F11</f>
        <v>65623</v>
      </c>
      <c r="H11" s="8">
        <v>22065</v>
      </c>
      <c r="I11" s="8">
        <v>929</v>
      </c>
      <c r="J11" s="8">
        <f>H11+I11</f>
        <v>22994</v>
      </c>
      <c r="K11" s="8">
        <v>40256</v>
      </c>
      <c r="L11" s="8">
        <v>2373</v>
      </c>
      <c r="M11" s="8">
        <f>J11+K11+L11</f>
        <v>65623</v>
      </c>
      <c r="N11" s="10">
        <f>IF((J11+K11)&gt;0,L11/(J11+K11),"")</f>
        <v>0.037517786561264824</v>
      </c>
    </row>
    <row r="12">
      <c r="A12" s="3" t="s">
        <v>24</v>
      </c>
      <c r="B12" s="4">
        <v>1898.429</v>
      </c>
      <c r="C12" s="5">
        <f>IF(N(B12)&gt;0,E12/B12,"")</f>
        <v>36.81991794267787</v>
      </c>
      <c r="D12" s="4">
        <v>2373</v>
      </c>
      <c r="E12" s="4">
        <v>69900</v>
      </c>
      <c r="F12" s="4">
        <v>72</v>
      </c>
      <c r="G12" s="4">
        <f>D12+E12+F12</f>
        <v>72345</v>
      </c>
      <c r="H12" s="4">
        <v>21350</v>
      </c>
      <c r="I12" s="4">
        <v>930</v>
      </c>
      <c r="J12" s="4">
        <f>H12+I12</f>
        <v>22280</v>
      </c>
      <c r="K12" s="4">
        <v>45675</v>
      </c>
      <c r="L12" s="4">
        <v>4390</v>
      </c>
      <c r="M12" s="4">
        <f>J12+K12+L12</f>
        <v>72345</v>
      </c>
      <c r="N12" s="6">
        <f>IF((J12+K12)&gt;0,L12/(J12+K12),"")</f>
        <v>0.06460157457140756</v>
      </c>
    </row>
    <row r="13">
      <c r="A13" s="7" t="s">
        <v>25</v>
      </c>
      <c r="B13" s="8">
        <v>1832.508</v>
      </c>
      <c r="C13" s="9">
        <f>IF(N(B13)&gt;0,E13/B13,"")</f>
        <v>31.705182187472033</v>
      </c>
      <c r="D13" s="8">
        <v>4390</v>
      </c>
      <c r="E13" s="8">
        <v>58100</v>
      </c>
      <c r="F13" s="8">
        <v>75</v>
      </c>
      <c r="G13" s="8">
        <f>D13+E13+F13</f>
        <v>62565</v>
      </c>
      <c r="H13" s="8">
        <v>21400</v>
      </c>
      <c r="I13" s="8">
        <v>940</v>
      </c>
      <c r="J13" s="8">
        <f>H13+I13</f>
        <v>22340</v>
      </c>
      <c r="K13" s="8">
        <v>39685</v>
      </c>
      <c r="L13" s="8">
        <v>540</v>
      </c>
      <c r="M13" s="8">
        <f>J13+K13+L13</f>
        <v>62565</v>
      </c>
      <c r="N13" s="10">
        <f>IF((J13+K13)&gt;0,L13/(J13+K13),"")</f>
        <v>0.008706166868198308</v>
      </c>
    </row>
    <row r="14">
      <c r="A14" s="3" t="s">
        <v>26</v>
      </c>
      <c r="B14" s="4">
        <v>1867.392</v>
      </c>
      <c r="C14" s="5">
        <f>IF(N(B14)&gt;0,E14/B14,"")</f>
        <v>33.52268832682158</v>
      </c>
      <c r="D14" s="4">
        <v>540</v>
      </c>
      <c r="E14" s="4">
        <v>62600</v>
      </c>
      <c r="F14" s="4">
        <v>75</v>
      </c>
      <c r="G14" s="4">
        <f>D14+E14+F14</f>
        <v>63215</v>
      </c>
      <c r="H14" s="4">
        <v>21500</v>
      </c>
      <c r="I14" s="4">
        <v>950</v>
      </c>
      <c r="J14" s="4">
        <f>H14+I14</f>
        <v>22450</v>
      </c>
      <c r="K14" s="4">
        <v>36145</v>
      </c>
      <c r="L14" s="4">
        <v>4620</v>
      </c>
      <c r="M14" s="4">
        <f>J14+K14+L14</f>
        <v>63215</v>
      </c>
      <c r="N14" s="6">
        <f>IF((J14+K14)&gt;0,L14/(J14+K14),"")</f>
        <v>0.07884631794521717</v>
      </c>
    </row>
    <row r="15">
      <c r="A15" s="7" t="s">
        <v>27</v>
      </c>
      <c r="B15" s="8">
        <v>1905.239</v>
      </c>
      <c r="C15" s="9">
        <f>IF(N(B15)&gt;0,E15/B15,"")</f>
        <v>34.798783774634046</v>
      </c>
      <c r="D15" s="8">
        <v>4620</v>
      </c>
      <c r="E15" s="8">
        <v>66300</v>
      </c>
      <c r="F15" s="8">
        <v>75</v>
      </c>
      <c r="G15" s="8">
        <f>D15+E15+F15</f>
        <v>70995</v>
      </c>
      <c r="H15" s="8">
        <v>21200</v>
      </c>
      <c r="I15" s="8">
        <v>960</v>
      </c>
      <c r="J15" s="8">
        <f>H15+I15</f>
        <v>22160</v>
      </c>
      <c r="K15" s="8">
        <v>46750</v>
      </c>
      <c r="L15" s="8">
        <v>2085</v>
      </c>
      <c r="M15" s="8">
        <f>J15+K15+L15</f>
        <v>70995</v>
      </c>
      <c r="N15" s="10">
        <f>IF((J15+K15)&gt;0,L15/(J15+K15),"")</f>
        <v>0.030256856769699608</v>
      </c>
    </row>
    <row r="16">
      <c r="A16" s="3" t="s">
        <v>28</v>
      </c>
      <c r="B16" s="4">
        <v>1943.977</v>
      </c>
      <c r="C16" s="5">
        <f>IF(N(B16)&gt;0,E16/B16,"")</f>
        <v>33.69381427866688</v>
      </c>
      <c r="D16" s="4">
        <v>2085</v>
      </c>
      <c r="E16" s="4">
        <v>65500</v>
      </c>
      <c r="F16" s="4">
        <v>90</v>
      </c>
      <c r="G16" s="4">
        <f>D16+E16+F16</f>
        <v>67675</v>
      </c>
      <c r="H16" s="4">
        <v>21000</v>
      </c>
      <c r="I16" s="4">
        <v>970</v>
      </c>
      <c r="J16" s="4">
        <f>H16+I16</f>
        <v>21970</v>
      </c>
      <c r="K16" s="4">
        <v>44750</v>
      </c>
      <c r="L16" s="4">
        <v>955</v>
      </c>
      <c r="M16" s="4">
        <f>J16+K16+L16</f>
        <v>67675</v>
      </c>
      <c r="N16" s="6">
        <f>IF((J16+K16)&gt;0,L16/(J16+K16),"")</f>
        <v>0.014313549160671462</v>
      </c>
    </row>
    <row r="17">
      <c r="A17" s="7" t="s">
        <v>29</v>
      </c>
      <c r="B17" s="11">
        <v>1943.977</v>
      </c>
      <c r="C17" s="9">
        <f>IF(N(B17)&gt;0,E17/B17,"")</f>
        <v>32.407790832916234</v>
      </c>
      <c r="D17" s="8">
        <v>955</v>
      </c>
      <c r="E17" s="8">
        <v>63000</v>
      </c>
      <c r="F17" s="8">
        <v>90</v>
      </c>
      <c r="G17" s="8">
        <f>D17+E17+F17</f>
        <v>64045</v>
      </c>
      <c r="H17" s="8">
        <v>21300</v>
      </c>
      <c r="I17" s="8">
        <v>980</v>
      </c>
      <c r="J17" s="8">
        <f>H17+I17</f>
        <v>22280</v>
      </c>
      <c r="K17" s="8">
        <v>37870</v>
      </c>
      <c r="L17" s="8">
        <v>3895</v>
      </c>
      <c r="M17" s="8">
        <f>J17+K17+L17</f>
        <v>64045</v>
      </c>
      <c r="N17" s="10">
        <f>IF((J17+K17)&gt;0,L17/(J17+K17),"")</f>
        <v>0.06475477971737323</v>
      </c>
    </row>
    <row r="18" ht="6" customHeight="1"/>
    <row r="19">
      <c r="A19" s="3" t="s">
        <v>30</v>
      </c>
      <c r="B19" s="12">
        <v>1943.977</v>
      </c>
      <c r="C19" s="5">
        <f>IF(N(B19)&gt;0,E19/B19,"")</f>
        <v>36.98603429978852</v>
      </c>
      <c r="D19" s="4">
        <v>3895</v>
      </c>
      <c r="E19" s="4">
        <v>71900</v>
      </c>
      <c r="F19" s="4">
        <v>90</v>
      </c>
      <c r="G19" s="4">
        <f>D19+E19+F19</f>
        <v>75885</v>
      </c>
      <c r="H19" s="4">
        <v>21400</v>
      </c>
      <c r="I19" s="4">
        <v>990</v>
      </c>
      <c r="J19" s="4">
        <f>H19+I19</f>
        <v>22390</v>
      </c>
      <c r="K19" s="4">
        <v>49070</v>
      </c>
      <c r="L19" s="4">
        <v>4425</v>
      </c>
      <c r="M19" s="4">
        <f>J19+K19+L19</f>
        <v>75885</v>
      </c>
      <c r="N19" s="6">
        <f>IF((J19+K19)&gt;0,L19/(J19+K19),"")</f>
        <v>0.06192275398824517</v>
      </c>
    </row>
    <row r="20" ht="6" customHeight="1"/>
    <row r="21">
      <c r="A21" s="3" t="s">
        <v>31</v>
      </c>
      <c r="B21" s="4"/>
      <c r="C21" s="5" t="str">
        <f>IF(N(B21)&gt;0,E21/B21,"")</f>
        <v/>
      </c>
      <c r="D21" s="4">
        <v>3895</v>
      </c>
      <c r="E21" s="4">
        <v>71900</v>
      </c>
      <c r="F21" s="4">
        <v>90</v>
      </c>
      <c r="G21" s="4">
        <f>D21+E21+F21</f>
        <v>75885</v>
      </c>
      <c r="H21" s="4">
        <v>21400</v>
      </c>
      <c r="I21" s="4">
        <v>990</v>
      </c>
      <c r="J21" s="4">
        <f>H21+I21</f>
        <v>22390</v>
      </c>
      <c r="K21" s="4">
        <v>49070</v>
      </c>
      <c r="L21" s="4">
        <v>4425</v>
      </c>
      <c r="M21" s="4">
        <f>J21+K21+L21</f>
        <v>75885</v>
      </c>
      <c r="N21" s="6">
        <f>IF((J21+K21)&gt;0,L21/(J21+K21),"")</f>
        <v>0.06192275398824517</v>
      </c>
    </row>
    <row r="22" ht="6" customHeight="1"/>
    <row r="23">
      <c r="A23" s="13" t="s">
        <v>32</v>
      </c>
      <c r="B23" s="14">
        <v>1943.977</v>
      </c>
      <c r="C23" s="15">
        <v>36.98603429978852</v>
      </c>
      <c r="D23" s="16">
        <f>L17</f>
        <v>3895</v>
      </c>
      <c r="E23" s="16">
        <f>B23*C23</f>
        <v>71900</v>
      </c>
      <c r="F23" s="14">
        <v>90</v>
      </c>
      <c r="G23" s="16">
        <f>D23+E23+F23</f>
        <v>75885</v>
      </c>
      <c r="H23" s="14">
        <v>21400</v>
      </c>
      <c r="I23" s="14">
        <v>990</v>
      </c>
      <c r="J23" s="16">
        <f>H23+I23</f>
        <v>22390</v>
      </c>
      <c r="K23" s="14">
        <v>49070</v>
      </c>
      <c r="L23" s="16">
        <f>G23-J23-K23</f>
        <v>4425</v>
      </c>
      <c r="M23" s="16">
        <f>J23+K23+L23</f>
        <v>75885</v>
      </c>
      <c r="N23" s="17">
        <f>IF((J23+K23)&gt;0,L23/(J23+K23),"")</f>
        <v>0.06192275398824517</v>
      </c>
    </row>
    <row r="25">
      <c r="A25" s="18" t="s">
        <v>33</v>
      </c>
    </row>
    <row r="26">
      <c r="A26" s="18" t="s">
        <v>34</v>
      </c>
    </row>
    <row r="27">
      <c r="A27" s="18" t="s">
        <v>35</v>
      </c>
    </row>
    <row r="28">
      <c r="A28" s="18" t="s">
        <v>36</v>
      </c>
    </row>
    <row r="29">
      <c r="A29" s="18" t="s">
        <v>37</v>
      </c>
    </row>
    <row r="30">
      <c r="A30" s="18" t="s">
        <v>38</v>
      </c>
    </row>
    <row r="31">
      <c r="A31" s="18" t="s">
        <v>39</v>
      </c>
    </row>
    <row r="32">
      <c r="A32" s="18" t="s">
        <v>40</v>
      </c>
    </row>
  </sheetData>
  <pageMargins left="0.5" right="0.5" top="0.75" bottom="0.75" header="0.3" footer="0.3"/>
  <pageSetup orientation="landscape" fitToHeight="0"/>
</worksheet>
</file>

<file path=xl/worksheets/sheet2.xml><?xml version="1.0" encoding="utf-8"?>
<worksheet xmlns="http://schemas.openxmlformats.org/spreadsheetml/2006/main" xmlns:r="http://schemas.openxmlformats.org/officeDocument/2006/relationships">
  <dimension ref="A1:N32"/>
  <sheetViews>
    <sheetView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511.9</v>
      </c>
      <c r="C2" s="5">
        <f>IF(N(B2)&gt;0,E2/B2,"")</f>
        <v>37.927329556554014</v>
      </c>
      <c r="D2" s="4">
        <v>1012</v>
      </c>
      <c r="E2" s="4">
        <v>19415</v>
      </c>
      <c r="F2" s="4">
        <v>350</v>
      </c>
      <c r="G2" s="4">
        <f>D2+E2+F2</f>
        <v>20777</v>
      </c>
      <c r="H2" s="4">
        <v>1200</v>
      </c>
      <c r="I2" s="4">
        <v>137</v>
      </c>
      <c r="J2" s="4">
        <f>H2+I2</f>
        <v>1337</v>
      </c>
      <c r="K2" s="4">
        <v>18640</v>
      </c>
      <c r="L2" s="4">
        <v>800</v>
      </c>
      <c r="M2" s="4">
        <f>J2+K2+L2</f>
        <v>20777</v>
      </c>
      <c r="N2" s="6">
        <f>IF((J2+K2)&gt;0,L2/(J2+K2),"")</f>
        <v>0.04004605296090504</v>
      </c>
    </row>
    <row r="3">
      <c r="A3" s="7" t="s">
        <v>15</v>
      </c>
      <c r="B3" s="8">
        <v>543.865</v>
      </c>
      <c r="C3" s="9">
        <f>IF(N(B3)&gt;0,E3/B3,"")</f>
        <v>47.805981263732725</v>
      </c>
      <c r="D3" s="8">
        <v>800</v>
      </c>
      <c r="E3" s="8">
        <v>26000</v>
      </c>
      <c r="F3" s="8">
        <v>450</v>
      </c>
      <c r="G3" s="8">
        <f>D3+E3+F3</f>
        <v>27250</v>
      </c>
      <c r="H3" s="8">
        <v>1480</v>
      </c>
      <c r="I3" s="8">
        <v>185</v>
      </c>
      <c r="J3" s="8">
        <f>H3+I3</f>
        <v>1665</v>
      </c>
      <c r="K3" s="8">
        <v>24495</v>
      </c>
      <c r="L3" s="8">
        <v>1090</v>
      </c>
      <c r="M3" s="8">
        <f>J3+K3+L3</f>
        <v>27250</v>
      </c>
      <c r="N3" s="10">
        <f>IF((J3+K3)&gt;0,L3/(J3+K3),"")</f>
        <v>0.041666666666666664</v>
      </c>
    </row>
    <row r="4">
      <c r="A4" s="3" t="s">
        <v>16</v>
      </c>
      <c r="B4" s="4">
        <v>572.6</v>
      </c>
      <c r="C4" s="5">
        <f>IF(N(B4)&gt;0,E4/B4,"")</f>
        <v>46.28012574222843</v>
      </c>
      <c r="D4" s="4">
        <v>1090</v>
      </c>
      <c r="E4" s="4">
        <v>26500</v>
      </c>
      <c r="F4" s="4">
        <v>824</v>
      </c>
      <c r="G4" s="4">
        <f>D4+E4+F4</f>
        <v>28414</v>
      </c>
      <c r="H4" s="4">
        <v>1625</v>
      </c>
      <c r="I4" s="4">
        <v>200</v>
      </c>
      <c r="J4" s="4">
        <f>H4+I4</f>
        <v>1825</v>
      </c>
      <c r="K4" s="4">
        <v>24643</v>
      </c>
      <c r="L4" s="4">
        <v>1946</v>
      </c>
      <c r="M4" s="4">
        <f>J4+K4+L4</f>
        <v>28414</v>
      </c>
      <c r="N4" s="6">
        <f>IF((J4+K4)&gt;0,L4/(J4+K4),"")</f>
        <v>0.07352274444612363</v>
      </c>
    </row>
    <row r="5">
      <c r="A5" s="7" t="s">
        <v>17</v>
      </c>
      <c r="B5" s="8">
        <v>581.381</v>
      </c>
      <c r="C5" s="9">
        <f>IF(N(B5)&gt;0,E5/B5,"")</f>
        <v>51.3140264301723</v>
      </c>
      <c r="D5" s="8">
        <v>1946</v>
      </c>
      <c r="E5" s="8">
        <v>29833</v>
      </c>
      <c r="F5" s="8">
        <v>648</v>
      </c>
      <c r="G5" s="8">
        <f>D5+E5+F5</f>
        <v>32427</v>
      </c>
      <c r="H5" s="8">
        <v>1788</v>
      </c>
      <c r="I5" s="8">
        <v>220</v>
      </c>
      <c r="J5" s="8">
        <f>H5+I5</f>
        <v>2008</v>
      </c>
      <c r="K5" s="8">
        <v>28289</v>
      </c>
      <c r="L5" s="8">
        <v>2130</v>
      </c>
      <c r="M5" s="8">
        <f>J5+K5+L5</f>
        <v>32427</v>
      </c>
      <c r="N5" s="10">
        <f>IF((J5+K5)&gt;0,L5/(J5+K5),"")</f>
        <v>0.07030399049410833</v>
      </c>
    </row>
    <row r="6">
      <c r="A6" s="3" t="s">
        <v>18</v>
      </c>
      <c r="B6" s="4">
        <v>589.041</v>
      </c>
      <c r="C6" s="5">
        <f>IF(N(B6)&gt;0,E6/B6,"")</f>
        <v>46.516286642186195</v>
      </c>
      <c r="D6" s="4">
        <v>2130</v>
      </c>
      <c r="E6" s="4">
        <v>27400</v>
      </c>
      <c r="F6" s="4">
        <v>590</v>
      </c>
      <c r="G6" s="4">
        <f>D6+E6+F6</f>
        <v>30120</v>
      </c>
      <c r="H6" s="4">
        <v>1917</v>
      </c>
      <c r="I6" s="4">
        <v>300</v>
      </c>
      <c r="J6" s="4">
        <f>H6+I6</f>
        <v>2217</v>
      </c>
      <c r="K6" s="4">
        <v>21567</v>
      </c>
      <c r="L6" s="4">
        <v>6336</v>
      </c>
      <c r="M6" s="4">
        <f>J6+K6+L6</f>
        <v>30120</v>
      </c>
      <c r="N6" s="6">
        <f>IF((J6+K6)&gt;0,L6/(J6+K6),"")</f>
        <v>0.26639757820383453</v>
      </c>
    </row>
    <row r="7">
      <c r="A7" s="7" t="s">
        <v>19</v>
      </c>
      <c r="B7" s="8">
        <v>593.8</v>
      </c>
      <c r="C7" s="9">
        <f>IF(N(B7)&gt;0,E7/B7,"")</f>
        <v>48.72010778039744</v>
      </c>
      <c r="D7" s="8">
        <v>6336</v>
      </c>
      <c r="E7" s="8">
        <v>28930</v>
      </c>
      <c r="F7" s="8">
        <v>630</v>
      </c>
      <c r="G7" s="8">
        <f>D7+E7+F7</f>
        <v>35896</v>
      </c>
      <c r="H7" s="8">
        <v>2280</v>
      </c>
      <c r="I7" s="8">
        <v>350</v>
      </c>
      <c r="J7" s="8">
        <f>H7+I7</f>
        <v>2630</v>
      </c>
      <c r="K7" s="8">
        <v>29065</v>
      </c>
      <c r="L7" s="8">
        <v>4201</v>
      </c>
      <c r="M7" s="8">
        <f>J7+K7+L7</f>
        <v>35896</v>
      </c>
      <c r="N7" s="10">
        <f>IF((J7+K7)&gt;0,L7/(J7+K7),"")</f>
        <v>0.13254456538886258</v>
      </c>
    </row>
    <row r="8">
      <c r="A8" s="3" t="s">
        <v>20</v>
      </c>
      <c r="B8" s="4">
        <v>597.597</v>
      </c>
      <c r="C8" s="5">
        <f>IF(N(B8)&gt;0,E8/B8,"")</f>
        <v>44.67893915130096</v>
      </c>
      <c r="D8" s="4">
        <v>4201</v>
      </c>
      <c r="E8" s="4">
        <v>26700</v>
      </c>
      <c r="F8" s="4">
        <v>1000</v>
      </c>
      <c r="G8" s="4">
        <f>D8+E8+F8</f>
        <v>31901</v>
      </c>
      <c r="H8" s="4">
        <v>2400</v>
      </c>
      <c r="I8" s="4">
        <v>370</v>
      </c>
      <c r="J8" s="4">
        <f>H8+I8</f>
        <v>2770</v>
      </c>
      <c r="K8" s="4">
        <v>26450</v>
      </c>
      <c r="L8" s="4">
        <v>2681</v>
      </c>
      <c r="M8" s="4">
        <f>J8+K8+L8</f>
        <v>31901</v>
      </c>
      <c r="N8" s="6">
        <f>IF((J8+K8)&gt;0,L8/(J8+K8),"")</f>
        <v>0.09175222450376455</v>
      </c>
    </row>
    <row r="9">
      <c r="A9" s="7" t="s">
        <v>21</v>
      </c>
      <c r="B9" s="8">
        <v>605.178</v>
      </c>
      <c r="C9" s="9">
        <f>IF(N(B9)&gt;0,E9/B9,"")</f>
        <v>48.41550750357746</v>
      </c>
      <c r="D9" s="8">
        <v>2681</v>
      </c>
      <c r="E9" s="8">
        <v>29300</v>
      </c>
      <c r="F9" s="8">
        <v>1060</v>
      </c>
      <c r="G9" s="8">
        <f>D9+E9+F9</f>
        <v>33041</v>
      </c>
      <c r="H9" s="8">
        <v>2500</v>
      </c>
      <c r="I9" s="8">
        <v>380</v>
      </c>
      <c r="J9" s="8">
        <f>H9+I9</f>
        <v>2880</v>
      </c>
      <c r="K9" s="8">
        <v>29907</v>
      </c>
      <c r="L9" s="8">
        <v>254</v>
      </c>
      <c r="M9" s="8">
        <f>J9+K9+L9</f>
        <v>33041</v>
      </c>
      <c r="N9" s="10">
        <f>IF((J9+K9)&gt;0,L9/(J9+K9),"")</f>
        <v>0.007746972885594901</v>
      </c>
    </row>
    <row r="10">
      <c r="A10" s="3" t="s">
        <v>22</v>
      </c>
      <c r="B10" s="4">
        <v>618.879</v>
      </c>
      <c r="C10" s="5">
        <f>IF(N(B10)&gt;0,E10/B10,"")</f>
        <v>49.12107213203227</v>
      </c>
      <c r="D10" s="4">
        <v>254</v>
      </c>
      <c r="E10" s="4">
        <v>30400</v>
      </c>
      <c r="F10" s="4">
        <v>1160</v>
      </c>
      <c r="G10" s="4">
        <f>D10+E10+F10</f>
        <v>31814</v>
      </c>
      <c r="H10" s="4">
        <v>2550</v>
      </c>
      <c r="I10" s="4">
        <v>390</v>
      </c>
      <c r="J10" s="4">
        <f>H10+I10</f>
        <v>2940</v>
      </c>
      <c r="K10" s="4">
        <v>28318</v>
      </c>
      <c r="L10" s="4">
        <v>556</v>
      </c>
      <c r="M10" s="4">
        <f>J10+K10+L10</f>
        <v>31814</v>
      </c>
      <c r="N10" s="6">
        <f>IF((J10+K10)&gt;0,L10/(J10+K10),"")</f>
        <v>0.01778744641371809</v>
      </c>
    </row>
    <row r="11">
      <c r="A11" s="7" t="s">
        <v>23</v>
      </c>
      <c r="B11" s="8">
        <v>624.1</v>
      </c>
      <c r="C11" s="9">
        <f>IF(N(B11)&gt;0,E11/B11,"")</f>
        <v>50.15221919564172</v>
      </c>
      <c r="D11" s="8">
        <v>556</v>
      </c>
      <c r="E11" s="8">
        <v>31300</v>
      </c>
      <c r="F11" s="8">
        <v>700</v>
      </c>
      <c r="G11" s="8">
        <f>D11+E11+F11</f>
        <v>32556</v>
      </c>
      <c r="H11" s="8">
        <v>2600</v>
      </c>
      <c r="I11" s="8">
        <v>500</v>
      </c>
      <c r="J11" s="8">
        <f>H11+I11</f>
        <v>3100</v>
      </c>
      <c r="K11" s="8">
        <v>27326</v>
      </c>
      <c r="L11" s="8">
        <v>2130</v>
      </c>
      <c r="M11" s="8">
        <f>J11+K11+L11</f>
        <v>32556</v>
      </c>
      <c r="N11" s="10">
        <f>IF((J11+K11)&gt;0,L11/(J11+K11),"")</f>
        <v>0.0700059159929008</v>
      </c>
    </row>
    <row r="12">
      <c r="A12" s="3" t="s">
        <v>24</v>
      </c>
      <c r="B12" s="4">
        <v>637.563</v>
      </c>
      <c r="C12" s="5">
        <f>IF(N(B12)&gt;0,E12/B12,"")</f>
        <v>45.48570102091872</v>
      </c>
      <c r="D12" s="4">
        <v>2130</v>
      </c>
      <c r="E12" s="4">
        <v>29000</v>
      </c>
      <c r="F12" s="4">
        <v>550</v>
      </c>
      <c r="G12" s="4">
        <f>D12+E12+F12</f>
        <v>31680</v>
      </c>
      <c r="H12" s="4">
        <v>2220</v>
      </c>
      <c r="I12" s="4">
        <v>500</v>
      </c>
      <c r="J12" s="4">
        <f>H12+I12</f>
        <v>2720</v>
      </c>
      <c r="K12" s="4">
        <v>25300</v>
      </c>
      <c r="L12" s="4">
        <v>3660</v>
      </c>
      <c r="M12" s="4">
        <f>J12+K12+L12</f>
        <v>31680</v>
      </c>
      <c r="N12" s="6">
        <f>IF((J12+K12)&gt;0,L12/(J12+K12),"")</f>
        <v>0.13062098501070663</v>
      </c>
    </row>
    <row r="13">
      <c r="A13" s="7" t="s">
        <v>25</v>
      </c>
      <c r="B13" s="8">
        <v>653.192</v>
      </c>
      <c r="C13" s="9">
        <f>IF(N(B13)&gt;0,E13/B13,"")</f>
        <v>48.34719347450673</v>
      </c>
      <c r="D13" s="8">
        <v>3660</v>
      </c>
      <c r="E13" s="8">
        <v>31580</v>
      </c>
      <c r="F13" s="8">
        <v>550</v>
      </c>
      <c r="G13" s="8">
        <f>D13+E13+F13</f>
        <v>35790</v>
      </c>
      <c r="H13" s="8">
        <v>2650</v>
      </c>
      <c r="I13" s="8">
        <v>550</v>
      </c>
      <c r="J13" s="8">
        <f>H13+I13</f>
        <v>3200</v>
      </c>
      <c r="K13" s="8">
        <v>29010</v>
      </c>
      <c r="L13" s="8">
        <v>3580</v>
      </c>
      <c r="M13" s="8">
        <f>J13+K13+L13</f>
        <v>35790</v>
      </c>
      <c r="N13" s="10">
        <f>IF((J13+K13)&gt;0,L13/(J13+K13),"")</f>
        <v>0.111145606954362</v>
      </c>
    </row>
    <row r="14">
      <c r="A14" s="3" t="s">
        <v>26</v>
      </c>
      <c r="B14" s="4">
        <v>655.921</v>
      </c>
      <c r="C14" s="5">
        <f>IF(N(B14)&gt;0,E14/B14,"")</f>
        <v>43.14543977094802</v>
      </c>
      <c r="D14" s="4">
        <v>3580</v>
      </c>
      <c r="E14" s="4">
        <v>28300</v>
      </c>
      <c r="F14" s="4">
        <v>499</v>
      </c>
      <c r="G14" s="4">
        <f>D14+E14+F14</f>
        <v>32379</v>
      </c>
      <c r="H14" s="4">
        <v>2650</v>
      </c>
      <c r="I14" s="4">
        <v>550</v>
      </c>
      <c r="J14" s="4">
        <f>H14+I14</f>
        <v>3200</v>
      </c>
      <c r="K14" s="4">
        <v>28340</v>
      </c>
      <c r="L14" s="4">
        <v>839</v>
      </c>
      <c r="M14" s="4">
        <f>J14+K14+L14</f>
        <v>32379</v>
      </c>
      <c r="N14" s="6">
        <f>IF((J14+K14)&gt;0,L14/(J14+K14),"")</f>
        <v>0.026601141407736208</v>
      </c>
    </row>
    <row r="15">
      <c r="A15" s="7" t="s">
        <v>27</v>
      </c>
      <c r="B15" s="8">
        <v>666.954</v>
      </c>
      <c r="C15" s="9">
        <f>IF(N(B15)&gt;0,E15/B15,"")</f>
        <v>41.30719659826615</v>
      </c>
      <c r="D15" s="8">
        <v>839</v>
      </c>
      <c r="E15" s="8">
        <v>27550</v>
      </c>
      <c r="F15" s="8">
        <v>800</v>
      </c>
      <c r="G15" s="8">
        <f>D15+E15+F15</f>
        <v>29189</v>
      </c>
      <c r="H15" s="8">
        <v>3000</v>
      </c>
      <c r="I15" s="8">
        <v>900</v>
      </c>
      <c r="J15" s="8">
        <f>H15+I15</f>
        <v>3900</v>
      </c>
      <c r="K15" s="8">
        <v>24400</v>
      </c>
      <c r="L15" s="8">
        <v>889</v>
      </c>
      <c r="M15" s="8">
        <f>J15+K15+L15</f>
        <v>29189</v>
      </c>
      <c r="N15" s="10">
        <f>IF((J15+K15)&gt;0,L15/(J15+K15),"")</f>
        <v>0.03141342756183746</v>
      </c>
    </row>
    <row r="16">
      <c r="A16" s="3" t="s">
        <v>28</v>
      </c>
      <c r="B16" s="4">
        <v>678.569</v>
      </c>
      <c r="C16" s="5">
        <f>IF(N(B16)&gt;0,E16/B16,"")</f>
        <v>42.73699505871916</v>
      </c>
      <c r="D16" s="4">
        <v>889</v>
      </c>
      <c r="E16" s="4">
        <v>29000</v>
      </c>
      <c r="F16" s="4">
        <v>1200</v>
      </c>
      <c r="G16" s="4">
        <f>D16+E16+F16</f>
        <v>31089</v>
      </c>
      <c r="H16" s="4">
        <v>3350</v>
      </c>
      <c r="I16" s="4">
        <v>1450</v>
      </c>
      <c r="J16" s="4">
        <f>H16+I16</f>
        <v>4800</v>
      </c>
      <c r="K16" s="4">
        <v>25200</v>
      </c>
      <c r="L16" s="4">
        <v>1089</v>
      </c>
      <c r="M16" s="4">
        <f>J16+K16+L16</f>
        <v>31089</v>
      </c>
      <c r="N16" s="6">
        <f>IF((J16+K16)&gt;0,L16/(J16+K16),"")</f>
        <v>0.0363</v>
      </c>
    </row>
    <row r="17">
      <c r="A17" s="7" t="s">
        <v>29</v>
      </c>
      <c r="B17" s="11">
        <v>678.569</v>
      </c>
      <c r="C17" s="9">
        <f>IF(N(B17)&gt;0,E17/B17,"")</f>
        <v>46.715956667634394</v>
      </c>
      <c r="D17" s="8">
        <v>1089</v>
      </c>
      <c r="E17" s="8">
        <v>31700</v>
      </c>
      <c r="F17" s="8">
        <v>1300</v>
      </c>
      <c r="G17" s="8">
        <f>D17+E17+F17</f>
        <v>34089</v>
      </c>
      <c r="H17" s="8">
        <v>3400</v>
      </c>
      <c r="I17" s="8">
        <v>1500</v>
      </c>
      <c r="J17" s="8">
        <f>H17+I17</f>
        <v>4900</v>
      </c>
      <c r="K17" s="8">
        <v>28500</v>
      </c>
      <c r="L17" s="8">
        <v>689</v>
      </c>
      <c r="M17" s="8">
        <f>J17+K17+L17</f>
        <v>34089</v>
      </c>
      <c r="N17" s="10">
        <f>IF((J17+K17)&gt;0,L17/(J17+K17),"")</f>
        <v>0.020628742514970058</v>
      </c>
    </row>
    <row r="18" ht="6" customHeight="1"/>
    <row r="19">
      <c r="A19" s="3" t="s">
        <v>30</v>
      </c>
      <c r="B19" s="12">
        <v>678.569</v>
      </c>
      <c r="C19" s="5">
        <f>IF(N(B19)&gt;0,E19/B19,"")</f>
        <v>47.894908255461125</v>
      </c>
      <c r="D19" s="4">
        <v>689</v>
      </c>
      <c r="E19" s="4">
        <v>32500</v>
      </c>
      <c r="F19" s="4">
        <v>1250</v>
      </c>
      <c r="G19" s="4">
        <f>D19+E19+F19</f>
        <v>34439</v>
      </c>
      <c r="H19" s="4">
        <v>3450</v>
      </c>
      <c r="I19" s="4">
        <v>1550</v>
      </c>
      <c r="J19" s="4">
        <f>H19+I19</f>
        <v>5000</v>
      </c>
      <c r="K19" s="4">
        <v>28950</v>
      </c>
      <c r="L19" s="4">
        <v>489</v>
      </c>
      <c r="M19" s="4">
        <f>J19+K19+L19</f>
        <v>34439</v>
      </c>
      <c r="N19" s="6">
        <f>IF((J19+K19)&gt;0,L19/(J19+K19),"")</f>
        <v>0.014403534609720176</v>
      </c>
    </row>
    <row r="20" ht="6" customHeight="1"/>
    <row r="21">
      <c r="A21" s="3" t="s">
        <v>41</v>
      </c>
      <c r="B21" s="4"/>
      <c r="C21" s="5" t="str">
        <f>IF(N(B21)&gt;0,E21/B21,"")</f>
        <v/>
      </c>
      <c r="D21" s="4">
        <v>689</v>
      </c>
      <c r="E21" s="4">
        <v>32500</v>
      </c>
      <c r="F21" s="4">
        <v>1250</v>
      </c>
      <c r="G21" s="4">
        <f>D21+E21+F21</f>
        <v>34439</v>
      </c>
      <c r="H21" s="4">
        <v>3450</v>
      </c>
      <c r="I21" s="4">
        <v>1550</v>
      </c>
      <c r="J21" s="4">
        <f>H21+I21</f>
        <v>5000</v>
      </c>
      <c r="K21" s="4">
        <v>28950</v>
      </c>
      <c r="L21" s="4">
        <v>489</v>
      </c>
      <c r="M21" s="4">
        <f>J21+K21+L21</f>
        <v>34439</v>
      </c>
      <c r="N21" s="6">
        <f>IF((J21+K21)&gt;0,L21/(J21+K21),"")</f>
        <v>0.014403534609720176</v>
      </c>
    </row>
    <row r="22" ht="6" customHeight="1"/>
    <row r="23">
      <c r="A23" s="13" t="s">
        <v>32</v>
      </c>
      <c r="B23" s="14">
        <v>678.569</v>
      </c>
      <c r="C23" s="15">
        <v>47.894908255461125</v>
      </c>
      <c r="D23" s="16">
        <f>L17</f>
        <v>689</v>
      </c>
      <c r="E23" s="16">
        <f>B23*C23</f>
        <v>32500</v>
      </c>
      <c r="F23" s="14">
        <v>1250</v>
      </c>
      <c r="G23" s="16">
        <f>D23+E23+F23</f>
        <v>34439</v>
      </c>
      <c r="H23" s="14">
        <v>3450</v>
      </c>
      <c r="I23" s="14">
        <v>1550</v>
      </c>
      <c r="J23" s="16">
        <f>H23+I23</f>
        <v>5000</v>
      </c>
      <c r="K23" s="14">
        <v>28950</v>
      </c>
      <c r="L23" s="16">
        <f>G23-J23-K23</f>
        <v>489</v>
      </c>
      <c r="M23" s="16">
        <f>J23+K23+L23</f>
        <v>34439</v>
      </c>
      <c r="N23" s="17">
        <f>IF((J23+K23)&gt;0,L23/(J23+K23),"")</f>
        <v>0.014403534609720176</v>
      </c>
    </row>
    <row r="25">
      <c r="A25" s="18" t="s">
        <v>42</v>
      </c>
    </row>
    <row r="26">
      <c r="A26" s="18" t="s">
        <v>34</v>
      </c>
    </row>
    <row r="27">
      <c r="A27" s="18" t="s">
        <v>35</v>
      </c>
    </row>
    <row r="28">
      <c r="A28" s="18" t="s">
        <v>36</v>
      </c>
    </row>
    <row r="29">
      <c r="A29" s="18" t="s">
        <v>37</v>
      </c>
    </row>
    <row r="30">
      <c r="A30" s="18" t="s">
        <v>38</v>
      </c>
    </row>
    <row r="31">
      <c r="A31" s="18" t="s">
        <v>39</v>
      </c>
    </row>
    <row r="32">
      <c r="A32" s="18" t="s">
        <v>43</v>
      </c>
    </row>
  </sheetData>
  <pageMargins left="0.5" right="0.5" top="0.75" bottom="0.75" header="0.3" footer="0.3"/>
  <pageSetup orientation="landscape" fitToHeight="0"/>
</worksheet>
</file>

<file path=xl/worksheets/sheet3.xml><?xml version="1.0" encoding="utf-8"?>
<worksheet xmlns="http://schemas.openxmlformats.org/spreadsheetml/2006/main" xmlns:r="http://schemas.openxmlformats.org/officeDocument/2006/relationships">
  <dimension ref="A1:N32"/>
  <sheetViews>
    <sheetView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778.052</v>
      </c>
      <c r="C2" s="5">
        <f>IF(N(B2)&gt;0,E2/B2,"")</f>
        <v>10.956851213029463</v>
      </c>
      <c r="D2" s="4">
        <v>284</v>
      </c>
      <c r="E2" s="4">
        <v>8525</v>
      </c>
      <c r="F2" s="4">
        <v>795</v>
      </c>
      <c r="G2" s="4">
        <f>D2+E2+F2</f>
        <v>9604</v>
      </c>
      <c r="H2" s="4">
        <v>820</v>
      </c>
      <c r="I2" s="4">
        <v>300</v>
      </c>
      <c r="J2" s="4">
        <f>H2+I2</f>
        <v>1120</v>
      </c>
      <c r="K2" s="4">
        <v>8385</v>
      </c>
      <c r="L2" s="4">
        <v>99</v>
      </c>
      <c r="M2" s="4">
        <f>J2+K2+L2</f>
        <v>9604</v>
      </c>
      <c r="N2" s="6">
        <f>IF((J2+K2)&gt;0,L2/(J2+K2),"")</f>
        <v>0.010415570752235665</v>
      </c>
    </row>
    <row r="3">
      <c r="A3" s="7" t="s">
        <v>15</v>
      </c>
      <c r="B3" s="8">
        <v>723.921</v>
      </c>
      <c r="C3" s="9">
        <f>IF(N(B3)&gt;0,E3/B3,"")</f>
        <v>10.574358251798193</v>
      </c>
      <c r="D3" s="8">
        <v>99</v>
      </c>
      <c r="E3" s="8">
        <v>7655</v>
      </c>
      <c r="F3" s="8">
        <v>1115</v>
      </c>
      <c r="G3" s="8">
        <f>D3+E3+F3</f>
        <v>8869</v>
      </c>
      <c r="H3" s="8">
        <v>960</v>
      </c>
      <c r="I3" s="8">
        <v>300</v>
      </c>
      <c r="J3" s="8">
        <f>H3+I3</f>
        <v>1260</v>
      </c>
      <c r="K3" s="8">
        <v>7360</v>
      </c>
      <c r="L3" s="8">
        <v>249</v>
      </c>
      <c r="M3" s="8">
        <f>J3+K3+L3</f>
        <v>8869</v>
      </c>
      <c r="N3" s="10">
        <f>IF((J3+K3)&gt;0,L3/(J3+K3),"")</f>
        <v>0.02888631090487239</v>
      </c>
    </row>
    <row r="4">
      <c r="A4" s="3" t="s">
        <v>16</v>
      </c>
      <c r="B4" s="4">
        <v>696.023</v>
      </c>
      <c r="C4" s="5">
        <f>IF(N(B4)&gt;0,E4/B4,"")</f>
        <v>14.262459717566804</v>
      </c>
      <c r="D4" s="4">
        <v>249</v>
      </c>
      <c r="E4" s="4">
        <v>9927</v>
      </c>
      <c r="F4" s="4">
        <v>650</v>
      </c>
      <c r="G4" s="4">
        <f>D4+E4+F4</f>
        <v>10826</v>
      </c>
      <c r="H4" s="4">
        <v>900</v>
      </c>
      <c r="I4" s="4">
        <v>300</v>
      </c>
      <c r="J4" s="4">
        <f>H4+I4</f>
        <v>1200</v>
      </c>
      <c r="K4" s="4">
        <v>8855</v>
      </c>
      <c r="L4" s="4">
        <v>771</v>
      </c>
      <c r="M4" s="4">
        <f>J4+K4+L4</f>
        <v>10826</v>
      </c>
      <c r="N4" s="6">
        <f>IF((J4+K4)&gt;0,L4/(J4+K4),"")</f>
        <v>0.07667826951765291</v>
      </c>
    </row>
    <row r="5">
      <c r="A5" s="7" t="s">
        <v>17</v>
      </c>
      <c r="B5" s="8">
        <v>771.725</v>
      </c>
      <c r="C5" s="9">
        <f>IF(N(B5)&gt;0,E5/B5,"")</f>
        <v>15.646765363309468</v>
      </c>
      <c r="D5" s="8">
        <v>771</v>
      </c>
      <c r="E5" s="8">
        <v>12075</v>
      </c>
      <c r="F5" s="8">
        <v>455</v>
      </c>
      <c r="G5" s="8">
        <f>D5+E5+F5</f>
        <v>13301</v>
      </c>
      <c r="H5" s="8">
        <v>1000</v>
      </c>
      <c r="I5" s="8">
        <v>300</v>
      </c>
      <c r="J5" s="8">
        <f>H5+I5</f>
        <v>1300</v>
      </c>
      <c r="K5" s="8">
        <v>11040</v>
      </c>
      <c r="L5" s="8">
        <v>961</v>
      </c>
      <c r="M5" s="8">
        <f>J5+K5+L5</f>
        <v>13301</v>
      </c>
      <c r="N5" s="10">
        <f>IF((J5+K5)&gt;0,L5/(J5+K5),"")</f>
        <v>0.07787682333873581</v>
      </c>
    </row>
    <row r="6">
      <c r="A6" s="3" t="s">
        <v>18</v>
      </c>
      <c r="B6" s="4">
        <v>795.563</v>
      </c>
      <c r="C6" s="5">
        <f>IF(N(B6)&gt;0,E6/B6,"")</f>
        <v>16.717720658200545</v>
      </c>
      <c r="D6" s="4">
        <v>961</v>
      </c>
      <c r="E6" s="4">
        <v>13300</v>
      </c>
      <c r="F6" s="4">
        <v>230</v>
      </c>
      <c r="G6" s="4">
        <f>D6+E6+F6</f>
        <v>14491</v>
      </c>
      <c r="H6" s="4">
        <v>1100</v>
      </c>
      <c r="I6" s="4">
        <v>300</v>
      </c>
      <c r="J6" s="4">
        <f>H6+I6</f>
        <v>1400</v>
      </c>
      <c r="K6" s="4">
        <v>12420</v>
      </c>
      <c r="L6" s="4">
        <v>671</v>
      </c>
      <c r="M6" s="4">
        <f>J6+K6+L6</f>
        <v>14491</v>
      </c>
      <c r="N6" s="6">
        <f>IF((J6+K6)&gt;0,L6/(J6+K6),"")</f>
        <v>0.048552821997105644</v>
      </c>
    </row>
    <row r="7">
      <c r="A7" s="7" t="s">
        <v>19</v>
      </c>
      <c r="B7" s="8">
        <v>801.118</v>
      </c>
      <c r="C7" s="9">
        <f>IF(N(B7)&gt;0,E7/B7,"")</f>
        <v>17.47557787991282</v>
      </c>
      <c r="D7" s="8">
        <v>671</v>
      </c>
      <c r="E7" s="8">
        <v>14000</v>
      </c>
      <c r="F7" s="8">
        <v>265</v>
      </c>
      <c r="G7" s="8">
        <f>D7+E7+F7</f>
        <v>14936</v>
      </c>
      <c r="H7" s="8">
        <v>1065</v>
      </c>
      <c r="I7" s="8">
        <v>350</v>
      </c>
      <c r="J7" s="8">
        <f>H7+I7</f>
        <v>1415</v>
      </c>
      <c r="K7" s="8">
        <v>12390</v>
      </c>
      <c r="L7" s="8">
        <v>1131</v>
      </c>
      <c r="M7" s="8">
        <f>J7+K7+L7</f>
        <v>14936</v>
      </c>
      <c r="N7" s="10">
        <f>IF((J7+K7)&gt;0,L7/(J7+K7),"")</f>
        <v>0.08192683810213691</v>
      </c>
    </row>
    <row r="8">
      <c r="A8" s="3" t="s">
        <v>20</v>
      </c>
      <c r="B8" s="4">
        <v>778.362</v>
      </c>
      <c r="C8" s="5">
        <f>IF(N(B8)&gt;0,E8/B8,"")</f>
        <v>18.757339130121974</v>
      </c>
      <c r="D8" s="4">
        <v>1131</v>
      </c>
      <c r="E8" s="4">
        <v>14600</v>
      </c>
      <c r="F8" s="4">
        <v>360</v>
      </c>
      <c r="G8" s="4">
        <f>D8+E8+F8</f>
        <v>16091</v>
      </c>
      <c r="H8" s="4">
        <v>1060</v>
      </c>
      <c r="I8" s="4">
        <v>390</v>
      </c>
      <c r="J8" s="4">
        <f>H8+I8</f>
        <v>1450</v>
      </c>
      <c r="K8" s="4">
        <v>13755</v>
      </c>
      <c r="L8" s="4">
        <v>886</v>
      </c>
      <c r="M8" s="4">
        <f>J8+K8+L8</f>
        <v>16091</v>
      </c>
      <c r="N8" s="6">
        <f>IF((J8+K8)&gt;0,L8/(J8+K8),"")</f>
        <v>0.0582703058204538</v>
      </c>
    </row>
    <row r="9">
      <c r="A9" s="7" t="s">
        <v>21</v>
      </c>
      <c r="B9" s="8">
        <v>903.95</v>
      </c>
      <c r="C9" s="9">
        <f>IF(N(B9)&gt;0,E9/B9,"")</f>
        <v>15.293987499308589</v>
      </c>
      <c r="D9" s="8">
        <v>886</v>
      </c>
      <c r="E9" s="8">
        <v>13825</v>
      </c>
      <c r="F9" s="8">
        <v>775</v>
      </c>
      <c r="G9" s="8">
        <f>D9+E9+F9</f>
        <v>15486</v>
      </c>
      <c r="H9" s="8">
        <v>1200</v>
      </c>
      <c r="I9" s="8">
        <v>450</v>
      </c>
      <c r="J9" s="8">
        <f>H9+I9</f>
        <v>1650</v>
      </c>
      <c r="K9" s="8">
        <v>12725</v>
      </c>
      <c r="L9" s="8">
        <v>1111</v>
      </c>
      <c r="M9" s="8">
        <f>J9+K9+L9</f>
        <v>15486</v>
      </c>
      <c r="N9" s="10">
        <f>IF((J9+K9)&gt;0,L9/(J9+K9),"")</f>
        <v>0.07728695652173913</v>
      </c>
    </row>
    <row r="10">
      <c r="A10" s="3" t="s">
        <v>22</v>
      </c>
      <c r="B10" s="4">
        <v>877.14</v>
      </c>
      <c r="C10" s="5">
        <f>IF(N(B10)&gt;0,E10/B10,"")</f>
        <v>15.81275509040746</v>
      </c>
      <c r="D10" s="4">
        <v>1111</v>
      </c>
      <c r="E10" s="4">
        <v>13870</v>
      </c>
      <c r="F10" s="4">
        <v>1111</v>
      </c>
      <c r="G10" s="4">
        <f>D10+E10+F10</f>
        <v>16092</v>
      </c>
      <c r="H10" s="4">
        <v>1475</v>
      </c>
      <c r="I10" s="4">
        <v>450</v>
      </c>
      <c r="J10" s="4">
        <f>H10+I10</f>
        <v>1925</v>
      </c>
      <c r="K10" s="4">
        <v>13615</v>
      </c>
      <c r="L10" s="4">
        <v>552</v>
      </c>
      <c r="M10" s="4">
        <f>J10+K10+L10</f>
        <v>16092</v>
      </c>
      <c r="N10" s="6">
        <f>IF((J10+K10)&gt;0,L10/(J10+K10),"")</f>
        <v>0.03552123552123552</v>
      </c>
    </row>
    <row r="11">
      <c r="A11" s="7" t="s">
        <v>23</v>
      </c>
      <c r="B11" s="8">
        <v>853.698</v>
      </c>
      <c r="C11" s="9">
        <f>IF(N(B11)&gt;0,E11/B11,"")</f>
        <v>16.516379328521328</v>
      </c>
      <c r="D11" s="8">
        <v>552</v>
      </c>
      <c r="E11" s="8">
        <v>14100</v>
      </c>
      <c r="F11" s="8">
        <v>980</v>
      </c>
      <c r="G11" s="8">
        <f>D11+E11+F11</f>
        <v>15632</v>
      </c>
      <c r="H11" s="8">
        <v>1275</v>
      </c>
      <c r="I11" s="8">
        <v>500</v>
      </c>
      <c r="J11" s="8">
        <f>H11+I11</f>
        <v>1775</v>
      </c>
      <c r="K11" s="8">
        <v>13005</v>
      </c>
      <c r="L11" s="8">
        <v>852</v>
      </c>
      <c r="M11" s="8">
        <f>J11+K11+L11</f>
        <v>15632</v>
      </c>
      <c r="N11" s="10">
        <f>IF((J11+K11)&gt;0,L11/(J11+K11),"")</f>
        <v>0.05764546684709066</v>
      </c>
    </row>
    <row r="12">
      <c r="A12" s="3" t="s">
        <v>24</v>
      </c>
      <c r="B12" s="4">
        <v>844.744</v>
      </c>
      <c r="C12" s="5">
        <f>IF(N(B12)&gt;0,E12/B12,"")</f>
        <v>15.862793935204037</v>
      </c>
      <c r="D12" s="4">
        <v>852</v>
      </c>
      <c r="E12" s="4">
        <v>13400</v>
      </c>
      <c r="F12" s="4">
        <v>1818</v>
      </c>
      <c r="G12" s="4">
        <f>D12+E12+F12</f>
        <v>16070</v>
      </c>
      <c r="H12" s="4">
        <v>1480</v>
      </c>
      <c r="I12" s="4">
        <v>600</v>
      </c>
      <c r="J12" s="4">
        <f>H12+I12</f>
        <v>2080</v>
      </c>
      <c r="K12" s="4">
        <v>12755</v>
      </c>
      <c r="L12" s="4">
        <v>1235</v>
      </c>
      <c r="M12" s="4">
        <f>J12+K12+L12</f>
        <v>16070</v>
      </c>
      <c r="N12" s="6">
        <f>IF((J12+K12)&gt;0,L12/(J12+K12),"")</f>
        <v>0.08324907313784968</v>
      </c>
    </row>
    <row r="13">
      <c r="A13" s="7" t="s">
        <v>25</v>
      </c>
      <c r="B13" s="8">
        <v>840.112</v>
      </c>
      <c r="C13" s="9">
        <f>IF(N(B13)&gt;0,E13/B13,"")</f>
        <v>14.045746281448189</v>
      </c>
      <c r="D13" s="8">
        <v>1235</v>
      </c>
      <c r="E13" s="8">
        <v>11800</v>
      </c>
      <c r="F13" s="8">
        <v>2235</v>
      </c>
      <c r="G13" s="8">
        <f>D13+E13+F13</f>
        <v>15270</v>
      </c>
      <c r="H13" s="8">
        <v>1545</v>
      </c>
      <c r="I13" s="8">
        <v>600</v>
      </c>
      <c r="J13" s="8">
        <f>H13+I13</f>
        <v>2145</v>
      </c>
      <c r="K13" s="8">
        <v>12365</v>
      </c>
      <c r="L13" s="8">
        <v>760</v>
      </c>
      <c r="M13" s="8">
        <f>J13+K13+L13</f>
        <v>15270</v>
      </c>
      <c r="N13" s="10">
        <f>IF((J13+K13)&gt;0,L13/(J13+K13),"")</f>
        <v>0.052377670572019294</v>
      </c>
    </row>
    <row r="14">
      <c r="A14" s="3" t="s">
        <v>26</v>
      </c>
      <c r="B14" s="4">
        <v>842.399</v>
      </c>
      <c r="C14" s="5">
        <f>IF(N(B14)&gt;0,E14/B14,"")</f>
        <v>12.701819446604281</v>
      </c>
      <c r="D14" s="4">
        <v>760</v>
      </c>
      <c r="E14" s="4">
        <v>10700</v>
      </c>
      <c r="F14" s="4">
        <v>2185</v>
      </c>
      <c r="G14" s="4">
        <f>D14+E14+F14</f>
        <v>13645</v>
      </c>
      <c r="H14" s="4">
        <v>1550</v>
      </c>
      <c r="I14" s="4">
        <v>600</v>
      </c>
      <c r="J14" s="4">
        <f>H14+I14</f>
        <v>2150</v>
      </c>
      <c r="K14" s="4">
        <v>10610</v>
      </c>
      <c r="L14" s="4">
        <v>885</v>
      </c>
      <c r="M14" s="4">
        <f>J14+K14+L14</f>
        <v>13645</v>
      </c>
      <c r="N14" s="6">
        <f>IF((J14+K14)&gt;0,L14/(J14+K14),"")</f>
        <v>0.06935736677115988</v>
      </c>
    </row>
    <row r="15">
      <c r="A15" s="7" t="s">
        <v>27</v>
      </c>
      <c r="B15" s="8">
        <v>841.354</v>
      </c>
      <c r="C15" s="9">
        <f>IF(N(B15)&gt;0,E15/B15,"")</f>
        <v>15.16602999450885</v>
      </c>
      <c r="D15" s="8">
        <v>885</v>
      </c>
      <c r="E15" s="8">
        <v>12760</v>
      </c>
      <c r="F15" s="8">
        <v>1018</v>
      </c>
      <c r="G15" s="8">
        <f>D15+E15+F15</f>
        <v>14663</v>
      </c>
      <c r="H15" s="8">
        <v>1620</v>
      </c>
      <c r="I15" s="8">
        <v>605</v>
      </c>
      <c r="J15" s="8">
        <f>H15+I15</f>
        <v>2225</v>
      </c>
      <c r="K15" s="8">
        <v>11770</v>
      </c>
      <c r="L15" s="8">
        <v>668</v>
      </c>
      <c r="M15" s="8">
        <f>J15+K15+L15</f>
        <v>14663</v>
      </c>
      <c r="N15" s="10">
        <f>IF((J15+K15)&gt;0,L15/(J15+K15),"")</f>
        <v>0.04773133261879243</v>
      </c>
    </row>
    <row r="16">
      <c r="A16" s="3" t="s">
        <v>28</v>
      </c>
      <c r="B16" s="4">
        <v>837.685</v>
      </c>
      <c r="C16" s="5">
        <f>IF(N(B16)&gt;0,E16/B16,"")</f>
        <v>17.667739066594248</v>
      </c>
      <c r="D16" s="4">
        <v>668</v>
      </c>
      <c r="E16" s="4">
        <v>14800</v>
      </c>
      <c r="F16" s="4">
        <v>980</v>
      </c>
      <c r="G16" s="4">
        <f>D16+E16+F16</f>
        <v>16448</v>
      </c>
      <c r="H16" s="4">
        <v>1600</v>
      </c>
      <c r="I16" s="4">
        <v>549</v>
      </c>
      <c r="J16" s="4">
        <f>H16+I16</f>
        <v>2149</v>
      </c>
      <c r="K16" s="4">
        <v>13377</v>
      </c>
      <c r="L16" s="4">
        <v>922</v>
      </c>
      <c r="M16" s="4">
        <f>J16+K16+L16</f>
        <v>16448</v>
      </c>
      <c r="N16" s="6">
        <f>IF((J16+K16)&gt;0,L16/(J16+K16),"")</f>
        <v>0.05938425866288806</v>
      </c>
    </row>
    <row r="17">
      <c r="A17" s="7" t="s">
        <v>29</v>
      </c>
      <c r="B17" s="11">
        <v>837.685</v>
      </c>
      <c r="C17" s="9">
        <f>IF(N(B17)&gt;0,E17/B17,"")</f>
        <v>14.922076914353248</v>
      </c>
      <c r="D17" s="8">
        <v>922</v>
      </c>
      <c r="E17" s="8">
        <v>12500</v>
      </c>
      <c r="F17" s="8">
        <v>2454</v>
      </c>
      <c r="G17" s="8">
        <f>D17+E17+F17</f>
        <v>15876</v>
      </c>
      <c r="H17" s="8">
        <v>1600</v>
      </c>
      <c r="I17" s="8">
        <v>600</v>
      </c>
      <c r="J17" s="8">
        <f>H17+I17</f>
        <v>2200</v>
      </c>
      <c r="K17" s="8">
        <v>12810</v>
      </c>
      <c r="L17" s="8">
        <v>866</v>
      </c>
      <c r="M17" s="8">
        <f>J17+K17+L17</f>
        <v>15876</v>
      </c>
      <c r="N17" s="10">
        <f>IF((J17+K17)&gt;0,L17/(J17+K17),"")</f>
        <v>0.05769487008660893</v>
      </c>
    </row>
    <row r="18" ht="6" customHeight="1"/>
    <row r="19">
      <c r="A19" s="3" t="s">
        <v>30</v>
      </c>
      <c r="B19" s="12">
        <v>837.685</v>
      </c>
      <c r="C19" s="5">
        <f>IF(N(B19)&gt;0,E19/B19,"")</f>
        <v>15.996466452186683</v>
      </c>
      <c r="D19" s="4">
        <v>866</v>
      </c>
      <c r="E19" s="4">
        <v>13400</v>
      </c>
      <c r="F19" s="4">
        <v>2004</v>
      </c>
      <c r="G19" s="4">
        <f>D19+E19+F19</f>
        <v>16270</v>
      </c>
      <c r="H19" s="4">
        <v>1600</v>
      </c>
      <c r="I19" s="4">
        <v>600</v>
      </c>
      <c r="J19" s="4">
        <f>H19+I19</f>
        <v>2200</v>
      </c>
      <c r="K19" s="4">
        <v>13400</v>
      </c>
      <c r="L19" s="4">
        <v>670</v>
      </c>
      <c r="M19" s="4">
        <f>J19+K19+L19</f>
        <v>16270</v>
      </c>
      <c r="N19" s="6">
        <f>IF((J19+K19)&gt;0,L19/(J19+K19),"")</f>
        <v>0.04294871794871795</v>
      </c>
    </row>
    <row r="20" ht="6" customHeight="1"/>
    <row r="21">
      <c r="A21" s="3" t="s">
        <v>41</v>
      </c>
      <c r="B21" s="4">
        <v>640</v>
      </c>
      <c r="C21" s="5">
        <f>IF(N(B21)&gt;0,E21/B21,"")</f>
        <v>20.9375</v>
      </c>
      <c r="D21" s="4">
        <v>866</v>
      </c>
      <c r="E21" s="4">
        <v>13400</v>
      </c>
      <c r="F21" s="4">
        <v>2004</v>
      </c>
      <c r="G21" s="4">
        <f>D21+E21+F21</f>
        <v>16270</v>
      </c>
      <c r="H21" s="4">
        <v>1600</v>
      </c>
      <c r="I21" s="4">
        <v>600</v>
      </c>
      <c r="J21" s="4">
        <f>H21+I21</f>
        <v>2200</v>
      </c>
      <c r="K21" s="4">
        <v>13400</v>
      </c>
      <c r="L21" s="4">
        <v>670</v>
      </c>
      <c r="M21" s="4">
        <f>J21+K21+L21</f>
        <v>16270</v>
      </c>
      <c r="N21" s="6">
        <f>IF((J21+K21)&gt;0,L21/(J21+K21),"")</f>
        <v>0.04294871794871795</v>
      </c>
    </row>
    <row r="22" ht="6" customHeight="1"/>
    <row r="23">
      <c r="A23" s="13" t="s">
        <v>32</v>
      </c>
      <c r="B23" s="14">
        <v>837.685</v>
      </c>
      <c r="C23" s="15">
        <v>15.996466452186683</v>
      </c>
      <c r="D23" s="16">
        <f>L17</f>
        <v>866</v>
      </c>
      <c r="E23" s="16">
        <f>B23*C23</f>
        <v>13400</v>
      </c>
      <c r="F23" s="14">
        <v>2004</v>
      </c>
      <c r="G23" s="16">
        <f>D23+E23+F23</f>
        <v>16270</v>
      </c>
      <c r="H23" s="14">
        <v>1600</v>
      </c>
      <c r="I23" s="14">
        <v>600</v>
      </c>
      <c r="J23" s="16">
        <f>H23+I23</f>
        <v>2200</v>
      </c>
      <c r="K23" s="14">
        <v>13400</v>
      </c>
      <c r="L23" s="16">
        <f>G23-J23-K23</f>
        <v>670</v>
      </c>
      <c r="M23" s="16">
        <f>J23+K23+L23</f>
        <v>16270</v>
      </c>
      <c r="N23" s="17">
        <f>IF((J23+K23)&gt;0,L23/(J23+K23),"")</f>
        <v>0.04294871794871795</v>
      </c>
    </row>
    <row r="25">
      <c r="A25" s="18" t="s">
        <v>44</v>
      </c>
    </row>
    <row r="26">
      <c r="A26" s="18" t="s">
        <v>34</v>
      </c>
    </row>
    <row r="27">
      <c r="A27" s="18" t="s">
        <v>35</v>
      </c>
    </row>
    <row r="28">
      <c r="A28" s="18" t="s">
        <v>36</v>
      </c>
    </row>
    <row r="29">
      <c r="A29" s="18" t="s">
        <v>37</v>
      </c>
    </row>
    <row r="30">
      <c r="A30" s="18" t="s">
        <v>38</v>
      </c>
    </row>
    <row r="31">
      <c r="A31" s="18" t="s">
        <v>39</v>
      </c>
    </row>
    <row r="32">
      <c r="A32" s="18" t="s">
        <v>45</v>
      </c>
    </row>
  </sheetData>
  <pageMargins left="0.5" right="0.5" top="0.75" bottom="0.75" header="0.3" footer="0.3"/>
  <pageSetup orientation="landscape" fitToHeight="0"/>
</worksheet>
</file>

<file path=xl/worksheets/sheet4.xml><?xml version="1.0" encoding="utf-8"?>
<worksheet xmlns="http://schemas.openxmlformats.org/spreadsheetml/2006/main" xmlns:r="http://schemas.openxmlformats.org/officeDocument/2006/relationships">
  <dimension ref="A1:N33"/>
  <sheetViews>
    <sheetView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498.618</v>
      </c>
      <c r="C2" s="5">
        <f>IF(N(B2)&gt;0,E2/B2,"")</f>
        <v>12.28395284566542</v>
      </c>
      <c r="D2" s="4">
        <v>70</v>
      </c>
      <c r="E2" s="4">
        <v>6125</v>
      </c>
      <c r="F2" s="4">
        <v>0</v>
      </c>
      <c r="G2" s="4">
        <f>D2+E2+F2</f>
        <v>6195</v>
      </c>
      <c r="H2" s="4">
        <v>2860</v>
      </c>
      <c r="I2" s="4">
        <v>0</v>
      </c>
      <c r="J2" s="4">
        <f>H2+I2</f>
        <v>2860</v>
      </c>
      <c r="K2" s="4">
        <v>3235</v>
      </c>
      <c r="L2" s="4">
        <v>100</v>
      </c>
      <c r="M2" s="4">
        <f>J2+K2+L2</f>
        <v>6195</v>
      </c>
      <c r="N2" s="6">
        <f>IF((J2+K2)&gt;0,L2/(J2+K2),"")</f>
        <v>0.016406890894175553</v>
      </c>
    </row>
    <row r="3">
      <c r="A3" s="7" t="s">
        <v>15</v>
      </c>
      <c r="B3" s="8">
        <v>580.44</v>
      </c>
      <c r="C3" s="9">
        <f>IF(N(B3)&gt;0,E3/B3,"")</f>
        <v>10.888291640824201</v>
      </c>
      <c r="D3" s="8">
        <v>100</v>
      </c>
      <c r="E3" s="8">
        <v>6320</v>
      </c>
      <c r="F3" s="8">
        <v>0</v>
      </c>
      <c r="G3" s="8">
        <f>D3+E3+F3</f>
        <v>6420</v>
      </c>
      <c r="H3" s="8">
        <v>3050</v>
      </c>
      <c r="I3" s="8">
        <v>0</v>
      </c>
      <c r="J3" s="8">
        <f>H3+I3</f>
        <v>3050</v>
      </c>
      <c r="K3" s="8">
        <v>3140</v>
      </c>
      <c r="L3" s="8">
        <v>230</v>
      </c>
      <c r="M3" s="8">
        <f>J3+K3+L3</f>
        <v>6420</v>
      </c>
      <c r="N3" s="10">
        <f>IF((J3+K3)&gt;0,L3/(J3+K3),"")</f>
        <v>0.03715670436187399</v>
      </c>
    </row>
    <row r="4">
      <c r="A4" s="3" t="s">
        <v>16</v>
      </c>
      <c r="B4" s="4">
        <v>600.53</v>
      </c>
      <c r="C4" s="5">
        <f>IF(N(B4)&gt;0,E4/B4,"")</f>
        <v>10.823772334437914</v>
      </c>
      <c r="D4" s="4">
        <v>230</v>
      </c>
      <c r="E4" s="4">
        <v>6500</v>
      </c>
      <c r="F4" s="4">
        <v>0</v>
      </c>
      <c r="G4" s="4">
        <f>D4+E4+F4</f>
        <v>6730</v>
      </c>
      <c r="H4" s="4">
        <v>3130</v>
      </c>
      <c r="I4" s="4">
        <v>0</v>
      </c>
      <c r="J4" s="4">
        <f>H4+I4</f>
        <v>3130</v>
      </c>
      <c r="K4" s="4">
        <v>3500</v>
      </c>
      <c r="L4" s="4">
        <v>100</v>
      </c>
      <c r="M4" s="4">
        <f>J4+K4+L4</f>
        <v>6730</v>
      </c>
      <c r="N4" s="6">
        <f>IF((J4+K4)&gt;0,L4/(J4+K4),"")</f>
        <v>0.015082956259426848</v>
      </c>
    </row>
    <row r="5">
      <c r="A5" s="7" t="s">
        <v>17</v>
      </c>
      <c r="B5" s="8">
        <v>538.466</v>
      </c>
      <c r="C5" s="9">
        <f>IF(N(B5)&gt;0,E5/B5,"")</f>
        <v>11.783473794074277</v>
      </c>
      <c r="D5" s="8">
        <v>100</v>
      </c>
      <c r="E5" s="8">
        <v>6345</v>
      </c>
      <c r="F5" s="8">
        <v>0</v>
      </c>
      <c r="G5" s="8">
        <f>D5+E5+F5</f>
        <v>6445</v>
      </c>
      <c r="H5" s="8">
        <v>3120</v>
      </c>
      <c r="I5" s="8">
        <v>0</v>
      </c>
      <c r="J5" s="8">
        <f>H5+I5</f>
        <v>3120</v>
      </c>
      <c r="K5" s="8">
        <v>3285</v>
      </c>
      <c r="L5" s="8">
        <v>40</v>
      </c>
      <c r="M5" s="8">
        <f>J5+K5+L5</f>
        <v>6445</v>
      </c>
      <c r="N5" s="10">
        <f>IF((J5+K5)&gt;0,L5/(J5+K5),"")</f>
        <v>0.00624512099921936</v>
      </c>
    </row>
    <row r="6">
      <c r="A6" s="3" t="s">
        <v>18</v>
      </c>
      <c r="B6" s="4">
        <v>626.82</v>
      </c>
      <c r="C6" s="5">
        <f>IF(N(B6)&gt;0,E6/B6,"")</f>
        <v>10.329919275070992</v>
      </c>
      <c r="D6" s="4">
        <v>40</v>
      </c>
      <c r="E6" s="4">
        <v>6475</v>
      </c>
      <c r="F6" s="4">
        <v>0</v>
      </c>
      <c r="G6" s="4">
        <f>D6+E6+F6</f>
        <v>6515</v>
      </c>
      <c r="H6" s="4">
        <v>2985</v>
      </c>
      <c r="I6" s="4">
        <v>0</v>
      </c>
      <c r="J6" s="4">
        <f>H6+I6</f>
        <v>2985</v>
      </c>
      <c r="K6" s="4">
        <v>3500</v>
      </c>
      <c r="L6" s="4">
        <v>30</v>
      </c>
      <c r="M6" s="4">
        <f>J6+K6+L6</f>
        <v>6515</v>
      </c>
      <c r="N6" s="6">
        <f>IF((J6+K6)&gt;0,L6/(J6+K6),"")</f>
        <v>0.004626060138781804</v>
      </c>
    </row>
    <row r="7">
      <c r="A7" s="7" t="s">
        <v>19</v>
      </c>
      <c r="B7" s="8">
        <v>653.94</v>
      </c>
      <c r="C7" s="9">
        <f>IF(N(B7)&gt;0,E7/B7,"")</f>
        <v>9.955041746949261</v>
      </c>
      <c r="D7" s="8">
        <v>30</v>
      </c>
      <c r="E7" s="8">
        <v>6510</v>
      </c>
      <c r="F7" s="8">
        <v>0</v>
      </c>
      <c r="G7" s="8">
        <f>D7+E7+F7</f>
        <v>6540</v>
      </c>
      <c r="H7" s="8">
        <v>3110</v>
      </c>
      <c r="I7" s="8">
        <v>0</v>
      </c>
      <c r="J7" s="8">
        <f>H7+I7</f>
        <v>3110</v>
      </c>
      <c r="K7" s="8">
        <v>3405</v>
      </c>
      <c r="L7" s="8">
        <v>25</v>
      </c>
      <c r="M7" s="8">
        <f>J7+K7+L7</f>
        <v>6540</v>
      </c>
      <c r="N7" s="10">
        <f>IF((J7+K7)&gt;0,L7/(J7+K7),"")</f>
        <v>0.003837298541826554</v>
      </c>
    </row>
    <row r="8">
      <c r="A8" s="3" t="s">
        <v>20</v>
      </c>
      <c r="B8" s="4">
        <v>761.209</v>
      </c>
      <c r="C8" s="5">
        <f>IF(N(B8)&gt;0,E8/B8,"")</f>
        <v>9.121016698436303</v>
      </c>
      <c r="D8" s="4">
        <v>25</v>
      </c>
      <c r="E8" s="4">
        <v>6943</v>
      </c>
      <c r="F8" s="4">
        <v>0</v>
      </c>
      <c r="G8" s="4">
        <f>D8+E8+F8</f>
        <v>6968</v>
      </c>
      <c r="H8" s="4">
        <v>3100</v>
      </c>
      <c r="I8" s="4">
        <v>0</v>
      </c>
      <c r="J8" s="4">
        <f>H8+I8</f>
        <v>3100</v>
      </c>
      <c r="K8" s="4">
        <v>3853</v>
      </c>
      <c r="L8" s="4">
        <v>15</v>
      </c>
      <c r="M8" s="4">
        <f>J8+K8+L8</f>
        <v>6968</v>
      </c>
      <c r="N8" s="6">
        <f>IF((J8+K8)&gt;0,L8/(J8+K8),"")</f>
        <v>0.002157342154465698</v>
      </c>
    </row>
    <row r="9">
      <c r="A9" s="7" t="s">
        <v>21</v>
      </c>
      <c r="B9" s="8">
        <v>808.022</v>
      </c>
      <c r="C9" s="9">
        <f>IF(N(B9)&gt;0,E9/B9,"")</f>
        <v>8.731197912928113</v>
      </c>
      <c r="D9" s="8">
        <v>15</v>
      </c>
      <c r="E9" s="8">
        <v>7055</v>
      </c>
      <c r="F9" s="8">
        <v>0</v>
      </c>
      <c r="G9" s="8">
        <f>D9+E9+F9</f>
        <v>7070</v>
      </c>
      <c r="H9" s="8">
        <v>3150</v>
      </c>
      <c r="I9" s="8">
        <v>0</v>
      </c>
      <c r="J9" s="8">
        <f>H9+I9</f>
        <v>3150</v>
      </c>
      <c r="K9" s="8">
        <v>3893</v>
      </c>
      <c r="L9" s="8">
        <v>27</v>
      </c>
      <c r="M9" s="8">
        <f>J9+K9+L9</f>
        <v>7070</v>
      </c>
      <c r="N9" s="10">
        <f>IF((J9+K9)&gt;0,L9/(J9+K9),"")</f>
        <v>0.003833593639074258</v>
      </c>
    </row>
    <row r="10">
      <c r="A10" s="3" t="s">
        <v>22</v>
      </c>
      <c r="B10" s="4">
        <v>871.707</v>
      </c>
      <c r="C10" s="5">
        <f>IF(N(B10)&gt;0,E10/B10,"")</f>
        <v>8.431732221950725</v>
      </c>
      <c r="D10" s="4">
        <v>27</v>
      </c>
      <c r="E10" s="4">
        <v>7350</v>
      </c>
      <c r="F10" s="4">
        <v>0</v>
      </c>
      <c r="G10" s="4">
        <f>D10+E10+F10</f>
        <v>7377</v>
      </c>
      <c r="H10" s="4">
        <v>3193</v>
      </c>
      <c r="I10" s="4">
        <v>0</v>
      </c>
      <c r="J10" s="4">
        <f>H10+I10</f>
        <v>3193</v>
      </c>
      <c r="K10" s="4">
        <v>4174</v>
      </c>
      <c r="L10" s="4">
        <v>10</v>
      </c>
      <c r="M10" s="4">
        <f>J10+K10+L10</f>
        <v>7377</v>
      </c>
      <c r="N10" s="6">
        <f>IF((J10+K10)&gt;0,L10/(J10+K10),"")</f>
        <v>0.0013574046423238768</v>
      </c>
    </row>
    <row r="11">
      <c r="A11" s="7" t="s">
        <v>23</v>
      </c>
      <c r="B11" s="8">
        <v>871.38</v>
      </c>
      <c r="C11" s="9">
        <f>IF(N(B11)&gt;0,E11/B11,"")</f>
        <v>8.57834698983222</v>
      </c>
      <c r="D11" s="8">
        <v>10</v>
      </c>
      <c r="E11" s="8">
        <v>7475</v>
      </c>
      <c r="F11" s="8">
        <v>0</v>
      </c>
      <c r="G11" s="8">
        <f>D11+E11+F11</f>
        <v>7485</v>
      </c>
      <c r="H11" s="8">
        <v>3140</v>
      </c>
      <c r="I11" s="8">
        <v>0</v>
      </c>
      <c r="J11" s="8">
        <f>H11+I11</f>
        <v>3140</v>
      </c>
      <c r="K11" s="8">
        <v>4135</v>
      </c>
      <c r="L11" s="8">
        <v>210</v>
      </c>
      <c r="M11" s="8">
        <f>J11+K11+L11</f>
        <v>7485</v>
      </c>
      <c r="N11" s="10">
        <f>IF((J11+K11)&gt;0,L11/(J11+K11),"")</f>
        <v>0.0288659793814433</v>
      </c>
    </row>
    <row r="12">
      <c r="A12" s="3" t="s">
        <v>24</v>
      </c>
      <c r="B12" s="4">
        <v>856.592</v>
      </c>
      <c r="C12" s="5">
        <f>IF(N(B12)&gt;0,E12/B12,"")</f>
        <v>8.872368642247418</v>
      </c>
      <c r="D12" s="4">
        <v>210</v>
      </c>
      <c r="E12" s="4">
        <v>7600</v>
      </c>
      <c r="F12" s="4">
        <v>0</v>
      </c>
      <c r="G12" s="4">
        <f>D12+E12+F12</f>
        <v>7810</v>
      </c>
      <c r="H12" s="4">
        <v>3000</v>
      </c>
      <c r="I12" s="4">
        <v>0</v>
      </c>
      <c r="J12" s="4">
        <f>H12+I12</f>
        <v>3000</v>
      </c>
      <c r="K12" s="4">
        <v>4675</v>
      </c>
      <c r="L12" s="4">
        <v>135</v>
      </c>
      <c r="M12" s="4">
        <f>J12+K12+L12</f>
        <v>7810</v>
      </c>
      <c r="N12" s="6">
        <f>IF((J12+K12)&gt;0,L12/(J12+K12),"")</f>
        <v>0.01758957654723127</v>
      </c>
    </row>
    <row r="13">
      <c r="A13" s="7" t="s">
        <v>25</v>
      </c>
      <c r="B13" s="8">
        <v>912.17</v>
      </c>
      <c r="C13" s="9">
        <f>IF(N(B13)&gt;0,E13/B13,"")</f>
        <v>8.934738042250897</v>
      </c>
      <c r="D13" s="8">
        <v>135</v>
      </c>
      <c r="E13" s="8">
        <v>8150</v>
      </c>
      <c r="F13" s="8">
        <v>0</v>
      </c>
      <c r="G13" s="8">
        <f>D13+E13+F13</f>
        <v>8285</v>
      </c>
      <c r="H13" s="8">
        <v>3364</v>
      </c>
      <c r="I13" s="8">
        <v>0</v>
      </c>
      <c r="J13" s="8">
        <f>H13+I13</f>
        <v>3364</v>
      </c>
      <c r="K13" s="8">
        <v>4831</v>
      </c>
      <c r="L13" s="8">
        <v>90</v>
      </c>
      <c r="M13" s="8">
        <f>J13+K13+L13</f>
        <v>8285</v>
      </c>
      <c r="N13" s="10">
        <f>IF((J13+K13)&gt;0,L13/(J13+K13),"")</f>
        <v>0.010982306284319707</v>
      </c>
    </row>
    <row r="14">
      <c r="A14" s="3" t="s">
        <v>26</v>
      </c>
      <c r="B14" s="4">
        <v>794.404</v>
      </c>
      <c r="C14" s="5">
        <f>IF(N(B14)&gt;0,E14/B14,"")</f>
        <v>9.189279006651528</v>
      </c>
      <c r="D14" s="4">
        <v>90</v>
      </c>
      <c r="E14" s="4">
        <v>7300</v>
      </c>
      <c r="F14" s="4">
        <v>0</v>
      </c>
      <c r="G14" s="4">
        <f>D14+E14+F14</f>
        <v>7390</v>
      </c>
      <c r="H14" s="4">
        <v>3430</v>
      </c>
      <c r="I14" s="4">
        <v>0</v>
      </c>
      <c r="J14" s="4">
        <f>H14+I14</f>
        <v>3430</v>
      </c>
      <c r="K14" s="4">
        <v>3910</v>
      </c>
      <c r="L14" s="4">
        <v>50</v>
      </c>
      <c r="M14" s="4">
        <f>J14+K14+L14</f>
        <v>7390</v>
      </c>
      <c r="N14" s="6">
        <f>IF((J14+K14)&gt;0,L14/(J14+K14),"")</f>
        <v>0.006811989100817439</v>
      </c>
    </row>
    <row r="15">
      <c r="A15" s="7" t="s">
        <v>27</v>
      </c>
      <c r="B15" s="8">
        <v>843.635</v>
      </c>
      <c r="C15" s="9">
        <f>IF(N(B15)&gt;0,E15/B15,"")</f>
        <v>10.82221576866773</v>
      </c>
      <c r="D15" s="8">
        <v>50</v>
      </c>
      <c r="E15" s="8">
        <v>9130</v>
      </c>
      <c r="F15" s="8">
        <v>0</v>
      </c>
      <c r="G15" s="8">
        <f>D15+E15+F15</f>
        <v>9180</v>
      </c>
      <c r="H15" s="8">
        <v>3500</v>
      </c>
      <c r="I15" s="8">
        <v>0</v>
      </c>
      <c r="J15" s="8">
        <f>H15+I15</f>
        <v>3500</v>
      </c>
      <c r="K15" s="8">
        <v>5630</v>
      </c>
      <c r="L15" s="8">
        <v>50</v>
      </c>
      <c r="M15" s="8">
        <f>J15+K15+L15</f>
        <v>9180</v>
      </c>
      <c r="N15" s="10">
        <f>IF((J15+K15)&gt;0,L15/(J15+K15),"")</f>
        <v>0.00547645125958379</v>
      </c>
    </row>
    <row r="16">
      <c r="A16" s="3" t="s">
        <v>28</v>
      </c>
      <c r="B16" s="4">
        <v>862.943</v>
      </c>
      <c r="C16" s="5">
        <f>IF(N(B16)&gt;0,E16/B16,"")</f>
        <v>13.280135536182575</v>
      </c>
      <c r="D16" s="4">
        <v>50</v>
      </c>
      <c r="E16" s="4">
        <v>11460</v>
      </c>
      <c r="F16" s="4">
        <v>0</v>
      </c>
      <c r="G16" s="4">
        <f>D16+E16+F16</f>
        <v>11510</v>
      </c>
      <c r="H16" s="4">
        <v>4000</v>
      </c>
      <c r="I16" s="4">
        <v>0</v>
      </c>
      <c r="J16" s="4">
        <f>H16+I16</f>
        <v>4000</v>
      </c>
      <c r="K16" s="4">
        <v>7430</v>
      </c>
      <c r="L16" s="4">
        <v>80</v>
      </c>
      <c r="M16" s="4">
        <f>J16+K16+L16</f>
        <v>11510</v>
      </c>
      <c r="N16" s="6">
        <f>IF((J16+K16)&gt;0,L16/(J16+K16),"")</f>
        <v>0.00699912510936133</v>
      </c>
    </row>
    <row r="17">
      <c r="A17" s="7" t="s">
        <v>29</v>
      </c>
      <c r="B17" s="11">
        <v>862.943</v>
      </c>
      <c r="C17" s="9">
        <f>IF(N(B17)&gt;0,E17/B17,"")</f>
        <v>13.396018045224308</v>
      </c>
      <c r="D17" s="8">
        <v>80</v>
      </c>
      <c r="E17" s="8">
        <v>11560</v>
      </c>
      <c r="F17" s="8">
        <v>0</v>
      </c>
      <c r="G17" s="8">
        <f>D17+E17+F17</f>
        <v>11640</v>
      </c>
      <c r="H17" s="8">
        <v>4500</v>
      </c>
      <c r="I17" s="8">
        <v>0</v>
      </c>
      <c r="J17" s="8">
        <f>H17+I17</f>
        <v>4500</v>
      </c>
      <c r="K17" s="8">
        <v>6965</v>
      </c>
      <c r="L17" s="8">
        <v>175</v>
      </c>
      <c r="M17" s="8">
        <f>J17+K17+L17</f>
        <v>11640</v>
      </c>
      <c r="N17" s="10">
        <f>IF((J17+K17)&gt;0,L17/(J17+K17),"")</f>
        <v>0.015263846489315308</v>
      </c>
    </row>
    <row r="18" ht="6" customHeight="1"/>
    <row r="19">
      <c r="A19" s="3" t="s">
        <v>30</v>
      </c>
      <c r="B19" s="12">
        <v>862.943</v>
      </c>
      <c r="C19" s="5">
        <f>IF(N(B19)&gt;0,E19/B19,"")</f>
        <v>14.021783594049666</v>
      </c>
      <c r="D19" s="4">
        <v>175</v>
      </c>
      <c r="E19" s="4">
        <v>12100</v>
      </c>
      <c r="F19" s="4">
        <v>0</v>
      </c>
      <c r="G19" s="4">
        <f>D19+E19+F19</f>
        <v>12275</v>
      </c>
      <c r="H19" s="4">
        <v>5000</v>
      </c>
      <c r="I19" s="4">
        <v>0</v>
      </c>
      <c r="J19" s="4">
        <f>H19+I19</f>
        <v>5000</v>
      </c>
      <c r="K19" s="4">
        <v>7130</v>
      </c>
      <c r="L19" s="4">
        <v>145</v>
      </c>
      <c r="M19" s="4">
        <f>J19+K19+L19</f>
        <v>12275</v>
      </c>
      <c r="N19" s="6">
        <f>IF((J19+K19)&gt;0,L19/(J19+K19),"")</f>
        <v>0.011953833470733718</v>
      </c>
    </row>
    <row r="20" ht="6" customHeight="1"/>
    <row r="21">
      <c r="A21" s="3" t="s">
        <v>41</v>
      </c>
      <c r="B21" s="4">
        <v>800</v>
      </c>
      <c r="C21" s="5">
        <f>IF(N(B21)&gt;0,E21/B21,"")</f>
        <v>15.125</v>
      </c>
      <c r="D21" s="4">
        <v>175</v>
      </c>
      <c r="E21" s="4">
        <v>12100</v>
      </c>
      <c r="F21" s="4">
        <v>0</v>
      </c>
      <c r="G21" s="4">
        <f>D21+E21+F21</f>
        <v>12275</v>
      </c>
      <c r="H21" s="4">
        <v>5000</v>
      </c>
      <c r="I21" s="4">
        <v>0</v>
      </c>
      <c r="J21" s="4">
        <f>H21+I21</f>
        <v>5000</v>
      </c>
      <c r="K21" s="4">
        <v>7130</v>
      </c>
      <c r="L21" s="4">
        <v>145</v>
      </c>
      <c r="M21" s="4">
        <f>J21+K21+L21</f>
        <v>12275</v>
      </c>
      <c r="N21" s="6">
        <f>IF((J21+K21)&gt;0,L21/(J21+K21),"")</f>
        <v>0.011953833470733718</v>
      </c>
    </row>
    <row r="22" ht="6" customHeight="1"/>
    <row r="23">
      <c r="A23" s="13" t="s">
        <v>32</v>
      </c>
      <c r="B23" s="14">
        <v>862.943</v>
      </c>
      <c r="C23" s="15">
        <v>14.021783594049666</v>
      </c>
      <c r="D23" s="16">
        <f>L17</f>
        <v>175</v>
      </c>
      <c r="E23" s="16">
        <f>B23*C23</f>
        <v>12100</v>
      </c>
      <c r="F23" s="14">
        <v>0</v>
      </c>
      <c r="G23" s="16">
        <f>D23+E23+F23</f>
        <v>12275</v>
      </c>
      <c r="H23" s="14">
        <v>5000</v>
      </c>
      <c r="I23" s="14">
        <v>0</v>
      </c>
      <c r="J23" s="16">
        <f>H23+I23</f>
        <v>5000</v>
      </c>
      <c r="K23" s="14">
        <v>7130</v>
      </c>
      <c r="L23" s="16">
        <f>G23-J23-K23</f>
        <v>145</v>
      </c>
      <c r="M23" s="16">
        <f>J23+K23+L23</f>
        <v>12275</v>
      </c>
      <c r="N23" s="17">
        <f>IF((J23+K23)&gt;0,L23/(J23+K23),"")</f>
        <v>0.011953833470733718</v>
      </c>
    </row>
    <row r="25">
      <c r="A25" s="18" t="s">
        <v>46</v>
      </c>
    </row>
    <row r="26">
      <c r="A26" s="18" t="s">
        <v>34</v>
      </c>
    </row>
    <row r="27">
      <c r="A27" s="18" t="s">
        <v>35</v>
      </c>
    </row>
    <row r="28">
      <c r="A28" s="18" t="s">
        <v>36</v>
      </c>
    </row>
    <row r="29">
      <c r="A29" s="18" t="s">
        <v>37</v>
      </c>
    </row>
    <row r="30">
      <c r="A30" s="18" t="s">
        <v>38</v>
      </c>
    </row>
    <row r="31">
      <c r="A31" s="18" t="s">
        <v>47</v>
      </c>
    </row>
    <row r="32">
      <c r="A32" s="18" t="s">
        <v>39</v>
      </c>
    </row>
    <row r="33">
      <c r="A33" s="18" t="s">
        <v>48</v>
      </c>
    </row>
  </sheetData>
  <pageMargins left="0.5" right="0.5" top="0.75" bottom="0.75" header="0.3" footer="0.3"/>
  <pageSetup orientation="landscape" fitToHeight="0"/>
</worksheet>
</file>

<file path=xl/worksheets/sheet5.xml><?xml version="1.0" encoding="utf-8"?>
<worksheet xmlns="http://schemas.openxmlformats.org/spreadsheetml/2006/main" xmlns:r="http://schemas.openxmlformats.org/officeDocument/2006/relationships">
  <dimension ref="A1:N32"/>
  <sheetViews>
    <sheetView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1268.476</v>
      </c>
      <c r="C2" s="5">
        <f>IF(N(B2)&gt;0,E2/B2,"")</f>
        <v>7.351341294592881</v>
      </c>
      <c r="D2" s="4">
        <v>1603</v>
      </c>
      <c r="E2" s="4">
        <v>9325</v>
      </c>
      <c r="F2" s="4">
        <v>535</v>
      </c>
      <c r="G2" s="4">
        <f>D2+E2+F2</f>
        <v>11463</v>
      </c>
      <c r="H2" s="4">
        <v>1175</v>
      </c>
      <c r="I2" s="4">
        <v>475</v>
      </c>
      <c r="J2" s="4">
        <f>H2+I2</f>
        <v>1650</v>
      </c>
      <c r="K2" s="4">
        <v>9730</v>
      </c>
      <c r="L2" s="4">
        <v>83</v>
      </c>
      <c r="M2" s="4">
        <f>J2+K2+L2</f>
        <v>11463</v>
      </c>
      <c r="N2" s="6">
        <f>IF((J2+K2)&gt;0,L2/(J2+K2),"")</f>
        <v>0.007293497363796133</v>
      </c>
    </row>
    <row r="3">
      <c r="A3" s="7" t="s">
        <v>15</v>
      </c>
      <c r="B3" s="8">
        <v>1293</v>
      </c>
      <c r="C3" s="9">
        <f>IF(N(B3)&gt;0,E3/B3,"")</f>
        <v>6.163959783449343</v>
      </c>
      <c r="D3" s="8">
        <v>83</v>
      </c>
      <c r="E3" s="8">
        <v>7970</v>
      </c>
      <c r="F3" s="8">
        <v>1305</v>
      </c>
      <c r="G3" s="8">
        <f>D3+E3+F3</f>
        <v>9358</v>
      </c>
      <c r="H3" s="8">
        <v>1655</v>
      </c>
      <c r="I3" s="8">
        <v>470</v>
      </c>
      <c r="J3" s="8">
        <f>H3+I3</f>
        <v>2125</v>
      </c>
      <c r="K3" s="8">
        <v>7145</v>
      </c>
      <c r="L3" s="8">
        <v>88</v>
      </c>
      <c r="M3" s="8">
        <f>J3+K3+L3</f>
        <v>9358</v>
      </c>
      <c r="N3" s="10">
        <f>IF((J3+K3)&gt;0,L3/(J3+K3),"")</f>
        <v>0.009492988133764833</v>
      </c>
    </row>
    <row r="4">
      <c r="A4" s="3" t="s">
        <v>16</v>
      </c>
      <c r="B4" s="4">
        <v>1233.9</v>
      </c>
      <c r="C4" s="5">
        <f>IF(N(B4)&gt;0,E4/B4,"")</f>
        <v>9.644217521679227</v>
      </c>
      <c r="D4" s="4">
        <v>88</v>
      </c>
      <c r="E4" s="4">
        <v>11900</v>
      </c>
      <c r="F4" s="4">
        <v>1250</v>
      </c>
      <c r="G4" s="4">
        <f>D4+E4+F4</f>
        <v>13238</v>
      </c>
      <c r="H4" s="4">
        <v>2170</v>
      </c>
      <c r="I4" s="4">
        <v>645</v>
      </c>
      <c r="J4" s="4">
        <f>H4+I4</f>
        <v>2815</v>
      </c>
      <c r="K4" s="4">
        <v>10325</v>
      </c>
      <c r="L4" s="4">
        <v>98</v>
      </c>
      <c r="M4" s="4">
        <f>J4+K4+L4</f>
        <v>13238</v>
      </c>
      <c r="N4" s="6">
        <f>IF((J4+K4)&gt;0,L4/(J4+K4),"")</f>
        <v>0.007458143074581431</v>
      </c>
    </row>
    <row r="5">
      <c r="A5" s="7" t="s">
        <v>17</v>
      </c>
      <c r="B5" s="8">
        <v>1241.7</v>
      </c>
      <c r="C5" s="9">
        <f>IF(N(B5)&gt;0,E5/B5,"")</f>
        <v>9.583635338648627</v>
      </c>
      <c r="D5" s="8">
        <v>98</v>
      </c>
      <c r="E5" s="8">
        <v>11900</v>
      </c>
      <c r="F5" s="8">
        <v>970</v>
      </c>
      <c r="G5" s="8">
        <f>D5+E5+F5</f>
        <v>12968</v>
      </c>
      <c r="H5" s="8">
        <v>1930</v>
      </c>
      <c r="I5" s="8">
        <v>610</v>
      </c>
      <c r="J5" s="8">
        <f>H5+I5</f>
        <v>2540</v>
      </c>
      <c r="K5" s="8">
        <v>10380</v>
      </c>
      <c r="L5" s="8">
        <v>48</v>
      </c>
      <c r="M5" s="8">
        <f>J5+K5+L5</f>
        <v>12968</v>
      </c>
      <c r="N5" s="10">
        <f>IF((J5+K5)&gt;0,L5/(J5+K5),"")</f>
        <v>0.0037151702786377707</v>
      </c>
    </row>
    <row r="6">
      <c r="A6" s="3" t="s">
        <v>18</v>
      </c>
      <c r="B6" s="4">
        <v>1230.5</v>
      </c>
      <c r="C6" s="5">
        <f>IF(N(B6)&gt;0,E6/B6,"")</f>
        <v>8.508736286062577</v>
      </c>
      <c r="D6" s="4">
        <v>48</v>
      </c>
      <c r="E6" s="4">
        <v>10470</v>
      </c>
      <c r="F6" s="4">
        <v>1155</v>
      </c>
      <c r="G6" s="4">
        <f>D6+E6+F6</f>
        <v>11673</v>
      </c>
      <c r="H6" s="4">
        <v>2125</v>
      </c>
      <c r="I6" s="4">
        <v>775</v>
      </c>
      <c r="J6" s="4">
        <f>H6+I6</f>
        <v>2900</v>
      </c>
      <c r="K6" s="4">
        <v>8720</v>
      </c>
      <c r="L6" s="4">
        <v>53</v>
      </c>
      <c r="M6" s="4">
        <f>J6+K6+L6</f>
        <v>11673</v>
      </c>
      <c r="N6" s="6">
        <f>IF((J6+K6)&gt;0,L6/(J6+K6),"")</f>
        <v>0.004561101549053356</v>
      </c>
    </row>
    <row r="7">
      <c r="A7" s="7" t="s">
        <v>19</v>
      </c>
      <c r="B7" s="8">
        <v>1230.001</v>
      </c>
      <c r="C7" s="9">
        <f>IF(N(B7)&gt;0,E7/B7,"")</f>
        <v>9.837390376105386</v>
      </c>
      <c r="D7" s="8">
        <v>53</v>
      </c>
      <c r="E7" s="8">
        <v>12100</v>
      </c>
      <c r="F7" s="8">
        <v>964</v>
      </c>
      <c r="G7" s="8">
        <f>D7+E7+F7</f>
        <v>13117</v>
      </c>
      <c r="H7" s="8">
        <v>2375</v>
      </c>
      <c r="I7" s="8">
        <v>800</v>
      </c>
      <c r="J7" s="8">
        <f>H7+I7</f>
        <v>3175</v>
      </c>
      <c r="K7" s="8">
        <v>9896</v>
      </c>
      <c r="L7" s="8">
        <v>46</v>
      </c>
      <c r="M7" s="8">
        <f>J7+K7+L7</f>
        <v>13117</v>
      </c>
      <c r="N7" s="10">
        <f>IF((J7+K7)&gt;0,L7/(J7+K7),"")</f>
        <v>0.003519241068013159</v>
      </c>
    </row>
    <row r="8">
      <c r="A8" s="3" t="s">
        <v>20</v>
      </c>
      <c r="B8" s="4">
        <v>1228.512</v>
      </c>
      <c r="C8" s="5">
        <f>IF(N(B8)&gt;0,E8/B8,"")</f>
        <v>8.628324346852127</v>
      </c>
      <c r="D8" s="4">
        <v>46</v>
      </c>
      <c r="E8" s="4">
        <v>10600</v>
      </c>
      <c r="F8" s="4">
        <v>743</v>
      </c>
      <c r="G8" s="4">
        <f>D8+E8+F8</f>
        <v>11389</v>
      </c>
      <c r="H8" s="4">
        <v>2393</v>
      </c>
      <c r="I8" s="4">
        <v>810</v>
      </c>
      <c r="J8" s="4">
        <f>H8+I8</f>
        <v>3203</v>
      </c>
      <c r="K8" s="4">
        <v>8174</v>
      </c>
      <c r="L8" s="4">
        <v>12</v>
      </c>
      <c r="M8" s="4">
        <f>J8+K8+L8</f>
        <v>11389</v>
      </c>
      <c r="N8" s="6">
        <f>IF((J8+K8)&gt;0,L8/(J8+K8),"")</f>
        <v>0.0010547596027072163</v>
      </c>
    </row>
    <row r="9">
      <c r="A9" s="7" t="s">
        <v>21</v>
      </c>
      <c r="B9" s="8">
        <v>1238.598</v>
      </c>
      <c r="C9" s="9">
        <f>IF(N(B9)&gt;0,E9/B9,"")</f>
        <v>8.396590338431032</v>
      </c>
      <c r="D9" s="8">
        <v>12</v>
      </c>
      <c r="E9" s="8">
        <v>10400</v>
      </c>
      <c r="F9" s="8">
        <v>1751</v>
      </c>
      <c r="G9" s="8">
        <f>D9+E9+F9</f>
        <v>12163</v>
      </c>
      <c r="H9" s="8">
        <v>2650</v>
      </c>
      <c r="I9" s="8">
        <v>910</v>
      </c>
      <c r="J9" s="8">
        <f>H9+I9</f>
        <v>3560</v>
      </c>
      <c r="K9" s="8">
        <v>8010</v>
      </c>
      <c r="L9" s="8">
        <v>593</v>
      </c>
      <c r="M9" s="8">
        <f>J9+K9+L9</f>
        <v>12163</v>
      </c>
      <c r="N9" s="10">
        <f>IF((J9+K9)&gt;0,L9/(J9+K9),"")</f>
        <v>0.05125324114088159</v>
      </c>
    </row>
    <row r="10">
      <c r="A10" s="3" t="s">
        <v>22</v>
      </c>
      <c r="B10" s="4">
        <v>1252.826</v>
      </c>
      <c r="C10" s="5">
        <f>IF(N(B10)&gt;0,E10/B10,"")</f>
        <v>8.460871661348024</v>
      </c>
      <c r="D10" s="4">
        <v>593</v>
      </c>
      <c r="E10" s="4">
        <v>10600</v>
      </c>
      <c r="F10" s="4">
        <v>1676</v>
      </c>
      <c r="G10" s="4">
        <f>D10+E10+F10</f>
        <v>12869</v>
      </c>
      <c r="H10" s="4">
        <v>3100</v>
      </c>
      <c r="I10" s="4">
        <v>1200</v>
      </c>
      <c r="J10" s="4">
        <f>H10+I10</f>
        <v>4300</v>
      </c>
      <c r="K10" s="4">
        <v>6150</v>
      </c>
      <c r="L10" s="4">
        <v>2419</v>
      </c>
      <c r="M10" s="4">
        <f>J10+K10+L10</f>
        <v>12869</v>
      </c>
      <c r="N10" s="6">
        <f>IF((J10+K10)&gt;0,L10/(J10+K10),"")</f>
        <v>0.23148325358851674</v>
      </c>
    </row>
    <row r="11">
      <c r="A11" s="7" t="s">
        <v>23</v>
      </c>
      <c r="B11" s="8">
        <v>1245.359</v>
      </c>
      <c r="C11" s="9">
        <f>IF(N(B11)&gt;0,E11/B11,"")</f>
        <v>8.591900006343552</v>
      </c>
      <c r="D11" s="8">
        <v>2419</v>
      </c>
      <c r="E11" s="8">
        <v>10700</v>
      </c>
      <c r="F11" s="8">
        <v>1231</v>
      </c>
      <c r="G11" s="8">
        <f>D11+E11+F11</f>
        <v>14350</v>
      </c>
      <c r="H11" s="8">
        <v>3400</v>
      </c>
      <c r="I11" s="8">
        <v>1500</v>
      </c>
      <c r="J11" s="8">
        <f>H11+I11</f>
        <v>4900</v>
      </c>
      <c r="K11" s="8">
        <v>7152</v>
      </c>
      <c r="L11" s="8">
        <v>2298</v>
      </c>
      <c r="M11" s="8">
        <f>J11+K11+L11</f>
        <v>14350</v>
      </c>
      <c r="N11" s="10">
        <f>IF((J11+K11)&gt;0,L11/(J11+K11),"")</f>
        <v>0.1906737470959177</v>
      </c>
    </row>
    <row r="12">
      <c r="A12" s="3" t="s">
        <v>24</v>
      </c>
      <c r="B12" s="4">
        <v>1250.452</v>
      </c>
      <c r="C12" s="5">
        <f>IF(N(B12)&gt;0,E12/B12,"")</f>
        <v>8.556905822854455</v>
      </c>
      <c r="D12" s="4">
        <v>2298</v>
      </c>
      <c r="E12" s="4">
        <v>10700</v>
      </c>
      <c r="F12" s="4">
        <v>993</v>
      </c>
      <c r="G12" s="4">
        <f>D12+E12+F12</f>
        <v>13991</v>
      </c>
      <c r="H12" s="4">
        <v>3000</v>
      </c>
      <c r="I12" s="4">
        <v>1450</v>
      </c>
      <c r="J12" s="4">
        <f>H12+I12</f>
        <v>4450</v>
      </c>
      <c r="K12" s="4">
        <v>7872</v>
      </c>
      <c r="L12" s="4">
        <v>1669</v>
      </c>
      <c r="M12" s="4">
        <f>J12+K12+L12</f>
        <v>13991</v>
      </c>
      <c r="N12" s="6">
        <f>IF((J12+K12)&gt;0,L12/(J12+K12),"")</f>
        <v>0.13544879078071742</v>
      </c>
    </row>
    <row r="13">
      <c r="A13" s="7" t="s">
        <v>25</v>
      </c>
      <c r="B13" s="8">
        <v>1279.57</v>
      </c>
      <c r="C13" s="9">
        <f>IF(N(B13)&gt;0,E13/B13,"")</f>
        <v>8.268402666520785</v>
      </c>
      <c r="D13" s="8">
        <v>1669</v>
      </c>
      <c r="E13" s="8">
        <v>10580</v>
      </c>
      <c r="F13" s="8">
        <v>985</v>
      </c>
      <c r="G13" s="8">
        <f>D13+E13+F13</f>
        <v>13234</v>
      </c>
      <c r="H13" s="8">
        <v>3250</v>
      </c>
      <c r="I13" s="8">
        <v>1500</v>
      </c>
      <c r="J13" s="8">
        <f>H13+I13</f>
        <v>4750</v>
      </c>
      <c r="K13" s="8">
        <v>7428</v>
      </c>
      <c r="L13" s="8">
        <v>1056</v>
      </c>
      <c r="M13" s="8">
        <f>J13+K13+L13</f>
        <v>13234</v>
      </c>
      <c r="N13" s="10">
        <f>IF((J13+K13)&gt;0,L13/(J13+K13),"")</f>
        <v>0.08671374609952373</v>
      </c>
    </row>
    <row r="14">
      <c r="A14" s="3" t="s">
        <v>26</v>
      </c>
      <c r="B14" s="4">
        <v>1265.961</v>
      </c>
      <c r="C14" s="5">
        <f>IF(N(B14)&gt;0,E14/B14,"")</f>
        <v>8.452077117699519</v>
      </c>
      <c r="D14" s="4">
        <v>1056</v>
      </c>
      <c r="E14" s="4">
        <v>10700</v>
      </c>
      <c r="F14" s="4">
        <v>1347</v>
      </c>
      <c r="G14" s="4">
        <f>D14+E14+F14</f>
        <v>13103</v>
      </c>
      <c r="H14" s="4">
        <v>3260</v>
      </c>
      <c r="I14" s="4">
        <v>1511</v>
      </c>
      <c r="J14" s="4">
        <f>H14+I14</f>
        <v>4771</v>
      </c>
      <c r="K14" s="4">
        <v>7832</v>
      </c>
      <c r="L14" s="4">
        <v>500</v>
      </c>
      <c r="M14" s="4">
        <f>J14+K14+L14</f>
        <v>13103</v>
      </c>
      <c r="N14" s="6">
        <f>IF((J14+K14)&gt;0,L14/(J14+K14),"")</f>
        <v>0.039673093707847336</v>
      </c>
    </row>
    <row r="15">
      <c r="A15" s="7" t="s">
        <v>27</v>
      </c>
      <c r="B15" s="8">
        <v>1266.848</v>
      </c>
      <c r="C15" s="9">
        <f>IF(N(B15)&gt;0,E15/B15,"")</f>
        <v>6.433289550127561</v>
      </c>
      <c r="D15" s="8">
        <v>500</v>
      </c>
      <c r="E15" s="8">
        <v>8150</v>
      </c>
      <c r="F15" s="8">
        <v>1960</v>
      </c>
      <c r="G15" s="8">
        <f>D15+E15+F15</f>
        <v>10610</v>
      </c>
      <c r="H15" s="8">
        <v>3260</v>
      </c>
      <c r="I15" s="8">
        <v>1515</v>
      </c>
      <c r="J15" s="8">
        <f>H15+I15</f>
        <v>4775</v>
      </c>
      <c r="K15" s="8">
        <v>5355</v>
      </c>
      <c r="L15" s="8">
        <v>480</v>
      </c>
      <c r="M15" s="8">
        <f>J15+K15+L15</f>
        <v>10610</v>
      </c>
      <c r="N15" s="10">
        <f>IF((J15+K15)&gt;0,L15/(J15+K15),"")</f>
        <v>0.04738400789733465</v>
      </c>
    </row>
    <row r="16">
      <c r="A16" s="3" t="s">
        <v>28</v>
      </c>
      <c r="B16" s="4">
        <v>1269.354</v>
      </c>
      <c r="C16" s="5">
        <f>IF(N(B16)&gt;0,E16/B16,"")</f>
        <v>8.429484603979661</v>
      </c>
      <c r="D16" s="4">
        <v>480</v>
      </c>
      <c r="E16" s="4">
        <v>10700</v>
      </c>
      <c r="F16" s="4">
        <v>1600</v>
      </c>
      <c r="G16" s="4">
        <f>D16+E16+F16</f>
        <v>12780</v>
      </c>
      <c r="H16" s="4">
        <v>3343</v>
      </c>
      <c r="I16" s="4">
        <v>1530</v>
      </c>
      <c r="J16" s="4">
        <f>H16+I16</f>
        <v>4873</v>
      </c>
      <c r="K16" s="4">
        <v>7285</v>
      </c>
      <c r="L16" s="4">
        <v>622</v>
      </c>
      <c r="M16" s="4">
        <f>J16+K16+L16</f>
        <v>12780</v>
      </c>
      <c r="N16" s="6">
        <f>IF((J16+K16)&gt;0,L16/(J16+K16),"")</f>
        <v>0.05115973021878598</v>
      </c>
    </row>
    <row r="17">
      <c r="A17" s="7" t="s">
        <v>29</v>
      </c>
      <c r="B17" s="11">
        <v>1269.354</v>
      </c>
      <c r="C17" s="9">
        <f>IF(N(B17)&gt;0,E17/B17,"")</f>
        <v>9.74511444404004</v>
      </c>
      <c r="D17" s="8">
        <v>622</v>
      </c>
      <c r="E17" s="8">
        <v>12370</v>
      </c>
      <c r="F17" s="8">
        <v>1411</v>
      </c>
      <c r="G17" s="8">
        <f>D17+E17+F17</f>
        <v>14403</v>
      </c>
      <c r="H17" s="8">
        <v>3270</v>
      </c>
      <c r="I17" s="8">
        <v>1540</v>
      </c>
      <c r="J17" s="8">
        <f>H17+I17</f>
        <v>4810</v>
      </c>
      <c r="K17" s="8">
        <v>8842</v>
      </c>
      <c r="L17" s="8">
        <v>751</v>
      </c>
      <c r="M17" s="8">
        <f>J17+K17+L17</f>
        <v>14403</v>
      </c>
      <c r="N17" s="10">
        <f>IF((J17+K17)&gt;0,L17/(J17+K17),"")</f>
        <v>0.05501025490770583</v>
      </c>
    </row>
    <row r="18" ht="6" customHeight="1"/>
    <row r="19">
      <c r="A19" s="3" t="s">
        <v>30</v>
      </c>
      <c r="B19" s="12">
        <v>1269.354</v>
      </c>
      <c r="C19" s="5">
        <f>IF(N(B19)&gt;0,E19/B19,"")</f>
        <v>8.965190167597061</v>
      </c>
      <c r="D19" s="4">
        <v>751</v>
      </c>
      <c r="E19" s="4">
        <v>11380</v>
      </c>
      <c r="F19" s="4">
        <v>1420</v>
      </c>
      <c r="G19" s="4">
        <f>D19+E19+F19</f>
        <v>13551</v>
      </c>
      <c r="H19" s="4">
        <v>3280</v>
      </c>
      <c r="I19" s="4">
        <v>1550</v>
      </c>
      <c r="J19" s="4">
        <f>H19+I19</f>
        <v>4830</v>
      </c>
      <c r="K19" s="4">
        <v>8050</v>
      </c>
      <c r="L19" s="4">
        <v>671</v>
      </c>
      <c r="M19" s="4">
        <f>J19+K19+L19</f>
        <v>13551</v>
      </c>
      <c r="N19" s="6">
        <f>IF((J19+K19)&gt;0,L19/(J19+K19),"")</f>
        <v>0.05209627329192547</v>
      </c>
    </row>
    <row r="20" ht="6" customHeight="1"/>
    <row r="21">
      <c r="A21" s="3" t="s">
        <v>41</v>
      </c>
      <c r="B21" s="4"/>
      <c r="C21" s="5" t="str">
        <f>IF(N(B21)&gt;0,E21/B21,"")</f>
        <v/>
      </c>
      <c r="D21" s="4">
        <v>751</v>
      </c>
      <c r="E21" s="4">
        <v>11380</v>
      </c>
      <c r="F21" s="4">
        <v>1420</v>
      </c>
      <c r="G21" s="4">
        <f>D21+E21+F21</f>
        <v>13551</v>
      </c>
      <c r="H21" s="4">
        <v>3280</v>
      </c>
      <c r="I21" s="4">
        <v>1550</v>
      </c>
      <c r="J21" s="4">
        <f>H21+I21</f>
        <v>4830</v>
      </c>
      <c r="K21" s="4">
        <v>8050</v>
      </c>
      <c r="L21" s="4">
        <v>671</v>
      </c>
      <c r="M21" s="4">
        <f>J21+K21+L21</f>
        <v>13551</v>
      </c>
      <c r="N21" s="6">
        <f>IF((J21+K21)&gt;0,L21/(J21+K21),"")</f>
        <v>0.05209627329192547</v>
      </c>
    </row>
    <row r="22" ht="6" customHeight="1"/>
    <row r="23">
      <c r="A23" s="13" t="s">
        <v>32</v>
      </c>
      <c r="B23" s="14">
        <v>1269.354</v>
      </c>
      <c r="C23" s="15">
        <v>8.965190167597061</v>
      </c>
      <c r="D23" s="16">
        <f>L17</f>
        <v>751</v>
      </c>
      <c r="E23" s="16">
        <f>B23*C23</f>
        <v>11380</v>
      </c>
      <c r="F23" s="14">
        <v>1420</v>
      </c>
      <c r="G23" s="16">
        <f>D23+E23+F23</f>
        <v>13551</v>
      </c>
      <c r="H23" s="14">
        <v>3280</v>
      </c>
      <c r="I23" s="14">
        <v>1550</v>
      </c>
      <c r="J23" s="16">
        <f>H23+I23</f>
        <v>4830</v>
      </c>
      <c r="K23" s="14">
        <v>8050</v>
      </c>
      <c r="L23" s="16">
        <f>G23-J23-K23</f>
        <v>671</v>
      </c>
      <c r="M23" s="16">
        <f>J23+K23+L23</f>
        <v>13551</v>
      </c>
      <c r="N23" s="17">
        <f>IF((J23+K23)&gt;0,L23/(J23+K23),"")</f>
        <v>0.05209627329192547</v>
      </c>
    </row>
    <row r="25">
      <c r="A25" s="18" t="s">
        <v>49</v>
      </c>
    </row>
    <row r="26">
      <c r="A26" s="18" t="s">
        <v>34</v>
      </c>
    </row>
    <row r="27">
      <c r="A27" s="18" t="s">
        <v>35</v>
      </c>
    </row>
    <row r="28">
      <c r="A28" s="18" t="s">
        <v>36</v>
      </c>
    </row>
    <row r="29">
      <c r="A29" s="18" t="s">
        <v>37</v>
      </c>
    </row>
    <row r="30">
      <c r="A30" s="18" t="s">
        <v>38</v>
      </c>
    </row>
    <row r="31">
      <c r="A31" s="18" t="s">
        <v>39</v>
      </c>
    </row>
    <row r="32">
      <c r="A32" s="18" t="s">
        <v>50</v>
      </c>
    </row>
  </sheetData>
  <pageMargins left="0.5" right="0.5" top="0.75" bottom="0.75" header="0.3" footer="0.3"/>
  <pageSetup orientation="landscape" fitToHeight="0"/>
</worksheet>
</file>

<file path=xl/worksheets/sheet6.xml><?xml version="1.0" encoding="utf-8"?>
<worksheet xmlns="http://schemas.openxmlformats.org/spreadsheetml/2006/main" xmlns:r="http://schemas.openxmlformats.org/officeDocument/2006/relationships">
  <dimension ref="A1:N33"/>
  <sheetViews>
    <sheetView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317.08</v>
      </c>
      <c r="C2" s="5">
        <f>IF(N(B2)&gt;0,E2/B2,"")</f>
        <v>10.129935662924183</v>
      </c>
      <c r="D2" s="4">
        <v>701</v>
      </c>
      <c r="E2" s="4">
        <v>3212</v>
      </c>
      <c r="F2" s="4">
        <v>0</v>
      </c>
      <c r="G2" s="4">
        <f>D2+E2+F2</f>
        <v>3913</v>
      </c>
      <c r="H2" s="4">
        <v>150</v>
      </c>
      <c r="I2" s="4">
        <v>0</v>
      </c>
      <c r="J2" s="4">
        <f>H2+I2</f>
        <v>150</v>
      </c>
      <c r="K2" s="4">
        <v>3150</v>
      </c>
      <c r="L2" s="4">
        <v>613</v>
      </c>
      <c r="M2" s="4">
        <f>J2+K2+L2</f>
        <v>3913</v>
      </c>
      <c r="N2" s="6">
        <f>IF((J2+K2)&gt;0,L2/(J2+K2),"")</f>
        <v>0.18575757575757576</v>
      </c>
    </row>
    <row r="3">
      <c r="A3" s="7" t="s">
        <v>15</v>
      </c>
      <c r="B3" s="8">
        <v>316.923</v>
      </c>
      <c r="C3" s="9">
        <f>IF(N(B3)&gt;0,E3/B3,"")</f>
        <v>9.702672257930159</v>
      </c>
      <c r="D3" s="8">
        <v>613</v>
      </c>
      <c r="E3" s="8">
        <v>3075</v>
      </c>
      <c r="F3" s="8">
        <v>0</v>
      </c>
      <c r="G3" s="8">
        <f>D3+E3+F3</f>
        <v>3688</v>
      </c>
      <c r="H3" s="8">
        <v>150</v>
      </c>
      <c r="I3" s="8">
        <v>0</v>
      </c>
      <c r="J3" s="8">
        <f>H3+I3</f>
        <v>150</v>
      </c>
      <c r="K3" s="8">
        <v>3000</v>
      </c>
      <c r="L3" s="8">
        <v>538</v>
      </c>
      <c r="M3" s="8">
        <f>J3+K3+L3</f>
        <v>3688</v>
      </c>
      <c r="N3" s="10">
        <f>IF((J3+K3)&gt;0,L3/(J3+K3),"")</f>
        <v>0.1707936507936508</v>
      </c>
    </row>
    <row r="4">
      <c r="A4" s="3" t="s">
        <v>16</v>
      </c>
      <c r="B4" s="4">
        <v>387.263</v>
      </c>
      <c r="C4" s="5">
        <f>IF(N(B4)&gt;0,E4/B4,"")</f>
        <v>9.29600813917157</v>
      </c>
      <c r="D4" s="4">
        <v>538</v>
      </c>
      <c r="E4" s="4">
        <v>3600</v>
      </c>
      <c r="F4" s="4">
        <v>0</v>
      </c>
      <c r="G4" s="4">
        <f>D4+E4+F4</f>
        <v>4138</v>
      </c>
      <c r="H4" s="4">
        <v>200</v>
      </c>
      <c r="I4" s="4">
        <v>0</v>
      </c>
      <c r="J4" s="4">
        <f>H4+I4</f>
        <v>200</v>
      </c>
      <c r="K4" s="4">
        <v>3575</v>
      </c>
      <c r="L4" s="4">
        <v>363</v>
      </c>
      <c r="M4" s="4">
        <f>J4+K4+L4</f>
        <v>4138</v>
      </c>
      <c r="N4" s="6">
        <f>IF((J4+K4)&gt;0,L4/(J4+K4),"")</f>
        <v>0.096158940397351</v>
      </c>
    </row>
    <row r="5">
      <c r="A5" s="7" t="s">
        <v>17</v>
      </c>
      <c r="B5" s="8">
        <v>377.526</v>
      </c>
      <c r="C5" s="9">
        <f>IF(N(B5)&gt;0,E5/B5,"")</f>
        <v>10.19797311973215</v>
      </c>
      <c r="D5" s="8">
        <v>363</v>
      </c>
      <c r="E5" s="8">
        <v>3850</v>
      </c>
      <c r="F5" s="8">
        <v>0</v>
      </c>
      <c r="G5" s="8">
        <f>D5+E5+F5</f>
        <v>4213</v>
      </c>
      <c r="H5" s="8">
        <v>220</v>
      </c>
      <c r="I5" s="8">
        <v>0</v>
      </c>
      <c r="J5" s="8">
        <f>H5+I5</f>
        <v>220</v>
      </c>
      <c r="K5" s="8">
        <v>3600</v>
      </c>
      <c r="L5" s="8">
        <v>393</v>
      </c>
      <c r="M5" s="8">
        <f>J5+K5+L5</f>
        <v>4213</v>
      </c>
      <c r="N5" s="10">
        <f>IF((J5+K5)&gt;0,L5/(J5+K5),"")</f>
        <v>0.10287958115183246</v>
      </c>
    </row>
    <row r="6">
      <c r="A6" s="3" t="s">
        <v>18</v>
      </c>
      <c r="B6" s="4">
        <v>432</v>
      </c>
      <c r="C6" s="5">
        <f>IF(N(B6)&gt;0,E6/B6,"")</f>
        <v>8.101851851851851</v>
      </c>
      <c r="D6" s="4">
        <v>393</v>
      </c>
      <c r="E6" s="4">
        <v>3500</v>
      </c>
      <c r="F6" s="4">
        <v>0</v>
      </c>
      <c r="G6" s="4">
        <f>D6+E6+F6</f>
        <v>3893</v>
      </c>
      <c r="H6" s="4">
        <v>230</v>
      </c>
      <c r="I6" s="4">
        <v>0</v>
      </c>
      <c r="J6" s="4">
        <f>H6+I6</f>
        <v>230</v>
      </c>
      <c r="K6" s="4">
        <v>3350</v>
      </c>
      <c r="L6" s="4">
        <v>313</v>
      </c>
      <c r="M6" s="4">
        <f>J6+K6+L6</f>
        <v>3893</v>
      </c>
      <c r="N6" s="6">
        <f>IF((J6+K6)&gt;0,L6/(J6+K6),"")</f>
        <v>0.08743016759776537</v>
      </c>
    </row>
    <row r="7">
      <c r="A7" s="7" t="s">
        <v>19</v>
      </c>
      <c r="B7" s="8">
        <v>434.283</v>
      </c>
      <c r="C7" s="9">
        <f>IF(N(B7)&gt;0,E7/B7,"")</f>
        <v>8.174393195220627</v>
      </c>
      <c r="D7" s="8">
        <v>313</v>
      </c>
      <c r="E7" s="8">
        <v>3550</v>
      </c>
      <c r="F7" s="8">
        <v>0</v>
      </c>
      <c r="G7" s="8">
        <f>D7+E7+F7</f>
        <v>3863</v>
      </c>
      <c r="H7" s="8">
        <v>250</v>
      </c>
      <c r="I7" s="8">
        <v>0</v>
      </c>
      <c r="J7" s="8">
        <f>H7+I7</f>
        <v>250</v>
      </c>
      <c r="K7" s="8">
        <v>3300</v>
      </c>
      <c r="L7" s="8">
        <v>313</v>
      </c>
      <c r="M7" s="8">
        <f>J7+K7+L7</f>
        <v>3863</v>
      </c>
      <c r="N7" s="10">
        <f>IF((J7+K7)&gt;0,L7/(J7+K7),"")</f>
        <v>0.08816901408450704</v>
      </c>
    </row>
    <row r="8">
      <c r="A8" s="3" t="s">
        <v>20</v>
      </c>
      <c r="B8" s="4">
        <v>526.491</v>
      </c>
      <c r="C8" s="5">
        <f>IF(N(B8)&gt;0,E8/B8,"")</f>
        <v>9.259417539900967</v>
      </c>
      <c r="D8" s="4">
        <v>313</v>
      </c>
      <c r="E8" s="4">
        <v>4875</v>
      </c>
      <c r="F8" s="4">
        <v>0</v>
      </c>
      <c r="G8" s="4">
        <f>D8+E8+F8</f>
        <v>5188</v>
      </c>
      <c r="H8" s="4">
        <v>250</v>
      </c>
      <c r="I8" s="4">
        <v>0</v>
      </c>
      <c r="J8" s="4">
        <f>H8+I8</f>
        <v>250</v>
      </c>
      <c r="K8" s="4">
        <v>4600</v>
      </c>
      <c r="L8" s="4">
        <v>338</v>
      </c>
      <c r="M8" s="4">
        <f>J8+K8+L8</f>
        <v>5188</v>
      </c>
      <c r="N8" s="6">
        <f>IF((J8+K8)&gt;0,L8/(J8+K8),"")</f>
        <v>0.06969072164948453</v>
      </c>
    </row>
    <row r="9">
      <c r="A9" s="7" t="s">
        <v>21</v>
      </c>
      <c r="B9" s="8">
        <v>497.192</v>
      </c>
      <c r="C9" s="9">
        <f>IF(N(B9)&gt;0,E9/B9,"")</f>
        <v>9.25195900175385</v>
      </c>
      <c r="D9" s="8">
        <v>338</v>
      </c>
      <c r="E9" s="8">
        <v>4600</v>
      </c>
      <c r="F9" s="8">
        <v>0</v>
      </c>
      <c r="G9" s="8">
        <f>D9+E9+F9</f>
        <v>4938</v>
      </c>
      <c r="H9" s="8">
        <v>250</v>
      </c>
      <c r="I9" s="8">
        <v>0</v>
      </c>
      <c r="J9" s="8">
        <f>H9+I9</f>
        <v>250</v>
      </c>
      <c r="K9" s="8">
        <v>4300</v>
      </c>
      <c r="L9" s="8">
        <v>388</v>
      </c>
      <c r="M9" s="8">
        <f>J9+K9+L9</f>
        <v>4938</v>
      </c>
      <c r="N9" s="10">
        <f>IF((J9+K9)&gt;0,L9/(J9+K9),"")</f>
        <v>0.08527472527472528</v>
      </c>
    </row>
    <row r="10">
      <c r="A10" s="3" t="s">
        <v>22</v>
      </c>
      <c r="B10" s="4">
        <v>541.495</v>
      </c>
      <c r="C10" s="5">
        <f>IF(N(B10)&gt;0,E10/B10,"")</f>
        <v>8.58733690985143</v>
      </c>
      <c r="D10" s="4">
        <v>388</v>
      </c>
      <c r="E10" s="4">
        <v>4650</v>
      </c>
      <c r="F10" s="4">
        <v>0</v>
      </c>
      <c r="G10" s="4">
        <f>D10+E10+F10</f>
        <v>5038</v>
      </c>
      <c r="H10" s="4">
        <v>250</v>
      </c>
      <c r="I10" s="4">
        <v>0</v>
      </c>
      <c r="J10" s="4">
        <f>H10+I10</f>
        <v>250</v>
      </c>
      <c r="K10" s="4">
        <v>4450</v>
      </c>
      <c r="L10" s="4">
        <v>338</v>
      </c>
      <c r="M10" s="4">
        <f>J10+K10+L10</f>
        <v>5038</v>
      </c>
      <c r="N10" s="6">
        <f>IF((J10+K10)&gt;0,L10/(J10+K10),"")</f>
        <v>0.07191489361702127</v>
      </c>
    </row>
    <row r="11">
      <c r="A11" s="7" t="s">
        <v>23</v>
      </c>
      <c r="B11" s="8">
        <v>632.691</v>
      </c>
      <c r="C11" s="9">
        <f>IF(N(B11)&gt;0,E11/B11,"")</f>
        <v>8.653513326410522</v>
      </c>
      <c r="D11" s="8">
        <v>338</v>
      </c>
      <c r="E11" s="8">
        <v>5475</v>
      </c>
      <c r="F11" s="8">
        <v>0</v>
      </c>
      <c r="G11" s="8">
        <f>D11+E11+F11</f>
        <v>5813</v>
      </c>
      <c r="H11" s="8">
        <v>100</v>
      </c>
      <c r="I11" s="8">
        <v>0</v>
      </c>
      <c r="J11" s="8">
        <f>H11+I11</f>
        <v>100</v>
      </c>
      <c r="K11" s="8">
        <v>5350</v>
      </c>
      <c r="L11" s="8">
        <v>363</v>
      </c>
      <c r="M11" s="8">
        <f>J11+K11+L11</f>
        <v>5813</v>
      </c>
      <c r="N11" s="10">
        <f>IF((J11+K11)&gt;0,L11/(J11+K11),"")</f>
        <v>0.06660550458715596</v>
      </c>
    </row>
    <row r="12">
      <c r="A12" s="3" t="s">
        <v>24</v>
      </c>
      <c r="B12" s="4">
        <v>737.884</v>
      </c>
      <c r="C12" s="5">
        <f>IF(N(B12)&gt;0,E12/B12,"")</f>
        <v>8.985152137734387</v>
      </c>
      <c r="D12" s="4">
        <v>363</v>
      </c>
      <c r="E12" s="4">
        <v>6630</v>
      </c>
      <c r="F12" s="4">
        <v>0</v>
      </c>
      <c r="G12" s="4">
        <f>D12+E12+F12</f>
        <v>6993</v>
      </c>
      <c r="H12" s="4">
        <v>100</v>
      </c>
      <c r="I12" s="4">
        <v>0</v>
      </c>
      <c r="J12" s="4">
        <f>H12+I12</f>
        <v>100</v>
      </c>
      <c r="K12" s="4">
        <v>6514</v>
      </c>
      <c r="L12" s="4">
        <v>379</v>
      </c>
      <c r="M12" s="4">
        <f>J12+K12+L12</f>
        <v>6993</v>
      </c>
      <c r="N12" s="6">
        <f>IF((J12+K12)&gt;0,L12/(J12+K12),"")</f>
        <v>0.057302691260961595</v>
      </c>
    </row>
    <row r="13">
      <c r="A13" s="7" t="s">
        <v>25</v>
      </c>
      <c r="B13" s="8">
        <v>912.315</v>
      </c>
      <c r="C13" s="9">
        <f>IF(N(B13)&gt;0,E13/B13,"")</f>
        <v>6.631481451033908</v>
      </c>
      <c r="D13" s="8">
        <v>379</v>
      </c>
      <c r="E13" s="8">
        <v>6050</v>
      </c>
      <c r="F13" s="8">
        <v>0</v>
      </c>
      <c r="G13" s="8">
        <f>D13+E13+F13</f>
        <v>6429</v>
      </c>
      <c r="H13" s="8">
        <v>125</v>
      </c>
      <c r="I13" s="8">
        <v>0</v>
      </c>
      <c r="J13" s="8">
        <f>H13+I13</f>
        <v>125</v>
      </c>
      <c r="K13" s="8">
        <v>5850</v>
      </c>
      <c r="L13" s="8">
        <v>454</v>
      </c>
      <c r="M13" s="8">
        <f>J13+K13+L13</f>
        <v>6429</v>
      </c>
      <c r="N13" s="10">
        <f>IF((J13+K13)&gt;0,L13/(J13+K13),"")</f>
        <v>0.07598326359832636</v>
      </c>
    </row>
    <row r="14">
      <c r="A14" s="3" t="s">
        <v>26</v>
      </c>
      <c r="B14" s="4">
        <v>849.736</v>
      </c>
      <c r="C14" s="5">
        <f>IF(N(B14)&gt;0,E14/B14,"")</f>
        <v>7.72592899441709</v>
      </c>
      <c r="D14" s="4">
        <v>454</v>
      </c>
      <c r="E14" s="4">
        <v>6565</v>
      </c>
      <c r="F14" s="4">
        <v>0</v>
      </c>
      <c r="G14" s="4">
        <f>D14+E14+F14</f>
        <v>7019</v>
      </c>
      <c r="H14" s="4">
        <v>300</v>
      </c>
      <c r="I14" s="4">
        <v>0</v>
      </c>
      <c r="J14" s="4">
        <f>H14+I14</f>
        <v>300</v>
      </c>
      <c r="K14" s="4">
        <v>6250</v>
      </c>
      <c r="L14" s="4">
        <v>469</v>
      </c>
      <c r="M14" s="4">
        <f>J14+K14+L14</f>
        <v>7019</v>
      </c>
      <c r="N14" s="6">
        <f>IF((J14+K14)&gt;0,L14/(J14+K14),"")</f>
        <v>0.0716030534351145</v>
      </c>
    </row>
    <row r="15">
      <c r="A15" s="7" t="s">
        <v>27</v>
      </c>
      <c r="B15" s="8">
        <v>736.547</v>
      </c>
      <c r="C15" s="9">
        <f>IF(N(B15)&gt;0,E15/B15,"")</f>
        <v>8.689194308034653</v>
      </c>
      <c r="D15" s="8">
        <v>469</v>
      </c>
      <c r="E15" s="8">
        <v>6400</v>
      </c>
      <c r="F15" s="8">
        <v>0</v>
      </c>
      <c r="G15" s="8">
        <f>D15+E15+F15</f>
        <v>6869</v>
      </c>
      <c r="H15" s="8">
        <v>325</v>
      </c>
      <c r="I15" s="8">
        <v>0</v>
      </c>
      <c r="J15" s="8">
        <f>H15+I15</f>
        <v>325</v>
      </c>
      <c r="K15" s="8">
        <v>6300</v>
      </c>
      <c r="L15" s="8">
        <v>244</v>
      </c>
      <c r="M15" s="8">
        <f>J15+K15+L15</f>
        <v>6869</v>
      </c>
      <c r="N15" s="10">
        <f>IF((J15+K15)&gt;0,L15/(J15+K15),"")</f>
        <v>0.036830188679245285</v>
      </c>
    </row>
    <row r="16">
      <c r="A16" s="3" t="s">
        <v>28</v>
      </c>
      <c r="B16" s="12">
        <v>736.547</v>
      </c>
      <c r="C16" s="5">
        <f>IF(N(B16)&gt;0,E16/B16,"")</f>
        <v>9.096500291223778</v>
      </c>
      <c r="D16" s="4">
        <v>244</v>
      </c>
      <c r="E16" s="4">
        <v>6700</v>
      </c>
      <c r="F16" s="4">
        <v>0</v>
      </c>
      <c r="G16" s="4">
        <f>D16+E16+F16</f>
        <v>6944</v>
      </c>
      <c r="H16" s="4">
        <v>325</v>
      </c>
      <c r="I16" s="4">
        <v>0</v>
      </c>
      <c r="J16" s="4">
        <f>H16+I16</f>
        <v>325</v>
      </c>
      <c r="K16" s="4">
        <v>6350</v>
      </c>
      <c r="L16" s="4">
        <v>269</v>
      </c>
      <c r="M16" s="4">
        <f>J16+K16+L16</f>
        <v>6944</v>
      </c>
      <c r="N16" s="6">
        <f>IF((J16+K16)&gt;0,L16/(J16+K16),"")</f>
        <v>0.0402996254681648</v>
      </c>
    </row>
    <row r="17">
      <c r="A17" s="7" t="s">
        <v>29</v>
      </c>
      <c r="B17" s="11">
        <v>736.547</v>
      </c>
      <c r="C17" s="9">
        <f>IF(N(B17)&gt;0,E17/B17,"")</f>
        <v>9.63278650242279</v>
      </c>
      <c r="D17" s="8">
        <v>269</v>
      </c>
      <c r="E17" s="8">
        <v>7095</v>
      </c>
      <c r="F17" s="8">
        <v>0</v>
      </c>
      <c r="G17" s="8">
        <f>D17+E17+F17</f>
        <v>7364</v>
      </c>
      <c r="H17" s="8">
        <v>330</v>
      </c>
      <c r="I17" s="8">
        <v>0</v>
      </c>
      <c r="J17" s="8">
        <f>H17+I17</f>
        <v>330</v>
      </c>
      <c r="K17" s="8">
        <v>6700</v>
      </c>
      <c r="L17" s="8">
        <v>334</v>
      </c>
      <c r="M17" s="8">
        <f>J17+K17+L17</f>
        <v>7364</v>
      </c>
      <c r="N17" s="10">
        <f>IF((J17+K17)&gt;0,L17/(J17+K17),"")</f>
        <v>0.04751066856330014</v>
      </c>
    </row>
    <row r="18" ht="6" customHeight="1"/>
    <row r="19">
      <c r="A19" s="3" t="s">
        <v>30</v>
      </c>
      <c r="B19" s="12">
        <v>736.547</v>
      </c>
      <c r="C19" s="5">
        <f>IF(N(B19)&gt;0,E19/B19,"")</f>
        <v>9.721036132113769</v>
      </c>
      <c r="D19" s="4">
        <v>334</v>
      </c>
      <c r="E19" s="4">
        <v>7160</v>
      </c>
      <c r="F19" s="4">
        <v>0</v>
      </c>
      <c r="G19" s="4">
        <f>D19+E19+F19</f>
        <v>7494</v>
      </c>
      <c r="H19" s="4">
        <v>335</v>
      </c>
      <c r="I19" s="4">
        <v>0</v>
      </c>
      <c r="J19" s="4">
        <f>H19+I19</f>
        <v>335</v>
      </c>
      <c r="K19" s="4">
        <v>6830</v>
      </c>
      <c r="L19" s="4">
        <v>329</v>
      </c>
      <c r="M19" s="4">
        <f>J19+K19+L19</f>
        <v>7494</v>
      </c>
      <c r="N19" s="6">
        <f>IF((J19+K19)&gt;0,L19/(J19+K19),"")</f>
        <v>0.04591765526866713</v>
      </c>
    </row>
    <row r="20" ht="6" customHeight="1"/>
    <row r="21">
      <c r="A21" s="3" t="s">
        <v>41</v>
      </c>
      <c r="B21" s="4">
        <v>580</v>
      </c>
      <c r="C21" s="5">
        <f>IF(N(B21)&gt;0,E21/B21,"")</f>
        <v>12.344827586206897</v>
      </c>
      <c r="D21" s="4">
        <v>334</v>
      </c>
      <c r="E21" s="4">
        <v>7160</v>
      </c>
      <c r="F21" s="4">
        <v>0</v>
      </c>
      <c r="G21" s="4">
        <f>D21+E21+F21</f>
        <v>7494</v>
      </c>
      <c r="H21" s="4">
        <v>335</v>
      </c>
      <c r="I21" s="4">
        <v>0</v>
      </c>
      <c r="J21" s="4">
        <f>H21+I21</f>
        <v>335</v>
      </c>
      <c r="K21" s="4">
        <v>6830</v>
      </c>
      <c r="L21" s="4">
        <v>329</v>
      </c>
      <c r="M21" s="4">
        <f>J21+K21+L21</f>
        <v>7494</v>
      </c>
      <c r="N21" s="6">
        <f>IF((J21+K21)&gt;0,L21/(J21+K21),"")</f>
        <v>0.04591765526866713</v>
      </c>
    </row>
    <row r="22" ht="6" customHeight="1"/>
    <row r="23">
      <c r="A23" s="13" t="s">
        <v>32</v>
      </c>
      <c r="B23" s="14">
        <v>736.547</v>
      </c>
      <c r="C23" s="15">
        <v>9.721036132113769</v>
      </c>
      <c r="D23" s="16">
        <f>L17</f>
        <v>334</v>
      </c>
      <c r="E23" s="16">
        <f>B23*C23</f>
        <v>7160</v>
      </c>
      <c r="F23" s="14">
        <v>0</v>
      </c>
      <c r="G23" s="16">
        <f>D23+E23+F23</f>
        <v>7494</v>
      </c>
      <c r="H23" s="14">
        <v>335</v>
      </c>
      <c r="I23" s="14">
        <v>0</v>
      </c>
      <c r="J23" s="16">
        <f>H23+I23</f>
        <v>335</v>
      </c>
      <c r="K23" s="14">
        <v>6830</v>
      </c>
      <c r="L23" s="16">
        <f>G23-J23-K23</f>
        <v>329</v>
      </c>
      <c r="M23" s="16">
        <f>J23+K23+L23</f>
        <v>7494</v>
      </c>
      <c r="N23" s="17">
        <f>IF((J23+K23)&gt;0,L23/(J23+K23),"")</f>
        <v>0.04591765526866713</v>
      </c>
    </row>
    <row r="25">
      <c r="A25" s="18" t="s">
        <v>51</v>
      </c>
    </row>
    <row r="26">
      <c r="A26" s="18" t="s">
        <v>34</v>
      </c>
    </row>
    <row r="27">
      <c r="A27" s="18" t="s">
        <v>35</v>
      </c>
    </row>
    <row r="28">
      <c r="A28" s="18" t="s">
        <v>36</v>
      </c>
    </row>
    <row r="29">
      <c r="A29" s="18" t="s">
        <v>37</v>
      </c>
    </row>
    <row r="30">
      <c r="A30" s="18" t="s">
        <v>38</v>
      </c>
    </row>
    <row r="31">
      <c r="A31" s="18" t="s">
        <v>52</v>
      </c>
    </row>
    <row r="32">
      <c r="A32" s="18" t="s">
        <v>53</v>
      </c>
    </row>
    <row r="33">
      <c r="A33" s="18" t="s">
        <v>54</v>
      </c>
    </row>
  </sheetData>
  <pageMargins left="0.5" right="0.5" top="0.75" bottom="0.75" header="0.3" footer="0.3"/>
  <pageSetup orientation="landscape" fitToHeight="0"/>
</worksheet>
</file>

<file path=xl/worksheets/sheet7.xml><?xml version="1.0" encoding="utf-8"?>
<worksheet xmlns="http://schemas.openxmlformats.org/spreadsheetml/2006/main" xmlns:r="http://schemas.openxmlformats.org/officeDocument/2006/relationships">
  <dimension ref="A1:N33"/>
  <sheetViews>
    <sheetView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313.429</v>
      </c>
      <c r="C2" s="5">
        <f>IF(N(B2)&gt;0,E2/B2,"")</f>
        <v>12.682298064314407</v>
      </c>
      <c r="D2" s="4">
        <v>218</v>
      </c>
      <c r="E2" s="4">
        <v>3975</v>
      </c>
      <c r="F2" s="4">
        <v>23</v>
      </c>
      <c r="G2" s="4">
        <f>D2+E2+F2</f>
        <v>4216</v>
      </c>
      <c r="H2" s="4">
        <v>271</v>
      </c>
      <c r="I2" s="4">
        <v>15</v>
      </c>
      <c r="J2" s="4">
        <f>H2+I2</f>
        <v>286</v>
      </c>
      <c r="K2" s="4">
        <v>3900</v>
      </c>
      <c r="L2" s="4">
        <v>30</v>
      </c>
      <c r="M2" s="4">
        <f>J2+K2+L2</f>
        <v>4216</v>
      </c>
      <c r="N2" s="6">
        <f>IF((J2+K2)&gt;0,L2/(J2+K2),"")</f>
        <v>0.00716674629718108</v>
      </c>
    </row>
    <row r="3">
      <c r="A3" s="7" t="s">
        <v>15</v>
      </c>
      <c r="B3" s="8">
        <v>328.375</v>
      </c>
      <c r="C3" s="9">
        <f>IF(N(B3)&gt;0,E3/B3,"")</f>
        <v>17.05367339170156</v>
      </c>
      <c r="D3" s="8">
        <v>30</v>
      </c>
      <c r="E3" s="8">
        <v>5600</v>
      </c>
      <c r="F3" s="8">
        <v>15</v>
      </c>
      <c r="G3" s="8">
        <f>D3+E3+F3</f>
        <v>5645</v>
      </c>
      <c r="H3" s="8">
        <v>250</v>
      </c>
      <c r="I3" s="8">
        <v>15</v>
      </c>
      <c r="J3" s="8">
        <f>H3+I3</f>
        <v>265</v>
      </c>
      <c r="K3" s="8">
        <v>5290</v>
      </c>
      <c r="L3" s="8">
        <v>90</v>
      </c>
      <c r="M3" s="8">
        <f>J3+K3+L3</f>
        <v>5645</v>
      </c>
      <c r="N3" s="10">
        <f>IF((J3+K3)&gt;0,L3/(J3+K3),"")</f>
        <v>0.016201620162016202</v>
      </c>
    </row>
    <row r="4">
      <c r="A4" s="3" t="s">
        <v>16</v>
      </c>
      <c r="B4" s="4">
        <v>347.065</v>
      </c>
      <c r="C4" s="5">
        <f>IF(N(B4)&gt;0,E4/B4,"")</f>
        <v>13.61416449368274</v>
      </c>
      <c r="D4" s="4">
        <v>90</v>
      </c>
      <c r="E4" s="4">
        <v>4725</v>
      </c>
      <c r="F4" s="4">
        <v>15</v>
      </c>
      <c r="G4" s="4">
        <f>D4+E4+F4</f>
        <v>4830</v>
      </c>
      <c r="H4" s="4">
        <v>195</v>
      </c>
      <c r="I4" s="4">
        <v>15</v>
      </c>
      <c r="J4" s="4">
        <f>H4+I4</f>
        <v>210</v>
      </c>
      <c r="K4" s="4">
        <v>4480</v>
      </c>
      <c r="L4" s="4">
        <v>140</v>
      </c>
      <c r="M4" s="4">
        <f>J4+K4+L4</f>
        <v>4830</v>
      </c>
      <c r="N4" s="6">
        <f>IF((J4+K4)&gt;0,L4/(J4+K4),"")</f>
        <v>0.029850746268656716</v>
      </c>
    </row>
    <row r="5">
      <c r="A5" s="7" t="s">
        <v>17</v>
      </c>
      <c r="B5" s="8">
        <v>285.471</v>
      </c>
      <c r="C5" s="9">
        <f>IF(N(B5)&gt;0,E5/B5,"")</f>
        <v>15.413124275320435</v>
      </c>
      <c r="D5" s="8">
        <v>140</v>
      </c>
      <c r="E5" s="8">
        <v>4400</v>
      </c>
      <c r="F5" s="8">
        <v>15</v>
      </c>
      <c r="G5" s="8">
        <f>D5+E5+F5</f>
        <v>4555</v>
      </c>
      <c r="H5" s="8">
        <v>300</v>
      </c>
      <c r="I5" s="8">
        <v>15</v>
      </c>
      <c r="J5" s="8">
        <f>H5+I5</f>
        <v>315</v>
      </c>
      <c r="K5" s="8">
        <v>3940</v>
      </c>
      <c r="L5" s="8">
        <v>300</v>
      </c>
      <c r="M5" s="8">
        <f>J5+K5+L5</f>
        <v>4555</v>
      </c>
      <c r="N5" s="10">
        <f>IF((J5+K5)&gt;0,L5/(J5+K5),"")</f>
        <v>0.07050528789659224</v>
      </c>
    </row>
    <row r="6">
      <c r="A6" s="3" t="s">
        <v>18</v>
      </c>
      <c r="B6" s="4">
        <v>270</v>
      </c>
      <c r="C6" s="5">
        <f>IF(N(B6)&gt;0,E6/B6,"")</f>
        <v>18.88888888888889</v>
      </c>
      <c r="D6" s="4">
        <v>300</v>
      </c>
      <c r="E6" s="4">
        <v>5100</v>
      </c>
      <c r="F6" s="4">
        <v>20</v>
      </c>
      <c r="G6" s="4">
        <f>D6+E6+F6</f>
        <v>5420</v>
      </c>
      <c r="H6" s="4">
        <v>300</v>
      </c>
      <c r="I6" s="4">
        <v>20</v>
      </c>
      <c r="J6" s="4">
        <f>H6+I6</f>
        <v>320</v>
      </c>
      <c r="K6" s="4">
        <v>4760</v>
      </c>
      <c r="L6" s="4">
        <v>340</v>
      </c>
      <c r="M6" s="4">
        <f>J6+K6+L6</f>
        <v>5420</v>
      </c>
      <c r="N6" s="6">
        <f>IF((J6+K6)&gt;0,L6/(J6+K6),"")</f>
        <v>0.06692913385826772</v>
      </c>
    </row>
    <row r="7">
      <c r="A7" s="7" t="s">
        <v>19</v>
      </c>
      <c r="B7" s="8">
        <v>270</v>
      </c>
      <c r="C7" s="9">
        <f>IF(N(B7)&gt;0,E7/B7,"")</f>
        <v>19.62962962962963</v>
      </c>
      <c r="D7" s="8">
        <v>340</v>
      </c>
      <c r="E7" s="8">
        <v>5300</v>
      </c>
      <c r="F7" s="8">
        <v>20</v>
      </c>
      <c r="G7" s="8">
        <f>D7+E7+F7</f>
        <v>5660</v>
      </c>
      <c r="H7" s="8">
        <v>325</v>
      </c>
      <c r="I7" s="8">
        <v>20</v>
      </c>
      <c r="J7" s="8">
        <f>H7+I7</f>
        <v>345</v>
      </c>
      <c r="K7" s="8">
        <v>5000</v>
      </c>
      <c r="L7" s="8">
        <v>315</v>
      </c>
      <c r="M7" s="8">
        <f>J7+K7+L7</f>
        <v>5660</v>
      </c>
      <c r="N7" s="10">
        <f>IF((J7+K7)&gt;0,L7/(J7+K7),"")</f>
        <v>0.05893358278765201</v>
      </c>
    </row>
    <row r="8">
      <c r="A8" s="3" t="s">
        <v>20</v>
      </c>
      <c r="B8" s="4">
        <v>309.806</v>
      </c>
      <c r="C8" s="5">
        <f>IF(N(B8)&gt;0,E8/B8,"")</f>
        <v>24.24097661116957</v>
      </c>
      <c r="D8" s="4">
        <v>315</v>
      </c>
      <c r="E8" s="4">
        <v>7510</v>
      </c>
      <c r="F8" s="4">
        <v>25</v>
      </c>
      <c r="G8" s="4">
        <f>D8+E8+F8</f>
        <v>7850</v>
      </c>
      <c r="H8" s="4">
        <v>350</v>
      </c>
      <c r="I8" s="4">
        <v>25</v>
      </c>
      <c r="J8" s="4">
        <f>H8+I8</f>
        <v>375</v>
      </c>
      <c r="K8" s="4">
        <v>7175</v>
      </c>
      <c r="L8" s="4">
        <v>300</v>
      </c>
      <c r="M8" s="4">
        <f>J8+K8+L8</f>
        <v>7850</v>
      </c>
      <c r="N8" s="6">
        <f>IF((J8+K8)&gt;0,L8/(J8+K8),"")</f>
        <v>0.039735099337748346</v>
      </c>
    </row>
    <row r="9">
      <c r="A9" s="7" t="s">
        <v>21</v>
      </c>
      <c r="B9" s="8">
        <v>423.676</v>
      </c>
      <c r="C9" s="9">
        <f>IF(N(B9)&gt;0,E9/B9,"")</f>
        <v>17.93823582171282</v>
      </c>
      <c r="D9" s="8">
        <v>300</v>
      </c>
      <c r="E9" s="8">
        <v>7600</v>
      </c>
      <c r="F9" s="8">
        <v>25</v>
      </c>
      <c r="G9" s="8">
        <f>D9+E9+F9</f>
        <v>7925</v>
      </c>
      <c r="H9" s="8">
        <v>350</v>
      </c>
      <c r="I9" s="8">
        <v>25</v>
      </c>
      <c r="J9" s="8">
        <f>H9+I9</f>
        <v>375</v>
      </c>
      <c r="K9" s="8">
        <v>7225</v>
      </c>
      <c r="L9" s="8">
        <v>325</v>
      </c>
      <c r="M9" s="8">
        <f>J9+K9+L9</f>
        <v>7925</v>
      </c>
      <c r="N9" s="10">
        <f>IF((J9+K9)&gt;0,L9/(J9+K9),"")</f>
        <v>0.04276315789473684</v>
      </c>
    </row>
    <row r="10">
      <c r="A10" s="3" t="s">
        <v>22</v>
      </c>
      <c r="B10" s="4">
        <v>431.122</v>
      </c>
      <c r="C10" s="5">
        <f>IF(N(B10)&gt;0,E10/B10,"")</f>
        <v>16.46865620404433</v>
      </c>
      <c r="D10" s="4">
        <v>325</v>
      </c>
      <c r="E10" s="4">
        <v>7100</v>
      </c>
      <c r="F10" s="4">
        <v>12</v>
      </c>
      <c r="G10" s="4">
        <f>D10+E10+F10</f>
        <v>7437</v>
      </c>
      <c r="H10" s="4">
        <v>346</v>
      </c>
      <c r="I10" s="4">
        <v>19</v>
      </c>
      <c r="J10" s="4">
        <f>H10+I10</f>
        <v>365</v>
      </c>
      <c r="K10" s="4">
        <v>6910</v>
      </c>
      <c r="L10" s="4">
        <v>162</v>
      </c>
      <c r="M10" s="4">
        <f>J10+K10+L10</f>
        <v>7437</v>
      </c>
      <c r="N10" s="6">
        <f>IF((J10+K10)&gt;0,L10/(J10+K10),"")</f>
        <v>0.0222680412371134</v>
      </c>
    </row>
    <row r="11">
      <c r="A11" s="7" t="s">
        <v>23</v>
      </c>
      <c r="B11" s="8">
        <v>424.739</v>
      </c>
      <c r="C11" s="9">
        <f>IF(N(B11)&gt;0,E11/B11,"")</f>
        <v>12.242812644941953</v>
      </c>
      <c r="D11" s="8">
        <v>162</v>
      </c>
      <c r="E11" s="8">
        <v>5200</v>
      </c>
      <c r="F11" s="8">
        <v>28</v>
      </c>
      <c r="G11" s="8">
        <f>D11+E11+F11</f>
        <v>5390</v>
      </c>
      <c r="H11" s="8">
        <v>346</v>
      </c>
      <c r="I11" s="8">
        <v>20</v>
      </c>
      <c r="J11" s="8">
        <f>H11+I11</f>
        <v>366</v>
      </c>
      <c r="K11" s="8">
        <v>4900</v>
      </c>
      <c r="L11" s="8">
        <v>124</v>
      </c>
      <c r="M11" s="8">
        <f>J11+K11+L11</f>
        <v>5390</v>
      </c>
      <c r="N11" s="10">
        <f>IF((J11+K11)&gt;0,L11/(J11+K11),"")</f>
        <v>0.023547284466388152</v>
      </c>
    </row>
    <row r="12">
      <c r="A12" s="3" t="s">
        <v>24</v>
      </c>
      <c r="B12" s="4">
        <v>323.457</v>
      </c>
      <c r="C12" s="5">
        <f>IF(N(B12)&gt;0,E12/B12,"")</f>
        <v>20.095406808323826</v>
      </c>
      <c r="D12" s="4">
        <v>124</v>
      </c>
      <c r="E12" s="4">
        <v>6500</v>
      </c>
      <c r="F12" s="4">
        <v>24</v>
      </c>
      <c r="G12" s="4">
        <f>D12+E12+F12</f>
        <v>6648</v>
      </c>
      <c r="H12" s="4">
        <v>348</v>
      </c>
      <c r="I12" s="4">
        <v>21</v>
      </c>
      <c r="J12" s="4">
        <f>H12+I12</f>
        <v>369</v>
      </c>
      <c r="K12" s="4">
        <v>6010</v>
      </c>
      <c r="L12" s="4">
        <v>269</v>
      </c>
      <c r="M12" s="4">
        <f>J12+K12+L12</f>
        <v>6648</v>
      </c>
      <c r="N12" s="6">
        <f>IF((J12+K12)&gt;0,L12/(J12+K12),"")</f>
        <v>0.04216961906254899</v>
      </c>
    </row>
    <row r="13">
      <c r="A13" s="7" t="s">
        <v>25</v>
      </c>
      <c r="B13" s="8">
        <v>358.284</v>
      </c>
      <c r="C13" s="9">
        <f>IF(N(B13)&gt;0,E13/B13,"")</f>
        <v>13.397193288006163</v>
      </c>
      <c r="D13" s="8">
        <v>269</v>
      </c>
      <c r="E13" s="8">
        <v>4800</v>
      </c>
      <c r="F13" s="8">
        <v>21</v>
      </c>
      <c r="G13" s="8">
        <f>D13+E13+F13</f>
        <v>5090</v>
      </c>
      <c r="H13" s="8">
        <v>351</v>
      </c>
      <c r="I13" s="8">
        <v>22</v>
      </c>
      <c r="J13" s="8">
        <f>H13+I13</f>
        <v>373</v>
      </c>
      <c r="K13" s="8">
        <v>4650</v>
      </c>
      <c r="L13" s="8">
        <v>67</v>
      </c>
      <c r="M13" s="8">
        <f>J13+K13+L13</f>
        <v>5090</v>
      </c>
      <c r="N13" s="10">
        <f>IF((J13+K13)&gt;0,L13/(J13+K13),"")</f>
        <v>0.013338642245669918</v>
      </c>
    </row>
    <row r="14">
      <c r="A14" s="3" t="s">
        <v>26</v>
      </c>
      <c r="B14" s="4">
        <v>278.897</v>
      </c>
      <c r="C14" s="5">
        <f>IF(N(B14)&gt;0,E14/B14,"")</f>
        <v>20.43765261010337</v>
      </c>
      <c r="D14" s="4">
        <v>67</v>
      </c>
      <c r="E14" s="4">
        <v>5700</v>
      </c>
      <c r="F14" s="4">
        <v>22</v>
      </c>
      <c r="G14" s="4">
        <f>D14+E14+F14</f>
        <v>5789</v>
      </c>
      <c r="H14" s="4">
        <v>345</v>
      </c>
      <c r="I14" s="4">
        <v>22</v>
      </c>
      <c r="J14" s="4">
        <f>H14+I14</f>
        <v>367</v>
      </c>
      <c r="K14" s="4">
        <v>5310</v>
      </c>
      <c r="L14" s="4">
        <v>112</v>
      </c>
      <c r="M14" s="4">
        <f>J14+K14+L14</f>
        <v>5789</v>
      </c>
      <c r="N14" s="6">
        <f>IF((J14+K14)&gt;0,L14/(J14+K14),"")</f>
        <v>0.01972872996300863</v>
      </c>
    </row>
    <row r="15">
      <c r="A15" s="7" t="s">
        <v>27</v>
      </c>
      <c r="B15" s="8">
        <v>320.513</v>
      </c>
      <c r="C15" s="9">
        <f>IF(N(B15)&gt;0,E15/B15,"")</f>
        <v>15.755991176644942</v>
      </c>
      <c r="D15" s="8">
        <v>112</v>
      </c>
      <c r="E15" s="8">
        <v>5050</v>
      </c>
      <c r="F15" s="8">
        <v>39</v>
      </c>
      <c r="G15" s="8">
        <f>D15+E15+F15</f>
        <v>5201</v>
      </c>
      <c r="H15" s="8">
        <v>315</v>
      </c>
      <c r="I15" s="8">
        <v>25</v>
      </c>
      <c r="J15" s="8">
        <f>H15+I15</f>
        <v>340</v>
      </c>
      <c r="K15" s="8">
        <v>4718</v>
      </c>
      <c r="L15" s="8">
        <v>143</v>
      </c>
      <c r="M15" s="8">
        <f>J15+K15+L15</f>
        <v>5201</v>
      </c>
      <c r="N15" s="10">
        <f>IF((J15+K15)&gt;0,L15/(J15+K15),"")</f>
        <v>0.028272044286279163</v>
      </c>
    </row>
    <row r="16">
      <c r="A16" s="3" t="s">
        <v>28</v>
      </c>
      <c r="B16" s="4">
        <v>266.728</v>
      </c>
      <c r="C16" s="5">
        <f>IF(N(B16)&gt;0,E16/B16,"")</f>
        <v>19.495516031312796</v>
      </c>
      <c r="D16" s="4">
        <v>143</v>
      </c>
      <c r="E16" s="4">
        <v>5200</v>
      </c>
      <c r="F16" s="4">
        <v>130</v>
      </c>
      <c r="G16" s="4">
        <f>D16+E16+F16</f>
        <v>5473</v>
      </c>
      <c r="H16" s="4">
        <v>310</v>
      </c>
      <c r="I16" s="4">
        <v>25</v>
      </c>
      <c r="J16" s="4">
        <f>H16+I16</f>
        <v>335</v>
      </c>
      <c r="K16" s="4">
        <v>4960</v>
      </c>
      <c r="L16" s="4">
        <v>178</v>
      </c>
      <c r="M16" s="4">
        <f>J16+K16+L16</f>
        <v>5473</v>
      </c>
      <c r="N16" s="6">
        <f>IF((J16+K16)&gt;0,L16/(J16+K16),"")</f>
        <v>0.033616619452313506</v>
      </c>
    </row>
    <row r="17">
      <c r="A17" s="7" t="s">
        <v>29</v>
      </c>
      <c r="B17" s="11">
        <v>266.728</v>
      </c>
      <c r="C17" s="9">
        <f>IF(N(B17)&gt;0,E17/B17,"")</f>
        <v>20.732731471761493</v>
      </c>
      <c r="D17" s="8">
        <v>178</v>
      </c>
      <c r="E17" s="8">
        <v>5530</v>
      </c>
      <c r="F17" s="8">
        <v>137</v>
      </c>
      <c r="G17" s="8">
        <f>D17+E17+F17</f>
        <v>5845</v>
      </c>
      <c r="H17" s="8">
        <v>350</v>
      </c>
      <c r="I17" s="8">
        <v>30</v>
      </c>
      <c r="J17" s="8">
        <f>H17+I17</f>
        <v>380</v>
      </c>
      <c r="K17" s="8">
        <v>5030</v>
      </c>
      <c r="L17" s="8">
        <v>435</v>
      </c>
      <c r="M17" s="8">
        <f>J17+K17+L17</f>
        <v>5845</v>
      </c>
      <c r="N17" s="10">
        <f>IF((J17+K17)&gt;0,L17/(J17+K17),"")</f>
        <v>0.08040665434380777</v>
      </c>
    </row>
    <row r="18" ht="6" customHeight="1"/>
    <row r="19">
      <c r="A19" s="3" t="s">
        <v>30</v>
      </c>
      <c r="B19" s="12">
        <v>266.728</v>
      </c>
      <c r="C19" s="5">
        <f>IF(N(B19)&gt;0,E19/B19,"")</f>
        <v>22.607300320926186</v>
      </c>
      <c r="D19" s="4">
        <v>435</v>
      </c>
      <c r="E19" s="4">
        <v>6030</v>
      </c>
      <c r="F19" s="4">
        <v>160</v>
      </c>
      <c r="G19" s="4">
        <f>D19+E19+F19</f>
        <v>6625</v>
      </c>
      <c r="H19" s="4">
        <v>380</v>
      </c>
      <c r="I19" s="4">
        <v>35</v>
      </c>
      <c r="J19" s="4">
        <f>H19+I19</f>
        <v>415</v>
      </c>
      <c r="K19" s="4">
        <v>5503</v>
      </c>
      <c r="L19" s="4">
        <v>707</v>
      </c>
      <c r="M19" s="4">
        <f>J19+K19+L19</f>
        <v>6625</v>
      </c>
      <c r="N19" s="6">
        <f>IF((J19+K19)&gt;0,L19/(J19+K19),"")</f>
        <v>0.11946603582291315</v>
      </c>
    </row>
    <row r="20" ht="6" customHeight="1"/>
    <row r="21">
      <c r="A21" s="3" t="s">
        <v>55</v>
      </c>
      <c r="B21" s="4">
        <v>330</v>
      </c>
      <c r="C21" s="5">
        <f>IF(N(B21)&gt;0,E21/B21,"")</f>
        <v>18.272727272727273</v>
      </c>
      <c r="D21" s="4">
        <v>435</v>
      </c>
      <c r="E21" s="4">
        <v>6030</v>
      </c>
      <c r="F21" s="4">
        <v>160</v>
      </c>
      <c r="G21" s="4">
        <f>D21+E21+F21</f>
        <v>6625</v>
      </c>
      <c r="H21" s="4">
        <v>380</v>
      </c>
      <c r="I21" s="4">
        <v>35</v>
      </c>
      <c r="J21" s="4">
        <f>H21+I21</f>
        <v>415</v>
      </c>
      <c r="K21" s="4">
        <v>5503</v>
      </c>
      <c r="L21" s="4">
        <v>707</v>
      </c>
      <c r="M21" s="4">
        <f>J21+K21+L21</f>
        <v>6625</v>
      </c>
      <c r="N21" s="6">
        <f>IF((J21+K21)&gt;0,L21/(J21+K21),"")</f>
        <v>0.11946603582291315</v>
      </c>
    </row>
    <row r="22" ht="6" customHeight="1"/>
    <row r="23">
      <c r="A23" s="13" t="s">
        <v>32</v>
      </c>
      <c r="B23" s="14">
        <v>266.728</v>
      </c>
      <c r="C23" s="15">
        <v>22.607300320926186</v>
      </c>
      <c r="D23" s="16">
        <f>L17</f>
        <v>435</v>
      </c>
      <c r="E23" s="16">
        <f>B23*C23</f>
        <v>6030</v>
      </c>
      <c r="F23" s="14">
        <v>160</v>
      </c>
      <c r="G23" s="16">
        <f>D23+E23+F23</f>
        <v>6625</v>
      </c>
      <c r="H23" s="14">
        <v>380</v>
      </c>
      <c r="I23" s="14">
        <v>35</v>
      </c>
      <c r="J23" s="16">
        <f>H23+I23</f>
        <v>415</v>
      </c>
      <c r="K23" s="14">
        <v>5503</v>
      </c>
      <c r="L23" s="16">
        <f>G23-J23-K23</f>
        <v>707</v>
      </c>
      <c r="M23" s="16">
        <f>J23+K23+L23</f>
        <v>6625</v>
      </c>
      <c r="N23" s="17">
        <f>IF((J23+K23)&gt;0,L23/(J23+K23),"")</f>
        <v>0.11946603582291315</v>
      </c>
    </row>
    <row r="25">
      <c r="A25" s="18" t="s">
        <v>56</v>
      </c>
    </row>
    <row r="26">
      <c r="A26" s="18" t="s">
        <v>34</v>
      </c>
    </row>
    <row r="27">
      <c r="A27" s="18" t="s">
        <v>35</v>
      </c>
    </row>
    <row r="28">
      <c r="A28" s="18" t="s">
        <v>36</v>
      </c>
    </row>
    <row r="29">
      <c r="A29" s="18" t="s">
        <v>37</v>
      </c>
    </row>
    <row r="30">
      <c r="A30" s="18" t="s">
        <v>38</v>
      </c>
    </row>
    <row r="31">
      <c r="A31" s="18" t="s">
        <v>57</v>
      </c>
    </row>
    <row r="32">
      <c r="A32" s="18" t="s">
        <v>39</v>
      </c>
    </row>
    <row r="33">
      <c r="A33" s="18" t="s">
        <v>58</v>
      </c>
    </row>
  </sheetData>
  <pageMargins left="0.5" right="0.5" top="0.75" bottom="0.75" header="0.3" footer="0.3"/>
  <pageSetup orientation="landscape" fitToHeight="0"/>
</worksheet>
</file>

<file path=xl/worksheets/sheet8.xml><?xml version="1.0" encoding="utf-8"?>
<worksheet xmlns="http://schemas.openxmlformats.org/spreadsheetml/2006/main" xmlns:r="http://schemas.openxmlformats.org/officeDocument/2006/relationships">
  <dimension ref="A1:N31"/>
  <sheetViews>
    <sheetView workbookViewId="0">
      <pane xSplit="1" ySplit="1" topLeftCell="B2" activePane="bottomRight" state="frozen"/>
      <selection pane="topRight"/>
      <selection pane="bottomLeft"/>
      <selection pane="bottomRight" activeCell="B2" sqref="B2"/>
    </sheetView>
  </sheetViews>
  <sheetFormatPr defaultRowHeight="12.75"/>
  <cols>
    <col min="1" max="1" width="34"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s>
  <sheetData>
    <row r="1" ht="40" customHeight="1">
      <c r="A1" s="2" t="s">
        <v>0</v>
      </c>
      <c r="B1" s="1" t="s">
        <v>1</v>
      </c>
      <c r="C1" s="1" t="s">
        <v>2</v>
      </c>
      <c r="D1" s="1" t="s">
        <v>3</v>
      </c>
      <c r="E1" s="1" t="s">
        <v>4</v>
      </c>
      <c r="F1" s="1" t="s">
        <v>5</v>
      </c>
      <c r="G1" s="1" t="s">
        <v>6</v>
      </c>
      <c r="H1" s="1" t="s">
        <v>7</v>
      </c>
      <c r="I1" s="1" t="s">
        <v>8</v>
      </c>
      <c r="J1" s="1" t="s">
        <v>9</v>
      </c>
      <c r="K1" s="1" t="s">
        <v>10</v>
      </c>
      <c r="L1" s="1" t="s">
        <v>11</v>
      </c>
      <c r="M1" s="1" t="s">
        <v>12</v>
      </c>
      <c r="N1" s="1" t="s">
        <v>13</v>
      </c>
    </row>
    <row r="2">
      <c r="A2" s="3" t="s">
        <v>14</v>
      </c>
      <c r="B2" s="4">
        <v>4494.078999999998</v>
      </c>
      <c r="C2" s="5">
        <f>IF(N(B2)&gt;0,E2/B2,"")</f>
        <v>8.08441507147516</v>
      </c>
      <c r="D2" s="4">
        <v>22121</v>
      </c>
      <c r="E2" s="4">
        <v>36332</v>
      </c>
      <c r="F2" s="4">
        <v>109163</v>
      </c>
      <c r="G2" s="4">
        <f>D2+E2+F2</f>
        <v>167616</v>
      </c>
      <c r="H2" s="4">
        <v>92398</v>
      </c>
      <c r="I2" s="4">
        <v>16287</v>
      </c>
      <c r="J2" s="4">
        <f>H2+I2</f>
        <v>108685</v>
      </c>
      <c r="K2" s="4">
        <v>34922</v>
      </c>
      <c r="L2" s="4">
        <v>24009</v>
      </c>
      <c r="M2" s="4">
        <f>J2+K2+L2</f>
        <v>167616</v>
      </c>
      <c r="N2" s="6">
        <f>IF((J2+K2)&gt;0,L2/(J2+K2),"")</f>
        <v>0.16718544360650944</v>
      </c>
    </row>
    <row r="3">
      <c r="A3" s="7" t="s">
        <v>15</v>
      </c>
      <c r="B3" s="8">
        <v>3882.5299999999997</v>
      </c>
      <c r="C3" s="9">
        <f>IF(N(B3)&gt;0,E3/B3,"")</f>
        <v>10.049375020927076</v>
      </c>
      <c r="D3" s="8">
        <v>24009</v>
      </c>
      <c r="E3" s="8">
        <v>39017</v>
      </c>
      <c r="F3" s="8">
        <v>110248</v>
      </c>
      <c r="G3" s="8">
        <f>D3+E3+F3</f>
        <v>173274</v>
      </c>
      <c r="H3" s="8">
        <v>97808</v>
      </c>
      <c r="I3" s="8">
        <v>16483</v>
      </c>
      <c r="J3" s="8">
        <f>H3+I3</f>
        <v>114291</v>
      </c>
      <c r="K3" s="8">
        <v>37758</v>
      </c>
      <c r="L3" s="8">
        <v>21225</v>
      </c>
      <c r="M3" s="8">
        <f>J3+K3+L3</f>
        <v>173274</v>
      </c>
      <c r="N3" s="10">
        <f>IF((J3+K3)&gt;0,L3/(J3+K3),"")</f>
        <v>0.13959315746897383</v>
      </c>
    </row>
    <row r="4">
      <c r="A4" s="3" t="s">
        <v>16</v>
      </c>
      <c r="B4" s="4">
        <v>4306.336000000001</v>
      </c>
      <c r="C4" s="5">
        <f>IF(N(B4)&gt;0,E4/B4,"")</f>
        <v>8.653760412564182</v>
      </c>
      <c r="D4" s="4">
        <v>21225</v>
      </c>
      <c r="E4" s="4">
        <v>37266</v>
      </c>
      <c r="F4" s="4">
        <v>115499</v>
      </c>
      <c r="G4" s="4">
        <f>D4+E4+F4</f>
        <v>173990</v>
      </c>
      <c r="H4" s="4">
        <v>96265</v>
      </c>
      <c r="I4" s="4">
        <v>17645</v>
      </c>
      <c r="J4" s="4">
        <f>H4+I4</f>
        <v>113910</v>
      </c>
      <c r="K4" s="4">
        <v>37201</v>
      </c>
      <c r="L4" s="4">
        <v>22879</v>
      </c>
      <c r="M4" s="4">
        <f>J4+K4+L4</f>
        <v>173990</v>
      </c>
      <c r="N4" s="6">
        <f>IF((J4+K4)&gt;0,L4/(J4+K4),"")</f>
        <v>0.1514052583862194</v>
      </c>
    </row>
    <row r="5">
      <c r="A5" s="7" t="s">
        <v>17</v>
      </c>
      <c r="B5" s="8">
        <v>4353.757000000002</v>
      </c>
      <c r="C5" s="9">
        <f>IF(N(B5)&gt;0,E5/B5,"")</f>
        <v>7.912935885029867</v>
      </c>
      <c r="D5" s="8">
        <v>22879</v>
      </c>
      <c r="E5" s="8">
        <v>34451</v>
      </c>
      <c r="F5" s="8">
        <v>116780</v>
      </c>
      <c r="G5" s="8">
        <f>D5+E5+F5</f>
        <v>174110</v>
      </c>
      <c r="H5" s="8">
        <v>96997</v>
      </c>
      <c r="I5" s="8">
        <v>17167</v>
      </c>
      <c r="J5" s="8">
        <f>H5+I5</f>
        <v>114164</v>
      </c>
      <c r="K5" s="8">
        <v>34580</v>
      </c>
      <c r="L5" s="8">
        <v>25366</v>
      </c>
      <c r="M5" s="8">
        <f>J5+K5+L5</f>
        <v>174110</v>
      </c>
      <c r="N5" s="10">
        <f>IF((J5+K5)&gt;0,L5/(J5+K5),"")</f>
        <v>0.17053460979938687</v>
      </c>
    </row>
    <row r="6">
      <c r="A6" s="3" t="s">
        <v>18</v>
      </c>
      <c r="B6" s="4">
        <v>4336.0030000000015</v>
      </c>
      <c r="C6" s="5">
        <f>IF(N(B6)&gt;0,E6/B6,"")</f>
        <v>7.668583255131509</v>
      </c>
      <c r="D6" s="4">
        <v>25366</v>
      </c>
      <c r="E6" s="4">
        <v>33251</v>
      </c>
      <c r="F6" s="4">
        <v>117295</v>
      </c>
      <c r="G6" s="4">
        <f>D6+E6+F6</f>
        <v>175912</v>
      </c>
      <c r="H6" s="4">
        <v>99097</v>
      </c>
      <c r="I6" s="4">
        <v>17594</v>
      </c>
      <c r="J6" s="4">
        <f>H6+I6</f>
        <v>116691</v>
      </c>
      <c r="K6" s="4">
        <v>33137</v>
      </c>
      <c r="L6" s="4">
        <v>26084</v>
      </c>
      <c r="M6" s="4">
        <f>J6+K6+L6</f>
        <v>175912</v>
      </c>
      <c r="N6" s="6">
        <f>IF((J6+K6)&gt;0,L6/(J6+K6),"")</f>
        <v>0.1740929599273834</v>
      </c>
    </row>
    <row r="7">
      <c r="A7" s="7" t="s">
        <v>19</v>
      </c>
      <c r="B7" s="8">
        <v>4979.162</v>
      </c>
      <c r="C7" s="9">
        <f>IF(N(B7)&gt;0,E7/B7,"")</f>
        <v>6.555119114421261</v>
      </c>
      <c r="D7" s="8">
        <v>26084</v>
      </c>
      <c r="E7" s="8">
        <v>32639</v>
      </c>
      <c r="F7" s="8">
        <v>124477</v>
      </c>
      <c r="G7" s="8">
        <f>D7+E7+F7</f>
        <v>183200</v>
      </c>
      <c r="H7" s="8">
        <v>101043</v>
      </c>
      <c r="I7" s="8">
        <v>20363</v>
      </c>
      <c r="J7" s="8">
        <f>H7+I7</f>
        <v>121406</v>
      </c>
      <c r="K7" s="8">
        <v>35246</v>
      </c>
      <c r="L7" s="8">
        <v>26548</v>
      </c>
      <c r="M7" s="8">
        <f>J7+K7+L7</f>
        <v>183200</v>
      </c>
      <c r="N7" s="10">
        <f>IF((J7+K7)&gt;0,L7/(J7+K7),"")</f>
        <v>0.16947118453642468</v>
      </c>
    </row>
    <row r="8">
      <c r="A8" s="3" t="s">
        <v>20</v>
      </c>
      <c r="B8" s="4">
        <v>4890.804</v>
      </c>
      <c r="C8" s="5">
        <f>IF(N(B8)&gt;0,E8/B8,"")</f>
        <v>6.900910361568363</v>
      </c>
      <c r="D8" s="4">
        <v>26548</v>
      </c>
      <c r="E8" s="4">
        <v>33751</v>
      </c>
      <c r="F8" s="4">
        <v>126943</v>
      </c>
      <c r="G8" s="4">
        <f>D8+E8+F8</f>
        <v>187242</v>
      </c>
      <c r="H8" s="4">
        <v>100222</v>
      </c>
      <c r="I8" s="4">
        <v>22109</v>
      </c>
      <c r="J8" s="4">
        <f>H8+I8</f>
        <v>122331</v>
      </c>
      <c r="K8" s="4">
        <v>36518</v>
      </c>
      <c r="L8" s="4">
        <v>28393</v>
      </c>
      <c r="M8" s="4">
        <f>J8+K8+L8</f>
        <v>187242</v>
      </c>
      <c r="N8" s="6">
        <f>IF((J8+K8)&gt;0,L8/(J8+K8),"")</f>
        <v>0.17874207580784268</v>
      </c>
    </row>
    <row r="9">
      <c r="A9" s="7" t="s">
        <v>21</v>
      </c>
      <c r="B9" s="8">
        <v>4332.2029999999995</v>
      </c>
      <c r="C9" s="9">
        <f>IF(N(B9)&gt;0,E9/B9,"")</f>
        <v>8.063795717790695</v>
      </c>
      <c r="D9" s="8">
        <v>28393</v>
      </c>
      <c r="E9" s="8">
        <v>34934</v>
      </c>
      <c r="F9" s="8">
        <v>126813</v>
      </c>
      <c r="G9" s="8">
        <f>D9+E9+F9</f>
        <v>190140</v>
      </c>
      <c r="H9" s="8">
        <v>105417</v>
      </c>
      <c r="I9" s="8">
        <v>20925</v>
      </c>
      <c r="J9" s="8">
        <f>H9+I9</f>
        <v>126342</v>
      </c>
      <c r="K9" s="8">
        <v>37660</v>
      </c>
      <c r="L9" s="8">
        <v>26138</v>
      </c>
      <c r="M9" s="8">
        <f>J9+K9+L9</f>
        <v>190140</v>
      </c>
      <c r="N9" s="10">
        <f>IF((J9+K9)&gt;0,L9/(J9+K9),"")</f>
        <v>0.15937610516944914</v>
      </c>
    </row>
    <row r="10">
      <c r="A10" s="3" t="s">
        <v>22</v>
      </c>
      <c r="B10" s="4">
        <v>5395.506999999999</v>
      </c>
      <c r="C10" s="5">
        <f>IF(N(B10)&gt;0,E10/B10,"")</f>
        <v>6.558419811150279</v>
      </c>
      <c r="D10" s="4">
        <v>26138</v>
      </c>
      <c r="E10" s="4">
        <v>35386</v>
      </c>
      <c r="F10" s="4">
        <v>134480</v>
      </c>
      <c r="G10" s="4">
        <f>D10+E10+F10</f>
        <v>196004</v>
      </c>
      <c r="H10" s="4">
        <v>108961</v>
      </c>
      <c r="I10" s="4">
        <v>20869</v>
      </c>
      <c r="J10" s="4">
        <f>H10+I10</f>
        <v>129830</v>
      </c>
      <c r="K10" s="4">
        <v>38321</v>
      </c>
      <c r="L10" s="4">
        <v>27853</v>
      </c>
      <c r="M10" s="4">
        <f>J10+K10+L10</f>
        <v>196004</v>
      </c>
      <c r="N10" s="6">
        <f>IF((J10+K10)&gt;0,L10/(J10+K10),"")</f>
        <v>0.16564278535364046</v>
      </c>
    </row>
    <row r="11">
      <c r="A11" s="7" t="s">
        <v>23</v>
      </c>
      <c r="B11" s="8">
        <v>4935.799999999999</v>
      </c>
      <c r="C11" s="9">
        <f>IF(N(B11)&gt;0,E11/B11,"")</f>
        <v>6.945176060618341</v>
      </c>
      <c r="D11" s="8">
        <v>27853</v>
      </c>
      <c r="E11" s="8">
        <v>34280</v>
      </c>
      <c r="F11" s="8">
        <v>128182</v>
      </c>
      <c r="G11" s="8">
        <f>D11+E11+F11</f>
        <v>190315</v>
      </c>
      <c r="H11" s="8">
        <v>104344</v>
      </c>
      <c r="I11" s="8">
        <v>21636</v>
      </c>
      <c r="J11" s="8">
        <f>H11+I11</f>
        <v>125980</v>
      </c>
      <c r="K11" s="8">
        <v>36877</v>
      </c>
      <c r="L11" s="8">
        <v>27458</v>
      </c>
      <c r="M11" s="8">
        <f>J11+K11+L11</f>
        <v>190315</v>
      </c>
      <c r="N11" s="10">
        <f>IF((J11+K11)&gt;0,L11/(J11+K11),"")</f>
        <v>0.16860190228237043</v>
      </c>
    </row>
    <row r="12">
      <c r="A12" s="3" t="s">
        <v>24</v>
      </c>
      <c r="B12" s="4">
        <v>4702.923999999998</v>
      </c>
      <c r="C12" s="5">
        <f>IF(N(B12)&gt;0,E12/B12,"")</f>
        <v>6.987993001800585</v>
      </c>
      <c r="D12" s="4">
        <v>27458</v>
      </c>
      <c r="E12" s="4">
        <v>32864</v>
      </c>
      <c r="F12" s="4">
        <v>128669</v>
      </c>
      <c r="G12" s="4">
        <f>D12+E12+F12</f>
        <v>188991</v>
      </c>
      <c r="H12" s="4">
        <v>106218</v>
      </c>
      <c r="I12" s="4">
        <v>20876</v>
      </c>
      <c r="J12" s="4">
        <f>H12+I12</f>
        <v>127094</v>
      </c>
      <c r="K12" s="4">
        <v>36140</v>
      </c>
      <c r="L12" s="4">
        <v>25757</v>
      </c>
      <c r="M12" s="4">
        <f>J12+K12+L12</f>
        <v>188991</v>
      </c>
      <c r="N12" s="6">
        <f>IF((J12+K12)&gt;0,L12/(J12+K12),"")</f>
        <v>0.15779188159329552</v>
      </c>
    </row>
    <row r="13">
      <c r="A13" s="7" t="s">
        <v>25</v>
      </c>
      <c r="B13" s="8">
        <v>4684.185</v>
      </c>
      <c r="C13" s="9">
        <f>IF(N(B13)&gt;0,E13/B13,"")</f>
        <v>7.255050771905891</v>
      </c>
      <c r="D13" s="8">
        <v>25757</v>
      </c>
      <c r="E13" s="8">
        <v>33984</v>
      </c>
      <c r="F13" s="8">
        <v>136995</v>
      </c>
      <c r="G13" s="8">
        <f>D13+E13+F13</f>
        <v>196736</v>
      </c>
      <c r="H13" s="8">
        <v>108461</v>
      </c>
      <c r="I13" s="8">
        <v>23118</v>
      </c>
      <c r="J13" s="8">
        <f>H13+I13</f>
        <v>131579</v>
      </c>
      <c r="K13" s="8">
        <v>39764</v>
      </c>
      <c r="L13" s="8">
        <v>25393</v>
      </c>
      <c r="M13" s="8">
        <f>J13+K13+L13</f>
        <v>196736</v>
      </c>
      <c r="N13" s="10">
        <f>IF((J13+K13)&gt;0,L13/(J13+K13),"")</f>
        <v>0.14819980973836105</v>
      </c>
    </row>
    <row r="14">
      <c r="A14" s="3" t="s">
        <v>26</v>
      </c>
      <c r="B14" s="4">
        <v>4857.357</v>
      </c>
      <c r="C14" s="5">
        <f>IF(N(B14)&gt;0,E14/B14,"")</f>
        <v>6.72464469875284</v>
      </c>
      <c r="D14" s="4">
        <v>25393</v>
      </c>
      <c r="E14" s="4">
        <v>32664</v>
      </c>
      <c r="F14" s="4">
        <v>129790</v>
      </c>
      <c r="G14" s="4">
        <f>D14+E14+F14</f>
        <v>187847</v>
      </c>
      <c r="H14" s="4">
        <v>109770</v>
      </c>
      <c r="I14" s="4">
        <v>22316</v>
      </c>
      <c r="J14" s="4">
        <f>H14+I14</f>
        <v>132086</v>
      </c>
      <c r="K14" s="4">
        <v>36302</v>
      </c>
      <c r="L14" s="4">
        <v>19459</v>
      </c>
      <c r="M14" s="4">
        <f>J14+K14+L14</f>
        <v>187847</v>
      </c>
      <c r="N14" s="6">
        <f>IF((J14+K14)&gt;0,L14/(J14+K14),"")</f>
        <v>0.1155604912464071</v>
      </c>
    </row>
    <row r="15">
      <c r="A15" s="7" t="s">
        <v>27</v>
      </c>
      <c r="B15" s="8">
        <v>4521.124000000002</v>
      </c>
      <c r="C15" s="9">
        <f>IF(N(B15)&gt;0,E15/B15,"")</f>
        <v>7.519147893311484</v>
      </c>
      <c r="D15" s="8">
        <v>19459</v>
      </c>
      <c r="E15" s="8">
        <v>33995</v>
      </c>
      <c r="F15" s="8">
        <v>130378</v>
      </c>
      <c r="G15" s="8">
        <f>D15+E15+F15</f>
        <v>183832</v>
      </c>
      <c r="H15" s="8">
        <v>103880</v>
      </c>
      <c r="I15" s="8">
        <v>22839</v>
      </c>
      <c r="J15" s="8">
        <f>H15+I15</f>
        <v>126719</v>
      </c>
      <c r="K15" s="8">
        <v>38551</v>
      </c>
      <c r="L15" s="8">
        <v>18562</v>
      </c>
      <c r="M15" s="8">
        <f>J15+K15+L15</f>
        <v>183832</v>
      </c>
      <c r="N15" s="10">
        <f>IF((J15+K15)&gt;0,L15/(J15+K15),"")</f>
        <v>0.11231318448599262</v>
      </c>
    </row>
    <row r="16">
      <c r="A16" s="3" t="s">
        <v>28</v>
      </c>
      <c r="B16" s="12">
        <v>4766.369</v>
      </c>
      <c r="C16" s="5">
        <f>IF(N(B16)&gt;0,E16/B16,"")</f>
        <v>7.019179589326803</v>
      </c>
      <c r="D16" s="4">
        <v>18562</v>
      </c>
      <c r="E16" s="4">
        <v>33456</v>
      </c>
      <c r="F16" s="4">
        <v>137580</v>
      </c>
      <c r="G16" s="4">
        <f>D16+E16+F16</f>
        <v>189598</v>
      </c>
      <c r="H16" s="4">
        <v>109116</v>
      </c>
      <c r="I16" s="4">
        <v>24193</v>
      </c>
      <c r="J16" s="4">
        <f>H16+I16</f>
        <v>133309</v>
      </c>
      <c r="K16" s="4">
        <v>38394</v>
      </c>
      <c r="L16" s="4">
        <v>17895</v>
      </c>
      <c r="M16" s="4">
        <f>J16+K16+L16</f>
        <v>189598</v>
      </c>
      <c r="N16" s="6">
        <f>IF((J16+K16)&gt;0,L16/(J16+K16),"")</f>
        <v>0.10422066009330064</v>
      </c>
    </row>
    <row r="17">
      <c r="A17" s="7" t="s">
        <v>29</v>
      </c>
      <c r="B17" s="11">
        <v>4766.369</v>
      </c>
      <c r="C17" s="9">
        <f>IF(N(B17)&gt;0,E17/B17,"")</f>
        <v>7.358851150634792</v>
      </c>
      <c r="D17" s="8">
        <v>17895</v>
      </c>
      <c r="E17" s="8">
        <v>35075</v>
      </c>
      <c r="F17" s="8">
        <v>137539</v>
      </c>
      <c r="G17" s="8">
        <f>D17+E17+F17</f>
        <v>190509</v>
      </c>
      <c r="H17" s="8">
        <v>109132</v>
      </c>
      <c r="I17" s="8">
        <v>24927</v>
      </c>
      <c r="J17" s="8">
        <f>H17+I17</f>
        <v>134059</v>
      </c>
      <c r="K17" s="8">
        <v>39225</v>
      </c>
      <c r="L17" s="8">
        <v>17225</v>
      </c>
      <c r="M17" s="8">
        <f>J17+K17+L17</f>
        <v>190509</v>
      </c>
      <c r="N17" s="10">
        <f>IF((J17+K17)&gt;0,L17/(J17+K17),"")</f>
        <v>0.09940329170610097</v>
      </c>
    </row>
    <row r="18" ht="6" customHeight="1"/>
    <row r="19">
      <c r="A19" s="3" t="s">
        <v>30</v>
      </c>
      <c r="B19" s="12">
        <v>4766.369</v>
      </c>
      <c r="C19" s="5">
        <f>IF(N(B19)&gt;0,E19/B19,"")</f>
        <v>7.384447154637</v>
      </c>
      <c r="D19" s="4">
        <v>17225</v>
      </c>
      <c r="E19" s="4">
        <v>35197</v>
      </c>
      <c r="F19" s="4">
        <v>145932</v>
      </c>
      <c r="G19" s="4">
        <f>D19+E19+F19</f>
        <v>198354</v>
      </c>
      <c r="H19" s="4">
        <v>113831</v>
      </c>
      <c r="I19" s="4">
        <v>25735</v>
      </c>
      <c r="J19" s="4">
        <f>H19+I19</f>
        <v>139566</v>
      </c>
      <c r="K19" s="4">
        <v>39941</v>
      </c>
      <c r="L19" s="4">
        <v>18847</v>
      </c>
      <c r="M19" s="4">
        <f>J19+K19+L19</f>
        <v>198354</v>
      </c>
      <c r="N19" s="6">
        <f>IF((J19+K19)&gt;0,L19/(J19+K19),"")</f>
        <v>0.10499312004545784</v>
      </c>
    </row>
    <row r="20" ht="6" customHeight="1"/>
    <row r="22" ht="6" customHeight="1"/>
    <row r="23">
      <c r="A23" s="13" t="s">
        <v>32</v>
      </c>
      <c r="B23" s="19">
        <f>World!D63-Brazil!B23-Vietnam!B23-Colombia!B23-Indonesia!B23-Ethiopia!B23-Uganda!B23-Honduras!B23</f>
        <v>4766.369</v>
      </c>
      <c r="C23" s="20">
        <f>IF(N(B23)&gt;0,E23/B23,"")</f>
        <v>7.384447154637</v>
      </c>
      <c r="D23" s="19">
        <f>World!C63-Brazil!D23-Vietnam!D23-Colombia!D23-Indonesia!D23-Ethiopia!D23-Uganda!D23-Honduras!D23</f>
        <v>17225</v>
      </c>
      <c r="E23" s="19">
        <f>World!F63-Brazil!E23-Vietnam!E23-Colombia!E23-Indonesia!E23-Ethiopia!E23-Uganda!E23-Honduras!E23</f>
        <v>35197</v>
      </c>
      <c r="F23" s="19">
        <f>World!G63-Brazil!F23-Vietnam!F23-Colombia!F23-Indonesia!F23-Ethiopia!F23-Uganda!F23-Honduras!F23</f>
        <v>145932</v>
      </c>
      <c r="G23" s="16">
        <f>D23+E23+F23</f>
        <v>198354</v>
      </c>
      <c r="H23" s="19">
        <f>World!J63-Brazil!H23-Vietnam!H23-Colombia!H23-Indonesia!H23-Ethiopia!H23-Uganda!H23-Honduras!H23</f>
        <v>113831</v>
      </c>
      <c r="I23" s="19">
        <f>World!K63-Brazil!I23-Vietnam!I23-Colombia!I23-Indonesia!I23-Ethiopia!I23-Uganda!I23-Honduras!I23</f>
        <v>25735</v>
      </c>
      <c r="J23" s="16">
        <f>H23+I23</f>
        <v>139566</v>
      </c>
      <c r="K23" s="19">
        <f>World!I63-Brazil!K23-Vietnam!K23-Colombia!K23-Indonesia!K23-Ethiopia!K23-Uganda!K23-Honduras!K23</f>
        <v>39941</v>
      </c>
      <c r="L23" s="19">
        <f>World!M63-Brazil!L23-Vietnam!L23-Colombia!L23-Indonesia!L23-Ethiopia!L23-Uganda!L23-Honduras!L23</f>
        <v>18847</v>
      </c>
      <c r="M23" s="16">
        <f>J23+K23+L23</f>
        <v>198354</v>
      </c>
      <c r="N23" s="17">
        <f>IF((J23+K23)&gt;0,L23/(J23+K23),"")</f>
        <v>0.10499312004545784</v>
      </c>
    </row>
    <row r="25">
      <c r="A25" s="18" t="s">
        <v>59</v>
      </c>
    </row>
    <row r="26">
      <c r="A26" s="18" t="s">
        <v>34</v>
      </c>
    </row>
    <row r="27">
      <c r="A27" s="18" t="s">
        <v>35</v>
      </c>
    </row>
    <row r="28">
      <c r="A28" s="18" t="s">
        <v>36</v>
      </c>
    </row>
    <row r="29">
      <c r="A29" s="18" t="s">
        <v>37</v>
      </c>
    </row>
    <row r="30">
      <c r="A30" s="18" t="s">
        <v>38</v>
      </c>
    </row>
    <row r="31">
      <c r="A31" s="18" t="s">
        <v>60</v>
      </c>
    </row>
  </sheetData>
  <pageMargins left="0.5" right="0.5" top="0.75" bottom="0.75" header="0.3" footer="0.3"/>
  <pageSetup orientation="landscape" fitToHeight="0"/>
</worksheet>
</file>

<file path=xl/worksheets/sheet9.xml><?xml version="1.0" encoding="utf-8"?>
<worksheet xmlns="http://schemas.openxmlformats.org/spreadsheetml/2006/main" xmlns:r="http://schemas.openxmlformats.org/officeDocument/2006/relationships">
  <dimension ref="A1:O96"/>
  <sheetViews>
    <sheetView workbookViewId="0">
      <pane xSplit="2" ySplit="1" topLeftCell="C2" activePane="bottomRight" state="frozen"/>
      <selection pane="topRight"/>
      <selection pane="bottomLeft"/>
      <selection pane="bottomRight" activeCell="C2" sqref="C2"/>
    </sheetView>
  </sheetViews>
  <sheetFormatPr defaultRowHeight="12.75"/>
  <cols>
    <col min="1" max="1" width="16" customWidth="1"/>
    <col min="2" max="2" width="20"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s>
  <sheetData>
    <row r="1" ht="66" customHeight="1">
      <c r="A1" s="21" t="s">
        <v>61</v>
      </c>
      <c r="B1" s="21" t="s">
        <v>62</v>
      </c>
      <c r="C1" s="22" t="s">
        <v>63</v>
      </c>
      <c r="D1" s="22" t="s">
        <v>64</v>
      </c>
      <c r="E1" s="22" t="s">
        <v>65</v>
      </c>
      <c r="F1" s="22" t="s">
        <v>66</v>
      </c>
      <c r="G1" s="22" t="s">
        <v>67</v>
      </c>
      <c r="H1" s="22" t="s">
        <v>68</v>
      </c>
      <c r="I1" s="22" t="s">
        <v>69</v>
      </c>
      <c r="J1" s="22" t="s">
        <v>70</v>
      </c>
      <c r="K1" s="22" t="s">
        <v>71</v>
      </c>
      <c r="L1" s="22" t="s">
        <v>72</v>
      </c>
      <c r="M1" s="22" t="s">
        <v>73</v>
      </c>
      <c r="N1" s="22" t="s">
        <v>74</v>
      </c>
      <c r="O1" s="22" t="s">
        <v>75</v>
      </c>
    </row>
    <row r="2">
      <c r="A2" s="3" t="s">
        <v>14</v>
      </c>
      <c r="B2" s="3" t="s">
        <v>76</v>
      </c>
      <c r="C2" s="4">
        <v>28845</v>
      </c>
      <c r="D2" s="4">
        <v>10341.419000000004</v>
      </c>
      <c r="E2" s="5">
        <f>IF(N(D2)&gt;0,F2/D2,"")</f>
        <v>13.674042217997352</v>
      </c>
      <c r="F2" s="4">
        <v>141409</v>
      </c>
      <c r="G2" s="4">
        <v>110866</v>
      </c>
      <c r="H2" s="4">
        <f>C2+F2+G2</f>
        <v>281120</v>
      </c>
      <c r="I2" s="4">
        <v>116972</v>
      </c>
      <c r="J2" s="4">
        <v>117204</v>
      </c>
      <c r="K2" s="4">
        <v>18304</v>
      </c>
      <c r="L2" s="4">
        <f>J2+K2</f>
        <v>135508</v>
      </c>
      <c r="M2" s="4">
        <v>28640</v>
      </c>
      <c r="N2" s="4">
        <f>I2+L2+M2</f>
        <v>281120</v>
      </c>
      <c r="O2" s="6">
        <f>IF((L2+I2)&gt;0,M2/(L2+I2),"")</f>
        <v>0.11343472750316856</v>
      </c>
    </row>
    <row r="3">
      <c r="A3" s="7" t="s">
        <v>15</v>
      </c>
      <c r="B3" s="7" t="s">
        <v>76</v>
      </c>
      <c r="C3" s="8">
        <v>28640</v>
      </c>
      <c r="D3" s="8">
        <v>9817.829000000003</v>
      </c>
      <c r="E3" s="9">
        <f>IF(N(D3)&gt;0,F3/D3,"")</f>
        <v>14.752446798574303</v>
      </c>
      <c r="F3" s="8">
        <v>144837</v>
      </c>
      <c r="G3" s="8">
        <v>113133</v>
      </c>
      <c r="H3" s="8">
        <f>C3+F3+G3</f>
        <v>286610</v>
      </c>
      <c r="I3" s="8">
        <v>118031</v>
      </c>
      <c r="J3" s="8">
        <v>124258</v>
      </c>
      <c r="K3" s="8">
        <v>18573</v>
      </c>
      <c r="L3" s="8">
        <f>J3+K3</f>
        <v>142831</v>
      </c>
      <c r="M3" s="8">
        <v>25748</v>
      </c>
      <c r="N3" s="8">
        <f>I3+L3+M3</f>
        <v>286610</v>
      </c>
      <c r="O3" s="10">
        <f>IF((L3+I3)&gt;0,M3/(L3+I3),"")</f>
        <v>0.09870352906900967</v>
      </c>
    </row>
    <row r="4">
      <c r="A4" s="3" t="s">
        <v>16</v>
      </c>
      <c r="B4" s="3" t="s">
        <v>76</v>
      </c>
      <c r="C4" s="4">
        <v>25748</v>
      </c>
      <c r="D4" s="4">
        <v>10263.796999999999</v>
      </c>
      <c r="E4" s="5">
        <f>IF(N(D4)&gt;0,F4/D4,"")</f>
        <v>15.395666925212963</v>
      </c>
      <c r="F4" s="4">
        <v>158018</v>
      </c>
      <c r="G4" s="4">
        <v>118238</v>
      </c>
      <c r="H4" s="4">
        <f>C4+F4+G4</f>
        <v>302004</v>
      </c>
      <c r="I4" s="4">
        <v>123239</v>
      </c>
      <c r="J4" s="4">
        <v>123485</v>
      </c>
      <c r="K4" s="4">
        <v>19915</v>
      </c>
      <c r="L4" s="4">
        <f>J4+K4</f>
        <v>143400</v>
      </c>
      <c r="M4" s="4">
        <v>35365</v>
      </c>
      <c r="N4" s="4">
        <f>I4+L4+M4</f>
        <v>302004</v>
      </c>
      <c r="O4" s="6">
        <f>IF((L4+I4)&gt;0,M4/(L4+I4),"")</f>
        <v>0.13263251062297712</v>
      </c>
    </row>
    <row r="5">
      <c r="A5" s="7" t="s">
        <v>17</v>
      </c>
      <c r="B5" s="7" t="s">
        <v>76</v>
      </c>
      <c r="C5" s="8">
        <v>35365</v>
      </c>
      <c r="D5" s="8">
        <v>10235.547999999999</v>
      </c>
      <c r="E5" s="9">
        <f>IF(N(D5)&gt;0,F5/D5,"")</f>
        <v>15.63707189883727</v>
      </c>
      <c r="F5" s="8">
        <v>160054</v>
      </c>
      <c r="G5" s="8">
        <v>118902</v>
      </c>
      <c r="H5" s="8">
        <f>C5+F5+G5</f>
        <v>314321</v>
      </c>
      <c r="I5" s="8">
        <v>129260</v>
      </c>
      <c r="J5" s="8">
        <v>124485</v>
      </c>
      <c r="K5" s="8">
        <v>19392</v>
      </c>
      <c r="L5" s="8">
        <f>J5+K5</f>
        <v>143877</v>
      </c>
      <c r="M5" s="8">
        <v>41184</v>
      </c>
      <c r="N5" s="8">
        <f>I5+L5+M5</f>
        <v>314321</v>
      </c>
      <c r="O5" s="10">
        <f>IF((L5+I5)&gt;0,M5/(L5+I5),"")</f>
        <v>0.15078147596261218</v>
      </c>
    </row>
    <row r="6">
      <c r="A6" s="3" t="s">
        <v>18</v>
      </c>
      <c r="B6" s="3" t="s">
        <v>76</v>
      </c>
      <c r="C6" s="4">
        <v>41184</v>
      </c>
      <c r="D6" s="4">
        <v>10277.754000000003</v>
      </c>
      <c r="E6" s="5">
        <f>IF(N(D6)&gt;0,F6/D6,"")</f>
        <v>14.963969754481374</v>
      </c>
      <c r="F6" s="4">
        <v>153796</v>
      </c>
      <c r="G6" s="4">
        <v>119342</v>
      </c>
      <c r="H6" s="4">
        <f>C6+F6+G6</f>
        <v>314322</v>
      </c>
      <c r="I6" s="4">
        <v>124027</v>
      </c>
      <c r="J6" s="4">
        <v>127079</v>
      </c>
      <c r="K6" s="4">
        <v>20084</v>
      </c>
      <c r="L6" s="4">
        <f>J6+K6</f>
        <v>147163</v>
      </c>
      <c r="M6" s="4">
        <v>43132</v>
      </c>
      <c r="N6" s="4">
        <f>I6+L6+M6</f>
        <v>314322</v>
      </c>
      <c r="O6" s="6">
        <f>IF((L6+I6)&gt;0,M6/(L6+I6),"")</f>
        <v>0.1590471625059921</v>
      </c>
    </row>
    <row r="7">
      <c r="A7" s="7" t="s">
        <v>19</v>
      </c>
      <c r="B7" s="7" t="s">
        <v>76</v>
      </c>
      <c r="C7" s="8">
        <v>43132</v>
      </c>
      <c r="D7" s="8">
        <v>10940.017999999996</v>
      </c>
      <c r="E7" s="9">
        <f>IF(N(D7)&gt;0,F7/D7,"")</f>
        <v>13.933158062445605</v>
      </c>
      <c r="F7" s="8">
        <v>152429</v>
      </c>
      <c r="G7" s="8">
        <v>126421</v>
      </c>
      <c r="H7" s="8">
        <f>C7+F7+G7</f>
        <v>321982</v>
      </c>
      <c r="I7" s="8">
        <v>133845</v>
      </c>
      <c r="J7" s="8">
        <v>130198</v>
      </c>
      <c r="K7" s="8">
        <v>22988</v>
      </c>
      <c r="L7" s="8">
        <f>J7+K7</f>
        <v>153186</v>
      </c>
      <c r="M7" s="8">
        <v>34951</v>
      </c>
      <c r="N7" s="8">
        <f>I7+L7+M7</f>
        <v>321982</v>
      </c>
      <c r="O7" s="10">
        <f>IF((L7+I7)&gt;0,M7/(L7+I7),"")</f>
        <v>0.12176733523556689</v>
      </c>
    </row>
    <row r="8">
      <c r="A8" s="3" t="s">
        <v>20</v>
      </c>
      <c r="B8" s="3" t="s">
        <v>76</v>
      </c>
      <c r="C8" s="4">
        <v>34951</v>
      </c>
      <c r="D8" s="4">
        <v>11089.384999999997</v>
      </c>
      <c r="E8" s="5">
        <f>IF(N(D8)&gt;0,F8/D8,"")</f>
        <v>14.52551246079021</v>
      </c>
      <c r="F8" s="4">
        <v>161079</v>
      </c>
      <c r="G8" s="4">
        <v>129133</v>
      </c>
      <c r="H8" s="4">
        <f>C8+F8+G8</f>
        <v>325163</v>
      </c>
      <c r="I8" s="4">
        <v>133606</v>
      </c>
      <c r="J8" s="4">
        <v>130275</v>
      </c>
      <c r="K8" s="4">
        <v>24829</v>
      </c>
      <c r="L8" s="4">
        <f>J8+K8</f>
        <v>155104</v>
      </c>
      <c r="M8" s="4">
        <v>36453</v>
      </c>
      <c r="N8" s="4">
        <f>I8+L8+M8</f>
        <v>325163</v>
      </c>
      <c r="O8" s="6">
        <f>IF((L8+I8)&gt;0,M8/(L8+I8),"")</f>
        <v>0.1262616466350317</v>
      </c>
    </row>
    <row r="9">
      <c r="A9" s="7" t="s">
        <v>21</v>
      </c>
      <c r="B9" s="7" t="s">
        <v>76</v>
      </c>
      <c r="C9" s="8">
        <v>36453</v>
      </c>
      <c r="D9" s="8">
        <v>10611.235999999997</v>
      </c>
      <c r="E9" s="9">
        <f>IF(N(D9)&gt;0,F9/D9,"")</f>
        <v>15.060827975176506</v>
      </c>
      <c r="F9" s="8">
        <v>159814</v>
      </c>
      <c r="G9" s="8">
        <v>130485</v>
      </c>
      <c r="H9" s="8">
        <f>C9+F9+G9</f>
        <v>326752</v>
      </c>
      <c r="I9" s="8">
        <v>134174</v>
      </c>
      <c r="J9" s="8">
        <v>136792</v>
      </c>
      <c r="K9" s="8">
        <v>23835</v>
      </c>
      <c r="L9" s="8">
        <f>J9+K9</f>
        <v>160627</v>
      </c>
      <c r="M9" s="8">
        <v>31951</v>
      </c>
      <c r="N9" s="8">
        <f>I9+L9+M9</f>
        <v>326752</v>
      </c>
      <c r="O9" s="10">
        <f>IF((L9+I9)&gt;0,M9/(L9+I9),"")</f>
        <v>0.10838158622257048</v>
      </c>
    </row>
    <row r="10">
      <c r="A10" s="3" t="s">
        <v>22</v>
      </c>
      <c r="B10" s="3" t="s">
        <v>76</v>
      </c>
      <c r="C10" s="4">
        <v>31951</v>
      </c>
      <c r="D10" s="4">
        <v>11852.642000000002</v>
      </c>
      <c r="E10" s="5">
        <f>IF(N(D10)&gt;0,F10/D10,"")</f>
        <v>14.836860845033536</v>
      </c>
      <c r="F10" s="4">
        <v>175856</v>
      </c>
      <c r="G10" s="4">
        <v>138506</v>
      </c>
      <c r="H10" s="4">
        <f>C10+F10+G10</f>
        <v>346313</v>
      </c>
      <c r="I10" s="4">
        <v>143364</v>
      </c>
      <c r="J10" s="4">
        <v>141895</v>
      </c>
      <c r="K10" s="4">
        <v>24108</v>
      </c>
      <c r="L10" s="4">
        <f>J10+K10</f>
        <v>166003</v>
      </c>
      <c r="M10" s="4">
        <v>36946</v>
      </c>
      <c r="N10" s="4">
        <f>I10+L10+M10</f>
        <v>346313</v>
      </c>
      <c r="O10" s="6">
        <f>IF((L10+I10)&gt;0,M10/(L10+I10),"")</f>
        <v>0.11942450229016023</v>
      </c>
    </row>
    <row r="11">
      <c r="A11" s="7" t="s">
        <v>23</v>
      </c>
      <c r="B11" s="7" t="s">
        <v>76</v>
      </c>
      <c r="C11" s="8">
        <v>36946</v>
      </c>
      <c r="D11" s="8">
        <v>11413.050000000001</v>
      </c>
      <c r="E11" s="9">
        <f>IF(N(D11)&gt;0,F11/D11,"")</f>
        <v>14.810239156053814</v>
      </c>
      <c r="F11" s="8">
        <v>169030</v>
      </c>
      <c r="G11" s="8">
        <v>131188</v>
      </c>
      <c r="H11" s="8">
        <f>C11+F11+G11</f>
        <v>337164</v>
      </c>
      <c r="I11" s="8">
        <v>139001</v>
      </c>
      <c r="J11" s="8">
        <v>137270</v>
      </c>
      <c r="K11" s="8">
        <v>25085</v>
      </c>
      <c r="L11" s="8">
        <f>J11+K11</f>
        <v>162355</v>
      </c>
      <c r="M11" s="8">
        <v>35808</v>
      </c>
      <c r="N11" s="8">
        <f>I11+L11+M11</f>
        <v>337164</v>
      </c>
      <c r="O11" s="10">
        <f>IF((L11+I11)&gt;0,M11/(L11+I11),"")</f>
        <v>0.11882292039979293</v>
      </c>
    </row>
    <row r="12">
      <c r="A12" s="3" t="s">
        <v>24</v>
      </c>
      <c r="B12" s="3" t="s">
        <v>76</v>
      </c>
      <c r="C12" s="4">
        <v>35808</v>
      </c>
      <c r="D12" s="4">
        <v>11252.045</v>
      </c>
      <c r="E12" s="5">
        <f>IF(N(D12)&gt;0,F12/D12,"")</f>
        <v>15.694391552824397</v>
      </c>
      <c r="F12" s="4">
        <v>176594</v>
      </c>
      <c r="G12" s="4">
        <v>132126</v>
      </c>
      <c r="H12" s="4">
        <f>C12+F12+G12</f>
        <v>344528</v>
      </c>
      <c r="I12" s="4">
        <v>144941</v>
      </c>
      <c r="J12" s="4">
        <v>137716</v>
      </c>
      <c r="K12" s="4">
        <v>24377</v>
      </c>
      <c r="L12" s="4">
        <f>J12+K12</f>
        <v>162093</v>
      </c>
      <c r="M12" s="4">
        <v>37494</v>
      </c>
      <c r="N12" s="4">
        <f>I12+L12+M12</f>
        <v>344528</v>
      </c>
      <c r="O12" s="6">
        <f>IF((L12+I12)&gt;0,M12/(L12+I12),"")</f>
        <v>0.12211676882690517</v>
      </c>
    </row>
    <row r="13">
      <c r="A13" s="7" t="s">
        <v>25</v>
      </c>
      <c r="B13" s="7" t="s">
        <v>76</v>
      </c>
      <c r="C13" s="8">
        <v>37494</v>
      </c>
      <c r="D13" s="8">
        <v>11472.336</v>
      </c>
      <c r="E13" s="9">
        <f>IF(N(D13)&gt;0,F13/D13,"")</f>
        <v>14.386259258794373</v>
      </c>
      <c r="F13" s="8">
        <v>165044</v>
      </c>
      <c r="G13" s="8">
        <v>140861</v>
      </c>
      <c r="H13" s="8">
        <f>C13+F13+G13</f>
        <v>343399</v>
      </c>
      <c r="I13" s="8">
        <v>143583</v>
      </c>
      <c r="J13" s="8">
        <v>141146</v>
      </c>
      <c r="K13" s="8">
        <v>26730</v>
      </c>
      <c r="L13" s="8">
        <f>J13+K13</f>
        <v>167876</v>
      </c>
      <c r="M13" s="8">
        <v>31940</v>
      </c>
      <c r="N13" s="8">
        <f>I13+L13+M13</f>
        <v>343399</v>
      </c>
      <c r="O13" s="10">
        <f>IF((L13+I13)&gt;0,M13/(L13+I13),"")</f>
        <v>0.10254961327173079</v>
      </c>
    </row>
    <row r="14">
      <c r="A14" s="3" t="s">
        <v>26</v>
      </c>
      <c r="B14" s="3" t="s">
        <v>76</v>
      </c>
      <c r="C14" s="4">
        <v>31940</v>
      </c>
      <c r="D14" s="4">
        <v>11412.067000000005</v>
      </c>
      <c r="E14" s="5">
        <f>IF(N(D14)&gt;0,F14/D14,"")</f>
        <v>14.417107785995292</v>
      </c>
      <c r="F14" s="4">
        <v>164529</v>
      </c>
      <c r="G14" s="4">
        <v>133918</v>
      </c>
      <c r="H14" s="4">
        <f>C14+F14+G14</f>
        <v>330387</v>
      </c>
      <c r="I14" s="4">
        <v>134699</v>
      </c>
      <c r="J14" s="4">
        <v>142805</v>
      </c>
      <c r="K14" s="4">
        <v>25949</v>
      </c>
      <c r="L14" s="4">
        <f>J14+K14</f>
        <v>168754</v>
      </c>
      <c r="M14" s="4">
        <v>26934</v>
      </c>
      <c r="N14" s="4">
        <f>I14+L14+M14</f>
        <v>330387</v>
      </c>
      <c r="O14" s="6">
        <f>IF((L14+I14)&gt;0,M14/(L14+I14),"")</f>
        <v>0.08875839092050498</v>
      </c>
    </row>
    <row r="15">
      <c r="A15" s="7" t="s">
        <v>27</v>
      </c>
      <c r="B15" s="7" t="s">
        <v>76</v>
      </c>
      <c r="C15" s="8">
        <v>26934</v>
      </c>
      <c r="D15" s="8">
        <v>11102.213999999998</v>
      </c>
      <c r="E15" s="9">
        <f>IF(N(D15)&gt;0,F15/D15,"")</f>
        <v>15.252363177290587</v>
      </c>
      <c r="F15" s="8">
        <v>169335</v>
      </c>
      <c r="G15" s="8">
        <v>134270</v>
      </c>
      <c r="H15" s="8">
        <f>C15+F15+G15</f>
        <v>330539</v>
      </c>
      <c r="I15" s="8">
        <v>143474</v>
      </c>
      <c r="J15" s="8">
        <v>137100</v>
      </c>
      <c r="K15" s="8">
        <v>26844</v>
      </c>
      <c r="L15" s="8">
        <f>J15+K15</f>
        <v>163944</v>
      </c>
      <c r="M15" s="8">
        <v>23121</v>
      </c>
      <c r="N15" s="8">
        <f>I15+L15+M15</f>
        <v>330539</v>
      </c>
      <c r="O15" s="10">
        <f>IF((L15+I15)&gt;0,M15/(L15+I15),"")</f>
        <v>0.07521029998243434</v>
      </c>
    </row>
    <row r="16">
      <c r="A16" s="3" t="s">
        <v>28</v>
      </c>
      <c r="B16" s="3" t="s">
        <v>76</v>
      </c>
      <c r="C16" s="4">
        <v>23121</v>
      </c>
      <c r="D16" s="12">
        <v>11362.172</v>
      </c>
      <c r="E16" s="5">
        <f>IF(N(D16)&gt;0,F16/D16,"")</f>
        <v>15.561813357516503</v>
      </c>
      <c r="F16" s="4">
        <v>176816</v>
      </c>
      <c r="G16" s="4">
        <v>141580</v>
      </c>
      <c r="H16" s="4">
        <f>C16+F16+G16</f>
        <v>341517</v>
      </c>
      <c r="I16" s="4">
        <v>147746</v>
      </c>
      <c r="J16" s="4">
        <v>143044</v>
      </c>
      <c r="K16" s="4">
        <v>28717</v>
      </c>
      <c r="L16" s="4">
        <f>J16+K16</f>
        <v>171761</v>
      </c>
      <c r="M16" s="4">
        <v>22010</v>
      </c>
      <c r="N16" s="4">
        <f>I16+L16+M16</f>
        <v>341517</v>
      </c>
      <c r="O16" s="6">
        <f>IF((L16+I16)&gt;0,M16/(L16+I16),"")</f>
        <v>0.06888737961922586</v>
      </c>
    </row>
    <row r="17">
      <c r="A17" s="23" t="s">
        <v>29</v>
      </c>
      <c r="B17" s="24" t="s">
        <v>76</v>
      </c>
      <c r="C17" s="25">
        <f>C19+C28+C38</f>
        <v>22010</v>
      </c>
      <c r="D17" s="25">
        <f>D19+D28+D38</f>
        <v>11362.172</v>
      </c>
      <c r="E17" s="26">
        <f>IF(N(D17)&gt;0,F17/D17,"")</f>
        <v>15.739068199284432</v>
      </c>
      <c r="F17" s="25">
        <f>F19+F28+F38</f>
        <v>178830</v>
      </c>
      <c r="G17" s="25">
        <f>G19+G28+G38</f>
        <v>142931</v>
      </c>
      <c r="H17" s="25">
        <f>C17+F17+G17</f>
        <v>343771</v>
      </c>
      <c r="I17" s="25">
        <f>I19+I28+I38</f>
        <v>145942</v>
      </c>
      <c r="J17" s="25">
        <f>J19+J28+J38</f>
        <v>143882</v>
      </c>
      <c r="K17" s="25">
        <f>K19+K28+K38</f>
        <v>29577</v>
      </c>
      <c r="L17" s="25">
        <f>J17+K17</f>
        <v>173459</v>
      </c>
      <c r="M17" s="25">
        <f>M19+M28+M38</f>
        <v>24370</v>
      </c>
      <c r="N17" s="25">
        <f>I17+L17+M17</f>
        <v>343771</v>
      </c>
      <c r="O17" s="27">
        <f>IF((L17+I17)&gt;0,M17/(L17+I17),"")</f>
        <v>0.07629907232601026</v>
      </c>
    </row>
    <row r="18">
      <c r="A18" s="7"/>
      <c r="B18" s="28" t="s">
        <v>77</v>
      </c>
      <c r="C18" s="29">
        <f>C17-C20</f>
        <v>21055</v>
      </c>
      <c r="D18" s="29">
        <f>D17-D20</f>
        <v>9418.195</v>
      </c>
      <c r="E18" s="30">
        <f>IF(N(D18)&gt;0,F18/D18,"")</f>
        <v>12.298534910351718</v>
      </c>
      <c r="F18" s="29">
        <f>F17-F20</f>
        <v>115830</v>
      </c>
      <c r="G18" s="29">
        <f>G17-G20</f>
        <v>142841</v>
      </c>
      <c r="H18" s="29">
        <f>C18+F18+G18</f>
        <v>279726</v>
      </c>
      <c r="I18" s="29">
        <f>I17-I20</f>
        <v>108072</v>
      </c>
      <c r="J18" s="29">
        <f>J17-J20</f>
        <v>122582</v>
      </c>
      <c r="K18" s="29">
        <f>K17-K20</f>
        <v>28597</v>
      </c>
      <c r="L18" s="29">
        <f>J18+K18</f>
        <v>151179</v>
      </c>
      <c r="M18" s="29">
        <f>M17-M20</f>
        <v>20475</v>
      </c>
      <c r="N18" s="29">
        <f>I18+L18+M18</f>
        <v>279726</v>
      </c>
      <c r="O18" s="31">
        <f>IF((L18+I18)&gt;0,M18/(L18+I18),"")</f>
        <v>0.07897751599800965</v>
      </c>
    </row>
    <row r="19">
      <c r="A19" s="7"/>
      <c r="B19" s="24" t="s">
        <v>78</v>
      </c>
      <c r="C19" s="25">
        <f>C20+C21+C22+C23+C24+C25+C26+C27</f>
        <v>5172</v>
      </c>
      <c r="D19" s="25">
        <f>D20+D21+D22+D23+D24+D25+D26+D27</f>
        <v>11029.735</v>
      </c>
      <c r="E19" s="26">
        <f>IF(N(D19)&gt;0,F19/D19,"")</f>
        <v>15.861668480702392</v>
      </c>
      <c r="F19" s="25">
        <f>F20+F21+F22+F23+F24+F25+F26+F27</f>
        <v>174950</v>
      </c>
      <c r="G19" s="25">
        <f>G20+G21+G22+G23+G24+G25+G26+G27</f>
        <v>12436</v>
      </c>
      <c r="H19" s="25">
        <f>C19+F19+G19</f>
        <v>192558</v>
      </c>
      <c r="I19" s="25">
        <f>I20+I21+I22+I23+I24+I25+I26+I27</f>
        <v>136282</v>
      </c>
      <c r="J19" s="25">
        <f>J20+J21+J22+J23+J24+J25+J26+J27</f>
        <v>38354</v>
      </c>
      <c r="K19" s="25">
        <f>K20+K21+K22+K23+K24+K25+K26+K27</f>
        <v>9652</v>
      </c>
      <c r="L19" s="25">
        <f>J19+K19</f>
        <v>48006</v>
      </c>
      <c r="M19" s="25">
        <f>M20+M21+M22+M23+M24+M25+M26+M27</f>
        <v>8270</v>
      </c>
      <c r="N19" s="25">
        <f>I19+L19+M19</f>
        <v>192558</v>
      </c>
      <c r="O19" s="27">
        <f>IF((L19+I19)&gt;0,M19/(L19+I19),"")</f>
        <v>0.04487541239798576</v>
      </c>
    </row>
    <row r="20">
      <c r="A20" s="7"/>
      <c r="B20" s="32" t="s">
        <v>79</v>
      </c>
      <c r="C20" s="8">
        <v>955</v>
      </c>
      <c r="D20" s="11">
        <v>1943.977</v>
      </c>
      <c r="E20" s="9">
        <f>IF(N(D20)&gt;0,F20/D20,"")</f>
        <v>32.407790832916234</v>
      </c>
      <c r="F20" s="8">
        <v>63000</v>
      </c>
      <c r="G20" s="8">
        <v>90</v>
      </c>
      <c r="H20" s="8">
        <f>C20+F20+G20</f>
        <v>64045</v>
      </c>
      <c r="I20" s="8">
        <v>37870</v>
      </c>
      <c r="J20" s="8">
        <v>21300</v>
      </c>
      <c r="K20" s="8">
        <v>980</v>
      </c>
      <c r="L20" s="8">
        <f>J20+K20</f>
        <v>22280</v>
      </c>
      <c r="M20" s="8">
        <v>3895</v>
      </c>
      <c r="N20" s="8">
        <f>I20+L20+M20</f>
        <v>64045</v>
      </c>
      <c r="O20" s="10">
        <f>IF((L20+I20)&gt;0,M20/(L20+I20),"")</f>
        <v>0.06475477971737323</v>
      </c>
    </row>
    <row r="21">
      <c r="A21" s="7"/>
      <c r="B21" s="33" t="s">
        <v>80</v>
      </c>
      <c r="C21" s="4">
        <v>1089</v>
      </c>
      <c r="D21" s="12">
        <v>678.569</v>
      </c>
      <c r="E21" s="5">
        <f>IF(N(D21)&gt;0,F21/D21,"")</f>
        <v>46.715956667634394</v>
      </c>
      <c r="F21" s="4">
        <v>31700</v>
      </c>
      <c r="G21" s="4">
        <v>1300</v>
      </c>
      <c r="H21" s="4">
        <f>C21+F21+G21</f>
        <v>34089</v>
      </c>
      <c r="I21" s="4">
        <v>28500</v>
      </c>
      <c r="J21" s="4">
        <v>3400</v>
      </c>
      <c r="K21" s="4">
        <v>1500</v>
      </c>
      <c r="L21" s="4">
        <f>J21+K21</f>
        <v>4900</v>
      </c>
      <c r="M21" s="4">
        <v>689</v>
      </c>
      <c r="N21" s="4">
        <f>I21+L21+M21</f>
        <v>34089</v>
      </c>
      <c r="O21" s="6">
        <f>IF((L21+I21)&gt;0,M21/(L21+I21),"")</f>
        <v>0.020628742514970058</v>
      </c>
    </row>
    <row r="22">
      <c r="A22" s="7"/>
      <c r="B22" s="32" t="s">
        <v>81</v>
      </c>
      <c r="C22" s="8">
        <v>922</v>
      </c>
      <c r="D22" s="11">
        <v>837.685</v>
      </c>
      <c r="E22" s="9">
        <f>IF(N(D22)&gt;0,F22/D22,"")</f>
        <v>14.922076914353248</v>
      </c>
      <c r="F22" s="8">
        <v>12500</v>
      </c>
      <c r="G22" s="8">
        <v>2454</v>
      </c>
      <c r="H22" s="8">
        <f>C22+F22+G22</f>
        <v>15876</v>
      </c>
      <c r="I22" s="8">
        <v>12810</v>
      </c>
      <c r="J22" s="8">
        <v>1600</v>
      </c>
      <c r="K22" s="8">
        <v>600</v>
      </c>
      <c r="L22" s="8">
        <f>J22+K22</f>
        <v>2200</v>
      </c>
      <c r="M22" s="8">
        <v>866</v>
      </c>
      <c r="N22" s="8">
        <f>I22+L22+M22</f>
        <v>15876</v>
      </c>
      <c r="O22" s="10">
        <f>IF((L22+I22)&gt;0,M22/(L22+I22),"")</f>
        <v>0.05769487008660893</v>
      </c>
    </row>
    <row r="23">
      <c r="A23" s="7"/>
      <c r="B23" s="33" t="s">
        <v>82</v>
      </c>
      <c r="C23" s="4">
        <v>622</v>
      </c>
      <c r="D23" s="12">
        <v>1269.354</v>
      </c>
      <c r="E23" s="5">
        <f>IF(N(D23)&gt;0,F23/D23,"")</f>
        <v>9.74511444404004</v>
      </c>
      <c r="F23" s="4">
        <v>12370</v>
      </c>
      <c r="G23" s="4">
        <v>1411</v>
      </c>
      <c r="H23" s="4">
        <f>C23+F23+G23</f>
        <v>14403</v>
      </c>
      <c r="I23" s="4">
        <v>8842</v>
      </c>
      <c r="J23" s="4">
        <v>3270</v>
      </c>
      <c r="K23" s="4">
        <v>1540</v>
      </c>
      <c r="L23" s="4">
        <f>J23+K23</f>
        <v>4810</v>
      </c>
      <c r="M23" s="4">
        <v>751</v>
      </c>
      <c r="N23" s="4">
        <f>I23+L23+M23</f>
        <v>14403</v>
      </c>
      <c r="O23" s="6">
        <f>IF((L23+I23)&gt;0,M23/(L23+I23),"")</f>
        <v>0.05501025490770583</v>
      </c>
    </row>
    <row r="24">
      <c r="A24" s="7"/>
      <c r="B24" s="32" t="s">
        <v>83</v>
      </c>
      <c r="C24" s="8">
        <v>80</v>
      </c>
      <c r="D24" s="11">
        <v>862.943</v>
      </c>
      <c r="E24" s="9">
        <f>IF(N(D24)&gt;0,F24/D24,"")</f>
        <v>13.396018045224308</v>
      </c>
      <c r="F24" s="8">
        <v>11560</v>
      </c>
      <c r="G24" s="8">
        <v>0</v>
      </c>
      <c r="H24" s="8">
        <f>C24+F24+G24</f>
        <v>11640</v>
      </c>
      <c r="I24" s="8">
        <v>6965</v>
      </c>
      <c r="J24" s="8">
        <v>4500</v>
      </c>
      <c r="K24" s="8">
        <v>0</v>
      </c>
      <c r="L24" s="8">
        <f>J24+K24</f>
        <v>4500</v>
      </c>
      <c r="M24" s="8">
        <v>175</v>
      </c>
      <c r="N24" s="8">
        <f>I24+L24+M24</f>
        <v>11640</v>
      </c>
      <c r="O24" s="10">
        <f>IF((L24+I24)&gt;0,M24/(L24+I24),"")</f>
        <v>0.015263846489315308</v>
      </c>
    </row>
    <row r="25">
      <c r="A25" s="7"/>
      <c r="B25" s="33" t="s">
        <v>84</v>
      </c>
      <c r="C25" s="4">
        <v>269</v>
      </c>
      <c r="D25" s="12">
        <v>736.547</v>
      </c>
      <c r="E25" s="5">
        <f>IF(N(D25)&gt;0,F25/D25,"")</f>
        <v>9.63278650242279</v>
      </c>
      <c r="F25" s="4">
        <v>7095</v>
      </c>
      <c r="G25" s="4">
        <v>0</v>
      </c>
      <c r="H25" s="4">
        <f>C25+F25+G25</f>
        <v>7364</v>
      </c>
      <c r="I25" s="4">
        <v>6700</v>
      </c>
      <c r="J25" s="4">
        <v>330</v>
      </c>
      <c r="K25" s="4">
        <v>0</v>
      </c>
      <c r="L25" s="4">
        <f>J25+K25</f>
        <v>330</v>
      </c>
      <c r="M25" s="4">
        <v>334</v>
      </c>
      <c r="N25" s="4">
        <f>I25+L25+M25</f>
        <v>7364</v>
      </c>
      <c r="O25" s="6">
        <f>IF((L25+I25)&gt;0,M25/(L25+I25),"")</f>
        <v>0.04751066856330014</v>
      </c>
    </row>
    <row r="26">
      <c r="A26" s="7"/>
      <c r="B26" s="32" t="s">
        <v>85</v>
      </c>
      <c r="C26" s="8">
        <v>178</v>
      </c>
      <c r="D26" s="11">
        <v>266.728</v>
      </c>
      <c r="E26" s="9">
        <f>IF(N(D26)&gt;0,F26/D26,"")</f>
        <v>20.732731471761493</v>
      </c>
      <c r="F26" s="8">
        <v>5530</v>
      </c>
      <c r="G26" s="8">
        <v>137</v>
      </c>
      <c r="H26" s="8">
        <f>C26+F26+G26</f>
        <v>5845</v>
      </c>
      <c r="I26" s="8">
        <v>5030</v>
      </c>
      <c r="J26" s="8">
        <v>350</v>
      </c>
      <c r="K26" s="8">
        <v>30</v>
      </c>
      <c r="L26" s="8">
        <f>J26+K26</f>
        <v>380</v>
      </c>
      <c r="M26" s="8">
        <v>435</v>
      </c>
      <c r="N26" s="8">
        <f>I26+L26+M26</f>
        <v>5845</v>
      </c>
      <c r="O26" s="10">
        <f>IF((L26+I26)&gt;0,M26/(L26+I26),"")</f>
        <v>0.08040665434380777</v>
      </c>
    </row>
    <row r="27">
      <c r="A27" s="7"/>
      <c r="B27" s="33" t="s">
        <v>86</v>
      </c>
      <c r="C27" s="4">
        <v>1057</v>
      </c>
      <c r="D27" s="12">
        <v>4433.931999999999</v>
      </c>
      <c r="E27" s="5">
        <f>IF(N(D27)&gt;0,F27/D27,"")</f>
        <v>7.035516106246106</v>
      </c>
      <c r="F27" s="4">
        <v>31195</v>
      </c>
      <c r="G27" s="4">
        <v>7044</v>
      </c>
      <c r="H27" s="4">
        <f>C27+F27+G27</f>
        <v>39296</v>
      </c>
      <c r="I27" s="4">
        <v>29565</v>
      </c>
      <c r="J27" s="4">
        <v>3604</v>
      </c>
      <c r="K27" s="4">
        <v>5002</v>
      </c>
      <c r="L27" s="4">
        <f>J27+K27</f>
        <v>8606</v>
      </c>
      <c r="M27" s="4">
        <v>1125</v>
      </c>
      <c r="N27" s="4">
        <f>I27+L27+M27</f>
        <v>39296</v>
      </c>
      <c r="O27" s="6">
        <f>IF((L27+I27)&gt;0,M27/(L27+I27),"")</f>
        <v>0.029472636294569175</v>
      </c>
    </row>
    <row r="28">
      <c r="A28" s="7"/>
      <c r="B28" s="28" t="s">
        <v>87</v>
      </c>
      <c r="C28" s="29">
        <f>C29+C30+C31+C32+C33+C34+C35+C36+C37</f>
        <v>16438</v>
      </c>
      <c r="D28" s="29">
        <f>D29+D30+D31+D32+D33+D34+D35+D36+D37</f>
        <v>332.437</v>
      </c>
      <c r="E28" s="30">
        <f>IF(N(D28)&gt;0,F28/D28,"")</f>
        <v>5.956015726287988</v>
      </c>
      <c r="F28" s="29">
        <f>F29+F30+F31+F32+F33+F34+F35+F36+F37</f>
        <v>1980</v>
      </c>
      <c r="G28" s="29">
        <f>G29+G30+G31+G32+G33+G34+G35+G36+G37</f>
        <v>124745</v>
      </c>
      <c r="H28" s="29">
        <f>C28+F28+G28</f>
        <v>143163</v>
      </c>
      <c r="I28" s="29">
        <f>I29+I30+I31+I32+I33+I34+I35+I36+I37</f>
        <v>8430</v>
      </c>
      <c r="J28" s="29">
        <f>J29+J30+J31+J32+J33+J34+J35+J36+J37</f>
        <v>101008</v>
      </c>
      <c r="K28" s="29">
        <f>K29+K30+K31+K32+K33+K34+K35+K36+K37</f>
        <v>18025</v>
      </c>
      <c r="L28" s="29">
        <f>J28+K28</f>
        <v>119033</v>
      </c>
      <c r="M28" s="29">
        <f>M29+M30+M31+M32+M33+M34+M35+M36+M37</f>
        <v>15700</v>
      </c>
      <c r="N28" s="29">
        <f>I28+L28+M28</f>
        <v>143163</v>
      </c>
      <c r="O28" s="31">
        <f>IF((L28+I28)&gt;0,M28/(L28+I28),"")</f>
        <v>0.12317299922330402</v>
      </c>
    </row>
    <row r="29">
      <c r="A29" s="7"/>
      <c r="B29" s="33" t="s">
        <v>88</v>
      </c>
      <c r="C29" s="4">
        <v>8170</v>
      </c>
      <c r="D29" s="4"/>
      <c r="E29" s="5" t="str">
        <f>IF(N(D29)&gt;0,F29/D29,"")</f>
        <v/>
      </c>
      <c r="F29" s="4">
        <v>0</v>
      </c>
      <c r="G29" s="4">
        <v>46500</v>
      </c>
      <c r="H29" s="4">
        <f>C29+F29+G29</f>
        <v>54670</v>
      </c>
      <c r="I29" s="4">
        <v>5600</v>
      </c>
      <c r="J29" s="4">
        <v>39170</v>
      </c>
      <c r="K29" s="4">
        <v>2400</v>
      </c>
      <c r="L29" s="4">
        <f>J29+K29</f>
        <v>41570</v>
      </c>
      <c r="M29" s="4">
        <v>7500</v>
      </c>
      <c r="N29" s="4">
        <f>I29+L29+M29</f>
        <v>54670</v>
      </c>
      <c r="O29" s="6">
        <f>IF((L29+I29)&gt;0,M29/(L29+I29),"")</f>
        <v>0.158999364002544</v>
      </c>
    </row>
    <row r="30">
      <c r="A30" s="7"/>
      <c r="B30" s="32" t="s">
        <v>89</v>
      </c>
      <c r="C30" s="8">
        <v>5700</v>
      </c>
      <c r="D30" s="11">
        <v>4.84</v>
      </c>
      <c r="E30" s="9">
        <f>IF(N(D30)&gt;0,F30/D30,"")</f>
        <v>10.330578512396695</v>
      </c>
      <c r="F30" s="8">
        <v>50</v>
      </c>
      <c r="G30" s="8">
        <v>25500</v>
      </c>
      <c r="H30" s="8">
        <f>C30+F30+G30</f>
        <v>31250</v>
      </c>
      <c r="I30" s="8">
        <v>0</v>
      </c>
      <c r="J30" s="8">
        <v>24050</v>
      </c>
      <c r="K30" s="8">
        <v>1500</v>
      </c>
      <c r="L30" s="8">
        <f>J30+K30</f>
        <v>25550</v>
      </c>
      <c r="M30" s="8">
        <v>5700</v>
      </c>
      <c r="N30" s="8">
        <f>I30+L30+M30</f>
        <v>31250</v>
      </c>
      <c r="O30" s="10">
        <f>IF((L30+I30)&gt;0,M30/(L30+I30),"")</f>
        <v>0.22309197651663404</v>
      </c>
    </row>
    <row r="31">
      <c r="A31" s="7"/>
      <c r="B31" s="33" t="s">
        <v>90</v>
      </c>
      <c r="C31" s="4">
        <v>2268</v>
      </c>
      <c r="D31" s="4"/>
      <c r="E31" s="5" t="str">
        <f>IF(N(D31)&gt;0,F31/D31,"")</f>
        <v/>
      </c>
      <c r="F31" s="4">
        <v>0</v>
      </c>
      <c r="G31" s="4">
        <v>6585</v>
      </c>
      <c r="H31" s="4">
        <f>C31+F31+G31</f>
        <v>8853</v>
      </c>
      <c r="I31" s="4">
        <v>0</v>
      </c>
      <c r="J31" s="4">
        <v>5968</v>
      </c>
      <c r="K31" s="4">
        <v>685</v>
      </c>
      <c r="L31" s="4">
        <f>J31+K31</f>
        <v>6653</v>
      </c>
      <c r="M31" s="4">
        <v>2200</v>
      </c>
      <c r="N31" s="4">
        <f>I31+L31+M31</f>
        <v>8853</v>
      </c>
      <c r="O31" s="6">
        <f>IF((L31+I31)&gt;0,M31/(L31+I31),"")</f>
        <v>0.3306778896738313</v>
      </c>
    </row>
    <row r="32">
      <c r="A32" s="7"/>
      <c r="B32" s="32" t="s">
        <v>91</v>
      </c>
      <c r="C32" s="8">
        <v>300</v>
      </c>
      <c r="D32" s="11">
        <v>115.779</v>
      </c>
      <c r="E32" s="9">
        <f>IF(N(D32)&gt;0,F32/D32,"")</f>
        <v>3.886715207421035</v>
      </c>
      <c r="F32" s="8">
        <v>450</v>
      </c>
      <c r="G32" s="8">
        <v>6075</v>
      </c>
      <c r="H32" s="8">
        <f>C32+F32+G32</f>
        <v>6825</v>
      </c>
      <c r="I32" s="8">
        <v>0</v>
      </c>
      <c r="J32" s="8">
        <v>375</v>
      </c>
      <c r="K32" s="8">
        <v>6150</v>
      </c>
      <c r="L32" s="8">
        <f>J32+K32</f>
        <v>6525</v>
      </c>
      <c r="M32" s="8">
        <v>300</v>
      </c>
      <c r="N32" s="8">
        <f>I32+L32+M32</f>
        <v>6825</v>
      </c>
      <c r="O32" s="10">
        <f>IF((L32+I32)&gt;0,M32/(L32+I32),"")</f>
        <v>0.04597701149425287</v>
      </c>
    </row>
    <row r="33">
      <c r="A33" s="7"/>
      <c r="B33" s="33" t="s">
        <v>92</v>
      </c>
      <c r="C33" s="4">
        <v>0</v>
      </c>
      <c r="D33" s="4"/>
      <c r="E33" s="5" t="str">
        <f>IF(N(D33)&gt;0,F33/D33,"")</f>
        <v/>
      </c>
      <c r="F33" s="4">
        <v>0</v>
      </c>
      <c r="G33" s="4">
        <v>5050</v>
      </c>
      <c r="H33" s="4">
        <f>C33+F33+G33</f>
        <v>5050</v>
      </c>
      <c r="I33" s="4">
        <v>0</v>
      </c>
      <c r="J33" s="4">
        <v>3450</v>
      </c>
      <c r="K33" s="4">
        <v>1600</v>
      </c>
      <c r="L33" s="4">
        <f>J33+K33</f>
        <v>5050</v>
      </c>
      <c r="M33" s="4">
        <v>0</v>
      </c>
      <c r="N33" s="4">
        <f>I33+L33+M33</f>
        <v>5050</v>
      </c>
      <c r="O33" s="6">
        <f>IF((L33+I33)&gt;0,M33/(L33+I33),"")</f>
        <v>0</v>
      </c>
    </row>
    <row r="34">
      <c r="A34" s="7"/>
      <c r="B34" s="32" t="s">
        <v>93</v>
      </c>
      <c r="C34" s="8">
        <v>0</v>
      </c>
      <c r="D34" s="8"/>
      <c r="E34" s="9" t="str">
        <f>IF(N(D34)&gt;0,F34/D34,"")</f>
        <v/>
      </c>
      <c r="F34" s="8">
        <v>0</v>
      </c>
      <c r="G34" s="8">
        <v>4570</v>
      </c>
      <c r="H34" s="8">
        <f>C34+F34+G34</f>
        <v>4570</v>
      </c>
      <c r="I34" s="8">
        <v>0</v>
      </c>
      <c r="J34" s="8">
        <v>3130</v>
      </c>
      <c r="K34" s="8">
        <v>1440</v>
      </c>
      <c r="L34" s="8">
        <f>J34+K34</f>
        <v>4570</v>
      </c>
      <c r="M34" s="8">
        <v>0</v>
      </c>
      <c r="N34" s="8">
        <f>I34+L34+M34</f>
        <v>4570</v>
      </c>
      <c r="O34" s="10">
        <f>IF((L34+I34)&gt;0,M34/(L34+I34),"")</f>
        <v>0</v>
      </c>
    </row>
    <row r="35">
      <c r="A35" s="7"/>
      <c r="B35" s="33" t="s">
        <v>94</v>
      </c>
      <c r="C35" s="4">
        <v>0</v>
      </c>
      <c r="D35" s="4"/>
      <c r="E35" s="5" t="str">
        <f>IF(N(D35)&gt;0,F35/D35,"")</f>
        <v/>
      </c>
      <c r="F35" s="4">
        <v>0</v>
      </c>
      <c r="G35" s="4">
        <v>4575</v>
      </c>
      <c r="H35" s="4">
        <f>C35+F35+G35</f>
        <v>4575</v>
      </c>
      <c r="I35" s="4">
        <v>0</v>
      </c>
      <c r="J35" s="4">
        <v>4150</v>
      </c>
      <c r="K35" s="4">
        <v>425</v>
      </c>
      <c r="L35" s="4">
        <f>J35+K35</f>
        <v>4575</v>
      </c>
      <c r="M35" s="4">
        <v>0</v>
      </c>
      <c r="N35" s="4">
        <f>I35+L35+M35</f>
        <v>4575</v>
      </c>
      <c r="O35" s="6">
        <f>IF((L35+I35)&gt;0,M35/(L35+I35),"")</f>
        <v>0</v>
      </c>
    </row>
    <row r="36">
      <c r="A36" s="7"/>
      <c r="B36" s="32" t="s">
        <v>95</v>
      </c>
      <c r="C36" s="8">
        <v>0</v>
      </c>
      <c r="D36" s="8"/>
      <c r="E36" s="9" t="str">
        <f>IF(N(D36)&gt;0,F36/D36,"")</f>
        <v/>
      </c>
      <c r="F36" s="8">
        <v>0</v>
      </c>
      <c r="G36" s="8">
        <v>3200</v>
      </c>
      <c r="H36" s="8">
        <f>C36+F36+G36</f>
        <v>3200</v>
      </c>
      <c r="I36" s="8">
        <v>0</v>
      </c>
      <c r="J36" s="8">
        <v>3200</v>
      </c>
      <c r="K36" s="8">
        <v>0</v>
      </c>
      <c r="L36" s="8">
        <f>J36+K36</f>
        <v>3200</v>
      </c>
      <c r="M36" s="8">
        <v>0</v>
      </c>
      <c r="N36" s="8">
        <f>I36+L36+M36</f>
        <v>3200</v>
      </c>
      <c r="O36" s="10">
        <f>IF((L36+I36)&gt;0,M36/(L36+I36),"")</f>
        <v>0</v>
      </c>
    </row>
    <row r="37">
      <c r="A37" s="7"/>
      <c r="B37" s="33" t="s">
        <v>86</v>
      </c>
      <c r="C37" s="4">
        <v>0</v>
      </c>
      <c r="D37" s="12">
        <v>211.818</v>
      </c>
      <c r="E37" s="5">
        <f>IF(N(D37)&gt;0,F37/D37,"")</f>
        <v>6.987130461056189</v>
      </c>
      <c r="F37" s="4">
        <v>1480</v>
      </c>
      <c r="G37" s="4">
        <v>22690</v>
      </c>
      <c r="H37" s="4">
        <f>C37+F37+G37</f>
        <v>24170</v>
      </c>
      <c r="I37" s="4">
        <v>2830</v>
      </c>
      <c r="J37" s="4">
        <v>17515</v>
      </c>
      <c r="K37" s="4">
        <v>3825</v>
      </c>
      <c r="L37" s="4">
        <f>J37+K37</f>
        <v>21340</v>
      </c>
      <c r="M37" s="4">
        <v>0</v>
      </c>
      <c r="N37" s="4">
        <f>I37+L37+M37</f>
        <v>24170</v>
      </c>
      <c r="O37" s="6">
        <f>IF((L37+I37)&gt;0,M37/(L37+I37),"")</f>
        <v>0</v>
      </c>
    </row>
    <row r="38">
      <c r="A38" s="7"/>
      <c r="B38" s="28" t="s">
        <v>96</v>
      </c>
      <c r="C38" s="29">
        <f>C39</f>
        <v>400</v>
      </c>
      <c r="D38" s="29" t="str">
        <f>D39</f>
        <v/>
      </c>
      <c r="E38" s="30" t="str">
        <f>IF(N(D38)&gt;0,F38/D38,"")</f>
        <v/>
      </c>
      <c r="F38" s="29">
        <f>F39</f>
        <v>1900</v>
      </c>
      <c r="G38" s="29">
        <f>G39</f>
        <v>5750</v>
      </c>
      <c r="H38" s="29">
        <f>C38+F38+G38</f>
        <v>8050</v>
      </c>
      <c r="I38" s="29">
        <f>I39</f>
        <v>1230</v>
      </c>
      <c r="J38" s="29">
        <f>J39</f>
        <v>4520</v>
      </c>
      <c r="K38" s="29">
        <f>K39</f>
        <v>1900</v>
      </c>
      <c r="L38" s="29">
        <f>J38+K38</f>
        <v>6420</v>
      </c>
      <c r="M38" s="29">
        <f>M39</f>
        <v>400</v>
      </c>
      <c r="N38" s="29">
        <f>I38+L38+M38</f>
        <v>8050</v>
      </c>
      <c r="O38" s="31">
        <f>IF((L38+I38)&gt;0,M38/(L38+I38),"")</f>
        <v>0.05228758169934641</v>
      </c>
    </row>
    <row r="39">
      <c r="A39" s="7"/>
      <c r="B39" s="33" t="s">
        <v>97</v>
      </c>
      <c r="C39" s="4">
        <v>400</v>
      </c>
      <c r="D39" s="4"/>
      <c r="E39" s="5" t="str">
        <f>IF(N(D39)&gt;0,F39/D39,"")</f>
        <v/>
      </c>
      <c r="F39" s="4">
        <v>1900</v>
      </c>
      <c r="G39" s="4">
        <v>5750</v>
      </c>
      <c r="H39" s="4">
        <f>C39+F39+G39</f>
        <v>8050</v>
      </c>
      <c r="I39" s="4">
        <v>1230</v>
      </c>
      <c r="J39" s="4">
        <v>4520</v>
      </c>
      <c r="K39" s="4">
        <v>1900</v>
      </c>
      <c r="L39" s="4">
        <f>J39+K39</f>
        <v>6420</v>
      </c>
      <c r="M39" s="4">
        <v>400</v>
      </c>
      <c r="N39" s="4">
        <f>I39+L39+M39</f>
        <v>8050</v>
      </c>
      <c r="O39" s="6">
        <f>IF((L39+I39)&gt;0,M39/(L39+I39),"")</f>
        <v>0.05228758169934641</v>
      </c>
    </row>
    <row r="40">
      <c r="A40" s="23" t="s">
        <v>30</v>
      </c>
      <c r="B40" s="24" t="s">
        <v>76</v>
      </c>
      <c r="C40" s="25">
        <f>C42+C51+C61</f>
        <v>24370</v>
      </c>
      <c r="D40" s="25">
        <f>D42+D51+D61</f>
        <v>11362.172</v>
      </c>
      <c r="E40" s="26">
        <f>IF(N(D40)&gt;0,F40/D40,"")</f>
        <v>16.6928471070496</v>
      </c>
      <c r="F40" s="25">
        <f>F42+F51+F61</f>
        <v>189667</v>
      </c>
      <c r="G40" s="25">
        <f>G42+G51+G61</f>
        <v>150856</v>
      </c>
      <c r="H40" s="25">
        <f>C40+F40+G40</f>
        <v>364893</v>
      </c>
      <c r="I40" s="25">
        <f>I42+I51+I61</f>
        <v>158874</v>
      </c>
      <c r="J40" s="25">
        <f>J42+J51+J61</f>
        <v>149276</v>
      </c>
      <c r="K40" s="25">
        <f>K42+K51+K61</f>
        <v>30460</v>
      </c>
      <c r="L40" s="25">
        <f>J40+K40</f>
        <v>179736</v>
      </c>
      <c r="M40" s="25">
        <f>M42+M51+M61</f>
        <v>26283</v>
      </c>
      <c r="N40" s="25">
        <f>I40+L40+M40</f>
        <v>364893</v>
      </c>
      <c r="O40" s="27">
        <f>IF((L40+I40)&gt;0,M40/(L40+I40),"")</f>
        <v>0.07762027110835475</v>
      </c>
    </row>
    <row r="41">
      <c r="A41" s="7"/>
      <c r="B41" s="28" t="s">
        <v>77</v>
      </c>
      <c r="C41" s="29">
        <f>C40-C43</f>
        <v>20475</v>
      </c>
      <c r="D41" s="29">
        <f>D40-D43</f>
        <v>9418.195</v>
      </c>
      <c r="E41" s="30">
        <f>IF(N(D41)&gt;0,F41/D41,"")</f>
        <v>12.50420064566512</v>
      </c>
      <c r="F41" s="29">
        <f>F40-F43</f>
        <v>117767</v>
      </c>
      <c r="G41" s="29">
        <f>G40-G43</f>
        <v>150766</v>
      </c>
      <c r="H41" s="29">
        <f>C41+F41+G41</f>
        <v>289008</v>
      </c>
      <c r="I41" s="29">
        <f>I40-I43</f>
        <v>109804</v>
      </c>
      <c r="J41" s="29">
        <f>J40-J43</f>
        <v>127876</v>
      </c>
      <c r="K41" s="29">
        <f>K40-K43</f>
        <v>29470</v>
      </c>
      <c r="L41" s="29">
        <f>J41+K41</f>
        <v>157346</v>
      </c>
      <c r="M41" s="29">
        <f>M40-M43</f>
        <v>21858</v>
      </c>
      <c r="N41" s="29">
        <f>I41+L41+M41</f>
        <v>289008</v>
      </c>
      <c r="O41" s="31">
        <f>IF((L41+I41)&gt;0,M41/(L41+I41),"")</f>
        <v>0.0818192026951151</v>
      </c>
    </row>
    <row r="42">
      <c r="A42" s="7"/>
      <c r="B42" s="24" t="s">
        <v>78</v>
      </c>
      <c r="C42" s="25">
        <f>C43+C44+C45+C46+C47+C48+C49+C50</f>
        <v>8270</v>
      </c>
      <c r="D42" s="25">
        <f>D43+D44+D45+D46+D47+D48+D49+D50</f>
        <v>11029.735</v>
      </c>
      <c r="E42" s="26">
        <f>IF(N(D42)&gt;0,F42/D42,"")</f>
        <v>16.840114472378527</v>
      </c>
      <c r="F42" s="25">
        <f>F43+F44+F45+F46+F47+F48+F49+F50</f>
        <v>185742</v>
      </c>
      <c r="G42" s="25">
        <f>G43+G44+G45+G46+G47+G48+G49+G50</f>
        <v>12236</v>
      </c>
      <c r="H42" s="25">
        <f>C42+F42+G42</f>
        <v>206248</v>
      </c>
      <c r="I42" s="25">
        <f>I43+I44+I45+I46+I47+I48+I49+I50</f>
        <v>148944</v>
      </c>
      <c r="J42" s="25">
        <f>J43+J44+J45+J46+J47+J48+J49+J50</f>
        <v>39151</v>
      </c>
      <c r="K42" s="25">
        <f>K43+K44+K45+K46+K47+K48+K49+K50</f>
        <v>9870</v>
      </c>
      <c r="L42" s="25">
        <f>J42+K42</f>
        <v>49021</v>
      </c>
      <c r="M42" s="25">
        <f>M43+M44+M45+M46+M47+M48+M49+M50</f>
        <v>8283</v>
      </c>
      <c r="N42" s="25">
        <f>I42+L42+M42</f>
        <v>206248</v>
      </c>
      <c r="O42" s="27">
        <f>IF((L42+I42)&gt;0,M42/(L42+I42),"")</f>
        <v>0.0418407294218675</v>
      </c>
    </row>
    <row r="43">
      <c r="A43" s="7"/>
      <c r="B43" s="32" t="s">
        <v>79</v>
      </c>
      <c r="C43" s="8">
        <v>3895</v>
      </c>
      <c r="D43" s="11">
        <v>1943.977</v>
      </c>
      <c r="E43" s="9">
        <f>IF(N(D43)&gt;0,F43/D43,"")</f>
        <v>36.98603429978852</v>
      </c>
      <c r="F43" s="8">
        <v>71900</v>
      </c>
      <c r="G43" s="8">
        <v>90</v>
      </c>
      <c r="H43" s="8">
        <f>C43+F43+G43</f>
        <v>75885</v>
      </c>
      <c r="I43" s="8">
        <v>49070</v>
      </c>
      <c r="J43" s="8">
        <v>21400</v>
      </c>
      <c r="K43" s="8">
        <v>990</v>
      </c>
      <c r="L43" s="8">
        <f>J43+K43</f>
        <v>22390</v>
      </c>
      <c r="M43" s="8">
        <v>4425</v>
      </c>
      <c r="N43" s="8">
        <f>I43+L43+M43</f>
        <v>75885</v>
      </c>
      <c r="O43" s="10">
        <f>IF((L43+I43)&gt;0,M43/(L43+I43),"")</f>
        <v>0.06192275398824517</v>
      </c>
    </row>
    <row r="44">
      <c r="A44" s="7"/>
      <c r="B44" s="33" t="s">
        <v>80</v>
      </c>
      <c r="C44" s="4">
        <v>689</v>
      </c>
      <c r="D44" s="12">
        <v>678.569</v>
      </c>
      <c r="E44" s="5">
        <f>IF(N(D44)&gt;0,F44/D44,"")</f>
        <v>47.894908255461125</v>
      </c>
      <c r="F44" s="4">
        <v>32500</v>
      </c>
      <c r="G44" s="4">
        <v>1250</v>
      </c>
      <c r="H44" s="4">
        <f>C44+F44+G44</f>
        <v>34439</v>
      </c>
      <c r="I44" s="4">
        <v>28950</v>
      </c>
      <c r="J44" s="4">
        <v>3450</v>
      </c>
      <c r="K44" s="4">
        <v>1550</v>
      </c>
      <c r="L44" s="4">
        <f>J44+K44</f>
        <v>5000</v>
      </c>
      <c r="M44" s="4">
        <v>489</v>
      </c>
      <c r="N44" s="4">
        <f>I44+L44+M44</f>
        <v>34439</v>
      </c>
      <c r="O44" s="6">
        <f>IF((L44+I44)&gt;0,M44/(L44+I44),"")</f>
        <v>0.014403534609720176</v>
      </c>
    </row>
    <row r="45">
      <c r="A45" s="7"/>
      <c r="B45" s="32" t="s">
        <v>81</v>
      </c>
      <c r="C45" s="8">
        <v>866</v>
      </c>
      <c r="D45" s="11">
        <v>837.685</v>
      </c>
      <c r="E45" s="9">
        <f>IF(N(D45)&gt;0,F45/D45,"")</f>
        <v>15.996466452186683</v>
      </c>
      <c r="F45" s="8">
        <v>13400</v>
      </c>
      <c r="G45" s="8">
        <v>2004</v>
      </c>
      <c r="H45" s="8">
        <f>C45+F45+G45</f>
        <v>16270</v>
      </c>
      <c r="I45" s="8">
        <v>13400</v>
      </c>
      <c r="J45" s="8">
        <v>1600</v>
      </c>
      <c r="K45" s="8">
        <v>600</v>
      </c>
      <c r="L45" s="8">
        <f>J45+K45</f>
        <v>2200</v>
      </c>
      <c r="M45" s="8">
        <v>670</v>
      </c>
      <c r="N45" s="8">
        <f>I45+L45+M45</f>
        <v>16270</v>
      </c>
      <c r="O45" s="10">
        <f>IF((L45+I45)&gt;0,M45/(L45+I45),"")</f>
        <v>0.04294871794871795</v>
      </c>
    </row>
    <row r="46">
      <c r="A46" s="7"/>
      <c r="B46" s="33" t="s">
        <v>82</v>
      </c>
      <c r="C46" s="4">
        <v>751</v>
      </c>
      <c r="D46" s="12">
        <v>1269.354</v>
      </c>
      <c r="E46" s="5">
        <f>IF(N(D46)&gt;0,F46/D46,"")</f>
        <v>8.965190167597061</v>
      </c>
      <c r="F46" s="4">
        <v>11380</v>
      </c>
      <c r="G46" s="4">
        <v>1420</v>
      </c>
      <c r="H46" s="4">
        <f>C46+F46+G46</f>
        <v>13551</v>
      </c>
      <c r="I46" s="4">
        <v>8050</v>
      </c>
      <c r="J46" s="4">
        <v>3280</v>
      </c>
      <c r="K46" s="4">
        <v>1550</v>
      </c>
      <c r="L46" s="4">
        <f>J46+K46</f>
        <v>4830</v>
      </c>
      <c r="M46" s="4">
        <v>671</v>
      </c>
      <c r="N46" s="4">
        <f>I46+L46+M46</f>
        <v>13551</v>
      </c>
      <c r="O46" s="6">
        <f>IF((L46+I46)&gt;0,M46/(L46+I46),"")</f>
        <v>0.05209627329192547</v>
      </c>
    </row>
    <row r="47">
      <c r="A47" s="7"/>
      <c r="B47" s="32" t="s">
        <v>83</v>
      </c>
      <c r="C47" s="8">
        <v>175</v>
      </c>
      <c r="D47" s="11">
        <v>862.943</v>
      </c>
      <c r="E47" s="9">
        <f>IF(N(D47)&gt;0,F47/D47,"")</f>
        <v>14.021783594049666</v>
      </c>
      <c r="F47" s="8">
        <v>12100</v>
      </c>
      <c r="G47" s="8">
        <v>0</v>
      </c>
      <c r="H47" s="8">
        <f>C47+F47+G47</f>
        <v>12275</v>
      </c>
      <c r="I47" s="8">
        <v>7130</v>
      </c>
      <c r="J47" s="8">
        <v>5000</v>
      </c>
      <c r="K47" s="8">
        <v>0</v>
      </c>
      <c r="L47" s="8">
        <f>J47+K47</f>
        <v>5000</v>
      </c>
      <c r="M47" s="8">
        <v>145</v>
      </c>
      <c r="N47" s="8">
        <f>I47+L47+M47</f>
        <v>12275</v>
      </c>
      <c r="O47" s="10">
        <f>IF((L47+I47)&gt;0,M47/(L47+I47),"")</f>
        <v>0.011953833470733718</v>
      </c>
    </row>
    <row r="48">
      <c r="A48" s="7"/>
      <c r="B48" s="33" t="s">
        <v>84</v>
      </c>
      <c r="C48" s="4">
        <v>334</v>
      </c>
      <c r="D48" s="12">
        <v>736.547</v>
      </c>
      <c r="E48" s="5">
        <f>IF(N(D48)&gt;0,F48/D48,"")</f>
        <v>9.721036132113769</v>
      </c>
      <c r="F48" s="4">
        <v>7160</v>
      </c>
      <c r="G48" s="4">
        <v>0</v>
      </c>
      <c r="H48" s="4">
        <f>C48+F48+G48</f>
        <v>7494</v>
      </c>
      <c r="I48" s="4">
        <v>6830</v>
      </c>
      <c r="J48" s="4">
        <v>335</v>
      </c>
      <c r="K48" s="4">
        <v>0</v>
      </c>
      <c r="L48" s="4">
        <f>J48+K48</f>
        <v>335</v>
      </c>
      <c r="M48" s="4">
        <v>329</v>
      </c>
      <c r="N48" s="4">
        <f>I48+L48+M48</f>
        <v>7494</v>
      </c>
      <c r="O48" s="6">
        <f>IF((L48+I48)&gt;0,M48/(L48+I48),"")</f>
        <v>0.04591765526866713</v>
      </c>
    </row>
    <row r="49">
      <c r="A49" s="7"/>
      <c r="B49" s="32" t="s">
        <v>85</v>
      </c>
      <c r="C49" s="8">
        <v>435</v>
      </c>
      <c r="D49" s="11">
        <v>266.728</v>
      </c>
      <c r="E49" s="9">
        <f>IF(N(D49)&gt;0,F49/D49,"")</f>
        <v>22.607300320926186</v>
      </c>
      <c r="F49" s="8">
        <v>6030</v>
      </c>
      <c r="G49" s="8">
        <v>160</v>
      </c>
      <c r="H49" s="8">
        <f>C49+F49+G49</f>
        <v>6625</v>
      </c>
      <c r="I49" s="8">
        <v>5503</v>
      </c>
      <c r="J49" s="8">
        <v>380</v>
      </c>
      <c r="K49" s="8">
        <v>35</v>
      </c>
      <c r="L49" s="8">
        <f>J49+K49</f>
        <v>415</v>
      </c>
      <c r="M49" s="8">
        <v>707</v>
      </c>
      <c r="N49" s="8">
        <f>I49+L49+M49</f>
        <v>6625</v>
      </c>
      <c r="O49" s="10">
        <f>IF((L49+I49)&gt;0,M49/(L49+I49),"")</f>
        <v>0.11946603582291315</v>
      </c>
    </row>
    <row r="50">
      <c r="A50" s="7"/>
      <c r="B50" s="33" t="s">
        <v>86</v>
      </c>
      <c r="C50" s="4">
        <v>1125</v>
      </c>
      <c r="D50" s="12">
        <v>4433.931999999999</v>
      </c>
      <c r="E50" s="5">
        <f>IF(N(D50)&gt;0,F50/D50,"")</f>
        <v>7.05288218222562</v>
      </c>
      <c r="F50" s="4">
        <v>31272</v>
      </c>
      <c r="G50" s="4">
        <v>7312</v>
      </c>
      <c r="H50" s="4">
        <f>C50+F50+G50</f>
        <v>39709</v>
      </c>
      <c r="I50" s="4">
        <v>30011</v>
      </c>
      <c r="J50" s="4">
        <v>3706</v>
      </c>
      <c r="K50" s="4">
        <v>5145</v>
      </c>
      <c r="L50" s="4">
        <f>J50+K50</f>
        <v>8851</v>
      </c>
      <c r="M50" s="4">
        <v>847</v>
      </c>
      <c r="N50" s="4">
        <f>I50+L50+M50</f>
        <v>39709</v>
      </c>
      <c r="O50" s="6">
        <f>IF((L50+I50)&gt;0,M50/(L50+I50),"")</f>
        <v>0.021795069733930316</v>
      </c>
    </row>
    <row r="51">
      <c r="A51" s="7"/>
      <c r="B51" s="28" t="s">
        <v>87</v>
      </c>
      <c r="C51" s="29">
        <f>C52+C53+C54+C55+C56+C57+C58+C59+C60</f>
        <v>15700</v>
      </c>
      <c r="D51" s="29">
        <f>D52+D53+D54+D55+D56+D57+D58+D59+D60</f>
        <v>332.437</v>
      </c>
      <c r="E51" s="30">
        <f>IF(N(D51)&gt;0,F51/D51,"")</f>
        <v>6.091379720067261</v>
      </c>
      <c r="F51" s="29">
        <f>F52+F53+F54+F55+F56+F57+F58+F59+F60</f>
        <v>2025</v>
      </c>
      <c r="G51" s="29">
        <f>G52+G53+G54+G55+G56+G57+G58+G59+G60</f>
        <v>132570</v>
      </c>
      <c r="H51" s="29">
        <f>C51+F51+G51</f>
        <v>150295</v>
      </c>
      <c r="I51" s="29">
        <f>I52+I53+I54+I55+I56+I57+I58+I59+I60</f>
        <v>8730</v>
      </c>
      <c r="J51" s="29">
        <f>J52+J53+J54+J55+J56+J57+J58+J59+J60</f>
        <v>105275</v>
      </c>
      <c r="K51" s="29">
        <f>K52+K53+K54+K55+K56+K57+K58+K59+K60</f>
        <v>18690</v>
      </c>
      <c r="L51" s="29">
        <f>J51+K51</f>
        <v>123965</v>
      </c>
      <c r="M51" s="29">
        <f>M52+M53+M54+M55+M56+M57+M58+M59+M60</f>
        <v>17600</v>
      </c>
      <c r="N51" s="29">
        <f>I51+L51+M51</f>
        <v>150295</v>
      </c>
      <c r="O51" s="31">
        <f>IF((L51+I51)&gt;0,M51/(L51+I51),"")</f>
        <v>0.13263499001469536</v>
      </c>
    </row>
    <row r="52">
      <c r="A52" s="7"/>
      <c r="B52" s="33" t="s">
        <v>88</v>
      </c>
      <c r="C52" s="4">
        <v>7500</v>
      </c>
      <c r="D52" s="4"/>
      <c r="E52" s="5" t="str">
        <f>IF(N(D52)&gt;0,F52/D52,"")</f>
        <v/>
      </c>
      <c r="F52" s="4">
        <v>0</v>
      </c>
      <c r="G52" s="4">
        <v>50000</v>
      </c>
      <c r="H52" s="4">
        <f>C52+F52+G52</f>
        <v>57500</v>
      </c>
      <c r="I52" s="4">
        <v>5700</v>
      </c>
      <c r="J52" s="4">
        <v>40000</v>
      </c>
      <c r="K52" s="4">
        <v>2500</v>
      </c>
      <c r="L52" s="4">
        <f>J52+K52</f>
        <v>42500</v>
      </c>
      <c r="M52" s="4">
        <v>9300</v>
      </c>
      <c r="N52" s="4">
        <f>I52+L52+M52</f>
        <v>57500</v>
      </c>
      <c r="O52" s="6">
        <f>IF((L52+I52)&gt;0,M52/(L52+I52),"")</f>
        <v>0.19294605809128632</v>
      </c>
    </row>
    <row r="53">
      <c r="A53" s="7"/>
      <c r="B53" s="32" t="s">
        <v>89</v>
      </c>
      <c r="C53" s="8">
        <v>5700</v>
      </c>
      <c r="D53" s="11">
        <v>4.84</v>
      </c>
      <c r="E53" s="9">
        <f>IF(N(D53)&gt;0,F53/D53,"")</f>
        <v>10.330578512396695</v>
      </c>
      <c r="F53" s="8">
        <v>50</v>
      </c>
      <c r="G53" s="8">
        <v>26900</v>
      </c>
      <c r="H53" s="8">
        <f>C53+F53+G53</f>
        <v>32650</v>
      </c>
      <c r="I53" s="8">
        <v>0</v>
      </c>
      <c r="J53" s="8">
        <v>25450</v>
      </c>
      <c r="K53" s="8">
        <v>1500</v>
      </c>
      <c r="L53" s="8">
        <f>J53+K53</f>
        <v>26950</v>
      </c>
      <c r="M53" s="8">
        <v>5700</v>
      </c>
      <c r="N53" s="8">
        <f>I53+L53+M53</f>
        <v>32650</v>
      </c>
      <c r="O53" s="10">
        <f>IF((L53+I53)&gt;0,M53/(L53+I53),"")</f>
        <v>0.21150278293135436</v>
      </c>
    </row>
    <row r="54">
      <c r="A54" s="7"/>
      <c r="B54" s="33" t="s">
        <v>90</v>
      </c>
      <c r="C54" s="4">
        <v>2200</v>
      </c>
      <c r="D54" s="4"/>
      <c r="E54" s="5" t="str">
        <f>IF(N(D54)&gt;0,F54/D54,"")</f>
        <v/>
      </c>
      <c r="F54" s="4">
        <v>0</v>
      </c>
      <c r="G54" s="4">
        <v>7000</v>
      </c>
      <c r="H54" s="4">
        <f>C54+F54+G54</f>
        <v>9200</v>
      </c>
      <c r="I54" s="4">
        <v>0</v>
      </c>
      <c r="J54" s="4">
        <v>6200</v>
      </c>
      <c r="K54" s="4">
        <v>700</v>
      </c>
      <c r="L54" s="4">
        <f>J54+K54</f>
        <v>6900</v>
      </c>
      <c r="M54" s="4">
        <v>2300</v>
      </c>
      <c r="N54" s="4">
        <f>I54+L54+M54</f>
        <v>9200</v>
      </c>
      <c r="O54" s="6">
        <f>IF((L54+I54)&gt;0,M54/(L54+I54),"")</f>
        <v>0.3333333333333333</v>
      </c>
    </row>
    <row r="55">
      <c r="A55" s="7"/>
      <c r="B55" s="32" t="s">
        <v>91</v>
      </c>
      <c r="C55" s="8">
        <v>300</v>
      </c>
      <c r="D55" s="11">
        <v>115.779</v>
      </c>
      <c r="E55" s="9">
        <f>IF(N(D55)&gt;0,F55/D55,"")</f>
        <v>4.102643830055537</v>
      </c>
      <c r="F55" s="8">
        <v>475</v>
      </c>
      <c r="G55" s="8">
        <v>6250</v>
      </c>
      <c r="H55" s="8">
        <f>C55+F55+G55</f>
        <v>7025</v>
      </c>
      <c r="I55" s="8">
        <v>0</v>
      </c>
      <c r="J55" s="8">
        <v>425</v>
      </c>
      <c r="K55" s="8">
        <v>6300</v>
      </c>
      <c r="L55" s="8">
        <f>J55+K55</f>
        <v>6725</v>
      </c>
      <c r="M55" s="8">
        <v>300</v>
      </c>
      <c r="N55" s="8">
        <f>I55+L55+M55</f>
        <v>7025</v>
      </c>
      <c r="O55" s="10">
        <f>IF((L55+I55)&gt;0,M55/(L55+I55),"")</f>
        <v>0.04460966542750929</v>
      </c>
    </row>
    <row r="56">
      <c r="A56" s="7"/>
      <c r="B56" s="33" t="s">
        <v>92</v>
      </c>
      <c r="C56" s="4">
        <v>0</v>
      </c>
      <c r="D56" s="4"/>
      <c r="E56" s="5" t="str">
        <f>IF(N(D56)&gt;0,F56/D56,"")</f>
        <v/>
      </c>
      <c r="F56" s="4">
        <v>0</v>
      </c>
      <c r="G56" s="4">
        <v>5100</v>
      </c>
      <c r="H56" s="4">
        <f>C56+F56+G56</f>
        <v>5100</v>
      </c>
      <c r="I56" s="4">
        <v>0</v>
      </c>
      <c r="J56" s="4">
        <v>3400</v>
      </c>
      <c r="K56" s="4">
        <v>1700</v>
      </c>
      <c r="L56" s="4">
        <f>J56+K56</f>
        <v>5100</v>
      </c>
      <c r="M56" s="4">
        <v>0</v>
      </c>
      <c r="N56" s="4">
        <f>I56+L56+M56</f>
        <v>5100</v>
      </c>
      <c r="O56" s="6">
        <f>IF((L56+I56)&gt;0,M56/(L56+I56),"")</f>
        <v>0</v>
      </c>
    </row>
    <row r="57">
      <c r="A57" s="7"/>
      <c r="B57" s="32" t="s">
        <v>93</v>
      </c>
      <c r="C57" s="8">
        <v>0</v>
      </c>
      <c r="D57" s="8"/>
      <c r="E57" s="9" t="str">
        <f>IF(N(D57)&gt;0,F57/D57,"")</f>
        <v/>
      </c>
      <c r="F57" s="8">
        <v>0</v>
      </c>
      <c r="G57" s="8">
        <v>4850</v>
      </c>
      <c r="H57" s="8">
        <f>C57+F57+G57</f>
        <v>4850</v>
      </c>
      <c r="I57" s="8">
        <v>0</v>
      </c>
      <c r="J57" s="8">
        <v>3350</v>
      </c>
      <c r="K57" s="8">
        <v>1500</v>
      </c>
      <c r="L57" s="8">
        <f>J57+K57</f>
        <v>4850</v>
      </c>
      <c r="M57" s="8">
        <v>0</v>
      </c>
      <c r="N57" s="8">
        <f>I57+L57+M57</f>
        <v>4850</v>
      </c>
      <c r="O57" s="10">
        <f>IF((L57+I57)&gt;0,M57/(L57+I57),"")</f>
        <v>0</v>
      </c>
    </row>
    <row r="58">
      <c r="A58" s="7"/>
      <c r="B58" s="33" t="s">
        <v>94</v>
      </c>
      <c r="C58" s="4">
        <v>0</v>
      </c>
      <c r="D58" s="4"/>
      <c r="E58" s="5" t="str">
        <f>IF(N(D58)&gt;0,F58/D58,"")</f>
        <v/>
      </c>
      <c r="F58" s="4">
        <v>0</v>
      </c>
      <c r="G58" s="4">
        <v>4800</v>
      </c>
      <c r="H58" s="4">
        <f>C58+F58+G58</f>
        <v>4800</v>
      </c>
      <c r="I58" s="4">
        <v>0</v>
      </c>
      <c r="J58" s="4">
        <v>4375</v>
      </c>
      <c r="K58" s="4">
        <v>425</v>
      </c>
      <c r="L58" s="4">
        <f>J58+K58</f>
        <v>4800</v>
      </c>
      <c r="M58" s="4">
        <v>0</v>
      </c>
      <c r="N58" s="4">
        <f>I58+L58+M58</f>
        <v>4800</v>
      </c>
      <c r="O58" s="6">
        <f>IF((L58+I58)&gt;0,M58/(L58+I58),"")</f>
        <v>0</v>
      </c>
    </row>
    <row r="59">
      <c r="A59" s="7"/>
      <c r="B59" s="32" t="s">
        <v>95</v>
      </c>
      <c r="C59" s="8">
        <v>0</v>
      </c>
      <c r="D59" s="8"/>
      <c r="E59" s="9" t="str">
        <f>IF(N(D59)&gt;0,F59/D59,"")</f>
        <v/>
      </c>
      <c r="F59" s="8">
        <v>0</v>
      </c>
      <c r="G59" s="8">
        <v>3400</v>
      </c>
      <c r="H59" s="8">
        <f>C59+F59+G59</f>
        <v>3400</v>
      </c>
      <c r="I59" s="8">
        <v>0</v>
      </c>
      <c r="J59" s="8">
        <v>3400</v>
      </c>
      <c r="K59" s="8">
        <v>0</v>
      </c>
      <c r="L59" s="8">
        <f>J59+K59</f>
        <v>3400</v>
      </c>
      <c r="M59" s="8">
        <v>0</v>
      </c>
      <c r="N59" s="8">
        <f>I59+L59+M59</f>
        <v>3400</v>
      </c>
      <c r="O59" s="10">
        <f>IF((L59+I59)&gt;0,M59/(L59+I59),"")</f>
        <v>0</v>
      </c>
    </row>
    <row r="60">
      <c r="A60" s="7"/>
      <c r="B60" s="33" t="s">
        <v>86</v>
      </c>
      <c r="C60" s="4">
        <v>0</v>
      </c>
      <c r="D60" s="12">
        <v>211.818</v>
      </c>
      <c r="E60" s="5">
        <f>IF(N(D60)&gt;0,F60/D60,"")</f>
        <v>7.081551142962354</v>
      </c>
      <c r="F60" s="4">
        <v>1500</v>
      </c>
      <c r="G60" s="4">
        <v>24270</v>
      </c>
      <c r="H60" s="4">
        <f>C60+F60+G60</f>
        <v>25770</v>
      </c>
      <c r="I60" s="4">
        <v>3030</v>
      </c>
      <c r="J60" s="4">
        <v>18675</v>
      </c>
      <c r="K60" s="4">
        <v>4065</v>
      </c>
      <c r="L60" s="4">
        <f>J60+K60</f>
        <v>22740</v>
      </c>
      <c r="M60" s="4">
        <v>0</v>
      </c>
      <c r="N60" s="4">
        <f>I60+L60+M60</f>
        <v>25770</v>
      </c>
      <c r="O60" s="6">
        <f>IF((L60+I60)&gt;0,M60/(L60+I60),"")</f>
        <v>0</v>
      </c>
    </row>
    <row r="61">
      <c r="A61" s="7"/>
      <c r="B61" s="28" t="s">
        <v>96</v>
      </c>
      <c r="C61" s="29">
        <f>C62</f>
        <v>400</v>
      </c>
      <c r="D61" s="29" t="str">
        <f>D62</f>
        <v/>
      </c>
      <c r="E61" s="30" t="str">
        <f>IF(N(D61)&gt;0,F61/D61,"")</f>
        <v/>
      </c>
      <c r="F61" s="29">
        <f>F62</f>
        <v>1900</v>
      </c>
      <c r="G61" s="29">
        <f>G62</f>
        <v>6050</v>
      </c>
      <c r="H61" s="29">
        <f>C61+F61+G61</f>
        <v>8350</v>
      </c>
      <c r="I61" s="29">
        <f>I62</f>
        <v>1200</v>
      </c>
      <c r="J61" s="29">
        <f>J62</f>
        <v>4850</v>
      </c>
      <c r="K61" s="29">
        <f>K62</f>
        <v>1900</v>
      </c>
      <c r="L61" s="29">
        <f>J61+K61</f>
        <v>6750</v>
      </c>
      <c r="M61" s="29">
        <f>M62</f>
        <v>400</v>
      </c>
      <c r="N61" s="29">
        <f>I61+L61+M61</f>
        <v>8350</v>
      </c>
      <c r="O61" s="31">
        <f>IF((L61+I61)&gt;0,M61/(L61+I61),"")</f>
        <v>0.050314465408805034</v>
      </c>
    </row>
    <row r="62">
      <c r="A62" s="7"/>
      <c r="B62" s="33" t="s">
        <v>97</v>
      </c>
      <c r="C62" s="4">
        <v>400</v>
      </c>
      <c r="D62" s="4"/>
      <c r="E62" s="5" t="str">
        <f>IF(N(D62)&gt;0,F62/D62,"")</f>
        <v/>
      </c>
      <c r="F62" s="4">
        <v>1900</v>
      </c>
      <c r="G62" s="4">
        <v>6050</v>
      </c>
      <c r="H62" s="4">
        <f>C62+F62+G62</f>
        <v>8350</v>
      </c>
      <c r="I62" s="4">
        <v>1200</v>
      </c>
      <c r="J62" s="4">
        <v>4850</v>
      </c>
      <c r="K62" s="4">
        <v>1900</v>
      </c>
      <c r="L62" s="4">
        <f>J62+K62</f>
        <v>6750</v>
      </c>
      <c r="M62" s="4">
        <v>400</v>
      </c>
      <c r="N62" s="4">
        <f>I62+L62+M62</f>
        <v>8350</v>
      </c>
      <c r="O62" s="6">
        <f>IF((L62+I62)&gt;0,M62/(L62+I62),"")</f>
        <v>0.050314465408805034</v>
      </c>
    </row>
    <row r="63">
      <c r="A63" s="34" t="s">
        <v>32</v>
      </c>
      <c r="B63" s="36" t="s">
        <v>76</v>
      </c>
      <c r="C63" s="37">
        <f>C65+C74+C84</f>
        <v>24370</v>
      </c>
      <c r="D63" s="37">
        <f>D65+D74+D84</f>
        <v>11362.172</v>
      </c>
      <c r="E63" s="38">
        <f>IF(N(D63)&gt;0,F63/D63,"")</f>
        <v>16.6928471070496</v>
      </c>
      <c r="F63" s="37">
        <f>F65+F74+F84</f>
        <v>189667</v>
      </c>
      <c r="G63" s="37">
        <f>G65+G74+G84</f>
        <v>150856</v>
      </c>
      <c r="H63" s="37">
        <f>C63+F63+G63</f>
        <v>364893</v>
      </c>
      <c r="I63" s="37">
        <f>I65+I74+I84</f>
        <v>158874</v>
      </c>
      <c r="J63" s="37">
        <f>J65+J74+J84</f>
        <v>149276</v>
      </c>
      <c r="K63" s="37">
        <f>K65+K74+K84</f>
        <v>30460</v>
      </c>
      <c r="L63" s="37">
        <f>J63+K63</f>
        <v>179736</v>
      </c>
      <c r="M63" s="37">
        <f>M65+M74+M84</f>
        <v>26283</v>
      </c>
      <c r="N63" s="37">
        <f>I63+L63+M63</f>
        <v>364893</v>
      </c>
      <c r="O63" s="39">
        <f>IF((L63+I63)&gt;0,M63/(L63+I63),"")</f>
        <v>0.07762027110835475</v>
      </c>
    </row>
    <row r="64">
      <c r="A64" s="35"/>
      <c r="B64" s="36" t="s">
        <v>77</v>
      </c>
      <c r="C64" s="37">
        <f>C63-C66</f>
        <v>20475</v>
      </c>
      <c r="D64" s="37">
        <f>D63-D66</f>
        <v>9418.195</v>
      </c>
      <c r="E64" s="38">
        <f>IF(N(D64)&gt;0,F64/D64,"")</f>
        <v>12.50420064566512</v>
      </c>
      <c r="F64" s="37">
        <f>F63-F66</f>
        <v>117767</v>
      </c>
      <c r="G64" s="37">
        <f>G63-G66</f>
        <v>150766</v>
      </c>
      <c r="H64" s="37">
        <f>C64+F64+G64</f>
        <v>289008</v>
      </c>
      <c r="I64" s="37">
        <f>I63-I66</f>
        <v>109804</v>
      </c>
      <c r="J64" s="37">
        <f>J63-J66</f>
        <v>127876</v>
      </c>
      <c r="K64" s="37">
        <f>K63-K66</f>
        <v>29470</v>
      </c>
      <c r="L64" s="37">
        <f>J64+K64</f>
        <v>157346</v>
      </c>
      <c r="M64" s="37">
        <f>M63-M66</f>
        <v>21858</v>
      </c>
      <c r="N64" s="37">
        <f>I64+L64+M64</f>
        <v>289008</v>
      </c>
      <c r="O64" s="39">
        <f>IF((L64+I64)&gt;0,M64/(L64+I64),"")</f>
        <v>0.0818192026951151</v>
      </c>
    </row>
    <row r="65">
      <c r="A65" s="35"/>
      <c r="B65" s="36" t="s">
        <v>78</v>
      </c>
      <c r="C65" s="37">
        <f>C66+C67+C68+C69+C70+C71+C72+C73</f>
        <v>8270</v>
      </c>
      <c r="D65" s="37">
        <f>D66+D67+D68+D69+D70+D71+D72+D73</f>
        <v>11029.735</v>
      </c>
      <c r="E65" s="38">
        <f>IF(N(D65)&gt;0,F65/D65,"")</f>
        <v>16.840114472378527</v>
      </c>
      <c r="F65" s="37">
        <f>F66+F67+F68+F69+F70+F71+F72+F73</f>
        <v>185742</v>
      </c>
      <c r="G65" s="37">
        <f>G66+G67+G68+G69+G70+G71+G72+G73</f>
        <v>12236</v>
      </c>
      <c r="H65" s="37">
        <f>C65+F65+G65</f>
        <v>206248</v>
      </c>
      <c r="I65" s="37">
        <f>I66+I67+I68+I69+I70+I71+I72+I73</f>
        <v>148944</v>
      </c>
      <c r="J65" s="37">
        <f>J66+J67+J68+J69+J70+J71+J72+J73</f>
        <v>39151</v>
      </c>
      <c r="K65" s="37">
        <f>K66+K67+K68+K69+K70+K71+K72+K73</f>
        <v>9870</v>
      </c>
      <c r="L65" s="37">
        <f>J65+K65</f>
        <v>49021</v>
      </c>
      <c r="M65" s="37">
        <f>M66+M67+M68+M69+M70+M71+M72+M73</f>
        <v>8283</v>
      </c>
      <c r="N65" s="37">
        <f>I65+L65+M65</f>
        <v>206248</v>
      </c>
      <c r="O65" s="39">
        <f>IF((L65+I65)&gt;0,M65/(L65+I65),"")</f>
        <v>0.0418407294218675</v>
      </c>
    </row>
    <row r="66">
      <c r="A66" s="35"/>
      <c r="B66" s="40" t="s">
        <v>79</v>
      </c>
      <c r="C66" s="19">
        <f>Brazil!D23</f>
        <v>3895</v>
      </c>
      <c r="D66" s="19">
        <f>Brazil!B23</f>
        <v>1943.977</v>
      </c>
      <c r="E66" s="20">
        <f>IF(N(D66)&gt;0,F66/D66,"")</f>
        <v>36.98603429978852</v>
      </c>
      <c r="F66" s="19">
        <f>Brazil!E23</f>
        <v>71900</v>
      </c>
      <c r="G66" s="19">
        <f>Brazil!F23</f>
        <v>90</v>
      </c>
      <c r="H66" s="16">
        <f>C66+F66+G66</f>
        <v>75885</v>
      </c>
      <c r="I66" s="19">
        <f>Brazil!K23</f>
        <v>49070</v>
      </c>
      <c r="J66" s="19">
        <f>Brazil!H23</f>
        <v>21400</v>
      </c>
      <c r="K66" s="19">
        <f>Brazil!I23</f>
        <v>990</v>
      </c>
      <c r="L66" s="16">
        <f>J66+K66</f>
        <v>22390</v>
      </c>
      <c r="M66" s="19">
        <f>Brazil!L23</f>
        <v>4425</v>
      </c>
      <c r="N66" s="16">
        <f>I66+L66+M66</f>
        <v>75885</v>
      </c>
      <c r="O66" s="17">
        <f>IF((L66+I66)&gt;0,M66/(L66+I66),"")</f>
        <v>0.06192275398824517</v>
      </c>
    </row>
    <row r="67">
      <c r="A67" s="35"/>
      <c r="B67" s="40" t="s">
        <v>80</v>
      </c>
      <c r="C67" s="19">
        <f>Vietnam!D23</f>
        <v>689</v>
      </c>
      <c r="D67" s="19">
        <f>Vietnam!B23</f>
        <v>678.569</v>
      </c>
      <c r="E67" s="20">
        <f>IF(N(D67)&gt;0,F67/D67,"")</f>
        <v>47.894908255461125</v>
      </c>
      <c r="F67" s="19">
        <f>Vietnam!E23</f>
        <v>32500</v>
      </c>
      <c r="G67" s="19">
        <f>Vietnam!F23</f>
        <v>1250</v>
      </c>
      <c r="H67" s="16">
        <f>C67+F67+G67</f>
        <v>34439</v>
      </c>
      <c r="I67" s="19">
        <f>Vietnam!K23</f>
        <v>28950</v>
      </c>
      <c r="J67" s="19">
        <f>Vietnam!H23</f>
        <v>3450</v>
      </c>
      <c r="K67" s="19">
        <f>Vietnam!I23</f>
        <v>1550</v>
      </c>
      <c r="L67" s="16">
        <f>J67+K67</f>
        <v>5000</v>
      </c>
      <c r="M67" s="19">
        <f>Vietnam!L23</f>
        <v>489</v>
      </c>
      <c r="N67" s="16">
        <f>I67+L67+M67</f>
        <v>34439</v>
      </c>
      <c r="O67" s="17">
        <f>IF((L67+I67)&gt;0,M67/(L67+I67),"")</f>
        <v>0.014403534609720176</v>
      </c>
    </row>
    <row r="68">
      <c r="A68" s="35"/>
      <c r="B68" s="40" t="s">
        <v>81</v>
      </c>
      <c r="C68" s="19">
        <f>Colombia!D23</f>
        <v>866</v>
      </c>
      <c r="D68" s="19">
        <f>Colombia!B23</f>
        <v>837.685</v>
      </c>
      <c r="E68" s="20">
        <f>IF(N(D68)&gt;0,F68/D68,"")</f>
        <v>15.996466452186683</v>
      </c>
      <c r="F68" s="19">
        <f>Colombia!E23</f>
        <v>13400</v>
      </c>
      <c r="G68" s="19">
        <f>Colombia!F23</f>
        <v>2004</v>
      </c>
      <c r="H68" s="16">
        <f>C68+F68+G68</f>
        <v>16270</v>
      </c>
      <c r="I68" s="19">
        <f>Colombia!K23</f>
        <v>13400</v>
      </c>
      <c r="J68" s="19">
        <f>Colombia!H23</f>
        <v>1600</v>
      </c>
      <c r="K68" s="19">
        <f>Colombia!I23</f>
        <v>600</v>
      </c>
      <c r="L68" s="16">
        <f>J68+K68</f>
        <v>2200</v>
      </c>
      <c r="M68" s="19">
        <f>Colombia!L23</f>
        <v>670</v>
      </c>
      <c r="N68" s="16">
        <f>I68+L68+M68</f>
        <v>16270</v>
      </c>
      <c r="O68" s="17">
        <f>IF((L68+I68)&gt;0,M68/(L68+I68),"")</f>
        <v>0.04294871794871795</v>
      </c>
    </row>
    <row r="69">
      <c r="A69" s="35"/>
      <c r="B69" s="40" t="s">
        <v>82</v>
      </c>
      <c r="C69" s="19">
        <f>Indonesia!D23</f>
        <v>751</v>
      </c>
      <c r="D69" s="19">
        <f>Indonesia!B23</f>
        <v>1269.354</v>
      </c>
      <c r="E69" s="20">
        <f>IF(N(D69)&gt;0,F69/D69,"")</f>
        <v>8.965190167597061</v>
      </c>
      <c r="F69" s="19">
        <f>Indonesia!E23</f>
        <v>11380</v>
      </c>
      <c r="G69" s="19">
        <f>Indonesia!F23</f>
        <v>1420</v>
      </c>
      <c r="H69" s="16">
        <f>C69+F69+G69</f>
        <v>13551</v>
      </c>
      <c r="I69" s="19">
        <f>Indonesia!K23</f>
        <v>8050</v>
      </c>
      <c r="J69" s="19">
        <f>Indonesia!H23</f>
        <v>3280</v>
      </c>
      <c r="K69" s="19">
        <f>Indonesia!I23</f>
        <v>1550</v>
      </c>
      <c r="L69" s="16">
        <f>J69+K69</f>
        <v>4830</v>
      </c>
      <c r="M69" s="19">
        <f>Indonesia!L23</f>
        <v>671</v>
      </c>
      <c r="N69" s="16">
        <f>I69+L69+M69</f>
        <v>13551</v>
      </c>
      <c r="O69" s="17">
        <f>IF((L69+I69)&gt;0,M69/(L69+I69),"")</f>
        <v>0.05209627329192547</v>
      </c>
    </row>
    <row r="70">
      <c r="A70" s="35"/>
      <c r="B70" s="40" t="s">
        <v>83</v>
      </c>
      <c r="C70" s="19">
        <f>Ethiopia!D23</f>
        <v>175</v>
      </c>
      <c r="D70" s="19">
        <f>Ethiopia!B23</f>
        <v>862.943</v>
      </c>
      <c r="E70" s="20">
        <f>IF(N(D70)&gt;0,F70/D70,"")</f>
        <v>14.021783594049666</v>
      </c>
      <c r="F70" s="19">
        <f>Ethiopia!E23</f>
        <v>12100</v>
      </c>
      <c r="G70" s="19">
        <f>Ethiopia!F23</f>
        <v>0</v>
      </c>
      <c r="H70" s="16">
        <f>C70+F70+G70</f>
        <v>12275</v>
      </c>
      <c r="I70" s="19">
        <f>Ethiopia!K23</f>
        <v>7130</v>
      </c>
      <c r="J70" s="19">
        <f>Ethiopia!H23</f>
        <v>5000</v>
      </c>
      <c r="K70" s="19">
        <f>Ethiopia!I23</f>
        <v>0</v>
      </c>
      <c r="L70" s="16">
        <f>J70+K70</f>
        <v>5000</v>
      </c>
      <c r="M70" s="19">
        <f>Ethiopia!L23</f>
        <v>145</v>
      </c>
      <c r="N70" s="16">
        <f>I70+L70+M70</f>
        <v>12275</v>
      </c>
      <c r="O70" s="17">
        <f>IF((L70+I70)&gt;0,M70/(L70+I70),"")</f>
        <v>0.011953833470733718</v>
      </c>
    </row>
    <row r="71">
      <c r="A71" s="35"/>
      <c r="B71" s="40" t="s">
        <v>84</v>
      </c>
      <c r="C71" s="19">
        <f>Uganda!D23</f>
        <v>334</v>
      </c>
      <c r="D71" s="19">
        <f>Uganda!B23</f>
        <v>736.547</v>
      </c>
      <c r="E71" s="20">
        <f>IF(N(D71)&gt;0,F71/D71,"")</f>
        <v>9.721036132113769</v>
      </c>
      <c r="F71" s="19">
        <f>Uganda!E23</f>
        <v>7160</v>
      </c>
      <c r="G71" s="19">
        <f>Uganda!F23</f>
        <v>0</v>
      </c>
      <c r="H71" s="16">
        <f>C71+F71+G71</f>
        <v>7494</v>
      </c>
      <c r="I71" s="19">
        <f>Uganda!K23</f>
        <v>6830</v>
      </c>
      <c r="J71" s="19">
        <f>Uganda!H23</f>
        <v>335</v>
      </c>
      <c r="K71" s="19">
        <f>Uganda!I23</f>
        <v>0</v>
      </c>
      <c r="L71" s="16">
        <f>J71+K71</f>
        <v>335</v>
      </c>
      <c r="M71" s="19">
        <f>Uganda!L23</f>
        <v>329</v>
      </c>
      <c r="N71" s="16">
        <f>I71+L71+M71</f>
        <v>7494</v>
      </c>
      <c r="O71" s="17">
        <f>IF((L71+I71)&gt;0,M71/(L71+I71),"")</f>
        <v>0.04591765526866713</v>
      </c>
    </row>
    <row r="72">
      <c r="A72" s="35"/>
      <c r="B72" s="40" t="s">
        <v>85</v>
      </c>
      <c r="C72" s="19">
        <f>Honduras!D23</f>
        <v>435</v>
      </c>
      <c r="D72" s="19">
        <f>Honduras!B23</f>
        <v>266.728</v>
      </c>
      <c r="E72" s="20">
        <f>IF(N(D72)&gt;0,F72/D72,"")</f>
        <v>22.607300320926186</v>
      </c>
      <c r="F72" s="19">
        <f>Honduras!E23</f>
        <v>6030</v>
      </c>
      <c r="G72" s="19">
        <f>Honduras!F23</f>
        <v>160</v>
      </c>
      <c r="H72" s="16">
        <f>C72+F72+G72</f>
        <v>6625</v>
      </c>
      <c r="I72" s="19">
        <f>Honduras!K23</f>
        <v>5503</v>
      </c>
      <c r="J72" s="19">
        <f>Honduras!H23</f>
        <v>380</v>
      </c>
      <c r="K72" s="19">
        <f>Honduras!I23</f>
        <v>35</v>
      </c>
      <c r="L72" s="16">
        <f>J72+K72</f>
        <v>415</v>
      </c>
      <c r="M72" s="19">
        <f>Honduras!L23</f>
        <v>707</v>
      </c>
      <c r="N72" s="16">
        <f>I72+L72+M72</f>
        <v>6625</v>
      </c>
      <c r="O72" s="17">
        <f>IF((L72+I72)&gt;0,M72/(L72+I72),"")</f>
        <v>0.11946603582291315</v>
      </c>
    </row>
    <row r="73">
      <c r="A73" s="35"/>
      <c r="B73" s="40" t="s">
        <v>86</v>
      </c>
      <c r="C73" s="16">
        <f>M27</f>
        <v>1125</v>
      </c>
      <c r="D73" s="14">
        <v>4433.931999999999</v>
      </c>
      <c r="E73" s="20">
        <f>IF(N(D73)&gt;0,F73/D73,"")</f>
        <v>7.05288218222562</v>
      </c>
      <c r="F73" s="14">
        <v>31272</v>
      </c>
      <c r="G73" s="14">
        <v>7312</v>
      </c>
      <c r="H73" s="16">
        <f>C73+F73+G73</f>
        <v>39709</v>
      </c>
      <c r="I73" s="14">
        <v>30011</v>
      </c>
      <c r="J73" s="14">
        <v>3706</v>
      </c>
      <c r="K73" s="14">
        <v>5145</v>
      </c>
      <c r="L73" s="16">
        <f>J73+K73</f>
        <v>8851</v>
      </c>
      <c r="M73" s="16">
        <f>H73-L73-I73</f>
        <v>847</v>
      </c>
      <c r="N73" s="16">
        <f>I73+L73+M73</f>
        <v>39709</v>
      </c>
      <c r="O73" s="17">
        <f>IF((L73+I73)&gt;0,M73/(L73+I73),"")</f>
        <v>0.021795069733930316</v>
      </c>
    </row>
    <row r="74">
      <c r="A74" s="35"/>
      <c r="B74" s="36" t="s">
        <v>87</v>
      </c>
      <c r="C74" s="37">
        <f>C75+C76+C77+C78+C79+C80+C81+C82+C83</f>
        <v>15700</v>
      </c>
      <c r="D74" s="37">
        <f>D75+D76+D77+D78+D79+D80+D81+D82+D83</f>
        <v>332.437</v>
      </c>
      <c r="E74" s="38">
        <f>IF(N(D74)&gt;0,F74/D74,"")</f>
        <v>6.091379720067261</v>
      </c>
      <c r="F74" s="37">
        <f>F75+F76+F77+F78+F79+F80+F81+F82+F83</f>
        <v>2025</v>
      </c>
      <c r="G74" s="37">
        <f>G75+G76+G77+G78+G79+G80+G81+G82+G83</f>
        <v>132570</v>
      </c>
      <c r="H74" s="37">
        <f>C74+F74+G74</f>
        <v>150295</v>
      </c>
      <c r="I74" s="37">
        <f>I75+I76+I77+I78+I79+I80+I81+I82+I83</f>
        <v>8730</v>
      </c>
      <c r="J74" s="37">
        <f>J75+J76+J77+J78+J79+J80+J81+J82+J83</f>
        <v>105275</v>
      </c>
      <c r="K74" s="37">
        <f>K75+K76+K77+K78+K79+K80+K81+K82+K83</f>
        <v>18690</v>
      </c>
      <c r="L74" s="37">
        <f>J74+K74</f>
        <v>123965</v>
      </c>
      <c r="M74" s="37">
        <f>M75+M76+M77+M78+M79+M80+M81+M82+M83</f>
        <v>17600</v>
      </c>
      <c r="N74" s="37">
        <f>I74+L74+M74</f>
        <v>150295</v>
      </c>
      <c r="O74" s="39">
        <f>IF((L74+I74)&gt;0,M74/(L74+I74),"")</f>
        <v>0.13263499001469536</v>
      </c>
    </row>
    <row r="75">
      <c r="A75" s="35"/>
      <c r="B75" s="40" t="s">
        <v>88</v>
      </c>
      <c r="C75" s="16">
        <f>M29</f>
        <v>7500</v>
      </c>
      <c r="D75" s="14"/>
      <c r="E75" s="20" t="str">
        <f>IF(N(D75)&gt;0,F75/D75,"")</f>
        <v/>
      </c>
      <c r="F75" s="14">
        <v>0</v>
      </c>
      <c r="G75" s="14">
        <v>50000</v>
      </c>
      <c r="H75" s="16">
        <f>C75+F75+G75</f>
        <v>57500</v>
      </c>
      <c r="I75" s="14">
        <v>5700</v>
      </c>
      <c r="J75" s="14">
        <v>40000</v>
      </c>
      <c r="K75" s="14">
        <v>2500</v>
      </c>
      <c r="L75" s="16">
        <f>J75+K75</f>
        <v>42500</v>
      </c>
      <c r="M75" s="16">
        <f>H75-L75-I75</f>
        <v>9300</v>
      </c>
      <c r="N75" s="16">
        <f>I75+L75+M75</f>
        <v>57500</v>
      </c>
      <c r="O75" s="17">
        <f>IF((L75+I75)&gt;0,M75/(L75+I75),"")</f>
        <v>0.19294605809128632</v>
      </c>
    </row>
    <row r="76">
      <c r="A76" s="35"/>
      <c r="B76" s="40" t="s">
        <v>89</v>
      </c>
      <c r="C76" s="16">
        <f>M30</f>
        <v>5700</v>
      </c>
      <c r="D76" s="14">
        <v>4.84</v>
      </c>
      <c r="E76" s="20">
        <f>IF(N(D76)&gt;0,F76/D76,"")</f>
        <v>10.330578512396695</v>
      </c>
      <c r="F76" s="14">
        <v>50</v>
      </c>
      <c r="G76" s="14">
        <v>26900</v>
      </c>
      <c r="H76" s="16">
        <f>C76+F76+G76</f>
        <v>32650</v>
      </c>
      <c r="I76" s="14">
        <v>0</v>
      </c>
      <c r="J76" s="14">
        <v>25450</v>
      </c>
      <c r="K76" s="14">
        <v>1500</v>
      </c>
      <c r="L76" s="16">
        <f>J76+K76</f>
        <v>26950</v>
      </c>
      <c r="M76" s="16">
        <f>H76-L76-I76</f>
        <v>5700</v>
      </c>
      <c r="N76" s="16">
        <f>I76+L76+M76</f>
        <v>32650</v>
      </c>
      <c r="O76" s="17">
        <f>IF((L76+I76)&gt;0,M76/(L76+I76),"")</f>
        <v>0.21150278293135436</v>
      </c>
    </row>
    <row r="77">
      <c r="A77" s="35"/>
      <c r="B77" s="40" t="s">
        <v>90</v>
      </c>
      <c r="C77" s="16">
        <f>M31</f>
        <v>2200</v>
      </c>
      <c r="D77" s="14"/>
      <c r="E77" s="20" t="str">
        <f>IF(N(D77)&gt;0,F77/D77,"")</f>
        <v/>
      </c>
      <c r="F77" s="14">
        <v>0</v>
      </c>
      <c r="G77" s="14">
        <v>7000</v>
      </c>
      <c r="H77" s="16">
        <f>C77+F77+G77</f>
        <v>9200</v>
      </c>
      <c r="I77" s="14">
        <v>0</v>
      </c>
      <c r="J77" s="14">
        <v>6200</v>
      </c>
      <c r="K77" s="14">
        <v>700</v>
      </c>
      <c r="L77" s="16">
        <f>J77+K77</f>
        <v>6900</v>
      </c>
      <c r="M77" s="16">
        <f>H77-L77-I77</f>
        <v>2300</v>
      </c>
      <c r="N77" s="16">
        <f>I77+L77+M77</f>
        <v>9200</v>
      </c>
      <c r="O77" s="17">
        <f>IF((L77+I77)&gt;0,M77/(L77+I77),"")</f>
        <v>0.3333333333333333</v>
      </c>
    </row>
    <row r="78">
      <c r="A78" s="35"/>
      <c r="B78" s="40" t="s">
        <v>91</v>
      </c>
      <c r="C78" s="16">
        <f>M32</f>
        <v>300</v>
      </c>
      <c r="D78" s="14">
        <v>115.779</v>
      </c>
      <c r="E78" s="20">
        <f>IF(N(D78)&gt;0,F78/D78,"")</f>
        <v>4.102643830055537</v>
      </c>
      <c r="F78" s="14">
        <v>475</v>
      </c>
      <c r="G78" s="14">
        <v>6250</v>
      </c>
      <c r="H78" s="16">
        <f>C78+F78+G78</f>
        <v>7025</v>
      </c>
      <c r="I78" s="14">
        <v>0</v>
      </c>
      <c r="J78" s="14">
        <v>425</v>
      </c>
      <c r="K78" s="14">
        <v>6300</v>
      </c>
      <c r="L78" s="16">
        <f>J78+K78</f>
        <v>6725</v>
      </c>
      <c r="M78" s="16">
        <f>H78-L78-I78</f>
        <v>300</v>
      </c>
      <c r="N78" s="16">
        <f>I78+L78+M78</f>
        <v>7025</v>
      </c>
      <c r="O78" s="17">
        <f>IF((L78+I78)&gt;0,M78/(L78+I78),"")</f>
        <v>0.04460966542750929</v>
      </c>
    </row>
    <row r="79">
      <c r="A79" s="35"/>
      <c r="B79" s="40" t="s">
        <v>92</v>
      </c>
      <c r="C79" s="16">
        <f>M33</f>
        <v>0</v>
      </c>
      <c r="D79" s="14"/>
      <c r="E79" s="20" t="str">
        <f>IF(N(D79)&gt;0,F79/D79,"")</f>
        <v/>
      </c>
      <c r="F79" s="14">
        <v>0</v>
      </c>
      <c r="G79" s="14">
        <v>5100</v>
      </c>
      <c r="H79" s="16">
        <f>C79+F79+G79</f>
        <v>5100</v>
      </c>
      <c r="I79" s="14">
        <v>0</v>
      </c>
      <c r="J79" s="14">
        <v>3400</v>
      </c>
      <c r="K79" s="14">
        <v>1700</v>
      </c>
      <c r="L79" s="16">
        <f>J79+K79</f>
        <v>5100</v>
      </c>
      <c r="M79" s="16">
        <f>H79-L79-I79</f>
        <v>0</v>
      </c>
      <c r="N79" s="16">
        <f>I79+L79+M79</f>
        <v>5100</v>
      </c>
      <c r="O79" s="17">
        <f>IF((L79+I79)&gt;0,M79/(L79+I79),"")</f>
        <v>0</v>
      </c>
    </row>
    <row r="80">
      <c r="A80" s="35"/>
      <c r="B80" s="40" t="s">
        <v>93</v>
      </c>
      <c r="C80" s="16">
        <f>M34</f>
        <v>0</v>
      </c>
      <c r="D80" s="14"/>
      <c r="E80" s="20" t="str">
        <f>IF(N(D80)&gt;0,F80/D80,"")</f>
        <v/>
      </c>
      <c r="F80" s="14">
        <v>0</v>
      </c>
      <c r="G80" s="14">
        <v>4850</v>
      </c>
      <c r="H80" s="16">
        <f>C80+F80+G80</f>
        <v>4850</v>
      </c>
      <c r="I80" s="14">
        <v>0</v>
      </c>
      <c r="J80" s="14">
        <v>3350</v>
      </c>
      <c r="K80" s="14">
        <v>1500</v>
      </c>
      <c r="L80" s="16">
        <f>J80+K80</f>
        <v>4850</v>
      </c>
      <c r="M80" s="16">
        <f>H80-L80-I80</f>
        <v>0</v>
      </c>
      <c r="N80" s="16">
        <f>I80+L80+M80</f>
        <v>4850</v>
      </c>
      <c r="O80" s="17">
        <f>IF((L80+I80)&gt;0,M80/(L80+I80),"")</f>
        <v>0</v>
      </c>
    </row>
    <row r="81">
      <c r="A81" s="35"/>
      <c r="B81" s="40" t="s">
        <v>94</v>
      </c>
      <c r="C81" s="16">
        <f>M35</f>
        <v>0</v>
      </c>
      <c r="D81" s="14"/>
      <c r="E81" s="20" t="str">
        <f>IF(N(D81)&gt;0,F81/D81,"")</f>
        <v/>
      </c>
      <c r="F81" s="14">
        <v>0</v>
      </c>
      <c r="G81" s="14">
        <v>4800</v>
      </c>
      <c r="H81" s="16">
        <f>C81+F81+G81</f>
        <v>4800</v>
      </c>
      <c r="I81" s="14">
        <v>0</v>
      </c>
      <c r="J81" s="14">
        <v>4375</v>
      </c>
      <c r="K81" s="14">
        <v>425</v>
      </c>
      <c r="L81" s="16">
        <f>J81+K81</f>
        <v>4800</v>
      </c>
      <c r="M81" s="16">
        <f>H81-L81-I81</f>
        <v>0</v>
      </c>
      <c r="N81" s="16">
        <f>I81+L81+M81</f>
        <v>4800</v>
      </c>
      <c r="O81" s="17">
        <f>IF((L81+I81)&gt;0,M81/(L81+I81),"")</f>
        <v>0</v>
      </c>
    </row>
    <row r="82">
      <c r="A82" s="35"/>
      <c r="B82" s="40" t="s">
        <v>95</v>
      </c>
      <c r="C82" s="16">
        <f>M36</f>
        <v>0</v>
      </c>
      <c r="D82" s="14"/>
      <c r="E82" s="20" t="str">
        <f>IF(N(D82)&gt;0,F82/D82,"")</f>
        <v/>
      </c>
      <c r="F82" s="14">
        <v>0</v>
      </c>
      <c r="G82" s="14">
        <v>3400</v>
      </c>
      <c r="H82" s="16">
        <f>C82+F82+G82</f>
        <v>3400</v>
      </c>
      <c r="I82" s="14">
        <v>0</v>
      </c>
      <c r="J82" s="14">
        <v>3400</v>
      </c>
      <c r="K82" s="14">
        <v>0</v>
      </c>
      <c r="L82" s="16">
        <f>J82+K82</f>
        <v>3400</v>
      </c>
      <c r="M82" s="16">
        <f>H82-L82-I82</f>
        <v>0</v>
      </c>
      <c r="N82" s="16">
        <f>I82+L82+M82</f>
        <v>3400</v>
      </c>
      <c r="O82" s="17">
        <f>IF((L82+I82)&gt;0,M82/(L82+I82),"")</f>
        <v>0</v>
      </c>
    </row>
    <row r="83">
      <c r="A83" s="35"/>
      <c r="B83" s="40" t="s">
        <v>86</v>
      </c>
      <c r="C83" s="16">
        <f>M37</f>
        <v>0</v>
      </c>
      <c r="D83" s="14">
        <v>211.818</v>
      </c>
      <c r="E83" s="20">
        <f>IF(N(D83)&gt;0,F83/D83,"")</f>
        <v>7.081551142962354</v>
      </c>
      <c r="F83" s="14">
        <v>1500</v>
      </c>
      <c r="G83" s="14">
        <v>24270</v>
      </c>
      <c r="H83" s="16">
        <f>C83+F83+G83</f>
        <v>25770</v>
      </c>
      <c r="I83" s="14">
        <v>3030</v>
      </c>
      <c r="J83" s="14">
        <v>18675</v>
      </c>
      <c r="K83" s="14">
        <v>4065</v>
      </c>
      <c r="L83" s="16">
        <f>J83+K83</f>
        <v>22740</v>
      </c>
      <c r="M83" s="16">
        <f>H83-L83-I83</f>
        <v>0</v>
      </c>
      <c r="N83" s="16">
        <f>I83+L83+M83</f>
        <v>25770</v>
      </c>
      <c r="O83" s="17">
        <f>IF((L83+I83)&gt;0,M83/(L83+I83),"")</f>
        <v>0</v>
      </c>
    </row>
    <row r="84">
      <c r="A84" s="35"/>
      <c r="B84" s="36" t="s">
        <v>96</v>
      </c>
      <c r="C84" s="37">
        <f>C85</f>
        <v>400</v>
      </c>
      <c r="D84" s="37" t="str">
        <f>D85</f>
        <v/>
      </c>
      <c r="E84" s="38" t="str">
        <f>IF(N(D84)&gt;0,F84/D84,"")</f>
        <v/>
      </c>
      <c r="F84" s="37">
        <f>F85</f>
        <v>1900</v>
      </c>
      <c r="G84" s="37">
        <f>G85</f>
        <v>6050</v>
      </c>
      <c r="H84" s="37">
        <f>C84+F84+G84</f>
        <v>8350</v>
      </c>
      <c r="I84" s="37">
        <f>I85</f>
        <v>1200</v>
      </c>
      <c r="J84" s="37">
        <f>J85</f>
        <v>4850</v>
      </c>
      <c r="K84" s="37">
        <f>K85</f>
        <v>1900</v>
      </c>
      <c r="L84" s="37">
        <f>J84+K84</f>
        <v>6750</v>
      </c>
      <c r="M84" s="37">
        <f>M85</f>
        <v>400</v>
      </c>
      <c r="N84" s="37">
        <f>I84+L84+M84</f>
        <v>8350</v>
      </c>
      <c r="O84" s="39">
        <f>IF((L84+I84)&gt;0,M84/(L84+I84),"")</f>
        <v>0.050314465408805034</v>
      </c>
    </row>
    <row r="85">
      <c r="A85" s="35"/>
      <c r="B85" s="40" t="s">
        <v>97</v>
      </c>
      <c r="C85" s="16">
        <f>M39</f>
        <v>400</v>
      </c>
      <c r="D85" s="14"/>
      <c r="E85" s="20" t="str">
        <f>IF(N(D85)&gt;0,F85/D85,"")</f>
        <v/>
      </c>
      <c r="F85" s="14">
        <v>1900</v>
      </c>
      <c r="G85" s="14">
        <v>6050</v>
      </c>
      <c r="H85" s="16">
        <f>C85+F85+G85</f>
        <v>8350</v>
      </c>
      <c r="I85" s="14">
        <v>1200</v>
      </c>
      <c r="J85" s="14">
        <v>4850</v>
      </c>
      <c r="K85" s="14">
        <v>1900</v>
      </c>
      <c r="L85" s="16">
        <f>J85+K85</f>
        <v>6750</v>
      </c>
      <c r="M85" s="16">
        <f>H85-L85-I85</f>
        <v>400</v>
      </c>
      <c r="N85" s="16">
        <f>I85+L85+M85</f>
        <v>8350</v>
      </c>
      <c r="O85" s="17">
        <f>IF((L85+I85)&gt;0,M85/(L85+I85),"")</f>
        <v>0.050314465408805034</v>
      </c>
    </row>
    <row r="87">
      <c r="A87" s="18" t="s">
        <v>34</v>
      </c>
    </row>
    <row r="88">
      <c r="A88" s="18" t="s">
        <v>35</v>
      </c>
    </row>
    <row r="89">
      <c r="A89" s="18" t="s">
        <v>36</v>
      </c>
    </row>
    <row r="90">
      <c r="A90" s="18" t="s">
        <v>37</v>
      </c>
    </row>
    <row r="91">
      <c r="A91" s="18" t="s">
        <v>38</v>
      </c>
    </row>
    <row r="92">
      <c r="A92" s="18" t="s">
        <v>98</v>
      </c>
    </row>
    <row r="93">
      <c r="A93" s="18" t="s">
        <v>99</v>
      </c>
    </row>
    <row r="94">
      <c r="A94" s="18" t="s">
        <v>100</v>
      </c>
    </row>
    <row r="95">
      <c r="A95" s="18" t="s">
        <v>101</v>
      </c>
    </row>
    <row r="96">
      <c r="A96" s="18" t="s">
        <v>102</v>
      </c>
    </row>
  </sheetData>
  <mergeCells count="3">
    <mergeCell ref="A17:A39"/>
    <mergeCell ref="A40:A62"/>
    <mergeCell ref="A63:A85"/>
  </mergeCells>
  <pageMargins left="0.5" right="0.5" top="0.75" bottom="0.75" header="0.3" footer="0.3"/>
  <pageSetup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9</vt:i4>
      </vt:variant>
    </vt:vector>
  </HeadingPairs>
  <TitlesOfParts>
    <vt:vector size="9" baseType="lpstr">
      <vt:lpstr>Brazil</vt:lpstr>
      <vt:lpstr>Vietnam</vt:lpstr>
      <vt:lpstr>Colombia</vt:lpstr>
      <vt:lpstr>Ethiopia</vt:lpstr>
      <vt:lpstr>Indonesia</vt:lpstr>
      <vt:lpstr>Uganda</vt:lpstr>
      <vt:lpstr>Honduras</vt:lpstr>
      <vt:lpstr>Others</vt:lpstr>
      <vt:lpstr>World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Coffee balance sheet</dc:title>
  <dc:creator>Claude</dc:creator>
  <dcterms:created xsi:type="dcterms:W3CDTF">2026-09-27T15:51:05Z</dcterms:created>
  <dcterms:modified xsi:type="dcterms:W3CDTF">2026-09-27T15:51:05Z</dcterms:modified>
</cp:coreProperties>
</file>