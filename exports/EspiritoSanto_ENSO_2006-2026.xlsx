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Charts" sheetId="2" state="visible" r:id="rId4"/>
    <sheet name="Monthly data" sheetId="3" state="visible" r:id="rId5"/>
    <sheet name="ENSO" sheetId="4" state="visible" r:id="rId6"/>
    <sheet name="Mean temp" sheetId="5" state="visible" r:id="rId7"/>
    <sheet name="Min temp" sheetId="6" state="visible" r:id="rId8"/>
    <sheet name="Max temp" sheetId="7" state="visible" r:id="rId9"/>
    <sheet name="Rainfall" sheetId="8" state="visible" r:id="rId10"/>
    <sheet name="Humidity" sheetId="9" state="visible" r:id="rId11"/>
    <sheet name="Soil moisture" sheetId="10" state="visible" r:id="rId12"/>
    <sheet name="INMET stations" sheetId="11" state="visible" r:id="rId13"/>
    <sheet name="Sources compared" sheetId="12" state="visible" r:id="rId14"/>
    <sheet name="Valida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<sst xmlns="http://schemas.openxmlformats.org/spreadsheetml/2006/main" count="713" uniqueCount="159">
  <si>
    <t xml:space="preserve">Espírito Santo (conilon) — météo par saison caféière (juillet → juin) et phase ENSO</t>
  </si>
  <si>
    <t xml:space="preserve">Fichier généré le 2026-09-27. Données mensuelles de juillet 2006 à August 2026 (mois complets uniquement).</t>
  </si>
  <si>
    <t xml:space="preserve">Zone</t>
  </si>
  <si>
    <t xml:space="preserve">Moyenne de 5 villes : Jaguaré, Vila Valério, Sooretama, Nova Venécia, São Mateus (principales communes du conilon ; altitude du modèle de terrain à 90 m).</t>
  </si>
  <si>
    <t xml:space="preserve">Sources retenues (les plus proches des vraies mesures)</t>
  </si>
  <si>
    <t xml:space="preserve">Chaque source a été comparée aux stations automatiques INMET de la région (A616, A614, A632, A631, mesures réelles 2007–2026) : voir l'onglet Validation.</t>
  </si>
  <si>
    <t xml:space="preserve">• Pluie : CHIRPS v3.0 (UCSB) — satellite + pluviomètres, grille 0,05° (~5 km).</t>
  </si>
  <si>
    <t xml:space="preserve">• Température moyenne et température minimale et humidité de l'air : Open-Meteo ERA5-Land (0,1°), corrigé à l'altitude de chaque ville.</t>
  </si>
  <si>
    <t xml:space="preserve">• Température maximale : Open-Meteo ERA5-Land + correction mensuelle mesurée sur les 4 stations INMET de la région (les modèles lissent les extrêmes du jour). Correction testée en excluant à chaque fois la station évaluée ; appliquée seulement là où elle réduit l'erreur (voir Validation).</t>
  </si>
  <si>
    <t xml:space="preserve">• Humidité du sol (0–100 cm et surface 0–7 cm) : Open-Meteo ERA5-Land, en % du volume de sol. Aucune station ne la mesure dans la région : c'est une estimation de modèle, non vérifiable localement.</t>
  </si>
  <si>
    <t xml:space="preserve">Phases ENSO</t>
  </si>
  <si>
    <t xml:space="preserve">Indice ONI de la NOAA pour décembre-janvier-février : ≥ +0,5 = El Niño, ≤ −0,5 = La Niña, sinon Neutre. Cette règle redonne exactement le classement du graphique de référence (2006/07–2024/25).</t>
  </si>
  <si>
    <t xml:space="preserve">2026/27 : saison en cours, El Niño en formation (ONI juin-juillet-août 2026 = +1,80) — marquée « * », provisoire, exclue des moyennes.</t>
  </si>
  <si>
    <t xml:space="preserve">Onglets</t>
  </si>
  <si>
    <t xml:space="preserve">Charts : graphiques par phase (comme le modèle), une ligne par saison, pointillés = moyenne de la phase.</t>
  </si>
  <si>
    <t xml:space="preserve">Monthly data : toutes les valeurs mensuelles. Mean temp … Soil moisture : tableaux saison × mois (formules liées à Monthly data) et moyennes par phase.</t>
  </si>
  <si>
    <t xml:space="preserve">INMET stations : mesures réelles des stations de la région. Sources compared : les 3 sources côte à côte. Validation : précision de chaque source. ENSO : indice par saison.</t>
  </si>
  <si>
    <t xml:space="preserve">Fraîcheur des données</t>
  </si>
  <si>
    <t xml:space="preserve">CHIRPS final jusqu'à 2026-08 ; préliminaire jusqu'à 2026-09 pentad 5 (non utilisé ici). Open-Meteo ERA5 : ~5 jours de retard. NASA POWER : quelques jours.</t>
  </si>
  <si>
    <t xml:space="preserve">Crédits</t>
  </si>
  <si>
    <t xml:space="preserve">CHIRPS : Funk et al., Climate Hazards Center UCSB. Open-Meteo (CC BY 4.0) / ERA5-Land, Copernicus-ECMWF. NASA POWER, NASA Langley. INMET. NOAA CPC (ONI).</t>
  </si>
  <si>
    <t xml:space="preserve">Espírito Santo (conilon) | Temperature, rainfall, humidity and soil moisture by ENSO phase</t>
  </si>
  <si>
    <t xml:space="preserve">Coffee seasons Jul-Jun, 2006/07 to 2026/27. Dotted line = average of the phase. Best-validated source per variable (see Validation).</t>
  </si>
  <si>
    <t xml:space="preserve">Espírito Santo (conilon) — monthly data (average of the towns), best source per variable</t>
  </si>
  <si>
    <t xml:space="preserve">Towns: Jaguaré, Vila Valério, Sooretama, Nova Venécia, São Mateus. Complete months only.</t>
  </si>
  <si>
    <t xml:space="preserve">Source → Open-Meteo</t>
  </si>
  <si>
    <t xml:space="preserve">Open-Meteo</t>
  </si>
  <si>
    <t xml:space="preserve">Open-Meteo + INMET correction</t>
  </si>
  <si>
    <t xml:space="preserve">CHIRPS</t>
  </si>
  <si>
    <t xml:space="preserve">Month</t>
  </si>
  <si>
    <t xml:space="preserve">Season</t>
  </si>
  <si>
    <t xml:space="preserve">ENSO phase</t>
  </si>
  <si>
    <t xml:space="preserve">Mean temperature (°C)</t>
  </si>
  <si>
    <t xml:space="preserve">Min temperature (°C)</t>
  </si>
  <si>
    <t xml:space="preserve">Max temperature (°C)</t>
  </si>
  <si>
    <t xml:space="preserve">Monthly rainfall (mm)</t>
  </si>
  <si>
    <t xml:space="preserve">Relative humidity (%)</t>
  </si>
  <si>
    <t xml:space="preserve">Soil moisture 0-100 cm (% vol.)</t>
  </si>
  <si>
    <t xml:space="preserve">Surface soil moisture 0-7 cm (% vol.)</t>
  </si>
  <si>
    <t xml:space="preserve">2006/07</t>
  </si>
  <si>
    <t xml:space="preserve">2007/08</t>
  </si>
  <si>
    <t xml:space="preserve">2008/09</t>
  </si>
  <si>
    <t xml:space="preserve">2009/10</t>
  </si>
  <si>
    <t xml:space="preserve">2010/11</t>
  </si>
  <si>
    <t xml:space="preserve">2011/12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</si>
  <si>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</si>
  <si>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</si>
  <si>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</si>
  <si>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</si>
  <si>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</si>
  <si>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</si>
  <si>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</si>
  <si>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</si>
  <si>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</si>
  <si>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</si>
  <si>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</si>
  <si>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</si>
  <si>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</si>
  <si>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2025/26</t>
  </si>
  <si>
    <t xml:space="preserve">2026/27</t>
  </si>
  <si>
    <t xml:space="preserve">ENSO phase per coffee season (Jul-Jun)</t>
  </si>
  <si>
    <t xml:space="preserve">NOAA CPC Oceanic Niño Index (ONI). Rule: DJF ONI &gt;= +0.5 El Niño, &lt;= -0.5 La Niña, otherwise Neutral. * = season not finished, provisional.</t>
  </si>
  <si>
    <t xml:space="preserve">DJF ONI</t>
  </si>
  <si>
    <t xml:space="preserve">SON ONI</t>
  </si>
  <si>
    <t xml:space="preserve">NDJ ONI</t>
  </si>
  <si>
    <t xml:space="preserve">Note</t>
  </si>
  <si>
    <t xml:space="preserve">El Niño</t>
  </si>
  <si>
    <t xml:space="preserve">La Niña</t>
  </si>
  <si>
    <t xml:space="preserve">Neutral</t>
  </si>
  <si>
    <t xml:space="preserve">El Niño*</t>
  </si>
  <si>
    <t xml:space="preserve">provisional: latest ONI JJA 2026 = +1.80</t>
  </si>
  <si>
    <t xml:space="preserve">Source: https://www.cpc.ncep.noaa.gov/data/indices/oni.ascii.txt</t>
  </si>
  <si>
    <t xml:space="preserve">Espírito Santo (conilon) — Mean temperature (°C) by coffee season</t>
  </si>
  <si>
    <t xml:space="preserve">Source: Open-Meteo, ERA5-Land 0.1° (models=era5_seamless), downscaled to town altitude. Values link to 'Monthly data'.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</si>
  <si>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</si>
  <si>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</si>
  <si>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</si>
  <si>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</si>
  <si>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</si>
  <si>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</si>
  <si>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</si>
  <si>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</si>
  <si>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</si>
  <si>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</si>
  <si>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</si>
  <si>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</si>
  <si>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Season mean</t>
  </si>
  <si>
    <t xml:space="preserve">Averages</t>
  </si>
  <si>
    <t xml:space="preserve">El Niño average (7 seasons)</t>
  </si>
  <si>
    <t xml:space="preserve">La Niña average (8 seasons)</t>
  </si>
  <si>
    <t xml:space="preserve">Neutral average (5 seasons)</t>
  </si>
  <si>
    <t xml:space="preserve">All complete seasons (20)</t>
  </si>
  <si>
    <t xml:space="preserve">* season not finished — ENSO phase provisional, not included in the phase averages.</t>
  </si>
  <si>
    <t xml:space="preserve">Espírito Santo (conilon) — Min temperature (°C) by coffee season</t>
  </si>
  <si>
    <t xml:space="preserve">Espírito Santo (conilon) — Max temperature (°C) by coffee season</t>
  </si>
  <si>
    <t xml:space="preserve">Source: Open-Meteo ERA5-Land, altitude-downscaled, + monthly offsets measured at the INMET stations of the region (models smooth the daily extremes). Values link to 'Monthly data'.</t>
  </si>
  <si>
    <t xml:space="preserve">Espírito Santo (conilon) — Monthly rainfall (mm) by coffee season</t>
  </si>
  <si>
    <t xml:space="preserve">Source: CHIRPS v3.0 (UCSB Climate Hazards Center), 0.05° satellite + rain gauges. Values link to 'Monthly data'.</t>
  </si>
  <si>
    <t xml:space="preserve">Season total</t>
  </si>
  <si>
    <t xml:space="preserve">Espírito Santo (conilon) — Relative humidity (%) by coffee season</t>
  </si>
  <si>
    <t xml:space="preserve">Espírito Santo (conilon) — Soil moisture 0-100 cm (% vol.) by coffee season</t>
  </si>
  <si>
    <t xml:space="preserve">INMET automatic stations — observed monthly values (complete months only)</t>
  </si>
  <si>
    <t xml:space="preserve">portal.inmet.gov.br/dadoshistoricos (hourly archive, UTC days). Point measurements, not region averages.</t>
  </si>
  <si>
    <t xml:space="preserve">A616 Sao Mateus (29 m)</t>
  </si>
  <si>
    <t xml:space="preserve">A614 Linhares (40 m)</t>
  </si>
  <si>
    <t xml:space="preserve">A632 Marilandia (95 m)</t>
  </si>
  <si>
    <t xml:space="preserve">A631 Ecoporanga (224 m)</t>
  </si>
  <si>
    <t xml:space="preserve">Rain mm</t>
  </si>
  <si>
    <t xml:space="preserve">Tmean °C</t>
  </si>
  <si>
    <t xml:space="preserve">Tmin °C</t>
  </si>
  <si>
    <t xml:space="preserve">Tmax °C</t>
  </si>
  <si>
    <t xml:space="preserve">RH %</t>
  </si>
  <si>
    <t xml:space="preserve">Region monthly averages from every source (for comparison)</t>
  </si>
  <si>
    <t xml:space="preserve">Soil moisture: Open-Meteo = volumetric water (% vol.); NASA POWER = relative wetness GWETROOT/GWETTOP (%), not the same unit.</t>
  </si>
  <si>
    <t xml:space="preserve">Mean temperature (°C) — Open-Meteo</t>
  </si>
  <si>
    <t xml:space="preserve">Mean temperature (°C) — NASA POWER</t>
  </si>
  <si>
    <t xml:space="preserve">Min temperature (°C) — Open-Meteo</t>
  </si>
  <si>
    <t xml:space="preserve">Min temperature (°C) — Open-Meteo + INMET correction</t>
  </si>
  <si>
    <t xml:space="preserve">Min temperature (°C) — NASA POWER</t>
  </si>
  <si>
    <t xml:space="preserve">Max temperature (°C) — Open-Meteo</t>
  </si>
  <si>
    <t xml:space="preserve">Max temperature (°C) — Open-Meteo + INMET correction</t>
  </si>
  <si>
    <t xml:space="preserve">Max temperature (°C) — NASA POWER</t>
  </si>
  <si>
    <t xml:space="preserve">Monthly rainfall (mm) — CHIRPS</t>
  </si>
  <si>
    <t xml:space="preserve">Monthly rainfall (mm) — Open-Meteo</t>
  </si>
  <si>
    <t xml:space="preserve">Monthly rainfall (mm) — NASA POWER</t>
  </si>
  <si>
    <t xml:space="preserve">Relative humidity (%) — Open-Meteo</t>
  </si>
  <si>
    <t xml:space="preserve">Relative humidity (%) — NASA POWER</t>
  </si>
  <si>
    <t xml:space="preserve">Soil moisture 0-100 cm (% vol.) — Open-Meteo</t>
  </si>
  <si>
    <t xml:space="preserve">Soil moisture 0-100 cm (% vol.) — NASA POWER</t>
  </si>
  <si>
    <t xml:space="preserve">Surface soil moisture 0-7 cm (% vol.) — Open-Meteo</t>
  </si>
  <si>
    <t xml:space="preserve">Surface soil moisture 0-7 cm (% vol.) — NASA POWER</t>
  </si>
  <si>
    <t xml:space="preserve">Which source is closest to reality? — comparison with INMET stations</t>
  </si>
  <si>
    <t xml:space="preserve">2007-01..2026-08 (best_match: 2017-01..2026-08). 4 INMET stations in the Espírito Santo conilon belt (A616, A614, A632, A631), each source read at the station point.</t>
  </si>
  <si>
    <t xml:space="preserve">Variable</t>
  </si>
  <si>
    <t xml:space="preserve">Source</t>
  </si>
  <si>
    <t xml:space="preserve">Months compared</t>
  </si>
  <si>
    <t xml:space="preserve">Bias (monthly)</t>
  </si>
  <si>
    <t xml:space="preserve">Mean abs. error (monthly)</t>
  </si>
  <si>
    <t xml:space="preserve">Error % (rain)</t>
  </si>
  <si>
    <t xml:space="preserve">Correlation r (monthly)</t>
  </si>
  <si>
    <t xml:space="preserve">Yearly error (rain, %)</t>
  </si>
  <si>
    <t xml:space="preserve">Daily MAE</t>
  </si>
  <si>
    <t xml:space="preserve">Daily r</t>
  </si>
  <si>
    <t xml:space="preserve">Chosen</t>
  </si>
  <si>
    <t xml:space="preserve">Rainfall (mm/month)</t>
  </si>
  <si>
    <t xml:space="preserve">CHIRPS v3</t>
  </si>
  <si>
    <t xml:space="preserve">✔</t>
  </si>
  <si>
    <t xml:space="preserve">NASA POWER</t>
  </si>
  <si>
    <t xml:space="preserve">Open-Meteo ERA5-Land</t>
  </si>
  <si>
    <t xml:space="preserve">Open-Meteo ERA5-Land + INMET correction</t>
  </si>
  <si>
    <t xml:space="preserve">Bias = source − station (positive = source too high). Mean absolute error: lower is better. r: closer to 1 is better.</t>
  </si>
  <si>
    <t xml:space="preserve">Rainfall: CHIRPS blends satellite data with rain gauges (possibly including some of these stations).</t>
  </si>
  <si>
    <t xml:space="preserve">Temperatures: Open-Meteo is corrected to the real altitude of each point; NASA POWER uses a 50 km grid cell at its mean altitude.</t>
  </si>
  <si>
    <t xml:space="preserve">Min/max temperatures: reanalyses smooth the daily extremes (max too cold, min too warm). Monthly offsets measured at the stations are added (table below); the corrected row is tested leave-one-station-out (offsets computed without the tested station).</t>
  </si>
  <si>
    <t xml:space="preserve">Soil moisture: no station in the region measures it, so it cannot be verified here. ERA5-Land (Open-Meteo, 0.1°) is used: finer grid and forced by the same weather that validates best above; NASA POWER GWETROOT is in 'Sources compared'.</t>
  </si>
  <si>
    <t xml:space="preserve">Open-Meteo best_match (IFS 9 km blend, 2017+ only) is shown for information; the site/workbook use one consistent model (ERA5-Land).</t>
  </si>
  <si>
    <t xml:space="preserve">Monthly offsets added to Open-Meteo min/max temperatures (°C) — mean of station − model, 4 INMET stations, 2007-2026</t>
  </si>
  <si>
    <t xml:space="preserve">Tmin offset</t>
  </si>
  <si>
    <t xml:space="preserve">Tmax offset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</si>
</sst>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mmm\ yyyy"/>
    <numFmt numFmtId="168" formatCode="\+0.00;\-0.00;0.00"/>
    <numFmt numFmtId="169" formatCode="0.00"/>
    <numFmt numFmtId="170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2A44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222222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78787"/>
      <rgbColor rgb="FF9999FF"/>
      <rgbColor rgb="FF7B3FA0"/>
      <rgbColor rgb="FFF2F4F8"/>
      <rgbColor rgb="FFCCFFFF"/>
      <rgbColor rgb="FF660066"/>
      <rgbColor rgb="FFE377C2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7BECF"/>
      <rgbColor rgb="FFBCBD22"/>
      <rgbColor rgb="FFFFCC00"/>
      <rgbColor rgb="FFFF9900"/>
      <rgbColor rgb="FFFF7F0E"/>
      <rgbColor rgb="FF555555"/>
      <rgbColor rgb="FF969696"/>
      <rgbColor rgb="FF003366"/>
      <rgbColor rgb="FF2CA02C"/>
      <rgbColor rgb="FF003300"/>
      <rgbColor rgb="FF222222"/>
      <rgbColor rgb="FFD62728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temp'!$C$5:$N$5</c:f>
              <c:numCache>
                <c:formatCode>0.0</c:formatCode>
                <c:ptCount val="12"/>
                <c:pt idx="0">
                  <c:v>20.53</c:v>
                </c:pt>
                <c:pt idx="1">
                  <c:v>21.87</c:v>
                </c:pt>
                <c:pt idx="2">
                  <c:v>22.13</c:v>
                </c:pt>
                <c:pt idx="3">
                  <c:v>23.24</c:v>
                </c:pt>
                <c:pt idx="4">
                  <c:v>23.79</c:v>
                </c:pt>
                <c:pt idx="5">
                  <c:v>24.6</c:v>
                </c:pt>
                <c:pt idx="6">
                  <c:v>26.05</c:v>
                </c:pt>
                <c:pt idx="7">
                  <c:v>24.92</c:v>
                </c:pt>
                <c:pt idx="8">
                  <c:v>25.61</c:v>
                </c:pt>
                <c:pt idx="9">
                  <c:v>24.67</c:v>
                </c:pt>
                <c:pt idx="10">
                  <c:v>22.65</c:v>
                </c:pt>
                <c:pt idx="11">
                  <c:v>21.54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temp'!$C$8:$N$8</c:f>
              <c:numCache>
                <c:formatCode>0.0</c:formatCode>
                <c:ptCount val="12"/>
                <c:pt idx="0">
                  <c:v>21.76</c:v>
                </c:pt>
                <c:pt idx="1">
                  <c:v>22.06</c:v>
                </c:pt>
                <c:pt idx="2">
                  <c:v>24.24</c:v>
                </c:pt>
                <c:pt idx="3">
                  <c:v>24.52</c:v>
                </c:pt>
                <c:pt idx="4">
                  <c:v>25.47</c:v>
                </c:pt>
                <c:pt idx="5">
                  <c:v>26.4</c:v>
                </c:pt>
                <c:pt idx="6">
                  <c:v>27.32</c:v>
                </c:pt>
                <c:pt idx="7">
                  <c:v>27.59</c:v>
                </c:pt>
                <c:pt idx="8">
                  <c:v>26.41</c:v>
                </c:pt>
                <c:pt idx="9">
                  <c:v>24.22</c:v>
                </c:pt>
                <c:pt idx="10">
                  <c:v>23.28</c:v>
                </c:pt>
                <c:pt idx="11">
                  <c:v>21.39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temp'!$C$13:$N$13</c:f>
              <c:numCache>
                <c:formatCode>0.0</c:formatCode>
                <c:ptCount val="12"/>
                <c:pt idx="0">
                  <c:v>21.03</c:v>
                </c:pt>
                <c:pt idx="1">
                  <c:v>21.24</c:v>
                </c:pt>
                <c:pt idx="2">
                  <c:v>23.02</c:v>
                </c:pt>
                <c:pt idx="3">
                  <c:v>23.43</c:v>
                </c:pt>
                <c:pt idx="4">
                  <c:v>23.95</c:v>
                </c:pt>
                <c:pt idx="5">
                  <c:v>24.76</c:v>
                </c:pt>
                <c:pt idx="6">
                  <c:v>26.43</c:v>
                </c:pt>
                <c:pt idx="7">
                  <c:v>26.51</c:v>
                </c:pt>
                <c:pt idx="8">
                  <c:v>25.89</c:v>
                </c:pt>
                <c:pt idx="9">
                  <c:v>24.84</c:v>
                </c:pt>
                <c:pt idx="10">
                  <c:v>23.12</c:v>
                </c:pt>
                <c:pt idx="11">
                  <c:v>22.45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temp'!$C$14:$N$14</c:f>
              <c:numCache>
                <c:formatCode>0.0</c:formatCode>
                <c:ptCount val="12"/>
                <c:pt idx="0">
                  <c:v>21.94</c:v>
                </c:pt>
                <c:pt idx="1">
                  <c:v>22.03</c:v>
                </c:pt>
                <c:pt idx="2">
                  <c:v>24.82</c:v>
                </c:pt>
                <c:pt idx="3">
                  <c:v>25.48</c:v>
                </c:pt>
                <c:pt idx="4">
                  <c:v>26.94</c:v>
                </c:pt>
                <c:pt idx="5">
                  <c:v>27.51</c:v>
                </c:pt>
                <c:pt idx="6">
                  <c:v>26.49</c:v>
                </c:pt>
                <c:pt idx="7">
                  <c:v>27.18</c:v>
                </c:pt>
                <c:pt idx="8">
                  <c:v>27.11</c:v>
                </c:pt>
                <c:pt idx="9">
                  <c:v>26.38</c:v>
                </c:pt>
                <c:pt idx="10">
                  <c:v>24.34</c:v>
                </c:pt>
                <c:pt idx="11">
                  <c:v>22.5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temp'!$C$17:$N$17</c:f>
              <c:numCache>
                <c:formatCode>0.0</c:formatCode>
                <c:ptCount val="12"/>
                <c:pt idx="0">
                  <c:v>21.36</c:v>
                </c:pt>
                <c:pt idx="1">
                  <c:v>22.15</c:v>
                </c:pt>
                <c:pt idx="2">
                  <c:v>23.41</c:v>
                </c:pt>
                <c:pt idx="3">
                  <c:v>24.64</c:v>
                </c:pt>
                <c:pt idx="4">
                  <c:v>24.37</c:v>
                </c:pt>
                <c:pt idx="5">
                  <c:v>25.14</c:v>
                </c:pt>
                <c:pt idx="6">
                  <c:v>26.41</c:v>
                </c:pt>
                <c:pt idx="7">
                  <c:v>27.81</c:v>
                </c:pt>
                <c:pt idx="8">
                  <c:v>27.03</c:v>
                </c:pt>
                <c:pt idx="9">
                  <c:v>26.2</c:v>
                </c:pt>
                <c:pt idx="10">
                  <c:v>24.84</c:v>
                </c:pt>
                <c:pt idx="11">
                  <c:v>22.8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temp'!$C$18:$N$18</c:f>
              <c:numCache>
                <c:formatCode>0.0</c:formatCode>
                <c:ptCount val="12"/>
                <c:pt idx="0">
                  <c:v>21.94</c:v>
                </c:pt>
                <c:pt idx="1">
                  <c:v>21.86</c:v>
                </c:pt>
                <c:pt idx="2">
                  <c:v>23.77</c:v>
                </c:pt>
                <c:pt idx="3">
                  <c:v>24.52</c:v>
                </c:pt>
                <c:pt idx="4">
                  <c:v>25.11</c:v>
                </c:pt>
                <c:pt idx="5">
                  <c:v>25.43</c:v>
                </c:pt>
                <c:pt idx="6">
                  <c:v>26.02</c:v>
                </c:pt>
                <c:pt idx="7">
                  <c:v>26.56</c:v>
                </c:pt>
                <c:pt idx="8">
                  <c:v>24.8</c:v>
                </c:pt>
                <c:pt idx="9">
                  <c:v>24.32</c:v>
                </c:pt>
                <c:pt idx="10">
                  <c:v>22.8</c:v>
                </c:pt>
                <c:pt idx="11">
                  <c:v>22.58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temp'!$C$22:$N$22</c:f>
              <c:numCache>
                <c:formatCode>0.0</c:formatCode>
                <c:ptCount val="12"/>
                <c:pt idx="0">
                  <c:v>21.77</c:v>
                </c:pt>
                <c:pt idx="1">
                  <c:v>22.95</c:v>
                </c:pt>
                <c:pt idx="2">
                  <c:v>24.02</c:v>
                </c:pt>
                <c:pt idx="3">
                  <c:v>25.67</c:v>
                </c:pt>
                <c:pt idx="4">
                  <c:v>27.14</c:v>
                </c:pt>
                <c:pt idx="5">
                  <c:v>27.59</c:v>
                </c:pt>
                <c:pt idx="6">
                  <c:v>26.34</c:v>
                </c:pt>
                <c:pt idx="7">
                  <c:v>26.31</c:v>
                </c:pt>
                <c:pt idx="8">
                  <c:v>27.01</c:v>
                </c:pt>
                <c:pt idx="9">
                  <c:v>25.82</c:v>
                </c:pt>
                <c:pt idx="10">
                  <c:v>25.23</c:v>
                </c:pt>
                <c:pt idx="11">
                  <c:v>23.3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temp'!$C$25:$N$25</c:f>
              <c:numCache>
                <c:formatCode>0.0</c:formatCode>
                <c:ptCount val="12"/>
                <c:pt idx="0">
                  <c:v>22.17</c:v>
                </c:pt>
                <c:pt idx="1">
                  <c:v>23.39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temp'!$C$28:$N$28</c:f>
              <c:numCache>
                <c:formatCode>0.0</c:formatCode>
                <c:ptCount val="12"/>
                <c:pt idx="0">
                  <c:v>21.4757142857143</c:v>
                </c:pt>
                <c:pt idx="1">
                  <c:v>22.0228571428571</c:v>
                </c:pt>
                <c:pt idx="2">
                  <c:v>23.63</c:v>
                </c:pt>
                <c:pt idx="3">
                  <c:v>24.5</c:v>
                </c:pt>
                <c:pt idx="4">
                  <c:v>25.2528571428571</c:v>
                </c:pt>
                <c:pt idx="5">
                  <c:v>25.9185714285714</c:v>
                </c:pt>
                <c:pt idx="6">
                  <c:v>26.4371428571429</c:v>
                </c:pt>
                <c:pt idx="7">
                  <c:v>26.6971428571429</c:v>
                </c:pt>
                <c:pt idx="8">
                  <c:v>26.2657142857143</c:v>
                </c:pt>
                <c:pt idx="9">
                  <c:v>25.2071428571429</c:v>
                </c:pt>
                <c:pt idx="10">
                  <c:v>23.7514285714286</c:v>
                </c:pt>
                <c:pt idx="11">
                  <c:v>22.3657142857143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937505"/>
        <c:axId val="43026028"/>
      </c:lineChart>
      <c:catAx>
        <c:axId val="51937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26028"/>
        <c:crosses val="autoZero"/>
        <c:auto val="1"/>
        <c:lblAlgn val="ctr"/>
        <c:lblOffset val="100"/>
        <c:noMultiLvlLbl val="0"/>
      </c:catAx>
      <c:valAx>
        <c:axId val="43026028"/>
        <c:scaling>
          <c:orientation val="minMax"/>
          <c:max val="28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37505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temp'!$C$6:$N$6</c:f>
              <c:numCache>
                <c:formatCode>0.0</c:formatCode>
                <c:ptCount val="12"/>
                <c:pt idx="0">
                  <c:v>21.88</c:v>
                </c:pt>
                <c:pt idx="1">
                  <c:v>21.24</c:v>
                </c:pt>
                <c:pt idx="2">
                  <c:v>21.78</c:v>
                </c:pt>
                <c:pt idx="3">
                  <c:v>23.89</c:v>
                </c:pt>
                <c:pt idx="4">
                  <c:v>25.33</c:v>
                </c:pt>
                <c:pt idx="5">
                  <c:v>25.35</c:v>
                </c:pt>
                <c:pt idx="6">
                  <c:v>25.16</c:v>
                </c:pt>
                <c:pt idx="7">
                  <c:v>25.75</c:v>
                </c:pt>
                <c:pt idx="8">
                  <c:v>25.5</c:v>
                </c:pt>
                <c:pt idx="9">
                  <c:v>25.51</c:v>
                </c:pt>
                <c:pt idx="10">
                  <c:v>22.82</c:v>
                </c:pt>
                <c:pt idx="11">
                  <c:v>21.9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temp'!$C$7:$N$7</c:f>
              <c:numCache>
                <c:formatCode>0.0</c:formatCode>
                <c:ptCount val="12"/>
                <c:pt idx="0">
                  <c:v>20.73</c:v>
                </c:pt>
                <c:pt idx="1">
                  <c:v>22.32</c:v>
                </c:pt>
                <c:pt idx="2">
                  <c:v>22.84</c:v>
                </c:pt>
                <c:pt idx="3">
                  <c:v>24.66</c:v>
                </c:pt>
                <c:pt idx="4">
                  <c:v>24.12</c:v>
                </c:pt>
                <c:pt idx="5">
                  <c:v>24.58</c:v>
                </c:pt>
                <c:pt idx="6">
                  <c:v>25.58</c:v>
                </c:pt>
                <c:pt idx="7">
                  <c:v>25.95</c:v>
                </c:pt>
                <c:pt idx="8">
                  <c:v>26.34</c:v>
                </c:pt>
                <c:pt idx="9">
                  <c:v>24.41</c:v>
                </c:pt>
                <c:pt idx="10">
                  <c:v>22.6</c:v>
                </c:pt>
                <c:pt idx="11">
                  <c:v>21.54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temp'!$C$9:$N$9</c:f>
              <c:numCache>
                <c:formatCode>0.0</c:formatCode>
                <c:ptCount val="12"/>
                <c:pt idx="0">
                  <c:v>21.55</c:v>
                </c:pt>
                <c:pt idx="1">
                  <c:v>21</c:v>
                </c:pt>
                <c:pt idx="2">
                  <c:v>22.74</c:v>
                </c:pt>
                <c:pt idx="3">
                  <c:v>24.04</c:v>
                </c:pt>
                <c:pt idx="4">
                  <c:v>24.32</c:v>
                </c:pt>
                <c:pt idx="5">
                  <c:v>25.68</c:v>
                </c:pt>
                <c:pt idx="6">
                  <c:v>25.8</c:v>
                </c:pt>
                <c:pt idx="7">
                  <c:v>26.31</c:v>
                </c:pt>
                <c:pt idx="8">
                  <c:v>25.07</c:v>
                </c:pt>
                <c:pt idx="9">
                  <c:v>24.12</c:v>
                </c:pt>
                <c:pt idx="10">
                  <c:v>21.9</c:v>
                </c:pt>
                <c:pt idx="11">
                  <c:v>21.34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temp'!$C$10:$N$10</c:f>
              <c:numCache>
                <c:formatCode>0.0</c:formatCode>
                <c:ptCount val="12"/>
                <c:pt idx="0">
                  <c:v>20.89</c:v>
                </c:pt>
                <c:pt idx="1">
                  <c:v>22.08</c:v>
                </c:pt>
                <c:pt idx="2">
                  <c:v>21.71</c:v>
                </c:pt>
                <c:pt idx="3">
                  <c:v>23.13</c:v>
                </c:pt>
                <c:pt idx="4">
                  <c:v>22.65</c:v>
                </c:pt>
                <c:pt idx="5">
                  <c:v>24.26</c:v>
                </c:pt>
                <c:pt idx="6">
                  <c:v>24.85</c:v>
                </c:pt>
                <c:pt idx="7">
                  <c:v>25.11</c:v>
                </c:pt>
                <c:pt idx="8">
                  <c:v>25.29</c:v>
                </c:pt>
                <c:pt idx="9">
                  <c:v>25.03</c:v>
                </c:pt>
                <c:pt idx="10">
                  <c:v>22.47</c:v>
                </c:pt>
                <c:pt idx="11">
                  <c:v>22.83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temp'!$C$16:$N$16</c:f>
              <c:numCache>
                <c:formatCode>0.0</c:formatCode>
                <c:ptCount val="12"/>
                <c:pt idx="0">
                  <c:v>20.49</c:v>
                </c:pt>
                <c:pt idx="1">
                  <c:v>21.16</c:v>
                </c:pt>
                <c:pt idx="2">
                  <c:v>22</c:v>
                </c:pt>
                <c:pt idx="3">
                  <c:v>24.91</c:v>
                </c:pt>
                <c:pt idx="4">
                  <c:v>24.1</c:v>
                </c:pt>
                <c:pt idx="5">
                  <c:v>24.94</c:v>
                </c:pt>
                <c:pt idx="6">
                  <c:v>26.2</c:v>
                </c:pt>
                <c:pt idx="7">
                  <c:v>25.29</c:v>
                </c:pt>
                <c:pt idx="8">
                  <c:v>25.92</c:v>
                </c:pt>
                <c:pt idx="9">
                  <c:v>23.79</c:v>
                </c:pt>
                <c:pt idx="10">
                  <c:v>22.54</c:v>
                </c:pt>
                <c:pt idx="11">
                  <c:v>22.16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temp'!$C$19:$N$19</c:f>
              <c:numCache>
                <c:formatCode>0.0</c:formatCode>
                <c:ptCount val="12"/>
                <c:pt idx="0">
                  <c:v>21.76</c:v>
                </c:pt>
                <c:pt idx="1">
                  <c:v>21.62</c:v>
                </c:pt>
                <c:pt idx="2">
                  <c:v>23.68</c:v>
                </c:pt>
                <c:pt idx="3">
                  <c:v>24.89</c:v>
                </c:pt>
                <c:pt idx="4">
                  <c:v>24.18</c:v>
                </c:pt>
                <c:pt idx="5">
                  <c:v>25.78</c:v>
                </c:pt>
                <c:pt idx="6">
                  <c:v>26.22</c:v>
                </c:pt>
                <c:pt idx="7">
                  <c:v>25.61</c:v>
                </c:pt>
                <c:pt idx="8">
                  <c:v>25.94</c:v>
                </c:pt>
                <c:pt idx="9">
                  <c:v>24.75</c:v>
                </c:pt>
                <c:pt idx="10">
                  <c:v>23.76</c:v>
                </c:pt>
                <c:pt idx="11">
                  <c:v>22.3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temp'!$C$20:$N$20</c:f>
              <c:numCache>
                <c:formatCode>0.0</c:formatCode>
                <c:ptCount val="12"/>
                <c:pt idx="0">
                  <c:v>21.47</c:v>
                </c:pt>
                <c:pt idx="1">
                  <c:v>21.8</c:v>
                </c:pt>
                <c:pt idx="2">
                  <c:v>23.81</c:v>
                </c:pt>
                <c:pt idx="3">
                  <c:v>24.03</c:v>
                </c:pt>
                <c:pt idx="4">
                  <c:v>23.7</c:v>
                </c:pt>
                <c:pt idx="5">
                  <c:v>24.37</c:v>
                </c:pt>
                <c:pt idx="6">
                  <c:v>25.72</c:v>
                </c:pt>
                <c:pt idx="7">
                  <c:v>25.61</c:v>
                </c:pt>
                <c:pt idx="8">
                  <c:v>25.65</c:v>
                </c:pt>
                <c:pt idx="9">
                  <c:v>25.34</c:v>
                </c:pt>
                <c:pt idx="10">
                  <c:v>23.32</c:v>
                </c:pt>
                <c:pt idx="11">
                  <c:v>21.88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temp'!$C$21:$N$21</c:f>
              <c:numCache>
                <c:formatCode>0.0</c:formatCode>
                <c:ptCount val="12"/>
                <c:pt idx="0">
                  <c:v>21.62</c:v>
                </c:pt>
                <c:pt idx="1">
                  <c:v>21.97</c:v>
                </c:pt>
                <c:pt idx="2">
                  <c:v>22.69</c:v>
                </c:pt>
                <c:pt idx="3">
                  <c:v>25.03</c:v>
                </c:pt>
                <c:pt idx="4">
                  <c:v>23.52</c:v>
                </c:pt>
                <c:pt idx="5">
                  <c:v>24.21</c:v>
                </c:pt>
                <c:pt idx="6">
                  <c:v>25.31</c:v>
                </c:pt>
                <c:pt idx="7">
                  <c:v>26.38</c:v>
                </c:pt>
                <c:pt idx="8">
                  <c:v>26.04</c:v>
                </c:pt>
                <c:pt idx="9">
                  <c:v>25.28</c:v>
                </c:pt>
                <c:pt idx="10">
                  <c:v>22.83</c:v>
                </c:pt>
                <c:pt idx="11">
                  <c:v>22.17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temp'!$C$29:$N$29</c:f>
              <c:numCache>
                <c:formatCode>0.0</c:formatCode>
                <c:ptCount val="12"/>
                <c:pt idx="0">
                  <c:v>21.29875</c:v>
                </c:pt>
                <c:pt idx="1">
                  <c:v>21.64875</c:v>
                </c:pt>
                <c:pt idx="2">
                  <c:v>22.65625</c:v>
                </c:pt>
                <c:pt idx="3">
                  <c:v>24.3225</c:v>
                </c:pt>
                <c:pt idx="4">
                  <c:v>23.99</c:v>
                </c:pt>
                <c:pt idx="5">
                  <c:v>24.89625</c:v>
                </c:pt>
                <c:pt idx="6">
                  <c:v>25.605</c:v>
                </c:pt>
                <c:pt idx="7">
                  <c:v>25.75125</c:v>
                </c:pt>
                <c:pt idx="8">
                  <c:v>25.71875</c:v>
                </c:pt>
                <c:pt idx="9">
                  <c:v>24.77875</c:v>
                </c:pt>
                <c:pt idx="10">
                  <c:v>22.78</c:v>
                </c:pt>
                <c:pt idx="11">
                  <c:v>22.015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175556"/>
        <c:axId val="39316007"/>
      </c:lineChart>
      <c:catAx>
        <c:axId val="97175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16007"/>
        <c:crosses val="autoZero"/>
        <c:auto val="1"/>
        <c:lblAlgn val="ctr"/>
        <c:lblOffset val="100"/>
        <c:noMultiLvlLbl val="0"/>
      </c:catAx>
      <c:valAx>
        <c:axId val="39316007"/>
        <c:scaling>
          <c:orientation val="minMax"/>
          <c:max val="28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7555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Mean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temp'!$C$11:$N$11</c:f>
              <c:numCache>
                <c:formatCode>0.0</c:formatCode>
                <c:ptCount val="12"/>
                <c:pt idx="0">
                  <c:v>21.65</c:v>
                </c:pt>
                <c:pt idx="1">
                  <c:v>21.04</c:v>
                </c:pt>
                <c:pt idx="2">
                  <c:v>22.71</c:v>
                </c:pt>
                <c:pt idx="3">
                  <c:v>24.08</c:v>
                </c:pt>
                <c:pt idx="4">
                  <c:v>24.15</c:v>
                </c:pt>
                <c:pt idx="5">
                  <c:v>26.5</c:v>
                </c:pt>
                <c:pt idx="6">
                  <c:v>25.91</c:v>
                </c:pt>
                <c:pt idx="7">
                  <c:v>26.16</c:v>
                </c:pt>
                <c:pt idx="8">
                  <c:v>26.59</c:v>
                </c:pt>
                <c:pt idx="9">
                  <c:v>23.95</c:v>
                </c:pt>
                <c:pt idx="10">
                  <c:v>23.13</c:v>
                </c:pt>
                <c:pt idx="11">
                  <c:v>22.67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temp'!$C$12:$N$12</c:f>
              <c:numCache>
                <c:formatCode>0.0</c:formatCode>
                <c:ptCount val="12"/>
                <c:pt idx="0">
                  <c:v>21.89</c:v>
                </c:pt>
                <c:pt idx="1">
                  <c:v>21.74</c:v>
                </c:pt>
                <c:pt idx="2">
                  <c:v>22.91</c:v>
                </c:pt>
                <c:pt idx="3">
                  <c:v>23.36</c:v>
                </c:pt>
                <c:pt idx="4">
                  <c:v>24.27</c:v>
                </c:pt>
                <c:pt idx="5">
                  <c:v>25.08</c:v>
                </c:pt>
                <c:pt idx="6">
                  <c:v>25.26</c:v>
                </c:pt>
                <c:pt idx="7">
                  <c:v>25.48</c:v>
                </c:pt>
                <c:pt idx="8">
                  <c:v>25.39</c:v>
                </c:pt>
                <c:pt idx="9">
                  <c:v>24.55</c:v>
                </c:pt>
                <c:pt idx="10">
                  <c:v>23.43</c:v>
                </c:pt>
                <c:pt idx="11">
                  <c:v>21.68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temp'!$C$15:$N$15</c:f>
              <c:numCache>
                <c:formatCode>0.0</c:formatCode>
                <c:ptCount val="12"/>
                <c:pt idx="0">
                  <c:v>21.96</c:v>
                </c:pt>
                <c:pt idx="1">
                  <c:v>23.11</c:v>
                </c:pt>
                <c:pt idx="2">
                  <c:v>23.8</c:v>
                </c:pt>
                <c:pt idx="3">
                  <c:v>24.26</c:v>
                </c:pt>
                <c:pt idx="4">
                  <c:v>24.46</c:v>
                </c:pt>
                <c:pt idx="5">
                  <c:v>25.9</c:v>
                </c:pt>
                <c:pt idx="6">
                  <c:v>26.94</c:v>
                </c:pt>
                <c:pt idx="7">
                  <c:v>25.84</c:v>
                </c:pt>
                <c:pt idx="8">
                  <c:v>26.33</c:v>
                </c:pt>
                <c:pt idx="9">
                  <c:v>25.11</c:v>
                </c:pt>
                <c:pt idx="10">
                  <c:v>23.16</c:v>
                </c:pt>
                <c:pt idx="11">
                  <c:v>22.38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temp'!$C$23:$N$23</c:f>
              <c:numCache>
                <c:formatCode>0.0</c:formatCode>
                <c:ptCount val="12"/>
                <c:pt idx="0">
                  <c:v>22.85</c:v>
                </c:pt>
                <c:pt idx="1">
                  <c:v>22.56</c:v>
                </c:pt>
                <c:pt idx="2">
                  <c:v>24.51</c:v>
                </c:pt>
                <c:pt idx="3">
                  <c:v>24.91</c:v>
                </c:pt>
                <c:pt idx="4">
                  <c:v>24.6</c:v>
                </c:pt>
                <c:pt idx="5">
                  <c:v>26.39</c:v>
                </c:pt>
                <c:pt idx="6">
                  <c:v>25.99</c:v>
                </c:pt>
                <c:pt idx="7">
                  <c:v>26.59</c:v>
                </c:pt>
                <c:pt idx="8">
                  <c:v>26.22</c:v>
                </c:pt>
                <c:pt idx="9">
                  <c:v>24.98</c:v>
                </c:pt>
                <c:pt idx="10">
                  <c:v>22.92</c:v>
                </c:pt>
                <c:pt idx="11">
                  <c:v>22.02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temp'!$C$24:$N$24</c:f>
              <c:numCache>
                <c:formatCode>0.0</c:formatCode>
                <c:ptCount val="12"/>
                <c:pt idx="0">
                  <c:v>21.01</c:v>
                </c:pt>
                <c:pt idx="1">
                  <c:v>21.48</c:v>
                </c:pt>
                <c:pt idx="2">
                  <c:v>22.44</c:v>
                </c:pt>
                <c:pt idx="3">
                  <c:v>23.19</c:v>
                </c:pt>
                <c:pt idx="4">
                  <c:v>24.77</c:v>
                </c:pt>
                <c:pt idx="5">
                  <c:v>26.15</c:v>
                </c:pt>
                <c:pt idx="6">
                  <c:v>25.94</c:v>
                </c:pt>
                <c:pt idx="7">
                  <c:v>26.84</c:v>
                </c:pt>
                <c:pt idx="8">
                  <c:v>25.39</c:v>
                </c:pt>
                <c:pt idx="9">
                  <c:v>24.81</c:v>
                </c:pt>
                <c:pt idx="10">
                  <c:v>23.79</c:v>
                </c:pt>
                <c:pt idx="11">
                  <c:v>22.22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'Mean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'Mean temp'!$C$30:$N$30</c:f>
              <c:numCache>
                <c:formatCode>0.0</c:formatCode>
                <c:ptCount val="12"/>
                <c:pt idx="0">
                  <c:v>21.872</c:v>
                </c:pt>
                <c:pt idx="1">
                  <c:v>21.986</c:v>
                </c:pt>
                <c:pt idx="2">
                  <c:v>23.274</c:v>
                </c:pt>
                <c:pt idx="3">
                  <c:v>23.96</c:v>
                </c:pt>
                <c:pt idx="4">
                  <c:v>24.45</c:v>
                </c:pt>
                <c:pt idx="5">
                  <c:v>26.004</c:v>
                </c:pt>
                <c:pt idx="6">
                  <c:v>26.008</c:v>
                </c:pt>
                <c:pt idx="7">
                  <c:v>26.182</c:v>
                </c:pt>
                <c:pt idx="8">
                  <c:v>25.984</c:v>
                </c:pt>
                <c:pt idx="9">
                  <c:v>24.68</c:v>
                </c:pt>
                <c:pt idx="10">
                  <c:v>23.286</c:v>
                </c:pt>
                <c:pt idx="11">
                  <c:v>22.194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633835"/>
        <c:axId val="88340004"/>
      </c:lineChart>
      <c:catAx>
        <c:axId val="37633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40004"/>
        <c:crosses val="autoZero"/>
        <c:auto val="1"/>
        <c:lblAlgn val="ctr"/>
        <c:lblOffset val="100"/>
        <c:noMultiLvlLbl val="0"/>
      </c:catAx>
      <c:valAx>
        <c:axId val="88340004"/>
        <c:scaling>
          <c:orientation val="minMax"/>
          <c:max val="28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33835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temp'!$C$5:$N$5</c:f>
              <c:numCache>
                <c:formatCode>0.0</c:formatCode>
                <c:ptCount val="12"/>
                <c:pt idx="0">
                  <c:v>16.55</c:v>
                </c:pt>
                <c:pt idx="1">
                  <c:v>18.46</c:v>
                </c:pt>
                <c:pt idx="2">
                  <c:v>18.72</c:v>
                </c:pt>
                <c:pt idx="3">
                  <c:v>20.66</c:v>
                </c:pt>
                <c:pt idx="4">
                  <c:v>21.34</c:v>
                </c:pt>
                <c:pt idx="5">
                  <c:v>22.05</c:v>
                </c:pt>
                <c:pt idx="6">
                  <c:v>23.12</c:v>
                </c:pt>
                <c:pt idx="7">
                  <c:v>22.17</c:v>
                </c:pt>
                <c:pt idx="8">
                  <c:v>22.33</c:v>
                </c:pt>
                <c:pt idx="9">
                  <c:v>21.86</c:v>
                </c:pt>
                <c:pt idx="10">
                  <c:v>19.45</c:v>
                </c:pt>
                <c:pt idx="11">
                  <c:v>17.58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temp'!$C$8:$N$8</c:f>
              <c:numCache>
                <c:formatCode>0.0</c:formatCode>
                <c:ptCount val="12"/>
                <c:pt idx="0">
                  <c:v>18.37</c:v>
                </c:pt>
                <c:pt idx="1">
                  <c:v>18.77</c:v>
                </c:pt>
                <c:pt idx="2">
                  <c:v>20.66</c:v>
                </c:pt>
                <c:pt idx="3">
                  <c:v>21.68</c:v>
                </c:pt>
                <c:pt idx="4">
                  <c:v>22</c:v>
                </c:pt>
                <c:pt idx="5">
                  <c:v>23.08</c:v>
                </c:pt>
                <c:pt idx="6">
                  <c:v>23.65</c:v>
                </c:pt>
                <c:pt idx="7">
                  <c:v>23.83</c:v>
                </c:pt>
                <c:pt idx="8">
                  <c:v>23.54</c:v>
                </c:pt>
                <c:pt idx="9">
                  <c:v>21.46</c:v>
                </c:pt>
                <c:pt idx="10">
                  <c:v>20.13</c:v>
                </c:pt>
                <c:pt idx="11">
                  <c:v>17.98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temp'!$C$13:$N$13</c:f>
              <c:numCache>
                <c:formatCode>0.0</c:formatCode>
                <c:ptCount val="12"/>
                <c:pt idx="0">
                  <c:v>18.29</c:v>
                </c:pt>
                <c:pt idx="1">
                  <c:v>17.49</c:v>
                </c:pt>
                <c:pt idx="2">
                  <c:v>19.09</c:v>
                </c:pt>
                <c:pt idx="3">
                  <c:v>19.97</c:v>
                </c:pt>
                <c:pt idx="4">
                  <c:v>20.98</c:v>
                </c:pt>
                <c:pt idx="5">
                  <c:v>21.53</c:v>
                </c:pt>
                <c:pt idx="6">
                  <c:v>22.61</c:v>
                </c:pt>
                <c:pt idx="7">
                  <c:v>23.04</c:v>
                </c:pt>
                <c:pt idx="8">
                  <c:v>22.6</c:v>
                </c:pt>
                <c:pt idx="9">
                  <c:v>21.58</c:v>
                </c:pt>
                <c:pt idx="10">
                  <c:v>20.13</c:v>
                </c:pt>
                <c:pt idx="11">
                  <c:v>19.76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temp'!$C$14:$N$14</c:f>
              <c:numCache>
                <c:formatCode>0.0</c:formatCode>
                <c:ptCount val="12"/>
                <c:pt idx="0">
                  <c:v>18.9</c:v>
                </c:pt>
                <c:pt idx="1">
                  <c:v>18.35</c:v>
                </c:pt>
                <c:pt idx="2">
                  <c:v>20.88</c:v>
                </c:pt>
                <c:pt idx="3">
                  <c:v>21.8</c:v>
                </c:pt>
                <c:pt idx="4">
                  <c:v>23.38</c:v>
                </c:pt>
                <c:pt idx="5">
                  <c:v>23.65</c:v>
                </c:pt>
                <c:pt idx="6">
                  <c:v>23.67</c:v>
                </c:pt>
                <c:pt idx="7">
                  <c:v>23.41</c:v>
                </c:pt>
                <c:pt idx="8">
                  <c:v>23.66</c:v>
                </c:pt>
                <c:pt idx="9">
                  <c:v>22.71</c:v>
                </c:pt>
                <c:pt idx="10">
                  <c:v>20.94</c:v>
                </c:pt>
                <c:pt idx="11">
                  <c:v>19.01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temp'!$C$17:$N$17</c:f>
              <c:numCache>
                <c:formatCode>0.0</c:formatCode>
                <c:ptCount val="12"/>
                <c:pt idx="0">
                  <c:v>17.71</c:v>
                </c:pt>
                <c:pt idx="1">
                  <c:v>19.12</c:v>
                </c:pt>
                <c:pt idx="2">
                  <c:v>20.13</c:v>
                </c:pt>
                <c:pt idx="3">
                  <c:v>21.63</c:v>
                </c:pt>
                <c:pt idx="4">
                  <c:v>21.61</c:v>
                </c:pt>
                <c:pt idx="5">
                  <c:v>22.3</c:v>
                </c:pt>
                <c:pt idx="6">
                  <c:v>23.02</c:v>
                </c:pt>
                <c:pt idx="7">
                  <c:v>24.14</c:v>
                </c:pt>
                <c:pt idx="8">
                  <c:v>23.67</c:v>
                </c:pt>
                <c:pt idx="9">
                  <c:v>23.14</c:v>
                </c:pt>
                <c:pt idx="10">
                  <c:v>21.86</c:v>
                </c:pt>
                <c:pt idx="11">
                  <c:v>19.59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temp'!$C$18:$N$18</c:f>
              <c:numCache>
                <c:formatCode>0.0</c:formatCode>
                <c:ptCount val="12"/>
                <c:pt idx="0">
                  <c:v>18.19</c:v>
                </c:pt>
                <c:pt idx="1">
                  <c:v>18.64</c:v>
                </c:pt>
                <c:pt idx="2">
                  <c:v>20.3</c:v>
                </c:pt>
                <c:pt idx="3">
                  <c:v>21.24</c:v>
                </c:pt>
                <c:pt idx="4">
                  <c:v>21.96</c:v>
                </c:pt>
                <c:pt idx="5">
                  <c:v>22.41</c:v>
                </c:pt>
                <c:pt idx="6">
                  <c:v>23.07</c:v>
                </c:pt>
                <c:pt idx="7">
                  <c:v>23.61</c:v>
                </c:pt>
                <c:pt idx="8">
                  <c:v>22.13</c:v>
                </c:pt>
                <c:pt idx="9">
                  <c:v>21.49</c:v>
                </c:pt>
                <c:pt idx="10">
                  <c:v>19.29</c:v>
                </c:pt>
                <c:pt idx="11">
                  <c:v>19.14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temp'!$C$22:$N$22</c:f>
              <c:numCache>
                <c:formatCode>0.0</c:formatCode>
                <c:ptCount val="12"/>
                <c:pt idx="0">
                  <c:v>18.3</c:v>
                </c:pt>
                <c:pt idx="1">
                  <c:v>19.39</c:v>
                </c:pt>
                <c:pt idx="2">
                  <c:v>20.63</c:v>
                </c:pt>
                <c:pt idx="3">
                  <c:v>22.32</c:v>
                </c:pt>
                <c:pt idx="4">
                  <c:v>22.98</c:v>
                </c:pt>
                <c:pt idx="5">
                  <c:v>23.68</c:v>
                </c:pt>
                <c:pt idx="6">
                  <c:v>23.57</c:v>
                </c:pt>
                <c:pt idx="7">
                  <c:v>23.23</c:v>
                </c:pt>
                <c:pt idx="8">
                  <c:v>23.86</c:v>
                </c:pt>
                <c:pt idx="9">
                  <c:v>22.65</c:v>
                </c:pt>
                <c:pt idx="10">
                  <c:v>21.7</c:v>
                </c:pt>
                <c:pt idx="11">
                  <c:v>19.7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temp'!$C$25:$N$25</c:f>
              <c:numCache>
                <c:formatCode>0.0</c:formatCode>
                <c:ptCount val="12"/>
                <c:pt idx="0">
                  <c:v>18.63</c:v>
                </c:pt>
                <c:pt idx="1">
                  <c:v>19.78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temp'!$C$28:$N$28</c:f>
              <c:numCache>
                <c:formatCode>0.0</c:formatCode>
                <c:ptCount val="12"/>
                <c:pt idx="0">
                  <c:v>18.0442857142857</c:v>
                </c:pt>
                <c:pt idx="1">
                  <c:v>18.6028571428571</c:v>
                </c:pt>
                <c:pt idx="2">
                  <c:v>20.0585714285714</c:v>
                </c:pt>
                <c:pt idx="3">
                  <c:v>21.3285714285714</c:v>
                </c:pt>
                <c:pt idx="4">
                  <c:v>22.0357142857143</c:v>
                </c:pt>
                <c:pt idx="5">
                  <c:v>22.6714285714286</c:v>
                </c:pt>
                <c:pt idx="6">
                  <c:v>23.2442857142857</c:v>
                </c:pt>
                <c:pt idx="7">
                  <c:v>23.3471428571429</c:v>
                </c:pt>
                <c:pt idx="8">
                  <c:v>23.1128571428571</c:v>
                </c:pt>
                <c:pt idx="9">
                  <c:v>22.1271428571429</c:v>
                </c:pt>
                <c:pt idx="10">
                  <c:v>20.5</c:v>
                </c:pt>
                <c:pt idx="11">
                  <c:v>18.9657142857143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555237"/>
        <c:axId val="53108356"/>
      </c:lineChart>
      <c:catAx>
        <c:axId val="545552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08356"/>
        <c:crosses val="autoZero"/>
        <c:auto val="1"/>
        <c:lblAlgn val="ctr"/>
        <c:lblOffset val="100"/>
        <c:noMultiLvlLbl val="0"/>
      </c:catAx>
      <c:valAx>
        <c:axId val="53108356"/>
        <c:scaling>
          <c:orientation val="minMax"/>
          <c:max val="26"/>
          <c:min val="1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55237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temp'!$C$6:$N$6</c:f>
              <c:numCache>
                <c:formatCode>0.0</c:formatCode>
                <c:ptCount val="12"/>
                <c:pt idx="0">
                  <c:v>18.41</c:v>
                </c:pt>
                <c:pt idx="1">
                  <c:v>17.41</c:v>
                </c:pt>
                <c:pt idx="2">
                  <c:v>18.14</c:v>
                </c:pt>
                <c:pt idx="3">
                  <c:v>20.23</c:v>
                </c:pt>
                <c:pt idx="4">
                  <c:v>21.87</c:v>
                </c:pt>
                <c:pt idx="5">
                  <c:v>22.07</c:v>
                </c:pt>
                <c:pt idx="6">
                  <c:v>22.13</c:v>
                </c:pt>
                <c:pt idx="7">
                  <c:v>22.66</c:v>
                </c:pt>
                <c:pt idx="8">
                  <c:v>22.51</c:v>
                </c:pt>
                <c:pt idx="9">
                  <c:v>22.42</c:v>
                </c:pt>
                <c:pt idx="10">
                  <c:v>19.49</c:v>
                </c:pt>
                <c:pt idx="11">
                  <c:v>18.52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temp'!$C$7:$N$7</c:f>
              <c:numCache>
                <c:formatCode>0.0</c:formatCode>
                <c:ptCount val="12"/>
                <c:pt idx="0">
                  <c:v>16.79</c:v>
                </c:pt>
                <c:pt idx="1">
                  <c:v>18.4</c:v>
                </c:pt>
                <c:pt idx="2">
                  <c:v>19.22</c:v>
                </c:pt>
                <c:pt idx="3">
                  <c:v>21.01</c:v>
                </c:pt>
                <c:pt idx="4">
                  <c:v>21.53</c:v>
                </c:pt>
                <c:pt idx="5">
                  <c:v>21.77</c:v>
                </c:pt>
                <c:pt idx="6">
                  <c:v>22.87</c:v>
                </c:pt>
                <c:pt idx="7">
                  <c:v>22.8</c:v>
                </c:pt>
                <c:pt idx="8">
                  <c:v>23.15</c:v>
                </c:pt>
                <c:pt idx="9">
                  <c:v>21.65</c:v>
                </c:pt>
                <c:pt idx="10">
                  <c:v>19.56</c:v>
                </c:pt>
                <c:pt idx="11">
                  <c:v>18.61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temp'!$C$9:$N$9</c:f>
              <c:numCache>
                <c:formatCode>0.0</c:formatCode>
                <c:ptCount val="12"/>
                <c:pt idx="0">
                  <c:v>18.72</c:v>
                </c:pt>
                <c:pt idx="1">
                  <c:v>16.98</c:v>
                </c:pt>
                <c:pt idx="2">
                  <c:v>19.08</c:v>
                </c:pt>
                <c:pt idx="3">
                  <c:v>20.84</c:v>
                </c:pt>
                <c:pt idx="4">
                  <c:v>21.54</c:v>
                </c:pt>
                <c:pt idx="5">
                  <c:v>22.62</c:v>
                </c:pt>
                <c:pt idx="6">
                  <c:v>22.67</c:v>
                </c:pt>
                <c:pt idx="7">
                  <c:v>22.68</c:v>
                </c:pt>
                <c:pt idx="8">
                  <c:v>22.5</c:v>
                </c:pt>
                <c:pt idx="9">
                  <c:v>21.64</c:v>
                </c:pt>
                <c:pt idx="10">
                  <c:v>18.78</c:v>
                </c:pt>
                <c:pt idx="11">
                  <c:v>18.01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temp'!$C$10:$N$10</c:f>
              <c:numCache>
                <c:formatCode>0.0</c:formatCode>
                <c:ptCount val="12"/>
                <c:pt idx="0">
                  <c:v>17.18</c:v>
                </c:pt>
                <c:pt idx="1">
                  <c:v>18.18</c:v>
                </c:pt>
                <c:pt idx="2">
                  <c:v>17.55</c:v>
                </c:pt>
                <c:pt idx="3">
                  <c:v>20.49</c:v>
                </c:pt>
                <c:pt idx="4">
                  <c:v>19.79</c:v>
                </c:pt>
                <c:pt idx="5">
                  <c:v>21.58</c:v>
                </c:pt>
                <c:pt idx="6">
                  <c:v>21.92</c:v>
                </c:pt>
                <c:pt idx="7">
                  <c:v>21.69</c:v>
                </c:pt>
                <c:pt idx="8">
                  <c:v>21.8</c:v>
                </c:pt>
                <c:pt idx="9">
                  <c:v>21.75</c:v>
                </c:pt>
                <c:pt idx="10">
                  <c:v>19.65</c:v>
                </c:pt>
                <c:pt idx="11">
                  <c:v>19.77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temp'!$C$16:$N$16</c:f>
              <c:numCache>
                <c:formatCode>0.0</c:formatCode>
                <c:ptCount val="12"/>
                <c:pt idx="0">
                  <c:v>17.59</c:v>
                </c:pt>
                <c:pt idx="1">
                  <c:v>17.26</c:v>
                </c:pt>
                <c:pt idx="2">
                  <c:v>18.63</c:v>
                </c:pt>
                <c:pt idx="3">
                  <c:v>21.25</c:v>
                </c:pt>
                <c:pt idx="4">
                  <c:v>21.43</c:v>
                </c:pt>
                <c:pt idx="5">
                  <c:v>22.27</c:v>
                </c:pt>
                <c:pt idx="6">
                  <c:v>22.98</c:v>
                </c:pt>
                <c:pt idx="7">
                  <c:v>22.65</c:v>
                </c:pt>
                <c:pt idx="8">
                  <c:v>22.99</c:v>
                </c:pt>
                <c:pt idx="9">
                  <c:v>21.31</c:v>
                </c:pt>
                <c:pt idx="10">
                  <c:v>19.82</c:v>
                </c:pt>
                <c:pt idx="11">
                  <c:v>19.3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temp'!$C$19:$N$19</c:f>
              <c:numCache>
                <c:formatCode>0.0</c:formatCode>
                <c:ptCount val="12"/>
                <c:pt idx="0">
                  <c:v>18.12</c:v>
                </c:pt>
                <c:pt idx="1">
                  <c:v>18.46</c:v>
                </c:pt>
                <c:pt idx="2">
                  <c:v>19.69</c:v>
                </c:pt>
                <c:pt idx="3">
                  <c:v>21.76</c:v>
                </c:pt>
                <c:pt idx="4">
                  <c:v>21.51</c:v>
                </c:pt>
                <c:pt idx="5">
                  <c:v>22.55</c:v>
                </c:pt>
                <c:pt idx="6">
                  <c:v>22.55</c:v>
                </c:pt>
                <c:pt idx="7">
                  <c:v>22.74</c:v>
                </c:pt>
                <c:pt idx="8">
                  <c:v>22.25</c:v>
                </c:pt>
                <c:pt idx="9">
                  <c:v>21.35</c:v>
                </c:pt>
                <c:pt idx="10">
                  <c:v>19.96</c:v>
                </c:pt>
                <c:pt idx="11">
                  <c:v>18.74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temp'!$C$20:$N$20</c:f>
              <c:numCache>
                <c:formatCode>0.0</c:formatCode>
                <c:ptCount val="12"/>
                <c:pt idx="0">
                  <c:v>17.63</c:v>
                </c:pt>
                <c:pt idx="1">
                  <c:v>18.34</c:v>
                </c:pt>
                <c:pt idx="2">
                  <c:v>20.17</c:v>
                </c:pt>
                <c:pt idx="3">
                  <c:v>21.41</c:v>
                </c:pt>
                <c:pt idx="4">
                  <c:v>20.72</c:v>
                </c:pt>
                <c:pt idx="5">
                  <c:v>21.73</c:v>
                </c:pt>
                <c:pt idx="6">
                  <c:v>22.39</c:v>
                </c:pt>
                <c:pt idx="7">
                  <c:v>22.71</c:v>
                </c:pt>
                <c:pt idx="8">
                  <c:v>22.28</c:v>
                </c:pt>
                <c:pt idx="9">
                  <c:v>21.75</c:v>
                </c:pt>
                <c:pt idx="10">
                  <c:v>19.68</c:v>
                </c:pt>
                <c:pt idx="11">
                  <c:v>18.1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temp'!$C$21:$N$21</c:f>
              <c:numCache>
                <c:formatCode>0.0</c:formatCode>
                <c:ptCount val="12"/>
                <c:pt idx="0">
                  <c:v>18</c:v>
                </c:pt>
                <c:pt idx="1">
                  <c:v>18.32</c:v>
                </c:pt>
                <c:pt idx="2">
                  <c:v>19</c:v>
                </c:pt>
                <c:pt idx="3">
                  <c:v>21.62</c:v>
                </c:pt>
                <c:pt idx="4">
                  <c:v>20.86</c:v>
                </c:pt>
                <c:pt idx="5">
                  <c:v>21.86</c:v>
                </c:pt>
                <c:pt idx="6">
                  <c:v>22.51</c:v>
                </c:pt>
                <c:pt idx="7">
                  <c:v>22.9</c:v>
                </c:pt>
                <c:pt idx="8">
                  <c:v>22.41</c:v>
                </c:pt>
                <c:pt idx="9">
                  <c:v>22.13</c:v>
                </c:pt>
                <c:pt idx="10">
                  <c:v>19.61</c:v>
                </c:pt>
                <c:pt idx="11">
                  <c:v>18.54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temp'!$C$29:$N$29</c:f>
              <c:numCache>
                <c:formatCode>0.0</c:formatCode>
                <c:ptCount val="12"/>
                <c:pt idx="0">
                  <c:v>17.805</c:v>
                </c:pt>
                <c:pt idx="1">
                  <c:v>17.91875</c:v>
                </c:pt>
                <c:pt idx="2">
                  <c:v>18.935</c:v>
                </c:pt>
                <c:pt idx="3">
                  <c:v>21.07625</c:v>
                </c:pt>
                <c:pt idx="4">
                  <c:v>21.15625</c:v>
                </c:pt>
                <c:pt idx="5">
                  <c:v>22.05625</c:v>
                </c:pt>
                <c:pt idx="6">
                  <c:v>22.5025</c:v>
                </c:pt>
                <c:pt idx="7">
                  <c:v>22.60375</c:v>
                </c:pt>
                <c:pt idx="8">
                  <c:v>22.48625</c:v>
                </c:pt>
                <c:pt idx="9">
                  <c:v>21.75</c:v>
                </c:pt>
                <c:pt idx="10">
                  <c:v>19.56875</c:v>
                </c:pt>
                <c:pt idx="11">
                  <c:v>18.69875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853340"/>
        <c:axId val="77734100"/>
      </c:lineChart>
      <c:catAx>
        <c:axId val="91853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34100"/>
        <c:crosses val="autoZero"/>
        <c:auto val="1"/>
        <c:lblAlgn val="ctr"/>
        <c:lblOffset val="100"/>
        <c:noMultiLvlLbl val="0"/>
      </c:catAx>
      <c:valAx>
        <c:axId val="77734100"/>
        <c:scaling>
          <c:orientation val="minMax"/>
          <c:max val="26"/>
          <c:min val="1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53340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Min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temp'!$C$11:$N$11</c:f>
              <c:numCache>
                <c:formatCode>0.0</c:formatCode>
                <c:ptCount val="12"/>
                <c:pt idx="0">
                  <c:v>17.81</c:v>
                </c:pt>
                <c:pt idx="1">
                  <c:v>18.02</c:v>
                </c:pt>
                <c:pt idx="2">
                  <c:v>19.14</c:v>
                </c:pt>
                <c:pt idx="3">
                  <c:v>20.12</c:v>
                </c:pt>
                <c:pt idx="4">
                  <c:v>21.66</c:v>
                </c:pt>
                <c:pt idx="5">
                  <c:v>22.81</c:v>
                </c:pt>
                <c:pt idx="6">
                  <c:v>22.88</c:v>
                </c:pt>
                <c:pt idx="7">
                  <c:v>22.64</c:v>
                </c:pt>
                <c:pt idx="8">
                  <c:v>23.27</c:v>
                </c:pt>
                <c:pt idx="9">
                  <c:v>21.25</c:v>
                </c:pt>
                <c:pt idx="10">
                  <c:v>19.85</c:v>
                </c:pt>
                <c:pt idx="11">
                  <c:v>19.54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temp'!$C$12:$N$12</c:f>
              <c:numCache>
                <c:formatCode>0.0</c:formatCode>
                <c:ptCount val="12"/>
                <c:pt idx="0">
                  <c:v>18.85</c:v>
                </c:pt>
                <c:pt idx="1">
                  <c:v>18.07</c:v>
                </c:pt>
                <c:pt idx="2">
                  <c:v>19.59</c:v>
                </c:pt>
                <c:pt idx="3">
                  <c:v>20.09</c:v>
                </c:pt>
                <c:pt idx="4">
                  <c:v>21.1</c:v>
                </c:pt>
                <c:pt idx="5">
                  <c:v>22.48</c:v>
                </c:pt>
                <c:pt idx="6">
                  <c:v>22</c:v>
                </c:pt>
                <c:pt idx="7">
                  <c:v>21.96</c:v>
                </c:pt>
                <c:pt idx="8">
                  <c:v>22.17</c:v>
                </c:pt>
                <c:pt idx="9">
                  <c:v>21.45</c:v>
                </c:pt>
                <c:pt idx="10">
                  <c:v>20.05</c:v>
                </c:pt>
                <c:pt idx="11">
                  <c:v>18.77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temp'!$C$15:$N$15</c:f>
              <c:numCache>
                <c:formatCode>0.0</c:formatCode>
                <c:ptCount val="12"/>
                <c:pt idx="0">
                  <c:v>18.33</c:v>
                </c:pt>
                <c:pt idx="1">
                  <c:v>19.38</c:v>
                </c:pt>
                <c:pt idx="2">
                  <c:v>20.28</c:v>
                </c:pt>
                <c:pt idx="3">
                  <c:v>21.2</c:v>
                </c:pt>
                <c:pt idx="4">
                  <c:v>21.54</c:v>
                </c:pt>
                <c:pt idx="5">
                  <c:v>22.89</c:v>
                </c:pt>
                <c:pt idx="6">
                  <c:v>23.37</c:v>
                </c:pt>
                <c:pt idx="7">
                  <c:v>22.8</c:v>
                </c:pt>
                <c:pt idx="8">
                  <c:v>22.77</c:v>
                </c:pt>
                <c:pt idx="9">
                  <c:v>21.84</c:v>
                </c:pt>
                <c:pt idx="10">
                  <c:v>20.27</c:v>
                </c:pt>
                <c:pt idx="11">
                  <c:v>19.46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temp'!$C$23:$N$23</c:f>
              <c:numCache>
                <c:formatCode>0.0</c:formatCode>
                <c:ptCount val="12"/>
                <c:pt idx="0">
                  <c:v>18.95</c:v>
                </c:pt>
                <c:pt idx="1">
                  <c:v>18.62</c:v>
                </c:pt>
                <c:pt idx="2">
                  <c:v>20.4</c:v>
                </c:pt>
                <c:pt idx="3">
                  <c:v>21.58</c:v>
                </c:pt>
                <c:pt idx="4">
                  <c:v>21.47</c:v>
                </c:pt>
                <c:pt idx="5">
                  <c:v>23.17</c:v>
                </c:pt>
                <c:pt idx="6">
                  <c:v>23.21</c:v>
                </c:pt>
                <c:pt idx="7">
                  <c:v>23.01</c:v>
                </c:pt>
                <c:pt idx="8">
                  <c:v>22.88</c:v>
                </c:pt>
                <c:pt idx="9">
                  <c:v>22.28</c:v>
                </c:pt>
                <c:pt idx="10">
                  <c:v>20.24</c:v>
                </c:pt>
                <c:pt idx="11">
                  <c:v>18.78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temp'!$C$24:$N$24</c:f>
              <c:numCache>
                <c:formatCode>0.0</c:formatCode>
                <c:ptCount val="12"/>
                <c:pt idx="0">
                  <c:v>17.68</c:v>
                </c:pt>
                <c:pt idx="1">
                  <c:v>17.79</c:v>
                </c:pt>
                <c:pt idx="2">
                  <c:v>18.85</c:v>
                </c:pt>
                <c:pt idx="3">
                  <c:v>20.15</c:v>
                </c:pt>
                <c:pt idx="4">
                  <c:v>21.24</c:v>
                </c:pt>
                <c:pt idx="5">
                  <c:v>22.81</c:v>
                </c:pt>
                <c:pt idx="6">
                  <c:v>22.56</c:v>
                </c:pt>
                <c:pt idx="7">
                  <c:v>23.61</c:v>
                </c:pt>
                <c:pt idx="8">
                  <c:v>22.6</c:v>
                </c:pt>
                <c:pt idx="9">
                  <c:v>21.62</c:v>
                </c:pt>
                <c:pt idx="10">
                  <c:v>20.83</c:v>
                </c:pt>
                <c:pt idx="11">
                  <c:v>18.64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'Min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'Min temp'!$C$30:$N$30</c:f>
              <c:numCache>
                <c:formatCode>0.0</c:formatCode>
                <c:ptCount val="12"/>
                <c:pt idx="0">
                  <c:v>18.324</c:v>
                </c:pt>
                <c:pt idx="1">
                  <c:v>18.376</c:v>
                </c:pt>
                <c:pt idx="2">
                  <c:v>19.652</c:v>
                </c:pt>
                <c:pt idx="3">
                  <c:v>20.628</c:v>
                </c:pt>
                <c:pt idx="4">
                  <c:v>21.402</c:v>
                </c:pt>
                <c:pt idx="5">
                  <c:v>22.832</c:v>
                </c:pt>
                <c:pt idx="6">
                  <c:v>22.804</c:v>
                </c:pt>
                <c:pt idx="7">
                  <c:v>22.804</c:v>
                </c:pt>
                <c:pt idx="8">
                  <c:v>22.738</c:v>
                </c:pt>
                <c:pt idx="9">
                  <c:v>21.688</c:v>
                </c:pt>
                <c:pt idx="10">
                  <c:v>20.248</c:v>
                </c:pt>
                <c:pt idx="11">
                  <c:v>19.038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61782"/>
        <c:axId val="65684747"/>
      </c:lineChart>
      <c:catAx>
        <c:axId val="47661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4747"/>
        <c:crosses val="autoZero"/>
        <c:auto val="1"/>
        <c:lblAlgn val="ctr"/>
        <c:lblOffset val="100"/>
        <c:noMultiLvlLbl val="0"/>
      </c:catAx>
      <c:valAx>
        <c:axId val="65684747"/>
        <c:scaling>
          <c:orientation val="minMax"/>
          <c:max val="26"/>
          <c:min val="1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6178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temp'!$C$5:$N$5</c:f>
              <c:numCache>
                <c:formatCode>0.0</c:formatCode>
                <c:ptCount val="12"/>
                <c:pt idx="0">
                  <c:v>26.75</c:v>
                </c:pt>
                <c:pt idx="1">
                  <c:v>27.58</c:v>
                </c:pt>
                <c:pt idx="2">
                  <c:v>27.54</c:v>
                </c:pt>
                <c:pt idx="3">
                  <c:v>27.5</c:v>
                </c:pt>
                <c:pt idx="4">
                  <c:v>28.4</c:v>
                </c:pt>
                <c:pt idx="5">
                  <c:v>29.73</c:v>
                </c:pt>
                <c:pt idx="6">
                  <c:v>32.22</c:v>
                </c:pt>
                <c:pt idx="7">
                  <c:v>30.62</c:v>
                </c:pt>
                <c:pt idx="8">
                  <c:v>31.86</c:v>
                </c:pt>
                <c:pt idx="9">
                  <c:v>30.73</c:v>
                </c:pt>
                <c:pt idx="10">
                  <c:v>28.34</c:v>
                </c:pt>
                <c:pt idx="11">
                  <c:v>27.81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temp'!$C$8:$N$8</c:f>
              <c:numCache>
                <c:formatCode>0.0</c:formatCode>
                <c:ptCount val="12"/>
                <c:pt idx="0">
                  <c:v>27.68</c:v>
                </c:pt>
                <c:pt idx="1">
                  <c:v>27.61</c:v>
                </c:pt>
                <c:pt idx="2">
                  <c:v>30.31</c:v>
                </c:pt>
                <c:pt idx="3">
                  <c:v>29.43</c:v>
                </c:pt>
                <c:pt idx="4">
                  <c:v>31.11</c:v>
                </c:pt>
                <c:pt idx="5">
                  <c:v>32.66</c:v>
                </c:pt>
                <c:pt idx="6">
                  <c:v>34.4</c:v>
                </c:pt>
                <c:pt idx="7">
                  <c:v>34.96</c:v>
                </c:pt>
                <c:pt idx="8">
                  <c:v>32.64</c:v>
                </c:pt>
                <c:pt idx="9">
                  <c:v>30.07</c:v>
                </c:pt>
                <c:pt idx="10">
                  <c:v>29.08</c:v>
                </c:pt>
                <c:pt idx="11">
                  <c:v>27.42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temp'!$C$13:$N$13</c:f>
              <c:numCache>
                <c:formatCode>0.0</c:formatCode>
                <c:ptCount val="12"/>
                <c:pt idx="0">
                  <c:v>26.23</c:v>
                </c:pt>
                <c:pt idx="1">
                  <c:v>27.3</c:v>
                </c:pt>
                <c:pt idx="2">
                  <c:v>29.2</c:v>
                </c:pt>
                <c:pt idx="3">
                  <c:v>29.05</c:v>
                </c:pt>
                <c:pt idx="4">
                  <c:v>28.98</c:v>
                </c:pt>
                <c:pt idx="5">
                  <c:v>30.42</c:v>
                </c:pt>
                <c:pt idx="6">
                  <c:v>33.73</c:v>
                </c:pt>
                <c:pt idx="7">
                  <c:v>33.22</c:v>
                </c:pt>
                <c:pt idx="8">
                  <c:v>32.51</c:v>
                </c:pt>
                <c:pt idx="9">
                  <c:v>31.09</c:v>
                </c:pt>
                <c:pt idx="10">
                  <c:v>28.85</c:v>
                </c:pt>
                <c:pt idx="11">
                  <c:v>27.81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temp'!$C$14:$N$14</c:f>
              <c:numCache>
                <c:formatCode>0.0</c:formatCode>
                <c:ptCount val="12"/>
                <c:pt idx="0">
                  <c:v>27.41</c:v>
                </c:pt>
                <c:pt idx="1">
                  <c:v>27.95</c:v>
                </c:pt>
                <c:pt idx="2">
                  <c:v>31.58</c:v>
                </c:pt>
                <c:pt idx="3">
                  <c:v>31.73</c:v>
                </c:pt>
                <c:pt idx="4">
                  <c:v>33.45</c:v>
                </c:pt>
                <c:pt idx="5">
                  <c:v>34.65</c:v>
                </c:pt>
                <c:pt idx="6">
                  <c:v>32.93</c:v>
                </c:pt>
                <c:pt idx="7">
                  <c:v>34.37</c:v>
                </c:pt>
                <c:pt idx="8">
                  <c:v>34</c:v>
                </c:pt>
                <c:pt idx="9">
                  <c:v>33.24</c:v>
                </c:pt>
                <c:pt idx="10">
                  <c:v>30.68</c:v>
                </c:pt>
                <c:pt idx="11">
                  <c:v>28.89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temp'!$C$17:$N$17</c:f>
              <c:numCache>
                <c:formatCode>0.0</c:formatCode>
                <c:ptCount val="12"/>
                <c:pt idx="0">
                  <c:v>27.36</c:v>
                </c:pt>
                <c:pt idx="1">
                  <c:v>27.6</c:v>
                </c:pt>
                <c:pt idx="2">
                  <c:v>29.14</c:v>
                </c:pt>
                <c:pt idx="3">
                  <c:v>29.71</c:v>
                </c:pt>
                <c:pt idx="4">
                  <c:v>29.25</c:v>
                </c:pt>
                <c:pt idx="5">
                  <c:v>30.77</c:v>
                </c:pt>
                <c:pt idx="6">
                  <c:v>33.03</c:v>
                </c:pt>
                <c:pt idx="7">
                  <c:v>35.2</c:v>
                </c:pt>
                <c:pt idx="8">
                  <c:v>33.66</c:v>
                </c:pt>
                <c:pt idx="9">
                  <c:v>32.6</c:v>
                </c:pt>
                <c:pt idx="10">
                  <c:v>30.61</c:v>
                </c:pt>
                <c:pt idx="11">
                  <c:v>28.63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temp'!$C$18:$N$18</c:f>
              <c:numCache>
                <c:formatCode>0.0</c:formatCode>
                <c:ptCount val="12"/>
                <c:pt idx="0">
                  <c:v>28.11</c:v>
                </c:pt>
                <c:pt idx="1">
                  <c:v>27.54</c:v>
                </c:pt>
                <c:pt idx="2">
                  <c:v>29.83</c:v>
                </c:pt>
                <c:pt idx="3">
                  <c:v>29.94</c:v>
                </c:pt>
                <c:pt idx="4">
                  <c:v>30.7</c:v>
                </c:pt>
                <c:pt idx="5">
                  <c:v>31.14</c:v>
                </c:pt>
                <c:pt idx="6">
                  <c:v>32.29</c:v>
                </c:pt>
                <c:pt idx="7">
                  <c:v>32.84</c:v>
                </c:pt>
                <c:pt idx="8">
                  <c:v>30.24</c:v>
                </c:pt>
                <c:pt idx="9">
                  <c:v>29.96</c:v>
                </c:pt>
                <c:pt idx="10">
                  <c:v>28.94</c:v>
                </c:pt>
                <c:pt idx="11">
                  <c:v>28.92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temp'!$C$22:$N$22</c:f>
              <c:numCache>
                <c:formatCode>0.0</c:formatCode>
                <c:ptCount val="12"/>
                <c:pt idx="0">
                  <c:v>27.63</c:v>
                </c:pt>
                <c:pt idx="1">
                  <c:v>28.96</c:v>
                </c:pt>
                <c:pt idx="2">
                  <c:v>29.6</c:v>
                </c:pt>
                <c:pt idx="3">
                  <c:v>31.37</c:v>
                </c:pt>
                <c:pt idx="4">
                  <c:v>34.51</c:v>
                </c:pt>
                <c:pt idx="5">
                  <c:v>34.7</c:v>
                </c:pt>
                <c:pt idx="6">
                  <c:v>32.55</c:v>
                </c:pt>
                <c:pt idx="7">
                  <c:v>32.46</c:v>
                </c:pt>
                <c:pt idx="8">
                  <c:v>33.12</c:v>
                </c:pt>
                <c:pt idx="9">
                  <c:v>31.87</c:v>
                </c:pt>
                <c:pt idx="10">
                  <c:v>31.54</c:v>
                </c:pt>
                <c:pt idx="11">
                  <c:v>29.53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temp'!$C$25:$N$25</c:f>
              <c:numCache>
                <c:formatCode>0.0</c:formatCode>
                <c:ptCount val="12"/>
                <c:pt idx="0">
                  <c:v>28.15</c:v>
                </c:pt>
                <c:pt idx="1">
                  <c:v>29.63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temp'!$C$28:$N$28</c:f>
              <c:numCache>
                <c:formatCode>0.0</c:formatCode>
                <c:ptCount val="12"/>
                <c:pt idx="0">
                  <c:v>27.31</c:v>
                </c:pt>
                <c:pt idx="1">
                  <c:v>27.7914285714286</c:v>
                </c:pt>
                <c:pt idx="2">
                  <c:v>29.6</c:v>
                </c:pt>
                <c:pt idx="3">
                  <c:v>29.8185714285714</c:v>
                </c:pt>
                <c:pt idx="4">
                  <c:v>30.9142857142857</c:v>
                </c:pt>
                <c:pt idx="5">
                  <c:v>32.01</c:v>
                </c:pt>
                <c:pt idx="6">
                  <c:v>33.0214285714286</c:v>
                </c:pt>
                <c:pt idx="7">
                  <c:v>33.3814285714286</c:v>
                </c:pt>
                <c:pt idx="8">
                  <c:v>32.5757142857143</c:v>
                </c:pt>
                <c:pt idx="9">
                  <c:v>31.3657142857143</c:v>
                </c:pt>
                <c:pt idx="10">
                  <c:v>29.72</c:v>
                </c:pt>
                <c:pt idx="11">
                  <c:v>28.43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578182"/>
        <c:axId val="21816121"/>
      </c:lineChart>
      <c:catAx>
        <c:axId val="40578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16121"/>
        <c:crosses val="autoZero"/>
        <c:auto val="1"/>
        <c:lblAlgn val="ctr"/>
        <c:lblOffset val="100"/>
        <c:noMultiLvlLbl val="0"/>
      </c:catAx>
      <c:valAx>
        <c:axId val="21816121"/>
        <c:scaling>
          <c:orientation val="minMax"/>
          <c:max val="36"/>
          <c:min val="2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7818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temp'!$C$6:$N$6</c:f>
              <c:numCache>
                <c:formatCode>0.0</c:formatCode>
                <c:ptCount val="12"/>
                <c:pt idx="0">
                  <c:v>27.8</c:v>
                </c:pt>
                <c:pt idx="1">
                  <c:v>27.26</c:v>
                </c:pt>
                <c:pt idx="2">
                  <c:v>27.26</c:v>
                </c:pt>
                <c:pt idx="3">
                  <c:v>29.72</c:v>
                </c:pt>
                <c:pt idx="4">
                  <c:v>31.69</c:v>
                </c:pt>
                <c:pt idx="5">
                  <c:v>31.38</c:v>
                </c:pt>
                <c:pt idx="6">
                  <c:v>31.51</c:v>
                </c:pt>
                <c:pt idx="7">
                  <c:v>32.17</c:v>
                </c:pt>
                <c:pt idx="8">
                  <c:v>31.78</c:v>
                </c:pt>
                <c:pt idx="9">
                  <c:v>31.67</c:v>
                </c:pt>
                <c:pt idx="10">
                  <c:v>28.93</c:v>
                </c:pt>
                <c:pt idx="11">
                  <c:v>28.02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temp'!$C$7:$N$7</c:f>
              <c:numCache>
                <c:formatCode>0.0</c:formatCode>
                <c:ptCount val="12"/>
                <c:pt idx="0">
                  <c:v>27.03</c:v>
                </c:pt>
                <c:pt idx="1">
                  <c:v>28.7</c:v>
                </c:pt>
                <c:pt idx="2">
                  <c:v>28.89</c:v>
                </c:pt>
                <c:pt idx="3">
                  <c:v>30.56</c:v>
                </c:pt>
                <c:pt idx="4">
                  <c:v>29.21</c:v>
                </c:pt>
                <c:pt idx="5">
                  <c:v>29.92</c:v>
                </c:pt>
                <c:pt idx="6">
                  <c:v>31.57</c:v>
                </c:pt>
                <c:pt idx="7">
                  <c:v>32.19</c:v>
                </c:pt>
                <c:pt idx="8">
                  <c:v>32.94</c:v>
                </c:pt>
                <c:pt idx="9">
                  <c:v>30.23</c:v>
                </c:pt>
                <c:pt idx="10">
                  <c:v>28.04</c:v>
                </c:pt>
                <c:pt idx="11">
                  <c:v>27.09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temp'!$C$9:$N$9</c:f>
              <c:numCache>
                <c:formatCode>0.0</c:formatCode>
                <c:ptCount val="12"/>
                <c:pt idx="0">
                  <c:v>26.79</c:v>
                </c:pt>
                <c:pt idx="1">
                  <c:v>27.19</c:v>
                </c:pt>
                <c:pt idx="2">
                  <c:v>28.79</c:v>
                </c:pt>
                <c:pt idx="3">
                  <c:v>29.44</c:v>
                </c:pt>
                <c:pt idx="4">
                  <c:v>29.28</c:v>
                </c:pt>
                <c:pt idx="5">
                  <c:v>31.63</c:v>
                </c:pt>
                <c:pt idx="6">
                  <c:v>32.18</c:v>
                </c:pt>
                <c:pt idx="7">
                  <c:v>33.31</c:v>
                </c:pt>
                <c:pt idx="8">
                  <c:v>30.88</c:v>
                </c:pt>
                <c:pt idx="9">
                  <c:v>29.61</c:v>
                </c:pt>
                <c:pt idx="10">
                  <c:v>27.6</c:v>
                </c:pt>
                <c:pt idx="11">
                  <c:v>27.29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temp'!$C$10:$N$10</c:f>
              <c:numCache>
                <c:formatCode>0.0</c:formatCode>
                <c:ptCount val="12"/>
                <c:pt idx="0">
                  <c:v>26.8</c:v>
                </c:pt>
                <c:pt idx="1">
                  <c:v>28.48</c:v>
                </c:pt>
                <c:pt idx="2">
                  <c:v>27.67</c:v>
                </c:pt>
                <c:pt idx="3">
                  <c:v>27.58</c:v>
                </c:pt>
                <c:pt idx="4">
                  <c:v>27.47</c:v>
                </c:pt>
                <c:pt idx="5">
                  <c:v>29.55</c:v>
                </c:pt>
                <c:pt idx="6">
                  <c:v>30.81</c:v>
                </c:pt>
                <c:pt idx="7">
                  <c:v>31.58</c:v>
                </c:pt>
                <c:pt idx="8">
                  <c:v>31.83</c:v>
                </c:pt>
                <c:pt idx="9">
                  <c:v>31.62</c:v>
                </c:pt>
                <c:pt idx="10">
                  <c:v>28.09</c:v>
                </c:pt>
                <c:pt idx="11">
                  <c:v>28.97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temp'!$C$16:$N$16</c:f>
              <c:numCache>
                <c:formatCode>0.0</c:formatCode>
                <c:ptCount val="12"/>
                <c:pt idx="0">
                  <c:v>25.95</c:v>
                </c:pt>
                <c:pt idx="1">
                  <c:v>27.18</c:v>
                </c:pt>
                <c:pt idx="2">
                  <c:v>27.34</c:v>
                </c:pt>
                <c:pt idx="3">
                  <c:v>31.16</c:v>
                </c:pt>
                <c:pt idx="4">
                  <c:v>28.96</c:v>
                </c:pt>
                <c:pt idx="5">
                  <c:v>30.39</c:v>
                </c:pt>
                <c:pt idx="6">
                  <c:v>32.72</c:v>
                </c:pt>
                <c:pt idx="7">
                  <c:v>31.06</c:v>
                </c:pt>
                <c:pt idx="8">
                  <c:v>32.04</c:v>
                </c:pt>
                <c:pt idx="9">
                  <c:v>29.41</c:v>
                </c:pt>
                <c:pt idx="10">
                  <c:v>27.94</c:v>
                </c:pt>
                <c:pt idx="11">
                  <c:v>27.63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temp'!$C$19:$N$19</c:f>
              <c:numCache>
                <c:formatCode>0.0</c:formatCode>
                <c:ptCount val="12"/>
                <c:pt idx="0">
                  <c:v>27.66</c:v>
                </c:pt>
                <c:pt idx="1">
                  <c:v>27.21</c:v>
                </c:pt>
                <c:pt idx="2">
                  <c:v>30.1</c:v>
                </c:pt>
                <c:pt idx="3">
                  <c:v>30.34</c:v>
                </c:pt>
                <c:pt idx="4">
                  <c:v>28.92</c:v>
                </c:pt>
                <c:pt idx="5">
                  <c:v>31.75</c:v>
                </c:pt>
                <c:pt idx="6">
                  <c:v>33.16</c:v>
                </c:pt>
                <c:pt idx="7">
                  <c:v>31.51</c:v>
                </c:pt>
                <c:pt idx="8">
                  <c:v>32.94</c:v>
                </c:pt>
                <c:pt idx="9">
                  <c:v>31.32</c:v>
                </c:pt>
                <c:pt idx="10">
                  <c:v>30.41</c:v>
                </c:pt>
                <c:pt idx="11">
                  <c:v>28.58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temp'!$C$20:$N$20</c:f>
              <c:numCache>
                <c:formatCode>0.0</c:formatCode>
                <c:ptCount val="12"/>
                <c:pt idx="0">
                  <c:v>28.05</c:v>
                </c:pt>
                <c:pt idx="1">
                  <c:v>27.63</c:v>
                </c:pt>
                <c:pt idx="2">
                  <c:v>30.15</c:v>
                </c:pt>
                <c:pt idx="3">
                  <c:v>28.74</c:v>
                </c:pt>
                <c:pt idx="4">
                  <c:v>28.7</c:v>
                </c:pt>
                <c:pt idx="5">
                  <c:v>29.65</c:v>
                </c:pt>
                <c:pt idx="6">
                  <c:v>32.03</c:v>
                </c:pt>
                <c:pt idx="7">
                  <c:v>31.54</c:v>
                </c:pt>
                <c:pt idx="8">
                  <c:v>31.9</c:v>
                </c:pt>
                <c:pt idx="9">
                  <c:v>32.09</c:v>
                </c:pt>
                <c:pt idx="10">
                  <c:v>29.63</c:v>
                </c:pt>
                <c:pt idx="11">
                  <c:v>28.47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temp'!$C$21:$N$21</c:f>
              <c:numCache>
                <c:formatCode>0.0</c:formatCode>
                <c:ptCount val="12"/>
                <c:pt idx="0">
                  <c:v>27.53</c:v>
                </c:pt>
                <c:pt idx="1">
                  <c:v>27.93</c:v>
                </c:pt>
                <c:pt idx="2">
                  <c:v>28.7</c:v>
                </c:pt>
                <c:pt idx="3">
                  <c:v>30.89</c:v>
                </c:pt>
                <c:pt idx="4">
                  <c:v>28.64</c:v>
                </c:pt>
                <c:pt idx="5">
                  <c:v>29.09</c:v>
                </c:pt>
                <c:pt idx="6">
                  <c:v>31.19</c:v>
                </c:pt>
                <c:pt idx="7">
                  <c:v>33.03</c:v>
                </c:pt>
                <c:pt idx="8">
                  <c:v>32.68</c:v>
                </c:pt>
                <c:pt idx="9">
                  <c:v>31.56</c:v>
                </c:pt>
                <c:pt idx="10">
                  <c:v>28.71</c:v>
                </c:pt>
                <c:pt idx="11">
                  <c:v>28.34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temp'!$C$29:$N$29</c:f>
              <c:numCache>
                <c:formatCode>0.0</c:formatCode>
                <c:ptCount val="12"/>
                <c:pt idx="0">
                  <c:v>27.20125</c:v>
                </c:pt>
                <c:pt idx="1">
                  <c:v>27.6975</c:v>
                </c:pt>
                <c:pt idx="2">
                  <c:v>28.6125</c:v>
                </c:pt>
                <c:pt idx="3">
                  <c:v>29.80375</c:v>
                </c:pt>
                <c:pt idx="4">
                  <c:v>29.10875</c:v>
                </c:pt>
                <c:pt idx="5">
                  <c:v>30.42</c:v>
                </c:pt>
                <c:pt idx="6">
                  <c:v>31.89625</c:v>
                </c:pt>
                <c:pt idx="7">
                  <c:v>32.04875</c:v>
                </c:pt>
                <c:pt idx="8">
                  <c:v>32.12375</c:v>
                </c:pt>
                <c:pt idx="9">
                  <c:v>30.93875</c:v>
                </c:pt>
                <c:pt idx="10">
                  <c:v>28.66875</c:v>
                </c:pt>
                <c:pt idx="11">
                  <c:v>28.04875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738696"/>
        <c:axId val="36794058"/>
      </c:lineChart>
      <c:catAx>
        <c:axId val="3173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94058"/>
        <c:crosses val="autoZero"/>
        <c:auto val="1"/>
        <c:lblAlgn val="ctr"/>
        <c:lblOffset val="100"/>
        <c:noMultiLvlLbl val="0"/>
      </c:catAx>
      <c:valAx>
        <c:axId val="36794058"/>
        <c:scaling>
          <c:orientation val="minMax"/>
          <c:max val="36"/>
          <c:min val="2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3869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Max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temp'!$C$11:$N$11</c:f>
              <c:numCache>
                <c:formatCode>0.0</c:formatCode>
                <c:ptCount val="12"/>
                <c:pt idx="0">
                  <c:v>27.98</c:v>
                </c:pt>
                <c:pt idx="1">
                  <c:v>26.4</c:v>
                </c:pt>
                <c:pt idx="2">
                  <c:v>28.73</c:v>
                </c:pt>
                <c:pt idx="3">
                  <c:v>30.17</c:v>
                </c:pt>
                <c:pt idx="4">
                  <c:v>28.97</c:v>
                </c:pt>
                <c:pt idx="5">
                  <c:v>33.14</c:v>
                </c:pt>
                <c:pt idx="6">
                  <c:v>32.24</c:v>
                </c:pt>
                <c:pt idx="7">
                  <c:v>32.64</c:v>
                </c:pt>
                <c:pt idx="8">
                  <c:v>33.6</c:v>
                </c:pt>
                <c:pt idx="9">
                  <c:v>29.76</c:v>
                </c:pt>
                <c:pt idx="10">
                  <c:v>29.09</c:v>
                </c:pt>
                <c:pt idx="11">
                  <c:v>28.51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temp'!$C$12:$N$12</c:f>
              <c:numCache>
                <c:formatCode>0.0</c:formatCode>
                <c:ptCount val="12"/>
                <c:pt idx="0">
                  <c:v>27.43</c:v>
                </c:pt>
                <c:pt idx="1">
                  <c:v>27.73</c:v>
                </c:pt>
                <c:pt idx="2">
                  <c:v>28.65</c:v>
                </c:pt>
                <c:pt idx="3">
                  <c:v>28.63</c:v>
                </c:pt>
                <c:pt idx="4">
                  <c:v>29.63</c:v>
                </c:pt>
                <c:pt idx="5">
                  <c:v>30.42</c:v>
                </c:pt>
                <c:pt idx="6">
                  <c:v>31.41</c:v>
                </c:pt>
                <c:pt idx="7">
                  <c:v>31.9</c:v>
                </c:pt>
                <c:pt idx="8">
                  <c:v>31.67</c:v>
                </c:pt>
                <c:pt idx="9">
                  <c:v>30.62</c:v>
                </c:pt>
                <c:pt idx="10">
                  <c:v>29.51</c:v>
                </c:pt>
                <c:pt idx="11">
                  <c:v>27.1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temp'!$C$15:$N$15</c:f>
              <c:numCache>
                <c:formatCode>0.0</c:formatCode>
                <c:ptCount val="12"/>
                <c:pt idx="0">
                  <c:v>28.08</c:v>
                </c:pt>
                <c:pt idx="1">
                  <c:v>29.6</c:v>
                </c:pt>
                <c:pt idx="2">
                  <c:v>29.83</c:v>
                </c:pt>
                <c:pt idx="3">
                  <c:v>29.47</c:v>
                </c:pt>
                <c:pt idx="4">
                  <c:v>29.62</c:v>
                </c:pt>
                <c:pt idx="5">
                  <c:v>31.86</c:v>
                </c:pt>
                <c:pt idx="6">
                  <c:v>34.11</c:v>
                </c:pt>
                <c:pt idx="7">
                  <c:v>32.04</c:v>
                </c:pt>
                <c:pt idx="8">
                  <c:v>33.37</c:v>
                </c:pt>
                <c:pt idx="9">
                  <c:v>31.34</c:v>
                </c:pt>
                <c:pt idx="10">
                  <c:v>28.55</c:v>
                </c:pt>
                <c:pt idx="11">
                  <c:v>28.24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temp'!$C$23:$N$23</c:f>
              <c:numCache>
                <c:formatCode>0.0</c:formatCode>
                <c:ptCount val="12"/>
                <c:pt idx="0">
                  <c:v>29.14</c:v>
                </c:pt>
                <c:pt idx="1">
                  <c:v>28.9</c:v>
                </c:pt>
                <c:pt idx="2">
                  <c:v>31.16</c:v>
                </c:pt>
                <c:pt idx="3">
                  <c:v>30.39</c:v>
                </c:pt>
                <c:pt idx="4">
                  <c:v>29.66</c:v>
                </c:pt>
                <c:pt idx="5">
                  <c:v>32.68</c:v>
                </c:pt>
                <c:pt idx="6">
                  <c:v>31.9</c:v>
                </c:pt>
                <c:pt idx="7">
                  <c:v>33.24</c:v>
                </c:pt>
                <c:pt idx="8">
                  <c:v>32.77</c:v>
                </c:pt>
                <c:pt idx="9">
                  <c:v>30.65</c:v>
                </c:pt>
                <c:pt idx="10">
                  <c:v>28.08</c:v>
                </c:pt>
                <c:pt idx="11">
                  <c:v>27.85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temp'!$C$24:$N$24</c:f>
              <c:numCache>
                <c:formatCode>0.0</c:formatCode>
                <c:ptCount val="12"/>
                <c:pt idx="0">
                  <c:v>27.03</c:v>
                </c:pt>
                <c:pt idx="1">
                  <c:v>27.4</c:v>
                </c:pt>
                <c:pt idx="2">
                  <c:v>28.05</c:v>
                </c:pt>
                <c:pt idx="3">
                  <c:v>28.27</c:v>
                </c:pt>
                <c:pt idx="4">
                  <c:v>30.65</c:v>
                </c:pt>
                <c:pt idx="5">
                  <c:v>32.48</c:v>
                </c:pt>
                <c:pt idx="6">
                  <c:v>32.39</c:v>
                </c:pt>
                <c:pt idx="7">
                  <c:v>33.44</c:v>
                </c:pt>
                <c:pt idx="8">
                  <c:v>31.25</c:v>
                </c:pt>
                <c:pt idx="9">
                  <c:v>30.81</c:v>
                </c:pt>
                <c:pt idx="10">
                  <c:v>29.26</c:v>
                </c:pt>
                <c:pt idx="11">
                  <c:v>28.44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'Max temp'!$C$4:$N$4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'Max temp'!$C$30:$N$30</c:f>
              <c:numCache>
                <c:formatCode>0.0</c:formatCode>
                <c:ptCount val="12"/>
                <c:pt idx="0">
                  <c:v>27.932</c:v>
                </c:pt>
                <c:pt idx="1">
                  <c:v>28.006</c:v>
                </c:pt>
                <c:pt idx="2">
                  <c:v>29.284</c:v>
                </c:pt>
                <c:pt idx="3">
                  <c:v>29.386</c:v>
                </c:pt>
                <c:pt idx="4">
                  <c:v>29.706</c:v>
                </c:pt>
                <c:pt idx="5">
                  <c:v>32.116</c:v>
                </c:pt>
                <c:pt idx="6">
                  <c:v>32.41</c:v>
                </c:pt>
                <c:pt idx="7">
                  <c:v>32.652</c:v>
                </c:pt>
                <c:pt idx="8">
                  <c:v>32.532</c:v>
                </c:pt>
                <c:pt idx="9">
                  <c:v>30.636</c:v>
                </c:pt>
                <c:pt idx="10">
                  <c:v>28.898</c:v>
                </c:pt>
                <c:pt idx="11">
                  <c:v>28.028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93706"/>
        <c:axId val="46463581"/>
      </c:lineChart>
      <c:catAx>
        <c:axId val="41393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63581"/>
        <c:crosses val="autoZero"/>
        <c:auto val="1"/>
        <c:lblAlgn val="ctr"/>
        <c:lblOffset val="100"/>
        <c:noMultiLvlLbl val="0"/>
      </c:catAx>
      <c:valAx>
        <c:axId val="46463581"/>
        <c:scaling>
          <c:orientation val="minMax"/>
          <c:max val="36"/>
          <c:min val="2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9370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Rainfall!$C$5:$N$5</c:f>
              <c:numCache>
                <c:formatCode>0</c:formatCode>
                <c:ptCount val="12"/>
                <c:pt idx="0">
                  <c:v>56.48</c:v>
                </c:pt>
                <c:pt idx="1">
                  <c:v>30.43</c:v>
                </c:pt>
                <c:pt idx="2">
                  <c:v>87.11</c:v>
                </c:pt>
                <c:pt idx="3">
                  <c:v>183.92</c:v>
                </c:pt>
                <c:pt idx="4">
                  <c:v>313.24</c:v>
                </c:pt>
                <c:pt idx="5">
                  <c:v>259.84</c:v>
                </c:pt>
                <c:pt idx="6">
                  <c:v>124.89</c:v>
                </c:pt>
                <c:pt idx="7">
                  <c:v>269.29</c:v>
                </c:pt>
                <c:pt idx="8">
                  <c:v>29.84</c:v>
                </c:pt>
                <c:pt idx="9">
                  <c:v>159.86</c:v>
                </c:pt>
                <c:pt idx="10">
                  <c:v>21.76</c:v>
                </c:pt>
                <c:pt idx="11">
                  <c:v>16.66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Rainfall!$C$8:$N$8</c:f>
              <c:numCache>
                <c:formatCode>0</c:formatCode>
                <c:ptCount val="12"/>
                <c:pt idx="0">
                  <c:v>41.5</c:v>
                </c:pt>
                <c:pt idx="1">
                  <c:v>59.93</c:v>
                </c:pt>
                <c:pt idx="2">
                  <c:v>42.01</c:v>
                </c:pt>
                <c:pt idx="3">
                  <c:v>382.7</c:v>
                </c:pt>
                <c:pt idx="4">
                  <c:v>139.48</c:v>
                </c:pt>
                <c:pt idx="5">
                  <c:v>103.41</c:v>
                </c:pt>
                <c:pt idx="6">
                  <c:v>11.69</c:v>
                </c:pt>
                <c:pt idx="7">
                  <c:v>67.7</c:v>
                </c:pt>
                <c:pt idx="8">
                  <c:v>155.46</c:v>
                </c:pt>
                <c:pt idx="9">
                  <c:v>159.44</c:v>
                </c:pt>
                <c:pt idx="10">
                  <c:v>42.32</c:v>
                </c:pt>
                <c:pt idx="11">
                  <c:v>19.33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Rainfall!$C$13:$N$13</c:f>
              <c:numCache>
                <c:formatCode>0</c:formatCode>
                <c:ptCount val="12"/>
                <c:pt idx="0">
                  <c:v>61.89</c:v>
                </c:pt>
                <c:pt idx="1">
                  <c:v>99.79</c:v>
                </c:pt>
                <c:pt idx="2">
                  <c:v>34.5</c:v>
                </c:pt>
                <c:pt idx="3">
                  <c:v>175.12</c:v>
                </c:pt>
                <c:pt idx="4">
                  <c:v>115.41</c:v>
                </c:pt>
                <c:pt idx="5">
                  <c:v>86.45</c:v>
                </c:pt>
                <c:pt idx="6">
                  <c:v>11.79</c:v>
                </c:pt>
                <c:pt idx="7">
                  <c:v>123.47</c:v>
                </c:pt>
                <c:pt idx="8">
                  <c:v>135.39</c:v>
                </c:pt>
                <c:pt idx="9">
                  <c:v>44.82</c:v>
                </c:pt>
                <c:pt idx="10">
                  <c:v>70.83</c:v>
                </c:pt>
                <c:pt idx="11">
                  <c:v>53.51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Rainfall!$C$14:$N$14</c:f>
              <c:numCache>
                <c:formatCode>0</c:formatCode>
                <c:ptCount val="12"/>
                <c:pt idx="0">
                  <c:v>44.38</c:v>
                </c:pt>
                <c:pt idx="1">
                  <c:v>37.13</c:v>
                </c:pt>
                <c:pt idx="2">
                  <c:v>15.3</c:v>
                </c:pt>
                <c:pt idx="3">
                  <c:v>29.72</c:v>
                </c:pt>
                <c:pt idx="4">
                  <c:v>83.63</c:v>
                </c:pt>
                <c:pt idx="5">
                  <c:v>90.56</c:v>
                </c:pt>
                <c:pt idx="6">
                  <c:v>271.14</c:v>
                </c:pt>
                <c:pt idx="7">
                  <c:v>11.27</c:v>
                </c:pt>
                <c:pt idx="8">
                  <c:v>31.79</c:v>
                </c:pt>
                <c:pt idx="9">
                  <c:v>39.73</c:v>
                </c:pt>
                <c:pt idx="10">
                  <c:v>22.78</c:v>
                </c:pt>
                <c:pt idx="11">
                  <c:v>34.89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Rainfall!$C$17:$N$17</c:f>
              <c:numCache>
                <c:formatCode>0</c:formatCode>
                <c:ptCount val="12"/>
                <c:pt idx="0">
                  <c:v>23.78</c:v>
                </c:pt>
                <c:pt idx="1">
                  <c:v>89.43</c:v>
                </c:pt>
                <c:pt idx="2">
                  <c:v>36.16</c:v>
                </c:pt>
                <c:pt idx="3">
                  <c:v>194.22</c:v>
                </c:pt>
                <c:pt idx="4">
                  <c:v>207.84</c:v>
                </c:pt>
                <c:pt idx="5">
                  <c:v>340.65</c:v>
                </c:pt>
                <c:pt idx="6">
                  <c:v>11.64</c:v>
                </c:pt>
                <c:pt idx="7">
                  <c:v>107.63</c:v>
                </c:pt>
                <c:pt idx="8">
                  <c:v>70.76</c:v>
                </c:pt>
                <c:pt idx="9">
                  <c:v>100.28</c:v>
                </c:pt>
                <c:pt idx="10">
                  <c:v>78.15</c:v>
                </c:pt>
                <c:pt idx="11">
                  <c:v>48.35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Rainfall!$C$18:$N$18</c:f>
              <c:numCache>
                <c:formatCode>0</c:formatCode>
                <c:ptCount val="12"/>
                <c:pt idx="0">
                  <c:v>37.27</c:v>
                </c:pt>
                <c:pt idx="1">
                  <c:v>78.47</c:v>
                </c:pt>
                <c:pt idx="2">
                  <c:v>25.78</c:v>
                </c:pt>
                <c:pt idx="3">
                  <c:v>128.84</c:v>
                </c:pt>
                <c:pt idx="4">
                  <c:v>229.43</c:v>
                </c:pt>
                <c:pt idx="5">
                  <c:v>138.51</c:v>
                </c:pt>
                <c:pt idx="6">
                  <c:v>321.06</c:v>
                </c:pt>
                <c:pt idx="7">
                  <c:v>104.25</c:v>
                </c:pt>
                <c:pt idx="8">
                  <c:v>190.3</c:v>
                </c:pt>
                <c:pt idx="9">
                  <c:v>53.03</c:v>
                </c:pt>
                <c:pt idx="10">
                  <c:v>51.92</c:v>
                </c:pt>
                <c:pt idx="11">
                  <c:v>36.93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Rainfall!$C$22:$N$22</c:f>
              <c:numCache>
                <c:formatCode>0</c:formatCode>
                <c:ptCount val="12"/>
                <c:pt idx="0">
                  <c:v>80.41</c:v>
                </c:pt>
                <c:pt idx="1">
                  <c:v>79.32</c:v>
                </c:pt>
                <c:pt idx="2">
                  <c:v>32.26</c:v>
                </c:pt>
                <c:pt idx="3">
                  <c:v>83.85</c:v>
                </c:pt>
                <c:pt idx="4">
                  <c:v>18.5</c:v>
                </c:pt>
                <c:pt idx="5">
                  <c:v>97.7</c:v>
                </c:pt>
                <c:pt idx="6">
                  <c:v>298.9</c:v>
                </c:pt>
                <c:pt idx="7">
                  <c:v>188.74</c:v>
                </c:pt>
                <c:pt idx="8">
                  <c:v>105.33</c:v>
                </c:pt>
                <c:pt idx="9">
                  <c:v>40.3</c:v>
                </c:pt>
                <c:pt idx="10">
                  <c:v>41.53</c:v>
                </c:pt>
                <c:pt idx="11">
                  <c:v>25.79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Rainfall!$C$25:$N$25</c:f>
              <c:numCache>
                <c:formatCode>0</c:formatCode>
                <c:ptCount val="12"/>
                <c:pt idx="0">
                  <c:v>38.39</c:v>
                </c:pt>
                <c:pt idx="1">
                  <c:v>31.47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Rainfall!$C$28:$N$28</c:f>
              <c:numCache>
                <c:formatCode>0</c:formatCode>
                <c:ptCount val="12"/>
                <c:pt idx="0">
                  <c:v>49.3871428571429</c:v>
                </c:pt>
                <c:pt idx="1">
                  <c:v>67.7857142857143</c:v>
                </c:pt>
                <c:pt idx="2">
                  <c:v>39.0171428571429</c:v>
                </c:pt>
                <c:pt idx="3">
                  <c:v>168.338571428571</c:v>
                </c:pt>
                <c:pt idx="4">
                  <c:v>158.218571428571</c:v>
                </c:pt>
                <c:pt idx="5">
                  <c:v>159.588571428571</c:v>
                </c:pt>
                <c:pt idx="6">
                  <c:v>150.158571428571</c:v>
                </c:pt>
                <c:pt idx="7">
                  <c:v>124.621428571429</c:v>
                </c:pt>
                <c:pt idx="8">
                  <c:v>102.695714285714</c:v>
                </c:pt>
                <c:pt idx="9">
                  <c:v>85.3514285714286</c:v>
                </c:pt>
                <c:pt idx="10">
                  <c:v>47.0414285714286</c:v>
                </c:pt>
                <c:pt idx="11">
                  <c:v>33.6371428571429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888273"/>
        <c:axId val="50334535"/>
      </c:lineChart>
      <c:catAx>
        <c:axId val="28888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34535"/>
        <c:crosses val="autoZero"/>
        <c:auto val="1"/>
        <c:lblAlgn val="ctr"/>
        <c:lblOffset val="100"/>
        <c:noMultiLvlLbl val="0"/>
      </c:catAx>
      <c:valAx>
        <c:axId val="50334535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88273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Rainfall!$C$6:$N$6</c:f>
              <c:numCache>
                <c:formatCode>0</c:formatCode>
                <c:ptCount val="12"/>
                <c:pt idx="0">
                  <c:v>18.98</c:v>
                </c:pt>
                <c:pt idx="1">
                  <c:v>40.17</c:v>
                </c:pt>
                <c:pt idx="2">
                  <c:v>48.62</c:v>
                </c:pt>
                <c:pt idx="3">
                  <c:v>30.65</c:v>
                </c:pt>
                <c:pt idx="4">
                  <c:v>118.59</c:v>
                </c:pt>
                <c:pt idx="5">
                  <c:v>100.75</c:v>
                </c:pt>
                <c:pt idx="6">
                  <c:v>162.86</c:v>
                </c:pt>
                <c:pt idx="7">
                  <c:v>185.82</c:v>
                </c:pt>
                <c:pt idx="8">
                  <c:v>154.92</c:v>
                </c:pt>
                <c:pt idx="9">
                  <c:v>111.91</c:v>
                </c:pt>
                <c:pt idx="10">
                  <c:v>27.54</c:v>
                </c:pt>
                <c:pt idx="11">
                  <c:v>21.92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Rainfall!$C$7:$N$7</c:f>
              <c:numCache>
                <c:formatCode>0</c:formatCode>
                <c:ptCount val="12"/>
                <c:pt idx="0">
                  <c:v>34.08</c:v>
                </c:pt>
                <c:pt idx="1">
                  <c:v>27.82</c:v>
                </c:pt>
                <c:pt idx="2">
                  <c:v>42.51</c:v>
                </c:pt>
                <c:pt idx="3">
                  <c:v>49.63</c:v>
                </c:pt>
                <c:pt idx="4">
                  <c:v>391.44</c:v>
                </c:pt>
                <c:pt idx="5">
                  <c:v>252.75</c:v>
                </c:pt>
                <c:pt idx="6">
                  <c:v>322.08</c:v>
                </c:pt>
                <c:pt idx="7">
                  <c:v>19.36</c:v>
                </c:pt>
                <c:pt idx="8">
                  <c:v>173.14</c:v>
                </c:pt>
                <c:pt idx="9">
                  <c:v>188.7</c:v>
                </c:pt>
                <c:pt idx="10">
                  <c:v>23.39</c:v>
                </c:pt>
                <c:pt idx="11">
                  <c:v>40.89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Rainfall!$C$9:$N$9</c:f>
              <c:numCache>
                <c:formatCode>0</c:formatCode>
                <c:ptCount val="12"/>
                <c:pt idx="0">
                  <c:v>78.85</c:v>
                </c:pt>
                <c:pt idx="1">
                  <c:v>15.92</c:v>
                </c:pt>
                <c:pt idx="2">
                  <c:v>36.29</c:v>
                </c:pt>
                <c:pt idx="3">
                  <c:v>83.57</c:v>
                </c:pt>
                <c:pt idx="4">
                  <c:v>243.66</c:v>
                </c:pt>
                <c:pt idx="5">
                  <c:v>231.56</c:v>
                </c:pt>
                <c:pt idx="6">
                  <c:v>90.68</c:v>
                </c:pt>
                <c:pt idx="7">
                  <c:v>71.45</c:v>
                </c:pt>
                <c:pt idx="8">
                  <c:v>282.31</c:v>
                </c:pt>
                <c:pt idx="9">
                  <c:v>162.52</c:v>
                </c:pt>
                <c:pt idx="10">
                  <c:v>20.67</c:v>
                </c:pt>
                <c:pt idx="11">
                  <c:v>30.77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Rainfall!$C$10:$N$10</c:f>
              <c:numCache>
                <c:formatCode>0</c:formatCode>
                <c:ptCount val="12"/>
                <c:pt idx="0">
                  <c:v>59.3</c:v>
                </c:pt>
                <c:pt idx="1">
                  <c:v>20.19</c:v>
                </c:pt>
                <c:pt idx="2">
                  <c:v>25.62</c:v>
                </c:pt>
                <c:pt idx="3">
                  <c:v>202.23</c:v>
                </c:pt>
                <c:pt idx="4">
                  <c:v>224.24</c:v>
                </c:pt>
                <c:pt idx="5">
                  <c:v>168.07</c:v>
                </c:pt>
                <c:pt idx="6">
                  <c:v>160.27</c:v>
                </c:pt>
                <c:pt idx="7">
                  <c:v>23.07</c:v>
                </c:pt>
                <c:pt idx="8">
                  <c:v>43.93</c:v>
                </c:pt>
                <c:pt idx="9">
                  <c:v>57.69</c:v>
                </c:pt>
                <c:pt idx="10">
                  <c:v>59.91</c:v>
                </c:pt>
                <c:pt idx="11">
                  <c:v>36.16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Rainfall!$C$16:$N$16</c:f>
              <c:numCache>
                <c:formatCode>0</c:formatCode>
                <c:ptCount val="12"/>
                <c:pt idx="0">
                  <c:v>75.07</c:v>
                </c:pt>
                <c:pt idx="1">
                  <c:v>25.88</c:v>
                </c:pt>
                <c:pt idx="2">
                  <c:v>56.52</c:v>
                </c:pt>
                <c:pt idx="3">
                  <c:v>49.92</c:v>
                </c:pt>
                <c:pt idx="4">
                  <c:v>132.64</c:v>
                </c:pt>
                <c:pt idx="5">
                  <c:v>310.14</c:v>
                </c:pt>
                <c:pt idx="6">
                  <c:v>117.7</c:v>
                </c:pt>
                <c:pt idx="7">
                  <c:v>234.6</c:v>
                </c:pt>
                <c:pt idx="8">
                  <c:v>137.57</c:v>
                </c:pt>
                <c:pt idx="9">
                  <c:v>123.36</c:v>
                </c:pt>
                <c:pt idx="10">
                  <c:v>47.71</c:v>
                </c:pt>
                <c:pt idx="11">
                  <c:v>39.99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Rainfall!$C$19:$N$19</c:f>
              <c:numCache>
                <c:formatCode>0</c:formatCode>
                <c:ptCount val="12"/>
                <c:pt idx="0">
                  <c:v>59.95</c:v>
                </c:pt>
                <c:pt idx="1">
                  <c:v>38.73</c:v>
                </c:pt>
                <c:pt idx="2">
                  <c:v>42.17</c:v>
                </c:pt>
                <c:pt idx="3">
                  <c:v>207.82</c:v>
                </c:pt>
                <c:pt idx="4">
                  <c:v>132.86</c:v>
                </c:pt>
                <c:pt idx="5">
                  <c:v>50.53</c:v>
                </c:pt>
                <c:pt idx="6">
                  <c:v>29.94</c:v>
                </c:pt>
                <c:pt idx="7">
                  <c:v>206.93</c:v>
                </c:pt>
                <c:pt idx="8">
                  <c:v>141.71</c:v>
                </c:pt>
                <c:pt idx="9">
                  <c:v>57.14</c:v>
                </c:pt>
                <c:pt idx="10">
                  <c:v>19.11</c:v>
                </c:pt>
                <c:pt idx="11">
                  <c:v>23.83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Rainfall!$C$20:$N$20</c:f>
              <c:numCache>
                <c:formatCode>0</c:formatCode>
                <c:ptCount val="12"/>
                <c:pt idx="0">
                  <c:v>18.09</c:v>
                </c:pt>
                <c:pt idx="1">
                  <c:v>39.14</c:v>
                </c:pt>
                <c:pt idx="2">
                  <c:v>35</c:v>
                </c:pt>
                <c:pt idx="3">
                  <c:v>175.89</c:v>
                </c:pt>
                <c:pt idx="4">
                  <c:v>196.7</c:v>
                </c:pt>
                <c:pt idx="5">
                  <c:v>331.34</c:v>
                </c:pt>
                <c:pt idx="6">
                  <c:v>134.58</c:v>
                </c:pt>
                <c:pt idx="7">
                  <c:v>216.52</c:v>
                </c:pt>
                <c:pt idx="8">
                  <c:v>42.91</c:v>
                </c:pt>
                <c:pt idx="9">
                  <c:v>38.11</c:v>
                </c:pt>
                <c:pt idx="10">
                  <c:v>53.73</c:v>
                </c:pt>
                <c:pt idx="11">
                  <c:v>15.18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Rainfall!$C$21:$N$21</c:f>
              <c:numCache>
                <c:formatCode>0</c:formatCode>
                <c:ptCount val="12"/>
                <c:pt idx="0">
                  <c:v>44.27</c:v>
                </c:pt>
                <c:pt idx="1">
                  <c:v>18.25</c:v>
                </c:pt>
                <c:pt idx="2">
                  <c:v>23.75</c:v>
                </c:pt>
                <c:pt idx="3">
                  <c:v>113.35</c:v>
                </c:pt>
                <c:pt idx="4">
                  <c:v>380.05</c:v>
                </c:pt>
                <c:pt idx="5">
                  <c:v>466.18</c:v>
                </c:pt>
                <c:pt idx="6">
                  <c:v>225.86</c:v>
                </c:pt>
                <c:pt idx="7">
                  <c:v>35.52</c:v>
                </c:pt>
                <c:pt idx="8">
                  <c:v>20.14</c:v>
                </c:pt>
                <c:pt idx="9">
                  <c:v>89.43</c:v>
                </c:pt>
                <c:pt idx="10">
                  <c:v>32.8</c:v>
                </c:pt>
                <c:pt idx="11">
                  <c:v>31.34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Rainfall!$C$29:$N$29</c:f>
              <c:numCache>
                <c:formatCode>0</c:formatCode>
                <c:ptCount val="12"/>
                <c:pt idx="0">
                  <c:v>48.57375</c:v>
                </c:pt>
                <c:pt idx="1">
                  <c:v>28.2625</c:v>
                </c:pt>
                <c:pt idx="2">
                  <c:v>38.81</c:v>
                </c:pt>
                <c:pt idx="3">
                  <c:v>114.1325</c:v>
                </c:pt>
                <c:pt idx="4">
                  <c:v>227.5225</c:v>
                </c:pt>
                <c:pt idx="5">
                  <c:v>238.915</c:v>
                </c:pt>
                <c:pt idx="6">
                  <c:v>155.49625</c:v>
                </c:pt>
                <c:pt idx="7">
                  <c:v>124.15875</c:v>
                </c:pt>
                <c:pt idx="8">
                  <c:v>124.57875</c:v>
                </c:pt>
                <c:pt idx="9">
                  <c:v>103.6075</c:v>
                </c:pt>
                <c:pt idx="10">
                  <c:v>35.6075</c:v>
                </c:pt>
                <c:pt idx="11">
                  <c:v>30.01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07702"/>
        <c:axId val="83740633"/>
      </c:lineChart>
      <c:catAx>
        <c:axId val="80307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40633"/>
        <c:crosses val="autoZero"/>
        <c:auto val="1"/>
        <c:lblAlgn val="ctr"/>
        <c:lblOffset val="100"/>
        <c:noMultiLvlLbl val="0"/>
      </c:catAx>
      <c:valAx>
        <c:axId val="83740633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07702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Rainfall!$C$11:$N$11</c:f>
              <c:numCache>
                <c:formatCode>0</c:formatCode>
                <c:ptCount val="12"/>
                <c:pt idx="0">
                  <c:v>66.75</c:v>
                </c:pt>
                <c:pt idx="1">
                  <c:v>80.68</c:v>
                </c:pt>
                <c:pt idx="2">
                  <c:v>48.72</c:v>
                </c:pt>
                <c:pt idx="3">
                  <c:v>45.68</c:v>
                </c:pt>
                <c:pt idx="4">
                  <c:v>272.43</c:v>
                </c:pt>
                <c:pt idx="5">
                  <c:v>14.35</c:v>
                </c:pt>
                <c:pt idx="6">
                  <c:v>205.24</c:v>
                </c:pt>
                <c:pt idx="7">
                  <c:v>42.79</c:v>
                </c:pt>
                <c:pt idx="8">
                  <c:v>62.2</c:v>
                </c:pt>
                <c:pt idx="9">
                  <c:v>65.77</c:v>
                </c:pt>
                <c:pt idx="10">
                  <c:v>39.75</c:v>
                </c:pt>
                <c:pt idx="11">
                  <c:v>41.51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Rainfall!$C$12:$N$12</c:f>
              <c:numCache>
                <c:formatCode>0</c:formatCode>
                <c:ptCount val="12"/>
                <c:pt idx="0">
                  <c:v>41.19</c:v>
                </c:pt>
                <c:pt idx="1">
                  <c:v>48.28</c:v>
                </c:pt>
                <c:pt idx="2">
                  <c:v>79.22</c:v>
                </c:pt>
                <c:pt idx="3">
                  <c:v>143.16</c:v>
                </c:pt>
                <c:pt idx="4">
                  <c:v>154.09</c:v>
                </c:pt>
                <c:pt idx="5">
                  <c:v>591.91</c:v>
                </c:pt>
                <c:pt idx="6">
                  <c:v>86.5</c:v>
                </c:pt>
                <c:pt idx="7">
                  <c:v>43.72</c:v>
                </c:pt>
                <c:pt idx="8">
                  <c:v>87.08</c:v>
                </c:pt>
                <c:pt idx="9">
                  <c:v>66.83</c:v>
                </c:pt>
                <c:pt idx="10">
                  <c:v>22.44</c:v>
                </c:pt>
                <c:pt idx="11">
                  <c:v>57.14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Rainfall!$C$15:$N$15</c:f>
              <c:numCache>
                <c:formatCode>0</c:formatCode>
                <c:ptCount val="12"/>
                <c:pt idx="0">
                  <c:v>41.97</c:v>
                </c:pt>
                <c:pt idx="1">
                  <c:v>25.15</c:v>
                </c:pt>
                <c:pt idx="2">
                  <c:v>35.2</c:v>
                </c:pt>
                <c:pt idx="3">
                  <c:v>73.37</c:v>
                </c:pt>
                <c:pt idx="4">
                  <c:v>237.23</c:v>
                </c:pt>
                <c:pt idx="5">
                  <c:v>163.16</c:v>
                </c:pt>
                <c:pt idx="6">
                  <c:v>31.32</c:v>
                </c:pt>
                <c:pt idx="7">
                  <c:v>124.47</c:v>
                </c:pt>
                <c:pt idx="8">
                  <c:v>74.13</c:v>
                </c:pt>
                <c:pt idx="9">
                  <c:v>34.76</c:v>
                </c:pt>
                <c:pt idx="10">
                  <c:v>86.96</c:v>
                </c:pt>
                <c:pt idx="11">
                  <c:v>59.91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Rainfall!$C$23:$N$23</c:f>
              <c:numCache>
                <c:formatCode>0</c:formatCode>
                <c:ptCount val="12"/>
                <c:pt idx="0">
                  <c:v>20.05</c:v>
                </c:pt>
                <c:pt idx="1">
                  <c:v>47.45</c:v>
                </c:pt>
                <c:pt idx="2">
                  <c:v>29.81</c:v>
                </c:pt>
                <c:pt idx="3">
                  <c:v>219.6</c:v>
                </c:pt>
                <c:pt idx="4">
                  <c:v>242.1</c:v>
                </c:pt>
                <c:pt idx="5">
                  <c:v>152.38</c:v>
                </c:pt>
                <c:pt idx="6">
                  <c:v>177.66</c:v>
                </c:pt>
                <c:pt idx="7">
                  <c:v>12.13</c:v>
                </c:pt>
                <c:pt idx="8">
                  <c:v>33.02</c:v>
                </c:pt>
                <c:pt idx="9">
                  <c:v>117.18</c:v>
                </c:pt>
                <c:pt idx="10">
                  <c:v>48.45</c:v>
                </c:pt>
                <c:pt idx="11">
                  <c:v>39.13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Rainfall!$C$24:$N$24</c:f>
              <c:numCache>
                <c:formatCode>0</c:formatCode>
                <c:ptCount val="12"/>
                <c:pt idx="0">
                  <c:v>34.58</c:v>
                </c:pt>
                <c:pt idx="1">
                  <c:v>26.8</c:v>
                </c:pt>
                <c:pt idx="2">
                  <c:v>69.14</c:v>
                </c:pt>
                <c:pt idx="3">
                  <c:v>96.11</c:v>
                </c:pt>
                <c:pt idx="4">
                  <c:v>133.6</c:v>
                </c:pt>
                <c:pt idx="5">
                  <c:v>145.13</c:v>
                </c:pt>
                <c:pt idx="6">
                  <c:v>257.75</c:v>
                </c:pt>
                <c:pt idx="7">
                  <c:v>181.87</c:v>
                </c:pt>
                <c:pt idx="8">
                  <c:v>205.27</c:v>
                </c:pt>
                <c:pt idx="9">
                  <c:v>59.85</c:v>
                </c:pt>
                <c:pt idx="10">
                  <c:v>42.85</c:v>
                </c:pt>
                <c:pt idx="11">
                  <c:v>34.72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Rainfall!$C$4:$N$4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Rainfall!$C$30:$N$30</c:f>
              <c:numCache>
                <c:formatCode>0</c:formatCode>
                <c:ptCount val="12"/>
                <c:pt idx="0">
                  <c:v>40.908</c:v>
                </c:pt>
                <c:pt idx="1">
                  <c:v>45.672</c:v>
                </c:pt>
                <c:pt idx="2">
                  <c:v>52.418</c:v>
                </c:pt>
                <c:pt idx="3">
                  <c:v>115.584</c:v>
                </c:pt>
                <c:pt idx="4">
                  <c:v>207.89</c:v>
                </c:pt>
                <c:pt idx="5">
                  <c:v>213.386</c:v>
                </c:pt>
                <c:pt idx="6">
                  <c:v>151.694</c:v>
                </c:pt>
                <c:pt idx="7">
                  <c:v>80.996</c:v>
                </c:pt>
                <c:pt idx="8">
                  <c:v>92.34</c:v>
                </c:pt>
                <c:pt idx="9">
                  <c:v>68.878</c:v>
                </c:pt>
                <c:pt idx="10">
                  <c:v>48.09</c:v>
                </c:pt>
                <c:pt idx="11">
                  <c:v>46.482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646672"/>
        <c:axId val="75321202"/>
      </c:lineChart>
      <c:catAx>
        <c:axId val="5364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21202"/>
        <c:crosses val="autoZero"/>
        <c:auto val="1"/>
        <c:lblAlgn val="ctr"/>
        <c:lblOffset val="100"/>
        <c:noMultiLvlLbl val="0"/>
      </c:catAx>
      <c:valAx>
        <c:axId val="75321202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46672"/>
        <c:crosses val="autoZero"/>
        <c:crossBetween val="between"/>
        <c:majorUnit val="1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Humidity!$C$5:$N$5</c:f>
              <c:numCache>
                <c:formatCode>0</c:formatCode>
                <c:ptCount val="12"/>
                <c:pt idx="0">
                  <c:v>78.18</c:v>
                </c:pt>
                <c:pt idx="1">
                  <c:v>77.8</c:v>
                </c:pt>
                <c:pt idx="2">
                  <c:v>75.71</c:v>
                </c:pt>
                <c:pt idx="3">
                  <c:v>80.61</c:v>
                </c:pt>
                <c:pt idx="4">
                  <c:v>83.79</c:v>
                </c:pt>
                <c:pt idx="5">
                  <c:v>83.86</c:v>
                </c:pt>
                <c:pt idx="6">
                  <c:v>80.45</c:v>
                </c:pt>
                <c:pt idx="7">
                  <c:v>84.9</c:v>
                </c:pt>
                <c:pt idx="8">
                  <c:v>81.6</c:v>
                </c:pt>
                <c:pt idx="9">
                  <c:v>84.31</c:v>
                </c:pt>
                <c:pt idx="10">
                  <c:v>78.04</c:v>
                </c:pt>
                <c:pt idx="11">
                  <c:v>78.54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Humidity!$C$8:$N$8</c:f>
              <c:numCache>
                <c:formatCode>0</c:formatCode>
                <c:ptCount val="12"/>
                <c:pt idx="0">
                  <c:v>80.68</c:v>
                </c:pt>
                <c:pt idx="1">
                  <c:v>78.09</c:v>
                </c:pt>
                <c:pt idx="2">
                  <c:v>74.34</c:v>
                </c:pt>
                <c:pt idx="3">
                  <c:v>79.01</c:v>
                </c:pt>
                <c:pt idx="4">
                  <c:v>77.69</c:v>
                </c:pt>
                <c:pt idx="5">
                  <c:v>76.95</c:v>
                </c:pt>
                <c:pt idx="6">
                  <c:v>73.2</c:v>
                </c:pt>
                <c:pt idx="7">
                  <c:v>72.96</c:v>
                </c:pt>
                <c:pt idx="8">
                  <c:v>82.84</c:v>
                </c:pt>
                <c:pt idx="9">
                  <c:v>82.61</c:v>
                </c:pt>
                <c:pt idx="10">
                  <c:v>80.22</c:v>
                </c:pt>
                <c:pt idx="11">
                  <c:v>73.95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Humidity!$C$13:$N$13</c:f>
              <c:numCache>
                <c:formatCode>0</c:formatCode>
                <c:ptCount val="12"/>
                <c:pt idx="0">
                  <c:v>82.29</c:v>
                </c:pt>
                <c:pt idx="1">
                  <c:v>76.5</c:v>
                </c:pt>
                <c:pt idx="2">
                  <c:v>70.44</c:v>
                </c:pt>
                <c:pt idx="3">
                  <c:v>72.27</c:v>
                </c:pt>
                <c:pt idx="4">
                  <c:v>78.55</c:v>
                </c:pt>
                <c:pt idx="5">
                  <c:v>79.7</c:v>
                </c:pt>
                <c:pt idx="6">
                  <c:v>72.52</c:v>
                </c:pt>
                <c:pt idx="7">
                  <c:v>76.86</c:v>
                </c:pt>
                <c:pt idx="8">
                  <c:v>79.73</c:v>
                </c:pt>
                <c:pt idx="9">
                  <c:v>76.61</c:v>
                </c:pt>
                <c:pt idx="10">
                  <c:v>78.84</c:v>
                </c:pt>
                <c:pt idx="11">
                  <c:v>80.63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Humidity!$C$14:$N$14</c:f>
              <c:numCache>
                <c:formatCode>0</c:formatCode>
                <c:ptCount val="12"/>
                <c:pt idx="0">
                  <c:v>82.16</c:v>
                </c:pt>
                <c:pt idx="1">
                  <c:v>75.99</c:v>
                </c:pt>
                <c:pt idx="2">
                  <c:v>70.31</c:v>
                </c:pt>
                <c:pt idx="3">
                  <c:v>69.1</c:v>
                </c:pt>
                <c:pt idx="4">
                  <c:v>71.66</c:v>
                </c:pt>
                <c:pt idx="5">
                  <c:v>71.23</c:v>
                </c:pt>
                <c:pt idx="6">
                  <c:v>79.24</c:v>
                </c:pt>
                <c:pt idx="7">
                  <c:v>75.16</c:v>
                </c:pt>
                <c:pt idx="8">
                  <c:v>75.58</c:v>
                </c:pt>
                <c:pt idx="9">
                  <c:v>74.69</c:v>
                </c:pt>
                <c:pt idx="10">
                  <c:v>74.33</c:v>
                </c:pt>
                <c:pt idx="11">
                  <c:v>74.62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Humidity!$C$17:$N$17</c:f>
              <c:numCache>
                <c:formatCode>0</c:formatCode>
                <c:ptCount val="12"/>
                <c:pt idx="0">
                  <c:v>82.61</c:v>
                </c:pt>
                <c:pt idx="1">
                  <c:v>80.54</c:v>
                </c:pt>
                <c:pt idx="2">
                  <c:v>74.83</c:v>
                </c:pt>
                <c:pt idx="3">
                  <c:v>75.57</c:v>
                </c:pt>
                <c:pt idx="4">
                  <c:v>83.21</c:v>
                </c:pt>
                <c:pt idx="5">
                  <c:v>82.75</c:v>
                </c:pt>
                <c:pt idx="6">
                  <c:v>78.51</c:v>
                </c:pt>
                <c:pt idx="7">
                  <c:v>74.74</c:v>
                </c:pt>
                <c:pt idx="8">
                  <c:v>75.05</c:v>
                </c:pt>
                <c:pt idx="9">
                  <c:v>79.95</c:v>
                </c:pt>
                <c:pt idx="10">
                  <c:v>80.65</c:v>
                </c:pt>
                <c:pt idx="11">
                  <c:v>80.18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Humidity!$C$18:$N$18</c:f>
              <c:numCache>
                <c:formatCode>0</c:formatCode>
                <c:ptCount val="12"/>
                <c:pt idx="0">
                  <c:v>73.43</c:v>
                </c:pt>
                <c:pt idx="1">
                  <c:v>75.94</c:v>
                </c:pt>
                <c:pt idx="2">
                  <c:v>72.2</c:v>
                </c:pt>
                <c:pt idx="3">
                  <c:v>76.02</c:v>
                </c:pt>
                <c:pt idx="4">
                  <c:v>78.34</c:v>
                </c:pt>
                <c:pt idx="5">
                  <c:v>79.98</c:v>
                </c:pt>
                <c:pt idx="6">
                  <c:v>81.76</c:v>
                </c:pt>
                <c:pt idx="7">
                  <c:v>80.35</c:v>
                </c:pt>
                <c:pt idx="8">
                  <c:v>82.81</c:v>
                </c:pt>
                <c:pt idx="9">
                  <c:v>78.68</c:v>
                </c:pt>
                <c:pt idx="10">
                  <c:v>77.17</c:v>
                </c:pt>
                <c:pt idx="11">
                  <c:v>78.85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Humidity!$C$22:$N$22</c:f>
              <c:numCache>
                <c:formatCode>0</c:formatCode>
                <c:ptCount val="12"/>
                <c:pt idx="0">
                  <c:v>76.38</c:v>
                </c:pt>
                <c:pt idx="1">
                  <c:v>78.35</c:v>
                </c:pt>
                <c:pt idx="2">
                  <c:v>74.48</c:v>
                </c:pt>
                <c:pt idx="3">
                  <c:v>73.65</c:v>
                </c:pt>
                <c:pt idx="4">
                  <c:v>65.47</c:v>
                </c:pt>
                <c:pt idx="5">
                  <c:v>69</c:v>
                </c:pt>
                <c:pt idx="6">
                  <c:v>81.37</c:v>
                </c:pt>
                <c:pt idx="7">
                  <c:v>83.01</c:v>
                </c:pt>
                <c:pt idx="8">
                  <c:v>79.85</c:v>
                </c:pt>
                <c:pt idx="9">
                  <c:v>76.03</c:v>
                </c:pt>
                <c:pt idx="10">
                  <c:v>76.6</c:v>
                </c:pt>
                <c:pt idx="11">
                  <c:v>77.99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Humidity!$C$25:$N$25</c:f>
              <c:numCache>
                <c:formatCode>0</c:formatCode>
                <c:ptCount val="12"/>
                <c:pt idx="0">
                  <c:v>77.25</c:v>
                </c:pt>
                <c:pt idx="1">
                  <c:v>74.76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Humidity!$C$28:$N$28</c:f>
              <c:numCache>
                <c:formatCode>0</c:formatCode>
                <c:ptCount val="12"/>
                <c:pt idx="0">
                  <c:v>79.39</c:v>
                </c:pt>
                <c:pt idx="1">
                  <c:v>77.6014285714286</c:v>
                </c:pt>
                <c:pt idx="2">
                  <c:v>73.1871428571429</c:v>
                </c:pt>
                <c:pt idx="3">
                  <c:v>75.1757142857143</c:v>
                </c:pt>
                <c:pt idx="4">
                  <c:v>76.9585714285714</c:v>
                </c:pt>
                <c:pt idx="5">
                  <c:v>77.6385714285714</c:v>
                </c:pt>
                <c:pt idx="6">
                  <c:v>78.15</c:v>
                </c:pt>
                <c:pt idx="7">
                  <c:v>78.2828571428571</c:v>
                </c:pt>
                <c:pt idx="8">
                  <c:v>79.6371428571429</c:v>
                </c:pt>
                <c:pt idx="9">
                  <c:v>78.9828571428571</c:v>
                </c:pt>
                <c:pt idx="10">
                  <c:v>77.9785714285714</c:v>
                </c:pt>
                <c:pt idx="11">
                  <c:v>77.8228571428572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152403"/>
        <c:axId val="46769430"/>
      </c:lineChart>
      <c:catAx>
        <c:axId val="35152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9430"/>
        <c:crosses val="autoZero"/>
        <c:auto val="1"/>
        <c:lblAlgn val="ctr"/>
        <c:lblOffset val="100"/>
        <c:noMultiLvlLbl val="0"/>
      </c:catAx>
      <c:valAx>
        <c:axId val="46769430"/>
        <c:scaling>
          <c:orientation val="minMax"/>
          <c:max val="9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52403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Humidity!$C$6:$N$6</c:f>
              <c:numCache>
                <c:formatCode>0</c:formatCode>
                <c:ptCount val="12"/>
                <c:pt idx="0">
                  <c:v>76.59</c:v>
                </c:pt>
                <c:pt idx="1">
                  <c:v>76.66</c:v>
                </c:pt>
                <c:pt idx="2">
                  <c:v>74.32</c:v>
                </c:pt>
                <c:pt idx="3">
                  <c:v>72.83</c:v>
                </c:pt>
                <c:pt idx="4">
                  <c:v>71.5</c:v>
                </c:pt>
                <c:pt idx="5">
                  <c:v>77.79</c:v>
                </c:pt>
                <c:pt idx="6">
                  <c:v>78.44</c:v>
                </c:pt>
                <c:pt idx="7">
                  <c:v>80.39</c:v>
                </c:pt>
                <c:pt idx="8">
                  <c:v>83.31</c:v>
                </c:pt>
                <c:pt idx="9">
                  <c:v>82.49</c:v>
                </c:pt>
                <c:pt idx="10">
                  <c:v>77.93</c:v>
                </c:pt>
                <c:pt idx="11">
                  <c:v>77.03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Humidity!$C$7:$N$7</c:f>
              <c:numCache>
                <c:formatCode>0</c:formatCode>
                <c:ptCount val="12"/>
                <c:pt idx="0">
                  <c:v>75.06</c:v>
                </c:pt>
                <c:pt idx="1">
                  <c:v>75.46</c:v>
                </c:pt>
                <c:pt idx="2">
                  <c:v>70.48</c:v>
                </c:pt>
                <c:pt idx="3">
                  <c:v>73.38</c:v>
                </c:pt>
                <c:pt idx="4">
                  <c:v>81.32</c:v>
                </c:pt>
                <c:pt idx="5">
                  <c:v>82.28</c:v>
                </c:pt>
                <c:pt idx="6">
                  <c:v>83.1</c:v>
                </c:pt>
                <c:pt idx="7">
                  <c:v>80.26</c:v>
                </c:pt>
                <c:pt idx="8">
                  <c:v>79.17</c:v>
                </c:pt>
                <c:pt idx="9">
                  <c:v>83.04</c:v>
                </c:pt>
                <c:pt idx="10">
                  <c:v>80.53</c:v>
                </c:pt>
                <c:pt idx="11">
                  <c:v>82.03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Humidity!$C$9:$N$9</c:f>
              <c:numCache>
                <c:formatCode>0</c:formatCode>
                <c:ptCount val="12"/>
                <c:pt idx="0">
                  <c:v>79.92</c:v>
                </c:pt>
                <c:pt idx="1">
                  <c:v>72.32</c:v>
                </c:pt>
                <c:pt idx="2">
                  <c:v>71.94</c:v>
                </c:pt>
                <c:pt idx="3">
                  <c:v>73.17</c:v>
                </c:pt>
                <c:pt idx="4">
                  <c:v>82.69</c:v>
                </c:pt>
                <c:pt idx="5">
                  <c:v>79.73</c:v>
                </c:pt>
                <c:pt idx="6">
                  <c:v>79.57</c:v>
                </c:pt>
                <c:pt idx="7">
                  <c:v>76.53</c:v>
                </c:pt>
                <c:pt idx="8">
                  <c:v>84.52</c:v>
                </c:pt>
                <c:pt idx="9">
                  <c:v>87.47</c:v>
                </c:pt>
                <c:pt idx="10">
                  <c:v>81.66</c:v>
                </c:pt>
                <c:pt idx="11">
                  <c:v>78.32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Humidity!$C$10:$N$10</c:f>
              <c:numCache>
                <c:formatCode>0</c:formatCode>
                <c:ptCount val="12"/>
                <c:pt idx="0">
                  <c:v>78.49</c:v>
                </c:pt>
                <c:pt idx="1">
                  <c:v>74.85</c:v>
                </c:pt>
                <c:pt idx="2">
                  <c:v>67.8</c:v>
                </c:pt>
                <c:pt idx="3">
                  <c:v>79.04</c:v>
                </c:pt>
                <c:pt idx="4">
                  <c:v>80.12</c:v>
                </c:pt>
                <c:pt idx="5">
                  <c:v>83.68</c:v>
                </c:pt>
                <c:pt idx="6">
                  <c:v>82</c:v>
                </c:pt>
                <c:pt idx="7">
                  <c:v>78.55</c:v>
                </c:pt>
                <c:pt idx="8">
                  <c:v>77.63</c:v>
                </c:pt>
                <c:pt idx="9">
                  <c:v>78.43</c:v>
                </c:pt>
                <c:pt idx="10">
                  <c:v>79.94</c:v>
                </c:pt>
                <c:pt idx="11">
                  <c:v>80.54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Humidity!$C$16:$N$16</c:f>
              <c:numCache>
                <c:formatCode>0</c:formatCode>
                <c:ptCount val="12"/>
                <c:pt idx="0">
                  <c:v>78.15</c:v>
                </c:pt>
                <c:pt idx="1">
                  <c:v>71.46</c:v>
                </c:pt>
                <c:pt idx="2">
                  <c:v>73.57</c:v>
                </c:pt>
                <c:pt idx="3">
                  <c:v>71.51</c:v>
                </c:pt>
                <c:pt idx="4">
                  <c:v>79.18</c:v>
                </c:pt>
                <c:pt idx="5">
                  <c:v>83.67</c:v>
                </c:pt>
                <c:pt idx="6">
                  <c:v>78.42</c:v>
                </c:pt>
                <c:pt idx="7">
                  <c:v>84.57</c:v>
                </c:pt>
                <c:pt idx="8">
                  <c:v>82.97</c:v>
                </c:pt>
                <c:pt idx="9">
                  <c:v>84.43</c:v>
                </c:pt>
                <c:pt idx="10">
                  <c:v>83.92</c:v>
                </c:pt>
                <c:pt idx="11">
                  <c:v>84.46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Humidity!$C$19:$N$19</c:f>
              <c:numCache>
                <c:formatCode>0</c:formatCode>
                <c:ptCount val="12"/>
                <c:pt idx="0">
                  <c:v>78.59</c:v>
                </c:pt>
                <c:pt idx="1">
                  <c:v>76.17</c:v>
                </c:pt>
                <c:pt idx="2">
                  <c:v>74.57</c:v>
                </c:pt>
                <c:pt idx="3">
                  <c:v>77.5</c:v>
                </c:pt>
                <c:pt idx="4">
                  <c:v>81.36</c:v>
                </c:pt>
                <c:pt idx="5">
                  <c:v>76.85</c:v>
                </c:pt>
                <c:pt idx="6">
                  <c:v>72.81</c:v>
                </c:pt>
                <c:pt idx="7">
                  <c:v>81.65</c:v>
                </c:pt>
                <c:pt idx="8">
                  <c:v>77.77</c:v>
                </c:pt>
                <c:pt idx="9">
                  <c:v>75.25</c:v>
                </c:pt>
                <c:pt idx="10">
                  <c:v>73.33</c:v>
                </c:pt>
                <c:pt idx="11">
                  <c:v>74.83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Humidity!$C$20:$N$20</c:f>
              <c:numCache>
                <c:formatCode>0</c:formatCode>
                <c:ptCount val="12"/>
                <c:pt idx="0">
                  <c:v>71.46</c:v>
                </c:pt>
                <c:pt idx="1">
                  <c:v>74.72</c:v>
                </c:pt>
                <c:pt idx="2">
                  <c:v>73.68</c:v>
                </c:pt>
                <c:pt idx="3">
                  <c:v>78.94</c:v>
                </c:pt>
                <c:pt idx="4">
                  <c:v>80.12</c:v>
                </c:pt>
                <c:pt idx="5">
                  <c:v>83.78</c:v>
                </c:pt>
                <c:pt idx="6">
                  <c:v>80.07</c:v>
                </c:pt>
                <c:pt idx="7">
                  <c:v>83.6</c:v>
                </c:pt>
                <c:pt idx="8">
                  <c:v>80.99</c:v>
                </c:pt>
                <c:pt idx="9">
                  <c:v>76.41</c:v>
                </c:pt>
                <c:pt idx="10">
                  <c:v>73.76</c:v>
                </c:pt>
                <c:pt idx="11">
                  <c:v>74.55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Humidity!$C$21:$N$21</c:f>
              <c:numCache>
                <c:formatCode>0</c:formatCode>
                <c:ptCount val="12"/>
                <c:pt idx="0">
                  <c:v>79.36</c:v>
                </c:pt>
                <c:pt idx="1">
                  <c:v>70.47</c:v>
                </c:pt>
                <c:pt idx="2">
                  <c:v>70.26</c:v>
                </c:pt>
                <c:pt idx="3">
                  <c:v>74.1</c:v>
                </c:pt>
                <c:pt idx="4">
                  <c:v>80.54</c:v>
                </c:pt>
                <c:pt idx="5">
                  <c:v>86.54</c:v>
                </c:pt>
                <c:pt idx="6">
                  <c:v>83.61</c:v>
                </c:pt>
                <c:pt idx="7">
                  <c:v>77.16</c:v>
                </c:pt>
                <c:pt idx="8">
                  <c:v>77.01</c:v>
                </c:pt>
                <c:pt idx="9">
                  <c:v>77.04</c:v>
                </c:pt>
                <c:pt idx="10">
                  <c:v>78.75</c:v>
                </c:pt>
                <c:pt idx="11">
                  <c:v>77.44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Humidity!$C$29:$N$29</c:f>
              <c:numCache>
                <c:formatCode>0</c:formatCode>
                <c:ptCount val="12"/>
                <c:pt idx="0">
                  <c:v>77.2025</c:v>
                </c:pt>
                <c:pt idx="1">
                  <c:v>74.01375</c:v>
                </c:pt>
                <c:pt idx="2">
                  <c:v>72.0775</c:v>
                </c:pt>
                <c:pt idx="3">
                  <c:v>75.05875</c:v>
                </c:pt>
                <c:pt idx="4">
                  <c:v>79.60375</c:v>
                </c:pt>
                <c:pt idx="5">
                  <c:v>81.79</c:v>
                </c:pt>
                <c:pt idx="6">
                  <c:v>79.7525</c:v>
                </c:pt>
                <c:pt idx="7">
                  <c:v>80.33875</c:v>
                </c:pt>
                <c:pt idx="8">
                  <c:v>80.42125</c:v>
                </c:pt>
                <c:pt idx="9">
                  <c:v>80.57</c:v>
                </c:pt>
                <c:pt idx="10">
                  <c:v>78.7275</c:v>
                </c:pt>
                <c:pt idx="11">
                  <c:v>78.65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621190"/>
        <c:axId val="32331731"/>
      </c:lineChart>
      <c:catAx>
        <c:axId val="80621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31731"/>
        <c:crosses val="autoZero"/>
        <c:auto val="1"/>
        <c:lblAlgn val="ctr"/>
        <c:lblOffset val="100"/>
        <c:noMultiLvlLbl val="0"/>
      </c:catAx>
      <c:valAx>
        <c:axId val="32331731"/>
        <c:scaling>
          <c:orientation val="minMax"/>
          <c:max val="9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21190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Relative humidity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Humidity!$C$11:$N$11</c:f>
              <c:numCache>
                <c:formatCode>0</c:formatCode>
                <c:ptCount val="12"/>
                <c:pt idx="0">
                  <c:v>77.63</c:v>
                </c:pt>
                <c:pt idx="1">
                  <c:v>80.63</c:v>
                </c:pt>
                <c:pt idx="2">
                  <c:v>72.81</c:v>
                </c:pt>
                <c:pt idx="3">
                  <c:v>72.13</c:v>
                </c:pt>
                <c:pt idx="4">
                  <c:v>83.23</c:v>
                </c:pt>
                <c:pt idx="5">
                  <c:v>74.35</c:v>
                </c:pt>
                <c:pt idx="6">
                  <c:v>77.89</c:v>
                </c:pt>
                <c:pt idx="7">
                  <c:v>76.68</c:v>
                </c:pt>
                <c:pt idx="8">
                  <c:v>75.39</c:v>
                </c:pt>
                <c:pt idx="9">
                  <c:v>79.71</c:v>
                </c:pt>
                <c:pt idx="10">
                  <c:v>76.78</c:v>
                </c:pt>
                <c:pt idx="11">
                  <c:v>81.55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Humidity!$C$12:$N$12</c:f>
              <c:numCache>
                <c:formatCode>0</c:formatCode>
                <c:ptCount val="12"/>
                <c:pt idx="0">
                  <c:v>78.36</c:v>
                </c:pt>
                <c:pt idx="1">
                  <c:v>76.22</c:v>
                </c:pt>
                <c:pt idx="2">
                  <c:v>75.18</c:v>
                </c:pt>
                <c:pt idx="3">
                  <c:v>74.37</c:v>
                </c:pt>
                <c:pt idx="4">
                  <c:v>78.36</c:v>
                </c:pt>
                <c:pt idx="5">
                  <c:v>84.17</c:v>
                </c:pt>
                <c:pt idx="6">
                  <c:v>80.54</c:v>
                </c:pt>
                <c:pt idx="7">
                  <c:v>79.93</c:v>
                </c:pt>
                <c:pt idx="8">
                  <c:v>80.17</c:v>
                </c:pt>
                <c:pt idx="9">
                  <c:v>79.67</c:v>
                </c:pt>
                <c:pt idx="10">
                  <c:v>76.33</c:v>
                </c:pt>
                <c:pt idx="11">
                  <c:v>84.87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Humidity!$C$15:$N$15</c:f>
              <c:numCache>
                <c:formatCode>0</c:formatCode>
                <c:ptCount val="12"/>
                <c:pt idx="0">
                  <c:v>75.43</c:v>
                </c:pt>
                <c:pt idx="1">
                  <c:v>71.16</c:v>
                </c:pt>
                <c:pt idx="2">
                  <c:v>71.94</c:v>
                </c:pt>
                <c:pt idx="3">
                  <c:v>75.64</c:v>
                </c:pt>
                <c:pt idx="4">
                  <c:v>79.72</c:v>
                </c:pt>
                <c:pt idx="5">
                  <c:v>78.97</c:v>
                </c:pt>
                <c:pt idx="6">
                  <c:v>71.53</c:v>
                </c:pt>
                <c:pt idx="7">
                  <c:v>80.3</c:v>
                </c:pt>
                <c:pt idx="8">
                  <c:v>73.99</c:v>
                </c:pt>
                <c:pt idx="9">
                  <c:v>75.57</c:v>
                </c:pt>
                <c:pt idx="10">
                  <c:v>76.92</c:v>
                </c:pt>
                <c:pt idx="11">
                  <c:v>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Humidity!$C$23:$N$23</c:f>
              <c:numCache>
                <c:formatCode>0</c:formatCode>
                <c:ptCount val="12"/>
                <c:pt idx="0">
                  <c:v>75.42</c:v>
                </c:pt>
                <c:pt idx="1">
                  <c:v>72.26</c:v>
                </c:pt>
                <c:pt idx="2">
                  <c:v>70.56</c:v>
                </c:pt>
                <c:pt idx="3">
                  <c:v>75.68</c:v>
                </c:pt>
                <c:pt idx="4">
                  <c:v>80.24</c:v>
                </c:pt>
                <c:pt idx="5">
                  <c:v>76.59</c:v>
                </c:pt>
                <c:pt idx="6">
                  <c:v>81.58</c:v>
                </c:pt>
                <c:pt idx="7">
                  <c:v>76.68</c:v>
                </c:pt>
                <c:pt idx="8">
                  <c:v>78.08</c:v>
                </c:pt>
                <c:pt idx="9">
                  <c:v>80.3</c:v>
                </c:pt>
                <c:pt idx="10">
                  <c:v>81.92</c:v>
                </c:pt>
                <c:pt idx="11">
                  <c:v>80.73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Humidity!$C$24:$N$24</c:f>
              <c:numCache>
                <c:formatCode>0</c:formatCode>
                <c:ptCount val="12"/>
                <c:pt idx="0">
                  <c:v>77.72</c:v>
                </c:pt>
                <c:pt idx="1">
                  <c:v>75.31</c:v>
                </c:pt>
                <c:pt idx="2">
                  <c:v>73.42</c:v>
                </c:pt>
                <c:pt idx="3">
                  <c:v>76.66</c:v>
                </c:pt>
                <c:pt idx="4">
                  <c:v>74.04</c:v>
                </c:pt>
                <c:pt idx="5">
                  <c:v>75.19</c:v>
                </c:pt>
                <c:pt idx="6">
                  <c:v>78.84</c:v>
                </c:pt>
                <c:pt idx="7">
                  <c:v>78.6</c:v>
                </c:pt>
                <c:pt idx="8">
                  <c:v>83.09</c:v>
                </c:pt>
                <c:pt idx="9">
                  <c:v>81.8</c:v>
                </c:pt>
                <c:pt idx="10">
                  <c:v>80.18</c:v>
                </c:pt>
                <c:pt idx="11">
                  <c:v>79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Humidity!$C$4:$N$4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Humidity!$C$30:$N$30</c:f>
              <c:numCache>
                <c:formatCode>0</c:formatCode>
                <c:ptCount val="12"/>
                <c:pt idx="0">
                  <c:v>76.912</c:v>
                </c:pt>
                <c:pt idx="1">
                  <c:v>75.116</c:v>
                </c:pt>
                <c:pt idx="2">
                  <c:v>72.782</c:v>
                </c:pt>
                <c:pt idx="3">
                  <c:v>74.896</c:v>
                </c:pt>
                <c:pt idx="4">
                  <c:v>79.118</c:v>
                </c:pt>
                <c:pt idx="5">
                  <c:v>77.854</c:v>
                </c:pt>
                <c:pt idx="6">
                  <c:v>78.076</c:v>
                </c:pt>
                <c:pt idx="7">
                  <c:v>78.438</c:v>
                </c:pt>
                <c:pt idx="8">
                  <c:v>78.144</c:v>
                </c:pt>
                <c:pt idx="9">
                  <c:v>79.41</c:v>
                </c:pt>
                <c:pt idx="10">
                  <c:v>78.426</c:v>
                </c:pt>
                <c:pt idx="11">
                  <c:v>81.63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34310"/>
        <c:axId val="65700270"/>
      </c:lineChart>
      <c:catAx>
        <c:axId val="54434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00270"/>
        <c:crosses val="autoZero"/>
        <c:auto val="1"/>
        <c:lblAlgn val="ctr"/>
        <c:lblOffset val="100"/>
        <c:noMultiLvlLbl val="0"/>
      </c:catAx>
      <c:valAx>
        <c:axId val="65700270"/>
        <c:scaling>
          <c:orientation val="minMax"/>
          <c:max val="9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34310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El Niño (7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"2006/07"</c:f>
              <c:strCache>
                <c:ptCount val="1"/>
                <c:pt idx="0">
                  <c:v>2006/07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moisture'!$C$5:$N$5</c:f>
              <c:numCache>
                <c:formatCode>0.0</c:formatCode>
                <c:ptCount val="12"/>
                <c:pt idx="0">
                  <c:v>26.67</c:v>
                </c:pt>
                <c:pt idx="1">
                  <c:v>24.76</c:v>
                </c:pt>
                <c:pt idx="2">
                  <c:v>24.37</c:v>
                </c:pt>
                <c:pt idx="3">
                  <c:v>26.55</c:v>
                </c:pt>
                <c:pt idx="4">
                  <c:v>34.52</c:v>
                </c:pt>
                <c:pt idx="5">
                  <c:v>39.57</c:v>
                </c:pt>
                <c:pt idx="6">
                  <c:v>35.84</c:v>
                </c:pt>
                <c:pt idx="7">
                  <c:v>39.64</c:v>
                </c:pt>
                <c:pt idx="8">
                  <c:v>34.98</c:v>
                </c:pt>
                <c:pt idx="9">
                  <c:v>31.25</c:v>
                </c:pt>
                <c:pt idx="10">
                  <c:v>28.78</c:v>
                </c:pt>
                <c:pt idx="11">
                  <c:v>25.62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"2009/10"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moisture'!$C$8:$N$8</c:f>
              <c:numCache>
                <c:formatCode>0.0</c:formatCode>
                <c:ptCount val="12"/>
                <c:pt idx="0">
                  <c:v>27.69</c:v>
                </c:pt>
                <c:pt idx="1">
                  <c:v>25.62</c:v>
                </c:pt>
                <c:pt idx="2">
                  <c:v>24.23</c:v>
                </c:pt>
                <c:pt idx="3">
                  <c:v>25.41</c:v>
                </c:pt>
                <c:pt idx="4">
                  <c:v>36.63</c:v>
                </c:pt>
                <c:pt idx="5">
                  <c:v>29.92</c:v>
                </c:pt>
                <c:pt idx="6">
                  <c:v>26.55</c:v>
                </c:pt>
                <c:pt idx="7">
                  <c:v>22.69</c:v>
                </c:pt>
                <c:pt idx="8">
                  <c:v>27.42</c:v>
                </c:pt>
                <c:pt idx="9">
                  <c:v>30.72</c:v>
                </c:pt>
                <c:pt idx="10">
                  <c:v>28.66</c:v>
                </c:pt>
                <c:pt idx="11">
                  <c:v>25.52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"2014/15"</c:f>
              <c:strCache>
                <c:ptCount val="1"/>
                <c:pt idx="0">
                  <c:v>2014/15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moisture'!$C$13:$N$13</c:f>
              <c:numCache>
                <c:formatCode>0.0</c:formatCode>
                <c:ptCount val="12"/>
                <c:pt idx="0">
                  <c:v>26.19</c:v>
                </c:pt>
                <c:pt idx="1">
                  <c:v>24.82</c:v>
                </c:pt>
                <c:pt idx="2">
                  <c:v>22.5</c:v>
                </c:pt>
                <c:pt idx="3">
                  <c:v>22.17</c:v>
                </c:pt>
                <c:pt idx="4">
                  <c:v>35.83</c:v>
                </c:pt>
                <c:pt idx="5">
                  <c:v>35.51</c:v>
                </c:pt>
                <c:pt idx="6">
                  <c:v>28.14</c:v>
                </c:pt>
                <c:pt idx="7">
                  <c:v>25.37</c:v>
                </c:pt>
                <c:pt idx="8">
                  <c:v>26.22</c:v>
                </c:pt>
                <c:pt idx="9">
                  <c:v>25.13</c:v>
                </c:pt>
                <c:pt idx="10">
                  <c:v>23.59</c:v>
                </c:pt>
                <c:pt idx="11">
                  <c:v>22.96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"2015/16"</c:f>
              <c:strCache>
                <c:ptCount val="1"/>
                <c:pt idx="0">
                  <c:v>2015/16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moisture'!$C$14:$N$14</c:f>
              <c:numCache>
                <c:formatCode>0.0</c:formatCode>
                <c:ptCount val="12"/>
                <c:pt idx="0">
                  <c:v>22.49</c:v>
                </c:pt>
                <c:pt idx="1">
                  <c:v>21.19</c:v>
                </c:pt>
                <c:pt idx="2">
                  <c:v>19.93</c:v>
                </c:pt>
                <c:pt idx="3">
                  <c:v>18.62</c:v>
                </c:pt>
                <c:pt idx="4">
                  <c:v>19.48</c:v>
                </c:pt>
                <c:pt idx="5">
                  <c:v>19.78</c:v>
                </c:pt>
                <c:pt idx="6">
                  <c:v>24.25</c:v>
                </c:pt>
                <c:pt idx="7">
                  <c:v>29.1</c:v>
                </c:pt>
                <c:pt idx="8">
                  <c:v>24.01</c:v>
                </c:pt>
                <c:pt idx="9">
                  <c:v>21.47</c:v>
                </c:pt>
                <c:pt idx="10">
                  <c:v>20.22</c:v>
                </c:pt>
                <c:pt idx="11">
                  <c:v>19.21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"2018/19"</c:f>
              <c:strCache>
                <c:ptCount val="1"/>
                <c:pt idx="0">
                  <c:v>2018/19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moisture'!$C$17:$N$17</c:f>
              <c:numCache>
                <c:formatCode>0.0</c:formatCode>
                <c:ptCount val="12"/>
                <c:pt idx="0">
                  <c:v>28.17</c:v>
                </c:pt>
                <c:pt idx="1">
                  <c:v>25.89</c:v>
                </c:pt>
                <c:pt idx="2">
                  <c:v>24.23</c:v>
                </c:pt>
                <c:pt idx="3">
                  <c:v>23.21</c:v>
                </c:pt>
                <c:pt idx="4">
                  <c:v>29.55</c:v>
                </c:pt>
                <c:pt idx="5">
                  <c:v>36.86</c:v>
                </c:pt>
                <c:pt idx="6">
                  <c:v>33.61</c:v>
                </c:pt>
                <c:pt idx="7">
                  <c:v>28.13</c:v>
                </c:pt>
                <c:pt idx="8">
                  <c:v>25.82</c:v>
                </c:pt>
                <c:pt idx="9">
                  <c:v>25.71</c:v>
                </c:pt>
                <c:pt idx="10">
                  <c:v>24.46</c:v>
                </c:pt>
                <c:pt idx="11">
                  <c:v>23.14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"2019/20"</c:f>
              <c:strCache>
                <c:ptCount val="1"/>
                <c:pt idx="0">
                  <c:v>2019/20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moisture'!$C$18:$N$18</c:f>
              <c:numCache>
                <c:formatCode>0.0</c:formatCode>
                <c:ptCount val="12"/>
                <c:pt idx="0">
                  <c:v>21.51</c:v>
                </c:pt>
                <c:pt idx="1">
                  <c:v>21.35</c:v>
                </c:pt>
                <c:pt idx="2">
                  <c:v>20.01</c:v>
                </c:pt>
                <c:pt idx="3">
                  <c:v>20.78</c:v>
                </c:pt>
                <c:pt idx="4">
                  <c:v>24.2</c:v>
                </c:pt>
                <c:pt idx="5">
                  <c:v>32.2</c:v>
                </c:pt>
                <c:pt idx="6">
                  <c:v>34.95</c:v>
                </c:pt>
                <c:pt idx="7">
                  <c:v>35.48</c:v>
                </c:pt>
                <c:pt idx="8">
                  <c:v>35.64</c:v>
                </c:pt>
                <c:pt idx="9">
                  <c:v>31.65</c:v>
                </c:pt>
                <c:pt idx="10">
                  <c:v>27.98</c:v>
                </c:pt>
                <c:pt idx="11">
                  <c:v>25.11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"2023/24"</c:f>
              <c:strCache>
                <c:ptCount val="1"/>
                <c:pt idx="0">
                  <c:v>2023/24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moisture'!$C$22:$N$22</c:f>
              <c:numCache>
                <c:formatCode>0.0</c:formatCode>
                <c:ptCount val="12"/>
                <c:pt idx="0">
                  <c:v>22.27</c:v>
                </c:pt>
                <c:pt idx="1">
                  <c:v>22.33</c:v>
                </c:pt>
                <c:pt idx="2">
                  <c:v>22.51</c:v>
                </c:pt>
                <c:pt idx="3">
                  <c:v>20.8</c:v>
                </c:pt>
                <c:pt idx="4">
                  <c:v>19.81</c:v>
                </c:pt>
                <c:pt idx="5">
                  <c:v>19.16</c:v>
                </c:pt>
                <c:pt idx="6">
                  <c:v>27.4</c:v>
                </c:pt>
                <c:pt idx="7">
                  <c:v>37.35</c:v>
                </c:pt>
                <c:pt idx="8">
                  <c:v>35.49</c:v>
                </c:pt>
                <c:pt idx="9">
                  <c:v>30.07</c:v>
                </c:pt>
                <c:pt idx="10">
                  <c:v>25.83</c:v>
                </c:pt>
                <c:pt idx="11">
                  <c:v>23.57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"2026/27 (in progress)"</c:f>
              <c:strCache>
                <c:ptCount val="1"/>
                <c:pt idx="0">
                  <c:v>2026/27 (in progress)</c:v>
                </c:pt>
              </c:strCache>
            </c:strRef>
          </c:tx>
          <c:spPr>
            <a:solidFill>
              <a:srgbClr val="d62728"/>
            </a:solidFill>
            <a:ln w="34920">
              <a:solidFill>
                <a:srgbClr val="d627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moisture'!$C$25:$N$25</c:f>
              <c:numCache>
                <c:formatCode>0.0</c:formatCode>
                <c:ptCount val="12"/>
                <c:pt idx="0">
                  <c:v>25.44</c:v>
                </c:pt>
                <c:pt idx="1">
                  <c:v>23.33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"El Niño average"</c:f>
              <c:strCache>
                <c:ptCount val="1"/>
                <c:pt idx="0">
                  <c:v>El Niño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moisture'!$C$28:$N$28</c:f>
              <c:numCache>
                <c:formatCode>0.0</c:formatCode>
                <c:ptCount val="12"/>
                <c:pt idx="0">
                  <c:v>24.9985714285714</c:v>
                </c:pt>
                <c:pt idx="1">
                  <c:v>23.7085714285714</c:v>
                </c:pt>
                <c:pt idx="2">
                  <c:v>22.54</c:v>
                </c:pt>
                <c:pt idx="3">
                  <c:v>22.5057142857143</c:v>
                </c:pt>
                <c:pt idx="4">
                  <c:v>28.5742857142857</c:v>
                </c:pt>
                <c:pt idx="5">
                  <c:v>30.4285714285714</c:v>
                </c:pt>
                <c:pt idx="6">
                  <c:v>30.1057142857143</c:v>
                </c:pt>
                <c:pt idx="7">
                  <c:v>31.1085714285714</c:v>
                </c:pt>
                <c:pt idx="8">
                  <c:v>29.94</c:v>
                </c:pt>
                <c:pt idx="9">
                  <c:v>28</c:v>
                </c:pt>
                <c:pt idx="10">
                  <c:v>25.6457142857143</c:v>
                </c:pt>
                <c:pt idx="11">
                  <c:v>23.59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059873"/>
        <c:axId val="78094079"/>
      </c:lineChart>
      <c:catAx>
        <c:axId val="31059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94079"/>
        <c:crosses val="autoZero"/>
        <c:auto val="1"/>
        <c:lblAlgn val="ctr"/>
        <c:lblOffset val="100"/>
        <c:noMultiLvlLbl val="0"/>
      </c:catAx>
      <c:valAx>
        <c:axId val="78094079"/>
        <c:scaling>
          <c:orientation val="minMax"/>
          <c:max val="45"/>
          <c:min val="1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59873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La Niña (8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"2007/08"</c:f>
              <c:strCache>
                <c:ptCount val="1"/>
                <c:pt idx="0">
                  <c:v>2007/08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moisture'!$C$6:$N$6</c:f>
              <c:numCache>
                <c:formatCode>0.0</c:formatCode>
                <c:ptCount val="12"/>
                <c:pt idx="0">
                  <c:v>23.62</c:v>
                </c:pt>
                <c:pt idx="1">
                  <c:v>22.75</c:v>
                </c:pt>
                <c:pt idx="2">
                  <c:v>22.77</c:v>
                </c:pt>
                <c:pt idx="3">
                  <c:v>21.76</c:v>
                </c:pt>
                <c:pt idx="4">
                  <c:v>21.17</c:v>
                </c:pt>
                <c:pt idx="5">
                  <c:v>26.85</c:v>
                </c:pt>
                <c:pt idx="6">
                  <c:v>25.75</c:v>
                </c:pt>
                <c:pt idx="7">
                  <c:v>29.48</c:v>
                </c:pt>
                <c:pt idx="8">
                  <c:v>33.38</c:v>
                </c:pt>
                <c:pt idx="9">
                  <c:v>32.12</c:v>
                </c:pt>
                <c:pt idx="10">
                  <c:v>28.25</c:v>
                </c:pt>
                <c:pt idx="11">
                  <c:v>25.14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"2008/09"</c:f>
              <c:strCache>
                <c:ptCount val="1"/>
                <c:pt idx="0">
                  <c:v>2008/09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moisture'!$C$7:$N$7</c:f>
              <c:numCache>
                <c:formatCode>0.0</c:formatCode>
                <c:ptCount val="12"/>
                <c:pt idx="0">
                  <c:v>23.81</c:v>
                </c:pt>
                <c:pt idx="1">
                  <c:v>21.7</c:v>
                </c:pt>
                <c:pt idx="2">
                  <c:v>20.5</c:v>
                </c:pt>
                <c:pt idx="3">
                  <c:v>20.54</c:v>
                </c:pt>
                <c:pt idx="4">
                  <c:v>25.7</c:v>
                </c:pt>
                <c:pt idx="5">
                  <c:v>38.23</c:v>
                </c:pt>
                <c:pt idx="6">
                  <c:v>38.2</c:v>
                </c:pt>
                <c:pt idx="7">
                  <c:v>33.05</c:v>
                </c:pt>
                <c:pt idx="8">
                  <c:v>28.54</c:v>
                </c:pt>
                <c:pt idx="9">
                  <c:v>35.52</c:v>
                </c:pt>
                <c:pt idx="10">
                  <c:v>31.99</c:v>
                </c:pt>
                <c:pt idx="11">
                  <c:v>30.04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"2010/11"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moisture'!$C$9:$N$9</c:f>
              <c:numCache>
                <c:formatCode>0.0</c:formatCode>
                <c:ptCount val="12"/>
                <c:pt idx="0">
                  <c:v>24.62</c:v>
                </c:pt>
                <c:pt idx="1">
                  <c:v>22.97</c:v>
                </c:pt>
                <c:pt idx="2">
                  <c:v>21.44</c:v>
                </c:pt>
                <c:pt idx="3">
                  <c:v>20.72</c:v>
                </c:pt>
                <c:pt idx="4">
                  <c:v>28.07</c:v>
                </c:pt>
                <c:pt idx="5">
                  <c:v>31.09</c:v>
                </c:pt>
                <c:pt idx="6">
                  <c:v>32.82</c:v>
                </c:pt>
                <c:pt idx="7">
                  <c:v>27</c:v>
                </c:pt>
                <c:pt idx="8">
                  <c:v>34.48</c:v>
                </c:pt>
                <c:pt idx="9">
                  <c:v>39.52</c:v>
                </c:pt>
                <c:pt idx="10">
                  <c:v>35.16</c:v>
                </c:pt>
                <c:pt idx="11">
                  <c:v>29.85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"2011/12"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moisture'!$C$10:$N$10</c:f>
              <c:numCache>
                <c:formatCode>0.0</c:formatCode>
                <c:ptCount val="12"/>
                <c:pt idx="0">
                  <c:v>26.97</c:v>
                </c:pt>
                <c:pt idx="1">
                  <c:v>24.61</c:v>
                </c:pt>
                <c:pt idx="2">
                  <c:v>22.36</c:v>
                </c:pt>
                <c:pt idx="3">
                  <c:v>24.16</c:v>
                </c:pt>
                <c:pt idx="4">
                  <c:v>28.64</c:v>
                </c:pt>
                <c:pt idx="5">
                  <c:v>38.08</c:v>
                </c:pt>
                <c:pt idx="6">
                  <c:v>37.96</c:v>
                </c:pt>
                <c:pt idx="7">
                  <c:v>30.42</c:v>
                </c:pt>
                <c:pt idx="8">
                  <c:v>27.22</c:v>
                </c:pt>
                <c:pt idx="9">
                  <c:v>25.49</c:v>
                </c:pt>
                <c:pt idx="10">
                  <c:v>24.36</c:v>
                </c:pt>
                <c:pt idx="11">
                  <c:v>23.12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"2017/18"</c:f>
              <c:strCache>
                <c:ptCount val="1"/>
                <c:pt idx="0">
                  <c:v>2017/18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moisture'!$C$16:$N$16</c:f>
              <c:numCache>
                <c:formatCode>0.0</c:formatCode>
                <c:ptCount val="12"/>
                <c:pt idx="0">
                  <c:v>21.96</c:v>
                </c:pt>
                <c:pt idx="1">
                  <c:v>20.41</c:v>
                </c:pt>
                <c:pt idx="2">
                  <c:v>19.38</c:v>
                </c:pt>
                <c:pt idx="3">
                  <c:v>18.87</c:v>
                </c:pt>
                <c:pt idx="4">
                  <c:v>24.39</c:v>
                </c:pt>
                <c:pt idx="5">
                  <c:v>36.6</c:v>
                </c:pt>
                <c:pt idx="6">
                  <c:v>33.23</c:v>
                </c:pt>
                <c:pt idx="7">
                  <c:v>38.68</c:v>
                </c:pt>
                <c:pt idx="8">
                  <c:v>36.64</c:v>
                </c:pt>
                <c:pt idx="9">
                  <c:v>35.34</c:v>
                </c:pt>
                <c:pt idx="10">
                  <c:v>33.57</c:v>
                </c:pt>
                <c:pt idx="11">
                  <c:v>31.16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"2020/21"</c:f>
              <c:strCache>
                <c:ptCount val="1"/>
                <c:pt idx="0">
                  <c:v>2020/21</c:v>
                </c:pt>
              </c:strCache>
            </c:strRef>
          </c:tx>
          <c:spPr>
            <a:solidFill>
              <a:srgbClr val="222222"/>
            </a:solidFill>
            <a:ln w="19080">
              <a:solidFill>
                <a:srgbClr val="2222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moisture'!$C$19:$N$19</c:f>
              <c:numCache>
                <c:formatCode>0.0</c:formatCode>
                <c:ptCount val="12"/>
                <c:pt idx="0">
                  <c:v>23.66</c:v>
                </c:pt>
                <c:pt idx="1">
                  <c:v>23.19</c:v>
                </c:pt>
                <c:pt idx="2">
                  <c:v>21.74</c:v>
                </c:pt>
                <c:pt idx="3">
                  <c:v>23.6</c:v>
                </c:pt>
                <c:pt idx="4">
                  <c:v>35.83</c:v>
                </c:pt>
                <c:pt idx="5">
                  <c:v>33.68</c:v>
                </c:pt>
                <c:pt idx="6">
                  <c:v>27.08</c:v>
                </c:pt>
                <c:pt idx="7">
                  <c:v>30.66</c:v>
                </c:pt>
                <c:pt idx="8">
                  <c:v>31.7</c:v>
                </c:pt>
                <c:pt idx="9">
                  <c:v>27.22</c:v>
                </c:pt>
                <c:pt idx="10">
                  <c:v>24.09</c:v>
                </c:pt>
                <c:pt idx="11">
                  <c:v>21.95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"2021/22"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17becf"/>
            </a:solidFill>
            <a:ln w="19080">
              <a:solidFill>
                <a:srgbClr val="17be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moisture'!$C$20:$N$20</c:f>
              <c:numCache>
                <c:formatCode>0.0</c:formatCode>
                <c:ptCount val="12"/>
                <c:pt idx="0">
                  <c:v>20.55</c:v>
                </c:pt>
                <c:pt idx="1">
                  <c:v>19.8</c:v>
                </c:pt>
                <c:pt idx="2">
                  <c:v>21.71</c:v>
                </c:pt>
                <c:pt idx="3">
                  <c:v>23.96</c:v>
                </c:pt>
                <c:pt idx="4">
                  <c:v>32.41</c:v>
                </c:pt>
                <c:pt idx="5">
                  <c:v>39.2</c:v>
                </c:pt>
                <c:pt idx="6">
                  <c:v>37.74</c:v>
                </c:pt>
                <c:pt idx="7">
                  <c:v>35.91</c:v>
                </c:pt>
                <c:pt idx="8">
                  <c:v>32.06</c:v>
                </c:pt>
                <c:pt idx="9">
                  <c:v>27.57</c:v>
                </c:pt>
                <c:pt idx="10">
                  <c:v>24.34</c:v>
                </c:pt>
                <c:pt idx="11">
                  <c:v>22.59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"2022/23"</c:f>
              <c:strCache>
                <c:ptCount val="1"/>
                <c:pt idx="0">
                  <c:v>2022/23</c:v>
                </c:pt>
              </c:strCache>
            </c:strRef>
          </c:tx>
          <c:spPr>
            <a:solidFill>
              <a:srgbClr val="bcbd22"/>
            </a:solidFill>
            <a:ln w="19080">
              <a:solidFill>
                <a:srgbClr val="bcbd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moisture'!$C$21:$N$21</c:f>
              <c:numCache>
                <c:formatCode>0.0</c:formatCode>
                <c:ptCount val="12"/>
                <c:pt idx="0">
                  <c:v>21.68</c:v>
                </c:pt>
                <c:pt idx="1">
                  <c:v>20.64</c:v>
                </c:pt>
                <c:pt idx="2">
                  <c:v>19.93</c:v>
                </c:pt>
                <c:pt idx="3">
                  <c:v>19.85</c:v>
                </c:pt>
                <c:pt idx="4">
                  <c:v>26.99</c:v>
                </c:pt>
                <c:pt idx="5">
                  <c:v>41.79</c:v>
                </c:pt>
                <c:pt idx="6">
                  <c:v>39.17</c:v>
                </c:pt>
                <c:pt idx="7">
                  <c:v>33.6</c:v>
                </c:pt>
                <c:pt idx="8">
                  <c:v>27.45</c:v>
                </c:pt>
                <c:pt idx="9">
                  <c:v>25.7</c:v>
                </c:pt>
                <c:pt idx="10">
                  <c:v>25.54</c:v>
                </c:pt>
                <c:pt idx="11">
                  <c:v>23.14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"La Niña average"</c:f>
              <c:strCache>
                <c:ptCount val="1"/>
                <c:pt idx="0">
                  <c:v>La Niña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moisture'!$C$29:$N$29</c:f>
              <c:numCache>
                <c:formatCode>0.0</c:formatCode>
                <c:ptCount val="12"/>
                <c:pt idx="0">
                  <c:v>23.35875</c:v>
                </c:pt>
                <c:pt idx="1">
                  <c:v>22.00875</c:v>
                </c:pt>
                <c:pt idx="2">
                  <c:v>21.22875</c:v>
                </c:pt>
                <c:pt idx="3">
                  <c:v>21.6825</c:v>
                </c:pt>
                <c:pt idx="4">
                  <c:v>27.9</c:v>
                </c:pt>
                <c:pt idx="5">
                  <c:v>35.69</c:v>
                </c:pt>
                <c:pt idx="6">
                  <c:v>33.99375</c:v>
                </c:pt>
                <c:pt idx="7">
                  <c:v>32.35</c:v>
                </c:pt>
                <c:pt idx="8">
                  <c:v>31.43375</c:v>
                </c:pt>
                <c:pt idx="9">
                  <c:v>31.06</c:v>
                </c:pt>
                <c:pt idx="10">
                  <c:v>28.4125</c:v>
                </c:pt>
                <c:pt idx="11">
                  <c:v>25.87375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600789"/>
        <c:axId val="24406438"/>
      </c:lineChart>
      <c:catAx>
        <c:axId val="12600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06438"/>
        <c:crosses val="autoZero"/>
        <c:auto val="1"/>
        <c:lblAlgn val="ctr"/>
        <c:lblOffset val="100"/>
        <c:noMultiLvlLbl val="0"/>
      </c:catAx>
      <c:valAx>
        <c:axId val="24406438"/>
        <c:scaling>
          <c:orientation val="minMax"/>
          <c:max val="45"/>
          <c:min val="1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00789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2a44"/>
                </a:solidFill>
                <a:latin typeface="Calibri"/>
              </a:defRPr>
            </a:pPr>
            <a:r>
              <a:rPr b="1" sz="1100" spc="-1" strike="noStrike">
                <a:solidFill>
                  <a:srgbClr val="1f2a44"/>
                </a:solidFill>
                <a:latin typeface="Calibri"/>
              </a:rPr>
              <a:t>Neutral (5 seasons) — Soil moisture 0-100 cm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"2012/13"</c:f>
              <c:strCache>
                <c:ptCount val="1"/>
                <c:pt idx="0">
                  <c:v>2012/13</c:v>
                </c:pt>
              </c:strCache>
            </c:strRef>
          </c:tx>
          <c:spPr>
            <a:solidFill>
              <a:srgbClr val="1f77b4"/>
            </a:solidFill>
            <a:ln w="19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moisture'!$C$11:$N$11</c:f>
              <c:numCache>
                <c:formatCode>0.0</c:formatCode>
                <c:ptCount val="12"/>
                <c:pt idx="0">
                  <c:v>22.03</c:v>
                </c:pt>
                <c:pt idx="1">
                  <c:v>22.51</c:v>
                </c:pt>
                <c:pt idx="2">
                  <c:v>21.98</c:v>
                </c:pt>
                <c:pt idx="3">
                  <c:v>20.67</c:v>
                </c:pt>
                <c:pt idx="4">
                  <c:v>28.57</c:v>
                </c:pt>
                <c:pt idx="5">
                  <c:v>29.53</c:v>
                </c:pt>
                <c:pt idx="6">
                  <c:v>26.7</c:v>
                </c:pt>
                <c:pt idx="7">
                  <c:v>28</c:v>
                </c:pt>
                <c:pt idx="8">
                  <c:v>24.14</c:v>
                </c:pt>
                <c:pt idx="9">
                  <c:v>26.64</c:v>
                </c:pt>
                <c:pt idx="10">
                  <c:v>24.57</c:v>
                </c:pt>
                <c:pt idx="11">
                  <c:v>24.34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"2013/14"</c:f>
              <c:strCache>
                <c:ptCount val="1"/>
                <c:pt idx="0">
                  <c:v>2013/14</c:v>
                </c:pt>
              </c:strCache>
            </c:strRef>
          </c:tx>
          <c:spPr>
            <a:solidFill>
              <a:srgbClr val="ff7f0e"/>
            </a:solidFill>
            <a:ln w="1908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moisture'!$C$12:$N$12</c:f>
              <c:numCache>
                <c:formatCode>0.0</c:formatCode>
                <c:ptCount val="12"/>
                <c:pt idx="0">
                  <c:v>22.66</c:v>
                </c:pt>
                <c:pt idx="1">
                  <c:v>21.54</c:v>
                </c:pt>
                <c:pt idx="2">
                  <c:v>20.82</c:v>
                </c:pt>
                <c:pt idx="3">
                  <c:v>21.09</c:v>
                </c:pt>
                <c:pt idx="4">
                  <c:v>22.49</c:v>
                </c:pt>
                <c:pt idx="5">
                  <c:v>34.85</c:v>
                </c:pt>
                <c:pt idx="6">
                  <c:v>35.1</c:v>
                </c:pt>
                <c:pt idx="7">
                  <c:v>30.26</c:v>
                </c:pt>
                <c:pt idx="8">
                  <c:v>27.98</c:v>
                </c:pt>
                <c:pt idx="9">
                  <c:v>29.42</c:v>
                </c:pt>
                <c:pt idx="10">
                  <c:v>25.62</c:v>
                </c:pt>
                <c:pt idx="11">
                  <c:v>27.07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"2016/17"</c:f>
              <c:strCache>
                <c:ptCount val="1"/>
                <c:pt idx="0">
                  <c:v>2016/17</c:v>
                </c:pt>
              </c:strCache>
            </c:strRef>
          </c:tx>
          <c:spPr>
            <a:solidFill>
              <a:srgbClr val="2ca02c"/>
            </a:solidFill>
            <a:ln w="19080">
              <a:solidFill>
                <a:srgbClr val="2ca0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moisture'!$C$15:$N$15</c:f>
              <c:numCache>
                <c:formatCode>0.0</c:formatCode>
                <c:ptCount val="12"/>
                <c:pt idx="0">
                  <c:v>19.12</c:v>
                </c:pt>
                <c:pt idx="1">
                  <c:v>18.51</c:v>
                </c:pt>
                <c:pt idx="2">
                  <c:v>18.01</c:v>
                </c:pt>
                <c:pt idx="3">
                  <c:v>19.84</c:v>
                </c:pt>
                <c:pt idx="4">
                  <c:v>25.12</c:v>
                </c:pt>
                <c:pt idx="5">
                  <c:v>30.86</c:v>
                </c:pt>
                <c:pt idx="6">
                  <c:v>25.04</c:v>
                </c:pt>
                <c:pt idx="7">
                  <c:v>25.84</c:v>
                </c:pt>
                <c:pt idx="8">
                  <c:v>23.24</c:v>
                </c:pt>
                <c:pt idx="9">
                  <c:v>22.88</c:v>
                </c:pt>
                <c:pt idx="10">
                  <c:v>22.06</c:v>
                </c:pt>
                <c:pt idx="11">
                  <c:v>22.72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"2024/25"</c:f>
              <c:strCache>
                <c:ptCount val="1"/>
                <c:pt idx="0">
                  <c:v>2024/25</c:v>
                </c:pt>
              </c:strCache>
            </c:strRef>
          </c:tx>
          <c:spPr>
            <a:solidFill>
              <a:srgbClr val="e377c2"/>
            </a:solidFill>
            <a:ln w="19080">
              <a:solidFill>
                <a:srgbClr val="e377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moisture'!$C$23:$N$23</c:f>
              <c:numCache>
                <c:formatCode>0.0</c:formatCode>
                <c:ptCount val="12"/>
                <c:pt idx="0">
                  <c:v>21.93</c:v>
                </c:pt>
                <c:pt idx="1">
                  <c:v>21.02</c:v>
                </c:pt>
                <c:pt idx="2">
                  <c:v>19.68</c:v>
                </c:pt>
                <c:pt idx="3">
                  <c:v>22.78</c:v>
                </c:pt>
                <c:pt idx="4">
                  <c:v>35.14</c:v>
                </c:pt>
                <c:pt idx="5">
                  <c:v>33.55</c:v>
                </c:pt>
                <c:pt idx="6">
                  <c:v>38.36</c:v>
                </c:pt>
                <c:pt idx="7">
                  <c:v>30.57</c:v>
                </c:pt>
                <c:pt idx="8">
                  <c:v>27.53</c:v>
                </c:pt>
                <c:pt idx="9">
                  <c:v>29.39</c:v>
                </c:pt>
                <c:pt idx="10">
                  <c:v>30.63</c:v>
                </c:pt>
                <c:pt idx="11">
                  <c:v>29.21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"2025/26"</c:f>
              <c:strCache>
                <c:ptCount val="1"/>
                <c:pt idx="0">
                  <c:v>2025/26</c:v>
                </c:pt>
              </c:strCache>
            </c:strRef>
          </c:tx>
          <c:spPr>
            <a:solidFill>
              <a:srgbClr val="7b3fa0"/>
            </a:solidFill>
            <a:ln w="19080">
              <a:solidFill>
                <a:srgbClr val="7b3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moisture'!$C$24:$N$24</c:f>
              <c:numCache>
                <c:formatCode>0.0</c:formatCode>
                <c:ptCount val="12"/>
                <c:pt idx="0">
                  <c:v>26.34</c:v>
                </c:pt>
                <c:pt idx="1">
                  <c:v>23.76</c:v>
                </c:pt>
                <c:pt idx="2">
                  <c:v>23.01</c:v>
                </c:pt>
                <c:pt idx="3">
                  <c:v>23.17</c:v>
                </c:pt>
                <c:pt idx="4">
                  <c:v>23.77</c:v>
                </c:pt>
                <c:pt idx="5">
                  <c:v>27.47</c:v>
                </c:pt>
                <c:pt idx="6">
                  <c:v>29.67</c:v>
                </c:pt>
                <c:pt idx="7">
                  <c:v>31.74</c:v>
                </c:pt>
                <c:pt idx="8">
                  <c:v>39.48</c:v>
                </c:pt>
                <c:pt idx="9">
                  <c:v>37.65</c:v>
                </c:pt>
                <c:pt idx="10">
                  <c:v>31.39</c:v>
                </c:pt>
                <c:pt idx="11">
                  <c:v>27.64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"Neutral average"</c:f>
              <c:strCache>
                <c:ptCount val="1"/>
                <c:pt idx="0">
                  <c:v>Neutral average</c:v>
                </c:pt>
              </c:strCache>
            </c:strRef>
          </c:tx>
          <c:spPr>
            <a:solidFill>
              <a:srgbClr val="1f2a44"/>
            </a:solidFill>
            <a:ln w="31680">
              <a:solidFill>
                <a:srgbClr val="1f2a44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'Soil moisture'!$C$4:$N$4</c:f>
              <c:multiLvlStrCache>
                <c:ptCount val="1"/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</c:multiLvlStrCache>
            </c:multiLvlStrRef>
          </c:cat>
          <c:val>
            <c:numRef>
              <c:f>'Soil moisture'!$C$30:$N$30</c:f>
              <c:numCache>
                <c:formatCode>0.0</c:formatCode>
                <c:ptCount val="12"/>
                <c:pt idx="0">
                  <c:v>22.416</c:v>
                </c:pt>
                <c:pt idx="1">
                  <c:v>21.468</c:v>
                </c:pt>
                <c:pt idx="2">
                  <c:v>20.7</c:v>
                </c:pt>
                <c:pt idx="3">
                  <c:v>21.51</c:v>
                </c:pt>
                <c:pt idx="4">
                  <c:v>27.018</c:v>
                </c:pt>
                <c:pt idx="5">
                  <c:v>31.252</c:v>
                </c:pt>
                <c:pt idx="6">
                  <c:v>30.974</c:v>
                </c:pt>
                <c:pt idx="7">
                  <c:v>29.282</c:v>
                </c:pt>
                <c:pt idx="8">
                  <c:v>28.474</c:v>
                </c:pt>
                <c:pt idx="9">
                  <c:v>29.196</c:v>
                </c:pt>
                <c:pt idx="10">
                  <c:v>26.854</c:v>
                </c:pt>
                <c:pt idx="11">
                  <c:v>26.196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255031"/>
        <c:axId val="6044871"/>
      </c:lineChart>
      <c:catAx>
        <c:axId val="1425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4871"/>
        <c:crosses val="autoZero"/>
        <c:auto val="1"/>
        <c:lblAlgn val="ctr"/>
        <c:lblOffset val="100"/>
        <c:noMultiLvlLbl val="0"/>
      </c:catAx>
      <c:valAx>
        <c:axId val="6044871"/>
        <c:scaling>
          <c:orientation val="minMax"/>
          <c:max val="45"/>
          <c:min val="1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vol.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55031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6</xdr:col>
      <xdr:colOff>512280</xdr:colOff>
      <xdr:row>18</xdr:row>
      <xdr:rowOff>64440</xdr:rowOff>
    </xdr:to>
    <xdr:graphicFrame>
      <xdr:nvGraphicFramePr>
        <xdr:cNvPr id="0" name="Chart 1"/>
        <xdr:cNvGraphicFramePr/>
      </xdr:nvGraphicFramePr>
      <xdr:xfrm>
        <a:off x="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15</xdr:col>
      <xdr:colOff>512280</xdr:colOff>
      <xdr:row>18</xdr:row>
      <xdr:rowOff>64440</xdr:rowOff>
    </xdr:to>
    <xdr:graphicFrame>
      <xdr:nvGraphicFramePr>
        <xdr:cNvPr id="1" name="Chart 2"/>
        <xdr:cNvGraphicFramePr/>
      </xdr:nvGraphicFramePr>
      <xdr:xfrm>
        <a:off x="760104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2</xdr:row>
      <xdr:rowOff>160920</xdr:rowOff>
    </xdr:from>
    <xdr:to>
      <xdr:col>24</xdr:col>
      <xdr:colOff>512640</xdr:colOff>
      <xdr:row>18</xdr:row>
      <xdr:rowOff>64440</xdr:rowOff>
    </xdr:to>
    <xdr:graphicFrame>
      <xdr:nvGraphicFramePr>
        <xdr:cNvPr id="2" name="Chart 3"/>
        <xdr:cNvGraphicFramePr/>
      </xdr:nvGraphicFramePr>
      <xdr:xfrm>
        <a:off x="15202080" y="571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6</xdr:col>
      <xdr:colOff>512280</xdr:colOff>
      <xdr:row>36</xdr:row>
      <xdr:rowOff>64440</xdr:rowOff>
    </xdr:to>
    <xdr:graphicFrame>
      <xdr:nvGraphicFramePr>
        <xdr:cNvPr id="3" name="Chart 4"/>
        <xdr:cNvGraphicFramePr/>
      </xdr:nvGraphicFramePr>
      <xdr:xfrm>
        <a:off x="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15</xdr:col>
      <xdr:colOff>512280</xdr:colOff>
      <xdr:row>36</xdr:row>
      <xdr:rowOff>64440</xdr:rowOff>
    </xdr:to>
    <xdr:graphicFrame>
      <xdr:nvGraphicFramePr>
        <xdr:cNvPr id="4" name="Chart 5"/>
        <xdr:cNvGraphicFramePr/>
      </xdr:nvGraphicFramePr>
      <xdr:xfrm>
        <a:off x="760104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20</xdr:row>
      <xdr:rowOff>160920</xdr:rowOff>
    </xdr:from>
    <xdr:to>
      <xdr:col>24</xdr:col>
      <xdr:colOff>512640</xdr:colOff>
      <xdr:row>36</xdr:row>
      <xdr:rowOff>64440</xdr:rowOff>
    </xdr:to>
    <xdr:graphicFrame>
      <xdr:nvGraphicFramePr>
        <xdr:cNvPr id="5" name="Chart 6"/>
        <xdr:cNvGraphicFramePr/>
      </xdr:nvGraphicFramePr>
      <xdr:xfrm>
        <a:off x="15202080" y="4000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38</xdr:row>
      <xdr:rowOff>160920</xdr:rowOff>
    </xdr:from>
    <xdr:to>
      <xdr:col>6</xdr:col>
      <xdr:colOff>512280</xdr:colOff>
      <xdr:row>54</xdr:row>
      <xdr:rowOff>64440</xdr:rowOff>
    </xdr:to>
    <xdr:graphicFrame>
      <xdr:nvGraphicFramePr>
        <xdr:cNvPr id="6" name="Chart 7"/>
        <xdr:cNvGraphicFramePr/>
      </xdr:nvGraphicFramePr>
      <xdr:xfrm>
        <a:off x="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38</xdr:row>
      <xdr:rowOff>160920</xdr:rowOff>
    </xdr:from>
    <xdr:to>
      <xdr:col>15</xdr:col>
      <xdr:colOff>512280</xdr:colOff>
      <xdr:row>54</xdr:row>
      <xdr:rowOff>64440</xdr:rowOff>
    </xdr:to>
    <xdr:graphicFrame>
      <xdr:nvGraphicFramePr>
        <xdr:cNvPr id="7" name="Chart 8"/>
        <xdr:cNvGraphicFramePr/>
      </xdr:nvGraphicFramePr>
      <xdr:xfrm>
        <a:off x="760104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38</xdr:row>
      <xdr:rowOff>160920</xdr:rowOff>
    </xdr:from>
    <xdr:to>
      <xdr:col>24</xdr:col>
      <xdr:colOff>512640</xdr:colOff>
      <xdr:row>54</xdr:row>
      <xdr:rowOff>64440</xdr:rowOff>
    </xdr:to>
    <xdr:graphicFrame>
      <xdr:nvGraphicFramePr>
        <xdr:cNvPr id="8" name="Chart 9"/>
        <xdr:cNvGraphicFramePr/>
      </xdr:nvGraphicFramePr>
      <xdr:xfrm>
        <a:off x="15202080" y="7429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56</xdr:row>
      <xdr:rowOff>160920</xdr:rowOff>
    </xdr:from>
    <xdr:to>
      <xdr:col>6</xdr:col>
      <xdr:colOff>512280</xdr:colOff>
      <xdr:row>72</xdr:row>
      <xdr:rowOff>64440</xdr:rowOff>
    </xdr:to>
    <xdr:graphicFrame>
      <xdr:nvGraphicFramePr>
        <xdr:cNvPr id="9" name="Chart 10"/>
        <xdr:cNvGraphicFramePr/>
      </xdr:nvGraphicFramePr>
      <xdr:xfrm>
        <a:off x="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56</xdr:row>
      <xdr:rowOff>160920</xdr:rowOff>
    </xdr:from>
    <xdr:to>
      <xdr:col>15</xdr:col>
      <xdr:colOff>512280</xdr:colOff>
      <xdr:row>72</xdr:row>
      <xdr:rowOff>64440</xdr:rowOff>
    </xdr:to>
    <xdr:graphicFrame>
      <xdr:nvGraphicFramePr>
        <xdr:cNvPr id="10" name="Chart 11"/>
        <xdr:cNvGraphicFramePr/>
      </xdr:nvGraphicFramePr>
      <xdr:xfrm>
        <a:off x="760104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18</xdr:col>
      <xdr:colOff>0</xdr:colOff>
      <xdr:row>56</xdr:row>
      <xdr:rowOff>160920</xdr:rowOff>
    </xdr:from>
    <xdr:to>
      <xdr:col>24</xdr:col>
      <xdr:colOff>512640</xdr:colOff>
      <xdr:row>72</xdr:row>
      <xdr:rowOff>64440</xdr:rowOff>
    </xdr:to>
    <xdr:graphicFrame>
      <xdr:nvGraphicFramePr>
        <xdr:cNvPr id="11" name="Chart 12"/>
        <xdr:cNvGraphicFramePr/>
      </xdr:nvGraphicFramePr>
      <xdr:xfrm>
        <a:off x="15202080" y="10858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74</xdr:row>
      <xdr:rowOff>160920</xdr:rowOff>
    </xdr:from>
    <xdr:to>
      <xdr:col>6</xdr:col>
      <xdr:colOff>512280</xdr:colOff>
      <xdr:row>90</xdr:row>
      <xdr:rowOff>64440</xdr:rowOff>
    </xdr:to>
    <xdr:graphicFrame>
      <xdr:nvGraphicFramePr>
        <xdr:cNvPr id="12" name="Chart 13"/>
        <xdr:cNvGraphicFramePr/>
      </xdr:nvGraphicFramePr>
      <xdr:xfrm>
        <a:off x="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74</xdr:row>
      <xdr:rowOff>160920</xdr:rowOff>
    </xdr:from>
    <xdr:to>
      <xdr:col>15</xdr:col>
      <xdr:colOff>512280</xdr:colOff>
      <xdr:row>90</xdr:row>
      <xdr:rowOff>64440</xdr:rowOff>
    </xdr:to>
    <xdr:graphicFrame>
      <xdr:nvGraphicFramePr>
        <xdr:cNvPr id="13" name="Chart 14"/>
        <xdr:cNvGraphicFramePr/>
      </xdr:nvGraphicFramePr>
      <xdr:xfrm>
        <a:off x="760104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18</xdr:col>
      <xdr:colOff>0</xdr:colOff>
      <xdr:row>74</xdr:row>
      <xdr:rowOff>160920</xdr:rowOff>
    </xdr:from>
    <xdr:to>
      <xdr:col>24</xdr:col>
      <xdr:colOff>512640</xdr:colOff>
      <xdr:row>90</xdr:row>
      <xdr:rowOff>64440</xdr:rowOff>
    </xdr:to>
    <xdr:graphicFrame>
      <xdr:nvGraphicFramePr>
        <xdr:cNvPr id="14" name="Chart 15"/>
        <xdr:cNvGraphicFramePr/>
      </xdr:nvGraphicFramePr>
      <xdr:xfrm>
        <a:off x="15202080" y="14287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0</xdr:colOff>
      <xdr:row>92</xdr:row>
      <xdr:rowOff>160920</xdr:rowOff>
    </xdr:from>
    <xdr:to>
      <xdr:col>6</xdr:col>
      <xdr:colOff>512280</xdr:colOff>
      <xdr:row>108</xdr:row>
      <xdr:rowOff>64440</xdr:rowOff>
    </xdr:to>
    <xdr:graphicFrame>
      <xdr:nvGraphicFramePr>
        <xdr:cNvPr id="15" name="Chart 16"/>
        <xdr:cNvGraphicFramePr/>
      </xdr:nvGraphicFramePr>
      <xdr:xfrm>
        <a:off x="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</xdr:col>
      <xdr:colOff>0</xdr:colOff>
      <xdr:row>92</xdr:row>
      <xdr:rowOff>160920</xdr:rowOff>
    </xdr:from>
    <xdr:to>
      <xdr:col>15</xdr:col>
      <xdr:colOff>512280</xdr:colOff>
      <xdr:row>108</xdr:row>
      <xdr:rowOff>64440</xdr:rowOff>
    </xdr:to>
    <xdr:graphicFrame>
      <xdr:nvGraphicFramePr>
        <xdr:cNvPr id="16" name="Chart 17"/>
        <xdr:cNvGraphicFramePr/>
      </xdr:nvGraphicFramePr>
      <xdr:xfrm>
        <a:off x="760104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18</xdr:col>
      <xdr:colOff>0</xdr:colOff>
      <xdr:row>92</xdr:row>
      <xdr:rowOff>160920</xdr:rowOff>
    </xdr:from>
    <xdr:to>
      <xdr:col>24</xdr:col>
      <xdr:colOff>512640</xdr:colOff>
      <xdr:row>108</xdr:row>
      <xdr:rowOff>64440</xdr:rowOff>
    </xdr:to>
    <xdr:graphicFrame>
      <xdr:nvGraphicFramePr>
        <xdr:cNvPr id="17" name="Chart 18"/>
        <xdr:cNvGraphicFramePr/>
      </xdr:nvGraphicFramePr>
      <xdr:xfrm>
        <a:off x="15202080" y="1771668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7" min="1" style="0" width="9.5"/>
  </cols>
  <sheetData>
    <row r="1" customFormat="false" ht="17.35" hidden="false" customHeight="false" outlineLevel="0" collapsed="false">
      <c r="A1" s="4" t="s">
        <v>21</v>
      </c>
    </row>
    <row r="2" customFormat="false" ht="15" hidden="false" customHeight="false" outlineLevel="0" collapsed="false">
      <c r="A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10" min="4" style="0" width="14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3" customFormat="false" ht="15" hidden="false" customHeight="false" outlineLevel="0" collapsed="false">
      <c r="D3" s="6" t="s">
        <v>25</v>
      </c>
      <c r="E3" s="6" t="s">
        <v>26</v>
      </c>
      <c r="F3" s="6" t="s">
        <v>27</v>
      </c>
      <c r="G3" s="6" t="s">
        <v>28</v>
      </c>
      <c r="H3" s="6" t="s">
        <v>26</v>
      </c>
      <c r="I3" s="6" t="s">
        <v>26</v>
      </c>
      <c r="J3" s="6" t="s">
        <v>26</v>
      </c>
    </row>
    <row r="4" customFormat="false" ht="42" hidden="false" customHeight="tru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</row>
    <row r="5" customFormat="false" ht="15" hidden="false" customHeight="false" outlineLevel="0" collapsed="false">
      <c r="A5" s="8" t="n">
        <v>38899</v>
      </c>
      <c r="B5" s="9" t="s">
        <v>39</v>
      </c>
      <c r="C5" s="9" t="str">
        <f aca="false">INDEX(ENSO!$C$5:$C$25,MATCH(B5,ENSO!$A$5:$A$25,0))</f>
        <v>El Niño</v>
      </c>
      <c r="D5" s="10" t="n">
        <v>20.53</v>
      </c>
      <c r="E5" s="10" t="n">
        <v>16.55</v>
      </c>
      <c r="F5" s="10" t="n">
        <v>26.75</v>
      </c>
      <c r="G5" s="11" t="n">
        <v>56.48</v>
      </c>
      <c r="H5" s="11" t="n">
        <v>78.18</v>
      </c>
      <c r="I5" s="10" t="n">
        <v>26.67</v>
      </c>
      <c r="J5" s="10" t="n">
        <v>23.19</v>
      </c>
    </row>
    <row r="6" customFormat="false" ht="15" hidden="false" customHeight="false" outlineLevel="0" collapsed="false">
      <c r="A6" s="12" t="n">
        <v>38930</v>
      </c>
      <c r="B6" s="13" t="s">
        <v>39</v>
      </c>
      <c r="C6" s="13" t="str">
        <f aca="false">INDEX(ENSO!$C$5:$C$25,MATCH(B6,ENSO!$A$5:$A$25,0))</f>
        <v>El Niño</v>
      </c>
      <c r="D6" s="14" t="n">
        <v>21.87</v>
      </c>
      <c r="E6" s="14" t="n">
        <v>18.46</v>
      </c>
      <c r="F6" s="14" t="n">
        <v>27.58</v>
      </c>
      <c r="G6" s="15" t="n">
        <v>30.43</v>
      </c>
      <c r="H6" s="15" t="n">
        <v>77.8</v>
      </c>
      <c r="I6" s="14" t="n">
        <v>24.76</v>
      </c>
      <c r="J6" s="14" t="n">
        <v>22.39</v>
      </c>
    </row>
    <row r="7" customFormat="false" ht="15" hidden="false" customHeight="false" outlineLevel="0" collapsed="false">
      <c r="A7" s="8" t="n">
        <v>38961</v>
      </c>
      <c r="B7" s="9" t="s">
        <v>39</v>
      </c>
      <c r="C7" s="9" t="str">
        <f aca="false">INDEX(ENSO!$C$5:$C$25,MATCH(B7,ENSO!$A$5:$A$25,0))</f>
        <v>El Niño</v>
      </c>
      <c r="D7" s="10" t="n">
        <v>22.13</v>
      </c>
      <c r="E7" s="10" t="n">
        <v>18.72</v>
      </c>
      <c r="F7" s="10" t="n">
        <v>27.54</v>
      </c>
      <c r="G7" s="11" t="n">
        <v>87.11</v>
      </c>
      <c r="H7" s="11" t="n">
        <v>75.71</v>
      </c>
      <c r="I7" s="10" t="n">
        <v>24.37</v>
      </c>
      <c r="J7" s="10" t="n">
        <v>26.04</v>
      </c>
    </row>
    <row r="8" customFormat="false" ht="15" hidden="false" customHeight="false" outlineLevel="0" collapsed="false">
      <c r="A8" s="12" t="n">
        <v>38991</v>
      </c>
      <c r="B8" s="13" t="s">
        <v>39</v>
      </c>
      <c r="C8" s="13" t="str">
        <f aca="false">INDEX(ENSO!$C$5:$C$25,MATCH(B8,ENSO!$A$5:$A$25,0))</f>
        <v>El Niño</v>
      </c>
      <c r="D8" s="14" t="n">
        <v>23.24</v>
      </c>
      <c r="E8" s="14" t="n">
        <v>20.66</v>
      </c>
      <c r="F8" s="14" t="n">
        <v>27.5</v>
      </c>
      <c r="G8" s="15" t="n">
        <v>183.92</v>
      </c>
      <c r="H8" s="15" t="n">
        <v>80.61</v>
      </c>
      <c r="I8" s="14" t="n">
        <v>26.55</v>
      </c>
      <c r="J8" s="14" t="n">
        <v>33.23</v>
      </c>
    </row>
    <row r="9" customFormat="false" ht="15" hidden="false" customHeight="false" outlineLevel="0" collapsed="false">
      <c r="A9" s="8" t="n">
        <v>39022</v>
      </c>
      <c r="B9" s="9" t="s">
        <v>39</v>
      </c>
      <c r="C9" s="9" t="str">
        <f aca="false">INDEX(ENSO!$C$5:$C$25,MATCH(B9,ENSO!$A$5:$A$25,0))</f>
        <v>El Niño</v>
      </c>
      <c r="D9" s="10" t="n">
        <v>23.79</v>
      </c>
      <c r="E9" s="10" t="n">
        <v>21.34</v>
      </c>
      <c r="F9" s="10" t="n">
        <v>28.4</v>
      </c>
      <c r="G9" s="11" t="n">
        <v>313.24</v>
      </c>
      <c r="H9" s="11" t="n">
        <v>83.79</v>
      </c>
      <c r="I9" s="10" t="n">
        <v>34.52</v>
      </c>
      <c r="J9" s="10" t="n">
        <v>37.72</v>
      </c>
    </row>
    <row r="10" customFormat="false" ht="15" hidden="false" customHeight="false" outlineLevel="0" collapsed="false">
      <c r="A10" s="12" t="n">
        <v>39052</v>
      </c>
      <c r="B10" s="13" t="s">
        <v>39</v>
      </c>
      <c r="C10" s="13" t="str">
        <f aca="false">INDEX(ENSO!$C$5:$C$25,MATCH(B10,ENSO!$A$5:$A$25,0))</f>
        <v>El Niño</v>
      </c>
      <c r="D10" s="14" t="n">
        <v>24.6</v>
      </c>
      <c r="E10" s="14" t="n">
        <v>22.05</v>
      </c>
      <c r="F10" s="14" t="n">
        <v>29.73</v>
      </c>
      <c r="G10" s="15" t="n">
        <v>259.84</v>
      </c>
      <c r="H10" s="15" t="n">
        <v>83.86</v>
      </c>
      <c r="I10" s="14" t="n">
        <v>39.57</v>
      </c>
      <c r="J10" s="14" t="n">
        <v>37.83</v>
      </c>
    </row>
    <row r="11" customFormat="false" ht="15" hidden="false" customHeight="false" outlineLevel="0" collapsed="false">
      <c r="A11" s="8" t="n">
        <v>39083</v>
      </c>
      <c r="B11" s="9" t="s">
        <v>39</v>
      </c>
      <c r="C11" s="9" t="str">
        <f aca="false">INDEX(ENSO!$C$5:$C$25,MATCH(B11,ENSO!$A$5:$A$25,0))</f>
        <v>El Niño</v>
      </c>
      <c r="D11" s="10" t="n">
        <v>26.05</v>
      </c>
      <c r="E11" s="10" t="n">
        <v>23.12</v>
      </c>
      <c r="F11" s="10" t="n">
        <v>32.22</v>
      </c>
      <c r="G11" s="11" t="n">
        <v>124.89</v>
      </c>
      <c r="H11" s="11" t="n">
        <v>80.45</v>
      </c>
      <c r="I11" s="10" t="n">
        <v>35.84</v>
      </c>
      <c r="J11" s="10" t="n">
        <v>34.86</v>
      </c>
    </row>
    <row r="12" customFormat="false" ht="15" hidden="false" customHeight="false" outlineLevel="0" collapsed="false">
      <c r="A12" s="12" t="n">
        <v>39114</v>
      </c>
      <c r="B12" s="13" t="s">
        <v>39</v>
      </c>
      <c r="C12" s="13" t="str">
        <f aca="false">INDEX(ENSO!$C$5:$C$25,MATCH(B12,ENSO!$A$5:$A$25,0))</f>
        <v>El Niño</v>
      </c>
      <c r="D12" s="14" t="n">
        <v>24.92</v>
      </c>
      <c r="E12" s="14" t="n">
        <v>22.17</v>
      </c>
      <c r="F12" s="14" t="n">
        <v>30.62</v>
      </c>
      <c r="G12" s="15" t="n">
        <v>269.29</v>
      </c>
      <c r="H12" s="15" t="n">
        <v>84.9</v>
      </c>
      <c r="I12" s="14" t="n">
        <v>39.64</v>
      </c>
      <c r="J12" s="14" t="n">
        <v>39.53</v>
      </c>
    </row>
    <row r="13" customFormat="false" ht="15" hidden="false" customHeight="false" outlineLevel="0" collapsed="false">
      <c r="A13" s="8" t="n">
        <v>39142</v>
      </c>
      <c r="B13" s="9" t="s">
        <v>39</v>
      </c>
      <c r="C13" s="9" t="str">
        <f aca="false">INDEX(ENSO!$C$5:$C$25,MATCH(B13,ENSO!$A$5:$A$25,0))</f>
        <v>El Niño</v>
      </c>
      <c r="D13" s="10" t="n">
        <v>25.61</v>
      </c>
      <c r="E13" s="10" t="n">
        <v>22.33</v>
      </c>
      <c r="F13" s="10" t="n">
        <v>31.86</v>
      </c>
      <c r="G13" s="11" t="n">
        <v>29.84</v>
      </c>
      <c r="H13" s="11" t="n">
        <v>81.6</v>
      </c>
      <c r="I13" s="10" t="n">
        <v>34.98</v>
      </c>
      <c r="J13" s="10" t="n">
        <v>30.51</v>
      </c>
    </row>
    <row r="14" customFormat="false" ht="15" hidden="false" customHeight="false" outlineLevel="0" collapsed="false">
      <c r="A14" s="12" t="n">
        <v>39173</v>
      </c>
      <c r="B14" s="13" t="s">
        <v>39</v>
      </c>
      <c r="C14" s="13" t="str">
        <f aca="false">INDEX(ENSO!$C$5:$C$25,MATCH(B14,ENSO!$A$5:$A$25,0))</f>
        <v>El Niño</v>
      </c>
      <c r="D14" s="14" t="n">
        <v>24.67</v>
      </c>
      <c r="E14" s="14" t="n">
        <v>21.86</v>
      </c>
      <c r="F14" s="14" t="n">
        <v>30.73</v>
      </c>
      <c r="G14" s="15" t="n">
        <v>159.86</v>
      </c>
      <c r="H14" s="15" t="n">
        <v>84.31</v>
      </c>
      <c r="I14" s="14" t="n">
        <v>31.25</v>
      </c>
      <c r="J14" s="14" t="n">
        <v>32.87</v>
      </c>
    </row>
    <row r="15" customFormat="false" ht="15" hidden="false" customHeight="false" outlineLevel="0" collapsed="false">
      <c r="A15" s="8" t="n">
        <v>39203</v>
      </c>
      <c r="B15" s="9" t="s">
        <v>39</v>
      </c>
      <c r="C15" s="9" t="str">
        <f aca="false">INDEX(ENSO!$C$5:$C$25,MATCH(B15,ENSO!$A$5:$A$25,0))</f>
        <v>El Niño</v>
      </c>
      <c r="D15" s="10" t="n">
        <v>22.65</v>
      </c>
      <c r="E15" s="10" t="n">
        <v>19.45</v>
      </c>
      <c r="F15" s="10" t="n">
        <v>28.34</v>
      </c>
      <c r="G15" s="11" t="n">
        <v>21.76</v>
      </c>
      <c r="H15" s="11" t="n">
        <v>78.04</v>
      </c>
      <c r="I15" s="10" t="n">
        <v>28.78</v>
      </c>
      <c r="J15" s="10" t="n">
        <v>26.74</v>
      </c>
    </row>
    <row r="16" customFormat="false" ht="15" hidden="false" customHeight="false" outlineLevel="0" collapsed="false">
      <c r="A16" s="12" t="n">
        <v>39234</v>
      </c>
      <c r="B16" s="13" t="s">
        <v>39</v>
      </c>
      <c r="C16" s="13" t="str">
        <f aca="false">INDEX(ENSO!$C$5:$C$25,MATCH(B16,ENSO!$A$5:$A$25,0))</f>
        <v>El Niño</v>
      </c>
      <c r="D16" s="14" t="n">
        <v>21.54</v>
      </c>
      <c r="E16" s="14" t="n">
        <v>17.58</v>
      </c>
      <c r="F16" s="14" t="n">
        <v>27.81</v>
      </c>
      <c r="G16" s="15" t="n">
        <v>16.66</v>
      </c>
      <c r="H16" s="15" t="n">
        <v>78.54</v>
      </c>
      <c r="I16" s="14" t="n">
        <v>25.62</v>
      </c>
      <c r="J16" s="14" t="n">
        <v>20.51</v>
      </c>
    </row>
    <row r="17" customFormat="false" ht="15" hidden="false" customHeight="false" outlineLevel="0" collapsed="false">
      <c r="A17" s="8" t="n">
        <v>39264</v>
      </c>
      <c r="B17" s="9" t="s">
        <v>40</v>
      </c>
      <c r="C17" s="9" t="str">
        <f aca="false">INDEX(ENSO!$C$5:$C$25,MATCH(B17,ENSO!$A$5:$A$25,0))</f>
        <v>La Niña</v>
      </c>
      <c r="D17" s="10" t="n">
        <v>21.88</v>
      </c>
      <c r="E17" s="10" t="n">
        <v>18.41</v>
      </c>
      <c r="F17" s="10" t="n">
        <v>27.8</v>
      </c>
      <c r="G17" s="11" t="n">
        <v>18.98</v>
      </c>
      <c r="H17" s="11" t="n">
        <v>76.59</v>
      </c>
      <c r="I17" s="10" t="n">
        <v>23.62</v>
      </c>
      <c r="J17" s="10" t="n">
        <v>18.58</v>
      </c>
    </row>
    <row r="18" customFormat="false" ht="15" hidden="false" customHeight="false" outlineLevel="0" collapsed="false">
      <c r="A18" s="12" t="n">
        <v>39295</v>
      </c>
      <c r="B18" s="13" t="s">
        <v>40</v>
      </c>
      <c r="C18" s="13" t="str">
        <f aca="false">INDEX(ENSO!$C$5:$C$25,MATCH(B18,ENSO!$A$5:$A$25,0))</f>
        <v>La Niña</v>
      </c>
      <c r="D18" s="14" t="n">
        <v>21.24</v>
      </c>
      <c r="E18" s="14" t="n">
        <v>17.41</v>
      </c>
      <c r="F18" s="14" t="n">
        <v>27.26</v>
      </c>
      <c r="G18" s="15" t="n">
        <v>40.17</v>
      </c>
      <c r="H18" s="15" t="n">
        <v>76.66</v>
      </c>
      <c r="I18" s="14" t="n">
        <v>22.75</v>
      </c>
      <c r="J18" s="14" t="n">
        <v>21.15</v>
      </c>
    </row>
    <row r="19" customFormat="false" ht="15" hidden="false" customHeight="false" outlineLevel="0" collapsed="false">
      <c r="A19" s="8" t="n">
        <v>39326</v>
      </c>
      <c r="B19" s="9" t="s">
        <v>40</v>
      </c>
      <c r="C19" s="9" t="str">
        <f aca="false">INDEX(ENSO!$C$5:$C$25,MATCH(B19,ENSO!$A$5:$A$25,0))</f>
        <v>La Niña</v>
      </c>
      <c r="D19" s="10" t="n">
        <v>21.78</v>
      </c>
      <c r="E19" s="10" t="n">
        <v>18.14</v>
      </c>
      <c r="F19" s="10" t="n">
        <v>27.26</v>
      </c>
      <c r="G19" s="11" t="n">
        <v>48.62</v>
      </c>
      <c r="H19" s="11" t="n">
        <v>74.32</v>
      </c>
      <c r="I19" s="10" t="n">
        <v>22.77</v>
      </c>
      <c r="J19" s="10" t="n">
        <v>23.99</v>
      </c>
    </row>
    <row r="20" customFormat="false" ht="15" hidden="false" customHeight="false" outlineLevel="0" collapsed="false">
      <c r="A20" s="12" t="n">
        <v>39356</v>
      </c>
      <c r="B20" s="13" t="s">
        <v>40</v>
      </c>
      <c r="C20" s="13" t="str">
        <f aca="false">INDEX(ENSO!$C$5:$C$25,MATCH(B20,ENSO!$A$5:$A$25,0))</f>
        <v>La Niña</v>
      </c>
      <c r="D20" s="14" t="n">
        <v>23.89</v>
      </c>
      <c r="E20" s="14" t="n">
        <v>20.23</v>
      </c>
      <c r="F20" s="14" t="n">
        <v>29.72</v>
      </c>
      <c r="G20" s="15" t="n">
        <v>30.65</v>
      </c>
      <c r="H20" s="15" t="n">
        <v>72.83</v>
      </c>
      <c r="I20" s="14" t="n">
        <v>21.76</v>
      </c>
      <c r="J20" s="14" t="n">
        <v>21.65</v>
      </c>
    </row>
    <row r="21" customFormat="false" ht="15" hidden="false" customHeight="false" outlineLevel="0" collapsed="false">
      <c r="A21" s="8" t="n">
        <v>39387</v>
      </c>
      <c r="B21" s="9" t="s">
        <v>40</v>
      </c>
      <c r="C21" s="9" t="str">
        <f aca="false">INDEX(ENSO!$C$5:$C$25,MATCH(B21,ENSO!$A$5:$A$25,0))</f>
        <v>La Niña</v>
      </c>
      <c r="D21" s="10" t="n">
        <v>25.33</v>
      </c>
      <c r="E21" s="10" t="n">
        <v>21.87</v>
      </c>
      <c r="F21" s="10" t="n">
        <v>31.69</v>
      </c>
      <c r="G21" s="11" t="n">
        <v>118.59</v>
      </c>
      <c r="H21" s="11" t="n">
        <v>71.5</v>
      </c>
      <c r="I21" s="10" t="n">
        <v>21.17</v>
      </c>
      <c r="J21" s="10" t="n">
        <v>22.65</v>
      </c>
    </row>
    <row r="22" customFormat="false" ht="15" hidden="false" customHeight="false" outlineLevel="0" collapsed="false">
      <c r="A22" s="12" t="n">
        <v>39417</v>
      </c>
      <c r="B22" s="13" t="s">
        <v>40</v>
      </c>
      <c r="C22" s="13" t="str">
        <f aca="false">INDEX(ENSO!$C$5:$C$25,MATCH(B22,ENSO!$A$5:$A$25,0))</f>
        <v>La Niña</v>
      </c>
      <c r="D22" s="14" t="n">
        <v>25.35</v>
      </c>
      <c r="E22" s="14" t="n">
        <v>22.07</v>
      </c>
      <c r="F22" s="14" t="n">
        <v>31.38</v>
      </c>
      <c r="G22" s="15" t="n">
        <v>100.75</v>
      </c>
      <c r="H22" s="15" t="n">
        <v>77.79</v>
      </c>
      <c r="I22" s="14" t="n">
        <v>26.85</v>
      </c>
      <c r="J22" s="14" t="n">
        <v>33.43</v>
      </c>
    </row>
    <row r="23" customFormat="false" ht="15" hidden="false" customHeight="false" outlineLevel="0" collapsed="false">
      <c r="A23" s="8" t="n">
        <v>39448</v>
      </c>
      <c r="B23" s="9" t="s">
        <v>40</v>
      </c>
      <c r="C23" s="9" t="str">
        <f aca="false">INDEX(ENSO!$C$5:$C$25,MATCH(B23,ENSO!$A$5:$A$25,0))</f>
        <v>La Niña</v>
      </c>
      <c r="D23" s="10" t="n">
        <v>25.16</v>
      </c>
      <c r="E23" s="10" t="n">
        <v>22.13</v>
      </c>
      <c r="F23" s="10" t="n">
        <v>31.51</v>
      </c>
      <c r="G23" s="11" t="n">
        <v>162.86</v>
      </c>
      <c r="H23" s="11" t="n">
        <v>78.44</v>
      </c>
      <c r="I23" s="10" t="n">
        <v>25.75</v>
      </c>
      <c r="J23" s="10" t="n">
        <v>30.57</v>
      </c>
    </row>
    <row r="24" customFormat="false" ht="15" hidden="false" customHeight="false" outlineLevel="0" collapsed="false">
      <c r="A24" s="12" t="n">
        <v>39479</v>
      </c>
      <c r="B24" s="13" t="s">
        <v>40</v>
      </c>
      <c r="C24" s="13" t="str">
        <f aca="false">INDEX(ENSO!$C$5:$C$25,MATCH(B24,ENSO!$A$5:$A$25,0))</f>
        <v>La Niña</v>
      </c>
      <c r="D24" s="14" t="n">
        <v>25.75</v>
      </c>
      <c r="E24" s="14" t="n">
        <v>22.66</v>
      </c>
      <c r="F24" s="14" t="n">
        <v>32.17</v>
      </c>
      <c r="G24" s="15" t="n">
        <v>185.82</v>
      </c>
      <c r="H24" s="15" t="n">
        <v>80.39</v>
      </c>
      <c r="I24" s="14" t="n">
        <v>29.48</v>
      </c>
      <c r="J24" s="14" t="n">
        <v>33.44</v>
      </c>
    </row>
    <row r="25" customFormat="false" ht="15" hidden="false" customHeight="false" outlineLevel="0" collapsed="false">
      <c r="A25" s="8" t="n">
        <v>39508</v>
      </c>
      <c r="B25" s="9" t="s">
        <v>40</v>
      </c>
      <c r="C25" s="9" t="str">
        <f aca="false">INDEX(ENSO!$C$5:$C$25,MATCH(B25,ENSO!$A$5:$A$25,0))</f>
        <v>La Niña</v>
      </c>
      <c r="D25" s="10" t="n">
        <v>25.5</v>
      </c>
      <c r="E25" s="10" t="n">
        <v>22.51</v>
      </c>
      <c r="F25" s="10" t="n">
        <v>31.78</v>
      </c>
      <c r="G25" s="11" t="n">
        <v>154.92</v>
      </c>
      <c r="H25" s="11" t="n">
        <v>83.31</v>
      </c>
      <c r="I25" s="10" t="n">
        <v>33.38</v>
      </c>
      <c r="J25" s="10" t="n">
        <v>37.56</v>
      </c>
    </row>
    <row r="26" customFormat="false" ht="15" hidden="false" customHeight="false" outlineLevel="0" collapsed="false">
      <c r="A26" s="12" t="n">
        <v>39539</v>
      </c>
      <c r="B26" s="13" t="s">
        <v>40</v>
      </c>
      <c r="C26" s="13" t="str">
        <f aca="false">INDEX(ENSO!$C$5:$C$25,MATCH(B26,ENSO!$A$5:$A$25,0))</f>
        <v>La Niña</v>
      </c>
      <c r="D26" s="14" t="n">
        <v>25.51</v>
      </c>
      <c r="E26" s="14" t="n">
        <v>22.42</v>
      </c>
      <c r="F26" s="14" t="n">
        <v>31.67</v>
      </c>
      <c r="G26" s="15" t="n">
        <v>111.91</v>
      </c>
      <c r="H26" s="15" t="n">
        <v>82.49</v>
      </c>
      <c r="I26" s="14" t="n">
        <v>32.12</v>
      </c>
      <c r="J26" s="14" t="n">
        <v>33.87</v>
      </c>
    </row>
    <row r="27" customFormat="false" ht="15" hidden="false" customHeight="false" outlineLevel="0" collapsed="false">
      <c r="A27" s="8" t="n">
        <v>39569</v>
      </c>
      <c r="B27" s="9" t="s">
        <v>40</v>
      </c>
      <c r="C27" s="9" t="str">
        <f aca="false">INDEX(ENSO!$C$5:$C$25,MATCH(B27,ENSO!$A$5:$A$25,0))</f>
        <v>La Niña</v>
      </c>
      <c r="D27" s="10" t="n">
        <v>22.82</v>
      </c>
      <c r="E27" s="10" t="n">
        <v>19.49</v>
      </c>
      <c r="F27" s="10" t="n">
        <v>28.93</v>
      </c>
      <c r="G27" s="11" t="n">
        <v>27.54</v>
      </c>
      <c r="H27" s="11" t="n">
        <v>77.93</v>
      </c>
      <c r="I27" s="10" t="n">
        <v>28.25</v>
      </c>
      <c r="J27" s="10" t="n">
        <v>26.37</v>
      </c>
    </row>
    <row r="28" customFormat="false" ht="15" hidden="false" customHeight="false" outlineLevel="0" collapsed="false">
      <c r="A28" s="12" t="n">
        <v>39600</v>
      </c>
      <c r="B28" s="13" t="s">
        <v>40</v>
      </c>
      <c r="C28" s="13" t="str">
        <f aca="false">INDEX(ENSO!$C$5:$C$25,MATCH(B28,ENSO!$A$5:$A$25,0))</f>
        <v>La Niña</v>
      </c>
      <c r="D28" s="14" t="n">
        <v>21.9</v>
      </c>
      <c r="E28" s="14" t="n">
        <v>18.52</v>
      </c>
      <c r="F28" s="14" t="n">
        <v>28.02</v>
      </c>
      <c r="G28" s="15" t="n">
        <v>21.92</v>
      </c>
      <c r="H28" s="15" t="n">
        <v>77.03</v>
      </c>
      <c r="I28" s="14" t="n">
        <v>25.14</v>
      </c>
      <c r="J28" s="14" t="n">
        <v>21.19</v>
      </c>
    </row>
    <row r="29" customFormat="false" ht="15" hidden="false" customHeight="false" outlineLevel="0" collapsed="false">
      <c r="A29" s="8" t="n">
        <v>39630</v>
      </c>
      <c r="B29" s="9" t="s">
        <v>41</v>
      </c>
      <c r="C29" s="9" t="str">
        <f aca="false">INDEX(ENSO!$C$5:$C$25,MATCH(B29,ENSO!$A$5:$A$25,0))</f>
        <v>La Niña</v>
      </c>
      <c r="D29" s="10" t="n">
        <v>20.73</v>
      </c>
      <c r="E29" s="10" t="n">
        <v>16.79</v>
      </c>
      <c r="F29" s="10" t="n">
        <v>27.03</v>
      </c>
      <c r="G29" s="11" t="n">
        <v>34.08</v>
      </c>
      <c r="H29" s="11" t="n">
        <v>75.06</v>
      </c>
      <c r="I29" s="10" t="n">
        <v>23.81</v>
      </c>
      <c r="J29" s="10" t="n">
        <v>22.15</v>
      </c>
    </row>
    <row r="30" customFormat="false" ht="15" hidden="false" customHeight="false" outlineLevel="0" collapsed="false">
      <c r="A30" s="12" t="n">
        <v>39661</v>
      </c>
      <c r="B30" s="13" t="s">
        <v>41</v>
      </c>
      <c r="C30" s="13" t="str">
        <f aca="false">INDEX(ENSO!$C$5:$C$25,MATCH(B30,ENSO!$A$5:$A$25,0))</f>
        <v>La Niña</v>
      </c>
      <c r="D30" s="14" t="n">
        <v>22.32</v>
      </c>
      <c r="E30" s="14" t="n">
        <v>18.4</v>
      </c>
      <c r="F30" s="14" t="n">
        <v>28.7</v>
      </c>
      <c r="G30" s="15" t="n">
        <v>27.82</v>
      </c>
      <c r="H30" s="15" t="n">
        <v>75.46</v>
      </c>
      <c r="I30" s="14" t="n">
        <v>21.7</v>
      </c>
      <c r="J30" s="14" t="n">
        <v>18.18</v>
      </c>
    </row>
    <row r="31" customFormat="false" ht="15" hidden="false" customHeight="false" outlineLevel="0" collapsed="false">
      <c r="A31" s="8" t="n">
        <v>39692</v>
      </c>
      <c r="B31" s="9" t="s">
        <v>41</v>
      </c>
      <c r="C31" s="9" t="str">
        <f aca="false">INDEX(ENSO!$C$5:$C$25,MATCH(B31,ENSO!$A$5:$A$25,0))</f>
        <v>La Niña</v>
      </c>
      <c r="D31" s="10" t="n">
        <v>22.84</v>
      </c>
      <c r="E31" s="10" t="n">
        <v>19.22</v>
      </c>
      <c r="F31" s="10" t="n">
        <v>28.89</v>
      </c>
      <c r="G31" s="11" t="n">
        <v>42.51</v>
      </c>
      <c r="H31" s="11" t="n">
        <v>70.48</v>
      </c>
      <c r="I31" s="10" t="n">
        <v>20.5</v>
      </c>
      <c r="J31" s="10" t="n">
        <v>19.1</v>
      </c>
    </row>
    <row r="32" customFormat="false" ht="15" hidden="false" customHeight="false" outlineLevel="0" collapsed="false">
      <c r="A32" s="12" t="n">
        <v>39722</v>
      </c>
      <c r="B32" s="13" t="s">
        <v>41</v>
      </c>
      <c r="C32" s="13" t="str">
        <f aca="false">INDEX(ENSO!$C$5:$C$25,MATCH(B32,ENSO!$A$5:$A$25,0))</f>
        <v>La Niña</v>
      </c>
      <c r="D32" s="14" t="n">
        <v>24.66</v>
      </c>
      <c r="E32" s="14" t="n">
        <v>21.01</v>
      </c>
      <c r="F32" s="14" t="n">
        <v>30.56</v>
      </c>
      <c r="G32" s="15" t="n">
        <v>49.63</v>
      </c>
      <c r="H32" s="15" t="n">
        <v>73.38</v>
      </c>
      <c r="I32" s="14" t="n">
        <v>20.54</v>
      </c>
      <c r="J32" s="14" t="n">
        <v>22.17</v>
      </c>
    </row>
    <row r="33" customFormat="false" ht="15" hidden="false" customHeight="false" outlineLevel="0" collapsed="false">
      <c r="A33" s="8" t="n">
        <v>39753</v>
      </c>
      <c r="B33" s="9" t="s">
        <v>41</v>
      </c>
      <c r="C33" s="9" t="str">
        <f aca="false">INDEX(ENSO!$C$5:$C$25,MATCH(B33,ENSO!$A$5:$A$25,0))</f>
        <v>La Niña</v>
      </c>
      <c r="D33" s="10" t="n">
        <v>24.12</v>
      </c>
      <c r="E33" s="10" t="n">
        <v>21.53</v>
      </c>
      <c r="F33" s="10" t="n">
        <v>29.21</v>
      </c>
      <c r="G33" s="11" t="n">
        <v>391.44</v>
      </c>
      <c r="H33" s="11" t="n">
        <v>81.32</v>
      </c>
      <c r="I33" s="10" t="n">
        <v>25.7</v>
      </c>
      <c r="J33" s="10" t="n">
        <v>32.5</v>
      </c>
    </row>
    <row r="34" customFormat="false" ht="15" hidden="false" customHeight="false" outlineLevel="0" collapsed="false">
      <c r="A34" s="12" t="n">
        <v>39783</v>
      </c>
      <c r="B34" s="13" t="s">
        <v>41</v>
      </c>
      <c r="C34" s="13" t="str">
        <f aca="false">INDEX(ENSO!$C$5:$C$25,MATCH(B34,ENSO!$A$5:$A$25,0))</f>
        <v>La Niña</v>
      </c>
      <c r="D34" s="14" t="n">
        <v>24.58</v>
      </c>
      <c r="E34" s="14" t="n">
        <v>21.77</v>
      </c>
      <c r="F34" s="14" t="n">
        <v>29.92</v>
      </c>
      <c r="G34" s="15" t="n">
        <v>252.75</v>
      </c>
      <c r="H34" s="15" t="n">
        <v>82.28</v>
      </c>
      <c r="I34" s="14" t="n">
        <v>38.23</v>
      </c>
      <c r="J34" s="14" t="n">
        <v>37.22</v>
      </c>
    </row>
    <row r="35" customFormat="false" ht="15" hidden="false" customHeight="false" outlineLevel="0" collapsed="false">
      <c r="A35" s="8" t="n">
        <v>39814</v>
      </c>
      <c r="B35" s="9" t="s">
        <v>41</v>
      </c>
      <c r="C35" s="9" t="str">
        <f aca="false">INDEX(ENSO!$C$5:$C$25,MATCH(B35,ENSO!$A$5:$A$25,0))</f>
        <v>La Niña</v>
      </c>
      <c r="D35" s="10" t="n">
        <v>25.58</v>
      </c>
      <c r="E35" s="10" t="n">
        <v>22.87</v>
      </c>
      <c r="F35" s="10" t="n">
        <v>31.57</v>
      </c>
      <c r="G35" s="11" t="n">
        <v>322.08</v>
      </c>
      <c r="H35" s="11" t="n">
        <v>83.1</v>
      </c>
      <c r="I35" s="10" t="n">
        <v>38.2</v>
      </c>
      <c r="J35" s="10" t="n">
        <v>36.51</v>
      </c>
    </row>
    <row r="36" customFormat="false" ht="15" hidden="false" customHeight="false" outlineLevel="0" collapsed="false">
      <c r="A36" s="12" t="n">
        <v>39845</v>
      </c>
      <c r="B36" s="13" t="s">
        <v>41</v>
      </c>
      <c r="C36" s="13" t="str">
        <f aca="false">INDEX(ENSO!$C$5:$C$25,MATCH(B36,ENSO!$A$5:$A$25,0))</f>
        <v>La Niña</v>
      </c>
      <c r="D36" s="14" t="n">
        <v>25.95</v>
      </c>
      <c r="E36" s="14" t="n">
        <v>22.8</v>
      </c>
      <c r="F36" s="14" t="n">
        <v>32.19</v>
      </c>
      <c r="G36" s="15" t="n">
        <v>19.36</v>
      </c>
      <c r="H36" s="15" t="n">
        <v>80.26</v>
      </c>
      <c r="I36" s="14" t="n">
        <v>33.05</v>
      </c>
      <c r="J36" s="14" t="n">
        <v>29.07</v>
      </c>
    </row>
    <row r="37" customFormat="false" ht="15" hidden="false" customHeight="false" outlineLevel="0" collapsed="false">
      <c r="A37" s="8" t="n">
        <v>39873</v>
      </c>
      <c r="B37" s="9" t="s">
        <v>41</v>
      </c>
      <c r="C37" s="9" t="str">
        <f aca="false">INDEX(ENSO!$C$5:$C$25,MATCH(B37,ENSO!$A$5:$A$25,0))</f>
        <v>La Niña</v>
      </c>
      <c r="D37" s="10" t="n">
        <v>26.34</v>
      </c>
      <c r="E37" s="10" t="n">
        <v>23.15</v>
      </c>
      <c r="F37" s="10" t="n">
        <v>32.94</v>
      </c>
      <c r="G37" s="11" t="n">
        <v>173.14</v>
      </c>
      <c r="H37" s="11" t="n">
        <v>79.17</v>
      </c>
      <c r="I37" s="10" t="n">
        <v>28.54</v>
      </c>
      <c r="J37" s="10" t="n">
        <v>26.9</v>
      </c>
    </row>
    <row r="38" customFormat="false" ht="15" hidden="false" customHeight="false" outlineLevel="0" collapsed="false">
      <c r="A38" s="12" t="n">
        <v>39904</v>
      </c>
      <c r="B38" s="13" t="s">
        <v>41</v>
      </c>
      <c r="C38" s="13" t="str">
        <f aca="false">INDEX(ENSO!$C$5:$C$25,MATCH(B38,ENSO!$A$5:$A$25,0))</f>
        <v>La Niña</v>
      </c>
      <c r="D38" s="14" t="n">
        <v>24.41</v>
      </c>
      <c r="E38" s="14" t="n">
        <v>21.65</v>
      </c>
      <c r="F38" s="14" t="n">
        <v>30.23</v>
      </c>
      <c r="G38" s="15" t="n">
        <v>188.7</v>
      </c>
      <c r="H38" s="15" t="n">
        <v>83.04</v>
      </c>
      <c r="I38" s="14" t="n">
        <v>35.52</v>
      </c>
      <c r="J38" s="14" t="n">
        <v>37.11</v>
      </c>
    </row>
    <row r="39" customFormat="false" ht="15" hidden="false" customHeight="false" outlineLevel="0" collapsed="false">
      <c r="A39" s="8" t="n">
        <v>39934</v>
      </c>
      <c r="B39" s="9" t="s">
        <v>41</v>
      </c>
      <c r="C39" s="9" t="str">
        <f aca="false">INDEX(ENSO!$C$5:$C$25,MATCH(B39,ENSO!$A$5:$A$25,0))</f>
        <v>La Niña</v>
      </c>
      <c r="D39" s="10" t="n">
        <v>22.6</v>
      </c>
      <c r="E39" s="10" t="n">
        <v>19.56</v>
      </c>
      <c r="F39" s="10" t="n">
        <v>28.04</v>
      </c>
      <c r="G39" s="11" t="n">
        <v>23.39</v>
      </c>
      <c r="H39" s="11" t="n">
        <v>80.53</v>
      </c>
      <c r="I39" s="10" t="n">
        <v>31.99</v>
      </c>
      <c r="J39" s="10" t="n">
        <v>29.75</v>
      </c>
    </row>
    <row r="40" customFormat="false" ht="15" hidden="false" customHeight="false" outlineLevel="0" collapsed="false">
      <c r="A40" s="12" t="n">
        <v>39965</v>
      </c>
      <c r="B40" s="13" t="s">
        <v>41</v>
      </c>
      <c r="C40" s="13" t="str">
        <f aca="false">INDEX(ENSO!$C$5:$C$25,MATCH(B40,ENSO!$A$5:$A$25,0))</f>
        <v>La Niña</v>
      </c>
      <c r="D40" s="14" t="n">
        <v>21.54</v>
      </c>
      <c r="E40" s="14" t="n">
        <v>18.61</v>
      </c>
      <c r="F40" s="14" t="n">
        <v>27.09</v>
      </c>
      <c r="G40" s="15" t="n">
        <v>40.89</v>
      </c>
      <c r="H40" s="15" t="n">
        <v>82.03</v>
      </c>
      <c r="I40" s="14" t="n">
        <v>30.04</v>
      </c>
      <c r="J40" s="14" t="n">
        <v>29.64</v>
      </c>
    </row>
    <row r="41" customFormat="false" ht="15" hidden="false" customHeight="false" outlineLevel="0" collapsed="false">
      <c r="A41" s="8" t="n">
        <v>39995</v>
      </c>
      <c r="B41" s="9" t="s">
        <v>42</v>
      </c>
      <c r="C41" s="9" t="str">
        <f aca="false">INDEX(ENSO!$C$5:$C$25,MATCH(B41,ENSO!$A$5:$A$25,0))</f>
        <v>El Niño</v>
      </c>
      <c r="D41" s="10" t="n">
        <v>21.76</v>
      </c>
      <c r="E41" s="10" t="n">
        <v>18.37</v>
      </c>
      <c r="F41" s="10" t="n">
        <v>27.68</v>
      </c>
      <c r="G41" s="11" t="n">
        <v>41.5</v>
      </c>
      <c r="H41" s="11" t="n">
        <v>80.68</v>
      </c>
      <c r="I41" s="10" t="n">
        <v>27.69</v>
      </c>
      <c r="J41" s="10" t="n">
        <v>27.01</v>
      </c>
    </row>
    <row r="42" customFormat="false" ht="15" hidden="false" customHeight="false" outlineLevel="0" collapsed="false">
      <c r="A42" s="12" t="n">
        <v>40026</v>
      </c>
      <c r="B42" s="13" t="s">
        <v>42</v>
      </c>
      <c r="C42" s="13" t="str">
        <f aca="false">INDEX(ENSO!$C$5:$C$25,MATCH(B42,ENSO!$A$5:$A$25,0))</f>
        <v>El Niño</v>
      </c>
      <c r="D42" s="14" t="n">
        <v>22.06</v>
      </c>
      <c r="E42" s="14" t="n">
        <v>18.77</v>
      </c>
      <c r="F42" s="14" t="n">
        <v>27.61</v>
      </c>
      <c r="G42" s="15" t="n">
        <v>59.93</v>
      </c>
      <c r="H42" s="15" t="n">
        <v>78.09</v>
      </c>
      <c r="I42" s="14" t="n">
        <v>25.62</v>
      </c>
      <c r="J42" s="14" t="n">
        <v>25.63</v>
      </c>
    </row>
    <row r="43" customFormat="false" ht="15" hidden="false" customHeight="false" outlineLevel="0" collapsed="false">
      <c r="A43" s="8" t="n">
        <v>40057</v>
      </c>
      <c r="B43" s="9" t="s">
        <v>42</v>
      </c>
      <c r="C43" s="9" t="str">
        <f aca="false">INDEX(ENSO!$C$5:$C$25,MATCH(B43,ENSO!$A$5:$A$25,0))</f>
        <v>El Niño</v>
      </c>
      <c r="D43" s="10" t="n">
        <v>24.24</v>
      </c>
      <c r="E43" s="10" t="n">
        <v>20.66</v>
      </c>
      <c r="F43" s="10" t="n">
        <v>30.31</v>
      </c>
      <c r="G43" s="11" t="n">
        <v>42.01</v>
      </c>
      <c r="H43" s="11" t="n">
        <v>74.34</v>
      </c>
      <c r="I43" s="10" t="n">
        <v>24.23</v>
      </c>
      <c r="J43" s="10" t="n">
        <v>22.82</v>
      </c>
    </row>
    <row r="44" customFormat="false" ht="15" hidden="false" customHeight="false" outlineLevel="0" collapsed="false">
      <c r="A44" s="12" t="n">
        <v>40087</v>
      </c>
      <c r="B44" s="13" t="s">
        <v>42</v>
      </c>
      <c r="C44" s="13" t="str">
        <f aca="false">INDEX(ENSO!$C$5:$C$25,MATCH(B44,ENSO!$A$5:$A$25,0))</f>
        <v>El Niño</v>
      </c>
      <c r="D44" s="14" t="n">
        <v>24.52</v>
      </c>
      <c r="E44" s="14" t="n">
        <v>21.68</v>
      </c>
      <c r="F44" s="14" t="n">
        <v>29.43</v>
      </c>
      <c r="G44" s="15" t="n">
        <v>382.7</v>
      </c>
      <c r="H44" s="15" t="n">
        <v>79.01</v>
      </c>
      <c r="I44" s="14" t="n">
        <v>25.41</v>
      </c>
      <c r="J44" s="14" t="n">
        <v>29.53</v>
      </c>
    </row>
    <row r="45" customFormat="false" ht="15" hidden="false" customHeight="false" outlineLevel="0" collapsed="false">
      <c r="A45" s="8" t="n">
        <v>40118</v>
      </c>
      <c r="B45" s="9" t="s">
        <v>42</v>
      </c>
      <c r="C45" s="9" t="str">
        <f aca="false">INDEX(ENSO!$C$5:$C$25,MATCH(B45,ENSO!$A$5:$A$25,0))</f>
        <v>El Niño</v>
      </c>
      <c r="D45" s="10" t="n">
        <v>25.47</v>
      </c>
      <c r="E45" s="10" t="n">
        <v>22</v>
      </c>
      <c r="F45" s="10" t="n">
        <v>31.11</v>
      </c>
      <c r="G45" s="11" t="n">
        <v>139.48</v>
      </c>
      <c r="H45" s="11" t="n">
        <v>77.69</v>
      </c>
      <c r="I45" s="10" t="n">
        <v>36.63</v>
      </c>
      <c r="J45" s="10" t="n">
        <v>30.66</v>
      </c>
    </row>
    <row r="46" customFormat="false" ht="15" hidden="false" customHeight="false" outlineLevel="0" collapsed="false">
      <c r="A46" s="12" t="n">
        <v>40148</v>
      </c>
      <c r="B46" s="13" t="s">
        <v>42</v>
      </c>
      <c r="C46" s="13" t="str">
        <f aca="false">INDEX(ENSO!$C$5:$C$25,MATCH(B46,ENSO!$A$5:$A$25,0))</f>
        <v>El Niño</v>
      </c>
      <c r="D46" s="14" t="n">
        <v>26.4</v>
      </c>
      <c r="E46" s="14" t="n">
        <v>23.08</v>
      </c>
      <c r="F46" s="14" t="n">
        <v>32.66</v>
      </c>
      <c r="G46" s="15" t="n">
        <v>103.41</v>
      </c>
      <c r="H46" s="15" t="n">
        <v>76.95</v>
      </c>
      <c r="I46" s="14" t="n">
        <v>29.92</v>
      </c>
      <c r="J46" s="14" t="n">
        <v>28.39</v>
      </c>
    </row>
    <row r="47" customFormat="false" ht="15" hidden="false" customHeight="false" outlineLevel="0" collapsed="false">
      <c r="A47" s="8" t="n">
        <v>40179</v>
      </c>
      <c r="B47" s="9" t="s">
        <v>42</v>
      </c>
      <c r="C47" s="9" t="str">
        <f aca="false">INDEX(ENSO!$C$5:$C$25,MATCH(B47,ENSO!$A$5:$A$25,0))</f>
        <v>El Niño</v>
      </c>
      <c r="D47" s="10" t="n">
        <v>27.32</v>
      </c>
      <c r="E47" s="10" t="n">
        <v>23.65</v>
      </c>
      <c r="F47" s="10" t="n">
        <v>34.4</v>
      </c>
      <c r="G47" s="11" t="n">
        <v>11.69</v>
      </c>
      <c r="H47" s="11" t="n">
        <v>73.2</v>
      </c>
      <c r="I47" s="10" t="n">
        <v>26.55</v>
      </c>
      <c r="J47" s="10" t="n">
        <v>22.95</v>
      </c>
    </row>
    <row r="48" customFormat="false" ht="15" hidden="false" customHeight="false" outlineLevel="0" collapsed="false">
      <c r="A48" s="12" t="n">
        <v>40210</v>
      </c>
      <c r="B48" s="13" t="s">
        <v>42</v>
      </c>
      <c r="C48" s="13" t="str">
        <f aca="false">INDEX(ENSO!$C$5:$C$25,MATCH(B48,ENSO!$A$5:$A$25,0))</f>
        <v>El Niño</v>
      </c>
      <c r="D48" s="14" t="n">
        <v>27.59</v>
      </c>
      <c r="E48" s="14" t="n">
        <v>23.83</v>
      </c>
      <c r="F48" s="14" t="n">
        <v>34.96</v>
      </c>
      <c r="G48" s="15" t="n">
        <v>67.7</v>
      </c>
      <c r="H48" s="15" t="n">
        <v>72.96</v>
      </c>
      <c r="I48" s="14" t="n">
        <v>22.69</v>
      </c>
      <c r="J48" s="14" t="n">
        <v>20.65</v>
      </c>
    </row>
    <row r="49" customFormat="false" ht="15" hidden="false" customHeight="false" outlineLevel="0" collapsed="false">
      <c r="A49" s="8" t="n">
        <v>40238</v>
      </c>
      <c r="B49" s="9" t="s">
        <v>42</v>
      </c>
      <c r="C49" s="9" t="str">
        <f aca="false">INDEX(ENSO!$C$5:$C$25,MATCH(B49,ENSO!$A$5:$A$25,0))</f>
        <v>El Niño</v>
      </c>
      <c r="D49" s="10" t="n">
        <v>26.41</v>
      </c>
      <c r="E49" s="10" t="n">
        <v>23.54</v>
      </c>
      <c r="F49" s="10" t="n">
        <v>32.64</v>
      </c>
      <c r="G49" s="11" t="n">
        <v>155.46</v>
      </c>
      <c r="H49" s="11" t="n">
        <v>82.84</v>
      </c>
      <c r="I49" s="10" t="n">
        <v>27.42</v>
      </c>
      <c r="J49" s="10" t="n">
        <v>36.11</v>
      </c>
    </row>
    <row r="50" customFormat="false" ht="15" hidden="false" customHeight="false" outlineLevel="0" collapsed="false">
      <c r="A50" s="12" t="n">
        <v>40269</v>
      </c>
      <c r="B50" s="13" t="s">
        <v>42</v>
      </c>
      <c r="C50" s="13" t="str">
        <f aca="false">INDEX(ENSO!$C$5:$C$25,MATCH(B50,ENSO!$A$5:$A$25,0))</f>
        <v>El Niño</v>
      </c>
      <c r="D50" s="14" t="n">
        <v>24.22</v>
      </c>
      <c r="E50" s="14" t="n">
        <v>21.46</v>
      </c>
      <c r="F50" s="14" t="n">
        <v>30.07</v>
      </c>
      <c r="G50" s="15" t="n">
        <v>159.44</v>
      </c>
      <c r="H50" s="15" t="n">
        <v>82.61</v>
      </c>
      <c r="I50" s="14" t="n">
        <v>30.72</v>
      </c>
      <c r="J50" s="14" t="n">
        <v>35.32</v>
      </c>
    </row>
    <row r="51" customFormat="false" ht="15" hidden="false" customHeight="false" outlineLevel="0" collapsed="false">
      <c r="A51" s="8" t="n">
        <v>40299</v>
      </c>
      <c r="B51" s="9" t="s">
        <v>42</v>
      </c>
      <c r="C51" s="9" t="str">
        <f aca="false">INDEX(ENSO!$C$5:$C$25,MATCH(B51,ENSO!$A$5:$A$25,0))</f>
        <v>El Niño</v>
      </c>
      <c r="D51" s="10" t="n">
        <v>23.28</v>
      </c>
      <c r="E51" s="10" t="n">
        <v>20.13</v>
      </c>
      <c r="F51" s="10" t="n">
        <v>29.08</v>
      </c>
      <c r="G51" s="11" t="n">
        <v>42.32</v>
      </c>
      <c r="H51" s="11" t="n">
        <v>80.22</v>
      </c>
      <c r="I51" s="10" t="n">
        <v>28.66</v>
      </c>
      <c r="J51" s="10" t="n">
        <v>29.2</v>
      </c>
    </row>
    <row r="52" customFormat="false" ht="15" hidden="false" customHeight="false" outlineLevel="0" collapsed="false">
      <c r="A52" s="12" t="n">
        <v>40330</v>
      </c>
      <c r="B52" s="13" t="s">
        <v>42</v>
      </c>
      <c r="C52" s="13" t="str">
        <f aca="false">INDEX(ENSO!$C$5:$C$25,MATCH(B52,ENSO!$A$5:$A$25,0))</f>
        <v>El Niño</v>
      </c>
      <c r="D52" s="14" t="n">
        <v>21.39</v>
      </c>
      <c r="E52" s="14" t="n">
        <v>17.98</v>
      </c>
      <c r="F52" s="14" t="n">
        <v>27.42</v>
      </c>
      <c r="G52" s="15" t="n">
        <v>19.33</v>
      </c>
      <c r="H52" s="15" t="n">
        <v>73.95</v>
      </c>
      <c r="I52" s="14" t="n">
        <v>25.52</v>
      </c>
      <c r="J52" s="14" t="n">
        <v>21.44</v>
      </c>
    </row>
    <row r="53" customFormat="false" ht="15" hidden="false" customHeight="false" outlineLevel="0" collapsed="false">
      <c r="A53" s="8" t="n">
        <v>40360</v>
      </c>
      <c r="B53" s="9" t="s">
        <v>43</v>
      </c>
      <c r="C53" s="9" t="str">
        <f aca="false">INDEX(ENSO!$C$5:$C$25,MATCH(B53,ENSO!$A$5:$A$25,0))</f>
        <v>La Niña</v>
      </c>
      <c r="D53" s="10" t="n">
        <v>21.55</v>
      </c>
      <c r="E53" s="10" t="n">
        <v>18.72</v>
      </c>
      <c r="F53" s="10" t="n">
        <v>26.79</v>
      </c>
      <c r="G53" s="11" t="n">
        <v>78.85</v>
      </c>
      <c r="H53" s="11" t="n">
        <v>79.92</v>
      </c>
      <c r="I53" s="10" t="n">
        <v>24.62</v>
      </c>
      <c r="J53" s="10" t="n">
        <v>26.93</v>
      </c>
    </row>
    <row r="54" customFormat="false" ht="15" hidden="false" customHeight="false" outlineLevel="0" collapsed="false">
      <c r="A54" s="12" t="n">
        <v>40391</v>
      </c>
      <c r="B54" s="13" t="s">
        <v>43</v>
      </c>
      <c r="C54" s="13" t="str">
        <f aca="false">INDEX(ENSO!$C$5:$C$25,MATCH(B54,ENSO!$A$5:$A$25,0))</f>
        <v>La Niña</v>
      </c>
      <c r="D54" s="14" t="n">
        <v>21</v>
      </c>
      <c r="E54" s="14" t="n">
        <v>16.98</v>
      </c>
      <c r="F54" s="14" t="n">
        <v>27.19</v>
      </c>
      <c r="G54" s="15" t="n">
        <v>15.92</v>
      </c>
      <c r="H54" s="15" t="n">
        <v>72.32</v>
      </c>
      <c r="I54" s="14" t="n">
        <v>22.97</v>
      </c>
      <c r="J54" s="14" t="n">
        <v>20.58</v>
      </c>
    </row>
    <row r="55" customFormat="false" ht="15" hidden="false" customHeight="false" outlineLevel="0" collapsed="false">
      <c r="A55" s="8" t="n">
        <v>40422</v>
      </c>
      <c r="B55" s="9" t="s">
        <v>43</v>
      </c>
      <c r="C55" s="9" t="str">
        <f aca="false">INDEX(ENSO!$C$5:$C$25,MATCH(B55,ENSO!$A$5:$A$25,0))</f>
        <v>La Niña</v>
      </c>
      <c r="D55" s="10" t="n">
        <v>22.74</v>
      </c>
      <c r="E55" s="10" t="n">
        <v>19.08</v>
      </c>
      <c r="F55" s="10" t="n">
        <v>28.79</v>
      </c>
      <c r="G55" s="11" t="n">
        <v>36.29</v>
      </c>
      <c r="H55" s="11" t="n">
        <v>71.94</v>
      </c>
      <c r="I55" s="10" t="n">
        <v>21.44</v>
      </c>
      <c r="J55" s="10" t="n">
        <v>20.76</v>
      </c>
    </row>
    <row r="56" customFormat="false" ht="15" hidden="false" customHeight="false" outlineLevel="0" collapsed="false">
      <c r="A56" s="12" t="n">
        <v>40452</v>
      </c>
      <c r="B56" s="13" t="s">
        <v>43</v>
      </c>
      <c r="C56" s="13" t="str">
        <f aca="false">INDEX(ENSO!$C$5:$C$25,MATCH(B56,ENSO!$A$5:$A$25,0))</f>
        <v>La Niña</v>
      </c>
      <c r="D56" s="14" t="n">
        <v>24.04</v>
      </c>
      <c r="E56" s="14" t="n">
        <v>20.84</v>
      </c>
      <c r="F56" s="14" t="n">
        <v>29.44</v>
      </c>
      <c r="G56" s="15" t="n">
        <v>83.57</v>
      </c>
      <c r="H56" s="15" t="n">
        <v>73.17</v>
      </c>
      <c r="I56" s="14" t="n">
        <v>20.72</v>
      </c>
      <c r="J56" s="14" t="n">
        <v>22.35</v>
      </c>
    </row>
    <row r="57" customFormat="false" ht="15" hidden="false" customHeight="false" outlineLevel="0" collapsed="false">
      <c r="A57" s="8" t="n">
        <v>40483</v>
      </c>
      <c r="B57" s="9" t="s">
        <v>43</v>
      </c>
      <c r="C57" s="9" t="str">
        <f aca="false">INDEX(ENSO!$C$5:$C$25,MATCH(B57,ENSO!$A$5:$A$25,0))</f>
        <v>La Niña</v>
      </c>
      <c r="D57" s="10" t="n">
        <v>24.32</v>
      </c>
      <c r="E57" s="10" t="n">
        <v>21.54</v>
      </c>
      <c r="F57" s="10" t="n">
        <v>29.28</v>
      </c>
      <c r="G57" s="11" t="n">
        <v>243.66</v>
      </c>
      <c r="H57" s="11" t="n">
        <v>82.69</v>
      </c>
      <c r="I57" s="10" t="n">
        <v>28.07</v>
      </c>
      <c r="J57" s="10" t="n">
        <v>37.83</v>
      </c>
    </row>
    <row r="58" customFormat="false" ht="15" hidden="false" customHeight="false" outlineLevel="0" collapsed="false">
      <c r="A58" s="12" t="n">
        <v>40513</v>
      </c>
      <c r="B58" s="13" t="s">
        <v>43</v>
      </c>
      <c r="C58" s="13" t="str">
        <f aca="false">INDEX(ENSO!$C$5:$C$25,MATCH(B58,ENSO!$A$5:$A$25,0))</f>
        <v>La Niña</v>
      </c>
      <c r="D58" s="14" t="n">
        <v>25.68</v>
      </c>
      <c r="E58" s="14" t="n">
        <v>22.62</v>
      </c>
      <c r="F58" s="14" t="n">
        <v>31.63</v>
      </c>
      <c r="G58" s="15" t="n">
        <v>231.56</v>
      </c>
      <c r="H58" s="15" t="n">
        <v>79.73</v>
      </c>
      <c r="I58" s="14" t="n">
        <v>31.09</v>
      </c>
      <c r="J58" s="14" t="n">
        <v>33.98</v>
      </c>
    </row>
    <row r="59" customFormat="false" ht="15" hidden="false" customHeight="false" outlineLevel="0" collapsed="false">
      <c r="A59" s="8" t="n">
        <v>40544</v>
      </c>
      <c r="B59" s="9" t="s">
        <v>43</v>
      </c>
      <c r="C59" s="9" t="str">
        <f aca="false">INDEX(ENSO!$C$5:$C$25,MATCH(B59,ENSO!$A$5:$A$25,0))</f>
        <v>La Niña</v>
      </c>
      <c r="D59" s="10" t="n">
        <v>25.8</v>
      </c>
      <c r="E59" s="10" t="n">
        <v>22.67</v>
      </c>
      <c r="F59" s="10" t="n">
        <v>32.18</v>
      </c>
      <c r="G59" s="11" t="n">
        <v>90.68</v>
      </c>
      <c r="H59" s="11" t="n">
        <v>79.57</v>
      </c>
      <c r="I59" s="10" t="n">
        <v>32.82</v>
      </c>
      <c r="J59" s="10" t="n">
        <v>32.87</v>
      </c>
    </row>
    <row r="60" customFormat="false" ht="15" hidden="false" customHeight="false" outlineLevel="0" collapsed="false">
      <c r="A60" s="12" t="n">
        <v>40575</v>
      </c>
      <c r="B60" s="13" t="s">
        <v>43</v>
      </c>
      <c r="C60" s="13" t="str">
        <f aca="false">INDEX(ENSO!$C$5:$C$25,MATCH(B60,ENSO!$A$5:$A$25,0))</f>
        <v>La Niña</v>
      </c>
      <c r="D60" s="14" t="n">
        <v>26.31</v>
      </c>
      <c r="E60" s="14" t="n">
        <v>22.68</v>
      </c>
      <c r="F60" s="14" t="n">
        <v>33.31</v>
      </c>
      <c r="G60" s="15" t="n">
        <v>71.45</v>
      </c>
      <c r="H60" s="15" t="n">
        <v>76.53</v>
      </c>
      <c r="I60" s="14" t="n">
        <v>27</v>
      </c>
      <c r="J60" s="14" t="n">
        <v>24.32</v>
      </c>
    </row>
    <row r="61" customFormat="false" ht="15" hidden="false" customHeight="false" outlineLevel="0" collapsed="false">
      <c r="A61" s="8" t="n">
        <v>40603</v>
      </c>
      <c r="B61" s="9" t="s">
        <v>43</v>
      </c>
      <c r="C61" s="9" t="str">
        <f aca="false">INDEX(ENSO!$C$5:$C$25,MATCH(B61,ENSO!$A$5:$A$25,0))</f>
        <v>La Niña</v>
      </c>
      <c r="D61" s="10" t="n">
        <v>25.07</v>
      </c>
      <c r="E61" s="10" t="n">
        <v>22.5</v>
      </c>
      <c r="F61" s="10" t="n">
        <v>30.88</v>
      </c>
      <c r="G61" s="11" t="n">
        <v>282.31</v>
      </c>
      <c r="H61" s="11" t="n">
        <v>84.52</v>
      </c>
      <c r="I61" s="10" t="n">
        <v>34.48</v>
      </c>
      <c r="J61" s="10" t="n">
        <v>36.81</v>
      </c>
    </row>
    <row r="62" customFormat="false" ht="15" hidden="false" customHeight="false" outlineLevel="0" collapsed="false">
      <c r="A62" s="12" t="n">
        <v>40634</v>
      </c>
      <c r="B62" s="13" t="s">
        <v>43</v>
      </c>
      <c r="C62" s="13" t="str">
        <f aca="false">INDEX(ENSO!$C$5:$C$25,MATCH(B62,ENSO!$A$5:$A$25,0))</f>
        <v>La Niña</v>
      </c>
      <c r="D62" s="14" t="n">
        <v>24.12</v>
      </c>
      <c r="E62" s="14" t="n">
        <v>21.64</v>
      </c>
      <c r="F62" s="14" t="n">
        <v>29.61</v>
      </c>
      <c r="G62" s="15" t="n">
        <v>162.52</v>
      </c>
      <c r="H62" s="15" t="n">
        <v>87.47</v>
      </c>
      <c r="I62" s="14" t="n">
        <v>39.52</v>
      </c>
      <c r="J62" s="14" t="n">
        <v>39.56</v>
      </c>
    </row>
    <row r="63" customFormat="false" ht="15" hidden="false" customHeight="false" outlineLevel="0" collapsed="false">
      <c r="A63" s="8" t="n">
        <v>40664</v>
      </c>
      <c r="B63" s="9" t="s">
        <v>43</v>
      </c>
      <c r="C63" s="9" t="str">
        <f aca="false">INDEX(ENSO!$C$5:$C$25,MATCH(B63,ENSO!$A$5:$A$25,0))</f>
        <v>La Niña</v>
      </c>
      <c r="D63" s="10" t="n">
        <v>21.9</v>
      </c>
      <c r="E63" s="10" t="n">
        <v>18.78</v>
      </c>
      <c r="F63" s="10" t="n">
        <v>27.6</v>
      </c>
      <c r="G63" s="11" t="n">
        <v>20.67</v>
      </c>
      <c r="H63" s="11" t="n">
        <v>81.66</v>
      </c>
      <c r="I63" s="10" t="n">
        <v>35.16</v>
      </c>
      <c r="J63" s="10" t="n">
        <v>32.19</v>
      </c>
    </row>
    <row r="64" customFormat="false" ht="15" hidden="false" customHeight="false" outlineLevel="0" collapsed="false">
      <c r="A64" s="12" t="n">
        <v>40695</v>
      </c>
      <c r="B64" s="13" t="s">
        <v>43</v>
      </c>
      <c r="C64" s="13" t="str">
        <f aca="false">INDEX(ENSO!$C$5:$C$25,MATCH(B64,ENSO!$A$5:$A$25,0))</f>
        <v>La Niña</v>
      </c>
      <c r="D64" s="14" t="n">
        <v>21.34</v>
      </c>
      <c r="E64" s="14" t="n">
        <v>18.01</v>
      </c>
      <c r="F64" s="14" t="n">
        <v>27.29</v>
      </c>
      <c r="G64" s="15" t="n">
        <v>30.77</v>
      </c>
      <c r="H64" s="15" t="n">
        <v>78.32</v>
      </c>
      <c r="I64" s="14" t="n">
        <v>29.85</v>
      </c>
      <c r="J64" s="14" t="n">
        <v>23.7</v>
      </c>
    </row>
    <row r="65" customFormat="false" ht="15" hidden="false" customHeight="false" outlineLevel="0" collapsed="false">
      <c r="A65" s="8" t="n">
        <v>40725</v>
      </c>
      <c r="B65" s="9" t="s">
        <v>44</v>
      </c>
      <c r="C65" s="9" t="str">
        <f aca="false">INDEX(ENSO!$C$5:$C$25,MATCH(B65,ENSO!$A$5:$A$25,0))</f>
        <v>La Niña</v>
      </c>
      <c r="D65" s="10" t="n">
        <v>20.89</v>
      </c>
      <c r="E65" s="10" t="n">
        <v>17.18</v>
      </c>
      <c r="F65" s="10" t="n">
        <v>26.8</v>
      </c>
      <c r="G65" s="11" t="n">
        <v>59.3</v>
      </c>
      <c r="H65" s="11" t="n">
        <v>78.49</v>
      </c>
      <c r="I65" s="10" t="n">
        <v>26.97</v>
      </c>
      <c r="J65" s="10" t="n">
        <v>22.57</v>
      </c>
    </row>
    <row r="66" customFormat="false" ht="15" hidden="false" customHeight="false" outlineLevel="0" collapsed="false">
      <c r="A66" s="12" t="n">
        <v>40756</v>
      </c>
      <c r="B66" s="13" t="s">
        <v>44</v>
      </c>
      <c r="C66" s="13" t="str">
        <f aca="false">INDEX(ENSO!$C$5:$C$25,MATCH(B66,ENSO!$A$5:$A$25,0))</f>
        <v>La Niña</v>
      </c>
      <c r="D66" s="14" t="n">
        <v>22.08</v>
      </c>
      <c r="E66" s="14" t="n">
        <v>18.18</v>
      </c>
      <c r="F66" s="14" t="n">
        <v>28.48</v>
      </c>
      <c r="G66" s="15" t="n">
        <v>20.19</v>
      </c>
      <c r="H66" s="15" t="n">
        <v>74.85</v>
      </c>
      <c r="I66" s="14" t="n">
        <v>24.61</v>
      </c>
      <c r="J66" s="14" t="n">
        <v>19.31</v>
      </c>
    </row>
    <row r="67" customFormat="false" ht="15" hidden="false" customHeight="false" outlineLevel="0" collapsed="false">
      <c r="A67" s="8" t="n">
        <v>40787</v>
      </c>
      <c r="B67" s="9" t="s">
        <v>44</v>
      </c>
      <c r="C67" s="9" t="str">
        <f aca="false">INDEX(ENSO!$C$5:$C$25,MATCH(B67,ENSO!$A$5:$A$25,0))</f>
        <v>La Niña</v>
      </c>
      <c r="D67" s="10" t="n">
        <v>21.71</v>
      </c>
      <c r="E67" s="10" t="n">
        <v>17.55</v>
      </c>
      <c r="F67" s="10" t="n">
        <v>27.67</v>
      </c>
      <c r="G67" s="11" t="n">
        <v>25.62</v>
      </c>
      <c r="H67" s="11" t="n">
        <v>67.8</v>
      </c>
      <c r="I67" s="10" t="n">
        <v>22.36</v>
      </c>
      <c r="J67" s="10" t="n">
        <v>17.35</v>
      </c>
    </row>
    <row r="68" customFormat="false" ht="15" hidden="false" customHeight="false" outlineLevel="0" collapsed="false">
      <c r="A68" s="12" t="n">
        <v>40817</v>
      </c>
      <c r="B68" s="13" t="s">
        <v>44</v>
      </c>
      <c r="C68" s="13" t="str">
        <f aca="false">INDEX(ENSO!$C$5:$C$25,MATCH(B68,ENSO!$A$5:$A$25,0))</f>
        <v>La Niña</v>
      </c>
      <c r="D68" s="14" t="n">
        <v>23.13</v>
      </c>
      <c r="E68" s="14" t="n">
        <v>20.49</v>
      </c>
      <c r="F68" s="14" t="n">
        <v>27.58</v>
      </c>
      <c r="G68" s="15" t="n">
        <v>202.23</v>
      </c>
      <c r="H68" s="15" t="n">
        <v>79.04</v>
      </c>
      <c r="I68" s="14" t="n">
        <v>24.16</v>
      </c>
      <c r="J68" s="14" t="n">
        <v>31.07</v>
      </c>
    </row>
    <row r="69" customFormat="false" ht="15" hidden="false" customHeight="false" outlineLevel="0" collapsed="false">
      <c r="A69" s="8" t="n">
        <v>40848</v>
      </c>
      <c r="B69" s="9" t="s">
        <v>44</v>
      </c>
      <c r="C69" s="9" t="str">
        <f aca="false">INDEX(ENSO!$C$5:$C$25,MATCH(B69,ENSO!$A$5:$A$25,0))</f>
        <v>La Niña</v>
      </c>
      <c r="D69" s="10" t="n">
        <v>22.65</v>
      </c>
      <c r="E69" s="10" t="n">
        <v>19.79</v>
      </c>
      <c r="F69" s="10" t="n">
        <v>27.47</v>
      </c>
      <c r="G69" s="11" t="n">
        <v>224.24</v>
      </c>
      <c r="H69" s="11" t="n">
        <v>80.12</v>
      </c>
      <c r="I69" s="10" t="n">
        <v>28.64</v>
      </c>
      <c r="J69" s="10" t="n">
        <v>36.61</v>
      </c>
    </row>
    <row r="70" customFormat="false" ht="15" hidden="false" customHeight="false" outlineLevel="0" collapsed="false">
      <c r="A70" s="12" t="n">
        <v>40878</v>
      </c>
      <c r="B70" s="13" t="s">
        <v>44</v>
      </c>
      <c r="C70" s="13" t="str">
        <f aca="false">INDEX(ENSO!$C$5:$C$25,MATCH(B70,ENSO!$A$5:$A$25,0))</f>
        <v>La Niña</v>
      </c>
      <c r="D70" s="14" t="n">
        <v>24.26</v>
      </c>
      <c r="E70" s="14" t="n">
        <v>21.58</v>
      </c>
      <c r="F70" s="14" t="n">
        <v>29.55</v>
      </c>
      <c r="G70" s="15" t="n">
        <v>168.07</v>
      </c>
      <c r="H70" s="15" t="n">
        <v>83.68</v>
      </c>
      <c r="I70" s="14" t="n">
        <v>38.08</v>
      </c>
      <c r="J70" s="14" t="n">
        <v>38.64</v>
      </c>
    </row>
    <row r="71" customFormat="false" ht="15" hidden="false" customHeight="false" outlineLevel="0" collapsed="false">
      <c r="A71" s="8" t="n">
        <v>40909</v>
      </c>
      <c r="B71" s="9" t="s">
        <v>44</v>
      </c>
      <c r="C71" s="9" t="str">
        <f aca="false">INDEX(ENSO!$C$5:$C$25,MATCH(B71,ENSO!$A$5:$A$25,0))</f>
        <v>La Niña</v>
      </c>
      <c r="D71" s="10" t="n">
        <v>24.85</v>
      </c>
      <c r="E71" s="10" t="n">
        <v>21.92</v>
      </c>
      <c r="F71" s="10" t="n">
        <v>30.81</v>
      </c>
      <c r="G71" s="11" t="n">
        <v>160.27</v>
      </c>
      <c r="H71" s="11" t="n">
        <v>82</v>
      </c>
      <c r="I71" s="10" t="n">
        <v>37.96</v>
      </c>
      <c r="J71" s="10" t="n">
        <v>35.36</v>
      </c>
    </row>
    <row r="72" customFormat="false" ht="15" hidden="false" customHeight="false" outlineLevel="0" collapsed="false">
      <c r="A72" s="12" t="n">
        <v>40940</v>
      </c>
      <c r="B72" s="13" t="s">
        <v>44</v>
      </c>
      <c r="C72" s="13" t="str">
        <f aca="false">INDEX(ENSO!$C$5:$C$25,MATCH(B72,ENSO!$A$5:$A$25,0))</f>
        <v>La Niña</v>
      </c>
      <c r="D72" s="14" t="n">
        <v>25.11</v>
      </c>
      <c r="E72" s="14" t="n">
        <v>21.69</v>
      </c>
      <c r="F72" s="14" t="n">
        <v>31.58</v>
      </c>
      <c r="G72" s="15" t="n">
        <v>23.07</v>
      </c>
      <c r="H72" s="15" t="n">
        <v>78.55</v>
      </c>
      <c r="I72" s="14" t="n">
        <v>30.42</v>
      </c>
      <c r="J72" s="14" t="n">
        <v>25.66</v>
      </c>
    </row>
    <row r="73" customFormat="false" ht="15" hidden="false" customHeight="false" outlineLevel="0" collapsed="false">
      <c r="A73" s="8" t="n">
        <v>40969</v>
      </c>
      <c r="B73" s="9" t="s">
        <v>44</v>
      </c>
      <c r="C73" s="9" t="str">
        <f aca="false">INDEX(ENSO!$C$5:$C$25,MATCH(B73,ENSO!$A$5:$A$25,0))</f>
        <v>La Niña</v>
      </c>
      <c r="D73" s="10" t="n">
        <v>25.29</v>
      </c>
      <c r="E73" s="10" t="n">
        <v>21.8</v>
      </c>
      <c r="F73" s="10" t="n">
        <v>31.83</v>
      </c>
      <c r="G73" s="11" t="n">
        <v>43.93</v>
      </c>
      <c r="H73" s="11" t="n">
        <v>77.63</v>
      </c>
      <c r="I73" s="10" t="n">
        <v>27.22</v>
      </c>
      <c r="J73" s="10" t="n">
        <v>25.48</v>
      </c>
    </row>
    <row r="74" customFormat="false" ht="15" hidden="false" customHeight="false" outlineLevel="0" collapsed="false">
      <c r="A74" s="12" t="n">
        <v>41000</v>
      </c>
      <c r="B74" s="13" t="s">
        <v>44</v>
      </c>
      <c r="C74" s="13" t="str">
        <f aca="false">INDEX(ENSO!$C$5:$C$25,MATCH(B74,ENSO!$A$5:$A$25,0))</f>
        <v>La Niña</v>
      </c>
      <c r="D74" s="14" t="n">
        <v>25.03</v>
      </c>
      <c r="E74" s="14" t="n">
        <v>21.75</v>
      </c>
      <c r="F74" s="14" t="n">
        <v>31.62</v>
      </c>
      <c r="G74" s="15" t="n">
        <v>57.69</v>
      </c>
      <c r="H74" s="15" t="n">
        <v>78.43</v>
      </c>
      <c r="I74" s="14" t="n">
        <v>25.49</v>
      </c>
      <c r="J74" s="14" t="n">
        <v>24.48</v>
      </c>
    </row>
    <row r="75" customFormat="false" ht="15" hidden="false" customHeight="false" outlineLevel="0" collapsed="false">
      <c r="A75" s="8" t="n">
        <v>41030</v>
      </c>
      <c r="B75" s="9" t="s">
        <v>44</v>
      </c>
      <c r="C75" s="9" t="str">
        <f aca="false">INDEX(ENSO!$C$5:$C$25,MATCH(B75,ENSO!$A$5:$A$25,0))</f>
        <v>La Niña</v>
      </c>
      <c r="D75" s="10" t="n">
        <v>22.47</v>
      </c>
      <c r="E75" s="10" t="n">
        <v>19.65</v>
      </c>
      <c r="F75" s="10" t="n">
        <v>28.09</v>
      </c>
      <c r="G75" s="11" t="n">
        <v>59.91</v>
      </c>
      <c r="H75" s="11" t="n">
        <v>79.94</v>
      </c>
      <c r="I75" s="10" t="n">
        <v>24.36</v>
      </c>
      <c r="J75" s="10" t="n">
        <v>26.26</v>
      </c>
    </row>
    <row r="76" customFormat="false" ht="15" hidden="false" customHeight="false" outlineLevel="0" collapsed="false">
      <c r="A76" s="12" t="n">
        <v>41061</v>
      </c>
      <c r="B76" s="13" t="s">
        <v>44</v>
      </c>
      <c r="C76" s="13" t="str">
        <f aca="false">INDEX(ENSO!$C$5:$C$25,MATCH(B76,ENSO!$A$5:$A$25,0))</f>
        <v>La Niña</v>
      </c>
      <c r="D76" s="14" t="n">
        <v>22.83</v>
      </c>
      <c r="E76" s="14" t="n">
        <v>19.77</v>
      </c>
      <c r="F76" s="14" t="n">
        <v>28.97</v>
      </c>
      <c r="G76" s="15" t="n">
        <v>36.16</v>
      </c>
      <c r="H76" s="15" t="n">
        <v>80.54</v>
      </c>
      <c r="I76" s="14" t="n">
        <v>23.12</v>
      </c>
      <c r="J76" s="14" t="n">
        <v>22.29</v>
      </c>
    </row>
    <row r="77" customFormat="false" ht="15" hidden="false" customHeight="false" outlineLevel="0" collapsed="false">
      <c r="A77" s="8" t="n">
        <v>41091</v>
      </c>
      <c r="B77" s="9" t="s">
        <v>45</v>
      </c>
      <c r="C77" s="9" t="str">
        <f aca="false">INDEX(ENSO!$C$5:$C$25,MATCH(B77,ENSO!$A$5:$A$25,0))</f>
        <v>Neutral</v>
      </c>
      <c r="D77" s="10" t="n">
        <v>21.65</v>
      </c>
      <c r="E77" s="10" t="n">
        <v>17.81</v>
      </c>
      <c r="F77" s="10" t="n">
        <v>27.98</v>
      </c>
      <c r="G77" s="11" t="n">
        <v>66.75</v>
      </c>
      <c r="H77" s="11" t="n">
        <v>77.63</v>
      </c>
      <c r="I77" s="10" t="n">
        <v>22.03</v>
      </c>
      <c r="J77" s="10" t="n">
        <v>22.26</v>
      </c>
    </row>
    <row r="78" customFormat="false" ht="15" hidden="false" customHeight="false" outlineLevel="0" collapsed="false">
      <c r="A78" s="12" t="n">
        <v>41122</v>
      </c>
      <c r="B78" s="13" t="s">
        <v>45</v>
      </c>
      <c r="C78" s="13" t="str">
        <f aca="false">INDEX(ENSO!$C$5:$C$25,MATCH(B78,ENSO!$A$5:$A$25,0))</f>
        <v>Neutral</v>
      </c>
      <c r="D78" s="14" t="n">
        <v>21.04</v>
      </c>
      <c r="E78" s="14" t="n">
        <v>18.02</v>
      </c>
      <c r="F78" s="14" t="n">
        <v>26.4</v>
      </c>
      <c r="G78" s="15" t="n">
        <v>80.68</v>
      </c>
      <c r="H78" s="15" t="n">
        <v>80.63</v>
      </c>
      <c r="I78" s="14" t="n">
        <v>22.51</v>
      </c>
      <c r="J78" s="14" t="n">
        <v>28.18</v>
      </c>
    </row>
    <row r="79" customFormat="false" ht="15" hidden="false" customHeight="false" outlineLevel="0" collapsed="false">
      <c r="A79" s="8" t="n">
        <v>41153</v>
      </c>
      <c r="B79" s="9" t="s">
        <v>45</v>
      </c>
      <c r="C79" s="9" t="str">
        <f aca="false">INDEX(ENSO!$C$5:$C$25,MATCH(B79,ENSO!$A$5:$A$25,0))</f>
        <v>Neutral</v>
      </c>
      <c r="D79" s="10" t="n">
        <v>22.71</v>
      </c>
      <c r="E79" s="10" t="n">
        <v>19.14</v>
      </c>
      <c r="F79" s="10" t="n">
        <v>28.73</v>
      </c>
      <c r="G79" s="11" t="n">
        <v>48.72</v>
      </c>
      <c r="H79" s="11" t="n">
        <v>72.81</v>
      </c>
      <c r="I79" s="10" t="n">
        <v>21.98</v>
      </c>
      <c r="J79" s="10" t="n">
        <v>23.52</v>
      </c>
    </row>
    <row r="80" customFormat="false" ht="15" hidden="false" customHeight="false" outlineLevel="0" collapsed="false">
      <c r="A80" s="12" t="n">
        <v>41183</v>
      </c>
      <c r="B80" s="13" t="s">
        <v>45</v>
      </c>
      <c r="C80" s="13" t="str">
        <f aca="false">INDEX(ENSO!$C$5:$C$25,MATCH(B80,ENSO!$A$5:$A$25,0))</f>
        <v>Neutral</v>
      </c>
      <c r="D80" s="14" t="n">
        <v>24.08</v>
      </c>
      <c r="E80" s="14" t="n">
        <v>20.12</v>
      </c>
      <c r="F80" s="14" t="n">
        <v>30.17</v>
      </c>
      <c r="G80" s="15" t="n">
        <v>45.68</v>
      </c>
      <c r="H80" s="15" t="n">
        <v>72.13</v>
      </c>
      <c r="I80" s="14" t="n">
        <v>20.67</v>
      </c>
      <c r="J80" s="14" t="n">
        <v>21.88</v>
      </c>
    </row>
    <row r="81" customFormat="false" ht="15" hidden="false" customHeight="false" outlineLevel="0" collapsed="false">
      <c r="A81" s="8" t="n">
        <v>41214</v>
      </c>
      <c r="B81" s="9" t="s">
        <v>45</v>
      </c>
      <c r="C81" s="9" t="str">
        <f aca="false">INDEX(ENSO!$C$5:$C$25,MATCH(B81,ENSO!$A$5:$A$25,0))</f>
        <v>Neutral</v>
      </c>
      <c r="D81" s="10" t="n">
        <v>24.15</v>
      </c>
      <c r="E81" s="10" t="n">
        <v>21.66</v>
      </c>
      <c r="F81" s="10" t="n">
        <v>28.97</v>
      </c>
      <c r="G81" s="11" t="n">
        <v>272.43</v>
      </c>
      <c r="H81" s="11" t="n">
        <v>83.23</v>
      </c>
      <c r="I81" s="10" t="n">
        <v>28.57</v>
      </c>
      <c r="J81" s="10" t="n">
        <v>37.51</v>
      </c>
    </row>
    <row r="82" customFormat="false" ht="15" hidden="false" customHeight="false" outlineLevel="0" collapsed="false">
      <c r="A82" s="12" t="n">
        <v>41244</v>
      </c>
      <c r="B82" s="13" t="s">
        <v>45</v>
      </c>
      <c r="C82" s="13" t="str">
        <f aca="false">INDEX(ENSO!$C$5:$C$25,MATCH(B82,ENSO!$A$5:$A$25,0))</f>
        <v>Neutral</v>
      </c>
      <c r="D82" s="14" t="n">
        <v>26.5</v>
      </c>
      <c r="E82" s="14" t="n">
        <v>22.81</v>
      </c>
      <c r="F82" s="14" t="n">
        <v>33.14</v>
      </c>
      <c r="G82" s="15" t="n">
        <v>14.35</v>
      </c>
      <c r="H82" s="15" t="n">
        <v>74.35</v>
      </c>
      <c r="I82" s="14" t="n">
        <v>29.53</v>
      </c>
      <c r="J82" s="14" t="n">
        <v>26.05</v>
      </c>
    </row>
    <row r="83" customFormat="false" ht="15" hidden="false" customHeight="false" outlineLevel="0" collapsed="false">
      <c r="A83" s="8" t="n">
        <v>41275</v>
      </c>
      <c r="B83" s="9" t="s">
        <v>45</v>
      </c>
      <c r="C83" s="9" t="str">
        <f aca="false">INDEX(ENSO!$C$5:$C$25,MATCH(B83,ENSO!$A$5:$A$25,0))</f>
        <v>Neutral</v>
      </c>
      <c r="D83" s="10" t="n">
        <v>25.91</v>
      </c>
      <c r="E83" s="10" t="n">
        <v>22.88</v>
      </c>
      <c r="F83" s="10" t="n">
        <v>32.24</v>
      </c>
      <c r="G83" s="11" t="n">
        <v>205.24</v>
      </c>
      <c r="H83" s="11" t="n">
        <v>77.89</v>
      </c>
      <c r="I83" s="10" t="n">
        <v>26.7</v>
      </c>
      <c r="J83" s="10" t="n">
        <v>27.87</v>
      </c>
    </row>
    <row r="84" customFormat="false" ht="15" hidden="false" customHeight="false" outlineLevel="0" collapsed="false">
      <c r="A84" s="12" t="n">
        <v>41306</v>
      </c>
      <c r="B84" s="13" t="s">
        <v>45</v>
      </c>
      <c r="C84" s="13" t="str">
        <f aca="false">INDEX(ENSO!$C$5:$C$25,MATCH(B84,ENSO!$A$5:$A$25,0))</f>
        <v>Neutral</v>
      </c>
      <c r="D84" s="14" t="n">
        <v>26.16</v>
      </c>
      <c r="E84" s="14" t="n">
        <v>22.64</v>
      </c>
      <c r="F84" s="14" t="n">
        <v>32.64</v>
      </c>
      <c r="G84" s="15" t="n">
        <v>42.79</v>
      </c>
      <c r="H84" s="15" t="n">
        <v>76.68</v>
      </c>
      <c r="I84" s="14" t="n">
        <v>28</v>
      </c>
      <c r="J84" s="14" t="n">
        <v>27.27</v>
      </c>
    </row>
    <row r="85" customFormat="false" ht="15" hidden="false" customHeight="false" outlineLevel="0" collapsed="false">
      <c r="A85" s="8" t="n">
        <v>41334</v>
      </c>
      <c r="B85" s="9" t="s">
        <v>45</v>
      </c>
      <c r="C85" s="9" t="str">
        <f aca="false">INDEX(ENSO!$C$5:$C$25,MATCH(B85,ENSO!$A$5:$A$25,0))</f>
        <v>Neutral</v>
      </c>
      <c r="D85" s="10" t="n">
        <v>26.59</v>
      </c>
      <c r="E85" s="10" t="n">
        <v>23.27</v>
      </c>
      <c r="F85" s="10" t="n">
        <v>33.6</v>
      </c>
      <c r="G85" s="11" t="n">
        <v>62.2</v>
      </c>
      <c r="H85" s="11" t="n">
        <v>75.39</v>
      </c>
      <c r="I85" s="10" t="n">
        <v>24.14</v>
      </c>
      <c r="J85" s="10" t="n">
        <v>25.01</v>
      </c>
    </row>
    <row r="86" customFormat="false" ht="15" hidden="false" customHeight="false" outlineLevel="0" collapsed="false">
      <c r="A86" s="12" t="n">
        <v>41365</v>
      </c>
      <c r="B86" s="13" t="s">
        <v>45</v>
      </c>
      <c r="C86" s="13" t="str">
        <f aca="false">INDEX(ENSO!$C$5:$C$25,MATCH(B86,ENSO!$A$5:$A$25,0))</f>
        <v>Neutral</v>
      </c>
      <c r="D86" s="14" t="n">
        <v>23.95</v>
      </c>
      <c r="E86" s="14" t="n">
        <v>21.25</v>
      </c>
      <c r="F86" s="14" t="n">
        <v>29.76</v>
      </c>
      <c r="G86" s="15" t="n">
        <v>65.77</v>
      </c>
      <c r="H86" s="15" t="n">
        <v>79.71</v>
      </c>
      <c r="I86" s="14" t="n">
        <v>26.64</v>
      </c>
      <c r="J86" s="14" t="n">
        <v>33.21</v>
      </c>
    </row>
    <row r="87" customFormat="false" ht="15" hidden="false" customHeight="false" outlineLevel="0" collapsed="false">
      <c r="A87" s="8" t="n">
        <v>41395</v>
      </c>
      <c r="B87" s="9" t="s">
        <v>45</v>
      </c>
      <c r="C87" s="9" t="str">
        <f aca="false">INDEX(ENSO!$C$5:$C$25,MATCH(B87,ENSO!$A$5:$A$25,0))</f>
        <v>Neutral</v>
      </c>
      <c r="D87" s="10" t="n">
        <v>23.13</v>
      </c>
      <c r="E87" s="10" t="n">
        <v>19.85</v>
      </c>
      <c r="F87" s="10" t="n">
        <v>29.09</v>
      </c>
      <c r="G87" s="11" t="n">
        <v>39.75</v>
      </c>
      <c r="H87" s="11" t="n">
        <v>76.78</v>
      </c>
      <c r="I87" s="10" t="n">
        <v>24.57</v>
      </c>
      <c r="J87" s="10" t="n">
        <v>24.31</v>
      </c>
    </row>
    <row r="88" customFormat="false" ht="15" hidden="false" customHeight="false" outlineLevel="0" collapsed="false">
      <c r="A88" s="12" t="n">
        <v>41426</v>
      </c>
      <c r="B88" s="13" t="s">
        <v>45</v>
      </c>
      <c r="C88" s="13" t="str">
        <f aca="false">INDEX(ENSO!$C$5:$C$25,MATCH(B88,ENSO!$A$5:$A$25,0))</f>
        <v>Neutral</v>
      </c>
      <c r="D88" s="14" t="n">
        <v>22.67</v>
      </c>
      <c r="E88" s="14" t="n">
        <v>19.54</v>
      </c>
      <c r="F88" s="14" t="n">
        <v>28.51</v>
      </c>
      <c r="G88" s="15" t="n">
        <v>41.51</v>
      </c>
      <c r="H88" s="15" t="n">
        <v>81.55</v>
      </c>
      <c r="I88" s="14" t="n">
        <v>24.34</v>
      </c>
      <c r="J88" s="14" t="n">
        <v>26.91</v>
      </c>
    </row>
    <row r="89" customFormat="false" ht="15" hidden="false" customHeight="false" outlineLevel="0" collapsed="false">
      <c r="A89" s="8" t="n">
        <v>41456</v>
      </c>
      <c r="B89" s="9" t="s">
        <v>46</v>
      </c>
      <c r="C89" s="9" t="str">
        <f aca="false">INDEX(ENSO!$C$5:$C$25,MATCH(B89,ENSO!$A$5:$A$25,0))</f>
        <v>Neutral</v>
      </c>
      <c r="D89" s="10" t="n">
        <v>21.89</v>
      </c>
      <c r="E89" s="10" t="n">
        <v>18.85</v>
      </c>
      <c r="F89" s="10" t="n">
        <v>27.43</v>
      </c>
      <c r="G89" s="11" t="n">
        <v>41.19</v>
      </c>
      <c r="H89" s="11" t="n">
        <v>78.36</v>
      </c>
      <c r="I89" s="10" t="n">
        <v>22.66</v>
      </c>
      <c r="J89" s="10" t="n">
        <v>24.16</v>
      </c>
    </row>
    <row r="90" customFormat="false" ht="15" hidden="false" customHeight="false" outlineLevel="0" collapsed="false">
      <c r="A90" s="12" t="n">
        <v>41487</v>
      </c>
      <c r="B90" s="13" t="s">
        <v>46</v>
      </c>
      <c r="C90" s="13" t="str">
        <f aca="false">INDEX(ENSO!$C$5:$C$25,MATCH(B90,ENSO!$A$5:$A$25,0))</f>
        <v>Neutral</v>
      </c>
      <c r="D90" s="14" t="n">
        <v>21.74</v>
      </c>
      <c r="E90" s="14" t="n">
        <v>18.07</v>
      </c>
      <c r="F90" s="14" t="n">
        <v>27.73</v>
      </c>
      <c r="G90" s="15" t="n">
        <v>48.28</v>
      </c>
      <c r="H90" s="15" t="n">
        <v>76.22</v>
      </c>
      <c r="I90" s="14" t="n">
        <v>21.54</v>
      </c>
      <c r="J90" s="14" t="n">
        <v>22.4</v>
      </c>
    </row>
    <row r="91" customFormat="false" ht="15" hidden="false" customHeight="false" outlineLevel="0" collapsed="false">
      <c r="A91" s="8" t="n">
        <v>41518</v>
      </c>
      <c r="B91" s="9" t="s">
        <v>46</v>
      </c>
      <c r="C91" s="9" t="str">
        <f aca="false">INDEX(ENSO!$C$5:$C$25,MATCH(B91,ENSO!$A$5:$A$25,0))</f>
        <v>Neutral</v>
      </c>
      <c r="D91" s="10" t="n">
        <v>22.91</v>
      </c>
      <c r="E91" s="10" t="n">
        <v>19.59</v>
      </c>
      <c r="F91" s="10" t="n">
        <v>28.65</v>
      </c>
      <c r="G91" s="11" t="n">
        <v>79.22</v>
      </c>
      <c r="H91" s="11" t="n">
        <v>75.18</v>
      </c>
      <c r="I91" s="10" t="n">
        <v>20.82</v>
      </c>
      <c r="J91" s="10" t="n">
        <v>22.05</v>
      </c>
    </row>
    <row r="92" customFormat="false" ht="15" hidden="false" customHeight="false" outlineLevel="0" collapsed="false">
      <c r="A92" s="12" t="n">
        <v>41548</v>
      </c>
      <c r="B92" s="13" t="s">
        <v>46</v>
      </c>
      <c r="C92" s="13" t="str">
        <f aca="false">INDEX(ENSO!$C$5:$C$25,MATCH(B92,ENSO!$A$5:$A$25,0))</f>
        <v>Neutral</v>
      </c>
      <c r="D92" s="14" t="n">
        <v>23.36</v>
      </c>
      <c r="E92" s="14" t="n">
        <v>20.09</v>
      </c>
      <c r="F92" s="14" t="n">
        <v>28.63</v>
      </c>
      <c r="G92" s="15" t="n">
        <v>143.16</v>
      </c>
      <c r="H92" s="15" t="n">
        <v>74.37</v>
      </c>
      <c r="I92" s="14" t="n">
        <v>21.09</v>
      </c>
      <c r="J92" s="14" t="n">
        <v>26.19</v>
      </c>
    </row>
    <row r="93" customFormat="false" ht="15" hidden="false" customHeight="false" outlineLevel="0" collapsed="false">
      <c r="A93" s="8" t="n">
        <v>41579</v>
      </c>
      <c r="B93" s="9" t="s">
        <v>46</v>
      </c>
      <c r="C93" s="9" t="str">
        <f aca="false">INDEX(ENSO!$C$5:$C$25,MATCH(B93,ENSO!$A$5:$A$25,0))</f>
        <v>Neutral</v>
      </c>
      <c r="D93" s="10" t="n">
        <v>24.27</v>
      </c>
      <c r="E93" s="10" t="n">
        <v>21.1</v>
      </c>
      <c r="F93" s="10" t="n">
        <v>29.63</v>
      </c>
      <c r="G93" s="11" t="n">
        <v>154.09</v>
      </c>
      <c r="H93" s="11" t="n">
        <v>78.36</v>
      </c>
      <c r="I93" s="10" t="n">
        <v>22.49</v>
      </c>
      <c r="J93" s="10" t="n">
        <v>30.96</v>
      </c>
    </row>
    <row r="94" customFormat="false" ht="15" hidden="false" customHeight="false" outlineLevel="0" collapsed="false">
      <c r="A94" s="12" t="n">
        <v>41609</v>
      </c>
      <c r="B94" s="13" t="s">
        <v>46</v>
      </c>
      <c r="C94" s="13" t="str">
        <f aca="false">INDEX(ENSO!$C$5:$C$25,MATCH(B94,ENSO!$A$5:$A$25,0))</f>
        <v>Neutral</v>
      </c>
      <c r="D94" s="14" t="n">
        <v>25.08</v>
      </c>
      <c r="E94" s="14" t="n">
        <v>22.48</v>
      </c>
      <c r="F94" s="14" t="n">
        <v>30.42</v>
      </c>
      <c r="G94" s="15" t="n">
        <v>591.91</v>
      </c>
      <c r="H94" s="15" t="n">
        <v>84.17</v>
      </c>
      <c r="I94" s="14" t="n">
        <v>34.85</v>
      </c>
      <c r="J94" s="14" t="n">
        <v>38.39</v>
      </c>
    </row>
    <row r="95" customFormat="false" ht="15" hidden="false" customHeight="false" outlineLevel="0" collapsed="false">
      <c r="A95" s="8" t="n">
        <v>41640</v>
      </c>
      <c r="B95" s="9" t="s">
        <v>46</v>
      </c>
      <c r="C95" s="9" t="str">
        <f aca="false">INDEX(ENSO!$C$5:$C$25,MATCH(B95,ENSO!$A$5:$A$25,0))</f>
        <v>Neutral</v>
      </c>
      <c r="D95" s="10" t="n">
        <v>25.26</v>
      </c>
      <c r="E95" s="10" t="n">
        <v>22</v>
      </c>
      <c r="F95" s="10" t="n">
        <v>31.41</v>
      </c>
      <c r="G95" s="11" t="n">
        <v>86.5</v>
      </c>
      <c r="H95" s="11" t="n">
        <v>80.54</v>
      </c>
      <c r="I95" s="10" t="n">
        <v>35.1</v>
      </c>
      <c r="J95" s="10" t="n">
        <v>32.06</v>
      </c>
    </row>
    <row r="96" customFormat="false" ht="15" hidden="false" customHeight="false" outlineLevel="0" collapsed="false">
      <c r="A96" s="12" t="n">
        <v>41671</v>
      </c>
      <c r="B96" s="13" t="s">
        <v>46</v>
      </c>
      <c r="C96" s="13" t="str">
        <f aca="false">INDEX(ENSO!$C$5:$C$25,MATCH(B96,ENSO!$A$5:$A$25,0))</f>
        <v>Neutral</v>
      </c>
      <c r="D96" s="14" t="n">
        <v>25.48</v>
      </c>
      <c r="E96" s="14" t="n">
        <v>21.96</v>
      </c>
      <c r="F96" s="14" t="n">
        <v>31.9</v>
      </c>
      <c r="G96" s="15" t="n">
        <v>43.72</v>
      </c>
      <c r="H96" s="15" t="n">
        <v>79.93</v>
      </c>
      <c r="I96" s="14" t="n">
        <v>30.26</v>
      </c>
      <c r="J96" s="14" t="n">
        <v>28.56</v>
      </c>
    </row>
    <row r="97" customFormat="false" ht="15" hidden="false" customHeight="false" outlineLevel="0" collapsed="false">
      <c r="A97" s="8" t="n">
        <v>41699</v>
      </c>
      <c r="B97" s="9" t="s">
        <v>46</v>
      </c>
      <c r="C97" s="9" t="str">
        <f aca="false">INDEX(ENSO!$C$5:$C$25,MATCH(B97,ENSO!$A$5:$A$25,0))</f>
        <v>Neutral</v>
      </c>
      <c r="D97" s="10" t="n">
        <v>25.39</v>
      </c>
      <c r="E97" s="10" t="n">
        <v>22.17</v>
      </c>
      <c r="F97" s="10" t="n">
        <v>31.67</v>
      </c>
      <c r="G97" s="11" t="n">
        <v>87.08</v>
      </c>
      <c r="H97" s="11" t="n">
        <v>80.17</v>
      </c>
      <c r="I97" s="10" t="n">
        <v>27.98</v>
      </c>
      <c r="J97" s="10" t="n">
        <v>29.35</v>
      </c>
    </row>
    <row r="98" customFormat="false" ht="15" hidden="false" customHeight="false" outlineLevel="0" collapsed="false">
      <c r="A98" s="12" t="n">
        <v>41730</v>
      </c>
      <c r="B98" s="13" t="s">
        <v>46</v>
      </c>
      <c r="C98" s="13" t="str">
        <f aca="false">INDEX(ENSO!$C$5:$C$25,MATCH(B98,ENSO!$A$5:$A$25,0))</f>
        <v>Neutral</v>
      </c>
      <c r="D98" s="14" t="n">
        <v>24.55</v>
      </c>
      <c r="E98" s="14" t="n">
        <v>21.45</v>
      </c>
      <c r="F98" s="14" t="n">
        <v>30.62</v>
      </c>
      <c r="G98" s="15" t="n">
        <v>66.83</v>
      </c>
      <c r="H98" s="15" t="n">
        <v>79.67</v>
      </c>
      <c r="I98" s="14" t="n">
        <v>29.42</v>
      </c>
      <c r="J98" s="14" t="n">
        <v>31.99</v>
      </c>
    </row>
    <row r="99" customFormat="false" ht="15" hidden="false" customHeight="false" outlineLevel="0" collapsed="false">
      <c r="A99" s="8" t="n">
        <v>41760</v>
      </c>
      <c r="B99" s="9" t="s">
        <v>46</v>
      </c>
      <c r="C99" s="9" t="str">
        <f aca="false">INDEX(ENSO!$C$5:$C$25,MATCH(B99,ENSO!$A$5:$A$25,0))</f>
        <v>Neutral</v>
      </c>
      <c r="D99" s="10" t="n">
        <v>23.43</v>
      </c>
      <c r="E99" s="10" t="n">
        <v>20.05</v>
      </c>
      <c r="F99" s="10" t="n">
        <v>29.51</v>
      </c>
      <c r="G99" s="11" t="n">
        <v>22.44</v>
      </c>
      <c r="H99" s="11" t="n">
        <v>76.33</v>
      </c>
      <c r="I99" s="10" t="n">
        <v>25.62</v>
      </c>
      <c r="J99" s="10" t="n">
        <v>22.77</v>
      </c>
    </row>
    <row r="100" customFormat="false" ht="15" hidden="false" customHeight="false" outlineLevel="0" collapsed="false">
      <c r="A100" s="12" t="n">
        <v>41791</v>
      </c>
      <c r="B100" s="13" t="s">
        <v>46</v>
      </c>
      <c r="C100" s="13" t="str">
        <f aca="false">INDEX(ENSO!$C$5:$C$25,MATCH(B100,ENSO!$A$5:$A$25,0))</f>
        <v>Neutral</v>
      </c>
      <c r="D100" s="14" t="n">
        <v>21.68</v>
      </c>
      <c r="E100" s="14" t="n">
        <v>18.77</v>
      </c>
      <c r="F100" s="14" t="n">
        <v>27.1</v>
      </c>
      <c r="G100" s="15" t="n">
        <v>57.14</v>
      </c>
      <c r="H100" s="15" t="n">
        <v>84.87</v>
      </c>
      <c r="I100" s="14" t="n">
        <v>27.07</v>
      </c>
      <c r="J100" s="14" t="n">
        <v>31.96</v>
      </c>
    </row>
    <row r="101" customFormat="false" ht="15" hidden="false" customHeight="false" outlineLevel="0" collapsed="false">
      <c r="A101" s="8" t="n">
        <v>41821</v>
      </c>
      <c r="B101" s="9" t="s">
        <v>47</v>
      </c>
      <c r="C101" s="9" t="str">
        <f aca="false">INDEX(ENSO!$C$5:$C$25,MATCH(B101,ENSO!$A$5:$A$25,0))</f>
        <v>El Niño</v>
      </c>
      <c r="D101" s="10" t="n">
        <v>21.03</v>
      </c>
      <c r="E101" s="10" t="n">
        <v>18.29</v>
      </c>
      <c r="F101" s="10" t="n">
        <v>26.23</v>
      </c>
      <c r="G101" s="11" t="n">
        <v>61.89</v>
      </c>
      <c r="H101" s="11" t="n">
        <v>82.29</v>
      </c>
      <c r="I101" s="10" t="n">
        <v>26.19</v>
      </c>
      <c r="J101" s="10" t="n">
        <v>28.9</v>
      </c>
    </row>
    <row r="102" customFormat="false" ht="15" hidden="false" customHeight="false" outlineLevel="0" collapsed="false">
      <c r="A102" s="12" t="n">
        <v>41852</v>
      </c>
      <c r="B102" s="13" t="s">
        <v>47</v>
      </c>
      <c r="C102" s="13" t="str">
        <f aca="false">INDEX(ENSO!$C$5:$C$25,MATCH(B102,ENSO!$A$5:$A$25,0))</f>
        <v>El Niño</v>
      </c>
      <c r="D102" s="14" t="n">
        <v>21.24</v>
      </c>
      <c r="E102" s="14" t="n">
        <v>17.49</v>
      </c>
      <c r="F102" s="14" t="n">
        <v>27.3</v>
      </c>
      <c r="G102" s="15" t="n">
        <v>99.79</v>
      </c>
      <c r="H102" s="15" t="n">
        <v>76.5</v>
      </c>
      <c r="I102" s="14" t="n">
        <v>24.82</v>
      </c>
      <c r="J102" s="14" t="n">
        <v>25.39</v>
      </c>
    </row>
    <row r="103" customFormat="false" ht="15" hidden="false" customHeight="false" outlineLevel="0" collapsed="false">
      <c r="A103" s="8" t="n">
        <v>41883</v>
      </c>
      <c r="B103" s="9" t="s">
        <v>47</v>
      </c>
      <c r="C103" s="9" t="str">
        <f aca="false">INDEX(ENSO!$C$5:$C$25,MATCH(B103,ENSO!$A$5:$A$25,0))</f>
        <v>El Niño</v>
      </c>
      <c r="D103" s="10" t="n">
        <v>23.02</v>
      </c>
      <c r="E103" s="10" t="n">
        <v>19.09</v>
      </c>
      <c r="F103" s="10" t="n">
        <v>29.2</v>
      </c>
      <c r="G103" s="11" t="n">
        <v>34.5</v>
      </c>
      <c r="H103" s="11" t="n">
        <v>70.44</v>
      </c>
      <c r="I103" s="10" t="n">
        <v>22.5</v>
      </c>
      <c r="J103" s="10" t="n">
        <v>19</v>
      </c>
    </row>
    <row r="104" customFormat="false" ht="15" hidden="false" customHeight="false" outlineLevel="0" collapsed="false">
      <c r="A104" s="12" t="n">
        <v>41913</v>
      </c>
      <c r="B104" s="13" t="s">
        <v>47</v>
      </c>
      <c r="C104" s="13" t="str">
        <f aca="false">INDEX(ENSO!$C$5:$C$25,MATCH(B104,ENSO!$A$5:$A$25,0))</f>
        <v>El Niño</v>
      </c>
      <c r="D104" s="14" t="n">
        <v>23.43</v>
      </c>
      <c r="E104" s="14" t="n">
        <v>19.97</v>
      </c>
      <c r="F104" s="14" t="n">
        <v>29.05</v>
      </c>
      <c r="G104" s="15" t="n">
        <v>175.12</v>
      </c>
      <c r="H104" s="15" t="n">
        <v>72.27</v>
      </c>
      <c r="I104" s="14" t="n">
        <v>22.17</v>
      </c>
      <c r="J104" s="14" t="n">
        <v>21.39</v>
      </c>
    </row>
    <row r="105" customFormat="false" ht="15" hidden="false" customHeight="false" outlineLevel="0" collapsed="false">
      <c r="A105" s="8" t="n">
        <v>41944</v>
      </c>
      <c r="B105" s="9" t="s">
        <v>47</v>
      </c>
      <c r="C105" s="9" t="str">
        <f aca="false">INDEX(ENSO!$C$5:$C$25,MATCH(B105,ENSO!$A$5:$A$25,0))</f>
        <v>El Niño</v>
      </c>
      <c r="D105" s="10" t="n">
        <v>23.95</v>
      </c>
      <c r="E105" s="10" t="n">
        <v>20.98</v>
      </c>
      <c r="F105" s="10" t="n">
        <v>28.98</v>
      </c>
      <c r="G105" s="11" t="n">
        <v>115.41</v>
      </c>
      <c r="H105" s="11" t="n">
        <v>78.55</v>
      </c>
      <c r="I105" s="10" t="n">
        <v>35.83</v>
      </c>
      <c r="J105" s="10" t="n">
        <v>36.61</v>
      </c>
    </row>
    <row r="106" customFormat="false" ht="15" hidden="false" customHeight="false" outlineLevel="0" collapsed="false">
      <c r="A106" s="12" t="n">
        <v>41974</v>
      </c>
      <c r="B106" s="13" t="s">
        <v>47</v>
      </c>
      <c r="C106" s="13" t="str">
        <f aca="false">INDEX(ENSO!$C$5:$C$25,MATCH(B106,ENSO!$A$5:$A$25,0))</f>
        <v>El Niño</v>
      </c>
      <c r="D106" s="14" t="n">
        <v>24.76</v>
      </c>
      <c r="E106" s="14" t="n">
        <v>21.53</v>
      </c>
      <c r="F106" s="14" t="n">
        <v>30.42</v>
      </c>
      <c r="G106" s="15" t="n">
        <v>86.45</v>
      </c>
      <c r="H106" s="15" t="n">
        <v>79.7</v>
      </c>
      <c r="I106" s="14" t="n">
        <v>35.51</v>
      </c>
      <c r="J106" s="14" t="n">
        <v>34.89</v>
      </c>
    </row>
    <row r="107" customFormat="false" ht="15" hidden="false" customHeight="false" outlineLevel="0" collapsed="false">
      <c r="A107" s="8" t="n">
        <v>42005</v>
      </c>
      <c r="B107" s="9" t="s">
        <v>47</v>
      </c>
      <c r="C107" s="9" t="str">
        <f aca="false">INDEX(ENSO!$C$5:$C$25,MATCH(B107,ENSO!$A$5:$A$25,0))</f>
        <v>El Niño</v>
      </c>
      <c r="D107" s="10" t="n">
        <v>26.43</v>
      </c>
      <c r="E107" s="10" t="n">
        <v>22.61</v>
      </c>
      <c r="F107" s="10" t="n">
        <v>33.73</v>
      </c>
      <c r="G107" s="11" t="n">
        <v>11.79</v>
      </c>
      <c r="H107" s="11" t="n">
        <v>72.52</v>
      </c>
      <c r="I107" s="10" t="n">
        <v>28.14</v>
      </c>
      <c r="J107" s="10" t="n">
        <v>19.43</v>
      </c>
    </row>
    <row r="108" customFormat="false" ht="15" hidden="false" customHeight="false" outlineLevel="0" collapsed="false">
      <c r="A108" s="12" t="n">
        <v>42036</v>
      </c>
      <c r="B108" s="13" t="s">
        <v>47</v>
      </c>
      <c r="C108" s="13" t="str">
        <f aca="false">INDEX(ENSO!$C$5:$C$25,MATCH(B108,ENSO!$A$5:$A$25,0))</f>
        <v>El Niño</v>
      </c>
      <c r="D108" s="14" t="n">
        <v>26.51</v>
      </c>
      <c r="E108" s="14" t="n">
        <v>23.04</v>
      </c>
      <c r="F108" s="14" t="n">
        <v>33.22</v>
      </c>
      <c r="G108" s="15" t="n">
        <v>123.47</v>
      </c>
      <c r="H108" s="15" t="n">
        <v>76.86</v>
      </c>
      <c r="I108" s="14" t="n">
        <v>25.37</v>
      </c>
      <c r="J108" s="14" t="n">
        <v>25.2</v>
      </c>
    </row>
    <row r="109" customFormat="false" ht="15" hidden="false" customHeight="false" outlineLevel="0" collapsed="false">
      <c r="A109" s="8" t="n">
        <v>42064</v>
      </c>
      <c r="B109" s="9" t="s">
        <v>47</v>
      </c>
      <c r="C109" s="9" t="str">
        <f aca="false">INDEX(ENSO!$C$5:$C$25,MATCH(B109,ENSO!$A$5:$A$25,0))</f>
        <v>El Niño</v>
      </c>
      <c r="D109" s="10" t="n">
        <v>25.89</v>
      </c>
      <c r="E109" s="10" t="n">
        <v>22.6</v>
      </c>
      <c r="F109" s="10" t="n">
        <v>32.51</v>
      </c>
      <c r="G109" s="11" t="n">
        <v>135.39</v>
      </c>
      <c r="H109" s="11" t="n">
        <v>79.73</v>
      </c>
      <c r="I109" s="10" t="n">
        <v>26.22</v>
      </c>
      <c r="J109" s="10" t="n">
        <v>31.64</v>
      </c>
    </row>
    <row r="110" customFormat="false" ht="15" hidden="false" customHeight="false" outlineLevel="0" collapsed="false">
      <c r="A110" s="12" t="n">
        <v>42095</v>
      </c>
      <c r="B110" s="13" t="s">
        <v>47</v>
      </c>
      <c r="C110" s="13" t="str">
        <f aca="false">INDEX(ENSO!$C$5:$C$25,MATCH(B110,ENSO!$A$5:$A$25,0))</f>
        <v>El Niño</v>
      </c>
      <c r="D110" s="14" t="n">
        <v>24.84</v>
      </c>
      <c r="E110" s="14" t="n">
        <v>21.58</v>
      </c>
      <c r="F110" s="14" t="n">
        <v>31.09</v>
      </c>
      <c r="G110" s="15" t="n">
        <v>44.82</v>
      </c>
      <c r="H110" s="15" t="n">
        <v>76.61</v>
      </c>
      <c r="I110" s="14" t="n">
        <v>25.13</v>
      </c>
      <c r="J110" s="14" t="n">
        <v>27.1</v>
      </c>
    </row>
    <row r="111" customFormat="false" ht="15" hidden="false" customHeight="false" outlineLevel="0" collapsed="false">
      <c r="A111" s="8" t="n">
        <v>42125</v>
      </c>
      <c r="B111" s="9" t="s">
        <v>47</v>
      </c>
      <c r="C111" s="9" t="str">
        <f aca="false">INDEX(ENSO!$C$5:$C$25,MATCH(B111,ENSO!$A$5:$A$25,0))</f>
        <v>El Niño</v>
      </c>
      <c r="D111" s="10" t="n">
        <v>23.12</v>
      </c>
      <c r="E111" s="10" t="n">
        <v>20.13</v>
      </c>
      <c r="F111" s="10" t="n">
        <v>28.85</v>
      </c>
      <c r="G111" s="11" t="n">
        <v>70.83</v>
      </c>
      <c r="H111" s="11" t="n">
        <v>78.84</v>
      </c>
      <c r="I111" s="10" t="n">
        <v>23.59</v>
      </c>
      <c r="J111" s="10" t="n">
        <v>26.69</v>
      </c>
    </row>
    <row r="112" customFormat="false" ht="15" hidden="false" customHeight="false" outlineLevel="0" collapsed="false">
      <c r="A112" s="12" t="n">
        <v>42156</v>
      </c>
      <c r="B112" s="13" t="s">
        <v>47</v>
      </c>
      <c r="C112" s="13" t="str">
        <f aca="false">INDEX(ENSO!$C$5:$C$25,MATCH(B112,ENSO!$A$5:$A$25,0))</f>
        <v>El Niño</v>
      </c>
      <c r="D112" s="14" t="n">
        <v>22.45</v>
      </c>
      <c r="E112" s="14" t="n">
        <v>19.76</v>
      </c>
      <c r="F112" s="14" t="n">
        <v>27.81</v>
      </c>
      <c r="G112" s="15" t="n">
        <v>53.51</v>
      </c>
      <c r="H112" s="15" t="n">
        <v>80.63</v>
      </c>
      <c r="I112" s="14" t="n">
        <v>22.96</v>
      </c>
      <c r="J112" s="14" t="n">
        <v>26.4</v>
      </c>
    </row>
    <row r="113" customFormat="false" ht="15" hidden="false" customHeight="false" outlineLevel="0" collapsed="false">
      <c r="A113" s="8" t="n">
        <v>42186</v>
      </c>
      <c r="B113" s="9" t="s">
        <v>48</v>
      </c>
      <c r="C113" s="9" t="str">
        <f aca="false">INDEX(ENSO!$C$5:$C$25,MATCH(B113,ENSO!$A$5:$A$25,0))</f>
        <v>El Niño</v>
      </c>
      <c r="D113" s="10" t="n">
        <v>21.94</v>
      </c>
      <c r="E113" s="10" t="n">
        <v>18.9</v>
      </c>
      <c r="F113" s="10" t="n">
        <v>27.41</v>
      </c>
      <c r="G113" s="11" t="n">
        <v>44.38</v>
      </c>
      <c r="H113" s="11" t="n">
        <v>82.16</v>
      </c>
      <c r="I113" s="10" t="n">
        <v>22.49</v>
      </c>
      <c r="J113" s="10" t="n">
        <v>24.68</v>
      </c>
    </row>
    <row r="114" customFormat="false" ht="15" hidden="false" customHeight="false" outlineLevel="0" collapsed="false">
      <c r="A114" s="12" t="n">
        <v>42217</v>
      </c>
      <c r="B114" s="13" t="s">
        <v>48</v>
      </c>
      <c r="C114" s="13" t="str">
        <f aca="false">INDEX(ENSO!$C$5:$C$25,MATCH(B114,ENSO!$A$5:$A$25,0))</f>
        <v>El Niño</v>
      </c>
      <c r="D114" s="14" t="n">
        <v>22.03</v>
      </c>
      <c r="E114" s="14" t="n">
        <v>18.35</v>
      </c>
      <c r="F114" s="14" t="n">
        <v>27.95</v>
      </c>
      <c r="G114" s="15" t="n">
        <v>37.13</v>
      </c>
      <c r="H114" s="15" t="n">
        <v>75.99</v>
      </c>
      <c r="I114" s="14" t="n">
        <v>21.19</v>
      </c>
      <c r="J114" s="14" t="n">
        <v>22.41</v>
      </c>
    </row>
    <row r="115" customFormat="false" ht="15" hidden="false" customHeight="false" outlineLevel="0" collapsed="false">
      <c r="A115" s="8" t="n">
        <v>42248</v>
      </c>
      <c r="B115" s="9" t="s">
        <v>48</v>
      </c>
      <c r="C115" s="9" t="str">
        <f aca="false">INDEX(ENSO!$C$5:$C$25,MATCH(B115,ENSO!$A$5:$A$25,0))</f>
        <v>El Niño</v>
      </c>
      <c r="D115" s="10" t="n">
        <v>24.82</v>
      </c>
      <c r="E115" s="10" t="n">
        <v>20.88</v>
      </c>
      <c r="F115" s="10" t="n">
        <v>31.58</v>
      </c>
      <c r="G115" s="11" t="n">
        <v>15.3</v>
      </c>
      <c r="H115" s="11" t="n">
        <v>70.31</v>
      </c>
      <c r="I115" s="10" t="n">
        <v>19.93</v>
      </c>
      <c r="J115" s="10" t="n">
        <v>18.48</v>
      </c>
    </row>
    <row r="116" customFormat="false" ht="15" hidden="false" customHeight="false" outlineLevel="0" collapsed="false">
      <c r="A116" s="12" t="n">
        <v>42278</v>
      </c>
      <c r="B116" s="13" t="s">
        <v>48</v>
      </c>
      <c r="C116" s="13" t="str">
        <f aca="false">INDEX(ENSO!$C$5:$C$25,MATCH(B116,ENSO!$A$5:$A$25,0))</f>
        <v>El Niño</v>
      </c>
      <c r="D116" s="14" t="n">
        <v>25.48</v>
      </c>
      <c r="E116" s="14" t="n">
        <v>21.8</v>
      </c>
      <c r="F116" s="14" t="n">
        <v>31.73</v>
      </c>
      <c r="G116" s="15" t="n">
        <v>29.72</v>
      </c>
      <c r="H116" s="15" t="n">
        <v>69.1</v>
      </c>
      <c r="I116" s="14" t="n">
        <v>18.62</v>
      </c>
      <c r="J116" s="14" t="n">
        <v>16.69</v>
      </c>
    </row>
    <row r="117" customFormat="false" ht="15" hidden="false" customHeight="false" outlineLevel="0" collapsed="false">
      <c r="A117" s="8" t="n">
        <v>42309</v>
      </c>
      <c r="B117" s="9" t="s">
        <v>48</v>
      </c>
      <c r="C117" s="9" t="str">
        <f aca="false">INDEX(ENSO!$C$5:$C$25,MATCH(B117,ENSO!$A$5:$A$25,0))</f>
        <v>El Niño</v>
      </c>
      <c r="D117" s="10" t="n">
        <v>26.94</v>
      </c>
      <c r="E117" s="10" t="n">
        <v>23.38</v>
      </c>
      <c r="F117" s="10" t="n">
        <v>33.45</v>
      </c>
      <c r="G117" s="11" t="n">
        <v>83.63</v>
      </c>
      <c r="H117" s="11" t="n">
        <v>71.66</v>
      </c>
      <c r="I117" s="10" t="n">
        <v>19.48</v>
      </c>
      <c r="J117" s="10" t="n">
        <v>24.44</v>
      </c>
    </row>
    <row r="118" customFormat="false" ht="15" hidden="false" customHeight="false" outlineLevel="0" collapsed="false">
      <c r="A118" s="12" t="n">
        <v>42339</v>
      </c>
      <c r="B118" s="13" t="s">
        <v>48</v>
      </c>
      <c r="C118" s="13" t="str">
        <f aca="false">INDEX(ENSO!$C$5:$C$25,MATCH(B118,ENSO!$A$5:$A$25,0))</f>
        <v>El Niño</v>
      </c>
      <c r="D118" s="14" t="n">
        <v>27.51</v>
      </c>
      <c r="E118" s="14" t="n">
        <v>23.65</v>
      </c>
      <c r="F118" s="14" t="n">
        <v>34.65</v>
      </c>
      <c r="G118" s="15" t="n">
        <v>90.56</v>
      </c>
      <c r="H118" s="15" t="n">
        <v>71.23</v>
      </c>
      <c r="I118" s="14" t="n">
        <v>19.78</v>
      </c>
      <c r="J118" s="14" t="n">
        <v>22.71</v>
      </c>
    </row>
    <row r="119" customFormat="false" ht="15" hidden="false" customHeight="false" outlineLevel="0" collapsed="false">
      <c r="A119" s="8" t="n">
        <v>42370</v>
      </c>
      <c r="B119" s="9" t="s">
        <v>48</v>
      </c>
      <c r="C119" s="9" t="str">
        <f aca="false">INDEX(ENSO!$C$5:$C$25,MATCH(B119,ENSO!$A$5:$A$25,0))</f>
        <v>El Niño</v>
      </c>
      <c r="D119" s="10" t="n">
        <v>26.49</v>
      </c>
      <c r="E119" s="10" t="n">
        <v>23.67</v>
      </c>
      <c r="F119" s="10" t="n">
        <v>32.93</v>
      </c>
      <c r="G119" s="11" t="n">
        <v>271.14</v>
      </c>
      <c r="H119" s="11" t="n">
        <v>79.24</v>
      </c>
      <c r="I119" s="10" t="n">
        <v>24.25</v>
      </c>
      <c r="J119" s="10" t="n">
        <v>32.12</v>
      </c>
    </row>
    <row r="120" customFormat="false" ht="15" hidden="false" customHeight="false" outlineLevel="0" collapsed="false">
      <c r="A120" s="12" t="n">
        <v>42401</v>
      </c>
      <c r="B120" s="13" t="s">
        <v>48</v>
      </c>
      <c r="C120" s="13" t="str">
        <f aca="false">INDEX(ENSO!$C$5:$C$25,MATCH(B120,ENSO!$A$5:$A$25,0))</f>
        <v>El Niño</v>
      </c>
      <c r="D120" s="14" t="n">
        <v>27.18</v>
      </c>
      <c r="E120" s="14" t="n">
        <v>23.41</v>
      </c>
      <c r="F120" s="14" t="n">
        <v>34.37</v>
      </c>
      <c r="G120" s="15" t="n">
        <v>11.27</v>
      </c>
      <c r="H120" s="15" t="n">
        <v>75.16</v>
      </c>
      <c r="I120" s="14" t="n">
        <v>29.1</v>
      </c>
      <c r="J120" s="14" t="n">
        <v>24.7</v>
      </c>
    </row>
    <row r="121" customFormat="false" ht="15" hidden="false" customHeight="false" outlineLevel="0" collapsed="false">
      <c r="A121" s="8" t="n">
        <v>42430</v>
      </c>
      <c r="B121" s="9" t="s">
        <v>48</v>
      </c>
      <c r="C121" s="9" t="str">
        <f aca="false">INDEX(ENSO!$C$5:$C$25,MATCH(B121,ENSO!$A$5:$A$25,0))</f>
        <v>El Niño</v>
      </c>
      <c r="D121" s="10" t="n">
        <v>27.11</v>
      </c>
      <c r="E121" s="10" t="n">
        <v>23.66</v>
      </c>
      <c r="F121" s="10" t="n">
        <v>34</v>
      </c>
      <c r="G121" s="11" t="n">
        <v>31.79</v>
      </c>
      <c r="H121" s="11" t="n">
        <v>75.58</v>
      </c>
      <c r="I121" s="10" t="n">
        <v>24.01</v>
      </c>
      <c r="J121" s="10" t="n">
        <v>21.03</v>
      </c>
    </row>
    <row r="122" customFormat="false" ht="15" hidden="false" customHeight="false" outlineLevel="0" collapsed="false">
      <c r="A122" s="12" t="n">
        <v>42461</v>
      </c>
      <c r="B122" s="13" t="s">
        <v>48</v>
      </c>
      <c r="C122" s="13" t="str">
        <f aca="false">INDEX(ENSO!$C$5:$C$25,MATCH(B122,ENSO!$A$5:$A$25,0))</f>
        <v>El Niño</v>
      </c>
      <c r="D122" s="14" t="n">
        <v>26.38</v>
      </c>
      <c r="E122" s="14" t="n">
        <v>22.71</v>
      </c>
      <c r="F122" s="14" t="n">
        <v>33.24</v>
      </c>
      <c r="G122" s="15" t="n">
        <v>39.73</v>
      </c>
      <c r="H122" s="15" t="n">
        <v>74.69</v>
      </c>
      <c r="I122" s="14" t="n">
        <v>21.47</v>
      </c>
      <c r="J122" s="14" t="n">
        <v>19.48</v>
      </c>
    </row>
    <row r="123" customFormat="false" ht="15" hidden="false" customHeight="false" outlineLevel="0" collapsed="false">
      <c r="A123" s="8" t="n">
        <v>42491</v>
      </c>
      <c r="B123" s="9" t="s">
        <v>48</v>
      </c>
      <c r="C123" s="9" t="str">
        <f aca="false">INDEX(ENSO!$C$5:$C$25,MATCH(B123,ENSO!$A$5:$A$25,0))</f>
        <v>El Niño</v>
      </c>
      <c r="D123" s="10" t="n">
        <v>24.34</v>
      </c>
      <c r="E123" s="10" t="n">
        <v>20.94</v>
      </c>
      <c r="F123" s="10" t="n">
        <v>30.68</v>
      </c>
      <c r="G123" s="11" t="n">
        <v>22.78</v>
      </c>
      <c r="H123" s="11" t="n">
        <v>74.33</v>
      </c>
      <c r="I123" s="10" t="n">
        <v>20.22</v>
      </c>
      <c r="J123" s="10" t="n">
        <v>19.83</v>
      </c>
    </row>
    <row r="124" customFormat="false" ht="15" hidden="false" customHeight="false" outlineLevel="0" collapsed="false">
      <c r="A124" s="12" t="n">
        <v>42522</v>
      </c>
      <c r="B124" s="13" t="s">
        <v>48</v>
      </c>
      <c r="C124" s="13" t="str">
        <f aca="false">INDEX(ENSO!$C$5:$C$25,MATCH(B124,ENSO!$A$5:$A$25,0))</f>
        <v>El Niño</v>
      </c>
      <c r="D124" s="14" t="n">
        <v>22.5</v>
      </c>
      <c r="E124" s="14" t="n">
        <v>19.01</v>
      </c>
      <c r="F124" s="14" t="n">
        <v>28.89</v>
      </c>
      <c r="G124" s="15" t="n">
        <v>34.89</v>
      </c>
      <c r="H124" s="15" t="n">
        <v>74.62</v>
      </c>
      <c r="I124" s="14" t="n">
        <v>19.21</v>
      </c>
      <c r="J124" s="14" t="n">
        <v>18.36</v>
      </c>
    </row>
    <row r="125" customFormat="false" ht="15" hidden="false" customHeight="false" outlineLevel="0" collapsed="false">
      <c r="A125" s="8" t="n">
        <v>42552</v>
      </c>
      <c r="B125" s="9" t="s">
        <v>49</v>
      </c>
      <c r="C125" s="9" t="str">
        <f aca="false">INDEX(ENSO!$C$5:$C$25,MATCH(B125,ENSO!$A$5:$A$25,0))</f>
        <v>Neutral</v>
      </c>
      <c r="D125" s="10" t="n">
        <v>21.96</v>
      </c>
      <c r="E125" s="10" t="n">
        <v>18.33</v>
      </c>
      <c r="F125" s="10" t="n">
        <v>28.08</v>
      </c>
      <c r="G125" s="11" t="n">
        <v>41.97</v>
      </c>
      <c r="H125" s="11" t="n">
        <v>75.43</v>
      </c>
      <c r="I125" s="10" t="n">
        <v>19.12</v>
      </c>
      <c r="J125" s="10" t="n">
        <v>21.11</v>
      </c>
    </row>
    <row r="126" customFormat="false" ht="15" hidden="false" customHeight="false" outlineLevel="0" collapsed="false">
      <c r="A126" s="12" t="n">
        <v>42583</v>
      </c>
      <c r="B126" s="13" t="s">
        <v>49</v>
      </c>
      <c r="C126" s="13" t="str">
        <f aca="false">INDEX(ENSO!$C$5:$C$25,MATCH(B126,ENSO!$A$5:$A$25,0))</f>
        <v>Neutral</v>
      </c>
      <c r="D126" s="14" t="n">
        <v>23.11</v>
      </c>
      <c r="E126" s="14" t="n">
        <v>19.38</v>
      </c>
      <c r="F126" s="14" t="n">
        <v>29.6</v>
      </c>
      <c r="G126" s="15" t="n">
        <v>25.15</v>
      </c>
      <c r="H126" s="15" t="n">
        <v>71.16</v>
      </c>
      <c r="I126" s="14" t="n">
        <v>18.51</v>
      </c>
      <c r="J126" s="14" t="n">
        <v>18.37</v>
      </c>
    </row>
    <row r="127" customFormat="false" ht="15" hidden="false" customHeight="false" outlineLevel="0" collapsed="false">
      <c r="A127" s="8" t="n">
        <v>42614</v>
      </c>
      <c r="B127" s="9" t="s">
        <v>49</v>
      </c>
      <c r="C127" s="9" t="str">
        <f aca="false">INDEX(ENSO!$C$5:$C$25,MATCH(B127,ENSO!$A$5:$A$25,0))</f>
        <v>Neutral</v>
      </c>
      <c r="D127" s="10" t="n">
        <v>23.8</v>
      </c>
      <c r="E127" s="10" t="n">
        <v>20.28</v>
      </c>
      <c r="F127" s="10" t="n">
        <v>29.83</v>
      </c>
      <c r="G127" s="11" t="n">
        <v>35.2</v>
      </c>
      <c r="H127" s="11" t="n">
        <v>71.94</v>
      </c>
      <c r="I127" s="10" t="n">
        <v>18.01</v>
      </c>
      <c r="J127" s="10" t="n">
        <v>18.76</v>
      </c>
    </row>
    <row r="128" customFormat="false" ht="15" hidden="false" customHeight="false" outlineLevel="0" collapsed="false">
      <c r="A128" s="12" t="n">
        <v>42644</v>
      </c>
      <c r="B128" s="13" t="s">
        <v>49</v>
      </c>
      <c r="C128" s="13" t="str">
        <f aca="false">INDEX(ENSO!$C$5:$C$25,MATCH(B128,ENSO!$A$5:$A$25,0))</f>
        <v>Neutral</v>
      </c>
      <c r="D128" s="14" t="n">
        <v>24.26</v>
      </c>
      <c r="E128" s="14" t="n">
        <v>21.2</v>
      </c>
      <c r="F128" s="14" t="n">
        <v>29.47</v>
      </c>
      <c r="G128" s="15" t="n">
        <v>73.37</v>
      </c>
      <c r="H128" s="15" t="n">
        <v>75.64</v>
      </c>
      <c r="I128" s="14" t="n">
        <v>19.84</v>
      </c>
      <c r="J128" s="14" t="n">
        <v>25.99</v>
      </c>
    </row>
    <row r="129" customFormat="false" ht="15" hidden="false" customHeight="false" outlineLevel="0" collapsed="false">
      <c r="A129" s="8" t="n">
        <v>42675</v>
      </c>
      <c r="B129" s="9" t="s">
        <v>49</v>
      </c>
      <c r="C129" s="9" t="str">
        <f aca="false">INDEX(ENSO!$C$5:$C$25,MATCH(B129,ENSO!$A$5:$A$25,0))</f>
        <v>Neutral</v>
      </c>
      <c r="D129" s="10" t="n">
        <v>24.46</v>
      </c>
      <c r="E129" s="10" t="n">
        <v>21.54</v>
      </c>
      <c r="F129" s="10" t="n">
        <v>29.62</v>
      </c>
      <c r="G129" s="11" t="n">
        <v>237.23</v>
      </c>
      <c r="H129" s="11" t="n">
        <v>79.72</v>
      </c>
      <c r="I129" s="10" t="n">
        <v>25.12</v>
      </c>
      <c r="J129" s="10" t="n">
        <v>34.65</v>
      </c>
    </row>
    <row r="130" customFormat="false" ht="15" hidden="false" customHeight="false" outlineLevel="0" collapsed="false">
      <c r="A130" s="12" t="n">
        <v>42705</v>
      </c>
      <c r="B130" s="13" t="s">
        <v>49</v>
      </c>
      <c r="C130" s="13" t="str">
        <f aca="false">INDEX(ENSO!$C$5:$C$25,MATCH(B130,ENSO!$A$5:$A$25,0))</f>
        <v>Neutral</v>
      </c>
      <c r="D130" s="14" t="n">
        <v>25.9</v>
      </c>
      <c r="E130" s="14" t="n">
        <v>22.89</v>
      </c>
      <c r="F130" s="14" t="n">
        <v>31.86</v>
      </c>
      <c r="G130" s="15" t="n">
        <v>163.16</v>
      </c>
      <c r="H130" s="15" t="n">
        <v>78.97</v>
      </c>
      <c r="I130" s="14" t="n">
        <v>30.86</v>
      </c>
      <c r="J130" s="14" t="n">
        <v>35.35</v>
      </c>
    </row>
    <row r="131" customFormat="false" ht="15" hidden="false" customHeight="false" outlineLevel="0" collapsed="false">
      <c r="A131" s="8" t="n">
        <v>42736</v>
      </c>
      <c r="B131" s="9" t="s">
        <v>49</v>
      </c>
      <c r="C131" s="9" t="str">
        <f aca="false">INDEX(ENSO!$C$5:$C$25,MATCH(B131,ENSO!$A$5:$A$25,0))</f>
        <v>Neutral</v>
      </c>
      <c r="D131" s="10" t="n">
        <v>26.94</v>
      </c>
      <c r="E131" s="10" t="n">
        <v>23.37</v>
      </c>
      <c r="F131" s="10" t="n">
        <v>34.11</v>
      </c>
      <c r="G131" s="11" t="n">
        <v>31.32</v>
      </c>
      <c r="H131" s="11" t="n">
        <v>71.53</v>
      </c>
      <c r="I131" s="10" t="n">
        <v>25.04</v>
      </c>
      <c r="J131" s="10" t="n">
        <v>19.03</v>
      </c>
    </row>
    <row r="132" customFormat="false" ht="15" hidden="false" customHeight="false" outlineLevel="0" collapsed="false">
      <c r="A132" s="12" t="n">
        <v>42767</v>
      </c>
      <c r="B132" s="13" t="s">
        <v>49</v>
      </c>
      <c r="C132" s="13" t="str">
        <f aca="false">INDEX(ENSO!$C$5:$C$25,MATCH(B132,ENSO!$A$5:$A$25,0))</f>
        <v>Neutral</v>
      </c>
      <c r="D132" s="14" t="n">
        <v>25.84</v>
      </c>
      <c r="E132" s="14" t="n">
        <v>22.8</v>
      </c>
      <c r="F132" s="14" t="n">
        <v>32.04</v>
      </c>
      <c r="G132" s="15" t="n">
        <v>124.47</v>
      </c>
      <c r="H132" s="15" t="n">
        <v>80.3</v>
      </c>
      <c r="I132" s="14" t="n">
        <v>25.84</v>
      </c>
      <c r="J132" s="14" t="n">
        <v>31.51</v>
      </c>
    </row>
    <row r="133" customFormat="false" ht="15" hidden="false" customHeight="false" outlineLevel="0" collapsed="false">
      <c r="A133" s="8" t="n">
        <v>42795</v>
      </c>
      <c r="B133" s="9" t="s">
        <v>49</v>
      </c>
      <c r="C133" s="9" t="str">
        <f aca="false">INDEX(ENSO!$C$5:$C$25,MATCH(B133,ENSO!$A$5:$A$25,0))</f>
        <v>Neutral</v>
      </c>
      <c r="D133" s="10" t="n">
        <v>26.33</v>
      </c>
      <c r="E133" s="10" t="n">
        <v>22.77</v>
      </c>
      <c r="F133" s="10" t="n">
        <v>33.37</v>
      </c>
      <c r="G133" s="11" t="n">
        <v>74.13</v>
      </c>
      <c r="H133" s="11" t="n">
        <v>73.99</v>
      </c>
      <c r="I133" s="10" t="n">
        <v>23.24</v>
      </c>
      <c r="J133" s="10" t="n">
        <v>23.85</v>
      </c>
    </row>
    <row r="134" customFormat="false" ht="15" hidden="false" customHeight="false" outlineLevel="0" collapsed="false">
      <c r="A134" s="12" t="n">
        <v>42826</v>
      </c>
      <c r="B134" s="13" t="s">
        <v>49</v>
      </c>
      <c r="C134" s="13" t="str">
        <f aca="false">INDEX(ENSO!$C$5:$C$25,MATCH(B134,ENSO!$A$5:$A$25,0))</f>
        <v>Neutral</v>
      </c>
      <c r="D134" s="14" t="n">
        <v>25.11</v>
      </c>
      <c r="E134" s="14" t="n">
        <v>21.84</v>
      </c>
      <c r="F134" s="14" t="n">
        <v>31.34</v>
      </c>
      <c r="G134" s="15" t="n">
        <v>34.76</v>
      </c>
      <c r="H134" s="15" t="n">
        <v>75.57</v>
      </c>
      <c r="I134" s="14" t="n">
        <v>22.88</v>
      </c>
      <c r="J134" s="14" t="n">
        <v>24.81</v>
      </c>
    </row>
    <row r="135" customFormat="false" ht="15" hidden="false" customHeight="false" outlineLevel="0" collapsed="false">
      <c r="A135" s="8" t="n">
        <v>42856</v>
      </c>
      <c r="B135" s="9" t="s">
        <v>49</v>
      </c>
      <c r="C135" s="9" t="str">
        <f aca="false">INDEX(ENSO!$C$5:$C$25,MATCH(B135,ENSO!$A$5:$A$25,0))</f>
        <v>Neutral</v>
      </c>
      <c r="D135" s="10" t="n">
        <v>23.16</v>
      </c>
      <c r="E135" s="10" t="n">
        <v>20.27</v>
      </c>
      <c r="F135" s="10" t="n">
        <v>28.55</v>
      </c>
      <c r="G135" s="11" t="n">
        <v>86.96</v>
      </c>
      <c r="H135" s="11" t="n">
        <v>76.92</v>
      </c>
      <c r="I135" s="10" t="n">
        <v>22.06</v>
      </c>
      <c r="J135" s="10" t="n">
        <v>26.33</v>
      </c>
    </row>
    <row r="136" customFormat="false" ht="15" hidden="false" customHeight="false" outlineLevel="0" collapsed="false">
      <c r="A136" s="12" t="n">
        <v>42887</v>
      </c>
      <c r="B136" s="13" t="s">
        <v>49</v>
      </c>
      <c r="C136" s="13" t="str">
        <f aca="false">INDEX(ENSO!$C$5:$C$25,MATCH(B136,ENSO!$A$5:$A$25,0))</f>
        <v>Neutral</v>
      </c>
      <c r="D136" s="14" t="n">
        <v>22.38</v>
      </c>
      <c r="E136" s="14" t="n">
        <v>19.46</v>
      </c>
      <c r="F136" s="14" t="n">
        <v>28.24</v>
      </c>
      <c r="G136" s="15" t="n">
        <v>59.91</v>
      </c>
      <c r="H136" s="15" t="n">
        <v>82</v>
      </c>
      <c r="I136" s="14" t="n">
        <v>22.72</v>
      </c>
      <c r="J136" s="14" t="n">
        <v>26.67</v>
      </c>
    </row>
    <row r="137" customFormat="false" ht="15" hidden="false" customHeight="false" outlineLevel="0" collapsed="false">
      <c r="A137" s="8" t="n">
        <v>42917</v>
      </c>
      <c r="B137" s="9" t="s">
        <v>50</v>
      </c>
      <c r="C137" s="9" t="str">
        <f aca="false">INDEX(ENSO!$C$5:$C$25,MATCH(B137,ENSO!$A$5:$A$25,0))</f>
        <v>La Niña</v>
      </c>
      <c r="D137" s="10" t="n">
        <v>20.49</v>
      </c>
      <c r="E137" s="10" t="n">
        <v>17.59</v>
      </c>
      <c r="F137" s="10" t="n">
        <v>25.95</v>
      </c>
      <c r="G137" s="11" t="n">
        <v>75.07</v>
      </c>
      <c r="H137" s="11" t="n">
        <v>78.15</v>
      </c>
      <c r="I137" s="10" t="n">
        <v>21.96</v>
      </c>
      <c r="J137" s="10" t="n">
        <v>26.39</v>
      </c>
    </row>
    <row r="138" customFormat="false" ht="15" hidden="false" customHeight="false" outlineLevel="0" collapsed="false">
      <c r="A138" s="12" t="n">
        <v>42948</v>
      </c>
      <c r="B138" s="13" t="s">
        <v>50</v>
      </c>
      <c r="C138" s="13" t="str">
        <f aca="false">INDEX(ENSO!$C$5:$C$25,MATCH(B138,ENSO!$A$5:$A$25,0))</f>
        <v>La Niña</v>
      </c>
      <c r="D138" s="14" t="n">
        <v>21.16</v>
      </c>
      <c r="E138" s="14" t="n">
        <v>17.26</v>
      </c>
      <c r="F138" s="14" t="n">
        <v>27.18</v>
      </c>
      <c r="G138" s="15" t="n">
        <v>25.88</v>
      </c>
      <c r="H138" s="15" t="n">
        <v>71.46</v>
      </c>
      <c r="I138" s="14" t="n">
        <v>20.41</v>
      </c>
      <c r="J138" s="14" t="n">
        <v>19.91</v>
      </c>
    </row>
    <row r="139" customFormat="false" ht="15" hidden="false" customHeight="false" outlineLevel="0" collapsed="false">
      <c r="A139" s="8" t="n">
        <v>42979</v>
      </c>
      <c r="B139" s="9" t="s">
        <v>50</v>
      </c>
      <c r="C139" s="9" t="str">
        <f aca="false">INDEX(ENSO!$C$5:$C$25,MATCH(B139,ENSO!$A$5:$A$25,0))</f>
        <v>La Niña</v>
      </c>
      <c r="D139" s="10" t="n">
        <v>22</v>
      </c>
      <c r="E139" s="10" t="n">
        <v>18.63</v>
      </c>
      <c r="F139" s="10" t="n">
        <v>27.34</v>
      </c>
      <c r="G139" s="11" t="n">
        <v>56.52</v>
      </c>
      <c r="H139" s="11" t="n">
        <v>73.57</v>
      </c>
      <c r="I139" s="10" t="n">
        <v>19.38</v>
      </c>
      <c r="J139" s="10" t="n">
        <v>20.15</v>
      </c>
    </row>
    <row r="140" customFormat="false" ht="15" hidden="false" customHeight="false" outlineLevel="0" collapsed="false">
      <c r="A140" s="12" t="n">
        <v>43009</v>
      </c>
      <c r="B140" s="13" t="s">
        <v>50</v>
      </c>
      <c r="C140" s="13" t="str">
        <f aca="false">INDEX(ENSO!$C$5:$C$25,MATCH(B140,ENSO!$A$5:$A$25,0))</f>
        <v>La Niña</v>
      </c>
      <c r="D140" s="14" t="n">
        <v>24.91</v>
      </c>
      <c r="E140" s="14" t="n">
        <v>21.25</v>
      </c>
      <c r="F140" s="14" t="n">
        <v>31.16</v>
      </c>
      <c r="G140" s="15" t="n">
        <v>49.92</v>
      </c>
      <c r="H140" s="15" t="n">
        <v>71.51</v>
      </c>
      <c r="I140" s="14" t="n">
        <v>18.87</v>
      </c>
      <c r="J140" s="14" t="n">
        <v>20.76</v>
      </c>
    </row>
    <row r="141" customFormat="false" ht="15" hidden="false" customHeight="false" outlineLevel="0" collapsed="false">
      <c r="A141" s="8" t="n">
        <v>43040</v>
      </c>
      <c r="B141" s="9" t="s">
        <v>50</v>
      </c>
      <c r="C141" s="9" t="str">
        <f aca="false">INDEX(ENSO!$C$5:$C$25,MATCH(B141,ENSO!$A$5:$A$25,0))</f>
        <v>La Niña</v>
      </c>
      <c r="D141" s="10" t="n">
        <v>24.1</v>
      </c>
      <c r="E141" s="10" t="n">
        <v>21.43</v>
      </c>
      <c r="F141" s="10" t="n">
        <v>28.96</v>
      </c>
      <c r="G141" s="11" t="n">
        <v>132.64</v>
      </c>
      <c r="H141" s="11" t="n">
        <v>79.18</v>
      </c>
      <c r="I141" s="10" t="n">
        <v>24.39</v>
      </c>
      <c r="J141" s="10" t="n">
        <v>33.34</v>
      </c>
    </row>
    <row r="142" customFormat="false" ht="15" hidden="false" customHeight="false" outlineLevel="0" collapsed="false">
      <c r="A142" s="12" t="n">
        <v>43070</v>
      </c>
      <c r="B142" s="13" t="s">
        <v>50</v>
      </c>
      <c r="C142" s="13" t="str">
        <f aca="false">INDEX(ENSO!$C$5:$C$25,MATCH(B142,ENSO!$A$5:$A$25,0))</f>
        <v>La Niña</v>
      </c>
      <c r="D142" s="14" t="n">
        <v>24.94</v>
      </c>
      <c r="E142" s="14" t="n">
        <v>22.27</v>
      </c>
      <c r="F142" s="14" t="n">
        <v>30.39</v>
      </c>
      <c r="G142" s="15" t="n">
        <v>310.14</v>
      </c>
      <c r="H142" s="15" t="n">
        <v>83.67</v>
      </c>
      <c r="I142" s="14" t="n">
        <v>36.6</v>
      </c>
      <c r="J142" s="14" t="n">
        <v>37.92</v>
      </c>
    </row>
    <row r="143" customFormat="false" ht="15" hidden="false" customHeight="false" outlineLevel="0" collapsed="false">
      <c r="A143" s="8" t="n">
        <v>43101</v>
      </c>
      <c r="B143" s="9" t="s">
        <v>50</v>
      </c>
      <c r="C143" s="9" t="str">
        <f aca="false">INDEX(ENSO!$C$5:$C$25,MATCH(B143,ENSO!$A$5:$A$25,0))</f>
        <v>La Niña</v>
      </c>
      <c r="D143" s="10" t="n">
        <v>26.2</v>
      </c>
      <c r="E143" s="10" t="n">
        <v>22.98</v>
      </c>
      <c r="F143" s="10" t="n">
        <v>32.72</v>
      </c>
      <c r="G143" s="11" t="n">
        <v>117.7</v>
      </c>
      <c r="H143" s="11" t="n">
        <v>78.42</v>
      </c>
      <c r="I143" s="10" t="n">
        <v>33.23</v>
      </c>
      <c r="J143" s="10" t="n">
        <v>29.74</v>
      </c>
    </row>
    <row r="144" customFormat="false" ht="15" hidden="false" customHeight="false" outlineLevel="0" collapsed="false">
      <c r="A144" s="12" t="n">
        <v>43132</v>
      </c>
      <c r="B144" s="13" t="s">
        <v>50</v>
      </c>
      <c r="C144" s="13" t="str">
        <f aca="false">INDEX(ENSO!$C$5:$C$25,MATCH(B144,ENSO!$A$5:$A$25,0))</f>
        <v>La Niña</v>
      </c>
      <c r="D144" s="14" t="n">
        <v>25.29</v>
      </c>
      <c r="E144" s="14" t="n">
        <v>22.65</v>
      </c>
      <c r="F144" s="14" t="n">
        <v>31.06</v>
      </c>
      <c r="G144" s="15" t="n">
        <v>234.6</v>
      </c>
      <c r="H144" s="15" t="n">
        <v>84.57</v>
      </c>
      <c r="I144" s="14" t="n">
        <v>38.68</v>
      </c>
      <c r="J144" s="14" t="n">
        <v>37.96</v>
      </c>
    </row>
    <row r="145" customFormat="false" ht="15" hidden="false" customHeight="false" outlineLevel="0" collapsed="false">
      <c r="A145" s="8" t="n">
        <v>43160</v>
      </c>
      <c r="B145" s="9" t="s">
        <v>50</v>
      </c>
      <c r="C145" s="9" t="str">
        <f aca="false">INDEX(ENSO!$C$5:$C$25,MATCH(B145,ENSO!$A$5:$A$25,0))</f>
        <v>La Niña</v>
      </c>
      <c r="D145" s="10" t="n">
        <v>25.92</v>
      </c>
      <c r="E145" s="10" t="n">
        <v>22.99</v>
      </c>
      <c r="F145" s="10" t="n">
        <v>32.04</v>
      </c>
      <c r="G145" s="11" t="n">
        <v>137.57</v>
      </c>
      <c r="H145" s="11" t="n">
        <v>82.97</v>
      </c>
      <c r="I145" s="10" t="n">
        <v>36.64</v>
      </c>
      <c r="J145" s="10" t="n">
        <v>36.03</v>
      </c>
    </row>
    <row r="146" customFormat="false" ht="15" hidden="false" customHeight="false" outlineLevel="0" collapsed="false">
      <c r="A146" s="12" t="n">
        <v>43191</v>
      </c>
      <c r="B146" s="13" t="s">
        <v>50</v>
      </c>
      <c r="C146" s="13" t="str">
        <f aca="false">INDEX(ENSO!$C$5:$C$25,MATCH(B146,ENSO!$A$5:$A$25,0))</f>
        <v>La Niña</v>
      </c>
      <c r="D146" s="14" t="n">
        <v>23.79</v>
      </c>
      <c r="E146" s="14" t="n">
        <v>21.31</v>
      </c>
      <c r="F146" s="14" t="n">
        <v>29.41</v>
      </c>
      <c r="G146" s="15" t="n">
        <v>123.36</v>
      </c>
      <c r="H146" s="15" t="n">
        <v>84.43</v>
      </c>
      <c r="I146" s="14" t="n">
        <v>35.34</v>
      </c>
      <c r="J146" s="14" t="n">
        <v>36.53</v>
      </c>
    </row>
    <row r="147" customFormat="false" ht="15" hidden="false" customHeight="false" outlineLevel="0" collapsed="false">
      <c r="A147" s="8" t="n">
        <v>43221</v>
      </c>
      <c r="B147" s="9" t="s">
        <v>50</v>
      </c>
      <c r="C147" s="9" t="str">
        <f aca="false">INDEX(ENSO!$C$5:$C$25,MATCH(B147,ENSO!$A$5:$A$25,0))</f>
        <v>La Niña</v>
      </c>
      <c r="D147" s="10" t="n">
        <v>22.54</v>
      </c>
      <c r="E147" s="10" t="n">
        <v>19.82</v>
      </c>
      <c r="F147" s="10" t="n">
        <v>27.94</v>
      </c>
      <c r="G147" s="11" t="n">
        <v>47.71</v>
      </c>
      <c r="H147" s="11" t="n">
        <v>83.92</v>
      </c>
      <c r="I147" s="10" t="n">
        <v>33.57</v>
      </c>
      <c r="J147" s="10" t="n">
        <v>33.89</v>
      </c>
    </row>
    <row r="148" customFormat="false" ht="15" hidden="false" customHeight="false" outlineLevel="0" collapsed="false">
      <c r="A148" s="12" t="n">
        <v>43252</v>
      </c>
      <c r="B148" s="13" t="s">
        <v>50</v>
      </c>
      <c r="C148" s="13" t="str">
        <f aca="false">INDEX(ENSO!$C$5:$C$25,MATCH(B148,ENSO!$A$5:$A$25,0))</f>
        <v>La Niña</v>
      </c>
      <c r="D148" s="14" t="n">
        <v>22.16</v>
      </c>
      <c r="E148" s="14" t="n">
        <v>19.3</v>
      </c>
      <c r="F148" s="14" t="n">
        <v>27.63</v>
      </c>
      <c r="G148" s="15" t="n">
        <v>39.99</v>
      </c>
      <c r="H148" s="15" t="n">
        <v>84.46</v>
      </c>
      <c r="I148" s="14" t="n">
        <v>31.16</v>
      </c>
      <c r="J148" s="14" t="n">
        <v>30.12</v>
      </c>
    </row>
    <row r="149" customFormat="false" ht="15" hidden="false" customHeight="false" outlineLevel="0" collapsed="false">
      <c r="A149" s="8" t="n">
        <v>43282</v>
      </c>
      <c r="B149" s="9" t="s">
        <v>51</v>
      </c>
      <c r="C149" s="9" t="str">
        <f aca="false">INDEX(ENSO!$C$5:$C$25,MATCH(B149,ENSO!$A$5:$A$25,0))</f>
        <v>El Niño</v>
      </c>
      <c r="D149" s="10" t="n">
        <v>21.36</v>
      </c>
      <c r="E149" s="10" t="n">
        <v>17.71</v>
      </c>
      <c r="F149" s="10" t="n">
        <v>27.36</v>
      </c>
      <c r="G149" s="11" t="n">
        <v>23.78</v>
      </c>
      <c r="H149" s="11" t="n">
        <v>82.61</v>
      </c>
      <c r="I149" s="10" t="n">
        <v>28.17</v>
      </c>
      <c r="J149" s="10" t="n">
        <v>25.55</v>
      </c>
    </row>
    <row r="150" customFormat="false" ht="15" hidden="false" customHeight="false" outlineLevel="0" collapsed="false">
      <c r="A150" s="12" t="n">
        <v>43313</v>
      </c>
      <c r="B150" s="13" t="s">
        <v>51</v>
      </c>
      <c r="C150" s="13" t="str">
        <f aca="false">INDEX(ENSO!$C$5:$C$25,MATCH(B150,ENSO!$A$5:$A$25,0))</f>
        <v>El Niño</v>
      </c>
      <c r="D150" s="14" t="n">
        <v>22.15</v>
      </c>
      <c r="E150" s="14" t="n">
        <v>19.12</v>
      </c>
      <c r="F150" s="14" t="n">
        <v>27.6</v>
      </c>
      <c r="G150" s="15" t="n">
        <v>89.43</v>
      </c>
      <c r="H150" s="15" t="n">
        <v>80.54</v>
      </c>
      <c r="I150" s="14" t="n">
        <v>25.89</v>
      </c>
      <c r="J150" s="14" t="n">
        <v>24.49</v>
      </c>
    </row>
    <row r="151" customFormat="false" ht="15" hidden="false" customHeight="false" outlineLevel="0" collapsed="false">
      <c r="A151" s="8" t="n">
        <v>43344</v>
      </c>
      <c r="B151" s="9" t="s">
        <v>51</v>
      </c>
      <c r="C151" s="9" t="str">
        <f aca="false">INDEX(ENSO!$C$5:$C$25,MATCH(B151,ENSO!$A$5:$A$25,0))</f>
        <v>El Niño</v>
      </c>
      <c r="D151" s="10" t="n">
        <v>23.41</v>
      </c>
      <c r="E151" s="10" t="n">
        <v>20.13</v>
      </c>
      <c r="F151" s="10" t="n">
        <v>29.14</v>
      </c>
      <c r="G151" s="11" t="n">
        <v>36.16</v>
      </c>
      <c r="H151" s="11" t="n">
        <v>74.83</v>
      </c>
      <c r="I151" s="10" t="n">
        <v>24.23</v>
      </c>
      <c r="J151" s="10" t="n">
        <v>23.3</v>
      </c>
    </row>
    <row r="152" customFormat="false" ht="15" hidden="false" customHeight="false" outlineLevel="0" collapsed="false">
      <c r="A152" s="12" t="n">
        <v>43374</v>
      </c>
      <c r="B152" s="13" t="s">
        <v>51</v>
      </c>
      <c r="C152" s="13" t="str">
        <f aca="false">INDEX(ENSO!$C$5:$C$25,MATCH(B152,ENSO!$A$5:$A$25,0))</f>
        <v>El Niño</v>
      </c>
      <c r="D152" s="14" t="n">
        <v>24.64</v>
      </c>
      <c r="E152" s="14" t="n">
        <v>21.63</v>
      </c>
      <c r="F152" s="14" t="n">
        <v>29.71</v>
      </c>
      <c r="G152" s="15" t="n">
        <v>194.22</v>
      </c>
      <c r="H152" s="15" t="n">
        <v>75.57</v>
      </c>
      <c r="I152" s="14" t="n">
        <v>23.21</v>
      </c>
      <c r="J152" s="14" t="n">
        <v>25.82</v>
      </c>
    </row>
    <row r="153" customFormat="false" ht="15" hidden="false" customHeight="false" outlineLevel="0" collapsed="false">
      <c r="A153" s="8" t="n">
        <v>43405</v>
      </c>
      <c r="B153" s="9" t="s">
        <v>51</v>
      </c>
      <c r="C153" s="9" t="str">
        <f aca="false">INDEX(ENSO!$C$5:$C$25,MATCH(B153,ENSO!$A$5:$A$25,0))</f>
        <v>El Niño</v>
      </c>
      <c r="D153" s="10" t="n">
        <v>24.37</v>
      </c>
      <c r="E153" s="10" t="n">
        <v>21.61</v>
      </c>
      <c r="F153" s="10" t="n">
        <v>29.25</v>
      </c>
      <c r="G153" s="11" t="n">
        <v>207.84</v>
      </c>
      <c r="H153" s="11" t="n">
        <v>83.21</v>
      </c>
      <c r="I153" s="10" t="n">
        <v>29.55</v>
      </c>
      <c r="J153" s="10" t="n">
        <v>35.73</v>
      </c>
    </row>
    <row r="154" customFormat="false" ht="15" hidden="false" customHeight="false" outlineLevel="0" collapsed="false">
      <c r="A154" s="12" t="n">
        <v>43435</v>
      </c>
      <c r="B154" s="13" t="s">
        <v>51</v>
      </c>
      <c r="C154" s="13" t="str">
        <f aca="false">INDEX(ENSO!$C$5:$C$25,MATCH(B154,ENSO!$A$5:$A$25,0))</f>
        <v>El Niño</v>
      </c>
      <c r="D154" s="14" t="n">
        <v>25.14</v>
      </c>
      <c r="E154" s="14" t="n">
        <v>22.3</v>
      </c>
      <c r="F154" s="14" t="n">
        <v>30.77</v>
      </c>
      <c r="G154" s="15" t="n">
        <v>340.65</v>
      </c>
      <c r="H154" s="15" t="n">
        <v>82.75</v>
      </c>
      <c r="I154" s="14" t="n">
        <v>36.86</v>
      </c>
      <c r="J154" s="14" t="n">
        <v>37.35</v>
      </c>
    </row>
    <row r="155" customFormat="false" ht="15" hidden="false" customHeight="false" outlineLevel="0" collapsed="false">
      <c r="A155" s="8" t="n">
        <v>43466</v>
      </c>
      <c r="B155" s="9" t="s">
        <v>51</v>
      </c>
      <c r="C155" s="9" t="str">
        <f aca="false">INDEX(ENSO!$C$5:$C$25,MATCH(B155,ENSO!$A$5:$A$25,0))</f>
        <v>El Niño</v>
      </c>
      <c r="D155" s="10" t="n">
        <v>26.41</v>
      </c>
      <c r="E155" s="10" t="n">
        <v>23.02</v>
      </c>
      <c r="F155" s="10" t="n">
        <v>33.03</v>
      </c>
      <c r="G155" s="11" t="n">
        <v>11.64</v>
      </c>
      <c r="H155" s="11" t="n">
        <v>78.51</v>
      </c>
      <c r="I155" s="10" t="n">
        <v>33.61</v>
      </c>
      <c r="J155" s="10" t="n">
        <v>28.36</v>
      </c>
    </row>
    <row r="156" customFormat="false" ht="15" hidden="false" customHeight="false" outlineLevel="0" collapsed="false">
      <c r="A156" s="12" t="n">
        <v>43497</v>
      </c>
      <c r="B156" s="13" t="s">
        <v>51</v>
      </c>
      <c r="C156" s="13" t="str">
        <f aca="false">INDEX(ENSO!$C$5:$C$25,MATCH(B156,ENSO!$A$5:$A$25,0))</f>
        <v>El Niño</v>
      </c>
      <c r="D156" s="14" t="n">
        <v>27.81</v>
      </c>
      <c r="E156" s="14" t="n">
        <v>24.14</v>
      </c>
      <c r="F156" s="14" t="n">
        <v>35.2</v>
      </c>
      <c r="G156" s="15" t="n">
        <v>107.63</v>
      </c>
      <c r="H156" s="15" t="n">
        <v>74.74</v>
      </c>
      <c r="I156" s="14" t="n">
        <v>28.13</v>
      </c>
      <c r="J156" s="14" t="n">
        <v>26.19</v>
      </c>
    </row>
    <row r="157" customFormat="false" ht="15" hidden="false" customHeight="false" outlineLevel="0" collapsed="false">
      <c r="A157" s="8" t="n">
        <v>43525</v>
      </c>
      <c r="B157" s="9" t="s">
        <v>51</v>
      </c>
      <c r="C157" s="9" t="str">
        <f aca="false">INDEX(ENSO!$C$5:$C$25,MATCH(B157,ENSO!$A$5:$A$25,0))</f>
        <v>El Niño</v>
      </c>
      <c r="D157" s="10" t="n">
        <v>27.03</v>
      </c>
      <c r="E157" s="10" t="n">
        <v>23.67</v>
      </c>
      <c r="F157" s="10" t="n">
        <v>33.66</v>
      </c>
      <c r="G157" s="11" t="n">
        <v>70.76</v>
      </c>
      <c r="H157" s="11" t="n">
        <v>75.05</v>
      </c>
      <c r="I157" s="10" t="n">
        <v>25.82</v>
      </c>
      <c r="J157" s="10" t="n">
        <v>27.76</v>
      </c>
    </row>
    <row r="158" customFormat="false" ht="15" hidden="false" customHeight="false" outlineLevel="0" collapsed="false">
      <c r="A158" s="12" t="n">
        <v>43556</v>
      </c>
      <c r="B158" s="13" t="s">
        <v>51</v>
      </c>
      <c r="C158" s="13" t="str">
        <f aca="false">INDEX(ENSO!$C$5:$C$25,MATCH(B158,ENSO!$A$5:$A$25,0))</f>
        <v>El Niño</v>
      </c>
      <c r="D158" s="14" t="n">
        <v>26.2</v>
      </c>
      <c r="E158" s="14" t="n">
        <v>23.14</v>
      </c>
      <c r="F158" s="14" t="n">
        <v>32.6</v>
      </c>
      <c r="G158" s="15" t="n">
        <v>100.28</v>
      </c>
      <c r="H158" s="15" t="n">
        <v>79.95</v>
      </c>
      <c r="I158" s="14" t="n">
        <v>25.71</v>
      </c>
      <c r="J158" s="14" t="n">
        <v>29.64</v>
      </c>
    </row>
    <row r="159" customFormat="false" ht="15" hidden="false" customHeight="false" outlineLevel="0" collapsed="false">
      <c r="A159" s="8" t="n">
        <v>43586</v>
      </c>
      <c r="B159" s="9" t="s">
        <v>51</v>
      </c>
      <c r="C159" s="9" t="str">
        <f aca="false">INDEX(ENSO!$C$5:$C$25,MATCH(B159,ENSO!$A$5:$A$25,0))</f>
        <v>El Niño</v>
      </c>
      <c r="D159" s="10" t="n">
        <v>24.84</v>
      </c>
      <c r="E159" s="10" t="n">
        <v>21.86</v>
      </c>
      <c r="F159" s="10" t="n">
        <v>30.61</v>
      </c>
      <c r="G159" s="11" t="n">
        <v>78.15</v>
      </c>
      <c r="H159" s="11" t="n">
        <v>80.65</v>
      </c>
      <c r="I159" s="10" t="n">
        <v>24.46</v>
      </c>
      <c r="J159" s="10" t="n">
        <v>27.29</v>
      </c>
    </row>
    <row r="160" customFormat="false" ht="15" hidden="false" customHeight="false" outlineLevel="0" collapsed="false">
      <c r="A160" s="12" t="n">
        <v>43617</v>
      </c>
      <c r="B160" s="13" t="s">
        <v>51</v>
      </c>
      <c r="C160" s="13" t="str">
        <f aca="false">INDEX(ENSO!$C$5:$C$25,MATCH(B160,ENSO!$A$5:$A$25,0))</f>
        <v>El Niño</v>
      </c>
      <c r="D160" s="14" t="n">
        <v>22.8</v>
      </c>
      <c r="E160" s="14" t="n">
        <v>19.59</v>
      </c>
      <c r="F160" s="14" t="n">
        <v>28.63</v>
      </c>
      <c r="G160" s="15" t="n">
        <v>48.35</v>
      </c>
      <c r="H160" s="15" t="n">
        <v>80.18</v>
      </c>
      <c r="I160" s="14" t="n">
        <v>23.14</v>
      </c>
      <c r="J160" s="14" t="n">
        <v>25.01</v>
      </c>
    </row>
    <row r="161" customFormat="false" ht="15" hidden="false" customHeight="false" outlineLevel="0" collapsed="false">
      <c r="A161" s="8" t="n">
        <v>43647</v>
      </c>
      <c r="B161" s="9" t="s">
        <v>52</v>
      </c>
      <c r="C161" s="9" t="str">
        <f aca="false">INDEX(ENSO!$C$5:$C$25,MATCH(B161,ENSO!$A$5:$A$25,0))</f>
        <v>El Niño</v>
      </c>
      <c r="D161" s="10" t="n">
        <v>21.94</v>
      </c>
      <c r="E161" s="10" t="n">
        <v>18.19</v>
      </c>
      <c r="F161" s="10" t="n">
        <v>28.11</v>
      </c>
      <c r="G161" s="11" t="n">
        <v>37.27</v>
      </c>
      <c r="H161" s="11" t="n">
        <v>73.43</v>
      </c>
      <c r="I161" s="10" t="n">
        <v>21.51</v>
      </c>
      <c r="J161" s="10" t="n">
        <v>20.39</v>
      </c>
    </row>
    <row r="162" customFormat="false" ht="15" hidden="false" customHeight="false" outlineLevel="0" collapsed="false">
      <c r="A162" s="12" t="n">
        <v>43678</v>
      </c>
      <c r="B162" s="13" t="s">
        <v>52</v>
      </c>
      <c r="C162" s="13" t="str">
        <f aca="false">INDEX(ENSO!$C$5:$C$25,MATCH(B162,ENSO!$A$5:$A$25,0))</f>
        <v>El Niño</v>
      </c>
      <c r="D162" s="14" t="n">
        <v>21.86</v>
      </c>
      <c r="E162" s="14" t="n">
        <v>18.64</v>
      </c>
      <c r="F162" s="14" t="n">
        <v>27.54</v>
      </c>
      <c r="G162" s="15" t="n">
        <v>78.47</v>
      </c>
      <c r="H162" s="15" t="n">
        <v>75.94</v>
      </c>
      <c r="I162" s="14" t="n">
        <v>21.35</v>
      </c>
      <c r="J162" s="14" t="n">
        <v>23.94</v>
      </c>
    </row>
    <row r="163" customFormat="false" ht="15" hidden="false" customHeight="false" outlineLevel="0" collapsed="false">
      <c r="A163" s="8" t="n">
        <v>43709</v>
      </c>
      <c r="B163" s="9" t="s">
        <v>52</v>
      </c>
      <c r="C163" s="9" t="str">
        <f aca="false">INDEX(ENSO!$C$5:$C$25,MATCH(B163,ENSO!$A$5:$A$25,0))</f>
        <v>El Niño</v>
      </c>
      <c r="D163" s="10" t="n">
        <v>23.77</v>
      </c>
      <c r="E163" s="10" t="n">
        <v>20.3</v>
      </c>
      <c r="F163" s="10" t="n">
        <v>29.83</v>
      </c>
      <c r="G163" s="11" t="n">
        <v>25.78</v>
      </c>
      <c r="H163" s="11" t="n">
        <v>72.2</v>
      </c>
      <c r="I163" s="10" t="n">
        <v>20.01</v>
      </c>
      <c r="J163" s="10" t="n">
        <v>19.47</v>
      </c>
    </row>
    <row r="164" customFormat="false" ht="15" hidden="false" customHeight="false" outlineLevel="0" collapsed="false">
      <c r="A164" s="12" t="n">
        <v>43739</v>
      </c>
      <c r="B164" s="13" t="s">
        <v>52</v>
      </c>
      <c r="C164" s="13" t="str">
        <f aca="false">INDEX(ENSO!$C$5:$C$25,MATCH(B164,ENSO!$A$5:$A$25,0))</f>
        <v>El Niño</v>
      </c>
      <c r="D164" s="14" t="n">
        <v>24.52</v>
      </c>
      <c r="E164" s="14" t="n">
        <v>21.24</v>
      </c>
      <c r="F164" s="14" t="n">
        <v>29.94</v>
      </c>
      <c r="G164" s="15" t="n">
        <v>128.84</v>
      </c>
      <c r="H164" s="15" t="n">
        <v>76.02</v>
      </c>
      <c r="I164" s="14" t="n">
        <v>20.78</v>
      </c>
      <c r="J164" s="14" t="n">
        <v>26.64</v>
      </c>
    </row>
    <row r="165" customFormat="false" ht="15" hidden="false" customHeight="false" outlineLevel="0" collapsed="false">
      <c r="A165" s="8" t="n">
        <v>43770</v>
      </c>
      <c r="B165" s="9" t="s">
        <v>52</v>
      </c>
      <c r="C165" s="9" t="str">
        <f aca="false">INDEX(ENSO!$C$5:$C$25,MATCH(B165,ENSO!$A$5:$A$25,0))</f>
        <v>El Niño</v>
      </c>
      <c r="D165" s="10" t="n">
        <v>25.11</v>
      </c>
      <c r="E165" s="10" t="n">
        <v>21.96</v>
      </c>
      <c r="F165" s="10" t="n">
        <v>30.7</v>
      </c>
      <c r="G165" s="11" t="n">
        <v>229.43</v>
      </c>
      <c r="H165" s="11" t="n">
        <v>78.34</v>
      </c>
      <c r="I165" s="10" t="n">
        <v>24.2</v>
      </c>
      <c r="J165" s="10" t="n">
        <v>31.05</v>
      </c>
    </row>
    <row r="166" customFormat="false" ht="15" hidden="false" customHeight="false" outlineLevel="0" collapsed="false">
      <c r="A166" s="12" t="n">
        <v>43800</v>
      </c>
      <c r="B166" s="13" t="s">
        <v>52</v>
      </c>
      <c r="C166" s="13" t="str">
        <f aca="false">INDEX(ENSO!$C$5:$C$25,MATCH(B166,ENSO!$A$5:$A$25,0))</f>
        <v>El Niño</v>
      </c>
      <c r="D166" s="14" t="n">
        <v>25.43</v>
      </c>
      <c r="E166" s="14" t="n">
        <v>22.41</v>
      </c>
      <c r="F166" s="14" t="n">
        <v>31.14</v>
      </c>
      <c r="G166" s="15" t="n">
        <v>138.51</v>
      </c>
      <c r="H166" s="15" t="n">
        <v>79.98</v>
      </c>
      <c r="I166" s="14" t="n">
        <v>32.2</v>
      </c>
      <c r="J166" s="14" t="n">
        <v>33.74</v>
      </c>
    </row>
    <row r="167" customFormat="false" ht="15" hidden="false" customHeight="false" outlineLevel="0" collapsed="false">
      <c r="A167" s="8" t="n">
        <v>43831</v>
      </c>
      <c r="B167" s="9" t="s">
        <v>52</v>
      </c>
      <c r="C167" s="9" t="str">
        <f aca="false">INDEX(ENSO!$C$5:$C$25,MATCH(B167,ENSO!$A$5:$A$25,0))</f>
        <v>El Niño</v>
      </c>
      <c r="D167" s="10" t="n">
        <v>26.02</v>
      </c>
      <c r="E167" s="10" t="n">
        <v>23.07</v>
      </c>
      <c r="F167" s="10" t="n">
        <v>32.29</v>
      </c>
      <c r="G167" s="11" t="n">
        <v>321.06</v>
      </c>
      <c r="H167" s="11" t="n">
        <v>81.76</v>
      </c>
      <c r="I167" s="10" t="n">
        <v>34.95</v>
      </c>
      <c r="J167" s="10" t="n">
        <v>36.04</v>
      </c>
    </row>
    <row r="168" customFormat="false" ht="15" hidden="false" customHeight="false" outlineLevel="0" collapsed="false">
      <c r="A168" s="12" t="n">
        <v>43862</v>
      </c>
      <c r="B168" s="13" t="s">
        <v>52</v>
      </c>
      <c r="C168" s="13" t="str">
        <f aca="false">INDEX(ENSO!$C$5:$C$25,MATCH(B168,ENSO!$A$5:$A$25,0))</f>
        <v>El Niño</v>
      </c>
      <c r="D168" s="14" t="n">
        <v>26.56</v>
      </c>
      <c r="E168" s="14" t="n">
        <v>23.61</v>
      </c>
      <c r="F168" s="14" t="n">
        <v>32.84</v>
      </c>
      <c r="G168" s="15" t="n">
        <v>104.25</v>
      </c>
      <c r="H168" s="15" t="n">
        <v>80.35</v>
      </c>
      <c r="I168" s="14" t="n">
        <v>35.48</v>
      </c>
      <c r="J168" s="14" t="n">
        <v>32.9</v>
      </c>
    </row>
    <row r="169" customFormat="false" ht="15" hidden="false" customHeight="false" outlineLevel="0" collapsed="false">
      <c r="A169" s="8" t="n">
        <v>43891</v>
      </c>
      <c r="B169" s="9" t="s">
        <v>52</v>
      </c>
      <c r="C169" s="9" t="str">
        <f aca="false">INDEX(ENSO!$C$5:$C$25,MATCH(B169,ENSO!$A$5:$A$25,0))</f>
        <v>El Niño</v>
      </c>
      <c r="D169" s="10" t="n">
        <v>24.8</v>
      </c>
      <c r="E169" s="10" t="n">
        <v>22.13</v>
      </c>
      <c r="F169" s="10" t="n">
        <v>30.24</v>
      </c>
      <c r="G169" s="11" t="n">
        <v>190.3</v>
      </c>
      <c r="H169" s="11" t="n">
        <v>82.81</v>
      </c>
      <c r="I169" s="10" t="n">
        <v>35.64</v>
      </c>
      <c r="J169" s="10" t="n">
        <v>36.37</v>
      </c>
    </row>
    <row r="170" customFormat="false" ht="15" hidden="false" customHeight="false" outlineLevel="0" collapsed="false">
      <c r="A170" s="12" t="n">
        <v>43922</v>
      </c>
      <c r="B170" s="13" t="s">
        <v>52</v>
      </c>
      <c r="C170" s="13" t="str">
        <f aca="false">INDEX(ENSO!$C$5:$C$25,MATCH(B170,ENSO!$A$5:$A$25,0))</f>
        <v>El Niño</v>
      </c>
      <c r="D170" s="14" t="n">
        <v>24.32</v>
      </c>
      <c r="E170" s="14" t="n">
        <v>21.49</v>
      </c>
      <c r="F170" s="14" t="n">
        <v>29.96</v>
      </c>
      <c r="G170" s="15" t="n">
        <v>53.03</v>
      </c>
      <c r="H170" s="15" t="n">
        <v>78.68</v>
      </c>
      <c r="I170" s="14" t="n">
        <v>31.65</v>
      </c>
      <c r="J170" s="14" t="n">
        <v>28.99</v>
      </c>
    </row>
    <row r="171" customFormat="false" ht="15" hidden="false" customHeight="false" outlineLevel="0" collapsed="false">
      <c r="A171" s="8" t="n">
        <v>43952</v>
      </c>
      <c r="B171" s="9" t="s">
        <v>52</v>
      </c>
      <c r="C171" s="9" t="str">
        <f aca="false">INDEX(ENSO!$C$5:$C$25,MATCH(B171,ENSO!$A$5:$A$25,0))</f>
        <v>El Niño</v>
      </c>
      <c r="D171" s="10" t="n">
        <v>22.8</v>
      </c>
      <c r="E171" s="10" t="n">
        <v>19.29</v>
      </c>
      <c r="F171" s="10" t="n">
        <v>28.94</v>
      </c>
      <c r="G171" s="11" t="n">
        <v>51.92</v>
      </c>
      <c r="H171" s="11" t="n">
        <v>77.17</v>
      </c>
      <c r="I171" s="10" t="n">
        <v>27.98</v>
      </c>
      <c r="J171" s="10" t="n">
        <v>25.91</v>
      </c>
    </row>
    <row r="172" customFormat="false" ht="15" hidden="false" customHeight="false" outlineLevel="0" collapsed="false">
      <c r="A172" s="12" t="n">
        <v>43983</v>
      </c>
      <c r="B172" s="13" t="s">
        <v>52</v>
      </c>
      <c r="C172" s="13" t="str">
        <f aca="false">INDEX(ENSO!$C$5:$C$25,MATCH(B172,ENSO!$A$5:$A$25,0))</f>
        <v>El Niño</v>
      </c>
      <c r="D172" s="14" t="n">
        <v>22.58</v>
      </c>
      <c r="E172" s="14" t="n">
        <v>19.14</v>
      </c>
      <c r="F172" s="14" t="n">
        <v>28.92</v>
      </c>
      <c r="G172" s="15" t="n">
        <v>36.93</v>
      </c>
      <c r="H172" s="15" t="n">
        <v>78.85</v>
      </c>
      <c r="I172" s="14" t="n">
        <v>25.11</v>
      </c>
      <c r="J172" s="14" t="n">
        <v>21.69</v>
      </c>
    </row>
    <row r="173" customFormat="false" ht="15" hidden="false" customHeight="false" outlineLevel="0" collapsed="false">
      <c r="A173" s="8" t="n">
        <v>44013</v>
      </c>
      <c r="B173" s="9" t="s">
        <v>53</v>
      </c>
      <c r="C173" s="9" t="str">
        <f aca="false">INDEX(ENSO!$C$5:$C$25,MATCH(B173,ENSO!$A$5:$A$25,0))</f>
        <v>La Niña</v>
      </c>
      <c r="D173" s="10" t="n">
        <v>21.76</v>
      </c>
      <c r="E173" s="10" t="n">
        <v>18.12</v>
      </c>
      <c r="F173" s="10" t="n">
        <v>27.66</v>
      </c>
      <c r="G173" s="11" t="n">
        <v>59.95</v>
      </c>
      <c r="H173" s="11" t="n">
        <v>78.59</v>
      </c>
      <c r="I173" s="10" t="n">
        <v>23.66</v>
      </c>
      <c r="J173" s="10" t="n">
        <v>22.99</v>
      </c>
    </row>
    <row r="174" customFormat="false" ht="15" hidden="false" customHeight="false" outlineLevel="0" collapsed="false">
      <c r="A174" s="12" t="n">
        <v>44044</v>
      </c>
      <c r="B174" s="13" t="s">
        <v>53</v>
      </c>
      <c r="C174" s="13" t="str">
        <f aca="false">INDEX(ENSO!$C$5:$C$25,MATCH(B174,ENSO!$A$5:$A$25,0))</f>
        <v>La Niña</v>
      </c>
      <c r="D174" s="14" t="n">
        <v>21.62</v>
      </c>
      <c r="E174" s="14" t="n">
        <v>18.46</v>
      </c>
      <c r="F174" s="14" t="n">
        <v>27.21</v>
      </c>
      <c r="G174" s="15" t="n">
        <v>38.73</v>
      </c>
      <c r="H174" s="15" t="n">
        <v>76.17</v>
      </c>
      <c r="I174" s="14" t="n">
        <v>23.19</v>
      </c>
      <c r="J174" s="14" t="n">
        <v>24.94</v>
      </c>
    </row>
    <row r="175" customFormat="false" ht="15" hidden="false" customHeight="false" outlineLevel="0" collapsed="false">
      <c r="A175" s="8" t="n">
        <v>44075</v>
      </c>
      <c r="B175" s="9" t="s">
        <v>53</v>
      </c>
      <c r="C175" s="9" t="str">
        <f aca="false">INDEX(ENSO!$C$5:$C$25,MATCH(B175,ENSO!$A$5:$A$25,0))</f>
        <v>La Niña</v>
      </c>
      <c r="D175" s="10" t="n">
        <v>23.68</v>
      </c>
      <c r="E175" s="10" t="n">
        <v>19.69</v>
      </c>
      <c r="F175" s="10" t="n">
        <v>30.1</v>
      </c>
      <c r="G175" s="11" t="n">
        <v>42.17</v>
      </c>
      <c r="H175" s="11" t="n">
        <v>74.57</v>
      </c>
      <c r="I175" s="10" t="n">
        <v>21.74</v>
      </c>
      <c r="J175" s="10" t="n">
        <v>21.66</v>
      </c>
    </row>
    <row r="176" customFormat="false" ht="15" hidden="false" customHeight="false" outlineLevel="0" collapsed="false">
      <c r="A176" s="12" t="n">
        <v>44105</v>
      </c>
      <c r="B176" s="13" t="s">
        <v>53</v>
      </c>
      <c r="C176" s="13" t="str">
        <f aca="false">INDEX(ENSO!$C$5:$C$25,MATCH(B176,ENSO!$A$5:$A$25,0))</f>
        <v>La Niña</v>
      </c>
      <c r="D176" s="14" t="n">
        <v>24.89</v>
      </c>
      <c r="E176" s="14" t="n">
        <v>21.76</v>
      </c>
      <c r="F176" s="14" t="n">
        <v>30.34</v>
      </c>
      <c r="G176" s="15" t="n">
        <v>207.82</v>
      </c>
      <c r="H176" s="15" t="n">
        <v>77.5</v>
      </c>
      <c r="I176" s="14" t="n">
        <v>23.6</v>
      </c>
      <c r="J176" s="14" t="n">
        <v>26.4</v>
      </c>
    </row>
    <row r="177" customFormat="false" ht="15" hidden="false" customHeight="false" outlineLevel="0" collapsed="false">
      <c r="A177" s="8" t="n">
        <v>44136</v>
      </c>
      <c r="B177" s="9" t="s">
        <v>53</v>
      </c>
      <c r="C177" s="9" t="str">
        <f aca="false">INDEX(ENSO!$C$5:$C$25,MATCH(B177,ENSO!$A$5:$A$25,0))</f>
        <v>La Niña</v>
      </c>
      <c r="D177" s="10" t="n">
        <v>24.18</v>
      </c>
      <c r="E177" s="10" t="n">
        <v>21.51</v>
      </c>
      <c r="F177" s="10" t="n">
        <v>28.92</v>
      </c>
      <c r="G177" s="11" t="n">
        <v>132.86</v>
      </c>
      <c r="H177" s="11" t="n">
        <v>81.36</v>
      </c>
      <c r="I177" s="10" t="n">
        <v>35.83</v>
      </c>
      <c r="J177" s="10" t="n">
        <v>38.07</v>
      </c>
    </row>
    <row r="178" customFormat="false" ht="15" hidden="false" customHeight="false" outlineLevel="0" collapsed="false">
      <c r="A178" s="12" t="n">
        <v>44166</v>
      </c>
      <c r="B178" s="13" t="s">
        <v>53</v>
      </c>
      <c r="C178" s="13" t="str">
        <f aca="false">INDEX(ENSO!$C$5:$C$25,MATCH(B178,ENSO!$A$5:$A$25,0))</f>
        <v>La Niña</v>
      </c>
      <c r="D178" s="14" t="n">
        <v>25.78</v>
      </c>
      <c r="E178" s="14" t="n">
        <v>22.55</v>
      </c>
      <c r="F178" s="14" t="n">
        <v>31.75</v>
      </c>
      <c r="G178" s="15" t="n">
        <v>50.53</v>
      </c>
      <c r="H178" s="15" t="n">
        <v>76.85</v>
      </c>
      <c r="I178" s="14" t="n">
        <v>33.68</v>
      </c>
      <c r="J178" s="14" t="n">
        <v>30.99</v>
      </c>
    </row>
    <row r="179" customFormat="false" ht="15" hidden="false" customHeight="false" outlineLevel="0" collapsed="false">
      <c r="A179" s="8" t="n">
        <v>44197</v>
      </c>
      <c r="B179" s="9" t="s">
        <v>53</v>
      </c>
      <c r="C179" s="9" t="str">
        <f aca="false">INDEX(ENSO!$C$5:$C$25,MATCH(B179,ENSO!$A$5:$A$25,0))</f>
        <v>La Niña</v>
      </c>
      <c r="D179" s="10" t="n">
        <v>26.22</v>
      </c>
      <c r="E179" s="10" t="n">
        <v>22.55</v>
      </c>
      <c r="F179" s="10" t="n">
        <v>33.16</v>
      </c>
      <c r="G179" s="11" t="n">
        <v>29.94</v>
      </c>
      <c r="H179" s="11" t="n">
        <v>72.81</v>
      </c>
      <c r="I179" s="10" t="n">
        <v>27.08</v>
      </c>
      <c r="J179" s="10" t="n">
        <v>21.6</v>
      </c>
    </row>
    <row r="180" customFormat="false" ht="15" hidden="false" customHeight="false" outlineLevel="0" collapsed="false">
      <c r="A180" s="12" t="n">
        <v>44228</v>
      </c>
      <c r="B180" s="13" t="s">
        <v>53</v>
      </c>
      <c r="C180" s="13" t="str">
        <f aca="false">INDEX(ENSO!$C$5:$C$25,MATCH(B180,ENSO!$A$5:$A$25,0))</f>
        <v>La Niña</v>
      </c>
      <c r="D180" s="14" t="n">
        <v>25.61</v>
      </c>
      <c r="E180" s="14" t="n">
        <v>22.74</v>
      </c>
      <c r="F180" s="14" t="n">
        <v>31.51</v>
      </c>
      <c r="G180" s="15" t="n">
        <v>206.93</v>
      </c>
      <c r="H180" s="15" t="n">
        <v>81.65</v>
      </c>
      <c r="I180" s="14" t="n">
        <v>30.66</v>
      </c>
      <c r="J180" s="14" t="n">
        <v>34.61</v>
      </c>
    </row>
    <row r="181" customFormat="false" ht="15" hidden="false" customHeight="false" outlineLevel="0" collapsed="false">
      <c r="A181" s="8" t="n">
        <v>44256</v>
      </c>
      <c r="B181" s="9" t="s">
        <v>53</v>
      </c>
      <c r="C181" s="9" t="str">
        <f aca="false">INDEX(ENSO!$C$5:$C$25,MATCH(B181,ENSO!$A$5:$A$25,0))</f>
        <v>La Niña</v>
      </c>
      <c r="D181" s="10" t="n">
        <v>25.94</v>
      </c>
      <c r="E181" s="10" t="n">
        <v>22.25</v>
      </c>
      <c r="F181" s="10" t="n">
        <v>32.94</v>
      </c>
      <c r="G181" s="11" t="n">
        <v>141.71</v>
      </c>
      <c r="H181" s="11" t="n">
        <v>77.77</v>
      </c>
      <c r="I181" s="10" t="n">
        <v>31.7</v>
      </c>
      <c r="J181" s="10" t="n">
        <v>31.57</v>
      </c>
    </row>
    <row r="182" customFormat="false" ht="15" hidden="false" customHeight="false" outlineLevel="0" collapsed="false">
      <c r="A182" s="12" t="n">
        <v>44287</v>
      </c>
      <c r="B182" s="13" t="s">
        <v>53</v>
      </c>
      <c r="C182" s="13" t="str">
        <f aca="false">INDEX(ENSO!$C$5:$C$25,MATCH(B182,ENSO!$A$5:$A$25,0))</f>
        <v>La Niña</v>
      </c>
      <c r="D182" s="14" t="n">
        <v>24.75</v>
      </c>
      <c r="E182" s="14" t="n">
        <v>21.35</v>
      </c>
      <c r="F182" s="14" t="n">
        <v>31.32</v>
      </c>
      <c r="G182" s="15" t="n">
        <v>57.14</v>
      </c>
      <c r="H182" s="15" t="n">
        <v>75.25</v>
      </c>
      <c r="I182" s="14" t="n">
        <v>27.22</v>
      </c>
      <c r="J182" s="14" t="n">
        <v>26.17</v>
      </c>
    </row>
    <row r="183" customFormat="false" ht="15" hidden="false" customHeight="false" outlineLevel="0" collapsed="false">
      <c r="A183" s="8" t="n">
        <v>44317</v>
      </c>
      <c r="B183" s="9" t="s">
        <v>53</v>
      </c>
      <c r="C183" s="9" t="str">
        <f aca="false">INDEX(ENSO!$C$5:$C$25,MATCH(B183,ENSO!$A$5:$A$25,0))</f>
        <v>La Niña</v>
      </c>
      <c r="D183" s="10" t="n">
        <v>23.76</v>
      </c>
      <c r="E183" s="10" t="n">
        <v>19.96</v>
      </c>
      <c r="F183" s="10" t="n">
        <v>30.41</v>
      </c>
      <c r="G183" s="11" t="n">
        <v>19.11</v>
      </c>
      <c r="H183" s="11" t="n">
        <v>73.33</v>
      </c>
      <c r="I183" s="10" t="n">
        <v>24.09</v>
      </c>
      <c r="J183" s="10" t="n">
        <v>19.87</v>
      </c>
    </row>
    <row r="184" customFormat="false" ht="15" hidden="false" customHeight="false" outlineLevel="0" collapsed="false">
      <c r="A184" s="12" t="n">
        <v>44348</v>
      </c>
      <c r="B184" s="13" t="s">
        <v>53</v>
      </c>
      <c r="C184" s="13" t="str">
        <f aca="false">INDEX(ENSO!$C$5:$C$25,MATCH(B184,ENSO!$A$5:$A$25,0))</f>
        <v>La Niña</v>
      </c>
      <c r="D184" s="14" t="n">
        <v>22.3</v>
      </c>
      <c r="E184" s="14" t="n">
        <v>18.74</v>
      </c>
      <c r="F184" s="14" t="n">
        <v>28.58</v>
      </c>
      <c r="G184" s="15" t="n">
        <v>23.83</v>
      </c>
      <c r="H184" s="15" t="n">
        <v>74.83</v>
      </c>
      <c r="I184" s="14" t="n">
        <v>21.95</v>
      </c>
      <c r="J184" s="14" t="n">
        <v>19.01</v>
      </c>
    </row>
    <row r="185" customFormat="false" ht="15" hidden="false" customHeight="false" outlineLevel="0" collapsed="false">
      <c r="A185" s="8" t="n">
        <v>44378</v>
      </c>
      <c r="B185" s="9" t="s">
        <v>54</v>
      </c>
      <c r="C185" s="9" t="str">
        <f aca="false">INDEX(ENSO!$C$5:$C$25,MATCH(B185,ENSO!$A$5:$A$25,0))</f>
        <v>La Niña</v>
      </c>
      <c r="D185" s="10" t="n">
        <v>21.47</v>
      </c>
      <c r="E185" s="10" t="n">
        <v>17.63</v>
      </c>
      <c r="F185" s="10" t="n">
        <v>28.05</v>
      </c>
      <c r="G185" s="11" t="n">
        <v>18.09</v>
      </c>
      <c r="H185" s="11" t="n">
        <v>71.46</v>
      </c>
      <c r="I185" s="10" t="n">
        <v>20.55</v>
      </c>
      <c r="J185" s="10" t="n">
        <v>16.91</v>
      </c>
    </row>
    <row r="186" customFormat="false" ht="15" hidden="false" customHeight="false" outlineLevel="0" collapsed="false">
      <c r="A186" s="12" t="n">
        <v>44409</v>
      </c>
      <c r="B186" s="13" t="s">
        <v>54</v>
      </c>
      <c r="C186" s="13" t="str">
        <f aca="false">INDEX(ENSO!$C$5:$C$25,MATCH(B186,ENSO!$A$5:$A$25,0))</f>
        <v>La Niña</v>
      </c>
      <c r="D186" s="14" t="n">
        <v>21.8</v>
      </c>
      <c r="E186" s="14" t="n">
        <v>18.34</v>
      </c>
      <c r="F186" s="14" t="n">
        <v>27.63</v>
      </c>
      <c r="G186" s="15" t="n">
        <v>39.14</v>
      </c>
      <c r="H186" s="15" t="n">
        <v>74.72</v>
      </c>
      <c r="I186" s="14" t="n">
        <v>19.8</v>
      </c>
      <c r="J186" s="14" t="n">
        <v>18.71</v>
      </c>
    </row>
    <row r="187" customFormat="false" ht="15" hidden="false" customHeight="false" outlineLevel="0" collapsed="false">
      <c r="A187" s="8" t="n">
        <v>44440</v>
      </c>
      <c r="B187" s="9" t="s">
        <v>54</v>
      </c>
      <c r="C187" s="9" t="str">
        <f aca="false">INDEX(ENSO!$C$5:$C$25,MATCH(B187,ENSO!$A$5:$A$25,0))</f>
        <v>La Niña</v>
      </c>
      <c r="D187" s="10" t="n">
        <v>23.81</v>
      </c>
      <c r="E187" s="10" t="n">
        <v>20.17</v>
      </c>
      <c r="F187" s="10" t="n">
        <v>30.15</v>
      </c>
      <c r="G187" s="11" t="n">
        <v>35</v>
      </c>
      <c r="H187" s="11" t="n">
        <v>73.68</v>
      </c>
      <c r="I187" s="10" t="n">
        <v>21.71</v>
      </c>
      <c r="J187" s="10" t="n">
        <v>23.92</v>
      </c>
    </row>
    <row r="188" customFormat="false" ht="15" hidden="false" customHeight="false" outlineLevel="0" collapsed="false">
      <c r="A188" s="12" t="n">
        <v>44470</v>
      </c>
      <c r="B188" s="13" t="s">
        <v>54</v>
      </c>
      <c r="C188" s="13" t="str">
        <f aca="false">INDEX(ENSO!$C$5:$C$25,MATCH(B188,ENSO!$A$5:$A$25,0))</f>
        <v>La Niña</v>
      </c>
      <c r="D188" s="14" t="n">
        <v>24.03</v>
      </c>
      <c r="E188" s="14" t="n">
        <v>21.41</v>
      </c>
      <c r="F188" s="14" t="n">
        <v>28.74</v>
      </c>
      <c r="G188" s="15" t="n">
        <v>175.89</v>
      </c>
      <c r="H188" s="15" t="n">
        <v>78.94</v>
      </c>
      <c r="I188" s="14" t="n">
        <v>23.96</v>
      </c>
      <c r="J188" s="14" t="n">
        <v>30.17</v>
      </c>
    </row>
    <row r="189" customFormat="false" ht="15" hidden="false" customHeight="false" outlineLevel="0" collapsed="false">
      <c r="A189" s="8" t="n">
        <v>44501</v>
      </c>
      <c r="B189" s="9" t="s">
        <v>54</v>
      </c>
      <c r="C189" s="9" t="str">
        <f aca="false">INDEX(ENSO!$C$5:$C$25,MATCH(B189,ENSO!$A$5:$A$25,0))</f>
        <v>La Niña</v>
      </c>
      <c r="D189" s="10" t="n">
        <v>23.7</v>
      </c>
      <c r="E189" s="10" t="n">
        <v>20.72</v>
      </c>
      <c r="F189" s="10" t="n">
        <v>28.7</v>
      </c>
      <c r="G189" s="11" t="n">
        <v>196.7</v>
      </c>
      <c r="H189" s="11" t="n">
        <v>80.12</v>
      </c>
      <c r="I189" s="10" t="n">
        <v>32.41</v>
      </c>
      <c r="J189" s="10" t="n">
        <v>37.97</v>
      </c>
    </row>
    <row r="190" customFormat="false" ht="15" hidden="false" customHeight="false" outlineLevel="0" collapsed="false">
      <c r="A190" s="12" t="n">
        <v>44531</v>
      </c>
      <c r="B190" s="13" t="s">
        <v>54</v>
      </c>
      <c r="C190" s="13" t="str">
        <f aca="false">INDEX(ENSO!$C$5:$C$25,MATCH(B190,ENSO!$A$5:$A$25,0))</f>
        <v>La Niña</v>
      </c>
      <c r="D190" s="14" t="n">
        <v>24.37</v>
      </c>
      <c r="E190" s="14" t="n">
        <v>21.73</v>
      </c>
      <c r="F190" s="14" t="n">
        <v>29.65</v>
      </c>
      <c r="G190" s="15" t="n">
        <v>331.34</v>
      </c>
      <c r="H190" s="15" t="n">
        <v>83.78</v>
      </c>
      <c r="I190" s="14" t="n">
        <v>39.2</v>
      </c>
      <c r="J190" s="14" t="n">
        <v>39.46</v>
      </c>
    </row>
    <row r="191" customFormat="false" ht="15" hidden="false" customHeight="false" outlineLevel="0" collapsed="false">
      <c r="A191" s="8" t="n">
        <v>44562</v>
      </c>
      <c r="B191" s="9" t="s">
        <v>54</v>
      </c>
      <c r="C191" s="9" t="str">
        <f aca="false">INDEX(ENSO!$C$5:$C$25,MATCH(B191,ENSO!$A$5:$A$25,0))</f>
        <v>La Niña</v>
      </c>
      <c r="D191" s="10" t="n">
        <v>25.72</v>
      </c>
      <c r="E191" s="10" t="n">
        <v>22.39</v>
      </c>
      <c r="F191" s="10" t="n">
        <v>32.03</v>
      </c>
      <c r="G191" s="11" t="n">
        <v>134.58</v>
      </c>
      <c r="H191" s="11" t="n">
        <v>80.07</v>
      </c>
      <c r="I191" s="10" t="n">
        <v>37.74</v>
      </c>
      <c r="J191" s="10" t="n">
        <v>34.11</v>
      </c>
    </row>
    <row r="192" customFormat="false" ht="15" hidden="false" customHeight="false" outlineLevel="0" collapsed="false">
      <c r="A192" s="12" t="n">
        <v>44593</v>
      </c>
      <c r="B192" s="13" t="s">
        <v>54</v>
      </c>
      <c r="C192" s="13" t="str">
        <f aca="false">INDEX(ENSO!$C$5:$C$25,MATCH(B192,ENSO!$A$5:$A$25,0))</f>
        <v>La Niña</v>
      </c>
      <c r="D192" s="14" t="n">
        <v>25.61</v>
      </c>
      <c r="E192" s="14" t="n">
        <v>22.71</v>
      </c>
      <c r="F192" s="14" t="n">
        <v>31.54</v>
      </c>
      <c r="G192" s="15" t="n">
        <v>216.52</v>
      </c>
      <c r="H192" s="15" t="n">
        <v>83.6</v>
      </c>
      <c r="I192" s="14" t="n">
        <v>35.91</v>
      </c>
      <c r="J192" s="14" t="n">
        <v>37.92</v>
      </c>
    </row>
    <row r="193" customFormat="false" ht="15" hidden="false" customHeight="false" outlineLevel="0" collapsed="false">
      <c r="A193" s="8" t="n">
        <v>44621</v>
      </c>
      <c r="B193" s="9" t="s">
        <v>54</v>
      </c>
      <c r="C193" s="9" t="str">
        <f aca="false">INDEX(ENSO!$C$5:$C$25,MATCH(B193,ENSO!$A$5:$A$25,0))</f>
        <v>La Niña</v>
      </c>
      <c r="D193" s="10" t="n">
        <v>25.65</v>
      </c>
      <c r="E193" s="10" t="n">
        <v>22.28</v>
      </c>
      <c r="F193" s="10" t="n">
        <v>31.9</v>
      </c>
      <c r="G193" s="11" t="n">
        <v>42.91</v>
      </c>
      <c r="H193" s="11" t="n">
        <v>80.99</v>
      </c>
      <c r="I193" s="10" t="n">
        <v>32.06</v>
      </c>
      <c r="J193" s="10" t="n">
        <v>31.13</v>
      </c>
    </row>
    <row r="194" customFormat="false" ht="15" hidden="false" customHeight="false" outlineLevel="0" collapsed="false">
      <c r="A194" s="12" t="n">
        <v>44652</v>
      </c>
      <c r="B194" s="13" t="s">
        <v>54</v>
      </c>
      <c r="C194" s="13" t="str">
        <f aca="false">INDEX(ENSO!$C$5:$C$25,MATCH(B194,ENSO!$A$5:$A$25,0))</f>
        <v>La Niña</v>
      </c>
      <c r="D194" s="14" t="n">
        <v>25.34</v>
      </c>
      <c r="E194" s="14" t="n">
        <v>21.75</v>
      </c>
      <c r="F194" s="14" t="n">
        <v>32.09</v>
      </c>
      <c r="G194" s="15" t="n">
        <v>38.11</v>
      </c>
      <c r="H194" s="15" t="n">
        <v>76.41</v>
      </c>
      <c r="I194" s="14" t="n">
        <v>27.57</v>
      </c>
      <c r="J194" s="14" t="n">
        <v>23.19</v>
      </c>
    </row>
    <row r="195" customFormat="false" ht="15" hidden="false" customHeight="false" outlineLevel="0" collapsed="false">
      <c r="A195" s="8" t="n">
        <v>44682</v>
      </c>
      <c r="B195" s="9" t="s">
        <v>54</v>
      </c>
      <c r="C195" s="9" t="str">
        <f aca="false">INDEX(ENSO!$C$5:$C$25,MATCH(B195,ENSO!$A$5:$A$25,0))</f>
        <v>La Niña</v>
      </c>
      <c r="D195" s="10" t="n">
        <v>23.32</v>
      </c>
      <c r="E195" s="10" t="n">
        <v>19.68</v>
      </c>
      <c r="F195" s="10" t="n">
        <v>29.63</v>
      </c>
      <c r="G195" s="11" t="n">
        <v>53.73</v>
      </c>
      <c r="H195" s="11" t="n">
        <v>73.76</v>
      </c>
      <c r="I195" s="10" t="n">
        <v>24.34</v>
      </c>
      <c r="J195" s="10" t="n">
        <v>22.46</v>
      </c>
    </row>
    <row r="196" customFormat="false" ht="15" hidden="false" customHeight="false" outlineLevel="0" collapsed="false">
      <c r="A196" s="12" t="n">
        <v>44713</v>
      </c>
      <c r="B196" s="13" t="s">
        <v>54</v>
      </c>
      <c r="C196" s="13" t="str">
        <f aca="false">INDEX(ENSO!$C$5:$C$25,MATCH(B196,ENSO!$A$5:$A$25,0))</f>
        <v>La Niña</v>
      </c>
      <c r="D196" s="14" t="n">
        <v>21.88</v>
      </c>
      <c r="E196" s="14" t="n">
        <v>18.1</v>
      </c>
      <c r="F196" s="14" t="n">
        <v>28.47</v>
      </c>
      <c r="G196" s="15" t="n">
        <v>15.18</v>
      </c>
      <c r="H196" s="15" t="n">
        <v>74.55</v>
      </c>
      <c r="I196" s="14" t="n">
        <v>22.59</v>
      </c>
      <c r="J196" s="14" t="n">
        <v>19.38</v>
      </c>
    </row>
    <row r="197" customFormat="false" ht="15" hidden="false" customHeight="false" outlineLevel="0" collapsed="false">
      <c r="A197" s="8" t="n">
        <v>44743</v>
      </c>
      <c r="B197" s="9" t="s">
        <v>55</v>
      </c>
      <c r="C197" s="9" t="str">
        <f aca="false">INDEX(ENSO!$C$5:$C$25,MATCH(B197,ENSO!$A$5:$A$25,0))</f>
        <v>La Niña</v>
      </c>
      <c r="D197" s="10" t="n">
        <v>21.62</v>
      </c>
      <c r="E197" s="10" t="n">
        <v>18</v>
      </c>
      <c r="F197" s="10" t="n">
        <v>27.53</v>
      </c>
      <c r="G197" s="11" t="n">
        <v>44.27</v>
      </c>
      <c r="H197" s="11" t="n">
        <v>79.36</v>
      </c>
      <c r="I197" s="10" t="n">
        <v>21.68</v>
      </c>
      <c r="J197" s="10" t="n">
        <v>21.7</v>
      </c>
    </row>
    <row r="198" customFormat="false" ht="15" hidden="false" customHeight="false" outlineLevel="0" collapsed="false">
      <c r="A198" s="12" t="n">
        <v>44774</v>
      </c>
      <c r="B198" s="13" t="s">
        <v>55</v>
      </c>
      <c r="C198" s="13" t="str">
        <f aca="false">INDEX(ENSO!$C$5:$C$25,MATCH(B198,ENSO!$A$5:$A$25,0))</f>
        <v>La Niña</v>
      </c>
      <c r="D198" s="14" t="n">
        <v>21.97</v>
      </c>
      <c r="E198" s="14" t="n">
        <v>18.32</v>
      </c>
      <c r="F198" s="14" t="n">
        <v>27.93</v>
      </c>
      <c r="G198" s="15" t="n">
        <v>18.25</v>
      </c>
      <c r="H198" s="15" t="n">
        <v>70.47</v>
      </c>
      <c r="I198" s="14" t="n">
        <v>20.64</v>
      </c>
      <c r="J198" s="14" t="n">
        <v>18.96</v>
      </c>
    </row>
    <row r="199" customFormat="false" ht="15" hidden="false" customHeight="false" outlineLevel="0" collapsed="false">
      <c r="A199" s="8" t="n">
        <v>44805</v>
      </c>
      <c r="B199" s="9" t="s">
        <v>55</v>
      </c>
      <c r="C199" s="9" t="str">
        <f aca="false">INDEX(ENSO!$C$5:$C$25,MATCH(B199,ENSO!$A$5:$A$25,0))</f>
        <v>La Niña</v>
      </c>
      <c r="D199" s="10" t="n">
        <v>22.69</v>
      </c>
      <c r="E199" s="10" t="n">
        <v>19</v>
      </c>
      <c r="F199" s="10" t="n">
        <v>28.7</v>
      </c>
      <c r="G199" s="11" t="n">
        <v>23.75</v>
      </c>
      <c r="H199" s="11" t="n">
        <v>70.26</v>
      </c>
      <c r="I199" s="10" t="n">
        <v>19.93</v>
      </c>
      <c r="J199" s="10" t="n">
        <v>19.16</v>
      </c>
    </row>
    <row r="200" customFormat="false" ht="15" hidden="false" customHeight="false" outlineLevel="0" collapsed="false">
      <c r="A200" s="12" t="n">
        <v>44835</v>
      </c>
      <c r="B200" s="13" t="s">
        <v>55</v>
      </c>
      <c r="C200" s="13" t="str">
        <f aca="false">INDEX(ENSO!$C$5:$C$25,MATCH(B200,ENSO!$A$5:$A$25,0))</f>
        <v>La Niña</v>
      </c>
      <c r="D200" s="14" t="n">
        <v>25.03</v>
      </c>
      <c r="E200" s="14" t="n">
        <v>21.62</v>
      </c>
      <c r="F200" s="14" t="n">
        <v>30.89</v>
      </c>
      <c r="G200" s="15" t="n">
        <v>113.35</v>
      </c>
      <c r="H200" s="15" t="n">
        <v>74.1</v>
      </c>
      <c r="I200" s="14" t="n">
        <v>19.85</v>
      </c>
      <c r="J200" s="14" t="n">
        <v>22.52</v>
      </c>
    </row>
    <row r="201" customFormat="false" ht="15" hidden="false" customHeight="false" outlineLevel="0" collapsed="false">
      <c r="A201" s="8" t="n">
        <v>44866</v>
      </c>
      <c r="B201" s="9" t="s">
        <v>55</v>
      </c>
      <c r="C201" s="9" t="str">
        <f aca="false">INDEX(ENSO!$C$5:$C$25,MATCH(B201,ENSO!$A$5:$A$25,0))</f>
        <v>La Niña</v>
      </c>
      <c r="D201" s="10" t="n">
        <v>23.52</v>
      </c>
      <c r="E201" s="10" t="n">
        <v>20.86</v>
      </c>
      <c r="F201" s="10" t="n">
        <v>28.64</v>
      </c>
      <c r="G201" s="11" t="n">
        <v>380.05</v>
      </c>
      <c r="H201" s="11" t="n">
        <v>80.54</v>
      </c>
      <c r="I201" s="10" t="n">
        <v>26.99</v>
      </c>
      <c r="J201" s="10" t="n">
        <v>35.64</v>
      </c>
    </row>
    <row r="202" customFormat="false" ht="15" hidden="false" customHeight="false" outlineLevel="0" collapsed="false">
      <c r="A202" s="12" t="n">
        <v>44896</v>
      </c>
      <c r="B202" s="13" t="s">
        <v>55</v>
      </c>
      <c r="C202" s="13" t="str">
        <f aca="false">INDEX(ENSO!$C$5:$C$25,MATCH(B202,ENSO!$A$5:$A$25,0))</f>
        <v>La Niña</v>
      </c>
      <c r="D202" s="14" t="n">
        <v>24.21</v>
      </c>
      <c r="E202" s="14" t="n">
        <v>21.86</v>
      </c>
      <c r="F202" s="14" t="n">
        <v>29.09</v>
      </c>
      <c r="G202" s="15" t="n">
        <v>466.18</v>
      </c>
      <c r="H202" s="15" t="n">
        <v>86.54</v>
      </c>
      <c r="I202" s="14" t="n">
        <v>41.79</v>
      </c>
      <c r="J202" s="14" t="n">
        <v>40.82</v>
      </c>
    </row>
    <row r="203" customFormat="false" ht="15" hidden="false" customHeight="false" outlineLevel="0" collapsed="false">
      <c r="A203" s="8" t="n">
        <v>44927</v>
      </c>
      <c r="B203" s="9" t="s">
        <v>55</v>
      </c>
      <c r="C203" s="9" t="str">
        <f aca="false">INDEX(ENSO!$C$5:$C$25,MATCH(B203,ENSO!$A$5:$A$25,0))</f>
        <v>La Niña</v>
      </c>
      <c r="D203" s="10" t="n">
        <v>25.31</v>
      </c>
      <c r="E203" s="10" t="n">
        <v>22.51</v>
      </c>
      <c r="F203" s="10" t="n">
        <v>31.19</v>
      </c>
      <c r="G203" s="11" t="n">
        <v>225.86</v>
      </c>
      <c r="H203" s="11" t="n">
        <v>83.61</v>
      </c>
      <c r="I203" s="10" t="n">
        <v>39.17</v>
      </c>
      <c r="J203" s="10" t="n">
        <v>38.51</v>
      </c>
    </row>
    <row r="204" customFormat="false" ht="15" hidden="false" customHeight="false" outlineLevel="0" collapsed="false">
      <c r="A204" s="12" t="n">
        <v>44958</v>
      </c>
      <c r="B204" s="13" t="s">
        <v>55</v>
      </c>
      <c r="C204" s="13" t="str">
        <f aca="false">INDEX(ENSO!$C$5:$C$25,MATCH(B204,ENSO!$A$5:$A$25,0))</f>
        <v>La Niña</v>
      </c>
      <c r="D204" s="14" t="n">
        <v>26.38</v>
      </c>
      <c r="E204" s="14" t="n">
        <v>22.9</v>
      </c>
      <c r="F204" s="14" t="n">
        <v>33.03</v>
      </c>
      <c r="G204" s="15" t="n">
        <v>35.52</v>
      </c>
      <c r="H204" s="15" t="n">
        <v>77.16</v>
      </c>
      <c r="I204" s="14" t="n">
        <v>33.6</v>
      </c>
      <c r="J204" s="14" t="n">
        <v>26.95</v>
      </c>
    </row>
    <row r="205" customFormat="false" ht="15" hidden="false" customHeight="false" outlineLevel="0" collapsed="false">
      <c r="A205" s="8" t="n">
        <v>44986</v>
      </c>
      <c r="B205" s="9" t="s">
        <v>55</v>
      </c>
      <c r="C205" s="9" t="str">
        <f aca="false">INDEX(ENSO!$C$5:$C$25,MATCH(B205,ENSO!$A$5:$A$25,0))</f>
        <v>La Niña</v>
      </c>
      <c r="D205" s="10" t="n">
        <v>26.04</v>
      </c>
      <c r="E205" s="10" t="n">
        <v>22.41</v>
      </c>
      <c r="F205" s="10" t="n">
        <v>32.68</v>
      </c>
      <c r="G205" s="11" t="n">
        <v>20.14</v>
      </c>
      <c r="H205" s="11" t="n">
        <v>77.01</v>
      </c>
      <c r="I205" s="10" t="n">
        <v>27.45</v>
      </c>
      <c r="J205" s="10" t="n">
        <v>23.19</v>
      </c>
    </row>
    <row r="206" customFormat="false" ht="15" hidden="false" customHeight="false" outlineLevel="0" collapsed="false">
      <c r="A206" s="12" t="n">
        <v>45017</v>
      </c>
      <c r="B206" s="13" t="s">
        <v>55</v>
      </c>
      <c r="C206" s="13" t="str">
        <f aca="false">INDEX(ENSO!$C$5:$C$25,MATCH(B206,ENSO!$A$5:$A$25,0))</f>
        <v>La Niña</v>
      </c>
      <c r="D206" s="14" t="n">
        <v>25.28</v>
      </c>
      <c r="E206" s="14" t="n">
        <v>22.13</v>
      </c>
      <c r="F206" s="14" t="n">
        <v>31.56</v>
      </c>
      <c r="G206" s="15" t="n">
        <v>89.43</v>
      </c>
      <c r="H206" s="15" t="n">
        <v>77.04</v>
      </c>
      <c r="I206" s="14" t="n">
        <v>25.7</v>
      </c>
      <c r="J206" s="14" t="n">
        <v>28.96</v>
      </c>
    </row>
    <row r="207" customFormat="false" ht="15" hidden="false" customHeight="false" outlineLevel="0" collapsed="false">
      <c r="A207" s="8" t="n">
        <v>45047</v>
      </c>
      <c r="B207" s="9" t="s">
        <v>55</v>
      </c>
      <c r="C207" s="9" t="str">
        <f aca="false">INDEX(ENSO!$C$5:$C$25,MATCH(B207,ENSO!$A$5:$A$25,0))</f>
        <v>La Niña</v>
      </c>
      <c r="D207" s="10" t="n">
        <v>22.83</v>
      </c>
      <c r="E207" s="10" t="n">
        <v>19.61</v>
      </c>
      <c r="F207" s="10" t="n">
        <v>28.71</v>
      </c>
      <c r="G207" s="11" t="n">
        <v>32.8</v>
      </c>
      <c r="H207" s="11" t="n">
        <v>78.75</v>
      </c>
      <c r="I207" s="10" t="n">
        <v>25.54</v>
      </c>
      <c r="J207" s="10" t="n">
        <v>27.8</v>
      </c>
    </row>
    <row r="208" customFormat="false" ht="15" hidden="false" customHeight="false" outlineLevel="0" collapsed="false">
      <c r="A208" s="12" t="n">
        <v>45078</v>
      </c>
      <c r="B208" s="13" t="s">
        <v>55</v>
      </c>
      <c r="C208" s="13" t="str">
        <f aca="false">INDEX(ENSO!$C$5:$C$25,MATCH(B208,ENSO!$A$5:$A$25,0))</f>
        <v>La Niña</v>
      </c>
      <c r="D208" s="14" t="n">
        <v>22.17</v>
      </c>
      <c r="E208" s="14" t="n">
        <v>18.54</v>
      </c>
      <c r="F208" s="14" t="n">
        <v>28.34</v>
      </c>
      <c r="G208" s="15" t="n">
        <v>31.34</v>
      </c>
      <c r="H208" s="15" t="n">
        <v>77.44</v>
      </c>
      <c r="I208" s="14" t="n">
        <v>23.14</v>
      </c>
      <c r="J208" s="14" t="n">
        <v>20.09</v>
      </c>
    </row>
    <row r="209" customFormat="false" ht="15" hidden="false" customHeight="false" outlineLevel="0" collapsed="false">
      <c r="A209" s="8" t="n">
        <v>45108</v>
      </c>
      <c r="B209" s="9" t="s">
        <v>56</v>
      </c>
      <c r="C209" s="9" t="str">
        <f aca="false">INDEX(ENSO!$C$5:$C$25,MATCH(B209,ENSO!$A$5:$A$25,0))</f>
        <v>El Niño</v>
      </c>
      <c r="D209" s="10" t="n">
        <v>21.77</v>
      </c>
      <c r="E209" s="10" t="n">
        <v>18.3</v>
      </c>
      <c r="F209" s="10" t="n">
        <v>27.63</v>
      </c>
      <c r="G209" s="11" t="n">
        <v>80.41</v>
      </c>
      <c r="H209" s="11" t="n">
        <v>76.38</v>
      </c>
      <c r="I209" s="10" t="n">
        <v>22.27</v>
      </c>
      <c r="J209" s="10" t="n">
        <v>21.83</v>
      </c>
    </row>
    <row r="210" customFormat="false" ht="15" hidden="false" customHeight="false" outlineLevel="0" collapsed="false">
      <c r="A210" s="12" t="n">
        <v>45139</v>
      </c>
      <c r="B210" s="13" t="s">
        <v>56</v>
      </c>
      <c r="C210" s="13" t="str">
        <f aca="false">INDEX(ENSO!$C$5:$C$25,MATCH(B210,ENSO!$A$5:$A$25,0))</f>
        <v>El Niño</v>
      </c>
      <c r="D210" s="14" t="n">
        <v>22.95</v>
      </c>
      <c r="E210" s="14" t="n">
        <v>19.39</v>
      </c>
      <c r="F210" s="14" t="n">
        <v>28.96</v>
      </c>
      <c r="G210" s="15" t="n">
        <v>79.32</v>
      </c>
      <c r="H210" s="15" t="n">
        <v>78.35</v>
      </c>
      <c r="I210" s="14" t="n">
        <v>22.33</v>
      </c>
      <c r="J210" s="14" t="n">
        <v>23.82</v>
      </c>
    </row>
    <row r="211" customFormat="false" ht="15" hidden="false" customHeight="false" outlineLevel="0" collapsed="false">
      <c r="A211" s="8" t="n">
        <v>45170</v>
      </c>
      <c r="B211" s="9" t="s">
        <v>56</v>
      </c>
      <c r="C211" s="9" t="str">
        <f aca="false">INDEX(ENSO!$C$5:$C$25,MATCH(B211,ENSO!$A$5:$A$25,0))</f>
        <v>El Niño</v>
      </c>
      <c r="D211" s="10" t="n">
        <v>24.02</v>
      </c>
      <c r="E211" s="10" t="n">
        <v>20.63</v>
      </c>
      <c r="F211" s="10" t="n">
        <v>29.6</v>
      </c>
      <c r="G211" s="11" t="n">
        <v>32.26</v>
      </c>
      <c r="H211" s="11" t="n">
        <v>74.48</v>
      </c>
      <c r="I211" s="10" t="n">
        <v>22.51</v>
      </c>
      <c r="J211" s="10" t="n">
        <v>24.03</v>
      </c>
    </row>
    <row r="212" customFormat="false" ht="15" hidden="false" customHeight="false" outlineLevel="0" collapsed="false">
      <c r="A212" s="12" t="n">
        <v>45200</v>
      </c>
      <c r="B212" s="13" t="s">
        <v>56</v>
      </c>
      <c r="C212" s="13" t="str">
        <f aca="false">INDEX(ENSO!$C$5:$C$25,MATCH(B212,ENSO!$A$5:$A$25,0))</f>
        <v>El Niño</v>
      </c>
      <c r="D212" s="14" t="n">
        <v>25.67</v>
      </c>
      <c r="E212" s="14" t="n">
        <v>22.32</v>
      </c>
      <c r="F212" s="14" t="n">
        <v>31.37</v>
      </c>
      <c r="G212" s="15" t="n">
        <v>83.85</v>
      </c>
      <c r="H212" s="15" t="n">
        <v>73.65</v>
      </c>
      <c r="I212" s="14" t="n">
        <v>20.8</v>
      </c>
      <c r="J212" s="14" t="n">
        <v>21.35</v>
      </c>
    </row>
    <row r="213" customFormat="false" ht="15" hidden="false" customHeight="false" outlineLevel="0" collapsed="false">
      <c r="A213" s="8" t="n">
        <v>45231</v>
      </c>
      <c r="B213" s="9" t="s">
        <v>56</v>
      </c>
      <c r="C213" s="9" t="str">
        <f aca="false">INDEX(ENSO!$C$5:$C$25,MATCH(B213,ENSO!$A$5:$A$25,0))</f>
        <v>El Niño</v>
      </c>
      <c r="D213" s="10" t="n">
        <v>27.14</v>
      </c>
      <c r="E213" s="10" t="n">
        <v>22.98</v>
      </c>
      <c r="F213" s="10" t="n">
        <v>34.51</v>
      </c>
      <c r="G213" s="11" t="n">
        <v>18.5</v>
      </c>
      <c r="H213" s="11" t="n">
        <v>65.47</v>
      </c>
      <c r="I213" s="10" t="n">
        <v>19.81</v>
      </c>
      <c r="J213" s="10" t="n">
        <v>18.41</v>
      </c>
    </row>
    <row r="214" customFormat="false" ht="15" hidden="false" customHeight="false" outlineLevel="0" collapsed="false">
      <c r="A214" s="12" t="n">
        <v>45261</v>
      </c>
      <c r="B214" s="13" t="s">
        <v>56</v>
      </c>
      <c r="C214" s="13" t="str">
        <f aca="false">INDEX(ENSO!$C$5:$C$25,MATCH(B214,ENSO!$A$5:$A$25,0))</f>
        <v>El Niño</v>
      </c>
      <c r="D214" s="14" t="n">
        <v>27.59</v>
      </c>
      <c r="E214" s="14" t="n">
        <v>23.68</v>
      </c>
      <c r="F214" s="14" t="n">
        <v>34.7</v>
      </c>
      <c r="G214" s="15" t="n">
        <v>97.7</v>
      </c>
      <c r="H214" s="15" t="n">
        <v>69</v>
      </c>
      <c r="I214" s="14" t="n">
        <v>19.16</v>
      </c>
      <c r="J214" s="14" t="n">
        <v>20.59</v>
      </c>
    </row>
    <row r="215" customFormat="false" ht="15" hidden="false" customHeight="false" outlineLevel="0" collapsed="false">
      <c r="A215" s="8" t="n">
        <v>45292</v>
      </c>
      <c r="B215" s="9" t="s">
        <v>56</v>
      </c>
      <c r="C215" s="9" t="str">
        <f aca="false">INDEX(ENSO!$C$5:$C$25,MATCH(B215,ENSO!$A$5:$A$25,0))</f>
        <v>El Niño</v>
      </c>
      <c r="D215" s="10" t="n">
        <v>26.34</v>
      </c>
      <c r="E215" s="10" t="n">
        <v>23.57</v>
      </c>
      <c r="F215" s="10" t="n">
        <v>32.55</v>
      </c>
      <c r="G215" s="11" t="n">
        <v>298.9</v>
      </c>
      <c r="H215" s="11" t="n">
        <v>81.37</v>
      </c>
      <c r="I215" s="10" t="n">
        <v>27.4</v>
      </c>
      <c r="J215" s="10" t="n">
        <v>34.94</v>
      </c>
    </row>
    <row r="216" customFormat="false" ht="15" hidden="false" customHeight="false" outlineLevel="0" collapsed="false">
      <c r="A216" s="12" t="n">
        <v>45323</v>
      </c>
      <c r="B216" s="13" t="s">
        <v>56</v>
      </c>
      <c r="C216" s="13" t="str">
        <f aca="false">INDEX(ENSO!$C$5:$C$25,MATCH(B216,ENSO!$A$5:$A$25,0))</f>
        <v>El Niño</v>
      </c>
      <c r="D216" s="14" t="n">
        <v>26.31</v>
      </c>
      <c r="E216" s="14" t="n">
        <v>23.23</v>
      </c>
      <c r="F216" s="14" t="n">
        <v>32.46</v>
      </c>
      <c r="G216" s="15" t="n">
        <v>188.74</v>
      </c>
      <c r="H216" s="15" t="n">
        <v>83.01</v>
      </c>
      <c r="I216" s="14" t="n">
        <v>37.35</v>
      </c>
      <c r="J216" s="14" t="n">
        <v>38.17</v>
      </c>
    </row>
    <row r="217" customFormat="false" ht="15" hidden="false" customHeight="false" outlineLevel="0" collapsed="false">
      <c r="A217" s="8" t="n">
        <v>45352</v>
      </c>
      <c r="B217" s="9" t="s">
        <v>56</v>
      </c>
      <c r="C217" s="9" t="str">
        <f aca="false">INDEX(ENSO!$C$5:$C$25,MATCH(B217,ENSO!$A$5:$A$25,0))</f>
        <v>El Niño</v>
      </c>
      <c r="D217" s="10" t="n">
        <v>27.01</v>
      </c>
      <c r="E217" s="10" t="n">
        <v>23.86</v>
      </c>
      <c r="F217" s="10" t="n">
        <v>33.12</v>
      </c>
      <c r="G217" s="11" t="n">
        <v>105.33</v>
      </c>
      <c r="H217" s="11" t="n">
        <v>79.85</v>
      </c>
      <c r="I217" s="10" t="n">
        <v>35.49</v>
      </c>
      <c r="J217" s="10" t="n">
        <v>33.17</v>
      </c>
    </row>
    <row r="218" customFormat="false" ht="15" hidden="false" customHeight="false" outlineLevel="0" collapsed="false">
      <c r="A218" s="12" t="n">
        <v>45383</v>
      </c>
      <c r="B218" s="13" t="s">
        <v>56</v>
      </c>
      <c r="C218" s="13" t="str">
        <f aca="false">INDEX(ENSO!$C$5:$C$25,MATCH(B218,ENSO!$A$5:$A$25,0))</f>
        <v>El Niño</v>
      </c>
      <c r="D218" s="14" t="n">
        <v>25.82</v>
      </c>
      <c r="E218" s="14" t="n">
        <v>22.65</v>
      </c>
      <c r="F218" s="14" t="n">
        <v>31.87</v>
      </c>
      <c r="G218" s="15" t="n">
        <v>40.3</v>
      </c>
      <c r="H218" s="15" t="n">
        <v>76.03</v>
      </c>
      <c r="I218" s="14" t="n">
        <v>30.07</v>
      </c>
      <c r="J218" s="14" t="n">
        <v>26.17</v>
      </c>
    </row>
    <row r="219" customFormat="false" ht="15" hidden="false" customHeight="false" outlineLevel="0" collapsed="false">
      <c r="A219" s="8" t="n">
        <v>45413</v>
      </c>
      <c r="B219" s="9" t="s">
        <v>56</v>
      </c>
      <c r="C219" s="9" t="str">
        <f aca="false">INDEX(ENSO!$C$5:$C$25,MATCH(B219,ENSO!$A$5:$A$25,0))</f>
        <v>El Niño</v>
      </c>
      <c r="D219" s="10" t="n">
        <v>25.23</v>
      </c>
      <c r="E219" s="10" t="n">
        <v>21.7</v>
      </c>
      <c r="F219" s="10" t="n">
        <v>31.54</v>
      </c>
      <c r="G219" s="11" t="n">
        <v>41.53</v>
      </c>
      <c r="H219" s="11" t="n">
        <v>76.6</v>
      </c>
      <c r="I219" s="10" t="n">
        <v>25.83</v>
      </c>
      <c r="J219" s="10" t="n">
        <v>21.37</v>
      </c>
    </row>
    <row r="220" customFormat="false" ht="15" hidden="false" customHeight="false" outlineLevel="0" collapsed="false">
      <c r="A220" s="12" t="n">
        <v>45444</v>
      </c>
      <c r="B220" s="13" t="s">
        <v>56</v>
      </c>
      <c r="C220" s="13" t="str">
        <f aca="false">INDEX(ENSO!$C$5:$C$25,MATCH(B220,ENSO!$A$5:$A$25,0))</f>
        <v>El Niño</v>
      </c>
      <c r="D220" s="14" t="n">
        <v>23.3</v>
      </c>
      <c r="E220" s="14" t="n">
        <v>19.7</v>
      </c>
      <c r="F220" s="14" t="n">
        <v>29.53</v>
      </c>
      <c r="G220" s="15" t="n">
        <v>25.79</v>
      </c>
      <c r="H220" s="15" t="n">
        <v>77.99</v>
      </c>
      <c r="I220" s="14" t="n">
        <v>23.57</v>
      </c>
      <c r="J220" s="14" t="n">
        <v>20.36</v>
      </c>
    </row>
    <row r="221" customFormat="false" ht="15" hidden="false" customHeight="false" outlineLevel="0" collapsed="false">
      <c r="A221" s="8" t="n">
        <v>45474</v>
      </c>
      <c r="B221" s="9" t="s">
        <v>57</v>
      </c>
      <c r="C221" s="9" t="str">
        <f aca="false">INDEX(ENSO!$C$5:$C$25,MATCH(B221,ENSO!$A$5:$A$25,0))</f>
        <v>Neutral</v>
      </c>
      <c r="D221" s="10" t="n">
        <v>22.85</v>
      </c>
      <c r="E221" s="10" t="n">
        <v>18.95</v>
      </c>
      <c r="F221" s="10" t="n">
        <v>29.14</v>
      </c>
      <c r="G221" s="11" t="n">
        <v>20.05</v>
      </c>
      <c r="H221" s="11" t="n">
        <v>75.42</v>
      </c>
      <c r="I221" s="10" t="n">
        <v>21.93</v>
      </c>
      <c r="J221" s="10" t="n">
        <v>18.7</v>
      </c>
    </row>
    <row r="222" customFormat="false" ht="15" hidden="false" customHeight="false" outlineLevel="0" collapsed="false">
      <c r="A222" s="12" t="n">
        <v>45505</v>
      </c>
      <c r="B222" s="13" t="s">
        <v>57</v>
      </c>
      <c r="C222" s="13" t="str">
        <f aca="false">INDEX(ENSO!$C$5:$C$25,MATCH(B222,ENSO!$A$5:$A$25,0))</f>
        <v>Neutral</v>
      </c>
      <c r="D222" s="14" t="n">
        <v>22.56</v>
      </c>
      <c r="E222" s="14" t="n">
        <v>18.62</v>
      </c>
      <c r="F222" s="14" t="n">
        <v>28.9</v>
      </c>
      <c r="G222" s="15" t="n">
        <v>47.45</v>
      </c>
      <c r="H222" s="15" t="n">
        <v>72.26</v>
      </c>
      <c r="I222" s="14" t="n">
        <v>21.02</v>
      </c>
      <c r="J222" s="14" t="n">
        <v>19.72</v>
      </c>
    </row>
    <row r="223" customFormat="false" ht="15" hidden="false" customHeight="false" outlineLevel="0" collapsed="false">
      <c r="A223" s="8" t="n">
        <v>45536</v>
      </c>
      <c r="B223" s="9" t="s">
        <v>57</v>
      </c>
      <c r="C223" s="9" t="str">
        <f aca="false">INDEX(ENSO!$C$5:$C$25,MATCH(B223,ENSO!$A$5:$A$25,0))</f>
        <v>Neutral</v>
      </c>
      <c r="D223" s="10" t="n">
        <v>24.51</v>
      </c>
      <c r="E223" s="10" t="n">
        <v>20.4</v>
      </c>
      <c r="F223" s="10" t="n">
        <v>31.16</v>
      </c>
      <c r="G223" s="11" t="n">
        <v>29.81</v>
      </c>
      <c r="H223" s="11" t="n">
        <v>70.56</v>
      </c>
      <c r="I223" s="10" t="n">
        <v>19.68</v>
      </c>
      <c r="J223" s="10" t="n">
        <v>16.86</v>
      </c>
    </row>
    <row r="224" customFormat="false" ht="15" hidden="false" customHeight="false" outlineLevel="0" collapsed="false">
      <c r="A224" s="12" t="n">
        <v>45566</v>
      </c>
      <c r="B224" s="13" t="s">
        <v>57</v>
      </c>
      <c r="C224" s="13" t="str">
        <f aca="false">INDEX(ENSO!$C$5:$C$25,MATCH(B224,ENSO!$A$5:$A$25,0))</f>
        <v>Neutral</v>
      </c>
      <c r="D224" s="14" t="n">
        <v>24.91</v>
      </c>
      <c r="E224" s="14" t="n">
        <v>21.58</v>
      </c>
      <c r="F224" s="14" t="n">
        <v>30.39</v>
      </c>
      <c r="G224" s="15" t="n">
        <v>219.6</v>
      </c>
      <c r="H224" s="15" t="n">
        <v>75.68</v>
      </c>
      <c r="I224" s="14" t="n">
        <v>22.78</v>
      </c>
      <c r="J224" s="14" t="n">
        <v>28.31</v>
      </c>
    </row>
    <row r="225" customFormat="false" ht="15" hidden="false" customHeight="false" outlineLevel="0" collapsed="false">
      <c r="A225" s="8" t="n">
        <v>45597</v>
      </c>
      <c r="B225" s="9" t="s">
        <v>57</v>
      </c>
      <c r="C225" s="9" t="str">
        <f aca="false">INDEX(ENSO!$C$5:$C$25,MATCH(B225,ENSO!$A$5:$A$25,0))</f>
        <v>Neutral</v>
      </c>
      <c r="D225" s="10" t="n">
        <v>24.6</v>
      </c>
      <c r="E225" s="10" t="n">
        <v>21.47</v>
      </c>
      <c r="F225" s="10" t="n">
        <v>29.66</v>
      </c>
      <c r="G225" s="11" t="n">
        <v>242.1</v>
      </c>
      <c r="H225" s="11" t="n">
        <v>80.24</v>
      </c>
      <c r="I225" s="10" t="n">
        <v>35.14</v>
      </c>
      <c r="J225" s="10" t="n">
        <v>38.62</v>
      </c>
    </row>
    <row r="226" customFormat="false" ht="15" hidden="false" customHeight="false" outlineLevel="0" collapsed="false">
      <c r="A226" s="12" t="n">
        <v>45627</v>
      </c>
      <c r="B226" s="13" t="s">
        <v>57</v>
      </c>
      <c r="C226" s="13" t="str">
        <f aca="false">INDEX(ENSO!$C$5:$C$25,MATCH(B226,ENSO!$A$5:$A$25,0))</f>
        <v>Neutral</v>
      </c>
      <c r="D226" s="14" t="n">
        <v>26.39</v>
      </c>
      <c r="E226" s="14" t="n">
        <v>23.17</v>
      </c>
      <c r="F226" s="14" t="n">
        <v>32.68</v>
      </c>
      <c r="G226" s="15" t="n">
        <v>152.38</v>
      </c>
      <c r="H226" s="15" t="n">
        <v>76.59</v>
      </c>
      <c r="I226" s="14" t="n">
        <v>33.55</v>
      </c>
      <c r="J226" s="14" t="n">
        <v>32.83</v>
      </c>
    </row>
    <row r="227" customFormat="false" ht="15" hidden="false" customHeight="false" outlineLevel="0" collapsed="false">
      <c r="A227" s="8" t="n">
        <v>45658</v>
      </c>
      <c r="B227" s="9" t="s">
        <v>57</v>
      </c>
      <c r="C227" s="9" t="str">
        <f aca="false">INDEX(ENSO!$C$5:$C$25,MATCH(B227,ENSO!$A$5:$A$25,0))</f>
        <v>Neutral</v>
      </c>
      <c r="D227" s="10" t="n">
        <v>25.99</v>
      </c>
      <c r="E227" s="10" t="n">
        <v>23.21</v>
      </c>
      <c r="F227" s="10" t="n">
        <v>31.9</v>
      </c>
      <c r="G227" s="11" t="n">
        <v>177.66</v>
      </c>
      <c r="H227" s="11" t="n">
        <v>81.58</v>
      </c>
      <c r="I227" s="10" t="n">
        <v>38.36</v>
      </c>
      <c r="J227" s="10" t="n">
        <v>36.63</v>
      </c>
    </row>
    <row r="228" customFormat="false" ht="15" hidden="false" customHeight="false" outlineLevel="0" collapsed="false">
      <c r="A228" s="12" t="n">
        <v>45689</v>
      </c>
      <c r="B228" s="13" t="s">
        <v>57</v>
      </c>
      <c r="C228" s="13" t="str">
        <f aca="false">INDEX(ENSO!$C$5:$C$25,MATCH(B228,ENSO!$A$5:$A$25,0))</f>
        <v>Neutral</v>
      </c>
      <c r="D228" s="14" t="n">
        <v>26.59</v>
      </c>
      <c r="E228" s="14" t="n">
        <v>23.01</v>
      </c>
      <c r="F228" s="14" t="n">
        <v>33.24</v>
      </c>
      <c r="G228" s="15" t="n">
        <v>12.13</v>
      </c>
      <c r="H228" s="15" t="n">
        <v>76.68</v>
      </c>
      <c r="I228" s="14" t="n">
        <v>30.57</v>
      </c>
      <c r="J228" s="14" t="n">
        <v>23.7</v>
      </c>
    </row>
    <row r="229" customFormat="false" ht="15" hidden="false" customHeight="false" outlineLevel="0" collapsed="false">
      <c r="A229" s="8" t="n">
        <v>45717</v>
      </c>
      <c r="B229" s="9" t="s">
        <v>57</v>
      </c>
      <c r="C229" s="9" t="str">
        <f aca="false">INDEX(ENSO!$C$5:$C$25,MATCH(B229,ENSO!$A$5:$A$25,0))</f>
        <v>Neutral</v>
      </c>
      <c r="D229" s="10" t="n">
        <v>26.22</v>
      </c>
      <c r="E229" s="10" t="n">
        <v>22.88</v>
      </c>
      <c r="F229" s="10" t="n">
        <v>32.77</v>
      </c>
      <c r="G229" s="11" t="n">
        <v>33.02</v>
      </c>
      <c r="H229" s="11" t="n">
        <v>78.08</v>
      </c>
      <c r="I229" s="10" t="n">
        <v>27.53</v>
      </c>
      <c r="J229" s="10" t="n">
        <v>28.51</v>
      </c>
    </row>
    <row r="230" customFormat="false" ht="15" hidden="false" customHeight="false" outlineLevel="0" collapsed="false">
      <c r="A230" s="12" t="n">
        <v>45748</v>
      </c>
      <c r="B230" s="13" t="s">
        <v>57</v>
      </c>
      <c r="C230" s="13" t="str">
        <f aca="false">INDEX(ENSO!$C$5:$C$25,MATCH(B230,ENSO!$A$5:$A$25,0))</f>
        <v>Neutral</v>
      </c>
      <c r="D230" s="14" t="n">
        <v>24.98</v>
      </c>
      <c r="E230" s="14" t="n">
        <v>22.28</v>
      </c>
      <c r="F230" s="14" t="n">
        <v>30.65</v>
      </c>
      <c r="G230" s="15" t="n">
        <v>117.18</v>
      </c>
      <c r="H230" s="15" t="n">
        <v>80.3</v>
      </c>
      <c r="I230" s="14" t="n">
        <v>29.39</v>
      </c>
      <c r="J230" s="14" t="n">
        <v>33.48</v>
      </c>
    </row>
    <row r="231" customFormat="false" ht="15" hidden="false" customHeight="false" outlineLevel="0" collapsed="false">
      <c r="A231" s="8" t="n">
        <v>45778</v>
      </c>
      <c r="B231" s="9" t="s">
        <v>57</v>
      </c>
      <c r="C231" s="9" t="str">
        <f aca="false">INDEX(ENSO!$C$5:$C$25,MATCH(B231,ENSO!$A$5:$A$25,0))</f>
        <v>Neutral</v>
      </c>
      <c r="D231" s="10" t="n">
        <v>22.92</v>
      </c>
      <c r="E231" s="10" t="n">
        <v>20.24</v>
      </c>
      <c r="F231" s="10" t="n">
        <v>28.08</v>
      </c>
      <c r="G231" s="11" t="n">
        <v>48.45</v>
      </c>
      <c r="H231" s="11" t="n">
        <v>81.92</v>
      </c>
      <c r="I231" s="10" t="n">
        <v>30.63</v>
      </c>
      <c r="J231" s="10" t="n">
        <v>32.62</v>
      </c>
    </row>
    <row r="232" customFormat="false" ht="15" hidden="false" customHeight="false" outlineLevel="0" collapsed="false">
      <c r="A232" s="12" t="n">
        <v>45809</v>
      </c>
      <c r="B232" s="13" t="s">
        <v>57</v>
      </c>
      <c r="C232" s="13" t="str">
        <f aca="false">INDEX(ENSO!$C$5:$C$25,MATCH(B232,ENSO!$A$5:$A$25,0))</f>
        <v>Neutral</v>
      </c>
      <c r="D232" s="14" t="n">
        <v>22.02</v>
      </c>
      <c r="E232" s="14" t="n">
        <v>18.78</v>
      </c>
      <c r="F232" s="14" t="n">
        <v>27.85</v>
      </c>
      <c r="G232" s="15" t="n">
        <v>39.13</v>
      </c>
      <c r="H232" s="15" t="n">
        <v>80.73</v>
      </c>
      <c r="I232" s="14" t="n">
        <v>29.21</v>
      </c>
      <c r="J232" s="14" t="n">
        <v>30.16</v>
      </c>
    </row>
    <row r="233" customFormat="false" ht="15" hidden="false" customHeight="false" outlineLevel="0" collapsed="false">
      <c r="A233" s="8" t="n">
        <v>45839</v>
      </c>
      <c r="B233" s="9" t="s">
        <v>58</v>
      </c>
      <c r="C233" s="9" t="str">
        <f aca="false">INDEX(ENSO!$C$5:$C$25,MATCH(B233,ENSO!$A$5:$A$25,0))</f>
        <v>Neutral</v>
      </c>
      <c r="D233" s="10" t="n">
        <v>21.01</v>
      </c>
      <c r="E233" s="10" t="n">
        <v>17.68</v>
      </c>
      <c r="F233" s="10" t="n">
        <v>27.03</v>
      </c>
      <c r="G233" s="11" t="n">
        <v>34.58</v>
      </c>
      <c r="H233" s="11" t="n">
        <v>77.72</v>
      </c>
      <c r="I233" s="10" t="n">
        <v>26.34</v>
      </c>
      <c r="J233" s="10" t="n">
        <v>24.22</v>
      </c>
    </row>
    <row r="234" customFormat="false" ht="15" hidden="false" customHeight="false" outlineLevel="0" collapsed="false">
      <c r="A234" s="12" t="n">
        <v>45870</v>
      </c>
      <c r="B234" s="13" t="s">
        <v>58</v>
      </c>
      <c r="C234" s="13" t="str">
        <f aca="false">INDEX(ENSO!$C$5:$C$25,MATCH(B234,ENSO!$A$5:$A$25,0))</f>
        <v>Neutral</v>
      </c>
      <c r="D234" s="14" t="n">
        <v>21.48</v>
      </c>
      <c r="E234" s="14" t="n">
        <v>17.79</v>
      </c>
      <c r="F234" s="14" t="n">
        <v>27.4</v>
      </c>
      <c r="G234" s="15" t="n">
        <v>26.8</v>
      </c>
      <c r="H234" s="15" t="n">
        <v>75.31</v>
      </c>
      <c r="I234" s="14" t="n">
        <v>23.76</v>
      </c>
      <c r="J234" s="14" t="n">
        <v>20.13</v>
      </c>
    </row>
    <row r="235" customFormat="false" ht="15" hidden="false" customHeight="false" outlineLevel="0" collapsed="false">
      <c r="A235" s="8" t="n">
        <v>45901</v>
      </c>
      <c r="B235" s="9" t="s">
        <v>58</v>
      </c>
      <c r="C235" s="9" t="str">
        <f aca="false">INDEX(ENSO!$C$5:$C$25,MATCH(B235,ENSO!$A$5:$A$25,0))</f>
        <v>Neutral</v>
      </c>
      <c r="D235" s="10" t="n">
        <v>22.44</v>
      </c>
      <c r="E235" s="10" t="n">
        <v>18.85</v>
      </c>
      <c r="F235" s="10" t="n">
        <v>28.05</v>
      </c>
      <c r="G235" s="11" t="n">
        <v>69.14</v>
      </c>
      <c r="H235" s="11" t="n">
        <v>73.42</v>
      </c>
      <c r="I235" s="10" t="n">
        <v>23.01</v>
      </c>
      <c r="J235" s="10" t="n">
        <v>24.83</v>
      </c>
    </row>
    <row r="236" customFormat="false" ht="15" hidden="false" customHeight="false" outlineLevel="0" collapsed="false">
      <c r="A236" s="12" t="n">
        <v>45931</v>
      </c>
      <c r="B236" s="13" t="s">
        <v>58</v>
      </c>
      <c r="C236" s="13" t="str">
        <f aca="false">INDEX(ENSO!$C$5:$C$25,MATCH(B236,ENSO!$A$5:$A$25,0))</f>
        <v>Neutral</v>
      </c>
      <c r="D236" s="14" t="n">
        <v>23.19</v>
      </c>
      <c r="E236" s="14" t="n">
        <v>20.15</v>
      </c>
      <c r="F236" s="14" t="n">
        <v>28.27</v>
      </c>
      <c r="G236" s="15" t="n">
        <v>96.11</v>
      </c>
      <c r="H236" s="15" t="n">
        <v>76.66</v>
      </c>
      <c r="I236" s="14" t="n">
        <v>23.17</v>
      </c>
      <c r="J236" s="14" t="n">
        <v>28.3</v>
      </c>
    </row>
    <row r="237" customFormat="false" ht="15" hidden="false" customHeight="false" outlineLevel="0" collapsed="false">
      <c r="A237" s="8" t="n">
        <v>45962</v>
      </c>
      <c r="B237" s="9" t="s">
        <v>58</v>
      </c>
      <c r="C237" s="9" t="str">
        <f aca="false">INDEX(ENSO!$C$5:$C$25,MATCH(B237,ENSO!$A$5:$A$25,0))</f>
        <v>Neutral</v>
      </c>
      <c r="D237" s="10" t="n">
        <v>24.77</v>
      </c>
      <c r="E237" s="10" t="n">
        <v>21.24</v>
      </c>
      <c r="F237" s="10" t="n">
        <v>30.65</v>
      </c>
      <c r="G237" s="11" t="n">
        <v>133.6</v>
      </c>
      <c r="H237" s="11" t="n">
        <v>74.04</v>
      </c>
      <c r="I237" s="10" t="n">
        <v>23.77</v>
      </c>
      <c r="J237" s="10" t="n">
        <v>28.4</v>
      </c>
    </row>
    <row r="238" customFormat="false" ht="15" hidden="false" customHeight="false" outlineLevel="0" collapsed="false">
      <c r="A238" s="12" t="n">
        <v>45992</v>
      </c>
      <c r="B238" s="13" t="s">
        <v>58</v>
      </c>
      <c r="C238" s="13" t="str">
        <f aca="false">INDEX(ENSO!$C$5:$C$25,MATCH(B238,ENSO!$A$5:$A$25,0))</f>
        <v>Neutral</v>
      </c>
      <c r="D238" s="14" t="n">
        <v>26.15</v>
      </c>
      <c r="E238" s="14" t="n">
        <v>22.81</v>
      </c>
      <c r="F238" s="14" t="n">
        <v>32.48</v>
      </c>
      <c r="G238" s="15" t="n">
        <v>145.13</v>
      </c>
      <c r="H238" s="15" t="n">
        <v>75.19</v>
      </c>
      <c r="I238" s="14" t="n">
        <v>27.47</v>
      </c>
      <c r="J238" s="14" t="n">
        <v>30.85</v>
      </c>
    </row>
    <row r="239" customFormat="false" ht="15" hidden="false" customHeight="false" outlineLevel="0" collapsed="false">
      <c r="A239" s="8" t="n">
        <v>46023</v>
      </c>
      <c r="B239" s="9" t="s">
        <v>58</v>
      </c>
      <c r="C239" s="9" t="str">
        <f aca="false">INDEX(ENSO!$C$5:$C$25,MATCH(B239,ENSO!$A$5:$A$25,0))</f>
        <v>Neutral</v>
      </c>
      <c r="D239" s="10" t="n">
        <v>25.94</v>
      </c>
      <c r="E239" s="10" t="n">
        <v>22.56</v>
      </c>
      <c r="F239" s="10" t="n">
        <v>32.39</v>
      </c>
      <c r="G239" s="11" t="n">
        <v>257.75</v>
      </c>
      <c r="H239" s="11" t="n">
        <v>78.84</v>
      </c>
      <c r="I239" s="10" t="n">
        <v>29.67</v>
      </c>
      <c r="J239" s="10" t="n">
        <v>33.51</v>
      </c>
    </row>
    <row r="240" customFormat="false" ht="15" hidden="false" customHeight="false" outlineLevel="0" collapsed="false">
      <c r="A240" s="12" t="n">
        <v>46054</v>
      </c>
      <c r="B240" s="13" t="s">
        <v>58</v>
      </c>
      <c r="C240" s="13" t="str">
        <f aca="false">INDEX(ENSO!$C$5:$C$25,MATCH(B240,ENSO!$A$5:$A$25,0))</f>
        <v>Neutral</v>
      </c>
      <c r="D240" s="14" t="n">
        <v>26.84</v>
      </c>
      <c r="E240" s="14" t="n">
        <v>23.61</v>
      </c>
      <c r="F240" s="14" t="n">
        <v>33.44</v>
      </c>
      <c r="G240" s="15" t="n">
        <v>181.87</v>
      </c>
      <c r="H240" s="15" t="n">
        <v>78.6</v>
      </c>
      <c r="I240" s="14" t="n">
        <v>31.74</v>
      </c>
      <c r="J240" s="14" t="n">
        <v>32.06</v>
      </c>
    </row>
    <row r="241" customFormat="false" ht="15" hidden="false" customHeight="false" outlineLevel="0" collapsed="false">
      <c r="A241" s="8" t="n">
        <v>46082</v>
      </c>
      <c r="B241" s="9" t="s">
        <v>58</v>
      </c>
      <c r="C241" s="9" t="str">
        <f aca="false">INDEX(ENSO!$C$5:$C$25,MATCH(B241,ENSO!$A$5:$A$25,0))</f>
        <v>Neutral</v>
      </c>
      <c r="D241" s="10" t="n">
        <v>25.39</v>
      </c>
      <c r="E241" s="10" t="n">
        <v>22.6</v>
      </c>
      <c r="F241" s="10" t="n">
        <v>31.25</v>
      </c>
      <c r="G241" s="11" t="n">
        <v>205.27</v>
      </c>
      <c r="H241" s="11" t="n">
        <v>83.09</v>
      </c>
      <c r="I241" s="10" t="n">
        <v>39.48</v>
      </c>
      <c r="J241" s="10" t="n">
        <v>39.02</v>
      </c>
    </row>
    <row r="242" customFormat="false" ht="15" hidden="false" customHeight="false" outlineLevel="0" collapsed="false">
      <c r="A242" s="12" t="n">
        <v>46113</v>
      </c>
      <c r="B242" s="13" t="s">
        <v>58</v>
      </c>
      <c r="C242" s="13" t="str">
        <f aca="false">INDEX(ENSO!$C$5:$C$25,MATCH(B242,ENSO!$A$5:$A$25,0))</f>
        <v>Neutral</v>
      </c>
      <c r="D242" s="14" t="n">
        <v>24.81</v>
      </c>
      <c r="E242" s="14" t="n">
        <v>21.62</v>
      </c>
      <c r="F242" s="14" t="n">
        <v>30.81</v>
      </c>
      <c r="G242" s="15" t="n">
        <v>59.85</v>
      </c>
      <c r="H242" s="15" t="n">
        <v>81.8</v>
      </c>
      <c r="I242" s="14" t="n">
        <v>37.65</v>
      </c>
      <c r="J242" s="14" t="n">
        <v>34.95</v>
      </c>
    </row>
    <row r="243" customFormat="false" ht="15" hidden="false" customHeight="false" outlineLevel="0" collapsed="false">
      <c r="A243" s="8" t="n">
        <v>46143</v>
      </c>
      <c r="B243" s="9" t="s">
        <v>58</v>
      </c>
      <c r="C243" s="9" t="str">
        <f aca="false">INDEX(ENSO!$C$5:$C$25,MATCH(B243,ENSO!$A$5:$A$25,0))</f>
        <v>Neutral</v>
      </c>
      <c r="D243" s="10" t="n">
        <v>23.79</v>
      </c>
      <c r="E243" s="10" t="n">
        <v>20.83</v>
      </c>
      <c r="F243" s="10" t="n">
        <v>29.26</v>
      </c>
      <c r="G243" s="11" t="n">
        <v>42.85</v>
      </c>
      <c r="H243" s="11" t="n">
        <v>80.18</v>
      </c>
      <c r="I243" s="10" t="n">
        <v>31.39</v>
      </c>
      <c r="J243" s="10" t="n">
        <v>25.65</v>
      </c>
    </row>
    <row r="244" customFormat="false" ht="15" hidden="false" customHeight="false" outlineLevel="0" collapsed="false">
      <c r="A244" s="12" t="n">
        <v>46174</v>
      </c>
      <c r="B244" s="13" t="s">
        <v>58</v>
      </c>
      <c r="C244" s="13" t="str">
        <f aca="false">INDEX(ENSO!$C$5:$C$25,MATCH(B244,ENSO!$A$5:$A$25,0))</f>
        <v>Neutral</v>
      </c>
      <c r="D244" s="14" t="n">
        <v>22.22</v>
      </c>
      <c r="E244" s="14" t="n">
        <v>18.64</v>
      </c>
      <c r="F244" s="14" t="n">
        <v>28.44</v>
      </c>
      <c r="G244" s="15" t="n">
        <v>34.72</v>
      </c>
      <c r="H244" s="15" t="n">
        <v>79</v>
      </c>
      <c r="I244" s="14" t="n">
        <v>27.64</v>
      </c>
      <c r="J244" s="14" t="n">
        <v>23.24</v>
      </c>
    </row>
    <row r="245" customFormat="false" ht="15" hidden="false" customHeight="false" outlineLevel="0" collapsed="false">
      <c r="A245" s="8" t="n">
        <v>46204</v>
      </c>
      <c r="B245" s="9" t="s">
        <v>59</v>
      </c>
      <c r="C245" s="9" t="str">
        <f aca="false">INDEX(ENSO!$C$5:$C$25,MATCH(B245,ENSO!$A$5:$A$25,0))</f>
        <v>El Niño*</v>
      </c>
      <c r="D245" s="10" t="n">
        <v>22.17</v>
      </c>
      <c r="E245" s="10" t="n">
        <v>18.63</v>
      </c>
      <c r="F245" s="10" t="n">
        <v>28.15</v>
      </c>
      <c r="G245" s="11" t="n">
        <v>38.39</v>
      </c>
      <c r="H245" s="11" t="n">
        <v>77.25</v>
      </c>
      <c r="I245" s="10" t="n">
        <v>25.44</v>
      </c>
      <c r="J245" s="10" t="n">
        <v>22.34</v>
      </c>
    </row>
    <row r="246" customFormat="false" ht="15" hidden="false" customHeight="false" outlineLevel="0" collapsed="false">
      <c r="A246" s="12" t="n">
        <v>46235</v>
      </c>
      <c r="B246" s="13" t="s">
        <v>59</v>
      </c>
      <c r="C246" s="13" t="str">
        <f aca="false">INDEX(ENSO!$C$5:$C$25,MATCH(B246,ENSO!$A$5:$A$25,0))</f>
        <v>El Niño*</v>
      </c>
      <c r="D246" s="14" t="n">
        <v>23.39</v>
      </c>
      <c r="E246" s="14" t="n">
        <v>19.78</v>
      </c>
      <c r="F246" s="14" t="n">
        <v>29.63</v>
      </c>
      <c r="G246" s="15" t="n">
        <v>31.47</v>
      </c>
      <c r="H246" s="15" t="n">
        <v>74.76</v>
      </c>
      <c r="I246" s="14" t="n">
        <v>23.33</v>
      </c>
      <c r="J246" s="14" t="n">
        <v>20.42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4" t="s">
        <v>60</v>
      </c>
    </row>
    <row r="2" customFormat="false" ht="15" hidden="false" customHeight="false" outlineLevel="0" collapsed="false">
      <c r="A2" s="5" t="s">
        <v>61</v>
      </c>
    </row>
    <row r="4" customFormat="false" ht="30" hidden="false" customHeight="true" outlineLevel="0" collapsed="false">
      <c r="A4" s="7" t="s">
        <v>30</v>
      </c>
      <c r="B4" s="7" t="s">
        <v>62</v>
      </c>
      <c r="C4" s="7" t="s">
        <v>31</v>
      </c>
      <c r="D4" s="7" t="s">
        <v>63</v>
      </c>
      <c r="E4" s="7" t="s">
        <v>64</v>
      </c>
      <c r="F4" s="7" t="s">
        <v>65</v>
      </c>
    </row>
    <row r="5" customFormat="false" ht="15" hidden="false" customHeight="false" outlineLevel="0" collapsed="false">
      <c r="A5" s="9" t="s">
        <v>39</v>
      </c>
      <c r="B5" s="16" t="n">
        <v>0.62</v>
      </c>
      <c r="C5" s="9" t="s">
        <v>66</v>
      </c>
      <c r="D5" s="16" t="n">
        <v>0.71</v>
      </c>
      <c r="E5" s="16" t="n">
        <v>0.88</v>
      </c>
      <c r="F5" s="9"/>
    </row>
    <row r="6" customFormat="false" ht="15" hidden="false" customHeight="false" outlineLevel="0" collapsed="false">
      <c r="A6" s="9" t="s">
        <v>40</v>
      </c>
      <c r="B6" s="16" t="n">
        <v>-1.76</v>
      </c>
      <c r="C6" s="9" t="s">
        <v>67</v>
      </c>
      <c r="D6" s="16" t="n">
        <v>-1.38</v>
      </c>
      <c r="E6" s="16" t="n">
        <v>-1.72</v>
      </c>
      <c r="F6" s="9"/>
    </row>
    <row r="7" customFormat="false" ht="15" hidden="false" customHeight="false" outlineLevel="0" collapsed="false">
      <c r="A7" s="9" t="s">
        <v>41</v>
      </c>
      <c r="B7" s="16" t="n">
        <v>-0.89</v>
      </c>
      <c r="C7" s="9" t="s">
        <v>67</v>
      </c>
      <c r="D7" s="16" t="n">
        <v>-0.36</v>
      </c>
      <c r="E7" s="16" t="n">
        <v>-0.79</v>
      </c>
      <c r="F7" s="9"/>
    </row>
    <row r="8" customFormat="false" ht="15" hidden="false" customHeight="false" outlineLevel="0" collapsed="false">
      <c r="A8" s="9" t="s">
        <v>42</v>
      </c>
      <c r="B8" s="16" t="n">
        <v>1.47</v>
      </c>
      <c r="C8" s="9" t="s">
        <v>66</v>
      </c>
      <c r="D8" s="16" t="n">
        <v>0.92</v>
      </c>
      <c r="E8" s="16" t="n">
        <v>1.5</v>
      </c>
      <c r="F8" s="9"/>
    </row>
    <row r="9" customFormat="false" ht="15" hidden="false" customHeight="false" outlineLevel="0" collapsed="false">
      <c r="A9" s="9" t="s">
        <v>43</v>
      </c>
      <c r="B9" s="16" t="n">
        <v>-1.29</v>
      </c>
      <c r="C9" s="9" t="s">
        <v>67</v>
      </c>
      <c r="D9" s="16" t="n">
        <v>-1.54</v>
      </c>
      <c r="E9" s="16" t="n">
        <v>-1.48</v>
      </c>
      <c r="F9" s="9"/>
    </row>
    <row r="10" customFormat="false" ht="15" hidden="false" customHeight="false" outlineLevel="0" collapsed="false">
      <c r="A10" s="9" t="s">
        <v>44</v>
      </c>
      <c r="B10" s="16" t="n">
        <v>-0.71</v>
      </c>
      <c r="C10" s="9" t="s">
        <v>67</v>
      </c>
      <c r="D10" s="16" t="n">
        <v>-0.94</v>
      </c>
      <c r="E10" s="16" t="n">
        <v>-0.92</v>
      </c>
      <c r="F10" s="9"/>
    </row>
    <row r="11" customFormat="false" ht="15" hidden="false" customHeight="false" outlineLevel="0" collapsed="false">
      <c r="A11" s="9" t="s">
        <v>45</v>
      </c>
      <c r="B11" s="16" t="n">
        <v>-0.24</v>
      </c>
      <c r="C11" s="9" t="s">
        <v>68</v>
      </c>
      <c r="D11" s="16" t="n">
        <v>0.28</v>
      </c>
      <c r="E11" s="16" t="n">
        <v>-0.03</v>
      </c>
      <c r="F11" s="9"/>
    </row>
    <row r="12" customFormat="false" ht="15" hidden="false" customHeight="false" outlineLevel="0" collapsed="false">
      <c r="A12" s="9" t="s">
        <v>46</v>
      </c>
      <c r="B12" s="16" t="n">
        <v>-0.24</v>
      </c>
      <c r="C12" s="9" t="s">
        <v>68</v>
      </c>
      <c r="D12" s="16" t="n">
        <v>-0.14</v>
      </c>
      <c r="E12" s="16" t="n">
        <v>-0.11</v>
      </c>
      <c r="F12" s="9"/>
    </row>
    <row r="13" customFormat="false" ht="15" hidden="false" customHeight="false" outlineLevel="0" collapsed="false">
      <c r="A13" s="9" t="s">
        <v>47</v>
      </c>
      <c r="B13" s="16" t="n">
        <v>0.73</v>
      </c>
      <c r="C13" s="9" t="s">
        <v>66</v>
      </c>
      <c r="D13" s="16" t="n">
        <v>0.51</v>
      </c>
      <c r="E13" s="16" t="n">
        <v>0.8</v>
      </c>
      <c r="F13" s="9"/>
    </row>
    <row r="14" customFormat="false" ht="15" hidden="false" customHeight="false" outlineLevel="0" collapsed="false">
      <c r="A14" s="9" t="s">
        <v>48</v>
      </c>
      <c r="B14" s="16" t="n">
        <v>2.5</v>
      </c>
      <c r="C14" s="9" t="s">
        <v>66</v>
      </c>
      <c r="D14" s="16" t="n">
        <v>2.28</v>
      </c>
      <c r="E14" s="16" t="n">
        <v>2.59</v>
      </c>
      <c r="F14" s="9"/>
    </row>
    <row r="15" customFormat="false" ht="15" hidden="false" customHeight="false" outlineLevel="0" collapsed="false">
      <c r="A15" s="9" t="s">
        <v>49</v>
      </c>
      <c r="B15" s="16" t="n">
        <v>-0.08</v>
      </c>
      <c r="C15" s="9" t="s">
        <v>68</v>
      </c>
      <c r="D15" s="16" t="n">
        <v>-0.51</v>
      </c>
      <c r="E15" s="16" t="n">
        <v>-0.37</v>
      </c>
      <c r="F15" s="9"/>
    </row>
    <row r="16" customFormat="false" ht="15" hidden="false" customHeight="false" outlineLevel="0" collapsed="false">
      <c r="A16" s="9" t="s">
        <v>50</v>
      </c>
      <c r="B16" s="16" t="n">
        <v>-0.71</v>
      </c>
      <c r="C16" s="9" t="s">
        <v>67</v>
      </c>
      <c r="D16" s="16" t="n">
        <v>-0.44</v>
      </c>
      <c r="E16" s="16" t="n">
        <v>-0.76</v>
      </c>
      <c r="F16" s="9"/>
    </row>
    <row r="17" customFormat="false" ht="15" hidden="false" customHeight="false" outlineLevel="0" collapsed="false">
      <c r="A17" s="9" t="s">
        <v>51</v>
      </c>
      <c r="B17" s="16" t="n">
        <v>0.99</v>
      </c>
      <c r="C17" s="9" t="s">
        <v>66</v>
      </c>
      <c r="D17" s="16" t="n">
        <v>0.82</v>
      </c>
      <c r="E17" s="16" t="n">
        <v>1.05</v>
      </c>
      <c r="F17" s="9"/>
    </row>
    <row r="18" customFormat="false" ht="15" hidden="false" customHeight="false" outlineLevel="0" collapsed="false">
      <c r="A18" s="9" t="s">
        <v>52</v>
      </c>
      <c r="B18" s="16" t="n">
        <v>0.71</v>
      </c>
      <c r="C18" s="9" t="s">
        <v>66</v>
      </c>
      <c r="D18" s="16" t="n">
        <v>0.51</v>
      </c>
      <c r="E18" s="16" t="n">
        <v>0.75</v>
      </c>
      <c r="F18" s="9"/>
    </row>
    <row r="19" customFormat="false" ht="15" hidden="false" customHeight="false" outlineLevel="0" collapsed="false">
      <c r="A19" s="9" t="s">
        <v>53</v>
      </c>
      <c r="B19" s="16" t="n">
        <v>-0.99</v>
      </c>
      <c r="C19" s="9" t="s">
        <v>67</v>
      </c>
      <c r="D19" s="16" t="n">
        <v>-1</v>
      </c>
      <c r="E19" s="16" t="n">
        <v>-1.06</v>
      </c>
      <c r="F19" s="9"/>
    </row>
    <row r="20" customFormat="false" ht="15" hidden="false" customHeight="false" outlineLevel="0" collapsed="false">
      <c r="A20" s="9" t="s">
        <v>54</v>
      </c>
      <c r="B20" s="16" t="n">
        <v>-0.76</v>
      </c>
      <c r="C20" s="9" t="s">
        <v>67</v>
      </c>
      <c r="D20" s="16" t="n">
        <v>-0.77</v>
      </c>
      <c r="E20" s="16" t="n">
        <v>-0.83</v>
      </c>
      <c r="F20" s="9"/>
    </row>
    <row r="21" customFormat="false" ht="15" hidden="false" customHeight="false" outlineLevel="0" collapsed="false">
      <c r="A21" s="9" t="s">
        <v>55</v>
      </c>
      <c r="B21" s="16" t="n">
        <v>-0.55</v>
      </c>
      <c r="C21" s="9" t="s">
        <v>67</v>
      </c>
      <c r="D21" s="16" t="n">
        <v>-0.89</v>
      </c>
      <c r="E21" s="16" t="n">
        <v>-0.7</v>
      </c>
      <c r="F21" s="9"/>
    </row>
    <row r="22" customFormat="false" ht="15" hidden="false" customHeight="false" outlineLevel="0" collapsed="false">
      <c r="A22" s="9" t="s">
        <v>56</v>
      </c>
      <c r="B22" s="16" t="n">
        <v>1.84</v>
      </c>
      <c r="C22" s="9" t="s">
        <v>66</v>
      </c>
      <c r="D22" s="16" t="n">
        <v>1.74</v>
      </c>
      <c r="E22" s="16" t="n">
        <v>1.99</v>
      </c>
      <c r="F22" s="9"/>
    </row>
    <row r="23" customFormat="false" ht="15" hidden="false" customHeight="false" outlineLevel="0" collapsed="false">
      <c r="A23" s="9" t="s">
        <v>57</v>
      </c>
      <c r="B23" s="16" t="n">
        <v>-0.46</v>
      </c>
      <c r="C23" s="9" t="s">
        <v>68</v>
      </c>
      <c r="D23" s="16" t="n">
        <v>-0.19</v>
      </c>
      <c r="E23" s="16" t="n">
        <v>-0.43</v>
      </c>
      <c r="F23" s="9"/>
    </row>
    <row r="24" customFormat="false" ht="15" hidden="false" customHeight="false" outlineLevel="0" collapsed="false">
      <c r="A24" s="9" t="s">
        <v>58</v>
      </c>
      <c r="B24" s="16" t="n">
        <v>-0.39</v>
      </c>
      <c r="C24" s="9" t="s">
        <v>68</v>
      </c>
      <c r="D24" s="16" t="n">
        <v>-0.57</v>
      </c>
      <c r="E24" s="16" t="n">
        <v>-0.6</v>
      </c>
      <c r="F24" s="9"/>
    </row>
    <row r="25" customFormat="false" ht="15" hidden="false" customHeight="false" outlineLevel="0" collapsed="false">
      <c r="A25" s="9" t="s">
        <v>59</v>
      </c>
      <c r="B25" s="17"/>
      <c r="C25" s="9" t="s">
        <v>69</v>
      </c>
      <c r="D25" s="17"/>
      <c r="E25" s="17"/>
      <c r="F25" s="9" t="s">
        <v>70</v>
      </c>
    </row>
    <row r="27" customFormat="false" ht="15" hidden="false" customHeight="false" outlineLevel="0" collapsed="false">
      <c r="A27" s="1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72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data'!D5</f>
        <v>20.53</v>
      </c>
      <c r="D5" s="10" t="n">
        <f aca="false">'Monthly data'!D6</f>
        <v>21.87</v>
      </c>
      <c r="E5" s="10" t="n">
        <f aca="false">'Monthly data'!D7</f>
        <v>22.13</v>
      </c>
      <c r="F5" s="10" t="n">
        <f aca="false">'Monthly data'!D8</f>
        <v>23.24</v>
      </c>
      <c r="G5" s="10" t="n">
        <f aca="false">'Monthly data'!D9</f>
        <v>23.79</v>
      </c>
      <c r="H5" s="10" t="n">
        <f aca="false">'Monthly data'!D10</f>
        <v>24.6</v>
      </c>
      <c r="I5" s="10" t="n">
        <f aca="false">'Monthly data'!D11</f>
        <v>26.05</v>
      </c>
      <c r="J5" s="10" t="n">
        <f aca="false">'Monthly data'!D12</f>
        <v>24.92</v>
      </c>
      <c r="K5" s="10" t="n">
        <f aca="false">'Monthly data'!D13</f>
        <v>25.61</v>
      </c>
      <c r="L5" s="10" t="n">
        <f aca="false">'Monthly data'!D14</f>
        <v>24.67</v>
      </c>
      <c r="M5" s="10" t="n">
        <f aca="false">'Monthly data'!D15</f>
        <v>22.65</v>
      </c>
      <c r="N5" s="10" t="n">
        <f aca="false">'Monthly data'!D16</f>
        <v>21.54</v>
      </c>
      <c r="O5" s="10" t="n">
        <f aca="false">IF(COUNT(C5:N5)=12,AVERAGE(C5:N5),"")</f>
        <v>23.4666666666667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data'!D17</f>
        <v>21.88</v>
      </c>
      <c r="D6" s="10" t="n">
        <f aca="false">'Monthly data'!D18</f>
        <v>21.24</v>
      </c>
      <c r="E6" s="10" t="n">
        <f aca="false">'Monthly data'!D19</f>
        <v>21.78</v>
      </c>
      <c r="F6" s="10" t="n">
        <f aca="false">'Monthly data'!D20</f>
        <v>23.89</v>
      </c>
      <c r="G6" s="10" t="n">
        <f aca="false">'Monthly data'!D21</f>
        <v>25.33</v>
      </c>
      <c r="H6" s="10" t="n">
        <f aca="false">'Monthly data'!D22</f>
        <v>25.35</v>
      </c>
      <c r="I6" s="10" t="n">
        <f aca="false">'Monthly data'!D23</f>
        <v>25.16</v>
      </c>
      <c r="J6" s="10" t="n">
        <f aca="false">'Monthly data'!D24</f>
        <v>25.75</v>
      </c>
      <c r="K6" s="10" t="n">
        <f aca="false">'Monthly data'!D25</f>
        <v>25.5</v>
      </c>
      <c r="L6" s="10" t="n">
        <f aca="false">'Monthly data'!D26</f>
        <v>25.51</v>
      </c>
      <c r="M6" s="10" t="n">
        <f aca="false">'Monthly data'!D27</f>
        <v>22.82</v>
      </c>
      <c r="N6" s="10" t="n">
        <f aca="false">'Monthly data'!D28</f>
        <v>21.9</v>
      </c>
      <c r="O6" s="10" t="n">
        <f aca="false">IF(COUNT(C6:N6)=12,AVERAGE(C6:N6),"")</f>
        <v>23.8425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data'!D29</f>
        <v>20.73</v>
      </c>
      <c r="D7" s="10" t="n">
        <f aca="false">'Monthly data'!D30</f>
        <v>22.32</v>
      </c>
      <c r="E7" s="10" t="n">
        <f aca="false">'Monthly data'!D31</f>
        <v>22.84</v>
      </c>
      <c r="F7" s="10" t="n">
        <f aca="false">'Monthly data'!D32</f>
        <v>24.66</v>
      </c>
      <c r="G7" s="10" t="n">
        <f aca="false">'Monthly data'!D33</f>
        <v>24.12</v>
      </c>
      <c r="H7" s="10" t="n">
        <f aca="false">'Monthly data'!D34</f>
        <v>24.58</v>
      </c>
      <c r="I7" s="10" t="n">
        <f aca="false">'Monthly data'!D35</f>
        <v>25.58</v>
      </c>
      <c r="J7" s="10" t="n">
        <f aca="false">'Monthly data'!D36</f>
        <v>25.95</v>
      </c>
      <c r="K7" s="10" t="n">
        <f aca="false">'Monthly data'!D37</f>
        <v>26.34</v>
      </c>
      <c r="L7" s="10" t="n">
        <f aca="false">'Monthly data'!D38</f>
        <v>24.41</v>
      </c>
      <c r="M7" s="10" t="n">
        <f aca="false">'Monthly data'!D39</f>
        <v>22.6</v>
      </c>
      <c r="N7" s="10" t="n">
        <f aca="false">'Monthly data'!D40</f>
        <v>21.54</v>
      </c>
      <c r="O7" s="10" t="n">
        <f aca="false">IF(COUNT(C7:N7)=12,AVERAGE(C7:N7),"")</f>
        <v>23.8058333333333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data'!D41</f>
        <v>21.76</v>
      </c>
      <c r="D8" s="10" t="n">
        <f aca="false">'Monthly data'!D42</f>
        <v>22.06</v>
      </c>
      <c r="E8" s="10" t="n">
        <f aca="false">'Monthly data'!D43</f>
        <v>24.24</v>
      </c>
      <c r="F8" s="10" t="n">
        <f aca="false">'Monthly data'!D44</f>
        <v>24.52</v>
      </c>
      <c r="G8" s="10" t="n">
        <f aca="false">'Monthly data'!D45</f>
        <v>25.47</v>
      </c>
      <c r="H8" s="10" t="n">
        <f aca="false">'Monthly data'!D46</f>
        <v>26.4</v>
      </c>
      <c r="I8" s="10" t="n">
        <f aca="false">'Monthly data'!D47</f>
        <v>27.32</v>
      </c>
      <c r="J8" s="10" t="n">
        <f aca="false">'Monthly data'!D48</f>
        <v>27.59</v>
      </c>
      <c r="K8" s="10" t="n">
        <f aca="false">'Monthly data'!D49</f>
        <v>26.41</v>
      </c>
      <c r="L8" s="10" t="n">
        <f aca="false">'Monthly data'!D50</f>
        <v>24.22</v>
      </c>
      <c r="M8" s="10" t="n">
        <f aca="false">'Monthly data'!D51</f>
        <v>23.28</v>
      </c>
      <c r="N8" s="10" t="n">
        <f aca="false">'Monthly data'!D52</f>
        <v>21.39</v>
      </c>
      <c r="O8" s="10" t="n">
        <f aca="false">IF(COUNT(C8:N8)=12,AVERAGE(C8:N8),"")</f>
        <v>24.555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data'!D53</f>
        <v>21.55</v>
      </c>
      <c r="D9" s="10" t="n">
        <f aca="false">'Monthly data'!D54</f>
        <v>21</v>
      </c>
      <c r="E9" s="10" t="n">
        <f aca="false">'Monthly data'!D55</f>
        <v>22.74</v>
      </c>
      <c r="F9" s="10" t="n">
        <f aca="false">'Monthly data'!D56</f>
        <v>24.04</v>
      </c>
      <c r="G9" s="10" t="n">
        <f aca="false">'Monthly data'!D57</f>
        <v>24.32</v>
      </c>
      <c r="H9" s="10" t="n">
        <f aca="false">'Monthly data'!D58</f>
        <v>25.68</v>
      </c>
      <c r="I9" s="10" t="n">
        <f aca="false">'Monthly data'!D59</f>
        <v>25.8</v>
      </c>
      <c r="J9" s="10" t="n">
        <f aca="false">'Monthly data'!D60</f>
        <v>26.31</v>
      </c>
      <c r="K9" s="10" t="n">
        <f aca="false">'Monthly data'!D61</f>
        <v>25.07</v>
      </c>
      <c r="L9" s="10" t="n">
        <f aca="false">'Monthly data'!D62</f>
        <v>24.12</v>
      </c>
      <c r="M9" s="10" t="n">
        <f aca="false">'Monthly data'!D63</f>
        <v>21.9</v>
      </c>
      <c r="N9" s="10" t="n">
        <f aca="false">'Monthly data'!D64</f>
        <v>21.34</v>
      </c>
      <c r="O9" s="10" t="n">
        <f aca="false">IF(COUNT(C9:N9)=12,AVERAGE(C9:N9),"")</f>
        <v>23.6558333333333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data'!D65</f>
        <v>20.89</v>
      </c>
      <c r="D10" s="10" t="n">
        <f aca="false">'Monthly data'!D66</f>
        <v>22.08</v>
      </c>
      <c r="E10" s="10" t="n">
        <f aca="false">'Monthly data'!D67</f>
        <v>21.71</v>
      </c>
      <c r="F10" s="10" t="n">
        <f aca="false">'Monthly data'!D68</f>
        <v>23.13</v>
      </c>
      <c r="G10" s="10" t="n">
        <f aca="false">'Monthly data'!D69</f>
        <v>22.65</v>
      </c>
      <c r="H10" s="10" t="n">
        <f aca="false">'Monthly data'!D70</f>
        <v>24.26</v>
      </c>
      <c r="I10" s="10" t="n">
        <f aca="false">'Monthly data'!D71</f>
        <v>24.85</v>
      </c>
      <c r="J10" s="10" t="n">
        <f aca="false">'Monthly data'!D72</f>
        <v>25.11</v>
      </c>
      <c r="K10" s="10" t="n">
        <f aca="false">'Monthly data'!D73</f>
        <v>25.29</v>
      </c>
      <c r="L10" s="10" t="n">
        <f aca="false">'Monthly data'!D74</f>
        <v>25.03</v>
      </c>
      <c r="M10" s="10" t="n">
        <f aca="false">'Monthly data'!D75</f>
        <v>22.47</v>
      </c>
      <c r="N10" s="10" t="n">
        <f aca="false">'Monthly data'!D76</f>
        <v>22.83</v>
      </c>
      <c r="O10" s="10" t="n">
        <f aca="false">IF(COUNT(C10:N10)=12,AVERAGE(C10:N10),"")</f>
        <v>23.3583333333333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data'!D77</f>
        <v>21.65</v>
      </c>
      <c r="D11" s="10" t="n">
        <f aca="false">'Monthly data'!D78</f>
        <v>21.04</v>
      </c>
      <c r="E11" s="10" t="n">
        <f aca="false">'Monthly data'!D79</f>
        <v>22.71</v>
      </c>
      <c r="F11" s="10" t="n">
        <f aca="false">'Monthly data'!D80</f>
        <v>24.08</v>
      </c>
      <c r="G11" s="10" t="n">
        <f aca="false">'Monthly data'!D81</f>
        <v>24.15</v>
      </c>
      <c r="H11" s="10" t="n">
        <f aca="false">'Monthly data'!D82</f>
        <v>26.5</v>
      </c>
      <c r="I11" s="10" t="n">
        <f aca="false">'Monthly data'!D83</f>
        <v>25.91</v>
      </c>
      <c r="J11" s="10" t="n">
        <f aca="false">'Monthly data'!D84</f>
        <v>26.16</v>
      </c>
      <c r="K11" s="10" t="n">
        <f aca="false">'Monthly data'!D85</f>
        <v>26.59</v>
      </c>
      <c r="L11" s="10" t="n">
        <f aca="false">'Monthly data'!D86</f>
        <v>23.95</v>
      </c>
      <c r="M11" s="10" t="n">
        <f aca="false">'Monthly data'!D87</f>
        <v>23.13</v>
      </c>
      <c r="N11" s="10" t="n">
        <f aca="false">'Monthly data'!D88</f>
        <v>22.67</v>
      </c>
      <c r="O11" s="10" t="n">
        <f aca="false">IF(COUNT(C11:N11)=12,AVERAGE(C11:N11),"")</f>
        <v>24.045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data'!D89</f>
        <v>21.89</v>
      </c>
      <c r="D12" s="10" t="n">
        <f aca="false">'Monthly data'!D90</f>
        <v>21.74</v>
      </c>
      <c r="E12" s="10" t="n">
        <f aca="false">'Monthly data'!D91</f>
        <v>22.91</v>
      </c>
      <c r="F12" s="10" t="n">
        <f aca="false">'Monthly data'!D92</f>
        <v>23.36</v>
      </c>
      <c r="G12" s="10" t="n">
        <f aca="false">'Monthly data'!D93</f>
        <v>24.27</v>
      </c>
      <c r="H12" s="10" t="n">
        <f aca="false">'Monthly data'!D94</f>
        <v>25.08</v>
      </c>
      <c r="I12" s="10" t="n">
        <f aca="false">'Monthly data'!D95</f>
        <v>25.26</v>
      </c>
      <c r="J12" s="10" t="n">
        <f aca="false">'Monthly data'!D96</f>
        <v>25.48</v>
      </c>
      <c r="K12" s="10" t="n">
        <f aca="false">'Monthly data'!D97</f>
        <v>25.39</v>
      </c>
      <c r="L12" s="10" t="n">
        <f aca="false">'Monthly data'!D98</f>
        <v>24.55</v>
      </c>
      <c r="M12" s="10" t="n">
        <f aca="false">'Monthly data'!D99</f>
        <v>23.43</v>
      </c>
      <c r="N12" s="10" t="n">
        <f aca="false">'Monthly data'!D100</f>
        <v>21.68</v>
      </c>
      <c r="O12" s="10" t="n">
        <f aca="false">IF(COUNT(C12:N12)=12,AVERAGE(C12:N12),"")</f>
        <v>23.7533333333333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data'!D101</f>
        <v>21.03</v>
      </c>
      <c r="D13" s="10" t="n">
        <f aca="false">'Monthly data'!D102</f>
        <v>21.24</v>
      </c>
      <c r="E13" s="10" t="n">
        <f aca="false">'Monthly data'!D103</f>
        <v>23.02</v>
      </c>
      <c r="F13" s="10" t="n">
        <f aca="false">'Monthly data'!D104</f>
        <v>23.43</v>
      </c>
      <c r="G13" s="10" t="n">
        <f aca="false">'Monthly data'!D105</f>
        <v>23.95</v>
      </c>
      <c r="H13" s="10" t="n">
        <f aca="false">'Monthly data'!D106</f>
        <v>24.76</v>
      </c>
      <c r="I13" s="10" t="n">
        <f aca="false">'Monthly data'!D107</f>
        <v>26.43</v>
      </c>
      <c r="J13" s="10" t="n">
        <f aca="false">'Monthly data'!D108</f>
        <v>26.51</v>
      </c>
      <c r="K13" s="10" t="n">
        <f aca="false">'Monthly data'!D109</f>
        <v>25.89</v>
      </c>
      <c r="L13" s="10" t="n">
        <f aca="false">'Monthly data'!D110</f>
        <v>24.84</v>
      </c>
      <c r="M13" s="10" t="n">
        <f aca="false">'Monthly data'!D111</f>
        <v>23.12</v>
      </c>
      <c r="N13" s="10" t="n">
        <f aca="false">'Monthly data'!D112</f>
        <v>22.45</v>
      </c>
      <c r="O13" s="10" t="n">
        <f aca="false">IF(COUNT(C13:N13)=12,AVERAGE(C13:N13),"")</f>
        <v>23.8891666666667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data'!D113</f>
        <v>21.94</v>
      </c>
      <c r="D14" s="10" t="n">
        <f aca="false">'Monthly data'!D114</f>
        <v>22.03</v>
      </c>
      <c r="E14" s="10" t="n">
        <f aca="false">'Monthly data'!D115</f>
        <v>24.82</v>
      </c>
      <c r="F14" s="10" t="n">
        <f aca="false">'Monthly data'!D116</f>
        <v>25.48</v>
      </c>
      <c r="G14" s="10" t="n">
        <f aca="false">'Monthly data'!D117</f>
        <v>26.94</v>
      </c>
      <c r="H14" s="10" t="n">
        <f aca="false">'Monthly data'!D118</f>
        <v>27.51</v>
      </c>
      <c r="I14" s="10" t="n">
        <f aca="false">'Monthly data'!D119</f>
        <v>26.49</v>
      </c>
      <c r="J14" s="10" t="n">
        <f aca="false">'Monthly data'!D120</f>
        <v>27.18</v>
      </c>
      <c r="K14" s="10" t="n">
        <f aca="false">'Monthly data'!D121</f>
        <v>27.11</v>
      </c>
      <c r="L14" s="10" t="n">
        <f aca="false">'Monthly data'!D122</f>
        <v>26.38</v>
      </c>
      <c r="M14" s="10" t="n">
        <f aca="false">'Monthly data'!D123</f>
        <v>24.34</v>
      </c>
      <c r="N14" s="10" t="n">
        <f aca="false">'Monthly data'!D124</f>
        <v>22.5</v>
      </c>
      <c r="O14" s="10" t="n">
        <f aca="false">IF(COUNT(C14:N14)=12,AVERAGE(C14:N14),"")</f>
        <v>25.2266666666667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data'!D125</f>
        <v>21.96</v>
      </c>
      <c r="D15" s="10" t="n">
        <f aca="false">'Monthly data'!D126</f>
        <v>23.11</v>
      </c>
      <c r="E15" s="10" t="n">
        <f aca="false">'Monthly data'!D127</f>
        <v>23.8</v>
      </c>
      <c r="F15" s="10" t="n">
        <f aca="false">'Monthly data'!D128</f>
        <v>24.26</v>
      </c>
      <c r="G15" s="10" t="n">
        <f aca="false">'Monthly data'!D129</f>
        <v>24.46</v>
      </c>
      <c r="H15" s="10" t="n">
        <f aca="false">'Monthly data'!D130</f>
        <v>25.9</v>
      </c>
      <c r="I15" s="10" t="n">
        <f aca="false">'Monthly data'!D131</f>
        <v>26.94</v>
      </c>
      <c r="J15" s="10" t="n">
        <f aca="false">'Monthly data'!D132</f>
        <v>25.84</v>
      </c>
      <c r="K15" s="10" t="n">
        <f aca="false">'Monthly data'!D133</f>
        <v>26.33</v>
      </c>
      <c r="L15" s="10" t="n">
        <f aca="false">'Monthly data'!D134</f>
        <v>25.11</v>
      </c>
      <c r="M15" s="10" t="n">
        <f aca="false">'Monthly data'!D135</f>
        <v>23.16</v>
      </c>
      <c r="N15" s="10" t="n">
        <f aca="false">'Monthly data'!D136</f>
        <v>22.38</v>
      </c>
      <c r="O15" s="10" t="n">
        <f aca="false">IF(COUNT(C15:N15)=12,AVERAGE(C15:N15),"")</f>
        <v>24.4375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data'!D137</f>
        <v>20.49</v>
      </c>
      <c r="D16" s="10" t="n">
        <f aca="false">'Monthly data'!D138</f>
        <v>21.16</v>
      </c>
      <c r="E16" s="10" t="n">
        <f aca="false">'Monthly data'!D139</f>
        <v>22</v>
      </c>
      <c r="F16" s="10" t="n">
        <f aca="false">'Monthly data'!D140</f>
        <v>24.91</v>
      </c>
      <c r="G16" s="10" t="n">
        <f aca="false">'Monthly data'!D141</f>
        <v>24.1</v>
      </c>
      <c r="H16" s="10" t="n">
        <f aca="false">'Monthly data'!D142</f>
        <v>24.94</v>
      </c>
      <c r="I16" s="10" t="n">
        <f aca="false">'Monthly data'!D143</f>
        <v>26.2</v>
      </c>
      <c r="J16" s="10" t="n">
        <f aca="false">'Monthly data'!D144</f>
        <v>25.29</v>
      </c>
      <c r="K16" s="10" t="n">
        <f aca="false">'Monthly data'!D145</f>
        <v>25.92</v>
      </c>
      <c r="L16" s="10" t="n">
        <f aca="false">'Monthly data'!D146</f>
        <v>23.79</v>
      </c>
      <c r="M16" s="10" t="n">
        <f aca="false">'Monthly data'!D147</f>
        <v>22.54</v>
      </c>
      <c r="N16" s="10" t="n">
        <f aca="false">'Monthly data'!D148</f>
        <v>22.16</v>
      </c>
      <c r="O16" s="10" t="n">
        <f aca="false">IF(COUNT(C16:N16)=12,AVERAGE(C16:N16),"")</f>
        <v>23.625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data'!D149</f>
        <v>21.36</v>
      </c>
      <c r="D17" s="10" t="n">
        <f aca="false">'Monthly data'!D150</f>
        <v>22.15</v>
      </c>
      <c r="E17" s="10" t="n">
        <f aca="false">'Monthly data'!D151</f>
        <v>23.41</v>
      </c>
      <c r="F17" s="10" t="n">
        <f aca="false">'Monthly data'!D152</f>
        <v>24.64</v>
      </c>
      <c r="G17" s="10" t="n">
        <f aca="false">'Monthly data'!D153</f>
        <v>24.37</v>
      </c>
      <c r="H17" s="10" t="n">
        <f aca="false">'Monthly data'!D154</f>
        <v>25.14</v>
      </c>
      <c r="I17" s="10" t="n">
        <f aca="false">'Monthly data'!D155</f>
        <v>26.41</v>
      </c>
      <c r="J17" s="10" t="n">
        <f aca="false">'Monthly data'!D156</f>
        <v>27.81</v>
      </c>
      <c r="K17" s="10" t="n">
        <f aca="false">'Monthly data'!D157</f>
        <v>27.03</v>
      </c>
      <c r="L17" s="10" t="n">
        <f aca="false">'Monthly data'!D158</f>
        <v>26.2</v>
      </c>
      <c r="M17" s="10" t="n">
        <f aca="false">'Monthly data'!D159</f>
        <v>24.84</v>
      </c>
      <c r="N17" s="10" t="n">
        <f aca="false">'Monthly data'!D160</f>
        <v>22.8</v>
      </c>
      <c r="O17" s="10" t="n">
        <f aca="false">IF(COUNT(C17:N17)=12,AVERAGE(C17:N17),"")</f>
        <v>24.68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data'!D161</f>
        <v>21.94</v>
      </c>
      <c r="D18" s="10" t="n">
        <f aca="false">'Monthly data'!D162</f>
        <v>21.86</v>
      </c>
      <c r="E18" s="10" t="n">
        <f aca="false">'Monthly data'!D163</f>
        <v>23.77</v>
      </c>
      <c r="F18" s="10" t="n">
        <f aca="false">'Monthly data'!D164</f>
        <v>24.52</v>
      </c>
      <c r="G18" s="10" t="n">
        <f aca="false">'Monthly data'!D165</f>
        <v>25.11</v>
      </c>
      <c r="H18" s="10" t="n">
        <f aca="false">'Monthly data'!D166</f>
        <v>25.43</v>
      </c>
      <c r="I18" s="10" t="n">
        <f aca="false">'Monthly data'!D167</f>
        <v>26.02</v>
      </c>
      <c r="J18" s="10" t="n">
        <f aca="false">'Monthly data'!D168</f>
        <v>26.56</v>
      </c>
      <c r="K18" s="10" t="n">
        <f aca="false">'Monthly data'!D169</f>
        <v>24.8</v>
      </c>
      <c r="L18" s="10" t="n">
        <f aca="false">'Monthly data'!D170</f>
        <v>24.32</v>
      </c>
      <c r="M18" s="10" t="n">
        <f aca="false">'Monthly data'!D171</f>
        <v>22.8</v>
      </c>
      <c r="N18" s="10" t="n">
        <f aca="false">'Monthly data'!D172</f>
        <v>22.58</v>
      </c>
      <c r="O18" s="10" t="n">
        <f aca="false">IF(COUNT(C18:N18)=12,AVERAGE(C18:N18),"")</f>
        <v>24.1425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data'!D173</f>
        <v>21.76</v>
      </c>
      <c r="D19" s="10" t="n">
        <f aca="false">'Monthly data'!D174</f>
        <v>21.62</v>
      </c>
      <c r="E19" s="10" t="n">
        <f aca="false">'Monthly data'!D175</f>
        <v>23.68</v>
      </c>
      <c r="F19" s="10" t="n">
        <f aca="false">'Monthly data'!D176</f>
        <v>24.89</v>
      </c>
      <c r="G19" s="10" t="n">
        <f aca="false">'Monthly data'!D177</f>
        <v>24.18</v>
      </c>
      <c r="H19" s="10" t="n">
        <f aca="false">'Monthly data'!D178</f>
        <v>25.78</v>
      </c>
      <c r="I19" s="10" t="n">
        <f aca="false">'Monthly data'!D179</f>
        <v>26.22</v>
      </c>
      <c r="J19" s="10" t="n">
        <f aca="false">'Monthly data'!D180</f>
        <v>25.61</v>
      </c>
      <c r="K19" s="10" t="n">
        <f aca="false">'Monthly data'!D181</f>
        <v>25.94</v>
      </c>
      <c r="L19" s="10" t="n">
        <f aca="false">'Monthly data'!D182</f>
        <v>24.75</v>
      </c>
      <c r="M19" s="10" t="n">
        <f aca="false">'Monthly data'!D183</f>
        <v>23.76</v>
      </c>
      <c r="N19" s="10" t="n">
        <f aca="false">'Monthly data'!D184</f>
        <v>22.3</v>
      </c>
      <c r="O19" s="10" t="n">
        <f aca="false">IF(COUNT(C19:N19)=12,AVERAGE(C19:N19),"")</f>
        <v>24.2075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data'!D185</f>
        <v>21.47</v>
      </c>
      <c r="D20" s="10" t="n">
        <f aca="false">'Monthly data'!D186</f>
        <v>21.8</v>
      </c>
      <c r="E20" s="10" t="n">
        <f aca="false">'Monthly data'!D187</f>
        <v>23.81</v>
      </c>
      <c r="F20" s="10" t="n">
        <f aca="false">'Monthly data'!D188</f>
        <v>24.03</v>
      </c>
      <c r="G20" s="10" t="n">
        <f aca="false">'Monthly data'!D189</f>
        <v>23.7</v>
      </c>
      <c r="H20" s="10" t="n">
        <f aca="false">'Monthly data'!D190</f>
        <v>24.37</v>
      </c>
      <c r="I20" s="10" t="n">
        <f aca="false">'Monthly data'!D191</f>
        <v>25.72</v>
      </c>
      <c r="J20" s="10" t="n">
        <f aca="false">'Monthly data'!D192</f>
        <v>25.61</v>
      </c>
      <c r="K20" s="10" t="n">
        <f aca="false">'Monthly data'!D193</f>
        <v>25.65</v>
      </c>
      <c r="L20" s="10" t="n">
        <f aca="false">'Monthly data'!D194</f>
        <v>25.34</v>
      </c>
      <c r="M20" s="10" t="n">
        <f aca="false">'Monthly data'!D195</f>
        <v>23.32</v>
      </c>
      <c r="N20" s="10" t="n">
        <f aca="false">'Monthly data'!D196</f>
        <v>21.88</v>
      </c>
      <c r="O20" s="10" t="n">
        <f aca="false">IF(COUNT(C20:N20)=12,AVERAGE(C20:N20),"")</f>
        <v>23.8916666666667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data'!D197</f>
        <v>21.62</v>
      </c>
      <c r="D21" s="10" t="n">
        <f aca="false">'Monthly data'!D198</f>
        <v>21.97</v>
      </c>
      <c r="E21" s="10" t="n">
        <f aca="false">'Monthly data'!D199</f>
        <v>22.69</v>
      </c>
      <c r="F21" s="10" t="n">
        <f aca="false">'Monthly data'!D200</f>
        <v>25.03</v>
      </c>
      <c r="G21" s="10" t="n">
        <f aca="false">'Monthly data'!D201</f>
        <v>23.52</v>
      </c>
      <c r="H21" s="10" t="n">
        <f aca="false">'Monthly data'!D202</f>
        <v>24.21</v>
      </c>
      <c r="I21" s="10" t="n">
        <f aca="false">'Monthly data'!D203</f>
        <v>25.31</v>
      </c>
      <c r="J21" s="10" t="n">
        <f aca="false">'Monthly data'!D204</f>
        <v>26.38</v>
      </c>
      <c r="K21" s="10" t="n">
        <f aca="false">'Monthly data'!D205</f>
        <v>26.04</v>
      </c>
      <c r="L21" s="10" t="n">
        <f aca="false">'Monthly data'!D206</f>
        <v>25.28</v>
      </c>
      <c r="M21" s="10" t="n">
        <f aca="false">'Monthly data'!D207</f>
        <v>22.83</v>
      </c>
      <c r="N21" s="10" t="n">
        <f aca="false">'Monthly data'!D208</f>
        <v>22.17</v>
      </c>
      <c r="O21" s="10" t="n">
        <f aca="false">IF(COUNT(C21:N21)=12,AVERAGE(C21:N21),"")</f>
        <v>23.9208333333333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data'!D209</f>
        <v>21.77</v>
      </c>
      <c r="D22" s="10" t="n">
        <f aca="false">'Monthly data'!D210</f>
        <v>22.95</v>
      </c>
      <c r="E22" s="10" t="n">
        <f aca="false">'Monthly data'!D211</f>
        <v>24.02</v>
      </c>
      <c r="F22" s="10" t="n">
        <f aca="false">'Monthly data'!D212</f>
        <v>25.67</v>
      </c>
      <c r="G22" s="10" t="n">
        <f aca="false">'Monthly data'!D213</f>
        <v>27.14</v>
      </c>
      <c r="H22" s="10" t="n">
        <f aca="false">'Monthly data'!D214</f>
        <v>27.59</v>
      </c>
      <c r="I22" s="10" t="n">
        <f aca="false">'Monthly data'!D215</f>
        <v>26.34</v>
      </c>
      <c r="J22" s="10" t="n">
        <f aca="false">'Monthly data'!D216</f>
        <v>26.31</v>
      </c>
      <c r="K22" s="10" t="n">
        <f aca="false">'Monthly data'!D217</f>
        <v>27.01</v>
      </c>
      <c r="L22" s="10" t="n">
        <f aca="false">'Monthly data'!D218</f>
        <v>25.82</v>
      </c>
      <c r="M22" s="10" t="n">
        <f aca="false">'Monthly data'!D219</f>
        <v>25.23</v>
      </c>
      <c r="N22" s="10" t="n">
        <f aca="false">'Monthly data'!D220</f>
        <v>23.3</v>
      </c>
      <c r="O22" s="10" t="n">
        <f aca="false">IF(COUNT(C22:N22)=12,AVERAGE(C22:N22),"")</f>
        <v>25.2625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data'!D221</f>
        <v>22.85</v>
      </c>
      <c r="D23" s="10" t="n">
        <f aca="false">'Monthly data'!D222</f>
        <v>22.56</v>
      </c>
      <c r="E23" s="10" t="n">
        <f aca="false">'Monthly data'!D223</f>
        <v>24.51</v>
      </c>
      <c r="F23" s="10" t="n">
        <f aca="false">'Monthly data'!D224</f>
        <v>24.91</v>
      </c>
      <c r="G23" s="10" t="n">
        <f aca="false">'Monthly data'!D225</f>
        <v>24.6</v>
      </c>
      <c r="H23" s="10" t="n">
        <f aca="false">'Monthly data'!D226</f>
        <v>26.39</v>
      </c>
      <c r="I23" s="10" t="n">
        <f aca="false">'Monthly data'!D227</f>
        <v>25.99</v>
      </c>
      <c r="J23" s="10" t="n">
        <f aca="false">'Monthly data'!D228</f>
        <v>26.59</v>
      </c>
      <c r="K23" s="10" t="n">
        <f aca="false">'Monthly data'!D229</f>
        <v>26.22</v>
      </c>
      <c r="L23" s="10" t="n">
        <f aca="false">'Monthly data'!D230</f>
        <v>24.98</v>
      </c>
      <c r="M23" s="10" t="n">
        <f aca="false">'Monthly data'!D231</f>
        <v>22.92</v>
      </c>
      <c r="N23" s="10" t="n">
        <f aca="false">'Monthly data'!D232</f>
        <v>22.02</v>
      </c>
      <c r="O23" s="10" t="n">
        <f aca="false">IF(COUNT(C23:N23)=12,AVERAGE(C23:N23),"")</f>
        <v>24.545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data'!D233</f>
        <v>21.01</v>
      </c>
      <c r="D24" s="10" t="n">
        <f aca="false">'Monthly data'!D234</f>
        <v>21.48</v>
      </c>
      <c r="E24" s="10" t="n">
        <f aca="false">'Monthly data'!D235</f>
        <v>22.44</v>
      </c>
      <c r="F24" s="10" t="n">
        <f aca="false">'Monthly data'!D236</f>
        <v>23.19</v>
      </c>
      <c r="G24" s="10" t="n">
        <f aca="false">'Monthly data'!D237</f>
        <v>24.77</v>
      </c>
      <c r="H24" s="10" t="n">
        <f aca="false">'Monthly data'!D238</f>
        <v>26.15</v>
      </c>
      <c r="I24" s="10" t="n">
        <f aca="false">'Monthly data'!D239</f>
        <v>25.94</v>
      </c>
      <c r="J24" s="10" t="n">
        <f aca="false">'Monthly data'!D240</f>
        <v>26.84</v>
      </c>
      <c r="K24" s="10" t="n">
        <f aca="false">'Monthly data'!D241</f>
        <v>25.39</v>
      </c>
      <c r="L24" s="10" t="n">
        <f aca="false">'Monthly data'!D242</f>
        <v>24.81</v>
      </c>
      <c r="M24" s="10" t="n">
        <f aca="false">'Monthly data'!D243</f>
        <v>23.79</v>
      </c>
      <c r="N24" s="10" t="n">
        <f aca="false">'Monthly data'!D244</f>
        <v>22.22</v>
      </c>
      <c r="O24" s="10" t="n">
        <f aca="false">IF(COUNT(C24:N24)=12,AVERAGE(C24:N24),"")</f>
        <v>24.0025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data'!D245</f>
        <v>22.17</v>
      </c>
      <c r="D25" s="10" t="n">
        <f aca="false">'Monthly data'!D246</f>
        <v>23.39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21.4757142857143</v>
      </c>
      <c r="D28" s="23" t="n">
        <f aca="false">AVERAGEIF($B$5:$B$25,"El Niño",D$5:D$25)</f>
        <v>22.0228571428571</v>
      </c>
      <c r="E28" s="23" t="n">
        <f aca="false">AVERAGEIF($B$5:$B$25,"El Niño",E$5:E$25)</f>
        <v>23.63</v>
      </c>
      <c r="F28" s="23" t="n">
        <f aca="false">AVERAGEIF($B$5:$B$25,"El Niño",F$5:F$25)</f>
        <v>24.5</v>
      </c>
      <c r="G28" s="23" t="n">
        <f aca="false">AVERAGEIF($B$5:$B$25,"El Niño",G$5:G$25)</f>
        <v>25.2528571428571</v>
      </c>
      <c r="H28" s="23" t="n">
        <f aca="false">AVERAGEIF($B$5:$B$25,"El Niño",H$5:H$25)</f>
        <v>25.9185714285714</v>
      </c>
      <c r="I28" s="23" t="n">
        <f aca="false">AVERAGEIF($B$5:$B$25,"El Niño",I$5:I$25)</f>
        <v>26.4371428571429</v>
      </c>
      <c r="J28" s="23" t="n">
        <f aca="false">AVERAGEIF($B$5:$B$25,"El Niño",J$5:J$25)</f>
        <v>26.6971428571429</v>
      </c>
      <c r="K28" s="23" t="n">
        <f aca="false">AVERAGEIF($B$5:$B$25,"El Niño",K$5:K$25)</f>
        <v>26.2657142857143</v>
      </c>
      <c r="L28" s="23" t="n">
        <f aca="false">AVERAGEIF($B$5:$B$25,"El Niño",L$5:L$25)</f>
        <v>25.2071428571429</v>
      </c>
      <c r="M28" s="23" t="n">
        <f aca="false">AVERAGEIF($B$5:$B$25,"El Niño",M$5:M$25)</f>
        <v>23.7514285714286</v>
      </c>
      <c r="N28" s="23" t="n">
        <f aca="false">AVERAGEIF($B$5:$B$25,"El Niño",N$5:N$25)</f>
        <v>22.3657142857143</v>
      </c>
      <c r="O28" s="23" t="n">
        <f aca="false">AVERAGEIF($B$5:$B$25,"El Niño",O$5:O$25)</f>
        <v>24.4603571428571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21.29875</v>
      </c>
      <c r="D29" s="23" t="n">
        <f aca="false">AVERAGEIF($B$5:$B$25,"La Niña",D$5:D$25)</f>
        <v>21.64875</v>
      </c>
      <c r="E29" s="23" t="n">
        <f aca="false">AVERAGEIF($B$5:$B$25,"La Niña",E$5:E$25)</f>
        <v>22.65625</v>
      </c>
      <c r="F29" s="23" t="n">
        <f aca="false">AVERAGEIF($B$5:$B$25,"La Niña",F$5:F$25)</f>
        <v>24.3225</v>
      </c>
      <c r="G29" s="23" t="n">
        <f aca="false">AVERAGEIF($B$5:$B$25,"La Niña",G$5:G$25)</f>
        <v>23.99</v>
      </c>
      <c r="H29" s="23" t="n">
        <f aca="false">AVERAGEIF($B$5:$B$25,"La Niña",H$5:H$25)</f>
        <v>24.89625</v>
      </c>
      <c r="I29" s="23" t="n">
        <f aca="false">AVERAGEIF($B$5:$B$25,"La Niña",I$5:I$25)</f>
        <v>25.605</v>
      </c>
      <c r="J29" s="23" t="n">
        <f aca="false">AVERAGEIF($B$5:$B$25,"La Niña",J$5:J$25)</f>
        <v>25.75125</v>
      </c>
      <c r="K29" s="23" t="n">
        <f aca="false">AVERAGEIF($B$5:$B$25,"La Niña",K$5:K$25)</f>
        <v>25.71875</v>
      </c>
      <c r="L29" s="23" t="n">
        <f aca="false">AVERAGEIF($B$5:$B$25,"La Niña",L$5:L$25)</f>
        <v>24.77875</v>
      </c>
      <c r="M29" s="23" t="n">
        <f aca="false">AVERAGEIF($B$5:$B$25,"La Niña",M$5:M$25)</f>
        <v>22.78</v>
      </c>
      <c r="N29" s="23" t="n">
        <f aca="false">AVERAGEIF($B$5:$B$25,"La Niña",N$5:N$25)</f>
        <v>22.015</v>
      </c>
      <c r="O29" s="23" t="n">
        <f aca="false">AVERAGEIF($B$5:$B$25,"La Niña",O$5:O$25)</f>
        <v>23.7884375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21.872</v>
      </c>
      <c r="D30" s="23" t="n">
        <f aca="false">AVERAGEIF($B$5:$B$25,"Neutral",D$5:D$25)</f>
        <v>21.986</v>
      </c>
      <c r="E30" s="23" t="n">
        <f aca="false">AVERAGEIF($B$5:$B$25,"Neutral",E$5:E$25)</f>
        <v>23.274</v>
      </c>
      <c r="F30" s="23" t="n">
        <f aca="false">AVERAGEIF($B$5:$B$25,"Neutral",F$5:F$25)</f>
        <v>23.96</v>
      </c>
      <c r="G30" s="23" t="n">
        <f aca="false">AVERAGEIF($B$5:$B$25,"Neutral",G$5:G$25)</f>
        <v>24.45</v>
      </c>
      <c r="H30" s="23" t="n">
        <f aca="false">AVERAGEIF($B$5:$B$25,"Neutral",H$5:H$25)</f>
        <v>26.004</v>
      </c>
      <c r="I30" s="23" t="n">
        <f aca="false">AVERAGEIF($B$5:$B$25,"Neutral",I$5:I$25)</f>
        <v>26.008</v>
      </c>
      <c r="J30" s="23" t="n">
        <f aca="false">AVERAGEIF($B$5:$B$25,"Neutral",J$5:J$25)</f>
        <v>26.182</v>
      </c>
      <c r="K30" s="23" t="n">
        <f aca="false">AVERAGEIF($B$5:$B$25,"Neutral",K$5:K$25)</f>
        <v>25.984</v>
      </c>
      <c r="L30" s="23" t="n">
        <f aca="false">AVERAGEIF($B$5:$B$25,"Neutral",L$5:L$25)</f>
        <v>24.68</v>
      </c>
      <c r="M30" s="23" t="n">
        <f aca="false">AVERAGEIF($B$5:$B$25,"Neutral",M$5:M$25)</f>
        <v>23.286</v>
      </c>
      <c r="N30" s="23" t="n">
        <f aca="false">AVERAGEIF($B$5:$B$25,"Neutral",N$5:N$25)</f>
        <v>22.194</v>
      </c>
      <c r="O30" s="23" t="n">
        <f aca="false">AVERAGEIF($B$5:$B$25,"Neutral",O$5:O$25)</f>
        <v>24.1566666666667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21.504</v>
      </c>
      <c r="D31" s="23" t="n">
        <f aca="false">AVERAGE(D5:D24)</f>
        <v>21.864</v>
      </c>
      <c r="E31" s="23" t="n">
        <f aca="false">AVERAGE(E5:E24)</f>
        <v>23.1515</v>
      </c>
      <c r="F31" s="23" t="n">
        <f aca="false">AVERAGE(F5:F24)</f>
        <v>24.294</v>
      </c>
      <c r="G31" s="23" t="n">
        <f aca="false">AVERAGE(G5:G24)</f>
        <v>24.547</v>
      </c>
      <c r="H31" s="23" t="n">
        <f aca="false">AVERAGE(H5:H24)</f>
        <v>25.531</v>
      </c>
      <c r="I31" s="23" t="n">
        <f aca="false">AVERAGE(I5:I24)</f>
        <v>25.997</v>
      </c>
      <c r="J31" s="23" t="n">
        <f aca="false">AVERAGE(J5:J24)</f>
        <v>26.19</v>
      </c>
      <c r="K31" s="23" t="n">
        <f aca="false">AVERAGE(K5:K24)</f>
        <v>25.9765</v>
      </c>
      <c r="L31" s="23" t="n">
        <f aca="false">AVERAGE(L5:L24)</f>
        <v>24.904</v>
      </c>
      <c r="M31" s="23" t="n">
        <f aca="false">AVERAGE(M5:M24)</f>
        <v>23.2465</v>
      </c>
      <c r="N31" s="23" t="n">
        <f aca="false">AVERAGE(N5:N24)</f>
        <v>22.1825</v>
      </c>
      <c r="O31" s="23" t="n">
        <f aca="false">AVERAGE(O5:O24)</f>
        <v>24.1156666666667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93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data'!E5</f>
        <v>16.55</v>
      </c>
      <c r="D5" s="10" t="n">
        <f aca="false">'Monthly data'!E6</f>
        <v>18.46</v>
      </c>
      <c r="E5" s="10" t="n">
        <f aca="false">'Monthly data'!E7</f>
        <v>18.72</v>
      </c>
      <c r="F5" s="10" t="n">
        <f aca="false">'Monthly data'!E8</f>
        <v>20.66</v>
      </c>
      <c r="G5" s="10" t="n">
        <f aca="false">'Monthly data'!E9</f>
        <v>21.34</v>
      </c>
      <c r="H5" s="10" t="n">
        <f aca="false">'Monthly data'!E10</f>
        <v>22.05</v>
      </c>
      <c r="I5" s="10" t="n">
        <f aca="false">'Monthly data'!E11</f>
        <v>23.12</v>
      </c>
      <c r="J5" s="10" t="n">
        <f aca="false">'Monthly data'!E12</f>
        <v>22.17</v>
      </c>
      <c r="K5" s="10" t="n">
        <f aca="false">'Monthly data'!E13</f>
        <v>22.33</v>
      </c>
      <c r="L5" s="10" t="n">
        <f aca="false">'Monthly data'!E14</f>
        <v>21.86</v>
      </c>
      <c r="M5" s="10" t="n">
        <f aca="false">'Monthly data'!E15</f>
        <v>19.45</v>
      </c>
      <c r="N5" s="10" t="n">
        <f aca="false">'Monthly data'!E16</f>
        <v>17.58</v>
      </c>
      <c r="O5" s="10" t="n">
        <f aca="false">IF(COUNT(C5:N5)=12,AVERAGE(C5:N5),"")</f>
        <v>20.3575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data'!E17</f>
        <v>18.41</v>
      </c>
      <c r="D6" s="10" t="n">
        <f aca="false">'Monthly data'!E18</f>
        <v>17.41</v>
      </c>
      <c r="E6" s="10" t="n">
        <f aca="false">'Monthly data'!E19</f>
        <v>18.14</v>
      </c>
      <c r="F6" s="10" t="n">
        <f aca="false">'Monthly data'!E20</f>
        <v>20.23</v>
      </c>
      <c r="G6" s="10" t="n">
        <f aca="false">'Monthly data'!E21</f>
        <v>21.87</v>
      </c>
      <c r="H6" s="10" t="n">
        <f aca="false">'Monthly data'!E22</f>
        <v>22.07</v>
      </c>
      <c r="I6" s="10" t="n">
        <f aca="false">'Monthly data'!E23</f>
        <v>22.13</v>
      </c>
      <c r="J6" s="10" t="n">
        <f aca="false">'Monthly data'!E24</f>
        <v>22.66</v>
      </c>
      <c r="K6" s="10" t="n">
        <f aca="false">'Monthly data'!E25</f>
        <v>22.51</v>
      </c>
      <c r="L6" s="10" t="n">
        <f aca="false">'Monthly data'!E26</f>
        <v>22.42</v>
      </c>
      <c r="M6" s="10" t="n">
        <f aca="false">'Monthly data'!E27</f>
        <v>19.49</v>
      </c>
      <c r="N6" s="10" t="n">
        <f aca="false">'Monthly data'!E28</f>
        <v>18.52</v>
      </c>
      <c r="O6" s="10" t="n">
        <f aca="false">IF(COUNT(C6:N6)=12,AVERAGE(C6:N6),"")</f>
        <v>20.4883333333333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data'!E29</f>
        <v>16.79</v>
      </c>
      <c r="D7" s="10" t="n">
        <f aca="false">'Monthly data'!E30</f>
        <v>18.4</v>
      </c>
      <c r="E7" s="10" t="n">
        <f aca="false">'Monthly data'!E31</f>
        <v>19.22</v>
      </c>
      <c r="F7" s="10" t="n">
        <f aca="false">'Monthly data'!E32</f>
        <v>21.01</v>
      </c>
      <c r="G7" s="10" t="n">
        <f aca="false">'Monthly data'!E33</f>
        <v>21.53</v>
      </c>
      <c r="H7" s="10" t="n">
        <f aca="false">'Monthly data'!E34</f>
        <v>21.77</v>
      </c>
      <c r="I7" s="10" t="n">
        <f aca="false">'Monthly data'!E35</f>
        <v>22.87</v>
      </c>
      <c r="J7" s="10" t="n">
        <f aca="false">'Monthly data'!E36</f>
        <v>22.8</v>
      </c>
      <c r="K7" s="10" t="n">
        <f aca="false">'Monthly data'!E37</f>
        <v>23.15</v>
      </c>
      <c r="L7" s="10" t="n">
        <f aca="false">'Monthly data'!E38</f>
        <v>21.65</v>
      </c>
      <c r="M7" s="10" t="n">
        <f aca="false">'Monthly data'!E39</f>
        <v>19.56</v>
      </c>
      <c r="N7" s="10" t="n">
        <f aca="false">'Monthly data'!E40</f>
        <v>18.61</v>
      </c>
      <c r="O7" s="10" t="n">
        <f aca="false">IF(COUNT(C7:N7)=12,AVERAGE(C7:N7),"")</f>
        <v>20.6133333333333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data'!E41</f>
        <v>18.37</v>
      </c>
      <c r="D8" s="10" t="n">
        <f aca="false">'Monthly data'!E42</f>
        <v>18.77</v>
      </c>
      <c r="E8" s="10" t="n">
        <f aca="false">'Monthly data'!E43</f>
        <v>20.66</v>
      </c>
      <c r="F8" s="10" t="n">
        <f aca="false">'Monthly data'!E44</f>
        <v>21.68</v>
      </c>
      <c r="G8" s="10" t="n">
        <f aca="false">'Monthly data'!E45</f>
        <v>22</v>
      </c>
      <c r="H8" s="10" t="n">
        <f aca="false">'Monthly data'!E46</f>
        <v>23.08</v>
      </c>
      <c r="I8" s="10" t="n">
        <f aca="false">'Monthly data'!E47</f>
        <v>23.65</v>
      </c>
      <c r="J8" s="10" t="n">
        <f aca="false">'Monthly data'!E48</f>
        <v>23.83</v>
      </c>
      <c r="K8" s="10" t="n">
        <f aca="false">'Monthly data'!E49</f>
        <v>23.54</v>
      </c>
      <c r="L8" s="10" t="n">
        <f aca="false">'Monthly data'!E50</f>
        <v>21.46</v>
      </c>
      <c r="M8" s="10" t="n">
        <f aca="false">'Monthly data'!E51</f>
        <v>20.13</v>
      </c>
      <c r="N8" s="10" t="n">
        <f aca="false">'Monthly data'!E52</f>
        <v>17.98</v>
      </c>
      <c r="O8" s="10" t="n">
        <f aca="false">IF(COUNT(C8:N8)=12,AVERAGE(C8:N8),"")</f>
        <v>21.2625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data'!E53</f>
        <v>18.72</v>
      </c>
      <c r="D9" s="10" t="n">
        <f aca="false">'Monthly data'!E54</f>
        <v>16.98</v>
      </c>
      <c r="E9" s="10" t="n">
        <f aca="false">'Monthly data'!E55</f>
        <v>19.08</v>
      </c>
      <c r="F9" s="10" t="n">
        <f aca="false">'Monthly data'!E56</f>
        <v>20.84</v>
      </c>
      <c r="G9" s="10" t="n">
        <f aca="false">'Monthly data'!E57</f>
        <v>21.54</v>
      </c>
      <c r="H9" s="10" t="n">
        <f aca="false">'Monthly data'!E58</f>
        <v>22.62</v>
      </c>
      <c r="I9" s="10" t="n">
        <f aca="false">'Monthly data'!E59</f>
        <v>22.67</v>
      </c>
      <c r="J9" s="10" t="n">
        <f aca="false">'Monthly data'!E60</f>
        <v>22.68</v>
      </c>
      <c r="K9" s="10" t="n">
        <f aca="false">'Monthly data'!E61</f>
        <v>22.5</v>
      </c>
      <c r="L9" s="10" t="n">
        <f aca="false">'Monthly data'!E62</f>
        <v>21.64</v>
      </c>
      <c r="M9" s="10" t="n">
        <f aca="false">'Monthly data'!E63</f>
        <v>18.78</v>
      </c>
      <c r="N9" s="10" t="n">
        <f aca="false">'Monthly data'!E64</f>
        <v>18.01</v>
      </c>
      <c r="O9" s="10" t="n">
        <f aca="false">IF(COUNT(C9:N9)=12,AVERAGE(C9:N9),"")</f>
        <v>20.505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data'!E65</f>
        <v>17.18</v>
      </c>
      <c r="D10" s="10" t="n">
        <f aca="false">'Monthly data'!E66</f>
        <v>18.18</v>
      </c>
      <c r="E10" s="10" t="n">
        <f aca="false">'Monthly data'!E67</f>
        <v>17.55</v>
      </c>
      <c r="F10" s="10" t="n">
        <f aca="false">'Monthly data'!E68</f>
        <v>20.49</v>
      </c>
      <c r="G10" s="10" t="n">
        <f aca="false">'Monthly data'!E69</f>
        <v>19.79</v>
      </c>
      <c r="H10" s="10" t="n">
        <f aca="false">'Monthly data'!E70</f>
        <v>21.58</v>
      </c>
      <c r="I10" s="10" t="n">
        <f aca="false">'Monthly data'!E71</f>
        <v>21.92</v>
      </c>
      <c r="J10" s="10" t="n">
        <f aca="false">'Monthly data'!E72</f>
        <v>21.69</v>
      </c>
      <c r="K10" s="10" t="n">
        <f aca="false">'Monthly data'!E73</f>
        <v>21.8</v>
      </c>
      <c r="L10" s="10" t="n">
        <f aca="false">'Monthly data'!E74</f>
        <v>21.75</v>
      </c>
      <c r="M10" s="10" t="n">
        <f aca="false">'Monthly data'!E75</f>
        <v>19.65</v>
      </c>
      <c r="N10" s="10" t="n">
        <f aca="false">'Monthly data'!E76</f>
        <v>19.77</v>
      </c>
      <c r="O10" s="10" t="n">
        <f aca="false">IF(COUNT(C10:N10)=12,AVERAGE(C10:N10),"")</f>
        <v>20.1125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data'!E77</f>
        <v>17.81</v>
      </c>
      <c r="D11" s="10" t="n">
        <f aca="false">'Monthly data'!E78</f>
        <v>18.02</v>
      </c>
      <c r="E11" s="10" t="n">
        <f aca="false">'Monthly data'!E79</f>
        <v>19.14</v>
      </c>
      <c r="F11" s="10" t="n">
        <f aca="false">'Monthly data'!E80</f>
        <v>20.12</v>
      </c>
      <c r="G11" s="10" t="n">
        <f aca="false">'Monthly data'!E81</f>
        <v>21.66</v>
      </c>
      <c r="H11" s="10" t="n">
        <f aca="false">'Monthly data'!E82</f>
        <v>22.81</v>
      </c>
      <c r="I11" s="10" t="n">
        <f aca="false">'Monthly data'!E83</f>
        <v>22.88</v>
      </c>
      <c r="J11" s="10" t="n">
        <f aca="false">'Monthly data'!E84</f>
        <v>22.64</v>
      </c>
      <c r="K11" s="10" t="n">
        <f aca="false">'Monthly data'!E85</f>
        <v>23.27</v>
      </c>
      <c r="L11" s="10" t="n">
        <f aca="false">'Monthly data'!E86</f>
        <v>21.25</v>
      </c>
      <c r="M11" s="10" t="n">
        <f aca="false">'Monthly data'!E87</f>
        <v>19.85</v>
      </c>
      <c r="N11" s="10" t="n">
        <f aca="false">'Monthly data'!E88</f>
        <v>19.54</v>
      </c>
      <c r="O11" s="10" t="n">
        <f aca="false">IF(COUNT(C11:N11)=12,AVERAGE(C11:N11),"")</f>
        <v>20.7491666666667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data'!E89</f>
        <v>18.85</v>
      </c>
      <c r="D12" s="10" t="n">
        <f aca="false">'Monthly data'!E90</f>
        <v>18.07</v>
      </c>
      <c r="E12" s="10" t="n">
        <f aca="false">'Monthly data'!E91</f>
        <v>19.59</v>
      </c>
      <c r="F12" s="10" t="n">
        <f aca="false">'Monthly data'!E92</f>
        <v>20.09</v>
      </c>
      <c r="G12" s="10" t="n">
        <f aca="false">'Monthly data'!E93</f>
        <v>21.1</v>
      </c>
      <c r="H12" s="10" t="n">
        <f aca="false">'Monthly data'!E94</f>
        <v>22.48</v>
      </c>
      <c r="I12" s="10" t="n">
        <f aca="false">'Monthly data'!E95</f>
        <v>22</v>
      </c>
      <c r="J12" s="10" t="n">
        <f aca="false">'Monthly data'!E96</f>
        <v>21.96</v>
      </c>
      <c r="K12" s="10" t="n">
        <f aca="false">'Monthly data'!E97</f>
        <v>22.17</v>
      </c>
      <c r="L12" s="10" t="n">
        <f aca="false">'Monthly data'!E98</f>
        <v>21.45</v>
      </c>
      <c r="M12" s="10" t="n">
        <f aca="false">'Monthly data'!E99</f>
        <v>20.05</v>
      </c>
      <c r="N12" s="10" t="n">
        <f aca="false">'Monthly data'!E100</f>
        <v>18.77</v>
      </c>
      <c r="O12" s="10" t="n">
        <f aca="false">IF(COUNT(C12:N12)=12,AVERAGE(C12:N12),"")</f>
        <v>20.5483333333333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data'!E101</f>
        <v>18.29</v>
      </c>
      <c r="D13" s="10" t="n">
        <f aca="false">'Monthly data'!E102</f>
        <v>17.49</v>
      </c>
      <c r="E13" s="10" t="n">
        <f aca="false">'Monthly data'!E103</f>
        <v>19.09</v>
      </c>
      <c r="F13" s="10" t="n">
        <f aca="false">'Monthly data'!E104</f>
        <v>19.97</v>
      </c>
      <c r="G13" s="10" t="n">
        <f aca="false">'Monthly data'!E105</f>
        <v>20.98</v>
      </c>
      <c r="H13" s="10" t="n">
        <f aca="false">'Monthly data'!E106</f>
        <v>21.53</v>
      </c>
      <c r="I13" s="10" t="n">
        <f aca="false">'Monthly data'!E107</f>
        <v>22.61</v>
      </c>
      <c r="J13" s="10" t="n">
        <f aca="false">'Monthly data'!E108</f>
        <v>23.04</v>
      </c>
      <c r="K13" s="10" t="n">
        <f aca="false">'Monthly data'!E109</f>
        <v>22.6</v>
      </c>
      <c r="L13" s="10" t="n">
        <f aca="false">'Monthly data'!E110</f>
        <v>21.58</v>
      </c>
      <c r="M13" s="10" t="n">
        <f aca="false">'Monthly data'!E111</f>
        <v>20.13</v>
      </c>
      <c r="N13" s="10" t="n">
        <f aca="false">'Monthly data'!E112</f>
        <v>19.76</v>
      </c>
      <c r="O13" s="10" t="n">
        <f aca="false">IF(COUNT(C13:N13)=12,AVERAGE(C13:N13),"")</f>
        <v>20.5891666666667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data'!E113</f>
        <v>18.9</v>
      </c>
      <c r="D14" s="10" t="n">
        <f aca="false">'Monthly data'!E114</f>
        <v>18.35</v>
      </c>
      <c r="E14" s="10" t="n">
        <f aca="false">'Monthly data'!E115</f>
        <v>20.88</v>
      </c>
      <c r="F14" s="10" t="n">
        <f aca="false">'Monthly data'!E116</f>
        <v>21.8</v>
      </c>
      <c r="G14" s="10" t="n">
        <f aca="false">'Monthly data'!E117</f>
        <v>23.38</v>
      </c>
      <c r="H14" s="10" t="n">
        <f aca="false">'Monthly data'!E118</f>
        <v>23.65</v>
      </c>
      <c r="I14" s="10" t="n">
        <f aca="false">'Monthly data'!E119</f>
        <v>23.67</v>
      </c>
      <c r="J14" s="10" t="n">
        <f aca="false">'Monthly data'!E120</f>
        <v>23.41</v>
      </c>
      <c r="K14" s="10" t="n">
        <f aca="false">'Monthly data'!E121</f>
        <v>23.66</v>
      </c>
      <c r="L14" s="10" t="n">
        <f aca="false">'Monthly data'!E122</f>
        <v>22.71</v>
      </c>
      <c r="M14" s="10" t="n">
        <f aca="false">'Monthly data'!E123</f>
        <v>20.94</v>
      </c>
      <c r="N14" s="10" t="n">
        <f aca="false">'Monthly data'!E124</f>
        <v>19.01</v>
      </c>
      <c r="O14" s="10" t="n">
        <f aca="false">IF(COUNT(C14:N14)=12,AVERAGE(C14:N14),"")</f>
        <v>21.6966666666667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data'!E125</f>
        <v>18.33</v>
      </c>
      <c r="D15" s="10" t="n">
        <f aca="false">'Monthly data'!E126</f>
        <v>19.38</v>
      </c>
      <c r="E15" s="10" t="n">
        <f aca="false">'Monthly data'!E127</f>
        <v>20.28</v>
      </c>
      <c r="F15" s="10" t="n">
        <f aca="false">'Monthly data'!E128</f>
        <v>21.2</v>
      </c>
      <c r="G15" s="10" t="n">
        <f aca="false">'Monthly data'!E129</f>
        <v>21.54</v>
      </c>
      <c r="H15" s="10" t="n">
        <f aca="false">'Monthly data'!E130</f>
        <v>22.89</v>
      </c>
      <c r="I15" s="10" t="n">
        <f aca="false">'Monthly data'!E131</f>
        <v>23.37</v>
      </c>
      <c r="J15" s="10" t="n">
        <f aca="false">'Monthly data'!E132</f>
        <v>22.8</v>
      </c>
      <c r="K15" s="10" t="n">
        <f aca="false">'Monthly data'!E133</f>
        <v>22.77</v>
      </c>
      <c r="L15" s="10" t="n">
        <f aca="false">'Monthly data'!E134</f>
        <v>21.84</v>
      </c>
      <c r="M15" s="10" t="n">
        <f aca="false">'Monthly data'!E135</f>
        <v>20.27</v>
      </c>
      <c r="N15" s="10" t="n">
        <f aca="false">'Monthly data'!E136</f>
        <v>19.46</v>
      </c>
      <c r="O15" s="10" t="n">
        <f aca="false">IF(COUNT(C15:N15)=12,AVERAGE(C15:N15),"")</f>
        <v>21.1775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data'!E137</f>
        <v>17.59</v>
      </c>
      <c r="D16" s="10" t="n">
        <f aca="false">'Monthly data'!E138</f>
        <v>17.26</v>
      </c>
      <c r="E16" s="10" t="n">
        <f aca="false">'Monthly data'!E139</f>
        <v>18.63</v>
      </c>
      <c r="F16" s="10" t="n">
        <f aca="false">'Monthly data'!E140</f>
        <v>21.25</v>
      </c>
      <c r="G16" s="10" t="n">
        <f aca="false">'Monthly data'!E141</f>
        <v>21.43</v>
      </c>
      <c r="H16" s="10" t="n">
        <f aca="false">'Monthly data'!E142</f>
        <v>22.27</v>
      </c>
      <c r="I16" s="10" t="n">
        <f aca="false">'Monthly data'!E143</f>
        <v>22.98</v>
      </c>
      <c r="J16" s="10" t="n">
        <f aca="false">'Monthly data'!E144</f>
        <v>22.65</v>
      </c>
      <c r="K16" s="10" t="n">
        <f aca="false">'Monthly data'!E145</f>
        <v>22.99</v>
      </c>
      <c r="L16" s="10" t="n">
        <f aca="false">'Monthly data'!E146</f>
        <v>21.31</v>
      </c>
      <c r="M16" s="10" t="n">
        <f aca="false">'Monthly data'!E147</f>
        <v>19.82</v>
      </c>
      <c r="N16" s="10" t="n">
        <f aca="false">'Monthly data'!E148</f>
        <v>19.3</v>
      </c>
      <c r="O16" s="10" t="n">
        <f aca="false">IF(COUNT(C16:N16)=12,AVERAGE(C16:N16),"")</f>
        <v>20.6233333333333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data'!E149</f>
        <v>17.71</v>
      </c>
      <c r="D17" s="10" t="n">
        <f aca="false">'Monthly data'!E150</f>
        <v>19.12</v>
      </c>
      <c r="E17" s="10" t="n">
        <f aca="false">'Monthly data'!E151</f>
        <v>20.13</v>
      </c>
      <c r="F17" s="10" t="n">
        <f aca="false">'Monthly data'!E152</f>
        <v>21.63</v>
      </c>
      <c r="G17" s="10" t="n">
        <f aca="false">'Monthly data'!E153</f>
        <v>21.61</v>
      </c>
      <c r="H17" s="10" t="n">
        <f aca="false">'Monthly data'!E154</f>
        <v>22.3</v>
      </c>
      <c r="I17" s="10" t="n">
        <f aca="false">'Monthly data'!E155</f>
        <v>23.02</v>
      </c>
      <c r="J17" s="10" t="n">
        <f aca="false">'Monthly data'!E156</f>
        <v>24.14</v>
      </c>
      <c r="K17" s="10" t="n">
        <f aca="false">'Monthly data'!E157</f>
        <v>23.67</v>
      </c>
      <c r="L17" s="10" t="n">
        <f aca="false">'Monthly data'!E158</f>
        <v>23.14</v>
      </c>
      <c r="M17" s="10" t="n">
        <f aca="false">'Monthly data'!E159</f>
        <v>21.86</v>
      </c>
      <c r="N17" s="10" t="n">
        <f aca="false">'Monthly data'!E160</f>
        <v>19.59</v>
      </c>
      <c r="O17" s="10" t="n">
        <f aca="false">IF(COUNT(C17:N17)=12,AVERAGE(C17:N17),"")</f>
        <v>21.4933333333333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data'!E161</f>
        <v>18.19</v>
      </c>
      <c r="D18" s="10" t="n">
        <f aca="false">'Monthly data'!E162</f>
        <v>18.64</v>
      </c>
      <c r="E18" s="10" t="n">
        <f aca="false">'Monthly data'!E163</f>
        <v>20.3</v>
      </c>
      <c r="F18" s="10" t="n">
        <f aca="false">'Monthly data'!E164</f>
        <v>21.24</v>
      </c>
      <c r="G18" s="10" t="n">
        <f aca="false">'Monthly data'!E165</f>
        <v>21.96</v>
      </c>
      <c r="H18" s="10" t="n">
        <f aca="false">'Monthly data'!E166</f>
        <v>22.41</v>
      </c>
      <c r="I18" s="10" t="n">
        <f aca="false">'Monthly data'!E167</f>
        <v>23.07</v>
      </c>
      <c r="J18" s="10" t="n">
        <f aca="false">'Monthly data'!E168</f>
        <v>23.61</v>
      </c>
      <c r="K18" s="10" t="n">
        <f aca="false">'Monthly data'!E169</f>
        <v>22.13</v>
      </c>
      <c r="L18" s="10" t="n">
        <f aca="false">'Monthly data'!E170</f>
        <v>21.49</v>
      </c>
      <c r="M18" s="10" t="n">
        <f aca="false">'Monthly data'!E171</f>
        <v>19.29</v>
      </c>
      <c r="N18" s="10" t="n">
        <f aca="false">'Monthly data'!E172</f>
        <v>19.14</v>
      </c>
      <c r="O18" s="10" t="n">
        <f aca="false">IF(COUNT(C18:N18)=12,AVERAGE(C18:N18),"")</f>
        <v>20.9558333333333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data'!E173</f>
        <v>18.12</v>
      </c>
      <c r="D19" s="10" t="n">
        <f aca="false">'Monthly data'!E174</f>
        <v>18.46</v>
      </c>
      <c r="E19" s="10" t="n">
        <f aca="false">'Monthly data'!E175</f>
        <v>19.69</v>
      </c>
      <c r="F19" s="10" t="n">
        <f aca="false">'Monthly data'!E176</f>
        <v>21.76</v>
      </c>
      <c r="G19" s="10" t="n">
        <f aca="false">'Monthly data'!E177</f>
        <v>21.51</v>
      </c>
      <c r="H19" s="10" t="n">
        <f aca="false">'Monthly data'!E178</f>
        <v>22.55</v>
      </c>
      <c r="I19" s="10" t="n">
        <f aca="false">'Monthly data'!E179</f>
        <v>22.55</v>
      </c>
      <c r="J19" s="10" t="n">
        <f aca="false">'Monthly data'!E180</f>
        <v>22.74</v>
      </c>
      <c r="K19" s="10" t="n">
        <f aca="false">'Monthly data'!E181</f>
        <v>22.25</v>
      </c>
      <c r="L19" s="10" t="n">
        <f aca="false">'Monthly data'!E182</f>
        <v>21.35</v>
      </c>
      <c r="M19" s="10" t="n">
        <f aca="false">'Monthly data'!E183</f>
        <v>19.96</v>
      </c>
      <c r="N19" s="10" t="n">
        <f aca="false">'Monthly data'!E184</f>
        <v>18.74</v>
      </c>
      <c r="O19" s="10" t="n">
        <f aca="false">IF(COUNT(C19:N19)=12,AVERAGE(C19:N19),"")</f>
        <v>20.8066666666667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data'!E185</f>
        <v>17.63</v>
      </c>
      <c r="D20" s="10" t="n">
        <f aca="false">'Monthly data'!E186</f>
        <v>18.34</v>
      </c>
      <c r="E20" s="10" t="n">
        <f aca="false">'Monthly data'!E187</f>
        <v>20.17</v>
      </c>
      <c r="F20" s="10" t="n">
        <f aca="false">'Monthly data'!E188</f>
        <v>21.41</v>
      </c>
      <c r="G20" s="10" t="n">
        <f aca="false">'Monthly data'!E189</f>
        <v>20.72</v>
      </c>
      <c r="H20" s="10" t="n">
        <f aca="false">'Monthly data'!E190</f>
        <v>21.73</v>
      </c>
      <c r="I20" s="10" t="n">
        <f aca="false">'Monthly data'!E191</f>
        <v>22.39</v>
      </c>
      <c r="J20" s="10" t="n">
        <f aca="false">'Monthly data'!E192</f>
        <v>22.71</v>
      </c>
      <c r="K20" s="10" t="n">
        <f aca="false">'Monthly data'!E193</f>
        <v>22.28</v>
      </c>
      <c r="L20" s="10" t="n">
        <f aca="false">'Monthly data'!E194</f>
        <v>21.75</v>
      </c>
      <c r="M20" s="10" t="n">
        <f aca="false">'Monthly data'!E195</f>
        <v>19.68</v>
      </c>
      <c r="N20" s="10" t="n">
        <f aca="false">'Monthly data'!E196</f>
        <v>18.1</v>
      </c>
      <c r="O20" s="10" t="n">
        <f aca="false">IF(COUNT(C20:N20)=12,AVERAGE(C20:N20),"")</f>
        <v>20.5758333333333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data'!E197</f>
        <v>18</v>
      </c>
      <c r="D21" s="10" t="n">
        <f aca="false">'Monthly data'!E198</f>
        <v>18.32</v>
      </c>
      <c r="E21" s="10" t="n">
        <f aca="false">'Monthly data'!E199</f>
        <v>19</v>
      </c>
      <c r="F21" s="10" t="n">
        <f aca="false">'Monthly data'!E200</f>
        <v>21.62</v>
      </c>
      <c r="G21" s="10" t="n">
        <f aca="false">'Monthly data'!E201</f>
        <v>20.86</v>
      </c>
      <c r="H21" s="10" t="n">
        <f aca="false">'Monthly data'!E202</f>
        <v>21.86</v>
      </c>
      <c r="I21" s="10" t="n">
        <f aca="false">'Monthly data'!E203</f>
        <v>22.51</v>
      </c>
      <c r="J21" s="10" t="n">
        <f aca="false">'Monthly data'!E204</f>
        <v>22.9</v>
      </c>
      <c r="K21" s="10" t="n">
        <f aca="false">'Monthly data'!E205</f>
        <v>22.41</v>
      </c>
      <c r="L21" s="10" t="n">
        <f aca="false">'Monthly data'!E206</f>
        <v>22.13</v>
      </c>
      <c r="M21" s="10" t="n">
        <f aca="false">'Monthly data'!E207</f>
        <v>19.61</v>
      </c>
      <c r="N21" s="10" t="n">
        <f aca="false">'Monthly data'!E208</f>
        <v>18.54</v>
      </c>
      <c r="O21" s="10" t="n">
        <f aca="false">IF(COUNT(C21:N21)=12,AVERAGE(C21:N21),"")</f>
        <v>20.6466666666667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data'!E209</f>
        <v>18.3</v>
      </c>
      <c r="D22" s="10" t="n">
        <f aca="false">'Monthly data'!E210</f>
        <v>19.39</v>
      </c>
      <c r="E22" s="10" t="n">
        <f aca="false">'Monthly data'!E211</f>
        <v>20.63</v>
      </c>
      <c r="F22" s="10" t="n">
        <f aca="false">'Monthly data'!E212</f>
        <v>22.32</v>
      </c>
      <c r="G22" s="10" t="n">
        <f aca="false">'Monthly data'!E213</f>
        <v>22.98</v>
      </c>
      <c r="H22" s="10" t="n">
        <f aca="false">'Monthly data'!E214</f>
        <v>23.68</v>
      </c>
      <c r="I22" s="10" t="n">
        <f aca="false">'Monthly data'!E215</f>
        <v>23.57</v>
      </c>
      <c r="J22" s="10" t="n">
        <f aca="false">'Monthly data'!E216</f>
        <v>23.23</v>
      </c>
      <c r="K22" s="10" t="n">
        <f aca="false">'Monthly data'!E217</f>
        <v>23.86</v>
      </c>
      <c r="L22" s="10" t="n">
        <f aca="false">'Monthly data'!E218</f>
        <v>22.65</v>
      </c>
      <c r="M22" s="10" t="n">
        <f aca="false">'Monthly data'!E219</f>
        <v>21.7</v>
      </c>
      <c r="N22" s="10" t="n">
        <f aca="false">'Monthly data'!E220</f>
        <v>19.7</v>
      </c>
      <c r="O22" s="10" t="n">
        <f aca="false">IF(COUNT(C22:N22)=12,AVERAGE(C22:N22),"")</f>
        <v>21.8341666666667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data'!E221</f>
        <v>18.95</v>
      </c>
      <c r="D23" s="10" t="n">
        <f aca="false">'Monthly data'!E222</f>
        <v>18.62</v>
      </c>
      <c r="E23" s="10" t="n">
        <f aca="false">'Monthly data'!E223</f>
        <v>20.4</v>
      </c>
      <c r="F23" s="10" t="n">
        <f aca="false">'Monthly data'!E224</f>
        <v>21.58</v>
      </c>
      <c r="G23" s="10" t="n">
        <f aca="false">'Monthly data'!E225</f>
        <v>21.47</v>
      </c>
      <c r="H23" s="10" t="n">
        <f aca="false">'Monthly data'!E226</f>
        <v>23.17</v>
      </c>
      <c r="I23" s="10" t="n">
        <f aca="false">'Monthly data'!E227</f>
        <v>23.21</v>
      </c>
      <c r="J23" s="10" t="n">
        <f aca="false">'Monthly data'!E228</f>
        <v>23.01</v>
      </c>
      <c r="K23" s="10" t="n">
        <f aca="false">'Monthly data'!E229</f>
        <v>22.88</v>
      </c>
      <c r="L23" s="10" t="n">
        <f aca="false">'Monthly data'!E230</f>
        <v>22.28</v>
      </c>
      <c r="M23" s="10" t="n">
        <f aca="false">'Monthly data'!E231</f>
        <v>20.24</v>
      </c>
      <c r="N23" s="10" t="n">
        <f aca="false">'Monthly data'!E232</f>
        <v>18.78</v>
      </c>
      <c r="O23" s="10" t="n">
        <f aca="false">IF(COUNT(C23:N23)=12,AVERAGE(C23:N23),"")</f>
        <v>21.2158333333333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data'!E233</f>
        <v>17.68</v>
      </c>
      <c r="D24" s="10" t="n">
        <f aca="false">'Monthly data'!E234</f>
        <v>17.79</v>
      </c>
      <c r="E24" s="10" t="n">
        <f aca="false">'Monthly data'!E235</f>
        <v>18.85</v>
      </c>
      <c r="F24" s="10" t="n">
        <f aca="false">'Monthly data'!E236</f>
        <v>20.15</v>
      </c>
      <c r="G24" s="10" t="n">
        <f aca="false">'Monthly data'!E237</f>
        <v>21.24</v>
      </c>
      <c r="H24" s="10" t="n">
        <f aca="false">'Monthly data'!E238</f>
        <v>22.81</v>
      </c>
      <c r="I24" s="10" t="n">
        <f aca="false">'Monthly data'!E239</f>
        <v>22.56</v>
      </c>
      <c r="J24" s="10" t="n">
        <f aca="false">'Monthly data'!E240</f>
        <v>23.61</v>
      </c>
      <c r="K24" s="10" t="n">
        <f aca="false">'Monthly data'!E241</f>
        <v>22.6</v>
      </c>
      <c r="L24" s="10" t="n">
        <f aca="false">'Monthly data'!E242</f>
        <v>21.62</v>
      </c>
      <c r="M24" s="10" t="n">
        <f aca="false">'Monthly data'!E243</f>
        <v>20.83</v>
      </c>
      <c r="N24" s="10" t="n">
        <f aca="false">'Monthly data'!E244</f>
        <v>18.64</v>
      </c>
      <c r="O24" s="10" t="n">
        <f aca="false">IF(COUNT(C24:N24)=12,AVERAGE(C24:N24),"")</f>
        <v>20.6983333333333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data'!E245</f>
        <v>18.63</v>
      </c>
      <c r="D25" s="10" t="n">
        <f aca="false">'Monthly data'!E246</f>
        <v>19.78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18.0442857142857</v>
      </c>
      <c r="D28" s="23" t="n">
        <f aca="false">AVERAGEIF($B$5:$B$25,"El Niño",D$5:D$25)</f>
        <v>18.6028571428571</v>
      </c>
      <c r="E28" s="23" t="n">
        <f aca="false">AVERAGEIF($B$5:$B$25,"El Niño",E$5:E$25)</f>
        <v>20.0585714285714</v>
      </c>
      <c r="F28" s="23" t="n">
        <f aca="false">AVERAGEIF($B$5:$B$25,"El Niño",F$5:F$25)</f>
        <v>21.3285714285714</v>
      </c>
      <c r="G28" s="23" t="n">
        <f aca="false">AVERAGEIF($B$5:$B$25,"El Niño",G$5:G$25)</f>
        <v>22.0357142857143</v>
      </c>
      <c r="H28" s="23" t="n">
        <f aca="false">AVERAGEIF($B$5:$B$25,"El Niño",H$5:H$25)</f>
        <v>22.6714285714286</v>
      </c>
      <c r="I28" s="23" t="n">
        <f aca="false">AVERAGEIF($B$5:$B$25,"El Niño",I$5:I$25)</f>
        <v>23.2442857142857</v>
      </c>
      <c r="J28" s="23" t="n">
        <f aca="false">AVERAGEIF($B$5:$B$25,"El Niño",J$5:J$25)</f>
        <v>23.3471428571429</v>
      </c>
      <c r="K28" s="23" t="n">
        <f aca="false">AVERAGEIF($B$5:$B$25,"El Niño",K$5:K$25)</f>
        <v>23.1128571428571</v>
      </c>
      <c r="L28" s="23" t="n">
        <f aca="false">AVERAGEIF($B$5:$B$25,"El Niño",L$5:L$25)</f>
        <v>22.1271428571429</v>
      </c>
      <c r="M28" s="23" t="n">
        <f aca="false">AVERAGEIF($B$5:$B$25,"El Niño",M$5:M$25)</f>
        <v>20.5</v>
      </c>
      <c r="N28" s="23" t="n">
        <f aca="false">AVERAGEIF($B$5:$B$25,"El Niño",N$5:N$25)</f>
        <v>18.9657142857143</v>
      </c>
      <c r="O28" s="23" t="n">
        <f aca="false">AVERAGEIF($B$5:$B$25,"El Niño",O$5:O$25)</f>
        <v>21.169880952381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17.805</v>
      </c>
      <c r="D29" s="23" t="n">
        <f aca="false">AVERAGEIF($B$5:$B$25,"La Niña",D$5:D$25)</f>
        <v>17.91875</v>
      </c>
      <c r="E29" s="23" t="n">
        <f aca="false">AVERAGEIF($B$5:$B$25,"La Niña",E$5:E$25)</f>
        <v>18.935</v>
      </c>
      <c r="F29" s="23" t="n">
        <f aca="false">AVERAGEIF($B$5:$B$25,"La Niña",F$5:F$25)</f>
        <v>21.07625</v>
      </c>
      <c r="G29" s="23" t="n">
        <f aca="false">AVERAGEIF($B$5:$B$25,"La Niña",G$5:G$25)</f>
        <v>21.15625</v>
      </c>
      <c r="H29" s="23" t="n">
        <f aca="false">AVERAGEIF($B$5:$B$25,"La Niña",H$5:H$25)</f>
        <v>22.05625</v>
      </c>
      <c r="I29" s="23" t="n">
        <f aca="false">AVERAGEIF($B$5:$B$25,"La Niña",I$5:I$25)</f>
        <v>22.5025</v>
      </c>
      <c r="J29" s="23" t="n">
        <f aca="false">AVERAGEIF($B$5:$B$25,"La Niña",J$5:J$25)</f>
        <v>22.60375</v>
      </c>
      <c r="K29" s="23" t="n">
        <f aca="false">AVERAGEIF($B$5:$B$25,"La Niña",K$5:K$25)</f>
        <v>22.48625</v>
      </c>
      <c r="L29" s="23" t="n">
        <f aca="false">AVERAGEIF($B$5:$B$25,"La Niña",L$5:L$25)</f>
        <v>21.75</v>
      </c>
      <c r="M29" s="23" t="n">
        <f aca="false">AVERAGEIF($B$5:$B$25,"La Niña",M$5:M$25)</f>
        <v>19.56875</v>
      </c>
      <c r="N29" s="23" t="n">
        <f aca="false">AVERAGEIF($B$5:$B$25,"La Niña",N$5:N$25)</f>
        <v>18.69875</v>
      </c>
      <c r="O29" s="23" t="n">
        <f aca="false">AVERAGEIF($B$5:$B$25,"La Niña",O$5:O$25)</f>
        <v>20.5464583333333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18.324</v>
      </c>
      <c r="D30" s="23" t="n">
        <f aca="false">AVERAGEIF($B$5:$B$25,"Neutral",D$5:D$25)</f>
        <v>18.376</v>
      </c>
      <c r="E30" s="23" t="n">
        <f aca="false">AVERAGEIF($B$5:$B$25,"Neutral",E$5:E$25)</f>
        <v>19.652</v>
      </c>
      <c r="F30" s="23" t="n">
        <f aca="false">AVERAGEIF($B$5:$B$25,"Neutral",F$5:F$25)</f>
        <v>20.628</v>
      </c>
      <c r="G30" s="23" t="n">
        <f aca="false">AVERAGEIF($B$5:$B$25,"Neutral",G$5:G$25)</f>
        <v>21.402</v>
      </c>
      <c r="H30" s="23" t="n">
        <f aca="false">AVERAGEIF($B$5:$B$25,"Neutral",H$5:H$25)</f>
        <v>22.832</v>
      </c>
      <c r="I30" s="23" t="n">
        <f aca="false">AVERAGEIF($B$5:$B$25,"Neutral",I$5:I$25)</f>
        <v>22.804</v>
      </c>
      <c r="J30" s="23" t="n">
        <f aca="false">AVERAGEIF($B$5:$B$25,"Neutral",J$5:J$25)</f>
        <v>22.804</v>
      </c>
      <c r="K30" s="23" t="n">
        <f aca="false">AVERAGEIF($B$5:$B$25,"Neutral",K$5:K$25)</f>
        <v>22.738</v>
      </c>
      <c r="L30" s="23" t="n">
        <f aca="false">AVERAGEIF($B$5:$B$25,"Neutral",L$5:L$25)</f>
        <v>21.688</v>
      </c>
      <c r="M30" s="23" t="n">
        <f aca="false">AVERAGEIF($B$5:$B$25,"Neutral",M$5:M$25)</f>
        <v>20.248</v>
      </c>
      <c r="N30" s="23" t="n">
        <f aca="false">AVERAGEIF($B$5:$B$25,"Neutral",N$5:N$25)</f>
        <v>19.038</v>
      </c>
      <c r="O30" s="23" t="n">
        <f aca="false">AVERAGEIF($B$5:$B$25,"Neutral",O$5:O$25)</f>
        <v>20.8778333333333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18.0185</v>
      </c>
      <c r="D31" s="23" t="n">
        <f aca="false">AVERAGE(D5:D24)</f>
        <v>18.2725</v>
      </c>
      <c r="E31" s="23" t="n">
        <f aca="false">AVERAGE(E5:E24)</f>
        <v>19.5075</v>
      </c>
      <c r="F31" s="23" t="n">
        <f aca="false">AVERAGE(F5:F24)</f>
        <v>21.0525</v>
      </c>
      <c r="G31" s="23" t="n">
        <f aca="false">AVERAGE(G5:G24)</f>
        <v>21.5255</v>
      </c>
      <c r="H31" s="23" t="n">
        <f aca="false">AVERAGE(H5:H24)</f>
        <v>22.4655</v>
      </c>
      <c r="I31" s="23" t="n">
        <f aca="false">AVERAGE(I5:I24)</f>
        <v>22.8375</v>
      </c>
      <c r="J31" s="23" t="n">
        <f aca="false">AVERAGE(J5:J24)</f>
        <v>22.914</v>
      </c>
      <c r="K31" s="23" t="n">
        <f aca="false">AVERAGE(K5:K24)</f>
        <v>22.7685</v>
      </c>
      <c r="L31" s="23" t="n">
        <f aca="false">AVERAGE(L5:L24)</f>
        <v>21.8665</v>
      </c>
      <c r="M31" s="23" t="n">
        <f aca="false">AVERAGE(M5:M24)</f>
        <v>20.0645</v>
      </c>
      <c r="N31" s="23" t="n">
        <f aca="false">AVERAGE(N5:N24)</f>
        <v>18.877</v>
      </c>
      <c r="O31" s="23" t="n">
        <f aca="false">AVERAGE(O5:O24)</f>
        <v>20.8475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94</v>
      </c>
    </row>
    <row r="2" customFormat="false" ht="15" hidden="false" customHeight="false" outlineLevel="0" collapsed="false">
      <c r="A2" s="5" t="s">
        <v>95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data'!F5</f>
        <v>26.75</v>
      </c>
      <c r="D5" s="10" t="n">
        <f aca="false">'Monthly data'!F6</f>
        <v>27.58</v>
      </c>
      <c r="E5" s="10" t="n">
        <f aca="false">'Monthly data'!F7</f>
        <v>27.54</v>
      </c>
      <c r="F5" s="10" t="n">
        <f aca="false">'Monthly data'!F8</f>
        <v>27.5</v>
      </c>
      <c r="G5" s="10" t="n">
        <f aca="false">'Monthly data'!F9</f>
        <v>28.4</v>
      </c>
      <c r="H5" s="10" t="n">
        <f aca="false">'Monthly data'!F10</f>
        <v>29.73</v>
      </c>
      <c r="I5" s="10" t="n">
        <f aca="false">'Monthly data'!F11</f>
        <v>32.22</v>
      </c>
      <c r="J5" s="10" t="n">
        <f aca="false">'Monthly data'!F12</f>
        <v>30.62</v>
      </c>
      <c r="K5" s="10" t="n">
        <f aca="false">'Monthly data'!F13</f>
        <v>31.86</v>
      </c>
      <c r="L5" s="10" t="n">
        <f aca="false">'Monthly data'!F14</f>
        <v>30.73</v>
      </c>
      <c r="M5" s="10" t="n">
        <f aca="false">'Monthly data'!F15</f>
        <v>28.34</v>
      </c>
      <c r="N5" s="10" t="n">
        <f aca="false">'Monthly data'!F16</f>
        <v>27.81</v>
      </c>
      <c r="O5" s="10" t="n">
        <f aca="false">IF(COUNT(C5:N5)=12,AVERAGE(C5:N5),"")</f>
        <v>29.09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data'!F17</f>
        <v>27.8</v>
      </c>
      <c r="D6" s="10" t="n">
        <f aca="false">'Monthly data'!F18</f>
        <v>27.26</v>
      </c>
      <c r="E6" s="10" t="n">
        <f aca="false">'Monthly data'!F19</f>
        <v>27.26</v>
      </c>
      <c r="F6" s="10" t="n">
        <f aca="false">'Monthly data'!F20</f>
        <v>29.72</v>
      </c>
      <c r="G6" s="10" t="n">
        <f aca="false">'Monthly data'!F21</f>
        <v>31.69</v>
      </c>
      <c r="H6" s="10" t="n">
        <f aca="false">'Monthly data'!F22</f>
        <v>31.38</v>
      </c>
      <c r="I6" s="10" t="n">
        <f aca="false">'Monthly data'!F23</f>
        <v>31.51</v>
      </c>
      <c r="J6" s="10" t="n">
        <f aca="false">'Monthly data'!F24</f>
        <v>32.17</v>
      </c>
      <c r="K6" s="10" t="n">
        <f aca="false">'Monthly data'!F25</f>
        <v>31.78</v>
      </c>
      <c r="L6" s="10" t="n">
        <f aca="false">'Monthly data'!F26</f>
        <v>31.67</v>
      </c>
      <c r="M6" s="10" t="n">
        <f aca="false">'Monthly data'!F27</f>
        <v>28.93</v>
      </c>
      <c r="N6" s="10" t="n">
        <f aca="false">'Monthly data'!F28</f>
        <v>28.02</v>
      </c>
      <c r="O6" s="10" t="n">
        <f aca="false">IF(COUNT(C6:N6)=12,AVERAGE(C6:N6),"")</f>
        <v>29.9325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data'!F29</f>
        <v>27.03</v>
      </c>
      <c r="D7" s="10" t="n">
        <f aca="false">'Monthly data'!F30</f>
        <v>28.7</v>
      </c>
      <c r="E7" s="10" t="n">
        <f aca="false">'Monthly data'!F31</f>
        <v>28.89</v>
      </c>
      <c r="F7" s="10" t="n">
        <f aca="false">'Monthly data'!F32</f>
        <v>30.56</v>
      </c>
      <c r="G7" s="10" t="n">
        <f aca="false">'Monthly data'!F33</f>
        <v>29.21</v>
      </c>
      <c r="H7" s="10" t="n">
        <f aca="false">'Monthly data'!F34</f>
        <v>29.92</v>
      </c>
      <c r="I7" s="10" t="n">
        <f aca="false">'Monthly data'!F35</f>
        <v>31.57</v>
      </c>
      <c r="J7" s="10" t="n">
        <f aca="false">'Monthly data'!F36</f>
        <v>32.19</v>
      </c>
      <c r="K7" s="10" t="n">
        <f aca="false">'Monthly data'!F37</f>
        <v>32.94</v>
      </c>
      <c r="L7" s="10" t="n">
        <f aca="false">'Monthly data'!F38</f>
        <v>30.23</v>
      </c>
      <c r="M7" s="10" t="n">
        <f aca="false">'Monthly data'!F39</f>
        <v>28.04</v>
      </c>
      <c r="N7" s="10" t="n">
        <f aca="false">'Monthly data'!F40</f>
        <v>27.09</v>
      </c>
      <c r="O7" s="10" t="n">
        <f aca="false">IF(COUNT(C7:N7)=12,AVERAGE(C7:N7),"")</f>
        <v>29.6975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data'!F41</f>
        <v>27.68</v>
      </c>
      <c r="D8" s="10" t="n">
        <f aca="false">'Monthly data'!F42</f>
        <v>27.61</v>
      </c>
      <c r="E8" s="10" t="n">
        <f aca="false">'Monthly data'!F43</f>
        <v>30.31</v>
      </c>
      <c r="F8" s="10" t="n">
        <f aca="false">'Monthly data'!F44</f>
        <v>29.43</v>
      </c>
      <c r="G8" s="10" t="n">
        <f aca="false">'Monthly data'!F45</f>
        <v>31.11</v>
      </c>
      <c r="H8" s="10" t="n">
        <f aca="false">'Monthly data'!F46</f>
        <v>32.66</v>
      </c>
      <c r="I8" s="10" t="n">
        <f aca="false">'Monthly data'!F47</f>
        <v>34.4</v>
      </c>
      <c r="J8" s="10" t="n">
        <f aca="false">'Monthly data'!F48</f>
        <v>34.96</v>
      </c>
      <c r="K8" s="10" t="n">
        <f aca="false">'Monthly data'!F49</f>
        <v>32.64</v>
      </c>
      <c r="L8" s="10" t="n">
        <f aca="false">'Monthly data'!F50</f>
        <v>30.07</v>
      </c>
      <c r="M8" s="10" t="n">
        <f aca="false">'Monthly data'!F51</f>
        <v>29.08</v>
      </c>
      <c r="N8" s="10" t="n">
        <f aca="false">'Monthly data'!F52</f>
        <v>27.42</v>
      </c>
      <c r="O8" s="10" t="n">
        <f aca="false">IF(COUNT(C8:N8)=12,AVERAGE(C8:N8),"")</f>
        <v>30.6141666666667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data'!F53</f>
        <v>26.79</v>
      </c>
      <c r="D9" s="10" t="n">
        <f aca="false">'Monthly data'!F54</f>
        <v>27.19</v>
      </c>
      <c r="E9" s="10" t="n">
        <f aca="false">'Monthly data'!F55</f>
        <v>28.79</v>
      </c>
      <c r="F9" s="10" t="n">
        <f aca="false">'Monthly data'!F56</f>
        <v>29.44</v>
      </c>
      <c r="G9" s="10" t="n">
        <f aca="false">'Monthly data'!F57</f>
        <v>29.28</v>
      </c>
      <c r="H9" s="10" t="n">
        <f aca="false">'Monthly data'!F58</f>
        <v>31.63</v>
      </c>
      <c r="I9" s="10" t="n">
        <f aca="false">'Monthly data'!F59</f>
        <v>32.18</v>
      </c>
      <c r="J9" s="10" t="n">
        <f aca="false">'Monthly data'!F60</f>
        <v>33.31</v>
      </c>
      <c r="K9" s="10" t="n">
        <f aca="false">'Monthly data'!F61</f>
        <v>30.88</v>
      </c>
      <c r="L9" s="10" t="n">
        <f aca="false">'Monthly data'!F62</f>
        <v>29.61</v>
      </c>
      <c r="M9" s="10" t="n">
        <f aca="false">'Monthly data'!F63</f>
        <v>27.6</v>
      </c>
      <c r="N9" s="10" t="n">
        <f aca="false">'Monthly data'!F64</f>
        <v>27.29</v>
      </c>
      <c r="O9" s="10" t="n">
        <f aca="false">IF(COUNT(C9:N9)=12,AVERAGE(C9:N9),"")</f>
        <v>29.4991666666667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data'!F65</f>
        <v>26.8</v>
      </c>
      <c r="D10" s="10" t="n">
        <f aca="false">'Monthly data'!F66</f>
        <v>28.48</v>
      </c>
      <c r="E10" s="10" t="n">
        <f aca="false">'Monthly data'!F67</f>
        <v>27.67</v>
      </c>
      <c r="F10" s="10" t="n">
        <f aca="false">'Monthly data'!F68</f>
        <v>27.58</v>
      </c>
      <c r="G10" s="10" t="n">
        <f aca="false">'Monthly data'!F69</f>
        <v>27.47</v>
      </c>
      <c r="H10" s="10" t="n">
        <f aca="false">'Monthly data'!F70</f>
        <v>29.55</v>
      </c>
      <c r="I10" s="10" t="n">
        <f aca="false">'Monthly data'!F71</f>
        <v>30.81</v>
      </c>
      <c r="J10" s="10" t="n">
        <f aca="false">'Monthly data'!F72</f>
        <v>31.58</v>
      </c>
      <c r="K10" s="10" t="n">
        <f aca="false">'Monthly data'!F73</f>
        <v>31.83</v>
      </c>
      <c r="L10" s="10" t="n">
        <f aca="false">'Monthly data'!F74</f>
        <v>31.62</v>
      </c>
      <c r="M10" s="10" t="n">
        <f aca="false">'Monthly data'!F75</f>
        <v>28.09</v>
      </c>
      <c r="N10" s="10" t="n">
        <f aca="false">'Monthly data'!F76</f>
        <v>28.97</v>
      </c>
      <c r="O10" s="10" t="n">
        <f aca="false">IF(COUNT(C10:N10)=12,AVERAGE(C10:N10),"")</f>
        <v>29.2041666666667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data'!F77</f>
        <v>27.98</v>
      </c>
      <c r="D11" s="10" t="n">
        <f aca="false">'Monthly data'!F78</f>
        <v>26.4</v>
      </c>
      <c r="E11" s="10" t="n">
        <f aca="false">'Monthly data'!F79</f>
        <v>28.73</v>
      </c>
      <c r="F11" s="10" t="n">
        <f aca="false">'Monthly data'!F80</f>
        <v>30.17</v>
      </c>
      <c r="G11" s="10" t="n">
        <f aca="false">'Monthly data'!F81</f>
        <v>28.97</v>
      </c>
      <c r="H11" s="10" t="n">
        <f aca="false">'Monthly data'!F82</f>
        <v>33.14</v>
      </c>
      <c r="I11" s="10" t="n">
        <f aca="false">'Monthly data'!F83</f>
        <v>32.24</v>
      </c>
      <c r="J11" s="10" t="n">
        <f aca="false">'Monthly data'!F84</f>
        <v>32.64</v>
      </c>
      <c r="K11" s="10" t="n">
        <f aca="false">'Monthly data'!F85</f>
        <v>33.6</v>
      </c>
      <c r="L11" s="10" t="n">
        <f aca="false">'Monthly data'!F86</f>
        <v>29.76</v>
      </c>
      <c r="M11" s="10" t="n">
        <f aca="false">'Monthly data'!F87</f>
        <v>29.09</v>
      </c>
      <c r="N11" s="10" t="n">
        <f aca="false">'Monthly data'!F88</f>
        <v>28.51</v>
      </c>
      <c r="O11" s="10" t="n">
        <f aca="false">IF(COUNT(C11:N11)=12,AVERAGE(C11:N11),"")</f>
        <v>30.1025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data'!F89</f>
        <v>27.43</v>
      </c>
      <c r="D12" s="10" t="n">
        <f aca="false">'Monthly data'!F90</f>
        <v>27.73</v>
      </c>
      <c r="E12" s="10" t="n">
        <f aca="false">'Monthly data'!F91</f>
        <v>28.65</v>
      </c>
      <c r="F12" s="10" t="n">
        <f aca="false">'Monthly data'!F92</f>
        <v>28.63</v>
      </c>
      <c r="G12" s="10" t="n">
        <f aca="false">'Monthly data'!F93</f>
        <v>29.63</v>
      </c>
      <c r="H12" s="10" t="n">
        <f aca="false">'Monthly data'!F94</f>
        <v>30.42</v>
      </c>
      <c r="I12" s="10" t="n">
        <f aca="false">'Monthly data'!F95</f>
        <v>31.41</v>
      </c>
      <c r="J12" s="10" t="n">
        <f aca="false">'Monthly data'!F96</f>
        <v>31.9</v>
      </c>
      <c r="K12" s="10" t="n">
        <f aca="false">'Monthly data'!F97</f>
        <v>31.67</v>
      </c>
      <c r="L12" s="10" t="n">
        <f aca="false">'Monthly data'!F98</f>
        <v>30.62</v>
      </c>
      <c r="M12" s="10" t="n">
        <f aca="false">'Monthly data'!F99</f>
        <v>29.51</v>
      </c>
      <c r="N12" s="10" t="n">
        <f aca="false">'Monthly data'!F100</f>
        <v>27.1</v>
      </c>
      <c r="O12" s="10" t="n">
        <f aca="false">IF(COUNT(C12:N12)=12,AVERAGE(C12:N12),"")</f>
        <v>29.5583333333333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data'!F101</f>
        <v>26.23</v>
      </c>
      <c r="D13" s="10" t="n">
        <f aca="false">'Monthly data'!F102</f>
        <v>27.3</v>
      </c>
      <c r="E13" s="10" t="n">
        <f aca="false">'Monthly data'!F103</f>
        <v>29.2</v>
      </c>
      <c r="F13" s="10" t="n">
        <f aca="false">'Monthly data'!F104</f>
        <v>29.05</v>
      </c>
      <c r="G13" s="10" t="n">
        <f aca="false">'Monthly data'!F105</f>
        <v>28.98</v>
      </c>
      <c r="H13" s="10" t="n">
        <f aca="false">'Monthly data'!F106</f>
        <v>30.42</v>
      </c>
      <c r="I13" s="10" t="n">
        <f aca="false">'Monthly data'!F107</f>
        <v>33.73</v>
      </c>
      <c r="J13" s="10" t="n">
        <f aca="false">'Monthly data'!F108</f>
        <v>33.22</v>
      </c>
      <c r="K13" s="10" t="n">
        <f aca="false">'Monthly data'!F109</f>
        <v>32.51</v>
      </c>
      <c r="L13" s="10" t="n">
        <f aca="false">'Monthly data'!F110</f>
        <v>31.09</v>
      </c>
      <c r="M13" s="10" t="n">
        <f aca="false">'Monthly data'!F111</f>
        <v>28.85</v>
      </c>
      <c r="N13" s="10" t="n">
        <f aca="false">'Monthly data'!F112</f>
        <v>27.81</v>
      </c>
      <c r="O13" s="10" t="n">
        <f aca="false">IF(COUNT(C13:N13)=12,AVERAGE(C13:N13),"")</f>
        <v>29.8658333333333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data'!F113</f>
        <v>27.41</v>
      </c>
      <c r="D14" s="10" t="n">
        <f aca="false">'Monthly data'!F114</f>
        <v>27.95</v>
      </c>
      <c r="E14" s="10" t="n">
        <f aca="false">'Monthly data'!F115</f>
        <v>31.58</v>
      </c>
      <c r="F14" s="10" t="n">
        <f aca="false">'Monthly data'!F116</f>
        <v>31.73</v>
      </c>
      <c r="G14" s="10" t="n">
        <f aca="false">'Monthly data'!F117</f>
        <v>33.45</v>
      </c>
      <c r="H14" s="10" t="n">
        <f aca="false">'Monthly data'!F118</f>
        <v>34.65</v>
      </c>
      <c r="I14" s="10" t="n">
        <f aca="false">'Monthly data'!F119</f>
        <v>32.93</v>
      </c>
      <c r="J14" s="10" t="n">
        <f aca="false">'Monthly data'!F120</f>
        <v>34.37</v>
      </c>
      <c r="K14" s="10" t="n">
        <f aca="false">'Monthly data'!F121</f>
        <v>34</v>
      </c>
      <c r="L14" s="10" t="n">
        <f aca="false">'Monthly data'!F122</f>
        <v>33.24</v>
      </c>
      <c r="M14" s="10" t="n">
        <f aca="false">'Monthly data'!F123</f>
        <v>30.68</v>
      </c>
      <c r="N14" s="10" t="n">
        <f aca="false">'Monthly data'!F124</f>
        <v>28.89</v>
      </c>
      <c r="O14" s="10" t="n">
        <f aca="false">IF(COUNT(C14:N14)=12,AVERAGE(C14:N14),"")</f>
        <v>31.74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data'!F125</f>
        <v>28.08</v>
      </c>
      <c r="D15" s="10" t="n">
        <f aca="false">'Monthly data'!F126</f>
        <v>29.6</v>
      </c>
      <c r="E15" s="10" t="n">
        <f aca="false">'Monthly data'!F127</f>
        <v>29.83</v>
      </c>
      <c r="F15" s="10" t="n">
        <f aca="false">'Monthly data'!F128</f>
        <v>29.47</v>
      </c>
      <c r="G15" s="10" t="n">
        <f aca="false">'Monthly data'!F129</f>
        <v>29.62</v>
      </c>
      <c r="H15" s="10" t="n">
        <f aca="false">'Monthly data'!F130</f>
        <v>31.86</v>
      </c>
      <c r="I15" s="10" t="n">
        <f aca="false">'Monthly data'!F131</f>
        <v>34.11</v>
      </c>
      <c r="J15" s="10" t="n">
        <f aca="false">'Monthly data'!F132</f>
        <v>32.04</v>
      </c>
      <c r="K15" s="10" t="n">
        <f aca="false">'Monthly data'!F133</f>
        <v>33.37</v>
      </c>
      <c r="L15" s="10" t="n">
        <f aca="false">'Monthly data'!F134</f>
        <v>31.34</v>
      </c>
      <c r="M15" s="10" t="n">
        <f aca="false">'Monthly data'!F135</f>
        <v>28.55</v>
      </c>
      <c r="N15" s="10" t="n">
        <f aca="false">'Monthly data'!F136</f>
        <v>28.24</v>
      </c>
      <c r="O15" s="10" t="n">
        <f aca="false">IF(COUNT(C15:N15)=12,AVERAGE(C15:N15),"")</f>
        <v>30.5091666666667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data'!F137</f>
        <v>25.95</v>
      </c>
      <c r="D16" s="10" t="n">
        <f aca="false">'Monthly data'!F138</f>
        <v>27.18</v>
      </c>
      <c r="E16" s="10" t="n">
        <f aca="false">'Monthly data'!F139</f>
        <v>27.34</v>
      </c>
      <c r="F16" s="10" t="n">
        <f aca="false">'Monthly data'!F140</f>
        <v>31.16</v>
      </c>
      <c r="G16" s="10" t="n">
        <f aca="false">'Monthly data'!F141</f>
        <v>28.96</v>
      </c>
      <c r="H16" s="10" t="n">
        <f aca="false">'Monthly data'!F142</f>
        <v>30.39</v>
      </c>
      <c r="I16" s="10" t="n">
        <f aca="false">'Monthly data'!F143</f>
        <v>32.72</v>
      </c>
      <c r="J16" s="10" t="n">
        <f aca="false">'Monthly data'!F144</f>
        <v>31.06</v>
      </c>
      <c r="K16" s="10" t="n">
        <f aca="false">'Monthly data'!F145</f>
        <v>32.04</v>
      </c>
      <c r="L16" s="10" t="n">
        <f aca="false">'Monthly data'!F146</f>
        <v>29.41</v>
      </c>
      <c r="M16" s="10" t="n">
        <f aca="false">'Monthly data'!F147</f>
        <v>27.94</v>
      </c>
      <c r="N16" s="10" t="n">
        <f aca="false">'Monthly data'!F148</f>
        <v>27.63</v>
      </c>
      <c r="O16" s="10" t="n">
        <f aca="false">IF(COUNT(C16:N16)=12,AVERAGE(C16:N16),"")</f>
        <v>29.315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data'!F149</f>
        <v>27.36</v>
      </c>
      <c r="D17" s="10" t="n">
        <f aca="false">'Monthly data'!F150</f>
        <v>27.6</v>
      </c>
      <c r="E17" s="10" t="n">
        <f aca="false">'Monthly data'!F151</f>
        <v>29.14</v>
      </c>
      <c r="F17" s="10" t="n">
        <f aca="false">'Monthly data'!F152</f>
        <v>29.71</v>
      </c>
      <c r="G17" s="10" t="n">
        <f aca="false">'Monthly data'!F153</f>
        <v>29.25</v>
      </c>
      <c r="H17" s="10" t="n">
        <f aca="false">'Monthly data'!F154</f>
        <v>30.77</v>
      </c>
      <c r="I17" s="10" t="n">
        <f aca="false">'Monthly data'!F155</f>
        <v>33.03</v>
      </c>
      <c r="J17" s="10" t="n">
        <f aca="false">'Monthly data'!F156</f>
        <v>35.2</v>
      </c>
      <c r="K17" s="10" t="n">
        <f aca="false">'Monthly data'!F157</f>
        <v>33.66</v>
      </c>
      <c r="L17" s="10" t="n">
        <f aca="false">'Monthly data'!F158</f>
        <v>32.6</v>
      </c>
      <c r="M17" s="10" t="n">
        <f aca="false">'Monthly data'!F159</f>
        <v>30.61</v>
      </c>
      <c r="N17" s="10" t="n">
        <f aca="false">'Monthly data'!F160</f>
        <v>28.63</v>
      </c>
      <c r="O17" s="10" t="n">
        <f aca="false">IF(COUNT(C17:N17)=12,AVERAGE(C17:N17),"")</f>
        <v>30.63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data'!F161</f>
        <v>28.11</v>
      </c>
      <c r="D18" s="10" t="n">
        <f aca="false">'Monthly data'!F162</f>
        <v>27.54</v>
      </c>
      <c r="E18" s="10" t="n">
        <f aca="false">'Monthly data'!F163</f>
        <v>29.83</v>
      </c>
      <c r="F18" s="10" t="n">
        <f aca="false">'Monthly data'!F164</f>
        <v>29.94</v>
      </c>
      <c r="G18" s="10" t="n">
        <f aca="false">'Monthly data'!F165</f>
        <v>30.7</v>
      </c>
      <c r="H18" s="10" t="n">
        <f aca="false">'Monthly data'!F166</f>
        <v>31.14</v>
      </c>
      <c r="I18" s="10" t="n">
        <f aca="false">'Monthly data'!F167</f>
        <v>32.29</v>
      </c>
      <c r="J18" s="10" t="n">
        <f aca="false">'Monthly data'!F168</f>
        <v>32.84</v>
      </c>
      <c r="K18" s="10" t="n">
        <f aca="false">'Monthly data'!F169</f>
        <v>30.24</v>
      </c>
      <c r="L18" s="10" t="n">
        <f aca="false">'Monthly data'!F170</f>
        <v>29.96</v>
      </c>
      <c r="M18" s="10" t="n">
        <f aca="false">'Monthly data'!F171</f>
        <v>28.94</v>
      </c>
      <c r="N18" s="10" t="n">
        <f aca="false">'Monthly data'!F172</f>
        <v>28.92</v>
      </c>
      <c r="O18" s="10" t="n">
        <f aca="false">IF(COUNT(C18:N18)=12,AVERAGE(C18:N18),"")</f>
        <v>30.0375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data'!F173</f>
        <v>27.66</v>
      </c>
      <c r="D19" s="10" t="n">
        <f aca="false">'Monthly data'!F174</f>
        <v>27.21</v>
      </c>
      <c r="E19" s="10" t="n">
        <f aca="false">'Monthly data'!F175</f>
        <v>30.1</v>
      </c>
      <c r="F19" s="10" t="n">
        <f aca="false">'Monthly data'!F176</f>
        <v>30.34</v>
      </c>
      <c r="G19" s="10" t="n">
        <f aca="false">'Monthly data'!F177</f>
        <v>28.92</v>
      </c>
      <c r="H19" s="10" t="n">
        <f aca="false">'Monthly data'!F178</f>
        <v>31.75</v>
      </c>
      <c r="I19" s="10" t="n">
        <f aca="false">'Monthly data'!F179</f>
        <v>33.16</v>
      </c>
      <c r="J19" s="10" t="n">
        <f aca="false">'Monthly data'!F180</f>
        <v>31.51</v>
      </c>
      <c r="K19" s="10" t="n">
        <f aca="false">'Monthly data'!F181</f>
        <v>32.94</v>
      </c>
      <c r="L19" s="10" t="n">
        <f aca="false">'Monthly data'!F182</f>
        <v>31.32</v>
      </c>
      <c r="M19" s="10" t="n">
        <f aca="false">'Monthly data'!F183</f>
        <v>30.41</v>
      </c>
      <c r="N19" s="10" t="n">
        <f aca="false">'Monthly data'!F184</f>
        <v>28.58</v>
      </c>
      <c r="O19" s="10" t="n">
        <f aca="false">IF(COUNT(C19:N19)=12,AVERAGE(C19:N19),"")</f>
        <v>30.325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data'!F185</f>
        <v>28.05</v>
      </c>
      <c r="D20" s="10" t="n">
        <f aca="false">'Monthly data'!F186</f>
        <v>27.63</v>
      </c>
      <c r="E20" s="10" t="n">
        <f aca="false">'Monthly data'!F187</f>
        <v>30.15</v>
      </c>
      <c r="F20" s="10" t="n">
        <f aca="false">'Monthly data'!F188</f>
        <v>28.74</v>
      </c>
      <c r="G20" s="10" t="n">
        <f aca="false">'Monthly data'!F189</f>
        <v>28.7</v>
      </c>
      <c r="H20" s="10" t="n">
        <f aca="false">'Monthly data'!F190</f>
        <v>29.65</v>
      </c>
      <c r="I20" s="10" t="n">
        <f aca="false">'Monthly data'!F191</f>
        <v>32.03</v>
      </c>
      <c r="J20" s="10" t="n">
        <f aca="false">'Monthly data'!F192</f>
        <v>31.54</v>
      </c>
      <c r="K20" s="10" t="n">
        <f aca="false">'Monthly data'!F193</f>
        <v>31.9</v>
      </c>
      <c r="L20" s="10" t="n">
        <f aca="false">'Monthly data'!F194</f>
        <v>32.09</v>
      </c>
      <c r="M20" s="10" t="n">
        <f aca="false">'Monthly data'!F195</f>
        <v>29.63</v>
      </c>
      <c r="N20" s="10" t="n">
        <f aca="false">'Monthly data'!F196</f>
        <v>28.47</v>
      </c>
      <c r="O20" s="10" t="n">
        <f aca="false">IF(COUNT(C20:N20)=12,AVERAGE(C20:N20),"")</f>
        <v>29.8816666666667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data'!F197</f>
        <v>27.53</v>
      </c>
      <c r="D21" s="10" t="n">
        <f aca="false">'Monthly data'!F198</f>
        <v>27.93</v>
      </c>
      <c r="E21" s="10" t="n">
        <f aca="false">'Monthly data'!F199</f>
        <v>28.7</v>
      </c>
      <c r="F21" s="10" t="n">
        <f aca="false">'Monthly data'!F200</f>
        <v>30.89</v>
      </c>
      <c r="G21" s="10" t="n">
        <f aca="false">'Monthly data'!F201</f>
        <v>28.64</v>
      </c>
      <c r="H21" s="10" t="n">
        <f aca="false">'Monthly data'!F202</f>
        <v>29.09</v>
      </c>
      <c r="I21" s="10" t="n">
        <f aca="false">'Monthly data'!F203</f>
        <v>31.19</v>
      </c>
      <c r="J21" s="10" t="n">
        <f aca="false">'Monthly data'!F204</f>
        <v>33.03</v>
      </c>
      <c r="K21" s="10" t="n">
        <f aca="false">'Monthly data'!F205</f>
        <v>32.68</v>
      </c>
      <c r="L21" s="10" t="n">
        <f aca="false">'Monthly data'!F206</f>
        <v>31.56</v>
      </c>
      <c r="M21" s="10" t="n">
        <f aca="false">'Monthly data'!F207</f>
        <v>28.71</v>
      </c>
      <c r="N21" s="10" t="n">
        <f aca="false">'Monthly data'!F208</f>
        <v>28.34</v>
      </c>
      <c r="O21" s="10" t="n">
        <f aca="false">IF(COUNT(C21:N21)=12,AVERAGE(C21:N21),"")</f>
        <v>29.8575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data'!F209</f>
        <v>27.63</v>
      </c>
      <c r="D22" s="10" t="n">
        <f aca="false">'Monthly data'!F210</f>
        <v>28.96</v>
      </c>
      <c r="E22" s="10" t="n">
        <f aca="false">'Monthly data'!F211</f>
        <v>29.6</v>
      </c>
      <c r="F22" s="10" t="n">
        <f aca="false">'Monthly data'!F212</f>
        <v>31.37</v>
      </c>
      <c r="G22" s="10" t="n">
        <f aca="false">'Monthly data'!F213</f>
        <v>34.51</v>
      </c>
      <c r="H22" s="10" t="n">
        <f aca="false">'Monthly data'!F214</f>
        <v>34.7</v>
      </c>
      <c r="I22" s="10" t="n">
        <f aca="false">'Monthly data'!F215</f>
        <v>32.55</v>
      </c>
      <c r="J22" s="10" t="n">
        <f aca="false">'Monthly data'!F216</f>
        <v>32.46</v>
      </c>
      <c r="K22" s="10" t="n">
        <f aca="false">'Monthly data'!F217</f>
        <v>33.12</v>
      </c>
      <c r="L22" s="10" t="n">
        <f aca="false">'Monthly data'!F218</f>
        <v>31.87</v>
      </c>
      <c r="M22" s="10" t="n">
        <f aca="false">'Monthly data'!F219</f>
        <v>31.54</v>
      </c>
      <c r="N22" s="10" t="n">
        <f aca="false">'Monthly data'!F220</f>
        <v>29.53</v>
      </c>
      <c r="O22" s="10" t="n">
        <f aca="false">IF(COUNT(C22:N22)=12,AVERAGE(C22:N22),"")</f>
        <v>31.4866666666667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data'!F221</f>
        <v>29.14</v>
      </c>
      <c r="D23" s="10" t="n">
        <f aca="false">'Monthly data'!F222</f>
        <v>28.9</v>
      </c>
      <c r="E23" s="10" t="n">
        <f aca="false">'Monthly data'!F223</f>
        <v>31.16</v>
      </c>
      <c r="F23" s="10" t="n">
        <f aca="false">'Monthly data'!F224</f>
        <v>30.39</v>
      </c>
      <c r="G23" s="10" t="n">
        <f aca="false">'Monthly data'!F225</f>
        <v>29.66</v>
      </c>
      <c r="H23" s="10" t="n">
        <f aca="false">'Monthly data'!F226</f>
        <v>32.68</v>
      </c>
      <c r="I23" s="10" t="n">
        <f aca="false">'Monthly data'!F227</f>
        <v>31.9</v>
      </c>
      <c r="J23" s="10" t="n">
        <f aca="false">'Monthly data'!F228</f>
        <v>33.24</v>
      </c>
      <c r="K23" s="10" t="n">
        <f aca="false">'Monthly data'!F229</f>
        <v>32.77</v>
      </c>
      <c r="L23" s="10" t="n">
        <f aca="false">'Monthly data'!F230</f>
        <v>30.65</v>
      </c>
      <c r="M23" s="10" t="n">
        <f aca="false">'Monthly data'!F231</f>
        <v>28.08</v>
      </c>
      <c r="N23" s="10" t="n">
        <f aca="false">'Monthly data'!F232</f>
        <v>27.85</v>
      </c>
      <c r="O23" s="10" t="n">
        <f aca="false">IF(COUNT(C23:N23)=12,AVERAGE(C23:N23),"")</f>
        <v>30.535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data'!F233</f>
        <v>27.03</v>
      </c>
      <c r="D24" s="10" t="n">
        <f aca="false">'Monthly data'!F234</f>
        <v>27.4</v>
      </c>
      <c r="E24" s="10" t="n">
        <f aca="false">'Monthly data'!F235</f>
        <v>28.05</v>
      </c>
      <c r="F24" s="10" t="n">
        <f aca="false">'Monthly data'!F236</f>
        <v>28.27</v>
      </c>
      <c r="G24" s="10" t="n">
        <f aca="false">'Monthly data'!F237</f>
        <v>30.65</v>
      </c>
      <c r="H24" s="10" t="n">
        <f aca="false">'Monthly data'!F238</f>
        <v>32.48</v>
      </c>
      <c r="I24" s="10" t="n">
        <f aca="false">'Monthly data'!F239</f>
        <v>32.39</v>
      </c>
      <c r="J24" s="10" t="n">
        <f aca="false">'Monthly data'!F240</f>
        <v>33.44</v>
      </c>
      <c r="K24" s="10" t="n">
        <f aca="false">'Monthly data'!F241</f>
        <v>31.25</v>
      </c>
      <c r="L24" s="10" t="n">
        <f aca="false">'Monthly data'!F242</f>
        <v>30.81</v>
      </c>
      <c r="M24" s="10" t="n">
        <f aca="false">'Monthly data'!F243</f>
        <v>29.26</v>
      </c>
      <c r="N24" s="10" t="n">
        <f aca="false">'Monthly data'!F244</f>
        <v>28.44</v>
      </c>
      <c r="O24" s="10" t="n">
        <f aca="false">IF(COUNT(C24:N24)=12,AVERAGE(C24:N24),"")</f>
        <v>29.9558333333333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data'!F245</f>
        <v>28.15</v>
      </c>
      <c r="D25" s="10" t="n">
        <f aca="false">'Monthly data'!F246</f>
        <v>29.63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27.31</v>
      </c>
      <c r="D28" s="23" t="n">
        <f aca="false">AVERAGEIF($B$5:$B$25,"El Niño",D$5:D$25)</f>
        <v>27.7914285714286</v>
      </c>
      <c r="E28" s="23" t="n">
        <f aca="false">AVERAGEIF($B$5:$B$25,"El Niño",E$5:E$25)</f>
        <v>29.6</v>
      </c>
      <c r="F28" s="23" t="n">
        <f aca="false">AVERAGEIF($B$5:$B$25,"El Niño",F$5:F$25)</f>
        <v>29.8185714285714</v>
      </c>
      <c r="G28" s="23" t="n">
        <f aca="false">AVERAGEIF($B$5:$B$25,"El Niño",G$5:G$25)</f>
        <v>30.9142857142857</v>
      </c>
      <c r="H28" s="23" t="n">
        <f aca="false">AVERAGEIF($B$5:$B$25,"El Niño",H$5:H$25)</f>
        <v>32.01</v>
      </c>
      <c r="I28" s="23" t="n">
        <f aca="false">AVERAGEIF($B$5:$B$25,"El Niño",I$5:I$25)</f>
        <v>33.0214285714286</v>
      </c>
      <c r="J28" s="23" t="n">
        <f aca="false">AVERAGEIF($B$5:$B$25,"El Niño",J$5:J$25)</f>
        <v>33.3814285714286</v>
      </c>
      <c r="K28" s="23" t="n">
        <f aca="false">AVERAGEIF($B$5:$B$25,"El Niño",K$5:K$25)</f>
        <v>32.5757142857143</v>
      </c>
      <c r="L28" s="23" t="n">
        <f aca="false">AVERAGEIF($B$5:$B$25,"El Niño",L$5:L$25)</f>
        <v>31.3657142857143</v>
      </c>
      <c r="M28" s="23" t="n">
        <f aca="false">AVERAGEIF($B$5:$B$25,"El Niño",M$5:M$25)</f>
        <v>29.72</v>
      </c>
      <c r="N28" s="23" t="n">
        <f aca="false">AVERAGEIF($B$5:$B$25,"El Niño",N$5:N$25)</f>
        <v>28.43</v>
      </c>
      <c r="O28" s="23" t="n">
        <f aca="false">AVERAGEIF($B$5:$B$25,"El Niño",O$5:O$25)</f>
        <v>30.494880952381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27.20125</v>
      </c>
      <c r="D29" s="23" t="n">
        <f aca="false">AVERAGEIF($B$5:$B$25,"La Niña",D$5:D$25)</f>
        <v>27.6975</v>
      </c>
      <c r="E29" s="23" t="n">
        <f aca="false">AVERAGEIF($B$5:$B$25,"La Niña",E$5:E$25)</f>
        <v>28.6125</v>
      </c>
      <c r="F29" s="23" t="n">
        <f aca="false">AVERAGEIF($B$5:$B$25,"La Niña",F$5:F$25)</f>
        <v>29.80375</v>
      </c>
      <c r="G29" s="23" t="n">
        <f aca="false">AVERAGEIF($B$5:$B$25,"La Niña",G$5:G$25)</f>
        <v>29.10875</v>
      </c>
      <c r="H29" s="23" t="n">
        <f aca="false">AVERAGEIF($B$5:$B$25,"La Niña",H$5:H$25)</f>
        <v>30.42</v>
      </c>
      <c r="I29" s="23" t="n">
        <f aca="false">AVERAGEIF($B$5:$B$25,"La Niña",I$5:I$25)</f>
        <v>31.89625</v>
      </c>
      <c r="J29" s="23" t="n">
        <f aca="false">AVERAGEIF($B$5:$B$25,"La Niña",J$5:J$25)</f>
        <v>32.04875</v>
      </c>
      <c r="K29" s="23" t="n">
        <f aca="false">AVERAGEIF($B$5:$B$25,"La Niña",K$5:K$25)</f>
        <v>32.12375</v>
      </c>
      <c r="L29" s="23" t="n">
        <f aca="false">AVERAGEIF($B$5:$B$25,"La Niña",L$5:L$25)</f>
        <v>30.93875</v>
      </c>
      <c r="M29" s="23" t="n">
        <f aca="false">AVERAGEIF($B$5:$B$25,"La Niña",M$5:M$25)</f>
        <v>28.66875</v>
      </c>
      <c r="N29" s="23" t="n">
        <f aca="false">AVERAGEIF($B$5:$B$25,"La Niña",N$5:N$25)</f>
        <v>28.04875</v>
      </c>
      <c r="O29" s="23" t="n">
        <f aca="false">AVERAGEIF($B$5:$B$25,"La Niña",O$5:O$25)</f>
        <v>29.7140625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27.932</v>
      </c>
      <c r="D30" s="23" t="n">
        <f aca="false">AVERAGEIF($B$5:$B$25,"Neutral",D$5:D$25)</f>
        <v>28.006</v>
      </c>
      <c r="E30" s="23" t="n">
        <f aca="false">AVERAGEIF($B$5:$B$25,"Neutral",E$5:E$25)</f>
        <v>29.284</v>
      </c>
      <c r="F30" s="23" t="n">
        <f aca="false">AVERAGEIF($B$5:$B$25,"Neutral",F$5:F$25)</f>
        <v>29.386</v>
      </c>
      <c r="G30" s="23" t="n">
        <f aca="false">AVERAGEIF($B$5:$B$25,"Neutral",G$5:G$25)</f>
        <v>29.706</v>
      </c>
      <c r="H30" s="23" t="n">
        <f aca="false">AVERAGEIF($B$5:$B$25,"Neutral",H$5:H$25)</f>
        <v>32.116</v>
      </c>
      <c r="I30" s="23" t="n">
        <f aca="false">AVERAGEIF($B$5:$B$25,"Neutral",I$5:I$25)</f>
        <v>32.41</v>
      </c>
      <c r="J30" s="23" t="n">
        <f aca="false">AVERAGEIF($B$5:$B$25,"Neutral",J$5:J$25)</f>
        <v>32.652</v>
      </c>
      <c r="K30" s="23" t="n">
        <f aca="false">AVERAGEIF($B$5:$B$25,"Neutral",K$5:K$25)</f>
        <v>32.532</v>
      </c>
      <c r="L30" s="23" t="n">
        <f aca="false">AVERAGEIF($B$5:$B$25,"Neutral",L$5:L$25)</f>
        <v>30.636</v>
      </c>
      <c r="M30" s="23" t="n">
        <f aca="false">AVERAGEIF($B$5:$B$25,"Neutral",M$5:M$25)</f>
        <v>28.898</v>
      </c>
      <c r="N30" s="23" t="n">
        <f aca="false">AVERAGEIF($B$5:$B$25,"Neutral",N$5:N$25)</f>
        <v>28.028</v>
      </c>
      <c r="O30" s="23" t="n">
        <f aca="false">AVERAGEIF($B$5:$B$25,"Neutral",O$5:O$25)</f>
        <v>30.1321666666667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27.422</v>
      </c>
      <c r="D31" s="23" t="n">
        <f aca="false">AVERAGE(D5:D24)</f>
        <v>27.8075</v>
      </c>
      <c r="E31" s="23" t="n">
        <f aca="false">AVERAGE(E5:E24)</f>
        <v>29.126</v>
      </c>
      <c r="F31" s="23" t="n">
        <f aca="false">AVERAGE(F5:F24)</f>
        <v>29.7045</v>
      </c>
      <c r="G31" s="23" t="n">
        <f aca="false">AVERAGE(G5:G24)</f>
        <v>29.89</v>
      </c>
      <c r="H31" s="23" t="n">
        <f aca="false">AVERAGE(H5:H24)</f>
        <v>31.4005</v>
      </c>
      <c r="I31" s="23" t="n">
        <f aca="false">AVERAGE(I5:I24)</f>
        <v>32.4185</v>
      </c>
      <c r="J31" s="23" t="n">
        <f aca="false">AVERAGE(J5:J24)</f>
        <v>32.666</v>
      </c>
      <c r="K31" s="23" t="n">
        <f aca="false">AVERAGE(K5:K24)</f>
        <v>32.384</v>
      </c>
      <c r="L31" s="23" t="n">
        <f aca="false">AVERAGE(L5:L24)</f>
        <v>31.0125</v>
      </c>
      <c r="M31" s="23" t="n">
        <f aca="false">AVERAGE(M5:M24)</f>
        <v>29.094</v>
      </c>
      <c r="N31" s="23" t="n">
        <f aca="false">AVERAGE(N5:N24)</f>
        <v>28.177</v>
      </c>
      <c r="O31" s="23" t="n">
        <f aca="false">AVERAGE(O5:O24)</f>
        <v>30.091875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96</v>
      </c>
    </row>
    <row r="2" customFormat="false" ht="15" hidden="false" customHeight="false" outlineLevel="0" collapsed="false">
      <c r="A2" s="5" t="s">
        <v>97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98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1" t="n">
        <f aca="false">'Monthly data'!G5</f>
        <v>56.48</v>
      </c>
      <c r="D5" s="11" t="n">
        <f aca="false">'Monthly data'!G6</f>
        <v>30.43</v>
      </c>
      <c r="E5" s="11" t="n">
        <f aca="false">'Monthly data'!G7</f>
        <v>87.11</v>
      </c>
      <c r="F5" s="11" t="n">
        <f aca="false">'Monthly data'!G8</f>
        <v>183.92</v>
      </c>
      <c r="G5" s="11" t="n">
        <f aca="false">'Monthly data'!G9</f>
        <v>313.24</v>
      </c>
      <c r="H5" s="11" t="n">
        <f aca="false">'Monthly data'!G10</f>
        <v>259.84</v>
      </c>
      <c r="I5" s="11" t="n">
        <f aca="false">'Monthly data'!G11</f>
        <v>124.89</v>
      </c>
      <c r="J5" s="11" t="n">
        <f aca="false">'Monthly data'!G12</f>
        <v>269.29</v>
      </c>
      <c r="K5" s="11" t="n">
        <f aca="false">'Monthly data'!G13</f>
        <v>29.84</v>
      </c>
      <c r="L5" s="11" t="n">
        <f aca="false">'Monthly data'!G14</f>
        <v>159.86</v>
      </c>
      <c r="M5" s="11" t="n">
        <f aca="false">'Monthly data'!G15</f>
        <v>21.76</v>
      </c>
      <c r="N5" s="11" t="n">
        <f aca="false">'Monthly data'!G16</f>
        <v>16.66</v>
      </c>
      <c r="O5" s="11" t="n">
        <f aca="false">IF(COUNT(C5:N5)=12,SUM(C5:N5),"")</f>
        <v>1553.32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1" t="n">
        <f aca="false">'Monthly data'!G17</f>
        <v>18.98</v>
      </c>
      <c r="D6" s="11" t="n">
        <f aca="false">'Monthly data'!G18</f>
        <v>40.17</v>
      </c>
      <c r="E6" s="11" t="n">
        <f aca="false">'Monthly data'!G19</f>
        <v>48.62</v>
      </c>
      <c r="F6" s="11" t="n">
        <f aca="false">'Monthly data'!G20</f>
        <v>30.65</v>
      </c>
      <c r="G6" s="11" t="n">
        <f aca="false">'Monthly data'!G21</f>
        <v>118.59</v>
      </c>
      <c r="H6" s="11" t="n">
        <f aca="false">'Monthly data'!G22</f>
        <v>100.75</v>
      </c>
      <c r="I6" s="11" t="n">
        <f aca="false">'Monthly data'!G23</f>
        <v>162.86</v>
      </c>
      <c r="J6" s="11" t="n">
        <f aca="false">'Monthly data'!G24</f>
        <v>185.82</v>
      </c>
      <c r="K6" s="11" t="n">
        <f aca="false">'Monthly data'!G25</f>
        <v>154.92</v>
      </c>
      <c r="L6" s="11" t="n">
        <f aca="false">'Monthly data'!G26</f>
        <v>111.91</v>
      </c>
      <c r="M6" s="11" t="n">
        <f aca="false">'Monthly data'!G27</f>
        <v>27.54</v>
      </c>
      <c r="N6" s="11" t="n">
        <f aca="false">'Monthly data'!G28</f>
        <v>21.92</v>
      </c>
      <c r="O6" s="11" t="n">
        <f aca="false">IF(COUNT(C6:N6)=12,SUM(C6:N6),"")</f>
        <v>1022.73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1" t="n">
        <f aca="false">'Monthly data'!G29</f>
        <v>34.08</v>
      </c>
      <c r="D7" s="11" t="n">
        <f aca="false">'Monthly data'!G30</f>
        <v>27.82</v>
      </c>
      <c r="E7" s="11" t="n">
        <f aca="false">'Monthly data'!G31</f>
        <v>42.51</v>
      </c>
      <c r="F7" s="11" t="n">
        <f aca="false">'Monthly data'!G32</f>
        <v>49.63</v>
      </c>
      <c r="G7" s="11" t="n">
        <f aca="false">'Monthly data'!G33</f>
        <v>391.44</v>
      </c>
      <c r="H7" s="11" t="n">
        <f aca="false">'Monthly data'!G34</f>
        <v>252.75</v>
      </c>
      <c r="I7" s="11" t="n">
        <f aca="false">'Monthly data'!G35</f>
        <v>322.08</v>
      </c>
      <c r="J7" s="11" t="n">
        <f aca="false">'Monthly data'!G36</f>
        <v>19.36</v>
      </c>
      <c r="K7" s="11" t="n">
        <f aca="false">'Monthly data'!G37</f>
        <v>173.14</v>
      </c>
      <c r="L7" s="11" t="n">
        <f aca="false">'Monthly data'!G38</f>
        <v>188.7</v>
      </c>
      <c r="M7" s="11" t="n">
        <f aca="false">'Monthly data'!G39</f>
        <v>23.39</v>
      </c>
      <c r="N7" s="11" t="n">
        <f aca="false">'Monthly data'!G40</f>
        <v>40.89</v>
      </c>
      <c r="O7" s="11" t="n">
        <f aca="false">IF(COUNT(C7:N7)=12,SUM(C7:N7),"")</f>
        <v>1565.79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1" t="n">
        <f aca="false">'Monthly data'!G41</f>
        <v>41.5</v>
      </c>
      <c r="D8" s="11" t="n">
        <f aca="false">'Monthly data'!G42</f>
        <v>59.93</v>
      </c>
      <c r="E8" s="11" t="n">
        <f aca="false">'Monthly data'!G43</f>
        <v>42.01</v>
      </c>
      <c r="F8" s="11" t="n">
        <f aca="false">'Monthly data'!G44</f>
        <v>382.7</v>
      </c>
      <c r="G8" s="11" t="n">
        <f aca="false">'Monthly data'!G45</f>
        <v>139.48</v>
      </c>
      <c r="H8" s="11" t="n">
        <f aca="false">'Monthly data'!G46</f>
        <v>103.41</v>
      </c>
      <c r="I8" s="11" t="n">
        <f aca="false">'Monthly data'!G47</f>
        <v>11.69</v>
      </c>
      <c r="J8" s="11" t="n">
        <f aca="false">'Monthly data'!G48</f>
        <v>67.7</v>
      </c>
      <c r="K8" s="11" t="n">
        <f aca="false">'Monthly data'!G49</f>
        <v>155.46</v>
      </c>
      <c r="L8" s="11" t="n">
        <f aca="false">'Monthly data'!G50</f>
        <v>159.44</v>
      </c>
      <c r="M8" s="11" t="n">
        <f aca="false">'Monthly data'!G51</f>
        <v>42.32</v>
      </c>
      <c r="N8" s="11" t="n">
        <f aca="false">'Monthly data'!G52</f>
        <v>19.33</v>
      </c>
      <c r="O8" s="11" t="n">
        <f aca="false">IF(COUNT(C8:N8)=12,SUM(C8:N8),"")</f>
        <v>1224.97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1" t="n">
        <f aca="false">'Monthly data'!G53</f>
        <v>78.85</v>
      </c>
      <c r="D9" s="11" t="n">
        <f aca="false">'Monthly data'!G54</f>
        <v>15.92</v>
      </c>
      <c r="E9" s="11" t="n">
        <f aca="false">'Monthly data'!G55</f>
        <v>36.29</v>
      </c>
      <c r="F9" s="11" t="n">
        <f aca="false">'Monthly data'!G56</f>
        <v>83.57</v>
      </c>
      <c r="G9" s="11" t="n">
        <f aca="false">'Monthly data'!G57</f>
        <v>243.66</v>
      </c>
      <c r="H9" s="11" t="n">
        <f aca="false">'Monthly data'!G58</f>
        <v>231.56</v>
      </c>
      <c r="I9" s="11" t="n">
        <f aca="false">'Monthly data'!G59</f>
        <v>90.68</v>
      </c>
      <c r="J9" s="11" t="n">
        <f aca="false">'Monthly data'!G60</f>
        <v>71.45</v>
      </c>
      <c r="K9" s="11" t="n">
        <f aca="false">'Monthly data'!G61</f>
        <v>282.31</v>
      </c>
      <c r="L9" s="11" t="n">
        <f aca="false">'Monthly data'!G62</f>
        <v>162.52</v>
      </c>
      <c r="M9" s="11" t="n">
        <f aca="false">'Monthly data'!G63</f>
        <v>20.67</v>
      </c>
      <c r="N9" s="11" t="n">
        <f aca="false">'Monthly data'!G64</f>
        <v>30.77</v>
      </c>
      <c r="O9" s="11" t="n">
        <f aca="false">IF(COUNT(C9:N9)=12,SUM(C9:N9),"")</f>
        <v>1348.25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1" t="n">
        <f aca="false">'Monthly data'!G65</f>
        <v>59.3</v>
      </c>
      <c r="D10" s="11" t="n">
        <f aca="false">'Monthly data'!G66</f>
        <v>20.19</v>
      </c>
      <c r="E10" s="11" t="n">
        <f aca="false">'Monthly data'!G67</f>
        <v>25.62</v>
      </c>
      <c r="F10" s="11" t="n">
        <f aca="false">'Monthly data'!G68</f>
        <v>202.23</v>
      </c>
      <c r="G10" s="11" t="n">
        <f aca="false">'Monthly data'!G69</f>
        <v>224.24</v>
      </c>
      <c r="H10" s="11" t="n">
        <f aca="false">'Monthly data'!G70</f>
        <v>168.07</v>
      </c>
      <c r="I10" s="11" t="n">
        <f aca="false">'Monthly data'!G71</f>
        <v>160.27</v>
      </c>
      <c r="J10" s="11" t="n">
        <f aca="false">'Monthly data'!G72</f>
        <v>23.07</v>
      </c>
      <c r="K10" s="11" t="n">
        <f aca="false">'Monthly data'!G73</f>
        <v>43.93</v>
      </c>
      <c r="L10" s="11" t="n">
        <f aca="false">'Monthly data'!G74</f>
        <v>57.69</v>
      </c>
      <c r="M10" s="11" t="n">
        <f aca="false">'Monthly data'!G75</f>
        <v>59.91</v>
      </c>
      <c r="N10" s="11" t="n">
        <f aca="false">'Monthly data'!G76</f>
        <v>36.16</v>
      </c>
      <c r="O10" s="11" t="n">
        <f aca="false">IF(COUNT(C10:N10)=12,SUM(C10:N10),"")</f>
        <v>1080.68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1" t="n">
        <f aca="false">'Monthly data'!G77</f>
        <v>66.75</v>
      </c>
      <c r="D11" s="11" t="n">
        <f aca="false">'Monthly data'!G78</f>
        <v>80.68</v>
      </c>
      <c r="E11" s="11" t="n">
        <f aca="false">'Monthly data'!G79</f>
        <v>48.72</v>
      </c>
      <c r="F11" s="11" t="n">
        <f aca="false">'Monthly data'!G80</f>
        <v>45.68</v>
      </c>
      <c r="G11" s="11" t="n">
        <f aca="false">'Monthly data'!G81</f>
        <v>272.43</v>
      </c>
      <c r="H11" s="11" t="n">
        <f aca="false">'Monthly data'!G82</f>
        <v>14.35</v>
      </c>
      <c r="I11" s="11" t="n">
        <f aca="false">'Monthly data'!G83</f>
        <v>205.24</v>
      </c>
      <c r="J11" s="11" t="n">
        <f aca="false">'Monthly data'!G84</f>
        <v>42.79</v>
      </c>
      <c r="K11" s="11" t="n">
        <f aca="false">'Monthly data'!G85</f>
        <v>62.2</v>
      </c>
      <c r="L11" s="11" t="n">
        <f aca="false">'Monthly data'!G86</f>
        <v>65.77</v>
      </c>
      <c r="M11" s="11" t="n">
        <f aca="false">'Monthly data'!G87</f>
        <v>39.75</v>
      </c>
      <c r="N11" s="11" t="n">
        <f aca="false">'Monthly data'!G88</f>
        <v>41.51</v>
      </c>
      <c r="O11" s="11" t="n">
        <f aca="false">IF(COUNT(C11:N11)=12,SUM(C11:N11),"")</f>
        <v>985.87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1" t="n">
        <f aca="false">'Monthly data'!G89</f>
        <v>41.19</v>
      </c>
      <c r="D12" s="11" t="n">
        <f aca="false">'Monthly data'!G90</f>
        <v>48.28</v>
      </c>
      <c r="E12" s="11" t="n">
        <f aca="false">'Monthly data'!G91</f>
        <v>79.22</v>
      </c>
      <c r="F12" s="11" t="n">
        <f aca="false">'Monthly data'!G92</f>
        <v>143.16</v>
      </c>
      <c r="G12" s="11" t="n">
        <f aca="false">'Monthly data'!G93</f>
        <v>154.09</v>
      </c>
      <c r="H12" s="11" t="n">
        <f aca="false">'Monthly data'!G94</f>
        <v>591.91</v>
      </c>
      <c r="I12" s="11" t="n">
        <f aca="false">'Monthly data'!G95</f>
        <v>86.5</v>
      </c>
      <c r="J12" s="11" t="n">
        <f aca="false">'Monthly data'!G96</f>
        <v>43.72</v>
      </c>
      <c r="K12" s="11" t="n">
        <f aca="false">'Monthly data'!G97</f>
        <v>87.08</v>
      </c>
      <c r="L12" s="11" t="n">
        <f aca="false">'Monthly data'!G98</f>
        <v>66.83</v>
      </c>
      <c r="M12" s="11" t="n">
        <f aca="false">'Monthly data'!G99</f>
        <v>22.44</v>
      </c>
      <c r="N12" s="11" t="n">
        <f aca="false">'Monthly data'!G100</f>
        <v>57.14</v>
      </c>
      <c r="O12" s="11" t="n">
        <f aca="false">IF(COUNT(C12:N12)=12,SUM(C12:N12),"")</f>
        <v>1421.56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1" t="n">
        <f aca="false">'Monthly data'!G101</f>
        <v>61.89</v>
      </c>
      <c r="D13" s="11" t="n">
        <f aca="false">'Monthly data'!G102</f>
        <v>99.79</v>
      </c>
      <c r="E13" s="11" t="n">
        <f aca="false">'Monthly data'!G103</f>
        <v>34.5</v>
      </c>
      <c r="F13" s="11" t="n">
        <f aca="false">'Monthly data'!G104</f>
        <v>175.12</v>
      </c>
      <c r="G13" s="11" t="n">
        <f aca="false">'Monthly data'!G105</f>
        <v>115.41</v>
      </c>
      <c r="H13" s="11" t="n">
        <f aca="false">'Monthly data'!G106</f>
        <v>86.45</v>
      </c>
      <c r="I13" s="11" t="n">
        <f aca="false">'Monthly data'!G107</f>
        <v>11.79</v>
      </c>
      <c r="J13" s="11" t="n">
        <f aca="false">'Monthly data'!G108</f>
        <v>123.47</v>
      </c>
      <c r="K13" s="11" t="n">
        <f aca="false">'Monthly data'!G109</f>
        <v>135.39</v>
      </c>
      <c r="L13" s="11" t="n">
        <f aca="false">'Monthly data'!G110</f>
        <v>44.82</v>
      </c>
      <c r="M13" s="11" t="n">
        <f aca="false">'Monthly data'!G111</f>
        <v>70.83</v>
      </c>
      <c r="N13" s="11" t="n">
        <f aca="false">'Monthly data'!G112</f>
        <v>53.51</v>
      </c>
      <c r="O13" s="11" t="n">
        <f aca="false">IF(COUNT(C13:N13)=12,SUM(C13:N13),"")</f>
        <v>1012.97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1" t="n">
        <f aca="false">'Monthly data'!G113</f>
        <v>44.38</v>
      </c>
      <c r="D14" s="11" t="n">
        <f aca="false">'Monthly data'!G114</f>
        <v>37.13</v>
      </c>
      <c r="E14" s="11" t="n">
        <f aca="false">'Monthly data'!G115</f>
        <v>15.3</v>
      </c>
      <c r="F14" s="11" t="n">
        <f aca="false">'Monthly data'!G116</f>
        <v>29.72</v>
      </c>
      <c r="G14" s="11" t="n">
        <f aca="false">'Monthly data'!G117</f>
        <v>83.63</v>
      </c>
      <c r="H14" s="11" t="n">
        <f aca="false">'Monthly data'!G118</f>
        <v>90.56</v>
      </c>
      <c r="I14" s="11" t="n">
        <f aca="false">'Monthly data'!G119</f>
        <v>271.14</v>
      </c>
      <c r="J14" s="11" t="n">
        <f aca="false">'Monthly data'!G120</f>
        <v>11.27</v>
      </c>
      <c r="K14" s="11" t="n">
        <f aca="false">'Monthly data'!G121</f>
        <v>31.79</v>
      </c>
      <c r="L14" s="11" t="n">
        <f aca="false">'Monthly data'!G122</f>
        <v>39.73</v>
      </c>
      <c r="M14" s="11" t="n">
        <f aca="false">'Monthly data'!G123</f>
        <v>22.78</v>
      </c>
      <c r="N14" s="11" t="n">
        <f aca="false">'Monthly data'!G124</f>
        <v>34.89</v>
      </c>
      <c r="O14" s="11" t="n">
        <f aca="false">IF(COUNT(C14:N14)=12,SUM(C14:N14),"")</f>
        <v>712.32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1" t="n">
        <f aca="false">'Monthly data'!G125</f>
        <v>41.97</v>
      </c>
      <c r="D15" s="11" t="n">
        <f aca="false">'Monthly data'!G126</f>
        <v>25.15</v>
      </c>
      <c r="E15" s="11" t="n">
        <f aca="false">'Monthly data'!G127</f>
        <v>35.2</v>
      </c>
      <c r="F15" s="11" t="n">
        <f aca="false">'Monthly data'!G128</f>
        <v>73.37</v>
      </c>
      <c r="G15" s="11" t="n">
        <f aca="false">'Monthly data'!G129</f>
        <v>237.23</v>
      </c>
      <c r="H15" s="11" t="n">
        <f aca="false">'Monthly data'!G130</f>
        <v>163.16</v>
      </c>
      <c r="I15" s="11" t="n">
        <f aca="false">'Monthly data'!G131</f>
        <v>31.32</v>
      </c>
      <c r="J15" s="11" t="n">
        <f aca="false">'Monthly data'!G132</f>
        <v>124.47</v>
      </c>
      <c r="K15" s="11" t="n">
        <f aca="false">'Monthly data'!G133</f>
        <v>74.13</v>
      </c>
      <c r="L15" s="11" t="n">
        <f aca="false">'Monthly data'!G134</f>
        <v>34.76</v>
      </c>
      <c r="M15" s="11" t="n">
        <f aca="false">'Monthly data'!G135</f>
        <v>86.96</v>
      </c>
      <c r="N15" s="11" t="n">
        <f aca="false">'Monthly data'!G136</f>
        <v>59.91</v>
      </c>
      <c r="O15" s="11" t="n">
        <f aca="false">IF(COUNT(C15:N15)=12,SUM(C15:N15),"")</f>
        <v>987.63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1" t="n">
        <f aca="false">'Monthly data'!G137</f>
        <v>75.07</v>
      </c>
      <c r="D16" s="11" t="n">
        <f aca="false">'Monthly data'!G138</f>
        <v>25.88</v>
      </c>
      <c r="E16" s="11" t="n">
        <f aca="false">'Monthly data'!G139</f>
        <v>56.52</v>
      </c>
      <c r="F16" s="11" t="n">
        <f aca="false">'Monthly data'!G140</f>
        <v>49.92</v>
      </c>
      <c r="G16" s="11" t="n">
        <f aca="false">'Monthly data'!G141</f>
        <v>132.64</v>
      </c>
      <c r="H16" s="11" t="n">
        <f aca="false">'Monthly data'!G142</f>
        <v>310.14</v>
      </c>
      <c r="I16" s="11" t="n">
        <f aca="false">'Monthly data'!G143</f>
        <v>117.7</v>
      </c>
      <c r="J16" s="11" t="n">
        <f aca="false">'Monthly data'!G144</f>
        <v>234.6</v>
      </c>
      <c r="K16" s="11" t="n">
        <f aca="false">'Monthly data'!G145</f>
        <v>137.57</v>
      </c>
      <c r="L16" s="11" t="n">
        <f aca="false">'Monthly data'!G146</f>
        <v>123.36</v>
      </c>
      <c r="M16" s="11" t="n">
        <f aca="false">'Monthly data'!G147</f>
        <v>47.71</v>
      </c>
      <c r="N16" s="11" t="n">
        <f aca="false">'Monthly data'!G148</f>
        <v>39.99</v>
      </c>
      <c r="O16" s="11" t="n">
        <f aca="false">IF(COUNT(C16:N16)=12,SUM(C16:N16),"")</f>
        <v>1351.1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1" t="n">
        <f aca="false">'Monthly data'!G149</f>
        <v>23.78</v>
      </c>
      <c r="D17" s="11" t="n">
        <f aca="false">'Monthly data'!G150</f>
        <v>89.43</v>
      </c>
      <c r="E17" s="11" t="n">
        <f aca="false">'Monthly data'!G151</f>
        <v>36.16</v>
      </c>
      <c r="F17" s="11" t="n">
        <f aca="false">'Monthly data'!G152</f>
        <v>194.22</v>
      </c>
      <c r="G17" s="11" t="n">
        <f aca="false">'Monthly data'!G153</f>
        <v>207.84</v>
      </c>
      <c r="H17" s="11" t="n">
        <f aca="false">'Monthly data'!G154</f>
        <v>340.65</v>
      </c>
      <c r="I17" s="11" t="n">
        <f aca="false">'Monthly data'!G155</f>
        <v>11.64</v>
      </c>
      <c r="J17" s="11" t="n">
        <f aca="false">'Monthly data'!G156</f>
        <v>107.63</v>
      </c>
      <c r="K17" s="11" t="n">
        <f aca="false">'Monthly data'!G157</f>
        <v>70.76</v>
      </c>
      <c r="L17" s="11" t="n">
        <f aca="false">'Monthly data'!G158</f>
        <v>100.28</v>
      </c>
      <c r="M17" s="11" t="n">
        <f aca="false">'Monthly data'!G159</f>
        <v>78.15</v>
      </c>
      <c r="N17" s="11" t="n">
        <f aca="false">'Monthly data'!G160</f>
        <v>48.35</v>
      </c>
      <c r="O17" s="11" t="n">
        <f aca="false">IF(COUNT(C17:N17)=12,SUM(C17:N17),"")</f>
        <v>1308.89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1" t="n">
        <f aca="false">'Monthly data'!G161</f>
        <v>37.27</v>
      </c>
      <c r="D18" s="11" t="n">
        <f aca="false">'Monthly data'!G162</f>
        <v>78.47</v>
      </c>
      <c r="E18" s="11" t="n">
        <f aca="false">'Monthly data'!G163</f>
        <v>25.78</v>
      </c>
      <c r="F18" s="11" t="n">
        <f aca="false">'Monthly data'!G164</f>
        <v>128.84</v>
      </c>
      <c r="G18" s="11" t="n">
        <f aca="false">'Monthly data'!G165</f>
        <v>229.43</v>
      </c>
      <c r="H18" s="11" t="n">
        <f aca="false">'Monthly data'!G166</f>
        <v>138.51</v>
      </c>
      <c r="I18" s="11" t="n">
        <f aca="false">'Monthly data'!G167</f>
        <v>321.06</v>
      </c>
      <c r="J18" s="11" t="n">
        <f aca="false">'Monthly data'!G168</f>
        <v>104.25</v>
      </c>
      <c r="K18" s="11" t="n">
        <f aca="false">'Monthly data'!G169</f>
        <v>190.3</v>
      </c>
      <c r="L18" s="11" t="n">
        <f aca="false">'Monthly data'!G170</f>
        <v>53.03</v>
      </c>
      <c r="M18" s="11" t="n">
        <f aca="false">'Monthly data'!G171</f>
        <v>51.92</v>
      </c>
      <c r="N18" s="11" t="n">
        <f aca="false">'Monthly data'!G172</f>
        <v>36.93</v>
      </c>
      <c r="O18" s="11" t="n">
        <f aca="false">IF(COUNT(C18:N18)=12,SUM(C18:N18),"")</f>
        <v>1395.79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1" t="n">
        <f aca="false">'Monthly data'!G173</f>
        <v>59.95</v>
      </c>
      <c r="D19" s="11" t="n">
        <f aca="false">'Monthly data'!G174</f>
        <v>38.73</v>
      </c>
      <c r="E19" s="11" t="n">
        <f aca="false">'Monthly data'!G175</f>
        <v>42.17</v>
      </c>
      <c r="F19" s="11" t="n">
        <f aca="false">'Monthly data'!G176</f>
        <v>207.82</v>
      </c>
      <c r="G19" s="11" t="n">
        <f aca="false">'Monthly data'!G177</f>
        <v>132.86</v>
      </c>
      <c r="H19" s="11" t="n">
        <f aca="false">'Monthly data'!G178</f>
        <v>50.53</v>
      </c>
      <c r="I19" s="11" t="n">
        <f aca="false">'Monthly data'!G179</f>
        <v>29.94</v>
      </c>
      <c r="J19" s="11" t="n">
        <f aca="false">'Monthly data'!G180</f>
        <v>206.93</v>
      </c>
      <c r="K19" s="11" t="n">
        <f aca="false">'Monthly data'!G181</f>
        <v>141.71</v>
      </c>
      <c r="L19" s="11" t="n">
        <f aca="false">'Monthly data'!G182</f>
        <v>57.14</v>
      </c>
      <c r="M19" s="11" t="n">
        <f aca="false">'Monthly data'!G183</f>
        <v>19.11</v>
      </c>
      <c r="N19" s="11" t="n">
        <f aca="false">'Monthly data'!G184</f>
        <v>23.83</v>
      </c>
      <c r="O19" s="11" t="n">
        <f aca="false">IF(COUNT(C19:N19)=12,SUM(C19:N19),"")</f>
        <v>1010.72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1" t="n">
        <f aca="false">'Monthly data'!G185</f>
        <v>18.09</v>
      </c>
      <c r="D20" s="11" t="n">
        <f aca="false">'Monthly data'!G186</f>
        <v>39.14</v>
      </c>
      <c r="E20" s="11" t="n">
        <f aca="false">'Monthly data'!G187</f>
        <v>35</v>
      </c>
      <c r="F20" s="11" t="n">
        <f aca="false">'Monthly data'!G188</f>
        <v>175.89</v>
      </c>
      <c r="G20" s="11" t="n">
        <f aca="false">'Monthly data'!G189</f>
        <v>196.7</v>
      </c>
      <c r="H20" s="11" t="n">
        <f aca="false">'Monthly data'!G190</f>
        <v>331.34</v>
      </c>
      <c r="I20" s="11" t="n">
        <f aca="false">'Monthly data'!G191</f>
        <v>134.58</v>
      </c>
      <c r="J20" s="11" t="n">
        <f aca="false">'Monthly data'!G192</f>
        <v>216.52</v>
      </c>
      <c r="K20" s="11" t="n">
        <f aca="false">'Monthly data'!G193</f>
        <v>42.91</v>
      </c>
      <c r="L20" s="11" t="n">
        <f aca="false">'Monthly data'!G194</f>
        <v>38.11</v>
      </c>
      <c r="M20" s="11" t="n">
        <f aca="false">'Monthly data'!G195</f>
        <v>53.73</v>
      </c>
      <c r="N20" s="11" t="n">
        <f aca="false">'Monthly data'!G196</f>
        <v>15.18</v>
      </c>
      <c r="O20" s="11" t="n">
        <f aca="false">IF(COUNT(C20:N20)=12,SUM(C20:N20),"")</f>
        <v>1297.19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1" t="n">
        <f aca="false">'Monthly data'!G197</f>
        <v>44.27</v>
      </c>
      <c r="D21" s="11" t="n">
        <f aca="false">'Monthly data'!G198</f>
        <v>18.25</v>
      </c>
      <c r="E21" s="11" t="n">
        <f aca="false">'Monthly data'!G199</f>
        <v>23.75</v>
      </c>
      <c r="F21" s="11" t="n">
        <f aca="false">'Monthly data'!G200</f>
        <v>113.35</v>
      </c>
      <c r="G21" s="11" t="n">
        <f aca="false">'Monthly data'!G201</f>
        <v>380.05</v>
      </c>
      <c r="H21" s="11" t="n">
        <f aca="false">'Monthly data'!G202</f>
        <v>466.18</v>
      </c>
      <c r="I21" s="11" t="n">
        <f aca="false">'Monthly data'!G203</f>
        <v>225.86</v>
      </c>
      <c r="J21" s="11" t="n">
        <f aca="false">'Monthly data'!G204</f>
        <v>35.52</v>
      </c>
      <c r="K21" s="11" t="n">
        <f aca="false">'Monthly data'!G205</f>
        <v>20.14</v>
      </c>
      <c r="L21" s="11" t="n">
        <f aca="false">'Monthly data'!G206</f>
        <v>89.43</v>
      </c>
      <c r="M21" s="11" t="n">
        <f aca="false">'Monthly data'!G207</f>
        <v>32.8</v>
      </c>
      <c r="N21" s="11" t="n">
        <f aca="false">'Monthly data'!G208</f>
        <v>31.34</v>
      </c>
      <c r="O21" s="11" t="n">
        <f aca="false">IF(COUNT(C21:N21)=12,SUM(C21:N21),"")</f>
        <v>1480.94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1" t="n">
        <f aca="false">'Monthly data'!G209</f>
        <v>80.41</v>
      </c>
      <c r="D22" s="11" t="n">
        <f aca="false">'Monthly data'!G210</f>
        <v>79.32</v>
      </c>
      <c r="E22" s="11" t="n">
        <f aca="false">'Monthly data'!G211</f>
        <v>32.26</v>
      </c>
      <c r="F22" s="11" t="n">
        <f aca="false">'Monthly data'!G212</f>
        <v>83.85</v>
      </c>
      <c r="G22" s="11" t="n">
        <f aca="false">'Monthly data'!G213</f>
        <v>18.5</v>
      </c>
      <c r="H22" s="11" t="n">
        <f aca="false">'Monthly data'!G214</f>
        <v>97.7</v>
      </c>
      <c r="I22" s="11" t="n">
        <f aca="false">'Monthly data'!G215</f>
        <v>298.9</v>
      </c>
      <c r="J22" s="11" t="n">
        <f aca="false">'Monthly data'!G216</f>
        <v>188.74</v>
      </c>
      <c r="K22" s="11" t="n">
        <f aca="false">'Monthly data'!G217</f>
        <v>105.33</v>
      </c>
      <c r="L22" s="11" t="n">
        <f aca="false">'Monthly data'!G218</f>
        <v>40.3</v>
      </c>
      <c r="M22" s="11" t="n">
        <f aca="false">'Monthly data'!G219</f>
        <v>41.53</v>
      </c>
      <c r="N22" s="11" t="n">
        <f aca="false">'Monthly data'!G220</f>
        <v>25.79</v>
      </c>
      <c r="O22" s="11" t="n">
        <f aca="false">IF(COUNT(C22:N22)=12,SUM(C22:N22),"")</f>
        <v>1092.63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1" t="n">
        <f aca="false">'Monthly data'!G221</f>
        <v>20.05</v>
      </c>
      <c r="D23" s="11" t="n">
        <f aca="false">'Monthly data'!G222</f>
        <v>47.45</v>
      </c>
      <c r="E23" s="11" t="n">
        <f aca="false">'Monthly data'!G223</f>
        <v>29.81</v>
      </c>
      <c r="F23" s="11" t="n">
        <f aca="false">'Monthly data'!G224</f>
        <v>219.6</v>
      </c>
      <c r="G23" s="11" t="n">
        <f aca="false">'Monthly data'!G225</f>
        <v>242.1</v>
      </c>
      <c r="H23" s="11" t="n">
        <f aca="false">'Monthly data'!G226</f>
        <v>152.38</v>
      </c>
      <c r="I23" s="11" t="n">
        <f aca="false">'Monthly data'!G227</f>
        <v>177.66</v>
      </c>
      <c r="J23" s="11" t="n">
        <f aca="false">'Monthly data'!G228</f>
        <v>12.13</v>
      </c>
      <c r="K23" s="11" t="n">
        <f aca="false">'Monthly data'!G229</f>
        <v>33.02</v>
      </c>
      <c r="L23" s="11" t="n">
        <f aca="false">'Monthly data'!G230</f>
        <v>117.18</v>
      </c>
      <c r="M23" s="11" t="n">
        <f aca="false">'Monthly data'!G231</f>
        <v>48.45</v>
      </c>
      <c r="N23" s="11" t="n">
        <f aca="false">'Monthly data'!G232</f>
        <v>39.13</v>
      </c>
      <c r="O23" s="11" t="n">
        <f aca="false">IF(COUNT(C23:N23)=12,SUM(C23:N23),"")</f>
        <v>1138.96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1" t="n">
        <f aca="false">'Monthly data'!G233</f>
        <v>34.58</v>
      </c>
      <c r="D24" s="11" t="n">
        <f aca="false">'Monthly data'!G234</f>
        <v>26.8</v>
      </c>
      <c r="E24" s="11" t="n">
        <f aca="false">'Monthly data'!G235</f>
        <v>69.14</v>
      </c>
      <c r="F24" s="11" t="n">
        <f aca="false">'Monthly data'!G236</f>
        <v>96.11</v>
      </c>
      <c r="G24" s="11" t="n">
        <f aca="false">'Monthly data'!G237</f>
        <v>133.6</v>
      </c>
      <c r="H24" s="11" t="n">
        <f aca="false">'Monthly data'!G238</f>
        <v>145.13</v>
      </c>
      <c r="I24" s="11" t="n">
        <f aca="false">'Monthly data'!G239</f>
        <v>257.75</v>
      </c>
      <c r="J24" s="11" t="n">
        <f aca="false">'Monthly data'!G240</f>
        <v>181.87</v>
      </c>
      <c r="K24" s="11" t="n">
        <f aca="false">'Monthly data'!G241</f>
        <v>205.27</v>
      </c>
      <c r="L24" s="11" t="n">
        <f aca="false">'Monthly data'!G242</f>
        <v>59.85</v>
      </c>
      <c r="M24" s="11" t="n">
        <f aca="false">'Monthly data'!G243</f>
        <v>42.85</v>
      </c>
      <c r="N24" s="11" t="n">
        <f aca="false">'Monthly data'!G244</f>
        <v>34.72</v>
      </c>
      <c r="O24" s="11" t="n">
        <f aca="false">IF(COUNT(C24:N24)=12,SUM(C24:N24),"")</f>
        <v>1287.67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1" t="n">
        <f aca="false">'Monthly data'!G245</f>
        <v>38.39</v>
      </c>
      <c r="D25" s="11" t="n">
        <f aca="false">'Monthly data'!G246</f>
        <v>31.47</v>
      </c>
      <c r="O25" s="11" t="str">
        <f aca="false">IF(COUNT(C25:N25)=12,SUM(C25:N25),"")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4" t="n">
        <f aca="false">AVERAGEIF($B$5:$B$25,"El Niño",C$5:C$25)</f>
        <v>49.3871428571429</v>
      </c>
      <c r="D28" s="24" t="n">
        <f aca="false">AVERAGEIF($B$5:$B$25,"El Niño",D$5:D$25)</f>
        <v>67.7857142857143</v>
      </c>
      <c r="E28" s="24" t="n">
        <f aca="false">AVERAGEIF($B$5:$B$25,"El Niño",E$5:E$25)</f>
        <v>39.0171428571429</v>
      </c>
      <c r="F28" s="24" t="n">
        <f aca="false">AVERAGEIF($B$5:$B$25,"El Niño",F$5:F$25)</f>
        <v>168.338571428571</v>
      </c>
      <c r="G28" s="24" t="n">
        <f aca="false">AVERAGEIF($B$5:$B$25,"El Niño",G$5:G$25)</f>
        <v>158.218571428571</v>
      </c>
      <c r="H28" s="24" t="n">
        <f aca="false">AVERAGEIF($B$5:$B$25,"El Niño",H$5:H$25)</f>
        <v>159.588571428571</v>
      </c>
      <c r="I28" s="24" t="n">
        <f aca="false">AVERAGEIF($B$5:$B$25,"El Niño",I$5:I$25)</f>
        <v>150.158571428571</v>
      </c>
      <c r="J28" s="24" t="n">
        <f aca="false">AVERAGEIF($B$5:$B$25,"El Niño",J$5:J$25)</f>
        <v>124.621428571429</v>
      </c>
      <c r="K28" s="24" t="n">
        <f aca="false">AVERAGEIF($B$5:$B$25,"El Niño",K$5:K$25)</f>
        <v>102.695714285714</v>
      </c>
      <c r="L28" s="24" t="n">
        <f aca="false">AVERAGEIF($B$5:$B$25,"El Niño",L$5:L$25)</f>
        <v>85.3514285714286</v>
      </c>
      <c r="M28" s="24" t="n">
        <f aca="false">AVERAGEIF($B$5:$B$25,"El Niño",M$5:M$25)</f>
        <v>47.0414285714286</v>
      </c>
      <c r="N28" s="24" t="n">
        <f aca="false">AVERAGEIF($B$5:$B$25,"El Niño",N$5:N$25)</f>
        <v>33.6371428571429</v>
      </c>
      <c r="O28" s="24" t="n">
        <f aca="false">AVERAGEIF($B$5:$B$25,"El Niño",O$5:O$25)</f>
        <v>1185.84142857143</v>
      </c>
    </row>
    <row r="29" customFormat="false" ht="15" hidden="false" customHeight="false" outlineLevel="0" collapsed="false">
      <c r="A29" s="21" t="s">
        <v>89</v>
      </c>
      <c r="B29" s="22"/>
      <c r="C29" s="24" t="n">
        <f aca="false">AVERAGEIF($B$5:$B$25,"La Niña",C$5:C$25)</f>
        <v>48.57375</v>
      </c>
      <c r="D29" s="24" t="n">
        <f aca="false">AVERAGEIF($B$5:$B$25,"La Niña",D$5:D$25)</f>
        <v>28.2625</v>
      </c>
      <c r="E29" s="24" t="n">
        <f aca="false">AVERAGEIF($B$5:$B$25,"La Niña",E$5:E$25)</f>
        <v>38.81</v>
      </c>
      <c r="F29" s="24" t="n">
        <f aca="false">AVERAGEIF($B$5:$B$25,"La Niña",F$5:F$25)</f>
        <v>114.1325</v>
      </c>
      <c r="G29" s="24" t="n">
        <f aca="false">AVERAGEIF($B$5:$B$25,"La Niña",G$5:G$25)</f>
        <v>227.5225</v>
      </c>
      <c r="H29" s="24" t="n">
        <f aca="false">AVERAGEIF($B$5:$B$25,"La Niña",H$5:H$25)</f>
        <v>238.915</v>
      </c>
      <c r="I29" s="24" t="n">
        <f aca="false">AVERAGEIF($B$5:$B$25,"La Niña",I$5:I$25)</f>
        <v>155.49625</v>
      </c>
      <c r="J29" s="24" t="n">
        <f aca="false">AVERAGEIF($B$5:$B$25,"La Niña",J$5:J$25)</f>
        <v>124.15875</v>
      </c>
      <c r="K29" s="24" t="n">
        <f aca="false">AVERAGEIF($B$5:$B$25,"La Niña",K$5:K$25)</f>
        <v>124.57875</v>
      </c>
      <c r="L29" s="24" t="n">
        <f aca="false">AVERAGEIF($B$5:$B$25,"La Niña",L$5:L$25)</f>
        <v>103.6075</v>
      </c>
      <c r="M29" s="24" t="n">
        <f aca="false">AVERAGEIF($B$5:$B$25,"La Niña",M$5:M$25)</f>
        <v>35.6075</v>
      </c>
      <c r="N29" s="24" t="n">
        <f aca="false">AVERAGEIF($B$5:$B$25,"La Niña",N$5:N$25)</f>
        <v>30.01</v>
      </c>
      <c r="O29" s="24" t="n">
        <f aca="false">AVERAGEIF($B$5:$B$25,"La Niña",O$5:O$25)</f>
        <v>1269.675</v>
      </c>
    </row>
    <row r="30" customFormat="false" ht="15" hidden="false" customHeight="false" outlineLevel="0" collapsed="false">
      <c r="A30" s="21" t="s">
        <v>90</v>
      </c>
      <c r="B30" s="22"/>
      <c r="C30" s="24" t="n">
        <f aca="false">AVERAGEIF($B$5:$B$25,"Neutral",C$5:C$25)</f>
        <v>40.908</v>
      </c>
      <c r="D30" s="24" t="n">
        <f aca="false">AVERAGEIF($B$5:$B$25,"Neutral",D$5:D$25)</f>
        <v>45.672</v>
      </c>
      <c r="E30" s="24" t="n">
        <f aca="false">AVERAGEIF($B$5:$B$25,"Neutral",E$5:E$25)</f>
        <v>52.418</v>
      </c>
      <c r="F30" s="24" t="n">
        <f aca="false">AVERAGEIF($B$5:$B$25,"Neutral",F$5:F$25)</f>
        <v>115.584</v>
      </c>
      <c r="G30" s="24" t="n">
        <f aca="false">AVERAGEIF($B$5:$B$25,"Neutral",G$5:G$25)</f>
        <v>207.89</v>
      </c>
      <c r="H30" s="24" t="n">
        <f aca="false">AVERAGEIF($B$5:$B$25,"Neutral",H$5:H$25)</f>
        <v>213.386</v>
      </c>
      <c r="I30" s="24" t="n">
        <f aca="false">AVERAGEIF($B$5:$B$25,"Neutral",I$5:I$25)</f>
        <v>151.694</v>
      </c>
      <c r="J30" s="24" t="n">
        <f aca="false">AVERAGEIF($B$5:$B$25,"Neutral",J$5:J$25)</f>
        <v>80.996</v>
      </c>
      <c r="K30" s="24" t="n">
        <f aca="false">AVERAGEIF($B$5:$B$25,"Neutral",K$5:K$25)</f>
        <v>92.34</v>
      </c>
      <c r="L30" s="24" t="n">
        <f aca="false">AVERAGEIF($B$5:$B$25,"Neutral",L$5:L$25)</f>
        <v>68.878</v>
      </c>
      <c r="M30" s="24" t="n">
        <f aca="false">AVERAGEIF($B$5:$B$25,"Neutral",M$5:M$25)</f>
        <v>48.09</v>
      </c>
      <c r="N30" s="24" t="n">
        <f aca="false">AVERAGEIF($B$5:$B$25,"Neutral",N$5:N$25)</f>
        <v>46.482</v>
      </c>
      <c r="O30" s="24" t="n">
        <f aca="false">AVERAGEIF($B$5:$B$25,"Neutral",O$5:O$25)</f>
        <v>1164.338</v>
      </c>
    </row>
    <row r="31" customFormat="false" ht="15" hidden="false" customHeight="false" outlineLevel="0" collapsed="false">
      <c r="A31" s="21" t="s">
        <v>91</v>
      </c>
      <c r="B31" s="22"/>
      <c r="C31" s="24" t="n">
        <f aca="false">AVERAGE(C5:C24)</f>
        <v>46.942</v>
      </c>
      <c r="D31" s="24" t="n">
        <f aca="false">AVERAGE(D5:D24)</f>
        <v>46.448</v>
      </c>
      <c r="E31" s="24" t="n">
        <f aca="false">AVERAGE(E5:E24)</f>
        <v>42.2845</v>
      </c>
      <c r="F31" s="24" t="n">
        <f aca="false">AVERAGE(F5:F24)</f>
        <v>133.4675</v>
      </c>
      <c r="G31" s="24" t="n">
        <f aca="false">AVERAGE(G5:G24)</f>
        <v>198.358</v>
      </c>
      <c r="H31" s="24" t="n">
        <f aca="false">AVERAGE(H5:H24)</f>
        <v>204.7685</v>
      </c>
      <c r="I31" s="24" t="n">
        <f aca="false">AVERAGE(I5:I24)</f>
        <v>152.6775</v>
      </c>
      <c r="J31" s="24" t="n">
        <f aca="false">AVERAGE(J5:J24)</f>
        <v>113.53</v>
      </c>
      <c r="K31" s="24" t="n">
        <f aca="false">AVERAGE(K5:K24)</f>
        <v>108.86</v>
      </c>
      <c r="L31" s="24" t="n">
        <f aca="false">AVERAGE(L5:L24)</f>
        <v>88.5355</v>
      </c>
      <c r="M31" s="24" t="n">
        <f aca="false">AVERAGE(M5:M24)</f>
        <v>42.73</v>
      </c>
      <c r="N31" s="24" t="n">
        <f aca="false">AVERAGE(N5:N24)</f>
        <v>35.3975</v>
      </c>
      <c r="O31" s="24" t="n">
        <f aca="false">AVERAGE(O5:O24)</f>
        <v>1213.999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99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1" t="n">
        <f aca="false">'Monthly data'!H5</f>
        <v>78.18</v>
      </c>
      <c r="D5" s="11" t="n">
        <f aca="false">'Monthly data'!H6</f>
        <v>77.8</v>
      </c>
      <c r="E5" s="11" t="n">
        <f aca="false">'Monthly data'!H7</f>
        <v>75.71</v>
      </c>
      <c r="F5" s="11" t="n">
        <f aca="false">'Monthly data'!H8</f>
        <v>80.61</v>
      </c>
      <c r="G5" s="11" t="n">
        <f aca="false">'Monthly data'!H9</f>
        <v>83.79</v>
      </c>
      <c r="H5" s="11" t="n">
        <f aca="false">'Monthly data'!H10</f>
        <v>83.86</v>
      </c>
      <c r="I5" s="11" t="n">
        <f aca="false">'Monthly data'!H11</f>
        <v>80.45</v>
      </c>
      <c r="J5" s="11" t="n">
        <f aca="false">'Monthly data'!H12</f>
        <v>84.9</v>
      </c>
      <c r="K5" s="11" t="n">
        <f aca="false">'Monthly data'!H13</f>
        <v>81.6</v>
      </c>
      <c r="L5" s="11" t="n">
        <f aca="false">'Monthly data'!H14</f>
        <v>84.31</v>
      </c>
      <c r="M5" s="11" t="n">
        <f aca="false">'Monthly data'!H15</f>
        <v>78.04</v>
      </c>
      <c r="N5" s="11" t="n">
        <f aca="false">'Monthly data'!H16</f>
        <v>78.54</v>
      </c>
      <c r="O5" s="11" t="n">
        <f aca="false">IF(COUNT(C5:N5)=12,AVERAGE(C5:N5),"")</f>
        <v>80.6491666666667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1" t="n">
        <f aca="false">'Monthly data'!H17</f>
        <v>76.59</v>
      </c>
      <c r="D6" s="11" t="n">
        <f aca="false">'Monthly data'!H18</f>
        <v>76.66</v>
      </c>
      <c r="E6" s="11" t="n">
        <f aca="false">'Monthly data'!H19</f>
        <v>74.32</v>
      </c>
      <c r="F6" s="11" t="n">
        <f aca="false">'Monthly data'!H20</f>
        <v>72.83</v>
      </c>
      <c r="G6" s="11" t="n">
        <f aca="false">'Monthly data'!H21</f>
        <v>71.5</v>
      </c>
      <c r="H6" s="11" t="n">
        <f aca="false">'Monthly data'!H22</f>
        <v>77.79</v>
      </c>
      <c r="I6" s="11" t="n">
        <f aca="false">'Monthly data'!H23</f>
        <v>78.44</v>
      </c>
      <c r="J6" s="11" t="n">
        <f aca="false">'Monthly data'!H24</f>
        <v>80.39</v>
      </c>
      <c r="K6" s="11" t="n">
        <f aca="false">'Monthly data'!H25</f>
        <v>83.31</v>
      </c>
      <c r="L6" s="11" t="n">
        <f aca="false">'Monthly data'!H26</f>
        <v>82.49</v>
      </c>
      <c r="M6" s="11" t="n">
        <f aca="false">'Monthly data'!H27</f>
        <v>77.93</v>
      </c>
      <c r="N6" s="11" t="n">
        <f aca="false">'Monthly data'!H28</f>
        <v>77.03</v>
      </c>
      <c r="O6" s="11" t="n">
        <f aca="false">IF(COUNT(C6:N6)=12,AVERAGE(C6:N6),"")</f>
        <v>77.44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1" t="n">
        <f aca="false">'Monthly data'!H29</f>
        <v>75.06</v>
      </c>
      <c r="D7" s="11" t="n">
        <f aca="false">'Monthly data'!H30</f>
        <v>75.46</v>
      </c>
      <c r="E7" s="11" t="n">
        <f aca="false">'Monthly data'!H31</f>
        <v>70.48</v>
      </c>
      <c r="F7" s="11" t="n">
        <f aca="false">'Monthly data'!H32</f>
        <v>73.38</v>
      </c>
      <c r="G7" s="11" t="n">
        <f aca="false">'Monthly data'!H33</f>
        <v>81.32</v>
      </c>
      <c r="H7" s="11" t="n">
        <f aca="false">'Monthly data'!H34</f>
        <v>82.28</v>
      </c>
      <c r="I7" s="11" t="n">
        <f aca="false">'Monthly data'!H35</f>
        <v>83.1</v>
      </c>
      <c r="J7" s="11" t="n">
        <f aca="false">'Monthly data'!H36</f>
        <v>80.26</v>
      </c>
      <c r="K7" s="11" t="n">
        <f aca="false">'Monthly data'!H37</f>
        <v>79.17</v>
      </c>
      <c r="L7" s="11" t="n">
        <f aca="false">'Monthly data'!H38</f>
        <v>83.04</v>
      </c>
      <c r="M7" s="11" t="n">
        <f aca="false">'Monthly data'!H39</f>
        <v>80.53</v>
      </c>
      <c r="N7" s="11" t="n">
        <f aca="false">'Monthly data'!H40</f>
        <v>82.03</v>
      </c>
      <c r="O7" s="11" t="n">
        <f aca="false">IF(COUNT(C7:N7)=12,AVERAGE(C7:N7),"")</f>
        <v>78.8425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1" t="n">
        <f aca="false">'Monthly data'!H41</f>
        <v>80.68</v>
      </c>
      <c r="D8" s="11" t="n">
        <f aca="false">'Monthly data'!H42</f>
        <v>78.09</v>
      </c>
      <c r="E8" s="11" t="n">
        <f aca="false">'Monthly data'!H43</f>
        <v>74.34</v>
      </c>
      <c r="F8" s="11" t="n">
        <f aca="false">'Monthly data'!H44</f>
        <v>79.01</v>
      </c>
      <c r="G8" s="11" t="n">
        <f aca="false">'Monthly data'!H45</f>
        <v>77.69</v>
      </c>
      <c r="H8" s="11" t="n">
        <f aca="false">'Monthly data'!H46</f>
        <v>76.95</v>
      </c>
      <c r="I8" s="11" t="n">
        <f aca="false">'Monthly data'!H47</f>
        <v>73.2</v>
      </c>
      <c r="J8" s="11" t="n">
        <f aca="false">'Monthly data'!H48</f>
        <v>72.96</v>
      </c>
      <c r="K8" s="11" t="n">
        <f aca="false">'Monthly data'!H49</f>
        <v>82.84</v>
      </c>
      <c r="L8" s="11" t="n">
        <f aca="false">'Monthly data'!H50</f>
        <v>82.61</v>
      </c>
      <c r="M8" s="11" t="n">
        <f aca="false">'Monthly data'!H51</f>
        <v>80.22</v>
      </c>
      <c r="N8" s="11" t="n">
        <f aca="false">'Monthly data'!H52</f>
        <v>73.95</v>
      </c>
      <c r="O8" s="11" t="n">
        <f aca="false">IF(COUNT(C8:N8)=12,AVERAGE(C8:N8),"")</f>
        <v>77.7116666666667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1" t="n">
        <f aca="false">'Monthly data'!H53</f>
        <v>79.92</v>
      </c>
      <c r="D9" s="11" t="n">
        <f aca="false">'Monthly data'!H54</f>
        <v>72.32</v>
      </c>
      <c r="E9" s="11" t="n">
        <f aca="false">'Monthly data'!H55</f>
        <v>71.94</v>
      </c>
      <c r="F9" s="11" t="n">
        <f aca="false">'Monthly data'!H56</f>
        <v>73.17</v>
      </c>
      <c r="G9" s="11" t="n">
        <f aca="false">'Monthly data'!H57</f>
        <v>82.69</v>
      </c>
      <c r="H9" s="11" t="n">
        <f aca="false">'Monthly data'!H58</f>
        <v>79.73</v>
      </c>
      <c r="I9" s="11" t="n">
        <f aca="false">'Monthly data'!H59</f>
        <v>79.57</v>
      </c>
      <c r="J9" s="11" t="n">
        <f aca="false">'Monthly data'!H60</f>
        <v>76.53</v>
      </c>
      <c r="K9" s="11" t="n">
        <f aca="false">'Monthly data'!H61</f>
        <v>84.52</v>
      </c>
      <c r="L9" s="11" t="n">
        <f aca="false">'Monthly data'!H62</f>
        <v>87.47</v>
      </c>
      <c r="M9" s="11" t="n">
        <f aca="false">'Monthly data'!H63</f>
        <v>81.66</v>
      </c>
      <c r="N9" s="11" t="n">
        <f aca="false">'Monthly data'!H64</f>
        <v>78.32</v>
      </c>
      <c r="O9" s="11" t="n">
        <f aca="false">IF(COUNT(C9:N9)=12,AVERAGE(C9:N9),"")</f>
        <v>78.9866666666667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1" t="n">
        <f aca="false">'Monthly data'!H65</f>
        <v>78.49</v>
      </c>
      <c r="D10" s="11" t="n">
        <f aca="false">'Monthly data'!H66</f>
        <v>74.85</v>
      </c>
      <c r="E10" s="11" t="n">
        <f aca="false">'Monthly data'!H67</f>
        <v>67.8</v>
      </c>
      <c r="F10" s="11" t="n">
        <f aca="false">'Monthly data'!H68</f>
        <v>79.04</v>
      </c>
      <c r="G10" s="11" t="n">
        <f aca="false">'Monthly data'!H69</f>
        <v>80.12</v>
      </c>
      <c r="H10" s="11" t="n">
        <f aca="false">'Monthly data'!H70</f>
        <v>83.68</v>
      </c>
      <c r="I10" s="11" t="n">
        <f aca="false">'Monthly data'!H71</f>
        <v>82</v>
      </c>
      <c r="J10" s="11" t="n">
        <f aca="false">'Monthly data'!H72</f>
        <v>78.55</v>
      </c>
      <c r="K10" s="11" t="n">
        <f aca="false">'Monthly data'!H73</f>
        <v>77.63</v>
      </c>
      <c r="L10" s="11" t="n">
        <f aca="false">'Monthly data'!H74</f>
        <v>78.43</v>
      </c>
      <c r="M10" s="11" t="n">
        <f aca="false">'Monthly data'!H75</f>
        <v>79.94</v>
      </c>
      <c r="N10" s="11" t="n">
        <f aca="false">'Monthly data'!H76</f>
        <v>80.54</v>
      </c>
      <c r="O10" s="11" t="n">
        <f aca="false">IF(COUNT(C10:N10)=12,AVERAGE(C10:N10),"")</f>
        <v>78.4225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1" t="n">
        <f aca="false">'Monthly data'!H77</f>
        <v>77.63</v>
      </c>
      <c r="D11" s="11" t="n">
        <f aca="false">'Monthly data'!H78</f>
        <v>80.63</v>
      </c>
      <c r="E11" s="11" t="n">
        <f aca="false">'Monthly data'!H79</f>
        <v>72.81</v>
      </c>
      <c r="F11" s="11" t="n">
        <f aca="false">'Monthly data'!H80</f>
        <v>72.13</v>
      </c>
      <c r="G11" s="11" t="n">
        <f aca="false">'Monthly data'!H81</f>
        <v>83.23</v>
      </c>
      <c r="H11" s="11" t="n">
        <f aca="false">'Monthly data'!H82</f>
        <v>74.35</v>
      </c>
      <c r="I11" s="11" t="n">
        <f aca="false">'Monthly data'!H83</f>
        <v>77.89</v>
      </c>
      <c r="J11" s="11" t="n">
        <f aca="false">'Monthly data'!H84</f>
        <v>76.68</v>
      </c>
      <c r="K11" s="11" t="n">
        <f aca="false">'Monthly data'!H85</f>
        <v>75.39</v>
      </c>
      <c r="L11" s="11" t="n">
        <f aca="false">'Monthly data'!H86</f>
        <v>79.71</v>
      </c>
      <c r="M11" s="11" t="n">
        <f aca="false">'Monthly data'!H87</f>
        <v>76.78</v>
      </c>
      <c r="N11" s="11" t="n">
        <f aca="false">'Monthly data'!H88</f>
        <v>81.55</v>
      </c>
      <c r="O11" s="11" t="n">
        <f aca="false">IF(COUNT(C11:N11)=12,AVERAGE(C11:N11),"")</f>
        <v>77.3983333333333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1" t="n">
        <f aca="false">'Monthly data'!H89</f>
        <v>78.36</v>
      </c>
      <c r="D12" s="11" t="n">
        <f aca="false">'Monthly data'!H90</f>
        <v>76.22</v>
      </c>
      <c r="E12" s="11" t="n">
        <f aca="false">'Monthly data'!H91</f>
        <v>75.18</v>
      </c>
      <c r="F12" s="11" t="n">
        <f aca="false">'Monthly data'!H92</f>
        <v>74.37</v>
      </c>
      <c r="G12" s="11" t="n">
        <f aca="false">'Monthly data'!H93</f>
        <v>78.36</v>
      </c>
      <c r="H12" s="11" t="n">
        <f aca="false">'Monthly data'!H94</f>
        <v>84.17</v>
      </c>
      <c r="I12" s="11" t="n">
        <f aca="false">'Monthly data'!H95</f>
        <v>80.54</v>
      </c>
      <c r="J12" s="11" t="n">
        <f aca="false">'Monthly data'!H96</f>
        <v>79.93</v>
      </c>
      <c r="K12" s="11" t="n">
        <f aca="false">'Monthly data'!H97</f>
        <v>80.17</v>
      </c>
      <c r="L12" s="11" t="n">
        <f aca="false">'Monthly data'!H98</f>
        <v>79.67</v>
      </c>
      <c r="M12" s="11" t="n">
        <f aca="false">'Monthly data'!H99</f>
        <v>76.33</v>
      </c>
      <c r="N12" s="11" t="n">
        <f aca="false">'Monthly data'!H100</f>
        <v>84.87</v>
      </c>
      <c r="O12" s="11" t="n">
        <f aca="false">IF(COUNT(C12:N12)=12,AVERAGE(C12:N12),"")</f>
        <v>79.0141666666667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1" t="n">
        <f aca="false">'Monthly data'!H101</f>
        <v>82.29</v>
      </c>
      <c r="D13" s="11" t="n">
        <f aca="false">'Monthly data'!H102</f>
        <v>76.5</v>
      </c>
      <c r="E13" s="11" t="n">
        <f aca="false">'Monthly data'!H103</f>
        <v>70.44</v>
      </c>
      <c r="F13" s="11" t="n">
        <f aca="false">'Monthly data'!H104</f>
        <v>72.27</v>
      </c>
      <c r="G13" s="11" t="n">
        <f aca="false">'Monthly data'!H105</f>
        <v>78.55</v>
      </c>
      <c r="H13" s="11" t="n">
        <f aca="false">'Monthly data'!H106</f>
        <v>79.7</v>
      </c>
      <c r="I13" s="11" t="n">
        <f aca="false">'Monthly data'!H107</f>
        <v>72.52</v>
      </c>
      <c r="J13" s="11" t="n">
        <f aca="false">'Monthly data'!H108</f>
        <v>76.86</v>
      </c>
      <c r="K13" s="11" t="n">
        <f aca="false">'Monthly data'!H109</f>
        <v>79.73</v>
      </c>
      <c r="L13" s="11" t="n">
        <f aca="false">'Monthly data'!H110</f>
        <v>76.61</v>
      </c>
      <c r="M13" s="11" t="n">
        <f aca="false">'Monthly data'!H111</f>
        <v>78.84</v>
      </c>
      <c r="N13" s="11" t="n">
        <f aca="false">'Monthly data'!H112</f>
        <v>80.63</v>
      </c>
      <c r="O13" s="11" t="n">
        <f aca="false">IF(COUNT(C13:N13)=12,AVERAGE(C13:N13),"")</f>
        <v>77.0783333333333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1" t="n">
        <f aca="false">'Monthly data'!H113</f>
        <v>82.16</v>
      </c>
      <c r="D14" s="11" t="n">
        <f aca="false">'Monthly data'!H114</f>
        <v>75.99</v>
      </c>
      <c r="E14" s="11" t="n">
        <f aca="false">'Monthly data'!H115</f>
        <v>70.31</v>
      </c>
      <c r="F14" s="11" t="n">
        <f aca="false">'Monthly data'!H116</f>
        <v>69.1</v>
      </c>
      <c r="G14" s="11" t="n">
        <f aca="false">'Monthly data'!H117</f>
        <v>71.66</v>
      </c>
      <c r="H14" s="11" t="n">
        <f aca="false">'Monthly data'!H118</f>
        <v>71.23</v>
      </c>
      <c r="I14" s="11" t="n">
        <f aca="false">'Monthly data'!H119</f>
        <v>79.24</v>
      </c>
      <c r="J14" s="11" t="n">
        <f aca="false">'Monthly data'!H120</f>
        <v>75.16</v>
      </c>
      <c r="K14" s="11" t="n">
        <f aca="false">'Monthly data'!H121</f>
        <v>75.58</v>
      </c>
      <c r="L14" s="11" t="n">
        <f aca="false">'Monthly data'!H122</f>
        <v>74.69</v>
      </c>
      <c r="M14" s="11" t="n">
        <f aca="false">'Monthly data'!H123</f>
        <v>74.33</v>
      </c>
      <c r="N14" s="11" t="n">
        <f aca="false">'Monthly data'!H124</f>
        <v>74.62</v>
      </c>
      <c r="O14" s="11" t="n">
        <f aca="false">IF(COUNT(C14:N14)=12,AVERAGE(C14:N14),"")</f>
        <v>74.5058333333333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1" t="n">
        <f aca="false">'Monthly data'!H125</f>
        <v>75.43</v>
      </c>
      <c r="D15" s="11" t="n">
        <f aca="false">'Monthly data'!H126</f>
        <v>71.16</v>
      </c>
      <c r="E15" s="11" t="n">
        <f aca="false">'Monthly data'!H127</f>
        <v>71.94</v>
      </c>
      <c r="F15" s="11" t="n">
        <f aca="false">'Monthly data'!H128</f>
        <v>75.64</v>
      </c>
      <c r="G15" s="11" t="n">
        <f aca="false">'Monthly data'!H129</f>
        <v>79.72</v>
      </c>
      <c r="H15" s="11" t="n">
        <f aca="false">'Monthly data'!H130</f>
        <v>78.97</v>
      </c>
      <c r="I15" s="11" t="n">
        <f aca="false">'Monthly data'!H131</f>
        <v>71.53</v>
      </c>
      <c r="J15" s="11" t="n">
        <f aca="false">'Monthly data'!H132</f>
        <v>80.3</v>
      </c>
      <c r="K15" s="11" t="n">
        <f aca="false">'Monthly data'!H133</f>
        <v>73.99</v>
      </c>
      <c r="L15" s="11" t="n">
        <f aca="false">'Monthly data'!H134</f>
        <v>75.57</v>
      </c>
      <c r="M15" s="11" t="n">
        <f aca="false">'Monthly data'!H135</f>
        <v>76.92</v>
      </c>
      <c r="N15" s="11" t="n">
        <f aca="false">'Monthly data'!H136</f>
        <v>82</v>
      </c>
      <c r="O15" s="11" t="n">
        <f aca="false">IF(COUNT(C15:N15)=12,AVERAGE(C15:N15),"")</f>
        <v>76.0975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1" t="n">
        <f aca="false">'Monthly data'!H137</f>
        <v>78.15</v>
      </c>
      <c r="D16" s="11" t="n">
        <f aca="false">'Monthly data'!H138</f>
        <v>71.46</v>
      </c>
      <c r="E16" s="11" t="n">
        <f aca="false">'Monthly data'!H139</f>
        <v>73.57</v>
      </c>
      <c r="F16" s="11" t="n">
        <f aca="false">'Monthly data'!H140</f>
        <v>71.51</v>
      </c>
      <c r="G16" s="11" t="n">
        <f aca="false">'Monthly data'!H141</f>
        <v>79.18</v>
      </c>
      <c r="H16" s="11" t="n">
        <f aca="false">'Monthly data'!H142</f>
        <v>83.67</v>
      </c>
      <c r="I16" s="11" t="n">
        <f aca="false">'Monthly data'!H143</f>
        <v>78.42</v>
      </c>
      <c r="J16" s="11" t="n">
        <f aca="false">'Monthly data'!H144</f>
        <v>84.57</v>
      </c>
      <c r="K16" s="11" t="n">
        <f aca="false">'Monthly data'!H145</f>
        <v>82.97</v>
      </c>
      <c r="L16" s="11" t="n">
        <f aca="false">'Monthly data'!H146</f>
        <v>84.43</v>
      </c>
      <c r="M16" s="11" t="n">
        <f aca="false">'Monthly data'!H147</f>
        <v>83.92</v>
      </c>
      <c r="N16" s="11" t="n">
        <f aca="false">'Monthly data'!H148</f>
        <v>84.46</v>
      </c>
      <c r="O16" s="11" t="n">
        <f aca="false">IF(COUNT(C16:N16)=12,AVERAGE(C16:N16),"")</f>
        <v>79.6925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1" t="n">
        <f aca="false">'Monthly data'!H149</f>
        <v>82.61</v>
      </c>
      <c r="D17" s="11" t="n">
        <f aca="false">'Monthly data'!H150</f>
        <v>80.54</v>
      </c>
      <c r="E17" s="11" t="n">
        <f aca="false">'Monthly data'!H151</f>
        <v>74.83</v>
      </c>
      <c r="F17" s="11" t="n">
        <f aca="false">'Monthly data'!H152</f>
        <v>75.57</v>
      </c>
      <c r="G17" s="11" t="n">
        <f aca="false">'Monthly data'!H153</f>
        <v>83.21</v>
      </c>
      <c r="H17" s="11" t="n">
        <f aca="false">'Monthly data'!H154</f>
        <v>82.75</v>
      </c>
      <c r="I17" s="11" t="n">
        <f aca="false">'Monthly data'!H155</f>
        <v>78.51</v>
      </c>
      <c r="J17" s="11" t="n">
        <f aca="false">'Monthly data'!H156</f>
        <v>74.74</v>
      </c>
      <c r="K17" s="11" t="n">
        <f aca="false">'Monthly data'!H157</f>
        <v>75.05</v>
      </c>
      <c r="L17" s="11" t="n">
        <f aca="false">'Monthly data'!H158</f>
        <v>79.95</v>
      </c>
      <c r="M17" s="11" t="n">
        <f aca="false">'Monthly data'!H159</f>
        <v>80.65</v>
      </c>
      <c r="N17" s="11" t="n">
        <f aca="false">'Monthly data'!H160</f>
        <v>80.18</v>
      </c>
      <c r="O17" s="11" t="n">
        <f aca="false">IF(COUNT(C17:N17)=12,AVERAGE(C17:N17),"")</f>
        <v>79.0491666666667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1" t="n">
        <f aca="false">'Monthly data'!H161</f>
        <v>73.43</v>
      </c>
      <c r="D18" s="11" t="n">
        <f aca="false">'Monthly data'!H162</f>
        <v>75.94</v>
      </c>
      <c r="E18" s="11" t="n">
        <f aca="false">'Monthly data'!H163</f>
        <v>72.2</v>
      </c>
      <c r="F18" s="11" t="n">
        <f aca="false">'Monthly data'!H164</f>
        <v>76.02</v>
      </c>
      <c r="G18" s="11" t="n">
        <f aca="false">'Monthly data'!H165</f>
        <v>78.34</v>
      </c>
      <c r="H18" s="11" t="n">
        <f aca="false">'Monthly data'!H166</f>
        <v>79.98</v>
      </c>
      <c r="I18" s="11" t="n">
        <f aca="false">'Monthly data'!H167</f>
        <v>81.76</v>
      </c>
      <c r="J18" s="11" t="n">
        <f aca="false">'Monthly data'!H168</f>
        <v>80.35</v>
      </c>
      <c r="K18" s="11" t="n">
        <f aca="false">'Monthly data'!H169</f>
        <v>82.81</v>
      </c>
      <c r="L18" s="11" t="n">
        <f aca="false">'Monthly data'!H170</f>
        <v>78.68</v>
      </c>
      <c r="M18" s="11" t="n">
        <f aca="false">'Monthly data'!H171</f>
        <v>77.17</v>
      </c>
      <c r="N18" s="11" t="n">
        <f aca="false">'Monthly data'!H172</f>
        <v>78.85</v>
      </c>
      <c r="O18" s="11" t="n">
        <f aca="false">IF(COUNT(C18:N18)=12,AVERAGE(C18:N18),"")</f>
        <v>77.9608333333333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1" t="n">
        <f aca="false">'Monthly data'!H173</f>
        <v>78.59</v>
      </c>
      <c r="D19" s="11" t="n">
        <f aca="false">'Monthly data'!H174</f>
        <v>76.17</v>
      </c>
      <c r="E19" s="11" t="n">
        <f aca="false">'Monthly data'!H175</f>
        <v>74.57</v>
      </c>
      <c r="F19" s="11" t="n">
        <f aca="false">'Monthly data'!H176</f>
        <v>77.5</v>
      </c>
      <c r="G19" s="11" t="n">
        <f aca="false">'Monthly data'!H177</f>
        <v>81.36</v>
      </c>
      <c r="H19" s="11" t="n">
        <f aca="false">'Monthly data'!H178</f>
        <v>76.85</v>
      </c>
      <c r="I19" s="11" t="n">
        <f aca="false">'Monthly data'!H179</f>
        <v>72.81</v>
      </c>
      <c r="J19" s="11" t="n">
        <f aca="false">'Monthly data'!H180</f>
        <v>81.65</v>
      </c>
      <c r="K19" s="11" t="n">
        <f aca="false">'Monthly data'!H181</f>
        <v>77.77</v>
      </c>
      <c r="L19" s="11" t="n">
        <f aca="false">'Monthly data'!H182</f>
        <v>75.25</v>
      </c>
      <c r="M19" s="11" t="n">
        <f aca="false">'Monthly data'!H183</f>
        <v>73.33</v>
      </c>
      <c r="N19" s="11" t="n">
        <f aca="false">'Monthly data'!H184</f>
        <v>74.83</v>
      </c>
      <c r="O19" s="11" t="n">
        <f aca="false">IF(COUNT(C19:N19)=12,AVERAGE(C19:N19),"")</f>
        <v>76.7233333333333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1" t="n">
        <f aca="false">'Monthly data'!H185</f>
        <v>71.46</v>
      </c>
      <c r="D20" s="11" t="n">
        <f aca="false">'Monthly data'!H186</f>
        <v>74.72</v>
      </c>
      <c r="E20" s="11" t="n">
        <f aca="false">'Monthly data'!H187</f>
        <v>73.68</v>
      </c>
      <c r="F20" s="11" t="n">
        <f aca="false">'Monthly data'!H188</f>
        <v>78.94</v>
      </c>
      <c r="G20" s="11" t="n">
        <f aca="false">'Monthly data'!H189</f>
        <v>80.12</v>
      </c>
      <c r="H20" s="11" t="n">
        <f aca="false">'Monthly data'!H190</f>
        <v>83.78</v>
      </c>
      <c r="I20" s="11" t="n">
        <f aca="false">'Monthly data'!H191</f>
        <v>80.07</v>
      </c>
      <c r="J20" s="11" t="n">
        <f aca="false">'Monthly data'!H192</f>
        <v>83.6</v>
      </c>
      <c r="K20" s="11" t="n">
        <f aca="false">'Monthly data'!H193</f>
        <v>80.99</v>
      </c>
      <c r="L20" s="11" t="n">
        <f aca="false">'Monthly data'!H194</f>
        <v>76.41</v>
      </c>
      <c r="M20" s="11" t="n">
        <f aca="false">'Monthly data'!H195</f>
        <v>73.76</v>
      </c>
      <c r="N20" s="11" t="n">
        <f aca="false">'Monthly data'!H196</f>
        <v>74.55</v>
      </c>
      <c r="O20" s="11" t="n">
        <f aca="false">IF(COUNT(C20:N20)=12,AVERAGE(C20:N20),"")</f>
        <v>77.6733333333333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1" t="n">
        <f aca="false">'Monthly data'!H197</f>
        <v>79.36</v>
      </c>
      <c r="D21" s="11" t="n">
        <f aca="false">'Monthly data'!H198</f>
        <v>70.47</v>
      </c>
      <c r="E21" s="11" t="n">
        <f aca="false">'Monthly data'!H199</f>
        <v>70.26</v>
      </c>
      <c r="F21" s="11" t="n">
        <f aca="false">'Monthly data'!H200</f>
        <v>74.1</v>
      </c>
      <c r="G21" s="11" t="n">
        <f aca="false">'Monthly data'!H201</f>
        <v>80.54</v>
      </c>
      <c r="H21" s="11" t="n">
        <f aca="false">'Monthly data'!H202</f>
        <v>86.54</v>
      </c>
      <c r="I21" s="11" t="n">
        <f aca="false">'Monthly data'!H203</f>
        <v>83.61</v>
      </c>
      <c r="J21" s="11" t="n">
        <f aca="false">'Monthly data'!H204</f>
        <v>77.16</v>
      </c>
      <c r="K21" s="11" t="n">
        <f aca="false">'Monthly data'!H205</f>
        <v>77.01</v>
      </c>
      <c r="L21" s="11" t="n">
        <f aca="false">'Monthly data'!H206</f>
        <v>77.04</v>
      </c>
      <c r="M21" s="11" t="n">
        <f aca="false">'Monthly data'!H207</f>
        <v>78.75</v>
      </c>
      <c r="N21" s="11" t="n">
        <f aca="false">'Monthly data'!H208</f>
        <v>77.44</v>
      </c>
      <c r="O21" s="11" t="n">
        <f aca="false">IF(COUNT(C21:N21)=12,AVERAGE(C21:N21),"")</f>
        <v>77.69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1" t="n">
        <f aca="false">'Monthly data'!H209</f>
        <v>76.38</v>
      </c>
      <c r="D22" s="11" t="n">
        <f aca="false">'Monthly data'!H210</f>
        <v>78.35</v>
      </c>
      <c r="E22" s="11" t="n">
        <f aca="false">'Monthly data'!H211</f>
        <v>74.48</v>
      </c>
      <c r="F22" s="11" t="n">
        <f aca="false">'Monthly data'!H212</f>
        <v>73.65</v>
      </c>
      <c r="G22" s="11" t="n">
        <f aca="false">'Monthly data'!H213</f>
        <v>65.47</v>
      </c>
      <c r="H22" s="11" t="n">
        <f aca="false">'Monthly data'!H214</f>
        <v>69</v>
      </c>
      <c r="I22" s="11" t="n">
        <f aca="false">'Monthly data'!H215</f>
        <v>81.37</v>
      </c>
      <c r="J22" s="11" t="n">
        <f aca="false">'Monthly data'!H216</f>
        <v>83.01</v>
      </c>
      <c r="K22" s="11" t="n">
        <f aca="false">'Monthly data'!H217</f>
        <v>79.85</v>
      </c>
      <c r="L22" s="11" t="n">
        <f aca="false">'Monthly data'!H218</f>
        <v>76.03</v>
      </c>
      <c r="M22" s="11" t="n">
        <f aca="false">'Monthly data'!H219</f>
        <v>76.6</v>
      </c>
      <c r="N22" s="11" t="n">
        <f aca="false">'Monthly data'!H220</f>
        <v>77.99</v>
      </c>
      <c r="O22" s="11" t="n">
        <f aca="false">IF(COUNT(C22:N22)=12,AVERAGE(C22:N22),"")</f>
        <v>76.015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1" t="n">
        <f aca="false">'Monthly data'!H221</f>
        <v>75.42</v>
      </c>
      <c r="D23" s="11" t="n">
        <f aca="false">'Monthly data'!H222</f>
        <v>72.26</v>
      </c>
      <c r="E23" s="11" t="n">
        <f aca="false">'Monthly data'!H223</f>
        <v>70.56</v>
      </c>
      <c r="F23" s="11" t="n">
        <f aca="false">'Monthly data'!H224</f>
        <v>75.68</v>
      </c>
      <c r="G23" s="11" t="n">
        <f aca="false">'Monthly data'!H225</f>
        <v>80.24</v>
      </c>
      <c r="H23" s="11" t="n">
        <f aca="false">'Monthly data'!H226</f>
        <v>76.59</v>
      </c>
      <c r="I23" s="11" t="n">
        <f aca="false">'Monthly data'!H227</f>
        <v>81.58</v>
      </c>
      <c r="J23" s="11" t="n">
        <f aca="false">'Monthly data'!H228</f>
        <v>76.68</v>
      </c>
      <c r="K23" s="11" t="n">
        <f aca="false">'Monthly data'!H229</f>
        <v>78.08</v>
      </c>
      <c r="L23" s="11" t="n">
        <f aca="false">'Monthly data'!H230</f>
        <v>80.3</v>
      </c>
      <c r="M23" s="11" t="n">
        <f aca="false">'Monthly data'!H231</f>
        <v>81.92</v>
      </c>
      <c r="N23" s="11" t="n">
        <f aca="false">'Monthly data'!H232</f>
        <v>80.73</v>
      </c>
      <c r="O23" s="11" t="n">
        <f aca="false">IF(COUNT(C23:N23)=12,AVERAGE(C23:N23),"")</f>
        <v>77.5033333333333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1" t="n">
        <f aca="false">'Monthly data'!H233</f>
        <v>77.72</v>
      </c>
      <c r="D24" s="11" t="n">
        <f aca="false">'Monthly data'!H234</f>
        <v>75.31</v>
      </c>
      <c r="E24" s="11" t="n">
        <f aca="false">'Monthly data'!H235</f>
        <v>73.42</v>
      </c>
      <c r="F24" s="11" t="n">
        <f aca="false">'Monthly data'!H236</f>
        <v>76.66</v>
      </c>
      <c r="G24" s="11" t="n">
        <f aca="false">'Monthly data'!H237</f>
        <v>74.04</v>
      </c>
      <c r="H24" s="11" t="n">
        <f aca="false">'Monthly data'!H238</f>
        <v>75.19</v>
      </c>
      <c r="I24" s="11" t="n">
        <f aca="false">'Monthly data'!H239</f>
        <v>78.84</v>
      </c>
      <c r="J24" s="11" t="n">
        <f aca="false">'Monthly data'!H240</f>
        <v>78.6</v>
      </c>
      <c r="K24" s="11" t="n">
        <f aca="false">'Monthly data'!H241</f>
        <v>83.09</v>
      </c>
      <c r="L24" s="11" t="n">
        <f aca="false">'Monthly data'!H242</f>
        <v>81.8</v>
      </c>
      <c r="M24" s="11" t="n">
        <f aca="false">'Monthly data'!H243</f>
        <v>80.18</v>
      </c>
      <c r="N24" s="11" t="n">
        <f aca="false">'Monthly data'!H244</f>
        <v>79</v>
      </c>
      <c r="O24" s="11" t="n">
        <f aca="false">IF(COUNT(C24:N24)=12,AVERAGE(C24:N24),"")</f>
        <v>77.8208333333333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1" t="n">
        <f aca="false">'Monthly data'!H245</f>
        <v>77.25</v>
      </c>
      <c r="D25" s="11" t="n">
        <f aca="false">'Monthly data'!H246</f>
        <v>74.76</v>
      </c>
      <c r="O25" s="11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4" t="n">
        <f aca="false">AVERAGEIF($B$5:$B$25,"El Niño",C$5:C$25)</f>
        <v>79.39</v>
      </c>
      <c r="D28" s="24" t="n">
        <f aca="false">AVERAGEIF($B$5:$B$25,"El Niño",D$5:D$25)</f>
        <v>77.6014285714286</v>
      </c>
      <c r="E28" s="24" t="n">
        <f aca="false">AVERAGEIF($B$5:$B$25,"El Niño",E$5:E$25)</f>
        <v>73.1871428571429</v>
      </c>
      <c r="F28" s="24" t="n">
        <f aca="false">AVERAGEIF($B$5:$B$25,"El Niño",F$5:F$25)</f>
        <v>75.1757142857143</v>
      </c>
      <c r="G28" s="24" t="n">
        <f aca="false">AVERAGEIF($B$5:$B$25,"El Niño",G$5:G$25)</f>
        <v>76.9585714285714</v>
      </c>
      <c r="H28" s="24" t="n">
        <f aca="false">AVERAGEIF($B$5:$B$25,"El Niño",H$5:H$25)</f>
        <v>77.6385714285714</v>
      </c>
      <c r="I28" s="24" t="n">
        <f aca="false">AVERAGEIF($B$5:$B$25,"El Niño",I$5:I$25)</f>
        <v>78.15</v>
      </c>
      <c r="J28" s="24" t="n">
        <f aca="false">AVERAGEIF($B$5:$B$25,"El Niño",J$5:J$25)</f>
        <v>78.2828571428571</v>
      </c>
      <c r="K28" s="24" t="n">
        <f aca="false">AVERAGEIF($B$5:$B$25,"El Niño",K$5:K$25)</f>
        <v>79.6371428571429</v>
      </c>
      <c r="L28" s="24" t="n">
        <f aca="false">AVERAGEIF($B$5:$B$25,"El Niño",L$5:L$25)</f>
        <v>78.9828571428571</v>
      </c>
      <c r="M28" s="24" t="n">
        <f aca="false">AVERAGEIF($B$5:$B$25,"El Niño",M$5:M$25)</f>
        <v>77.9785714285714</v>
      </c>
      <c r="N28" s="24" t="n">
        <f aca="false">AVERAGEIF($B$5:$B$25,"El Niño",N$5:N$25)</f>
        <v>77.8228571428572</v>
      </c>
      <c r="O28" s="24" t="n">
        <f aca="false">AVERAGEIF($B$5:$B$25,"El Niño",O$5:O$25)</f>
        <v>77.5671428571429</v>
      </c>
    </row>
    <row r="29" customFormat="false" ht="15" hidden="false" customHeight="false" outlineLevel="0" collapsed="false">
      <c r="A29" s="21" t="s">
        <v>89</v>
      </c>
      <c r="B29" s="22"/>
      <c r="C29" s="24" t="n">
        <f aca="false">AVERAGEIF($B$5:$B$25,"La Niña",C$5:C$25)</f>
        <v>77.2025</v>
      </c>
      <c r="D29" s="24" t="n">
        <f aca="false">AVERAGEIF($B$5:$B$25,"La Niña",D$5:D$25)</f>
        <v>74.01375</v>
      </c>
      <c r="E29" s="24" t="n">
        <f aca="false">AVERAGEIF($B$5:$B$25,"La Niña",E$5:E$25)</f>
        <v>72.0775</v>
      </c>
      <c r="F29" s="24" t="n">
        <f aca="false">AVERAGEIF($B$5:$B$25,"La Niña",F$5:F$25)</f>
        <v>75.05875</v>
      </c>
      <c r="G29" s="24" t="n">
        <f aca="false">AVERAGEIF($B$5:$B$25,"La Niña",G$5:G$25)</f>
        <v>79.60375</v>
      </c>
      <c r="H29" s="24" t="n">
        <f aca="false">AVERAGEIF($B$5:$B$25,"La Niña",H$5:H$25)</f>
        <v>81.79</v>
      </c>
      <c r="I29" s="24" t="n">
        <f aca="false">AVERAGEIF($B$5:$B$25,"La Niña",I$5:I$25)</f>
        <v>79.7525</v>
      </c>
      <c r="J29" s="24" t="n">
        <f aca="false">AVERAGEIF($B$5:$B$25,"La Niña",J$5:J$25)</f>
        <v>80.33875</v>
      </c>
      <c r="K29" s="24" t="n">
        <f aca="false">AVERAGEIF($B$5:$B$25,"La Niña",K$5:K$25)</f>
        <v>80.42125</v>
      </c>
      <c r="L29" s="24" t="n">
        <f aca="false">AVERAGEIF($B$5:$B$25,"La Niña",L$5:L$25)</f>
        <v>80.57</v>
      </c>
      <c r="M29" s="24" t="n">
        <f aca="false">AVERAGEIF($B$5:$B$25,"La Niña",M$5:M$25)</f>
        <v>78.7275</v>
      </c>
      <c r="N29" s="24" t="n">
        <f aca="false">AVERAGEIF($B$5:$B$25,"La Niña",N$5:N$25)</f>
        <v>78.65</v>
      </c>
      <c r="O29" s="24" t="n">
        <f aca="false">AVERAGEIF($B$5:$B$25,"La Niña",O$5:O$25)</f>
        <v>78.1838541666667</v>
      </c>
    </row>
    <row r="30" customFormat="false" ht="15" hidden="false" customHeight="false" outlineLevel="0" collapsed="false">
      <c r="A30" s="21" t="s">
        <v>90</v>
      </c>
      <c r="B30" s="22"/>
      <c r="C30" s="24" t="n">
        <f aca="false">AVERAGEIF($B$5:$B$25,"Neutral",C$5:C$25)</f>
        <v>76.912</v>
      </c>
      <c r="D30" s="24" t="n">
        <f aca="false">AVERAGEIF($B$5:$B$25,"Neutral",D$5:D$25)</f>
        <v>75.116</v>
      </c>
      <c r="E30" s="24" t="n">
        <f aca="false">AVERAGEIF($B$5:$B$25,"Neutral",E$5:E$25)</f>
        <v>72.782</v>
      </c>
      <c r="F30" s="24" t="n">
        <f aca="false">AVERAGEIF($B$5:$B$25,"Neutral",F$5:F$25)</f>
        <v>74.896</v>
      </c>
      <c r="G30" s="24" t="n">
        <f aca="false">AVERAGEIF($B$5:$B$25,"Neutral",G$5:G$25)</f>
        <v>79.118</v>
      </c>
      <c r="H30" s="24" t="n">
        <f aca="false">AVERAGEIF($B$5:$B$25,"Neutral",H$5:H$25)</f>
        <v>77.854</v>
      </c>
      <c r="I30" s="24" t="n">
        <f aca="false">AVERAGEIF($B$5:$B$25,"Neutral",I$5:I$25)</f>
        <v>78.076</v>
      </c>
      <c r="J30" s="24" t="n">
        <f aca="false">AVERAGEIF($B$5:$B$25,"Neutral",J$5:J$25)</f>
        <v>78.438</v>
      </c>
      <c r="K30" s="24" t="n">
        <f aca="false">AVERAGEIF($B$5:$B$25,"Neutral",K$5:K$25)</f>
        <v>78.144</v>
      </c>
      <c r="L30" s="24" t="n">
        <f aca="false">AVERAGEIF($B$5:$B$25,"Neutral",L$5:L$25)</f>
        <v>79.41</v>
      </c>
      <c r="M30" s="24" t="n">
        <f aca="false">AVERAGEIF($B$5:$B$25,"Neutral",M$5:M$25)</f>
        <v>78.426</v>
      </c>
      <c r="N30" s="24" t="n">
        <f aca="false">AVERAGEIF($B$5:$B$25,"Neutral",N$5:N$25)</f>
        <v>81.63</v>
      </c>
      <c r="O30" s="24" t="n">
        <f aca="false">AVERAGEIF($B$5:$B$25,"Neutral",O$5:O$25)</f>
        <v>77.5668333333333</v>
      </c>
    </row>
    <row r="31" customFormat="false" ht="15" hidden="false" customHeight="false" outlineLevel="0" collapsed="false">
      <c r="A31" s="21" t="s">
        <v>91</v>
      </c>
      <c r="B31" s="22"/>
      <c r="C31" s="24" t="n">
        <f aca="false">AVERAGE(C5:C24)</f>
        <v>77.8955</v>
      </c>
      <c r="D31" s="24" t="n">
        <f aca="false">AVERAGE(D5:D24)</f>
        <v>75.545</v>
      </c>
      <c r="E31" s="24" t="n">
        <f aca="false">AVERAGE(E5:E24)</f>
        <v>72.642</v>
      </c>
      <c r="F31" s="24" t="n">
        <f aca="false">AVERAGE(F5:F24)</f>
        <v>75.059</v>
      </c>
      <c r="G31" s="24" t="n">
        <f aca="false">AVERAGE(G5:G24)</f>
        <v>78.5565</v>
      </c>
      <c r="H31" s="24" t="n">
        <f aca="false">AVERAGE(H5:H24)</f>
        <v>79.353</v>
      </c>
      <c r="I31" s="24" t="n">
        <f aca="false">AVERAGE(I5:I24)</f>
        <v>78.7725</v>
      </c>
      <c r="J31" s="24" t="n">
        <f aca="false">AVERAGE(J5:J24)</f>
        <v>79.144</v>
      </c>
      <c r="K31" s="24" t="n">
        <f aca="false">AVERAGE(K5:K24)</f>
        <v>79.5775</v>
      </c>
      <c r="L31" s="24" t="n">
        <f aca="false">AVERAGE(L5:L24)</f>
        <v>79.7245</v>
      </c>
      <c r="M31" s="24" t="n">
        <f aca="false">AVERAGE(M5:M24)</f>
        <v>78.39</v>
      </c>
      <c r="N31" s="24" t="n">
        <f aca="false">AVERAGE(N5:N24)</f>
        <v>79.1055</v>
      </c>
      <c r="O31" s="24" t="n">
        <f aca="false">AVERAGE(O5:O24)</f>
        <v>77.81375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5" t="s">
        <v>73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</row>
    <row r="5" customFormat="false" ht="15" hidden="false" customHeight="false" outlineLevel="0" collapsed="false">
      <c r="A5" s="19" t="s">
        <v>39</v>
      </c>
      <c r="B5" s="9" t="str">
        <f aca="false">ENSO!C5</f>
        <v>El Niño</v>
      </c>
      <c r="C5" s="10" t="n">
        <f aca="false">'Monthly data'!I5</f>
        <v>26.67</v>
      </c>
      <c r="D5" s="10" t="n">
        <f aca="false">'Monthly data'!I6</f>
        <v>24.76</v>
      </c>
      <c r="E5" s="10" t="n">
        <f aca="false">'Monthly data'!I7</f>
        <v>24.37</v>
      </c>
      <c r="F5" s="10" t="n">
        <f aca="false">'Monthly data'!I8</f>
        <v>26.55</v>
      </c>
      <c r="G5" s="10" t="n">
        <f aca="false">'Monthly data'!I9</f>
        <v>34.52</v>
      </c>
      <c r="H5" s="10" t="n">
        <f aca="false">'Monthly data'!I10</f>
        <v>39.57</v>
      </c>
      <c r="I5" s="10" t="n">
        <f aca="false">'Monthly data'!I11</f>
        <v>35.84</v>
      </c>
      <c r="J5" s="10" t="n">
        <f aca="false">'Monthly data'!I12</f>
        <v>39.64</v>
      </c>
      <c r="K5" s="10" t="n">
        <f aca="false">'Monthly data'!I13</f>
        <v>34.98</v>
      </c>
      <c r="L5" s="10" t="n">
        <f aca="false">'Monthly data'!I14</f>
        <v>31.25</v>
      </c>
      <c r="M5" s="10" t="n">
        <f aca="false">'Monthly data'!I15</f>
        <v>28.78</v>
      </c>
      <c r="N5" s="10" t="n">
        <f aca="false">'Monthly data'!I16</f>
        <v>25.62</v>
      </c>
      <c r="O5" s="10" t="n">
        <f aca="false">IF(COUNT(C5:N5)=12,AVERAGE(C5:N5),"")</f>
        <v>31.0458333333333</v>
      </c>
    </row>
    <row r="6" customFormat="false" ht="15" hidden="false" customHeight="false" outlineLevel="0" collapsed="false">
      <c r="A6" s="19" t="s">
        <v>40</v>
      </c>
      <c r="B6" s="9" t="str">
        <f aca="false">ENSO!C6</f>
        <v>La Niña</v>
      </c>
      <c r="C6" s="10" t="n">
        <f aca="false">'Monthly data'!I17</f>
        <v>23.62</v>
      </c>
      <c r="D6" s="10" t="n">
        <f aca="false">'Monthly data'!I18</f>
        <v>22.75</v>
      </c>
      <c r="E6" s="10" t="n">
        <f aca="false">'Monthly data'!I19</f>
        <v>22.77</v>
      </c>
      <c r="F6" s="10" t="n">
        <f aca="false">'Monthly data'!I20</f>
        <v>21.76</v>
      </c>
      <c r="G6" s="10" t="n">
        <f aca="false">'Monthly data'!I21</f>
        <v>21.17</v>
      </c>
      <c r="H6" s="10" t="n">
        <f aca="false">'Monthly data'!I22</f>
        <v>26.85</v>
      </c>
      <c r="I6" s="10" t="n">
        <f aca="false">'Monthly data'!I23</f>
        <v>25.75</v>
      </c>
      <c r="J6" s="10" t="n">
        <f aca="false">'Monthly data'!I24</f>
        <v>29.48</v>
      </c>
      <c r="K6" s="10" t="n">
        <f aca="false">'Monthly data'!I25</f>
        <v>33.38</v>
      </c>
      <c r="L6" s="10" t="n">
        <f aca="false">'Monthly data'!I26</f>
        <v>32.12</v>
      </c>
      <c r="M6" s="10" t="n">
        <f aca="false">'Monthly data'!I27</f>
        <v>28.25</v>
      </c>
      <c r="N6" s="10" t="n">
        <f aca="false">'Monthly data'!I28</f>
        <v>25.14</v>
      </c>
      <c r="O6" s="10" t="n">
        <f aca="false">IF(COUNT(C6:N6)=12,AVERAGE(C6:N6),"")</f>
        <v>26.0866666666667</v>
      </c>
    </row>
    <row r="7" customFormat="false" ht="15" hidden="false" customHeight="false" outlineLevel="0" collapsed="false">
      <c r="A7" s="19" t="s">
        <v>41</v>
      </c>
      <c r="B7" s="9" t="str">
        <f aca="false">ENSO!C7</f>
        <v>La Niña</v>
      </c>
      <c r="C7" s="10" t="n">
        <f aca="false">'Monthly data'!I29</f>
        <v>23.81</v>
      </c>
      <c r="D7" s="10" t="n">
        <f aca="false">'Monthly data'!I30</f>
        <v>21.7</v>
      </c>
      <c r="E7" s="10" t="n">
        <f aca="false">'Monthly data'!I31</f>
        <v>20.5</v>
      </c>
      <c r="F7" s="10" t="n">
        <f aca="false">'Monthly data'!I32</f>
        <v>20.54</v>
      </c>
      <c r="G7" s="10" t="n">
        <f aca="false">'Monthly data'!I33</f>
        <v>25.7</v>
      </c>
      <c r="H7" s="10" t="n">
        <f aca="false">'Monthly data'!I34</f>
        <v>38.23</v>
      </c>
      <c r="I7" s="10" t="n">
        <f aca="false">'Monthly data'!I35</f>
        <v>38.2</v>
      </c>
      <c r="J7" s="10" t="n">
        <f aca="false">'Monthly data'!I36</f>
        <v>33.05</v>
      </c>
      <c r="K7" s="10" t="n">
        <f aca="false">'Monthly data'!I37</f>
        <v>28.54</v>
      </c>
      <c r="L7" s="10" t="n">
        <f aca="false">'Monthly data'!I38</f>
        <v>35.52</v>
      </c>
      <c r="M7" s="10" t="n">
        <f aca="false">'Monthly data'!I39</f>
        <v>31.99</v>
      </c>
      <c r="N7" s="10" t="n">
        <f aca="false">'Monthly data'!I40</f>
        <v>30.04</v>
      </c>
      <c r="O7" s="10" t="n">
        <f aca="false">IF(COUNT(C7:N7)=12,AVERAGE(C7:N7),"")</f>
        <v>28.985</v>
      </c>
    </row>
    <row r="8" customFormat="false" ht="15" hidden="false" customHeight="false" outlineLevel="0" collapsed="false">
      <c r="A8" s="19" t="s">
        <v>42</v>
      </c>
      <c r="B8" s="9" t="str">
        <f aca="false">ENSO!C8</f>
        <v>El Niño</v>
      </c>
      <c r="C8" s="10" t="n">
        <f aca="false">'Monthly data'!I41</f>
        <v>27.69</v>
      </c>
      <c r="D8" s="10" t="n">
        <f aca="false">'Monthly data'!I42</f>
        <v>25.62</v>
      </c>
      <c r="E8" s="10" t="n">
        <f aca="false">'Monthly data'!I43</f>
        <v>24.23</v>
      </c>
      <c r="F8" s="10" t="n">
        <f aca="false">'Monthly data'!I44</f>
        <v>25.41</v>
      </c>
      <c r="G8" s="10" t="n">
        <f aca="false">'Monthly data'!I45</f>
        <v>36.63</v>
      </c>
      <c r="H8" s="10" t="n">
        <f aca="false">'Monthly data'!I46</f>
        <v>29.92</v>
      </c>
      <c r="I8" s="10" t="n">
        <f aca="false">'Monthly data'!I47</f>
        <v>26.55</v>
      </c>
      <c r="J8" s="10" t="n">
        <f aca="false">'Monthly data'!I48</f>
        <v>22.69</v>
      </c>
      <c r="K8" s="10" t="n">
        <f aca="false">'Monthly data'!I49</f>
        <v>27.42</v>
      </c>
      <c r="L8" s="10" t="n">
        <f aca="false">'Monthly data'!I50</f>
        <v>30.72</v>
      </c>
      <c r="M8" s="10" t="n">
        <f aca="false">'Monthly data'!I51</f>
        <v>28.66</v>
      </c>
      <c r="N8" s="10" t="n">
        <f aca="false">'Monthly data'!I52</f>
        <v>25.52</v>
      </c>
      <c r="O8" s="10" t="n">
        <f aca="false">IF(COUNT(C8:N8)=12,AVERAGE(C8:N8),"")</f>
        <v>27.5883333333333</v>
      </c>
    </row>
    <row r="9" customFormat="false" ht="15" hidden="false" customHeight="false" outlineLevel="0" collapsed="false">
      <c r="A9" s="19" t="s">
        <v>43</v>
      </c>
      <c r="B9" s="9" t="str">
        <f aca="false">ENSO!C9</f>
        <v>La Niña</v>
      </c>
      <c r="C9" s="10" t="n">
        <f aca="false">'Monthly data'!I53</f>
        <v>24.62</v>
      </c>
      <c r="D9" s="10" t="n">
        <f aca="false">'Monthly data'!I54</f>
        <v>22.97</v>
      </c>
      <c r="E9" s="10" t="n">
        <f aca="false">'Monthly data'!I55</f>
        <v>21.44</v>
      </c>
      <c r="F9" s="10" t="n">
        <f aca="false">'Monthly data'!I56</f>
        <v>20.72</v>
      </c>
      <c r="G9" s="10" t="n">
        <f aca="false">'Monthly data'!I57</f>
        <v>28.07</v>
      </c>
      <c r="H9" s="10" t="n">
        <f aca="false">'Monthly data'!I58</f>
        <v>31.09</v>
      </c>
      <c r="I9" s="10" t="n">
        <f aca="false">'Monthly data'!I59</f>
        <v>32.82</v>
      </c>
      <c r="J9" s="10" t="n">
        <f aca="false">'Monthly data'!I60</f>
        <v>27</v>
      </c>
      <c r="K9" s="10" t="n">
        <f aca="false">'Monthly data'!I61</f>
        <v>34.48</v>
      </c>
      <c r="L9" s="10" t="n">
        <f aca="false">'Monthly data'!I62</f>
        <v>39.52</v>
      </c>
      <c r="M9" s="10" t="n">
        <f aca="false">'Monthly data'!I63</f>
        <v>35.16</v>
      </c>
      <c r="N9" s="10" t="n">
        <f aca="false">'Monthly data'!I64</f>
        <v>29.85</v>
      </c>
      <c r="O9" s="10" t="n">
        <f aca="false">IF(COUNT(C9:N9)=12,AVERAGE(C9:N9),"")</f>
        <v>28.9783333333333</v>
      </c>
    </row>
    <row r="10" customFormat="false" ht="15" hidden="false" customHeight="false" outlineLevel="0" collapsed="false">
      <c r="A10" s="19" t="s">
        <v>44</v>
      </c>
      <c r="B10" s="9" t="str">
        <f aca="false">ENSO!C10</f>
        <v>La Niña</v>
      </c>
      <c r="C10" s="10" t="n">
        <f aca="false">'Monthly data'!I65</f>
        <v>26.97</v>
      </c>
      <c r="D10" s="10" t="n">
        <f aca="false">'Monthly data'!I66</f>
        <v>24.61</v>
      </c>
      <c r="E10" s="10" t="n">
        <f aca="false">'Monthly data'!I67</f>
        <v>22.36</v>
      </c>
      <c r="F10" s="10" t="n">
        <f aca="false">'Monthly data'!I68</f>
        <v>24.16</v>
      </c>
      <c r="G10" s="10" t="n">
        <f aca="false">'Monthly data'!I69</f>
        <v>28.64</v>
      </c>
      <c r="H10" s="10" t="n">
        <f aca="false">'Monthly data'!I70</f>
        <v>38.08</v>
      </c>
      <c r="I10" s="10" t="n">
        <f aca="false">'Monthly data'!I71</f>
        <v>37.96</v>
      </c>
      <c r="J10" s="10" t="n">
        <f aca="false">'Monthly data'!I72</f>
        <v>30.42</v>
      </c>
      <c r="K10" s="10" t="n">
        <f aca="false">'Monthly data'!I73</f>
        <v>27.22</v>
      </c>
      <c r="L10" s="10" t="n">
        <f aca="false">'Monthly data'!I74</f>
        <v>25.49</v>
      </c>
      <c r="M10" s="10" t="n">
        <f aca="false">'Monthly data'!I75</f>
        <v>24.36</v>
      </c>
      <c r="N10" s="10" t="n">
        <f aca="false">'Monthly data'!I76</f>
        <v>23.12</v>
      </c>
      <c r="O10" s="10" t="n">
        <f aca="false">IF(COUNT(C10:N10)=12,AVERAGE(C10:N10),"")</f>
        <v>27.7825</v>
      </c>
    </row>
    <row r="11" customFormat="false" ht="15" hidden="false" customHeight="false" outlineLevel="0" collapsed="false">
      <c r="A11" s="19" t="s">
        <v>45</v>
      </c>
      <c r="B11" s="9" t="str">
        <f aca="false">ENSO!C11</f>
        <v>Neutral</v>
      </c>
      <c r="C11" s="10" t="n">
        <f aca="false">'Monthly data'!I77</f>
        <v>22.03</v>
      </c>
      <c r="D11" s="10" t="n">
        <f aca="false">'Monthly data'!I78</f>
        <v>22.51</v>
      </c>
      <c r="E11" s="10" t="n">
        <f aca="false">'Monthly data'!I79</f>
        <v>21.98</v>
      </c>
      <c r="F11" s="10" t="n">
        <f aca="false">'Monthly data'!I80</f>
        <v>20.67</v>
      </c>
      <c r="G11" s="10" t="n">
        <f aca="false">'Monthly data'!I81</f>
        <v>28.57</v>
      </c>
      <c r="H11" s="10" t="n">
        <f aca="false">'Monthly data'!I82</f>
        <v>29.53</v>
      </c>
      <c r="I11" s="10" t="n">
        <f aca="false">'Monthly data'!I83</f>
        <v>26.7</v>
      </c>
      <c r="J11" s="10" t="n">
        <f aca="false">'Monthly data'!I84</f>
        <v>28</v>
      </c>
      <c r="K11" s="10" t="n">
        <f aca="false">'Monthly data'!I85</f>
        <v>24.14</v>
      </c>
      <c r="L11" s="10" t="n">
        <f aca="false">'Monthly data'!I86</f>
        <v>26.64</v>
      </c>
      <c r="M11" s="10" t="n">
        <f aca="false">'Monthly data'!I87</f>
        <v>24.57</v>
      </c>
      <c r="N11" s="10" t="n">
        <f aca="false">'Monthly data'!I88</f>
        <v>24.34</v>
      </c>
      <c r="O11" s="10" t="n">
        <f aca="false">IF(COUNT(C11:N11)=12,AVERAGE(C11:N11),"")</f>
        <v>24.9733333333333</v>
      </c>
    </row>
    <row r="12" customFormat="false" ht="15" hidden="false" customHeight="false" outlineLevel="0" collapsed="false">
      <c r="A12" s="19" t="s">
        <v>46</v>
      </c>
      <c r="B12" s="9" t="str">
        <f aca="false">ENSO!C12</f>
        <v>Neutral</v>
      </c>
      <c r="C12" s="10" t="n">
        <f aca="false">'Monthly data'!I89</f>
        <v>22.66</v>
      </c>
      <c r="D12" s="10" t="n">
        <f aca="false">'Monthly data'!I90</f>
        <v>21.54</v>
      </c>
      <c r="E12" s="10" t="n">
        <f aca="false">'Monthly data'!I91</f>
        <v>20.82</v>
      </c>
      <c r="F12" s="10" t="n">
        <f aca="false">'Monthly data'!I92</f>
        <v>21.09</v>
      </c>
      <c r="G12" s="10" t="n">
        <f aca="false">'Monthly data'!I93</f>
        <v>22.49</v>
      </c>
      <c r="H12" s="10" t="n">
        <f aca="false">'Monthly data'!I94</f>
        <v>34.85</v>
      </c>
      <c r="I12" s="10" t="n">
        <f aca="false">'Monthly data'!I95</f>
        <v>35.1</v>
      </c>
      <c r="J12" s="10" t="n">
        <f aca="false">'Monthly data'!I96</f>
        <v>30.26</v>
      </c>
      <c r="K12" s="10" t="n">
        <f aca="false">'Monthly data'!I97</f>
        <v>27.98</v>
      </c>
      <c r="L12" s="10" t="n">
        <f aca="false">'Monthly data'!I98</f>
        <v>29.42</v>
      </c>
      <c r="M12" s="10" t="n">
        <f aca="false">'Monthly data'!I99</f>
        <v>25.62</v>
      </c>
      <c r="N12" s="10" t="n">
        <f aca="false">'Monthly data'!I100</f>
        <v>27.07</v>
      </c>
      <c r="O12" s="10" t="n">
        <f aca="false">IF(COUNT(C12:N12)=12,AVERAGE(C12:N12),"")</f>
        <v>26.575</v>
      </c>
    </row>
    <row r="13" customFormat="false" ht="15" hidden="false" customHeight="false" outlineLevel="0" collapsed="false">
      <c r="A13" s="19" t="s">
        <v>47</v>
      </c>
      <c r="B13" s="9" t="str">
        <f aca="false">ENSO!C13</f>
        <v>El Niño</v>
      </c>
      <c r="C13" s="10" t="n">
        <f aca="false">'Monthly data'!I101</f>
        <v>26.19</v>
      </c>
      <c r="D13" s="10" t="n">
        <f aca="false">'Monthly data'!I102</f>
        <v>24.82</v>
      </c>
      <c r="E13" s="10" t="n">
        <f aca="false">'Monthly data'!I103</f>
        <v>22.5</v>
      </c>
      <c r="F13" s="10" t="n">
        <f aca="false">'Monthly data'!I104</f>
        <v>22.17</v>
      </c>
      <c r="G13" s="10" t="n">
        <f aca="false">'Monthly data'!I105</f>
        <v>35.83</v>
      </c>
      <c r="H13" s="10" t="n">
        <f aca="false">'Monthly data'!I106</f>
        <v>35.51</v>
      </c>
      <c r="I13" s="10" t="n">
        <f aca="false">'Monthly data'!I107</f>
        <v>28.14</v>
      </c>
      <c r="J13" s="10" t="n">
        <f aca="false">'Monthly data'!I108</f>
        <v>25.37</v>
      </c>
      <c r="K13" s="10" t="n">
        <f aca="false">'Monthly data'!I109</f>
        <v>26.22</v>
      </c>
      <c r="L13" s="10" t="n">
        <f aca="false">'Monthly data'!I110</f>
        <v>25.13</v>
      </c>
      <c r="M13" s="10" t="n">
        <f aca="false">'Monthly data'!I111</f>
        <v>23.59</v>
      </c>
      <c r="N13" s="10" t="n">
        <f aca="false">'Monthly data'!I112</f>
        <v>22.96</v>
      </c>
      <c r="O13" s="10" t="n">
        <f aca="false">IF(COUNT(C13:N13)=12,AVERAGE(C13:N13),"")</f>
        <v>26.5358333333333</v>
      </c>
    </row>
    <row r="14" customFormat="false" ht="15" hidden="false" customHeight="false" outlineLevel="0" collapsed="false">
      <c r="A14" s="19" t="s">
        <v>48</v>
      </c>
      <c r="B14" s="9" t="str">
        <f aca="false">ENSO!C14</f>
        <v>El Niño</v>
      </c>
      <c r="C14" s="10" t="n">
        <f aca="false">'Monthly data'!I113</f>
        <v>22.49</v>
      </c>
      <c r="D14" s="10" t="n">
        <f aca="false">'Monthly data'!I114</f>
        <v>21.19</v>
      </c>
      <c r="E14" s="10" t="n">
        <f aca="false">'Monthly data'!I115</f>
        <v>19.93</v>
      </c>
      <c r="F14" s="10" t="n">
        <f aca="false">'Monthly data'!I116</f>
        <v>18.62</v>
      </c>
      <c r="G14" s="10" t="n">
        <f aca="false">'Monthly data'!I117</f>
        <v>19.48</v>
      </c>
      <c r="H14" s="10" t="n">
        <f aca="false">'Monthly data'!I118</f>
        <v>19.78</v>
      </c>
      <c r="I14" s="10" t="n">
        <f aca="false">'Monthly data'!I119</f>
        <v>24.25</v>
      </c>
      <c r="J14" s="10" t="n">
        <f aca="false">'Monthly data'!I120</f>
        <v>29.1</v>
      </c>
      <c r="K14" s="10" t="n">
        <f aca="false">'Monthly data'!I121</f>
        <v>24.01</v>
      </c>
      <c r="L14" s="10" t="n">
        <f aca="false">'Monthly data'!I122</f>
        <v>21.47</v>
      </c>
      <c r="M14" s="10" t="n">
        <f aca="false">'Monthly data'!I123</f>
        <v>20.22</v>
      </c>
      <c r="N14" s="10" t="n">
        <f aca="false">'Monthly data'!I124</f>
        <v>19.21</v>
      </c>
      <c r="O14" s="10" t="n">
        <f aca="false">IF(COUNT(C14:N14)=12,AVERAGE(C14:N14),"")</f>
        <v>21.6458333333333</v>
      </c>
    </row>
    <row r="15" customFormat="false" ht="15" hidden="false" customHeight="false" outlineLevel="0" collapsed="false">
      <c r="A15" s="19" t="s">
        <v>49</v>
      </c>
      <c r="B15" s="9" t="str">
        <f aca="false">ENSO!C15</f>
        <v>Neutral</v>
      </c>
      <c r="C15" s="10" t="n">
        <f aca="false">'Monthly data'!I125</f>
        <v>19.12</v>
      </c>
      <c r="D15" s="10" t="n">
        <f aca="false">'Monthly data'!I126</f>
        <v>18.51</v>
      </c>
      <c r="E15" s="10" t="n">
        <f aca="false">'Monthly data'!I127</f>
        <v>18.01</v>
      </c>
      <c r="F15" s="10" t="n">
        <f aca="false">'Monthly data'!I128</f>
        <v>19.84</v>
      </c>
      <c r="G15" s="10" t="n">
        <f aca="false">'Monthly data'!I129</f>
        <v>25.12</v>
      </c>
      <c r="H15" s="10" t="n">
        <f aca="false">'Monthly data'!I130</f>
        <v>30.86</v>
      </c>
      <c r="I15" s="10" t="n">
        <f aca="false">'Monthly data'!I131</f>
        <v>25.04</v>
      </c>
      <c r="J15" s="10" t="n">
        <f aca="false">'Monthly data'!I132</f>
        <v>25.84</v>
      </c>
      <c r="K15" s="10" t="n">
        <f aca="false">'Monthly data'!I133</f>
        <v>23.24</v>
      </c>
      <c r="L15" s="10" t="n">
        <f aca="false">'Monthly data'!I134</f>
        <v>22.88</v>
      </c>
      <c r="M15" s="10" t="n">
        <f aca="false">'Monthly data'!I135</f>
        <v>22.06</v>
      </c>
      <c r="N15" s="10" t="n">
        <f aca="false">'Monthly data'!I136</f>
        <v>22.72</v>
      </c>
      <c r="O15" s="10" t="n">
        <f aca="false">IF(COUNT(C15:N15)=12,AVERAGE(C15:N15),"")</f>
        <v>22.77</v>
      </c>
    </row>
    <row r="16" customFormat="false" ht="15" hidden="false" customHeight="false" outlineLevel="0" collapsed="false">
      <c r="A16" s="19" t="s">
        <v>50</v>
      </c>
      <c r="B16" s="9" t="str">
        <f aca="false">ENSO!C16</f>
        <v>La Niña</v>
      </c>
      <c r="C16" s="10" t="n">
        <f aca="false">'Monthly data'!I137</f>
        <v>21.96</v>
      </c>
      <c r="D16" s="10" t="n">
        <f aca="false">'Monthly data'!I138</f>
        <v>20.41</v>
      </c>
      <c r="E16" s="10" t="n">
        <f aca="false">'Monthly data'!I139</f>
        <v>19.38</v>
      </c>
      <c r="F16" s="10" t="n">
        <f aca="false">'Monthly data'!I140</f>
        <v>18.87</v>
      </c>
      <c r="G16" s="10" t="n">
        <f aca="false">'Monthly data'!I141</f>
        <v>24.39</v>
      </c>
      <c r="H16" s="10" t="n">
        <f aca="false">'Monthly data'!I142</f>
        <v>36.6</v>
      </c>
      <c r="I16" s="10" t="n">
        <f aca="false">'Monthly data'!I143</f>
        <v>33.23</v>
      </c>
      <c r="J16" s="10" t="n">
        <f aca="false">'Monthly data'!I144</f>
        <v>38.68</v>
      </c>
      <c r="K16" s="10" t="n">
        <f aca="false">'Monthly data'!I145</f>
        <v>36.64</v>
      </c>
      <c r="L16" s="10" t="n">
        <f aca="false">'Monthly data'!I146</f>
        <v>35.34</v>
      </c>
      <c r="M16" s="10" t="n">
        <f aca="false">'Monthly data'!I147</f>
        <v>33.57</v>
      </c>
      <c r="N16" s="10" t="n">
        <f aca="false">'Monthly data'!I148</f>
        <v>31.16</v>
      </c>
      <c r="O16" s="10" t="n">
        <f aca="false">IF(COUNT(C16:N16)=12,AVERAGE(C16:N16),"")</f>
        <v>29.1858333333333</v>
      </c>
    </row>
    <row r="17" customFormat="false" ht="15" hidden="false" customHeight="false" outlineLevel="0" collapsed="false">
      <c r="A17" s="19" t="s">
        <v>51</v>
      </c>
      <c r="B17" s="9" t="str">
        <f aca="false">ENSO!C17</f>
        <v>El Niño</v>
      </c>
      <c r="C17" s="10" t="n">
        <f aca="false">'Monthly data'!I149</f>
        <v>28.17</v>
      </c>
      <c r="D17" s="10" t="n">
        <f aca="false">'Monthly data'!I150</f>
        <v>25.89</v>
      </c>
      <c r="E17" s="10" t="n">
        <f aca="false">'Monthly data'!I151</f>
        <v>24.23</v>
      </c>
      <c r="F17" s="10" t="n">
        <f aca="false">'Monthly data'!I152</f>
        <v>23.21</v>
      </c>
      <c r="G17" s="10" t="n">
        <f aca="false">'Monthly data'!I153</f>
        <v>29.55</v>
      </c>
      <c r="H17" s="10" t="n">
        <f aca="false">'Monthly data'!I154</f>
        <v>36.86</v>
      </c>
      <c r="I17" s="10" t="n">
        <f aca="false">'Monthly data'!I155</f>
        <v>33.61</v>
      </c>
      <c r="J17" s="10" t="n">
        <f aca="false">'Monthly data'!I156</f>
        <v>28.13</v>
      </c>
      <c r="K17" s="10" t="n">
        <f aca="false">'Monthly data'!I157</f>
        <v>25.82</v>
      </c>
      <c r="L17" s="10" t="n">
        <f aca="false">'Monthly data'!I158</f>
        <v>25.71</v>
      </c>
      <c r="M17" s="10" t="n">
        <f aca="false">'Monthly data'!I159</f>
        <v>24.46</v>
      </c>
      <c r="N17" s="10" t="n">
        <f aca="false">'Monthly data'!I160</f>
        <v>23.14</v>
      </c>
      <c r="O17" s="10" t="n">
        <f aca="false">IF(COUNT(C17:N17)=12,AVERAGE(C17:N17),"")</f>
        <v>27.3983333333333</v>
      </c>
    </row>
    <row r="18" customFormat="false" ht="15" hidden="false" customHeight="false" outlineLevel="0" collapsed="false">
      <c r="A18" s="19" t="s">
        <v>52</v>
      </c>
      <c r="B18" s="9" t="str">
        <f aca="false">ENSO!C18</f>
        <v>El Niño</v>
      </c>
      <c r="C18" s="10" t="n">
        <f aca="false">'Monthly data'!I161</f>
        <v>21.51</v>
      </c>
      <c r="D18" s="10" t="n">
        <f aca="false">'Monthly data'!I162</f>
        <v>21.35</v>
      </c>
      <c r="E18" s="10" t="n">
        <f aca="false">'Monthly data'!I163</f>
        <v>20.01</v>
      </c>
      <c r="F18" s="10" t="n">
        <f aca="false">'Monthly data'!I164</f>
        <v>20.78</v>
      </c>
      <c r="G18" s="10" t="n">
        <f aca="false">'Monthly data'!I165</f>
        <v>24.2</v>
      </c>
      <c r="H18" s="10" t="n">
        <f aca="false">'Monthly data'!I166</f>
        <v>32.2</v>
      </c>
      <c r="I18" s="10" t="n">
        <f aca="false">'Monthly data'!I167</f>
        <v>34.95</v>
      </c>
      <c r="J18" s="10" t="n">
        <f aca="false">'Monthly data'!I168</f>
        <v>35.48</v>
      </c>
      <c r="K18" s="10" t="n">
        <f aca="false">'Monthly data'!I169</f>
        <v>35.64</v>
      </c>
      <c r="L18" s="10" t="n">
        <f aca="false">'Monthly data'!I170</f>
        <v>31.65</v>
      </c>
      <c r="M18" s="10" t="n">
        <f aca="false">'Monthly data'!I171</f>
        <v>27.98</v>
      </c>
      <c r="N18" s="10" t="n">
        <f aca="false">'Monthly data'!I172</f>
        <v>25.11</v>
      </c>
      <c r="O18" s="10" t="n">
        <f aca="false">IF(COUNT(C18:N18)=12,AVERAGE(C18:N18),"")</f>
        <v>27.5716666666667</v>
      </c>
    </row>
    <row r="19" customFormat="false" ht="15" hidden="false" customHeight="false" outlineLevel="0" collapsed="false">
      <c r="A19" s="19" t="s">
        <v>53</v>
      </c>
      <c r="B19" s="9" t="str">
        <f aca="false">ENSO!C19</f>
        <v>La Niña</v>
      </c>
      <c r="C19" s="10" t="n">
        <f aca="false">'Monthly data'!I173</f>
        <v>23.66</v>
      </c>
      <c r="D19" s="10" t="n">
        <f aca="false">'Monthly data'!I174</f>
        <v>23.19</v>
      </c>
      <c r="E19" s="10" t="n">
        <f aca="false">'Monthly data'!I175</f>
        <v>21.74</v>
      </c>
      <c r="F19" s="10" t="n">
        <f aca="false">'Monthly data'!I176</f>
        <v>23.6</v>
      </c>
      <c r="G19" s="10" t="n">
        <f aca="false">'Monthly data'!I177</f>
        <v>35.83</v>
      </c>
      <c r="H19" s="10" t="n">
        <f aca="false">'Monthly data'!I178</f>
        <v>33.68</v>
      </c>
      <c r="I19" s="10" t="n">
        <f aca="false">'Monthly data'!I179</f>
        <v>27.08</v>
      </c>
      <c r="J19" s="10" t="n">
        <f aca="false">'Monthly data'!I180</f>
        <v>30.66</v>
      </c>
      <c r="K19" s="10" t="n">
        <f aca="false">'Monthly data'!I181</f>
        <v>31.7</v>
      </c>
      <c r="L19" s="10" t="n">
        <f aca="false">'Monthly data'!I182</f>
        <v>27.22</v>
      </c>
      <c r="M19" s="10" t="n">
        <f aca="false">'Monthly data'!I183</f>
        <v>24.09</v>
      </c>
      <c r="N19" s="10" t="n">
        <f aca="false">'Monthly data'!I184</f>
        <v>21.95</v>
      </c>
      <c r="O19" s="10" t="n">
        <f aca="false">IF(COUNT(C19:N19)=12,AVERAGE(C19:N19),"")</f>
        <v>27.0333333333333</v>
      </c>
    </row>
    <row r="20" customFormat="false" ht="15" hidden="false" customHeight="false" outlineLevel="0" collapsed="false">
      <c r="A20" s="19" t="s">
        <v>54</v>
      </c>
      <c r="B20" s="9" t="str">
        <f aca="false">ENSO!C20</f>
        <v>La Niña</v>
      </c>
      <c r="C20" s="10" t="n">
        <f aca="false">'Monthly data'!I185</f>
        <v>20.55</v>
      </c>
      <c r="D20" s="10" t="n">
        <f aca="false">'Monthly data'!I186</f>
        <v>19.8</v>
      </c>
      <c r="E20" s="10" t="n">
        <f aca="false">'Monthly data'!I187</f>
        <v>21.71</v>
      </c>
      <c r="F20" s="10" t="n">
        <f aca="false">'Monthly data'!I188</f>
        <v>23.96</v>
      </c>
      <c r="G20" s="10" t="n">
        <f aca="false">'Monthly data'!I189</f>
        <v>32.41</v>
      </c>
      <c r="H20" s="10" t="n">
        <f aca="false">'Monthly data'!I190</f>
        <v>39.2</v>
      </c>
      <c r="I20" s="10" t="n">
        <f aca="false">'Monthly data'!I191</f>
        <v>37.74</v>
      </c>
      <c r="J20" s="10" t="n">
        <f aca="false">'Monthly data'!I192</f>
        <v>35.91</v>
      </c>
      <c r="K20" s="10" t="n">
        <f aca="false">'Monthly data'!I193</f>
        <v>32.06</v>
      </c>
      <c r="L20" s="10" t="n">
        <f aca="false">'Monthly data'!I194</f>
        <v>27.57</v>
      </c>
      <c r="M20" s="10" t="n">
        <f aca="false">'Monthly data'!I195</f>
        <v>24.34</v>
      </c>
      <c r="N20" s="10" t="n">
        <f aca="false">'Monthly data'!I196</f>
        <v>22.59</v>
      </c>
      <c r="O20" s="10" t="n">
        <f aca="false">IF(COUNT(C20:N20)=12,AVERAGE(C20:N20),"")</f>
        <v>28.1533333333333</v>
      </c>
    </row>
    <row r="21" customFormat="false" ht="15" hidden="false" customHeight="false" outlineLevel="0" collapsed="false">
      <c r="A21" s="19" t="s">
        <v>55</v>
      </c>
      <c r="B21" s="9" t="str">
        <f aca="false">ENSO!C21</f>
        <v>La Niña</v>
      </c>
      <c r="C21" s="10" t="n">
        <f aca="false">'Monthly data'!I197</f>
        <v>21.68</v>
      </c>
      <c r="D21" s="10" t="n">
        <f aca="false">'Monthly data'!I198</f>
        <v>20.64</v>
      </c>
      <c r="E21" s="10" t="n">
        <f aca="false">'Monthly data'!I199</f>
        <v>19.93</v>
      </c>
      <c r="F21" s="10" t="n">
        <f aca="false">'Monthly data'!I200</f>
        <v>19.85</v>
      </c>
      <c r="G21" s="10" t="n">
        <f aca="false">'Monthly data'!I201</f>
        <v>26.99</v>
      </c>
      <c r="H21" s="10" t="n">
        <f aca="false">'Monthly data'!I202</f>
        <v>41.79</v>
      </c>
      <c r="I21" s="10" t="n">
        <f aca="false">'Monthly data'!I203</f>
        <v>39.17</v>
      </c>
      <c r="J21" s="10" t="n">
        <f aca="false">'Monthly data'!I204</f>
        <v>33.6</v>
      </c>
      <c r="K21" s="10" t="n">
        <f aca="false">'Monthly data'!I205</f>
        <v>27.45</v>
      </c>
      <c r="L21" s="10" t="n">
        <f aca="false">'Monthly data'!I206</f>
        <v>25.7</v>
      </c>
      <c r="M21" s="10" t="n">
        <f aca="false">'Monthly data'!I207</f>
        <v>25.54</v>
      </c>
      <c r="N21" s="10" t="n">
        <f aca="false">'Monthly data'!I208</f>
        <v>23.14</v>
      </c>
      <c r="O21" s="10" t="n">
        <f aca="false">IF(COUNT(C21:N21)=12,AVERAGE(C21:N21),"")</f>
        <v>27.1233333333333</v>
      </c>
    </row>
    <row r="22" customFormat="false" ht="15" hidden="false" customHeight="false" outlineLevel="0" collapsed="false">
      <c r="A22" s="19" t="s">
        <v>56</v>
      </c>
      <c r="B22" s="9" t="str">
        <f aca="false">ENSO!C22</f>
        <v>El Niño</v>
      </c>
      <c r="C22" s="10" t="n">
        <f aca="false">'Monthly data'!I209</f>
        <v>22.27</v>
      </c>
      <c r="D22" s="10" t="n">
        <f aca="false">'Monthly data'!I210</f>
        <v>22.33</v>
      </c>
      <c r="E22" s="10" t="n">
        <f aca="false">'Monthly data'!I211</f>
        <v>22.51</v>
      </c>
      <c r="F22" s="10" t="n">
        <f aca="false">'Monthly data'!I212</f>
        <v>20.8</v>
      </c>
      <c r="G22" s="10" t="n">
        <f aca="false">'Monthly data'!I213</f>
        <v>19.81</v>
      </c>
      <c r="H22" s="10" t="n">
        <f aca="false">'Monthly data'!I214</f>
        <v>19.16</v>
      </c>
      <c r="I22" s="10" t="n">
        <f aca="false">'Monthly data'!I215</f>
        <v>27.4</v>
      </c>
      <c r="J22" s="10" t="n">
        <f aca="false">'Monthly data'!I216</f>
        <v>37.35</v>
      </c>
      <c r="K22" s="10" t="n">
        <f aca="false">'Monthly data'!I217</f>
        <v>35.49</v>
      </c>
      <c r="L22" s="10" t="n">
        <f aca="false">'Monthly data'!I218</f>
        <v>30.07</v>
      </c>
      <c r="M22" s="10" t="n">
        <f aca="false">'Monthly data'!I219</f>
        <v>25.83</v>
      </c>
      <c r="N22" s="10" t="n">
        <f aca="false">'Monthly data'!I220</f>
        <v>23.57</v>
      </c>
      <c r="O22" s="10" t="n">
        <f aca="false">IF(COUNT(C22:N22)=12,AVERAGE(C22:N22),"")</f>
        <v>25.5491666666667</v>
      </c>
    </row>
    <row r="23" customFormat="false" ht="15" hidden="false" customHeight="false" outlineLevel="0" collapsed="false">
      <c r="A23" s="19" t="s">
        <v>57</v>
      </c>
      <c r="B23" s="9" t="str">
        <f aca="false">ENSO!C23</f>
        <v>Neutral</v>
      </c>
      <c r="C23" s="10" t="n">
        <f aca="false">'Monthly data'!I221</f>
        <v>21.93</v>
      </c>
      <c r="D23" s="10" t="n">
        <f aca="false">'Monthly data'!I222</f>
        <v>21.02</v>
      </c>
      <c r="E23" s="10" t="n">
        <f aca="false">'Monthly data'!I223</f>
        <v>19.68</v>
      </c>
      <c r="F23" s="10" t="n">
        <f aca="false">'Monthly data'!I224</f>
        <v>22.78</v>
      </c>
      <c r="G23" s="10" t="n">
        <f aca="false">'Monthly data'!I225</f>
        <v>35.14</v>
      </c>
      <c r="H23" s="10" t="n">
        <f aca="false">'Monthly data'!I226</f>
        <v>33.55</v>
      </c>
      <c r="I23" s="10" t="n">
        <f aca="false">'Monthly data'!I227</f>
        <v>38.36</v>
      </c>
      <c r="J23" s="10" t="n">
        <f aca="false">'Monthly data'!I228</f>
        <v>30.57</v>
      </c>
      <c r="K23" s="10" t="n">
        <f aca="false">'Monthly data'!I229</f>
        <v>27.53</v>
      </c>
      <c r="L23" s="10" t="n">
        <f aca="false">'Monthly data'!I230</f>
        <v>29.39</v>
      </c>
      <c r="M23" s="10" t="n">
        <f aca="false">'Monthly data'!I231</f>
        <v>30.63</v>
      </c>
      <c r="N23" s="10" t="n">
        <f aca="false">'Monthly data'!I232</f>
        <v>29.21</v>
      </c>
      <c r="O23" s="10" t="n">
        <f aca="false">IF(COUNT(C23:N23)=12,AVERAGE(C23:N23),"")</f>
        <v>28.3158333333333</v>
      </c>
    </row>
    <row r="24" customFormat="false" ht="15" hidden="false" customHeight="false" outlineLevel="0" collapsed="false">
      <c r="A24" s="19" t="s">
        <v>58</v>
      </c>
      <c r="B24" s="9" t="str">
        <f aca="false">ENSO!C24</f>
        <v>Neutral</v>
      </c>
      <c r="C24" s="10" t="n">
        <f aca="false">'Monthly data'!I233</f>
        <v>26.34</v>
      </c>
      <c r="D24" s="10" t="n">
        <f aca="false">'Monthly data'!I234</f>
        <v>23.76</v>
      </c>
      <c r="E24" s="10" t="n">
        <f aca="false">'Monthly data'!I235</f>
        <v>23.01</v>
      </c>
      <c r="F24" s="10" t="n">
        <f aca="false">'Monthly data'!I236</f>
        <v>23.17</v>
      </c>
      <c r="G24" s="10" t="n">
        <f aca="false">'Monthly data'!I237</f>
        <v>23.77</v>
      </c>
      <c r="H24" s="10" t="n">
        <f aca="false">'Monthly data'!I238</f>
        <v>27.47</v>
      </c>
      <c r="I24" s="10" t="n">
        <f aca="false">'Monthly data'!I239</f>
        <v>29.67</v>
      </c>
      <c r="J24" s="10" t="n">
        <f aca="false">'Monthly data'!I240</f>
        <v>31.74</v>
      </c>
      <c r="K24" s="10" t="n">
        <f aca="false">'Monthly data'!I241</f>
        <v>39.48</v>
      </c>
      <c r="L24" s="10" t="n">
        <f aca="false">'Monthly data'!I242</f>
        <v>37.65</v>
      </c>
      <c r="M24" s="10" t="n">
        <f aca="false">'Monthly data'!I243</f>
        <v>31.39</v>
      </c>
      <c r="N24" s="10" t="n">
        <f aca="false">'Monthly data'!I244</f>
        <v>27.64</v>
      </c>
      <c r="O24" s="10" t="n">
        <f aca="false">IF(COUNT(C24:N24)=12,AVERAGE(C24:N24),"")</f>
        <v>28.7575</v>
      </c>
    </row>
    <row r="25" customFormat="false" ht="15" hidden="false" customHeight="false" outlineLevel="0" collapsed="false">
      <c r="A25" s="19" t="s">
        <v>59</v>
      </c>
      <c r="B25" s="9" t="str">
        <f aca="false">ENSO!C25</f>
        <v>El Niño*</v>
      </c>
      <c r="C25" s="10" t="n">
        <f aca="false">'Monthly data'!I245</f>
        <v>25.44</v>
      </c>
      <c r="D25" s="10" t="n">
        <f aca="false">'Monthly data'!I246</f>
        <v>23.33</v>
      </c>
      <c r="O25" s="10" t="str">
        <f aca="false">IF(COUNT(C25:N25)=12,AVERAGE(C25:N25),"")</f>
        <v/>
      </c>
    </row>
    <row r="27" customFormat="false" ht="15" hidden="false" customHeight="false" outlineLevel="0" collapsed="false">
      <c r="A27" s="20" t="s">
        <v>87</v>
      </c>
    </row>
    <row r="28" customFormat="false" ht="15" hidden="false" customHeight="false" outlineLevel="0" collapsed="false">
      <c r="A28" s="21" t="s">
        <v>88</v>
      </c>
      <c r="B28" s="22"/>
      <c r="C28" s="23" t="n">
        <f aca="false">AVERAGEIF($B$5:$B$25,"El Niño",C$5:C$25)</f>
        <v>24.9985714285714</v>
      </c>
      <c r="D28" s="23" t="n">
        <f aca="false">AVERAGEIF($B$5:$B$25,"El Niño",D$5:D$25)</f>
        <v>23.7085714285714</v>
      </c>
      <c r="E28" s="23" t="n">
        <f aca="false">AVERAGEIF($B$5:$B$25,"El Niño",E$5:E$25)</f>
        <v>22.54</v>
      </c>
      <c r="F28" s="23" t="n">
        <f aca="false">AVERAGEIF($B$5:$B$25,"El Niño",F$5:F$25)</f>
        <v>22.5057142857143</v>
      </c>
      <c r="G28" s="23" t="n">
        <f aca="false">AVERAGEIF($B$5:$B$25,"El Niño",G$5:G$25)</f>
        <v>28.5742857142857</v>
      </c>
      <c r="H28" s="23" t="n">
        <f aca="false">AVERAGEIF($B$5:$B$25,"El Niño",H$5:H$25)</f>
        <v>30.4285714285714</v>
      </c>
      <c r="I28" s="23" t="n">
        <f aca="false">AVERAGEIF($B$5:$B$25,"El Niño",I$5:I$25)</f>
        <v>30.1057142857143</v>
      </c>
      <c r="J28" s="23" t="n">
        <f aca="false">AVERAGEIF($B$5:$B$25,"El Niño",J$5:J$25)</f>
        <v>31.1085714285714</v>
      </c>
      <c r="K28" s="23" t="n">
        <f aca="false">AVERAGEIF($B$5:$B$25,"El Niño",K$5:K$25)</f>
        <v>29.94</v>
      </c>
      <c r="L28" s="23" t="n">
        <f aca="false">AVERAGEIF($B$5:$B$25,"El Niño",L$5:L$25)</f>
        <v>28</v>
      </c>
      <c r="M28" s="23" t="n">
        <f aca="false">AVERAGEIF($B$5:$B$25,"El Niño",M$5:M$25)</f>
        <v>25.6457142857143</v>
      </c>
      <c r="N28" s="23" t="n">
        <f aca="false">AVERAGEIF($B$5:$B$25,"El Niño",N$5:N$25)</f>
        <v>23.59</v>
      </c>
      <c r="O28" s="23" t="n">
        <f aca="false">AVERAGEIF($B$5:$B$25,"El Niño",O$5:O$25)</f>
        <v>26.7621428571429</v>
      </c>
    </row>
    <row r="29" customFormat="false" ht="15" hidden="false" customHeight="false" outlineLevel="0" collapsed="false">
      <c r="A29" s="21" t="s">
        <v>89</v>
      </c>
      <c r="B29" s="22"/>
      <c r="C29" s="23" t="n">
        <f aca="false">AVERAGEIF($B$5:$B$25,"La Niña",C$5:C$25)</f>
        <v>23.35875</v>
      </c>
      <c r="D29" s="23" t="n">
        <f aca="false">AVERAGEIF($B$5:$B$25,"La Niña",D$5:D$25)</f>
        <v>22.00875</v>
      </c>
      <c r="E29" s="23" t="n">
        <f aca="false">AVERAGEIF($B$5:$B$25,"La Niña",E$5:E$25)</f>
        <v>21.22875</v>
      </c>
      <c r="F29" s="23" t="n">
        <f aca="false">AVERAGEIF($B$5:$B$25,"La Niña",F$5:F$25)</f>
        <v>21.6825</v>
      </c>
      <c r="G29" s="23" t="n">
        <f aca="false">AVERAGEIF($B$5:$B$25,"La Niña",G$5:G$25)</f>
        <v>27.9</v>
      </c>
      <c r="H29" s="23" t="n">
        <f aca="false">AVERAGEIF($B$5:$B$25,"La Niña",H$5:H$25)</f>
        <v>35.69</v>
      </c>
      <c r="I29" s="23" t="n">
        <f aca="false">AVERAGEIF($B$5:$B$25,"La Niña",I$5:I$25)</f>
        <v>33.99375</v>
      </c>
      <c r="J29" s="23" t="n">
        <f aca="false">AVERAGEIF($B$5:$B$25,"La Niña",J$5:J$25)</f>
        <v>32.35</v>
      </c>
      <c r="K29" s="23" t="n">
        <f aca="false">AVERAGEIF($B$5:$B$25,"La Niña",K$5:K$25)</f>
        <v>31.43375</v>
      </c>
      <c r="L29" s="23" t="n">
        <f aca="false">AVERAGEIF($B$5:$B$25,"La Niña",L$5:L$25)</f>
        <v>31.06</v>
      </c>
      <c r="M29" s="23" t="n">
        <f aca="false">AVERAGEIF($B$5:$B$25,"La Niña",M$5:M$25)</f>
        <v>28.4125</v>
      </c>
      <c r="N29" s="23" t="n">
        <f aca="false">AVERAGEIF($B$5:$B$25,"La Niña",N$5:N$25)</f>
        <v>25.87375</v>
      </c>
      <c r="O29" s="23" t="n">
        <f aca="false">AVERAGEIF($B$5:$B$25,"La Niña",O$5:O$25)</f>
        <v>27.9160416666667</v>
      </c>
    </row>
    <row r="30" customFormat="false" ht="15" hidden="false" customHeight="false" outlineLevel="0" collapsed="false">
      <c r="A30" s="21" t="s">
        <v>90</v>
      </c>
      <c r="B30" s="22"/>
      <c r="C30" s="23" t="n">
        <f aca="false">AVERAGEIF($B$5:$B$25,"Neutral",C$5:C$25)</f>
        <v>22.416</v>
      </c>
      <c r="D30" s="23" t="n">
        <f aca="false">AVERAGEIF($B$5:$B$25,"Neutral",D$5:D$25)</f>
        <v>21.468</v>
      </c>
      <c r="E30" s="23" t="n">
        <f aca="false">AVERAGEIF($B$5:$B$25,"Neutral",E$5:E$25)</f>
        <v>20.7</v>
      </c>
      <c r="F30" s="23" t="n">
        <f aca="false">AVERAGEIF($B$5:$B$25,"Neutral",F$5:F$25)</f>
        <v>21.51</v>
      </c>
      <c r="G30" s="23" t="n">
        <f aca="false">AVERAGEIF($B$5:$B$25,"Neutral",G$5:G$25)</f>
        <v>27.018</v>
      </c>
      <c r="H30" s="23" t="n">
        <f aca="false">AVERAGEIF($B$5:$B$25,"Neutral",H$5:H$25)</f>
        <v>31.252</v>
      </c>
      <c r="I30" s="23" t="n">
        <f aca="false">AVERAGEIF($B$5:$B$25,"Neutral",I$5:I$25)</f>
        <v>30.974</v>
      </c>
      <c r="J30" s="23" t="n">
        <f aca="false">AVERAGEIF($B$5:$B$25,"Neutral",J$5:J$25)</f>
        <v>29.282</v>
      </c>
      <c r="K30" s="23" t="n">
        <f aca="false">AVERAGEIF($B$5:$B$25,"Neutral",K$5:K$25)</f>
        <v>28.474</v>
      </c>
      <c r="L30" s="23" t="n">
        <f aca="false">AVERAGEIF($B$5:$B$25,"Neutral",L$5:L$25)</f>
        <v>29.196</v>
      </c>
      <c r="M30" s="23" t="n">
        <f aca="false">AVERAGEIF($B$5:$B$25,"Neutral",M$5:M$25)</f>
        <v>26.854</v>
      </c>
      <c r="N30" s="23" t="n">
        <f aca="false">AVERAGEIF($B$5:$B$25,"Neutral",N$5:N$25)</f>
        <v>26.196</v>
      </c>
      <c r="O30" s="23" t="n">
        <f aca="false">AVERAGEIF($B$5:$B$25,"Neutral",O$5:O$25)</f>
        <v>26.2783333333333</v>
      </c>
    </row>
    <row r="31" customFormat="false" ht="15" hidden="false" customHeight="false" outlineLevel="0" collapsed="false">
      <c r="A31" s="21" t="s">
        <v>91</v>
      </c>
      <c r="B31" s="22"/>
      <c r="C31" s="23" t="n">
        <f aca="false">AVERAGE(C5:C24)</f>
        <v>23.697</v>
      </c>
      <c r="D31" s="23" t="n">
        <f aca="false">AVERAGE(D5:D24)</f>
        <v>22.4685</v>
      </c>
      <c r="E31" s="23" t="n">
        <f aca="false">AVERAGE(E5:E24)</f>
        <v>21.5555</v>
      </c>
      <c r="F31" s="23" t="n">
        <f aca="false">AVERAGE(F5:F24)</f>
        <v>21.9275</v>
      </c>
      <c r="G31" s="23" t="n">
        <f aca="false">AVERAGE(G5:G24)</f>
        <v>27.9155</v>
      </c>
      <c r="H31" s="23" t="n">
        <f aca="false">AVERAGE(H5:H24)</f>
        <v>32.739</v>
      </c>
      <c r="I31" s="23" t="n">
        <f aca="false">AVERAGE(I5:I24)</f>
        <v>31.878</v>
      </c>
      <c r="J31" s="23" t="n">
        <f aca="false">AVERAGE(J5:J24)</f>
        <v>31.1485</v>
      </c>
      <c r="K31" s="23" t="n">
        <f aca="false">AVERAGE(K5:K24)</f>
        <v>30.171</v>
      </c>
      <c r="L31" s="23" t="n">
        <f aca="false">AVERAGE(L5:L24)</f>
        <v>29.523</v>
      </c>
      <c r="M31" s="23" t="n">
        <f aca="false">AVERAGE(M5:M24)</f>
        <v>27.0545</v>
      </c>
      <c r="N31" s="23" t="n">
        <f aca="false">AVERAGE(N5:N24)</f>
        <v>25.155</v>
      </c>
      <c r="O31" s="23" t="n">
        <f aca="false">AVERAGE(O5:O24)</f>
        <v>27.10275</v>
      </c>
    </row>
    <row r="33" customFormat="false" ht="15" hidden="false" customHeight="false" outlineLevel="0" collapsed="false">
      <c r="A33" s="1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1" min="2" style="0" width="9"/>
  </cols>
  <sheetData>
    <row r="1" customFormat="false" ht="17.35" hidden="false" customHeight="false" outlineLevel="0" collapsed="false">
      <c r="A1" s="4" t="s">
        <v>101</v>
      </c>
    </row>
    <row r="2" customFormat="false" ht="15" hidden="false" customHeight="false" outlineLevel="0" collapsed="false">
      <c r="A2" s="5" t="s">
        <v>102</v>
      </c>
    </row>
    <row r="3" customFormat="false" ht="15" hidden="false" customHeight="false" outlineLevel="0" collapsed="false">
      <c r="B3" s="20" t="s">
        <v>103</v>
      </c>
      <c r="G3" s="20" t="s">
        <v>104</v>
      </c>
      <c r="L3" s="20" t="s">
        <v>105</v>
      </c>
      <c r="Q3" s="20" t="s">
        <v>106</v>
      </c>
    </row>
    <row r="4" customFormat="false" ht="30" hidden="false" customHeight="true" outlineLevel="0" collapsed="false">
      <c r="A4" s="7" t="s">
        <v>29</v>
      </c>
      <c r="B4" s="7" t="s">
        <v>107</v>
      </c>
      <c r="C4" s="7" t="s">
        <v>108</v>
      </c>
      <c r="D4" s="7" t="s">
        <v>109</v>
      </c>
      <c r="E4" s="7" t="s">
        <v>110</v>
      </c>
      <c r="F4" s="7" t="s">
        <v>111</v>
      </c>
      <c r="G4" s="7" t="s">
        <v>107</v>
      </c>
      <c r="H4" s="7" t="s">
        <v>108</v>
      </c>
      <c r="I4" s="7" t="s">
        <v>109</v>
      </c>
      <c r="J4" s="7" t="s">
        <v>110</v>
      </c>
      <c r="K4" s="7" t="s">
        <v>111</v>
      </c>
      <c r="L4" s="7" t="s">
        <v>107</v>
      </c>
      <c r="M4" s="7" t="s">
        <v>108</v>
      </c>
      <c r="N4" s="7" t="s">
        <v>109</v>
      </c>
      <c r="O4" s="7" t="s">
        <v>110</v>
      </c>
      <c r="P4" s="7" t="s">
        <v>111</v>
      </c>
      <c r="Q4" s="7" t="s">
        <v>107</v>
      </c>
      <c r="R4" s="7" t="s">
        <v>108</v>
      </c>
      <c r="S4" s="7" t="s">
        <v>109</v>
      </c>
      <c r="T4" s="7" t="s">
        <v>110</v>
      </c>
      <c r="U4" s="7" t="s">
        <v>111</v>
      </c>
    </row>
    <row r="5" customFormat="false" ht="15" hidden="false" customHeight="false" outlineLevel="0" collapsed="false">
      <c r="A5" s="8" t="n">
        <v>38899</v>
      </c>
    </row>
    <row r="6" customFormat="false" ht="15" hidden="false" customHeight="false" outlineLevel="0" collapsed="false">
      <c r="A6" s="8" t="n">
        <v>38930</v>
      </c>
    </row>
    <row r="7" customFormat="false" ht="15" hidden="false" customHeight="false" outlineLevel="0" collapsed="false">
      <c r="A7" s="8" t="n">
        <v>38961</v>
      </c>
    </row>
    <row r="8" customFormat="false" ht="15" hidden="false" customHeight="false" outlineLevel="0" collapsed="false">
      <c r="A8" s="8" t="n">
        <v>38991</v>
      </c>
    </row>
    <row r="9" customFormat="false" ht="15" hidden="false" customHeight="false" outlineLevel="0" collapsed="false">
      <c r="A9" s="8" t="n">
        <v>39022</v>
      </c>
    </row>
    <row r="10" customFormat="false" ht="15" hidden="false" customHeight="false" outlineLevel="0" collapsed="false">
      <c r="A10" s="8" t="n">
        <v>39052</v>
      </c>
    </row>
    <row r="11" customFormat="false" ht="15" hidden="false" customHeight="false" outlineLevel="0" collapsed="false">
      <c r="A11" s="8" t="n">
        <v>39083</v>
      </c>
      <c r="B11" s="11" t="n">
        <v>49.6</v>
      </c>
      <c r="C11" s="10" t="n">
        <v>26.3</v>
      </c>
      <c r="D11" s="10" t="n">
        <v>22.69</v>
      </c>
      <c r="E11" s="10" t="n">
        <v>31.65</v>
      </c>
      <c r="F11" s="11" t="n">
        <v>80.24</v>
      </c>
      <c r="G11" s="11" t="n">
        <v>119.2</v>
      </c>
      <c r="H11" s="10" t="n">
        <v>26.33</v>
      </c>
      <c r="I11" s="10" t="n">
        <v>23.28</v>
      </c>
      <c r="J11" s="10" t="n">
        <v>31.63</v>
      </c>
      <c r="K11" s="11" t="n">
        <v>79.85</v>
      </c>
    </row>
    <row r="12" customFormat="false" ht="15" hidden="false" customHeight="false" outlineLevel="0" collapsed="false">
      <c r="A12" s="8" t="n">
        <v>39114</v>
      </c>
    </row>
    <row r="13" customFormat="false" ht="15" hidden="false" customHeight="false" outlineLevel="0" collapsed="false">
      <c r="A13" s="8" t="n">
        <v>39142</v>
      </c>
    </row>
    <row r="14" customFormat="false" ht="15" hidden="false" customHeight="false" outlineLevel="0" collapsed="false">
      <c r="A14" s="8" t="n">
        <v>39173</v>
      </c>
      <c r="B14" s="11" t="n">
        <v>199.2</v>
      </c>
      <c r="C14" s="10" t="n">
        <v>24.81</v>
      </c>
      <c r="D14" s="10" t="n">
        <v>21.24</v>
      </c>
      <c r="E14" s="10" t="n">
        <v>30.09</v>
      </c>
      <c r="F14" s="11" t="n">
        <v>83.61</v>
      </c>
      <c r="G14" s="11" t="n">
        <v>182.4</v>
      </c>
      <c r="H14" s="10" t="n">
        <v>25.26</v>
      </c>
      <c r="I14" s="10" t="n">
        <v>22.38</v>
      </c>
      <c r="J14" s="10" t="n">
        <v>30.18</v>
      </c>
      <c r="K14" s="11" t="n">
        <v>81.18</v>
      </c>
    </row>
    <row r="15" customFormat="false" ht="15" hidden="false" customHeight="false" outlineLevel="0" collapsed="false">
      <c r="A15" s="8" t="n">
        <v>39203</v>
      </c>
    </row>
    <row r="16" customFormat="false" ht="15" hidden="false" customHeight="false" outlineLevel="0" collapsed="false">
      <c r="A16" s="8" t="n">
        <v>39234</v>
      </c>
    </row>
    <row r="17" customFormat="false" ht="15" hidden="false" customHeight="false" outlineLevel="0" collapsed="false">
      <c r="A17" s="8" t="n">
        <v>39264</v>
      </c>
    </row>
    <row r="18" customFormat="false" ht="15" hidden="false" customHeight="false" outlineLevel="0" collapsed="false">
      <c r="A18" s="8" t="n">
        <v>39295</v>
      </c>
    </row>
    <row r="19" customFormat="false" ht="15" hidden="false" customHeight="false" outlineLevel="0" collapsed="false">
      <c r="A19" s="8" t="n">
        <v>39326</v>
      </c>
      <c r="B19" s="11" t="n">
        <v>82</v>
      </c>
      <c r="C19" s="10" t="n">
        <v>21.52</v>
      </c>
      <c r="D19" s="10" t="n">
        <v>17.54</v>
      </c>
      <c r="E19" s="10" t="n">
        <v>26.59</v>
      </c>
      <c r="F19" s="11" t="n">
        <v>79.46</v>
      </c>
      <c r="G19" s="11" t="n">
        <v>42</v>
      </c>
      <c r="H19" s="10" t="n">
        <v>22</v>
      </c>
      <c r="I19" s="10" t="n">
        <v>18.69</v>
      </c>
      <c r="J19" s="10" t="n">
        <v>27.09</v>
      </c>
      <c r="K19" s="11" t="n">
        <v>76.23</v>
      </c>
    </row>
    <row r="20" customFormat="false" ht="15" hidden="false" customHeight="false" outlineLevel="0" collapsed="false">
      <c r="A20" s="8" t="n">
        <v>39356</v>
      </c>
    </row>
    <row r="21" customFormat="false" ht="15" hidden="false" customHeight="false" outlineLevel="0" collapsed="false">
      <c r="A21" s="8" t="n">
        <v>39387</v>
      </c>
      <c r="B21" s="11" t="n">
        <v>98.6</v>
      </c>
      <c r="C21" s="10" t="n">
        <v>25.04</v>
      </c>
      <c r="D21" s="10" t="n">
        <v>20.96</v>
      </c>
      <c r="E21" s="10" t="n">
        <v>30.39</v>
      </c>
      <c r="F21" s="11" t="n">
        <v>74.78</v>
      </c>
      <c r="G21" s="11" t="n">
        <v>150</v>
      </c>
      <c r="H21" s="10" t="n">
        <v>25.26</v>
      </c>
      <c r="I21" s="10" t="n">
        <v>21.8</v>
      </c>
      <c r="J21" s="10" t="n">
        <v>31.15</v>
      </c>
      <c r="K21" s="11" t="n">
        <v>73.31</v>
      </c>
    </row>
    <row r="22" customFormat="false" ht="15" hidden="false" customHeight="false" outlineLevel="0" collapsed="false">
      <c r="A22" s="8" t="n">
        <v>39417</v>
      </c>
      <c r="B22" s="11" t="n">
        <v>138.2</v>
      </c>
      <c r="C22" s="10" t="n">
        <v>25.43</v>
      </c>
      <c r="D22" s="10" t="n">
        <v>21.72</v>
      </c>
      <c r="E22" s="10" t="n">
        <v>30.49</v>
      </c>
      <c r="F22" s="11" t="n">
        <v>78.39</v>
      </c>
      <c r="G22" s="11" t="n">
        <v>84.2</v>
      </c>
      <c r="H22" s="10" t="n">
        <v>25.72</v>
      </c>
      <c r="I22" s="10" t="n">
        <v>22.49</v>
      </c>
      <c r="J22" s="10" t="n">
        <v>31.2</v>
      </c>
      <c r="K22" s="11" t="n">
        <v>76.51</v>
      </c>
    </row>
    <row r="23" customFormat="false" ht="15" hidden="false" customHeight="false" outlineLevel="0" collapsed="false">
      <c r="A23" s="8" t="n">
        <v>39448</v>
      </c>
      <c r="B23" s="11" t="n">
        <v>150.8</v>
      </c>
      <c r="C23" s="10" t="n">
        <v>25.04</v>
      </c>
      <c r="D23" s="10" t="n">
        <v>21.38</v>
      </c>
      <c r="E23" s="10" t="n">
        <v>29.99</v>
      </c>
      <c r="F23" s="11" t="n">
        <v>79.82</v>
      </c>
      <c r="G23" s="11" t="n">
        <v>137.2</v>
      </c>
      <c r="H23" s="10" t="n">
        <v>25.24</v>
      </c>
      <c r="I23" s="10" t="n">
        <v>22.02</v>
      </c>
      <c r="J23" s="10" t="n">
        <v>30.26</v>
      </c>
      <c r="K23" s="11" t="n">
        <v>77.07</v>
      </c>
    </row>
    <row r="24" customFormat="false" ht="15" hidden="false" customHeight="false" outlineLevel="0" collapsed="false">
      <c r="A24" s="8" t="n">
        <v>39479</v>
      </c>
      <c r="B24" s="11" t="n">
        <v>209.8</v>
      </c>
      <c r="C24" s="10" t="n">
        <v>25.7</v>
      </c>
      <c r="D24" s="10" t="n">
        <v>21.94</v>
      </c>
      <c r="E24" s="10" t="n">
        <v>31.14</v>
      </c>
      <c r="F24" s="11" t="n">
        <v>79.98</v>
      </c>
      <c r="G24" s="11" t="n">
        <v>158.6</v>
      </c>
      <c r="H24" s="10" t="n">
        <v>26.13</v>
      </c>
      <c r="I24" s="10" t="n">
        <v>22.81</v>
      </c>
      <c r="J24" s="10" t="n">
        <v>31.75</v>
      </c>
      <c r="K24" s="11" t="n">
        <v>76.85</v>
      </c>
    </row>
    <row r="25" customFormat="false" ht="15" hidden="false" customHeight="false" outlineLevel="0" collapsed="false">
      <c r="A25" s="8" t="n">
        <v>39508</v>
      </c>
    </row>
    <row r="26" customFormat="false" ht="15" hidden="false" customHeight="false" outlineLevel="0" collapsed="false">
      <c r="A26" s="8" t="n">
        <v>39539</v>
      </c>
      <c r="B26" s="11" t="n">
        <v>103.8</v>
      </c>
      <c r="C26" s="10" t="n">
        <v>25.63</v>
      </c>
      <c r="D26" s="10" t="n">
        <v>22.18</v>
      </c>
      <c r="E26" s="10" t="n">
        <v>30.99</v>
      </c>
      <c r="F26" s="11" t="n">
        <v>82.49</v>
      </c>
      <c r="G26" s="11" t="n">
        <v>101.2</v>
      </c>
      <c r="H26" s="10" t="n">
        <v>26.04</v>
      </c>
      <c r="I26" s="10" t="n">
        <v>22.99</v>
      </c>
      <c r="J26" s="10" t="n">
        <v>31.19</v>
      </c>
      <c r="K26" s="11" t="n">
        <v>79.45</v>
      </c>
    </row>
    <row r="27" customFormat="false" ht="15" hidden="false" customHeight="false" outlineLevel="0" collapsed="false">
      <c r="A27" s="8" t="n">
        <v>39569</v>
      </c>
    </row>
    <row r="28" customFormat="false" ht="15" hidden="false" customHeight="false" outlineLevel="0" collapsed="false">
      <c r="A28" s="8" t="n">
        <v>39600</v>
      </c>
    </row>
    <row r="29" customFormat="false" ht="15" hidden="false" customHeight="false" outlineLevel="0" collapsed="false">
      <c r="A29" s="8" t="n">
        <v>39630</v>
      </c>
      <c r="B29" s="11" t="n">
        <v>32.8</v>
      </c>
      <c r="C29" s="10" t="n">
        <v>20.37</v>
      </c>
      <c r="D29" s="10" t="n">
        <v>16.24</v>
      </c>
      <c r="E29" s="10" t="n">
        <v>26.35</v>
      </c>
      <c r="F29" s="11" t="n">
        <v>80.51</v>
      </c>
      <c r="G29" s="11" t="n">
        <v>30.8</v>
      </c>
      <c r="H29" s="10" t="n">
        <v>20.84</v>
      </c>
      <c r="I29" s="10" t="n">
        <v>17.04</v>
      </c>
      <c r="J29" s="10" t="n">
        <v>26.64</v>
      </c>
      <c r="K29" s="11" t="n">
        <v>77.05</v>
      </c>
    </row>
    <row r="30" customFormat="false" ht="15" hidden="false" customHeight="false" outlineLevel="0" collapsed="false">
      <c r="A30" s="8" t="n">
        <v>39661</v>
      </c>
      <c r="B30" s="11" t="n">
        <v>63.8</v>
      </c>
      <c r="C30" s="10" t="n">
        <v>21.67</v>
      </c>
      <c r="D30" s="10" t="n">
        <v>17.56</v>
      </c>
      <c r="E30" s="10" t="n">
        <v>27.06</v>
      </c>
      <c r="F30" s="11" t="n">
        <v>81.51</v>
      </c>
    </row>
    <row r="31" customFormat="false" ht="15" hidden="false" customHeight="false" outlineLevel="0" collapsed="false">
      <c r="A31" s="8" t="n">
        <v>39692</v>
      </c>
      <c r="B31" s="11" t="n">
        <v>8</v>
      </c>
      <c r="C31" s="10" t="n">
        <v>22.19</v>
      </c>
      <c r="D31" s="10" t="n">
        <v>18.42</v>
      </c>
      <c r="E31" s="10" t="n">
        <v>27.23</v>
      </c>
      <c r="F31" s="11" t="n">
        <v>76.16</v>
      </c>
      <c r="G31" s="11" t="n">
        <v>25.4</v>
      </c>
      <c r="H31" s="10" t="n">
        <v>22.56</v>
      </c>
      <c r="I31" s="10" t="n">
        <v>19.03</v>
      </c>
      <c r="J31" s="10" t="n">
        <v>28.19</v>
      </c>
      <c r="K31" s="11" t="n">
        <v>72.21</v>
      </c>
    </row>
    <row r="32" customFormat="false" ht="15" hidden="false" customHeight="false" outlineLevel="0" collapsed="false">
      <c r="A32" s="8" t="n">
        <v>39722</v>
      </c>
      <c r="B32" s="11" t="n">
        <v>89.4</v>
      </c>
      <c r="C32" s="10" t="n">
        <v>24.17</v>
      </c>
      <c r="D32" s="10" t="n">
        <v>20.43</v>
      </c>
      <c r="E32" s="10" t="n">
        <v>28.99</v>
      </c>
      <c r="F32" s="11" t="n">
        <v>78.51</v>
      </c>
      <c r="G32" s="11" t="n">
        <v>86.2</v>
      </c>
      <c r="H32" s="10" t="n">
        <v>24.57</v>
      </c>
      <c r="I32" s="10" t="n">
        <v>21.28</v>
      </c>
      <c r="J32" s="10" t="n">
        <v>30.12</v>
      </c>
      <c r="K32" s="11" t="n">
        <v>75.02</v>
      </c>
    </row>
    <row r="33" customFormat="false" ht="15" hidden="false" customHeight="false" outlineLevel="0" collapsed="false">
      <c r="A33" s="8" t="n">
        <v>39753</v>
      </c>
      <c r="B33" s="11" t="n">
        <v>553.4</v>
      </c>
      <c r="C33" s="10" t="n">
        <v>24.04</v>
      </c>
      <c r="D33" s="10" t="n">
        <v>21.61</v>
      </c>
      <c r="E33" s="10" t="n">
        <v>27.69</v>
      </c>
      <c r="F33" s="11" t="n">
        <v>83.26</v>
      </c>
    </row>
    <row r="34" customFormat="false" ht="15" hidden="false" customHeight="false" outlineLevel="0" collapsed="false">
      <c r="A34" s="8" t="n">
        <v>39783</v>
      </c>
      <c r="B34" s="11" t="n">
        <v>123.6</v>
      </c>
      <c r="C34" s="10" t="n">
        <v>24.61</v>
      </c>
      <c r="D34" s="10" t="n">
        <v>21.62</v>
      </c>
      <c r="E34" s="10" t="n">
        <v>28.94</v>
      </c>
      <c r="F34" s="11" t="n">
        <v>82.93</v>
      </c>
    </row>
    <row r="35" customFormat="false" ht="15" hidden="false" customHeight="false" outlineLevel="0" collapsed="false">
      <c r="A35" s="8" t="n">
        <v>39814</v>
      </c>
    </row>
    <row r="36" customFormat="false" ht="15" hidden="false" customHeight="false" outlineLevel="0" collapsed="false">
      <c r="A36" s="8" t="n">
        <v>39845</v>
      </c>
    </row>
    <row r="37" customFormat="false" ht="15" hidden="false" customHeight="false" outlineLevel="0" collapsed="false">
      <c r="A37" s="8" t="n">
        <v>39873</v>
      </c>
      <c r="B37" s="11" t="n">
        <v>133.2</v>
      </c>
      <c r="C37" s="10" t="n">
        <v>26.31</v>
      </c>
      <c r="D37" s="10" t="n">
        <v>22.85</v>
      </c>
      <c r="E37" s="10" t="n">
        <v>31.85</v>
      </c>
      <c r="F37" s="11" t="n">
        <v>80.38</v>
      </c>
      <c r="G37" s="11" t="n">
        <v>204.8</v>
      </c>
      <c r="H37" s="10" t="n">
        <v>26.69</v>
      </c>
      <c r="I37" s="10" t="n">
        <v>23.56</v>
      </c>
      <c r="J37" s="10" t="n">
        <v>32.03</v>
      </c>
      <c r="K37" s="11" t="n">
        <v>77.19</v>
      </c>
    </row>
    <row r="38" customFormat="false" ht="15" hidden="false" customHeight="false" outlineLevel="0" collapsed="false">
      <c r="A38" s="8" t="n">
        <v>39904</v>
      </c>
      <c r="B38" s="11" t="n">
        <v>147.4</v>
      </c>
      <c r="C38" s="10" t="n">
        <v>24.85</v>
      </c>
      <c r="D38" s="10" t="n">
        <v>21.81</v>
      </c>
      <c r="E38" s="10" t="n">
        <v>29.63</v>
      </c>
      <c r="F38" s="11" t="n">
        <v>82.7</v>
      </c>
      <c r="G38" s="11" t="n">
        <v>240.6</v>
      </c>
      <c r="H38" s="10" t="n">
        <v>24.9</v>
      </c>
      <c r="I38" s="10" t="n">
        <v>21.83</v>
      </c>
      <c r="J38" s="10" t="n">
        <v>29.67</v>
      </c>
      <c r="K38" s="11" t="n">
        <v>79.65</v>
      </c>
    </row>
    <row r="39" customFormat="false" ht="15" hidden="false" customHeight="false" outlineLevel="0" collapsed="false">
      <c r="A39" s="8" t="n">
        <v>39934</v>
      </c>
      <c r="B39" s="11" t="n">
        <v>11.2</v>
      </c>
      <c r="C39" s="10" t="n">
        <v>22.7</v>
      </c>
      <c r="D39" s="10" t="n">
        <v>19.42</v>
      </c>
      <c r="E39" s="10" t="n">
        <v>27.95</v>
      </c>
      <c r="F39" s="11" t="n">
        <v>82.5</v>
      </c>
      <c r="G39" s="11" t="n">
        <v>17.8</v>
      </c>
      <c r="H39" s="10" t="n">
        <v>22.92</v>
      </c>
      <c r="I39" s="10" t="n">
        <v>19.73</v>
      </c>
      <c r="J39" s="10" t="n">
        <v>27.7</v>
      </c>
      <c r="K39" s="11" t="n">
        <v>79.44</v>
      </c>
    </row>
    <row r="40" customFormat="false" ht="15" hidden="false" customHeight="false" outlineLevel="0" collapsed="false">
      <c r="A40" s="8" t="n">
        <v>39965</v>
      </c>
      <c r="B40" s="11" t="n">
        <v>43.8</v>
      </c>
      <c r="C40" s="10" t="n">
        <v>21.69</v>
      </c>
      <c r="D40" s="10" t="n">
        <v>18.6</v>
      </c>
      <c r="E40" s="10" t="n">
        <v>26.71</v>
      </c>
      <c r="F40" s="11" t="n">
        <v>83.65</v>
      </c>
      <c r="G40" s="11" t="n">
        <v>26</v>
      </c>
      <c r="H40" s="10" t="n">
        <v>21.81</v>
      </c>
      <c r="I40" s="10" t="n">
        <v>18.76</v>
      </c>
      <c r="J40" s="10" t="n">
        <v>26.46</v>
      </c>
      <c r="K40" s="11" t="n">
        <v>79.72</v>
      </c>
    </row>
    <row r="41" customFormat="false" ht="15" hidden="false" customHeight="false" outlineLevel="0" collapsed="false">
      <c r="A41" s="8" t="n">
        <v>39995</v>
      </c>
      <c r="B41" s="11" t="n">
        <v>35.2</v>
      </c>
      <c r="C41" s="10" t="n">
        <v>21.95</v>
      </c>
      <c r="D41" s="10" t="n">
        <v>18.33</v>
      </c>
      <c r="E41" s="10" t="n">
        <v>27.4</v>
      </c>
      <c r="F41" s="11" t="n">
        <v>83.41</v>
      </c>
      <c r="G41" s="11" t="n">
        <v>86.2</v>
      </c>
      <c r="H41" s="10" t="n">
        <v>22.21</v>
      </c>
      <c r="I41" s="10" t="n">
        <v>18.84</v>
      </c>
      <c r="J41" s="10" t="n">
        <v>27.2</v>
      </c>
      <c r="K41" s="11" t="n">
        <v>80.54</v>
      </c>
    </row>
    <row r="42" customFormat="false" ht="15" hidden="false" customHeight="false" outlineLevel="0" collapsed="false">
      <c r="A42" s="8" t="n">
        <v>40026</v>
      </c>
      <c r="B42" s="11" t="n">
        <v>42</v>
      </c>
      <c r="C42" s="10" t="n">
        <v>21.96</v>
      </c>
      <c r="D42" s="10" t="n">
        <v>18.52</v>
      </c>
      <c r="E42" s="10" t="n">
        <v>26.94</v>
      </c>
      <c r="F42" s="11" t="n">
        <v>82.05</v>
      </c>
      <c r="G42" s="11" t="n">
        <v>134.4</v>
      </c>
      <c r="H42" s="10" t="n">
        <v>22</v>
      </c>
      <c r="I42" s="10" t="n">
        <v>18.91</v>
      </c>
      <c r="J42" s="10" t="n">
        <v>26.73</v>
      </c>
      <c r="K42" s="11" t="n">
        <v>80.13</v>
      </c>
    </row>
    <row r="43" customFormat="false" ht="15" hidden="false" customHeight="false" outlineLevel="0" collapsed="false">
      <c r="A43" s="8" t="n">
        <v>40057</v>
      </c>
      <c r="B43" s="11" t="n">
        <v>12.8</v>
      </c>
      <c r="C43" s="10" t="n">
        <v>24</v>
      </c>
      <c r="D43" s="10" t="n">
        <v>20.15</v>
      </c>
      <c r="E43" s="10" t="n">
        <v>29.37</v>
      </c>
      <c r="F43" s="11" t="n">
        <v>78.45</v>
      </c>
      <c r="G43" s="11" t="n">
        <v>32</v>
      </c>
      <c r="H43" s="10" t="n">
        <v>24.15</v>
      </c>
      <c r="I43" s="10" t="n">
        <v>20.92</v>
      </c>
      <c r="J43" s="10" t="n">
        <v>29.66</v>
      </c>
      <c r="K43" s="11" t="n">
        <v>76.22</v>
      </c>
    </row>
    <row r="44" customFormat="false" ht="15" hidden="false" customHeight="false" outlineLevel="0" collapsed="false">
      <c r="A44" s="8" t="n">
        <v>40087</v>
      </c>
    </row>
    <row r="45" customFormat="false" ht="15" hidden="false" customHeight="false" outlineLevel="0" collapsed="false">
      <c r="A45" s="8" t="n">
        <v>40118</v>
      </c>
      <c r="B45" s="11" t="n">
        <v>101.8</v>
      </c>
      <c r="C45" s="10" t="n">
        <v>25.58</v>
      </c>
      <c r="D45" s="10" t="n">
        <v>21.74</v>
      </c>
      <c r="E45" s="10" t="n">
        <v>30.45</v>
      </c>
      <c r="F45" s="11" t="n">
        <v>78.9</v>
      </c>
      <c r="G45" s="11" t="n">
        <v>167.4</v>
      </c>
      <c r="H45" s="10" t="n">
        <v>25.88</v>
      </c>
      <c r="I45" s="10" t="n">
        <v>22.43</v>
      </c>
      <c r="J45" s="10" t="n">
        <v>31.23</v>
      </c>
      <c r="K45" s="11" t="n">
        <v>75.95</v>
      </c>
    </row>
    <row r="46" customFormat="false" ht="15" hidden="false" customHeight="false" outlineLevel="0" collapsed="false">
      <c r="A46" s="8" t="n">
        <v>40148</v>
      </c>
      <c r="B46" s="11" t="n">
        <v>29.8</v>
      </c>
      <c r="C46" s="10" t="n">
        <v>26.58</v>
      </c>
      <c r="D46" s="10" t="n">
        <v>22.77</v>
      </c>
      <c r="E46" s="10" t="n">
        <v>32.15</v>
      </c>
      <c r="F46" s="11" t="n">
        <v>76.63</v>
      </c>
      <c r="G46" s="11" t="n">
        <v>107.2</v>
      </c>
      <c r="H46" s="10" t="n">
        <v>26.74</v>
      </c>
      <c r="I46" s="10" t="n">
        <v>23.34</v>
      </c>
      <c r="J46" s="10" t="n">
        <v>32.32</v>
      </c>
      <c r="K46" s="11" t="n">
        <v>74.84</v>
      </c>
    </row>
    <row r="47" customFormat="false" ht="15" hidden="false" customHeight="false" outlineLevel="0" collapsed="false">
      <c r="A47" s="8" t="n">
        <v>40179</v>
      </c>
    </row>
    <row r="48" customFormat="false" ht="15" hidden="false" customHeight="false" outlineLevel="0" collapsed="false">
      <c r="A48" s="8" t="n">
        <v>40210</v>
      </c>
      <c r="B48" s="11" t="n">
        <v>146.4</v>
      </c>
      <c r="C48" s="10" t="n">
        <v>27.08</v>
      </c>
      <c r="D48" s="10" t="n">
        <v>23.46</v>
      </c>
      <c r="E48" s="10" t="n">
        <v>32.21</v>
      </c>
      <c r="F48" s="11" t="n">
        <v>76.37</v>
      </c>
    </row>
    <row r="49" customFormat="false" ht="15" hidden="false" customHeight="false" outlineLevel="0" collapsed="false">
      <c r="A49" s="8" t="n">
        <v>40238</v>
      </c>
      <c r="B49" s="11" t="n">
        <v>160.8</v>
      </c>
      <c r="C49" s="10" t="n">
        <v>26.62</v>
      </c>
      <c r="D49" s="10" t="n">
        <v>23.42</v>
      </c>
      <c r="E49" s="10" t="n">
        <v>31.8</v>
      </c>
      <c r="F49" s="11" t="n">
        <v>81.62</v>
      </c>
      <c r="G49" s="11" t="n">
        <v>201.2</v>
      </c>
      <c r="H49" s="10" t="n">
        <v>26.93</v>
      </c>
      <c r="I49" s="10" t="n">
        <v>24</v>
      </c>
      <c r="J49" s="10" t="n">
        <v>32.04</v>
      </c>
      <c r="K49" s="11" t="n">
        <v>78.41</v>
      </c>
    </row>
    <row r="50" customFormat="false" ht="15" hidden="false" customHeight="false" outlineLevel="0" collapsed="false">
      <c r="A50" s="8" t="n">
        <v>40269</v>
      </c>
      <c r="G50" s="11" t="n">
        <v>193.6</v>
      </c>
      <c r="H50" s="10" t="n">
        <v>24.6</v>
      </c>
      <c r="I50" s="10" t="n">
        <v>21.85</v>
      </c>
      <c r="J50" s="10" t="n">
        <v>28.84</v>
      </c>
      <c r="K50" s="11" t="n">
        <v>80.2</v>
      </c>
    </row>
    <row r="51" customFormat="false" ht="15" hidden="false" customHeight="false" outlineLevel="0" collapsed="false">
      <c r="A51" s="8" t="n">
        <v>40299</v>
      </c>
      <c r="G51" s="11" t="n">
        <v>47.4</v>
      </c>
      <c r="H51" s="10" t="n">
        <v>23.45</v>
      </c>
      <c r="I51" s="10" t="n">
        <v>20.32</v>
      </c>
      <c r="J51" s="10" t="n">
        <v>28.2</v>
      </c>
      <c r="K51" s="11" t="n">
        <v>79.07</v>
      </c>
    </row>
    <row r="52" customFormat="false" ht="15" hidden="false" customHeight="false" outlineLevel="0" collapsed="false">
      <c r="A52" s="8" t="n">
        <v>40330</v>
      </c>
    </row>
    <row r="53" customFormat="false" ht="15" hidden="false" customHeight="false" outlineLevel="0" collapsed="false">
      <c r="A53" s="8" t="n">
        <v>40360</v>
      </c>
      <c r="B53" s="11" t="n">
        <v>98</v>
      </c>
      <c r="C53" s="10" t="n">
        <v>21.29</v>
      </c>
      <c r="D53" s="10" t="n">
        <v>18.19</v>
      </c>
      <c r="E53" s="10" t="n">
        <v>25.92</v>
      </c>
      <c r="F53" s="11" t="n">
        <v>85.31</v>
      </c>
    </row>
    <row r="54" customFormat="false" ht="15" hidden="false" customHeight="false" outlineLevel="0" collapsed="false">
      <c r="A54" s="8" t="n">
        <v>40391</v>
      </c>
    </row>
    <row r="55" customFormat="false" ht="15" hidden="false" customHeight="false" outlineLevel="0" collapsed="false">
      <c r="A55" s="8" t="n">
        <v>40422</v>
      </c>
      <c r="B55" s="11" t="n">
        <v>32.2</v>
      </c>
      <c r="C55" s="10" t="n">
        <v>22.26</v>
      </c>
      <c r="D55" s="10" t="n">
        <v>18.41</v>
      </c>
      <c r="E55" s="10" t="n">
        <v>27.34</v>
      </c>
      <c r="F55" s="11" t="n">
        <v>78.08</v>
      </c>
    </row>
    <row r="56" customFormat="false" ht="15" hidden="false" customHeight="false" outlineLevel="0" collapsed="false">
      <c r="A56" s="8" t="n">
        <v>40452</v>
      </c>
      <c r="B56" s="11" t="n">
        <v>145.4</v>
      </c>
      <c r="C56" s="10" t="n">
        <v>23.36</v>
      </c>
      <c r="D56" s="10" t="n">
        <v>20.55</v>
      </c>
      <c r="E56" s="10" t="n">
        <v>27.34</v>
      </c>
      <c r="F56" s="11" t="n">
        <v>79.07</v>
      </c>
    </row>
    <row r="57" customFormat="false" ht="15" hidden="false" customHeight="false" outlineLevel="0" collapsed="false">
      <c r="A57" s="8" t="n">
        <v>40483</v>
      </c>
      <c r="B57" s="11" t="n">
        <v>184.6</v>
      </c>
      <c r="C57" s="10" t="n">
        <v>24.25</v>
      </c>
      <c r="D57" s="10" t="n">
        <v>21.48</v>
      </c>
      <c r="E57" s="10" t="n">
        <v>28.17</v>
      </c>
      <c r="F57" s="11" t="n">
        <v>84.1</v>
      </c>
    </row>
    <row r="58" customFormat="false" ht="15" hidden="false" customHeight="false" outlineLevel="0" collapsed="false">
      <c r="A58" s="8" t="n">
        <v>40513</v>
      </c>
      <c r="B58" s="11" t="n">
        <v>115.6</v>
      </c>
      <c r="C58" s="10" t="n">
        <v>25.79</v>
      </c>
      <c r="D58" s="10" t="n">
        <v>22.32</v>
      </c>
      <c r="E58" s="10" t="n">
        <v>30.79</v>
      </c>
      <c r="F58" s="11" t="n">
        <v>79.57</v>
      </c>
      <c r="G58" s="11" t="n">
        <v>267.4</v>
      </c>
      <c r="H58" s="10" t="n">
        <v>26.21</v>
      </c>
      <c r="I58" s="10" t="n">
        <v>22.65</v>
      </c>
      <c r="J58" s="10" t="n">
        <v>31.92</v>
      </c>
      <c r="K58" s="11" t="n">
        <v>75.6</v>
      </c>
    </row>
    <row r="59" customFormat="false" ht="15" hidden="false" customHeight="false" outlineLevel="0" collapsed="false">
      <c r="A59" s="8" t="n">
        <v>40544</v>
      </c>
      <c r="B59" s="11" t="n">
        <v>58.2</v>
      </c>
      <c r="C59" s="10" t="n">
        <v>25.94</v>
      </c>
      <c r="D59" s="10" t="n">
        <v>22.46</v>
      </c>
      <c r="E59" s="10" t="n">
        <v>30.86</v>
      </c>
      <c r="F59" s="11" t="n">
        <v>79.47</v>
      </c>
      <c r="G59" s="11" t="n">
        <v>50.8</v>
      </c>
      <c r="H59" s="10" t="n">
        <v>26.44</v>
      </c>
      <c r="I59" s="10" t="n">
        <v>22.83</v>
      </c>
      <c r="J59" s="10" t="n">
        <v>32.45</v>
      </c>
      <c r="K59" s="11" t="n">
        <v>75.22</v>
      </c>
    </row>
    <row r="60" customFormat="false" ht="15" hidden="false" customHeight="false" outlineLevel="0" collapsed="false">
      <c r="A60" s="8" t="n">
        <v>40575</v>
      </c>
      <c r="G60" s="11" t="n">
        <v>74.8</v>
      </c>
      <c r="H60" s="10" t="n">
        <v>26.57</v>
      </c>
      <c r="I60" s="10" t="n">
        <v>22.82</v>
      </c>
      <c r="J60" s="10" t="n">
        <v>33.01</v>
      </c>
      <c r="K60" s="11" t="n">
        <v>74.95</v>
      </c>
    </row>
    <row r="61" customFormat="false" ht="15" hidden="false" customHeight="false" outlineLevel="0" collapsed="false">
      <c r="A61" s="8" t="n">
        <v>40603</v>
      </c>
    </row>
    <row r="62" customFormat="false" ht="15" hidden="false" customHeight="false" outlineLevel="0" collapsed="false">
      <c r="A62" s="8" t="n">
        <v>40634</v>
      </c>
      <c r="B62" s="11" t="n">
        <v>239.8</v>
      </c>
      <c r="C62" s="10" t="n">
        <v>24.57</v>
      </c>
      <c r="D62" s="10" t="n">
        <v>21.69</v>
      </c>
      <c r="E62" s="10" t="n">
        <v>29.19</v>
      </c>
      <c r="F62" s="11" t="n">
        <v>86</v>
      </c>
      <c r="G62" s="11" t="n">
        <v>15.8</v>
      </c>
      <c r="H62" s="10" t="n">
        <v>24.66</v>
      </c>
      <c r="I62" s="10" t="n">
        <v>21.75</v>
      </c>
      <c r="J62" s="10" t="n">
        <v>29.53</v>
      </c>
      <c r="K62" s="11" t="n">
        <v>83.07</v>
      </c>
    </row>
    <row r="63" customFormat="false" ht="15" hidden="false" customHeight="false" outlineLevel="0" collapsed="false">
      <c r="A63" s="8" t="n">
        <v>40664</v>
      </c>
      <c r="B63" s="11" t="n">
        <v>37.8</v>
      </c>
      <c r="C63" s="10" t="n">
        <v>22.25</v>
      </c>
      <c r="D63" s="10" t="n">
        <v>18.56</v>
      </c>
      <c r="E63" s="10" t="n">
        <v>27.75</v>
      </c>
      <c r="F63" s="11" t="n">
        <v>81.64</v>
      </c>
      <c r="G63" s="11" t="n">
        <v>28.6</v>
      </c>
      <c r="H63" s="10" t="n">
        <v>22.41</v>
      </c>
      <c r="I63" s="10" t="n">
        <v>18.58</v>
      </c>
      <c r="J63" s="10" t="n">
        <v>27.98</v>
      </c>
      <c r="K63" s="11" t="n">
        <v>77.84</v>
      </c>
    </row>
    <row r="64" customFormat="false" ht="15" hidden="false" customHeight="false" outlineLevel="0" collapsed="false">
      <c r="A64" s="8" t="n">
        <v>40695</v>
      </c>
      <c r="B64" s="11" t="n">
        <v>40.8</v>
      </c>
      <c r="C64" s="10" t="n">
        <v>21.29</v>
      </c>
      <c r="D64" s="10" t="n">
        <v>17.79</v>
      </c>
      <c r="E64" s="10" t="n">
        <v>26.24</v>
      </c>
      <c r="F64" s="11" t="n">
        <v>83.17</v>
      </c>
    </row>
    <row r="65" customFormat="false" ht="15" hidden="false" customHeight="false" outlineLevel="0" collapsed="false">
      <c r="A65" s="8" t="n">
        <v>40725</v>
      </c>
      <c r="B65" s="11" t="n">
        <v>96.6</v>
      </c>
      <c r="C65" s="10" t="n">
        <v>20.59</v>
      </c>
      <c r="D65" s="10" t="n">
        <v>16.42</v>
      </c>
      <c r="E65" s="10" t="n">
        <v>25.97</v>
      </c>
      <c r="F65" s="11" t="n">
        <v>83.09</v>
      </c>
    </row>
    <row r="66" customFormat="false" ht="15" hidden="false" customHeight="false" outlineLevel="0" collapsed="false">
      <c r="A66" s="8" t="n">
        <v>40756</v>
      </c>
      <c r="G66" s="11" t="n">
        <v>8.2</v>
      </c>
      <c r="H66" s="10" t="n">
        <v>21.98</v>
      </c>
      <c r="I66" s="10" t="n">
        <v>18.04</v>
      </c>
      <c r="J66" s="10" t="n">
        <v>28.13</v>
      </c>
      <c r="K66" s="11" t="n">
        <v>76.72</v>
      </c>
    </row>
    <row r="67" customFormat="false" ht="15" hidden="false" customHeight="false" outlineLevel="0" collapsed="false">
      <c r="A67" s="8" t="n">
        <v>40787</v>
      </c>
    </row>
    <row r="68" customFormat="false" ht="15" hidden="false" customHeight="false" outlineLevel="0" collapsed="false">
      <c r="A68" s="8" t="n">
        <v>40817</v>
      </c>
      <c r="B68" s="11" t="n">
        <v>222.4</v>
      </c>
      <c r="C68" s="10" t="n">
        <v>23.01</v>
      </c>
      <c r="D68" s="10" t="n">
        <v>20.1</v>
      </c>
      <c r="E68" s="10" t="n">
        <v>27.11</v>
      </c>
      <c r="F68" s="11" t="n">
        <v>83</v>
      </c>
      <c r="G68" s="11" t="n">
        <v>239</v>
      </c>
      <c r="H68" s="10" t="n">
        <v>22.9</v>
      </c>
      <c r="I68" s="10" t="n">
        <v>20</v>
      </c>
      <c r="J68" s="10" t="n">
        <v>27.27</v>
      </c>
      <c r="K68" s="11" t="n">
        <v>81.47</v>
      </c>
    </row>
    <row r="69" customFormat="false" ht="15" hidden="false" customHeight="false" outlineLevel="0" collapsed="false">
      <c r="A69" s="8" t="n">
        <v>40848</v>
      </c>
      <c r="B69" s="11" t="n">
        <v>249.6</v>
      </c>
      <c r="C69" s="10" t="n">
        <v>22.84</v>
      </c>
      <c r="D69" s="10" t="n">
        <v>19.76</v>
      </c>
      <c r="E69" s="10" t="n">
        <v>27.02</v>
      </c>
      <c r="F69" s="11" t="n">
        <v>82.3</v>
      </c>
      <c r="G69" s="11" t="n">
        <v>211.8</v>
      </c>
      <c r="H69" s="10" t="n">
        <v>22.8</v>
      </c>
      <c r="I69" s="10" t="n">
        <v>19.84</v>
      </c>
      <c r="J69" s="10" t="n">
        <v>27.46</v>
      </c>
      <c r="K69" s="11" t="n">
        <v>80.32</v>
      </c>
    </row>
    <row r="70" customFormat="false" ht="15" hidden="false" customHeight="false" outlineLevel="0" collapsed="false">
      <c r="A70" s="8" t="n">
        <v>40878</v>
      </c>
      <c r="B70" s="11" t="n">
        <v>157.4</v>
      </c>
      <c r="C70" s="10" t="n">
        <v>24.68</v>
      </c>
      <c r="D70" s="10" t="n">
        <v>21.58</v>
      </c>
      <c r="E70" s="10" t="n">
        <v>29.17</v>
      </c>
      <c r="F70" s="11" t="n">
        <v>82.83</v>
      </c>
      <c r="G70" s="11" t="n">
        <v>159.4</v>
      </c>
      <c r="H70" s="10" t="n">
        <v>24.73</v>
      </c>
      <c r="I70" s="10" t="n">
        <v>21.93</v>
      </c>
      <c r="J70" s="10" t="n">
        <v>29.25</v>
      </c>
      <c r="K70" s="11" t="n">
        <v>81.18</v>
      </c>
    </row>
    <row r="71" customFormat="false" ht="15" hidden="false" customHeight="false" outlineLevel="0" collapsed="false">
      <c r="A71" s="8" t="n">
        <v>40909</v>
      </c>
      <c r="B71" s="11" t="n">
        <v>128.8</v>
      </c>
      <c r="C71" s="10" t="n">
        <v>25.28</v>
      </c>
      <c r="D71" s="10" t="n">
        <v>21.77</v>
      </c>
      <c r="E71" s="10" t="n">
        <v>29.9</v>
      </c>
      <c r="F71" s="11" t="n">
        <v>80.81</v>
      </c>
      <c r="G71" s="11" t="n">
        <v>174.6</v>
      </c>
      <c r="H71" s="10" t="n">
        <v>25.3</v>
      </c>
      <c r="I71" s="10" t="n">
        <v>22.21</v>
      </c>
      <c r="J71" s="10" t="n">
        <v>30.51</v>
      </c>
      <c r="K71" s="11" t="n">
        <v>79.62</v>
      </c>
    </row>
    <row r="72" customFormat="false" ht="15" hidden="false" customHeight="false" outlineLevel="0" collapsed="false">
      <c r="A72" s="8" t="n">
        <v>40940</v>
      </c>
      <c r="B72" s="11" t="n">
        <v>101.6</v>
      </c>
      <c r="C72" s="10" t="n">
        <v>25.33</v>
      </c>
      <c r="D72" s="10" t="n">
        <v>21.23</v>
      </c>
      <c r="E72" s="10" t="n">
        <v>30.56</v>
      </c>
      <c r="F72" s="11" t="n">
        <v>78.49</v>
      </c>
      <c r="G72" s="11" t="n">
        <v>91.2</v>
      </c>
      <c r="H72" s="10" t="n">
        <v>25.66</v>
      </c>
      <c r="I72" s="10" t="n">
        <v>21.84</v>
      </c>
      <c r="J72" s="10" t="n">
        <v>31.77</v>
      </c>
      <c r="K72" s="11" t="n">
        <v>75.26</v>
      </c>
    </row>
    <row r="73" customFormat="false" ht="15" hidden="false" customHeight="false" outlineLevel="0" collapsed="false">
      <c r="A73" s="8" t="n">
        <v>40969</v>
      </c>
      <c r="B73" s="11" t="n">
        <v>44.2</v>
      </c>
      <c r="C73" s="10" t="n">
        <v>25.45</v>
      </c>
      <c r="D73" s="10" t="n">
        <v>21.25</v>
      </c>
      <c r="E73" s="10" t="n">
        <v>31.05</v>
      </c>
      <c r="F73" s="11" t="n">
        <v>77.56</v>
      </c>
    </row>
    <row r="74" customFormat="false" ht="15" hidden="false" customHeight="false" outlineLevel="0" collapsed="false">
      <c r="A74" s="8" t="n">
        <v>41000</v>
      </c>
      <c r="B74" s="11" t="n">
        <v>43.2</v>
      </c>
      <c r="C74" s="10" t="n">
        <v>25.09</v>
      </c>
      <c r="D74" s="10" t="n">
        <v>21.22</v>
      </c>
      <c r="E74" s="10" t="n">
        <v>30.78</v>
      </c>
      <c r="F74" s="11" t="n">
        <v>80.01</v>
      </c>
      <c r="G74" s="11" t="n">
        <v>59.8</v>
      </c>
      <c r="H74" s="10" t="n">
        <v>25.15</v>
      </c>
      <c r="I74" s="10" t="n">
        <v>21.69</v>
      </c>
      <c r="J74" s="10" t="n">
        <v>30.82</v>
      </c>
      <c r="K74" s="11" t="n">
        <v>78.89</v>
      </c>
    </row>
    <row r="75" customFormat="false" ht="15" hidden="false" customHeight="false" outlineLevel="0" collapsed="false">
      <c r="A75" s="8" t="n">
        <v>41030</v>
      </c>
      <c r="G75" s="11" t="n">
        <v>51.6</v>
      </c>
      <c r="H75" s="10" t="n">
        <v>22.43</v>
      </c>
      <c r="I75" s="10" t="n">
        <v>19.43</v>
      </c>
      <c r="J75" s="10" t="n">
        <v>27.67</v>
      </c>
      <c r="K75" s="11" t="n">
        <v>81.42</v>
      </c>
    </row>
    <row r="76" customFormat="false" ht="15" hidden="false" customHeight="false" outlineLevel="0" collapsed="false">
      <c r="A76" s="8" t="n">
        <v>41061</v>
      </c>
      <c r="B76" s="11" t="n">
        <v>17.4</v>
      </c>
      <c r="C76" s="10" t="n">
        <v>22.78</v>
      </c>
      <c r="D76" s="10" t="n">
        <v>19.03</v>
      </c>
      <c r="E76" s="10" t="n">
        <v>28.42</v>
      </c>
      <c r="F76" s="11" t="n">
        <v>84.07</v>
      </c>
    </row>
    <row r="77" customFormat="false" ht="15" hidden="false" customHeight="false" outlineLevel="0" collapsed="false">
      <c r="A77" s="8" t="n">
        <v>41091</v>
      </c>
      <c r="B77" s="11" t="n">
        <v>106.8</v>
      </c>
      <c r="C77" s="10" t="n">
        <v>21.35</v>
      </c>
      <c r="D77" s="10" t="n">
        <v>17.26</v>
      </c>
      <c r="E77" s="10" t="n">
        <v>26.82</v>
      </c>
      <c r="F77" s="11" t="n">
        <v>84.41</v>
      </c>
      <c r="G77" s="11" t="n">
        <v>81.8</v>
      </c>
      <c r="H77" s="10" t="n">
        <v>21.68</v>
      </c>
      <c r="I77" s="10" t="n">
        <v>17.98</v>
      </c>
      <c r="J77" s="10" t="n">
        <v>27.37</v>
      </c>
      <c r="K77" s="11" t="n">
        <v>80.92</v>
      </c>
    </row>
    <row r="78" customFormat="false" ht="15" hidden="false" customHeight="false" outlineLevel="0" collapsed="false">
      <c r="A78" s="8" t="n">
        <v>41122</v>
      </c>
    </row>
    <row r="79" customFormat="false" ht="15" hidden="false" customHeight="false" outlineLevel="0" collapsed="false">
      <c r="A79" s="8" t="n">
        <v>41153</v>
      </c>
      <c r="B79" s="11" t="n">
        <v>34</v>
      </c>
      <c r="C79" s="10" t="n">
        <v>22.23</v>
      </c>
      <c r="D79" s="10" t="n">
        <v>18.72</v>
      </c>
      <c r="E79" s="10" t="n">
        <v>27.3</v>
      </c>
      <c r="F79" s="11" t="n">
        <v>79.8</v>
      </c>
      <c r="G79" s="11" t="n">
        <v>42.4</v>
      </c>
      <c r="H79" s="10" t="n">
        <v>22.34</v>
      </c>
      <c r="I79" s="10" t="n">
        <v>18.78</v>
      </c>
      <c r="J79" s="10" t="n">
        <v>27.89</v>
      </c>
      <c r="K79" s="11" t="n">
        <v>76.25</v>
      </c>
    </row>
    <row r="80" customFormat="false" ht="15" hidden="false" customHeight="false" outlineLevel="0" collapsed="false">
      <c r="A80" s="8" t="n">
        <v>41183</v>
      </c>
      <c r="B80" s="11" t="n">
        <v>24.4</v>
      </c>
      <c r="C80" s="10" t="n">
        <v>23.52</v>
      </c>
      <c r="D80" s="10" t="n">
        <v>19.32</v>
      </c>
      <c r="E80" s="10" t="n">
        <v>28.81</v>
      </c>
      <c r="F80" s="11" t="n">
        <v>78.75</v>
      </c>
      <c r="G80" s="11" t="n">
        <v>32.2</v>
      </c>
      <c r="H80" s="10" t="n">
        <v>23.73</v>
      </c>
      <c r="I80" s="10" t="n">
        <v>19.7</v>
      </c>
      <c r="J80" s="10" t="n">
        <v>30.28</v>
      </c>
      <c r="K80" s="11" t="n">
        <v>75.45</v>
      </c>
    </row>
    <row r="81" customFormat="false" ht="15" hidden="false" customHeight="false" outlineLevel="0" collapsed="false">
      <c r="A81" s="8" t="n">
        <v>41214</v>
      </c>
      <c r="B81" s="11" t="n">
        <v>262.8</v>
      </c>
      <c r="C81" s="10" t="n">
        <v>24.27</v>
      </c>
      <c r="D81" s="10" t="n">
        <v>21.43</v>
      </c>
      <c r="E81" s="10" t="n">
        <v>28.45</v>
      </c>
      <c r="F81" s="11" t="n">
        <v>85.97</v>
      </c>
      <c r="G81" s="11" t="n">
        <v>374.2</v>
      </c>
      <c r="H81" s="10" t="n">
        <v>24.21</v>
      </c>
      <c r="I81" s="10" t="n">
        <v>21.39</v>
      </c>
      <c r="J81" s="10" t="n">
        <v>29.03</v>
      </c>
      <c r="K81" s="11" t="n">
        <v>81.98</v>
      </c>
    </row>
    <row r="82" customFormat="false" ht="15" hidden="false" customHeight="false" outlineLevel="0" collapsed="false">
      <c r="A82" s="8" t="n">
        <v>41244</v>
      </c>
      <c r="B82" s="11" t="n">
        <v>16.6</v>
      </c>
      <c r="C82" s="10" t="n">
        <v>26.26</v>
      </c>
      <c r="D82" s="10" t="n">
        <v>22.1</v>
      </c>
      <c r="E82" s="10" t="n">
        <v>31.45</v>
      </c>
      <c r="F82" s="11" t="n">
        <v>78.12</v>
      </c>
      <c r="G82" s="11" t="n">
        <v>50.8</v>
      </c>
      <c r="H82" s="10" t="n">
        <v>26.65</v>
      </c>
      <c r="I82" s="10" t="n">
        <v>22.72</v>
      </c>
      <c r="J82" s="10" t="n">
        <v>33.01</v>
      </c>
      <c r="K82" s="11" t="n">
        <v>74.72</v>
      </c>
    </row>
    <row r="83" customFormat="false" ht="15" hidden="false" customHeight="false" outlineLevel="0" collapsed="false">
      <c r="A83" s="8" t="n">
        <v>41275</v>
      </c>
      <c r="B83" s="11" t="n">
        <v>159</v>
      </c>
      <c r="C83" s="10" t="n">
        <v>25.98</v>
      </c>
      <c r="D83" s="10" t="n">
        <v>22.37</v>
      </c>
      <c r="E83" s="10" t="n">
        <v>31.27</v>
      </c>
      <c r="F83" s="11" t="n">
        <v>80.24</v>
      </c>
      <c r="G83" s="11" t="n">
        <v>76.4</v>
      </c>
      <c r="H83" s="10" t="n">
        <v>26.24</v>
      </c>
      <c r="I83" s="10" t="n">
        <v>22.81</v>
      </c>
      <c r="J83" s="10" t="n">
        <v>32.13</v>
      </c>
      <c r="K83" s="11" t="n">
        <v>75.35</v>
      </c>
    </row>
    <row r="84" customFormat="false" ht="15" hidden="false" customHeight="false" outlineLevel="0" collapsed="false">
      <c r="A84" s="8" t="n">
        <v>41306</v>
      </c>
      <c r="B84" s="11" t="n">
        <v>22</v>
      </c>
      <c r="C84" s="10" t="n">
        <v>26.15</v>
      </c>
      <c r="D84" s="10" t="n">
        <v>21.91</v>
      </c>
      <c r="E84" s="10" t="n">
        <v>31.16</v>
      </c>
      <c r="F84" s="11" t="n">
        <v>78.24</v>
      </c>
      <c r="G84" s="11" t="n">
        <v>51.6</v>
      </c>
      <c r="H84" s="10" t="n">
        <v>26.61</v>
      </c>
      <c r="I84" s="10" t="n">
        <v>22.69</v>
      </c>
      <c r="J84" s="10" t="n">
        <v>33.03</v>
      </c>
      <c r="K84" s="11" t="n">
        <v>73.63</v>
      </c>
    </row>
    <row r="85" customFormat="false" ht="15" hidden="false" customHeight="false" outlineLevel="0" collapsed="false">
      <c r="A85" s="8" t="n">
        <v>41334</v>
      </c>
    </row>
    <row r="86" customFormat="false" ht="15" hidden="false" customHeight="false" outlineLevel="0" collapsed="false">
      <c r="A86" s="8" t="n">
        <v>41365</v>
      </c>
      <c r="B86" s="11" t="n">
        <v>116.6</v>
      </c>
      <c r="C86" s="10" t="n">
        <v>24.13</v>
      </c>
      <c r="D86" s="10" t="n">
        <v>21.01</v>
      </c>
      <c r="E86" s="10" t="n">
        <v>29.11</v>
      </c>
      <c r="F86" s="11" t="n">
        <v>82.35</v>
      </c>
    </row>
    <row r="87" customFormat="false" ht="15" hidden="false" customHeight="false" outlineLevel="0" collapsed="false">
      <c r="A87" s="8" t="n">
        <v>41395</v>
      </c>
      <c r="B87" s="11" t="n">
        <v>52.2</v>
      </c>
      <c r="C87" s="10" t="n">
        <v>22.81</v>
      </c>
      <c r="D87" s="10" t="n">
        <v>19.27</v>
      </c>
      <c r="E87" s="10" t="n">
        <v>28.27</v>
      </c>
      <c r="F87" s="11" t="n">
        <v>82.5</v>
      </c>
    </row>
    <row r="88" customFormat="false" ht="15" hidden="false" customHeight="false" outlineLevel="0" collapsed="false">
      <c r="A88" s="8" t="n">
        <v>41426</v>
      </c>
    </row>
    <row r="89" customFormat="false" ht="15" hidden="false" customHeight="false" outlineLevel="0" collapsed="false">
      <c r="A89" s="8" t="n">
        <v>41456</v>
      </c>
      <c r="B89" s="11" t="n">
        <v>80.6</v>
      </c>
      <c r="C89" s="10" t="n">
        <v>21.76</v>
      </c>
      <c r="D89" s="10" t="n">
        <v>18.14</v>
      </c>
      <c r="E89" s="10" t="n">
        <v>27.05</v>
      </c>
      <c r="F89" s="11" t="n">
        <v>83.94</v>
      </c>
    </row>
    <row r="90" customFormat="false" ht="15" hidden="false" customHeight="false" outlineLevel="0" collapsed="false">
      <c r="A90" s="8" t="n">
        <v>41487</v>
      </c>
      <c r="B90" s="11" t="n">
        <v>63</v>
      </c>
      <c r="C90" s="10" t="n">
        <v>21.31</v>
      </c>
      <c r="D90" s="10" t="n">
        <v>17.37</v>
      </c>
      <c r="E90" s="10" t="n">
        <v>26.53</v>
      </c>
      <c r="F90" s="11" t="n">
        <v>82.78</v>
      </c>
      <c r="G90" s="11" t="n">
        <v>30.4</v>
      </c>
      <c r="H90" s="10" t="n">
        <v>21.7</v>
      </c>
      <c r="I90" s="10" t="n">
        <v>17.75</v>
      </c>
      <c r="J90" s="10" t="n">
        <v>27.65</v>
      </c>
      <c r="K90" s="11" t="n">
        <v>77.24</v>
      </c>
    </row>
    <row r="91" customFormat="false" ht="15" hidden="false" customHeight="false" outlineLevel="0" collapsed="false">
      <c r="A91" s="8" t="n">
        <v>41518</v>
      </c>
      <c r="G91" s="11" t="n">
        <v>50.2</v>
      </c>
      <c r="H91" s="10" t="n">
        <v>22.57</v>
      </c>
      <c r="I91" s="10" t="n">
        <v>18.9</v>
      </c>
      <c r="J91" s="10" t="n">
        <v>28.5</v>
      </c>
      <c r="K91" s="11" t="n">
        <v>76.5</v>
      </c>
    </row>
    <row r="92" customFormat="false" ht="15" hidden="false" customHeight="false" outlineLevel="0" collapsed="false">
      <c r="A92" s="8" t="n">
        <v>41548</v>
      </c>
      <c r="B92" s="11" t="n">
        <v>101</v>
      </c>
      <c r="C92" s="10" t="n">
        <v>22.79</v>
      </c>
      <c r="D92" s="10" t="n">
        <v>19.34</v>
      </c>
      <c r="E92" s="10" t="n">
        <v>27.23</v>
      </c>
      <c r="F92" s="11" t="n">
        <v>81.96</v>
      </c>
      <c r="G92" s="11" t="n">
        <v>100.4</v>
      </c>
      <c r="H92" s="10" t="n">
        <v>22.95</v>
      </c>
      <c r="I92" s="10" t="n">
        <v>19.64</v>
      </c>
      <c r="J92" s="10" t="n">
        <v>28.05</v>
      </c>
      <c r="K92" s="11" t="n">
        <v>77.39</v>
      </c>
    </row>
    <row r="93" customFormat="false" ht="15" hidden="false" customHeight="false" outlineLevel="0" collapsed="false">
      <c r="A93" s="8" t="n">
        <v>41579</v>
      </c>
      <c r="B93" s="11" t="n">
        <v>243.8</v>
      </c>
      <c r="C93" s="10" t="n">
        <v>24.24</v>
      </c>
      <c r="D93" s="10" t="n">
        <v>20.63</v>
      </c>
      <c r="E93" s="10" t="n">
        <v>29</v>
      </c>
      <c r="F93" s="11" t="n">
        <v>82.29</v>
      </c>
      <c r="G93" s="11" t="n">
        <v>178</v>
      </c>
      <c r="H93" s="10" t="n">
        <v>24.2</v>
      </c>
      <c r="I93" s="10" t="n">
        <v>20.94</v>
      </c>
      <c r="J93" s="10" t="n">
        <v>29.55</v>
      </c>
      <c r="K93" s="11" t="n">
        <v>78.85</v>
      </c>
    </row>
    <row r="94" customFormat="false" ht="15" hidden="false" customHeight="false" outlineLevel="0" collapsed="false">
      <c r="A94" s="8" t="n">
        <v>41609</v>
      </c>
      <c r="B94" s="11" t="n">
        <v>243.4</v>
      </c>
      <c r="C94" s="10" t="n">
        <v>25.26</v>
      </c>
      <c r="D94" s="10" t="n">
        <v>22.44</v>
      </c>
      <c r="E94" s="10" t="n">
        <v>29.61</v>
      </c>
      <c r="F94" s="11" t="n">
        <v>87.02</v>
      </c>
      <c r="G94" s="11" t="n">
        <v>648</v>
      </c>
      <c r="H94" s="10" t="n">
        <v>25.24</v>
      </c>
      <c r="I94" s="10" t="n">
        <v>22.47</v>
      </c>
      <c r="J94" s="10" t="n">
        <v>30.46</v>
      </c>
      <c r="K94" s="11" t="n">
        <v>82.58</v>
      </c>
    </row>
    <row r="95" customFormat="false" ht="15" hidden="false" customHeight="false" outlineLevel="0" collapsed="false">
      <c r="A95" s="8" t="n">
        <v>41640</v>
      </c>
      <c r="B95" s="11" t="n">
        <v>63.8</v>
      </c>
      <c r="C95" s="10" t="n">
        <v>25.61</v>
      </c>
      <c r="D95" s="10" t="n">
        <v>21.78</v>
      </c>
      <c r="E95" s="10" t="n">
        <v>30.64</v>
      </c>
      <c r="F95" s="11" t="n">
        <v>82.76</v>
      </c>
      <c r="G95" s="11" t="n">
        <v>50.6</v>
      </c>
      <c r="H95" s="10" t="n">
        <v>26.26</v>
      </c>
      <c r="I95" s="10" t="n">
        <v>22.76</v>
      </c>
      <c r="J95" s="10" t="n">
        <v>31.83</v>
      </c>
      <c r="K95" s="11" t="n">
        <v>75.32</v>
      </c>
    </row>
    <row r="96" customFormat="false" ht="15" hidden="false" customHeight="false" outlineLevel="0" collapsed="false">
      <c r="A96" s="8" t="n">
        <v>41671</v>
      </c>
      <c r="B96" s="11" t="n">
        <v>71.6</v>
      </c>
      <c r="C96" s="10" t="n">
        <v>25.67</v>
      </c>
      <c r="D96" s="10" t="n">
        <v>21.58</v>
      </c>
      <c r="E96" s="10" t="n">
        <v>31.3</v>
      </c>
      <c r="F96" s="11" t="n">
        <v>80.19</v>
      </c>
      <c r="G96" s="11" t="n">
        <v>83.2</v>
      </c>
      <c r="H96" s="10" t="n">
        <v>26.16</v>
      </c>
      <c r="I96" s="10" t="n">
        <v>22.38</v>
      </c>
      <c r="J96" s="10" t="n">
        <v>32.78</v>
      </c>
      <c r="K96" s="11" t="n">
        <v>75.04</v>
      </c>
    </row>
    <row r="97" customFormat="false" ht="15" hidden="false" customHeight="false" outlineLevel="0" collapsed="false">
      <c r="A97" s="8" t="n">
        <v>41699</v>
      </c>
      <c r="B97" s="11" t="n">
        <v>93.6</v>
      </c>
      <c r="C97" s="10" t="n">
        <v>25.43</v>
      </c>
      <c r="D97" s="10" t="n">
        <v>21.87</v>
      </c>
      <c r="E97" s="10" t="n">
        <v>30.44</v>
      </c>
      <c r="F97" s="11" t="n">
        <v>83.14</v>
      </c>
      <c r="G97" s="11" t="n">
        <v>96.4</v>
      </c>
      <c r="H97" s="10" t="n">
        <v>25.65</v>
      </c>
      <c r="I97" s="10" t="n">
        <v>22.61</v>
      </c>
      <c r="J97" s="10" t="n">
        <v>30.78</v>
      </c>
      <c r="K97" s="11" t="n">
        <v>78.44</v>
      </c>
    </row>
    <row r="98" customFormat="false" ht="15" hidden="false" customHeight="false" outlineLevel="0" collapsed="false">
      <c r="A98" s="8" t="n">
        <v>41730</v>
      </c>
      <c r="B98" s="11" t="n">
        <v>79.4</v>
      </c>
      <c r="C98" s="10" t="n">
        <v>24.67</v>
      </c>
      <c r="D98" s="10" t="n">
        <v>21.2</v>
      </c>
      <c r="E98" s="10" t="n">
        <v>29.93</v>
      </c>
      <c r="F98" s="11" t="n">
        <v>83.79</v>
      </c>
    </row>
    <row r="99" customFormat="false" ht="15" hidden="false" customHeight="false" outlineLevel="0" collapsed="false">
      <c r="A99" s="8" t="n">
        <v>41760</v>
      </c>
      <c r="B99" s="11" t="n">
        <v>16</v>
      </c>
      <c r="C99" s="10" t="n">
        <v>23.19</v>
      </c>
      <c r="D99" s="10" t="n">
        <v>19.5</v>
      </c>
      <c r="E99" s="10" t="n">
        <v>29.05</v>
      </c>
      <c r="F99" s="11" t="n">
        <v>82.79</v>
      </c>
      <c r="G99" s="11" t="n">
        <v>10.4</v>
      </c>
      <c r="H99" s="10" t="n">
        <v>23.32</v>
      </c>
      <c r="I99" s="10" t="n">
        <v>19.52</v>
      </c>
      <c r="J99" s="10" t="n">
        <v>29.23</v>
      </c>
      <c r="K99" s="11" t="n">
        <v>76.93</v>
      </c>
    </row>
    <row r="100" customFormat="false" ht="15" hidden="false" customHeight="false" outlineLevel="0" collapsed="false">
      <c r="A100" s="8" t="n">
        <v>41791</v>
      </c>
      <c r="G100" s="11" t="n">
        <v>37.8</v>
      </c>
      <c r="H100" s="10" t="n">
        <v>22.28</v>
      </c>
      <c r="I100" s="10" t="n">
        <v>18.97</v>
      </c>
      <c r="J100" s="10" t="n">
        <v>27.46</v>
      </c>
      <c r="K100" s="11" t="n">
        <v>80.95</v>
      </c>
    </row>
    <row r="101" customFormat="false" ht="15" hidden="false" customHeight="false" outlineLevel="0" collapsed="false">
      <c r="A101" s="8" t="n">
        <v>41821</v>
      </c>
      <c r="B101" s="11" t="n">
        <v>93.4</v>
      </c>
      <c r="C101" s="10" t="n">
        <v>21.29</v>
      </c>
      <c r="D101" s="10" t="n">
        <v>18.1</v>
      </c>
      <c r="E101" s="10" t="n">
        <v>26.06</v>
      </c>
      <c r="F101" s="11" t="n">
        <v>87.86</v>
      </c>
      <c r="G101" s="11" t="n">
        <v>79.8</v>
      </c>
      <c r="H101" s="10" t="n">
        <v>21.35</v>
      </c>
      <c r="I101" s="10" t="n">
        <v>18.28</v>
      </c>
      <c r="J101" s="10" t="n">
        <v>26.05</v>
      </c>
      <c r="K101" s="11" t="n">
        <v>81.44</v>
      </c>
    </row>
    <row r="102" customFormat="false" ht="15" hidden="false" customHeight="false" outlineLevel="0" collapsed="false">
      <c r="A102" s="8" t="n">
        <v>41852</v>
      </c>
      <c r="B102" s="11" t="n">
        <v>101.8</v>
      </c>
      <c r="C102" s="10" t="n">
        <v>21.1</v>
      </c>
      <c r="D102" s="10" t="n">
        <v>17.28</v>
      </c>
      <c r="E102" s="10" t="n">
        <v>26.59</v>
      </c>
      <c r="F102" s="11" t="n">
        <v>84.25</v>
      </c>
      <c r="G102" s="11" t="n">
        <v>58.6</v>
      </c>
      <c r="H102" s="10" t="n">
        <v>21.58</v>
      </c>
      <c r="I102" s="10" t="n">
        <v>17.9</v>
      </c>
      <c r="J102" s="10" t="n">
        <v>27.35</v>
      </c>
      <c r="K102" s="11" t="n">
        <v>76.7</v>
      </c>
    </row>
    <row r="103" customFormat="false" ht="15" hidden="false" customHeight="false" outlineLevel="0" collapsed="false">
      <c r="A103" s="8" t="n">
        <v>41883</v>
      </c>
      <c r="B103" s="11" t="n">
        <v>20.8</v>
      </c>
      <c r="C103" s="10" t="n">
        <v>22.3</v>
      </c>
      <c r="D103" s="10" t="n">
        <v>17.81</v>
      </c>
      <c r="E103" s="10" t="n">
        <v>27.61</v>
      </c>
      <c r="F103" s="11" t="n">
        <v>80.5</v>
      </c>
    </row>
    <row r="104" customFormat="false" ht="15" hidden="false" customHeight="false" outlineLevel="0" collapsed="false">
      <c r="A104" s="8" t="n">
        <v>41913</v>
      </c>
      <c r="B104" s="11" t="n">
        <v>183.6</v>
      </c>
      <c r="C104" s="10" t="n">
        <v>22.76</v>
      </c>
      <c r="D104" s="10" t="n">
        <v>19.31</v>
      </c>
      <c r="E104" s="10" t="n">
        <v>27.36</v>
      </c>
      <c r="F104" s="11" t="n">
        <v>82.02</v>
      </c>
    </row>
    <row r="105" customFormat="false" ht="15" hidden="false" customHeight="false" outlineLevel="0" collapsed="false">
      <c r="A105" s="8" t="n">
        <v>41944</v>
      </c>
      <c r="B105" s="11" t="n">
        <v>61.2</v>
      </c>
      <c r="C105" s="10" t="n">
        <v>24.28</v>
      </c>
      <c r="D105" s="10" t="n">
        <v>20.88</v>
      </c>
      <c r="E105" s="10" t="n">
        <v>28.68</v>
      </c>
      <c r="F105" s="11" t="n">
        <v>81.56</v>
      </c>
      <c r="G105" s="11" t="n">
        <v>113.6</v>
      </c>
      <c r="H105" s="10" t="n">
        <v>24.51</v>
      </c>
      <c r="I105" s="10" t="n">
        <v>21.18</v>
      </c>
      <c r="J105" s="10" t="n">
        <v>29.51</v>
      </c>
      <c r="K105" s="11" t="n">
        <v>75.45</v>
      </c>
    </row>
    <row r="106" customFormat="false" ht="15" hidden="false" customHeight="false" outlineLevel="0" collapsed="false">
      <c r="A106" s="8" t="n">
        <v>41974</v>
      </c>
      <c r="B106" s="11" t="n">
        <v>59.8</v>
      </c>
      <c r="C106" s="10" t="n">
        <v>25.11</v>
      </c>
      <c r="D106" s="10" t="n">
        <v>21.32</v>
      </c>
      <c r="E106" s="10" t="n">
        <v>29.82</v>
      </c>
      <c r="F106" s="11" t="n">
        <v>81.3</v>
      </c>
      <c r="G106" s="11" t="n">
        <v>71</v>
      </c>
      <c r="H106" s="10" t="n">
        <v>25.5</v>
      </c>
      <c r="I106" s="10" t="n">
        <v>21.95</v>
      </c>
      <c r="J106" s="10" t="n">
        <v>30.88</v>
      </c>
      <c r="K106" s="11" t="n">
        <v>74.89</v>
      </c>
    </row>
    <row r="107" customFormat="false" ht="15" hidden="false" customHeight="false" outlineLevel="0" collapsed="false">
      <c r="A107" s="8" t="n">
        <v>42005</v>
      </c>
    </row>
    <row r="108" customFormat="false" ht="15" hidden="false" customHeight="false" outlineLevel="0" collapsed="false">
      <c r="A108" s="8" t="n">
        <v>42036</v>
      </c>
      <c r="B108" s="11" t="n">
        <v>85.4</v>
      </c>
      <c r="C108" s="10" t="n">
        <v>26.44</v>
      </c>
      <c r="D108" s="10" t="n">
        <v>22.51</v>
      </c>
      <c r="E108" s="10" t="n">
        <v>31.75</v>
      </c>
      <c r="F108" s="11" t="n">
        <v>80.53</v>
      </c>
      <c r="G108" s="11" t="n">
        <v>87.4</v>
      </c>
      <c r="H108" s="10" t="n">
        <v>26.73</v>
      </c>
      <c r="I108" s="10" t="n">
        <v>23.29</v>
      </c>
      <c r="J108" s="10" t="n">
        <v>32.74</v>
      </c>
      <c r="K108" s="11" t="n">
        <v>74.23</v>
      </c>
    </row>
    <row r="109" customFormat="false" ht="15" hidden="false" customHeight="false" outlineLevel="0" collapsed="false">
      <c r="A109" s="8" t="n">
        <v>42064</v>
      </c>
      <c r="B109" s="11" t="n">
        <v>97.6</v>
      </c>
      <c r="C109" s="10" t="n">
        <v>25.98</v>
      </c>
      <c r="D109" s="10" t="n">
        <v>22.28</v>
      </c>
      <c r="E109" s="10" t="n">
        <v>31.18</v>
      </c>
      <c r="F109" s="11" t="n">
        <v>82.36</v>
      </c>
      <c r="G109" s="11" t="n">
        <v>150.6</v>
      </c>
      <c r="H109" s="10" t="n">
        <v>26.38</v>
      </c>
      <c r="I109" s="10" t="n">
        <v>23.02</v>
      </c>
      <c r="J109" s="10" t="n">
        <v>32.27</v>
      </c>
      <c r="K109" s="11" t="n">
        <v>75.44</v>
      </c>
    </row>
    <row r="110" customFormat="false" ht="15" hidden="false" customHeight="false" outlineLevel="0" collapsed="false">
      <c r="A110" s="8" t="n">
        <v>42095</v>
      </c>
      <c r="B110" s="11" t="n">
        <v>52.2</v>
      </c>
      <c r="C110" s="10" t="n">
        <v>24.64</v>
      </c>
      <c r="D110" s="10" t="n">
        <v>21.23</v>
      </c>
      <c r="E110" s="10" t="n">
        <v>29.71</v>
      </c>
      <c r="F110" s="11" t="n">
        <v>82.23</v>
      </c>
      <c r="G110" s="11" t="n">
        <v>19</v>
      </c>
      <c r="H110" s="10" t="n">
        <v>25.19</v>
      </c>
      <c r="I110" s="10" t="n">
        <v>21.75</v>
      </c>
      <c r="J110" s="10" t="n">
        <v>30.78</v>
      </c>
      <c r="K110" s="11" t="n">
        <v>73.05</v>
      </c>
    </row>
    <row r="111" customFormat="false" ht="15" hidden="false" customHeight="false" outlineLevel="0" collapsed="false">
      <c r="A111" s="8" t="n">
        <v>42125</v>
      </c>
      <c r="B111" s="11" t="n">
        <v>189.4</v>
      </c>
      <c r="C111" s="10" t="n">
        <v>22.91</v>
      </c>
      <c r="D111" s="10" t="n">
        <v>19.65</v>
      </c>
      <c r="E111" s="10" t="n">
        <v>27.79</v>
      </c>
      <c r="F111" s="11" t="n">
        <v>84.97</v>
      </c>
    </row>
    <row r="112" customFormat="false" ht="15" hidden="false" customHeight="false" outlineLevel="0" collapsed="false">
      <c r="A112" s="8" t="n">
        <v>42156</v>
      </c>
      <c r="B112" s="11" t="n">
        <v>101.4</v>
      </c>
      <c r="C112" s="10" t="n">
        <v>22.22</v>
      </c>
      <c r="D112" s="10" t="n">
        <v>19.04</v>
      </c>
      <c r="E112" s="10" t="n">
        <v>26.97</v>
      </c>
      <c r="F112" s="11" t="n">
        <v>88.08</v>
      </c>
    </row>
    <row r="113" customFormat="false" ht="15" hidden="false" customHeight="false" outlineLevel="0" collapsed="false">
      <c r="A113" s="8" t="n">
        <v>42186</v>
      </c>
      <c r="B113" s="11" t="n">
        <v>44.4</v>
      </c>
      <c r="C113" s="10" t="n">
        <v>21.44</v>
      </c>
      <c r="D113" s="10" t="n">
        <v>18.05</v>
      </c>
      <c r="E113" s="10" t="n">
        <v>26.47</v>
      </c>
      <c r="F113" s="11" t="n">
        <v>90.32</v>
      </c>
    </row>
    <row r="114" customFormat="false" ht="15" hidden="false" customHeight="false" outlineLevel="0" collapsed="false">
      <c r="A114" s="8" t="n">
        <v>42217</v>
      </c>
      <c r="B114" s="11" t="n">
        <v>65.2</v>
      </c>
      <c r="C114" s="10" t="n">
        <v>21.45</v>
      </c>
      <c r="D114" s="10" t="n">
        <v>17.75</v>
      </c>
      <c r="E114" s="10" t="n">
        <v>26.73</v>
      </c>
      <c r="F114" s="11" t="n">
        <v>85.61</v>
      </c>
    </row>
    <row r="115" customFormat="false" ht="15" hidden="false" customHeight="false" outlineLevel="0" collapsed="false">
      <c r="A115" s="8" t="n">
        <v>42248</v>
      </c>
      <c r="B115" s="11" t="n">
        <v>4.4</v>
      </c>
      <c r="C115" s="10" t="n">
        <v>24.06</v>
      </c>
      <c r="D115" s="10" t="n">
        <v>19.73</v>
      </c>
      <c r="E115" s="10" t="n">
        <v>29.63</v>
      </c>
      <c r="F115" s="11" t="n">
        <v>79.76</v>
      </c>
    </row>
    <row r="116" customFormat="false" ht="15" hidden="false" customHeight="false" outlineLevel="0" collapsed="false">
      <c r="A116" s="8" t="n">
        <v>42278</v>
      </c>
      <c r="B116" s="11" t="n">
        <v>35.8</v>
      </c>
      <c r="C116" s="10" t="n">
        <v>24.56</v>
      </c>
      <c r="D116" s="10" t="n">
        <v>20.74</v>
      </c>
      <c r="E116" s="10" t="n">
        <v>29.36</v>
      </c>
      <c r="F116" s="11" t="n">
        <v>79.47</v>
      </c>
    </row>
    <row r="117" customFormat="false" ht="15" hidden="false" customHeight="false" outlineLevel="0" collapsed="false">
      <c r="A117" s="8" t="n">
        <v>42309</v>
      </c>
      <c r="B117" s="11" t="n">
        <v>26.6</v>
      </c>
      <c r="C117" s="10" t="n">
        <v>26.42</v>
      </c>
      <c r="D117" s="10" t="n">
        <v>22.71</v>
      </c>
      <c r="E117" s="10" t="n">
        <v>31.98</v>
      </c>
      <c r="F117" s="11" t="n">
        <v>77.29</v>
      </c>
    </row>
    <row r="118" customFormat="false" ht="15" hidden="false" customHeight="false" outlineLevel="0" collapsed="false">
      <c r="A118" s="8" t="n">
        <v>42339</v>
      </c>
      <c r="B118" s="11" t="n">
        <v>34.4</v>
      </c>
      <c r="C118" s="10" t="n">
        <v>27.11</v>
      </c>
      <c r="D118" s="10" t="n">
        <v>22.93</v>
      </c>
      <c r="E118" s="10" t="n">
        <v>32.65</v>
      </c>
      <c r="F118" s="11" t="n">
        <v>75.15</v>
      </c>
      <c r="G118" s="11" t="n">
        <v>30.2</v>
      </c>
      <c r="H118" s="10" t="n">
        <v>27.56</v>
      </c>
      <c r="I118" s="10" t="n">
        <v>23.55</v>
      </c>
      <c r="J118" s="10" t="n">
        <v>34.52</v>
      </c>
      <c r="K118" s="11" t="n">
        <v>67.75</v>
      </c>
    </row>
    <row r="119" customFormat="false" ht="15" hidden="false" customHeight="false" outlineLevel="0" collapsed="false">
      <c r="A119" s="8" t="n">
        <v>42370</v>
      </c>
      <c r="B119" s="11" t="n">
        <v>193.8</v>
      </c>
      <c r="C119" s="10" t="n">
        <v>26.15</v>
      </c>
      <c r="D119" s="10" t="n">
        <v>22.86</v>
      </c>
      <c r="E119" s="10" t="n">
        <v>31.09</v>
      </c>
      <c r="F119" s="11" t="n">
        <v>83.61</v>
      </c>
      <c r="G119" s="11" t="n">
        <v>151.2</v>
      </c>
      <c r="H119" s="10" t="n">
        <v>26.42</v>
      </c>
      <c r="I119" s="10" t="n">
        <v>23.06</v>
      </c>
      <c r="J119" s="10" t="n">
        <v>32.04</v>
      </c>
      <c r="K119" s="11" t="n">
        <v>74.83</v>
      </c>
    </row>
    <row r="120" customFormat="false" ht="15" hidden="false" customHeight="false" outlineLevel="0" collapsed="false">
      <c r="A120" s="8" t="n">
        <v>42401</v>
      </c>
      <c r="B120" s="11" t="n">
        <v>6.2</v>
      </c>
      <c r="C120" s="10" t="n">
        <v>27.04</v>
      </c>
      <c r="D120" s="10" t="n">
        <v>22.7</v>
      </c>
      <c r="E120" s="10" t="n">
        <v>32.85</v>
      </c>
      <c r="F120" s="11" t="n">
        <v>78.91</v>
      </c>
      <c r="G120" s="11" t="n">
        <v>25.8</v>
      </c>
      <c r="H120" s="10" t="n">
        <v>27.71</v>
      </c>
      <c r="I120" s="10" t="n">
        <v>23.6</v>
      </c>
      <c r="J120" s="10" t="n">
        <v>34.43</v>
      </c>
      <c r="K120" s="11" t="n">
        <v>69.46</v>
      </c>
    </row>
    <row r="121" customFormat="false" ht="15" hidden="false" customHeight="false" outlineLevel="0" collapsed="false">
      <c r="A121" s="8" t="n">
        <v>42430</v>
      </c>
      <c r="B121" s="11" t="n">
        <v>52.6</v>
      </c>
      <c r="C121" s="10" t="n">
        <v>27</v>
      </c>
      <c r="D121" s="10" t="n">
        <v>22.93</v>
      </c>
      <c r="E121" s="10" t="n">
        <v>32.67</v>
      </c>
      <c r="F121" s="11" t="n">
        <v>78.87</v>
      </c>
      <c r="G121" s="11" t="n">
        <v>46</v>
      </c>
      <c r="H121" s="10" t="n">
        <v>27.39</v>
      </c>
      <c r="I121" s="10" t="n">
        <v>23.48</v>
      </c>
      <c r="J121" s="10" t="n">
        <v>33.94</v>
      </c>
      <c r="K121" s="11" t="n">
        <v>70.97</v>
      </c>
    </row>
    <row r="122" customFormat="false" ht="15" hidden="false" customHeight="false" outlineLevel="0" collapsed="false">
      <c r="A122" s="8" t="n">
        <v>42461</v>
      </c>
      <c r="B122" s="11" t="n">
        <v>27.4</v>
      </c>
      <c r="C122" s="10" t="n">
        <v>25.85</v>
      </c>
      <c r="D122" s="10" t="n">
        <v>21.55</v>
      </c>
      <c r="E122" s="10" t="n">
        <v>31.54</v>
      </c>
      <c r="F122" s="11" t="n">
        <v>79.44</v>
      </c>
      <c r="G122" s="11" t="n">
        <v>22.4</v>
      </c>
      <c r="H122" s="10" t="n">
        <v>26.58</v>
      </c>
      <c r="I122" s="10" t="n">
        <v>22.46</v>
      </c>
      <c r="J122" s="10" t="n">
        <v>33.48</v>
      </c>
      <c r="K122" s="11" t="n">
        <v>70.24</v>
      </c>
    </row>
    <row r="123" customFormat="false" ht="15" hidden="false" customHeight="false" outlineLevel="0" collapsed="false">
      <c r="A123" s="8" t="n">
        <v>42491</v>
      </c>
      <c r="B123" s="11" t="n">
        <v>22.2</v>
      </c>
      <c r="C123" s="10" t="n">
        <v>23.79</v>
      </c>
      <c r="D123" s="10" t="n">
        <v>19.99</v>
      </c>
      <c r="E123" s="10" t="n">
        <v>29.66</v>
      </c>
      <c r="F123" s="11" t="n">
        <v>81.19</v>
      </c>
      <c r="G123" s="11" t="n">
        <v>23</v>
      </c>
      <c r="H123" s="10" t="n">
        <v>24.19</v>
      </c>
      <c r="I123" s="10" t="n">
        <v>20.52</v>
      </c>
      <c r="J123" s="10" t="n">
        <v>30.18</v>
      </c>
      <c r="K123" s="11" t="n">
        <v>70.68</v>
      </c>
    </row>
    <row r="124" customFormat="false" ht="15" hidden="false" customHeight="false" outlineLevel="0" collapsed="false">
      <c r="A124" s="8" t="n">
        <v>42522</v>
      </c>
      <c r="B124" s="11" t="n">
        <v>28.4</v>
      </c>
      <c r="C124" s="10" t="n">
        <v>22.17</v>
      </c>
      <c r="D124" s="10" t="n">
        <v>18.54</v>
      </c>
      <c r="E124" s="10" t="n">
        <v>27.86</v>
      </c>
      <c r="F124" s="11" t="n">
        <v>81.75</v>
      </c>
      <c r="G124" s="11" t="n">
        <v>39</v>
      </c>
      <c r="H124" s="10" t="n">
        <v>22.24</v>
      </c>
      <c r="I124" s="10" t="n">
        <v>18.78</v>
      </c>
      <c r="J124" s="10" t="n">
        <v>27.88</v>
      </c>
      <c r="K124" s="11" t="n">
        <v>73.01</v>
      </c>
    </row>
    <row r="125" customFormat="false" ht="15" hidden="false" customHeight="false" outlineLevel="0" collapsed="false">
      <c r="A125" s="8" t="n">
        <v>42552</v>
      </c>
      <c r="B125" s="11" t="n">
        <v>47.8</v>
      </c>
      <c r="C125" s="10" t="n">
        <v>21.74</v>
      </c>
      <c r="D125" s="10" t="n">
        <v>17.77</v>
      </c>
      <c r="E125" s="10" t="n">
        <v>27</v>
      </c>
      <c r="F125" s="11" t="n">
        <v>82.89</v>
      </c>
      <c r="G125" s="11" t="n">
        <v>57</v>
      </c>
      <c r="H125" s="10" t="n">
        <v>21.97</v>
      </c>
      <c r="I125" s="10" t="n">
        <v>18.32</v>
      </c>
      <c r="J125" s="10" t="n">
        <v>27.57</v>
      </c>
      <c r="K125" s="11" t="n">
        <v>73.96</v>
      </c>
    </row>
    <row r="126" customFormat="false" ht="15" hidden="false" customHeight="false" outlineLevel="0" collapsed="false">
      <c r="A126" s="8" t="n">
        <v>42583</v>
      </c>
      <c r="B126" s="11" t="n">
        <v>12.6</v>
      </c>
      <c r="C126" s="10" t="n">
        <v>22.21</v>
      </c>
      <c r="D126" s="10" t="n">
        <v>18.05</v>
      </c>
      <c r="E126" s="10" t="n">
        <v>27.76</v>
      </c>
      <c r="F126" s="11" t="n">
        <v>80.4</v>
      </c>
      <c r="G126" s="11" t="n">
        <v>17.2</v>
      </c>
      <c r="H126" s="10" t="n">
        <v>22.4</v>
      </c>
      <c r="I126" s="10" t="n">
        <v>18.4</v>
      </c>
      <c r="J126" s="10" t="n">
        <v>28.71</v>
      </c>
      <c r="K126" s="11" t="n">
        <v>72.48</v>
      </c>
    </row>
    <row r="127" customFormat="false" ht="15" hidden="false" customHeight="false" outlineLevel="0" collapsed="false">
      <c r="A127" s="8" t="n">
        <v>42614</v>
      </c>
      <c r="B127" s="11" t="n">
        <v>27.8</v>
      </c>
      <c r="C127" s="10" t="n">
        <v>23.27</v>
      </c>
      <c r="D127" s="10" t="n">
        <v>19.18</v>
      </c>
      <c r="E127" s="10" t="n">
        <v>28.51</v>
      </c>
      <c r="F127" s="11" t="n">
        <v>78.2</v>
      </c>
      <c r="G127" s="11" t="n">
        <v>14.6</v>
      </c>
      <c r="H127" s="10" t="n">
        <v>23.52</v>
      </c>
      <c r="I127" s="10" t="n">
        <v>19.77</v>
      </c>
      <c r="J127" s="10" t="n">
        <v>29.74</v>
      </c>
      <c r="K127" s="11" t="n">
        <v>70.1</v>
      </c>
    </row>
    <row r="128" customFormat="false" ht="15" hidden="false" customHeight="false" outlineLevel="0" collapsed="false">
      <c r="A128" s="8" t="n">
        <v>42644</v>
      </c>
    </row>
    <row r="129" customFormat="false" ht="15" hidden="false" customHeight="false" outlineLevel="0" collapsed="false">
      <c r="A129" s="8" t="n">
        <v>42675</v>
      </c>
      <c r="B129" s="11" t="n">
        <v>172</v>
      </c>
      <c r="C129" s="10" t="n">
        <v>24.41</v>
      </c>
      <c r="D129" s="10" t="n">
        <v>21.14</v>
      </c>
      <c r="E129" s="10" t="n">
        <v>29.03</v>
      </c>
      <c r="F129" s="11" t="n">
        <v>83.96</v>
      </c>
      <c r="G129" s="11" t="n">
        <v>262.2</v>
      </c>
      <c r="H129" s="10" t="n">
        <v>24.34</v>
      </c>
      <c r="I129" s="10" t="n">
        <v>21.17</v>
      </c>
      <c r="J129" s="10" t="n">
        <v>29.18</v>
      </c>
      <c r="K129" s="11" t="n">
        <v>76.39</v>
      </c>
    </row>
    <row r="130" customFormat="false" ht="15" hidden="false" customHeight="false" outlineLevel="0" collapsed="false">
      <c r="A130" s="8" t="n">
        <v>42705</v>
      </c>
      <c r="G130" s="11" t="n">
        <v>58.2</v>
      </c>
      <c r="H130" s="10" t="n">
        <v>25.82</v>
      </c>
      <c r="I130" s="10" t="n">
        <v>22.37</v>
      </c>
      <c r="J130" s="10" t="n">
        <v>31.68</v>
      </c>
      <c r="K130" s="11" t="n">
        <v>74.28</v>
      </c>
    </row>
    <row r="131" customFormat="false" ht="15" hidden="false" customHeight="false" outlineLevel="0" collapsed="false">
      <c r="A131" s="8" t="n">
        <v>42736</v>
      </c>
      <c r="G131" s="11" t="n">
        <v>18.8</v>
      </c>
      <c r="H131" s="10" t="n">
        <v>26.84</v>
      </c>
      <c r="I131" s="10" t="n">
        <v>22.7</v>
      </c>
      <c r="J131" s="10" t="n">
        <v>33.6</v>
      </c>
      <c r="K131" s="11" t="n">
        <v>68.93</v>
      </c>
    </row>
    <row r="132" customFormat="false" ht="15" hidden="false" customHeight="false" outlineLevel="0" collapsed="false">
      <c r="A132" s="8" t="n">
        <v>42767</v>
      </c>
      <c r="G132" s="11" t="n">
        <v>41</v>
      </c>
      <c r="H132" s="10" t="n">
        <v>26.48</v>
      </c>
      <c r="I132" s="10" t="n">
        <v>22.76</v>
      </c>
      <c r="J132" s="10" t="n">
        <v>32.79</v>
      </c>
      <c r="K132" s="11" t="n">
        <v>72.59</v>
      </c>
    </row>
    <row r="133" customFormat="false" ht="15" hidden="false" customHeight="false" outlineLevel="0" collapsed="false">
      <c r="A133" s="8" t="n">
        <v>42795</v>
      </c>
      <c r="B133" s="11" t="n">
        <v>131.2</v>
      </c>
      <c r="C133" s="10" t="n">
        <v>25.88</v>
      </c>
      <c r="D133" s="10" t="n">
        <v>21.7</v>
      </c>
      <c r="E133" s="10" t="n">
        <v>31.5</v>
      </c>
      <c r="F133" s="11" t="n">
        <v>78.69</v>
      </c>
      <c r="G133" s="11" t="n">
        <v>57.2</v>
      </c>
      <c r="H133" s="10" t="n">
        <v>26.3</v>
      </c>
      <c r="I133" s="10" t="n">
        <v>22.3</v>
      </c>
      <c r="J133" s="10" t="n">
        <v>32.97</v>
      </c>
      <c r="K133" s="11" t="n">
        <v>69.27</v>
      </c>
    </row>
    <row r="134" customFormat="false" ht="15" hidden="false" customHeight="false" outlineLevel="0" collapsed="false">
      <c r="A134" s="8" t="n">
        <v>42826</v>
      </c>
      <c r="B134" s="11" t="n">
        <v>26.8</v>
      </c>
      <c r="C134" s="10" t="n">
        <v>24.7</v>
      </c>
      <c r="D134" s="10" t="n">
        <v>20.96</v>
      </c>
      <c r="E134" s="10" t="n">
        <v>30.03</v>
      </c>
      <c r="F134" s="11" t="n">
        <v>80.53</v>
      </c>
      <c r="G134" s="11" t="n">
        <v>52.6</v>
      </c>
      <c r="H134" s="10" t="n">
        <v>24.98</v>
      </c>
      <c r="I134" s="10" t="n">
        <v>21.33</v>
      </c>
      <c r="J134" s="10" t="n">
        <v>30.82</v>
      </c>
      <c r="K134" s="11" t="n">
        <v>72.24</v>
      </c>
      <c r="L134" s="11" t="n">
        <v>6.6</v>
      </c>
      <c r="M134" s="10" t="n">
        <v>24.87</v>
      </c>
      <c r="N134" s="10" t="n">
        <v>20.1</v>
      </c>
      <c r="O134" s="10" t="n">
        <v>31.27</v>
      </c>
      <c r="P134" s="11" t="n">
        <v>74.18</v>
      </c>
      <c r="Q134" s="11" t="n">
        <v>37.4</v>
      </c>
      <c r="R134" s="10" t="n">
        <v>24.73</v>
      </c>
      <c r="S134" s="10" t="n">
        <v>20.55</v>
      </c>
      <c r="T134" s="10" t="n">
        <v>30.36</v>
      </c>
      <c r="U134" s="11" t="n">
        <v>75.89</v>
      </c>
    </row>
    <row r="135" customFormat="false" ht="15" hidden="false" customHeight="false" outlineLevel="0" collapsed="false">
      <c r="A135" s="8" t="n">
        <v>42856</v>
      </c>
      <c r="B135" s="11" t="n">
        <v>125.2</v>
      </c>
      <c r="C135" s="10" t="n">
        <v>22.79</v>
      </c>
      <c r="D135" s="10" t="n">
        <v>19.5</v>
      </c>
      <c r="E135" s="10" t="n">
        <v>27.77</v>
      </c>
      <c r="F135" s="11" t="n">
        <v>82.93</v>
      </c>
      <c r="G135" s="11" t="n">
        <v>135.4</v>
      </c>
      <c r="H135" s="10" t="n">
        <v>22.86</v>
      </c>
      <c r="I135" s="10" t="n">
        <v>19.71</v>
      </c>
      <c r="J135" s="10" t="n">
        <v>27.77</v>
      </c>
      <c r="K135" s="11" t="n">
        <v>76.02</v>
      </c>
    </row>
    <row r="136" customFormat="false" ht="15" hidden="false" customHeight="false" outlineLevel="0" collapsed="false">
      <c r="A136" s="8" t="n">
        <v>42887</v>
      </c>
      <c r="B136" s="11" t="n">
        <v>102.2</v>
      </c>
      <c r="C136" s="10" t="n">
        <v>22.22</v>
      </c>
      <c r="D136" s="10" t="n">
        <v>18.83</v>
      </c>
      <c r="E136" s="10" t="n">
        <v>27.48</v>
      </c>
      <c r="F136" s="11" t="n">
        <v>86.61</v>
      </c>
      <c r="G136" s="11" t="n">
        <v>63</v>
      </c>
      <c r="H136" s="10" t="n">
        <v>22.57</v>
      </c>
      <c r="I136" s="10" t="n">
        <v>19.25</v>
      </c>
      <c r="J136" s="10" t="n">
        <v>28.14</v>
      </c>
      <c r="K136" s="11" t="n">
        <v>78.09</v>
      </c>
    </row>
    <row r="137" customFormat="false" ht="15" hidden="false" customHeight="false" outlineLevel="0" collapsed="false">
      <c r="A137" s="8" t="n">
        <v>42917</v>
      </c>
      <c r="B137" s="11" t="n">
        <v>97.2</v>
      </c>
      <c r="C137" s="10" t="n">
        <v>20.48</v>
      </c>
      <c r="D137" s="10" t="n">
        <v>16.84</v>
      </c>
      <c r="E137" s="10" t="n">
        <v>25.81</v>
      </c>
      <c r="F137" s="11" t="n">
        <v>84.02</v>
      </c>
      <c r="G137" s="11" t="n">
        <v>92.4</v>
      </c>
      <c r="H137" s="10" t="n">
        <v>20.29</v>
      </c>
      <c r="I137" s="10" t="n">
        <v>16.75</v>
      </c>
      <c r="J137" s="10" t="n">
        <v>25.74</v>
      </c>
      <c r="K137" s="11" t="n">
        <v>78.67</v>
      </c>
      <c r="L137" s="11" t="n">
        <v>78.2</v>
      </c>
      <c r="M137" s="10" t="n">
        <v>19.32</v>
      </c>
      <c r="N137" s="10" t="n">
        <v>15.45</v>
      </c>
      <c r="O137" s="10" t="n">
        <v>25.07</v>
      </c>
      <c r="P137" s="11" t="n">
        <v>84.59</v>
      </c>
      <c r="Q137" s="11" t="n">
        <v>59</v>
      </c>
      <c r="R137" s="10" t="n">
        <v>19.81</v>
      </c>
      <c r="S137" s="10" t="n">
        <v>16.44</v>
      </c>
      <c r="T137" s="10" t="n">
        <v>24.82</v>
      </c>
      <c r="U137" s="11" t="n">
        <v>80.51</v>
      </c>
    </row>
    <row r="138" customFormat="false" ht="15" hidden="false" customHeight="false" outlineLevel="0" collapsed="false">
      <c r="A138" s="8" t="n">
        <v>42948</v>
      </c>
      <c r="B138" s="11" t="n">
        <v>24.4</v>
      </c>
      <c r="C138" s="10" t="n">
        <v>20.23</v>
      </c>
      <c r="D138" s="10" t="n">
        <v>16.24</v>
      </c>
      <c r="E138" s="10" t="n">
        <v>26</v>
      </c>
      <c r="F138" s="11" t="n">
        <v>81.35</v>
      </c>
      <c r="G138" s="11" t="n">
        <v>9.2</v>
      </c>
      <c r="H138" s="10" t="n">
        <v>20.58</v>
      </c>
      <c r="I138" s="10" t="n">
        <v>16.91</v>
      </c>
      <c r="J138" s="10" t="n">
        <v>26.34</v>
      </c>
      <c r="K138" s="11" t="n">
        <v>73.79</v>
      </c>
    </row>
    <row r="139" customFormat="false" ht="15" hidden="false" customHeight="false" outlineLevel="0" collapsed="false">
      <c r="A139" s="8" t="n">
        <v>42979</v>
      </c>
      <c r="B139" s="11" t="n">
        <v>89</v>
      </c>
      <c r="C139" s="10" t="n">
        <v>21.36</v>
      </c>
      <c r="D139" s="10" t="n">
        <v>17.51</v>
      </c>
      <c r="E139" s="10" t="n">
        <v>26.09</v>
      </c>
      <c r="F139" s="11" t="n">
        <v>82.87</v>
      </c>
    </row>
    <row r="140" customFormat="false" ht="15" hidden="false" customHeight="false" outlineLevel="0" collapsed="false">
      <c r="A140" s="8" t="n">
        <v>43009</v>
      </c>
    </row>
    <row r="141" customFormat="false" ht="15" hidden="false" customHeight="false" outlineLevel="0" collapsed="false">
      <c r="A141" s="8" t="n">
        <v>43040</v>
      </c>
      <c r="B141" s="11" t="n">
        <v>112.4</v>
      </c>
      <c r="C141" s="10" t="n">
        <v>24.08</v>
      </c>
      <c r="D141" s="10" t="n">
        <v>20.9</v>
      </c>
      <c r="E141" s="10" t="n">
        <v>28.57</v>
      </c>
      <c r="F141" s="11" t="n">
        <v>83.91</v>
      </c>
    </row>
    <row r="142" customFormat="false" ht="15" hidden="false" customHeight="false" outlineLevel="0" collapsed="false">
      <c r="A142" s="8" t="n">
        <v>43070</v>
      </c>
      <c r="G142" s="11" t="n">
        <v>261.6</v>
      </c>
      <c r="H142" s="10" t="n">
        <v>24.91</v>
      </c>
      <c r="I142" s="10" t="n">
        <v>21.93</v>
      </c>
      <c r="J142" s="10" t="n">
        <v>29.82</v>
      </c>
      <c r="K142" s="11" t="n">
        <v>78.53</v>
      </c>
    </row>
    <row r="143" customFormat="false" ht="15" hidden="false" customHeight="false" outlineLevel="0" collapsed="false">
      <c r="A143" s="8" t="n">
        <v>43101</v>
      </c>
      <c r="G143" s="11" t="n">
        <v>134.8</v>
      </c>
      <c r="H143" s="10" t="n">
        <v>26.47</v>
      </c>
      <c r="I143" s="10" t="n">
        <v>22.65</v>
      </c>
      <c r="J143" s="10" t="n">
        <v>32.4</v>
      </c>
      <c r="K143" s="11" t="n">
        <v>72.38</v>
      </c>
      <c r="L143" s="11" t="n">
        <v>170.2</v>
      </c>
      <c r="M143" s="10" t="n">
        <v>26.99</v>
      </c>
      <c r="N143" s="10" t="n">
        <v>22.05</v>
      </c>
      <c r="O143" s="10" t="n">
        <v>33.75</v>
      </c>
      <c r="P143" s="11" t="n">
        <v>72.51</v>
      </c>
      <c r="Q143" s="11" t="n">
        <v>46.6</v>
      </c>
      <c r="R143" s="10" t="n">
        <v>26.66</v>
      </c>
      <c r="S143" s="10" t="n">
        <v>21.6</v>
      </c>
      <c r="T143" s="10" t="n">
        <v>34.08</v>
      </c>
      <c r="U143" s="11" t="n">
        <v>72.74</v>
      </c>
    </row>
    <row r="144" customFormat="false" ht="15" hidden="false" customHeight="false" outlineLevel="0" collapsed="false">
      <c r="A144" s="8" t="n">
        <v>43132</v>
      </c>
      <c r="B144" s="11" t="n">
        <v>188.6</v>
      </c>
      <c r="C144" s="10" t="n">
        <v>25.54</v>
      </c>
      <c r="D144" s="10" t="n">
        <v>22.34</v>
      </c>
      <c r="E144" s="10" t="n">
        <v>30.38</v>
      </c>
      <c r="F144" s="11" t="n">
        <v>87.09</v>
      </c>
      <c r="L144" s="11" t="n">
        <v>190.6</v>
      </c>
      <c r="M144" s="10" t="n">
        <v>25.62</v>
      </c>
      <c r="N144" s="10" t="n">
        <v>21.92</v>
      </c>
      <c r="O144" s="10" t="n">
        <v>31.22</v>
      </c>
      <c r="P144" s="11" t="n">
        <v>80.89</v>
      </c>
      <c r="Q144" s="11" t="n">
        <v>103.4</v>
      </c>
      <c r="R144" s="10" t="n">
        <v>25.36</v>
      </c>
      <c r="S144" s="10" t="n">
        <v>21.54</v>
      </c>
      <c r="T144" s="10" t="n">
        <v>31.89</v>
      </c>
      <c r="U144" s="11" t="n">
        <v>82.48</v>
      </c>
    </row>
    <row r="145" customFormat="false" ht="15" hidden="false" customHeight="false" outlineLevel="0" collapsed="false">
      <c r="A145" s="8" t="n">
        <v>43160</v>
      </c>
      <c r="B145" s="11" t="n">
        <v>66.2</v>
      </c>
      <c r="C145" s="10" t="n">
        <v>26.25</v>
      </c>
      <c r="D145" s="10" t="n">
        <v>22.55</v>
      </c>
      <c r="E145" s="10" t="n">
        <v>31.92</v>
      </c>
      <c r="F145" s="11" t="n">
        <v>84.31</v>
      </c>
    </row>
    <row r="146" customFormat="false" ht="15" hidden="false" customHeight="false" outlineLevel="0" collapsed="false">
      <c r="A146" s="8" t="n">
        <v>43191</v>
      </c>
      <c r="B146" s="11" t="n">
        <v>177</v>
      </c>
      <c r="C146" s="10" t="n">
        <v>24.06</v>
      </c>
      <c r="D146" s="10" t="n">
        <v>21</v>
      </c>
      <c r="E146" s="10" t="n">
        <v>28.99</v>
      </c>
      <c r="F146" s="11" t="n">
        <v>88.16</v>
      </c>
    </row>
    <row r="147" customFormat="false" ht="15" hidden="false" customHeight="false" outlineLevel="0" collapsed="false">
      <c r="A147" s="8" t="n">
        <v>43221</v>
      </c>
      <c r="B147" s="11" t="n">
        <v>217.6</v>
      </c>
      <c r="C147" s="10" t="n">
        <v>22.8</v>
      </c>
      <c r="D147" s="10" t="n">
        <v>19.54</v>
      </c>
      <c r="E147" s="10" t="n">
        <v>27.79</v>
      </c>
      <c r="F147" s="11" t="n">
        <v>88.45</v>
      </c>
      <c r="G147" s="11" t="n">
        <v>110.8</v>
      </c>
      <c r="H147" s="10" t="n">
        <v>22.93</v>
      </c>
      <c r="I147" s="10" t="n">
        <v>19.81</v>
      </c>
      <c r="J147" s="10" t="n">
        <v>27.75</v>
      </c>
      <c r="K147" s="11" t="n">
        <v>78.41</v>
      </c>
    </row>
    <row r="148" customFormat="false" ht="15" hidden="false" customHeight="false" outlineLevel="0" collapsed="false">
      <c r="A148" s="8" t="n">
        <v>43252</v>
      </c>
      <c r="B148" s="11" t="n">
        <v>62.4</v>
      </c>
      <c r="C148" s="10" t="n">
        <v>22.33</v>
      </c>
      <c r="D148" s="10" t="n">
        <v>19.01</v>
      </c>
      <c r="E148" s="10" t="n">
        <v>27.54</v>
      </c>
      <c r="G148" s="11" t="n">
        <v>39.6</v>
      </c>
      <c r="H148" s="10" t="n">
        <v>22.45</v>
      </c>
      <c r="I148" s="10" t="n">
        <v>19.21</v>
      </c>
      <c r="J148" s="10" t="n">
        <v>27.3</v>
      </c>
      <c r="K148" s="11" t="n">
        <v>79.42</v>
      </c>
    </row>
    <row r="149" customFormat="false" ht="15" hidden="false" customHeight="false" outlineLevel="0" collapsed="false">
      <c r="A149" s="8" t="n">
        <v>43282</v>
      </c>
      <c r="B149" s="11" t="n">
        <v>18.4</v>
      </c>
      <c r="C149" s="10" t="n">
        <v>21.29</v>
      </c>
      <c r="D149" s="10" t="n">
        <v>17.05</v>
      </c>
      <c r="E149" s="10" t="n">
        <v>27.52</v>
      </c>
      <c r="G149" s="11" t="n">
        <v>12.2</v>
      </c>
      <c r="H149" s="10" t="n">
        <v>21.91</v>
      </c>
      <c r="I149" s="10" t="n">
        <v>17.91</v>
      </c>
      <c r="J149" s="10" t="n">
        <v>27.79</v>
      </c>
      <c r="K149" s="11" t="n">
        <v>77.2</v>
      </c>
      <c r="L149" s="11" t="n">
        <v>5.2</v>
      </c>
      <c r="M149" s="10" t="n">
        <v>20.81</v>
      </c>
      <c r="P149" s="11" t="n">
        <v>82.14</v>
      </c>
      <c r="Q149" s="11" t="n">
        <v>14.2</v>
      </c>
      <c r="R149" s="10" t="n">
        <v>21.49</v>
      </c>
      <c r="S149" s="10" t="n">
        <v>16.64</v>
      </c>
      <c r="T149" s="10" t="n">
        <v>28.38</v>
      </c>
      <c r="U149" s="11" t="n">
        <v>77.45</v>
      </c>
    </row>
    <row r="150" customFormat="false" ht="15" hidden="false" customHeight="false" outlineLevel="0" collapsed="false">
      <c r="A150" s="8" t="n">
        <v>43313</v>
      </c>
      <c r="G150" s="11" t="n">
        <v>63.6</v>
      </c>
      <c r="H150" s="10" t="n">
        <v>22.02</v>
      </c>
      <c r="I150" s="10" t="n">
        <v>18.88</v>
      </c>
      <c r="J150" s="10" t="n">
        <v>27.06</v>
      </c>
      <c r="K150" s="11" t="n">
        <v>78.29</v>
      </c>
      <c r="Q150" s="11" t="n">
        <v>46.6</v>
      </c>
      <c r="R150" s="10" t="n">
        <v>22.36</v>
      </c>
      <c r="S150" s="10" t="n">
        <v>18.15</v>
      </c>
      <c r="T150" s="10" t="n">
        <v>28.46</v>
      </c>
      <c r="U150" s="11" t="n">
        <v>77.41</v>
      </c>
    </row>
    <row r="151" customFormat="false" ht="15" hidden="false" customHeight="false" outlineLevel="0" collapsed="false">
      <c r="A151" s="8" t="n">
        <v>43344</v>
      </c>
      <c r="B151" s="11" t="n">
        <v>25.2</v>
      </c>
      <c r="C151" s="10" t="n">
        <v>22.91</v>
      </c>
      <c r="D151" s="10" t="n">
        <v>19.24</v>
      </c>
      <c r="E151" s="10" t="n">
        <v>27.68</v>
      </c>
      <c r="F151" s="11" t="n">
        <v>81.08</v>
      </c>
      <c r="G151" s="11" t="n">
        <v>28.2</v>
      </c>
      <c r="H151" s="10" t="n">
        <v>23.06</v>
      </c>
      <c r="I151" s="10" t="n">
        <v>19.74</v>
      </c>
      <c r="J151" s="10" t="n">
        <v>28.34</v>
      </c>
      <c r="K151" s="11" t="n">
        <v>75.2</v>
      </c>
    </row>
    <row r="152" customFormat="false" ht="15" hidden="false" customHeight="false" outlineLevel="0" collapsed="false">
      <c r="A152" s="8" t="n">
        <v>43374</v>
      </c>
      <c r="B152" s="11" t="n">
        <v>140</v>
      </c>
      <c r="C152" s="10" t="n">
        <v>24.06</v>
      </c>
      <c r="D152" s="10" t="n">
        <v>20.88</v>
      </c>
      <c r="E152" s="10" t="n">
        <v>28.22</v>
      </c>
      <c r="F152" s="11" t="n">
        <v>82.18</v>
      </c>
      <c r="G152" s="11" t="n">
        <v>120.8</v>
      </c>
      <c r="H152" s="10" t="n">
        <v>24.07</v>
      </c>
      <c r="I152" s="10" t="n">
        <v>21.14</v>
      </c>
      <c r="J152" s="10" t="n">
        <v>29.06</v>
      </c>
      <c r="K152" s="11" t="n">
        <v>76.41</v>
      </c>
      <c r="L152" s="11" t="n">
        <v>77.2</v>
      </c>
      <c r="M152" s="10" t="n">
        <v>24.71</v>
      </c>
      <c r="N152" s="10" t="n">
        <v>20.85</v>
      </c>
      <c r="O152" s="10" t="n">
        <v>30.77</v>
      </c>
      <c r="P152" s="11" t="n">
        <v>74.64</v>
      </c>
      <c r="Q152" s="11" t="n">
        <v>100.2</v>
      </c>
      <c r="R152" s="10" t="n">
        <v>24.28</v>
      </c>
      <c r="S152" s="10" t="n">
        <v>20.35</v>
      </c>
      <c r="T152" s="10" t="n">
        <v>30.48</v>
      </c>
      <c r="U152" s="11" t="n">
        <v>76.34</v>
      </c>
    </row>
    <row r="153" customFormat="false" ht="15" hidden="false" customHeight="false" outlineLevel="0" collapsed="false">
      <c r="A153" s="8" t="n">
        <v>43405</v>
      </c>
      <c r="B153" s="11" t="n">
        <v>227.2</v>
      </c>
      <c r="C153" s="10" t="n">
        <v>24.59</v>
      </c>
      <c r="D153" s="10" t="n">
        <v>21.03</v>
      </c>
      <c r="E153" s="10" t="n">
        <v>29.09</v>
      </c>
      <c r="F153" s="11" t="n">
        <v>84.38</v>
      </c>
      <c r="G153" s="11" t="n">
        <v>246.4</v>
      </c>
      <c r="H153" s="10" t="n">
        <v>24.55</v>
      </c>
      <c r="I153" s="10" t="n">
        <v>21.44</v>
      </c>
      <c r="J153" s="10" t="n">
        <v>29.3</v>
      </c>
      <c r="K153" s="11" t="n">
        <v>79.58</v>
      </c>
    </row>
    <row r="154" customFormat="false" ht="15" hidden="false" customHeight="false" outlineLevel="0" collapsed="false">
      <c r="A154" s="8" t="n">
        <v>43435</v>
      </c>
      <c r="B154" s="11" t="n">
        <v>198.6</v>
      </c>
      <c r="C154" s="10" t="n">
        <v>25.19</v>
      </c>
      <c r="D154" s="10" t="n">
        <v>21.86</v>
      </c>
      <c r="E154" s="10" t="n">
        <v>30.02</v>
      </c>
      <c r="F154" s="11" t="n">
        <v>84.06</v>
      </c>
      <c r="L154" s="11" t="n">
        <v>330.8</v>
      </c>
      <c r="M154" s="10" t="n">
        <v>25.44</v>
      </c>
      <c r="N154" s="10" t="n">
        <v>21.23</v>
      </c>
      <c r="O154" s="10" t="n">
        <v>31.63</v>
      </c>
      <c r="P154" s="11" t="n">
        <v>79.74</v>
      </c>
      <c r="Q154" s="11" t="n">
        <v>180.2</v>
      </c>
      <c r="R154" s="10" t="n">
        <v>24.92</v>
      </c>
      <c r="S154" s="10" t="n">
        <v>21.02</v>
      </c>
      <c r="T154" s="10" t="n">
        <v>30.94</v>
      </c>
      <c r="U154" s="11" t="n">
        <v>82.88</v>
      </c>
    </row>
    <row r="155" customFormat="false" ht="15" hidden="false" customHeight="false" outlineLevel="0" collapsed="false">
      <c r="A155" s="8" t="n">
        <v>43466</v>
      </c>
      <c r="B155" s="11" t="n">
        <v>40.8</v>
      </c>
      <c r="C155" s="10" t="n">
        <v>26.56</v>
      </c>
      <c r="D155" s="10" t="n">
        <v>22.22</v>
      </c>
      <c r="E155" s="10" t="n">
        <v>31.99</v>
      </c>
      <c r="F155" s="11" t="n">
        <v>79.17</v>
      </c>
      <c r="L155" s="11" t="n">
        <v>4.2</v>
      </c>
      <c r="M155" s="10" t="n">
        <v>27.25</v>
      </c>
      <c r="N155" s="10" t="n">
        <v>21.67</v>
      </c>
      <c r="O155" s="10" t="n">
        <v>34.52</v>
      </c>
      <c r="P155" s="11" t="n">
        <v>72.17</v>
      </c>
      <c r="Q155" s="11" t="n">
        <v>17.2</v>
      </c>
      <c r="R155" s="10" t="n">
        <v>26.85</v>
      </c>
      <c r="S155" s="10" t="n">
        <v>21.44</v>
      </c>
      <c r="T155" s="10" t="n">
        <v>34.75</v>
      </c>
      <c r="U155" s="11" t="n">
        <v>74.02</v>
      </c>
    </row>
    <row r="156" customFormat="false" ht="15" hidden="false" customHeight="false" outlineLevel="0" collapsed="false">
      <c r="A156" s="8" t="n">
        <v>43497</v>
      </c>
      <c r="B156" s="11" t="n">
        <v>34.8</v>
      </c>
      <c r="C156" s="10" t="n">
        <v>27.68</v>
      </c>
      <c r="D156" s="10" t="n">
        <v>23.41</v>
      </c>
      <c r="E156" s="10" t="n">
        <v>34.01</v>
      </c>
      <c r="F156" s="11" t="n">
        <v>77.87</v>
      </c>
      <c r="L156" s="11" t="n">
        <v>69.2</v>
      </c>
      <c r="M156" s="10" t="n">
        <v>27.97</v>
      </c>
      <c r="N156" s="10" t="n">
        <v>22.9</v>
      </c>
      <c r="O156" s="10" t="n">
        <v>35.7</v>
      </c>
      <c r="P156" s="11" t="n">
        <v>72.92</v>
      </c>
      <c r="Q156" s="11" t="n">
        <v>110.4</v>
      </c>
      <c r="R156" s="10" t="n">
        <v>27.64</v>
      </c>
      <c r="S156" s="10" t="n">
        <v>22.45</v>
      </c>
      <c r="T156" s="10" t="n">
        <v>35.2</v>
      </c>
      <c r="U156" s="11" t="n">
        <v>73.83</v>
      </c>
    </row>
    <row r="157" customFormat="false" ht="15" hidden="false" customHeight="false" outlineLevel="0" collapsed="false">
      <c r="A157" s="8" t="n">
        <v>43525</v>
      </c>
      <c r="B157" s="11" t="n">
        <v>100.8</v>
      </c>
      <c r="C157" s="10" t="n">
        <v>26.96</v>
      </c>
      <c r="D157" s="10" t="n">
        <v>23.17</v>
      </c>
      <c r="E157" s="10" t="n">
        <v>32.87</v>
      </c>
      <c r="F157" s="11" t="n">
        <v>79.09</v>
      </c>
      <c r="G157" s="11" t="n">
        <v>57.4</v>
      </c>
      <c r="H157" s="10" t="n">
        <v>27.25</v>
      </c>
      <c r="I157" s="10" t="n">
        <v>23.83</v>
      </c>
      <c r="J157" s="10" t="n">
        <v>33.06</v>
      </c>
      <c r="K157" s="11" t="n">
        <v>71.93</v>
      </c>
      <c r="Q157" s="11" t="n">
        <v>20.8</v>
      </c>
      <c r="R157" s="10" t="n">
        <v>26.85</v>
      </c>
      <c r="U157" s="11" t="n">
        <v>73.31</v>
      </c>
    </row>
    <row r="158" customFormat="false" ht="15" hidden="false" customHeight="false" outlineLevel="0" collapsed="false">
      <c r="A158" s="8" t="n">
        <v>43556</v>
      </c>
      <c r="B158" s="11" t="n">
        <v>74</v>
      </c>
      <c r="C158" s="10" t="n">
        <v>26.12</v>
      </c>
      <c r="D158" s="10" t="n">
        <v>22.6</v>
      </c>
      <c r="E158" s="10" t="n">
        <v>31.68</v>
      </c>
      <c r="F158" s="11" t="n">
        <v>83.5</v>
      </c>
      <c r="G158" s="11" t="n">
        <v>48.4</v>
      </c>
      <c r="H158" s="10" t="n">
        <v>26.65</v>
      </c>
      <c r="I158" s="10" t="n">
        <v>23.32</v>
      </c>
      <c r="J158" s="10" t="n">
        <v>32.51</v>
      </c>
      <c r="K158" s="11" t="n">
        <v>75.54</v>
      </c>
      <c r="L158" s="11" t="n">
        <v>33.2</v>
      </c>
      <c r="M158" s="10" t="n">
        <v>26.54</v>
      </c>
      <c r="N158" s="10" t="n">
        <v>22.17</v>
      </c>
      <c r="O158" s="10" t="n">
        <v>33.56</v>
      </c>
      <c r="P158" s="11" t="n">
        <v>77.43</v>
      </c>
      <c r="Q158" s="11" t="n">
        <v>86.6</v>
      </c>
      <c r="R158" s="10" t="n">
        <v>26.15</v>
      </c>
      <c r="S158" s="10" t="n">
        <v>22.26</v>
      </c>
      <c r="T158" s="10" t="n">
        <v>32.41</v>
      </c>
      <c r="U158" s="11" t="n">
        <v>78.84</v>
      </c>
    </row>
    <row r="159" customFormat="false" ht="15" hidden="false" customHeight="false" outlineLevel="0" collapsed="false">
      <c r="A159" s="8" t="n">
        <v>43586</v>
      </c>
      <c r="B159" s="11" t="n">
        <v>165.2</v>
      </c>
      <c r="C159" s="10" t="n">
        <v>24.45</v>
      </c>
      <c r="D159" s="10" t="n">
        <v>21.26</v>
      </c>
      <c r="E159" s="10" t="n">
        <v>29.34</v>
      </c>
      <c r="F159" s="11" t="n">
        <v>86</v>
      </c>
      <c r="G159" s="11" t="n">
        <v>93.6</v>
      </c>
      <c r="H159" s="10" t="n">
        <v>25.08</v>
      </c>
      <c r="I159" s="10" t="n">
        <v>21.92</v>
      </c>
      <c r="J159" s="10" t="n">
        <v>30.4</v>
      </c>
      <c r="L159" s="11" t="n">
        <v>40</v>
      </c>
      <c r="M159" s="10" t="n">
        <v>24.56</v>
      </c>
      <c r="N159" s="10" t="n">
        <v>20.25</v>
      </c>
      <c r="O159" s="10" t="n">
        <v>31.28</v>
      </c>
      <c r="P159" s="11" t="n">
        <v>79.54</v>
      </c>
      <c r="Q159" s="11" t="n">
        <v>21.8</v>
      </c>
      <c r="R159" s="10" t="n">
        <v>24.48</v>
      </c>
      <c r="S159" s="10" t="n">
        <v>20.23</v>
      </c>
      <c r="T159" s="10" t="n">
        <v>30.84</v>
      </c>
      <c r="U159" s="11" t="n">
        <v>79.83</v>
      </c>
    </row>
    <row r="160" customFormat="false" ht="15" hidden="false" customHeight="false" outlineLevel="0" collapsed="false">
      <c r="A160" s="8" t="n">
        <v>43617</v>
      </c>
      <c r="B160" s="11" t="n">
        <v>129</v>
      </c>
      <c r="C160" s="10" t="n">
        <v>22.55</v>
      </c>
      <c r="D160" s="10" t="n">
        <v>19.13</v>
      </c>
      <c r="E160" s="10" t="n">
        <v>27.9</v>
      </c>
      <c r="F160" s="11" t="n">
        <v>85.54</v>
      </c>
      <c r="G160" s="11" t="n">
        <v>59.8</v>
      </c>
      <c r="H160" s="10" t="n">
        <v>22.88</v>
      </c>
      <c r="I160" s="10" t="n">
        <v>19.69</v>
      </c>
      <c r="J160" s="10" t="n">
        <v>28.03</v>
      </c>
      <c r="K160" s="11" t="n">
        <v>79.87</v>
      </c>
      <c r="L160" s="11" t="n">
        <v>12.8</v>
      </c>
      <c r="M160" s="10" t="n">
        <v>22.38</v>
      </c>
      <c r="N160" s="10" t="n">
        <v>17.85</v>
      </c>
      <c r="O160" s="10" t="n">
        <v>29.3</v>
      </c>
      <c r="P160" s="11" t="n">
        <v>80.14</v>
      </c>
      <c r="Q160" s="11" t="n">
        <v>68.6</v>
      </c>
      <c r="R160" s="10" t="n">
        <v>22.16</v>
      </c>
      <c r="S160" s="10" t="n">
        <v>18.07</v>
      </c>
      <c r="T160" s="10" t="n">
        <v>28.22</v>
      </c>
      <c r="U160" s="11" t="n">
        <v>80.42</v>
      </c>
    </row>
    <row r="161" customFormat="false" ht="15" hidden="false" customHeight="false" outlineLevel="0" collapsed="false">
      <c r="A161" s="8" t="n">
        <v>43647</v>
      </c>
      <c r="B161" s="11" t="n">
        <v>47</v>
      </c>
      <c r="C161" s="10" t="n">
        <v>21.16</v>
      </c>
      <c r="D161" s="10" t="n">
        <v>17.13</v>
      </c>
      <c r="E161" s="10" t="n">
        <v>26.8</v>
      </c>
      <c r="F161" s="11" t="n">
        <v>82.87</v>
      </c>
      <c r="G161" s="11" t="n">
        <v>16</v>
      </c>
      <c r="H161" s="10" t="n">
        <v>21.51</v>
      </c>
      <c r="I161" s="10" t="n">
        <v>17.58</v>
      </c>
      <c r="J161" s="10" t="n">
        <v>27.5</v>
      </c>
      <c r="K161" s="11" t="n">
        <v>76.67</v>
      </c>
      <c r="L161" s="11" t="n">
        <v>15</v>
      </c>
      <c r="M161" s="10" t="n">
        <v>21.03</v>
      </c>
      <c r="N161" s="10" t="n">
        <v>15.28</v>
      </c>
      <c r="O161" s="10" t="n">
        <v>28.94</v>
      </c>
      <c r="P161" s="11" t="n">
        <v>75.02</v>
      </c>
      <c r="Q161" s="11" t="n">
        <v>14.8</v>
      </c>
      <c r="R161" s="10" t="n">
        <v>20.98</v>
      </c>
      <c r="S161" s="10" t="n">
        <v>16.14</v>
      </c>
      <c r="T161" s="10" t="n">
        <v>27.48</v>
      </c>
      <c r="U161" s="11" t="n">
        <v>74.81</v>
      </c>
    </row>
    <row r="162" customFormat="false" ht="15" hidden="false" customHeight="false" outlineLevel="0" collapsed="false">
      <c r="A162" s="8" t="n">
        <v>43678</v>
      </c>
      <c r="B162" s="11" t="n">
        <v>128.4</v>
      </c>
      <c r="C162" s="10" t="n">
        <v>21.49</v>
      </c>
      <c r="D162" s="10" t="n">
        <v>17.83</v>
      </c>
      <c r="E162" s="10" t="n">
        <v>27.03</v>
      </c>
      <c r="F162" s="11" t="n">
        <v>82.96</v>
      </c>
      <c r="G162" s="11" t="n">
        <v>28.4</v>
      </c>
      <c r="H162" s="10" t="n">
        <v>21.83</v>
      </c>
      <c r="I162" s="10" t="n">
        <v>18.35</v>
      </c>
      <c r="J162" s="10" t="n">
        <v>27.65</v>
      </c>
      <c r="K162" s="11" t="n">
        <v>76.52</v>
      </c>
    </row>
    <row r="163" customFormat="false" ht="15" hidden="false" customHeight="false" outlineLevel="0" collapsed="false">
      <c r="A163" s="8" t="n">
        <v>43709</v>
      </c>
      <c r="B163" s="11" t="n">
        <v>38.4</v>
      </c>
      <c r="C163" s="10" t="n">
        <v>22.75</v>
      </c>
      <c r="D163" s="10" t="n">
        <v>18.78</v>
      </c>
      <c r="E163" s="10" t="n">
        <v>28</v>
      </c>
      <c r="F163" s="11" t="n">
        <v>82.69</v>
      </c>
      <c r="G163" s="11" t="n">
        <v>23.2</v>
      </c>
      <c r="H163" s="10" t="n">
        <v>23.48</v>
      </c>
      <c r="I163" s="10" t="n">
        <v>20.25</v>
      </c>
      <c r="J163" s="10" t="n">
        <v>29.2</v>
      </c>
      <c r="K163" s="11" t="n">
        <v>74.63</v>
      </c>
      <c r="L163" s="11" t="n">
        <v>25</v>
      </c>
      <c r="M163" s="10" t="n">
        <v>24.17</v>
      </c>
      <c r="N163" s="10" t="n">
        <v>19.26</v>
      </c>
      <c r="O163" s="10" t="n">
        <v>30.93</v>
      </c>
      <c r="P163" s="11" t="n">
        <v>68.7</v>
      </c>
      <c r="Q163" s="11" t="n">
        <v>13.8</v>
      </c>
      <c r="R163" s="10" t="n">
        <v>23.1</v>
      </c>
      <c r="S163" s="10" t="n">
        <v>18.32</v>
      </c>
      <c r="T163" s="10" t="n">
        <v>29.56</v>
      </c>
      <c r="U163" s="11" t="n">
        <v>73.36</v>
      </c>
    </row>
    <row r="164" customFormat="false" ht="15" hidden="false" customHeight="false" outlineLevel="0" collapsed="false">
      <c r="A164" s="8" t="n">
        <v>43739</v>
      </c>
      <c r="B164" s="11" t="n">
        <v>183.6</v>
      </c>
      <c r="C164" s="10" t="n">
        <v>23.97</v>
      </c>
      <c r="D164" s="10" t="n">
        <v>20.2</v>
      </c>
      <c r="E164" s="10" t="n">
        <v>29.14</v>
      </c>
      <c r="F164" s="11" t="n">
        <v>82.27</v>
      </c>
      <c r="G164" s="11" t="n">
        <v>38.2</v>
      </c>
      <c r="H164" s="10" t="n">
        <v>24.56</v>
      </c>
      <c r="I164" s="10" t="n">
        <v>21.21</v>
      </c>
      <c r="J164" s="10" t="n">
        <v>30.24</v>
      </c>
      <c r="K164" s="11" t="n">
        <v>74.96</v>
      </c>
      <c r="L164" s="11" t="n">
        <v>44.8</v>
      </c>
      <c r="M164" s="10" t="n">
        <v>25.25</v>
      </c>
      <c r="N164" s="10" t="n">
        <v>20.3</v>
      </c>
      <c r="O164" s="10" t="n">
        <v>32.31</v>
      </c>
      <c r="P164" s="11" t="n">
        <v>70.35</v>
      </c>
    </row>
    <row r="165" customFormat="false" ht="15" hidden="false" customHeight="false" outlineLevel="0" collapsed="false">
      <c r="A165" s="8" t="n">
        <v>43770</v>
      </c>
      <c r="G165" s="11" t="n">
        <v>352</v>
      </c>
      <c r="H165" s="10" t="n">
        <v>24.94</v>
      </c>
      <c r="I165" s="10" t="n">
        <v>21.93</v>
      </c>
      <c r="J165" s="10" t="n">
        <v>29.95</v>
      </c>
    </row>
    <row r="166" customFormat="false" ht="15" hidden="false" customHeight="false" outlineLevel="0" collapsed="false">
      <c r="A166" s="8" t="n">
        <v>43800</v>
      </c>
      <c r="B166" s="11" t="n">
        <v>93.8</v>
      </c>
      <c r="C166" s="10" t="n">
        <v>25.46</v>
      </c>
      <c r="D166" s="10" t="n">
        <v>21.83</v>
      </c>
      <c r="E166" s="10" t="n">
        <v>30.4</v>
      </c>
      <c r="F166" s="11" t="n">
        <v>83.07</v>
      </c>
      <c r="G166" s="11" t="n">
        <v>117</v>
      </c>
      <c r="H166" s="10" t="n">
        <v>25.81</v>
      </c>
      <c r="I166" s="10" t="n">
        <v>22.71</v>
      </c>
      <c r="J166" s="10" t="n">
        <v>30.95</v>
      </c>
      <c r="K166" s="11" t="n">
        <v>78.63</v>
      </c>
      <c r="L166" s="11" t="n">
        <v>115.8</v>
      </c>
      <c r="M166" s="10" t="n">
        <v>25.92</v>
      </c>
      <c r="N166" s="10" t="n">
        <v>21.62</v>
      </c>
      <c r="O166" s="10" t="n">
        <v>32.32</v>
      </c>
      <c r="P166" s="11" t="n">
        <v>76.32</v>
      </c>
    </row>
    <row r="167" customFormat="false" ht="15" hidden="false" customHeight="false" outlineLevel="0" collapsed="false">
      <c r="A167" s="8" t="n">
        <v>43831</v>
      </c>
      <c r="L167" s="11" t="n">
        <v>248.2</v>
      </c>
      <c r="M167" s="10" t="n">
        <v>26.67</v>
      </c>
      <c r="N167" s="10" t="n">
        <v>22.51</v>
      </c>
      <c r="O167" s="10" t="n">
        <v>32.92</v>
      </c>
      <c r="P167" s="11" t="n">
        <v>77.88</v>
      </c>
    </row>
    <row r="168" customFormat="false" ht="15" hidden="false" customHeight="false" outlineLevel="0" collapsed="false">
      <c r="A168" s="8" t="n">
        <v>43862</v>
      </c>
      <c r="B168" s="11" t="n">
        <v>29.8</v>
      </c>
      <c r="C168" s="10" t="n">
        <v>26.51</v>
      </c>
      <c r="D168" s="10" t="n">
        <v>22.71</v>
      </c>
      <c r="E168" s="10" t="n">
        <v>32.54</v>
      </c>
      <c r="F168" s="11" t="n">
        <v>83.8</v>
      </c>
      <c r="G168" s="11" t="n">
        <v>113.6</v>
      </c>
      <c r="H168" s="10" t="n">
        <v>26.78</v>
      </c>
      <c r="I168" s="10" t="n">
        <v>23.55</v>
      </c>
      <c r="J168" s="10" t="n">
        <v>32.39</v>
      </c>
    </row>
    <row r="169" customFormat="false" ht="15" hidden="false" customHeight="false" outlineLevel="0" collapsed="false">
      <c r="A169" s="8" t="n">
        <v>43891</v>
      </c>
      <c r="B169" s="11" t="n">
        <v>160.8</v>
      </c>
      <c r="C169" s="10" t="n">
        <v>25.28</v>
      </c>
      <c r="D169" s="10" t="n">
        <v>22.06</v>
      </c>
      <c r="E169" s="10" t="n">
        <v>30.48</v>
      </c>
      <c r="F169" s="11" t="n">
        <v>84.64</v>
      </c>
      <c r="G169" s="11" t="n">
        <v>84.8</v>
      </c>
      <c r="H169" s="10" t="n">
        <v>25.22</v>
      </c>
      <c r="I169" s="10" t="n">
        <v>22.27</v>
      </c>
      <c r="J169" s="10" t="n">
        <v>30.1</v>
      </c>
    </row>
    <row r="170" customFormat="false" ht="15" hidden="false" customHeight="false" outlineLevel="0" collapsed="false">
      <c r="A170" s="8" t="n">
        <v>43922</v>
      </c>
      <c r="B170" s="11" t="n">
        <v>49.6</v>
      </c>
      <c r="C170" s="10" t="n">
        <v>24.33</v>
      </c>
      <c r="D170" s="10" t="n">
        <v>21.22</v>
      </c>
      <c r="E170" s="10" t="n">
        <v>29.17</v>
      </c>
      <c r="F170" s="11" t="n">
        <v>83.85</v>
      </c>
      <c r="G170" s="11" t="n">
        <v>22.2</v>
      </c>
      <c r="H170" s="10" t="n">
        <v>24.57</v>
      </c>
      <c r="I170" s="10" t="n">
        <v>21.3</v>
      </c>
      <c r="J170" s="10" t="n">
        <v>29.99</v>
      </c>
      <c r="L170" s="11" t="n">
        <v>31.4</v>
      </c>
      <c r="M170" s="10" t="n">
        <v>24.03</v>
      </c>
      <c r="N170" s="10" t="n">
        <v>19.89</v>
      </c>
      <c r="O170" s="10" t="n">
        <v>29.93</v>
      </c>
      <c r="P170" s="11" t="n">
        <v>79.89</v>
      </c>
    </row>
    <row r="171" customFormat="false" ht="15" hidden="false" customHeight="false" outlineLevel="0" collapsed="false">
      <c r="A171" s="8" t="n">
        <v>43952</v>
      </c>
      <c r="B171" s="11" t="n">
        <v>32.4</v>
      </c>
      <c r="C171" s="10" t="n">
        <v>22.61</v>
      </c>
      <c r="D171" s="10" t="n">
        <v>18.81</v>
      </c>
      <c r="E171" s="10" t="n">
        <v>28.38</v>
      </c>
      <c r="F171" s="11" t="n">
        <v>84.09</v>
      </c>
      <c r="G171" s="11" t="n">
        <v>46.6</v>
      </c>
      <c r="H171" s="10" t="n">
        <v>22.86</v>
      </c>
      <c r="I171" s="10" t="n">
        <v>19.09</v>
      </c>
      <c r="J171" s="10" t="n">
        <v>28.83</v>
      </c>
      <c r="L171" s="11" t="n">
        <v>66</v>
      </c>
      <c r="M171" s="10" t="n">
        <v>21.63</v>
      </c>
      <c r="N171" s="10" t="n">
        <v>17.3</v>
      </c>
      <c r="O171" s="10" t="n">
        <v>28.69</v>
      </c>
      <c r="P171" s="11" t="n">
        <v>82.45</v>
      </c>
    </row>
    <row r="172" customFormat="false" ht="15" hidden="false" customHeight="false" outlineLevel="0" collapsed="false">
      <c r="A172" s="8" t="n">
        <v>43983</v>
      </c>
      <c r="B172" s="11" t="n">
        <v>62.6</v>
      </c>
      <c r="C172" s="10" t="n">
        <v>22.18</v>
      </c>
      <c r="D172" s="10" t="n">
        <v>18.48</v>
      </c>
      <c r="E172" s="10" t="n">
        <v>28.17</v>
      </c>
      <c r="F172" s="11" t="n">
        <v>87.04</v>
      </c>
      <c r="G172" s="11" t="n">
        <v>40.4</v>
      </c>
      <c r="H172" s="10" t="n">
        <v>22.66</v>
      </c>
      <c r="I172" s="10" t="n">
        <v>19.28</v>
      </c>
      <c r="J172" s="10" t="n">
        <v>28.02</v>
      </c>
      <c r="L172" s="11" t="n">
        <v>33.2</v>
      </c>
      <c r="M172" s="10" t="n">
        <v>21.19</v>
      </c>
      <c r="N172" s="10" t="n">
        <v>16.73</v>
      </c>
      <c r="O172" s="10" t="n">
        <v>28.33</v>
      </c>
      <c r="P172" s="11" t="n">
        <v>84.08</v>
      </c>
    </row>
    <row r="173" customFormat="false" ht="15" hidden="false" customHeight="false" outlineLevel="0" collapsed="false">
      <c r="A173" s="8" t="n">
        <v>44013</v>
      </c>
      <c r="B173" s="11" t="n">
        <v>90</v>
      </c>
      <c r="C173" s="10" t="n">
        <v>21.34</v>
      </c>
      <c r="D173" s="10" t="n">
        <v>17.28</v>
      </c>
      <c r="E173" s="10" t="n">
        <v>27.31</v>
      </c>
      <c r="F173" s="11" t="n">
        <v>87.78</v>
      </c>
      <c r="G173" s="11" t="n">
        <v>82.6</v>
      </c>
      <c r="H173" s="10" t="n">
        <v>21.87</v>
      </c>
      <c r="I173" s="10" t="n">
        <v>18.29</v>
      </c>
      <c r="J173" s="10" t="n">
        <v>27.49</v>
      </c>
      <c r="L173" s="11" t="n">
        <v>36.2</v>
      </c>
      <c r="M173" s="10" t="n">
        <v>20.9</v>
      </c>
      <c r="N173" s="10" t="n">
        <v>16.4</v>
      </c>
      <c r="O173" s="10" t="n">
        <v>27.88</v>
      </c>
      <c r="P173" s="11" t="n">
        <v>82.15</v>
      </c>
    </row>
    <row r="174" customFormat="false" ht="15" hidden="false" customHeight="false" outlineLevel="0" collapsed="false">
      <c r="A174" s="8" t="n">
        <v>44044</v>
      </c>
      <c r="B174" s="11" t="n">
        <v>72.8</v>
      </c>
      <c r="C174" s="10" t="n">
        <v>21.45</v>
      </c>
      <c r="D174" s="10" t="n">
        <v>17.88</v>
      </c>
      <c r="E174" s="10" t="n">
        <v>26.75</v>
      </c>
      <c r="F174" s="11" t="n">
        <v>84.42</v>
      </c>
      <c r="G174" s="11" t="n">
        <v>42.4</v>
      </c>
      <c r="H174" s="10" t="n">
        <v>21.6</v>
      </c>
      <c r="I174" s="10" t="n">
        <v>18.18</v>
      </c>
      <c r="J174" s="10" t="n">
        <v>27.1</v>
      </c>
      <c r="L174" s="11" t="n">
        <v>22.8</v>
      </c>
      <c r="M174" s="10" t="n">
        <v>21.21</v>
      </c>
      <c r="N174" s="10" t="n">
        <v>16.45</v>
      </c>
      <c r="O174" s="10" t="n">
        <v>28.04</v>
      </c>
      <c r="P174" s="11" t="n">
        <v>78.39</v>
      </c>
    </row>
    <row r="175" customFormat="false" ht="15" hidden="false" customHeight="false" outlineLevel="0" collapsed="false">
      <c r="A175" s="8" t="n">
        <v>44075</v>
      </c>
      <c r="B175" s="11" t="n">
        <v>49.6</v>
      </c>
      <c r="C175" s="10" t="n">
        <v>22.94</v>
      </c>
      <c r="D175" s="10" t="n">
        <v>18.37</v>
      </c>
      <c r="E175" s="10" t="n">
        <v>28.68</v>
      </c>
      <c r="F175" s="11" t="n">
        <v>84.84</v>
      </c>
      <c r="G175" s="11" t="n">
        <v>31.8</v>
      </c>
      <c r="H175" s="10" t="n">
        <v>23.74</v>
      </c>
      <c r="I175" s="10" t="n">
        <v>20.07</v>
      </c>
      <c r="J175" s="10" t="n">
        <v>30.25</v>
      </c>
      <c r="L175" s="11" t="n">
        <v>11.8</v>
      </c>
      <c r="M175" s="10" t="n">
        <v>24.23</v>
      </c>
      <c r="N175" s="10" t="n">
        <v>18.49</v>
      </c>
      <c r="O175" s="10" t="n">
        <v>32.23</v>
      </c>
    </row>
    <row r="176" customFormat="false" ht="15" hidden="false" customHeight="false" outlineLevel="0" collapsed="false">
      <c r="A176" s="8" t="n">
        <v>44105</v>
      </c>
      <c r="B176" s="11" t="n">
        <v>137.8</v>
      </c>
      <c r="C176" s="10" t="n">
        <v>24.26</v>
      </c>
      <c r="D176" s="10" t="n">
        <v>21.05</v>
      </c>
      <c r="E176" s="10" t="n">
        <v>28.96</v>
      </c>
      <c r="F176" s="11" t="n">
        <v>86.94</v>
      </c>
      <c r="G176" s="11" t="n">
        <v>175</v>
      </c>
      <c r="H176" s="10" t="n">
        <v>24.41</v>
      </c>
      <c r="I176" s="10" t="n">
        <v>21.57</v>
      </c>
      <c r="J176" s="10" t="n">
        <v>29.65</v>
      </c>
      <c r="L176" s="11" t="n">
        <v>293</v>
      </c>
      <c r="M176" s="10" t="n">
        <v>24.86</v>
      </c>
      <c r="N176" s="10" t="n">
        <v>21.1</v>
      </c>
      <c r="O176" s="10" t="n">
        <v>30.68</v>
      </c>
      <c r="P176" s="11" t="n">
        <v>76.69</v>
      </c>
    </row>
    <row r="177" customFormat="false" ht="15" hidden="false" customHeight="false" outlineLevel="0" collapsed="false">
      <c r="A177" s="8" t="n">
        <v>44136</v>
      </c>
      <c r="B177" s="11" t="n">
        <v>136</v>
      </c>
      <c r="C177" s="10" t="n">
        <v>24.11</v>
      </c>
      <c r="D177" s="10" t="n">
        <v>21.17</v>
      </c>
      <c r="E177" s="10" t="n">
        <v>28.54</v>
      </c>
      <c r="F177" s="11" t="n">
        <v>88.41</v>
      </c>
      <c r="G177" s="11" t="n">
        <v>55.8</v>
      </c>
      <c r="H177" s="10" t="n">
        <v>24.55</v>
      </c>
      <c r="I177" s="10" t="n">
        <v>21.64</v>
      </c>
      <c r="J177" s="10" t="n">
        <v>29.74</v>
      </c>
    </row>
    <row r="178" customFormat="false" ht="15" hidden="false" customHeight="false" outlineLevel="0" collapsed="false">
      <c r="A178" s="8" t="n">
        <v>44166</v>
      </c>
      <c r="B178" s="11" t="n">
        <v>48.8</v>
      </c>
      <c r="C178" s="10" t="n">
        <v>26.01</v>
      </c>
      <c r="D178" s="10" t="n">
        <v>21.93</v>
      </c>
      <c r="E178" s="10" t="n">
        <v>31.46</v>
      </c>
      <c r="F178" s="11" t="n">
        <v>81.95</v>
      </c>
      <c r="G178" s="11" t="n">
        <v>36</v>
      </c>
      <c r="H178" s="10" t="n">
        <v>26.58</v>
      </c>
      <c r="I178" s="10" t="n">
        <v>22.88</v>
      </c>
      <c r="J178" s="10" t="n">
        <v>32.69</v>
      </c>
    </row>
    <row r="179" customFormat="false" ht="15" hidden="false" customHeight="false" outlineLevel="0" collapsed="false">
      <c r="A179" s="8" t="n">
        <v>44197</v>
      </c>
      <c r="B179" s="11" t="n">
        <v>68.8</v>
      </c>
      <c r="C179" s="10" t="n">
        <v>25.84</v>
      </c>
      <c r="D179" s="10" t="n">
        <v>21.59</v>
      </c>
      <c r="E179" s="10" t="n">
        <v>31.39</v>
      </c>
      <c r="F179" s="11" t="n">
        <v>82</v>
      </c>
      <c r="G179" s="11" t="n">
        <v>42.4</v>
      </c>
      <c r="H179" s="10" t="n">
        <v>26.39</v>
      </c>
      <c r="I179" s="10" t="n">
        <v>22.63</v>
      </c>
      <c r="J179" s="10" t="n">
        <v>32.73</v>
      </c>
      <c r="L179" s="11" t="n">
        <v>85</v>
      </c>
      <c r="M179" s="10" t="n">
        <v>26.32</v>
      </c>
      <c r="N179" s="10" t="n">
        <v>21.3</v>
      </c>
      <c r="O179" s="10" t="n">
        <v>33.47</v>
      </c>
      <c r="P179" s="11" t="n">
        <v>72.99</v>
      </c>
    </row>
    <row r="180" customFormat="false" ht="15" hidden="false" customHeight="false" outlineLevel="0" collapsed="false">
      <c r="A180" s="8" t="n">
        <v>44228</v>
      </c>
      <c r="B180" s="11" t="n">
        <v>219.6</v>
      </c>
      <c r="C180" s="10" t="n">
        <v>25.47</v>
      </c>
      <c r="D180" s="10" t="n">
        <v>22.32</v>
      </c>
      <c r="E180" s="10" t="n">
        <v>30.45</v>
      </c>
      <c r="F180" s="11" t="n">
        <v>87.72</v>
      </c>
      <c r="G180" s="11" t="n">
        <v>179.2</v>
      </c>
      <c r="H180" s="10" t="n">
        <v>25.82</v>
      </c>
      <c r="I180" s="10" t="n">
        <v>22.97</v>
      </c>
      <c r="J180" s="10" t="n">
        <v>30.85</v>
      </c>
      <c r="L180" s="11" t="n">
        <v>173.8</v>
      </c>
      <c r="M180" s="10" t="n">
        <v>25.6</v>
      </c>
      <c r="N180" s="10" t="n">
        <v>21.79</v>
      </c>
      <c r="O180" s="10" t="n">
        <v>31.69</v>
      </c>
      <c r="P180" s="11" t="n">
        <v>80.98</v>
      </c>
    </row>
    <row r="181" customFormat="false" ht="15" hidden="false" customHeight="false" outlineLevel="0" collapsed="false">
      <c r="A181" s="8" t="n">
        <v>44256</v>
      </c>
      <c r="B181" s="11" t="n">
        <v>73.2</v>
      </c>
      <c r="C181" s="10" t="n">
        <v>25.73</v>
      </c>
      <c r="D181" s="10" t="n">
        <v>21.52</v>
      </c>
      <c r="E181" s="10" t="n">
        <v>31.96</v>
      </c>
      <c r="G181" s="11" t="n">
        <v>166.4</v>
      </c>
      <c r="H181" s="10" t="n">
        <v>26.36</v>
      </c>
      <c r="I181" s="10" t="n">
        <v>22.83</v>
      </c>
      <c r="J181" s="10" t="n">
        <v>32.49</v>
      </c>
    </row>
    <row r="182" customFormat="false" ht="15" hidden="false" customHeight="false" outlineLevel="0" collapsed="false">
      <c r="A182" s="8" t="n">
        <v>44287</v>
      </c>
      <c r="B182" s="11" t="n">
        <v>48.8</v>
      </c>
      <c r="C182" s="10" t="n">
        <v>24.44</v>
      </c>
      <c r="D182" s="10" t="n">
        <v>20.75</v>
      </c>
      <c r="E182" s="10" t="n">
        <v>30.17</v>
      </c>
      <c r="G182" s="11" t="n">
        <v>25.6</v>
      </c>
      <c r="H182" s="10" t="n">
        <v>24.81</v>
      </c>
      <c r="I182" s="10" t="n">
        <v>21.42</v>
      </c>
      <c r="J182" s="10" t="n">
        <v>30.42</v>
      </c>
    </row>
    <row r="183" customFormat="false" ht="15" hidden="false" customHeight="false" outlineLevel="0" collapsed="false">
      <c r="A183" s="8" t="n">
        <v>44317</v>
      </c>
      <c r="B183" s="11" t="n">
        <v>18.4</v>
      </c>
      <c r="C183" s="10" t="n">
        <v>23.09</v>
      </c>
      <c r="D183" s="10" t="n">
        <v>19.22</v>
      </c>
      <c r="E183" s="10" t="n">
        <v>29.26</v>
      </c>
      <c r="G183" s="11" t="n">
        <v>7.8</v>
      </c>
      <c r="H183" s="10" t="n">
        <v>23.62</v>
      </c>
      <c r="I183" s="10" t="n">
        <v>20.35</v>
      </c>
      <c r="J183" s="10" t="n">
        <v>29.17</v>
      </c>
      <c r="K183" s="11" t="n">
        <v>71.62</v>
      </c>
    </row>
    <row r="184" customFormat="false" ht="15" hidden="false" customHeight="false" outlineLevel="0" collapsed="false">
      <c r="A184" s="8" t="n">
        <v>44348</v>
      </c>
      <c r="B184" s="11" t="n">
        <v>18.8</v>
      </c>
      <c r="C184" s="10" t="n">
        <v>21.67</v>
      </c>
      <c r="D184" s="10" t="n">
        <v>17.9</v>
      </c>
      <c r="E184" s="10" t="n">
        <v>27.88</v>
      </c>
      <c r="G184" s="11" t="n">
        <v>48.2</v>
      </c>
      <c r="H184" s="10" t="n">
        <v>22.1</v>
      </c>
      <c r="I184" s="10" t="n">
        <v>18.85</v>
      </c>
      <c r="J184" s="10" t="n">
        <v>27.16</v>
      </c>
    </row>
    <row r="185" customFormat="false" ht="15" hidden="false" customHeight="false" outlineLevel="0" collapsed="false">
      <c r="A185" s="8" t="n">
        <v>44378</v>
      </c>
      <c r="B185" s="11" t="n">
        <v>9</v>
      </c>
      <c r="C185" s="10" t="n">
        <v>20.85</v>
      </c>
      <c r="D185" s="10" t="n">
        <v>16.61</v>
      </c>
      <c r="E185" s="10" t="n">
        <v>27.19</v>
      </c>
      <c r="G185" s="11" t="n">
        <v>1.4</v>
      </c>
      <c r="H185" s="10" t="n">
        <v>21.23</v>
      </c>
      <c r="I185" s="10" t="n">
        <v>17.59</v>
      </c>
      <c r="J185" s="10" t="n">
        <v>26.84</v>
      </c>
    </row>
    <row r="186" customFormat="false" ht="15" hidden="false" customHeight="false" outlineLevel="0" collapsed="false">
      <c r="A186" s="8" t="n">
        <v>44409</v>
      </c>
      <c r="B186" s="11" t="n">
        <v>49.8</v>
      </c>
      <c r="C186" s="10" t="n">
        <v>21.12</v>
      </c>
      <c r="D186" s="10" t="n">
        <v>16.99</v>
      </c>
      <c r="E186" s="10" t="n">
        <v>27.19</v>
      </c>
      <c r="G186" s="11" t="n">
        <v>42</v>
      </c>
      <c r="H186" s="10" t="n">
        <v>21.58</v>
      </c>
      <c r="I186" s="10" t="n">
        <v>17.95</v>
      </c>
      <c r="J186" s="10" t="n">
        <v>27.24</v>
      </c>
    </row>
    <row r="187" customFormat="false" ht="15" hidden="false" customHeight="false" outlineLevel="0" collapsed="false">
      <c r="A187" s="8" t="n">
        <v>44440</v>
      </c>
      <c r="B187" s="11" t="n">
        <v>36.4</v>
      </c>
      <c r="C187" s="10" t="n">
        <v>23.33</v>
      </c>
      <c r="D187" s="10" t="n">
        <v>19.38</v>
      </c>
      <c r="E187" s="10" t="n">
        <v>29.22</v>
      </c>
      <c r="G187" s="11" t="n">
        <v>38.6</v>
      </c>
      <c r="H187" s="10" t="n">
        <v>23.71</v>
      </c>
      <c r="I187" s="10" t="n">
        <v>20.64</v>
      </c>
      <c r="J187" s="10" t="n">
        <v>29.32</v>
      </c>
    </row>
    <row r="188" customFormat="false" ht="15" hidden="false" customHeight="false" outlineLevel="0" collapsed="false">
      <c r="A188" s="8" t="n">
        <v>44470</v>
      </c>
      <c r="B188" s="11" t="n">
        <v>217.8</v>
      </c>
      <c r="C188" s="10" t="n">
        <v>23.96</v>
      </c>
      <c r="D188" s="10" t="n">
        <v>21.05</v>
      </c>
      <c r="E188" s="10" t="n">
        <v>28.39</v>
      </c>
      <c r="G188" s="11" t="n">
        <v>251.2</v>
      </c>
      <c r="H188" s="10" t="n">
        <v>23.8</v>
      </c>
      <c r="I188" s="10" t="n">
        <v>21.28</v>
      </c>
      <c r="J188" s="10" t="n">
        <v>28.11</v>
      </c>
    </row>
    <row r="189" customFormat="false" ht="15" hidden="false" customHeight="false" outlineLevel="0" collapsed="false">
      <c r="A189" s="8" t="n">
        <v>44501</v>
      </c>
      <c r="B189" s="11" t="n">
        <v>193.8</v>
      </c>
      <c r="C189" s="10" t="n">
        <v>24.01</v>
      </c>
      <c r="D189" s="10" t="n">
        <v>20.94</v>
      </c>
      <c r="E189" s="10" t="n">
        <v>28.36</v>
      </c>
      <c r="G189" s="11" t="n">
        <v>199.2</v>
      </c>
      <c r="H189" s="10" t="n">
        <v>23.77</v>
      </c>
      <c r="I189" s="10" t="n">
        <v>20.85</v>
      </c>
      <c r="J189" s="10" t="n">
        <v>28.19</v>
      </c>
    </row>
    <row r="190" customFormat="false" ht="15" hidden="false" customHeight="false" outlineLevel="0" collapsed="false">
      <c r="A190" s="8" t="n">
        <v>44531</v>
      </c>
      <c r="B190" s="11" t="n">
        <v>418</v>
      </c>
      <c r="C190" s="10" t="n">
        <v>24.73</v>
      </c>
      <c r="D190" s="10" t="n">
        <v>21.87</v>
      </c>
      <c r="E190" s="10" t="n">
        <v>29.39</v>
      </c>
      <c r="G190" s="11" t="n">
        <v>191.2</v>
      </c>
      <c r="H190" s="10" t="n">
        <v>24.77</v>
      </c>
      <c r="I190" s="10" t="n">
        <v>22.11</v>
      </c>
      <c r="J190" s="10" t="n">
        <v>29.12</v>
      </c>
    </row>
    <row r="191" customFormat="false" ht="15" hidden="false" customHeight="false" outlineLevel="0" collapsed="false">
      <c r="A191" s="8" t="n">
        <v>44562</v>
      </c>
      <c r="G191" s="11" t="n">
        <v>161.6</v>
      </c>
      <c r="H191" s="10" t="n">
        <v>26.46</v>
      </c>
      <c r="I191" s="10" t="n">
        <v>23.28</v>
      </c>
      <c r="J191" s="10" t="n">
        <v>32</v>
      </c>
    </row>
    <row r="192" customFormat="false" ht="15" hidden="false" customHeight="false" outlineLevel="0" collapsed="false">
      <c r="A192" s="8" t="n">
        <v>44593</v>
      </c>
      <c r="C192" s="10" t="n">
        <v>25.96</v>
      </c>
      <c r="D192" s="10" t="n">
        <v>22.63</v>
      </c>
      <c r="E192" s="10" t="n">
        <v>31.34</v>
      </c>
      <c r="G192" s="11" t="n">
        <v>275.2</v>
      </c>
      <c r="H192" s="10" t="n">
        <v>26.1</v>
      </c>
      <c r="I192" s="10" t="n">
        <v>23.36</v>
      </c>
      <c r="J192" s="10" t="n">
        <v>31</v>
      </c>
    </row>
    <row r="193" customFormat="false" ht="15" hidden="false" customHeight="false" outlineLevel="0" collapsed="false">
      <c r="A193" s="8" t="n">
        <v>44621</v>
      </c>
      <c r="C193" s="10" t="n">
        <v>25.75</v>
      </c>
      <c r="D193" s="10" t="n">
        <v>22.06</v>
      </c>
      <c r="E193" s="10" t="n">
        <v>31.42</v>
      </c>
      <c r="G193" s="11" t="n">
        <v>37</v>
      </c>
      <c r="H193" s="10" t="n">
        <v>26.44</v>
      </c>
      <c r="I193" s="10" t="n">
        <v>23.37</v>
      </c>
      <c r="J193" s="10" t="n">
        <v>31.81</v>
      </c>
      <c r="K193" s="11" t="n">
        <v>73.03</v>
      </c>
    </row>
    <row r="194" customFormat="false" ht="15" hidden="false" customHeight="false" outlineLevel="0" collapsed="false">
      <c r="A194" s="8" t="n">
        <v>44652</v>
      </c>
      <c r="C194" s="10" t="n">
        <v>25.19</v>
      </c>
      <c r="D194" s="10" t="n">
        <v>21.57</v>
      </c>
      <c r="E194" s="10" t="n">
        <v>30.98</v>
      </c>
      <c r="G194" s="11" t="n">
        <v>36.4</v>
      </c>
      <c r="H194" s="10" t="n">
        <v>25.76</v>
      </c>
      <c r="I194" s="10" t="n">
        <v>22.34</v>
      </c>
      <c r="J194" s="10" t="n">
        <v>31.62</v>
      </c>
      <c r="K194" s="11" t="n">
        <v>69.78</v>
      </c>
      <c r="L194" s="11" t="n">
        <v>12</v>
      </c>
      <c r="M194" s="10" t="n">
        <v>25.23</v>
      </c>
      <c r="N194" s="10" t="n">
        <v>19.97</v>
      </c>
      <c r="O194" s="10" t="n">
        <v>33.3</v>
      </c>
      <c r="P194" s="11" t="n">
        <v>75.94</v>
      </c>
      <c r="Q194" s="11" t="n">
        <v>30.6</v>
      </c>
      <c r="R194" s="10" t="n">
        <v>25.59</v>
      </c>
      <c r="S194" s="10" t="n">
        <v>20.04</v>
      </c>
      <c r="T194" s="10" t="n">
        <v>34.92</v>
      </c>
      <c r="U194" s="11" t="n">
        <v>75.77</v>
      </c>
    </row>
    <row r="195" customFormat="false" ht="15" hidden="false" customHeight="false" outlineLevel="0" collapsed="false">
      <c r="A195" s="8" t="n">
        <v>44682</v>
      </c>
      <c r="C195" s="10" t="n">
        <v>22.77</v>
      </c>
      <c r="D195" s="10" t="n">
        <v>19.25</v>
      </c>
      <c r="E195" s="10" t="n">
        <v>28.37</v>
      </c>
      <c r="G195" s="11" t="n">
        <v>35.2</v>
      </c>
      <c r="H195" s="10" t="n">
        <v>23.32</v>
      </c>
      <c r="I195" s="10" t="n">
        <v>19.93</v>
      </c>
      <c r="J195" s="10" t="n">
        <v>28.67</v>
      </c>
      <c r="K195" s="11" t="n">
        <v>70.3</v>
      </c>
    </row>
    <row r="196" customFormat="false" ht="15" hidden="false" customHeight="false" outlineLevel="0" collapsed="false">
      <c r="A196" s="8" t="n">
        <v>44713</v>
      </c>
      <c r="C196" s="10" t="n">
        <v>21.3</v>
      </c>
      <c r="D196" s="10" t="n">
        <v>17.32</v>
      </c>
      <c r="E196" s="10" t="n">
        <v>27.28</v>
      </c>
      <c r="G196" s="11" t="n">
        <v>13.6</v>
      </c>
      <c r="H196" s="10" t="n">
        <v>21.89</v>
      </c>
      <c r="I196" s="10" t="n">
        <v>18.54</v>
      </c>
      <c r="J196" s="10" t="n">
        <v>27.17</v>
      </c>
      <c r="L196" s="11" t="n">
        <v>3.2</v>
      </c>
      <c r="M196" s="10" t="n">
        <v>20.41</v>
      </c>
      <c r="N196" s="10" t="n">
        <v>15.11</v>
      </c>
      <c r="O196" s="10" t="n">
        <v>28.51</v>
      </c>
      <c r="P196" s="11" t="n">
        <v>79.52</v>
      </c>
      <c r="Q196" s="11" t="n">
        <v>0.2</v>
      </c>
      <c r="R196" s="10" t="n">
        <v>21.26</v>
      </c>
      <c r="S196" s="10" t="n">
        <v>15.32</v>
      </c>
      <c r="T196" s="10" t="n">
        <v>30.34</v>
      </c>
      <c r="U196" s="11" t="n">
        <v>75.12</v>
      </c>
    </row>
    <row r="197" customFormat="false" ht="15" hidden="false" customHeight="false" outlineLevel="0" collapsed="false">
      <c r="A197" s="8" t="n">
        <v>44743</v>
      </c>
      <c r="C197" s="10" t="n">
        <v>21.28</v>
      </c>
      <c r="D197" s="10" t="n">
        <v>17.5</v>
      </c>
      <c r="E197" s="10" t="n">
        <v>26.95</v>
      </c>
      <c r="G197" s="11" t="n">
        <v>26.6</v>
      </c>
      <c r="H197" s="10" t="n">
        <v>21.81</v>
      </c>
      <c r="I197" s="10" t="n">
        <v>18.56</v>
      </c>
      <c r="J197" s="10" t="n">
        <v>27.1</v>
      </c>
    </row>
    <row r="198" customFormat="false" ht="15" hidden="false" customHeight="false" outlineLevel="0" collapsed="false">
      <c r="A198" s="8" t="n">
        <v>44774</v>
      </c>
      <c r="G198" s="11" t="n">
        <v>8</v>
      </c>
      <c r="H198" s="10" t="n">
        <v>21.97</v>
      </c>
      <c r="I198" s="10" t="n">
        <v>18.44</v>
      </c>
      <c r="J198" s="10" t="n">
        <v>27.58</v>
      </c>
    </row>
    <row r="199" customFormat="false" ht="15" hidden="false" customHeight="false" outlineLevel="0" collapsed="false">
      <c r="A199" s="8" t="n">
        <v>44805</v>
      </c>
      <c r="G199" s="11" t="n">
        <v>6.2</v>
      </c>
      <c r="H199" s="10" t="n">
        <v>22.36</v>
      </c>
      <c r="I199" s="10" t="n">
        <v>19.17</v>
      </c>
      <c r="J199" s="10" t="n">
        <v>28.06</v>
      </c>
      <c r="L199" s="11" t="n">
        <v>8.8</v>
      </c>
      <c r="M199" s="10" t="n">
        <v>22.48</v>
      </c>
      <c r="N199" s="10" t="n">
        <v>17.75</v>
      </c>
      <c r="O199" s="10" t="n">
        <v>29.32</v>
      </c>
      <c r="P199" s="11" t="n">
        <v>71.43</v>
      </c>
    </row>
    <row r="200" customFormat="false" ht="15" hidden="false" customHeight="false" outlineLevel="0" collapsed="false">
      <c r="A200" s="8" t="n">
        <v>44835</v>
      </c>
      <c r="B200" s="11" t="n">
        <v>176</v>
      </c>
      <c r="C200" s="10" t="n">
        <v>24.31</v>
      </c>
      <c r="D200" s="10" t="n">
        <v>20.64</v>
      </c>
      <c r="E200" s="10" t="n">
        <v>29.34</v>
      </c>
      <c r="F200" s="11" t="n">
        <v>81.05</v>
      </c>
      <c r="G200" s="11" t="n">
        <v>108.2</v>
      </c>
      <c r="H200" s="10" t="n">
        <v>24.59</v>
      </c>
    </row>
    <row r="201" customFormat="false" ht="15" hidden="false" customHeight="false" outlineLevel="0" collapsed="false">
      <c r="A201" s="8" t="n">
        <v>44866</v>
      </c>
      <c r="G201" s="11" t="n">
        <v>419.2</v>
      </c>
      <c r="H201" s="10" t="n">
        <v>23.47</v>
      </c>
      <c r="I201" s="10" t="n">
        <v>20.51</v>
      </c>
      <c r="J201" s="10" t="n">
        <v>28.09</v>
      </c>
      <c r="K201" s="11" t="n">
        <v>76.45</v>
      </c>
    </row>
    <row r="202" customFormat="false" ht="15" hidden="false" customHeight="false" outlineLevel="0" collapsed="false">
      <c r="A202" s="8" t="n">
        <v>44896</v>
      </c>
      <c r="B202" s="11" t="n">
        <v>589.4</v>
      </c>
      <c r="C202" s="10" t="n">
        <v>24.56</v>
      </c>
      <c r="D202" s="10" t="n">
        <v>21.82</v>
      </c>
      <c r="E202" s="10" t="n">
        <v>28.79</v>
      </c>
      <c r="F202" s="11" t="n">
        <v>86.43</v>
      </c>
      <c r="G202" s="11" t="n">
        <v>399.2</v>
      </c>
      <c r="H202" s="10" t="n">
        <v>24.67</v>
      </c>
      <c r="I202" s="10" t="n">
        <v>21.83</v>
      </c>
      <c r="J202" s="10" t="n">
        <v>29.25</v>
      </c>
      <c r="K202" s="11" t="n">
        <v>80.05</v>
      </c>
    </row>
    <row r="203" customFormat="false" ht="15" hidden="false" customHeight="false" outlineLevel="0" collapsed="false">
      <c r="A203" s="8" t="n">
        <v>44927</v>
      </c>
      <c r="B203" s="11" t="n">
        <v>210.6</v>
      </c>
      <c r="C203" s="10" t="n">
        <v>25.81</v>
      </c>
      <c r="D203" s="10" t="n">
        <v>22.55</v>
      </c>
      <c r="E203" s="10" t="n">
        <v>30.58</v>
      </c>
      <c r="F203" s="11" t="n">
        <v>83.76</v>
      </c>
      <c r="G203" s="11" t="n">
        <v>314.6</v>
      </c>
      <c r="H203" s="10" t="n">
        <v>25.82</v>
      </c>
      <c r="I203" s="10" t="n">
        <v>22.91</v>
      </c>
      <c r="J203" s="10" t="n">
        <v>31.09</v>
      </c>
      <c r="K203" s="11" t="n">
        <v>77.82</v>
      </c>
      <c r="Q203" s="11" t="n">
        <v>119</v>
      </c>
      <c r="R203" s="10" t="n">
        <v>25.46</v>
      </c>
      <c r="S203" s="10" t="n">
        <v>22.05</v>
      </c>
      <c r="T203" s="10" t="n">
        <v>31.32</v>
      </c>
      <c r="U203" s="11" t="n">
        <v>81.64</v>
      </c>
    </row>
    <row r="204" customFormat="false" ht="15" hidden="false" customHeight="false" outlineLevel="0" collapsed="false">
      <c r="A204" s="8" t="n">
        <v>44958</v>
      </c>
      <c r="B204" s="11" t="n">
        <v>73.4</v>
      </c>
      <c r="C204" s="10" t="n">
        <v>26.52</v>
      </c>
      <c r="D204" s="10" t="n">
        <v>22.86</v>
      </c>
      <c r="E204" s="10" t="n">
        <v>31.57</v>
      </c>
      <c r="F204" s="11" t="n">
        <v>81.13</v>
      </c>
      <c r="G204" s="11" t="n">
        <v>72.6</v>
      </c>
      <c r="H204" s="10" t="n">
        <v>26.8</v>
      </c>
      <c r="I204" s="10" t="n">
        <v>23.28</v>
      </c>
      <c r="J204" s="10" t="n">
        <v>32.72</v>
      </c>
      <c r="K204" s="11" t="n">
        <v>73.79</v>
      </c>
      <c r="L204" s="11" t="n">
        <v>27.8</v>
      </c>
      <c r="M204" s="10" t="n">
        <v>27.16</v>
      </c>
      <c r="N204" s="10" t="n">
        <v>22.37</v>
      </c>
      <c r="O204" s="10" t="n">
        <v>34.23</v>
      </c>
      <c r="P204" s="11" t="n">
        <v>73.69</v>
      </c>
      <c r="Q204" s="11" t="n">
        <v>43.4</v>
      </c>
      <c r="R204" s="10" t="n">
        <v>26.4</v>
      </c>
      <c r="S204" s="10" t="n">
        <v>21.94</v>
      </c>
      <c r="T204" s="10" t="n">
        <v>33.07</v>
      </c>
      <c r="U204" s="11" t="n">
        <v>75.77</v>
      </c>
    </row>
    <row r="205" customFormat="false" ht="15" hidden="false" customHeight="false" outlineLevel="0" collapsed="false">
      <c r="A205" s="8" t="n">
        <v>44986</v>
      </c>
      <c r="G205" s="11" t="n">
        <v>55.4</v>
      </c>
      <c r="H205" s="10" t="n">
        <v>26.47</v>
      </c>
      <c r="I205" s="10" t="n">
        <v>23</v>
      </c>
      <c r="J205" s="10" t="n">
        <v>32.41</v>
      </c>
      <c r="K205" s="11" t="n">
        <v>74.1</v>
      </c>
      <c r="L205" s="11" t="n">
        <v>28.2</v>
      </c>
      <c r="M205" s="10" t="n">
        <v>26.38</v>
      </c>
      <c r="N205" s="10" t="n">
        <v>21.35</v>
      </c>
      <c r="O205" s="10" t="n">
        <v>34.13</v>
      </c>
      <c r="P205" s="11" t="n">
        <v>76.46</v>
      </c>
      <c r="Q205" s="11" t="n">
        <v>33.4</v>
      </c>
      <c r="R205" s="10" t="n">
        <v>26.07</v>
      </c>
      <c r="S205" s="10" t="n">
        <v>21.4</v>
      </c>
      <c r="T205" s="10" t="n">
        <v>32.85</v>
      </c>
      <c r="U205" s="11" t="n">
        <v>75.67</v>
      </c>
    </row>
    <row r="206" customFormat="false" ht="15" hidden="false" customHeight="false" outlineLevel="0" collapsed="false">
      <c r="A206" s="8" t="n">
        <v>45017</v>
      </c>
      <c r="G206" s="11" t="n">
        <v>70.4</v>
      </c>
      <c r="H206" s="10" t="n">
        <v>25.37</v>
      </c>
      <c r="I206" s="10" t="n">
        <v>22.23</v>
      </c>
      <c r="J206" s="10" t="n">
        <v>30.97</v>
      </c>
      <c r="K206" s="11" t="n">
        <v>74.57</v>
      </c>
      <c r="L206" s="11" t="n">
        <v>115.8</v>
      </c>
      <c r="M206" s="10" t="n">
        <v>24.91</v>
      </c>
      <c r="N206" s="10" t="n">
        <v>20.92</v>
      </c>
      <c r="O206" s="10" t="n">
        <v>31.06</v>
      </c>
      <c r="P206" s="11" t="n">
        <v>81.38</v>
      </c>
      <c r="Q206" s="11" t="n">
        <v>50.8</v>
      </c>
      <c r="R206" s="10" t="n">
        <v>25.08</v>
      </c>
      <c r="S206" s="10" t="n">
        <v>21.12</v>
      </c>
      <c r="T206" s="10" t="n">
        <v>31.17</v>
      </c>
      <c r="U206" s="11" t="n">
        <v>77.06</v>
      </c>
    </row>
    <row r="207" customFormat="false" ht="15" hidden="false" customHeight="false" outlineLevel="0" collapsed="false">
      <c r="A207" s="8" t="n">
        <v>45047</v>
      </c>
      <c r="B207" s="11" t="n">
        <v>76.4</v>
      </c>
      <c r="C207" s="10" t="n">
        <v>23.17</v>
      </c>
      <c r="D207" s="10" t="n">
        <v>19.72</v>
      </c>
      <c r="E207" s="10" t="n">
        <v>28.51</v>
      </c>
      <c r="F207" s="11" t="n">
        <v>82.27</v>
      </c>
      <c r="G207" s="11" t="n">
        <v>21.8</v>
      </c>
      <c r="H207" s="10" t="n">
        <v>23.32</v>
      </c>
      <c r="I207" s="10" t="n">
        <v>19.8</v>
      </c>
      <c r="J207" s="10" t="n">
        <v>28.85</v>
      </c>
      <c r="K207" s="11" t="n">
        <v>74.49</v>
      </c>
      <c r="Q207" s="11" t="n">
        <v>26.4</v>
      </c>
      <c r="R207" s="10" t="n">
        <v>22.82</v>
      </c>
      <c r="S207" s="10" t="n">
        <v>18.85</v>
      </c>
      <c r="T207" s="10" t="n">
        <v>28.44</v>
      </c>
      <c r="U207" s="11" t="n">
        <v>78.85</v>
      </c>
    </row>
    <row r="208" customFormat="false" ht="15" hidden="false" customHeight="false" outlineLevel="0" collapsed="false">
      <c r="A208" s="8" t="n">
        <v>45078</v>
      </c>
      <c r="G208" s="11" t="n">
        <v>17.4</v>
      </c>
      <c r="H208" s="10" t="n">
        <v>22.34</v>
      </c>
      <c r="I208" s="10" t="n">
        <v>18.65</v>
      </c>
      <c r="J208" s="10" t="n">
        <v>28.22</v>
      </c>
      <c r="K208" s="11" t="n">
        <v>75.77</v>
      </c>
      <c r="L208" s="11" t="n">
        <v>4.2</v>
      </c>
      <c r="M208" s="10" t="n">
        <v>21.17</v>
      </c>
      <c r="N208" s="10" t="n">
        <v>16.44</v>
      </c>
      <c r="O208" s="10" t="n">
        <v>29.07</v>
      </c>
      <c r="P208" s="11" t="n">
        <v>82.47</v>
      </c>
      <c r="Q208" s="11" t="n">
        <v>13</v>
      </c>
      <c r="R208" s="10" t="n">
        <v>21.68</v>
      </c>
      <c r="U208" s="11" t="n">
        <v>78.74</v>
      </c>
    </row>
    <row r="209" customFormat="false" ht="15" hidden="false" customHeight="false" outlineLevel="0" collapsed="false">
      <c r="A209" s="8" t="n">
        <v>45108</v>
      </c>
      <c r="G209" s="11" t="n">
        <v>81.2</v>
      </c>
      <c r="H209" s="10" t="n">
        <v>21.77</v>
      </c>
      <c r="I209" s="10" t="n">
        <v>18.3</v>
      </c>
      <c r="J209" s="10" t="n">
        <v>27.24</v>
      </c>
      <c r="K209" s="11" t="n">
        <v>75.97</v>
      </c>
      <c r="L209" s="11" t="n">
        <v>60.2</v>
      </c>
      <c r="M209" s="10" t="n">
        <v>20.99</v>
      </c>
      <c r="N209" s="10" t="n">
        <v>16.25</v>
      </c>
      <c r="O209" s="10" t="n">
        <v>27.96</v>
      </c>
      <c r="P209" s="11" t="n">
        <v>80.9</v>
      </c>
    </row>
    <row r="210" customFormat="false" ht="15" hidden="false" customHeight="false" outlineLevel="0" collapsed="false">
      <c r="A210" s="8" t="n">
        <v>45139</v>
      </c>
      <c r="B210" s="11" t="n">
        <v>90.4</v>
      </c>
      <c r="C210" s="10" t="n">
        <v>22.58</v>
      </c>
      <c r="D210" s="10" t="n">
        <v>19.04</v>
      </c>
      <c r="E210" s="10" t="n">
        <v>27.81</v>
      </c>
      <c r="F210" s="11" t="n">
        <v>85.13</v>
      </c>
      <c r="G210" s="11" t="n">
        <v>103.8</v>
      </c>
      <c r="H210" s="10" t="n">
        <v>22.74</v>
      </c>
      <c r="I210" s="10" t="n">
        <v>19.47</v>
      </c>
      <c r="J210" s="10" t="n">
        <v>28.25</v>
      </c>
      <c r="K210" s="11" t="n">
        <v>78.76</v>
      </c>
      <c r="L210" s="11" t="n">
        <v>85.2</v>
      </c>
      <c r="M210" s="10" t="n">
        <v>22.54</v>
      </c>
      <c r="N210" s="10" t="n">
        <v>18.3</v>
      </c>
      <c r="O210" s="10" t="n">
        <v>29.35</v>
      </c>
      <c r="P210" s="11" t="n">
        <v>83.26</v>
      </c>
      <c r="Q210" s="11" t="n">
        <v>86.2</v>
      </c>
      <c r="R210" s="10" t="n">
        <v>22.68</v>
      </c>
      <c r="S210" s="10" t="n">
        <v>18.59</v>
      </c>
      <c r="T210" s="10" t="n">
        <v>28.55</v>
      </c>
      <c r="U210" s="11" t="n">
        <v>79.69</v>
      </c>
    </row>
    <row r="211" customFormat="false" ht="15" hidden="false" customHeight="false" outlineLevel="0" collapsed="false">
      <c r="A211" s="8" t="n">
        <v>45170</v>
      </c>
      <c r="G211" s="11" t="n">
        <v>56</v>
      </c>
      <c r="H211" s="10" t="n">
        <v>23.66</v>
      </c>
      <c r="I211" s="10" t="n">
        <v>20.42</v>
      </c>
      <c r="J211" s="10" t="n">
        <v>29.04</v>
      </c>
      <c r="K211" s="11" t="n">
        <v>76.01</v>
      </c>
      <c r="L211" s="11" t="n">
        <v>58.8</v>
      </c>
      <c r="M211" s="10" t="n">
        <v>24.09</v>
      </c>
      <c r="N211" s="10" t="n">
        <v>19.9</v>
      </c>
      <c r="O211" s="10" t="n">
        <v>30.33</v>
      </c>
      <c r="P211" s="11" t="n">
        <v>77.89</v>
      </c>
    </row>
    <row r="212" customFormat="false" ht="15" hidden="false" customHeight="false" outlineLevel="0" collapsed="false">
      <c r="A212" s="8" t="n">
        <v>45200</v>
      </c>
      <c r="G212" s="11" t="n">
        <v>73</v>
      </c>
      <c r="H212" s="10" t="n">
        <v>24.94</v>
      </c>
      <c r="I212" s="10" t="n">
        <v>21.92</v>
      </c>
      <c r="J212" s="10" t="n">
        <v>30.31</v>
      </c>
      <c r="K212" s="11" t="n">
        <v>76.4</v>
      </c>
    </row>
    <row r="213" customFormat="false" ht="15" hidden="false" customHeight="false" outlineLevel="0" collapsed="false">
      <c r="A213" s="8" t="n">
        <v>45231</v>
      </c>
      <c r="G213" s="11" t="n">
        <v>10.6</v>
      </c>
      <c r="H213" s="10" t="n">
        <v>26.14</v>
      </c>
      <c r="I213" s="10" t="n">
        <v>22.22</v>
      </c>
      <c r="J213" s="10" t="n">
        <v>32.57</v>
      </c>
      <c r="K213" s="11" t="n">
        <v>69.63</v>
      </c>
    </row>
    <row r="214" customFormat="false" ht="15" hidden="false" customHeight="false" outlineLevel="0" collapsed="false">
      <c r="A214" s="8" t="n">
        <v>45261</v>
      </c>
      <c r="G214" s="11" t="n">
        <v>105.8</v>
      </c>
      <c r="H214" s="10" t="n">
        <v>26.84</v>
      </c>
      <c r="I214" s="10" t="n">
        <v>23.07</v>
      </c>
      <c r="J214" s="10" t="n">
        <v>33.07</v>
      </c>
      <c r="K214" s="11" t="n">
        <v>71.92</v>
      </c>
    </row>
    <row r="215" customFormat="false" ht="15" hidden="false" customHeight="false" outlineLevel="0" collapsed="false">
      <c r="A215" s="8" t="n">
        <v>45292</v>
      </c>
      <c r="G215" s="11" t="n">
        <v>120</v>
      </c>
      <c r="H215" s="10" t="n">
        <v>26.73</v>
      </c>
      <c r="I215" s="10" t="n">
        <v>23.71</v>
      </c>
      <c r="J215" s="10" t="n">
        <v>32.13</v>
      </c>
      <c r="K215" s="11" t="n">
        <v>76.8</v>
      </c>
      <c r="L215" s="11" t="n">
        <v>170.6</v>
      </c>
      <c r="M215" s="10" t="n">
        <v>27.08</v>
      </c>
      <c r="N215" s="10" t="n">
        <v>23</v>
      </c>
      <c r="O215" s="10" t="n">
        <v>33.25</v>
      </c>
    </row>
    <row r="216" customFormat="false" ht="15" hidden="false" customHeight="false" outlineLevel="0" collapsed="false">
      <c r="A216" s="8" t="n">
        <v>45323</v>
      </c>
      <c r="G216" s="11" t="n">
        <v>184</v>
      </c>
      <c r="H216" s="10" t="n">
        <v>26.96</v>
      </c>
      <c r="I216" s="10" t="n">
        <v>23.93</v>
      </c>
      <c r="J216" s="10" t="n">
        <v>32.33</v>
      </c>
      <c r="K216" s="11" t="n">
        <v>77.89</v>
      </c>
      <c r="L216" s="11" t="n">
        <v>212</v>
      </c>
      <c r="M216" s="10" t="n">
        <v>26.63</v>
      </c>
      <c r="N216" s="10" t="n">
        <v>22.69</v>
      </c>
      <c r="O216" s="10" t="n">
        <v>33.25</v>
      </c>
      <c r="P216" s="11" t="n">
        <v>83.75</v>
      </c>
    </row>
    <row r="217" customFormat="false" ht="15" hidden="false" customHeight="false" outlineLevel="0" collapsed="false">
      <c r="A217" s="8" t="n">
        <v>45352</v>
      </c>
      <c r="G217" s="11" t="n">
        <v>154.2</v>
      </c>
      <c r="H217" s="10" t="n">
        <v>27.62</v>
      </c>
      <c r="I217" s="10" t="n">
        <v>24.5</v>
      </c>
      <c r="J217" s="10" t="n">
        <v>33.28</v>
      </c>
      <c r="K217" s="11" t="n">
        <v>75.89</v>
      </c>
      <c r="L217" s="11" t="n">
        <v>70.8</v>
      </c>
      <c r="M217" s="10" t="n">
        <v>27.76</v>
      </c>
      <c r="N217" s="10" t="n">
        <v>23.12</v>
      </c>
      <c r="O217" s="10" t="n">
        <v>34.71</v>
      </c>
    </row>
    <row r="218" customFormat="false" ht="15" hidden="false" customHeight="false" outlineLevel="0" collapsed="false">
      <c r="A218" s="8" t="n">
        <v>45383</v>
      </c>
      <c r="G218" s="11" t="n">
        <v>58</v>
      </c>
      <c r="H218" s="10" t="n">
        <v>26.03</v>
      </c>
      <c r="I218" s="10" t="n">
        <v>22.94</v>
      </c>
      <c r="J218" s="10" t="n">
        <v>31.22</v>
      </c>
      <c r="K218" s="11" t="n">
        <v>75.78</v>
      </c>
    </row>
    <row r="219" customFormat="false" ht="15" hidden="false" customHeight="false" outlineLevel="0" collapsed="false">
      <c r="A219" s="8" t="n">
        <v>45413</v>
      </c>
      <c r="G219" s="11" t="n">
        <v>38</v>
      </c>
      <c r="H219" s="10" t="n">
        <v>25.41</v>
      </c>
      <c r="I219" s="10" t="n">
        <v>22.03</v>
      </c>
      <c r="J219" s="10" t="n">
        <v>31.08</v>
      </c>
      <c r="K219" s="11" t="n">
        <v>76.73</v>
      </c>
    </row>
    <row r="220" customFormat="false" ht="15" hidden="false" customHeight="false" outlineLevel="0" collapsed="false">
      <c r="A220" s="8" t="n">
        <v>45444</v>
      </c>
      <c r="G220" s="11" t="n">
        <v>11.6</v>
      </c>
      <c r="H220" s="10" t="n">
        <v>23.4</v>
      </c>
      <c r="I220" s="10" t="n">
        <v>19.83</v>
      </c>
      <c r="J220" s="10" t="n">
        <v>29.23</v>
      </c>
      <c r="K220" s="11" t="n">
        <v>77.84</v>
      </c>
    </row>
    <row r="221" customFormat="false" ht="15" hidden="false" customHeight="false" outlineLevel="0" collapsed="false">
      <c r="A221" s="8" t="n">
        <v>45474</v>
      </c>
      <c r="B221" s="11" t="n">
        <v>12.6</v>
      </c>
      <c r="C221" s="10" t="n">
        <v>22.55</v>
      </c>
      <c r="D221" s="10" t="n">
        <v>18.59</v>
      </c>
      <c r="E221" s="10" t="n">
        <v>28.47</v>
      </c>
      <c r="F221" s="11" t="n">
        <v>81.91</v>
      </c>
      <c r="G221" s="11" t="n">
        <v>3.4</v>
      </c>
      <c r="H221" s="10" t="n">
        <v>23.04</v>
      </c>
      <c r="I221" s="10" t="n">
        <v>19.42</v>
      </c>
      <c r="J221" s="10" t="n">
        <v>29.09</v>
      </c>
      <c r="K221" s="11" t="n">
        <v>75.48</v>
      </c>
    </row>
    <row r="222" customFormat="false" ht="15" hidden="false" customHeight="false" outlineLevel="0" collapsed="false">
      <c r="A222" s="8" t="n">
        <v>45505</v>
      </c>
      <c r="G222" s="11" t="n">
        <v>52.6</v>
      </c>
      <c r="H222" s="10" t="n">
        <v>22.55</v>
      </c>
      <c r="I222" s="10" t="n">
        <v>19</v>
      </c>
      <c r="J222" s="10" t="n">
        <v>28.52</v>
      </c>
      <c r="K222" s="11" t="n">
        <v>73.35</v>
      </c>
    </row>
    <row r="223" customFormat="false" ht="15" hidden="false" customHeight="false" outlineLevel="0" collapsed="false">
      <c r="A223" s="8" t="n">
        <v>45536</v>
      </c>
      <c r="G223" s="11" t="n">
        <v>21.8</v>
      </c>
      <c r="H223" s="10" t="n">
        <v>24.21</v>
      </c>
      <c r="I223" s="10" t="n">
        <v>20.48</v>
      </c>
      <c r="J223" s="10" t="n">
        <v>30.66</v>
      </c>
      <c r="K223" s="11" t="n">
        <v>72.02</v>
      </c>
    </row>
    <row r="224" customFormat="false" ht="15" hidden="false" customHeight="false" outlineLevel="0" collapsed="false">
      <c r="A224" s="8" t="n">
        <v>45566</v>
      </c>
      <c r="G224" s="11" t="n">
        <v>124.4</v>
      </c>
      <c r="H224" s="10" t="n">
        <v>24.71</v>
      </c>
      <c r="I224" s="10" t="n">
        <v>21.55</v>
      </c>
      <c r="J224" s="10" t="n">
        <v>29.89</v>
      </c>
      <c r="K224" s="11" t="n">
        <v>75.64</v>
      </c>
    </row>
    <row r="225" customFormat="false" ht="15" hidden="false" customHeight="false" outlineLevel="0" collapsed="false">
      <c r="A225" s="8" t="n">
        <v>45597</v>
      </c>
      <c r="G225" s="11" t="n">
        <v>221.2</v>
      </c>
      <c r="H225" s="10" t="n">
        <v>24.86</v>
      </c>
      <c r="I225" s="10" t="n">
        <v>21.78</v>
      </c>
      <c r="J225" s="10" t="n">
        <v>30.04</v>
      </c>
      <c r="K225" s="11" t="n">
        <v>78.57</v>
      </c>
    </row>
    <row r="226" customFormat="false" ht="15" hidden="false" customHeight="false" outlineLevel="0" collapsed="false">
      <c r="A226" s="8" t="n">
        <v>45627</v>
      </c>
      <c r="G226" s="11" t="n">
        <v>139</v>
      </c>
      <c r="H226" s="10" t="n">
        <v>26.51</v>
      </c>
      <c r="I226" s="10" t="n">
        <v>23.26</v>
      </c>
      <c r="J226" s="10" t="n">
        <v>32.05</v>
      </c>
      <c r="K226" s="11" t="n">
        <v>76.79</v>
      </c>
    </row>
    <row r="227" customFormat="false" ht="15" hidden="false" customHeight="false" outlineLevel="0" collapsed="false">
      <c r="A227" s="8" t="n">
        <v>45658</v>
      </c>
      <c r="G227" s="11" t="n">
        <v>195.4</v>
      </c>
      <c r="H227" s="10" t="n">
        <v>26.46</v>
      </c>
      <c r="I227" s="10" t="n">
        <v>23.43</v>
      </c>
      <c r="J227" s="10" t="n">
        <v>31.62</v>
      </c>
      <c r="K227" s="11" t="n">
        <v>81.32</v>
      </c>
    </row>
    <row r="228" customFormat="false" ht="15" hidden="false" customHeight="false" outlineLevel="0" collapsed="false">
      <c r="A228" s="8" t="n">
        <v>45689</v>
      </c>
      <c r="G228" s="11" t="n">
        <v>13.8</v>
      </c>
      <c r="H228" s="10" t="n">
        <v>27.31</v>
      </c>
      <c r="I228" s="10" t="n">
        <v>23.78</v>
      </c>
      <c r="J228" s="10" t="n">
        <v>33.35</v>
      </c>
      <c r="K228" s="11" t="n">
        <v>75.27</v>
      </c>
    </row>
    <row r="229" customFormat="false" ht="15" hidden="false" customHeight="false" outlineLevel="0" collapsed="false">
      <c r="A229" s="8" t="n">
        <v>45717</v>
      </c>
      <c r="G229" s="11" t="n">
        <v>88.4</v>
      </c>
      <c r="H229" s="10" t="n">
        <v>26.62</v>
      </c>
      <c r="I229" s="10" t="n">
        <v>23.48</v>
      </c>
      <c r="J229" s="10" t="n">
        <v>32.01</v>
      </c>
      <c r="K229" s="11" t="n">
        <v>78.98</v>
      </c>
    </row>
    <row r="230" customFormat="false" ht="15" hidden="false" customHeight="false" outlineLevel="0" collapsed="false">
      <c r="A230" s="8" t="n">
        <v>45748</v>
      </c>
      <c r="G230" s="11" t="n">
        <v>110.2</v>
      </c>
      <c r="H230" s="10" t="n">
        <v>25.29</v>
      </c>
      <c r="I230" s="10" t="n">
        <v>22.66</v>
      </c>
      <c r="J230" s="10" t="n">
        <v>29.68</v>
      </c>
      <c r="K230" s="11" t="n">
        <v>84.12</v>
      </c>
    </row>
    <row r="231" customFormat="false" ht="15" hidden="false" customHeight="false" outlineLevel="0" collapsed="false">
      <c r="A231" s="8" t="n">
        <v>45778</v>
      </c>
      <c r="B231" s="11" t="n">
        <v>250.4</v>
      </c>
      <c r="C231" s="10" t="n">
        <v>23.23</v>
      </c>
      <c r="D231" s="10" t="n">
        <v>20.43</v>
      </c>
      <c r="E231" s="10" t="n">
        <v>27.73</v>
      </c>
      <c r="F231" s="11" t="n">
        <v>86.52</v>
      </c>
      <c r="G231" s="11" t="n">
        <v>171</v>
      </c>
      <c r="H231" s="10" t="n">
        <v>23.13</v>
      </c>
      <c r="I231" s="10" t="n">
        <v>20.34</v>
      </c>
      <c r="J231" s="10" t="n">
        <v>27.75</v>
      </c>
    </row>
    <row r="232" customFormat="false" ht="15" hidden="false" customHeight="false" outlineLevel="0" collapsed="false">
      <c r="A232" s="8" t="n">
        <v>45809</v>
      </c>
      <c r="G232" s="11" t="n">
        <v>35.4</v>
      </c>
      <c r="H232" s="10" t="n">
        <v>22.22</v>
      </c>
      <c r="I232" s="10" t="n">
        <v>19.09</v>
      </c>
      <c r="J232" s="10" t="n">
        <v>27.16</v>
      </c>
      <c r="L232" s="11" t="n">
        <v>8.8</v>
      </c>
      <c r="M232" s="10" t="n">
        <v>21.42</v>
      </c>
      <c r="N232" s="10" t="n">
        <v>16.91</v>
      </c>
      <c r="O232" s="10" t="n">
        <v>28.68</v>
      </c>
      <c r="P232" s="11" t="n">
        <v>82.24</v>
      </c>
    </row>
    <row r="233" customFormat="false" ht="15" hidden="false" customHeight="false" outlineLevel="0" collapsed="false">
      <c r="A233" s="8" t="n">
        <v>45839</v>
      </c>
      <c r="G233" s="11" t="n">
        <v>42.4</v>
      </c>
      <c r="H233" s="10" t="n">
        <v>21.1</v>
      </c>
      <c r="I233" s="10" t="n">
        <v>17.95</v>
      </c>
      <c r="J233" s="10" t="n">
        <v>26.07</v>
      </c>
      <c r="L233" s="11" t="n">
        <v>12.8</v>
      </c>
      <c r="M233" s="10" t="n">
        <v>20.79</v>
      </c>
      <c r="N233" s="10" t="n">
        <v>15.94</v>
      </c>
      <c r="O233" s="10" t="n">
        <v>28.1</v>
      </c>
      <c r="P233" s="11" t="n">
        <v>78.55</v>
      </c>
    </row>
    <row r="234" customFormat="false" ht="15" hidden="false" customHeight="false" outlineLevel="0" collapsed="false">
      <c r="A234" s="8" t="n">
        <v>45870</v>
      </c>
      <c r="G234" s="11" t="n">
        <v>37.4</v>
      </c>
      <c r="H234" s="10" t="n">
        <v>21.47</v>
      </c>
      <c r="I234" s="10" t="n">
        <v>17.93</v>
      </c>
      <c r="J234" s="10" t="n">
        <v>27.11</v>
      </c>
      <c r="M234" s="10" t="n">
        <v>21.45</v>
      </c>
      <c r="N234" s="10" t="n">
        <v>16.03</v>
      </c>
      <c r="O234" s="10" t="n">
        <v>28.99</v>
      </c>
      <c r="P234" s="11" t="n">
        <v>74.74</v>
      </c>
    </row>
    <row r="235" customFormat="false" ht="15" hidden="false" customHeight="false" outlineLevel="0" collapsed="false">
      <c r="A235" s="8" t="n">
        <v>45901</v>
      </c>
      <c r="B235" s="11" t="n">
        <v>78.8</v>
      </c>
      <c r="C235" s="10" t="n">
        <v>22.1</v>
      </c>
      <c r="D235" s="10" t="n">
        <v>18.24</v>
      </c>
      <c r="E235" s="10" t="n">
        <v>27.25</v>
      </c>
      <c r="F235" s="11" t="n">
        <v>80.63</v>
      </c>
      <c r="G235" s="11" t="n">
        <v>59.6</v>
      </c>
      <c r="H235" s="10" t="n">
        <v>22.14</v>
      </c>
      <c r="I235" s="10" t="n">
        <v>18.84</v>
      </c>
      <c r="J235" s="10" t="n">
        <v>27.25</v>
      </c>
    </row>
    <row r="236" customFormat="false" ht="15" hidden="false" customHeight="false" outlineLevel="0" collapsed="false">
      <c r="A236" s="8" t="n">
        <v>45931</v>
      </c>
    </row>
    <row r="237" customFormat="false" ht="15" hidden="false" customHeight="false" outlineLevel="0" collapsed="false">
      <c r="A237" s="8" t="n">
        <v>45962</v>
      </c>
      <c r="B237" s="11" t="n">
        <v>127.6</v>
      </c>
      <c r="C237" s="10" t="n">
        <v>24.12</v>
      </c>
      <c r="D237" s="10" t="n">
        <v>20.81</v>
      </c>
      <c r="E237" s="10" t="n">
        <v>28.53</v>
      </c>
      <c r="F237" s="11" t="n">
        <v>82.61</v>
      </c>
      <c r="G237" s="11" t="n">
        <v>92.4</v>
      </c>
    </row>
    <row r="238" customFormat="false" ht="15" hidden="false" customHeight="false" outlineLevel="0" collapsed="false">
      <c r="A238" s="8" t="n">
        <v>45992</v>
      </c>
    </row>
    <row r="239" customFormat="false" ht="15" hidden="false" customHeight="false" outlineLevel="0" collapsed="false">
      <c r="A239" s="8" t="n">
        <v>46023</v>
      </c>
      <c r="G239" s="11" t="n">
        <v>382.6</v>
      </c>
      <c r="H239" s="10" t="n">
        <v>25.96</v>
      </c>
      <c r="I239" s="10" t="n">
        <v>22.5</v>
      </c>
      <c r="J239" s="10" t="n">
        <v>31.47</v>
      </c>
      <c r="Q239" s="11" t="n">
        <v>253.2</v>
      </c>
      <c r="R239" s="10" t="n">
        <v>25.48</v>
      </c>
      <c r="S239" s="10" t="n">
        <v>21.33</v>
      </c>
      <c r="T239" s="10" t="n">
        <v>31.63</v>
      </c>
      <c r="U239" s="11" t="n">
        <v>80.96</v>
      </c>
    </row>
    <row r="240" customFormat="false" ht="15" hidden="false" customHeight="false" outlineLevel="0" collapsed="false">
      <c r="A240" s="8" t="n">
        <v>46054</v>
      </c>
      <c r="B240" s="11" t="n">
        <v>136.6</v>
      </c>
      <c r="C240" s="10" t="n">
        <v>26.82</v>
      </c>
      <c r="D240" s="10" t="n">
        <v>23.12</v>
      </c>
      <c r="E240" s="10" t="n">
        <v>32.91</v>
      </c>
      <c r="F240" s="11" t="n">
        <v>82.16</v>
      </c>
      <c r="G240" s="11" t="n">
        <v>117.4</v>
      </c>
      <c r="H240" s="10" t="n">
        <v>27.38</v>
      </c>
      <c r="I240" s="10" t="n">
        <v>23.82</v>
      </c>
      <c r="J240" s="10" t="n">
        <v>33.48</v>
      </c>
      <c r="Q240" s="11" t="n">
        <v>251</v>
      </c>
      <c r="R240" s="10" t="n">
        <v>26.61</v>
      </c>
      <c r="S240" s="10" t="n">
        <v>22.19</v>
      </c>
      <c r="T240" s="10" t="n">
        <v>33.28</v>
      </c>
      <c r="U240" s="11" t="n">
        <v>79.55</v>
      </c>
    </row>
    <row r="241" customFormat="false" ht="15" hidden="false" customHeight="false" outlineLevel="0" collapsed="false">
      <c r="A241" s="8" t="n">
        <v>46082</v>
      </c>
      <c r="B241" s="11" t="n">
        <v>141</v>
      </c>
      <c r="C241" s="10" t="n">
        <v>25.73</v>
      </c>
      <c r="D241" s="10" t="n">
        <v>22.59</v>
      </c>
      <c r="E241" s="10" t="n">
        <v>30.45</v>
      </c>
      <c r="F241" s="11" t="n">
        <v>85.97</v>
      </c>
      <c r="G241" s="11" t="n">
        <v>206.4</v>
      </c>
      <c r="H241" s="10" t="n">
        <v>26.18</v>
      </c>
      <c r="I241" s="10" t="n">
        <v>22.98</v>
      </c>
      <c r="J241" s="10" t="n">
        <v>31.4</v>
      </c>
      <c r="Q241" s="11" t="n">
        <v>143.6</v>
      </c>
      <c r="R241" s="10" t="n">
        <v>25.35</v>
      </c>
      <c r="S241" s="10" t="n">
        <v>21.98</v>
      </c>
      <c r="T241" s="10" t="n">
        <v>31.14</v>
      </c>
      <c r="U241" s="11" t="n">
        <v>85.02</v>
      </c>
    </row>
    <row r="242" customFormat="false" ht="15" hidden="false" customHeight="false" outlineLevel="0" collapsed="false">
      <c r="A242" s="8" t="n">
        <v>46113</v>
      </c>
      <c r="B242" s="11" t="n">
        <v>34</v>
      </c>
      <c r="C242" s="10" t="n">
        <v>25.2</v>
      </c>
      <c r="D242" s="10" t="n">
        <v>21.59</v>
      </c>
      <c r="E242" s="10" t="n">
        <v>30.53</v>
      </c>
      <c r="F242" s="11" t="n">
        <v>84.48</v>
      </c>
      <c r="G242" s="11" t="n">
        <v>67.4</v>
      </c>
      <c r="H242" s="10" t="n">
        <v>25.62</v>
      </c>
      <c r="I242" s="10" t="n">
        <v>22.35</v>
      </c>
      <c r="J242" s="10" t="n">
        <v>30.89</v>
      </c>
      <c r="M242" s="10" t="n">
        <v>25.11</v>
      </c>
      <c r="N242" s="10" t="n">
        <v>20.54</v>
      </c>
      <c r="O242" s="10" t="n">
        <v>32.17</v>
      </c>
      <c r="P242" s="11" t="n">
        <v>80.4</v>
      </c>
      <c r="Q242" s="11" t="n">
        <v>26.8</v>
      </c>
      <c r="R242" s="10" t="n">
        <v>24.96</v>
      </c>
      <c r="S242" s="10" t="n">
        <v>20.77</v>
      </c>
      <c r="T242" s="10" t="n">
        <v>31.31</v>
      </c>
      <c r="U242" s="11" t="n">
        <v>81.41</v>
      </c>
    </row>
    <row r="243" customFormat="false" ht="15" hidden="false" customHeight="false" outlineLevel="0" collapsed="false">
      <c r="A243" s="8" t="n">
        <v>46143</v>
      </c>
      <c r="B243" s="11" t="n">
        <v>0</v>
      </c>
      <c r="C243" s="10" t="n">
        <v>23.85</v>
      </c>
      <c r="D243" s="10" t="n">
        <v>20.55</v>
      </c>
      <c r="E243" s="10" t="n">
        <v>28.9</v>
      </c>
      <c r="F243" s="11" t="n">
        <v>85.15</v>
      </c>
      <c r="G243" s="11" t="n">
        <v>18.4</v>
      </c>
      <c r="H243" s="10" t="n">
        <v>24.28</v>
      </c>
      <c r="I243" s="10" t="n">
        <v>21.08</v>
      </c>
      <c r="J243" s="10" t="n">
        <v>29.23</v>
      </c>
      <c r="Q243" s="11" t="n">
        <v>10.8</v>
      </c>
      <c r="R243" s="10" t="n">
        <v>23.66</v>
      </c>
      <c r="S243" s="10" t="n">
        <v>19.5</v>
      </c>
      <c r="T243" s="10" t="n">
        <v>29.94</v>
      </c>
      <c r="U243" s="11" t="n">
        <v>80.41</v>
      </c>
    </row>
    <row r="244" customFormat="false" ht="15" hidden="false" customHeight="false" outlineLevel="0" collapsed="false">
      <c r="A244" s="8" t="n">
        <v>46174</v>
      </c>
      <c r="C244" s="10" t="n">
        <v>22.01</v>
      </c>
      <c r="F244" s="11" t="n">
        <v>86.23</v>
      </c>
      <c r="M244" s="10" t="n">
        <v>21.2</v>
      </c>
      <c r="N244" s="10" t="n">
        <v>16.21</v>
      </c>
      <c r="O244" s="10" t="n">
        <v>29.07</v>
      </c>
      <c r="P244" s="11" t="n">
        <v>81.52</v>
      </c>
    </row>
    <row r="245" customFormat="false" ht="15" hidden="false" customHeight="false" outlineLevel="0" collapsed="false">
      <c r="A245" s="8" t="n">
        <v>46204</v>
      </c>
      <c r="B245" s="11" t="n">
        <v>26.6</v>
      </c>
      <c r="C245" s="10" t="n">
        <v>21.9</v>
      </c>
      <c r="D245" s="10" t="n">
        <v>18.15</v>
      </c>
      <c r="E245" s="10" t="n">
        <v>27.19</v>
      </c>
      <c r="F245" s="11" t="n">
        <v>85.93</v>
      </c>
    </row>
    <row r="246" customFormat="false" ht="15" hidden="false" customHeight="false" outlineLevel="0" collapsed="false">
      <c r="A246" s="8" t="n">
        <v>46235</v>
      </c>
      <c r="C246" s="10" t="n">
        <v>22.64</v>
      </c>
      <c r="F246" s="11" t="n">
        <v>85.49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8" min="2" style="0" width="13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5" t="s">
        <v>113</v>
      </c>
    </row>
    <row r="4" customFormat="false" ht="55.5" hidden="false" customHeight="true" outlineLevel="0" collapsed="false">
      <c r="A4" s="7" t="s">
        <v>29</v>
      </c>
      <c r="B4" s="7" t="s">
        <v>114</v>
      </c>
      <c r="C4" s="7" t="s">
        <v>115</v>
      </c>
      <c r="D4" s="7" t="s">
        <v>116</v>
      </c>
      <c r="E4" s="7" t="s">
        <v>117</v>
      </c>
      <c r="F4" s="7" t="s">
        <v>118</v>
      </c>
      <c r="G4" s="7" t="s">
        <v>119</v>
      </c>
      <c r="H4" s="7" t="s">
        <v>120</v>
      </c>
      <c r="I4" s="7" t="s">
        <v>121</v>
      </c>
      <c r="J4" s="7" t="s">
        <v>122</v>
      </c>
      <c r="K4" s="7" t="s">
        <v>123</v>
      </c>
      <c r="L4" s="7" t="s">
        <v>124</v>
      </c>
      <c r="M4" s="7" t="s">
        <v>125</v>
      </c>
      <c r="N4" s="7" t="s">
        <v>126</v>
      </c>
      <c r="O4" s="7" t="s">
        <v>127</v>
      </c>
      <c r="P4" s="7" t="s">
        <v>128</v>
      </c>
      <c r="Q4" s="7" t="s">
        <v>129</v>
      </c>
      <c r="R4" s="7" t="s">
        <v>130</v>
      </c>
    </row>
    <row r="5" customFormat="false" ht="15" hidden="false" customHeight="false" outlineLevel="0" collapsed="false">
      <c r="A5" s="8" t="n">
        <v>38899</v>
      </c>
      <c r="B5" s="10" t="n">
        <v>20.53</v>
      </c>
      <c r="C5" s="10" t="n">
        <v>20.52</v>
      </c>
      <c r="D5" s="10" t="n">
        <v>16.55</v>
      </c>
      <c r="E5" s="10" t="n">
        <v>15.68</v>
      </c>
      <c r="F5" s="10" t="n">
        <v>15.91</v>
      </c>
      <c r="G5" s="10" t="n">
        <v>25.21</v>
      </c>
      <c r="H5" s="10" t="n">
        <v>26.75</v>
      </c>
      <c r="I5" s="10" t="n">
        <v>26.97</v>
      </c>
      <c r="J5" s="11" t="n">
        <v>56.48</v>
      </c>
      <c r="K5" s="11" t="n">
        <v>15.16</v>
      </c>
      <c r="L5" s="11" t="n">
        <v>37.85</v>
      </c>
      <c r="M5" s="11" t="n">
        <v>78.18</v>
      </c>
      <c r="N5" s="11" t="n">
        <v>75.68</v>
      </c>
      <c r="O5" s="10" t="n">
        <v>26.67</v>
      </c>
      <c r="P5" s="10" t="n">
        <v>48.97</v>
      </c>
      <c r="Q5" s="10" t="n">
        <v>23.19</v>
      </c>
      <c r="R5" s="10" t="n">
        <v>48.31</v>
      </c>
    </row>
    <row r="6" customFormat="false" ht="15" hidden="false" customHeight="false" outlineLevel="0" collapsed="false">
      <c r="A6" s="8" t="n">
        <v>38930</v>
      </c>
      <c r="B6" s="10" t="n">
        <v>21.87</v>
      </c>
      <c r="C6" s="10" t="n">
        <v>22.49</v>
      </c>
      <c r="D6" s="10" t="n">
        <v>18.46</v>
      </c>
      <c r="E6" s="10" t="n">
        <v>17.7</v>
      </c>
      <c r="F6" s="10" t="n">
        <v>17.93</v>
      </c>
      <c r="G6" s="10" t="n">
        <v>26.22</v>
      </c>
      <c r="H6" s="10" t="n">
        <v>27.58</v>
      </c>
      <c r="I6" s="10" t="n">
        <v>28.87</v>
      </c>
      <c r="J6" s="11" t="n">
        <v>30.43</v>
      </c>
      <c r="K6" s="11" t="n">
        <v>30.44</v>
      </c>
      <c r="L6" s="11" t="n">
        <v>30.72</v>
      </c>
      <c r="M6" s="11" t="n">
        <v>77.8</v>
      </c>
      <c r="N6" s="11" t="n">
        <v>73.31</v>
      </c>
      <c r="O6" s="10" t="n">
        <v>24.76</v>
      </c>
      <c r="P6" s="10" t="n">
        <v>47.53</v>
      </c>
      <c r="Q6" s="10" t="n">
        <v>22.39</v>
      </c>
      <c r="R6" s="10" t="n">
        <v>43.54</v>
      </c>
    </row>
    <row r="7" customFormat="false" ht="15" hidden="false" customHeight="false" outlineLevel="0" collapsed="false">
      <c r="A7" s="8" t="n">
        <v>38961</v>
      </c>
      <c r="B7" s="10" t="n">
        <v>22.13</v>
      </c>
      <c r="C7" s="10" t="n">
        <v>22.76</v>
      </c>
      <c r="D7" s="10" t="n">
        <v>18.72</v>
      </c>
      <c r="E7" s="10" t="n">
        <v>17.84</v>
      </c>
      <c r="F7" s="10" t="n">
        <v>18.19</v>
      </c>
      <c r="G7" s="10" t="n">
        <v>26.5</v>
      </c>
      <c r="H7" s="10" t="n">
        <v>27.54</v>
      </c>
      <c r="I7" s="10" t="n">
        <v>29.03</v>
      </c>
      <c r="J7" s="11" t="n">
        <v>87.11</v>
      </c>
      <c r="K7" s="11" t="n">
        <v>59.4</v>
      </c>
      <c r="L7" s="11" t="n">
        <v>77.37</v>
      </c>
      <c r="M7" s="11" t="n">
        <v>75.71</v>
      </c>
      <c r="N7" s="11" t="n">
        <v>72.4</v>
      </c>
      <c r="O7" s="10" t="n">
        <v>24.37</v>
      </c>
      <c r="P7" s="10" t="n">
        <v>48.48</v>
      </c>
      <c r="Q7" s="10" t="n">
        <v>26.04</v>
      </c>
      <c r="R7" s="10" t="n">
        <v>48.15</v>
      </c>
    </row>
    <row r="8" customFormat="false" ht="15" hidden="false" customHeight="false" outlineLevel="0" collapsed="false">
      <c r="A8" s="8" t="n">
        <v>38991</v>
      </c>
      <c r="B8" s="10" t="n">
        <v>23.24</v>
      </c>
      <c r="C8" s="10" t="n">
        <v>23.82</v>
      </c>
      <c r="D8" s="10" t="n">
        <v>20.66</v>
      </c>
      <c r="E8" s="10" t="n">
        <v>19.87</v>
      </c>
      <c r="F8" s="10" t="n">
        <v>20.1</v>
      </c>
      <c r="G8" s="10" t="n">
        <v>26.75</v>
      </c>
      <c r="H8" s="10" t="n">
        <v>27.5</v>
      </c>
      <c r="I8" s="10" t="n">
        <v>29.4</v>
      </c>
      <c r="J8" s="11" t="n">
        <v>183.92</v>
      </c>
      <c r="K8" s="11" t="n">
        <v>100.28</v>
      </c>
      <c r="L8" s="11" t="n">
        <v>140.32</v>
      </c>
      <c r="M8" s="11" t="n">
        <v>80.61</v>
      </c>
      <c r="N8" s="11" t="n">
        <v>77.88</v>
      </c>
      <c r="O8" s="10" t="n">
        <v>26.55</v>
      </c>
      <c r="P8" s="10" t="n">
        <v>51.51</v>
      </c>
      <c r="Q8" s="10" t="n">
        <v>33.23</v>
      </c>
      <c r="R8" s="10" t="n">
        <v>54.34</v>
      </c>
    </row>
    <row r="9" customFormat="false" ht="15" hidden="false" customHeight="false" outlineLevel="0" collapsed="false">
      <c r="A9" s="8" t="n">
        <v>39022</v>
      </c>
      <c r="B9" s="10" t="n">
        <v>23.79</v>
      </c>
      <c r="C9" s="10" t="n">
        <v>23.84</v>
      </c>
      <c r="D9" s="10" t="n">
        <v>21.34</v>
      </c>
      <c r="E9" s="10" t="n">
        <v>20.87</v>
      </c>
      <c r="F9" s="10" t="n">
        <v>20.65</v>
      </c>
      <c r="G9" s="10" t="n">
        <v>27.27</v>
      </c>
      <c r="H9" s="10" t="n">
        <v>28.4</v>
      </c>
      <c r="I9" s="10" t="n">
        <v>28.4</v>
      </c>
      <c r="J9" s="11" t="n">
        <v>313.24</v>
      </c>
      <c r="K9" s="11" t="n">
        <v>179.98</v>
      </c>
      <c r="L9" s="11" t="n">
        <v>298.76</v>
      </c>
      <c r="M9" s="11" t="n">
        <v>83.79</v>
      </c>
      <c r="N9" s="11" t="n">
        <v>83.83</v>
      </c>
      <c r="O9" s="10" t="n">
        <v>34.52</v>
      </c>
      <c r="P9" s="10" t="n">
        <v>60.69</v>
      </c>
      <c r="Q9" s="10" t="n">
        <v>37.72</v>
      </c>
      <c r="R9" s="10" t="n">
        <v>67.41</v>
      </c>
    </row>
    <row r="10" customFormat="false" ht="15" hidden="false" customHeight="false" outlineLevel="0" collapsed="false">
      <c r="A10" s="8" t="n">
        <v>39052</v>
      </c>
      <c r="B10" s="10" t="n">
        <v>24.6</v>
      </c>
      <c r="C10" s="10" t="n">
        <v>24.44</v>
      </c>
      <c r="D10" s="10" t="n">
        <v>22.05</v>
      </c>
      <c r="E10" s="10" t="n">
        <v>21.62</v>
      </c>
      <c r="F10" s="10" t="n">
        <v>21.43</v>
      </c>
      <c r="G10" s="10" t="n">
        <v>28.09</v>
      </c>
      <c r="H10" s="10" t="n">
        <v>29.73</v>
      </c>
      <c r="I10" s="10" t="n">
        <v>28.44</v>
      </c>
      <c r="J10" s="11" t="n">
        <v>259.84</v>
      </c>
      <c r="K10" s="11" t="n">
        <v>277.32</v>
      </c>
      <c r="L10" s="11" t="n">
        <v>318.86</v>
      </c>
      <c r="M10" s="11" t="n">
        <v>83.86</v>
      </c>
      <c r="N10" s="11" t="n">
        <v>86.72</v>
      </c>
      <c r="O10" s="10" t="n">
        <v>39.57</v>
      </c>
      <c r="P10" s="10" t="n">
        <v>71.46</v>
      </c>
      <c r="Q10" s="10" t="n">
        <v>37.83</v>
      </c>
      <c r="R10" s="10" t="n">
        <v>76.69</v>
      </c>
    </row>
    <row r="11" customFormat="false" ht="15" hidden="false" customHeight="false" outlineLevel="0" collapsed="false">
      <c r="A11" s="8" t="n">
        <v>39083</v>
      </c>
      <c r="B11" s="10" t="n">
        <v>26.05</v>
      </c>
      <c r="C11" s="10" t="n">
        <v>25.22</v>
      </c>
      <c r="D11" s="10" t="n">
        <v>23.12</v>
      </c>
      <c r="E11" s="10" t="n">
        <v>22.64</v>
      </c>
      <c r="F11" s="10" t="n">
        <v>22.01</v>
      </c>
      <c r="G11" s="10" t="n">
        <v>30.19</v>
      </c>
      <c r="H11" s="10" t="n">
        <v>32.22</v>
      </c>
      <c r="I11" s="10" t="n">
        <v>29.54</v>
      </c>
      <c r="J11" s="11" t="n">
        <v>124.89</v>
      </c>
      <c r="K11" s="11" t="n">
        <v>98.3</v>
      </c>
      <c r="L11" s="11" t="n">
        <v>92.1</v>
      </c>
      <c r="M11" s="11" t="n">
        <v>80.45</v>
      </c>
      <c r="N11" s="11" t="n">
        <v>85.32</v>
      </c>
      <c r="O11" s="10" t="n">
        <v>35.84</v>
      </c>
      <c r="P11" s="10" t="n">
        <v>67.14</v>
      </c>
      <c r="Q11" s="10" t="n">
        <v>34.86</v>
      </c>
      <c r="R11" s="10" t="n">
        <v>70.88</v>
      </c>
    </row>
    <row r="12" customFormat="false" ht="15" hidden="false" customHeight="false" outlineLevel="0" collapsed="false">
      <c r="A12" s="8" t="n">
        <v>39114</v>
      </c>
      <c r="B12" s="10" t="n">
        <v>24.92</v>
      </c>
      <c r="C12" s="10" t="n">
        <v>24.63</v>
      </c>
      <c r="D12" s="10" t="n">
        <v>22.17</v>
      </c>
      <c r="E12" s="10" t="n">
        <v>21.73</v>
      </c>
      <c r="F12" s="10" t="n">
        <v>21.66</v>
      </c>
      <c r="G12" s="10" t="n">
        <v>28.6</v>
      </c>
      <c r="H12" s="10" t="n">
        <v>30.62</v>
      </c>
      <c r="I12" s="10" t="n">
        <v>28.68</v>
      </c>
      <c r="J12" s="11" t="n">
        <v>269.29</v>
      </c>
      <c r="K12" s="11" t="n">
        <v>208.92</v>
      </c>
      <c r="L12" s="11" t="n">
        <v>187</v>
      </c>
      <c r="M12" s="11" t="n">
        <v>84.9</v>
      </c>
      <c r="N12" s="11" t="n">
        <v>85.99</v>
      </c>
      <c r="O12" s="10" t="n">
        <v>39.64</v>
      </c>
      <c r="P12" s="10" t="n">
        <v>66.62</v>
      </c>
      <c r="Q12" s="10" t="n">
        <v>39.53</v>
      </c>
      <c r="R12" s="10" t="n">
        <v>72.16</v>
      </c>
    </row>
    <row r="13" customFormat="false" ht="15" hidden="false" customHeight="false" outlineLevel="0" collapsed="false">
      <c r="A13" s="8" t="n">
        <v>39142</v>
      </c>
      <c r="B13" s="10" t="n">
        <v>25.61</v>
      </c>
      <c r="C13" s="10" t="n">
        <v>25.26</v>
      </c>
      <c r="D13" s="10" t="n">
        <v>22.33</v>
      </c>
      <c r="E13" s="10" t="n">
        <v>22.05</v>
      </c>
      <c r="F13" s="10" t="n">
        <v>21.31</v>
      </c>
      <c r="G13" s="10" t="n">
        <v>29.91</v>
      </c>
      <c r="H13" s="10" t="n">
        <v>31.86</v>
      </c>
      <c r="I13" s="10" t="n">
        <v>30.52</v>
      </c>
      <c r="J13" s="11" t="n">
        <v>29.84</v>
      </c>
      <c r="K13" s="11" t="n">
        <v>32.5</v>
      </c>
      <c r="L13" s="11" t="n">
        <v>45.61</v>
      </c>
      <c r="M13" s="11" t="n">
        <v>81.6</v>
      </c>
      <c r="N13" s="11" t="n">
        <v>81.12</v>
      </c>
      <c r="O13" s="10" t="n">
        <v>34.98</v>
      </c>
      <c r="P13" s="10" t="n">
        <v>57.95</v>
      </c>
      <c r="Q13" s="10" t="n">
        <v>30.51</v>
      </c>
      <c r="R13" s="10" t="n">
        <v>60.52</v>
      </c>
    </row>
    <row r="14" customFormat="false" ht="15" hidden="false" customHeight="false" outlineLevel="0" collapsed="false">
      <c r="A14" s="8" t="n">
        <v>39173</v>
      </c>
      <c r="B14" s="10" t="n">
        <v>24.67</v>
      </c>
      <c r="C14" s="10" t="n">
        <v>24.71</v>
      </c>
      <c r="D14" s="10" t="n">
        <v>21.86</v>
      </c>
      <c r="E14" s="10" t="n">
        <v>21.41</v>
      </c>
      <c r="F14" s="10" t="n">
        <v>21.44</v>
      </c>
      <c r="G14" s="10" t="n">
        <v>28.73</v>
      </c>
      <c r="H14" s="10" t="n">
        <v>30.73</v>
      </c>
      <c r="I14" s="10" t="n">
        <v>29.41</v>
      </c>
      <c r="J14" s="11" t="n">
        <v>159.86</v>
      </c>
      <c r="K14" s="11" t="n">
        <v>87.92</v>
      </c>
      <c r="L14" s="11" t="n">
        <v>147.91</v>
      </c>
      <c r="M14" s="11" t="n">
        <v>84.31</v>
      </c>
      <c r="N14" s="11" t="n">
        <v>83.61</v>
      </c>
      <c r="O14" s="10" t="n">
        <v>31.25</v>
      </c>
      <c r="P14" s="10" t="n">
        <v>55.87</v>
      </c>
      <c r="Q14" s="10" t="n">
        <v>32.87</v>
      </c>
      <c r="R14" s="10" t="n">
        <v>60.69</v>
      </c>
    </row>
    <row r="15" customFormat="false" ht="15" hidden="false" customHeight="false" outlineLevel="0" collapsed="false">
      <c r="A15" s="8" t="n">
        <v>39203</v>
      </c>
      <c r="B15" s="10" t="n">
        <v>22.65</v>
      </c>
      <c r="C15" s="10" t="n">
        <v>22.52</v>
      </c>
      <c r="D15" s="10" t="n">
        <v>19.45</v>
      </c>
      <c r="E15" s="10" t="n">
        <v>18.89</v>
      </c>
      <c r="F15" s="10" t="n">
        <v>18.41</v>
      </c>
      <c r="G15" s="10" t="n">
        <v>26.63</v>
      </c>
      <c r="H15" s="10" t="n">
        <v>28.34</v>
      </c>
      <c r="I15" s="10" t="n">
        <v>28.16</v>
      </c>
      <c r="J15" s="11" t="n">
        <v>21.76</v>
      </c>
      <c r="K15" s="11" t="n">
        <v>18.66</v>
      </c>
      <c r="L15" s="11" t="n">
        <v>26.7</v>
      </c>
      <c r="M15" s="11" t="n">
        <v>78.04</v>
      </c>
      <c r="N15" s="11" t="n">
        <v>78.29</v>
      </c>
      <c r="O15" s="10" t="n">
        <v>28.78</v>
      </c>
      <c r="P15" s="10" t="n">
        <v>52.08</v>
      </c>
      <c r="Q15" s="10" t="n">
        <v>26.74</v>
      </c>
      <c r="R15" s="10" t="n">
        <v>52.9</v>
      </c>
    </row>
    <row r="16" customFormat="false" ht="15" hidden="false" customHeight="false" outlineLevel="0" collapsed="false">
      <c r="A16" s="8" t="n">
        <v>39234</v>
      </c>
      <c r="B16" s="10" t="n">
        <v>21.54</v>
      </c>
      <c r="C16" s="10" t="n">
        <v>21.79</v>
      </c>
      <c r="D16" s="10" t="n">
        <v>17.58</v>
      </c>
      <c r="E16" s="10" t="n">
        <v>16.78</v>
      </c>
      <c r="F16" s="10" t="n">
        <v>17.13</v>
      </c>
      <c r="G16" s="10" t="n">
        <v>26.11</v>
      </c>
      <c r="H16" s="10" t="n">
        <v>27.81</v>
      </c>
      <c r="I16" s="10" t="n">
        <v>28.2</v>
      </c>
      <c r="J16" s="11" t="n">
        <v>16.66</v>
      </c>
      <c r="K16" s="11" t="n">
        <v>6.86</v>
      </c>
      <c r="L16" s="11" t="n">
        <v>10.61</v>
      </c>
      <c r="M16" s="11" t="n">
        <v>78.54</v>
      </c>
      <c r="N16" s="11" t="n">
        <v>76.39</v>
      </c>
      <c r="O16" s="10" t="n">
        <v>25.62</v>
      </c>
      <c r="P16" s="10" t="n">
        <v>48.71</v>
      </c>
      <c r="Q16" s="10" t="n">
        <v>20.51</v>
      </c>
      <c r="R16" s="10" t="n">
        <v>47.22</v>
      </c>
    </row>
    <row r="17" customFormat="false" ht="15" hidden="false" customHeight="false" outlineLevel="0" collapsed="false">
      <c r="A17" s="8" t="n">
        <v>39264</v>
      </c>
      <c r="B17" s="10" t="n">
        <v>21.88</v>
      </c>
      <c r="C17" s="10" t="n">
        <v>22.21</v>
      </c>
      <c r="D17" s="10" t="n">
        <v>18.41</v>
      </c>
      <c r="E17" s="10" t="n">
        <v>17.54</v>
      </c>
      <c r="F17" s="10" t="n">
        <v>17.77</v>
      </c>
      <c r="G17" s="10" t="n">
        <v>26.26</v>
      </c>
      <c r="H17" s="10" t="n">
        <v>27.8</v>
      </c>
      <c r="I17" s="10" t="n">
        <v>28.48</v>
      </c>
      <c r="J17" s="11" t="n">
        <v>18.98</v>
      </c>
      <c r="K17" s="11" t="n">
        <v>9.92</v>
      </c>
      <c r="L17" s="11" t="n">
        <v>13.68</v>
      </c>
      <c r="M17" s="11" t="n">
        <v>76.59</v>
      </c>
      <c r="N17" s="11" t="n">
        <v>74.14</v>
      </c>
      <c r="O17" s="10" t="n">
        <v>23.62</v>
      </c>
      <c r="P17" s="10" t="n">
        <v>46.7</v>
      </c>
      <c r="Q17" s="10" t="n">
        <v>18.58</v>
      </c>
      <c r="R17" s="10" t="n">
        <v>42.92</v>
      </c>
    </row>
    <row r="18" customFormat="false" ht="15" hidden="false" customHeight="false" outlineLevel="0" collapsed="false">
      <c r="A18" s="8" t="n">
        <v>39295</v>
      </c>
      <c r="B18" s="10" t="n">
        <v>21.24</v>
      </c>
      <c r="C18" s="10" t="n">
        <v>21.79</v>
      </c>
      <c r="D18" s="10" t="n">
        <v>17.41</v>
      </c>
      <c r="E18" s="10" t="n">
        <v>16.64</v>
      </c>
      <c r="F18" s="10" t="n">
        <v>17.13</v>
      </c>
      <c r="G18" s="10" t="n">
        <v>25.89</v>
      </c>
      <c r="H18" s="10" t="n">
        <v>27.26</v>
      </c>
      <c r="I18" s="10" t="n">
        <v>28.36</v>
      </c>
      <c r="J18" s="11" t="n">
        <v>40.17</v>
      </c>
      <c r="K18" s="11" t="n">
        <v>27.48</v>
      </c>
      <c r="L18" s="11" t="n">
        <v>41.34</v>
      </c>
      <c r="M18" s="11" t="n">
        <v>76.66</v>
      </c>
      <c r="N18" s="11" t="n">
        <v>72.21</v>
      </c>
      <c r="O18" s="10" t="n">
        <v>22.75</v>
      </c>
      <c r="P18" s="10" t="n">
        <v>46.66</v>
      </c>
      <c r="Q18" s="10" t="n">
        <v>21.15</v>
      </c>
      <c r="R18" s="10" t="n">
        <v>43.08</v>
      </c>
    </row>
    <row r="19" customFormat="false" ht="15" hidden="false" customHeight="false" outlineLevel="0" collapsed="false">
      <c r="A19" s="8" t="n">
        <v>39326</v>
      </c>
      <c r="B19" s="10" t="n">
        <v>21.78</v>
      </c>
      <c r="C19" s="10" t="n">
        <v>22.41</v>
      </c>
      <c r="D19" s="10" t="n">
        <v>18.14</v>
      </c>
      <c r="E19" s="10" t="n">
        <v>17.26</v>
      </c>
      <c r="F19" s="10" t="n">
        <v>17.72</v>
      </c>
      <c r="G19" s="10" t="n">
        <v>26.22</v>
      </c>
      <c r="H19" s="10" t="n">
        <v>27.26</v>
      </c>
      <c r="I19" s="10" t="n">
        <v>28.76</v>
      </c>
      <c r="J19" s="11" t="n">
        <v>48.62</v>
      </c>
      <c r="K19" s="11" t="n">
        <v>31.68</v>
      </c>
      <c r="L19" s="11" t="n">
        <v>50.78</v>
      </c>
      <c r="M19" s="11" t="n">
        <v>74.32</v>
      </c>
      <c r="N19" s="11" t="n">
        <v>71.57</v>
      </c>
      <c r="O19" s="10" t="n">
        <v>22.77</v>
      </c>
      <c r="P19" s="10" t="n">
        <v>47.49</v>
      </c>
      <c r="Q19" s="10" t="n">
        <v>23.99</v>
      </c>
      <c r="R19" s="10" t="n">
        <v>45.06</v>
      </c>
    </row>
    <row r="20" customFormat="false" ht="15" hidden="false" customHeight="false" outlineLevel="0" collapsed="false">
      <c r="A20" s="8" t="n">
        <v>39356</v>
      </c>
      <c r="B20" s="10" t="n">
        <v>23.89</v>
      </c>
      <c r="C20" s="10" t="n">
        <v>24.75</v>
      </c>
      <c r="D20" s="10" t="n">
        <v>20.23</v>
      </c>
      <c r="E20" s="10" t="n">
        <v>19.44</v>
      </c>
      <c r="F20" s="10" t="n">
        <v>19.88</v>
      </c>
      <c r="G20" s="10" t="n">
        <v>28.97</v>
      </c>
      <c r="H20" s="10" t="n">
        <v>29.72</v>
      </c>
      <c r="I20" s="10" t="n">
        <v>31.56</v>
      </c>
      <c r="J20" s="11" t="n">
        <v>30.65</v>
      </c>
      <c r="K20" s="11" t="n">
        <v>27.72</v>
      </c>
      <c r="L20" s="11" t="n">
        <v>22.59</v>
      </c>
      <c r="M20" s="11" t="n">
        <v>72.83</v>
      </c>
      <c r="N20" s="11" t="n">
        <v>67.8</v>
      </c>
      <c r="O20" s="10" t="n">
        <v>21.76</v>
      </c>
      <c r="P20" s="10" t="n">
        <v>46.18</v>
      </c>
      <c r="Q20" s="10" t="n">
        <v>21.65</v>
      </c>
      <c r="R20" s="10" t="n">
        <v>39.5</v>
      </c>
    </row>
    <row r="21" customFormat="false" ht="15" hidden="false" customHeight="false" outlineLevel="0" collapsed="false">
      <c r="A21" s="8" t="n">
        <v>39387</v>
      </c>
      <c r="B21" s="10" t="n">
        <v>25.33</v>
      </c>
      <c r="C21" s="10" t="n">
        <v>26.06</v>
      </c>
      <c r="D21" s="10" t="n">
        <v>21.87</v>
      </c>
      <c r="E21" s="10" t="n">
        <v>21.39</v>
      </c>
      <c r="F21" s="10" t="n">
        <v>21.49</v>
      </c>
      <c r="G21" s="10" t="n">
        <v>30.56</v>
      </c>
      <c r="H21" s="10" t="n">
        <v>31.69</v>
      </c>
      <c r="I21" s="10" t="n">
        <v>32.51</v>
      </c>
      <c r="J21" s="11" t="n">
        <v>118.59</v>
      </c>
      <c r="K21" s="11" t="n">
        <v>103.36</v>
      </c>
      <c r="L21" s="11" t="n">
        <v>110.61</v>
      </c>
      <c r="M21" s="11" t="n">
        <v>71.5</v>
      </c>
      <c r="N21" s="11" t="n">
        <v>67.43</v>
      </c>
      <c r="O21" s="10" t="n">
        <v>21.17</v>
      </c>
      <c r="P21" s="10" t="n">
        <v>46.71</v>
      </c>
      <c r="Q21" s="10" t="n">
        <v>22.65</v>
      </c>
      <c r="R21" s="10" t="n">
        <v>41.73</v>
      </c>
    </row>
    <row r="22" customFormat="false" ht="15" hidden="false" customHeight="false" outlineLevel="0" collapsed="false">
      <c r="A22" s="8" t="n">
        <v>39417</v>
      </c>
      <c r="B22" s="10" t="n">
        <v>25.35</v>
      </c>
      <c r="C22" s="10" t="n">
        <v>25.89</v>
      </c>
      <c r="D22" s="10" t="n">
        <v>22.07</v>
      </c>
      <c r="E22" s="10" t="n">
        <v>21.64</v>
      </c>
      <c r="F22" s="10" t="n">
        <v>21.63</v>
      </c>
      <c r="G22" s="10" t="n">
        <v>29.75</v>
      </c>
      <c r="H22" s="10" t="n">
        <v>31.38</v>
      </c>
      <c r="I22" s="10" t="n">
        <v>31.68</v>
      </c>
      <c r="J22" s="11" t="n">
        <v>100.75</v>
      </c>
      <c r="K22" s="11" t="n">
        <v>91.86</v>
      </c>
      <c r="L22" s="11" t="n">
        <v>111.37</v>
      </c>
      <c r="M22" s="11" t="n">
        <v>77.79</v>
      </c>
      <c r="N22" s="11" t="n">
        <v>74.15</v>
      </c>
      <c r="O22" s="10" t="n">
        <v>26.85</v>
      </c>
      <c r="P22" s="10" t="n">
        <v>50.9</v>
      </c>
      <c r="Q22" s="10" t="n">
        <v>33.43</v>
      </c>
      <c r="R22" s="10" t="n">
        <v>52.19</v>
      </c>
    </row>
    <row r="23" customFormat="false" ht="15" hidden="false" customHeight="false" outlineLevel="0" collapsed="false">
      <c r="A23" s="8" t="n">
        <v>39448</v>
      </c>
      <c r="B23" s="10" t="n">
        <v>25.16</v>
      </c>
      <c r="C23" s="10" t="n">
        <v>25.16</v>
      </c>
      <c r="D23" s="10" t="n">
        <v>22.13</v>
      </c>
      <c r="E23" s="10" t="n">
        <v>21.65</v>
      </c>
      <c r="F23" s="10" t="n">
        <v>21.4</v>
      </c>
      <c r="G23" s="10" t="n">
        <v>29.49</v>
      </c>
      <c r="H23" s="10" t="n">
        <v>31.51</v>
      </c>
      <c r="I23" s="10" t="n">
        <v>30.21</v>
      </c>
      <c r="J23" s="11" t="n">
        <v>162.86</v>
      </c>
      <c r="K23" s="11" t="n">
        <v>110.22</v>
      </c>
      <c r="L23" s="11" t="n">
        <v>162.89</v>
      </c>
      <c r="M23" s="11" t="n">
        <v>78.44</v>
      </c>
      <c r="N23" s="11" t="n">
        <v>78.28</v>
      </c>
      <c r="O23" s="10" t="n">
        <v>25.75</v>
      </c>
      <c r="P23" s="10" t="n">
        <v>52.28</v>
      </c>
      <c r="Q23" s="10" t="n">
        <v>30.57</v>
      </c>
      <c r="R23" s="10" t="n">
        <v>55.63</v>
      </c>
    </row>
    <row r="24" customFormat="false" ht="15" hidden="false" customHeight="false" outlineLevel="0" collapsed="false">
      <c r="A24" s="8" t="n">
        <v>39479</v>
      </c>
      <c r="B24" s="10" t="n">
        <v>25.75</v>
      </c>
      <c r="C24" s="10" t="n">
        <v>26.05</v>
      </c>
      <c r="D24" s="10" t="n">
        <v>22.66</v>
      </c>
      <c r="E24" s="10" t="n">
        <v>22.22</v>
      </c>
      <c r="F24" s="10" t="n">
        <v>22.23</v>
      </c>
      <c r="G24" s="10" t="n">
        <v>30.15</v>
      </c>
      <c r="H24" s="10" t="n">
        <v>32.17</v>
      </c>
      <c r="I24" s="10" t="n">
        <v>31.28</v>
      </c>
      <c r="J24" s="11" t="n">
        <v>185.82</v>
      </c>
      <c r="K24" s="11" t="n">
        <v>135.86</v>
      </c>
      <c r="L24" s="11" t="n">
        <v>127.37</v>
      </c>
      <c r="M24" s="11" t="n">
        <v>80.39</v>
      </c>
      <c r="N24" s="11" t="n">
        <v>77.4</v>
      </c>
      <c r="O24" s="10" t="n">
        <v>29.48</v>
      </c>
      <c r="P24" s="10" t="n">
        <v>52.19</v>
      </c>
      <c r="Q24" s="10" t="n">
        <v>33.44</v>
      </c>
      <c r="R24" s="10" t="n">
        <v>54.68</v>
      </c>
    </row>
    <row r="25" customFormat="false" ht="15" hidden="false" customHeight="false" outlineLevel="0" collapsed="false">
      <c r="A25" s="8" t="n">
        <v>39508</v>
      </c>
      <c r="B25" s="10" t="n">
        <v>25.5</v>
      </c>
      <c r="C25" s="10" t="n">
        <v>25.62</v>
      </c>
      <c r="D25" s="10" t="n">
        <v>22.51</v>
      </c>
      <c r="E25" s="10" t="n">
        <v>22.23</v>
      </c>
      <c r="F25" s="10" t="n">
        <v>22.18</v>
      </c>
      <c r="G25" s="10" t="n">
        <v>29.83</v>
      </c>
      <c r="H25" s="10" t="n">
        <v>31.78</v>
      </c>
      <c r="I25" s="10" t="n">
        <v>30.52</v>
      </c>
      <c r="J25" s="11" t="n">
        <v>154.92</v>
      </c>
      <c r="K25" s="11" t="n">
        <v>132.78</v>
      </c>
      <c r="L25" s="11" t="n">
        <v>120.9</v>
      </c>
      <c r="M25" s="11" t="n">
        <v>83.31</v>
      </c>
      <c r="N25" s="11" t="n">
        <v>81.75</v>
      </c>
      <c r="O25" s="10" t="n">
        <v>33.38</v>
      </c>
      <c r="P25" s="10" t="n">
        <v>54.17</v>
      </c>
      <c r="Q25" s="10" t="n">
        <v>37.56</v>
      </c>
      <c r="R25" s="10" t="n">
        <v>58.29</v>
      </c>
    </row>
    <row r="26" customFormat="false" ht="15" hidden="false" customHeight="false" outlineLevel="0" collapsed="false">
      <c r="A26" s="8" t="n">
        <v>39539</v>
      </c>
      <c r="B26" s="10" t="n">
        <v>25.51</v>
      </c>
      <c r="C26" s="10" t="n">
        <v>25.79</v>
      </c>
      <c r="D26" s="10" t="n">
        <v>22.42</v>
      </c>
      <c r="E26" s="10" t="n">
        <v>21.97</v>
      </c>
      <c r="F26" s="10" t="n">
        <v>21.82</v>
      </c>
      <c r="G26" s="10" t="n">
        <v>29.66</v>
      </c>
      <c r="H26" s="10" t="n">
        <v>31.67</v>
      </c>
      <c r="I26" s="10" t="n">
        <v>31.21</v>
      </c>
      <c r="J26" s="11" t="n">
        <v>111.91</v>
      </c>
      <c r="K26" s="11" t="n">
        <v>49.34</v>
      </c>
      <c r="L26" s="11" t="n">
        <v>80.5</v>
      </c>
      <c r="M26" s="11" t="n">
        <v>82.49</v>
      </c>
      <c r="N26" s="11" t="n">
        <v>78.85</v>
      </c>
      <c r="O26" s="10" t="n">
        <v>32.12</v>
      </c>
      <c r="P26" s="10" t="n">
        <v>51.69</v>
      </c>
      <c r="Q26" s="10" t="n">
        <v>33.87</v>
      </c>
      <c r="R26" s="10" t="n">
        <v>53.65</v>
      </c>
    </row>
    <row r="27" customFormat="false" ht="15" hidden="false" customHeight="false" outlineLevel="0" collapsed="false">
      <c r="A27" s="8" t="n">
        <v>39569</v>
      </c>
      <c r="B27" s="10" t="n">
        <v>22.82</v>
      </c>
      <c r="C27" s="10" t="n">
        <v>23.24</v>
      </c>
      <c r="D27" s="10" t="n">
        <v>19.49</v>
      </c>
      <c r="E27" s="10" t="n">
        <v>18.93</v>
      </c>
      <c r="F27" s="10" t="n">
        <v>19.07</v>
      </c>
      <c r="G27" s="10" t="n">
        <v>27.22</v>
      </c>
      <c r="H27" s="10" t="n">
        <v>28.93</v>
      </c>
      <c r="I27" s="10" t="n">
        <v>29.13</v>
      </c>
      <c r="J27" s="11" t="n">
        <v>27.54</v>
      </c>
      <c r="K27" s="11" t="n">
        <v>24.86</v>
      </c>
      <c r="L27" s="11" t="n">
        <v>30.43</v>
      </c>
      <c r="M27" s="11" t="n">
        <v>77.93</v>
      </c>
      <c r="N27" s="11" t="n">
        <v>76.38</v>
      </c>
      <c r="O27" s="10" t="n">
        <v>28.25</v>
      </c>
      <c r="P27" s="10" t="n">
        <v>48.81</v>
      </c>
      <c r="Q27" s="10" t="n">
        <v>26.37</v>
      </c>
      <c r="R27" s="10" t="n">
        <v>47.72</v>
      </c>
    </row>
    <row r="28" customFormat="false" ht="15" hidden="false" customHeight="false" outlineLevel="0" collapsed="false">
      <c r="A28" s="8" t="n">
        <v>39600</v>
      </c>
      <c r="B28" s="10" t="n">
        <v>21.9</v>
      </c>
      <c r="C28" s="10" t="n">
        <v>21.99</v>
      </c>
      <c r="D28" s="10" t="n">
        <v>18.52</v>
      </c>
      <c r="E28" s="10" t="n">
        <v>17.72</v>
      </c>
      <c r="F28" s="10" t="n">
        <v>17.99</v>
      </c>
      <c r="G28" s="10" t="n">
        <v>26.32</v>
      </c>
      <c r="H28" s="10" t="n">
        <v>28.02</v>
      </c>
      <c r="I28" s="10" t="n">
        <v>27.88</v>
      </c>
      <c r="J28" s="11" t="n">
        <v>21.92</v>
      </c>
      <c r="K28" s="11" t="n">
        <v>15.24</v>
      </c>
      <c r="L28" s="11" t="n">
        <v>46.06</v>
      </c>
      <c r="M28" s="11" t="n">
        <v>77.03</v>
      </c>
      <c r="N28" s="11" t="n">
        <v>76.97</v>
      </c>
      <c r="O28" s="10" t="n">
        <v>25.14</v>
      </c>
      <c r="P28" s="10" t="n">
        <v>47.88</v>
      </c>
      <c r="Q28" s="10" t="n">
        <v>21.19</v>
      </c>
      <c r="R28" s="10" t="n">
        <v>45.26</v>
      </c>
    </row>
    <row r="29" customFormat="false" ht="15" hidden="false" customHeight="false" outlineLevel="0" collapsed="false">
      <c r="A29" s="8" t="n">
        <v>39630</v>
      </c>
      <c r="B29" s="10" t="n">
        <v>20.73</v>
      </c>
      <c r="C29" s="10" t="n">
        <v>20.79</v>
      </c>
      <c r="D29" s="10" t="n">
        <v>16.79</v>
      </c>
      <c r="E29" s="10" t="n">
        <v>15.92</v>
      </c>
      <c r="F29" s="10" t="n">
        <v>16.24</v>
      </c>
      <c r="G29" s="10" t="n">
        <v>25.5</v>
      </c>
      <c r="H29" s="10" t="n">
        <v>27.03</v>
      </c>
      <c r="I29" s="10" t="n">
        <v>27.13</v>
      </c>
      <c r="J29" s="11" t="n">
        <v>34.08</v>
      </c>
      <c r="K29" s="11" t="n">
        <v>15.26</v>
      </c>
      <c r="L29" s="11" t="n">
        <v>27.28</v>
      </c>
      <c r="M29" s="11" t="n">
        <v>75.06</v>
      </c>
      <c r="N29" s="11" t="n">
        <v>74.92</v>
      </c>
      <c r="O29" s="10" t="n">
        <v>23.81</v>
      </c>
      <c r="P29" s="10" t="n">
        <v>47.88</v>
      </c>
      <c r="Q29" s="10" t="n">
        <v>22.15</v>
      </c>
      <c r="R29" s="10" t="n">
        <v>45.47</v>
      </c>
    </row>
    <row r="30" customFormat="false" ht="15" hidden="false" customHeight="false" outlineLevel="0" collapsed="false">
      <c r="A30" s="8" t="n">
        <v>39661</v>
      </c>
      <c r="B30" s="10" t="n">
        <v>22.32</v>
      </c>
      <c r="C30" s="10" t="n">
        <v>22.58</v>
      </c>
      <c r="D30" s="10" t="n">
        <v>18.4</v>
      </c>
      <c r="E30" s="10" t="n">
        <v>17.64</v>
      </c>
      <c r="F30" s="10" t="n">
        <v>17.86</v>
      </c>
      <c r="G30" s="10" t="n">
        <v>27.34</v>
      </c>
      <c r="H30" s="10" t="n">
        <v>28.7</v>
      </c>
      <c r="I30" s="10" t="n">
        <v>29.15</v>
      </c>
      <c r="J30" s="11" t="n">
        <v>27.82</v>
      </c>
      <c r="K30" s="11" t="n">
        <v>12.84</v>
      </c>
      <c r="L30" s="11" t="n">
        <v>26.88</v>
      </c>
      <c r="M30" s="11" t="n">
        <v>75.46</v>
      </c>
      <c r="N30" s="11" t="n">
        <v>72.42</v>
      </c>
      <c r="O30" s="10" t="n">
        <v>21.7</v>
      </c>
      <c r="P30" s="10" t="n">
        <v>46.19</v>
      </c>
      <c r="Q30" s="10" t="n">
        <v>18.18</v>
      </c>
      <c r="R30" s="10" t="n">
        <v>41.24</v>
      </c>
    </row>
    <row r="31" customFormat="false" ht="15" hidden="false" customHeight="false" outlineLevel="0" collapsed="false">
      <c r="A31" s="8" t="n">
        <v>39692</v>
      </c>
      <c r="B31" s="10" t="n">
        <v>22.84</v>
      </c>
      <c r="C31" s="10" t="n">
        <v>23.26</v>
      </c>
      <c r="D31" s="10" t="n">
        <v>19.22</v>
      </c>
      <c r="E31" s="10" t="n">
        <v>18.33</v>
      </c>
      <c r="F31" s="10" t="n">
        <v>18.34</v>
      </c>
      <c r="G31" s="10" t="n">
        <v>27.86</v>
      </c>
      <c r="H31" s="10" t="n">
        <v>28.89</v>
      </c>
      <c r="I31" s="10" t="n">
        <v>30.17</v>
      </c>
      <c r="J31" s="11" t="n">
        <v>42.51</v>
      </c>
      <c r="K31" s="11" t="n">
        <v>24.56</v>
      </c>
      <c r="L31" s="11" t="n">
        <v>20.54</v>
      </c>
      <c r="M31" s="11" t="n">
        <v>70.48</v>
      </c>
      <c r="N31" s="11" t="n">
        <v>68.77</v>
      </c>
      <c r="O31" s="10" t="n">
        <v>20.5</v>
      </c>
      <c r="P31" s="10" t="n">
        <v>45.32</v>
      </c>
      <c r="Q31" s="10" t="n">
        <v>19.1</v>
      </c>
      <c r="R31" s="10" t="n">
        <v>39.62</v>
      </c>
    </row>
    <row r="32" customFormat="false" ht="15" hidden="false" customHeight="false" outlineLevel="0" collapsed="false">
      <c r="A32" s="8" t="n">
        <v>39722</v>
      </c>
      <c r="B32" s="10" t="n">
        <v>24.66</v>
      </c>
      <c r="C32" s="10" t="n">
        <v>25.7</v>
      </c>
      <c r="D32" s="10" t="n">
        <v>21.01</v>
      </c>
      <c r="E32" s="10" t="n">
        <v>20.23</v>
      </c>
      <c r="F32" s="10" t="n">
        <v>20.67</v>
      </c>
      <c r="G32" s="10" t="n">
        <v>29.81</v>
      </c>
      <c r="H32" s="10" t="n">
        <v>30.56</v>
      </c>
      <c r="I32" s="10" t="n">
        <v>32.78</v>
      </c>
      <c r="J32" s="11" t="n">
        <v>49.63</v>
      </c>
      <c r="K32" s="11" t="n">
        <v>30.44</v>
      </c>
      <c r="L32" s="11" t="n">
        <v>39.24</v>
      </c>
      <c r="M32" s="11" t="n">
        <v>73.38</v>
      </c>
      <c r="N32" s="11" t="n">
        <v>67.77</v>
      </c>
      <c r="O32" s="10" t="n">
        <v>20.54</v>
      </c>
      <c r="P32" s="10" t="n">
        <v>45.75</v>
      </c>
      <c r="Q32" s="10" t="n">
        <v>22.17</v>
      </c>
      <c r="R32" s="10" t="n">
        <v>40.06</v>
      </c>
    </row>
    <row r="33" customFormat="false" ht="15" hidden="false" customHeight="false" outlineLevel="0" collapsed="false">
      <c r="A33" s="8" t="n">
        <v>39753</v>
      </c>
      <c r="B33" s="10" t="n">
        <v>24.12</v>
      </c>
      <c r="C33" s="10" t="n">
        <v>24.87</v>
      </c>
      <c r="D33" s="10" t="n">
        <v>21.53</v>
      </c>
      <c r="E33" s="10" t="n">
        <v>21.06</v>
      </c>
      <c r="F33" s="10" t="n">
        <v>21.53</v>
      </c>
      <c r="G33" s="10" t="n">
        <v>28.08</v>
      </c>
      <c r="H33" s="10" t="n">
        <v>29.21</v>
      </c>
      <c r="I33" s="10" t="n">
        <v>29.81</v>
      </c>
      <c r="J33" s="11" t="n">
        <v>391.44</v>
      </c>
      <c r="K33" s="11" t="n">
        <v>298.42</v>
      </c>
      <c r="L33" s="11" t="n">
        <v>395.47</v>
      </c>
      <c r="M33" s="11" t="n">
        <v>81.32</v>
      </c>
      <c r="N33" s="11" t="n">
        <v>79.36</v>
      </c>
      <c r="O33" s="10" t="n">
        <v>25.7</v>
      </c>
      <c r="P33" s="10" t="n">
        <v>55.49</v>
      </c>
      <c r="Q33" s="10" t="n">
        <v>32.5</v>
      </c>
      <c r="R33" s="10" t="n">
        <v>60.35</v>
      </c>
    </row>
    <row r="34" customFormat="false" ht="15" hidden="false" customHeight="false" outlineLevel="0" collapsed="false">
      <c r="A34" s="8" t="n">
        <v>39783</v>
      </c>
      <c r="B34" s="10" t="n">
        <v>24.58</v>
      </c>
      <c r="C34" s="10" t="n">
        <v>24.16</v>
      </c>
      <c r="D34" s="10" t="n">
        <v>21.77</v>
      </c>
      <c r="E34" s="10" t="n">
        <v>21.34</v>
      </c>
      <c r="F34" s="10" t="n">
        <v>21.06</v>
      </c>
      <c r="G34" s="10" t="n">
        <v>28.28</v>
      </c>
      <c r="H34" s="10" t="n">
        <v>29.92</v>
      </c>
      <c r="I34" s="10" t="n">
        <v>28.41</v>
      </c>
      <c r="J34" s="11" t="n">
        <v>252.75</v>
      </c>
      <c r="K34" s="11" t="n">
        <v>122.7</v>
      </c>
      <c r="L34" s="11" t="n">
        <v>178.66</v>
      </c>
      <c r="M34" s="11" t="n">
        <v>82.28</v>
      </c>
      <c r="N34" s="11" t="n">
        <v>85.74</v>
      </c>
      <c r="O34" s="10" t="n">
        <v>38.23</v>
      </c>
      <c r="P34" s="10" t="n">
        <v>67.97</v>
      </c>
      <c r="Q34" s="10" t="n">
        <v>37.22</v>
      </c>
      <c r="R34" s="10" t="n">
        <v>72.3</v>
      </c>
    </row>
    <row r="35" customFormat="false" ht="15" hidden="false" customHeight="false" outlineLevel="0" collapsed="false">
      <c r="A35" s="8" t="n">
        <v>39814</v>
      </c>
      <c r="B35" s="10" t="n">
        <v>25.58</v>
      </c>
      <c r="C35" s="10" t="n">
        <v>25.01</v>
      </c>
      <c r="D35" s="10" t="n">
        <v>22.87</v>
      </c>
      <c r="E35" s="10" t="n">
        <v>22.38</v>
      </c>
      <c r="F35" s="10" t="n">
        <v>21.9</v>
      </c>
      <c r="G35" s="10" t="n">
        <v>29.55</v>
      </c>
      <c r="H35" s="10" t="n">
        <v>31.57</v>
      </c>
      <c r="I35" s="10" t="n">
        <v>29.21</v>
      </c>
      <c r="J35" s="11" t="n">
        <v>322.08</v>
      </c>
      <c r="K35" s="11" t="n">
        <v>199.48</v>
      </c>
      <c r="L35" s="11" t="n">
        <v>249.13</v>
      </c>
      <c r="M35" s="11" t="n">
        <v>83.1</v>
      </c>
      <c r="N35" s="11" t="n">
        <v>86.05</v>
      </c>
      <c r="O35" s="10" t="n">
        <v>38.2</v>
      </c>
      <c r="P35" s="10" t="n">
        <v>71.73</v>
      </c>
      <c r="Q35" s="10" t="n">
        <v>36.51</v>
      </c>
      <c r="R35" s="10" t="n">
        <v>75.66</v>
      </c>
    </row>
    <row r="36" customFormat="false" ht="15" hidden="false" customHeight="false" outlineLevel="0" collapsed="false">
      <c r="A36" s="8" t="n">
        <v>39845</v>
      </c>
      <c r="B36" s="10" t="n">
        <v>25.95</v>
      </c>
      <c r="C36" s="10" t="n">
        <v>25.45</v>
      </c>
      <c r="D36" s="10" t="n">
        <v>22.8</v>
      </c>
      <c r="E36" s="10" t="n">
        <v>22.36</v>
      </c>
      <c r="F36" s="10" t="n">
        <v>21.98</v>
      </c>
      <c r="G36" s="10" t="n">
        <v>30.18</v>
      </c>
      <c r="H36" s="10" t="n">
        <v>32.19</v>
      </c>
      <c r="I36" s="10" t="n">
        <v>30.22</v>
      </c>
      <c r="J36" s="11" t="n">
        <v>19.36</v>
      </c>
      <c r="K36" s="11" t="n">
        <v>29.86</v>
      </c>
      <c r="L36" s="11" t="n">
        <v>40.7</v>
      </c>
      <c r="M36" s="11" t="n">
        <v>80.26</v>
      </c>
      <c r="N36" s="11" t="n">
        <v>82.8</v>
      </c>
      <c r="O36" s="10" t="n">
        <v>33.05</v>
      </c>
      <c r="P36" s="10" t="n">
        <v>60.12</v>
      </c>
      <c r="Q36" s="10" t="n">
        <v>29.07</v>
      </c>
      <c r="R36" s="10" t="n">
        <v>63.71</v>
      </c>
    </row>
    <row r="37" customFormat="false" ht="15" hidden="false" customHeight="false" outlineLevel="0" collapsed="false">
      <c r="A37" s="8" t="n">
        <v>39873</v>
      </c>
      <c r="B37" s="10" t="n">
        <v>26.34</v>
      </c>
      <c r="C37" s="10" t="n">
        <v>26.17</v>
      </c>
      <c r="D37" s="10" t="n">
        <v>23.15</v>
      </c>
      <c r="E37" s="10" t="n">
        <v>22.87</v>
      </c>
      <c r="F37" s="10" t="n">
        <v>22.27</v>
      </c>
      <c r="G37" s="10" t="n">
        <v>30.99</v>
      </c>
      <c r="H37" s="10" t="n">
        <v>32.94</v>
      </c>
      <c r="I37" s="10" t="n">
        <v>31.48</v>
      </c>
      <c r="J37" s="11" t="n">
        <v>173.14</v>
      </c>
      <c r="K37" s="11" t="n">
        <v>109.84</v>
      </c>
      <c r="L37" s="11" t="n">
        <v>137.37</v>
      </c>
      <c r="M37" s="11" t="n">
        <v>79.17</v>
      </c>
      <c r="N37" s="11" t="n">
        <v>80.05</v>
      </c>
      <c r="O37" s="10" t="n">
        <v>28.54</v>
      </c>
      <c r="P37" s="10" t="n">
        <v>53.78</v>
      </c>
      <c r="Q37" s="10" t="n">
        <v>26.9</v>
      </c>
      <c r="R37" s="10" t="n">
        <v>57.07</v>
      </c>
    </row>
    <row r="38" customFormat="false" ht="15" hidden="false" customHeight="false" outlineLevel="0" collapsed="false">
      <c r="A38" s="8" t="n">
        <v>39904</v>
      </c>
      <c r="B38" s="10" t="n">
        <v>24.41</v>
      </c>
      <c r="C38" s="10" t="n">
        <v>24.17</v>
      </c>
      <c r="D38" s="10" t="n">
        <v>21.65</v>
      </c>
      <c r="E38" s="10" t="n">
        <v>21.2</v>
      </c>
      <c r="F38" s="10" t="n">
        <v>21.14</v>
      </c>
      <c r="G38" s="10" t="n">
        <v>28.22</v>
      </c>
      <c r="H38" s="10" t="n">
        <v>30.23</v>
      </c>
      <c r="I38" s="10" t="n">
        <v>28.5</v>
      </c>
      <c r="J38" s="11" t="n">
        <v>188.7</v>
      </c>
      <c r="K38" s="11" t="n">
        <v>118.62</v>
      </c>
      <c r="L38" s="11" t="n">
        <v>154.57</v>
      </c>
      <c r="M38" s="11" t="n">
        <v>83.04</v>
      </c>
      <c r="N38" s="11" t="n">
        <v>85.65</v>
      </c>
      <c r="O38" s="10" t="n">
        <v>35.52</v>
      </c>
      <c r="P38" s="10" t="n">
        <v>61.63</v>
      </c>
      <c r="Q38" s="10" t="n">
        <v>37.11</v>
      </c>
      <c r="R38" s="10" t="n">
        <v>67.18</v>
      </c>
    </row>
    <row r="39" customFormat="false" ht="15" hidden="false" customHeight="false" outlineLevel="0" collapsed="false">
      <c r="A39" s="8" t="n">
        <v>39934</v>
      </c>
      <c r="B39" s="10" t="n">
        <v>22.6</v>
      </c>
      <c r="C39" s="10" t="n">
        <v>22.54</v>
      </c>
      <c r="D39" s="10" t="n">
        <v>19.56</v>
      </c>
      <c r="E39" s="10" t="n">
        <v>19</v>
      </c>
      <c r="F39" s="10" t="n">
        <v>18.91</v>
      </c>
      <c r="G39" s="10" t="n">
        <v>26.34</v>
      </c>
      <c r="H39" s="10" t="n">
        <v>28.04</v>
      </c>
      <c r="I39" s="10" t="n">
        <v>27.65</v>
      </c>
      <c r="J39" s="11" t="n">
        <v>23.39</v>
      </c>
      <c r="K39" s="11" t="n">
        <v>27.68</v>
      </c>
      <c r="L39" s="11" t="n">
        <v>16.88</v>
      </c>
      <c r="M39" s="11" t="n">
        <v>80.53</v>
      </c>
      <c r="N39" s="11" t="n">
        <v>81.39</v>
      </c>
      <c r="O39" s="10" t="n">
        <v>31.99</v>
      </c>
      <c r="P39" s="10" t="n">
        <v>53.56</v>
      </c>
      <c r="Q39" s="10" t="n">
        <v>29.75</v>
      </c>
      <c r="R39" s="10" t="n">
        <v>55.13</v>
      </c>
    </row>
    <row r="40" customFormat="false" ht="15" hidden="false" customHeight="false" outlineLevel="0" collapsed="false">
      <c r="A40" s="8" t="n">
        <v>39965</v>
      </c>
      <c r="B40" s="10" t="n">
        <v>21.54</v>
      </c>
      <c r="C40" s="10" t="n">
        <v>21.83</v>
      </c>
      <c r="D40" s="10" t="n">
        <v>18.61</v>
      </c>
      <c r="E40" s="10" t="n">
        <v>17.81</v>
      </c>
      <c r="F40" s="10" t="n">
        <v>18.18</v>
      </c>
      <c r="G40" s="10" t="n">
        <v>25.38</v>
      </c>
      <c r="H40" s="10" t="n">
        <v>27.09</v>
      </c>
      <c r="I40" s="10" t="n">
        <v>27.07</v>
      </c>
      <c r="J40" s="11" t="n">
        <v>40.89</v>
      </c>
      <c r="K40" s="11" t="n">
        <v>37.04</v>
      </c>
      <c r="L40" s="11" t="n">
        <v>42.7</v>
      </c>
      <c r="M40" s="11" t="n">
        <v>82.03</v>
      </c>
      <c r="N40" s="11" t="n">
        <v>80.65</v>
      </c>
      <c r="O40" s="10" t="n">
        <v>30.04</v>
      </c>
      <c r="P40" s="10" t="n">
        <v>51.12</v>
      </c>
      <c r="Q40" s="10" t="n">
        <v>29.64</v>
      </c>
      <c r="R40" s="10" t="n">
        <v>52.16</v>
      </c>
    </row>
    <row r="41" customFormat="false" ht="15" hidden="false" customHeight="false" outlineLevel="0" collapsed="false">
      <c r="A41" s="8" t="n">
        <v>39995</v>
      </c>
      <c r="B41" s="10" t="n">
        <v>21.76</v>
      </c>
      <c r="C41" s="10" t="n">
        <v>22.23</v>
      </c>
      <c r="D41" s="10" t="n">
        <v>18.37</v>
      </c>
      <c r="E41" s="10" t="n">
        <v>17.5</v>
      </c>
      <c r="F41" s="10" t="n">
        <v>17.96</v>
      </c>
      <c r="G41" s="10" t="n">
        <v>26.14</v>
      </c>
      <c r="H41" s="10" t="n">
        <v>27.68</v>
      </c>
      <c r="I41" s="10" t="n">
        <v>28.37</v>
      </c>
      <c r="J41" s="11" t="n">
        <v>41.5</v>
      </c>
      <c r="K41" s="11" t="n">
        <v>29.2</v>
      </c>
      <c r="L41" s="11" t="n">
        <v>27.29</v>
      </c>
      <c r="M41" s="11" t="n">
        <v>80.68</v>
      </c>
      <c r="N41" s="11" t="n">
        <v>77.76</v>
      </c>
      <c r="O41" s="10" t="n">
        <v>27.69</v>
      </c>
      <c r="P41" s="10" t="n">
        <v>48.95</v>
      </c>
      <c r="Q41" s="10" t="n">
        <v>27.01</v>
      </c>
      <c r="R41" s="10" t="n">
        <v>48.02</v>
      </c>
    </row>
    <row r="42" customFormat="false" ht="15" hidden="false" customHeight="false" outlineLevel="0" collapsed="false">
      <c r="A42" s="8" t="n">
        <v>40026</v>
      </c>
      <c r="B42" s="10" t="n">
        <v>22.06</v>
      </c>
      <c r="C42" s="10" t="n">
        <v>22.58</v>
      </c>
      <c r="D42" s="10" t="n">
        <v>18.77</v>
      </c>
      <c r="E42" s="10" t="n">
        <v>18</v>
      </c>
      <c r="F42" s="10" t="n">
        <v>18.43</v>
      </c>
      <c r="G42" s="10" t="n">
        <v>26.25</v>
      </c>
      <c r="H42" s="10" t="n">
        <v>27.61</v>
      </c>
      <c r="I42" s="10" t="n">
        <v>28.51</v>
      </c>
      <c r="J42" s="11" t="n">
        <v>59.93</v>
      </c>
      <c r="K42" s="11" t="n">
        <v>43.76</v>
      </c>
      <c r="L42" s="11" t="n">
        <v>49.77</v>
      </c>
      <c r="M42" s="11" t="n">
        <v>78.09</v>
      </c>
      <c r="N42" s="11" t="n">
        <v>75.37</v>
      </c>
      <c r="O42" s="10" t="n">
        <v>25.62</v>
      </c>
      <c r="P42" s="10" t="n">
        <v>48.11</v>
      </c>
      <c r="Q42" s="10" t="n">
        <v>25.63</v>
      </c>
      <c r="R42" s="10" t="n">
        <v>45.68</v>
      </c>
    </row>
    <row r="43" customFormat="false" ht="15" hidden="false" customHeight="false" outlineLevel="0" collapsed="false">
      <c r="A43" s="8" t="n">
        <v>40057</v>
      </c>
      <c r="B43" s="10" t="n">
        <v>24.24</v>
      </c>
      <c r="C43" s="10" t="n">
        <v>24.9</v>
      </c>
      <c r="D43" s="10" t="n">
        <v>20.66</v>
      </c>
      <c r="E43" s="10" t="n">
        <v>19.78</v>
      </c>
      <c r="F43" s="10" t="n">
        <v>20.12</v>
      </c>
      <c r="G43" s="10" t="n">
        <v>29.27</v>
      </c>
      <c r="H43" s="10" t="n">
        <v>30.31</v>
      </c>
      <c r="I43" s="10" t="n">
        <v>31.53</v>
      </c>
      <c r="J43" s="11" t="n">
        <v>42.01</v>
      </c>
      <c r="K43" s="11" t="n">
        <v>17.88</v>
      </c>
      <c r="L43" s="11" t="n">
        <v>30.22</v>
      </c>
      <c r="M43" s="11" t="n">
        <v>74.34</v>
      </c>
      <c r="N43" s="11" t="n">
        <v>70.44</v>
      </c>
      <c r="O43" s="10" t="n">
        <v>24.23</v>
      </c>
      <c r="P43" s="10" t="n">
        <v>47.05</v>
      </c>
      <c r="Q43" s="10" t="n">
        <v>22.82</v>
      </c>
      <c r="R43" s="10" t="n">
        <v>42.2</v>
      </c>
    </row>
    <row r="44" customFormat="false" ht="15" hidden="false" customHeight="false" outlineLevel="0" collapsed="false">
      <c r="A44" s="8" t="n">
        <v>40087</v>
      </c>
      <c r="B44" s="10" t="n">
        <v>24.52</v>
      </c>
      <c r="C44" s="10" t="n">
        <v>25.37</v>
      </c>
      <c r="D44" s="10" t="n">
        <v>21.68</v>
      </c>
      <c r="E44" s="10" t="n">
        <v>20.89</v>
      </c>
      <c r="F44" s="10" t="n">
        <v>21.4</v>
      </c>
      <c r="G44" s="10" t="n">
        <v>28.68</v>
      </c>
      <c r="H44" s="10" t="n">
        <v>29.43</v>
      </c>
      <c r="I44" s="10" t="n">
        <v>31.05</v>
      </c>
      <c r="J44" s="11" t="n">
        <v>382.7</v>
      </c>
      <c r="K44" s="11" t="n">
        <v>321.3</v>
      </c>
      <c r="L44" s="11" t="n">
        <v>291.65</v>
      </c>
      <c r="M44" s="11" t="n">
        <v>79.01</v>
      </c>
      <c r="N44" s="11" t="n">
        <v>74.12</v>
      </c>
      <c r="O44" s="10" t="n">
        <v>25.41</v>
      </c>
      <c r="P44" s="10" t="n">
        <v>50.1</v>
      </c>
      <c r="Q44" s="10" t="n">
        <v>29.53</v>
      </c>
      <c r="R44" s="10" t="n">
        <v>50.59</v>
      </c>
    </row>
    <row r="45" customFormat="false" ht="15" hidden="false" customHeight="false" outlineLevel="0" collapsed="false">
      <c r="A45" s="8" t="n">
        <v>40118</v>
      </c>
      <c r="B45" s="10" t="n">
        <v>25.47</v>
      </c>
      <c r="C45" s="10" t="n">
        <v>25.38</v>
      </c>
      <c r="D45" s="10" t="n">
        <v>22</v>
      </c>
      <c r="E45" s="10" t="n">
        <v>21.53</v>
      </c>
      <c r="F45" s="10" t="n">
        <v>21.39</v>
      </c>
      <c r="G45" s="10" t="n">
        <v>29.99</v>
      </c>
      <c r="H45" s="10" t="n">
        <v>31.11</v>
      </c>
      <c r="I45" s="10" t="n">
        <v>30.79</v>
      </c>
      <c r="J45" s="11" t="n">
        <v>139.48</v>
      </c>
      <c r="K45" s="11" t="n">
        <v>73.52</v>
      </c>
      <c r="L45" s="11" t="n">
        <v>49.66</v>
      </c>
      <c r="M45" s="11" t="n">
        <v>77.69</v>
      </c>
      <c r="N45" s="11" t="n">
        <v>78.84</v>
      </c>
      <c r="O45" s="10" t="n">
        <v>36.63</v>
      </c>
      <c r="P45" s="10" t="n">
        <v>59.67</v>
      </c>
      <c r="Q45" s="10" t="n">
        <v>30.66</v>
      </c>
      <c r="R45" s="10" t="n">
        <v>61.59</v>
      </c>
    </row>
    <row r="46" customFormat="false" ht="15" hidden="false" customHeight="false" outlineLevel="0" collapsed="false">
      <c r="A46" s="8" t="n">
        <v>40148</v>
      </c>
      <c r="B46" s="10" t="n">
        <v>26.4</v>
      </c>
      <c r="C46" s="10" t="n">
        <v>26.5</v>
      </c>
      <c r="D46" s="10" t="n">
        <v>23.08</v>
      </c>
      <c r="E46" s="10" t="n">
        <v>22.65</v>
      </c>
      <c r="F46" s="10" t="n">
        <v>22.4</v>
      </c>
      <c r="G46" s="10" t="n">
        <v>31.02</v>
      </c>
      <c r="H46" s="10" t="n">
        <v>32.66</v>
      </c>
      <c r="I46" s="10" t="n">
        <v>31.97</v>
      </c>
      <c r="J46" s="11" t="n">
        <v>103.41</v>
      </c>
      <c r="K46" s="11" t="n">
        <v>87.88</v>
      </c>
      <c r="L46" s="11" t="n">
        <v>68.25</v>
      </c>
      <c r="M46" s="11" t="n">
        <v>76.95</v>
      </c>
      <c r="N46" s="11" t="n">
        <v>74.45</v>
      </c>
      <c r="O46" s="10" t="n">
        <v>29.92</v>
      </c>
      <c r="P46" s="10" t="n">
        <v>51.15</v>
      </c>
      <c r="Q46" s="10" t="n">
        <v>28.39</v>
      </c>
      <c r="R46" s="10" t="n">
        <v>51.74</v>
      </c>
    </row>
    <row r="47" customFormat="false" ht="15" hidden="false" customHeight="false" outlineLevel="0" collapsed="false">
      <c r="A47" s="8" t="n">
        <v>40179</v>
      </c>
      <c r="B47" s="10" t="n">
        <v>27.32</v>
      </c>
      <c r="C47" s="10" t="n">
        <v>27.94</v>
      </c>
      <c r="D47" s="10" t="n">
        <v>23.65</v>
      </c>
      <c r="E47" s="10" t="n">
        <v>23.17</v>
      </c>
      <c r="F47" s="10" t="n">
        <v>23.28</v>
      </c>
      <c r="G47" s="10" t="n">
        <v>32.38</v>
      </c>
      <c r="H47" s="10" t="n">
        <v>34.4</v>
      </c>
      <c r="I47" s="10" t="n">
        <v>34.22</v>
      </c>
      <c r="J47" s="11" t="n">
        <v>11.69</v>
      </c>
      <c r="K47" s="11" t="n">
        <v>19.54</v>
      </c>
      <c r="L47" s="11" t="n">
        <v>14.11</v>
      </c>
      <c r="M47" s="11" t="n">
        <v>73.2</v>
      </c>
      <c r="N47" s="11" t="n">
        <v>67.31</v>
      </c>
      <c r="O47" s="10" t="n">
        <v>26.55</v>
      </c>
      <c r="P47" s="10" t="n">
        <v>47.19</v>
      </c>
      <c r="Q47" s="10" t="n">
        <v>22.95</v>
      </c>
      <c r="R47" s="10" t="n">
        <v>43.06</v>
      </c>
    </row>
    <row r="48" customFormat="false" ht="15" hidden="false" customHeight="false" outlineLevel="0" collapsed="false">
      <c r="A48" s="8" t="n">
        <v>40210</v>
      </c>
      <c r="B48" s="10" t="n">
        <v>27.59</v>
      </c>
      <c r="C48" s="10" t="n">
        <v>27.52</v>
      </c>
      <c r="D48" s="10" t="n">
        <v>23.83</v>
      </c>
      <c r="E48" s="10" t="n">
        <v>23.38</v>
      </c>
      <c r="F48" s="10" t="n">
        <v>23.13</v>
      </c>
      <c r="G48" s="10" t="n">
        <v>32.94</v>
      </c>
      <c r="H48" s="10" t="n">
        <v>34.96</v>
      </c>
      <c r="I48" s="10" t="n">
        <v>33.41</v>
      </c>
      <c r="J48" s="11" t="n">
        <v>67.7</v>
      </c>
      <c r="K48" s="11" t="n">
        <v>38.16</v>
      </c>
      <c r="L48" s="11" t="n">
        <v>101.12</v>
      </c>
      <c r="M48" s="11" t="n">
        <v>72.96</v>
      </c>
      <c r="N48" s="11" t="n">
        <v>70.03</v>
      </c>
      <c r="O48" s="10" t="n">
        <v>22.69</v>
      </c>
      <c r="P48" s="10" t="n">
        <v>46.04</v>
      </c>
      <c r="Q48" s="10" t="n">
        <v>20.65</v>
      </c>
      <c r="R48" s="10" t="n">
        <v>43.34</v>
      </c>
    </row>
    <row r="49" customFormat="false" ht="15" hidden="false" customHeight="false" outlineLevel="0" collapsed="false">
      <c r="A49" s="8" t="n">
        <v>40238</v>
      </c>
      <c r="B49" s="10" t="n">
        <v>26.41</v>
      </c>
      <c r="C49" s="10" t="n">
        <v>26.32</v>
      </c>
      <c r="D49" s="10" t="n">
        <v>23.54</v>
      </c>
      <c r="E49" s="10" t="n">
        <v>23.26</v>
      </c>
      <c r="F49" s="10" t="n">
        <v>23.14</v>
      </c>
      <c r="G49" s="10" t="n">
        <v>30.7</v>
      </c>
      <c r="H49" s="10" t="n">
        <v>32.64</v>
      </c>
      <c r="I49" s="10" t="n">
        <v>30.89</v>
      </c>
      <c r="J49" s="11" t="n">
        <v>155.46</v>
      </c>
      <c r="K49" s="11" t="n">
        <v>144.22</v>
      </c>
      <c r="L49" s="11" t="n">
        <v>145.68</v>
      </c>
      <c r="M49" s="11" t="n">
        <v>82.84</v>
      </c>
      <c r="N49" s="11" t="n">
        <v>83.39</v>
      </c>
      <c r="O49" s="10" t="n">
        <v>27.42</v>
      </c>
      <c r="P49" s="10" t="n">
        <v>53.88</v>
      </c>
      <c r="Q49" s="10" t="n">
        <v>36.11</v>
      </c>
      <c r="R49" s="10" t="n">
        <v>58.83</v>
      </c>
    </row>
    <row r="50" customFormat="false" ht="15" hidden="false" customHeight="false" outlineLevel="0" collapsed="false">
      <c r="A50" s="8" t="n">
        <v>40269</v>
      </c>
      <c r="B50" s="10" t="n">
        <v>24.22</v>
      </c>
      <c r="C50" s="10" t="n">
        <v>24.41</v>
      </c>
      <c r="D50" s="10" t="n">
        <v>21.46</v>
      </c>
      <c r="E50" s="10" t="n">
        <v>21.01</v>
      </c>
      <c r="F50" s="10" t="n">
        <v>21.04</v>
      </c>
      <c r="G50" s="10" t="n">
        <v>28.06</v>
      </c>
      <c r="H50" s="10" t="n">
        <v>30.07</v>
      </c>
      <c r="I50" s="10" t="n">
        <v>29.27</v>
      </c>
      <c r="J50" s="11" t="n">
        <v>159.44</v>
      </c>
      <c r="K50" s="11" t="n">
        <v>118.88</v>
      </c>
      <c r="L50" s="11" t="n">
        <v>143.65</v>
      </c>
      <c r="M50" s="11" t="n">
        <v>82.61</v>
      </c>
      <c r="N50" s="11" t="n">
        <v>82.87</v>
      </c>
      <c r="O50" s="10" t="n">
        <v>30.72</v>
      </c>
      <c r="P50" s="10" t="n">
        <v>54.37</v>
      </c>
      <c r="Q50" s="10" t="n">
        <v>35.32</v>
      </c>
      <c r="R50" s="10" t="n">
        <v>58.75</v>
      </c>
    </row>
    <row r="51" customFormat="false" ht="15" hidden="false" customHeight="false" outlineLevel="0" collapsed="false">
      <c r="A51" s="8" t="n">
        <v>40299</v>
      </c>
      <c r="B51" s="10" t="n">
        <v>23.28</v>
      </c>
      <c r="C51" s="10" t="n">
        <v>23.1</v>
      </c>
      <c r="D51" s="10" t="n">
        <v>20.13</v>
      </c>
      <c r="E51" s="10" t="n">
        <v>19.56</v>
      </c>
      <c r="F51" s="10" t="n">
        <v>19.51</v>
      </c>
      <c r="G51" s="10" t="n">
        <v>27.37</v>
      </c>
      <c r="H51" s="10" t="n">
        <v>29.08</v>
      </c>
      <c r="I51" s="10" t="n">
        <v>28.34</v>
      </c>
      <c r="J51" s="11" t="n">
        <v>42.32</v>
      </c>
      <c r="K51" s="11" t="n">
        <v>32.84</v>
      </c>
      <c r="L51" s="11" t="n">
        <v>94.56</v>
      </c>
      <c r="M51" s="11" t="n">
        <v>80.22</v>
      </c>
      <c r="N51" s="11" t="n">
        <v>82.58</v>
      </c>
      <c r="O51" s="10" t="n">
        <v>28.66</v>
      </c>
      <c r="P51" s="10" t="n">
        <v>53.44</v>
      </c>
      <c r="Q51" s="10" t="n">
        <v>29.2</v>
      </c>
      <c r="R51" s="10" t="n">
        <v>56.77</v>
      </c>
    </row>
    <row r="52" customFormat="false" ht="15" hidden="false" customHeight="false" outlineLevel="0" collapsed="false">
      <c r="A52" s="8" t="n">
        <v>40330</v>
      </c>
      <c r="B52" s="10" t="n">
        <v>21.39</v>
      </c>
      <c r="C52" s="10" t="n">
        <v>20.86</v>
      </c>
      <c r="D52" s="10" t="n">
        <v>17.98</v>
      </c>
      <c r="E52" s="10" t="n">
        <v>17.18</v>
      </c>
      <c r="F52" s="10" t="n">
        <v>16.74</v>
      </c>
      <c r="G52" s="10" t="n">
        <v>25.71</v>
      </c>
      <c r="H52" s="10" t="n">
        <v>27.42</v>
      </c>
      <c r="I52" s="10" t="n">
        <v>26.62</v>
      </c>
      <c r="J52" s="11" t="n">
        <v>19.33</v>
      </c>
      <c r="K52" s="11" t="n">
        <v>7.5</v>
      </c>
      <c r="L52" s="11" t="n">
        <v>32.49</v>
      </c>
      <c r="M52" s="11" t="n">
        <v>73.95</v>
      </c>
      <c r="N52" s="11" t="n">
        <v>78.64</v>
      </c>
      <c r="O52" s="10" t="n">
        <v>25.52</v>
      </c>
      <c r="P52" s="10" t="n">
        <v>50.6</v>
      </c>
      <c r="Q52" s="10" t="n">
        <v>21.44</v>
      </c>
      <c r="R52" s="10" t="n">
        <v>50.94</v>
      </c>
    </row>
    <row r="53" customFormat="false" ht="15" hidden="false" customHeight="false" outlineLevel="0" collapsed="false">
      <c r="A53" s="8" t="n">
        <v>40360</v>
      </c>
      <c r="B53" s="10" t="n">
        <v>21.55</v>
      </c>
      <c r="C53" s="10" t="n">
        <v>21.55</v>
      </c>
      <c r="D53" s="10" t="n">
        <v>18.72</v>
      </c>
      <c r="E53" s="10" t="n">
        <v>17.85</v>
      </c>
      <c r="F53" s="10" t="n">
        <v>17.76</v>
      </c>
      <c r="G53" s="10" t="n">
        <v>25.26</v>
      </c>
      <c r="H53" s="10" t="n">
        <v>26.79</v>
      </c>
      <c r="I53" s="10" t="n">
        <v>27.01</v>
      </c>
      <c r="J53" s="11" t="n">
        <v>78.85</v>
      </c>
      <c r="K53" s="11" t="n">
        <v>43.54</v>
      </c>
      <c r="L53" s="11" t="n">
        <v>48.34</v>
      </c>
      <c r="M53" s="11" t="n">
        <v>79.92</v>
      </c>
      <c r="N53" s="11" t="n">
        <v>79.23</v>
      </c>
      <c r="O53" s="10" t="n">
        <v>24.62</v>
      </c>
      <c r="P53" s="10" t="n">
        <v>49.64</v>
      </c>
      <c r="Q53" s="10" t="n">
        <v>26.93</v>
      </c>
      <c r="R53" s="10" t="n">
        <v>49.83</v>
      </c>
    </row>
    <row r="54" customFormat="false" ht="15" hidden="false" customHeight="false" outlineLevel="0" collapsed="false">
      <c r="A54" s="8" t="n">
        <v>40391</v>
      </c>
      <c r="B54" s="10" t="n">
        <v>21</v>
      </c>
      <c r="C54" s="10" t="n">
        <v>21.4</v>
      </c>
      <c r="D54" s="10" t="n">
        <v>16.98</v>
      </c>
      <c r="E54" s="10" t="n">
        <v>16.21</v>
      </c>
      <c r="F54" s="10" t="n">
        <v>16.6</v>
      </c>
      <c r="G54" s="10" t="n">
        <v>25.83</v>
      </c>
      <c r="H54" s="10" t="n">
        <v>27.19</v>
      </c>
      <c r="I54" s="10" t="n">
        <v>27.98</v>
      </c>
      <c r="J54" s="11" t="n">
        <v>15.92</v>
      </c>
      <c r="K54" s="11" t="n">
        <v>7.98</v>
      </c>
      <c r="L54" s="11" t="n">
        <v>14.44</v>
      </c>
      <c r="M54" s="11" t="n">
        <v>72.32</v>
      </c>
      <c r="N54" s="11" t="n">
        <v>71.4</v>
      </c>
      <c r="O54" s="10" t="n">
        <v>22.97</v>
      </c>
      <c r="P54" s="10" t="n">
        <v>47.41</v>
      </c>
      <c r="Q54" s="10" t="n">
        <v>20.58</v>
      </c>
      <c r="R54" s="10" t="n">
        <v>42.12</v>
      </c>
    </row>
    <row r="55" customFormat="false" ht="15" hidden="false" customHeight="false" outlineLevel="0" collapsed="false">
      <c r="A55" s="8" t="n">
        <v>40422</v>
      </c>
      <c r="B55" s="10" t="n">
        <v>22.74</v>
      </c>
      <c r="C55" s="10" t="n">
        <v>23.25</v>
      </c>
      <c r="D55" s="10" t="n">
        <v>19.08</v>
      </c>
      <c r="E55" s="10" t="n">
        <v>18.2</v>
      </c>
      <c r="F55" s="10" t="n">
        <v>18.54</v>
      </c>
      <c r="G55" s="10" t="n">
        <v>27.76</v>
      </c>
      <c r="H55" s="10" t="n">
        <v>28.79</v>
      </c>
      <c r="I55" s="10" t="n">
        <v>29.74</v>
      </c>
      <c r="J55" s="11" t="n">
        <v>36.29</v>
      </c>
      <c r="K55" s="11" t="n">
        <v>27.5</v>
      </c>
      <c r="L55" s="11" t="n">
        <v>35.91</v>
      </c>
      <c r="M55" s="11" t="n">
        <v>71.94</v>
      </c>
      <c r="N55" s="11" t="n">
        <v>69.49</v>
      </c>
      <c r="O55" s="10" t="n">
        <v>21.44</v>
      </c>
      <c r="P55" s="10" t="n">
        <v>46.63</v>
      </c>
      <c r="Q55" s="10" t="n">
        <v>20.76</v>
      </c>
      <c r="R55" s="10" t="n">
        <v>41.17</v>
      </c>
    </row>
    <row r="56" customFormat="false" ht="15" hidden="false" customHeight="false" outlineLevel="0" collapsed="false">
      <c r="A56" s="8" t="n">
        <v>40452</v>
      </c>
      <c r="B56" s="10" t="n">
        <v>24.04</v>
      </c>
      <c r="C56" s="10" t="n">
        <v>24.57</v>
      </c>
      <c r="D56" s="10" t="n">
        <v>20.84</v>
      </c>
      <c r="E56" s="10" t="n">
        <v>20.05</v>
      </c>
      <c r="F56" s="10" t="n">
        <v>20.13</v>
      </c>
      <c r="G56" s="10" t="n">
        <v>28.69</v>
      </c>
      <c r="H56" s="10" t="n">
        <v>29.44</v>
      </c>
      <c r="I56" s="10" t="n">
        <v>30.9</v>
      </c>
      <c r="J56" s="11" t="n">
        <v>83.57</v>
      </c>
      <c r="K56" s="11" t="n">
        <v>40.78</v>
      </c>
      <c r="L56" s="11" t="n">
        <v>97.64</v>
      </c>
      <c r="M56" s="11" t="n">
        <v>73.17</v>
      </c>
      <c r="N56" s="11" t="n">
        <v>71.23</v>
      </c>
      <c r="O56" s="10" t="n">
        <v>20.72</v>
      </c>
      <c r="P56" s="10" t="n">
        <v>48.03</v>
      </c>
      <c r="Q56" s="10" t="n">
        <v>22.35</v>
      </c>
      <c r="R56" s="10" t="n">
        <v>47.66</v>
      </c>
    </row>
    <row r="57" customFormat="false" ht="15" hidden="false" customHeight="false" outlineLevel="0" collapsed="false">
      <c r="A57" s="8" t="n">
        <v>40483</v>
      </c>
      <c r="B57" s="10" t="n">
        <v>24.32</v>
      </c>
      <c r="C57" s="10" t="n">
        <v>24.6</v>
      </c>
      <c r="D57" s="10" t="n">
        <v>21.54</v>
      </c>
      <c r="E57" s="10" t="n">
        <v>21.07</v>
      </c>
      <c r="F57" s="10" t="n">
        <v>21.4</v>
      </c>
      <c r="G57" s="10" t="n">
        <v>28.15</v>
      </c>
      <c r="H57" s="10" t="n">
        <v>29.28</v>
      </c>
      <c r="I57" s="10" t="n">
        <v>29.14</v>
      </c>
      <c r="J57" s="11" t="n">
        <v>243.66</v>
      </c>
      <c r="K57" s="11" t="n">
        <v>205.76</v>
      </c>
      <c r="L57" s="11" t="n">
        <v>254.73</v>
      </c>
      <c r="M57" s="11" t="n">
        <v>82.69</v>
      </c>
      <c r="N57" s="11" t="n">
        <v>83.59</v>
      </c>
      <c r="O57" s="10" t="n">
        <v>28.07</v>
      </c>
      <c r="P57" s="10" t="n">
        <v>57.58</v>
      </c>
      <c r="Q57" s="10" t="n">
        <v>37.83</v>
      </c>
      <c r="R57" s="10" t="n">
        <v>64.63</v>
      </c>
    </row>
    <row r="58" customFormat="false" ht="15" hidden="false" customHeight="false" outlineLevel="0" collapsed="false">
      <c r="A58" s="8" t="n">
        <v>40513</v>
      </c>
      <c r="B58" s="10" t="n">
        <v>25.68</v>
      </c>
      <c r="C58" s="10" t="n">
        <v>25.77</v>
      </c>
      <c r="D58" s="10" t="n">
        <v>22.62</v>
      </c>
      <c r="E58" s="10" t="n">
        <v>22.19</v>
      </c>
      <c r="F58" s="10" t="n">
        <v>22.05</v>
      </c>
      <c r="G58" s="10" t="n">
        <v>29.99</v>
      </c>
      <c r="H58" s="10" t="n">
        <v>31.63</v>
      </c>
      <c r="I58" s="10" t="n">
        <v>30.74</v>
      </c>
      <c r="J58" s="11" t="n">
        <v>231.56</v>
      </c>
      <c r="K58" s="11" t="n">
        <v>166.76</v>
      </c>
      <c r="L58" s="11" t="n">
        <v>184.05</v>
      </c>
      <c r="M58" s="11" t="n">
        <v>79.73</v>
      </c>
      <c r="N58" s="11" t="n">
        <v>79.63</v>
      </c>
      <c r="O58" s="10" t="n">
        <v>31.09</v>
      </c>
      <c r="P58" s="10" t="n">
        <v>55.26</v>
      </c>
      <c r="Q58" s="10" t="n">
        <v>33.98</v>
      </c>
      <c r="R58" s="10" t="n">
        <v>58.96</v>
      </c>
    </row>
    <row r="59" customFormat="false" ht="15" hidden="false" customHeight="false" outlineLevel="0" collapsed="false">
      <c r="A59" s="8" t="n">
        <v>40544</v>
      </c>
      <c r="B59" s="10" t="n">
        <v>25.8</v>
      </c>
      <c r="C59" s="10" t="n">
        <v>25.52</v>
      </c>
      <c r="D59" s="10" t="n">
        <v>22.67</v>
      </c>
      <c r="E59" s="10" t="n">
        <v>22.19</v>
      </c>
      <c r="F59" s="10" t="n">
        <v>21.74</v>
      </c>
      <c r="G59" s="10" t="n">
        <v>30.15</v>
      </c>
      <c r="H59" s="10" t="n">
        <v>32.18</v>
      </c>
      <c r="I59" s="10" t="n">
        <v>30.45</v>
      </c>
      <c r="J59" s="11" t="n">
        <v>90.68</v>
      </c>
      <c r="K59" s="11" t="n">
        <v>48.78</v>
      </c>
      <c r="L59" s="11" t="n">
        <v>72.86</v>
      </c>
      <c r="M59" s="11" t="n">
        <v>79.57</v>
      </c>
      <c r="N59" s="11" t="n">
        <v>79.58</v>
      </c>
      <c r="O59" s="10" t="n">
        <v>32.82</v>
      </c>
      <c r="P59" s="10" t="n">
        <v>56.31</v>
      </c>
      <c r="Q59" s="10" t="n">
        <v>32.87</v>
      </c>
      <c r="R59" s="10" t="n">
        <v>58.86</v>
      </c>
    </row>
    <row r="60" customFormat="false" ht="15" hidden="false" customHeight="false" outlineLevel="0" collapsed="false">
      <c r="A60" s="8" t="n">
        <v>40575</v>
      </c>
      <c r="B60" s="10" t="n">
        <v>26.31</v>
      </c>
      <c r="C60" s="10" t="n">
        <v>26.59</v>
      </c>
      <c r="D60" s="10" t="n">
        <v>22.68</v>
      </c>
      <c r="E60" s="10" t="n">
        <v>22.24</v>
      </c>
      <c r="F60" s="10" t="n">
        <v>22.43</v>
      </c>
      <c r="G60" s="10" t="n">
        <v>31.3</v>
      </c>
      <c r="H60" s="10" t="n">
        <v>33.31</v>
      </c>
      <c r="I60" s="10" t="n">
        <v>32.29</v>
      </c>
      <c r="J60" s="11" t="n">
        <v>71.45</v>
      </c>
      <c r="K60" s="11" t="n">
        <v>45.38</v>
      </c>
      <c r="L60" s="11" t="n">
        <v>68.42</v>
      </c>
      <c r="M60" s="11" t="n">
        <v>76.53</v>
      </c>
      <c r="N60" s="11" t="n">
        <v>73.19</v>
      </c>
      <c r="O60" s="10" t="n">
        <v>27</v>
      </c>
      <c r="P60" s="10" t="n">
        <v>49.44</v>
      </c>
      <c r="Q60" s="10" t="n">
        <v>24.32</v>
      </c>
      <c r="R60" s="10" t="n">
        <v>49.06</v>
      </c>
    </row>
    <row r="61" customFormat="false" ht="15" hidden="false" customHeight="false" outlineLevel="0" collapsed="false">
      <c r="A61" s="8" t="n">
        <v>40603</v>
      </c>
      <c r="B61" s="10" t="n">
        <v>25.07</v>
      </c>
      <c r="C61" s="10" t="n">
        <v>25.1</v>
      </c>
      <c r="D61" s="10" t="n">
        <v>22.5</v>
      </c>
      <c r="E61" s="10" t="n">
        <v>22.22</v>
      </c>
      <c r="F61" s="10" t="n">
        <v>22.07</v>
      </c>
      <c r="G61" s="10" t="n">
        <v>28.93</v>
      </c>
      <c r="H61" s="10" t="n">
        <v>30.88</v>
      </c>
      <c r="I61" s="10" t="n">
        <v>29.41</v>
      </c>
      <c r="J61" s="11" t="n">
        <v>282.31</v>
      </c>
      <c r="K61" s="11" t="n">
        <v>247.36</v>
      </c>
      <c r="L61" s="11" t="n">
        <v>206.14</v>
      </c>
      <c r="M61" s="11" t="n">
        <v>84.52</v>
      </c>
      <c r="N61" s="11" t="n">
        <v>84.84</v>
      </c>
      <c r="O61" s="10" t="n">
        <v>34.48</v>
      </c>
      <c r="P61" s="10" t="n">
        <v>57.4</v>
      </c>
      <c r="Q61" s="10" t="n">
        <v>36.81</v>
      </c>
      <c r="R61" s="10" t="n">
        <v>63.66</v>
      </c>
    </row>
    <row r="62" customFormat="false" ht="15" hidden="false" customHeight="false" outlineLevel="0" collapsed="false">
      <c r="A62" s="8" t="n">
        <v>40634</v>
      </c>
      <c r="B62" s="10" t="n">
        <v>24.12</v>
      </c>
      <c r="C62" s="10" t="n">
        <v>24.17</v>
      </c>
      <c r="D62" s="10" t="n">
        <v>21.64</v>
      </c>
      <c r="E62" s="10" t="n">
        <v>21.19</v>
      </c>
      <c r="F62" s="10" t="n">
        <v>21.42</v>
      </c>
      <c r="G62" s="10" t="n">
        <v>27.61</v>
      </c>
      <c r="H62" s="10" t="n">
        <v>29.61</v>
      </c>
      <c r="I62" s="10" t="n">
        <v>28.37</v>
      </c>
      <c r="J62" s="11" t="n">
        <v>162.52</v>
      </c>
      <c r="K62" s="11" t="n">
        <v>202.6</v>
      </c>
      <c r="L62" s="11" t="n">
        <v>223.01</v>
      </c>
      <c r="M62" s="11" t="n">
        <v>87.47</v>
      </c>
      <c r="N62" s="11" t="n">
        <v>87.69</v>
      </c>
      <c r="O62" s="10" t="n">
        <v>39.52</v>
      </c>
      <c r="P62" s="10" t="n">
        <v>61.06</v>
      </c>
      <c r="Q62" s="10" t="n">
        <v>39.56</v>
      </c>
      <c r="R62" s="10" t="n">
        <v>68.08</v>
      </c>
    </row>
    <row r="63" customFormat="false" ht="15" hidden="false" customHeight="false" outlineLevel="0" collapsed="false">
      <c r="A63" s="8" t="n">
        <v>40664</v>
      </c>
      <c r="B63" s="10" t="n">
        <v>21.9</v>
      </c>
      <c r="C63" s="10" t="n">
        <v>21.73</v>
      </c>
      <c r="D63" s="10" t="n">
        <v>18.78</v>
      </c>
      <c r="E63" s="10" t="n">
        <v>18.22</v>
      </c>
      <c r="F63" s="10" t="n">
        <v>18.24</v>
      </c>
      <c r="G63" s="10" t="n">
        <v>25.9</v>
      </c>
      <c r="H63" s="10" t="n">
        <v>27.6</v>
      </c>
      <c r="I63" s="10" t="n">
        <v>26.69</v>
      </c>
      <c r="J63" s="11" t="n">
        <v>20.67</v>
      </c>
      <c r="K63" s="11" t="n">
        <v>24.06</v>
      </c>
      <c r="L63" s="11" t="n">
        <v>34.21</v>
      </c>
      <c r="M63" s="11" t="n">
        <v>81.66</v>
      </c>
      <c r="N63" s="11" t="n">
        <v>84.1</v>
      </c>
      <c r="O63" s="10" t="n">
        <v>35.16</v>
      </c>
      <c r="P63" s="10" t="n">
        <v>57.27</v>
      </c>
      <c r="Q63" s="10" t="n">
        <v>32.19</v>
      </c>
      <c r="R63" s="10" t="n">
        <v>60.67</v>
      </c>
    </row>
    <row r="64" customFormat="false" ht="15" hidden="false" customHeight="false" outlineLevel="0" collapsed="false">
      <c r="A64" s="8" t="n">
        <v>40695</v>
      </c>
      <c r="B64" s="10" t="n">
        <v>21.34</v>
      </c>
      <c r="C64" s="10" t="n">
        <v>21.2</v>
      </c>
      <c r="D64" s="10" t="n">
        <v>18.01</v>
      </c>
      <c r="E64" s="10" t="n">
        <v>17.2</v>
      </c>
      <c r="F64" s="10" t="n">
        <v>17.33</v>
      </c>
      <c r="G64" s="10" t="n">
        <v>25.58</v>
      </c>
      <c r="H64" s="10" t="n">
        <v>27.29</v>
      </c>
      <c r="I64" s="10" t="n">
        <v>26.72</v>
      </c>
      <c r="J64" s="11" t="n">
        <v>30.77</v>
      </c>
      <c r="K64" s="11" t="n">
        <v>8.92</v>
      </c>
      <c r="L64" s="11" t="n">
        <v>24.08</v>
      </c>
      <c r="M64" s="11" t="n">
        <v>78.32</v>
      </c>
      <c r="N64" s="11" t="n">
        <v>81.2</v>
      </c>
      <c r="O64" s="10" t="n">
        <v>29.85</v>
      </c>
      <c r="P64" s="10" t="n">
        <v>52.19</v>
      </c>
      <c r="Q64" s="10" t="n">
        <v>23.7</v>
      </c>
      <c r="R64" s="10" t="n">
        <v>53.5</v>
      </c>
    </row>
    <row r="65" customFormat="false" ht="15" hidden="false" customHeight="false" outlineLevel="0" collapsed="false">
      <c r="A65" s="8" t="n">
        <v>40725</v>
      </c>
      <c r="B65" s="10" t="n">
        <v>20.89</v>
      </c>
      <c r="C65" s="10" t="n">
        <v>21.07</v>
      </c>
      <c r="D65" s="10" t="n">
        <v>17.18</v>
      </c>
      <c r="E65" s="10" t="n">
        <v>16.31</v>
      </c>
      <c r="F65" s="10" t="n">
        <v>16.89</v>
      </c>
      <c r="G65" s="10" t="n">
        <v>25.27</v>
      </c>
      <c r="H65" s="10" t="n">
        <v>26.8</v>
      </c>
      <c r="I65" s="10" t="n">
        <v>26.99</v>
      </c>
      <c r="J65" s="11" t="n">
        <v>59.3</v>
      </c>
      <c r="K65" s="11" t="n">
        <v>21.1</v>
      </c>
      <c r="L65" s="11" t="n">
        <v>57.81</v>
      </c>
      <c r="M65" s="11" t="n">
        <v>78.49</v>
      </c>
      <c r="N65" s="11" t="n">
        <v>78.32</v>
      </c>
      <c r="O65" s="10" t="n">
        <v>26.97</v>
      </c>
      <c r="P65" s="10" t="n">
        <v>50.27</v>
      </c>
      <c r="Q65" s="10" t="n">
        <v>22.57</v>
      </c>
      <c r="R65" s="10" t="n">
        <v>50.42</v>
      </c>
    </row>
    <row r="66" customFormat="false" ht="15" hidden="false" customHeight="false" outlineLevel="0" collapsed="false">
      <c r="A66" s="8" t="n">
        <v>40756</v>
      </c>
      <c r="B66" s="10" t="n">
        <v>22.08</v>
      </c>
      <c r="C66" s="10" t="n">
        <v>22.39</v>
      </c>
      <c r="D66" s="10" t="n">
        <v>18.18</v>
      </c>
      <c r="E66" s="10" t="n">
        <v>17.41</v>
      </c>
      <c r="F66" s="10" t="n">
        <v>17.52</v>
      </c>
      <c r="G66" s="10" t="n">
        <v>27.12</v>
      </c>
      <c r="H66" s="10" t="n">
        <v>28.48</v>
      </c>
      <c r="I66" s="10" t="n">
        <v>29.18</v>
      </c>
      <c r="J66" s="11" t="n">
        <v>20.19</v>
      </c>
      <c r="K66" s="11" t="n">
        <v>6.06</v>
      </c>
      <c r="L66" s="11" t="n">
        <v>14.75</v>
      </c>
      <c r="M66" s="11" t="n">
        <v>74.85</v>
      </c>
      <c r="N66" s="11" t="n">
        <v>73.92</v>
      </c>
      <c r="O66" s="10" t="n">
        <v>24.61</v>
      </c>
      <c r="P66" s="10" t="n">
        <v>48.83</v>
      </c>
      <c r="Q66" s="10" t="n">
        <v>19.31</v>
      </c>
      <c r="R66" s="10" t="n">
        <v>45.57</v>
      </c>
    </row>
    <row r="67" customFormat="false" ht="15" hidden="false" customHeight="false" outlineLevel="0" collapsed="false">
      <c r="A67" s="8" t="n">
        <v>40787</v>
      </c>
      <c r="B67" s="10" t="n">
        <v>21.71</v>
      </c>
      <c r="C67" s="10" t="n">
        <v>22.2</v>
      </c>
      <c r="D67" s="10" t="n">
        <v>17.55</v>
      </c>
      <c r="E67" s="10" t="n">
        <v>16.67</v>
      </c>
      <c r="F67" s="10" t="n">
        <v>17.27</v>
      </c>
      <c r="G67" s="10" t="n">
        <v>26.63</v>
      </c>
      <c r="H67" s="10" t="n">
        <v>27.67</v>
      </c>
      <c r="I67" s="10" t="n">
        <v>28.81</v>
      </c>
      <c r="J67" s="11" t="n">
        <v>25.62</v>
      </c>
      <c r="K67" s="11" t="n">
        <v>11.12</v>
      </c>
      <c r="L67" s="11" t="n">
        <v>21.49</v>
      </c>
      <c r="M67" s="11" t="n">
        <v>67.8</v>
      </c>
      <c r="N67" s="11" t="n">
        <v>67.79</v>
      </c>
      <c r="O67" s="10" t="n">
        <v>22.36</v>
      </c>
      <c r="P67" s="10" t="n">
        <v>46.93</v>
      </c>
      <c r="Q67" s="10" t="n">
        <v>17.35</v>
      </c>
      <c r="R67" s="10" t="n">
        <v>41.23</v>
      </c>
    </row>
    <row r="68" customFormat="false" ht="15" hidden="false" customHeight="false" outlineLevel="0" collapsed="false">
      <c r="A68" s="8" t="n">
        <v>40817</v>
      </c>
      <c r="B68" s="10" t="n">
        <v>23.13</v>
      </c>
      <c r="C68" s="10" t="n">
        <v>23.64</v>
      </c>
      <c r="D68" s="10" t="n">
        <v>20.49</v>
      </c>
      <c r="E68" s="10" t="n">
        <v>19.7</v>
      </c>
      <c r="F68" s="10" t="n">
        <v>19.98</v>
      </c>
      <c r="G68" s="10" t="n">
        <v>26.82</v>
      </c>
      <c r="H68" s="10" t="n">
        <v>27.58</v>
      </c>
      <c r="I68" s="10" t="n">
        <v>28.87</v>
      </c>
      <c r="J68" s="11" t="n">
        <v>202.23</v>
      </c>
      <c r="K68" s="11" t="n">
        <v>113.52</v>
      </c>
      <c r="L68" s="11" t="n">
        <v>162.26</v>
      </c>
      <c r="M68" s="11" t="n">
        <v>79.04</v>
      </c>
      <c r="N68" s="11" t="n">
        <v>76.84</v>
      </c>
      <c r="O68" s="10" t="n">
        <v>24.16</v>
      </c>
      <c r="P68" s="10" t="n">
        <v>50.54</v>
      </c>
      <c r="Q68" s="10" t="n">
        <v>31.07</v>
      </c>
      <c r="R68" s="10" t="n">
        <v>53.26</v>
      </c>
    </row>
    <row r="69" customFormat="false" ht="15" hidden="false" customHeight="false" outlineLevel="0" collapsed="false">
      <c r="A69" s="8" t="n">
        <v>40848</v>
      </c>
      <c r="B69" s="10" t="n">
        <v>22.65</v>
      </c>
      <c r="C69" s="10" t="n">
        <v>23.14</v>
      </c>
      <c r="D69" s="10" t="n">
        <v>19.79</v>
      </c>
      <c r="E69" s="10" t="n">
        <v>19.31</v>
      </c>
      <c r="F69" s="10" t="n">
        <v>19.44</v>
      </c>
      <c r="G69" s="10" t="n">
        <v>26.34</v>
      </c>
      <c r="H69" s="10" t="n">
        <v>27.47</v>
      </c>
      <c r="I69" s="10" t="n">
        <v>28.37</v>
      </c>
      <c r="J69" s="11" t="n">
        <v>224.24</v>
      </c>
      <c r="K69" s="11" t="n">
        <v>154.28</v>
      </c>
      <c r="L69" s="11" t="n">
        <v>204.34</v>
      </c>
      <c r="M69" s="11" t="n">
        <v>80.12</v>
      </c>
      <c r="N69" s="11" t="n">
        <v>78.7</v>
      </c>
      <c r="O69" s="10" t="n">
        <v>28.64</v>
      </c>
      <c r="P69" s="10" t="n">
        <v>54.57</v>
      </c>
      <c r="Q69" s="10" t="n">
        <v>36.61</v>
      </c>
      <c r="R69" s="10" t="n">
        <v>59.65</v>
      </c>
    </row>
    <row r="70" customFormat="false" ht="15" hidden="false" customHeight="false" outlineLevel="0" collapsed="false">
      <c r="A70" s="8" t="n">
        <v>40878</v>
      </c>
      <c r="B70" s="10" t="n">
        <v>24.26</v>
      </c>
      <c r="C70" s="10" t="n">
        <v>24.43</v>
      </c>
      <c r="D70" s="10" t="n">
        <v>21.58</v>
      </c>
      <c r="E70" s="10" t="n">
        <v>21.15</v>
      </c>
      <c r="F70" s="10" t="n">
        <v>21.25</v>
      </c>
      <c r="G70" s="10" t="n">
        <v>27.92</v>
      </c>
      <c r="H70" s="10" t="n">
        <v>29.55</v>
      </c>
      <c r="I70" s="10" t="n">
        <v>28.74</v>
      </c>
      <c r="J70" s="11" t="n">
        <v>168.07</v>
      </c>
      <c r="K70" s="11" t="n">
        <v>231.76</v>
      </c>
      <c r="L70" s="11" t="n">
        <v>176.05</v>
      </c>
      <c r="M70" s="11" t="n">
        <v>83.68</v>
      </c>
      <c r="N70" s="11" t="n">
        <v>84.21</v>
      </c>
      <c r="O70" s="10" t="n">
        <v>38.08</v>
      </c>
      <c r="P70" s="10" t="n">
        <v>60.98</v>
      </c>
      <c r="Q70" s="10" t="n">
        <v>38.64</v>
      </c>
      <c r="R70" s="10" t="n">
        <v>66.34</v>
      </c>
    </row>
    <row r="71" customFormat="false" ht="15" hidden="false" customHeight="false" outlineLevel="0" collapsed="false">
      <c r="A71" s="8" t="n">
        <v>40909</v>
      </c>
      <c r="B71" s="10" t="n">
        <v>24.85</v>
      </c>
      <c r="C71" s="10" t="n">
        <v>24.35</v>
      </c>
      <c r="D71" s="10" t="n">
        <v>21.92</v>
      </c>
      <c r="E71" s="10" t="n">
        <v>21.44</v>
      </c>
      <c r="F71" s="10" t="n">
        <v>21.14</v>
      </c>
      <c r="G71" s="10" t="n">
        <v>28.78</v>
      </c>
      <c r="H71" s="10" t="n">
        <v>30.81</v>
      </c>
      <c r="I71" s="10" t="n">
        <v>28.68</v>
      </c>
      <c r="J71" s="11" t="n">
        <v>160.27</v>
      </c>
      <c r="K71" s="11" t="n">
        <v>85.34</v>
      </c>
      <c r="L71" s="11" t="n">
        <v>156.55</v>
      </c>
      <c r="M71" s="11" t="n">
        <v>82</v>
      </c>
      <c r="N71" s="11" t="n">
        <v>83.73</v>
      </c>
      <c r="O71" s="10" t="n">
        <v>37.96</v>
      </c>
      <c r="P71" s="10" t="n">
        <v>61.59</v>
      </c>
      <c r="Q71" s="10" t="n">
        <v>35.36</v>
      </c>
      <c r="R71" s="10" t="n">
        <v>66.48</v>
      </c>
    </row>
    <row r="72" customFormat="false" ht="15" hidden="false" customHeight="false" outlineLevel="0" collapsed="false">
      <c r="A72" s="8" t="n">
        <v>40940</v>
      </c>
      <c r="B72" s="10" t="n">
        <v>25.11</v>
      </c>
      <c r="C72" s="10" t="n">
        <v>24.97</v>
      </c>
      <c r="D72" s="10" t="n">
        <v>21.69</v>
      </c>
      <c r="E72" s="10" t="n">
        <v>21.25</v>
      </c>
      <c r="F72" s="10" t="n">
        <v>21</v>
      </c>
      <c r="G72" s="10" t="n">
        <v>29.56</v>
      </c>
      <c r="H72" s="10" t="n">
        <v>31.58</v>
      </c>
      <c r="I72" s="10" t="n">
        <v>30.3</v>
      </c>
      <c r="J72" s="11" t="n">
        <v>23.07</v>
      </c>
      <c r="K72" s="11" t="n">
        <v>31.78</v>
      </c>
      <c r="L72" s="11" t="n">
        <v>61.02</v>
      </c>
      <c r="M72" s="11" t="n">
        <v>78.55</v>
      </c>
      <c r="N72" s="11" t="n">
        <v>76.92</v>
      </c>
      <c r="O72" s="10" t="n">
        <v>30.42</v>
      </c>
      <c r="P72" s="10" t="n">
        <v>52.92</v>
      </c>
      <c r="Q72" s="10" t="n">
        <v>25.66</v>
      </c>
      <c r="R72" s="10" t="n">
        <v>54.19</v>
      </c>
    </row>
    <row r="73" customFormat="false" ht="15" hidden="false" customHeight="false" outlineLevel="0" collapsed="false">
      <c r="A73" s="8" t="n">
        <v>40969</v>
      </c>
      <c r="B73" s="10" t="n">
        <v>25.29</v>
      </c>
      <c r="C73" s="10" t="n">
        <v>25.69</v>
      </c>
      <c r="D73" s="10" t="n">
        <v>21.8</v>
      </c>
      <c r="E73" s="10" t="n">
        <v>21.52</v>
      </c>
      <c r="F73" s="10" t="n">
        <v>21.7</v>
      </c>
      <c r="G73" s="10" t="n">
        <v>29.89</v>
      </c>
      <c r="H73" s="10" t="n">
        <v>31.83</v>
      </c>
      <c r="I73" s="10" t="n">
        <v>31.3</v>
      </c>
      <c r="J73" s="11" t="n">
        <v>43.93</v>
      </c>
      <c r="K73" s="11" t="n">
        <v>67.92</v>
      </c>
      <c r="L73" s="11" t="n">
        <v>57.4</v>
      </c>
      <c r="M73" s="11" t="n">
        <v>77.63</v>
      </c>
      <c r="N73" s="11" t="n">
        <v>74.37</v>
      </c>
      <c r="O73" s="10" t="n">
        <v>27.22</v>
      </c>
      <c r="P73" s="10" t="n">
        <v>49.48</v>
      </c>
      <c r="Q73" s="10" t="n">
        <v>25.48</v>
      </c>
      <c r="R73" s="10" t="n">
        <v>48.9</v>
      </c>
    </row>
    <row r="74" customFormat="false" ht="15" hidden="false" customHeight="false" outlineLevel="0" collapsed="false">
      <c r="A74" s="8" t="n">
        <v>41000</v>
      </c>
      <c r="B74" s="10" t="n">
        <v>25.03</v>
      </c>
      <c r="C74" s="10" t="n">
        <v>25.55</v>
      </c>
      <c r="D74" s="10" t="n">
        <v>21.75</v>
      </c>
      <c r="E74" s="10" t="n">
        <v>21.3</v>
      </c>
      <c r="F74" s="10" t="n">
        <v>21.39</v>
      </c>
      <c r="G74" s="10" t="n">
        <v>29.62</v>
      </c>
      <c r="H74" s="10" t="n">
        <v>31.62</v>
      </c>
      <c r="I74" s="10" t="n">
        <v>31.53</v>
      </c>
      <c r="J74" s="11" t="n">
        <v>57.69</v>
      </c>
      <c r="K74" s="11" t="n">
        <v>27.72</v>
      </c>
      <c r="L74" s="11" t="n">
        <v>40.83</v>
      </c>
      <c r="M74" s="11" t="n">
        <v>78.43</v>
      </c>
      <c r="N74" s="11" t="n">
        <v>74.75</v>
      </c>
      <c r="O74" s="10" t="n">
        <v>25.49</v>
      </c>
      <c r="P74" s="10" t="n">
        <v>48.09</v>
      </c>
      <c r="Q74" s="10" t="n">
        <v>24.48</v>
      </c>
      <c r="R74" s="10" t="n">
        <v>46.56</v>
      </c>
    </row>
    <row r="75" customFormat="false" ht="15" hidden="false" customHeight="false" outlineLevel="0" collapsed="false">
      <c r="A75" s="8" t="n">
        <v>41030</v>
      </c>
      <c r="B75" s="10" t="n">
        <v>22.47</v>
      </c>
      <c r="C75" s="10" t="n">
        <v>22.96</v>
      </c>
      <c r="D75" s="10" t="n">
        <v>19.65</v>
      </c>
      <c r="E75" s="10" t="n">
        <v>19.09</v>
      </c>
      <c r="F75" s="10" t="n">
        <v>19.32</v>
      </c>
      <c r="G75" s="10" t="n">
        <v>26.38</v>
      </c>
      <c r="H75" s="10" t="n">
        <v>28.09</v>
      </c>
      <c r="I75" s="10" t="n">
        <v>28.51</v>
      </c>
      <c r="J75" s="11" t="n">
        <v>59.91</v>
      </c>
      <c r="K75" s="11" t="n">
        <v>47.56</v>
      </c>
      <c r="L75" s="11" t="n">
        <v>68.19</v>
      </c>
      <c r="M75" s="11" t="n">
        <v>79.94</v>
      </c>
      <c r="N75" s="11" t="n">
        <v>78.61</v>
      </c>
      <c r="O75" s="10" t="n">
        <v>24.36</v>
      </c>
      <c r="P75" s="10" t="n">
        <v>48.63</v>
      </c>
      <c r="Q75" s="10" t="n">
        <v>26.26</v>
      </c>
      <c r="R75" s="10" t="n">
        <v>48.26</v>
      </c>
    </row>
    <row r="76" customFormat="false" ht="15" hidden="false" customHeight="false" outlineLevel="0" collapsed="false">
      <c r="A76" s="8" t="n">
        <v>41061</v>
      </c>
      <c r="B76" s="10" t="n">
        <v>22.83</v>
      </c>
      <c r="C76" s="10" t="n">
        <v>23.13</v>
      </c>
      <c r="D76" s="10" t="n">
        <v>19.77</v>
      </c>
      <c r="E76" s="10" t="n">
        <v>18.97</v>
      </c>
      <c r="F76" s="10" t="n">
        <v>19.29</v>
      </c>
      <c r="G76" s="10" t="n">
        <v>27.26</v>
      </c>
      <c r="H76" s="10" t="n">
        <v>28.97</v>
      </c>
      <c r="I76" s="10" t="n">
        <v>28.9</v>
      </c>
      <c r="J76" s="11" t="n">
        <v>36.16</v>
      </c>
      <c r="K76" s="11" t="n">
        <v>14.54</v>
      </c>
      <c r="L76" s="11" t="n">
        <v>38.26</v>
      </c>
      <c r="M76" s="11" t="n">
        <v>80.54</v>
      </c>
      <c r="N76" s="11" t="n">
        <v>78.54</v>
      </c>
      <c r="O76" s="10" t="n">
        <v>23.12</v>
      </c>
      <c r="P76" s="10" t="n">
        <v>47.74</v>
      </c>
      <c r="Q76" s="10" t="n">
        <v>22.29</v>
      </c>
      <c r="R76" s="10" t="n">
        <v>46.39</v>
      </c>
    </row>
    <row r="77" customFormat="false" ht="15" hidden="false" customHeight="false" outlineLevel="0" collapsed="false">
      <c r="A77" s="8" t="n">
        <v>41091</v>
      </c>
      <c r="B77" s="10" t="n">
        <v>21.65</v>
      </c>
      <c r="C77" s="10" t="n">
        <v>21.89</v>
      </c>
      <c r="D77" s="10" t="n">
        <v>17.81</v>
      </c>
      <c r="E77" s="10" t="n">
        <v>16.94</v>
      </c>
      <c r="F77" s="10" t="n">
        <v>17.65</v>
      </c>
      <c r="G77" s="10" t="n">
        <v>26.44</v>
      </c>
      <c r="H77" s="10" t="n">
        <v>27.98</v>
      </c>
      <c r="I77" s="10" t="n">
        <v>27.91</v>
      </c>
      <c r="J77" s="11" t="n">
        <v>66.75</v>
      </c>
      <c r="K77" s="11" t="n">
        <v>24.46</v>
      </c>
      <c r="L77" s="11" t="n">
        <v>57.05</v>
      </c>
      <c r="M77" s="11" t="n">
        <v>77.63</v>
      </c>
      <c r="N77" s="11" t="n">
        <v>77.55</v>
      </c>
      <c r="O77" s="10" t="n">
        <v>22.03</v>
      </c>
      <c r="P77" s="10" t="n">
        <v>48.54</v>
      </c>
      <c r="Q77" s="10" t="n">
        <v>22.26</v>
      </c>
      <c r="R77" s="10" t="n">
        <v>47.49</v>
      </c>
    </row>
    <row r="78" customFormat="false" ht="15" hidden="false" customHeight="false" outlineLevel="0" collapsed="false">
      <c r="A78" s="8" t="n">
        <v>41122</v>
      </c>
      <c r="B78" s="10" t="n">
        <v>21.04</v>
      </c>
      <c r="C78" s="10" t="n">
        <v>21.51</v>
      </c>
      <c r="D78" s="10" t="n">
        <v>18.02</v>
      </c>
      <c r="E78" s="10" t="n">
        <v>17.25</v>
      </c>
      <c r="F78" s="10" t="n">
        <v>17.78</v>
      </c>
      <c r="G78" s="10" t="n">
        <v>25.04</v>
      </c>
      <c r="H78" s="10" t="n">
        <v>26.4</v>
      </c>
      <c r="I78" s="10" t="n">
        <v>26.94</v>
      </c>
      <c r="J78" s="11" t="n">
        <v>80.68</v>
      </c>
      <c r="K78" s="11" t="n">
        <v>60.92</v>
      </c>
      <c r="L78" s="11" t="n">
        <v>138.23</v>
      </c>
      <c r="M78" s="11" t="n">
        <v>80.63</v>
      </c>
      <c r="N78" s="11" t="n">
        <v>78.14</v>
      </c>
      <c r="O78" s="10" t="n">
        <v>22.51</v>
      </c>
      <c r="P78" s="10" t="n">
        <v>50.95</v>
      </c>
      <c r="Q78" s="10" t="n">
        <v>28.18</v>
      </c>
      <c r="R78" s="10" t="n">
        <v>53.77</v>
      </c>
    </row>
    <row r="79" customFormat="false" ht="15" hidden="false" customHeight="false" outlineLevel="0" collapsed="false">
      <c r="A79" s="8" t="n">
        <v>41153</v>
      </c>
      <c r="B79" s="10" t="n">
        <v>22.71</v>
      </c>
      <c r="C79" s="10" t="n">
        <v>22.9</v>
      </c>
      <c r="D79" s="10" t="n">
        <v>19.14</v>
      </c>
      <c r="E79" s="10" t="n">
        <v>18.26</v>
      </c>
      <c r="F79" s="10" t="n">
        <v>18.26</v>
      </c>
      <c r="G79" s="10" t="n">
        <v>27.69</v>
      </c>
      <c r="H79" s="10" t="n">
        <v>28.73</v>
      </c>
      <c r="I79" s="10" t="n">
        <v>29.59</v>
      </c>
      <c r="J79" s="11" t="n">
        <v>48.72</v>
      </c>
      <c r="K79" s="11" t="n">
        <v>29.26</v>
      </c>
      <c r="L79" s="11" t="n">
        <v>33.91</v>
      </c>
      <c r="M79" s="11" t="n">
        <v>72.81</v>
      </c>
      <c r="N79" s="11" t="n">
        <v>72.89</v>
      </c>
      <c r="O79" s="10" t="n">
        <v>21.98</v>
      </c>
      <c r="P79" s="10" t="n">
        <v>49.99</v>
      </c>
      <c r="Q79" s="10" t="n">
        <v>23.52</v>
      </c>
      <c r="R79" s="10" t="n">
        <v>48.69</v>
      </c>
    </row>
    <row r="80" customFormat="false" ht="15" hidden="false" customHeight="false" outlineLevel="0" collapsed="false">
      <c r="A80" s="8" t="n">
        <v>41183</v>
      </c>
      <c r="B80" s="10" t="n">
        <v>24.08</v>
      </c>
      <c r="C80" s="10" t="n">
        <v>24.49</v>
      </c>
      <c r="D80" s="10" t="n">
        <v>20.12</v>
      </c>
      <c r="E80" s="10" t="n">
        <v>19.33</v>
      </c>
      <c r="F80" s="10" t="n">
        <v>19.63</v>
      </c>
      <c r="G80" s="10" t="n">
        <v>29.41</v>
      </c>
      <c r="H80" s="10" t="n">
        <v>30.17</v>
      </c>
      <c r="I80" s="10" t="n">
        <v>31.26</v>
      </c>
      <c r="J80" s="11" t="n">
        <v>45.68</v>
      </c>
      <c r="K80" s="11" t="n">
        <v>23.1</v>
      </c>
      <c r="L80" s="11" t="n">
        <v>45.11</v>
      </c>
      <c r="M80" s="11" t="n">
        <v>72.13</v>
      </c>
      <c r="N80" s="11" t="n">
        <v>70.48</v>
      </c>
      <c r="O80" s="10" t="n">
        <v>20.67</v>
      </c>
      <c r="P80" s="10" t="n">
        <v>48.47</v>
      </c>
      <c r="Q80" s="10" t="n">
        <v>21.88</v>
      </c>
      <c r="R80" s="10" t="n">
        <v>45.49</v>
      </c>
    </row>
    <row r="81" customFormat="false" ht="15" hidden="false" customHeight="false" outlineLevel="0" collapsed="false">
      <c r="A81" s="8" t="n">
        <v>41214</v>
      </c>
      <c r="B81" s="10" t="n">
        <v>24.15</v>
      </c>
      <c r="C81" s="10" t="n">
        <v>24.5</v>
      </c>
      <c r="D81" s="10" t="n">
        <v>21.66</v>
      </c>
      <c r="E81" s="10" t="n">
        <v>21.18</v>
      </c>
      <c r="F81" s="10" t="n">
        <v>21.25</v>
      </c>
      <c r="G81" s="10" t="n">
        <v>27.84</v>
      </c>
      <c r="H81" s="10" t="n">
        <v>28.97</v>
      </c>
      <c r="I81" s="10" t="n">
        <v>29.09</v>
      </c>
      <c r="J81" s="11" t="n">
        <v>272.43</v>
      </c>
      <c r="K81" s="11" t="n">
        <v>228.58</v>
      </c>
      <c r="L81" s="11" t="n">
        <v>272.48</v>
      </c>
      <c r="M81" s="11" t="n">
        <v>83.23</v>
      </c>
      <c r="N81" s="11" t="n">
        <v>82.46</v>
      </c>
      <c r="O81" s="10" t="n">
        <v>28.57</v>
      </c>
      <c r="P81" s="10" t="n">
        <v>56.09</v>
      </c>
      <c r="Q81" s="10" t="n">
        <v>37.51</v>
      </c>
      <c r="R81" s="10" t="n">
        <v>63.17</v>
      </c>
    </row>
    <row r="82" customFormat="false" ht="15" hidden="false" customHeight="false" outlineLevel="0" collapsed="false">
      <c r="A82" s="8" t="n">
        <v>41244</v>
      </c>
      <c r="B82" s="10" t="n">
        <v>26.5</v>
      </c>
      <c r="C82" s="10" t="n">
        <v>26.77</v>
      </c>
      <c r="D82" s="10" t="n">
        <v>22.81</v>
      </c>
      <c r="E82" s="10" t="n">
        <v>22.38</v>
      </c>
      <c r="F82" s="10" t="n">
        <v>22.12</v>
      </c>
      <c r="G82" s="10" t="n">
        <v>31.5</v>
      </c>
      <c r="H82" s="10" t="n">
        <v>33.14</v>
      </c>
      <c r="I82" s="10" t="n">
        <v>32.79</v>
      </c>
      <c r="J82" s="11" t="n">
        <v>14.35</v>
      </c>
      <c r="K82" s="11" t="n">
        <v>23.58</v>
      </c>
      <c r="L82" s="11" t="n">
        <v>21.99</v>
      </c>
      <c r="M82" s="11" t="n">
        <v>74.35</v>
      </c>
      <c r="N82" s="11" t="n">
        <v>72.32</v>
      </c>
      <c r="O82" s="10" t="n">
        <v>29.53</v>
      </c>
      <c r="P82" s="10" t="n">
        <v>51.78</v>
      </c>
      <c r="Q82" s="10" t="n">
        <v>26.05</v>
      </c>
      <c r="R82" s="10" t="n">
        <v>50.72</v>
      </c>
    </row>
    <row r="83" customFormat="false" ht="15" hidden="false" customHeight="false" outlineLevel="0" collapsed="false">
      <c r="A83" s="8" t="n">
        <v>41275</v>
      </c>
      <c r="B83" s="10" t="n">
        <v>25.91</v>
      </c>
      <c r="C83" s="10" t="n">
        <v>26.21</v>
      </c>
      <c r="D83" s="10" t="n">
        <v>22.88</v>
      </c>
      <c r="E83" s="10" t="n">
        <v>22.39</v>
      </c>
      <c r="F83" s="10" t="n">
        <v>22.42</v>
      </c>
      <c r="G83" s="10" t="n">
        <v>30.22</v>
      </c>
      <c r="H83" s="10" t="n">
        <v>32.24</v>
      </c>
      <c r="I83" s="10" t="n">
        <v>31.57</v>
      </c>
      <c r="J83" s="11" t="n">
        <v>205.24</v>
      </c>
      <c r="K83" s="11" t="n">
        <v>139.9</v>
      </c>
      <c r="L83" s="11" t="n">
        <v>140.05</v>
      </c>
      <c r="M83" s="11" t="n">
        <v>77.89</v>
      </c>
      <c r="N83" s="11" t="n">
        <v>75.86</v>
      </c>
      <c r="O83" s="10" t="n">
        <v>26.7</v>
      </c>
      <c r="P83" s="10" t="n">
        <v>50.36</v>
      </c>
      <c r="Q83" s="10" t="n">
        <v>27.87</v>
      </c>
      <c r="R83" s="10" t="n">
        <v>52.35</v>
      </c>
    </row>
    <row r="84" customFormat="false" ht="15" hidden="false" customHeight="false" outlineLevel="0" collapsed="false">
      <c r="A84" s="8" t="n">
        <v>41306</v>
      </c>
      <c r="B84" s="10" t="n">
        <v>26.16</v>
      </c>
      <c r="C84" s="10" t="n">
        <v>26.79</v>
      </c>
      <c r="D84" s="10" t="n">
        <v>22.64</v>
      </c>
      <c r="E84" s="10" t="n">
        <v>22.2</v>
      </c>
      <c r="F84" s="10" t="n">
        <v>22.34</v>
      </c>
      <c r="G84" s="10" t="n">
        <v>30.62</v>
      </c>
      <c r="H84" s="10" t="n">
        <v>32.64</v>
      </c>
      <c r="I84" s="10" t="n">
        <v>32.69</v>
      </c>
      <c r="J84" s="11" t="n">
        <v>42.79</v>
      </c>
      <c r="K84" s="11" t="n">
        <v>24.52</v>
      </c>
      <c r="L84" s="11" t="n">
        <v>42.03</v>
      </c>
      <c r="M84" s="11" t="n">
        <v>76.68</v>
      </c>
      <c r="N84" s="11" t="n">
        <v>70.94</v>
      </c>
      <c r="O84" s="10" t="n">
        <v>28</v>
      </c>
      <c r="P84" s="10" t="n">
        <v>49.34</v>
      </c>
      <c r="Q84" s="10" t="n">
        <v>27.27</v>
      </c>
      <c r="R84" s="10" t="n">
        <v>47.85</v>
      </c>
    </row>
    <row r="85" customFormat="false" ht="15" hidden="false" customHeight="false" outlineLevel="0" collapsed="false">
      <c r="A85" s="8" t="n">
        <v>41334</v>
      </c>
      <c r="B85" s="10" t="n">
        <v>26.59</v>
      </c>
      <c r="C85" s="10" t="n">
        <v>26.9</v>
      </c>
      <c r="D85" s="10" t="n">
        <v>23.27</v>
      </c>
      <c r="E85" s="10" t="n">
        <v>22.99</v>
      </c>
      <c r="F85" s="10" t="n">
        <v>22.79</v>
      </c>
      <c r="G85" s="10" t="n">
        <v>31.66</v>
      </c>
      <c r="H85" s="10" t="n">
        <v>33.6</v>
      </c>
      <c r="I85" s="10" t="n">
        <v>32.73</v>
      </c>
      <c r="J85" s="11" t="n">
        <v>62.2</v>
      </c>
      <c r="K85" s="11" t="n">
        <v>65.56</v>
      </c>
      <c r="L85" s="11" t="n">
        <v>83.68</v>
      </c>
      <c r="M85" s="11" t="n">
        <v>75.39</v>
      </c>
      <c r="N85" s="11" t="n">
        <v>73.67</v>
      </c>
      <c r="O85" s="10" t="n">
        <v>24.14</v>
      </c>
      <c r="P85" s="10" t="n">
        <v>48.37</v>
      </c>
      <c r="Q85" s="10" t="n">
        <v>25.01</v>
      </c>
      <c r="R85" s="10" t="n">
        <v>48.15</v>
      </c>
    </row>
    <row r="86" customFormat="false" ht="15" hidden="false" customHeight="false" outlineLevel="0" collapsed="false">
      <c r="A86" s="8" t="n">
        <v>41365</v>
      </c>
      <c r="B86" s="10" t="n">
        <v>23.95</v>
      </c>
      <c r="C86" s="10" t="n">
        <v>24.73</v>
      </c>
      <c r="D86" s="10" t="n">
        <v>21.25</v>
      </c>
      <c r="E86" s="10" t="n">
        <v>20.81</v>
      </c>
      <c r="F86" s="10" t="n">
        <v>20.76</v>
      </c>
      <c r="G86" s="10" t="n">
        <v>27.75</v>
      </c>
      <c r="H86" s="10" t="n">
        <v>29.76</v>
      </c>
      <c r="I86" s="10" t="n">
        <v>30.36</v>
      </c>
      <c r="J86" s="11" t="n">
        <v>65.77</v>
      </c>
      <c r="K86" s="11" t="n">
        <v>84.94</v>
      </c>
      <c r="L86" s="11" t="n">
        <v>57.65</v>
      </c>
      <c r="M86" s="11" t="n">
        <v>79.71</v>
      </c>
      <c r="N86" s="11" t="n">
        <v>74.94</v>
      </c>
      <c r="O86" s="10" t="n">
        <v>26.64</v>
      </c>
      <c r="P86" s="10" t="n">
        <v>48.84</v>
      </c>
      <c r="Q86" s="10" t="n">
        <v>33.21</v>
      </c>
      <c r="R86" s="10" t="n">
        <v>48.44</v>
      </c>
    </row>
    <row r="87" customFormat="false" ht="15" hidden="false" customHeight="false" outlineLevel="0" collapsed="false">
      <c r="A87" s="8" t="n">
        <v>41395</v>
      </c>
      <c r="B87" s="10" t="n">
        <v>23.13</v>
      </c>
      <c r="C87" s="10" t="n">
        <v>23.71</v>
      </c>
      <c r="D87" s="10" t="n">
        <v>19.85</v>
      </c>
      <c r="E87" s="10" t="n">
        <v>19.29</v>
      </c>
      <c r="F87" s="10" t="n">
        <v>19.38</v>
      </c>
      <c r="G87" s="10" t="n">
        <v>27.38</v>
      </c>
      <c r="H87" s="10" t="n">
        <v>29.09</v>
      </c>
      <c r="I87" s="10" t="n">
        <v>29.82</v>
      </c>
      <c r="J87" s="11" t="n">
        <v>39.75</v>
      </c>
      <c r="K87" s="11" t="n">
        <v>32.34</v>
      </c>
      <c r="L87" s="11" t="n">
        <v>41.06</v>
      </c>
      <c r="M87" s="11" t="n">
        <v>76.78</v>
      </c>
      <c r="N87" s="11" t="n">
        <v>73.72</v>
      </c>
      <c r="O87" s="10" t="n">
        <v>24.57</v>
      </c>
      <c r="P87" s="10" t="n">
        <v>46.9</v>
      </c>
      <c r="Q87" s="10" t="n">
        <v>24.31</v>
      </c>
      <c r="R87" s="10" t="n">
        <v>44.96</v>
      </c>
    </row>
    <row r="88" customFormat="false" ht="15" hidden="false" customHeight="false" outlineLevel="0" collapsed="false">
      <c r="A88" s="8" t="n">
        <v>41426</v>
      </c>
      <c r="B88" s="10" t="n">
        <v>22.67</v>
      </c>
      <c r="C88" s="10" t="n">
        <v>23.43</v>
      </c>
      <c r="D88" s="10" t="n">
        <v>19.54</v>
      </c>
      <c r="E88" s="10" t="n">
        <v>18.74</v>
      </c>
      <c r="F88" s="10" t="n">
        <v>19.49</v>
      </c>
      <c r="G88" s="10" t="n">
        <v>26.8</v>
      </c>
      <c r="H88" s="10" t="n">
        <v>28.51</v>
      </c>
      <c r="I88" s="10" t="n">
        <v>29.15</v>
      </c>
      <c r="J88" s="11" t="n">
        <v>41.51</v>
      </c>
      <c r="K88" s="11" t="n">
        <v>29.58</v>
      </c>
      <c r="L88" s="11" t="n">
        <v>32.4</v>
      </c>
      <c r="M88" s="11" t="n">
        <v>81.55</v>
      </c>
      <c r="N88" s="11" t="n">
        <v>77.14</v>
      </c>
      <c r="O88" s="10" t="n">
        <v>24.34</v>
      </c>
      <c r="P88" s="10" t="n">
        <v>47.65</v>
      </c>
      <c r="Q88" s="10" t="n">
        <v>26.91</v>
      </c>
      <c r="R88" s="10" t="n">
        <v>46.58</v>
      </c>
    </row>
    <row r="89" customFormat="false" ht="15" hidden="false" customHeight="false" outlineLevel="0" collapsed="false">
      <c r="A89" s="8" t="n">
        <v>41456</v>
      </c>
      <c r="B89" s="10" t="n">
        <v>21.89</v>
      </c>
      <c r="C89" s="10" t="n">
        <v>22.32</v>
      </c>
      <c r="D89" s="10" t="n">
        <v>18.85</v>
      </c>
      <c r="E89" s="10" t="n">
        <v>17.98</v>
      </c>
      <c r="F89" s="10" t="n">
        <v>18.37</v>
      </c>
      <c r="G89" s="10" t="n">
        <v>25.9</v>
      </c>
      <c r="H89" s="10" t="n">
        <v>27.43</v>
      </c>
      <c r="I89" s="10" t="n">
        <v>28.12</v>
      </c>
      <c r="J89" s="11" t="n">
        <v>41.19</v>
      </c>
      <c r="K89" s="11" t="n">
        <v>31.98</v>
      </c>
      <c r="L89" s="11" t="n">
        <v>61.42</v>
      </c>
      <c r="M89" s="11" t="n">
        <v>78.36</v>
      </c>
      <c r="N89" s="11" t="n">
        <v>77.99</v>
      </c>
      <c r="O89" s="10" t="n">
        <v>22.66</v>
      </c>
      <c r="P89" s="10" t="n">
        <v>48.09</v>
      </c>
      <c r="Q89" s="10" t="n">
        <v>24.16</v>
      </c>
      <c r="R89" s="10" t="n">
        <v>47.15</v>
      </c>
    </row>
    <row r="90" customFormat="false" ht="15" hidden="false" customHeight="false" outlineLevel="0" collapsed="false">
      <c r="A90" s="8" t="n">
        <v>41487</v>
      </c>
      <c r="B90" s="10" t="n">
        <v>21.74</v>
      </c>
      <c r="C90" s="10" t="n">
        <v>22.2</v>
      </c>
      <c r="D90" s="10" t="n">
        <v>18.07</v>
      </c>
      <c r="E90" s="10" t="n">
        <v>17.31</v>
      </c>
      <c r="F90" s="10" t="n">
        <v>17.66</v>
      </c>
      <c r="G90" s="10" t="n">
        <v>26.37</v>
      </c>
      <c r="H90" s="10" t="n">
        <v>27.73</v>
      </c>
      <c r="I90" s="10" t="n">
        <v>28.36</v>
      </c>
      <c r="J90" s="11" t="n">
        <v>48.28</v>
      </c>
      <c r="K90" s="11" t="n">
        <v>27.54</v>
      </c>
      <c r="L90" s="11" t="n">
        <v>59.22</v>
      </c>
      <c r="M90" s="11" t="n">
        <v>76.22</v>
      </c>
      <c r="N90" s="11" t="n">
        <v>73.91</v>
      </c>
      <c r="O90" s="10" t="n">
        <v>21.54</v>
      </c>
      <c r="P90" s="10" t="n">
        <v>47.79</v>
      </c>
      <c r="Q90" s="10" t="n">
        <v>22.4</v>
      </c>
      <c r="R90" s="10" t="n">
        <v>45.2</v>
      </c>
    </row>
    <row r="91" customFormat="false" ht="15" hidden="false" customHeight="false" outlineLevel="0" collapsed="false">
      <c r="A91" s="8" t="n">
        <v>41518</v>
      </c>
      <c r="B91" s="10" t="n">
        <v>22.91</v>
      </c>
      <c r="C91" s="10" t="n">
        <v>23.48</v>
      </c>
      <c r="D91" s="10" t="n">
        <v>19.59</v>
      </c>
      <c r="E91" s="10" t="n">
        <v>18.71</v>
      </c>
      <c r="F91" s="10" t="n">
        <v>19.18</v>
      </c>
      <c r="G91" s="10" t="n">
        <v>27.62</v>
      </c>
      <c r="H91" s="10" t="n">
        <v>28.65</v>
      </c>
      <c r="I91" s="10" t="n">
        <v>29.67</v>
      </c>
      <c r="J91" s="11" t="n">
        <v>79.22</v>
      </c>
      <c r="K91" s="11" t="n">
        <v>23.26</v>
      </c>
      <c r="L91" s="11" t="n">
        <v>50.14</v>
      </c>
      <c r="M91" s="11" t="n">
        <v>75.18</v>
      </c>
      <c r="N91" s="11" t="n">
        <v>73.05</v>
      </c>
      <c r="O91" s="10" t="n">
        <v>20.82</v>
      </c>
      <c r="P91" s="10" t="n">
        <v>48.47</v>
      </c>
      <c r="Q91" s="10" t="n">
        <v>22.05</v>
      </c>
      <c r="R91" s="10" t="n">
        <v>46.59</v>
      </c>
    </row>
    <row r="92" customFormat="false" ht="15" hidden="false" customHeight="false" outlineLevel="0" collapsed="false">
      <c r="A92" s="8" t="n">
        <v>41548</v>
      </c>
      <c r="B92" s="10" t="n">
        <v>23.36</v>
      </c>
      <c r="C92" s="10" t="n">
        <v>23.77</v>
      </c>
      <c r="D92" s="10" t="n">
        <v>20.09</v>
      </c>
      <c r="E92" s="10" t="n">
        <v>19.3</v>
      </c>
      <c r="F92" s="10" t="n">
        <v>19.72</v>
      </c>
      <c r="G92" s="10" t="n">
        <v>27.87</v>
      </c>
      <c r="H92" s="10" t="n">
        <v>28.63</v>
      </c>
      <c r="I92" s="10" t="n">
        <v>29.64</v>
      </c>
      <c r="J92" s="11" t="n">
        <v>143.16</v>
      </c>
      <c r="K92" s="11" t="n">
        <v>64.7</v>
      </c>
      <c r="L92" s="11" t="n">
        <v>103.92</v>
      </c>
      <c r="M92" s="11" t="n">
        <v>74.37</v>
      </c>
      <c r="N92" s="11" t="n">
        <v>73.34</v>
      </c>
      <c r="O92" s="10" t="n">
        <v>21.09</v>
      </c>
      <c r="P92" s="10" t="n">
        <v>49.99</v>
      </c>
      <c r="Q92" s="10" t="n">
        <v>26.19</v>
      </c>
      <c r="R92" s="10" t="n">
        <v>50.93</v>
      </c>
    </row>
    <row r="93" customFormat="false" ht="15" hidden="false" customHeight="false" outlineLevel="0" collapsed="false">
      <c r="A93" s="8" t="n">
        <v>41579</v>
      </c>
      <c r="B93" s="10" t="n">
        <v>24.27</v>
      </c>
      <c r="C93" s="10" t="n">
        <v>24.85</v>
      </c>
      <c r="D93" s="10" t="n">
        <v>21.1</v>
      </c>
      <c r="E93" s="10" t="n">
        <v>20.63</v>
      </c>
      <c r="F93" s="10" t="n">
        <v>20.87</v>
      </c>
      <c r="G93" s="10" t="n">
        <v>28.5</v>
      </c>
      <c r="H93" s="10" t="n">
        <v>29.63</v>
      </c>
      <c r="I93" s="10" t="n">
        <v>30.3</v>
      </c>
      <c r="J93" s="11" t="n">
        <v>154.09</v>
      </c>
      <c r="K93" s="11" t="n">
        <v>133.36</v>
      </c>
      <c r="L93" s="11" t="n">
        <v>187.02</v>
      </c>
      <c r="M93" s="11" t="n">
        <v>78.36</v>
      </c>
      <c r="N93" s="11" t="n">
        <v>75.8</v>
      </c>
      <c r="O93" s="10" t="n">
        <v>22.49</v>
      </c>
      <c r="P93" s="10" t="n">
        <v>52.04</v>
      </c>
      <c r="Q93" s="10" t="n">
        <v>30.96</v>
      </c>
      <c r="R93" s="10" t="n">
        <v>54.83</v>
      </c>
    </row>
    <row r="94" customFormat="false" ht="15" hidden="false" customHeight="false" outlineLevel="0" collapsed="false">
      <c r="A94" s="8" t="n">
        <v>41609</v>
      </c>
      <c r="B94" s="10" t="n">
        <v>25.08</v>
      </c>
      <c r="C94" s="10" t="n">
        <v>25.2</v>
      </c>
      <c r="D94" s="10" t="n">
        <v>22.48</v>
      </c>
      <c r="E94" s="10" t="n">
        <v>22.05</v>
      </c>
      <c r="F94" s="10" t="n">
        <v>22.34</v>
      </c>
      <c r="G94" s="10" t="n">
        <v>28.79</v>
      </c>
      <c r="H94" s="10" t="n">
        <v>30.42</v>
      </c>
      <c r="I94" s="10" t="n">
        <v>29.13</v>
      </c>
      <c r="J94" s="11" t="n">
        <v>591.91</v>
      </c>
      <c r="K94" s="11" t="n">
        <v>437.98</v>
      </c>
      <c r="L94" s="11" t="n">
        <v>359.61</v>
      </c>
      <c r="M94" s="11" t="n">
        <v>84.17</v>
      </c>
      <c r="N94" s="11" t="n">
        <v>85.35</v>
      </c>
      <c r="O94" s="10" t="n">
        <v>34.85</v>
      </c>
      <c r="P94" s="10" t="n">
        <v>64.46</v>
      </c>
      <c r="Q94" s="10" t="n">
        <v>38.39</v>
      </c>
      <c r="R94" s="10" t="n">
        <v>70.77</v>
      </c>
    </row>
    <row r="95" customFormat="false" ht="15" hidden="false" customHeight="false" outlineLevel="0" collapsed="false">
      <c r="A95" s="8" t="n">
        <v>41640</v>
      </c>
      <c r="B95" s="10" t="n">
        <v>25.26</v>
      </c>
      <c r="C95" s="10" t="n">
        <v>24.79</v>
      </c>
      <c r="D95" s="10" t="n">
        <v>22</v>
      </c>
      <c r="E95" s="10" t="n">
        <v>21.51</v>
      </c>
      <c r="F95" s="10" t="n">
        <v>21.22</v>
      </c>
      <c r="G95" s="10" t="n">
        <v>29.39</v>
      </c>
      <c r="H95" s="10" t="n">
        <v>31.41</v>
      </c>
      <c r="I95" s="10" t="n">
        <v>29.47</v>
      </c>
      <c r="J95" s="11" t="n">
        <v>86.5</v>
      </c>
      <c r="K95" s="11" t="n">
        <v>60.12</v>
      </c>
      <c r="L95" s="11" t="n">
        <v>62.73</v>
      </c>
      <c r="M95" s="11" t="n">
        <v>80.54</v>
      </c>
      <c r="N95" s="11" t="n">
        <v>82.86</v>
      </c>
      <c r="O95" s="10" t="n">
        <v>35.1</v>
      </c>
      <c r="P95" s="10" t="n">
        <v>62.68</v>
      </c>
      <c r="Q95" s="10" t="n">
        <v>32.06</v>
      </c>
      <c r="R95" s="10" t="n">
        <v>66.17</v>
      </c>
    </row>
    <row r="96" customFormat="false" ht="15" hidden="false" customHeight="false" outlineLevel="0" collapsed="false">
      <c r="A96" s="8" t="n">
        <v>41671</v>
      </c>
      <c r="B96" s="10" t="n">
        <v>25.48</v>
      </c>
      <c r="C96" s="10" t="n">
        <v>25.31</v>
      </c>
      <c r="D96" s="10" t="n">
        <v>21.96</v>
      </c>
      <c r="E96" s="10" t="n">
        <v>21.52</v>
      </c>
      <c r="F96" s="10" t="n">
        <v>21.47</v>
      </c>
      <c r="G96" s="10" t="n">
        <v>29.89</v>
      </c>
      <c r="H96" s="10" t="n">
        <v>31.9</v>
      </c>
      <c r="I96" s="10" t="n">
        <v>30.56</v>
      </c>
      <c r="J96" s="11" t="n">
        <v>43.72</v>
      </c>
      <c r="K96" s="11" t="n">
        <v>49.92</v>
      </c>
      <c r="L96" s="11" t="n">
        <v>75.41</v>
      </c>
      <c r="M96" s="11" t="n">
        <v>79.93</v>
      </c>
      <c r="N96" s="11" t="n">
        <v>79.27</v>
      </c>
      <c r="O96" s="10" t="n">
        <v>30.26</v>
      </c>
      <c r="P96" s="10" t="n">
        <v>54.44</v>
      </c>
      <c r="Q96" s="10" t="n">
        <v>28.56</v>
      </c>
      <c r="R96" s="10" t="n">
        <v>56.99</v>
      </c>
    </row>
    <row r="97" customFormat="false" ht="15" hidden="false" customHeight="false" outlineLevel="0" collapsed="false">
      <c r="A97" s="8" t="n">
        <v>41699</v>
      </c>
      <c r="B97" s="10" t="n">
        <v>25.39</v>
      </c>
      <c r="C97" s="10" t="n">
        <v>25.81</v>
      </c>
      <c r="D97" s="10" t="n">
        <v>22.17</v>
      </c>
      <c r="E97" s="10" t="n">
        <v>21.89</v>
      </c>
      <c r="F97" s="10" t="n">
        <v>22.1</v>
      </c>
      <c r="G97" s="10" t="n">
        <v>29.73</v>
      </c>
      <c r="H97" s="10" t="n">
        <v>31.67</v>
      </c>
      <c r="I97" s="10" t="n">
        <v>31.23</v>
      </c>
      <c r="J97" s="11" t="n">
        <v>87.08</v>
      </c>
      <c r="K97" s="11" t="n">
        <v>107.24</v>
      </c>
      <c r="L97" s="11" t="n">
        <v>95.72</v>
      </c>
      <c r="M97" s="11" t="n">
        <v>80.17</v>
      </c>
      <c r="N97" s="11" t="n">
        <v>77.64</v>
      </c>
      <c r="O97" s="10" t="n">
        <v>27.98</v>
      </c>
      <c r="P97" s="10" t="n">
        <v>51.15</v>
      </c>
      <c r="Q97" s="10" t="n">
        <v>29.35</v>
      </c>
      <c r="R97" s="10" t="n">
        <v>52.61</v>
      </c>
    </row>
    <row r="98" customFormat="false" ht="15" hidden="false" customHeight="false" outlineLevel="0" collapsed="false">
      <c r="A98" s="8" t="n">
        <v>41730</v>
      </c>
      <c r="B98" s="10" t="n">
        <v>24.55</v>
      </c>
      <c r="C98" s="10" t="n">
        <v>25.19</v>
      </c>
      <c r="D98" s="10" t="n">
        <v>21.45</v>
      </c>
      <c r="E98" s="10" t="n">
        <v>21</v>
      </c>
      <c r="F98" s="10" t="n">
        <v>21.12</v>
      </c>
      <c r="G98" s="10" t="n">
        <v>28.62</v>
      </c>
      <c r="H98" s="10" t="n">
        <v>30.62</v>
      </c>
      <c r="I98" s="10" t="n">
        <v>30.86</v>
      </c>
      <c r="J98" s="11" t="n">
        <v>66.83</v>
      </c>
      <c r="K98" s="11" t="n">
        <v>44.1</v>
      </c>
      <c r="L98" s="11" t="n">
        <v>53.18</v>
      </c>
      <c r="M98" s="11" t="n">
        <v>79.67</v>
      </c>
      <c r="N98" s="11" t="n">
        <v>75.94</v>
      </c>
      <c r="O98" s="10" t="n">
        <v>29.42</v>
      </c>
      <c r="P98" s="10" t="n">
        <v>50.47</v>
      </c>
      <c r="Q98" s="10" t="n">
        <v>31.99</v>
      </c>
      <c r="R98" s="10" t="n">
        <v>50.63</v>
      </c>
    </row>
    <row r="99" customFormat="false" ht="15" hidden="false" customHeight="false" outlineLevel="0" collapsed="false">
      <c r="A99" s="8" t="n">
        <v>41760</v>
      </c>
      <c r="B99" s="10" t="n">
        <v>23.43</v>
      </c>
      <c r="C99" s="10" t="n">
        <v>24.06</v>
      </c>
      <c r="D99" s="10" t="n">
        <v>20.05</v>
      </c>
      <c r="E99" s="10" t="n">
        <v>19.49</v>
      </c>
      <c r="F99" s="10" t="n">
        <v>19.76</v>
      </c>
      <c r="G99" s="10" t="n">
        <v>27.81</v>
      </c>
      <c r="H99" s="10" t="n">
        <v>29.51</v>
      </c>
      <c r="I99" s="10" t="n">
        <v>30.2</v>
      </c>
      <c r="J99" s="11" t="n">
        <v>22.44</v>
      </c>
      <c r="K99" s="11" t="n">
        <v>46.48</v>
      </c>
      <c r="L99" s="11" t="n">
        <v>16.24</v>
      </c>
      <c r="M99" s="11" t="n">
        <v>76.33</v>
      </c>
      <c r="N99" s="11" t="n">
        <v>72.96</v>
      </c>
      <c r="O99" s="10" t="n">
        <v>25.62</v>
      </c>
      <c r="P99" s="10" t="n">
        <v>47.04</v>
      </c>
      <c r="Q99" s="10" t="n">
        <v>22.77</v>
      </c>
      <c r="R99" s="10" t="n">
        <v>43.69</v>
      </c>
    </row>
    <row r="100" customFormat="false" ht="15" hidden="false" customHeight="false" outlineLevel="0" collapsed="false">
      <c r="A100" s="8" t="n">
        <v>41791</v>
      </c>
      <c r="B100" s="10" t="n">
        <v>21.68</v>
      </c>
      <c r="C100" s="10" t="n">
        <v>22.5</v>
      </c>
      <c r="D100" s="10" t="n">
        <v>18.77</v>
      </c>
      <c r="E100" s="10" t="n">
        <v>17.97</v>
      </c>
      <c r="F100" s="10" t="n">
        <v>18.8</v>
      </c>
      <c r="G100" s="10" t="n">
        <v>25.39</v>
      </c>
      <c r="H100" s="10" t="n">
        <v>27.1</v>
      </c>
      <c r="I100" s="10" t="n">
        <v>27.91</v>
      </c>
      <c r="J100" s="11" t="n">
        <v>57.14</v>
      </c>
      <c r="K100" s="11" t="n">
        <v>46.22</v>
      </c>
      <c r="L100" s="11" t="n">
        <v>80.98</v>
      </c>
      <c r="M100" s="11" t="n">
        <v>84.87</v>
      </c>
      <c r="N100" s="11" t="n">
        <v>79.84</v>
      </c>
      <c r="O100" s="10" t="n">
        <v>27.07</v>
      </c>
      <c r="P100" s="10" t="n">
        <v>48.98</v>
      </c>
      <c r="Q100" s="10" t="n">
        <v>31.96</v>
      </c>
      <c r="R100" s="10" t="n">
        <v>48.82</v>
      </c>
    </row>
    <row r="101" customFormat="false" ht="15" hidden="false" customHeight="false" outlineLevel="0" collapsed="false">
      <c r="A101" s="8" t="n">
        <v>41821</v>
      </c>
      <c r="B101" s="10" t="n">
        <v>21.03</v>
      </c>
      <c r="C101" s="10" t="n">
        <v>21.58</v>
      </c>
      <c r="D101" s="10" t="n">
        <v>18.29</v>
      </c>
      <c r="E101" s="10" t="n">
        <v>17.42</v>
      </c>
      <c r="F101" s="10" t="n">
        <v>17.9</v>
      </c>
      <c r="G101" s="10" t="n">
        <v>24.69</v>
      </c>
      <c r="H101" s="10" t="n">
        <v>26.23</v>
      </c>
      <c r="I101" s="10" t="n">
        <v>27.08</v>
      </c>
      <c r="J101" s="11" t="n">
        <v>61.89</v>
      </c>
      <c r="K101" s="11" t="n">
        <v>33.94</v>
      </c>
      <c r="L101" s="11" t="n">
        <v>76.76</v>
      </c>
      <c r="M101" s="11" t="n">
        <v>82.29</v>
      </c>
      <c r="N101" s="11" t="n">
        <v>80.49</v>
      </c>
      <c r="O101" s="10" t="n">
        <v>26.19</v>
      </c>
      <c r="P101" s="10" t="n">
        <v>49.79</v>
      </c>
      <c r="Q101" s="10" t="n">
        <v>28.9</v>
      </c>
      <c r="R101" s="10" t="n">
        <v>49.77</v>
      </c>
    </row>
    <row r="102" customFormat="false" ht="15" hidden="false" customHeight="false" outlineLevel="0" collapsed="false">
      <c r="A102" s="8" t="n">
        <v>41852</v>
      </c>
      <c r="B102" s="10" t="n">
        <v>21.24</v>
      </c>
      <c r="C102" s="10" t="n">
        <v>21.77</v>
      </c>
      <c r="D102" s="10" t="n">
        <v>17.49</v>
      </c>
      <c r="E102" s="10" t="n">
        <v>16.72</v>
      </c>
      <c r="F102" s="10" t="n">
        <v>17.18</v>
      </c>
      <c r="G102" s="10" t="n">
        <v>25.94</v>
      </c>
      <c r="H102" s="10" t="n">
        <v>27.3</v>
      </c>
      <c r="I102" s="10" t="n">
        <v>28.14</v>
      </c>
      <c r="J102" s="11" t="n">
        <v>99.79</v>
      </c>
      <c r="K102" s="11" t="n">
        <v>27.26</v>
      </c>
      <c r="L102" s="11" t="n">
        <v>69.99</v>
      </c>
      <c r="M102" s="11" t="n">
        <v>76.5</v>
      </c>
      <c r="N102" s="11" t="n">
        <v>75.18</v>
      </c>
      <c r="O102" s="10" t="n">
        <v>24.82</v>
      </c>
      <c r="P102" s="10" t="n">
        <v>50.59</v>
      </c>
      <c r="Q102" s="10" t="n">
        <v>25.39</v>
      </c>
      <c r="R102" s="10" t="n">
        <v>50.34</v>
      </c>
    </row>
    <row r="103" customFormat="false" ht="15" hidden="false" customHeight="false" outlineLevel="0" collapsed="false">
      <c r="A103" s="8" t="n">
        <v>41883</v>
      </c>
      <c r="B103" s="10" t="n">
        <v>23.02</v>
      </c>
      <c r="C103" s="10" t="n">
        <v>23.55</v>
      </c>
      <c r="D103" s="10" t="n">
        <v>19.09</v>
      </c>
      <c r="E103" s="10" t="n">
        <v>18.21</v>
      </c>
      <c r="F103" s="10" t="n">
        <v>18.59</v>
      </c>
      <c r="G103" s="10" t="n">
        <v>28.16</v>
      </c>
      <c r="H103" s="10" t="n">
        <v>29.2</v>
      </c>
      <c r="I103" s="10" t="n">
        <v>30.35</v>
      </c>
      <c r="J103" s="11" t="n">
        <v>34.5</v>
      </c>
      <c r="K103" s="11" t="n">
        <v>7.22</v>
      </c>
      <c r="L103" s="11" t="n">
        <v>14.13</v>
      </c>
      <c r="M103" s="11" t="n">
        <v>70.44</v>
      </c>
      <c r="N103" s="11" t="n">
        <v>68.91</v>
      </c>
      <c r="O103" s="10" t="n">
        <v>22.5</v>
      </c>
      <c r="P103" s="10" t="n">
        <v>47.8</v>
      </c>
      <c r="Q103" s="10" t="n">
        <v>19</v>
      </c>
      <c r="R103" s="10" t="n">
        <v>42.33</v>
      </c>
    </row>
    <row r="104" customFormat="false" ht="15" hidden="false" customHeight="false" outlineLevel="0" collapsed="false">
      <c r="A104" s="8" t="n">
        <v>41913</v>
      </c>
      <c r="B104" s="10" t="n">
        <v>23.43</v>
      </c>
      <c r="C104" s="10" t="n">
        <v>23.95</v>
      </c>
      <c r="D104" s="10" t="n">
        <v>19.97</v>
      </c>
      <c r="E104" s="10" t="n">
        <v>19.18</v>
      </c>
      <c r="F104" s="10" t="n">
        <v>19.69</v>
      </c>
      <c r="G104" s="10" t="n">
        <v>28.29</v>
      </c>
      <c r="H104" s="10" t="n">
        <v>29.05</v>
      </c>
      <c r="I104" s="10" t="n">
        <v>29.97</v>
      </c>
      <c r="J104" s="11" t="n">
        <v>175.12</v>
      </c>
      <c r="K104" s="11" t="n">
        <v>195.3</v>
      </c>
      <c r="L104" s="11" t="n">
        <v>156.33</v>
      </c>
      <c r="M104" s="11" t="n">
        <v>72.27</v>
      </c>
      <c r="N104" s="11" t="n">
        <v>70.34</v>
      </c>
      <c r="O104" s="10" t="n">
        <v>22.17</v>
      </c>
      <c r="P104" s="10" t="n">
        <v>48.54</v>
      </c>
      <c r="Q104" s="10" t="n">
        <v>21.39</v>
      </c>
      <c r="R104" s="10" t="n">
        <v>46.06</v>
      </c>
    </row>
    <row r="105" customFormat="false" ht="15" hidden="false" customHeight="false" outlineLevel="0" collapsed="false">
      <c r="A105" s="8" t="n">
        <v>41944</v>
      </c>
      <c r="B105" s="10" t="n">
        <v>23.95</v>
      </c>
      <c r="C105" s="10" t="n">
        <v>24.61</v>
      </c>
      <c r="D105" s="10" t="n">
        <v>20.98</v>
      </c>
      <c r="E105" s="10" t="n">
        <v>20.51</v>
      </c>
      <c r="F105" s="10" t="n">
        <v>20.62</v>
      </c>
      <c r="G105" s="10" t="n">
        <v>27.85</v>
      </c>
      <c r="H105" s="10" t="n">
        <v>28.98</v>
      </c>
      <c r="I105" s="10" t="n">
        <v>30.11</v>
      </c>
      <c r="J105" s="11" t="n">
        <v>115.41</v>
      </c>
      <c r="K105" s="11" t="n">
        <v>169.8</v>
      </c>
      <c r="L105" s="11" t="n">
        <v>100.54</v>
      </c>
      <c r="M105" s="11" t="n">
        <v>78.55</v>
      </c>
      <c r="N105" s="11" t="n">
        <v>77.03</v>
      </c>
      <c r="O105" s="10" t="n">
        <v>35.83</v>
      </c>
      <c r="P105" s="10" t="n">
        <v>53.83</v>
      </c>
      <c r="Q105" s="10" t="n">
        <v>36.61</v>
      </c>
      <c r="R105" s="10" t="n">
        <v>56.42</v>
      </c>
    </row>
    <row r="106" customFormat="false" ht="15" hidden="false" customHeight="false" outlineLevel="0" collapsed="false">
      <c r="A106" s="8" t="n">
        <v>41974</v>
      </c>
      <c r="B106" s="10" t="n">
        <v>24.76</v>
      </c>
      <c r="C106" s="10" t="n">
        <v>25.95</v>
      </c>
      <c r="D106" s="10" t="n">
        <v>21.53</v>
      </c>
      <c r="E106" s="10" t="n">
        <v>21.1</v>
      </c>
      <c r="F106" s="10" t="n">
        <v>21.55</v>
      </c>
      <c r="G106" s="10" t="n">
        <v>28.78</v>
      </c>
      <c r="H106" s="10" t="n">
        <v>30.42</v>
      </c>
      <c r="I106" s="10" t="n">
        <v>31.83</v>
      </c>
      <c r="J106" s="11" t="n">
        <v>86.45</v>
      </c>
      <c r="K106" s="11" t="n">
        <v>67.76</v>
      </c>
      <c r="L106" s="11" t="n">
        <v>58.92</v>
      </c>
      <c r="M106" s="11" t="n">
        <v>79.7</v>
      </c>
      <c r="N106" s="11" t="n">
        <v>72.91</v>
      </c>
      <c r="O106" s="10" t="n">
        <v>35.51</v>
      </c>
      <c r="P106" s="10" t="n">
        <v>50.44</v>
      </c>
      <c r="Q106" s="10" t="n">
        <v>34.89</v>
      </c>
      <c r="R106" s="10" t="n">
        <v>50.06</v>
      </c>
    </row>
    <row r="107" customFormat="false" ht="15" hidden="false" customHeight="false" outlineLevel="0" collapsed="false">
      <c r="A107" s="8" t="n">
        <v>42005</v>
      </c>
      <c r="B107" s="10" t="n">
        <v>26.43</v>
      </c>
      <c r="C107" s="10" t="n">
        <v>27.58</v>
      </c>
      <c r="D107" s="10" t="n">
        <v>22.61</v>
      </c>
      <c r="E107" s="10" t="n">
        <v>22.12</v>
      </c>
      <c r="F107" s="10" t="n">
        <v>22.5</v>
      </c>
      <c r="G107" s="10" t="n">
        <v>31.71</v>
      </c>
      <c r="H107" s="10" t="n">
        <v>33.73</v>
      </c>
      <c r="I107" s="10" t="n">
        <v>34.39</v>
      </c>
      <c r="J107" s="11" t="n">
        <v>11.79</v>
      </c>
      <c r="K107" s="11" t="n">
        <v>7.94</v>
      </c>
      <c r="L107" s="11" t="n">
        <v>10.97</v>
      </c>
      <c r="M107" s="11" t="n">
        <v>72.52</v>
      </c>
      <c r="N107" s="11" t="n">
        <v>65.28</v>
      </c>
      <c r="O107" s="10" t="n">
        <v>28.14</v>
      </c>
      <c r="P107" s="10" t="n">
        <v>45.76</v>
      </c>
      <c r="Q107" s="10" t="n">
        <v>19.43</v>
      </c>
      <c r="R107" s="10" t="n">
        <v>39.39</v>
      </c>
    </row>
    <row r="108" customFormat="false" ht="15" hidden="false" customHeight="false" outlineLevel="0" collapsed="false">
      <c r="A108" s="8" t="n">
        <v>42036</v>
      </c>
      <c r="B108" s="10" t="n">
        <v>26.51</v>
      </c>
      <c r="C108" s="10" t="n">
        <v>26.95</v>
      </c>
      <c r="D108" s="10" t="n">
        <v>23.04</v>
      </c>
      <c r="E108" s="10" t="n">
        <v>22.6</v>
      </c>
      <c r="F108" s="10" t="n">
        <v>22.87</v>
      </c>
      <c r="G108" s="10" t="n">
        <v>31.21</v>
      </c>
      <c r="H108" s="10" t="n">
        <v>33.22</v>
      </c>
      <c r="I108" s="10" t="n">
        <v>32.58</v>
      </c>
      <c r="J108" s="11" t="n">
        <v>123.47</v>
      </c>
      <c r="K108" s="11" t="n">
        <v>73.98</v>
      </c>
      <c r="L108" s="11" t="n">
        <v>101.46</v>
      </c>
      <c r="M108" s="11" t="n">
        <v>76.86</v>
      </c>
      <c r="N108" s="11" t="n">
        <v>73.09</v>
      </c>
      <c r="O108" s="10" t="n">
        <v>25.37</v>
      </c>
      <c r="P108" s="10" t="n">
        <v>47.91</v>
      </c>
      <c r="Q108" s="10" t="n">
        <v>25.2</v>
      </c>
      <c r="R108" s="10" t="n">
        <v>47.11</v>
      </c>
    </row>
    <row r="109" customFormat="false" ht="15" hidden="false" customHeight="false" outlineLevel="0" collapsed="false">
      <c r="A109" s="8" t="n">
        <v>42064</v>
      </c>
      <c r="B109" s="10" t="n">
        <v>25.89</v>
      </c>
      <c r="C109" s="10" t="n">
        <v>26.68</v>
      </c>
      <c r="D109" s="10" t="n">
        <v>22.6</v>
      </c>
      <c r="E109" s="10" t="n">
        <v>22.32</v>
      </c>
      <c r="F109" s="10" t="n">
        <v>22.44</v>
      </c>
      <c r="G109" s="10" t="n">
        <v>30.57</v>
      </c>
      <c r="H109" s="10" t="n">
        <v>32.51</v>
      </c>
      <c r="I109" s="10" t="n">
        <v>32.52</v>
      </c>
      <c r="J109" s="11" t="n">
        <v>135.39</v>
      </c>
      <c r="K109" s="11" t="n">
        <v>109.38</v>
      </c>
      <c r="L109" s="11" t="n">
        <v>111.04</v>
      </c>
      <c r="M109" s="11" t="n">
        <v>79.73</v>
      </c>
      <c r="N109" s="11" t="n">
        <v>75.16</v>
      </c>
      <c r="O109" s="10" t="n">
        <v>26.22</v>
      </c>
      <c r="P109" s="10" t="n">
        <v>50.06</v>
      </c>
      <c r="Q109" s="10" t="n">
        <v>31.64</v>
      </c>
      <c r="R109" s="10" t="n">
        <v>51.48</v>
      </c>
    </row>
    <row r="110" customFormat="false" ht="15" hidden="false" customHeight="false" outlineLevel="0" collapsed="false">
      <c r="A110" s="8" t="n">
        <v>42095</v>
      </c>
      <c r="B110" s="10" t="n">
        <v>24.84</v>
      </c>
      <c r="C110" s="10" t="n">
        <v>25.67</v>
      </c>
      <c r="D110" s="10" t="n">
        <v>21.58</v>
      </c>
      <c r="E110" s="10" t="n">
        <v>21.13</v>
      </c>
      <c r="F110" s="10" t="n">
        <v>21.61</v>
      </c>
      <c r="G110" s="10" t="n">
        <v>29.09</v>
      </c>
      <c r="H110" s="10" t="n">
        <v>31.09</v>
      </c>
      <c r="I110" s="10" t="n">
        <v>31.39</v>
      </c>
      <c r="J110" s="11" t="n">
        <v>44.82</v>
      </c>
      <c r="K110" s="11" t="n">
        <v>37.44</v>
      </c>
      <c r="L110" s="11" t="n">
        <v>46.47</v>
      </c>
      <c r="M110" s="11" t="n">
        <v>76.61</v>
      </c>
      <c r="N110" s="11" t="n">
        <v>73.2</v>
      </c>
      <c r="O110" s="10" t="n">
        <v>25.13</v>
      </c>
      <c r="P110" s="10" t="n">
        <v>47.78</v>
      </c>
      <c r="Q110" s="10" t="n">
        <v>27.1</v>
      </c>
      <c r="R110" s="10" t="n">
        <v>46.51</v>
      </c>
    </row>
    <row r="111" customFormat="false" ht="15" hidden="false" customHeight="false" outlineLevel="0" collapsed="false">
      <c r="A111" s="8" t="n">
        <v>42125</v>
      </c>
      <c r="B111" s="10" t="n">
        <v>23.12</v>
      </c>
      <c r="C111" s="10" t="n">
        <v>23.43</v>
      </c>
      <c r="D111" s="10" t="n">
        <v>20.13</v>
      </c>
      <c r="E111" s="10" t="n">
        <v>19.57</v>
      </c>
      <c r="F111" s="10" t="n">
        <v>19.95</v>
      </c>
      <c r="G111" s="10" t="n">
        <v>27.14</v>
      </c>
      <c r="H111" s="10" t="n">
        <v>28.85</v>
      </c>
      <c r="I111" s="10" t="n">
        <v>28.85</v>
      </c>
      <c r="J111" s="11" t="n">
        <v>70.83</v>
      </c>
      <c r="K111" s="11" t="n">
        <v>43.38</v>
      </c>
      <c r="L111" s="11" t="n">
        <v>85.61</v>
      </c>
      <c r="M111" s="11" t="n">
        <v>78.84</v>
      </c>
      <c r="N111" s="11" t="n">
        <v>78.63</v>
      </c>
      <c r="O111" s="10" t="n">
        <v>23.59</v>
      </c>
      <c r="P111" s="10" t="n">
        <v>49.19</v>
      </c>
      <c r="Q111" s="10" t="n">
        <v>26.69</v>
      </c>
      <c r="R111" s="10" t="n">
        <v>50.32</v>
      </c>
    </row>
    <row r="112" customFormat="false" ht="15" hidden="false" customHeight="false" outlineLevel="0" collapsed="false">
      <c r="A112" s="8" t="n">
        <v>42156</v>
      </c>
      <c r="B112" s="10" t="n">
        <v>22.45</v>
      </c>
      <c r="C112" s="10" t="n">
        <v>22.87</v>
      </c>
      <c r="D112" s="10" t="n">
        <v>19.76</v>
      </c>
      <c r="E112" s="10" t="n">
        <v>18.96</v>
      </c>
      <c r="F112" s="10" t="n">
        <v>19.37</v>
      </c>
      <c r="G112" s="10" t="n">
        <v>26.1</v>
      </c>
      <c r="H112" s="10" t="n">
        <v>27.81</v>
      </c>
      <c r="I112" s="10" t="n">
        <v>28.23</v>
      </c>
      <c r="J112" s="11" t="n">
        <v>53.51</v>
      </c>
      <c r="K112" s="11" t="n">
        <v>38.4</v>
      </c>
      <c r="L112" s="11" t="n">
        <v>68.44</v>
      </c>
      <c r="M112" s="11" t="n">
        <v>80.63</v>
      </c>
      <c r="N112" s="11" t="n">
        <v>79.63</v>
      </c>
      <c r="O112" s="10" t="n">
        <v>22.96</v>
      </c>
      <c r="P112" s="10" t="n">
        <v>49.25</v>
      </c>
      <c r="Q112" s="10" t="n">
        <v>26.4</v>
      </c>
      <c r="R112" s="10" t="n">
        <v>48.31</v>
      </c>
    </row>
    <row r="113" customFormat="false" ht="15" hidden="false" customHeight="false" outlineLevel="0" collapsed="false">
      <c r="A113" s="8" t="n">
        <v>42186</v>
      </c>
      <c r="B113" s="10" t="n">
        <v>21.94</v>
      </c>
      <c r="C113" s="10" t="n">
        <v>22.28</v>
      </c>
      <c r="D113" s="10" t="n">
        <v>18.9</v>
      </c>
      <c r="E113" s="10" t="n">
        <v>18.03</v>
      </c>
      <c r="F113" s="10" t="n">
        <v>18.54</v>
      </c>
      <c r="G113" s="10" t="n">
        <v>25.87</v>
      </c>
      <c r="H113" s="10" t="n">
        <v>27.41</v>
      </c>
      <c r="I113" s="10" t="n">
        <v>27.78</v>
      </c>
      <c r="J113" s="11" t="n">
        <v>44.38</v>
      </c>
      <c r="K113" s="11" t="n">
        <v>19.3</v>
      </c>
      <c r="L113" s="11" t="n">
        <v>26.72</v>
      </c>
      <c r="M113" s="11" t="n">
        <v>82.16</v>
      </c>
      <c r="N113" s="11" t="n">
        <v>78.87</v>
      </c>
      <c r="O113" s="10" t="n">
        <v>22.49</v>
      </c>
      <c r="P113" s="10" t="n">
        <v>48.65</v>
      </c>
      <c r="Q113" s="10" t="n">
        <v>24.68</v>
      </c>
      <c r="R113" s="10" t="n">
        <v>45.23</v>
      </c>
    </row>
    <row r="114" customFormat="false" ht="15" hidden="false" customHeight="false" outlineLevel="0" collapsed="false">
      <c r="A114" s="8" t="n">
        <v>42217</v>
      </c>
      <c r="B114" s="10" t="n">
        <v>22.03</v>
      </c>
      <c r="C114" s="10" t="n">
        <v>22.33</v>
      </c>
      <c r="D114" s="10" t="n">
        <v>18.35</v>
      </c>
      <c r="E114" s="10" t="n">
        <v>17.58</v>
      </c>
      <c r="F114" s="10" t="n">
        <v>17.88</v>
      </c>
      <c r="G114" s="10" t="n">
        <v>26.58</v>
      </c>
      <c r="H114" s="10" t="n">
        <v>27.95</v>
      </c>
      <c r="I114" s="10" t="n">
        <v>28.5</v>
      </c>
      <c r="J114" s="11" t="n">
        <v>37.13</v>
      </c>
      <c r="K114" s="11" t="n">
        <v>23.12</v>
      </c>
      <c r="L114" s="11" t="n">
        <v>37.44</v>
      </c>
      <c r="M114" s="11" t="n">
        <v>75.99</v>
      </c>
      <c r="N114" s="11" t="n">
        <v>74.61</v>
      </c>
      <c r="O114" s="10" t="n">
        <v>21.19</v>
      </c>
      <c r="P114" s="10" t="n">
        <v>47.96</v>
      </c>
      <c r="Q114" s="10" t="n">
        <v>22.41</v>
      </c>
      <c r="R114" s="10" t="n">
        <v>44.85</v>
      </c>
    </row>
    <row r="115" customFormat="false" ht="15" hidden="false" customHeight="false" outlineLevel="0" collapsed="false">
      <c r="A115" s="8" t="n">
        <v>42248</v>
      </c>
      <c r="B115" s="10" t="n">
        <v>24.82</v>
      </c>
      <c r="C115" s="10" t="n">
        <v>25.47</v>
      </c>
      <c r="D115" s="10" t="n">
        <v>20.88</v>
      </c>
      <c r="E115" s="10" t="n">
        <v>20</v>
      </c>
      <c r="F115" s="10" t="n">
        <v>20.11</v>
      </c>
      <c r="G115" s="10" t="n">
        <v>30.55</v>
      </c>
      <c r="H115" s="10" t="n">
        <v>31.58</v>
      </c>
      <c r="I115" s="10" t="n">
        <v>32.86</v>
      </c>
      <c r="J115" s="11" t="n">
        <v>15.3</v>
      </c>
      <c r="K115" s="11" t="n">
        <v>5.54</v>
      </c>
      <c r="L115" s="11" t="n">
        <v>7.7</v>
      </c>
      <c r="M115" s="11" t="n">
        <v>70.31</v>
      </c>
      <c r="N115" s="11" t="n">
        <v>66.96</v>
      </c>
      <c r="O115" s="10" t="n">
        <v>19.93</v>
      </c>
      <c r="P115" s="10" t="n">
        <v>45.71</v>
      </c>
      <c r="Q115" s="10" t="n">
        <v>18.48</v>
      </c>
      <c r="R115" s="10" t="n">
        <v>36.63</v>
      </c>
    </row>
    <row r="116" customFormat="false" ht="15" hidden="false" customHeight="false" outlineLevel="0" collapsed="false">
      <c r="A116" s="8" t="n">
        <v>42278</v>
      </c>
      <c r="B116" s="10" t="n">
        <v>25.48</v>
      </c>
      <c r="C116" s="10" t="n">
        <v>26.12</v>
      </c>
      <c r="D116" s="10" t="n">
        <v>21.8</v>
      </c>
      <c r="E116" s="10" t="n">
        <v>21.01</v>
      </c>
      <c r="F116" s="10" t="n">
        <v>21</v>
      </c>
      <c r="G116" s="10" t="n">
        <v>30.98</v>
      </c>
      <c r="H116" s="10" t="n">
        <v>31.73</v>
      </c>
      <c r="I116" s="10" t="n">
        <v>33.27</v>
      </c>
      <c r="J116" s="11" t="n">
        <v>29.72</v>
      </c>
      <c r="K116" s="11" t="n">
        <v>21.26</v>
      </c>
      <c r="L116" s="11" t="n">
        <v>33.76</v>
      </c>
      <c r="M116" s="11" t="n">
        <v>69.1</v>
      </c>
      <c r="N116" s="11" t="n">
        <v>66.79</v>
      </c>
      <c r="O116" s="10" t="n">
        <v>18.62</v>
      </c>
      <c r="P116" s="10" t="n">
        <v>44.91</v>
      </c>
      <c r="Q116" s="10" t="n">
        <v>16.69</v>
      </c>
      <c r="R116" s="10" t="n">
        <v>36.91</v>
      </c>
    </row>
    <row r="117" customFormat="false" ht="15" hidden="false" customHeight="false" outlineLevel="0" collapsed="false">
      <c r="A117" s="8" t="n">
        <v>42309</v>
      </c>
      <c r="B117" s="10" t="n">
        <v>26.94</v>
      </c>
      <c r="C117" s="10" t="n">
        <v>27.9</v>
      </c>
      <c r="D117" s="10" t="n">
        <v>23.38</v>
      </c>
      <c r="E117" s="10" t="n">
        <v>22.91</v>
      </c>
      <c r="F117" s="10" t="n">
        <v>23.26</v>
      </c>
      <c r="G117" s="10" t="n">
        <v>32.32</v>
      </c>
      <c r="H117" s="10" t="n">
        <v>33.45</v>
      </c>
      <c r="I117" s="10" t="n">
        <v>34.41</v>
      </c>
      <c r="J117" s="11" t="n">
        <v>83.63</v>
      </c>
      <c r="K117" s="11" t="n">
        <v>67.44</v>
      </c>
      <c r="L117" s="11" t="n">
        <v>43.26</v>
      </c>
      <c r="M117" s="11" t="n">
        <v>71.66</v>
      </c>
      <c r="N117" s="11" t="n">
        <v>66.09</v>
      </c>
      <c r="O117" s="10" t="n">
        <v>19.48</v>
      </c>
      <c r="P117" s="10" t="n">
        <v>45.35</v>
      </c>
      <c r="Q117" s="10" t="n">
        <v>24.44</v>
      </c>
      <c r="R117" s="10" t="n">
        <v>39.88</v>
      </c>
    </row>
    <row r="118" customFormat="false" ht="15" hidden="false" customHeight="false" outlineLevel="0" collapsed="false">
      <c r="A118" s="8" t="n">
        <v>42339</v>
      </c>
      <c r="B118" s="10" t="n">
        <v>27.51</v>
      </c>
      <c r="C118" s="10" t="n">
        <v>28.16</v>
      </c>
      <c r="D118" s="10" t="n">
        <v>23.65</v>
      </c>
      <c r="E118" s="10" t="n">
        <v>23.22</v>
      </c>
      <c r="F118" s="10" t="n">
        <v>23.47</v>
      </c>
      <c r="G118" s="10" t="n">
        <v>33.01</v>
      </c>
      <c r="H118" s="10" t="n">
        <v>34.65</v>
      </c>
      <c r="I118" s="10" t="n">
        <v>34.5</v>
      </c>
      <c r="J118" s="11" t="n">
        <v>90.56</v>
      </c>
      <c r="K118" s="11" t="n">
        <v>37.66</v>
      </c>
      <c r="L118" s="11" t="n">
        <v>47.93</v>
      </c>
      <c r="M118" s="11" t="n">
        <v>71.23</v>
      </c>
      <c r="N118" s="11" t="n">
        <v>65.9</v>
      </c>
      <c r="O118" s="10" t="n">
        <v>19.78</v>
      </c>
      <c r="P118" s="10" t="n">
        <v>45.96</v>
      </c>
      <c r="Q118" s="10" t="n">
        <v>22.71</v>
      </c>
      <c r="R118" s="10" t="n">
        <v>42.76</v>
      </c>
    </row>
    <row r="119" customFormat="false" ht="15" hidden="false" customHeight="false" outlineLevel="0" collapsed="false">
      <c r="A119" s="8" t="n">
        <v>42370</v>
      </c>
      <c r="B119" s="10" t="n">
        <v>26.49</v>
      </c>
      <c r="C119" s="10" t="n">
        <v>26.91</v>
      </c>
      <c r="D119" s="10" t="n">
        <v>23.67</v>
      </c>
      <c r="E119" s="10" t="n">
        <v>23.18</v>
      </c>
      <c r="F119" s="10" t="n">
        <v>23.24</v>
      </c>
      <c r="G119" s="10" t="n">
        <v>30.91</v>
      </c>
      <c r="H119" s="10" t="n">
        <v>32.93</v>
      </c>
      <c r="I119" s="10" t="n">
        <v>32.12</v>
      </c>
      <c r="J119" s="11" t="n">
        <v>271.14</v>
      </c>
      <c r="K119" s="11" t="n">
        <v>231.88</v>
      </c>
      <c r="L119" s="11" t="n">
        <v>212.22</v>
      </c>
      <c r="M119" s="11" t="n">
        <v>79.24</v>
      </c>
      <c r="N119" s="11" t="n">
        <v>75.7</v>
      </c>
      <c r="O119" s="10" t="n">
        <v>24.25</v>
      </c>
      <c r="P119" s="10" t="n">
        <v>50.9</v>
      </c>
      <c r="Q119" s="10" t="n">
        <v>32.12</v>
      </c>
      <c r="R119" s="10" t="n">
        <v>53.95</v>
      </c>
    </row>
    <row r="120" customFormat="false" ht="15" hidden="false" customHeight="false" outlineLevel="0" collapsed="false">
      <c r="A120" s="8" t="n">
        <v>42401</v>
      </c>
      <c r="B120" s="10" t="n">
        <v>27.18</v>
      </c>
      <c r="C120" s="10" t="n">
        <v>28.08</v>
      </c>
      <c r="D120" s="10" t="n">
        <v>23.41</v>
      </c>
      <c r="E120" s="10" t="n">
        <v>22.97</v>
      </c>
      <c r="F120" s="10" t="n">
        <v>23.15</v>
      </c>
      <c r="G120" s="10" t="n">
        <v>32.36</v>
      </c>
      <c r="H120" s="10" t="n">
        <v>34.37</v>
      </c>
      <c r="I120" s="10" t="n">
        <v>34.73</v>
      </c>
      <c r="J120" s="11" t="n">
        <v>11.27</v>
      </c>
      <c r="K120" s="11" t="n">
        <v>16.54</v>
      </c>
      <c r="L120" s="11" t="n">
        <v>13.2</v>
      </c>
      <c r="M120" s="11" t="n">
        <v>75.16</v>
      </c>
      <c r="N120" s="11" t="n">
        <v>67.88</v>
      </c>
      <c r="O120" s="10" t="n">
        <v>29.1</v>
      </c>
      <c r="P120" s="10" t="n">
        <v>48.14</v>
      </c>
      <c r="Q120" s="10" t="n">
        <v>24.7</v>
      </c>
      <c r="R120" s="10" t="n">
        <v>45.06</v>
      </c>
    </row>
    <row r="121" customFormat="false" ht="15" hidden="false" customHeight="false" outlineLevel="0" collapsed="false">
      <c r="A121" s="8" t="n">
        <v>42430</v>
      </c>
      <c r="B121" s="10" t="n">
        <v>27.11</v>
      </c>
      <c r="C121" s="10" t="n">
        <v>27.76</v>
      </c>
      <c r="D121" s="10" t="n">
        <v>23.66</v>
      </c>
      <c r="E121" s="10" t="n">
        <v>23.38</v>
      </c>
      <c r="F121" s="10" t="n">
        <v>23.32</v>
      </c>
      <c r="G121" s="10" t="n">
        <v>32.05</v>
      </c>
      <c r="H121" s="10" t="n">
        <v>34</v>
      </c>
      <c r="I121" s="10" t="n">
        <v>33.95</v>
      </c>
      <c r="J121" s="11" t="n">
        <v>31.79</v>
      </c>
      <c r="K121" s="11" t="n">
        <v>34.06</v>
      </c>
      <c r="L121" s="11" t="n">
        <v>45.73</v>
      </c>
      <c r="M121" s="11" t="n">
        <v>75.58</v>
      </c>
      <c r="N121" s="11" t="n">
        <v>69.94</v>
      </c>
      <c r="O121" s="10" t="n">
        <v>24.01</v>
      </c>
      <c r="P121" s="10" t="n">
        <v>46.45</v>
      </c>
      <c r="Q121" s="10" t="n">
        <v>21.03</v>
      </c>
      <c r="R121" s="10" t="n">
        <v>43.95</v>
      </c>
    </row>
    <row r="122" customFormat="false" ht="15" hidden="false" customHeight="false" outlineLevel="0" collapsed="false">
      <c r="A122" s="8" t="n">
        <v>42461</v>
      </c>
      <c r="B122" s="10" t="n">
        <v>26.38</v>
      </c>
      <c r="C122" s="10" t="n">
        <v>26.85</v>
      </c>
      <c r="D122" s="10" t="n">
        <v>22.71</v>
      </c>
      <c r="E122" s="10" t="n">
        <v>22.26</v>
      </c>
      <c r="F122" s="10" t="n">
        <v>22.39</v>
      </c>
      <c r="G122" s="10" t="n">
        <v>31.23</v>
      </c>
      <c r="H122" s="10" t="n">
        <v>33.24</v>
      </c>
      <c r="I122" s="10" t="n">
        <v>33.1</v>
      </c>
      <c r="J122" s="11" t="n">
        <v>39.73</v>
      </c>
      <c r="K122" s="11" t="n">
        <v>19.64</v>
      </c>
      <c r="L122" s="11" t="n">
        <v>27.63</v>
      </c>
      <c r="M122" s="11" t="n">
        <v>74.69</v>
      </c>
      <c r="N122" s="11" t="n">
        <v>70.91</v>
      </c>
      <c r="O122" s="10" t="n">
        <v>21.47</v>
      </c>
      <c r="P122" s="10" t="n">
        <v>45.45</v>
      </c>
      <c r="Q122" s="10" t="n">
        <v>19.48</v>
      </c>
      <c r="R122" s="10" t="n">
        <v>40.41</v>
      </c>
    </row>
    <row r="123" customFormat="false" ht="15" hidden="false" customHeight="false" outlineLevel="0" collapsed="false">
      <c r="A123" s="8" t="n">
        <v>42491</v>
      </c>
      <c r="B123" s="10" t="n">
        <v>24.34</v>
      </c>
      <c r="C123" s="10" t="n">
        <v>24.44</v>
      </c>
      <c r="D123" s="10" t="n">
        <v>20.94</v>
      </c>
      <c r="E123" s="10" t="n">
        <v>20.38</v>
      </c>
      <c r="F123" s="10" t="n">
        <v>20.14</v>
      </c>
      <c r="G123" s="10" t="n">
        <v>28.97</v>
      </c>
      <c r="H123" s="10" t="n">
        <v>30.68</v>
      </c>
      <c r="I123" s="10" t="n">
        <v>30.48</v>
      </c>
      <c r="J123" s="11" t="n">
        <v>22.78</v>
      </c>
      <c r="K123" s="11" t="n">
        <v>17.38</v>
      </c>
      <c r="L123" s="11" t="n">
        <v>47.73</v>
      </c>
      <c r="M123" s="11" t="n">
        <v>74.33</v>
      </c>
      <c r="N123" s="11" t="n">
        <v>73.77</v>
      </c>
      <c r="O123" s="10" t="n">
        <v>20.22</v>
      </c>
      <c r="P123" s="10" t="n">
        <v>46.1</v>
      </c>
      <c r="Q123" s="10" t="n">
        <v>19.83</v>
      </c>
      <c r="R123" s="10" t="n">
        <v>43.13</v>
      </c>
    </row>
    <row r="124" customFormat="false" ht="15" hidden="false" customHeight="false" outlineLevel="0" collapsed="false">
      <c r="A124" s="8" t="n">
        <v>42522</v>
      </c>
      <c r="B124" s="10" t="n">
        <v>22.5</v>
      </c>
      <c r="C124" s="10" t="n">
        <v>23.07</v>
      </c>
      <c r="D124" s="10" t="n">
        <v>19.01</v>
      </c>
      <c r="E124" s="10" t="n">
        <v>18.21</v>
      </c>
      <c r="F124" s="10" t="n">
        <v>18.84</v>
      </c>
      <c r="G124" s="10" t="n">
        <v>27.18</v>
      </c>
      <c r="H124" s="10" t="n">
        <v>28.89</v>
      </c>
      <c r="I124" s="10" t="n">
        <v>29.29</v>
      </c>
      <c r="J124" s="11" t="n">
        <v>34.89</v>
      </c>
      <c r="K124" s="11" t="n">
        <v>17.94</v>
      </c>
      <c r="L124" s="11" t="n">
        <v>30.25</v>
      </c>
      <c r="M124" s="11" t="n">
        <v>74.62</v>
      </c>
      <c r="N124" s="11" t="n">
        <v>72.78</v>
      </c>
      <c r="O124" s="10" t="n">
        <v>19.21</v>
      </c>
      <c r="P124" s="10" t="n">
        <v>45.28</v>
      </c>
      <c r="Q124" s="10" t="n">
        <v>18.36</v>
      </c>
      <c r="R124" s="10" t="n">
        <v>39.85</v>
      </c>
    </row>
    <row r="125" customFormat="false" ht="15" hidden="false" customHeight="false" outlineLevel="0" collapsed="false">
      <c r="A125" s="8" t="n">
        <v>42552</v>
      </c>
      <c r="B125" s="10" t="n">
        <v>21.96</v>
      </c>
      <c r="C125" s="10" t="n">
        <v>22.02</v>
      </c>
      <c r="D125" s="10" t="n">
        <v>18.33</v>
      </c>
      <c r="E125" s="10" t="n">
        <v>17.46</v>
      </c>
      <c r="F125" s="10" t="n">
        <v>17.66</v>
      </c>
      <c r="G125" s="10" t="n">
        <v>26.54</v>
      </c>
      <c r="H125" s="10" t="n">
        <v>28.08</v>
      </c>
      <c r="I125" s="10" t="n">
        <v>28.25</v>
      </c>
      <c r="J125" s="11" t="n">
        <v>41.97</v>
      </c>
      <c r="K125" s="11" t="n">
        <v>18.26</v>
      </c>
      <c r="L125" s="11" t="n">
        <v>50.67</v>
      </c>
      <c r="M125" s="11" t="n">
        <v>75.43</v>
      </c>
      <c r="N125" s="11" t="n">
        <v>75.54</v>
      </c>
      <c r="O125" s="10" t="n">
        <v>19.12</v>
      </c>
      <c r="P125" s="10" t="n">
        <v>46.74</v>
      </c>
      <c r="Q125" s="10" t="n">
        <v>21.11</v>
      </c>
      <c r="R125" s="10" t="n">
        <v>44.6</v>
      </c>
    </row>
    <row r="126" customFormat="false" ht="15" hidden="false" customHeight="false" outlineLevel="0" collapsed="false">
      <c r="A126" s="8" t="n">
        <v>42583</v>
      </c>
      <c r="B126" s="10" t="n">
        <v>23.11</v>
      </c>
      <c r="C126" s="10" t="n">
        <v>23</v>
      </c>
      <c r="D126" s="10" t="n">
        <v>19.38</v>
      </c>
      <c r="E126" s="10" t="n">
        <v>18.61</v>
      </c>
      <c r="F126" s="10" t="n">
        <v>18.26</v>
      </c>
      <c r="G126" s="10" t="n">
        <v>28.24</v>
      </c>
      <c r="H126" s="10" t="n">
        <v>29.6</v>
      </c>
      <c r="I126" s="10" t="n">
        <v>29.57</v>
      </c>
      <c r="J126" s="11" t="n">
        <v>25.15</v>
      </c>
      <c r="K126" s="11" t="n">
        <v>7.26</v>
      </c>
      <c r="L126" s="11" t="n">
        <v>18.51</v>
      </c>
      <c r="M126" s="11" t="n">
        <v>71.16</v>
      </c>
      <c r="N126" s="11" t="n">
        <v>72.38</v>
      </c>
      <c r="O126" s="10" t="n">
        <v>18.51</v>
      </c>
      <c r="P126" s="10" t="n">
        <v>46.21</v>
      </c>
      <c r="Q126" s="10" t="n">
        <v>18.37</v>
      </c>
      <c r="R126" s="10" t="n">
        <v>40.88</v>
      </c>
    </row>
    <row r="127" customFormat="false" ht="15" hidden="false" customHeight="false" outlineLevel="0" collapsed="false">
      <c r="A127" s="8" t="n">
        <v>42614</v>
      </c>
      <c r="B127" s="10" t="n">
        <v>23.8</v>
      </c>
      <c r="C127" s="10" t="n">
        <v>24.31</v>
      </c>
      <c r="D127" s="10" t="n">
        <v>20.28</v>
      </c>
      <c r="E127" s="10" t="n">
        <v>19.4</v>
      </c>
      <c r="F127" s="10" t="n">
        <v>19.62</v>
      </c>
      <c r="G127" s="10" t="n">
        <v>28.79</v>
      </c>
      <c r="H127" s="10" t="n">
        <v>29.83</v>
      </c>
      <c r="I127" s="10" t="n">
        <v>30.93</v>
      </c>
      <c r="J127" s="11" t="n">
        <v>35.2</v>
      </c>
      <c r="K127" s="11" t="n">
        <v>21.44</v>
      </c>
      <c r="L127" s="11" t="n">
        <v>29.98</v>
      </c>
      <c r="M127" s="11" t="n">
        <v>71.94</v>
      </c>
      <c r="N127" s="11" t="n">
        <v>69.19</v>
      </c>
      <c r="O127" s="10" t="n">
        <v>18.01</v>
      </c>
      <c r="P127" s="10" t="n">
        <v>45.37</v>
      </c>
      <c r="Q127" s="10" t="n">
        <v>18.76</v>
      </c>
      <c r="R127" s="10" t="n">
        <v>39.35</v>
      </c>
    </row>
    <row r="128" customFormat="false" ht="15" hidden="false" customHeight="false" outlineLevel="0" collapsed="false">
      <c r="A128" s="8" t="n">
        <v>42644</v>
      </c>
      <c r="B128" s="10" t="n">
        <v>24.26</v>
      </c>
      <c r="C128" s="10" t="n">
        <v>25.3</v>
      </c>
      <c r="D128" s="10" t="n">
        <v>21.2</v>
      </c>
      <c r="E128" s="10" t="n">
        <v>20.41</v>
      </c>
      <c r="F128" s="10" t="n">
        <v>20.83</v>
      </c>
      <c r="G128" s="10" t="n">
        <v>28.72</v>
      </c>
      <c r="H128" s="10" t="n">
        <v>29.47</v>
      </c>
      <c r="I128" s="10" t="n">
        <v>31.78</v>
      </c>
      <c r="J128" s="11" t="n">
        <v>73.37</v>
      </c>
      <c r="K128" s="11" t="n">
        <v>75.4</v>
      </c>
      <c r="L128" s="11" t="n">
        <v>62.09</v>
      </c>
      <c r="M128" s="11" t="n">
        <v>75.64</v>
      </c>
      <c r="N128" s="11" t="n">
        <v>70.63</v>
      </c>
      <c r="O128" s="10" t="n">
        <v>19.84</v>
      </c>
      <c r="P128" s="10" t="n">
        <v>46.23</v>
      </c>
      <c r="Q128" s="10" t="n">
        <v>25.99</v>
      </c>
      <c r="R128" s="10" t="n">
        <v>43.02</v>
      </c>
    </row>
    <row r="129" customFormat="false" ht="15" hidden="false" customHeight="false" outlineLevel="0" collapsed="false">
      <c r="A129" s="8" t="n">
        <v>42675</v>
      </c>
      <c r="B129" s="10" t="n">
        <v>24.46</v>
      </c>
      <c r="C129" s="10" t="n">
        <v>24.81</v>
      </c>
      <c r="D129" s="10" t="n">
        <v>21.54</v>
      </c>
      <c r="E129" s="10" t="n">
        <v>21.07</v>
      </c>
      <c r="F129" s="10" t="n">
        <v>21.12</v>
      </c>
      <c r="G129" s="10" t="n">
        <v>28.5</v>
      </c>
      <c r="H129" s="10" t="n">
        <v>29.62</v>
      </c>
      <c r="I129" s="10" t="n">
        <v>30.05</v>
      </c>
      <c r="J129" s="11" t="n">
        <v>237.23</v>
      </c>
      <c r="K129" s="11" t="n">
        <v>196.12</v>
      </c>
      <c r="L129" s="11" t="n">
        <v>218.51</v>
      </c>
      <c r="M129" s="11" t="n">
        <v>79.72</v>
      </c>
      <c r="N129" s="11" t="n">
        <v>78.6</v>
      </c>
      <c r="O129" s="10" t="n">
        <v>25.12</v>
      </c>
      <c r="P129" s="10" t="n">
        <v>53.33</v>
      </c>
      <c r="Q129" s="10" t="n">
        <v>34.65</v>
      </c>
      <c r="R129" s="10" t="n">
        <v>58.13</v>
      </c>
    </row>
    <row r="130" customFormat="false" ht="15" hidden="false" customHeight="false" outlineLevel="0" collapsed="false">
      <c r="A130" s="8" t="n">
        <v>42705</v>
      </c>
      <c r="B130" s="10" t="n">
        <v>25.9</v>
      </c>
      <c r="C130" s="10" t="n">
        <v>25.84</v>
      </c>
      <c r="D130" s="10" t="n">
        <v>22.89</v>
      </c>
      <c r="E130" s="10" t="n">
        <v>22.46</v>
      </c>
      <c r="F130" s="10" t="n">
        <v>22.1</v>
      </c>
      <c r="G130" s="10" t="n">
        <v>30.23</v>
      </c>
      <c r="H130" s="10" t="n">
        <v>31.86</v>
      </c>
      <c r="I130" s="10" t="n">
        <v>30.8</v>
      </c>
      <c r="J130" s="11" t="n">
        <v>163.16</v>
      </c>
      <c r="K130" s="11" t="n">
        <v>111.44</v>
      </c>
      <c r="L130" s="11" t="n">
        <v>117.63</v>
      </c>
      <c r="M130" s="11" t="n">
        <v>78.97</v>
      </c>
      <c r="N130" s="11" t="n">
        <v>78.98</v>
      </c>
      <c r="O130" s="10" t="n">
        <v>30.86</v>
      </c>
      <c r="P130" s="10" t="n">
        <v>53.59</v>
      </c>
      <c r="Q130" s="10" t="n">
        <v>35.35</v>
      </c>
      <c r="R130" s="10" t="n">
        <v>56.77</v>
      </c>
    </row>
    <row r="131" customFormat="false" ht="15" hidden="false" customHeight="false" outlineLevel="0" collapsed="false">
      <c r="A131" s="8" t="n">
        <v>42736</v>
      </c>
      <c r="B131" s="10" t="n">
        <v>26.94</v>
      </c>
      <c r="C131" s="10" t="n">
        <v>26.92</v>
      </c>
      <c r="D131" s="10" t="n">
        <v>23.37</v>
      </c>
      <c r="E131" s="10" t="n">
        <v>22.89</v>
      </c>
      <c r="F131" s="10" t="n">
        <v>22.29</v>
      </c>
      <c r="G131" s="10" t="n">
        <v>32.08</v>
      </c>
      <c r="H131" s="10" t="n">
        <v>34.11</v>
      </c>
      <c r="I131" s="10" t="n">
        <v>33.05</v>
      </c>
      <c r="J131" s="11" t="n">
        <v>31.32</v>
      </c>
      <c r="K131" s="11" t="n">
        <v>15.92</v>
      </c>
      <c r="L131" s="11" t="n">
        <v>41.01</v>
      </c>
      <c r="M131" s="11" t="n">
        <v>71.53</v>
      </c>
      <c r="N131" s="11" t="n">
        <v>69.12</v>
      </c>
      <c r="O131" s="10" t="n">
        <v>25.04</v>
      </c>
      <c r="P131" s="10" t="n">
        <v>47.85</v>
      </c>
      <c r="Q131" s="10" t="n">
        <v>19.03</v>
      </c>
      <c r="R131" s="10" t="n">
        <v>45.37</v>
      </c>
    </row>
    <row r="132" customFormat="false" ht="15" hidden="false" customHeight="false" outlineLevel="0" collapsed="false">
      <c r="A132" s="8" t="n">
        <v>42767</v>
      </c>
      <c r="B132" s="10" t="n">
        <v>25.84</v>
      </c>
      <c r="C132" s="10" t="n">
        <v>25.94</v>
      </c>
      <c r="D132" s="10" t="n">
        <v>22.8</v>
      </c>
      <c r="E132" s="10" t="n">
        <v>22.36</v>
      </c>
      <c r="F132" s="10" t="n">
        <v>22.23</v>
      </c>
      <c r="G132" s="10" t="n">
        <v>30.03</v>
      </c>
      <c r="H132" s="10" t="n">
        <v>32.04</v>
      </c>
      <c r="I132" s="10" t="n">
        <v>31.16</v>
      </c>
      <c r="J132" s="11" t="n">
        <v>124.47</v>
      </c>
      <c r="K132" s="11" t="n">
        <v>97.38</v>
      </c>
      <c r="L132" s="11" t="n">
        <v>133.78</v>
      </c>
      <c r="M132" s="11" t="n">
        <v>80.3</v>
      </c>
      <c r="N132" s="11" t="n">
        <v>77.38</v>
      </c>
      <c r="O132" s="10" t="n">
        <v>25.84</v>
      </c>
      <c r="P132" s="10" t="n">
        <v>50.79</v>
      </c>
      <c r="Q132" s="10" t="n">
        <v>31.51</v>
      </c>
      <c r="R132" s="10" t="n">
        <v>53.39</v>
      </c>
    </row>
    <row r="133" customFormat="false" ht="15" hidden="false" customHeight="false" outlineLevel="0" collapsed="false">
      <c r="A133" s="8" t="n">
        <v>42795</v>
      </c>
      <c r="B133" s="10" t="n">
        <v>26.33</v>
      </c>
      <c r="C133" s="10" t="n">
        <v>26.25</v>
      </c>
      <c r="D133" s="10" t="n">
        <v>22.77</v>
      </c>
      <c r="E133" s="10" t="n">
        <v>22.49</v>
      </c>
      <c r="F133" s="10" t="n">
        <v>21.87</v>
      </c>
      <c r="G133" s="10" t="n">
        <v>31.43</v>
      </c>
      <c r="H133" s="10" t="n">
        <v>33.37</v>
      </c>
      <c r="I133" s="10" t="n">
        <v>32.16</v>
      </c>
      <c r="J133" s="11" t="n">
        <v>74.13</v>
      </c>
      <c r="K133" s="11" t="n">
        <v>73.36</v>
      </c>
      <c r="L133" s="11" t="n">
        <v>95.79</v>
      </c>
      <c r="M133" s="11" t="n">
        <v>73.99</v>
      </c>
      <c r="N133" s="11" t="n">
        <v>73.67</v>
      </c>
      <c r="O133" s="10" t="n">
        <v>23.24</v>
      </c>
      <c r="P133" s="10" t="n">
        <v>48.88</v>
      </c>
      <c r="Q133" s="10" t="n">
        <v>23.85</v>
      </c>
      <c r="R133" s="10" t="n">
        <v>48.9</v>
      </c>
    </row>
    <row r="134" customFormat="false" ht="15" hidden="false" customHeight="false" outlineLevel="0" collapsed="false">
      <c r="A134" s="8" t="n">
        <v>42826</v>
      </c>
      <c r="B134" s="10" t="n">
        <v>25.11</v>
      </c>
      <c r="C134" s="10" t="n">
        <v>25.58</v>
      </c>
      <c r="D134" s="10" t="n">
        <v>21.84</v>
      </c>
      <c r="E134" s="10" t="n">
        <v>21.39</v>
      </c>
      <c r="F134" s="10" t="n">
        <v>21.46</v>
      </c>
      <c r="G134" s="10" t="n">
        <v>29.34</v>
      </c>
      <c r="H134" s="10" t="n">
        <v>31.34</v>
      </c>
      <c r="I134" s="10" t="n">
        <v>31.49</v>
      </c>
      <c r="J134" s="11" t="n">
        <v>34.76</v>
      </c>
      <c r="K134" s="11" t="n">
        <v>21.94</v>
      </c>
      <c r="L134" s="11" t="n">
        <v>32.03</v>
      </c>
      <c r="M134" s="11" t="n">
        <v>75.57</v>
      </c>
      <c r="N134" s="11" t="n">
        <v>73.51</v>
      </c>
      <c r="O134" s="10" t="n">
        <v>22.88</v>
      </c>
      <c r="P134" s="10" t="n">
        <v>47.91</v>
      </c>
      <c r="Q134" s="10" t="n">
        <v>24.81</v>
      </c>
      <c r="R134" s="10" t="n">
        <v>45.74</v>
      </c>
    </row>
    <row r="135" customFormat="false" ht="15" hidden="false" customHeight="false" outlineLevel="0" collapsed="false">
      <c r="A135" s="8" t="n">
        <v>42856</v>
      </c>
      <c r="B135" s="10" t="n">
        <v>23.16</v>
      </c>
      <c r="C135" s="10" t="n">
        <v>23.09</v>
      </c>
      <c r="D135" s="10" t="n">
        <v>20.27</v>
      </c>
      <c r="E135" s="10" t="n">
        <v>19.71</v>
      </c>
      <c r="F135" s="10" t="n">
        <v>19.5</v>
      </c>
      <c r="G135" s="10" t="n">
        <v>26.84</v>
      </c>
      <c r="H135" s="10" t="n">
        <v>28.55</v>
      </c>
      <c r="I135" s="10" t="n">
        <v>28.37</v>
      </c>
      <c r="J135" s="11" t="n">
        <v>86.96</v>
      </c>
      <c r="K135" s="11" t="n">
        <v>74.58</v>
      </c>
      <c r="L135" s="11" t="n">
        <v>130.72</v>
      </c>
      <c r="M135" s="11" t="n">
        <v>76.92</v>
      </c>
      <c r="N135" s="11" t="n">
        <v>77.88</v>
      </c>
      <c r="O135" s="10" t="n">
        <v>22.06</v>
      </c>
      <c r="P135" s="10" t="n">
        <v>50.67</v>
      </c>
      <c r="Q135" s="10" t="n">
        <v>26.33</v>
      </c>
      <c r="R135" s="10" t="n">
        <v>52.23</v>
      </c>
    </row>
    <row r="136" customFormat="false" ht="15" hidden="false" customHeight="false" outlineLevel="0" collapsed="false">
      <c r="A136" s="8" t="n">
        <v>42887</v>
      </c>
      <c r="B136" s="10" t="n">
        <v>22.38</v>
      </c>
      <c r="C136" s="10" t="n">
        <v>22.46</v>
      </c>
      <c r="D136" s="10" t="n">
        <v>19.46</v>
      </c>
      <c r="E136" s="10" t="n">
        <v>18.66</v>
      </c>
      <c r="F136" s="10" t="n">
        <v>18.9</v>
      </c>
      <c r="G136" s="10" t="n">
        <v>26.53</v>
      </c>
      <c r="H136" s="10" t="n">
        <v>28.24</v>
      </c>
      <c r="I136" s="10" t="n">
        <v>27.79</v>
      </c>
      <c r="J136" s="11" t="n">
        <v>59.91</v>
      </c>
      <c r="K136" s="11" t="n">
        <v>27.74</v>
      </c>
      <c r="L136" s="11" t="n">
        <v>92.08</v>
      </c>
      <c r="M136" s="11" t="n">
        <v>82</v>
      </c>
      <c r="N136" s="11" t="n">
        <v>81.11</v>
      </c>
      <c r="O136" s="10" t="n">
        <v>22.72</v>
      </c>
      <c r="P136" s="10" t="n">
        <v>51.08</v>
      </c>
      <c r="Q136" s="10" t="n">
        <v>26.67</v>
      </c>
      <c r="R136" s="10" t="n">
        <v>52.97</v>
      </c>
    </row>
    <row r="137" customFormat="false" ht="15" hidden="false" customHeight="false" outlineLevel="0" collapsed="false">
      <c r="A137" s="8" t="n">
        <v>42917</v>
      </c>
      <c r="B137" s="10" t="n">
        <v>20.49</v>
      </c>
      <c r="C137" s="10" t="n">
        <v>20.13</v>
      </c>
      <c r="D137" s="10" t="n">
        <v>17.59</v>
      </c>
      <c r="E137" s="10" t="n">
        <v>16.72</v>
      </c>
      <c r="F137" s="10" t="n">
        <v>16.79</v>
      </c>
      <c r="G137" s="10" t="n">
        <v>24.41</v>
      </c>
      <c r="H137" s="10" t="n">
        <v>25.95</v>
      </c>
      <c r="I137" s="10" t="n">
        <v>25.09</v>
      </c>
      <c r="J137" s="11" t="n">
        <v>75.07</v>
      </c>
      <c r="K137" s="11" t="n">
        <v>29.68</v>
      </c>
      <c r="L137" s="11" t="n">
        <v>83.46</v>
      </c>
      <c r="M137" s="11" t="n">
        <v>78.15</v>
      </c>
      <c r="N137" s="11" t="n">
        <v>81.07</v>
      </c>
      <c r="O137" s="10" t="n">
        <v>21.96</v>
      </c>
      <c r="P137" s="10" t="n">
        <v>53.39</v>
      </c>
      <c r="Q137" s="10" t="n">
        <v>26.39</v>
      </c>
      <c r="R137" s="10" t="n">
        <v>56.77</v>
      </c>
    </row>
    <row r="138" customFormat="false" ht="15" hidden="false" customHeight="false" outlineLevel="0" collapsed="false">
      <c r="A138" s="8" t="n">
        <v>42948</v>
      </c>
      <c r="B138" s="10" t="n">
        <v>21.16</v>
      </c>
      <c r="C138" s="10" t="n">
        <v>20.76</v>
      </c>
      <c r="D138" s="10" t="n">
        <v>17.26</v>
      </c>
      <c r="E138" s="10" t="n">
        <v>16.49</v>
      </c>
      <c r="F138" s="10" t="n">
        <v>16.12</v>
      </c>
      <c r="G138" s="10" t="n">
        <v>25.82</v>
      </c>
      <c r="H138" s="10" t="n">
        <v>27.18</v>
      </c>
      <c r="I138" s="10" t="n">
        <v>27.06</v>
      </c>
      <c r="J138" s="11" t="n">
        <v>25.88</v>
      </c>
      <c r="K138" s="11" t="n">
        <v>5.62</v>
      </c>
      <c r="L138" s="11" t="n">
        <v>21.41</v>
      </c>
      <c r="M138" s="11" t="n">
        <v>71.46</v>
      </c>
      <c r="N138" s="11" t="n">
        <v>75.43</v>
      </c>
      <c r="O138" s="10" t="n">
        <v>20.41</v>
      </c>
      <c r="P138" s="10" t="n">
        <v>50.66</v>
      </c>
      <c r="Q138" s="10" t="n">
        <v>19.91</v>
      </c>
      <c r="R138" s="10" t="n">
        <v>49.54</v>
      </c>
    </row>
    <row r="139" customFormat="false" ht="15" hidden="false" customHeight="false" outlineLevel="0" collapsed="false">
      <c r="A139" s="8" t="n">
        <v>42979</v>
      </c>
      <c r="B139" s="10" t="n">
        <v>22</v>
      </c>
      <c r="C139" s="10" t="n">
        <v>21.99</v>
      </c>
      <c r="D139" s="10" t="n">
        <v>18.63</v>
      </c>
      <c r="E139" s="10" t="n">
        <v>17.75</v>
      </c>
      <c r="F139" s="10" t="n">
        <v>17.78</v>
      </c>
      <c r="G139" s="10" t="n">
        <v>26.3</v>
      </c>
      <c r="H139" s="10" t="n">
        <v>27.34</v>
      </c>
      <c r="I139" s="10" t="n">
        <v>27.91</v>
      </c>
      <c r="J139" s="11" t="n">
        <v>56.52</v>
      </c>
      <c r="K139" s="11" t="n">
        <v>22.66</v>
      </c>
      <c r="L139" s="11" t="n">
        <v>53.31</v>
      </c>
      <c r="M139" s="11" t="n">
        <v>73.57</v>
      </c>
      <c r="N139" s="11" t="n">
        <v>74.31</v>
      </c>
      <c r="O139" s="10" t="n">
        <v>19.38</v>
      </c>
      <c r="P139" s="10" t="n">
        <v>49.13</v>
      </c>
      <c r="Q139" s="10" t="n">
        <v>20.15</v>
      </c>
      <c r="R139" s="10" t="n">
        <v>47.83</v>
      </c>
    </row>
    <row r="140" customFormat="false" ht="15" hidden="false" customHeight="false" outlineLevel="0" collapsed="false">
      <c r="A140" s="8" t="n">
        <v>43009</v>
      </c>
      <c r="B140" s="10" t="n">
        <v>24.91</v>
      </c>
      <c r="C140" s="10" t="n">
        <v>25.34</v>
      </c>
      <c r="D140" s="10" t="n">
        <v>21.25</v>
      </c>
      <c r="E140" s="10" t="n">
        <v>20.46</v>
      </c>
      <c r="F140" s="10" t="n">
        <v>20.62</v>
      </c>
      <c r="G140" s="10" t="n">
        <v>30.41</v>
      </c>
      <c r="H140" s="10" t="n">
        <v>31.16</v>
      </c>
      <c r="I140" s="10" t="n">
        <v>32.06</v>
      </c>
      <c r="J140" s="11" t="n">
        <v>49.92</v>
      </c>
      <c r="K140" s="11" t="n">
        <v>31.28</v>
      </c>
      <c r="L140" s="11" t="n">
        <v>19.04</v>
      </c>
      <c r="M140" s="11" t="n">
        <v>71.51</v>
      </c>
      <c r="N140" s="11" t="n">
        <v>68.67</v>
      </c>
      <c r="O140" s="10" t="n">
        <v>18.87</v>
      </c>
      <c r="P140" s="10" t="n">
        <v>46.81</v>
      </c>
      <c r="Q140" s="10" t="n">
        <v>20.76</v>
      </c>
      <c r="R140" s="10" t="n">
        <v>41.48</v>
      </c>
    </row>
    <row r="141" customFormat="false" ht="15" hidden="false" customHeight="false" outlineLevel="0" collapsed="false">
      <c r="A141" s="8" t="n">
        <v>43040</v>
      </c>
      <c r="B141" s="10" t="n">
        <v>24.1</v>
      </c>
      <c r="C141" s="10" t="n">
        <v>25.1</v>
      </c>
      <c r="D141" s="10" t="n">
        <v>21.43</v>
      </c>
      <c r="E141" s="10" t="n">
        <v>20.96</v>
      </c>
      <c r="F141" s="10" t="n">
        <v>21.2</v>
      </c>
      <c r="G141" s="10" t="n">
        <v>27.83</v>
      </c>
      <c r="H141" s="10" t="n">
        <v>28.96</v>
      </c>
      <c r="I141" s="10" t="n">
        <v>30.8</v>
      </c>
      <c r="J141" s="11" t="n">
        <v>132.64</v>
      </c>
      <c r="K141" s="11" t="n">
        <v>145.94</v>
      </c>
      <c r="L141" s="11" t="n">
        <v>115.17</v>
      </c>
      <c r="M141" s="11" t="n">
        <v>79.18</v>
      </c>
      <c r="N141" s="11" t="n">
        <v>74.71</v>
      </c>
      <c r="O141" s="10" t="n">
        <v>24.39</v>
      </c>
      <c r="P141" s="10" t="n">
        <v>49.68</v>
      </c>
      <c r="Q141" s="10" t="n">
        <v>33.34</v>
      </c>
      <c r="R141" s="10" t="n">
        <v>51.12</v>
      </c>
    </row>
    <row r="142" customFormat="false" ht="15" hidden="false" customHeight="false" outlineLevel="0" collapsed="false">
      <c r="A142" s="8" t="n">
        <v>43070</v>
      </c>
      <c r="B142" s="10" t="n">
        <v>24.94</v>
      </c>
      <c r="C142" s="10" t="n">
        <v>25.06</v>
      </c>
      <c r="D142" s="10" t="n">
        <v>22.27</v>
      </c>
      <c r="E142" s="10" t="n">
        <v>21.84</v>
      </c>
      <c r="F142" s="10" t="n">
        <v>21.72</v>
      </c>
      <c r="G142" s="10" t="n">
        <v>28.76</v>
      </c>
      <c r="H142" s="10" t="n">
        <v>30.39</v>
      </c>
      <c r="I142" s="10" t="n">
        <v>29.75</v>
      </c>
      <c r="J142" s="11" t="n">
        <v>310.14</v>
      </c>
      <c r="K142" s="11" t="n">
        <v>306.42</v>
      </c>
      <c r="L142" s="11" t="n">
        <v>275.72</v>
      </c>
      <c r="M142" s="11" t="n">
        <v>83.67</v>
      </c>
      <c r="N142" s="11" t="n">
        <v>83.12</v>
      </c>
      <c r="O142" s="10" t="n">
        <v>36.6</v>
      </c>
      <c r="P142" s="10" t="n">
        <v>59.05</v>
      </c>
      <c r="Q142" s="10" t="n">
        <v>37.92</v>
      </c>
      <c r="R142" s="10" t="n">
        <v>65.1</v>
      </c>
    </row>
    <row r="143" customFormat="false" ht="15" hidden="false" customHeight="false" outlineLevel="0" collapsed="false">
      <c r="A143" s="8" t="n">
        <v>43101</v>
      </c>
      <c r="B143" s="10" t="n">
        <v>26.2</v>
      </c>
      <c r="C143" s="10" t="n">
        <v>26.3</v>
      </c>
      <c r="D143" s="10" t="n">
        <v>22.98</v>
      </c>
      <c r="E143" s="10" t="n">
        <v>22.49</v>
      </c>
      <c r="F143" s="10" t="n">
        <v>22.13</v>
      </c>
      <c r="G143" s="10" t="n">
        <v>30.7</v>
      </c>
      <c r="H143" s="10" t="n">
        <v>32.72</v>
      </c>
      <c r="I143" s="10" t="n">
        <v>31.98</v>
      </c>
      <c r="J143" s="11" t="n">
        <v>117.7</v>
      </c>
      <c r="K143" s="11" t="n">
        <v>95.78</v>
      </c>
      <c r="L143" s="11" t="n">
        <v>51.82</v>
      </c>
      <c r="M143" s="11" t="n">
        <v>78.42</v>
      </c>
      <c r="N143" s="11" t="n">
        <v>74.89</v>
      </c>
      <c r="O143" s="10" t="n">
        <v>33.23</v>
      </c>
      <c r="P143" s="10" t="n">
        <v>51.41</v>
      </c>
      <c r="Q143" s="10" t="n">
        <v>29.74</v>
      </c>
      <c r="R143" s="10" t="n">
        <v>51.2</v>
      </c>
    </row>
    <row r="144" customFormat="false" ht="15" hidden="false" customHeight="false" outlineLevel="0" collapsed="false">
      <c r="A144" s="8" t="n">
        <v>43132</v>
      </c>
      <c r="B144" s="10" t="n">
        <v>25.29</v>
      </c>
      <c r="C144" s="10" t="n">
        <v>25.47</v>
      </c>
      <c r="D144" s="10" t="n">
        <v>22.65</v>
      </c>
      <c r="E144" s="10" t="n">
        <v>22.2</v>
      </c>
      <c r="F144" s="10" t="n">
        <v>22.25</v>
      </c>
      <c r="G144" s="10" t="n">
        <v>29.04</v>
      </c>
      <c r="H144" s="10" t="n">
        <v>31.06</v>
      </c>
      <c r="I144" s="10" t="n">
        <v>30.03</v>
      </c>
      <c r="J144" s="11" t="n">
        <v>234.6</v>
      </c>
      <c r="K144" s="11" t="n">
        <v>243.62</v>
      </c>
      <c r="L144" s="11" t="n">
        <v>208.71</v>
      </c>
      <c r="M144" s="11" t="n">
        <v>84.57</v>
      </c>
      <c r="N144" s="11" t="n">
        <v>83.22</v>
      </c>
      <c r="O144" s="10" t="n">
        <v>38.68</v>
      </c>
      <c r="P144" s="10" t="n">
        <v>58.01</v>
      </c>
      <c r="Q144" s="10" t="n">
        <v>37.96</v>
      </c>
      <c r="R144" s="10" t="n">
        <v>63.61</v>
      </c>
    </row>
    <row r="145" customFormat="false" ht="15" hidden="false" customHeight="false" outlineLevel="0" collapsed="false">
      <c r="A145" s="8" t="n">
        <v>43160</v>
      </c>
      <c r="B145" s="10" t="n">
        <v>25.92</v>
      </c>
      <c r="C145" s="10" t="n">
        <v>26.11</v>
      </c>
      <c r="D145" s="10" t="n">
        <v>22.99</v>
      </c>
      <c r="E145" s="10" t="n">
        <v>22.71</v>
      </c>
      <c r="F145" s="10" t="n">
        <v>22.64</v>
      </c>
      <c r="G145" s="10" t="n">
        <v>30.1</v>
      </c>
      <c r="H145" s="10" t="n">
        <v>32.04</v>
      </c>
      <c r="I145" s="10" t="n">
        <v>31.02</v>
      </c>
      <c r="J145" s="11" t="n">
        <v>137.57</v>
      </c>
      <c r="K145" s="11" t="n">
        <v>138.86</v>
      </c>
      <c r="L145" s="11" t="n">
        <v>86.46</v>
      </c>
      <c r="M145" s="11" t="n">
        <v>82.97</v>
      </c>
      <c r="N145" s="11" t="n">
        <v>80.15</v>
      </c>
      <c r="O145" s="10" t="n">
        <v>36.64</v>
      </c>
      <c r="P145" s="10" t="n">
        <v>52.99</v>
      </c>
      <c r="Q145" s="10" t="n">
        <v>36.03</v>
      </c>
      <c r="R145" s="10" t="n">
        <v>55.21</v>
      </c>
    </row>
    <row r="146" customFormat="false" ht="15" hidden="false" customHeight="false" outlineLevel="0" collapsed="false">
      <c r="A146" s="8" t="n">
        <v>43191</v>
      </c>
      <c r="B146" s="10" t="n">
        <v>23.79</v>
      </c>
      <c r="C146" s="10" t="n">
        <v>24.1</v>
      </c>
      <c r="D146" s="10" t="n">
        <v>21.31</v>
      </c>
      <c r="E146" s="10" t="n">
        <v>20.86</v>
      </c>
      <c r="F146" s="10" t="n">
        <v>20.75</v>
      </c>
      <c r="G146" s="10" t="n">
        <v>27.41</v>
      </c>
      <c r="H146" s="10" t="n">
        <v>29.41</v>
      </c>
      <c r="I146" s="10" t="n">
        <v>29.11</v>
      </c>
      <c r="J146" s="11" t="n">
        <v>123.36</v>
      </c>
      <c r="K146" s="11" t="n">
        <v>96.1</v>
      </c>
      <c r="L146" s="11" t="n">
        <v>143.85</v>
      </c>
      <c r="M146" s="11" t="n">
        <v>84.43</v>
      </c>
      <c r="N146" s="11" t="n">
        <v>81.78</v>
      </c>
      <c r="O146" s="10" t="n">
        <v>35.34</v>
      </c>
      <c r="P146" s="10" t="n">
        <v>53.91</v>
      </c>
      <c r="Q146" s="10" t="n">
        <v>36.53</v>
      </c>
      <c r="R146" s="10" t="n">
        <v>57.87</v>
      </c>
    </row>
    <row r="147" customFormat="false" ht="15" hidden="false" customHeight="false" outlineLevel="0" collapsed="false">
      <c r="A147" s="8" t="n">
        <v>43221</v>
      </c>
      <c r="B147" s="10" t="n">
        <v>22.54</v>
      </c>
      <c r="C147" s="10" t="n">
        <v>22.63</v>
      </c>
      <c r="D147" s="10" t="n">
        <v>19.82</v>
      </c>
      <c r="E147" s="10" t="n">
        <v>19.26</v>
      </c>
      <c r="F147" s="10" t="n">
        <v>19.26</v>
      </c>
      <c r="G147" s="10" t="n">
        <v>26.23</v>
      </c>
      <c r="H147" s="10" t="n">
        <v>27.94</v>
      </c>
      <c r="I147" s="10" t="n">
        <v>27.74</v>
      </c>
      <c r="J147" s="11" t="n">
        <v>47.71</v>
      </c>
      <c r="K147" s="11" t="n">
        <v>51.38</v>
      </c>
      <c r="L147" s="11" t="n">
        <v>100.88</v>
      </c>
      <c r="M147" s="11" t="n">
        <v>83.92</v>
      </c>
      <c r="N147" s="11" t="n">
        <v>83.32</v>
      </c>
      <c r="O147" s="10" t="n">
        <v>33.57</v>
      </c>
      <c r="P147" s="10" t="n">
        <v>53.59</v>
      </c>
      <c r="Q147" s="10" t="n">
        <v>33.89</v>
      </c>
      <c r="R147" s="10" t="n">
        <v>57.15</v>
      </c>
    </row>
    <row r="148" customFormat="false" ht="15" hidden="false" customHeight="false" outlineLevel="0" collapsed="false">
      <c r="A148" s="8" t="n">
        <v>43252</v>
      </c>
      <c r="B148" s="10" t="n">
        <v>22.16</v>
      </c>
      <c r="C148" s="10" t="n">
        <v>22.38</v>
      </c>
      <c r="D148" s="10" t="n">
        <v>19.3</v>
      </c>
      <c r="E148" s="10" t="n">
        <v>18.49</v>
      </c>
      <c r="F148" s="10" t="n">
        <v>18.67</v>
      </c>
      <c r="G148" s="10" t="n">
        <v>25.92</v>
      </c>
      <c r="H148" s="10" t="n">
        <v>27.63</v>
      </c>
      <c r="I148" s="10" t="n">
        <v>27.89</v>
      </c>
      <c r="J148" s="11" t="n">
        <v>39.99</v>
      </c>
      <c r="K148" s="11" t="n">
        <v>21.8</v>
      </c>
      <c r="L148" s="11" t="n">
        <v>35.93</v>
      </c>
      <c r="M148" s="11" t="n">
        <v>84.46</v>
      </c>
      <c r="N148" s="11" t="n">
        <v>82.23</v>
      </c>
      <c r="O148" s="10" t="n">
        <v>31.16</v>
      </c>
      <c r="P148" s="10" t="n">
        <v>51.49</v>
      </c>
      <c r="Q148" s="10" t="n">
        <v>30.12</v>
      </c>
      <c r="R148" s="10" t="n">
        <v>52.6</v>
      </c>
    </row>
    <row r="149" customFormat="false" ht="15" hidden="false" customHeight="false" outlineLevel="0" collapsed="false">
      <c r="A149" s="8" t="n">
        <v>43282</v>
      </c>
      <c r="B149" s="10" t="n">
        <v>21.36</v>
      </c>
      <c r="C149" s="10" t="n">
        <v>21.9</v>
      </c>
      <c r="D149" s="10" t="n">
        <v>17.71</v>
      </c>
      <c r="E149" s="10" t="n">
        <v>16.84</v>
      </c>
      <c r="F149" s="10" t="n">
        <v>17.62</v>
      </c>
      <c r="G149" s="10" t="n">
        <v>25.82</v>
      </c>
      <c r="H149" s="10" t="n">
        <v>27.36</v>
      </c>
      <c r="I149" s="10" t="n">
        <v>28.08</v>
      </c>
      <c r="J149" s="11" t="n">
        <v>23.78</v>
      </c>
      <c r="K149" s="11" t="n">
        <v>11.08</v>
      </c>
      <c r="L149" s="11" t="n">
        <v>19.75</v>
      </c>
      <c r="M149" s="11" t="n">
        <v>82.61</v>
      </c>
      <c r="N149" s="11" t="n">
        <v>77.98</v>
      </c>
      <c r="O149" s="10" t="n">
        <v>28.17</v>
      </c>
      <c r="P149" s="10" t="n">
        <v>49.11</v>
      </c>
      <c r="Q149" s="10" t="n">
        <v>25.55</v>
      </c>
      <c r="R149" s="10" t="n">
        <v>46.67</v>
      </c>
    </row>
    <row r="150" customFormat="false" ht="15" hidden="false" customHeight="false" outlineLevel="0" collapsed="false">
      <c r="A150" s="8" t="n">
        <v>43313</v>
      </c>
      <c r="B150" s="10" t="n">
        <v>22.15</v>
      </c>
      <c r="C150" s="10" t="n">
        <v>22.99</v>
      </c>
      <c r="D150" s="10" t="n">
        <v>19.12</v>
      </c>
      <c r="E150" s="10" t="n">
        <v>18.35</v>
      </c>
      <c r="F150" s="10" t="n">
        <v>18.95</v>
      </c>
      <c r="G150" s="10" t="n">
        <v>26.23</v>
      </c>
      <c r="H150" s="10" t="n">
        <v>27.6</v>
      </c>
      <c r="I150" s="10" t="n">
        <v>28.99</v>
      </c>
      <c r="J150" s="11" t="n">
        <v>89.43</v>
      </c>
      <c r="K150" s="11" t="n">
        <v>30.1</v>
      </c>
      <c r="L150" s="11" t="n">
        <v>63.07</v>
      </c>
      <c r="M150" s="11" t="n">
        <v>80.54</v>
      </c>
      <c r="N150" s="11" t="n">
        <v>75.88</v>
      </c>
      <c r="O150" s="10" t="n">
        <v>25.89</v>
      </c>
      <c r="P150" s="10" t="n">
        <v>48.41</v>
      </c>
      <c r="Q150" s="10" t="n">
        <v>24.49</v>
      </c>
      <c r="R150" s="10" t="n">
        <v>46.17</v>
      </c>
    </row>
    <row r="151" customFormat="false" ht="15" hidden="false" customHeight="false" outlineLevel="0" collapsed="false">
      <c r="A151" s="8" t="n">
        <v>43344</v>
      </c>
      <c r="B151" s="10" t="n">
        <v>23.41</v>
      </c>
      <c r="C151" s="10" t="n">
        <v>23.95</v>
      </c>
      <c r="D151" s="10" t="n">
        <v>20.13</v>
      </c>
      <c r="E151" s="10" t="n">
        <v>19.25</v>
      </c>
      <c r="F151" s="10" t="n">
        <v>19.37</v>
      </c>
      <c r="G151" s="10" t="n">
        <v>28.1</v>
      </c>
      <c r="H151" s="10" t="n">
        <v>29.14</v>
      </c>
      <c r="I151" s="10" t="n">
        <v>30.38</v>
      </c>
      <c r="J151" s="11" t="n">
        <v>36.16</v>
      </c>
      <c r="K151" s="11" t="n">
        <v>25.14</v>
      </c>
      <c r="L151" s="11" t="n">
        <v>24.47</v>
      </c>
      <c r="M151" s="11" t="n">
        <v>74.83</v>
      </c>
      <c r="N151" s="11" t="n">
        <v>72.07</v>
      </c>
      <c r="O151" s="10" t="n">
        <v>24.23</v>
      </c>
      <c r="P151" s="10" t="n">
        <v>48.04</v>
      </c>
      <c r="Q151" s="10" t="n">
        <v>23.3</v>
      </c>
      <c r="R151" s="10" t="n">
        <v>44.45</v>
      </c>
    </row>
    <row r="152" customFormat="false" ht="15" hidden="false" customHeight="false" outlineLevel="0" collapsed="false">
      <c r="A152" s="8" t="n">
        <v>43374</v>
      </c>
      <c r="B152" s="10" t="n">
        <v>24.64</v>
      </c>
      <c r="C152" s="10" t="n">
        <v>25.25</v>
      </c>
      <c r="D152" s="10" t="n">
        <v>21.63</v>
      </c>
      <c r="E152" s="10" t="n">
        <v>20.84</v>
      </c>
      <c r="F152" s="10" t="n">
        <v>21.12</v>
      </c>
      <c r="G152" s="10" t="n">
        <v>28.96</v>
      </c>
      <c r="H152" s="10" t="n">
        <v>29.71</v>
      </c>
      <c r="I152" s="10" t="n">
        <v>31.27</v>
      </c>
      <c r="J152" s="11" t="n">
        <v>194.22</v>
      </c>
      <c r="K152" s="11" t="n">
        <v>87.42</v>
      </c>
      <c r="L152" s="11" t="n">
        <v>142.31</v>
      </c>
      <c r="M152" s="11" t="n">
        <v>75.57</v>
      </c>
      <c r="N152" s="11" t="n">
        <v>72.98</v>
      </c>
      <c r="O152" s="10" t="n">
        <v>23.21</v>
      </c>
      <c r="P152" s="10" t="n">
        <v>49.14</v>
      </c>
      <c r="Q152" s="10" t="n">
        <v>25.82</v>
      </c>
      <c r="R152" s="10" t="n">
        <v>48.69</v>
      </c>
    </row>
    <row r="153" customFormat="false" ht="15" hidden="false" customHeight="false" outlineLevel="0" collapsed="false">
      <c r="A153" s="8" t="n">
        <v>43405</v>
      </c>
      <c r="B153" s="10" t="n">
        <v>24.37</v>
      </c>
      <c r="C153" s="10" t="n">
        <v>24.59</v>
      </c>
      <c r="D153" s="10" t="n">
        <v>21.61</v>
      </c>
      <c r="E153" s="10" t="n">
        <v>21.14</v>
      </c>
      <c r="F153" s="10" t="n">
        <v>21.16</v>
      </c>
      <c r="G153" s="10" t="n">
        <v>28.12</v>
      </c>
      <c r="H153" s="10" t="n">
        <v>29.25</v>
      </c>
      <c r="I153" s="10" t="n">
        <v>29.38</v>
      </c>
      <c r="J153" s="11" t="n">
        <v>207.84</v>
      </c>
      <c r="K153" s="11" t="n">
        <v>131.44</v>
      </c>
      <c r="L153" s="11" t="n">
        <v>204.37</v>
      </c>
      <c r="M153" s="11" t="n">
        <v>83.21</v>
      </c>
      <c r="N153" s="11" t="n">
        <v>81.83</v>
      </c>
      <c r="O153" s="10" t="n">
        <v>29.55</v>
      </c>
      <c r="P153" s="10" t="n">
        <v>57.79</v>
      </c>
      <c r="Q153" s="10" t="n">
        <v>35.73</v>
      </c>
      <c r="R153" s="10" t="n">
        <v>62.94</v>
      </c>
    </row>
    <row r="154" customFormat="false" ht="15" hidden="false" customHeight="false" outlineLevel="0" collapsed="false">
      <c r="A154" s="8" t="n">
        <v>43435</v>
      </c>
      <c r="B154" s="10" t="n">
        <v>25.14</v>
      </c>
      <c r="C154" s="10" t="n">
        <v>24.87</v>
      </c>
      <c r="D154" s="10" t="n">
        <v>22.3</v>
      </c>
      <c r="E154" s="10" t="n">
        <v>21.87</v>
      </c>
      <c r="F154" s="10" t="n">
        <v>21.52</v>
      </c>
      <c r="G154" s="10" t="n">
        <v>29.13</v>
      </c>
      <c r="H154" s="10" t="n">
        <v>30.77</v>
      </c>
      <c r="I154" s="10" t="n">
        <v>29.18</v>
      </c>
      <c r="J154" s="11" t="n">
        <v>340.65</v>
      </c>
      <c r="K154" s="11" t="n">
        <v>275.28</v>
      </c>
      <c r="L154" s="11" t="n">
        <v>254.95</v>
      </c>
      <c r="M154" s="11" t="n">
        <v>82.75</v>
      </c>
      <c r="N154" s="11" t="n">
        <v>84.49</v>
      </c>
      <c r="O154" s="10" t="n">
        <v>36.86</v>
      </c>
      <c r="P154" s="10" t="n">
        <v>61.15</v>
      </c>
      <c r="Q154" s="10" t="n">
        <v>37.35</v>
      </c>
      <c r="R154" s="10" t="n">
        <v>67.25</v>
      </c>
    </row>
    <row r="155" customFormat="false" ht="15" hidden="false" customHeight="false" outlineLevel="0" collapsed="false">
      <c r="A155" s="8" t="n">
        <v>43466</v>
      </c>
      <c r="B155" s="10" t="n">
        <v>26.41</v>
      </c>
      <c r="C155" s="10" t="n">
        <v>26.33</v>
      </c>
      <c r="D155" s="10" t="n">
        <v>23.02</v>
      </c>
      <c r="E155" s="10" t="n">
        <v>22.54</v>
      </c>
      <c r="F155" s="10" t="n">
        <v>21.9</v>
      </c>
      <c r="G155" s="10" t="n">
        <v>31</v>
      </c>
      <c r="H155" s="10" t="n">
        <v>33.03</v>
      </c>
      <c r="I155" s="10" t="n">
        <v>32.13</v>
      </c>
      <c r="J155" s="11" t="n">
        <v>11.64</v>
      </c>
      <c r="K155" s="11" t="n">
        <v>24.44</v>
      </c>
      <c r="L155" s="11" t="n">
        <v>16.24</v>
      </c>
      <c r="M155" s="11" t="n">
        <v>78.51</v>
      </c>
      <c r="N155" s="11" t="n">
        <v>76.23</v>
      </c>
      <c r="O155" s="10" t="n">
        <v>33.61</v>
      </c>
      <c r="P155" s="10" t="n">
        <v>53.52</v>
      </c>
      <c r="Q155" s="10" t="n">
        <v>28.36</v>
      </c>
      <c r="R155" s="10" t="n">
        <v>53.41</v>
      </c>
    </row>
    <row r="156" customFormat="false" ht="15" hidden="false" customHeight="false" outlineLevel="0" collapsed="false">
      <c r="A156" s="8" t="n">
        <v>43497</v>
      </c>
      <c r="B156" s="10" t="n">
        <v>27.81</v>
      </c>
      <c r="C156" s="10" t="n">
        <v>27.74</v>
      </c>
      <c r="D156" s="10" t="n">
        <v>24.14</v>
      </c>
      <c r="E156" s="10" t="n">
        <v>23.7</v>
      </c>
      <c r="F156" s="10" t="n">
        <v>23.47</v>
      </c>
      <c r="G156" s="10" t="n">
        <v>33.18</v>
      </c>
      <c r="H156" s="10" t="n">
        <v>35.2</v>
      </c>
      <c r="I156" s="10" t="n">
        <v>33.59</v>
      </c>
      <c r="J156" s="11" t="n">
        <v>107.63</v>
      </c>
      <c r="K156" s="11" t="n">
        <v>60.8</v>
      </c>
      <c r="L156" s="11" t="n">
        <v>68.11</v>
      </c>
      <c r="M156" s="11" t="n">
        <v>74.74</v>
      </c>
      <c r="N156" s="11" t="n">
        <v>73.67</v>
      </c>
      <c r="O156" s="10" t="n">
        <v>28.13</v>
      </c>
      <c r="P156" s="10" t="n">
        <v>49.59</v>
      </c>
      <c r="Q156" s="10" t="n">
        <v>26.19</v>
      </c>
      <c r="R156" s="10" t="n">
        <v>48.88</v>
      </c>
    </row>
    <row r="157" customFormat="false" ht="15" hidden="false" customHeight="false" outlineLevel="0" collapsed="false">
      <c r="A157" s="8" t="n">
        <v>43525</v>
      </c>
      <c r="B157" s="10" t="n">
        <v>27.03</v>
      </c>
      <c r="C157" s="10" t="n">
        <v>27.16</v>
      </c>
      <c r="D157" s="10" t="n">
        <v>23.67</v>
      </c>
      <c r="E157" s="10" t="n">
        <v>23.39</v>
      </c>
      <c r="F157" s="10" t="n">
        <v>23.39</v>
      </c>
      <c r="G157" s="10" t="n">
        <v>31.72</v>
      </c>
      <c r="H157" s="10" t="n">
        <v>33.66</v>
      </c>
      <c r="I157" s="10" t="n">
        <v>32.55</v>
      </c>
      <c r="J157" s="11" t="n">
        <v>70.76</v>
      </c>
      <c r="K157" s="11" t="n">
        <v>77.26</v>
      </c>
      <c r="L157" s="11" t="n">
        <v>103.71</v>
      </c>
      <c r="M157" s="11" t="n">
        <v>75.05</v>
      </c>
      <c r="N157" s="11" t="n">
        <v>75.1</v>
      </c>
      <c r="O157" s="10" t="n">
        <v>25.82</v>
      </c>
      <c r="P157" s="10" t="n">
        <v>49.47</v>
      </c>
      <c r="Q157" s="10" t="n">
        <v>27.76</v>
      </c>
      <c r="R157" s="10" t="n">
        <v>50.01</v>
      </c>
    </row>
    <row r="158" customFormat="false" ht="15" hidden="false" customHeight="false" outlineLevel="0" collapsed="false">
      <c r="A158" s="8" t="n">
        <v>43556</v>
      </c>
      <c r="B158" s="10" t="n">
        <v>26.2</v>
      </c>
      <c r="C158" s="10" t="n">
        <v>26.55</v>
      </c>
      <c r="D158" s="10" t="n">
        <v>23.14</v>
      </c>
      <c r="E158" s="10" t="n">
        <v>22.69</v>
      </c>
      <c r="F158" s="10" t="n">
        <v>22.62</v>
      </c>
      <c r="G158" s="10" t="n">
        <v>30.59</v>
      </c>
      <c r="H158" s="10" t="n">
        <v>32.6</v>
      </c>
      <c r="I158" s="10" t="n">
        <v>32.29</v>
      </c>
      <c r="J158" s="11" t="n">
        <v>100.28</v>
      </c>
      <c r="K158" s="11" t="n">
        <v>72.36</v>
      </c>
      <c r="L158" s="11" t="n">
        <v>72.22</v>
      </c>
      <c r="M158" s="11" t="n">
        <v>79.95</v>
      </c>
      <c r="N158" s="11" t="n">
        <v>77.23</v>
      </c>
      <c r="O158" s="10" t="n">
        <v>25.71</v>
      </c>
      <c r="P158" s="10" t="n">
        <v>49.52</v>
      </c>
      <c r="Q158" s="10" t="n">
        <v>29.64</v>
      </c>
      <c r="R158" s="10" t="n">
        <v>49.83</v>
      </c>
    </row>
    <row r="159" customFormat="false" ht="15" hidden="false" customHeight="false" outlineLevel="0" collapsed="false">
      <c r="A159" s="8" t="n">
        <v>43586</v>
      </c>
      <c r="B159" s="10" t="n">
        <v>24.84</v>
      </c>
      <c r="C159" s="10" t="n">
        <v>25.01</v>
      </c>
      <c r="D159" s="10" t="n">
        <v>21.86</v>
      </c>
      <c r="E159" s="10" t="n">
        <v>21.3</v>
      </c>
      <c r="F159" s="10" t="n">
        <v>21.51</v>
      </c>
      <c r="G159" s="10" t="n">
        <v>28.9</v>
      </c>
      <c r="H159" s="10" t="n">
        <v>30.61</v>
      </c>
      <c r="I159" s="10" t="n">
        <v>30.24</v>
      </c>
      <c r="J159" s="11" t="n">
        <v>78.15</v>
      </c>
      <c r="K159" s="11" t="n">
        <v>44.3</v>
      </c>
      <c r="L159" s="11" t="n">
        <v>93.07</v>
      </c>
      <c r="M159" s="11" t="n">
        <v>80.65</v>
      </c>
      <c r="N159" s="11" t="n">
        <v>80.29</v>
      </c>
      <c r="O159" s="10" t="n">
        <v>24.46</v>
      </c>
      <c r="P159" s="10" t="n">
        <v>50.77</v>
      </c>
      <c r="Q159" s="10" t="n">
        <v>27.29</v>
      </c>
      <c r="R159" s="10" t="n">
        <v>51.81</v>
      </c>
    </row>
    <row r="160" customFormat="false" ht="15" hidden="false" customHeight="false" outlineLevel="0" collapsed="false">
      <c r="A160" s="8" t="n">
        <v>43617</v>
      </c>
      <c r="B160" s="10" t="n">
        <v>22.8</v>
      </c>
      <c r="C160" s="10" t="n">
        <v>22.6</v>
      </c>
      <c r="D160" s="10" t="n">
        <v>19.59</v>
      </c>
      <c r="E160" s="10" t="n">
        <v>18.78</v>
      </c>
      <c r="F160" s="10" t="n">
        <v>18.84</v>
      </c>
      <c r="G160" s="10" t="n">
        <v>26.92</v>
      </c>
      <c r="H160" s="10" t="n">
        <v>28.63</v>
      </c>
      <c r="I160" s="10" t="n">
        <v>28.06</v>
      </c>
      <c r="J160" s="11" t="n">
        <v>48.35</v>
      </c>
      <c r="K160" s="11" t="n">
        <v>27.42</v>
      </c>
      <c r="L160" s="11" t="n">
        <v>77.46</v>
      </c>
      <c r="M160" s="11" t="n">
        <v>80.18</v>
      </c>
      <c r="N160" s="11" t="n">
        <v>79.75</v>
      </c>
      <c r="O160" s="10" t="n">
        <v>23.14</v>
      </c>
      <c r="P160" s="10" t="n">
        <v>50.65</v>
      </c>
      <c r="Q160" s="10" t="n">
        <v>25.01</v>
      </c>
      <c r="R160" s="10" t="n">
        <v>51.72</v>
      </c>
    </row>
    <row r="161" customFormat="false" ht="15" hidden="false" customHeight="false" outlineLevel="0" collapsed="false">
      <c r="A161" s="8" t="n">
        <v>43647</v>
      </c>
      <c r="B161" s="10" t="n">
        <v>21.94</v>
      </c>
      <c r="C161" s="10" t="n">
        <v>21.81</v>
      </c>
      <c r="D161" s="10" t="n">
        <v>18.19</v>
      </c>
      <c r="E161" s="10" t="n">
        <v>17.32</v>
      </c>
      <c r="F161" s="10" t="n">
        <v>17.42</v>
      </c>
      <c r="G161" s="10" t="n">
        <v>26.57</v>
      </c>
      <c r="H161" s="10" t="n">
        <v>28.11</v>
      </c>
      <c r="I161" s="10" t="n">
        <v>27.95</v>
      </c>
      <c r="J161" s="11" t="n">
        <v>37.27</v>
      </c>
      <c r="K161" s="11" t="n">
        <v>11.16</v>
      </c>
      <c r="L161" s="11" t="n">
        <v>31.48</v>
      </c>
      <c r="M161" s="11" t="n">
        <v>73.43</v>
      </c>
      <c r="N161" s="11" t="n">
        <v>74.43</v>
      </c>
      <c r="O161" s="10" t="n">
        <v>21.51</v>
      </c>
      <c r="P161" s="10" t="n">
        <v>49.15</v>
      </c>
      <c r="Q161" s="10" t="n">
        <v>20.39</v>
      </c>
      <c r="R161" s="10" t="n">
        <v>46.54</v>
      </c>
    </row>
    <row r="162" customFormat="false" ht="15" hidden="false" customHeight="false" outlineLevel="0" collapsed="false">
      <c r="A162" s="8" t="n">
        <v>43678</v>
      </c>
      <c r="B162" s="10" t="n">
        <v>21.86</v>
      </c>
      <c r="C162" s="10" t="n">
        <v>21.79</v>
      </c>
      <c r="D162" s="10" t="n">
        <v>18.64</v>
      </c>
      <c r="E162" s="10" t="n">
        <v>17.87</v>
      </c>
      <c r="F162" s="10" t="n">
        <v>17.75</v>
      </c>
      <c r="G162" s="10" t="n">
        <v>26.18</v>
      </c>
      <c r="H162" s="10" t="n">
        <v>27.54</v>
      </c>
      <c r="I162" s="10" t="n">
        <v>27.7</v>
      </c>
      <c r="J162" s="11" t="n">
        <v>78.47</v>
      </c>
      <c r="K162" s="11" t="n">
        <v>39.78</v>
      </c>
      <c r="L162" s="11" t="n">
        <v>84.09</v>
      </c>
      <c r="M162" s="11" t="n">
        <v>75.94</v>
      </c>
      <c r="N162" s="11" t="n">
        <v>77.26</v>
      </c>
      <c r="O162" s="10" t="n">
        <v>21.35</v>
      </c>
      <c r="P162" s="10" t="n">
        <v>50.79</v>
      </c>
      <c r="Q162" s="10" t="n">
        <v>23.94</v>
      </c>
      <c r="R162" s="10" t="n">
        <v>50.85</v>
      </c>
    </row>
    <row r="163" customFormat="false" ht="15" hidden="false" customHeight="false" outlineLevel="0" collapsed="false">
      <c r="A163" s="8" t="n">
        <v>43709</v>
      </c>
      <c r="B163" s="10" t="n">
        <v>23.77</v>
      </c>
      <c r="C163" s="10" t="n">
        <v>23.62</v>
      </c>
      <c r="D163" s="10" t="n">
        <v>20.3</v>
      </c>
      <c r="E163" s="10" t="n">
        <v>19.42</v>
      </c>
      <c r="F163" s="10" t="n">
        <v>19.06</v>
      </c>
      <c r="G163" s="10" t="n">
        <v>28.79</v>
      </c>
      <c r="H163" s="10" t="n">
        <v>29.83</v>
      </c>
      <c r="I163" s="10" t="n">
        <v>30.02</v>
      </c>
      <c r="J163" s="11" t="n">
        <v>25.78</v>
      </c>
      <c r="K163" s="11" t="n">
        <v>28.06</v>
      </c>
      <c r="L163" s="11" t="n">
        <v>41.91</v>
      </c>
      <c r="M163" s="11" t="n">
        <v>72.2</v>
      </c>
      <c r="N163" s="11" t="n">
        <v>73.49</v>
      </c>
      <c r="O163" s="10" t="n">
        <v>20.01</v>
      </c>
      <c r="P163" s="10" t="n">
        <v>48.58</v>
      </c>
      <c r="Q163" s="10" t="n">
        <v>19.47</v>
      </c>
      <c r="R163" s="10" t="n">
        <v>44.94</v>
      </c>
    </row>
    <row r="164" customFormat="false" ht="15" hidden="false" customHeight="false" outlineLevel="0" collapsed="false">
      <c r="A164" s="8" t="n">
        <v>43739</v>
      </c>
      <c r="B164" s="10" t="n">
        <v>24.52</v>
      </c>
      <c r="C164" s="10" t="n">
        <v>24.76</v>
      </c>
      <c r="D164" s="10" t="n">
        <v>21.24</v>
      </c>
      <c r="E164" s="10" t="n">
        <v>20.46</v>
      </c>
      <c r="F164" s="10" t="n">
        <v>20.52</v>
      </c>
      <c r="G164" s="10" t="n">
        <v>29.19</v>
      </c>
      <c r="H164" s="10" t="n">
        <v>29.94</v>
      </c>
      <c r="I164" s="10" t="n">
        <v>30.87</v>
      </c>
      <c r="J164" s="11" t="n">
        <v>128.84</v>
      </c>
      <c r="K164" s="11" t="n">
        <v>61.26</v>
      </c>
      <c r="L164" s="11" t="n">
        <v>86.74</v>
      </c>
      <c r="M164" s="11" t="n">
        <v>76.02</v>
      </c>
      <c r="N164" s="11" t="n">
        <v>75.08</v>
      </c>
      <c r="O164" s="10" t="n">
        <v>20.78</v>
      </c>
      <c r="P164" s="10" t="n">
        <v>50.46</v>
      </c>
      <c r="Q164" s="10" t="n">
        <v>26.64</v>
      </c>
      <c r="R164" s="10" t="n">
        <v>50.14</v>
      </c>
    </row>
    <row r="165" customFormat="false" ht="15" hidden="false" customHeight="false" outlineLevel="0" collapsed="false">
      <c r="A165" s="8" t="n">
        <v>43770</v>
      </c>
      <c r="B165" s="10" t="n">
        <v>25.11</v>
      </c>
      <c r="C165" s="10" t="n">
        <v>25.69</v>
      </c>
      <c r="D165" s="10" t="n">
        <v>21.96</v>
      </c>
      <c r="E165" s="10" t="n">
        <v>21.48</v>
      </c>
      <c r="F165" s="10" t="n">
        <v>21.58</v>
      </c>
      <c r="G165" s="10" t="n">
        <v>29.57</v>
      </c>
      <c r="H165" s="10" t="n">
        <v>30.7</v>
      </c>
      <c r="I165" s="10" t="n">
        <v>31.41</v>
      </c>
      <c r="J165" s="11" t="n">
        <v>229.43</v>
      </c>
      <c r="K165" s="11" t="n">
        <v>171.9</v>
      </c>
      <c r="L165" s="11" t="n">
        <v>236.38</v>
      </c>
      <c r="M165" s="11" t="n">
        <v>78.34</v>
      </c>
      <c r="N165" s="11" t="n">
        <v>76.06</v>
      </c>
      <c r="O165" s="10" t="n">
        <v>24.2</v>
      </c>
      <c r="P165" s="10" t="n">
        <v>54.15</v>
      </c>
      <c r="Q165" s="10" t="n">
        <v>31.05</v>
      </c>
      <c r="R165" s="10" t="n">
        <v>56.63</v>
      </c>
    </row>
    <row r="166" customFormat="false" ht="15" hidden="false" customHeight="false" outlineLevel="0" collapsed="false">
      <c r="A166" s="8" t="n">
        <v>43800</v>
      </c>
      <c r="B166" s="10" t="n">
        <v>25.43</v>
      </c>
      <c r="C166" s="10" t="n">
        <v>25.62</v>
      </c>
      <c r="D166" s="10" t="n">
        <v>22.41</v>
      </c>
      <c r="E166" s="10" t="n">
        <v>21.98</v>
      </c>
      <c r="F166" s="10" t="n">
        <v>21.88</v>
      </c>
      <c r="G166" s="10" t="n">
        <v>29.5</v>
      </c>
      <c r="H166" s="10" t="n">
        <v>31.14</v>
      </c>
      <c r="I166" s="10" t="n">
        <v>30.77</v>
      </c>
      <c r="J166" s="11" t="n">
        <v>138.51</v>
      </c>
      <c r="K166" s="11" t="n">
        <v>116.2</v>
      </c>
      <c r="L166" s="11" t="n">
        <v>99.31</v>
      </c>
      <c r="M166" s="11" t="n">
        <v>79.98</v>
      </c>
      <c r="N166" s="11" t="n">
        <v>78.64</v>
      </c>
      <c r="O166" s="10" t="n">
        <v>32.2</v>
      </c>
      <c r="P166" s="10" t="n">
        <v>54.9</v>
      </c>
      <c r="Q166" s="10" t="n">
        <v>33.74</v>
      </c>
      <c r="R166" s="10" t="n">
        <v>57.66</v>
      </c>
    </row>
    <row r="167" customFormat="false" ht="15" hidden="false" customHeight="false" outlineLevel="0" collapsed="false">
      <c r="A167" s="8" t="n">
        <v>43831</v>
      </c>
      <c r="B167" s="10" t="n">
        <v>26.02</v>
      </c>
      <c r="C167" s="10" t="n">
        <v>26.31</v>
      </c>
      <c r="D167" s="10" t="n">
        <v>23.07</v>
      </c>
      <c r="E167" s="10" t="n">
        <v>22.59</v>
      </c>
      <c r="F167" s="10" t="n">
        <v>22.83</v>
      </c>
      <c r="G167" s="10" t="n">
        <v>30.27</v>
      </c>
      <c r="H167" s="10" t="n">
        <v>32.29</v>
      </c>
      <c r="I167" s="10" t="n">
        <v>31.28</v>
      </c>
      <c r="J167" s="11" t="n">
        <v>321.06</v>
      </c>
      <c r="K167" s="11" t="n">
        <v>348.2</v>
      </c>
      <c r="L167" s="11" t="n">
        <v>206.2</v>
      </c>
      <c r="M167" s="11" t="n">
        <v>81.76</v>
      </c>
      <c r="N167" s="11" t="n">
        <v>80.45</v>
      </c>
      <c r="O167" s="10" t="n">
        <v>34.95</v>
      </c>
      <c r="P167" s="10" t="n">
        <v>55.33</v>
      </c>
      <c r="Q167" s="10" t="n">
        <v>36.04</v>
      </c>
      <c r="R167" s="10" t="n">
        <v>59.63</v>
      </c>
    </row>
    <row r="168" customFormat="false" ht="15" hidden="false" customHeight="false" outlineLevel="0" collapsed="false">
      <c r="A168" s="8" t="n">
        <v>43862</v>
      </c>
      <c r="B168" s="10" t="n">
        <v>26.56</v>
      </c>
      <c r="C168" s="10" t="n">
        <v>26.64</v>
      </c>
      <c r="D168" s="10" t="n">
        <v>23.61</v>
      </c>
      <c r="E168" s="10" t="n">
        <v>23.16</v>
      </c>
      <c r="F168" s="10" t="n">
        <v>23</v>
      </c>
      <c r="G168" s="10" t="n">
        <v>30.83</v>
      </c>
      <c r="H168" s="10" t="n">
        <v>32.84</v>
      </c>
      <c r="I168" s="10" t="n">
        <v>31.72</v>
      </c>
      <c r="J168" s="11" t="n">
        <v>104.25</v>
      </c>
      <c r="K168" s="11" t="n">
        <v>60.98</v>
      </c>
      <c r="L168" s="11" t="n">
        <v>62.91</v>
      </c>
      <c r="M168" s="11" t="n">
        <v>80.35</v>
      </c>
      <c r="N168" s="11" t="n">
        <v>79.1</v>
      </c>
      <c r="O168" s="10" t="n">
        <v>35.48</v>
      </c>
      <c r="P168" s="10" t="n">
        <v>53.78</v>
      </c>
      <c r="Q168" s="10" t="n">
        <v>32.9</v>
      </c>
      <c r="R168" s="10" t="n">
        <v>55.68</v>
      </c>
    </row>
    <row r="169" customFormat="false" ht="15" hidden="false" customHeight="false" outlineLevel="0" collapsed="false">
      <c r="A169" s="8" t="n">
        <v>43891</v>
      </c>
      <c r="B169" s="10" t="n">
        <v>24.8</v>
      </c>
      <c r="C169" s="10" t="n">
        <v>25.14</v>
      </c>
      <c r="D169" s="10" t="n">
        <v>22.13</v>
      </c>
      <c r="E169" s="10" t="n">
        <v>21.85</v>
      </c>
      <c r="F169" s="10" t="n">
        <v>21.83</v>
      </c>
      <c r="G169" s="10" t="n">
        <v>28.29</v>
      </c>
      <c r="H169" s="10" t="n">
        <v>30.24</v>
      </c>
      <c r="I169" s="10" t="n">
        <v>29.85</v>
      </c>
      <c r="J169" s="11" t="n">
        <v>190.3</v>
      </c>
      <c r="K169" s="11" t="n">
        <v>106.04</v>
      </c>
      <c r="L169" s="11" t="n">
        <v>158.64</v>
      </c>
      <c r="M169" s="11" t="n">
        <v>82.81</v>
      </c>
      <c r="N169" s="11" t="n">
        <v>82.79</v>
      </c>
      <c r="O169" s="10" t="n">
        <v>35.64</v>
      </c>
      <c r="P169" s="10" t="n">
        <v>56.03</v>
      </c>
      <c r="Q169" s="10" t="n">
        <v>36.37</v>
      </c>
      <c r="R169" s="10" t="n">
        <v>60.59</v>
      </c>
    </row>
    <row r="170" customFormat="false" ht="15" hidden="false" customHeight="false" outlineLevel="0" collapsed="false">
      <c r="A170" s="8" t="n">
        <v>43922</v>
      </c>
      <c r="B170" s="10" t="n">
        <v>24.32</v>
      </c>
      <c r="C170" s="10" t="n">
        <v>24.68</v>
      </c>
      <c r="D170" s="10" t="n">
        <v>21.49</v>
      </c>
      <c r="E170" s="10" t="n">
        <v>21.04</v>
      </c>
      <c r="F170" s="10" t="n">
        <v>21.04</v>
      </c>
      <c r="G170" s="10" t="n">
        <v>27.96</v>
      </c>
      <c r="H170" s="10" t="n">
        <v>29.96</v>
      </c>
      <c r="I170" s="10" t="n">
        <v>29.9</v>
      </c>
      <c r="J170" s="11" t="n">
        <v>53.03</v>
      </c>
      <c r="K170" s="11" t="n">
        <v>35.44</v>
      </c>
      <c r="L170" s="11" t="n">
        <v>62.88</v>
      </c>
      <c r="M170" s="11" t="n">
        <v>78.68</v>
      </c>
      <c r="N170" s="11" t="n">
        <v>79.04</v>
      </c>
      <c r="O170" s="10" t="n">
        <v>31.65</v>
      </c>
      <c r="P170" s="10" t="n">
        <v>51.6</v>
      </c>
      <c r="Q170" s="10" t="n">
        <v>28.99</v>
      </c>
      <c r="R170" s="10" t="n">
        <v>52.49</v>
      </c>
    </row>
    <row r="171" customFormat="false" ht="15" hidden="false" customHeight="false" outlineLevel="0" collapsed="false">
      <c r="A171" s="8" t="n">
        <v>43952</v>
      </c>
      <c r="B171" s="10" t="n">
        <v>22.8</v>
      </c>
      <c r="C171" s="10" t="n">
        <v>23.24</v>
      </c>
      <c r="D171" s="10" t="n">
        <v>19.29</v>
      </c>
      <c r="E171" s="10" t="n">
        <v>18.72</v>
      </c>
      <c r="F171" s="10" t="n">
        <v>19</v>
      </c>
      <c r="G171" s="10" t="n">
        <v>27.23</v>
      </c>
      <c r="H171" s="10" t="n">
        <v>28.94</v>
      </c>
      <c r="I171" s="10" t="n">
        <v>29.05</v>
      </c>
      <c r="J171" s="11" t="n">
        <v>51.92</v>
      </c>
      <c r="K171" s="11" t="n">
        <v>27.32</v>
      </c>
      <c r="L171" s="11" t="n">
        <v>41.81</v>
      </c>
      <c r="M171" s="11" t="n">
        <v>77.17</v>
      </c>
      <c r="N171" s="11" t="n">
        <v>76.12</v>
      </c>
      <c r="O171" s="10" t="n">
        <v>27.98</v>
      </c>
      <c r="P171" s="10" t="n">
        <v>49.28</v>
      </c>
      <c r="Q171" s="10" t="n">
        <v>25.91</v>
      </c>
      <c r="R171" s="10" t="n">
        <v>48.74</v>
      </c>
    </row>
    <row r="172" customFormat="false" ht="15" hidden="false" customHeight="false" outlineLevel="0" collapsed="false">
      <c r="A172" s="8" t="n">
        <v>43983</v>
      </c>
      <c r="B172" s="10" t="n">
        <v>22.58</v>
      </c>
      <c r="C172" s="10" t="n">
        <v>22.97</v>
      </c>
      <c r="D172" s="10" t="n">
        <v>19.14</v>
      </c>
      <c r="E172" s="10" t="n">
        <v>18.33</v>
      </c>
      <c r="F172" s="10" t="n">
        <v>18.88</v>
      </c>
      <c r="G172" s="10" t="n">
        <v>27.21</v>
      </c>
      <c r="H172" s="10" t="n">
        <v>28.92</v>
      </c>
      <c r="I172" s="10" t="n">
        <v>28.95</v>
      </c>
      <c r="J172" s="11" t="n">
        <v>36.93</v>
      </c>
      <c r="K172" s="11" t="n">
        <v>20.2</v>
      </c>
      <c r="L172" s="11" t="n">
        <v>40.2</v>
      </c>
      <c r="M172" s="11" t="n">
        <v>78.85</v>
      </c>
      <c r="N172" s="11" t="n">
        <v>77.32</v>
      </c>
      <c r="O172" s="10" t="n">
        <v>25.11</v>
      </c>
      <c r="P172" s="10" t="n">
        <v>48.1</v>
      </c>
      <c r="Q172" s="10" t="n">
        <v>21.69</v>
      </c>
      <c r="R172" s="10" t="n">
        <v>47.28</v>
      </c>
    </row>
    <row r="173" customFormat="false" ht="15" hidden="false" customHeight="false" outlineLevel="0" collapsed="false">
      <c r="A173" s="8" t="n">
        <v>44013</v>
      </c>
      <c r="B173" s="10" t="n">
        <v>21.76</v>
      </c>
      <c r="C173" s="10" t="n">
        <v>22.11</v>
      </c>
      <c r="D173" s="10" t="n">
        <v>18.12</v>
      </c>
      <c r="E173" s="10" t="n">
        <v>17.25</v>
      </c>
      <c r="F173" s="10" t="n">
        <v>18.08</v>
      </c>
      <c r="G173" s="10" t="n">
        <v>26.13</v>
      </c>
      <c r="H173" s="10" t="n">
        <v>27.66</v>
      </c>
      <c r="I173" s="10" t="n">
        <v>28.13</v>
      </c>
      <c r="J173" s="11" t="n">
        <v>59.95</v>
      </c>
      <c r="K173" s="11" t="n">
        <v>33.54</v>
      </c>
      <c r="L173" s="11" t="n">
        <v>66.84</v>
      </c>
      <c r="M173" s="11" t="n">
        <v>78.59</v>
      </c>
      <c r="N173" s="11" t="n">
        <v>78.24</v>
      </c>
      <c r="O173" s="10" t="n">
        <v>23.66</v>
      </c>
      <c r="P173" s="10" t="n">
        <v>48.61</v>
      </c>
      <c r="Q173" s="10" t="n">
        <v>22.99</v>
      </c>
      <c r="R173" s="10" t="n">
        <v>48.77</v>
      </c>
    </row>
    <row r="174" customFormat="false" ht="15" hidden="false" customHeight="false" outlineLevel="0" collapsed="false">
      <c r="A174" s="8" t="n">
        <v>44044</v>
      </c>
      <c r="B174" s="10" t="n">
        <v>21.62</v>
      </c>
      <c r="C174" s="10" t="n">
        <v>22.06</v>
      </c>
      <c r="D174" s="10" t="n">
        <v>18.46</v>
      </c>
      <c r="E174" s="10" t="n">
        <v>17.69</v>
      </c>
      <c r="F174" s="10" t="n">
        <v>17.92</v>
      </c>
      <c r="G174" s="10" t="n">
        <v>25.85</v>
      </c>
      <c r="H174" s="10" t="n">
        <v>27.21</v>
      </c>
      <c r="I174" s="10" t="n">
        <v>28.06</v>
      </c>
      <c r="J174" s="11" t="n">
        <v>38.73</v>
      </c>
      <c r="K174" s="11" t="n">
        <v>18.76</v>
      </c>
      <c r="L174" s="11" t="n">
        <v>42.86</v>
      </c>
      <c r="M174" s="11" t="n">
        <v>76.17</v>
      </c>
      <c r="N174" s="11" t="n">
        <v>74.83</v>
      </c>
      <c r="O174" s="10" t="n">
        <v>23.19</v>
      </c>
      <c r="P174" s="10" t="n">
        <v>48.79</v>
      </c>
      <c r="Q174" s="10" t="n">
        <v>24.94</v>
      </c>
      <c r="R174" s="10" t="n">
        <v>47.22</v>
      </c>
    </row>
    <row r="175" customFormat="false" ht="15" hidden="false" customHeight="false" outlineLevel="0" collapsed="false">
      <c r="A175" s="8" t="n">
        <v>44075</v>
      </c>
      <c r="B175" s="10" t="n">
        <v>23.68</v>
      </c>
      <c r="C175" s="10" t="n">
        <v>24.12</v>
      </c>
      <c r="D175" s="10" t="n">
        <v>19.69</v>
      </c>
      <c r="E175" s="10" t="n">
        <v>18.81</v>
      </c>
      <c r="F175" s="10" t="n">
        <v>19.06</v>
      </c>
      <c r="G175" s="10" t="n">
        <v>29.07</v>
      </c>
      <c r="H175" s="10" t="n">
        <v>30.1</v>
      </c>
      <c r="I175" s="10" t="n">
        <v>31.07</v>
      </c>
      <c r="J175" s="11" t="n">
        <v>42.17</v>
      </c>
      <c r="K175" s="11" t="n">
        <v>41.92</v>
      </c>
      <c r="L175" s="11" t="n">
        <v>33.05</v>
      </c>
      <c r="M175" s="11" t="n">
        <v>74.57</v>
      </c>
      <c r="N175" s="11" t="n">
        <v>71.64</v>
      </c>
      <c r="O175" s="10" t="n">
        <v>21.74</v>
      </c>
      <c r="P175" s="10" t="n">
        <v>47.03</v>
      </c>
      <c r="Q175" s="10" t="n">
        <v>21.66</v>
      </c>
      <c r="R175" s="10" t="n">
        <v>41.51</v>
      </c>
    </row>
    <row r="176" customFormat="false" ht="15" hidden="false" customHeight="false" outlineLevel="0" collapsed="false">
      <c r="A176" s="8" t="n">
        <v>44105</v>
      </c>
      <c r="B176" s="10" t="n">
        <v>24.89</v>
      </c>
      <c r="C176" s="10" t="n">
        <v>25.29</v>
      </c>
      <c r="D176" s="10" t="n">
        <v>21.76</v>
      </c>
      <c r="E176" s="10" t="n">
        <v>20.97</v>
      </c>
      <c r="F176" s="10" t="n">
        <v>21.3</v>
      </c>
      <c r="G176" s="10" t="n">
        <v>29.59</v>
      </c>
      <c r="H176" s="10" t="n">
        <v>30.34</v>
      </c>
      <c r="I176" s="10" t="n">
        <v>31.07</v>
      </c>
      <c r="J176" s="11" t="n">
        <v>207.82</v>
      </c>
      <c r="K176" s="11" t="n">
        <v>185.28</v>
      </c>
      <c r="L176" s="11" t="n">
        <v>164.36</v>
      </c>
      <c r="M176" s="11" t="n">
        <v>77.5</v>
      </c>
      <c r="N176" s="11" t="n">
        <v>74.91</v>
      </c>
      <c r="O176" s="10" t="n">
        <v>23.6</v>
      </c>
      <c r="P176" s="10" t="n">
        <v>49.55</v>
      </c>
      <c r="Q176" s="10" t="n">
        <v>26.4</v>
      </c>
      <c r="R176" s="10" t="n">
        <v>49.58</v>
      </c>
    </row>
    <row r="177" customFormat="false" ht="15" hidden="false" customHeight="false" outlineLevel="0" collapsed="false">
      <c r="A177" s="8" t="n">
        <v>44136</v>
      </c>
      <c r="B177" s="10" t="n">
        <v>24.18</v>
      </c>
      <c r="C177" s="10" t="n">
        <v>24.75</v>
      </c>
      <c r="D177" s="10" t="n">
        <v>21.51</v>
      </c>
      <c r="E177" s="10" t="n">
        <v>21.04</v>
      </c>
      <c r="F177" s="10" t="n">
        <v>21.16</v>
      </c>
      <c r="G177" s="10" t="n">
        <v>27.79</v>
      </c>
      <c r="H177" s="10" t="n">
        <v>28.92</v>
      </c>
      <c r="I177" s="10" t="n">
        <v>29.7</v>
      </c>
      <c r="J177" s="11" t="n">
        <v>132.86</v>
      </c>
      <c r="K177" s="11" t="n">
        <v>162.68</v>
      </c>
      <c r="L177" s="11" t="n">
        <v>104.68</v>
      </c>
      <c r="M177" s="11" t="n">
        <v>81.36</v>
      </c>
      <c r="N177" s="11" t="n">
        <v>79.33</v>
      </c>
      <c r="O177" s="10" t="n">
        <v>35.83</v>
      </c>
      <c r="P177" s="10" t="n">
        <v>53.8</v>
      </c>
      <c r="Q177" s="10" t="n">
        <v>38.07</v>
      </c>
      <c r="R177" s="10" t="n">
        <v>57.04</v>
      </c>
    </row>
    <row r="178" customFormat="false" ht="15" hidden="false" customHeight="false" outlineLevel="0" collapsed="false">
      <c r="A178" s="8" t="n">
        <v>44166</v>
      </c>
      <c r="B178" s="10" t="n">
        <v>25.78</v>
      </c>
      <c r="C178" s="10" t="n">
        <v>26.48</v>
      </c>
      <c r="D178" s="10" t="n">
        <v>22.55</v>
      </c>
      <c r="E178" s="10" t="n">
        <v>22.12</v>
      </c>
      <c r="F178" s="10" t="n">
        <v>22.24</v>
      </c>
      <c r="G178" s="10" t="n">
        <v>30.11</v>
      </c>
      <c r="H178" s="10" t="n">
        <v>31.75</v>
      </c>
      <c r="I178" s="10" t="n">
        <v>32.26</v>
      </c>
      <c r="J178" s="11" t="n">
        <v>50.53</v>
      </c>
      <c r="K178" s="11" t="n">
        <v>52.26</v>
      </c>
      <c r="L178" s="11" t="n">
        <v>65.52</v>
      </c>
      <c r="M178" s="11" t="n">
        <v>76.85</v>
      </c>
      <c r="N178" s="11" t="n">
        <v>73.18</v>
      </c>
      <c r="O178" s="10" t="n">
        <v>33.68</v>
      </c>
      <c r="P178" s="10" t="n">
        <v>50.63</v>
      </c>
      <c r="Q178" s="10" t="n">
        <v>30.99</v>
      </c>
      <c r="R178" s="10" t="n">
        <v>50.08</v>
      </c>
    </row>
    <row r="179" customFormat="false" ht="15" hidden="false" customHeight="false" outlineLevel="0" collapsed="false">
      <c r="A179" s="8" t="n">
        <v>44197</v>
      </c>
      <c r="B179" s="10" t="n">
        <v>26.22</v>
      </c>
      <c r="C179" s="10" t="n">
        <v>26.69</v>
      </c>
      <c r="D179" s="10" t="n">
        <v>22.55</v>
      </c>
      <c r="E179" s="10" t="n">
        <v>22.07</v>
      </c>
      <c r="F179" s="10" t="n">
        <v>22.14</v>
      </c>
      <c r="G179" s="10" t="n">
        <v>31.13</v>
      </c>
      <c r="H179" s="10" t="n">
        <v>33.16</v>
      </c>
      <c r="I179" s="10" t="n">
        <v>32.75</v>
      </c>
      <c r="J179" s="11" t="n">
        <v>29.94</v>
      </c>
      <c r="K179" s="11" t="n">
        <v>22.76</v>
      </c>
      <c r="L179" s="11" t="n">
        <v>53.59</v>
      </c>
      <c r="M179" s="11" t="n">
        <v>72.81</v>
      </c>
      <c r="N179" s="11" t="n">
        <v>70.54</v>
      </c>
      <c r="O179" s="10" t="n">
        <v>27.08</v>
      </c>
      <c r="P179" s="10" t="n">
        <v>47.58</v>
      </c>
      <c r="Q179" s="10" t="n">
        <v>21.6</v>
      </c>
      <c r="R179" s="10" t="n">
        <v>45.11</v>
      </c>
    </row>
    <row r="180" customFormat="false" ht="15" hidden="false" customHeight="false" outlineLevel="0" collapsed="false">
      <c r="A180" s="8" t="n">
        <v>44228</v>
      </c>
      <c r="B180" s="10" t="n">
        <v>25.61</v>
      </c>
      <c r="C180" s="10" t="n">
        <v>25.88</v>
      </c>
      <c r="D180" s="10" t="n">
        <v>22.74</v>
      </c>
      <c r="E180" s="10" t="n">
        <v>22.29</v>
      </c>
      <c r="F180" s="10" t="n">
        <v>22.63</v>
      </c>
      <c r="G180" s="10" t="n">
        <v>29.49</v>
      </c>
      <c r="H180" s="10" t="n">
        <v>31.51</v>
      </c>
      <c r="I180" s="10" t="n">
        <v>30.65</v>
      </c>
      <c r="J180" s="11" t="n">
        <v>206.93</v>
      </c>
      <c r="K180" s="11" t="n">
        <v>186.92</v>
      </c>
      <c r="L180" s="11" t="n">
        <v>182.06</v>
      </c>
      <c r="M180" s="11" t="n">
        <v>81.65</v>
      </c>
      <c r="N180" s="11" t="n">
        <v>80.48</v>
      </c>
      <c r="O180" s="10" t="n">
        <v>30.66</v>
      </c>
      <c r="P180" s="10" t="n">
        <v>52.63</v>
      </c>
      <c r="Q180" s="10" t="n">
        <v>34.61</v>
      </c>
      <c r="R180" s="10" t="n">
        <v>56.97</v>
      </c>
    </row>
    <row r="181" customFormat="false" ht="15" hidden="false" customHeight="false" outlineLevel="0" collapsed="false">
      <c r="A181" s="8" t="n">
        <v>44256</v>
      </c>
      <c r="B181" s="10" t="n">
        <v>25.94</v>
      </c>
      <c r="C181" s="10" t="n">
        <v>26.14</v>
      </c>
      <c r="D181" s="10" t="n">
        <v>22.25</v>
      </c>
      <c r="E181" s="10" t="n">
        <v>21.97</v>
      </c>
      <c r="F181" s="10" t="n">
        <v>21.88</v>
      </c>
      <c r="G181" s="10" t="n">
        <v>31</v>
      </c>
      <c r="H181" s="10" t="n">
        <v>32.94</v>
      </c>
      <c r="I181" s="10" t="n">
        <v>32</v>
      </c>
      <c r="J181" s="11" t="n">
        <v>141.71</v>
      </c>
      <c r="K181" s="11" t="n">
        <v>64.4</v>
      </c>
      <c r="L181" s="11" t="n">
        <v>93.05</v>
      </c>
      <c r="M181" s="11" t="n">
        <v>77.77</v>
      </c>
      <c r="N181" s="11" t="n">
        <v>76.95</v>
      </c>
      <c r="O181" s="10" t="n">
        <v>31.7</v>
      </c>
      <c r="P181" s="10" t="n">
        <v>52.05</v>
      </c>
      <c r="Q181" s="10" t="n">
        <v>31.57</v>
      </c>
      <c r="R181" s="10" t="n">
        <v>53.27</v>
      </c>
    </row>
    <row r="182" customFormat="false" ht="15" hidden="false" customHeight="false" outlineLevel="0" collapsed="false">
      <c r="A182" s="8" t="n">
        <v>44287</v>
      </c>
      <c r="B182" s="10" t="n">
        <v>24.75</v>
      </c>
      <c r="C182" s="10" t="n">
        <v>25.12</v>
      </c>
      <c r="D182" s="10" t="n">
        <v>21.35</v>
      </c>
      <c r="E182" s="10" t="n">
        <v>20.91</v>
      </c>
      <c r="F182" s="10" t="n">
        <v>21.07</v>
      </c>
      <c r="G182" s="10" t="n">
        <v>29.32</v>
      </c>
      <c r="H182" s="10" t="n">
        <v>31.32</v>
      </c>
      <c r="I182" s="10" t="n">
        <v>30.82</v>
      </c>
      <c r="J182" s="11" t="n">
        <v>57.14</v>
      </c>
      <c r="K182" s="11" t="n">
        <v>44.26</v>
      </c>
      <c r="L182" s="11" t="n">
        <v>56.52</v>
      </c>
      <c r="M182" s="11" t="n">
        <v>75.25</v>
      </c>
      <c r="N182" s="11" t="n">
        <v>74.72</v>
      </c>
      <c r="O182" s="10" t="n">
        <v>27.22</v>
      </c>
      <c r="P182" s="10" t="n">
        <v>49.11</v>
      </c>
      <c r="Q182" s="10" t="n">
        <v>26.17</v>
      </c>
      <c r="R182" s="10" t="n">
        <v>48.47</v>
      </c>
    </row>
    <row r="183" customFormat="false" ht="15" hidden="false" customHeight="false" outlineLevel="0" collapsed="false">
      <c r="A183" s="8" t="n">
        <v>44317</v>
      </c>
      <c r="B183" s="10" t="n">
        <v>23.76</v>
      </c>
      <c r="C183" s="10" t="n">
        <v>24.1</v>
      </c>
      <c r="D183" s="10" t="n">
        <v>19.96</v>
      </c>
      <c r="E183" s="10" t="n">
        <v>19.4</v>
      </c>
      <c r="F183" s="10" t="n">
        <v>19.65</v>
      </c>
      <c r="G183" s="10" t="n">
        <v>28.7</v>
      </c>
      <c r="H183" s="10" t="n">
        <v>30.41</v>
      </c>
      <c r="I183" s="10" t="n">
        <v>30.35</v>
      </c>
      <c r="J183" s="11" t="n">
        <v>19.11</v>
      </c>
      <c r="K183" s="11" t="n">
        <v>8.88</v>
      </c>
      <c r="L183" s="11" t="n">
        <v>23.21</v>
      </c>
      <c r="M183" s="11" t="n">
        <v>73.33</v>
      </c>
      <c r="N183" s="11" t="n">
        <v>73.23</v>
      </c>
      <c r="O183" s="10" t="n">
        <v>24.09</v>
      </c>
      <c r="P183" s="10" t="n">
        <v>47.08</v>
      </c>
      <c r="Q183" s="10" t="n">
        <v>19.87</v>
      </c>
      <c r="R183" s="10" t="n">
        <v>42.35</v>
      </c>
    </row>
    <row r="184" customFormat="false" ht="15" hidden="false" customHeight="false" outlineLevel="0" collapsed="false">
      <c r="A184" s="8" t="n">
        <v>44348</v>
      </c>
      <c r="B184" s="10" t="n">
        <v>22.3</v>
      </c>
      <c r="C184" s="10" t="n">
        <v>22.87</v>
      </c>
      <c r="D184" s="10" t="n">
        <v>18.74</v>
      </c>
      <c r="E184" s="10" t="n">
        <v>17.94</v>
      </c>
      <c r="F184" s="10" t="n">
        <v>18.83</v>
      </c>
      <c r="G184" s="10" t="n">
        <v>26.87</v>
      </c>
      <c r="H184" s="10" t="n">
        <v>28.58</v>
      </c>
      <c r="I184" s="10" t="n">
        <v>28.76</v>
      </c>
      <c r="J184" s="11" t="n">
        <v>23.83</v>
      </c>
      <c r="K184" s="11" t="n">
        <v>11.06</v>
      </c>
      <c r="L184" s="11" t="n">
        <v>23.05</v>
      </c>
      <c r="M184" s="11" t="n">
        <v>74.83</v>
      </c>
      <c r="N184" s="11" t="n">
        <v>74.11</v>
      </c>
      <c r="O184" s="10" t="n">
        <v>21.95</v>
      </c>
      <c r="P184" s="10" t="n">
        <v>46.29</v>
      </c>
      <c r="Q184" s="10" t="n">
        <v>19.01</v>
      </c>
      <c r="R184" s="10" t="n">
        <v>41.19</v>
      </c>
    </row>
    <row r="185" customFormat="false" ht="15" hidden="false" customHeight="false" outlineLevel="0" collapsed="false">
      <c r="A185" s="8" t="n">
        <v>44378</v>
      </c>
      <c r="B185" s="10" t="n">
        <v>21.47</v>
      </c>
      <c r="C185" s="10" t="n">
        <v>21.81</v>
      </c>
      <c r="D185" s="10" t="n">
        <v>17.63</v>
      </c>
      <c r="E185" s="10" t="n">
        <v>16.76</v>
      </c>
      <c r="F185" s="10" t="n">
        <v>17.17</v>
      </c>
      <c r="G185" s="10" t="n">
        <v>26.51</v>
      </c>
      <c r="H185" s="10" t="n">
        <v>28.05</v>
      </c>
      <c r="I185" s="10" t="n">
        <v>28.18</v>
      </c>
      <c r="J185" s="11" t="n">
        <v>18.09</v>
      </c>
      <c r="K185" s="11" t="n">
        <v>4.56</v>
      </c>
      <c r="L185" s="11" t="n">
        <v>9.72</v>
      </c>
      <c r="M185" s="11" t="n">
        <v>71.46</v>
      </c>
      <c r="N185" s="11" t="n">
        <v>71.49</v>
      </c>
      <c r="O185" s="10" t="n">
        <v>20.55</v>
      </c>
      <c r="P185" s="10" t="n">
        <v>45.11</v>
      </c>
      <c r="Q185" s="10" t="n">
        <v>16.91</v>
      </c>
      <c r="R185" s="10" t="n">
        <v>36.9</v>
      </c>
    </row>
    <row r="186" customFormat="false" ht="15" hidden="false" customHeight="false" outlineLevel="0" collapsed="false">
      <c r="A186" s="8" t="n">
        <v>44409</v>
      </c>
      <c r="B186" s="10" t="n">
        <v>21.8</v>
      </c>
      <c r="C186" s="10" t="n">
        <v>22.28</v>
      </c>
      <c r="D186" s="10" t="n">
        <v>18.34</v>
      </c>
      <c r="E186" s="10" t="n">
        <v>17.57</v>
      </c>
      <c r="F186" s="10" t="n">
        <v>17.93</v>
      </c>
      <c r="G186" s="10" t="n">
        <v>26.26</v>
      </c>
      <c r="H186" s="10" t="n">
        <v>27.63</v>
      </c>
      <c r="I186" s="10" t="n">
        <v>28.41</v>
      </c>
      <c r="J186" s="11" t="n">
        <v>39.14</v>
      </c>
      <c r="K186" s="11" t="n">
        <v>30.18</v>
      </c>
      <c r="L186" s="11" t="n">
        <v>44.28</v>
      </c>
      <c r="M186" s="11" t="n">
        <v>74.72</v>
      </c>
      <c r="N186" s="11" t="n">
        <v>73.09</v>
      </c>
      <c r="O186" s="10" t="n">
        <v>19.8</v>
      </c>
      <c r="P186" s="10" t="n">
        <v>45.06</v>
      </c>
      <c r="Q186" s="10" t="n">
        <v>18.71</v>
      </c>
      <c r="R186" s="10" t="n">
        <v>37.84</v>
      </c>
    </row>
    <row r="187" customFormat="false" ht="15" hidden="false" customHeight="false" outlineLevel="0" collapsed="false">
      <c r="A187" s="8" t="n">
        <v>44440</v>
      </c>
      <c r="B187" s="10" t="n">
        <v>23.81</v>
      </c>
      <c r="C187" s="10" t="n">
        <v>24.49</v>
      </c>
      <c r="D187" s="10" t="n">
        <v>20.17</v>
      </c>
      <c r="E187" s="10" t="n">
        <v>19.29</v>
      </c>
      <c r="F187" s="10" t="n">
        <v>19.69</v>
      </c>
      <c r="G187" s="10" t="n">
        <v>29.11</v>
      </c>
      <c r="H187" s="10" t="n">
        <v>30.15</v>
      </c>
      <c r="I187" s="10" t="n">
        <v>31.32</v>
      </c>
      <c r="J187" s="11" t="n">
        <v>35</v>
      </c>
      <c r="K187" s="11" t="n">
        <v>45.06</v>
      </c>
      <c r="L187" s="11" t="n">
        <v>60.08</v>
      </c>
      <c r="M187" s="11" t="n">
        <v>73.68</v>
      </c>
      <c r="N187" s="11" t="n">
        <v>70.7</v>
      </c>
      <c r="O187" s="10" t="n">
        <v>21.71</v>
      </c>
      <c r="P187" s="10" t="n">
        <v>48.25</v>
      </c>
      <c r="Q187" s="10" t="n">
        <v>23.92</v>
      </c>
      <c r="R187" s="10" t="n">
        <v>42.68</v>
      </c>
    </row>
    <row r="188" customFormat="false" ht="15" hidden="false" customHeight="false" outlineLevel="0" collapsed="false">
      <c r="A188" s="8" t="n">
        <v>44470</v>
      </c>
      <c r="B188" s="10" t="n">
        <v>24.03</v>
      </c>
      <c r="C188" s="10" t="n">
        <v>24.95</v>
      </c>
      <c r="D188" s="10" t="n">
        <v>21.41</v>
      </c>
      <c r="E188" s="10" t="n">
        <v>20.62</v>
      </c>
      <c r="F188" s="10" t="n">
        <v>21.1</v>
      </c>
      <c r="G188" s="10" t="n">
        <v>27.99</v>
      </c>
      <c r="H188" s="10" t="n">
        <v>28.74</v>
      </c>
      <c r="I188" s="10" t="n">
        <v>30.61</v>
      </c>
      <c r="J188" s="11" t="n">
        <v>175.89</v>
      </c>
      <c r="K188" s="11" t="n">
        <v>148.3</v>
      </c>
      <c r="L188" s="11" t="n">
        <v>170.56</v>
      </c>
      <c r="M188" s="11" t="n">
        <v>78.94</v>
      </c>
      <c r="N188" s="11" t="n">
        <v>76.17</v>
      </c>
      <c r="O188" s="10" t="n">
        <v>23.96</v>
      </c>
      <c r="P188" s="10" t="n">
        <v>51.26</v>
      </c>
      <c r="Q188" s="10" t="n">
        <v>30.17</v>
      </c>
      <c r="R188" s="10" t="n">
        <v>51.9</v>
      </c>
    </row>
    <row r="189" customFormat="false" ht="15" hidden="false" customHeight="false" outlineLevel="0" collapsed="false">
      <c r="A189" s="8" t="n">
        <v>44501</v>
      </c>
      <c r="B189" s="10" t="n">
        <v>23.7</v>
      </c>
      <c r="C189" s="10" t="n">
        <v>24.31</v>
      </c>
      <c r="D189" s="10" t="n">
        <v>20.72</v>
      </c>
      <c r="E189" s="10" t="n">
        <v>20.25</v>
      </c>
      <c r="F189" s="10" t="n">
        <v>20.66</v>
      </c>
      <c r="G189" s="10" t="n">
        <v>27.57</v>
      </c>
      <c r="H189" s="10" t="n">
        <v>28.7</v>
      </c>
      <c r="I189" s="10" t="n">
        <v>29.28</v>
      </c>
      <c r="J189" s="11" t="n">
        <v>196.7</v>
      </c>
      <c r="K189" s="11" t="n">
        <v>145.46</v>
      </c>
      <c r="L189" s="11" t="n">
        <v>172.64</v>
      </c>
      <c r="M189" s="11" t="n">
        <v>80.12</v>
      </c>
      <c r="N189" s="11" t="n">
        <v>80.42</v>
      </c>
      <c r="O189" s="10" t="n">
        <v>32.41</v>
      </c>
      <c r="P189" s="10" t="n">
        <v>55.97</v>
      </c>
      <c r="Q189" s="10" t="n">
        <v>37.97</v>
      </c>
      <c r="R189" s="10" t="n">
        <v>61.03</v>
      </c>
    </row>
    <row r="190" customFormat="false" ht="15" hidden="false" customHeight="false" outlineLevel="0" collapsed="false">
      <c r="A190" s="8" t="n">
        <v>44531</v>
      </c>
      <c r="B190" s="10" t="n">
        <v>24.37</v>
      </c>
      <c r="C190" s="10" t="n">
        <v>24.87</v>
      </c>
      <c r="D190" s="10" t="n">
        <v>21.73</v>
      </c>
      <c r="E190" s="10" t="n">
        <v>21.3</v>
      </c>
      <c r="F190" s="10" t="n">
        <v>21.8</v>
      </c>
      <c r="G190" s="10" t="n">
        <v>28.02</v>
      </c>
      <c r="H190" s="10" t="n">
        <v>29.65</v>
      </c>
      <c r="I190" s="10" t="n">
        <v>29.13</v>
      </c>
      <c r="J190" s="11" t="n">
        <v>331.34</v>
      </c>
      <c r="K190" s="11" t="n">
        <v>333.48</v>
      </c>
      <c r="L190" s="11" t="n">
        <v>292.33</v>
      </c>
      <c r="M190" s="11" t="n">
        <v>83.78</v>
      </c>
      <c r="N190" s="11" t="n">
        <v>84.79</v>
      </c>
      <c r="O190" s="10" t="n">
        <v>39.2</v>
      </c>
      <c r="P190" s="10" t="n">
        <v>62.39</v>
      </c>
      <c r="Q190" s="10" t="n">
        <v>39.46</v>
      </c>
      <c r="R190" s="10" t="n">
        <v>68.97</v>
      </c>
    </row>
    <row r="191" customFormat="false" ht="15" hidden="false" customHeight="false" outlineLevel="0" collapsed="false">
      <c r="A191" s="8" t="n">
        <v>44562</v>
      </c>
      <c r="B191" s="10" t="n">
        <v>25.72</v>
      </c>
      <c r="C191" s="10" t="n">
        <v>25.65</v>
      </c>
      <c r="D191" s="10" t="n">
        <v>22.39</v>
      </c>
      <c r="E191" s="10" t="n">
        <v>21.9</v>
      </c>
      <c r="F191" s="10" t="n">
        <v>22.01</v>
      </c>
      <c r="G191" s="10" t="n">
        <v>30</v>
      </c>
      <c r="H191" s="10" t="n">
        <v>32.03</v>
      </c>
      <c r="I191" s="10" t="n">
        <v>30.48</v>
      </c>
      <c r="J191" s="11" t="n">
        <v>134.58</v>
      </c>
      <c r="K191" s="11" t="n">
        <v>117.98</v>
      </c>
      <c r="L191" s="11" t="n">
        <v>93.03</v>
      </c>
      <c r="M191" s="11" t="n">
        <v>80.07</v>
      </c>
      <c r="N191" s="11" t="n">
        <v>81.47</v>
      </c>
      <c r="O191" s="10" t="n">
        <v>37.74</v>
      </c>
      <c r="P191" s="10" t="n">
        <v>58.68</v>
      </c>
      <c r="Q191" s="10" t="n">
        <v>34.11</v>
      </c>
      <c r="R191" s="10" t="n">
        <v>61.85</v>
      </c>
    </row>
    <row r="192" customFormat="false" ht="15" hidden="false" customHeight="false" outlineLevel="0" collapsed="false">
      <c r="A192" s="8" t="n">
        <v>44593</v>
      </c>
      <c r="B192" s="10" t="n">
        <v>25.61</v>
      </c>
      <c r="C192" s="10" t="n">
        <v>25.66</v>
      </c>
      <c r="D192" s="10" t="n">
        <v>22.71</v>
      </c>
      <c r="E192" s="10" t="n">
        <v>22.26</v>
      </c>
      <c r="F192" s="10" t="n">
        <v>22.57</v>
      </c>
      <c r="G192" s="10" t="n">
        <v>29.53</v>
      </c>
      <c r="H192" s="10" t="n">
        <v>31.54</v>
      </c>
      <c r="I192" s="10" t="n">
        <v>29.98</v>
      </c>
      <c r="J192" s="11" t="n">
        <v>216.52</v>
      </c>
      <c r="K192" s="11" t="n">
        <v>128.6</v>
      </c>
      <c r="L192" s="11" t="n">
        <v>152.72</v>
      </c>
      <c r="M192" s="11" t="n">
        <v>83.6</v>
      </c>
      <c r="N192" s="11" t="n">
        <v>84.36</v>
      </c>
      <c r="O192" s="10" t="n">
        <v>35.91</v>
      </c>
      <c r="P192" s="10" t="n">
        <v>59.59</v>
      </c>
      <c r="Q192" s="10" t="n">
        <v>37.92</v>
      </c>
      <c r="R192" s="10" t="n">
        <v>65.12</v>
      </c>
    </row>
    <row r="193" customFormat="false" ht="15" hidden="false" customHeight="false" outlineLevel="0" collapsed="false">
      <c r="A193" s="8" t="n">
        <v>44621</v>
      </c>
      <c r="B193" s="10" t="n">
        <v>25.65</v>
      </c>
      <c r="C193" s="10" t="n">
        <v>25.93</v>
      </c>
      <c r="D193" s="10" t="n">
        <v>22.28</v>
      </c>
      <c r="E193" s="10" t="n">
        <v>22</v>
      </c>
      <c r="F193" s="10" t="n">
        <v>22.13</v>
      </c>
      <c r="G193" s="10" t="n">
        <v>29.95</v>
      </c>
      <c r="H193" s="10" t="n">
        <v>31.9</v>
      </c>
      <c r="I193" s="10" t="n">
        <v>31.3</v>
      </c>
      <c r="J193" s="11" t="n">
        <v>42.91</v>
      </c>
      <c r="K193" s="11" t="n">
        <v>60.1</v>
      </c>
      <c r="L193" s="11" t="n">
        <v>65.93</v>
      </c>
      <c r="M193" s="11" t="n">
        <v>80.99</v>
      </c>
      <c r="N193" s="11" t="n">
        <v>79.56</v>
      </c>
      <c r="O193" s="10" t="n">
        <v>32.06</v>
      </c>
      <c r="P193" s="10" t="n">
        <v>53.19</v>
      </c>
      <c r="Q193" s="10" t="n">
        <v>31.13</v>
      </c>
      <c r="R193" s="10" t="n">
        <v>54.62</v>
      </c>
    </row>
    <row r="194" customFormat="false" ht="15" hidden="false" customHeight="false" outlineLevel="0" collapsed="false">
      <c r="A194" s="8" t="n">
        <v>44652</v>
      </c>
      <c r="B194" s="10" t="n">
        <v>25.34</v>
      </c>
      <c r="C194" s="10" t="n">
        <v>26.05</v>
      </c>
      <c r="D194" s="10" t="n">
        <v>21.75</v>
      </c>
      <c r="E194" s="10" t="n">
        <v>21.3</v>
      </c>
      <c r="F194" s="10" t="n">
        <v>21.73</v>
      </c>
      <c r="G194" s="10" t="n">
        <v>30.08</v>
      </c>
      <c r="H194" s="10" t="n">
        <v>32.09</v>
      </c>
      <c r="I194" s="10" t="n">
        <v>32.02</v>
      </c>
      <c r="J194" s="11" t="n">
        <v>38.11</v>
      </c>
      <c r="K194" s="11" t="n">
        <v>24.3</v>
      </c>
      <c r="L194" s="11" t="n">
        <v>30.58</v>
      </c>
      <c r="M194" s="11" t="n">
        <v>76.41</v>
      </c>
      <c r="N194" s="11" t="n">
        <v>74.13</v>
      </c>
      <c r="O194" s="10" t="n">
        <v>27.57</v>
      </c>
      <c r="P194" s="10" t="n">
        <v>48.87</v>
      </c>
      <c r="Q194" s="10" t="n">
        <v>23.19</v>
      </c>
      <c r="R194" s="10" t="n">
        <v>47.15</v>
      </c>
    </row>
    <row r="195" customFormat="false" ht="15" hidden="false" customHeight="false" outlineLevel="0" collapsed="false">
      <c r="A195" s="8" t="n">
        <v>44682</v>
      </c>
      <c r="B195" s="10" t="n">
        <v>23.32</v>
      </c>
      <c r="C195" s="10" t="n">
        <v>23.65</v>
      </c>
      <c r="D195" s="10" t="n">
        <v>19.68</v>
      </c>
      <c r="E195" s="10" t="n">
        <v>19.12</v>
      </c>
      <c r="F195" s="10" t="n">
        <v>19.44</v>
      </c>
      <c r="G195" s="10" t="n">
        <v>27.92</v>
      </c>
      <c r="H195" s="10" t="n">
        <v>29.63</v>
      </c>
      <c r="I195" s="10" t="n">
        <v>29.66</v>
      </c>
      <c r="J195" s="11" t="n">
        <v>53.73</v>
      </c>
      <c r="K195" s="11" t="n">
        <v>35.3</v>
      </c>
      <c r="L195" s="11" t="n">
        <v>76.84</v>
      </c>
      <c r="M195" s="11" t="n">
        <v>73.76</v>
      </c>
      <c r="N195" s="11" t="n">
        <v>74.17</v>
      </c>
      <c r="O195" s="10" t="n">
        <v>24.34</v>
      </c>
      <c r="P195" s="10" t="n">
        <v>48.41</v>
      </c>
      <c r="Q195" s="10" t="n">
        <v>22.46</v>
      </c>
      <c r="R195" s="10" t="n">
        <v>47.05</v>
      </c>
    </row>
    <row r="196" customFormat="false" ht="15" hidden="false" customHeight="false" outlineLevel="0" collapsed="false">
      <c r="A196" s="8" t="n">
        <v>44713</v>
      </c>
      <c r="B196" s="10" t="n">
        <v>21.88</v>
      </c>
      <c r="C196" s="10" t="n">
        <v>22.17</v>
      </c>
      <c r="D196" s="10" t="n">
        <v>18.1</v>
      </c>
      <c r="E196" s="10" t="n">
        <v>17.3</v>
      </c>
      <c r="F196" s="10" t="n">
        <v>17.76</v>
      </c>
      <c r="G196" s="10" t="n">
        <v>26.76</v>
      </c>
      <c r="H196" s="10" t="n">
        <v>28.47</v>
      </c>
      <c r="I196" s="10" t="n">
        <v>28.45</v>
      </c>
      <c r="J196" s="11" t="n">
        <v>15.18</v>
      </c>
      <c r="K196" s="11" t="n">
        <v>8.5</v>
      </c>
      <c r="L196" s="11" t="n">
        <v>11.32</v>
      </c>
      <c r="M196" s="11" t="n">
        <v>74.55</v>
      </c>
      <c r="N196" s="11" t="n">
        <v>75.38</v>
      </c>
      <c r="O196" s="10" t="n">
        <v>22.59</v>
      </c>
      <c r="P196" s="10" t="n">
        <v>47.53</v>
      </c>
      <c r="Q196" s="10" t="n">
        <v>19.38</v>
      </c>
      <c r="R196" s="10" t="n">
        <v>43.91</v>
      </c>
    </row>
    <row r="197" customFormat="false" ht="15" hidden="false" customHeight="false" outlineLevel="0" collapsed="false">
      <c r="A197" s="8" t="n">
        <v>44743</v>
      </c>
      <c r="B197" s="10" t="n">
        <v>21.62</v>
      </c>
      <c r="C197" s="10" t="n">
        <v>22.1</v>
      </c>
      <c r="D197" s="10" t="n">
        <v>18</v>
      </c>
      <c r="E197" s="10" t="n">
        <v>17.13</v>
      </c>
      <c r="F197" s="10" t="n">
        <v>17.81</v>
      </c>
      <c r="G197" s="10" t="n">
        <v>25.99</v>
      </c>
      <c r="H197" s="10" t="n">
        <v>27.53</v>
      </c>
      <c r="I197" s="10" t="n">
        <v>28.24</v>
      </c>
      <c r="J197" s="11" t="n">
        <v>44.27</v>
      </c>
      <c r="K197" s="11" t="n">
        <v>30.3</v>
      </c>
      <c r="L197" s="11" t="n">
        <v>29.43</v>
      </c>
      <c r="M197" s="11" t="n">
        <v>79.36</v>
      </c>
      <c r="N197" s="11" t="n">
        <v>76.55</v>
      </c>
      <c r="O197" s="10" t="n">
        <v>21.68</v>
      </c>
      <c r="P197" s="10" t="n">
        <v>46.83</v>
      </c>
      <c r="Q197" s="10" t="n">
        <v>21.7</v>
      </c>
      <c r="R197" s="10" t="n">
        <v>42.5</v>
      </c>
    </row>
    <row r="198" customFormat="false" ht="15" hidden="false" customHeight="false" outlineLevel="0" collapsed="false">
      <c r="A198" s="8" t="n">
        <v>44774</v>
      </c>
      <c r="B198" s="10" t="n">
        <v>21.97</v>
      </c>
      <c r="C198" s="10" t="n">
        <v>22.3</v>
      </c>
      <c r="D198" s="10" t="n">
        <v>18.32</v>
      </c>
      <c r="E198" s="10" t="n">
        <v>17.55</v>
      </c>
      <c r="F198" s="10" t="n">
        <v>17.71</v>
      </c>
      <c r="G198" s="10" t="n">
        <v>26.57</v>
      </c>
      <c r="H198" s="10" t="n">
        <v>27.93</v>
      </c>
      <c r="I198" s="10" t="n">
        <v>28.67</v>
      </c>
      <c r="J198" s="11" t="n">
        <v>18.25</v>
      </c>
      <c r="K198" s="11" t="n">
        <v>18.36</v>
      </c>
      <c r="L198" s="11" t="n">
        <v>35.58</v>
      </c>
      <c r="M198" s="11" t="n">
        <v>70.47</v>
      </c>
      <c r="N198" s="11" t="n">
        <v>70.67</v>
      </c>
      <c r="O198" s="10" t="n">
        <v>20.64</v>
      </c>
      <c r="P198" s="10" t="n">
        <v>46</v>
      </c>
      <c r="Q198" s="10" t="n">
        <v>18.96</v>
      </c>
      <c r="R198" s="10" t="n">
        <v>38.71</v>
      </c>
    </row>
    <row r="199" customFormat="false" ht="15" hidden="false" customHeight="false" outlineLevel="0" collapsed="false">
      <c r="A199" s="8" t="n">
        <v>44805</v>
      </c>
      <c r="B199" s="10" t="n">
        <v>22.69</v>
      </c>
      <c r="C199" s="10" t="n">
        <v>23.47</v>
      </c>
      <c r="D199" s="10" t="n">
        <v>19</v>
      </c>
      <c r="E199" s="10" t="n">
        <v>18.12</v>
      </c>
      <c r="F199" s="10" t="n">
        <v>18.52</v>
      </c>
      <c r="G199" s="10" t="n">
        <v>27.66</v>
      </c>
      <c r="H199" s="10" t="n">
        <v>28.7</v>
      </c>
      <c r="I199" s="10" t="n">
        <v>30.38</v>
      </c>
      <c r="J199" s="11" t="n">
        <v>23.75</v>
      </c>
      <c r="K199" s="11" t="n">
        <v>20.94</v>
      </c>
      <c r="L199" s="11" t="n">
        <v>18.83</v>
      </c>
      <c r="M199" s="11" t="n">
        <v>70.26</v>
      </c>
      <c r="N199" s="11" t="n">
        <v>69.25</v>
      </c>
      <c r="O199" s="10" t="n">
        <v>19.93</v>
      </c>
      <c r="P199" s="10" t="n">
        <v>45.78</v>
      </c>
      <c r="Q199" s="10" t="n">
        <v>19.16</v>
      </c>
      <c r="R199" s="10" t="n">
        <v>37.19</v>
      </c>
    </row>
    <row r="200" customFormat="false" ht="15" hidden="false" customHeight="false" outlineLevel="0" collapsed="false">
      <c r="A200" s="8" t="n">
        <v>44835</v>
      </c>
      <c r="B200" s="10" t="n">
        <v>25.03</v>
      </c>
      <c r="C200" s="10" t="n">
        <v>25.73</v>
      </c>
      <c r="D200" s="10" t="n">
        <v>21.62</v>
      </c>
      <c r="E200" s="10" t="n">
        <v>20.83</v>
      </c>
      <c r="F200" s="10" t="n">
        <v>21.27</v>
      </c>
      <c r="G200" s="10" t="n">
        <v>30.13</v>
      </c>
      <c r="H200" s="10" t="n">
        <v>30.89</v>
      </c>
      <c r="I200" s="10" t="n">
        <v>32.2</v>
      </c>
      <c r="J200" s="11" t="n">
        <v>113.35</v>
      </c>
      <c r="K200" s="11" t="n">
        <v>61.46</v>
      </c>
      <c r="L200" s="11" t="n">
        <v>90.63</v>
      </c>
      <c r="M200" s="11" t="n">
        <v>74.1</v>
      </c>
      <c r="N200" s="11" t="n">
        <v>71.19</v>
      </c>
      <c r="O200" s="10" t="n">
        <v>19.85</v>
      </c>
      <c r="P200" s="10" t="n">
        <v>47.19</v>
      </c>
      <c r="Q200" s="10" t="n">
        <v>22.52</v>
      </c>
      <c r="R200" s="10" t="n">
        <v>43.85</v>
      </c>
    </row>
    <row r="201" customFormat="false" ht="15" hidden="false" customHeight="false" outlineLevel="0" collapsed="false">
      <c r="A201" s="8" t="n">
        <v>44866</v>
      </c>
      <c r="B201" s="10" t="n">
        <v>23.52</v>
      </c>
      <c r="C201" s="10" t="n">
        <v>24.05</v>
      </c>
      <c r="D201" s="10" t="n">
        <v>20.86</v>
      </c>
      <c r="E201" s="10" t="n">
        <v>20.39</v>
      </c>
      <c r="F201" s="10" t="n">
        <v>20.78</v>
      </c>
      <c r="G201" s="10" t="n">
        <v>27.51</v>
      </c>
      <c r="H201" s="10" t="n">
        <v>28.64</v>
      </c>
      <c r="I201" s="10" t="n">
        <v>28.63</v>
      </c>
      <c r="J201" s="11" t="n">
        <v>380.05</v>
      </c>
      <c r="K201" s="11" t="n">
        <v>273.38</v>
      </c>
      <c r="L201" s="11" t="n">
        <v>278.18</v>
      </c>
      <c r="M201" s="11" t="n">
        <v>80.54</v>
      </c>
      <c r="N201" s="11" t="n">
        <v>80.02</v>
      </c>
      <c r="O201" s="10" t="n">
        <v>26.99</v>
      </c>
      <c r="P201" s="10" t="n">
        <v>55.53</v>
      </c>
      <c r="Q201" s="10" t="n">
        <v>35.64</v>
      </c>
      <c r="R201" s="10" t="n">
        <v>60.55</v>
      </c>
    </row>
    <row r="202" customFormat="false" ht="15" hidden="false" customHeight="false" outlineLevel="0" collapsed="false">
      <c r="A202" s="8" t="n">
        <v>44896</v>
      </c>
      <c r="B202" s="10" t="n">
        <v>24.21</v>
      </c>
      <c r="C202" s="10" t="n">
        <v>24.45</v>
      </c>
      <c r="D202" s="10" t="n">
        <v>21.86</v>
      </c>
      <c r="E202" s="10" t="n">
        <v>21.43</v>
      </c>
      <c r="F202" s="10" t="n">
        <v>21.59</v>
      </c>
      <c r="G202" s="10" t="n">
        <v>27.45</v>
      </c>
      <c r="H202" s="10" t="n">
        <v>29.09</v>
      </c>
      <c r="I202" s="10" t="n">
        <v>28.26</v>
      </c>
      <c r="J202" s="11" t="n">
        <v>466.18</v>
      </c>
      <c r="K202" s="11" t="n">
        <v>411.8</v>
      </c>
      <c r="L202" s="11" t="n">
        <v>319.71</v>
      </c>
      <c r="M202" s="11" t="n">
        <v>86.54</v>
      </c>
      <c r="N202" s="11" t="n">
        <v>86.77</v>
      </c>
      <c r="O202" s="10" t="n">
        <v>41.79</v>
      </c>
      <c r="P202" s="10" t="n">
        <v>69.66</v>
      </c>
      <c r="Q202" s="10" t="n">
        <v>40.82</v>
      </c>
      <c r="R202" s="10" t="n">
        <v>74.85</v>
      </c>
    </row>
    <row r="203" customFormat="false" ht="15" hidden="false" customHeight="false" outlineLevel="0" collapsed="false">
      <c r="A203" s="8" t="n">
        <v>44927</v>
      </c>
      <c r="B203" s="10" t="n">
        <v>25.31</v>
      </c>
      <c r="C203" s="10" t="n">
        <v>25.04</v>
      </c>
      <c r="D203" s="10" t="n">
        <v>22.51</v>
      </c>
      <c r="E203" s="10" t="n">
        <v>22.03</v>
      </c>
      <c r="F203" s="10" t="n">
        <v>22.34</v>
      </c>
      <c r="G203" s="10" t="n">
        <v>29.17</v>
      </c>
      <c r="H203" s="10" t="n">
        <v>31.19</v>
      </c>
      <c r="I203" s="10" t="n">
        <v>28.86</v>
      </c>
      <c r="J203" s="11" t="n">
        <v>225.86</v>
      </c>
      <c r="K203" s="11" t="n">
        <v>183.38</v>
      </c>
      <c r="L203" s="11" t="n">
        <v>132.37</v>
      </c>
      <c r="M203" s="11" t="n">
        <v>83.61</v>
      </c>
      <c r="N203" s="11" t="n">
        <v>86.98</v>
      </c>
      <c r="O203" s="10" t="n">
        <v>39.17</v>
      </c>
      <c r="P203" s="10" t="n">
        <v>68.32</v>
      </c>
      <c r="Q203" s="10" t="n">
        <v>38.51</v>
      </c>
      <c r="R203" s="10" t="n">
        <v>72.19</v>
      </c>
    </row>
    <row r="204" customFormat="false" ht="15" hidden="false" customHeight="false" outlineLevel="0" collapsed="false">
      <c r="A204" s="8" t="n">
        <v>44958</v>
      </c>
      <c r="B204" s="10" t="n">
        <v>26.38</v>
      </c>
      <c r="C204" s="10" t="n">
        <v>25.9</v>
      </c>
      <c r="D204" s="10" t="n">
        <v>22.9</v>
      </c>
      <c r="E204" s="10" t="n">
        <v>22.46</v>
      </c>
      <c r="F204" s="10" t="n">
        <v>22.4</v>
      </c>
      <c r="G204" s="10" t="n">
        <v>31.02</v>
      </c>
      <c r="H204" s="10" t="n">
        <v>33.03</v>
      </c>
      <c r="I204" s="10" t="n">
        <v>30.84</v>
      </c>
      <c r="J204" s="11" t="n">
        <v>35.52</v>
      </c>
      <c r="K204" s="11" t="n">
        <v>22.44</v>
      </c>
      <c r="L204" s="11" t="n">
        <v>30.4</v>
      </c>
      <c r="M204" s="11" t="n">
        <v>77.16</v>
      </c>
      <c r="N204" s="11" t="n">
        <v>81.87</v>
      </c>
      <c r="O204" s="10" t="n">
        <v>33.6</v>
      </c>
      <c r="P204" s="10" t="n">
        <v>59.84</v>
      </c>
      <c r="Q204" s="10" t="n">
        <v>26.95</v>
      </c>
      <c r="R204" s="10" t="n">
        <v>62.24</v>
      </c>
    </row>
    <row r="205" customFormat="false" ht="15" hidden="false" customHeight="false" outlineLevel="0" collapsed="false">
      <c r="A205" s="8" t="n">
        <v>44986</v>
      </c>
      <c r="B205" s="10" t="n">
        <v>26.04</v>
      </c>
      <c r="C205" s="10" t="n">
        <v>26.28</v>
      </c>
      <c r="D205" s="10" t="n">
        <v>22.41</v>
      </c>
      <c r="E205" s="10" t="n">
        <v>22.13</v>
      </c>
      <c r="F205" s="10" t="n">
        <v>22.12</v>
      </c>
      <c r="G205" s="10" t="n">
        <v>30.73</v>
      </c>
      <c r="H205" s="10" t="n">
        <v>32.68</v>
      </c>
      <c r="I205" s="10" t="n">
        <v>32.1</v>
      </c>
      <c r="J205" s="11" t="n">
        <v>20.14</v>
      </c>
      <c r="K205" s="11" t="n">
        <v>36.74</v>
      </c>
      <c r="L205" s="11" t="n">
        <v>24.73</v>
      </c>
      <c r="M205" s="11" t="n">
        <v>77.01</v>
      </c>
      <c r="N205" s="11" t="n">
        <v>76.39</v>
      </c>
      <c r="O205" s="10" t="n">
        <v>27.45</v>
      </c>
      <c r="P205" s="10" t="n">
        <v>51.55</v>
      </c>
      <c r="Q205" s="10" t="n">
        <v>23.19</v>
      </c>
      <c r="R205" s="10" t="n">
        <v>50.58</v>
      </c>
    </row>
    <row r="206" customFormat="false" ht="15" hidden="false" customHeight="false" outlineLevel="0" collapsed="false">
      <c r="A206" s="8" t="n">
        <v>45017</v>
      </c>
      <c r="B206" s="10" t="n">
        <v>25.28</v>
      </c>
      <c r="C206" s="10" t="n">
        <v>25.87</v>
      </c>
      <c r="D206" s="10" t="n">
        <v>22.13</v>
      </c>
      <c r="E206" s="10" t="n">
        <v>21.68</v>
      </c>
      <c r="F206" s="10" t="n">
        <v>22.15</v>
      </c>
      <c r="G206" s="10" t="n">
        <v>29.56</v>
      </c>
      <c r="H206" s="10" t="n">
        <v>31.56</v>
      </c>
      <c r="I206" s="10" t="n">
        <v>31.39</v>
      </c>
      <c r="J206" s="11" t="n">
        <v>89.43</v>
      </c>
      <c r="K206" s="11" t="n">
        <v>88.8</v>
      </c>
      <c r="L206" s="11" t="n">
        <v>85.06</v>
      </c>
      <c r="M206" s="11" t="n">
        <v>77.04</v>
      </c>
      <c r="N206" s="11" t="n">
        <v>76.88</v>
      </c>
      <c r="O206" s="10" t="n">
        <v>25.7</v>
      </c>
      <c r="P206" s="10" t="n">
        <v>49.79</v>
      </c>
      <c r="Q206" s="10" t="n">
        <v>28.96</v>
      </c>
      <c r="R206" s="10" t="n">
        <v>50.1</v>
      </c>
    </row>
    <row r="207" customFormat="false" ht="15" hidden="false" customHeight="false" outlineLevel="0" collapsed="false">
      <c r="A207" s="8" t="n">
        <v>45047</v>
      </c>
      <c r="B207" s="10" t="n">
        <v>22.83</v>
      </c>
      <c r="C207" s="10" t="n">
        <v>23.71</v>
      </c>
      <c r="D207" s="10" t="n">
        <v>19.61</v>
      </c>
      <c r="E207" s="10" t="n">
        <v>19.05</v>
      </c>
      <c r="F207" s="10" t="n">
        <v>19.66</v>
      </c>
      <c r="G207" s="10" t="n">
        <v>27.01</v>
      </c>
      <c r="H207" s="10" t="n">
        <v>28.71</v>
      </c>
      <c r="I207" s="10" t="n">
        <v>29.61</v>
      </c>
      <c r="J207" s="11" t="n">
        <v>32.8</v>
      </c>
      <c r="K207" s="11" t="n">
        <v>31.48</v>
      </c>
      <c r="L207" s="11" t="n">
        <v>35.04</v>
      </c>
      <c r="M207" s="11" t="n">
        <v>78.75</v>
      </c>
      <c r="N207" s="11" t="n">
        <v>76.24</v>
      </c>
      <c r="O207" s="10" t="n">
        <v>25.54</v>
      </c>
      <c r="P207" s="10" t="n">
        <v>48.63</v>
      </c>
      <c r="Q207" s="10" t="n">
        <v>27.8</v>
      </c>
      <c r="R207" s="10" t="n">
        <v>47.08</v>
      </c>
    </row>
    <row r="208" customFormat="false" ht="15" hidden="false" customHeight="false" outlineLevel="0" collapsed="false">
      <c r="A208" s="8" t="n">
        <v>45078</v>
      </c>
      <c r="B208" s="10" t="n">
        <v>22.17</v>
      </c>
      <c r="C208" s="10" t="n">
        <v>22.83</v>
      </c>
      <c r="D208" s="10" t="n">
        <v>18.54</v>
      </c>
      <c r="E208" s="10" t="n">
        <v>17.73</v>
      </c>
      <c r="F208" s="10" t="n">
        <v>18.67</v>
      </c>
      <c r="G208" s="10" t="n">
        <v>26.63</v>
      </c>
      <c r="H208" s="10" t="n">
        <v>28.34</v>
      </c>
      <c r="I208" s="10" t="n">
        <v>28.73</v>
      </c>
      <c r="J208" s="11" t="n">
        <v>31.34</v>
      </c>
      <c r="K208" s="11" t="n">
        <v>12.46</v>
      </c>
      <c r="L208" s="11" t="n">
        <v>26.69</v>
      </c>
      <c r="M208" s="11" t="n">
        <v>77.44</v>
      </c>
      <c r="N208" s="11" t="n">
        <v>75.92</v>
      </c>
      <c r="O208" s="10" t="n">
        <v>23.14</v>
      </c>
      <c r="P208" s="10" t="n">
        <v>47.08</v>
      </c>
      <c r="Q208" s="10" t="n">
        <v>20.09</v>
      </c>
      <c r="R208" s="10" t="n">
        <v>42.83</v>
      </c>
    </row>
    <row r="209" customFormat="false" ht="15" hidden="false" customHeight="false" outlineLevel="0" collapsed="false">
      <c r="A209" s="8" t="n">
        <v>45108</v>
      </c>
      <c r="B209" s="10" t="n">
        <v>21.77</v>
      </c>
      <c r="C209" s="10" t="n">
        <v>22.2</v>
      </c>
      <c r="D209" s="10" t="n">
        <v>18.3</v>
      </c>
      <c r="E209" s="10" t="n">
        <v>17.43</v>
      </c>
      <c r="F209" s="10" t="n">
        <v>18.06</v>
      </c>
      <c r="G209" s="10" t="n">
        <v>26.09</v>
      </c>
      <c r="H209" s="10" t="n">
        <v>27.63</v>
      </c>
      <c r="I209" s="10" t="n">
        <v>28.01</v>
      </c>
      <c r="J209" s="11" t="n">
        <v>80.41</v>
      </c>
      <c r="K209" s="11" t="n">
        <v>35.62</v>
      </c>
      <c r="L209" s="11" t="n">
        <v>97.93</v>
      </c>
      <c r="M209" s="11" t="n">
        <v>76.38</v>
      </c>
      <c r="N209" s="11" t="n">
        <v>76.07</v>
      </c>
      <c r="O209" s="10" t="n">
        <v>22.27</v>
      </c>
      <c r="P209" s="10" t="n">
        <v>48.49</v>
      </c>
      <c r="Q209" s="10" t="n">
        <v>21.83</v>
      </c>
      <c r="R209" s="10" t="n">
        <v>46.86</v>
      </c>
    </row>
    <row r="210" customFormat="false" ht="15" hidden="false" customHeight="false" outlineLevel="0" collapsed="false">
      <c r="A210" s="8" t="n">
        <v>45139</v>
      </c>
      <c r="B210" s="10" t="n">
        <v>22.95</v>
      </c>
      <c r="C210" s="10" t="n">
        <v>23.44</v>
      </c>
      <c r="D210" s="10" t="n">
        <v>19.39</v>
      </c>
      <c r="E210" s="10" t="n">
        <v>18.62</v>
      </c>
      <c r="F210" s="10" t="n">
        <v>19.1</v>
      </c>
      <c r="G210" s="10" t="n">
        <v>27.6</v>
      </c>
      <c r="H210" s="10" t="n">
        <v>28.96</v>
      </c>
      <c r="I210" s="10" t="n">
        <v>29.74</v>
      </c>
      <c r="J210" s="11" t="n">
        <v>79.32</v>
      </c>
      <c r="K210" s="11" t="n">
        <v>50.34</v>
      </c>
      <c r="L210" s="11" t="n">
        <v>69.44</v>
      </c>
      <c r="M210" s="11" t="n">
        <v>78.35</v>
      </c>
      <c r="N210" s="11" t="n">
        <v>77.65</v>
      </c>
      <c r="O210" s="10" t="n">
        <v>22.33</v>
      </c>
      <c r="P210" s="10" t="n">
        <v>49.99</v>
      </c>
      <c r="Q210" s="10" t="n">
        <v>23.82</v>
      </c>
      <c r="R210" s="10" t="n">
        <v>50.72</v>
      </c>
    </row>
    <row r="211" customFormat="false" ht="15" hidden="false" customHeight="false" outlineLevel="0" collapsed="false">
      <c r="A211" s="8" t="n">
        <v>45170</v>
      </c>
      <c r="B211" s="10" t="n">
        <v>24.02</v>
      </c>
      <c r="C211" s="10" t="n">
        <v>24.66</v>
      </c>
      <c r="D211" s="10" t="n">
        <v>20.63</v>
      </c>
      <c r="E211" s="10" t="n">
        <v>19.74</v>
      </c>
      <c r="F211" s="10" t="n">
        <v>20.05</v>
      </c>
      <c r="G211" s="10" t="n">
        <v>28.56</v>
      </c>
      <c r="H211" s="10" t="n">
        <v>29.6</v>
      </c>
      <c r="I211" s="10" t="n">
        <v>31.17</v>
      </c>
      <c r="J211" s="11" t="n">
        <v>32.26</v>
      </c>
      <c r="K211" s="11" t="n">
        <v>19.98</v>
      </c>
      <c r="L211" s="11" t="n">
        <v>33.15</v>
      </c>
      <c r="M211" s="11" t="n">
        <v>74.48</v>
      </c>
      <c r="N211" s="11" t="n">
        <v>73.31</v>
      </c>
      <c r="O211" s="10" t="n">
        <v>22.51</v>
      </c>
      <c r="P211" s="10" t="n">
        <v>49.33</v>
      </c>
      <c r="Q211" s="10" t="n">
        <v>24.03</v>
      </c>
      <c r="R211" s="10" t="n">
        <v>47.53</v>
      </c>
    </row>
    <row r="212" customFormat="false" ht="15" hidden="false" customHeight="false" outlineLevel="0" collapsed="false">
      <c r="A212" s="8" t="n">
        <v>45200</v>
      </c>
      <c r="B212" s="10" t="n">
        <v>25.67</v>
      </c>
      <c r="C212" s="10" t="n">
        <v>26.76</v>
      </c>
      <c r="D212" s="10" t="n">
        <v>22.32</v>
      </c>
      <c r="E212" s="10" t="n">
        <v>21.53</v>
      </c>
      <c r="F212" s="10" t="n">
        <v>22.08</v>
      </c>
      <c r="G212" s="10" t="n">
        <v>30.62</v>
      </c>
      <c r="H212" s="10" t="n">
        <v>31.37</v>
      </c>
      <c r="I212" s="10" t="n">
        <v>33.46</v>
      </c>
      <c r="J212" s="11" t="n">
        <v>83.85</v>
      </c>
      <c r="K212" s="11" t="n">
        <v>39.88</v>
      </c>
      <c r="L212" s="11" t="n">
        <v>48.21</v>
      </c>
      <c r="M212" s="11" t="n">
        <v>73.65</v>
      </c>
      <c r="N212" s="11" t="n">
        <v>69.17</v>
      </c>
      <c r="O212" s="10" t="n">
        <v>20.8</v>
      </c>
      <c r="P212" s="10" t="n">
        <v>46.97</v>
      </c>
      <c r="Q212" s="10" t="n">
        <v>21.35</v>
      </c>
      <c r="R212" s="10" t="n">
        <v>42.83</v>
      </c>
    </row>
    <row r="213" customFormat="false" ht="15" hidden="false" customHeight="false" outlineLevel="0" collapsed="false">
      <c r="A213" s="8" t="n">
        <v>45231</v>
      </c>
      <c r="B213" s="10" t="n">
        <v>27.14</v>
      </c>
      <c r="C213" s="10" t="n">
        <v>27.93</v>
      </c>
      <c r="D213" s="10" t="n">
        <v>22.98</v>
      </c>
      <c r="E213" s="10" t="n">
        <v>22.51</v>
      </c>
      <c r="F213" s="10" t="n">
        <v>22.51</v>
      </c>
      <c r="G213" s="10" t="n">
        <v>33.38</v>
      </c>
      <c r="H213" s="10" t="n">
        <v>34.51</v>
      </c>
      <c r="I213" s="10" t="n">
        <v>35.36</v>
      </c>
      <c r="J213" s="11" t="n">
        <v>18.5</v>
      </c>
      <c r="K213" s="11" t="n">
        <v>19.68</v>
      </c>
      <c r="L213" s="11" t="n">
        <v>11.37</v>
      </c>
      <c r="M213" s="11" t="n">
        <v>65.47</v>
      </c>
      <c r="N213" s="11" t="n">
        <v>63.27</v>
      </c>
      <c r="O213" s="10" t="n">
        <v>19.81</v>
      </c>
      <c r="P213" s="10" t="n">
        <v>45.69</v>
      </c>
      <c r="Q213" s="10" t="n">
        <v>18.41</v>
      </c>
      <c r="R213" s="10" t="n">
        <v>38.24</v>
      </c>
    </row>
    <row r="214" customFormat="false" ht="15" hidden="false" customHeight="false" outlineLevel="0" collapsed="false">
      <c r="A214" s="8" t="n">
        <v>45261</v>
      </c>
      <c r="B214" s="10" t="n">
        <v>27.59</v>
      </c>
      <c r="C214" s="10" t="n">
        <v>28.29</v>
      </c>
      <c r="D214" s="10" t="n">
        <v>23.68</v>
      </c>
      <c r="E214" s="10" t="n">
        <v>23.25</v>
      </c>
      <c r="F214" s="10" t="n">
        <v>23.61</v>
      </c>
      <c r="G214" s="10" t="n">
        <v>33.06</v>
      </c>
      <c r="H214" s="10" t="n">
        <v>34.7</v>
      </c>
      <c r="I214" s="10" t="n">
        <v>34.71</v>
      </c>
      <c r="J214" s="11" t="n">
        <v>97.7</v>
      </c>
      <c r="K214" s="11" t="n">
        <v>54.26</v>
      </c>
      <c r="L214" s="11" t="n">
        <v>75.13</v>
      </c>
      <c r="M214" s="11" t="n">
        <v>69</v>
      </c>
      <c r="N214" s="11" t="n">
        <v>67.07</v>
      </c>
      <c r="O214" s="10" t="n">
        <v>19.16</v>
      </c>
      <c r="P214" s="10" t="n">
        <v>46</v>
      </c>
      <c r="Q214" s="10" t="n">
        <v>20.59</v>
      </c>
      <c r="R214" s="10" t="n">
        <v>40.85</v>
      </c>
    </row>
    <row r="215" customFormat="false" ht="15" hidden="false" customHeight="false" outlineLevel="0" collapsed="false">
      <c r="A215" s="8" t="n">
        <v>45292</v>
      </c>
      <c r="B215" s="10" t="n">
        <v>26.34</v>
      </c>
      <c r="C215" s="10" t="n">
        <v>26.92</v>
      </c>
      <c r="D215" s="10" t="n">
        <v>23.57</v>
      </c>
      <c r="E215" s="10" t="n">
        <v>23.09</v>
      </c>
      <c r="F215" s="10" t="n">
        <v>23.47</v>
      </c>
      <c r="G215" s="10" t="n">
        <v>30.53</v>
      </c>
      <c r="H215" s="10" t="n">
        <v>32.55</v>
      </c>
      <c r="I215" s="10" t="n">
        <v>31.79</v>
      </c>
      <c r="J215" s="11" t="n">
        <v>298.9</v>
      </c>
      <c r="K215" s="11" t="n">
        <v>296.26</v>
      </c>
      <c r="L215" s="11" t="n">
        <v>242.63</v>
      </c>
      <c r="M215" s="11" t="n">
        <v>81.37</v>
      </c>
      <c r="N215" s="11" t="n">
        <v>79.64</v>
      </c>
      <c r="O215" s="10" t="n">
        <v>27.4</v>
      </c>
      <c r="P215" s="10" t="n">
        <v>52.97</v>
      </c>
      <c r="Q215" s="10" t="n">
        <v>34.94</v>
      </c>
      <c r="R215" s="10" t="n">
        <v>57.52</v>
      </c>
    </row>
    <row r="216" customFormat="false" ht="15" hidden="false" customHeight="false" outlineLevel="0" collapsed="false">
      <c r="A216" s="8" t="n">
        <v>45323</v>
      </c>
      <c r="B216" s="10" t="n">
        <v>26.31</v>
      </c>
      <c r="C216" s="10" t="n">
        <v>26.75</v>
      </c>
      <c r="D216" s="10" t="n">
        <v>23.23</v>
      </c>
      <c r="E216" s="10" t="n">
        <v>22.79</v>
      </c>
      <c r="F216" s="10" t="n">
        <v>23.22</v>
      </c>
      <c r="G216" s="10" t="n">
        <v>30.44</v>
      </c>
      <c r="H216" s="10" t="n">
        <v>32.46</v>
      </c>
      <c r="I216" s="10" t="n">
        <v>31.7</v>
      </c>
      <c r="J216" s="11" t="n">
        <v>188.74</v>
      </c>
      <c r="K216" s="11" t="n">
        <v>172.26</v>
      </c>
      <c r="L216" s="11" t="n">
        <v>142.05</v>
      </c>
      <c r="M216" s="11" t="n">
        <v>83.01</v>
      </c>
      <c r="N216" s="11" t="n">
        <v>80.99</v>
      </c>
      <c r="O216" s="10" t="n">
        <v>37.35</v>
      </c>
      <c r="P216" s="10" t="n">
        <v>54.97</v>
      </c>
      <c r="Q216" s="10" t="n">
        <v>38.17</v>
      </c>
      <c r="R216" s="10" t="n">
        <v>59.06</v>
      </c>
    </row>
    <row r="217" customFormat="false" ht="15" hidden="false" customHeight="false" outlineLevel="0" collapsed="false">
      <c r="A217" s="8" t="n">
        <v>45352</v>
      </c>
      <c r="B217" s="10" t="n">
        <v>27.01</v>
      </c>
      <c r="C217" s="10" t="n">
        <v>27.44</v>
      </c>
      <c r="D217" s="10" t="n">
        <v>23.86</v>
      </c>
      <c r="E217" s="10" t="n">
        <v>23.58</v>
      </c>
      <c r="F217" s="10" t="n">
        <v>23.77</v>
      </c>
      <c r="G217" s="10" t="n">
        <v>31.18</v>
      </c>
      <c r="H217" s="10" t="n">
        <v>33.12</v>
      </c>
      <c r="I217" s="10" t="n">
        <v>32.85</v>
      </c>
      <c r="J217" s="11" t="n">
        <v>105.33</v>
      </c>
      <c r="K217" s="11" t="n">
        <v>84.66</v>
      </c>
      <c r="L217" s="11" t="n">
        <v>96.18</v>
      </c>
      <c r="M217" s="11" t="n">
        <v>79.85</v>
      </c>
      <c r="N217" s="11" t="n">
        <v>79.06</v>
      </c>
      <c r="O217" s="10" t="n">
        <v>35.49</v>
      </c>
      <c r="P217" s="10" t="n">
        <v>53.72</v>
      </c>
      <c r="Q217" s="10" t="n">
        <v>33.17</v>
      </c>
      <c r="R217" s="10" t="n">
        <v>55.57</v>
      </c>
    </row>
    <row r="218" customFormat="false" ht="15" hidden="false" customHeight="false" outlineLevel="0" collapsed="false">
      <c r="A218" s="8" t="n">
        <v>45383</v>
      </c>
      <c r="B218" s="10" t="n">
        <v>25.82</v>
      </c>
      <c r="C218" s="10" t="n">
        <v>26.23</v>
      </c>
      <c r="D218" s="10" t="n">
        <v>22.65</v>
      </c>
      <c r="E218" s="10" t="n">
        <v>22.2</v>
      </c>
      <c r="F218" s="10" t="n">
        <v>22.34</v>
      </c>
      <c r="G218" s="10" t="n">
        <v>29.86</v>
      </c>
      <c r="H218" s="10" t="n">
        <v>31.87</v>
      </c>
      <c r="I218" s="10" t="n">
        <v>31.97</v>
      </c>
      <c r="J218" s="11" t="n">
        <v>40.3</v>
      </c>
      <c r="K218" s="11" t="n">
        <v>22.44</v>
      </c>
      <c r="L218" s="11" t="n">
        <v>51.12</v>
      </c>
      <c r="M218" s="11" t="n">
        <v>76.03</v>
      </c>
      <c r="N218" s="11" t="n">
        <v>76.95</v>
      </c>
      <c r="O218" s="10" t="n">
        <v>30.07</v>
      </c>
      <c r="P218" s="10" t="n">
        <v>50.01</v>
      </c>
      <c r="Q218" s="10" t="n">
        <v>26.17</v>
      </c>
      <c r="R218" s="10" t="n">
        <v>48.77</v>
      </c>
    </row>
    <row r="219" customFormat="false" ht="15" hidden="false" customHeight="false" outlineLevel="0" collapsed="false">
      <c r="A219" s="8" t="n">
        <v>45413</v>
      </c>
      <c r="B219" s="10" t="n">
        <v>25.23</v>
      </c>
      <c r="C219" s="10" t="n">
        <v>25.76</v>
      </c>
      <c r="D219" s="10" t="n">
        <v>21.7</v>
      </c>
      <c r="E219" s="10" t="n">
        <v>21.13</v>
      </c>
      <c r="F219" s="10" t="n">
        <v>21.47</v>
      </c>
      <c r="G219" s="10" t="n">
        <v>29.83</v>
      </c>
      <c r="H219" s="10" t="n">
        <v>31.54</v>
      </c>
      <c r="I219" s="10" t="n">
        <v>31.85</v>
      </c>
      <c r="J219" s="11" t="n">
        <v>41.53</v>
      </c>
      <c r="K219" s="11" t="n">
        <v>25.5</v>
      </c>
      <c r="L219" s="11" t="n">
        <v>32.14</v>
      </c>
      <c r="M219" s="11" t="n">
        <v>76.6</v>
      </c>
      <c r="N219" s="11" t="n">
        <v>74.45</v>
      </c>
      <c r="O219" s="10" t="n">
        <v>25.83</v>
      </c>
      <c r="P219" s="10" t="n">
        <v>47.77</v>
      </c>
      <c r="Q219" s="10" t="n">
        <v>21.37</v>
      </c>
      <c r="R219" s="10" t="n">
        <v>43.9</v>
      </c>
    </row>
    <row r="220" customFormat="false" ht="15" hidden="false" customHeight="false" outlineLevel="0" collapsed="false">
      <c r="A220" s="8" t="n">
        <v>45444</v>
      </c>
      <c r="B220" s="10" t="n">
        <v>23.3</v>
      </c>
      <c r="C220" s="10" t="n">
        <v>23.53</v>
      </c>
      <c r="D220" s="10" t="n">
        <v>19.7</v>
      </c>
      <c r="E220" s="10" t="n">
        <v>18.9</v>
      </c>
      <c r="F220" s="10" t="n">
        <v>19.45</v>
      </c>
      <c r="G220" s="10" t="n">
        <v>27.82</v>
      </c>
      <c r="H220" s="10" t="n">
        <v>29.53</v>
      </c>
      <c r="I220" s="10" t="n">
        <v>29.57</v>
      </c>
      <c r="J220" s="11" t="n">
        <v>25.79</v>
      </c>
      <c r="K220" s="11" t="n">
        <v>19.92</v>
      </c>
      <c r="L220" s="11" t="n">
        <v>49.33</v>
      </c>
      <c r="M220" s="11" t="n">
        <v>77.99</v>
      </c>
      <c r="N220" s="11" t="n">
        <v>77.1</v>
      </c>
      <c r="O220" s="10" t="n">
        <v>23.57</v>
      </c>
      <c r="P220" s="10" t="n">
        <v>48.04</v>
      </c>
      <c r="Q220" s="10" t="n">
        <v>20.36</v>
      </c>
      <c r="R220" s="10" t="n">
        <v>45.13</v>
      </c>
    </row>
    <row r="221" customFormat="false" ht="15" hidden="false" customHeight="false" outlineLevel="0" collapsed="false">
      <c r="A221" s="8" t="n">
        <v>45474</v>
      </c>
      <c r="B221" s="10" t="n">
        <v>22.85</v>
      </c>
      <c r="C221" s="10" t="n">
        <v>23.45</v>
      </c>
      <c r="D221" s="10" t="n">
        <v>18.95</v>
      </c>
      <c r="E221" s="10" t="n">
        <v>18.08</v>
      </c>
      <c r="F221" s="10" t="n">
        <v>18.67</v>
      </c>
      <c r="G221" s="10" t="n">
        <v>27.6</v>
      </c>
      <c r="H221" s="10" t="n">
        <v>29.14</v>
      </c>
      <c r="I221" s="10" t="n">
        <v>29.85</v>
      </c>
      <c r="J221" s="11" t="n">
        <v>20.05</v>
      </c>
      <c r="K221" s="11" t="n">
        <v>15.78</v>
      </c>
      <c r="L221" s="11" t="n">
        <v>13.73</v>
      </c>
      <c r="M221" s="11" t="n">
        <v>75.42</v>
      </c>
      <c r="N221" s="11" t="n">
        <v>71.82</v>
      </c>
      <c r="O221" s="10" t="n">
        <v>21.93</v>
      </c>
      <c r="P221" s="10" t="n">
        <v>45.78</v>
      </c>
      <c r="Q221" s="10" t="n">
        <v>18.7</v>
      </c>
      <c r="R221" s="10" t="n">
        <v>38.43</v>
      </c>
    </row>
    <row r="222" customFormat="false" ht="15" hidden="false" customHeight="false" outlineLevel="0" collapsed="false">
      <c r="A222" s="8" t="n">
        <v>45505</v>
      </c>
      <c r="B222" s="10" t="n">
        <v>22.56</v>
      </c>
      <c r="C222" s="10" t="n">
        <v>23.06</v>
      </c>
      <c r="D222" s="10" t="n">
        <v>18.62</v>
      </c>
      <c r="E222" s="10" t="n">
        <v>17.85</v>
      </c>
      <c r="F222" s="10" t="n">
        <v>18.07</v>
      </c>
      <c r="G222" s="10" t="n">
        <v>27.54</v>
      </c>
      <c r="H222" s="10" t="n">
        <v>28.9</v>
      </c>
      <c r="I222" s="10" t="n">
        <v>29.77</v>
      </c>
      <c r="J222" s="11" t="n">
        <v>47.45</v>
      </c>
      <c r="K222" s="11" t="n">
        <v>22.02</v>
      </c>
      <c r="L222" s="11" t="n">
        <v>45.44</v>
      </c>
      <c r="M222" s="11" t="n">
        <v>72.26</v>
      </c>
      <c r="N222" s="11" t="n">
        <v>71.89</v>
      </c>
      <c r="O222" s="10" t="n">
        <v>21.02</v>
      </c>
      <c r="P222" s="10" t="n">
        <v>47.07</v>
      </c>
      <c r="Q222" s="10" t="n">
        <v>19.72</v>
      </c>
      <c r="R222" s="10" t="n">
        <v>43.25</v>
      </c>
    </row>
    <row r="223" customFormat="false" ht="15" hidden="false" customHeight="false" outlineLevel="0" collapsed="false">
      <c r="A223" s="8" t="n">
        <v>45536</v>
      </c>
      <c r="B223" s="10" t="n">
        <v>24.51</v>
      </c>
      <c r="C223" s="10" t="n">
        <v>24.97</v>
      </c>
      <c r="D223" s="10" t="n">
        <v>20.4</v>
      </c>
      <c r="E223" s="10" t="n">
        <v>19.52</v>
      </c>
      <c r="F223" s="10" t="n">
        <v>19.75</v>
      </c>
      <c r="G223" s="10" t="n">
        <v>30.12</v>
      </c>
      <c r="H223" s="10" t="n">
        <v>31.16</v>
      </c>
      <c r="I223" s="10" t="n">
        <v>32</v>
      </c>
      <c r="J223" s="11" t="n">
        <v>29.81</v>
      </c>
      <c r="K223" s="11" t="n">
        <v>18.3</v>
      </c>
      <c r="L223" s="11" t="n">
        <v>25.38</v>
      </c>
      <c r="M223" s="11" t="n">
        <v>70.56</v>
      </c>
      <c r="N223" s="11" t="n">
        <v>68.71</v>
      </c>
      <c r="O223" s="10" t="n">
        <v>19.68</v>
      </c>
      <c r="P223" s="10" t="n">
        <v>45.27</v>
      </c>
      <c r="Q223" s="10" t="n">
        <v>16.86</v>
      </c>
      <c r="R223" s="10" t="n">
        <v>35.9</v>
      </c>
    </row>
    <row r="224" customFormat="false" ht="15" hidden="false" customHeight="false" outlineLevel="0" collapsed="false">
      <c r="A224" s="8" t="n">
        <v>45566</v>
      </c>
      <c r="B224" s="10" t="n">
        <v>24.91</v>
      </c>
      <c r="C224" s="10" t="n">
        <v>26.11</v>
      </c>
      <c r="D224" s="10" t="n">
        <v>21.58</v>
      </c>
      <c r="E224" s="10" t="n">
        <v>20.79</v>
      </c>
      <c r="F224" s="10" t="n">
        <v>21.85</v>
      </c>
      <c r="G224" s="10" t="n">
        <v>29.64</v>
      </c>
      <c r="H224" s="10" t="n">
        <v>30.39</v>
      </c>
      <c r="I224" s="10" t="n">
        <v>32.3</v>
      </c>
      <c r="J224" s="11" t="n">
        <v>219.6</v>
      </c>
      <c r="K224" s="11" t="n">
        <v>161.5</v>
      </c>
      <c r="L224" s="11" t="n">
        <v>109.1</v>
      </c>
      <c r="M224" s="11" t="n">
        <v>75.68</v>
      </c>
      <c r="N224" s="11" t="n">
        <v>71.71</v>
      </c>
      <c r="O224" s="10" t="n">
        <v>22.78</v>
      </c>
      <c r="P224" s="10" t="n">
        <v>47.85</v>
      </c>
      <c r="Q224" s="10" t="n">
        <v>28.31</v>
      </c>
      <c r="R224" s="10" t="n">
        <v>46.52</v>
      </c>
    </row>
    <row r="225" customFormat="false" ht="15" hidden="false" customHeight="false" outlineLevel="0" collapsed="false">
      <c r="A225" s="8" t="n">
        <v>45597</v>
      </c>
      <c r="B225" s="10" t="n">
        <v>24.6</v>
      </c>
      <c r="C225" s="10" t="n">
        <v>25.4</v>
      </c>
      <c r="D225" s="10" t="n">
        <v>21.47</v>
      </c>
      <c r="E225" s="10" t="n">
        <v>21</v>
      </c>
      <c r="F225" s="10" t="n">
        <v>21.4</v>
      </c>
      <c r="G225" s="10" t="n">
        <v>28.53</v>
      </c>
      <c r="H225" s="10" t="n">
        <v>29.66</v>
      </c>
      <c r="I225" s="10" t="n">
        <v>30.91</v>
      </c>
      <c r="J225" s="11" t="n">
        <v>242.1</v>
      </c>
      <c r="K225" s="11" t="n">
        <v>196.72</v>
      </c>
      <c r="L225" s="11" t="n">
        <v>171.61</v>
      </c>
      <c r="M225" s="11" t="n">
        <v>80.24</v>
      </c>
      <c r="N225" s="11" t="n">
        <v>77.59</v>
      </c>
      <c r="O225" s="10" t="n">
        <v>35.14</v>
      </c>
      <c r="P225" s="10" t="n">
        <v>53.27</v>
      </c>
      <c r="Q225" s="10" t="n">
        <v>38.62</v>
      </c>
      <c r="R225" s="10" t="n">
        <v>57.04</v>
      </c>
    </row>
    <row r="226" customFormat="false" ht="15" hidden="false" customHeight="false" outlineLevel="0" collapsed="false">
      <c r="A226" s="8" t="n">
        <v>45627</v>
      </c>
      <c r="B226" s="10" t="n">
        <v>26.39</v>
      </c>
      <c r="C226" s="10" t="n">
        <v>26.98</v>
      </c>
      <c r="D226" s="10" t="n">
        <v>23.17</v>
      </c>
      <c r="E226" s="10" t="n">
        <v>22.74</v>
      </c>
      <c r="F226" s="10" t="n">
        <v>23.04</v>
      </c>
      <c r="G226" s="10" t="n">
        <v>31.05</v>
      </c>
      <c r="H226" s="10" t="n">
        <v>32.68</v>
      </c>
      <c r="I226" s="10" t="n">
        <v>32.57</v>
      </c>
      <c r="J226" s="11" t="n">
        <v>152.38</v>
      </c>
      <c r="K226" s="11" t="n">
        <v>136.72</v>
      </c>
      <c r="L226" s="11" t="n">
        <v>87.67</v>
      </c>
      <c r="M226" s="11" t="n">
        <v>76.59</v>
      </c>
      <c r="N226" s="11" t="n">
        <v>74.08</v>
      </c>
      <c r="O226" s="10" t="n">
        <v>33.55</v>
      </c>
      <c r="P226" s="10" t="n">
        <v>50.58</v>
      </c>
      <c r="Q226" s="10" t="n">
        <v>32.83</v>
      </c>
      <c r="R226" s="10" t="n">
        <v>51.31</v>
      </c>
    </row>
    <row r="227" customFormat="false" ht="15" hidden="false" customHeight="false" outlineLevel="0" collapsed="false">
      <c r="A227" s="8" t="n">
        <v>45658</v>
      </c>
      <c r="B227" s="10" t="n">
        <v>25.99</v>
      </c>
      <c r="C227" s="10" t="n">
        <v>26.73</v>
      </c>
      <c r="D227" s="10" t="n">
        <v>23.21</v>
      </c>
      <c r="E227" s="10" t="n">
        <v>22.72</v>
      </c>
      <c r="F227" s="10" t="n">
        <v>23.17</v>
      </c>
      <c r="G227" s="10" t="n">
        <v>29.88</v>
      </c>
      <c r="H227" s="10" t="n">
        <v>31.9</v>
      </c>
      <c r="I227" s="10" t="n">
        <v>31.76</v>
      </c>
      <c r="J227" s="11" t="n">
        <v>177.66</v>
      </c>
      <c r="K227" s="11" t="n">
        <v>211.92</v>
      </c>
      <c r="L227" s="11" t="n">
        <v>120.38</v>
      </c>
      <c r="M227" s="11" t="n">
        <v>81.58</v>
      </c>
      <c r="N227" s="11" t="n">
        <v>78.04</v>
      </c>
      <c r="O227" s="10" t="n">
        <v>38.36</v>
      </c>
      <c r="P227" s="10" t="n">
        <v>52.63</v>
      </c>
      <c r="Q227" s="10" t="n">
        <v>36.63</v>
      </c>
      <c r="R227" s="10" t="n">
        <v>54.66</v>
      </c>
    </row>
    <row r="228" customFormat="false" ht="15" hidden="false" customHeight="false" outlineLevel="0" collapsed="false">
      <c r="A228" s="8" t="n">
        <v>45689</v>
      </c>
      <c r="B228" s="10" t="n">
        <v>26.59</v>
      </c>
      <c r="C228" s="10" t="n">
        <v>27.56</v>
      </c>
      <c r="D228" s="10" t="n">
        <v>23.01</v>
      </c>
      <c r="E228" s="10" t="n">
        <v>22.57</v>
      </c>
      <c r="F228" s="10" t="n">
        <v>23.15</v>
      </c>
      <c r="G228" s="10" t="n">
        <v>31.22</v>
      </c>
      <c r="H228" s="10" t="n">
        <v>33.24</v>
      </c>
      <c r="I228" s="10" t="n">
        <v>33.65</v>
      </c>
      <c r="J228" s="11" t="n">
        <v>12.13</v>
      </c>
      <c r="K228" s="11" t="n">
        <v>38.52</v>
      </c>
      <c r="L228" s="11" t="n">
        <v>41.8</v>
      </c>
      <c r="M228" s="11" t="n">
        <v>76.68</v>
      </c>
      <c r="N228" s="11" t="n">
        <v>70.51</v>
      </c>
      <c r="O228" s="10" t="n">
        <v>30.57</v>
      </c>
      <c r="P228" s="10" t="n">
        <v>47.14</v>
      </c>
      <c r="Q228" s="10" t="n">
        <v>23.7</v>
      </c>
      <c r="R228" s="10" t="n">
        <v>44.29</v>
      </c>
    </row>
    <row r="229" customFormat="false" ht="15" hidden="false" customHeight="false" outlineLevel="0" collapsed="false">
      <c r="A229" s="8" t="n">
        <v>45717</v>
      </c>
      <c r="B229" s="10" t="n">
        <v>26.22</v>
      </c>
      <c r="C229" s="10" t="n">
        <v>27.16</v>
      </c>
      <c r="D229" s="10" t="n">
        <v>22.88</v>
      </c>
      <c r="E229" s="10" t="n">
        <v>22.6</v>
      </c>
      <c r="F229" s="10" t="n">
        <v>23</v>
      </c>
      <c r="G229" s="10" t="n">
        <v>30.83</v>
      </c>
      <c r="H229" s="10" t="n">
        <v>32.77</v>
      </c>
      <c r="I229" s="10" t="n">
        <v>32.96</v>
      </c>
      <c r="J229" s="11" t="n">
        <v>33.02</v>
      </c>
      <c r="K229" s="11" t="n">
        <v>82.66</v>
      </c>
      <c r="L229" s="11" t="n">
        <v>85.98</v>
      </c>
      <c r="M229" s="11" t="n">
        <v>78.08</v>
      </c>
      <c r="N229" s="11" t="n">
        <v>73.31</v>
      </c>
      <c r="O229" s="10" t="n">
        <v>27.53</v>
      </c>
      <c r="P229" s="10" t="n">
        <v>48.5</v>
      </c>
      <c r="Q229" s="10" t="n">
        <v>28.51</v>
      </c>
      <c r="R229" s="10" t="n">
        <v>47.44</v>
      </c>
    </row>
    <row r="230" customFormat="false" ht="15" hidden="false" customHeight="false" outlineLevel="0" collapsed="false">
      <c r="A230" s="8" t="n">
        <v>45748</v>
      </c>
      <c r="B230" s="10" t="n">
        <v>24.98</v>
      </c>
      <c r="C230" s="10" t="n">
        <v>25.41</v>
      </c>
      <c r="D230" s="10" t="n">
        <v>22.28</v>
      </c>
      <c r="E230" s="10" t="n">
        <v>21.83</v>
      </c>
      <c r="F230" s="10" t="n">
        <v>22.04</v>
      </c>
      <c r="G230" s="10" t="n">
        <v>28.64</v>
      </c>
      <c r="H230" s="10" t="n">
        <v>30.65</v>
      </c>
      <c r="I230" s="10" t="n">
        <v>30.25</v>
      </c>
      <c r="J230" s="11" t="n">
        <v>117.18</v>
      </c>
      <c r="K230" s="11" t="n">
        <v>154.56</v>
      </c>
      <c r="L230" s="11" t="n">
        <v>180.16</v>
      </c>
      <c r="M230" s="11" t="n">
        <v>80.3</v>
      </c>
      <c r="N230" s="11" t="n">
        <v>81.91</v>
      </c>
      <c r="O230" s="10" t="n">
        <v>29.39</v>
      </c>
      <c r="P230" s="10" t="n">
        <v>53.17</v>
      </c>
      <c r="Q230" s="10" t="n">
        <v>33.48</v>
      </c>
      <c r="R230" s="10" t="n">
        <v>57.49</v>
      </c>
    </row>
    <row r="231" customFormat="false" ht="15" hidden="false" customHeight="false" outlineLevel="0" collapsed="false">
      <c r="A231" s="8" t="n">
        <v>45778</v>
      </c>
      <c r="B231" s="10" t="n">
        <v>22.92</v>
      </c>
      <c r="C231" s="10" t="n">
        <v>23.33</v>
      </c>
      <c r="D231" s="10" t="n">
        <v>20.24</v>
      </c>
      <c r="E231" s="10" t="n">
        <v>19.68</v>
      </c>
      <c r="F231" s="10" t="n">
        <v>20.05</v>
      </c>
      <c r="G231" s="10" t="n">
        <v>26.37</v>
      </c>
      <c r="H231" s="10" t="n">
        <v>28.08</v>
      </c>
      <c r="I231" s="10" t="n">
        <v>28.21</v>
      </c>
      <c r="J231" s="11" t="n">
        <v>48.45</v>
      </c>
      <c r="K231" s="11" t="n">
        <v>55.14</v>
      </c>
      <c r="L231" s="11" t="n">
        <v>105.32</v>
      </c>
      <c r="M231" s="11" t="n">
        <v>81.92</v>
      </c>
      <c r="N231" s="11" t="n">
        <v>82.41</v>
      </c>
      <c r="O231" s="10" t="n">
        <v>30.63</v>
      </c>
      <c r="P231" s="10" t="n">
        <v>52.64</v>
      </c>
      <c r="Q231" s="10" t="n">
        <v>32.62</v>
      </c>
      <c r="R231" s="10" t="n">
        <v>55.5</v>
      </c>
    </row>
    <row r="232" customFormat="false" ht="15" hidden="false" customHeight="false" outlineLevel="0" collapsed="false">
      <c r="A232" s="8" t="n">
        <v>45809</v>
      </c>
      <c r="B232" s="10" t="n">
        <v>22.02</v>
      </c>
      <c r="C232" s="10" t="n">
        <v>22.09</v>
      </c>
      <c r="D232" s="10" t="n">
        <v>18.78</v>
      </c>
      <c r="E232" s="10" t="n">
        <v>17.98</v>
      </c>
      <c r="F232" s="10" t="n">
        <v>18.61</v>
      </c>
      <c r="G232" s="10" t="n">
        <v>26.14</v>
      </c>
      <c r="H232" s="10" t="n">
        <v>27.85</v>
      </c>
      <c r="I232" s="10" t="n">
        <v>27.19</v>
      </c>
      <c r="J232" s="11" t="n">
        <v>39.13</v>
      </c>
      <c r="K232" s="11" t="n">
        <v>28.78</v>
      </c>
      <c r="L232" s="11" t="n">
        <v>68.01</v>
      </c>
      <c r="M232" s="11" t="n">
        <v>80.73</v>
      </c>
      <c r="N232" s="11" t="n">
        <v>82.84</v>
      </c>
      <c r="O232" s="10" t="n">
        <v>29.21</v>
      </c>
      <c r="P232" s="10" t="n">
        <v>53.98</v>
      </c>
      <c r="Q232" s="10" t="n">
        <v>30.16</v>
      </c>
      <c r="R232" s="10" t="n">
        <v>56.93</v>
      </c>
    </row>
    <row r="233" customFormat="false" ht="15" hidden="false" customHeight="false" outlineLevel="0" collapsed="false">
      <c r="A233" s="8" t="n">
        <v>45839</v>
      </c>
      <c r="B233" s="10" t="n">
        <v>21.01</v>
      </c>
      <c r="C233" s="10" t="n">
        <v>21.23</v>
      </c>
      <c r="D233" s="10" t="n">
        <v>17.68</v>
      </c>
      <c r="E233" s="10" t="n">
        <v>16.81</v>
      </c>
      <c r="F233" s="10" t="n">
        <v>17.04</v>
      </c>
      <c r="G233" s="10" t="n">
        <v>25.5</v>
      </c>
      <c r="H233" s="10" t="n">
        <v>27.03</v>
      </c>
      <c r="I233" s="10" t="n">
        <v>27.09</v>
      </c>
      <c r="J233" s="11" t="n">
        <v>34.58</v>
      </c>
      <c r="K233" s="11" t="n">
        <v>21.5</v>
      </c>
      <c r="L233" s="11" t="n">
        <v>25.36</v>
      </c>
      <c r="M233" s="11" t="n">
        <v>77.72</v>
      </c>
      <c r="N233" s="11" t="n">
        <v>78.76</v>
      </c>
      <c r="O233" s="10" t="n">
        <v>26.34</v>
      </c>
      <c r="P233" s="10" t="n">
        <v>50.89</v>
      </c>
      <c r="Q233" s="10" t="n">
        <v>24.22</v>
      </c>
      <c r="R233" s="10" t="n">
        <v>50.45</v>
      </c>
    </row>
    <row r="234" customFormat="false" ht="15" hidden="false" customHeight="false" outlineLevel="0" collapsed="false">
      <c r="A234" s="8" t="n">
        <v>45870</v>
      </c>
      <c r="B234" s="10" t="n">
        <v>21.48</v>
      </c>
      <c r="C234" s="10" t="n">
        <v>22.08</v>
      </c>
      <c r="D234" s="10" t="n">
        <v>17.79</v>
      </c>
      <c r="E234" s="10" t="n">
        <v>17.02</v>
      </c>
      <c r="F234" s="10" t="n">
        <v>17.5</v>
      </c>
      <c r="G234" s="10" t="n">
        <v>26.04</v>
      </c>
      <c r="H234" s="10" t="n">
        <v>27.4</v>
      </c>
      <c r="I234" s="10" t="n">
        <v>28.44</v>
      </c>
      <c r="J234" s="11" t="n">
        <v>26.8</v>
      </c>
      <c r="K234" s="11" t="n">
        <v>23.74</v>
      </c>
      <c r="L234" s="11" t="n">
        <v>20.88</v>
      </c>
      <c r="M234" s="11" t="n">
        <v>75.31</v>
      </c>
      <c r="N234" s="11" t="n">
        <v>73.44</v>
      </c>
      <c r="O234" s="10" t="n">
        <v>23.76</v>
      </c>
      <c r="P234" s="10" t="n">
        <v>47.66</v>
      </c>
      <c r="Q234" s="10" t="n">
        <v>20.13</v>
      </c>
      <c r="R234" s="10" t="n">
        <v>42.15</v>
      </c>
    </row>
    <row r="235" customFormat="false" ht="15" hidden="false" customHeight="false" outlineLevel="0" collapsed="false">
      <c r="A235" s="8" t="n">
        <v>45901</v>
      </c>
      <c r="B235" s="10" t="n">
        <v>22.44</v>
      </c>
      <c r="C235" s="10" t="n">
        <v>23.02</v>
      </c>
      <c r="D235" s="10" t="n">
        <v>18.85</v>
      </c>
      <c r="E235" s="10" t="n">
        <v>17.96</v>
      </c>
      <c r="F235" s="10" t="n">
        <v>18.47</v>
      </c>
      <c r="G235" s="10" t="n">
        <v>27.01</v>
      </c>
      <c r="H235" s="10" t="n">
        <v>28.05</v>
      </c>
      <c r="I235" s="10" t="n">
        <v>29.34</v>
      </c>
      <c r="J235" s="11" t="n">
        <v>69.14</v>
      </c>
      <c r="K235" s="11" t="n">
        <v>46.88</v>
      </c>
      <c r="L235" s="11" t="n">
        <v>61.34</v>
      </c>
      <c r="M235" s="11" t="n">
        <v>73.42</v>
      </c>
      <c r="N235" s="11" t="n">
        <v>72.59</v>
      </c>
      <c r="O235" s="10" t="n">
        <v>23.01</v>
      </c>
      <c r="P235" s="10" t="n">
        <v>49.02</v>
      </c>
      <c r="Q235" s="10" t="n">
        <v>24.83</v>
      </c>
      <c r="R235" s="10" t="n">
        <v>47.23</v>
      </c>
    </row>
    <row r="236" customFormat="false" ht="15" hidden="false" customHeight="false" outlineLevel="0" collapsed="false">
      <c r="A236" s="8" t="n">
        <v>45931</v>
      </c>
      <c r="B236" s="10" t="n">
        <v>23.19</v>
      </c>
      <c r="C236" s="10" t="n">
        <v>24.26</v>
      </c>
      <c r="D236" s="10" t="n">
        <v>20.15</v>
      </c>
      <c r="E236" s="10" t="n">
        <v>19.36</v>
      </c>
      <c r="F236" s="10" t="n">
        <v>19.96</v>
      </c>
      <c r="G236" s="10" t="n">
        <v>27.51</v>
      </c>
      <c r="H236" s="10" t="n">
        <v>28.27</v>
      </c>
      <c r="I236" s="10" t="n">
        <v>30.44</v>
      </c>
      <c r="J236" s="11" t="n">
        <v>96.11</v>
      </c>
      <c r="K236" s="11" t="n">
        <v>86.12</v>
      </c>
      <c r="L236" s="11" t="n">
        <v>71.51</v>
      </c>
      <c r="M236" s="11" t="n">
        <v>76.66</v>
      </c>
      <c r="N236" s="11" t="n">
        <v>71.64</v>
      </c>
      <c r="O236" s="10" t="n">
        <v>23.17</v>
      </c>
      <c r="P236" s="10" t="n">
        <v>48.15</v>
      </c>
      <c r="Q236" s="10" t="n">
        <v>28.3</v>
      </c>
      <c r="R236" s="10" t="n">
        <v>45.68</v>
      </c>
    </row>
    <row r="237" customFormat="false" ht="15" hidden="false" customHeight="false" outlineLevel="0" collapsed="false">
      <c r="A237" s="8" t="n">
        <v>45962</v>
      </c>
      <c r="B237" s="10" t="n">
        <v>24.77</v>
      </c>
      <c r="C237" s="10" t="n">
        <v>25.92</v>
      </c>
      <c r="D237" s="10" t="n">
        <v>21.24</v>
      </c>
      <c r="E237" s="10" t="n">
        <v>20.77</v>
      </c>
      <c r="F237" s="10" t="n">
        <v>21.16</v>
      </c>
      <c r="G237" s="10" t="n">
        <v>29.52</v>
      </c>
      <c r="H237" s="10" t="n">
        <v>30.65</v>
      </c>
      <c r="I237" s="10" t="n">
        <v>32.44</v>
      </c>
      <c r="J237" s="11" t="n">
        <v>133.6</v>
      </c>
      <c r="K237" s="11" t="n">
        <v>106.24</v>
      </c>
      <c r="L237" s="11" t="n">
        <v>62.73</v>
      </c>
      <c r="M237" s="11" t="n">
        <v>74.04</v>
      </c>
      <c r="N237" s="11" t="n">
        <v>69.41</v>
      </c>
      <c r="O237" s="10" t="n">
        <v>23.77</v>
      </c>
      <c r="P237" s="10" t="n">
        <v>47.81</v>
      </c>
      <c r="Q237" s="10" t="n">
        <v>28.4</v>
      </c>
      <c r="R237" s="10" t="n">
        <v>44.56</v>
      </c>
    </row>
    <row r="238" customFormat="false" ht="15" hidden="false" customHeight="false" outlineLevel="0" collapsed="false">
      <c r="A238" s="8" t="n">
        <v>45992</v>
      </c>
      <c r="B238" s="10" t="n">
        <v>26.15</v>
      </c>
      <c r="C238" s="10" t="n">
        <v>26.66</v>
      </c>
      <c r="D238" s="10" t="n">
        <v>22.81</v>
      </c>
      <c r="E238" s="10" t="n">
        <v>22.38</v>
      </c>
      <c r="F238" s="10" t="n">
        <v>22.29</v>
      </c>
      <c r="G238" s="10" t="n">
        <v>30.85</v>
      </c>
      <c r="H238" s="10" t="n">
        <v>32.48</v>
      </c>
      <c r="I238" s="10" t="n">
        <v>32.55</v>
      </c>
      <c r="J238" s="11" t="n">
        <v>145.13</v>
      </c>
      <c r="K238" s="11" t="n">
        <v>73.9</v>
      </c>
      <c r="L238" s="11" t="n">
        <v>95.92</v>
      </c>
      <c r="M238" s="11" t="n">
        <v>75.19</v>
      </c>
      <c r="N238" s="11" t="n">
        <v>73.09</v>
      </c>
      <c r="O238" s="10" t="n">
        <v>27.47</v>
      </c>
      <c r="P238" s="10" t="n">
        <v>49.98</v>
      </c>
      <c r="Q238" s="10" t="n">
        <v>30.85</v>
      </c>
      <c r="R238" s="10" t="n">
        <v>49.96</v>
      </c>
    </row>
    <row r="239" customFormat="false" ht="15" hidden="false" customHeight="false" outlineLevel="0" collapsed="false">
      <c r="A239" s="8" t="n">
        <v>46023</v>
      </c>
      <c r="B239" s="10" t="n">
        <v>25.94</v>
      </c>
      <c r="C239" s="10" t="n">
        <v>26.31</v>
      </c>
      <c r="D239" s="10" t="n">
        <v>22.56</v>
      </c>
      <c r="E239" s="10" t="n">
        <v>22.08</v>
      </c>
      <c r="F239" s="10" t="n">
        <v>22.4</v>
      </c>
      <c r="G239" s="10" t="n">
        <v>30.36</v>
      </c>
      <c r="H239" s="10" t="n">
        <v>32.39</v>
      </c>
      <c r="I239" s="10" t="n">
        <v>31.62</v>
      </c>
      <c r="J239" s="11" t="n">
        <v>257.75</v>
      </c>
      <c r="K239" s="11" t="n">
        <v>226.6</v>
      </c>
      <c r="L239" s="11" t="n">
        <v>179.15</v>
      </c>
      <c r="M239" s="11" t="n">
        <v>78.84</v>
      </c>
      <c r="N239" s="11" t="n">
        <v>76.02</v>
      </c>
      <c r="O239" s="10" t="n">
        <v>29.67</v>
      </c>
      <c r="P239" s="10" t="n">
        <v>51.48</v>
      </c>
      <c r="Q239" s="10" t="n">
        <v>33.51</v>
      </c>
      <c r="R239" s="10" t="n">
        <v>53.88</v>
      </c>
    </row>
    <row r="240" customFormat="false" ht="15" hidden="false" customHeight="false" outlineLevel="0" collapsed="false">
      <c r="A240" s="8" t="n">
        <v>46054</v>
      </c>
      <c r="B240" s="10" t="n">
        <v>26.84</v>
      </c>
      <c r="C240" s="10" t="n">
        <v>27.28</v>
      </c>
      <c r="D240" s="10" t="n">
        <v>23.61</v>
      </c>
      <c r="E240" s="10" t="n">
        <v>23.16</v>
      </c>
      <c r="F240" s="10" t="n">
        <v>23.43</v>
      </c>
      <c r="G240" s="10" t="n">
        <v>31.42</v>
      </c>
      <c r="H240" s="10" t="n">
        <v>33.44</v>
      </c>
      <c r="I240" s="10" t="n">
        <v>32.61</v>
      </c>
      <c r="J240" s="11" t="n">
        <v>181.87</v>
      </c>
      <c r="K240" s="11" t="n">
        <v>225.34</v>
      </c>
      <c r="L240" s="11" t="n">
        <v>94.28</v>
      </c>
      <c r="M240" s="11" t="n">
        <v>78.6</v>
      </c>
      <c r="N240" s="11" t="n">
        <v>75.64</v>
      </c>
      <c r="O240" s="10" t="n">
        <v>31.74</v>
      </c>
      <c r="P240" s="10" t="n">
        <v>50.07</v>
      </c>
      <c r="Q240" s="10" t="n">
        <v>32.06</v>
      </c>
      <c r="R240" s="10" t="n">
        <v>50.8</v>
      </c>
    </row>
    <row r="241" customFormat="false" ht="15" hidden="false" customHeight="false" outlineLevel="0" collapsed="false">
      <c r="A241" s="8" t="n">
        <v>46082</v>
      </c>
      <c r="B241" s="10" t="n">
        <v>25.39</v>
      </c>
      <c r="C241" s="10" t="n">
        <v>26.33</v>
      </c>
      <c r="D241" s="10" t="n">
        <v>22.6</v>
      </c>
      <c r="E241" s="10" t="n">
        <v>22.32</v>
      </c>
      <c r="F241" s="10" t="n">
        <v>22.74</v>
      </c>
      <c r="G241" s="10" t="n">
        <v>29.3</v>
      </c>
      <c r="H241" s="10" t="n">
        <v>31.25</v>
      </c>
      <c r="I241" s="10" t="n">
        <v>31.6</v>
      </c>
      <c r="J241" s="11" t="n">
        <v>205.27</v>
      </c>
      <c r="K241" s="11" t="n">
        <v>180.88</v>
      </c>
      <c r="L241" s="11" t="n">
        <v>105.21</v>
      </c>
      <c r="M241" s="11" t="n">
        <v>83.09</v>
      </c>
      <c r="N241" s="11" t="n">
        <v>78.78</v>
      </c>
      <c r="O241" s="10" t="n">
        <v>39.48</v>
      </c>
      <c r="P241" s="10" t="n">
        <v>51.74</v>
      </c>
      <c r="Q241" s="10" t="n">
        <v>39.02</v>
      </c>
      <c r="R241" s="10" t="n">
        <v>54.15</v>
      </c>
    </row>
    <row r="242" customFormat="false" ht="15" hidden="false" customHeight="false" outlineLevel="0" collapsed="false">
      <c r="A242" s="8" t="n">
        <v>46113</v>
      </c>
      <c r="B242" s="10" t="n">
        <v>24.81</v>
      </c>
      <c r="C242" s="10" t="n">
        <v>25.75</v>
      </c>
      <c r="D242" s="10" t="n">
        <v>21.62</v>
      </c>
      <c r="E242" s="10" t="n">
        <v>21.17</v>
      </c>
      <c r="F242" s="10" t="n">
        <v>21.57</v>
      </c>
      <c r="G242" s="10" t="n">
        <v>28.8</v>
      </c>
      <c r="H242" s="10" t="n">
        <v>30.81</v>
      </c>
      <c r="I242" s="10" t="n">
        <v>31.54</v>
      </c>
      <c r="J242" s="11" t="n">
        <v>59.85</v>
      </c>
      <c r="K242" s="11" t="n">
        <v>76.86</v>
      </c>
      <c r="L242" s="11" t="n">
        <v>44.88</v>
      </c>
      <c r="M242" s="11" t="n">
        <v>81.8</v>
      </c>
      <c r="N242" s="11" t="n">
        <v>75.89</v>
      </c>
      <c r="O242" s="10" t="n">
        <v>37.65</v>
      </c>
      <c r="P242" s="10" t="n">
        <v>49.69</v>
      </c>
      <c r="Q242" s="10" t="n">
        <v>34.95</v>
      </c>
      <c r="R242" s="10" t="n">
        <v>49.04</v>
      </c>
    </row>
    <row r="243" customFormat="false" ht="15" hidden="false" customHeight="false" outlineLevel="0" collapsed="false">
      <c r="A243" s="8" t="n">
        <v>46143</v>
      </c>
      <c r="B243" s="10" t="n">
        <v>23.79</v>
      </c>
      <c r="C243" s="10" t="n">
        <v>25.04</v>
      </c>
      <c r="D243" s="10" t="n">
        <v>20.83</v>
      </c>
      <c r="E243" s="10" t="n">
        <v>20.27</v>
      </c>
      <c r="F243" s="10" t="n">
        <v>21.02</v>
      </c>
      <c r="G243" s="10" t="n">
        <v>27.55</v>
      </c>
      <c r="H243" s="10" t="n">
        <v>29.26</v>
      </c>
      <c r="I243" s="10" t="n">
        <v>30.73</v>
      </c>
      <c r="J243" s="11" t="n">
        <v>42.85</v>
      </c>
      <c r="K243" s="11" t="n">
        <v>18.72</v>
      </c>
      <c r="L243" s="11" t="n">
        <v>15.32</v>
      </c>
      <c r="M243" s="11" t="n">
        <v>80.18</v>
      </c>
      <c r="N243" s="11" t="n">
        <v>73.35</v>
      </c>
      <c r="O243" s="10" t="n">
        <v>31.39</v>
      </c>
      <c r="P243" s="10" t="n">
        <v>46.57</v>
      </c>
      <c r="Q243" s="10" t="n">
        <v>25.65</v>
      </c>
      <c r="R243" s="10" t="n">
        <v>42.39</v>
      </c>
    </row>
    <row r="244" customFormat="false" ht="15" hidden="false" customHeight="false" outlineLevel="0" collapsed="false">
      <c r="A244" s="8" t="n">
        <v>46174</v>
      </c>
      <c r="B244" s="10" t="n">
        <v>22.22</v>
      </c>
      <c r="C244" s="10" t="n">
        <v>23.36</v>
      </c>
      <c r="D244" s="10" t="n">
        <v>18.64</v>
      </c>
      <c r="E244" s="10" t="n">
        <v>17.84</v>
      </c>
      <c r="F244" s="10" t="n">
        <v>18.86</v>
      </c>
      <c r="G244" s="10" t="n">
        <v>26.74</v>
      </c>
      <c r="H244" s="10" t="n">
        <v>28.44</v>
      </c>
      <c r="I244" s="10" t="n">
        <v>29.65</v>
      </c>
      <c r="J244" s="11" t="n">
        <v>34.72</v>
      </c>
      <c r="K244" s="11" t="n">
        <v>27.44</v>
      </c>
      <c r="L244" s="11" t="n">
        <v>21.16</v>
      </c>
      <c r="M244" s="11" t="n">
        <v>79</v>
      </c>
      <c r="N244" s="11" t="n">
        <v>72.42</v>
      </c>
      <c r="O244" s="10" t="n">
        <v>27.64</v>
      </c>
      <c r="P244" s="10" t="n">
        <v>45.53</v>
      </c>
      <c r="Q244" s="10" t="n">
        <v>23.24</v>
      </c>
      <c r="R244" s="10" t="n">
        <v>40.56</v>
      </c>
    </row>
    <row r="245" customFormat="false" ht="15" hidden="false" customHeight="false" outlineLevel="0" collapsed="false">
      <c r="A245" s="8" t="n">
        <v>46204</v>
      </c>
      <c r="B245" s="10" t="n">
        <v>22.17</v>
      </c>
      <c r="C245" s="10" t="n">
        <v>23.08</v>
      </c>
      <c r="D245" s="10" t="n">
        <v>18.63</v>
      </c>
      <c r="E245" s="10" t="n">
        <v>17.76</v>
      </c>
      <c r="F245" s="10" t="n">
        <v>18.6</v>
      </c>
      <c r="G245" s="10" t="n">
        <v>26.62</v>
      </c>
      <c r="H245" s="10" t="n">
        <v>28.15</v>
      </c>
      <c r="I245" s="10" t="n">
        <v>29.44</v>
      </c>
      <c r="J245" s="11" t="n">
        <v>38.39</v>
      </c>
      <c r="K245" s="11" t="n">
        <v>18.18</v>
      </c>
      <c r="L245" s="11" t="n">
        <v>14.9</v>
      </c>
      <c r="M245" s="11" t="n">
        <v>77.25</v>
      </c>
      <c r="N245" s="11" t="n">
        <v>72.18</v>
      </c>
      <c r="O245" s="10" t="n">
        <v>25.44</v>
      </c>
      <c r="P245" s="10" t="n">
        <v>45.14</v>
      </c>
      <c r="Q245" s="10" t="n">
        <v>22.34</v>
      </c>
      <c r="R245" s="10" t="n">
        <v>39.92</v>
      </c>
    </row>
    <row r="246" customFormat="false" ht="15" hidden="false" customHeight="false" outlineLevel="0" collapsed="false">
      <c r="A246" s="8" t="n">
        <v>46235</v>
      </c>
      <c r="B246" s="10" t="n">
        <v>23.39</v>
      </c>
      <c r="C246" s="10" t="n">
        <v>24.18</v>
      </c>
      <c r="D246" s="10" t="n">
        <v>19.78</v>
      </c>
      <c r="E246" s="10" t="n">
        <v>19.01</v>
      </c>
      <c r="F246" s="10" t="n">
        <v>19.27</v>
      </c>
      <c r="G246" s="10" t="n">
        <v>28.26</v>
      </c>
      <c r="H246" s="10" t="n">
        <v>29.63</v>
      </c>
      <c r="I246" s="10" t="n">
        <v>31.09</v>
      </c>
      <c r="J246" s="11" t="n">
        <v>31.47</v>
      </c>
      <c r="K246" s="11" t="n">
        <v>24.98</v>
      </c>
      <c r="L246" s="11" t="n">
        <v>36.99</v>
      </c>
      <c r="M246" s="11" t="n">
        <v>74.76</v>
      </c>
      <c r="N246" s="11" t="n">
        <v>71.14</v>
      </c>
      <c r="O246" s="10" t="n">
        <v>23.33</v>
      </c>
      <c r="P246" s="10" t="n">
        <v>45.37</v>
      </c>
      <c r="Q246" s="10" t="n">
        <v>20.42</v>
      </c>
      <c r="R246" s="10" t="n">
        <v>39.14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4" t="s">
        <v>131</v>
      </c>
    </row>
    <row r="2" customFormat="false" ht="15" hidden="false" customHeight="false" outlineLevel="0" collapsed="false">
      <c r="A2" s="5" t="s">
        <v>132</v>
      </c>
    </row>
    <row r="4" customFormat="false" ht="43.5" hidden="false" customHeight="true" outlineLevel="0" collapsed="false">
      <c r="A4" s="7" t="s">
        <v>133</v>
      </c>
      <c r="B4" s="7" t="s">
        <v>134</v>
      </c>
      <c r="C4" s="7" t="s">
        <v>135</v>
      </c>
      <c r="D4" s="7" t="s">
        <v>136</v>
      </c>
      <c r="E4" s="7" t="s">
        <v>137</v>
      </c>
      <c r="F4" s="7" t="s">
        <v>138</v>
      </c>
      <c r="G4" s="7" t="s">
        <v>139</v>
      </c>
      <c r="H4" s="7" t="s">
        <v>140</v>
      </c>
      <c r="I4" s="7" t="s">
        <v>141</v>
      </c>
      <c r="J4" s="7" t="s">
        <v>142</v>
      </c>
      <c r="K4" s="7" t="s">
        <v>143</v>
      </c>
    </row>
    <row r="5" customFormat="false" ht="15" hidden="false" customHeight="false" outlineLevel="0" collapsed="false">
      <c r="A5" s="25" t="s">
        <v>144</v>
      </c>
      <c r="B5" s="25" t="s">
        <v>145</v>
      </c>
      <c r="C5" s="25" t="n">
        <v>400</v>
      </c>
      <c r="D5" s="26" t="n">
        <v>7.563</v>
      </c>
      <c r="E5" s="26" t="n">
        <v>27.996</v>
      </c>
      <c r="F5" s="25" t="n">
        <v>29.6</v>
      </c>
      <c r="G5" s="27" t="n">
        <v>0.903</v>
      </c>
      <c r="H5" s="25"/>
      <c r="I5" s="26"/>
      <c r="J5" s="27"/>
      <c r="K5" s="25" t="s">
        <v>146</v>
      </c>
    </row>
    <row r="6" customFormat="false" ht="15" hidden="false" customHeight="false" outlineLevel="0" collapsed="false">
      <c r="A6" s="9" t="s">
        <v>144</v>
      </c>
      <c r="B6" s="9" t="s">
        <v>147</v>
      </c>
      <c r="C6" s="9" t="n">
        <v>400</v>
      </c>
      <c r="D6" s="28" t="n">
        <v>-2.151</v>
      </c>
      <c r="E6" s="28" t="n">
        <v>29.934</v>
      </c>
      <c r="F6" s="9" t="n">
        <v>31.7</v>
      </c>
      <c r="G6" s="29" t="n">
        <v>0.863</v>
      </c>
      <c r="I6" s="28" t="n">
        <v>2.83</v>
      </c>
      <c r="J6" s="29" t="n">
        <v>0.623</v>
      </c>
      <c r="K6" s="9"/>
    </row>
    <row r="7" customFormat="false" ht="15" hidden="false" customHeight="false" outlineLevel="0" collapsed="false">
      <c r="A7" s="9" t="s">
        <v>144</v>
      </c>
      <c r="B7" s="9" t="s">
        <v>148</v>
      </c>
      <c r="C7" s="9" t="n">
        <v>400</v>
      </c>
      <c r="D7" s="28" t="n">
        <v>-14.048</v>
      </c>
      <c r="E7" s="28" t="n">
        <v>37.019</v>
      </c>
      <c r="F7" s="9" t="n">
        <v>39.2</v>
      </c>
      <c r="G7" s="29" t="n">
        <v>0.823</v>
      </c>
      <c r="I7" s="28" t="n">
        <v>2.906</v>
      </c>
      <c r="J7" s="29" t="n">
        <v>0.559</v>
      </c>
      <c r="K7" s="9"/>
    </row>
    <row r="9" customFormat="false" ht="15" hidden="false" customHeight="false" outlineLevel="0" collapsed="false">
      <c r="A9" s="25" t="s">
        <v>32</v>
      </c>
      <c r="B9" s="25" t="s">
        <v>148</v>
      </c>
      <c r="C9" s="25" t="n">
        <v>410</v>
      </c>
      <c r="D9" s="26" t="n">
        <v>-0.052</v>
      </c>
      <c r="E9" s="26" t="n">
        <v>0.329</v>
      </c>
      <c r="F9" s="25"/>
      <c r="G9" s="27" t="n">
        <v>0.982</v>
      </c>
      <c r="H9" s="25"/>
      <c r="I9" s="26" t="n">
        <v>0.533</v>
      </c>
      <c r="J9" s="27" t="n">
        <v>0.959</v>
      </c>
      <c r="K9" s="25" t="s">
        <v>146</v>
      </c>
    </row>
    <row r="10" customFormat="false" ht="15" hidden="false" customHeight="false" outlineLevel="0" collapsed="false">
      <c r="A10" s="9" t="s">
        <v>32</v>
      </c>
      <c r="B10" s="9" t="s">
        <v>147</v>
      </c>
      <c r="C10" s="9" t="n">
        <v>410</v>
      </c>
      <c r="D10" s="28" t="n">
        <v>0.527</v>
      </c>
      <c r="E10" s="28" t="n">
        <v>0.626</v>
      </c>
      <c r="G10" s="29" t="n">
        <v>0.969</v>
      </c>
      <c r="I10" s="28" t="n">
        <v>0.791</v>
      </c>
      <c r="J10" s="29" t="n">
        <v>0.935</v>
      </c>
      <c r="K10" s="9"/>
    </row>
    <row r="12" customFormat="false" ht="15" hidden="false" customHeight="false" outlineLevel="0" collapsed="false">
      <c r="A12" s="25" t="s">
        <v>33</v>
      </c>
      <c r="B12" s="25" t="s">
        <v>148</v>
      </c>
      <c r="C12" s="25" t="n">
        <v>404</v>
      </c>
      <c r="D12" s="26" t="n">
        <v>0.597</v>
      </c>
      <c r="E12" s="26" t="n">
        <v>0.713</v>
      </c>
      <c r="F12" s="25"/>
      <c r="G12" s="27" t="n">
        <v>0.948</v>
      </c>
      <c r="H12" s="25"/>
      <c r="I12" s="26" t="n">
        <v>0.989</v>
      </c>
      <c r="J12" s="27" t="n">
        <v>0.898</v>
      </c>
      <c r="K12" s="25" t="s">
        <v>146</v>
      </c>
    </row>
    <row r="13" customFormat="false" ht="15" hidden="false" customHeight="false" outlineLevel="0" collapsed="false">
      <c r="A13" s="9" t="s">
        <v>33</v>
      </c>
      <c r="B13" s="9" t="s">
        <v>147</v>
      </c>
      <c r="C13" s="9" t="n">
        <v>404</v>
      </c>
      <c r="D13" s="28" t="n">
        <v>0.684</v>
      </c>
      <c r="E13" s="28" t="n">
        <v>0.729</v>
      </c>
      <c r="G13" s="29" t="n">
        <v>0.967</v>
      </c>
      <c r="I13" s="28" t="n">
        <v>0.969</v>
      </c>
      <c r="J13" s="29" t="n">
        <v>0.904</v>
      </c>
      <c r="K13" s="9"/>
    </row>
    <row r="14" customFormat="false" ht="15" hidden="false" customHeight="false" outlineLevel="0" collapsed="false">
      <c r="A14" s="9" t="s">
        <v>33</v>
      </c>
      <c r="B14" s="9" t="s">
        <v>149</v>
      </c>
      <c r="C14" s="9" t="n">
        <v>404</v>
      </c>
      <c r="D14" s="28" t="n">
        <v>-0.041</v>
      </c>
      <c r="E14" s="28" t="n">
        <v>0.852</v>
      </c>
      <c r="G14" s="29" t="n">
        <v>0.892</v>
      </c>
      <c r="I14" s="30"/>
      <c r="J14" s="31"/>
      <c r="K14" s="9"/>
    </row>
    <row r="16" customFormat="false" ht="15" hidden="false" customHeight="false" outlineLevel="0" collapsed="false">
      <c r="A16" s="25" t="s">
        <v>34</v>
      </c>
      <c r="B16" s="25" t="s">
        <v>149</v>
      </c>
      <c r="C16" s="25" t="n">
        <v>404</v>
      </c>
      <c r="D16" s="26" t="n">
        <v>0.043</v>
      </c>
      <c r="E16" s="26" t="n">
        <v>0.458</v>
      </c>
      <c r="F16" s="25"/>
      <c r="G16" s="27" t="n">
        <v>0.961</v>
      </c>
      <c r="H16" s="25"/>
      <c r="I16" s="26"/>
      <c r="J16" s="27"/>
      <c r="K16" s="25" t="s">
        <v>146</v>
      </c>
    </row>
    <row r="17" customFormat="false" ht="15" hidden="false" customHeight="false" outlineLevel="0" collapsed="false">
      <c r="A17" s="9" t="s">
        <v>34</v>
      </c>
      <c r="B17" s="9" t="s">
        <v>147</v>
      </c>
      <c r="C17" s="9" t="n">
        <v>404</v>
      </c>
      <c r="D17" s="28" t="n">
        <v>-0.119</v>
      </c>
      <c r="E17" s="28" t="n">
        <v>1.069</v>
      </c>
      <c r="G17" s="29" t="n">
        <v>0.802</v>
      </c>
      <c r="I17" s="28" t="n">
        <v>1.47</v>
      </c>
      <c r="J17" s="29" t="n">
        <v>0.802</v>
      </c>
      <c r="K17" s="9"/>
    </row>
    <row r="18" customFormat="false" ht="15" hidden="false" customHeight="false" outlineLevel="0" collapsed="false">
      <c r="A18" s="9" t="s">
        <v>34</v>
      </c>
      <c r="B18" s="9" t="s">
        <v>148</v>
      </c>
      <c r="C18" s="9" t="n">
        <v>404</v>
      </c>
      <c r="D18" s="28" t="n">
        <v>-1.608</v>
      </c>
      <c r="E18" s="28" t="n">
        <v>1.61</v>
      </c>
      <c r="G18" s="29" t="n">
        <v>0.956</v>
      </c>
      <c r="I18" s="28" t="n">
        <v>1.766</v>
      </c>
      <c r="J18" s="29" t="n">
        <v>0.908</v>
      </c>
      <c r="K18" s="9"/>
    </row>
    <row r="20" customFormat="false" ht="15" hidden="false" customHeight="false" outlineLevel="0" collapsed="false">
      <c r="A20" s="25" t="s">
        <v>36</v>
      </c>
      <c r="B20" s="25" t="s">
        <v>148</v>
      </c>
      <c r="C20" s="25" t="n">
        <v>348</v>
      </c>
      <c r="D20" s="26" t="n">
        <v>-0.448</v>
      </c>
      <c r="E20" s="26" t="n">
        <v>3.027</v>
      </c>
      <c r="F20" s="25"/>
      <c r="G20" s="27" t="n">
        <v>0.598</v>
      </c>
      <c r="H20" s="25"/>
      <c r="I20" s="26" t="n">
        <v>4.026</v>
      </c>
      <c r="J20" s="27" t="n">
        <v>0.732</v>
      </c>
      <c r="K20" s="25" t="s">
        <v>146</v>
      </c>
    </row>
    <row r="21" customFormat="false" ht="15" hidden="false" customHeight="false" outlineLevel="0" collapsed="false">
      <c r="A21" s="9" t="s">
        <v>36</v>
      </c>
      <c r="B21" s="9" t="s">
        <v>147</v>
      </c>
      <c r="C21" s="9" t="n">
        <v>348</v>
      </c>
      <c r="D21" s="28" t="n">
        <v>-2.126</v>
      </c>
      <c r="E21" s="28" t="n">
        <v>4.27</v>
      </c>
      <c r="G21" s="29" t="n">
        <v>0.417</v>
      </c>
      <c r="I21" s="28" t="n">
        <v>5.231</v>
      </c>
      <c r="J21" s="29" t="n">
        <v>0.606</v>
      </c>
      <c r="K21" s="9"/>
    </row>
    <row r="24" customFormat="false" ht="15" hidden="false" customHeight="false" outlineLevel="0" collapsed="false">
      <c r="A24" s="18" t="s">
        <v>150</v>
      </c>
    </row>
    <row r="25" customFormat="false" ht="15" hidden="false" customHeight="false" outlineLevel="0" collapsed="false">
      <c r="A25" s="18" t="s">
        <v>151</v>
      </c>
    </row>
    <row r="26" customFormat="false" ht="15" hidden="false" customHeight="false" outlineLevel="0" collapsed="false">
      <c r="A26" s="18" t="s">
        <v>152</v>
      </c>
    </row>
    <row r="27" customFormat="false" ht="15" hidden="false" customHeight="false" outlineLevel="0" collapsed="false">
      <c r="A27" s="18" t="s">
        <v>153</v>
      </c>
    </row>
    <row r="28" customFormat="false" ht="15" hidden="false" customHeight="false" outlineLevel="0" collapsed="false">
      <c r="A28" s="18" t="s">
        <v>154</v>
      </c>
    </row>
    <row r="29" customFormat="false" ht="15" hidden="false" customHeight="false" outlineLevel="0" collapsed="false">
      <c r="A29" s="18" t="s">
        <v>155</v>
      </c>
    </row>
    <row r="31" customFormat="false" ht="15" hidden="false" customHeight="false" outlineLevel="0" collapsed="false">
      <c r="A31" s="20" t="s">
        <v>156</v>
      </c>
    </row>
    <row r="32" customFormat="false" ht="21.75" hidden="false" customHeight="true" outlineLevel="0" collapsed="false">
      <c r="A32" s="7" t="s">
        <v>29</v>
      </c>
      <c r="B32" s="7" t="s">
        <v>157</v>
      </c>
      <c r="C32" s="7" t="s">
        <v>158</v>
      </c>
    </row>
    <row r="33" customFormat="false" ht="15" hidden="false" customHeight="false" outlineLevel="0" collapsed="false">
      <c r="A33" s="9" t="s">
        <v>80</v>
      </c>
      <c r="B33" s="16" t="n">
        <v>-0.483</v>
      </c>
      <c r="C33" s="16" t="n">
        <v>2.024</v>
      </c>
    </row>
    <row r="34" customFormat="false" ht="15" hidden="false" customHeight="false" outlineLevel="0" collapsed="false">
      <c r="A34" s="9" t="s">
        <v>81</v>
      </c>
      <c r="B34" s="16" t="n">
        <v>-0.443</v>
      </c>
      <c r="C34" s="16" t="n">
        <v>2.015</v>
      </c>
    </row>
    <row r="35" customFormat="false" ht="15" hidden="false" customHeight="false" outlineLevel="0" collapsed="false">
      <c r="A35" s="9" t="s">
        <v>82</v>
      </c>
      <c r="B35" s="16" t="n">
        <v>-0.28</v>
      </c>
      <c r="C35" s="16" t="n">
        <v>1.943</v>
      </c>
    </row>
    <row r="36" customFormat="false" ht="15" hidden="false" customHeight="false" outlineLevel="0" collapsed="false">
      <c r="A36" s="9" t="s">
        <v>83</v>
      </c>
      <c r="B36" s="16" t="n">
        <v>-0.449</v>
      </c>
      <c r="C36" s="16" t="n">
        <v>2.006</v>
      </c>
    </row>
    <row r="37" customFormat="false" ht="15" hidden="false" customHeight="false" outlineLevel="0" collapsed="false">
      <c r="A37" s="9" t="s">
        <v>84</v>
      </c>
      <c r="B37" s="16" t="n">
        <v>-0.562</v>
      </c>
      <c r="C37" s="16" t="n">
        <v>1.707</v>
      </c>
    </row>
    <row r="38" customFormat="false" ht="15" hidden="false" customHeight="false" outlineLevel="0" collapsed="false">
      <c r="A38" s="9" t="s">
        <v>85</v>
      </c>
      <c r="B38" s="16" t="n">
        <v>-0.802</v>
      </c>
      <c r="C38" s="16" t="n">
        <v>1.707</v>
      </c>
    </row>
    <row r="39" customFormat="false" ht="15" hidden="false" customHeight="false" outlineLevel="0" collapsed="false">
      <c r="A39" s="9" t="s">
        <v>74</v>
      </c>
      <c r="B39" s="16" t="n">
        <v>-0.87</v>
      </c>
      <c r="C39" s="16" t="n">
        <v>1.538</v>
      </c>
    </row>
    <row r="40" customFormat="false" ht="15" hidden="false" customHeight="false" outlineLevel="0" collapsed="false">
      <c r="A40" s="9" t="s">
        <v>75</v>
      </c>
      <c r="B40" s="16" t="n">
        <v>-0.769</v>
      </c>
      <c r="C40" s="16" t="n">
        <v>1.362</v>
      </c>
    </row>
    <row r="41" customFormat="false" ht="15" hidden="false" customHeight="false" outlineLevel="0" collapsed="false">
      <c r="A41" s="9" t="s">
        <v>76</v>
      </c>
      <c r="B41" s="16" t="n">
        <v>-0.881</v>
      </c>
      <c r="C41" s="16" t="n">
        <v>1.038</v>
      </c>
    </row>
    <row r="42" customFormat="false" ht="15" hidden="false" customHeight="false" outlineLevel="0" collapsed="false">
      <c r="A42" s="9" t="s">
        <v>77</v>
      </c>
      <c r="B42" s="16" t="n">
        <v>-0.788</v>
      </c>
      <c r="C42" s="16" t="n">
        <v>0.753</v>
      </c>
    </row>
    <row r="43" customFormat="false" ht="15" hidden="false" customHeight="false" outlineLevel="0" collapsed="false">
      <c r="A43" s="9" t="s">
        <v>78</v>
      </c>
      <c r="B43" s="16" t="n">
        <v>-0.471</v>
      </c>
      <c r="C43" s="16" t="n">
        <v>1.129</v>
      </c>
    </row>
    <row r="44" customFormat="false" ht="15" hidden="false" customHeight="false" outlineLevel="0" collapsed="false">
      <c r="A44" s="9" t="s">
        <v>79</v>
      </c>
      <c r="B44" s="16" t="n">
        <v>-0.43</v>
      </c>
      <c r="C44" s="16" t="n">
        <v>1.635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2026-09-27T19:54:32Z</dcterms:created>
  <dc:creator>openpyxl</dc:creator>
  <dc:description/>
  <dc:language>en-US</dc:language>
  <cp:lastModifiedBy/>
  <dcterms:modified xsi:type="dcterms:W3CDTF">2026-09-27T19:55:33Z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