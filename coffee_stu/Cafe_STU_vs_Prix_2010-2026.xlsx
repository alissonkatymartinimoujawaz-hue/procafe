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xWindow="0" yWindow="0" windowWidth="28800" windowHeight="15000" activeTab="0"/>
  </bookViews>
  <sheets>
    <sheet name="Lisez-moi" sheetId="1" r:id="rId1"/>
    <sheet name="1_Monde" sheetId="2" r:id="rId2"/>
    <sheet name="2_Arabica_Robusta" sheetId="3" r:id="rId3"/>
    <sheet name="3_Groupes_pays" sheetId="4" r:id="rId4"/>
    <sheet name="4_Deux_pays" sheetId="5" r:id="rId5"/>
    <sheet name="5_Bresil_Vietnam" sheetId="6" r:id="rId6"/>
    <sheet name="6_Surplus" sheetId="7" r:id="rId7"/>
    <sheet name="Tableau_STU" sheetId="8" r:id="rId8"/>
    <sheet name="Analyse" sheetId="9" r:id="rId9"/>
    <sheet name="Prix_ICE" sheetId="10" r:id="rId10"/>
    <sheet name="Donnees_USDA" sheetId="11" r:id="rId11"/>
  </sheets>
  <calcPr calcId="191029" fullCalcOnLoad="1"/>
</workbook>
</file>

<file path=xl/sharedStrings.xml><?xml version="1.0" encoding="utf-8"?>
<sst xmlns="http://schemas.openxmlformats.org/spreadsheetml/2006/main" count="2926" uniqueCount="422">
  <si>
    <t>Café — stock-to-use (USDA) vs prix KC1 / DF1, campagnes 2010/11 → 2026/27</t>
  </si>
  <si>
    <t>Ce que contient ce classeur</t>
  </si>
  <si>
    <t>1_Monde — STU mondial en colonnes (%) avec KC1 et DF1 en courbes sur l'axe secondaire.</t>
  </si>
  <si>
    <t>2_Arabica_Robusta — STU arabica et STU robusta (tous les pays producteurs), avec KC1 pour l'arabica et DF1 pour le robusta.</t>
  </si>
  <si>
    <t>3_Groupes_pays — même chose en additionnant les pays demandés : arabica = Brésil, Colombie, Honduras, Éthiopie, Pérou, Mexique, Guatemala, Costa Rica ; robusta = Brésil, Vietnam, Indonésie, Ouganda.</t>
  </si>
  <si>
    <t>4_Deux_pays — deux colonnes par an : Brésil + Colombie (avec KC1) et Vietnam + Brésil (avec DF1).</t>
  </si>
  <si>
    <t>5_Bresil_Vietnam — un seul pays : Brésil (KC1) et Vietnam (DF1).</t>
  </si>
  <si>
    <t>6_Surplus — le « surplus » à la place des stocks USDA : Brésil seul, arabica 6 pays (Brésil, Colombie, Honduras, Mexique, Pérou, Nicaragua), Vietnam seul, robusta 4 pays (Vietnam, Brésil, Ouganda, Indonésie).</t>
  </si>
  <si>
    <t>Tableau_STU — années en colonnes, pays en lignes, avec couleurs (rouge = tendu, vert = confortable).</t>
  </si>
  <si>
    <t>Analyse — corrélations, courbe prix = f(STU), application à 2026/27, régimes de prix, pays qui font bouger l'offre, conclusions.</t>
  </si>
  <si>
    <t>Prix_ICE — les 191 moyennes mensuelles (oct. 2010 → août 2026) et les moyennes de campagne. Donnees_USDA — toutes les données pays par pays (93 pays).</t>
  </si>
  <si>
    <t>Réponse : stock-to-use = stocks ÷ consommation, ou stocks ÷ (consommation + exportations) ?</t>
  </si>
  <si>
    <t>Pour un PAYS exportateur (Brésil, Vietnam…) : stocks de fin ÷ (consommation domestique + exportations). Ses exportations font partie de l'utilisation de son café — c'est la ligne « Stocks / Use Domestic + Exports » du bilan maïs.</t>
  </si>
  <si>
    <t>Pour le MONDE : stocks de fin ÷ consommation (définition USDA et ICO). Les exportations d'un pays sont les importations d'un autre : les ajouter compterait deux fois les mêmes sacs. Les deux versions ont la même forme (corrélation 1,00) ; seul le niveau change (2026/27 : 14,6 % contre 7,8 %).</t>
  </si>
  <si>
    <t>Sources</t>
  </si>
  <si>
    <t>Volumes : USDA FAS, PSD Online, fichier café de juillet 2026 (milliers de sacs de 60 kg ; 2026/27 = prévision USDA de juin 2026).</t>
  </si>
  <si>
    <t>Prix : ICO, Coffee Market Report, tableau 1 (moyennes mensuelles ICE New York et ICE Londres, moyenne des 2e et 3e positions) : 81 rapports téléchargés sur ico.org, dont 62 avec le tableau de prix, couvrant chaque mois d'oct. 2010 à août 2026. C'est un proxy de KC1/DF1 : sur une moyenne annuelle, l'écart avec la 1re position est de quelques %. Contrôle : les moyennes calendaires recalculées pour 2011, 2012 et 2013 retombent exactement sur celles publiées par l'ICO.</t>
  </si>
  <si>
    <t>Méthodes</t>
  </si>
  <si>
    <t>Prix d'une campagne = moyenne octobre → septembre (année caféière ICO). 2025/26 = oct. 2025 → août 2026 (11 mois). 2026/27 : pas encore de prix (campagne qui commence).</t>
  </si>
  <si>
    <t>Arabica / robusta : l'USDA ne ventile ni stocks ni consommation par espèce. Chaque pays est pondéré par la part arabica (ou robusta) de sa production de l'année : STU espèce = Σ(stocks × part) ÷ Σ((conso + export) × part). Le Brésil, présent dans les deux listes, est ainsi réparti (~65 % arabica / 35 % conilon). L'onglet 3 montre aussi l'addition brute (Brésil à 100 % dans les deux listes).</t>
  </si>
  <si>
    <t>Surplus = production + importations − consommation domestique − exportations : ce qui reste de l'offre de l'année une fois la consommation et les exportations servies (= variation des stocks, sans utiliser le niveau de stocks estimé par l'USDA) ; ratio = surplus ÷ (conso + export). Positif : stocks reconstitués ; négatif : stocks entamés. Les importations comptent pour la Colombie, le Mexique, le Vietnam et l'Indonésie ; pour le Brésil elles sont négligeables.</t>
  </si>
  <si>
    <t>Limites</t>
  </si>
  <si>
    <t>16 campagnes seulement : les corrélations donnent des ordres de grandeur. Les stocks USDA des pays producteurs sont des estimations résiduelles (le Brésil en particulier). Les prix ne sont pas corrigés de l'inflation ni du real brésilien (BRL), qui pèse lourd (≈1,7 R$/US$ en 2011, ≈5,2 depuis 2020). Toutes les formules sont vivantes : modifiez Donnees_USDA et les graphiques se mettent à jour.</t>
  </si>
  <si>
    <t>1 — Stock-to-use MONDE (USDA) vs prix KC1 et DF1</t>
  </si>
  <si>
    <t>STU monde = stocks de fin mondiaux ÷ consommation mondiale (définition USDA/ICO). Colonne F = stocks ÷ (conso + exportations), pour comparaison.</t>
  </si>
  <si>
    <t>Barres = STU (axe gauche) ; courbes = KC et robusta Londres en US cents/lb (axe droit), moyennes de campagne oct.–sept.</t>
  </si>
  <si>
    <t>Campagne</t>
  </si>
  <si>
    <t>Stocks de fin monde (1000 sacs)</t>
  </si>
  <si>
    <t>Consommation monde</t>
  </si>
  <si>
    <t>Exportations monde</t>
  </si>
  <si>
    <t xml:space="preserve">STU monde
(stocks ÷ conso)</t>
  </si>
  <si>
    <t>STU (stocks ÷ (conso + export))</t>
  </si>
  <si>
    <t>KC1 NY (US c/lb)</t>
  </si>
  <si>
    <t>DF1 Londres (US c/lb)</t>
  </si>
  <si>
    <t>DF1 Londres (US$/t)</t>
  </si>
  <si>
    <t>2010/11</t>
  </si>
  <si>
    <t>2011/12</t>
  </si>
  <si>
    <t>2012/13</t>
  </si>
  <si>
    <t>2013/14</t>
  </si>
  <si>
    <t>2014/15</t>
  </si>
  <si>
    <t>2015/16</t>
  </si>
  <si>
    <t>2016/17</t>
  </si>
  <si>
    <t>2017/18</t>
  </si>
  <si>
    <t>2018/19</t>
  </si>
  <si>
    <t>2019/20</t>
  </si>
  <si>
    <t>2020/21</t>
  </si>
  <si>
    <t>2021/22</t>
  </si>
  <si>
    <t>2022/23</t>
  </si>
  <si>
    <t>2023/24</t>
  </si>
  <si>
    <t>2024/25</t>
  </si>
  <si>
    <t>2025/26</t>
  </si>
  <si>
    <t>2026/27 (prév.)</t>
  </si>
  <si>
    <t>Lecture : quand le STU mondial passe sous ~16 %, les prix changent de régime (2023/24-2025/26) ; au-dessus de ~20 %, ils restent bas (2015/16-2020/21). Les deux définitions ont exactement la même forme (corrélation 0,99).</t>
  </si>
  <si>
    <t>Pourquoi diviser par la consommation seule au niveau mondial : les exportations d'un pays sont les importations d'un autre ; les ajouter compterait deux fois les mêmes sacs. Pour un pays exportateur, on divise par conso + exportations.</t>
  </si>
  <si>
    <t>2 — Stock-to-use ARABICA et ROBUSTA (total des 47 pays producteurs) vs KC1 / DF1</t>
  </si>
  <si>
    <t>L'USDA ne publie ni stocks ni consommation par espèce : chaque pays producteur est pondéré par la part arabica (ou robusta) de sa production de l'année.</t>
  </si>
  <si>
    <t>STU espèce = Σ(stocks × part) ÷ Σ((conso + export) × part). Les stocks des pays importateurs (UE, É.-U., Japon…) ne sont pas ventilables : ils sont exclus ici (voir onglet 1).</t>
  </si>
  <si>
    <t>Stocks arabica (1000 sacs, pondérés)</t>
  </si>
  <si>
    <t>Conso + export arabica (pondérés)</t>
  </si>
  <si>
    <t>STU ARABICA</t>
  </si>
  <si>
    <t>Stocks robusta (pondérés)</t>
  </si>
  <si>
    <t>Conso + export robusta (pondérés)</t>
  </si>
  <si>
    <t>STU ROBUSTA</t>
  </si>
  <si>
    <t>3 — STU par addition des pays : ARABICA (8 pays) et ROBUSTA (4 pays) vs KC1 / DF1</t>
  </si>
  <si>
    <t>Arabica : Brésil, Colombie, Honduras, Éthiopie, Pérou, Mexique, Guatemala, Costa Rica. Robusta : Brésil, Vietnam, Indonésie, Ouganda.</t>
  </si>
  <si>
    <t>Chaque pays : stocks de fin USDA et conso + export USDA, additionnés. Le Brésil (présent dans les deux listes) est réparti selon sa part arabica / robusta de l'année ; colonnes J-K = addition brute (Brésil compté à 100 % dans les deux) pour comparaison.</t>
  </si>
  <si>
    <t>Stocks arabica 8 pays</t>
  </si>
  <si>
    <t>Conso + export arabica 8 pays</t>
  </si>
  <si>
    <t>STU ARABICA 8 pays</t>
  </si>
  <si>
    <t>Stocks robusta 4 pays</t>
  </si>
  <si>
    <t>Conso + export robusta 4 pays</t>
  </si>
  <si>
    <t>STU ROBUSTA 4 pays</t>
  </si>
  <si>
    <t>STU arabica 8 pays — addition brute</t>
  </si>
  <si>
    <t>STU robusta 4 pays — addition brute</t>
  </si>
  <si>
    <t>4 — STU pays par pays (2 colonnes par an) : Brésil + Colombie (arabica) et Vietnam + Brésil (robusta)</t>
  </si>
  <si>
    <t>STU pays = stocks de fin USDA ÷ (consommation domestique + exportations) — même ratio que la colonne « Stocks / Use » du bilan.</t>
  </si>
  <si>
    <t>Le ratio d'un pays ne dépend pas de la répartition arabica/robusta (stocks et utilisation sont répartis dans la même proportion).</t>
  </si>
  <si>
    <t>STU Brésil</t>
  </si>
  <si>
    <t>STU Colombie</t>
  </si>
  <si>
    <t>STU Vietnam</t>
  </si>
  <si>
    <t>5 — Un seul pays : BRÉSIL (arabica, KC1) et VIETNAM (robusta, DF1)</t>
  </si>
  <si>
    <t>STU = stocks de fin ÷ (conso domestique + exportations), données USDA par pays (campagne locale : Brésil juil.–juin, Vietnam oct.–sept.).</t>
  </si>
  <si>
    <t>Attention : les stocks USDA du Brésil sont une estimation résiduelle (CONAB et le privé publient des chiffres différents).</t>
  </si>
  <si>
    <t>Stocks fin Brésil</t>
  </si>
  <si>
    <t>Conso Brésil</t>
  </si>
  <si>
    <t>Export Brésil</t>
  </si>
  <si>
    <t>STU BRÉSIL</t>
  </si>
  <si>
    <t>Stocks fin Vietnam</t>
  </si>
  <si>
    <t>Conso Vietnam</t>
  </si>
  <si>
    <t>Export Vietnam</t>
  </si>
  <si>
    <t>STU VIETNAM</t>
  </si>
  <si>
    <t>6 — « Surplus » au lieu des stocks USDA : (production + import − conso − export) ÷ (conso + export)</t>
  </si>
  <si>
    <t>Surplus de l'année = production + importations − consommation domestique − exportations : ce qui reste de l'offre de l'année (= variation des stocks, sans utiliser leur niveau). &gt; 0 : stocks reconstitués ; &lt; 0 : stocks entamés.</t>
  </si>
  <si>
    <t>Espèces : chaque pays pondéré par sa part arabica (robusta) de production. Arabica 6 pays : Brésil, Colombie, Honduras, Mexique, Pérou, Nicaragua. Robusta 4 pays : Vietnam, Brésil, Ouganda, Indonésie.</t>
  </si>
  <si>
    <t>Surplus arabica Brésil (prod + import − conso − export)</t>
  </si>
  <si>
    <t>Conso + export arabica Brésil</t>
  </si>
  <si>
    <t>RATIO Brésil arabica</t>
  </si>
  <si>
    <t>Surplus arabica 6 pays</t>
  </si>
  <si>
    <t>Conso + export arabica 6 pays</t>
  </si>
  <si>
    <t>RATIO arabica 6 pays</t>
  </si>
  <si>
    <t>Surplus robusta Vietnam</t>
  </si>
  <si>
    <t>Conso + export robusta Vietnam</t>
  </si>
  <si>
    <t>RATIO Vietnam robusta</t>
  </si>
  <si>
    <t>Surplus robusta 4 pays</t>
  </si>
  <si>
    <t>RATIO robusta 4 pays</t>
  </si>
  <si>
    <t>Pour un seul pays, répartir arabica/robusta ne change pas le ratio : « Brésil arabica » = ratio Brésil total (idem Vietnam).</t>
  </si>
  <si>
    <t>Tableau — stock-to-use par pays (lignes) et par campagne (colonnes)</t>
  </si>
  <si>
    <t>Couleurs par ligne : rouge = ratio bas pour ce pays (marché tendu), vert = ratio haut (confortable). 2026/27 = prévision USDA juin 2026.</t>
  </si>
  <si>
    <t>Série</t>
  </si>
  <si>
    <t>Définition</t>
  </si>
  <si>
    <t>2026/27</t>
  </si>
  <si>
    <t>Agrégats</t>
  </si>
  <si>
    <t>MONDE</t>
  </si>
  <si>
    <t>stocks ÷ conso</t>
  </si>
  <si>
    <t>stocks ÷ (conso + export)</t>
  </si>
  <si>
    <t>Pays producteurs (47)</t>
  </si>
  <si>
    <t>Pays importateurs (46)</t>
  </si>
  <si>
    <t>ARABICA — total producteurs</t>
  </si>
  <si>
    <t>pondéré par espèce</t>
  </si>
  <si>
    <t>ROBUSTA — total producteurs</t>
  </si>
  <si>
    <t>Arabica — 8 pays</t>
  </si>
  <si>
    <t>Brésil réparti</t>
  </si>
  <si>
    <t>Robusta — 4 pays</t>
  </si>
  <si>
    <t>Pays — stocks de fin ÷ (conso domestique + exportations)</t>
  </si>
  <si>
    <t>Brésil</t>
  </si>
  <si>
    <t>Vietnam</t>
  </si>
  <si>
    <t>Colombie</t>
  </si>
  <si>
    <t>Indonésie</t>
  </si>
  <si>
    <t>Éthiopie</t>
  </si>
  <si>
    <t>Ouganda</t>
  </si>
  <si>
    <t>Honduras</t>
  </si>
  <si>
    <t>Inde</t>
  </si>
  <si>
    <t>Pérou</t>
  </si>
  <si>
    <t>Mexique</t>
  </si>
  <si>
    <t>Guatemala</t>
  </si>
  <si>
    <t>Nicaragua</t>
  </si>
  <si>
    <t>Costa Rica</t>
  </si>
  <si>
    <t>Surplus (prod + import − conso − export) ÷ (conso + exportations)</t>
  </si>
  <si>
    <t>Arabica — Brésil</t>
  </si>
  <si>
    <t>(prod + import − conso − export) ÷ (conso + export)</t>
  </si>
  <si>
    <t>Arabica — 6 pays</t>
  </si>
  <si>
    <t>idem</t>
  </si>
  <si>
    <t>Robusta — Vietnam</t>
  </si>
  <si>
    <t>Prix — moyenne de campagne (oct.–sept.)</t>
  </si>
  <si>
    <t>KC1 — arabica ICE New York</t>
  </si>
  <si>
    <t>US cents/lb</t>
  </si>
  <si>
    <t>DF1 — robusta ICE Londres</t>
  </si>
  <si>
    <t>US$/t</t>
  </si>
  <si>
    <t>Sources : USDA PSD Online (juillet 2026) ; ICO Coffee Market Reports (prix). Détail des calculs dans les onglets 1 à 6.</t>
  </si>
  <si>
    <t>Analyse — ce que disent 16 campagnes de STU et de prix (2010/11 → 2025/26)</t>
  </si>
  <si>
    <t>Corrélations et courbe calculées par formules à partir des onglets du classeur ; tableaux « régimes » et « volatilité » figés (calcul Python sur les mêmes données).</t>
  </si>
  <si>
    <t>A. Corrélation entre le niveau de STU et le niveau de prix (log), 16 campagnes</t>
  </si>
  <si>
    <t>r avec ln(KC1)</t>
  </si>
  <si>
    <t>r avec ln(DF1)</t>
  </si>
  <si>
    <t>Lecture</t>
  </si>
  <si>
    <t>Monde</t>
  </si>
  <si>
    <t>Relation nette : stocks bas = prix hauts.</t>
  </si>
  <si>
    <t>Pays importateurs (UE, É.-U., Japon…)</t>
  </si>
  <si>
    <t>Meilleur indicateur : les stocks « visibles » des pays consommateurs.</t>
  </si>
  <si>
    <t>Pays producteurs</t>
  </si>
  <si>
    <t>Arabica total</t>
  </si>
  <si>
    <t>pondéré</t>
  </si>
  <si>
    <t>Robusta total</t>
  </si>
  <si>
    <t>Arabica 8 pays</t>
  </si>
  <si>
    <t/>
  </si>
  <si>
    <t>Robusta 4 pays</t>
  </si>
  <si>
    <t>Un pays seul explique peu : ses stocks USDA sont mal mesurés.</t>
  </si>
  <si>
    <t>Surplus arabica Brésil</t>
  </si>
  <si>
    <t>flux</t>
  </si>
  <si>
    <t>Le surplus (flux) n'explique pas le niveau…</t>
  </si>
  <si>
    <t>… mais il annonce la direction (voir B).</t>
  </si>
  <si>
    <t>B. Courbe prix = f(STU monde) : ln(prix) = a + b ÷ STU  (forme convexe : plus le STU est bas, plus le prix réagit)</t>
  </si>
  <si>
    <t>Paramètre</t>
  </si>
  <si>
    <t>KC1</t>
  </si>
  <si>
    <t>DF1 (US$/t)</t>
  </si>
  <si>
    <t>a (constante)</t>
  </si>
  <si>
    <t>b (pente sur 1/STU)</t>
  </si>
  <si>
    <t>R² (part de la variance du prix expliquée)</t>
  </si>
  <si>
    <t>STU monde (stocks ÷ conso)</t>
  </si>
  <si>
    <t>KC1 « de courbe » (c/lb)</t>
  </si>
  <si>
    <t>DF1 « de courbe » (US$/t)</t>
  </si>
  <si>
    <t>Sensibilité : variation du prix pour −1 pt de STU</t>
  </si>
  <si>
    <t>Zone à ±1 écart-type des résidus : de −22 % à +29 % autour du prix de courbe pour KC1, de −18 % à +22 % pour DF1 : un ordre de grandeur, pas un prix exact.</t>
  </si>
  <si>
    <t>C. Application à 2026/27 (prévision USDA juin 2026)</t>
  </si>
  <si>
    <t>KC1 (c/lb)</t>
  </si>
  <si>
    <t>STU monde 2026/27 (USDA)</t>
  </si>
  <si>
    <t>Prix « de courbe » pour ce STU</t>
  </si>
  <si>
    <t>Dernier prix mensuel connu (août 2026)</t>
  </si>
  <si>
    <t>Prime du marché vs la courbe</t>
  </si>
  <si>
    <t>La prime reflète ce que le STU USDA ne voit pas : stocks certifiés ICE arabica au plus bas depuis 1999 (224 000 sacs fin août 2026), stocks des pays consommateurs encore bas, risque El Niño pour la floraison brésilienne 2027/28.</t>
  </si>
  <si>
    <t>D. Régimes de prix selon le STU monde (valeurs figées, campagnes 2010/11-2025/26)</t>
  </si>
  <si>
    <t>Zone de STU monde</t>
  </si>
  <si>
    <t>Campagnes</t>
  </si>
  <si>
    <t>KC1 moyen (c/lb)</t>
  </si>
  <si>
    <t>DF1 moyen (US$/t)</t>
  </si>
  <si>
    <t>Comportement typique</t>
  </si>
  <si>
    <t>&lt; 15 %</t>
  </si>
  <si>
    <t>2023/24, 2024/25, 2025/26</t>
  </si>
  <si>
    <t>Pénurie : prix ~2× la moyenne, forte volatilité, backwardation ; c'est le prix qui rationne la demande.</t>
  </si>
  <si>
    <t>15 – 20 %</t>
  </si>
  <si>
    <t>2011/12, 2017/18, 2021/22, 2022/23</t>
  </si>
  <si>
    <t>Transition : un choc météo fait +50 % (gel 2021) ; sans choc, le prix retombe vite (2022/23).</t>
  </si>
  <si>
    <t>20 – 24 %</t>
  </si>
  <si>
    <t>2010/11, 2015/16, 2016/17, 2018/19, 2019/20, 2020/21</t>
  </si>
  <si>
    <t>Confortable : prix plafonnés, fixés par le coût de production en dollars (donc par le BRL). 2010/11 = exception (voir analyse).</t>
  </si>
  <si>
    <t>&gt; 24 %</t>
  </si>
  <si>
    <t>2012/13, 2013/14, 2014/15</t>
  </si>
  <si>
    <t>Excédent : prix bas ; les rallyes (sécheresse 2014) s'essoufflent vite.</t>
  </si>
  <si>
    <t>E. Qui fait bouger l'offre ? Part de la variance des variations annuelles de production (2011-2026)</t>
  </si>
  <si>
    <t>Production</t>
  </si>
  <si>
    <t>1er</t>
  </si>
  <si>
    <t>2e</t>
  </si>
  <si>
    <t>3e</t>
  </si>
  <si>
    <t>4e</t>
  </si>
  <si>
    <t>Production totale</t>
  </si>
  <si>
    <t>Brésil 83 %</t>
  </si>
  <si>
    <t>Colombie 7 %</t>
  </si>
  <si>
    <t>Honduras 5 %</t>
  </si>
  <si>
    <t>Indonésie 4 %</t>
  </si>
  <si>
    <t>Arabica</t>
  </si>
  <si>
    <t>Brésil 82 %</t>
  </si>
  <si>
    <t>Colombie 8 %</t>
  </si>
  <si>
    <t>Éthiopie 2 %</t>
  </si>
  <si>
    <t>Robusta</t>
  </si>
  <si>
    <t>Vietnam 40 %</t>
  </si>
  <si>
    <t>Brésil 39 %</t>
  </si>
  <si>
    <t>Indonésie 17 %</t>
  </si>
  <si>
    <t>Côte d'Ivoire 5 %</t>
  </si>
  <si>
    <t>F. Conclusions (détail dans la page d'analyse)</t>
  </si>
  <si>
    <t>1. Le STU mondial explique ~50 % des variations du niveau de KC1 et ~70 % de DF1 (courbe convexe en 1/STU, 16 campagnes).</t>
  </si>
  <si>
    <t>2. Seuil clé ≈ 15-16 % (monde, stocks ÷ conso) : en dessous, changement de régime (2023/24-2025/26 : KC1 204-333 c/lb, DF1 3504-4702 $/t).</t>
  </si>
  <si>
    <t>3. Le Brésil pèse 83 % de la volatilité de la production mondiale ; pour le robusta : Vietnam 40 %, Brésil (conilon) 39 %, Indonésie 17 %.</t>
  </si>
  <si>
    <t>4. Meilleur thermomètre : les stocks des pays consommateurs (corr. -0,68 avec ln KC1, -0,83 avec ln DF1) ; UE : 14,0 → 7,5 M sacs entre 2021/22 et 2025/26.</t>
  </si>
  <si>
    <t>5. Le surplus annuel (flux) n'explique pas le niveau du prix et ne prédit pas l'année suivante ; il accompagne la variation de l'année (arabica 6 pays : corr. -0,36). C'est son cumul sur 2-3 ans — donc le STU — qui fixe le niveau.</t>
  </si>
  <si>
    <t>6. 2026/27 : STU USDA 14,6 % → KC1 ≈ 236 c/lb et DF1 ≈ 3102 $/t « de courbe », contre 313 c/lb et 3696 $/t en août 2026 (prime de marché +33 % / +19 %).</t>
  </si>
  <si>
    <t>Lignes de calcul (ne pas effacer)</t>
  </si>
  <si>
    <t>ln(KC1)</t>
  </si>
  <si>
    <t>ln(DF1 US$/t)</t>
  </si>
  <si>
    <t>1 / STU monde</t>
  </si>
  <si>
    <t>KC1 « courbe » (c/lb)</t>
  </si>
  <si>
    <t>DF1 « courbe » (US$/t)</t>
  </si>
  <si>
    <t>Prix ICE — moyennes mensuelles New York (arabica, KC) et Londres (robusta, RC/DF)</t>
  </si>
  <si>
    <t>Source : ICO, Coffee Market Report, tableau 1 « ICO indicator prices and futures prices » (moyenne des 2e et 3e positions), 62 rapports mensuels ICO (oct. 2010 → août 2026) exploités sur ico.org. Proxy de KC1 / DF1 (1re position) : écart de quelques %.</t>
  </si>
  <si>
    <t>Londres converti par l'ICO en US cents/lb ; US$/t = cents/lb × 22,0462. Campagne = octobre → septembre (année caféière ICO). 2025/26 = oct. 2025 → août 2026 (11 mois ; le rapport de septembre 2026 n'est pas encore publié).</t>
  </si>
  <si>
    <t>Mois</t>
  </si>
  <si>
    <t>KC — ICE New York (US c/lb)</t>
  </si>
  <si>
    <t>Robusta — ICE Londres (US c/lb)</t>
  </si>
  <si>
    <t>DF — ICE Londres (US$/t)</t>
  </si>
  <si>
    <t>Indicateur composite ICO (US c/lb)</t>
  </si>
  <si>
    <t>Rapport ICO source</t>
  </si>
  <si>
    <t>KC moyen (US c/lb)</t>
  </si>
  <si>
    <t>Robusta Londres moyen (US c/lb)</t>
  </si>
  <si>
    <t>DF moyen (US$/t)</t>
  </si>
  <si>
    <t>Composite ICO moyen (US c/lb)</t>
  </si>
  <si>
    <t>Nb de mois</t>
  </si>
  <si>
    <t>cmr-1011-e.pdf</t>
  </si>
  <si>
    <t>cmr-1111-e.pdf</t>
  </si>
  <si>
    <t>cmr-1211-e.pdf</t>
  </si>
  <si>
    <t>cmr-1012-e.pdf</t>
  </si>
  <si>
    <t>cmr-1112-e.pdf</t>
  </si>
  <si>
    <t>cmr-1212-e.pdf</t>
  </si>
  <si>
    <t>cmr-0113-e.pdf</t>
  </si>
  <si>
    <t>cmr-0213-e.pdf</t>
  </si>
  <si>
    <t>n.d. (campagne à venir)</t>
  </si>
  <si>
    <t>cmr-0313-e.pdf</t>
  </si>
  <si>
    <t>cmr-0413-e.pdf</t>
  </si>
  <si>
    <t>cmr-0513-e.pdf</t>
  </si>
  <si>
    <t>cmr-0613-e.pdf</t>
  </si>
  <si>
    <t>cmr-0713-e.pdf</t>
  </si>
  <si>
    <t>cmr-0813-e.pdf</t>
  </si>
  <si>
    <t>cmr-0913-e.pdf</t>
  </si>
  <si>
    <t>cmr-1013-e.pdf</t>
  </si>
  <si>
    <t>cmr-1113-e.pdf</t>
  </si>
  <si>
    <t>cmr-1213-e.pdf</t>
  </si>
  <si>
    <t>cmr-0114-e.pdf</t>
  </si>
  <si>
    <t>cmr-0314-e.pdf</t>
  </si>
  <si>
    <t>cmr-0514-e.pdf</t>
  </si>
  <si>
    <t>cmr-0614-e.pdf</t>
  </si>
  <si>
    <t>cmr-0714-e.pdf</t>
  </si>
  <si>
    <t>cmr-0814-e.pdf</t>
  </si>
  <si>
    <t>cmr-0914-e.pdf</t>
  </si>
  <si>
    <t>cmr-1014-e.pdf</t>
  </si>
  <si>
    <t>cmr-0915-e.pdf</t>
  </si>
  <si>
    <t>cmr-1015-e.pdf</t>
  </si>
  <si>
    <t>cmr-1215-e.pdf</t>
  </si>
  <si>
    <t>cmr-0316-e.pdf</t>
  </si>
  <si>
    <t>cmr-0616-e.pdf</t>
  </si>
  <si>
    <t>cmr-0716-e.pdf</t>
  </si>
  <si>
    <t>cmr-0816-e.pdf</t>
  </si>
  <si>
    <t>cmr-1016-e.pdf</t>
  </si>
  <si>
    <t>cmr-0917-e.pdf</t>
  </si>
  <si>
    <t>cmr-0918-e.pdf</t>
  </si>
  <si>
    <t>cmr-0919-e.pdf</t>
  </si>
  <si>
    <t>cmr-1019-e.pdf</t>
  </si>
  <si>
    <t>cmr-1119-e.pdf</t>
  </si>
  <si>
    <t>cmr-1219-e.pdf</t>
  </si>
  <si>
    <t>cmr-0120-e.pdf</t>
  </si>
  <si>
    <t>cmr-0220-e.pdf</t>
  </si>
  <si>
    <t>cmr-0320-e.pdf</t>
  </si>
  <si>
    <t>cmr-0420-e.pdf</t>
  </si>
  <si>
    <t>cmr-0520-e.pdf</t>
  </si>
  <si>
    <t>cmr-0321-e.pdf</t>
  </si>
  <si>
    <t>cmr-0721-e.pdf</t>
  </si>
  <si>
    <t>cmr-0821-e.pdf</t>
  </si>
  <si>
    <t>cmr-0921-e.pdf</t>
  </si>
  <si>
    <t>cmr-1021-e.pdf</t>
  </si>
  <si>
    <t>cmr-0922-e.pdf</t>
  </si>
  <si>
    <t>cmr-0923-e.pdf</t>
  </si>
  <si>
    <t>cmr-1223-e.pdf</t>
  </si>
  <si>
    <t>cmr-0324-e.pdf</t>
  </si>
  <si>
    <t>cmr-0624-e.pdf</t>
  </si>
  <si>
    <t>cmr-0525-e.pdf</t>
  </si>
  <si>
    <t>cmr-0625-e.pdf</t>
  </si>
  <si>
    <t>cmr-0725-e.pdf</t>
  </si>
  <si>
    <t>cmr-0825-e.pdf</t>
  </si>
  <si>
    <t>cmr-0925-e.pdf</t>
  </si>
  <si>
    <t>cmr-0826-e.pdf</t>
  </si>
  <si>
    <t>Données USDA PSD Online — café (fichier juillet 2026 ; 2026/27 = prévision USDA juin 2026) — milliers de sacs de 60 kg</t>
  </si>
  <si>
    <t>Une ligne par pays, une colonne par campagne (année commerciale locale). Pays producteurs = production &gt; 0 sur 2010-2026 ; importateurs = aucun café produit. Les parts arabica/robusta servent à répartir stocks et utilisation par espèce.</t>
  </si>
  <si>
    <t>Source : https://apps.fas.usda.gov/psdonline (téléchargement « Coffee » CSV). Totaux = sommes des pays (identiques aux totaux mondiaux USDA).</t>
  </si>
  <si>
    <t>Groupe</t>
  </si>
  <si>
    <t>Brazil</t>
  </si>
  <si>
    <t>Producteur</t>
  </si>
  <si>
    <t>Colombia</t>
  </si>
  <si>
    <t>Ethiopia</t>
  </si>
  <si>
    <t>Indonesia</t>
  </si>
  <si>
    <t>Uganda</t>
  </si>
  <si>
    <t>India</t>
  </si>
  <si>
    <t>Peru</t>
  </si>
  <si>
    <t>Mexico</t>
  </si>
  <si>
    <t>China</t>
  </si>
  <si>
    <t>Tanzania</t>
  </si>
  <si>
    <t>Malaysia</t>
  </si>
  <si>
    <t>Cote d'Ivoire</t>
  </si>
  <si>
    <t>Kenya</t>
  </si>
  <si>
    <t>Thailand</t>
  </si>
  <si>
    <t>Papua New Guinea</t>
  </si>
  <si>
    <t>El Salvador</t>
  </si>
  <si>
    <t>Laos</t>
  </si>
  <si>
    <t>Venezuela</t>
  </si>
  <si>
    <t>Philippines</t>
  </si>
  <si>
    <t>Ecuador</t>
  </si>
  <si>
    <t>Rwanda</t>
  </si>
  <si>
    <t>Madagascar</t>
  </si>
  <si>
    <t>Cameroon</t>
  </si>
  <si>
    <t>Congo (Kinshasa)</t>
  </si>
  <si>
    <t>Burundi</t>
  </si>
  <si>
    <t>Dominican Republic</t>
  </si>
  <si>
    <t>Guinea</t>
  </si>
  <si>
    <t>Cuba</t>
  </si>
  <si>
    <t>Panama</t>
  </si>
  <si>
    <t>Togo</t>
  </si>
  <si>
    <t>Bolivia</t>
  </si>
  <si>
    <t>United States</t>
  </si>
  <si>
    <t>Angola</t>
  </si>
  <si>
    <t>Sierra Leone</t>
  </si>
  <si>
    <t>Jamaica</t>
  </si>
  <si>
    <t>Central African Republic</t>
  </si>
  <si>
    <t>Ghana</t>
  </si>
  <si>
    <t>Haiti</t>
  </si>
  <si>
    <t>Liberia</t>
  </si>
  <si>
    <t>Malawi</t>
  </si>
  <si>
    <t>Nigeria</t>
  </si>
  <si>
    <t>Yemen</t>
  </si>
  <si>
    <t>European Union</t>
  </si>
  <si>
    <t>Importateur</t>
  </si>
  <si>
    <t>Japan</t>
  </si>
  <si>
    <t>Canada</t>
  </si>
  <si>
    <t>United Kingdom</t>
  </si>
  <si>
    <t>Russia</t>
  </si>
  <si>
    <t>Korea, South</t>
  </si>
  <si>
    <t>Australia</t>
  </si>
  <si>
    <t>Algeria</t>
  </si>
  <si>
    <t>Turkey</t>
  </si>
  <si>
    <t>Saudi Arabia</t>
  </si>
  <si>
    <t>Switzerland</t>
  </si>
  <si>
    <t>Egypt</t>
  </si>
  <si>
    <t>Ukraine</t>
  </si>
  <si>
    <t>Morocco</t>
  </si>
  <si>
    <t>Argentina</t>
  </si>
  <si>
    <t>Taiwan</t>
  </si>
  <si>
    <t>Jordan</t>
  </si>
  <si>
    <t>Norway</t>
  </si>
  <si>
    <t>Iran</t>
  </si>
  <si>
    <t>Serbia</t>
  </si>
  <si>
    <t>South Africa</t>
  </si>
  <si>
    <t>Kazakhstan</t>
  </si>
  <si>
    <t>New Zealand</t>
  </si>
  <si>
    <t>Bosnia and Herzegovina</t>
  </si>
  <si>
    <t>Chile</t>
  </si>
  <si>
    <t>Armenia</t>
  </si>
  <si>
    <t>Albania</t>
  </si>
  <si>
    <t>Singapore</t>
  </si>
  <si>
    <t>Senegal</t>
  </si>
  <si>
    <t>Georgia</t>
  </si>
  <si>
    <t>North Macedonia</t>
  </si>
  <si>
    <t>Kosovo</t>
  </si>
  <si>
    <t>Uruguay</t>
  </si>
  <si>
    <t>Montenegro</t>
  </si>
  <si>
    <t>Benin</t>
  </si>
  <si>
    <t>Congo (Brazzaville)</t>
  </si>
  <si>
    <t>Croatia</t>
  </si>
  <si>
    <t>Equatorial Guinea</t>
  </si>
  <si>
    <t>Gabon</t>
  </si>
  <si>
    <t>Guyana</t>
  </si>
  <si>
    <t>New Caledonia</t>
  </si>
  <si>
    <t>Paraguay</t>
  </si>
  <si>
    <t>Sri Lanka</t>
  </si>
  <si>
    <t>Trinidad and Tobago</t>
  </si>
  <si>
    <t>Zambia</t>
  </si>
  <si>
    <t>Zimbabwe</t>
  </si>
  <si>
    <t>Total pays producteurs</t>
  </si>
  <si>
    <t>Total pays importateurs</t>
  </si>
  <si>
    <t>Production arabica</t>
  </si>
  <si>
    <t>Production robusta</t>
  </si>
  <si>
    <t>Stocks de début</t>
  </si>
  <si>
    <t>Importations</t>
  </si>
  <si>
    <t>Consommation domestique</t>
  </si>
  <si>
    <t>Exportations</t>
  </si>
  <si>
    <t>Stocks de fin</t>
  </si>
  <si>
    <t>Part arabica de la production (= arabica / production)</t>
  </si>
  <si>
    <t>Part robusta de la production (= robusta / production)</t>
  </si>
</sst>
</file>

<file path=xl/styles.xml><?xml version="1.0" encoding="utf-8"?>
<styleSheet xmlns="http://schemas.openxmlformats.org/spreadsheetml/2006/main">
  <numFmts count="7">
    <numFmt numFmtId="164" formatCode="0.0%"/>
    <numFmt numFmtId="165" formatCode="#,##0.0"/>
    <numFmt numFmtId="166" formatCode="mmm yyyy"/>
    <numFmt numFmtId="167" formatCode="0.000"/>
    <numFmt numFmtId="168" formatCode="0.0000"/>
    <numFmt numFmtId="169" formatCode="+0.0%;-0.0%"/>
    <numFmt numFmtId="170" formatCode="+0%;-0%"/>
  </numFmts>
  <fonts count="9">
    <font>
      <sz val="10"/>
      <color rgb="FF000000"/>
      <name val="Arial"/>
      <family val="2"/>
    </font>
    <font>
      <b/>
      <sz val="14"/>
      <color rgb="FF1F3864"/>
      <name val="Arial"/>
      <family val="2"/>
    </font>
    <font>
      <i/>
      <sz val="9"/>
      <color rgb="FF595959"/>
      <name val="Arial"/>
      <family val="2"/>
    </font>
    <font>
      <b/>
      <sz val="9"/>
      <color rgb="FFFFFFFF"/>
      <name val="Arial"/>
      <family val="2"/>
    </font>
    <font>
      <b/>
      <sz val="9"/>
      <color rgb="FF000000"/>
      <name val="Arial"/>
      <family val="2"/>
    </font>
    <font>
      <sz val="9"/>
      <color rgb="FF000000"/>
      <name val="Arial"/>
      <family val="2"/>
    </font>
    <font>
      <sz val="9"/>
      <color rgb="FF595959"/>
      <name val="Arial"/>
      <family val="2"/>
    </font>
    <font>
      <b/>
      <sz val="10"/>
      <color rgb="FF000000"/>
      <name val="Arial"/>
      <family val="2"/>
    </font>
    <font>
      <b/>
      <sz val="11"/>
      <color rgb="FFFFFFFF"/>
      <name val="Arial"/>
      <family val="2"/>
    </font>
  </fonts>
  <fills count="6">
    <fill>
      <patternFill patternType="none"/>
    </fill>
    <fill>
      <patternFill patternType="gray125"/>
    </fill>
    <fill>
      <patternFill patternType="solid">
        <fgColor rgb="FF1F3864"/>
        <bgColor indexed="64"/>
      </patternFill>
    </fill>
    <fill>
      <patternFill patternType="solid">
        <fgColor rgb="FFD9E2F3"/>
        <bgColor indexed="64"/>
      </patternFill>
    </fill>
    <fill>
      <patternFill patternType="solid">
        <fgColor rgb="FFFFF2CC"/>
        <bgColor indexed="64"/>
      </patternFill>
    </fill>
    <fill>
      <patternFill patternType="solid">
        <fgColor rgb="FF2F5597"/>
        <bgColor indexed="64"/>
      </patternFill>
    </fill>
  </fills>
  <borders count="1">
    <border>
      <left/>
      <right/>
      <top/>
      <bottom/>
      <diagonal/>
    </border>
  </borders>
  <cellStyleXfs count="1">
    <xf numFmtId="0" fontId="0" fillId="0" borderId="0"/>
  </cellStyleXfs>
  <cellXfs count="29">
    <xf numFmtId="0" fontId="0" fillId="0" borderId="0" xfId="0" applyNumberFormat="1" applyFont="1" applyFill="1" applyBorder="1" applyAlignment="1">
      <alignment vertical="center"/>
    </xf>
    <xf numFmtId="0" fontId="1" fillId="0" borderId="0" xfId="0" applyNumberFormat="1" applyFont="1" applyFill="1" applyBorder="1" applyAlignment="1">
      <alignment vertical="center"/>
    </xf>
    <xf numFmtId="0" fontId="2" fillId="0" borderId="0" xfId="0" applyNumberFormat="1" applyFont="1" applyFill="1" applyBorder="1" applyAlignment="1">
      <alignment vertical="center"/>
    </xf>
    <xf numFmtId="0" fontId="3" fillId="2" borderId="0" xfId="0" applyNumberFormat="1" applyFont="1" applyFill="1" applyBorder="1" applyAlignment="1">
      <alignment horizontal="center" vertical="center" wrapText="1"/>
    </xf>
    <xf numFmtId="0" fontId="3" fillId="2" borderId="0" xfId="0" applyNumberFormat="1" applyFont="1" applyFill="1" applyBorder="1" applyAlignment="1">
      <alignment horizontal="left" vertical="center" wrapText="1"/>
    </xf>
    <xf numFmtId="0" fontId="4" fillId="3" borderId="0" xfId="0" applyNumberFormat="1" applyFont="1" applyFill="1" applyBorder="1" applyAlignment="1">
      <alignment horizontal="center" vertical="center"/>
    </xf>
    <xf numFmtId="0" fontId="4" fillId="4" borderId="0" xfId="0" applyNumberFormat="1" applyFont="1" applyFill="1" applyBorder="1" applyAlignment="1">
      <alignment horizontal="center" vertical="center"/>
    </xf>
    <xf numFmtId="3" fontId="5" fillId="0" borderId="0" xfId="0" applyNumberFormat="1" applyFont="1" applyFill="1" applyBorder="1" applyAlignment="1">
      <alignment vertical="center"/>
    </xf>
    <xf numFmtId="164" fontId="5" fillId="0" borderId="0" xfId="0" applyNumberFormat="1" applyFont="1" applyFill="1" applyBorder="1" applyAlignment="1">
      <alignment vertical="center"/>
    </xf>
    <xf numFmtId="164" fontId="4" fillId="0" borderId="0" xfId="0" applyNumberFormat="1" applyFont="1" applyFill="1" applyBorder="1" applyAlignment="1">
      <alignment vertical="center"/>
    </xf>
    <xf numFmtId="165" fontId="5" fillId="0" borderId="0" xfId="0" applyNumberFormat="1" applyFont="1" applyFill="1" applyBorder="1" applyAlignment="1">
      <alignment vertical="center"/>
    </xf>
    <xf numFmtId="2" fontId="5" fillId="0" borderId="0" xfId="0" applyNumberFormat="1" applyFont="1" applyFill="1" applyBorder="1" applyAlignment="1">
      <alignment vertical="center"/>
    </xf>
    <xf numFmtId="0" fontId="6" fillId="0" borderId="0" xfId="0" applyNumberFormat="1" applyFont="1" applyFill="1" applyBorder="1" applyAlignment="1">
      <alignment vertical="center"/>
    </xf>
    <xf numFmtId="0" fontId="0" fillId="0" borderId="0" xfId="0" applyNumberFormat="1" applyFont="1" applyFill="1" applyBorder="1" applyAlignment="1">
      <alignment vertical="top" wrapText="1"/>
    </xf>
    <xf numFmtId="0" fontId="7" fillId="0" borderId="0" xfId="0" applyNumberFormat="1" applyFont="1" applyFill="1" applyBorder="1" applyAlignment="1">
      <alignment vertical="top" wrapText="1"/>
    </xf>
    <xf numFmtId="0" fontId="8" fillId="5" borderId="0" xfId="0" applyNumberFormat="1" applyFont="1" applyFill="1" applyBorder="1" applyAlignment="1">
      <alignment vertical="center"/>
    </xf>
    <xf numFmtId="0" fontId="5" fillId="0" borderId="0" xfId="0" applyNumberFormat="1" applyFont="1" applyFill="1" applyBorder="1" applyAlignment="1">
      <alignment vertical="center"/>
    </xf>
    <xf numFmtId="0" fontId="4" fillId="0" borderId="0" xfId="0" applyNumberFormat="1" applyFont="1" applyFill="1" applyBorder="1" applyAlignment="1">
      <alignment vertical="center"/>
    </xf>
    <xf numFmtId="166" fontId="5" fillId="0" borderId="0" xfId="0" applyNumberFormat="1" applyFont="1" applyFill="1" applyBorder="1" applyAlignment="1">
      <alignment horizontal="left" vertical="center"/>
    </xf>
    <xf numFmtId="3" fontId="4" fillId="0" borderId="0" xfId="0" applyNumberFormat="1" applyFont="1" applyFill="1" applyBorder="1" applyAlignment="1">
      <alignment vertical="center"/>
    </xf>
    <xf numFmtId="3" fontId="4" fillId="3" borderId="0" xfId="0" applyNumberFormat="1" applyFont="1" applyFill="1" applyBorder="1" applyAlignment="1">
      <alignment vertical="center"/>
    </xf>
    <xf numFmtId="0" fontId="5" fillId="0" borderId="0" xfId="0" applyNumberFormat="1" applyFont="1" applyFill="1" applyBorder="1" applyAlignment="1">
      <alignment horizontal="center" vertical="center"/>
    </xf>
    <xf numFmtId="1" fontId="5" fillId="0" borderId="0" xfId="0" applyNumberFormat="1" applyFont="1" applyFill="1" applyBorder="1" applyAlignment="1">
      <alignment horizontal="center" vertical="center"/>
    </xf>
    <xf numFmtId="0" fontId="6" fillId="0" borderId="0" xfId="0" applyNumberFormat="1" applyFont="1" applyFill="1" applyBorder="1" applyAlignment="1">
      <alignment vertical="top" wrapText="1"/>
    </xf>
    <xf numFmtId="167" fontId="5" fillId="0" borderId="0" xfId="0" applyNumberFormat="1" applyFont="1" applyFill="1" applyBorder="1" applyAlignment="1">
      <alignment vertical="center"/>
    </xf>
    <xf numFmtId="168" fontId="5" fillId="0" borderId="0" xfId="0" applyNumberFormat="1" applyFont="1" applyFill="1" applyBorder="1" applyAlignment="1">
      <alignment vertical="center"/>
    </xf>
    <xf numFmtId="9" fontId="4" fillId="0" borderId="0" xfId="0" applyNumberFormat="1" applyFont="1" applyFill="1" applyBorder="1" applyAlignment="1">
      <alignment horizontal="center" vertical="center"/>
    </xf>
    <xf numFmtId="169" fontId="5" fillId="0" borderId="0" xfId="0" applyNumberFormat="1" applyFont="1" applyFill="1" applyBorder="1" applyAlignment="1">
      <alignment vertical="center"/>
    </xf>
    <xf numFmtId="170" fontId="4" fillId="0" borderId="0" xfId="0" applyNumberFormat="1" applyFont="1" applyFill="1" applyBorder="1" applyAlignment="1">
      <alignment vertical="center"/>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Stock-to-use mondial (stocks / consommation) vs KC1 et DF1</a:t>
            </a:r>
          </a:p>
        </c:rich>
      </c:tx>
      <c:overlay val="0"/>
    </c:title>
    <c:autoTitleDeleted val="0"/>
    <c:plotArea>
      <c:layout/>
      <c:barChart>
        <c:barDir val="col"/>
        <c:grouping val="clustered"/>
        <c:varyColors val="0"/>
        <c:ser>
          <c:idx val="0"/>
          <c:order val="0"/>
          <c:tx>
            <c:v>STU monde (stocks / conso)</c:v>
          </c:tx>
          <c:spPr>
            <a:solidFill>
              <a:srgbClr val="4472C4"/>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'1_Monde'!$E$5:$E$21</c:f>
              <c:numCache>
                <c:formatCode>0%</c:formatCode>
                <c:ptCount val="17"/>
                <c:pt idx="0">
                  <c:v>0.211352835256959</c:v>
                </c:pt>
                <c:pt idx="1">
                  <c:v>0.18026898922502818</c:v>
                </c:pt>
                <c:pt idx="2">
                  <c:v>0.24661785216178522</c:v>
                </c:pt>
                <c:pt idx="3">
                  <c:v>0.28624450051085304</c:v>
                </c:pt>
                <c:pt idx="4">
                  <c:v>0.29308997506166634</c:v>
                </c:pt>
                <c:pt idx="5">
                  <c:v>0.22816053686368207</c:v>
                </c:pt>
                <c:pt idx="6">
                  <c:v>0.23502295234165463</c:v>
                </c:pt>
                <c:pt idx="7">
                  <c:v>0.198914254764143</c:v>
                </c:pt>
                <c:pt idx="8">
                  <c:v>0.22256224285103282</c:v>
                </c:pt>
                <c:pt idx="9">
                  <c:v>0.22055372486218472</c:v>
                </c:pt>
                <c:pt idx="10">
                  <c:v>0.23131165442061039</c:v>
                </c:pt>
                <c:pt idx="11">
                  <c:v>0.19025947723319592</c:v>
                </c:pt>
                <c:pt idx="12">
                  <c:v>0.15960510565675481</c:v>
                </c:pt>
                <c:pt idx="13">
                  <c:v>0.14102986385595082</c:v>
                </c:pt>
                <c:pt idx="14">
                  <c:v>0.1281431756918043</c:v>
                </c:pt>
                <c:pt idx="15">
                  <c:v>0.14049429548192946</c:v>
                </c:pt>
                <c:pt idx="16">
                  <c:v>0.14623113900387236</c:v>
                </c:pt>
              </c:numCache>
            </c:numRef>
          </c:val>
        </c:ser>
        <c:gapWidth val="40"/>
        <c:overlap val="0"/>
        <c:axId val="101"/>
        <c:axId val="102"/>
      </c:barChart>
      <c:lineChart>
        <c:grouping val="standard"/>
        <c:varyColors val="0"/>
        <c:ser>
          <c:idx val="1"/>
          <c:order val="1"/>
          <c:tx>
            <c:v>KC1 arabica NY (c/lb)</c:v>
          </c:tx>
          <c:spPr>
            <a:ln w="28575" cap="rnd">
              <a:solidFill>
                <a:srgbClr val="C00000"/>
              </a:solidFill>
              <a:round/>
            </a:ln>
          </c:spPr>
          <c:marker>
            <c:symbol val="circle"/>
            <c:size val="5"/>
            <c:spPr>
              <a:solidFill>
                <a:srgbClr val="C00000"/>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'1_Monde'!$G$5:$G$21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ser>
          <c:idx val="2"/>
          <c:order val="2"/>
          <c:tx>
            <c:v>DF1 robusta Londres (c/lb)</c:v>
          </c:tx>
          <c:spPr>
            <a:ln w="28575" cap="rnd">
              <a:solidFill>
                <a:srgbClr val="ED7D31"/>
              </a:solidFill>
              <a:round/>
            </a:ln>
          </c:spPr>
          <c:marker>
            <c:symbol val="circle"/>
            <c:size val="5"/>
            <c:spPr>
              <a:solidFill>
                <a:srgbClr val="ED7D31"/>
              </a:solidFill>
              <a:ln w="9525">
                <a:solidFill>
                  <a:srgbClr val="FFFFFF"/>
                </a:solidFill>
              </a:ln>
            </c:spPr>
          </c:marker>
          <c:cat>
            <c:strRef>
              <c:f>'1_Monde'!$A$5:$A$21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'1_Monde'!$H$5:$H$21</c:f>
              <c:numCache>
                <c:formatCode>#,##0</c:formatCode>
                <c:ptCount val="17"/>
                <c:pt idx="0">
                  <c:v>100.65583333333332</c:v>
                </c:pt>
                <c:pt idx="1">
                  <c:v>91.38416666666667</c:v>
                </c:pt>
                <c:pt idx="2">
                  <c:v>88.48083333333334</c:v>
                </c:pt>
                <c:pt idx="3">
                  <c:v>85.87416666666667</c:v>
                </c:pt>
                <c:pt idx="4">
                  <c:v>83.91083333333333</c:v>
                </c:pt>
                <c:pt idx="5">
                  <c:v>74.06833333333334</c:v>
                </c:pt>
                <c:pt idx="6">
                  <c:v>95.12333333333335</c:v>
                </c:pt>
                <c:pt idx="7">
                  <c:v>78.28500000000001</c:v>
                </c:pt>
                <c:pt idx="8">
                  <c:v>67.53249999999998</c:v>
                </c:pt>
                <c:pt idx="9">
                  <c:v>59.22083333333333</c:v>
                </c:pt>
                <c:pt idx="10">
                  <c:v>69.89583333333333</c:v>
                </c:pt>
                <c:pt idx="11">
                  <c:v>97.52916666666668</c:v>
                </c:pt>
                <c:pt idx="12">
                  <c:v>100.565</c:v>
                </c:pt>
                <c:pt idx="13">
                  <c:v>158.95000000000002</c:v>
                </c:pt>
                <c:pt idx="14">
                  <c:v>213.2675</c:v>
                </c:pt>
                <c:pt idx="15">
                  <c:v>171.8418181818182</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Prix (US cents/lb)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ARABICA — stock-to-use (47 pays producteurs, pondéré) vs KC1</a:t>
            </a:r>
          </a:p>
        </c:rich>
      </c:tx>
      <c:overlay val="0"/>
    </c:title>
    <c:autoTitleDeleted val="0"/>
    <c:plotArea>
      <c:layout/>
      <c:barChart>
        <c:barDir val="col"/>
        <c:grouping val="clustered"/>
        <c:varyColors val="0"/>
        <c:ser>
          <c:idx val="0"/>
          <c:order val="0"/>
          <c:tx>
            <c:v>STU arabica</c:v>
          </c:tx>
          <c:spPr>
            <a:solidFill>
              <a:srgbClr val="8C5A2B"/>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'2_Arabica_Robusta'!$A$5:$A$21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'2_Arabica_Robusta'!$D$5:$D$21</c:f>
              <c:numCache>
                <c:formatCode>0%</c:formatCode>
                <c:ptCount val="17"/>
                <c:pt idx="0">
                  <c:v>0.0795173935154769</c:v>
                </c:pt>
                <c:pt idx="1">
                  <c:v>0.08403135195748745</c:v>
                </c:pt>
                <c:pt idx="2">
                  <c:v>0.1280995364333559</c:v>
                </c:pt>
                <c:pt idx="3">
                  <c:v>0.15133297973849494</c:v>
                </c:pt>
                <c:pt idx="4">
                  <c:v>0.1341241185975643</c:v>
                </c:pt>
                <c:pt idx="5">
                  <c:v>0.09503935227505955</c:v>
                </c:pt>
                <c:pt idx="6">
                  <c:v>0.10307916854892664</c:v>
                </c:pt>
                <c:pt idx="7">
                  <c:v>0.09508984058645938</c:v>
                </c:pt>
                <c:pt idx="8">
                  <c:v>0.09686521329175489</c:v>
                </c:pt>
                <c:pt idx="9">
                  <c:v>0.08559902725242943</c:v>
                </c:pt>
                <c:pt idx="10">
                  <c:v>0.09480209225077935</c:v>
                </c:pt>
                <c:pt idx="11">
                  <c:v>0.07216946628862878</c:v>
                </c:pt>
                <c:pt idx="12">
                  <c:v>0.09000778802560448</c:v>
                </c:pt>
                <c:pt idx="13">
                  <c:v>0.07033802197922034</c:v>
                </c:pt>
                <c:pt idx="14">
                  <c:v>0.06306487267294311</c:v>
                </c:pt>
                <c:pt idx="15">
                  <c:v>0.08244394630371851</c:v>
                </c:pt>
                <c:pt idx="16">
                  <c:v>0.0775925720781832</c:v>
                </c:pt>
              </c:numCache>
            </c:numRef>
          </c:val>
        </c:ser>
        <c:gapWidth val="40"/>
        <c:overlap val="0"/>
        <c:axId val="101"/>
        <c:axId val="102"/>
      </c:barChart>
      <c:lineChart>
        <c:grouping val="standard"/>
        <c:varyColors val="0"/>
        <c:ser>
          <c:idx val="1"/>
          <c:order val="1"/>
          <c:tx>
            <c:v>KC1 arabica NY (c/lb)</c:v>
          </c:tx>
          <c:spPr>
            <a:ln w="28575" cap="rnd">
              <a:solidFill>
                <a:srgbClr val="C00000"/>
              </a:solidFill>
              <a:round/>
            </a:ln>
          </c:spPr>
          <c:marker>
            <c:symbol val="circle"/>
            <c:size val="5"/>
            <c:spPr>
              <a:solidFill>
                <a:srgbClr val="C00000"/>
              </a:solidFill>
              <a:ln w="9525">
                <a:solidFill>
                  <a:srgbClr val="FFFFFF"/>
                </a:solidFill>
              </a:ln>
            </c:spPr>
          </c:marker>
          <c:cat>
            <c:strRef>
              <c:f>'2_Arabica_Robusta'!$A$5:$A$21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'2_Arabica_Robusta'!$H$5:$H$21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cents/lb)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ROBUSTA — stock-to-use (47 pays producteurs, pondéré) vs DF1</a:t>
            </a:r>
          </a:p>
        </c:rich>
      </c:tx>
      <c:overlay val="0"/>
    </c:title>
    <c:autoTitleDeleted val="0"/>
    <c:plotArea>
      <c:layout/>
      <c:barChart>
        <c:barDir val="col"/>
        <c:grouping val="clustered"/>
        <c:varyColors val="0"/>
        <c:ser>
          <c:idx val="0"/>
          <c:order val="0"/>
          <c:tx>
            <c:v>STU robusta</c:v>
          </c:tx>
          <c:spPr>
            <a:solidFill>
              <a:srgbClr val="548235"/>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'2_Arabica_Robusta'!$A$5:$A$21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'2_Arabica_Robusta'!$G$5:$G$21</c:f>
              <c:numCache>
                <c:formatCode>0%</c:formatCode>
                <c:ptCount val="17"/>
                <c:pt idx="0">
                  <c:v>0.06419565600154688</c:v>
                </c:pt>
                <c:pt idx="1">
                  <c:v>0.05305625983110702</c:v>
                </c:pt>
                <c:pt idx="2">
                  <c:v>0.09076168814675391</c:v>
                </c:pt>
                <c:pt idx="3">
                  <c:v>0.09867356277428078</c:v>
                </c:pt>
                <c:pt idx="4">
                  <c:v>0.15970313129237285</c:v>
                </c:pt>
                <c:pt idx="5">
                  <c:v>0.09382520978432989</c:v>
                </c:pt>
                <c:pt idx="6">
                  <c:v>0.076218850024371</c:v>
                </c:pt>
                <c:pt idx="7">
                  <c:v>0.04320996431406309</c:v>
                </c:pt>
                <c:pt idx="8">
                  <c:v>0.07243901779719178</c:v>
                </c:pt>
                <c:pt idx="9">
                  <c:v>0.07954050955332384</c:v>
                </c:pt>
                <c:pt idx="10">
                  <c:v>0.09730754946362928</c:v>
                </c:pt>
                <c:pt idx="11">
                  <c:v>0.06264809471054354</c:v>
                </c:pt>
                <c:pt idx="12">
                  <c:v>0.04758353054971042</c:v>
                </c:pt>
                <c:pt idx="13">
                  <c:v>0.03161035880095807</c:v>
                </c:pt>
                <c:pt idx="14">
                  <c:v>0.03183366382084852</c:v>
                </c:pt>
                <c:pt idx="15">
                  <c:v>0.04073220798973294</c:v>
                </c:pt>
                <c:pt idx="16">
                  <c:v>0.03517480632679996</c:v>
                </c:pt>
              </c:numCache>
            </c:numRef>
          </c:val>
        </c:ser>
        <c:gapWidth val="40"/>
        <c:overlap val="0"/>
        <c:axId val="101"/>
        <c:axId val="102"/>
      </c:barChart>
      <c:lineChart>
        <c:grouping val="standard"/>
        <c:varyColors val="0"/>
        <c:ser>
          <c:idx val="1"/>
          <c:order val="1"/>
          <c:tx>
            <c:v>DF1 robusta Londres (US$/t)</c:v>
          </c:tx>
          <c:spPr>
            <a:ln w="28575" cap="rnd">
              <a:solidFill>
                <a:srgbClr val="ED7D31"/>
              </a:solidFill>
              <a:round/>
            </a:ln>
          </c:spPr>
          <c:marker>
            <c:symbol val="circle"/>
            <c:size val="5"/>
            <c:spPr>
              <a:solidFill>
                <a:srgbClr val="ED7D31"/>
              </a:solidFill>
              <a:ln w="9525">
                <a:solidFill>
                  <a:srgbClr val="FFFFFF"/>
                </a:solidFill>
              </a:ln>
            </c:spPr>
          </c:marker>
          <c:cat>
            <c:strRef>
              <c:f>'2_Arabica_Robusta'!$A$5:$A$21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'2_Arabica_Robusta'!$I$5:$I$21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4.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ARABICA 8 pays — stock-to-use vs KC1</a:t>
            </a:r>
          </a:p>
        </c:rich>
      </c:tx>
      <c:overlay val="0"/>
    </c:title>
    <c:autoTitleDeleted val="0"/>
    <c:plotArea>
      <c:layout/>
      <c:barChart>
        <c:barDir val="col"/>
        <c:grouping val="clustered"/>
        <c:varyColors val="0"/>
        <c:ser>
          <c:idx val="0"/>
          <c:order val="0"/>
          <c:tx>
            <c:v>STU arabica 8 pays</c:v>
          </c:tx>
          <c:spPr>
            <a:solidFill>
              <a:srgbClr val="8C5A2B"/>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'3_Groupes_pays'!$A$5:$A$21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'3_Groupes_pays'!$D$5:$D$21</c:f>
              <c:numCache>
                <c:formatCode>0%</c:formatCode>
                <c:ptCount val="17"/>
                <c:pt idx="0">
                  <c:v>0.04064422788187754</c:v>
                </c:pt>
                <c:pt idx="1">
                  <c:v>0.03927021415851066</c:v>
                </c:pt>
                <c:pt idx="2">
                  <c:v>0.10940164174896158</c:v>
                </c:pt>
                <c:pt idx="3">
                  <c:v>0.13606894217152202</c:v>
                </c:pt>
                <c:pt idx="4">
                  <c:v>0.09961278747632603</c:v>
                </c:pt>
                <c:pt idx="5">
                  <c:v>0.047556564975647725</c:v>
                </c:pt>
                <c:pt idx="6">
                  <c:v>0.054382993266364366</c:v>
                </c:pt>
                <c:pt idx="7">
                  <c:v>0.05282619511988303</c:v>
                </c:pt>
                <c:pt idx="8">
                  <c:v>0.05143587909996702</c:v>
                </c:pt>
                <c:pt idx="9">
                  <c:v>0.04056589935396794</c:v>
                </c:pt>
                <c:pt idx="10">
                  <c:v>0.05746741196345771</c:v>
                </c:pt>
                <c:pt idx="11">
                  <c:v>0.020905732030748084</c:v>
                </c:pt>
                <c:pt idx="12">
                  <c:v>0.057056939624459777</c:v>
                </c:pt>
                <c:pt idx="13">
                  <c:v>0.027971646066288876</c:v>
                </c:pt>
                <c:pt idx="14">
                  <c:v>0.022271880726820785</c:v>
                </c:pt>
                <c:pt idx="15">
                  <c:v>0.047794317936111205</c:v>
                </c:pt>
                <c:pt idx="16">
                  <c:v>0.04710592477508493</c:v>
                </c:pt>
              </c:numCache>
            </c:numRef>
          </c:val>
        </c:ser>
        <c:gapWidth val="40"/>
        <c:overlap val="0"/>
        <c:axId val="101"/>
        <c:axId val="102"/>
      </c:barChart>
      <c:lineChart>
        <c:grouping val="standard"/>
        <c:varyColors val="0"/>
        <c:ser>
          <c:idx val="1"/>
          <c:order val="1"/>
          <c:tx>
            <c:v>KC1 arabica NY (c/lb)</c:v>
          </c:tx>
          <c:spPr>
            <a:ln w="28575" cap="rnd">
              <a:solidFill>
                <a:srgbClr val="C00000"/>
              </a:solidFill>
              <a:round/>
            </a:ln>
          </c:spPr>
          <c:marker>
            <c:symbol val="circle"/>
            <c:size val="5"/>
            <c:spPr>
              <a:solidFill>
                <a:srgbClr val="C00000"/>
              </a:solidFill>
              <a:ln w="9525">
                <a:solidFill>
                  <a:srgbClr val="FFFFFF"/>
                </a:solidFill>
              </a:ln>
            </c:spPr>
          </c:marker>
          <c:cat>
            <c:strRef>
              <c:f>'3_Groupes_pays'!$A$5:$A$21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'3_Groupes_pays'!$H$5:$H$21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cents/lb)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5.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ROBUSTA 4 pays — stock-to-use vs DF1</a:t>
            </a:r>
          </a:p>
        </c:rich>
      </c:tx>
      <c:overlay val="0"/>
    </c:title>
    <c:autoTitleDeleted val="0"/>
    <c:plotArea>
      <c:layout/>
      <c:barChart>
        <c:barDir val="col"/>
        <c:grouping val="clustered"/>
        <c:varyColors val="0"/>
        <c:ser>
          <c:idx val="0"/>
          <c:order val="0"/>
          <c:tx>
            <c:v>STU robusta 4 pays</c:v>
          </c:tx>
          <c:spPr>
            <a:solidFill>
              <a:srgbClr val="548235"/>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'3_Groupes_pays'!$A$5:$A$21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'3_Groupes_pays'!$G$5:$G$21</c:f>
              <c:numCache>
                <c:formatCode>0%</c:formatCode>
                <c:ptCount val="17"/>
                <c:pt idx="0">
                  <c:v>0.045367701695488774</c:v>
                </c:pt>
                <c:pt idx="1">
                  <c:v>0.04343661222595886</c:v>
                </c:pt>
                <c:pt idx="2">
                  <c:v>0.08821179484440146</c:v>
                </c:pt>
                <c:pt idx="3">
                  <c:v>0.09742458603063031</c:v>
                </c:pt>
                <c:pt idx="4">
                  <c:v>0.1731189446714767</c:v>
                </c:pt>
                <c:pt idx="5">
                  <c:v>0.08287072373436545</c:v>
                </c:pt>
                <c:pt idx="6">
                  <c:v>0.06845739050630952</c:v>
                </c:pt>
                <c:pt idx="7">
                  <c:v>0.03126719822719195</c:v>
                </c:pt>
                <c:pt idx="8">
                  <c:v>0.07105962248085387</c:v>
                </c:pt>
                <c:pt idx="9">
                  <c:v>0.08005717497894088</c:v>
                </c:pt>
                <c:pt idx="10">
                  <c:v>0.10421060774296502</c:v>
                </c:pt>
                <c:pt idx="11">
                  <c:v>0.07097234489562548</c:v>
                </c:pt>
                <c:pt idx="12">
                  <c:v>0.04866173768033685</c:v>
                </c:pt>
                <c:pt idx="13">
                  <c:v>0.03360889667564988</c:v>
                </c:pt>
                <c:pt idx="14">
                  <c:v>0.03193340995649524</c:v>
                </c:pt>
                <c:pt idx="15">
                  <c:v>0.04263356590526382</c:v>
                </c:pt>
                <c:pt idx="16">
                  <c:v>0.03818061399705344</c:v>
                </c:pt>
              </c:numCache>
            </c:numRef>
          </c:val>
        </c:ser>
        <c:gapWidth val="40"/>
        <c:overlap val="0"/>
        <c:axId val="101"/>
        <c:axId val="102"/>
      </c:barChart>
      <c:lineChart>
        <c:grouping val="standard"/>
        <c:varyColors val="0"/>
        <c:ser>
          <c:idx val="1"/>
          <c:order val="1"/>
          <c:tx>
            <c:v>DF1 robusta Londres (US$/t)</c:v>
          </c:tx>
          <c:spPr>
            <a:ln w="28575" cap="rnd">
              <a:solidFill>
                <a:srgbClr val="ED7D31"/>
              </a:solidFill>
              <a:round/>
            </a:ln>
          </c:spPr>
          <c:marker>
            <c:symbol val="circle"/>
            <c:size val="5"/>
            <c:spPr>
              <a:solidFill>
                <a:srgbClr val="ED7D31"/>
              </a:solidFill>
              <a:ln w="9525">
                <a:solidFill>
                  <a:srgbClr val="FFFFFF"/>
                </a:solidFill>
              </a:ln>
            </c:spPr>
          </c:marker>
          <c:cat>
            <c:strRef>
              <c:f>'3_Groupes_pays'!$A$5:$A$21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'3_Groupes_pays'!$I$5:$I$21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6.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ARABICA — STU Brésil et Colombie vs KC1</a:t>
            </a:r>
          </a:p>
        </c:rich>
      </c:tx>
      <c:overlay val="0"/>
    </c:title>
    <c:autoTitleDeleted val="0"/>
    <c:plotArea>
      <c:layout/>
      <c:barChart>
        <c:barDir val="col"/>
        <c:grouping val="clustered"/>
        <c:varyColors val="0"/>
        <c:ser>
          <c:idx val="0"/>
          <c:order val="0"/>
          <c:tx>
            <c:v>STU Brésil</c:v>
          </c:tx>
          <c:spPr>
            <a:solidFill>
              <a:srgbClr val="2E75B6"/>
            </a:solidFill>
            <a:ln>
              <a:noFill/>
            </a:ln>
          </c:spPr>
          <c:invertIfNegative val="0"/>
          <c:cat>
            <c:strRef>
              <c:f>'4_Deux_pays'!$A$5:$A$21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'4_Deux_pays'!$B$5:$B$21</c:f>
              <c:numCache>
                <c:formatCode>0%</c:formatCode>
                <c:ptCount val="17"/>
                <c:pt idx="0">
                  <c:v>0.05338967481168473</c:v>
                </c:pt>
                <c:pt idx="1">
                  <c:v>0.04487847918504853</c:v>
                </c:pt>
                <c:pt idx="2">
                  <c:v>0.17860941500886351</c:v>
                </c:pt>
                <c:pt idx="3">
                  <c:v>0.21977334608874824</c:v>
                </c:pt>
                <c:pt idx="4">
                  <c:v>0.16326566420437597</c:v>
                </c:pt>
                <c:pt idx="5">
                  <c:v>0.042058229015213305</c:v>
                </c:pt>
                <c:pt idx="6">
                  <c:v>0.06997404306657405</c:v>
                </c:pt>
                <c:pt idx="7">
                  <c:v>0.05891364375685592</c:v>
                </c:pt>
                <c:pt idx="8">
                  <c:v>0.07823476619317303</c:v>
                </c:pt>
                <c:pt idx="9">
                  <c:v>0.037517786561264824</c:v>
                </c:pt>
                <c:pt idx="10">
                  <c:v>0.06460157457140756</c:v>
                </c:pt>
                <c:pt idx="11">
                  <c:v>0.008706166868198308</c:v>
                </c:pt>
                <c:pt idx="12">
                  <c:v>0.07884631794521717</c:v>
                </c:pt>
                <c:pt idx="13">
                  <c:v>0.030256856769699608</c:v>
                </c:pt>
                <c:pt idx="14">
                  <c:v>0.014313549160671462</c:v>
                </c:pt>
                <c:pt idx="15">
                  <c:v>0.06475477971737323</c:v>
                </c:pt>
                <c:pt idx="16">
                  <c:v>0.06192275398824517</c:v>
                </c:pt>
              </c:numCache>
            </c:numRef>
          </c:val>
        </c:ser>
        <c:ser>
          <c:idx val="1"/>
          <c:order val="1"/>
          <c:tx>
            <c:v>STU Colombie</c:v>
          </c:tx>
          <c:spPr>
            <a:solidFill>
              <a:srgbClr val="FFC000"/>
            </a:solidFill>
            <a:ln>
              <a:noFill/>
            </a:ln>
          </c:spPr>
          <c:invertIfNegative val="0"/>
          <c:cat>
            <c:strRef>
              <c:f>'4_Deux_pays'!$A$5:$A$21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'4_Deux_pays'!$C$5:$C$21</c:f>
              <c:numCache>
                <c:formatCode>0%</c:formatCode>
                <c:ptCount val="17"/>
                <c:pt idx="0">
                  <c:v>0.010415570752235665</c:v>
                </c:pt>
                <c:pt idx="1">
                  <c:v>0.02888631090487239</c:v>
                </c:pt>
                <c:pt idx="2">
                  <c:v>0.07667826951765291</c:v>
                </c:pt>
                <c:pt idx="3">
                  <c:v>0.07787682333873581</c:v>
                </c:pt>
                <c:pt idx="4">
                  <c:v>0.048552821997105644</c:v>
                </c:pt>
                <c:pt idx="5">
                  <c:v>0.08192683810213691</c:v>
                </c:pt>
                <c:pt idx="6">
                  <c:v>0.0582703058204538</c:v>
                </c:pt>
                <c:pt idx="7">
                  <c:v>0.07728695652173913</c:v>
                </c:pt>
                <c:pt idx="8">
                  <c:v>0.03552123552123552</c:v>
                </c:pt>
                <c:pt idx="9">
                  <c:v>0.05764546684709066</c:v>
                </c:pt>
                <c:pt idx="10">
                  <c:v>0.08324907313784968</c:v>
                </c:pt>
                <c:pt idx="11">
                  <c:v>0.052377670572019294</c:v>
                </c:pt>
                <c:pt idx="12">
                  <c:v>0.06935736677115988</c:v>
                </c:pt>
                <c:pt idx="13">
                  <c:v>0.04773133261879243</c:v>
                </c:pt>
                <c:pt idx="14">
                  <c:v>0.05938425866288806</c:v>
                </c:pt>
                <c:pt idx="15">
                  <c:v>0.05769487008660893</c:v>
                </c:pt>
                <c:pt idx="16">
                  <c:v>0.04294871794871795</c:v>
                </c:pt>
              </c:numCache>
            </c:numRef>
          </c:val>
        </c:ser>
        <c:gapWidth val="40"/>
        <c:overlap val="-5"/>
        <c:axId val="101"/>
        <c:axId val="102"/>
      </c:barChart>
      <c:lineChart>
        <c:grouping val="standard"/>
        <c:varyColors val="0"/>
        <c:ser>
          <c:idx val="2"/>
          <c:order val="2"/>
          <c:tx>
            <c:v>KC1 arabica NY (c/lb)</c:v>
          </c:tx>
          <c:spPr>
            <a:ln w="28575" cap="rnd">
              <a:solidFill>
                <a:srgbClr val="C00000"/>
              </a:solidFill>
              <a:round/>
            </a:ln>
          </c:spPr>
          <c:marker>
            <c:symbol val="circle"/>
            <c:size val="5"/>
            <c:spPr>
              <a:solidFill>
                <a:srgbClr val="C00000"/>
              </a:solidFill>
              <a:ln w="9525">
                <a:solidFill>
                  <a:srgbClr val="FFFFFF"/>
                </a:solidFill>
              </a:ln>
            </c:spPr>
          </c:marker>
          <c:cat>
            <c:strRef>
              <c:f>'4_Deux_pays'!$A$5:$A$21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'4_Deux_pays'!$E$5:$E$21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cents/lb)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7.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ROBUSTA — STU Vietnam et Brésil vs DF1</a:t>
            </a:r>
          </a:p>
        </c:rich>
      </c:tx>
      <c:overlay val="0"/>
    </c:title>
    <c:autoTitleDeleted val="0"/>
    <c:plotArea>
      <c:layout/>
      <c:barChart>
        <c:barDir val="col"/>
        <c:grouping val="clustered"/>
        <c:varyColors val="0"/>
        <c:ser>
          <c:idx val="0"/>
          <c:order val="0"/>
          <c:tx>
            <c:v>STU Vietnam</c:v>
          </c:tx>
          <c:spPr>
            <a:solidFill>
              <a:srgbClr val="70AD47"/>
            </a:solidFill>
            <a:ln>
              <a:noFill/>
            </a:ln>
          </c:spPr>
          <c:invertIfNegative val="0"/>
          <c:cat>
            <c:strRef>
              <c:f>'4_Deux_pays'!$A$5:$A$21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'4_Deux_pays'!$D$5:$D$21</c:f>
              <c:numCache>
                <c:formatCode>0%</c:formatCode>
                <c:ptCount val="17"/>
                <c:pt idx="0">
                  <c:v>0.04004605296090504</c:v>
                </c:pt>
                <c:pt idx="1">
                  <c:v>0.041666666666666664</c:v>
                </c:pt>
                <c:pt idx="2">
                  <c:v>0.07352274444612363</c:v>
                </c:pt>
                <c:pt idx="3">
                  <c:v>0.07030399049410833</c:v>
                </c:pt>
                <c:pt idx="4">
                  <c:v>0.26639757820383453</c:v>
                </c:pt>
                <c:pt idx="5">
                  <c:v>0.13254456538886258</c:v>
                </c:pt>
                <c:pt idx="6">
                  <c:v>0.09175222450376455</c:v>
                </c:pt>
                <c:pt idx="7">
                  <c:v>0.007746972885594901</c:v>
                </c:pt>
                <c:pt idx="8">
                  <c:v>0.01778744641371809</c:v>
                </c:pt>
                <c:pt idx="9">
                  <c:v>0.0700059159929008</c:v>
                </c:pt>
                <c:pt idx="10">
                  <c:v>0.13062098501070663</c:v>
                </c:pt>
                <c:pt idx="11">
                  <c:v>0.111145606954362</c:v>
                </c:pt>
                <c:pt idx="12">
                  <c:v>0.026601141407736208</c:v>
                </c:pt>
                <c:pt idx="13">
                  <c:v>0.03141342756183746</c:v>
                </c:pt>
                <c:pt idx="14">
                  <c:v>0.0363</c:v>
                </c:pt>
                <c:pt idx="15">
                  <c:v>0.020628742514970058</c:v>
                </c:pt>
                <c:pt idx="16">
                  <c:v>0.014403534609720176</c:v>
                </c:pt>
              </c:numCache>
            </c:numRef>
          </c:val>
        </c:ser>
        <c:ser>
          <c:idx val="1"/>
          <c:order val="1"/>
          <c:tx>
            <c:v>STU Brésil</c:v>
          </c:tx>
          <c:spPr>
            <a:solidFill>
              <a:srgbClr val="2E75B6"/>
            </a:solidFill>
            <a:ln>
              <a:noFill/>
            </a:ln>
          </c:spPr>
          <c:invertIfNegative val="0"/>
          <c:cat>
            <c:strRef>
              <c:f>'4_Deux_pays'!$A$5:$A$21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'4_Deux_pays'!$B$5:$B$21</c:f>
              <c:numCache>
                <c:formatCode>0%</c:formatCode>
                <c:ptCount val="17"/>
                <c:pt idx="0">
                  <c:v>0.05338967481168473</c:v>
                </c:pt>
                <c:pt idx="1">
                  <c:v>0.04487847918504853</c:v>
                </c:pt>
                <c:pt idx="2">
                  <c:v>0.17860941500886351</c:v>
                </c:pt>
                <c:pt idx="3">
                  <c:v>0.21977334608874824</c:v>
                </c:pt>
                <c:pt idx="4">
                  <c:v>0.16326566420437597</c:v>
                </c:pt>
                <c:pt idx="5">
                  <c:v>0.042058229015213305</c:v>
                </c:pt>
                <c:pt idx="6">
                  <c:v>0.06997404306657405</c:v>
                </c:pt>
                <c:pt idx="7">
                  <c:v>0.05891364375685592</c:v>
                </c:pt>
                <c:pt idx="8">
                  <c:v>0.07823476619317303</c:v>
                </c:pt>
                <c:pt idx="9">
                  <c:v>0.037517786561264824</c:v>
                </c:pt>
                <c:pt idx="10">
                  <c:v>0.06460157457140756</c:v>
                </c:pt>
                <c:pt idx="11">
                  <c:v>0.008706166868198308</c:v>
                </c:pt>
                <c:pt idx="12">
                  <c:v>0.07884631794521717</c:v>
                </c:pt>
                <c:pt idx="13">
                  <c:v>0.030256856769699608</c:v>
                </c:pt>
                <c:pt idx="14">
                  <c:v>0.014313549160671462</c:v>
                </c:pt>
                <c:pt idx="15">
                  <c:v>0.06475477971737323</c:v>
                </c:pt>
                <c:pt idx="16">
                  <c:v>0.06192275398824517</c:v>
                </c:pt>
              </c:numCache>
            </c:numRef>
          </c:val>
        </c:ser>
        <c:gapWidth val="40"/>
        <c:overlap val="-5"/>
        <c:axId val="101"/>
        <c:axId val="102"/>
      </c:barChart>
      <c:lineChart>
        <c:grouping val="standard"/>
        <c:varyColors val="0"/>
        <c:ser>
          <c:idx val="2"/>
          <c:order val="2"/>
          <c:tx>
            <c:v>DF1 robusta Londres (US$/t)</c:v>
          </c:tx>
          <c:spPr>
            <a:ln w="28575" cap="rnd">
              <a:solidFill>
                <a:srgbClr val="ED7D31"/>
              </a:solidFill>
              <a:round/>
            </a:ln>
          </c:spPr>
          <c:marker>
            <c:symbol val="circle"/>
            <c:size val="5"/>
            <c:spPr>
              <a:solidFill>
                <a:srgbClr val="ED7D31"/>
              </a:solidFill>
              <a:ln w="9525">
                <a:solidFill>
                  <a:srgbClr val="FFFFFF"/>
                </a:solidFill>
              </a:ln>
            </c:spPr>
          </c:marker>
          <c:cat>
            <c:strRef>
              <c:f>'4_Deux_pays'!$A$5:$A$21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'4_Deux_pays'!$F$5:$F$21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8.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BRÉSIL — stock-to-use vs KC1</a:t>
            </a:r>
          </a:p>
        </c:rich>
      </c:tx>
      <c:overlay val="0"/>
    </c:title>
    <c:autoTitleDeleted val="0"/>
    <c:plotArea>
      <c:layout/>
      <c:barChart>
        <c:barDir val="col"/>
        <c:grouping val="clustered"/>
        <c:varyColors val="0"/>
        <c:ser>
          <c:idx val="0"/>
          <c:order val="0"/>
          <c:tx>
            <c:v>STU Brésil</c:v>
          </c:tx>
          <c:spPr>
            <a:solidFill>
              <a:srgbClr val="2E75B6"/>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'5_Bresil_Vietnam'!$A$5:$A$21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'5_Bresil_Vietnam'!$E$5:$E$21</c:f>
              <c:numCache>
                <c:formatCode>0%</c:formatCode>
                <c:ptCount val="17"/>
                <c:pt idx="0">
                  <c:v>0.05338967481168473</c:v>
                </c:pt>
                <c:pt idx="1">
                  <c:v>0.04487847918504853</c:v>
                </c:pt>
                <c:pt idx="2">
                  <c:v>0.17860941500886351</c:v>
                </c:pt>
                <c:pt idx="3">
                  <c:v>0.21977334608874824</c:v>
                </c:pt>
                <c:pt idx="4">
                  <c:v>0.16326566420437597</c:v>
                </c:pt>
                <c:pt idx="5">
                  <c:v>0.042058229015213305</c:v>
                </c:pt>
                <c:pt idx="6">
                  <c:v>0.06997404306657405</c:v>
                </c:pt>
                <c:pt idx="7">
                  <c:v>0.05891364375685592</c:v>
                </c:pt>
                <c:pt idx="8">
                  <c:v>0.07823476619317303</c:v>
                </c:pt>
                <c:pt idx="9">
                  <c:v>0.037517786561264824</c:v>
                </c:pt>
                <c:pt idx="10">
                  <c:v>0.06460157457140756</c:v>
                </c:pt>
                <c:pt idx="11">
                  <c:v>0.008706166868198308</c:v>
                </c:pt>
                <c:pt idx="12">
                  <c:v>0.07884631794521717</c:v>
                </c:pt>
                <c:pt idx="13">
                  <c:v>0.030256856769699608</c:v>
                </c:pt>
                <c:pt idx="14">
                  <c:v>0.014313549160671462</c:v>
                </c:pt>
                <c:pt idx="15">
                  <c:v>0.06475477971737323</c:v>
                </c:pt>
                <c:pt idx="16">
                  <c:v>0.06192275398824517</c:v>
                </c:pt>
              </c:numCache>
            </c:numRef>
          </c:val>
        </c:ser>
        <c:gapWidth val="40"/>
        <c:overlap val="0"/>
        <c:axId val="101"/>
        <c:axId val="102"/>
      </c:barChart>
      <c:lineChart>
        <c:grouping val="standard"/>
        <c:varyColors val="0"/>
        <c:ser>
          <c:idx val="1"/>
          <c:order val="1"/>
          <c:tx>
            <c:v>KC1 arabica NY (c/lb)</c:v>
          </c:tx>
          <c:spPr>
            <a:ln w="28575" cap="rnd">
              <a:solidFill>
                <a:srgbClr val="C00000"/>
              </a:solidFill>
              <a:round/>
            </a:ln>
          </c:spPr>
          <c:marker>
            <c:symbol val="circle"/>
            <c:size val="5"/>
            <c:spPr>
              <a:solidFill>
                <a:srgbClr val="C00000"/>
              </a:solidFill>
              <a:ln w="9525">
                <a:solidFill>
                  <a:srgbClr val="FFFFFF"/>
                </a:solidFill>
              </a:ln>
            </c:spPr>
          </c:marker>
          <c:cat>
            <c:strRef>
              <c:f>'5_Bresil_Vietnam'!$A$5:$A$21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'5_Bresil_Vietnam'!$F$5:$F$21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cents/lb)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9.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VIETNAM — stock-to-use vs DF1</a:t>
            </a:r>
          </a:p>
        </c:rich>
      </c:tx>
      <c:overlay val="0"/>
    </c:title>
    <c:autoTitleDeleted val="0"/>
    <c:plotArea>
      <c:layout/>
      <c:barChart>
        <c:barDir val="col"/>
        <c:grouping val="clustered"/>
        <c:varyColors val="0"/>
        <c:ser>
          <c:idx val="0"/>
          <c:order val="0"/>
          <c:tx>
            <c:v>STU Vietnam</c:v>
          </c:tx>
          <c:spPr>
            <a:solidFill>
              <a:srgbClr val="70AD47"/>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'5_Bresil_Vietnam'!$A$5:$A$21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'5_Bresil_Vietnam'!$J$5:$J$21</c:f>
              <c:numCache>
                <c:formatCode>0%</c:formatCode>
                <c:ptCount val="17"/>
                <c:pt idx="0">
                  <c:v>0.04004605296090504</c:v>
                </c:pt>
                <c:pt idx="1">
                  <c:v>0.041666666666666664</c:v>
                </c:pt>
                <c:pt idx="2">
                  <c:v>0.07352274444612363</c:v>
                </c:pt>
                <c:pt idx="3">
                  <c:v>0.07030399049410833</c:v>
                </c:pt>
                <c:pt idx="4">
                  <c:v>0.26639757820383453</c:v>
                </c:pt>
                <c:pt idx="5">
                  <c:v>0.13254456538886258</c:v>
                </c:pt>
                <c:pt idx="6">
                  <c:v>0.09175222450376455</c:v>
                </c:pt>
                <c:pt idx="7">
                  <c:v>0.007746972885594901</c:v>
                </c:pt>
                <c:pt idx="8">
                  <c:v>0.01778744641371809</c:v>
                </c:pt>
                <c:pt idx="9">
                  <c:v>0.0700059159929008</c:v>
                </c:pt>
                <c:pt idx="10">
                  <c:v>0.13062098501070663</c:v>
                </c:pt>
                <c:pt idx="11">
                  <c:v>0.111145606954362</c:v>
                </c:pt>
                <c:pt idx="12">
                  <c:v>0.026601141407736208</c:v>
                </c:pt>
                <c:pt idx="13">
                  <c:v>0.03141342756183746</c:v>
                </c:pt>
                <c:pt idx="14">
                  <c:v>0.0363</c:v>
                </c:pt>
                <c:pt idx="15">
                  <c:v>0.020628742514970058</c:v>
                </c:pt>
                <c:pt idx="16">
                  <c:v>0.014403534609720176</c:v>
                </c:pt>
              </c:numCache>
            </c:numRef>
          </c:val>
        </c:ser>
        <c:gapWidth val="40"/>
        <c:overlap val="0"/>
        <c:axId val="101"/>
        <c:axId val="102"/>
      </c:barChart>
      <c:lineChart>
        <c:grouping val="standard"/>
        <c:varyColors val="0"/>
        <c:ser>
          <c:idx val="1"/>
          <c:order val="1"/>
          <c:tx>
            <c:v>DF1 robusta Londres (US$/t)</c:v>
          </c:tx>
          <c:spPr>
            <a:ln w="28575" cap="rnd">
              <a:solidFill>
                <a:srgbClr val="ED7D31"/>
              </a:solidFill>
              <a:round/>
            </a:ln>
          </c:spPr>
          <c:marker>
            <c:symbol val="circle"/>
            <c:size val="5"/>
            <c:spPr>
              <a:solidFill>
                <a:srgbClr val="ED7D31"/>
              </a:solidFill>
              <a:ln w="9525">
                <a:solidFill>
                  <a:srgbClr val="FFFFFF"/>
                </a:solidFill>
              </a:ln>
            </c:spPr>
          </c:marker>
          <c:cat>
            <c:strRef>
              <c:f>'5_Bresil_Vietnam'!$A$5:$A$21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'5_Bresil_Vietnam'!$K$5:$K$21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min val="0"/>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Stock-to-use (%)</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0.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ARABICA Brésil — surplus / (conso + export) vs KC1</a:t>
            </a:r>
          </a:p>
        </c:rich>
      </c:tx>
      <c:overlay val="0"/>
    </c:title>
    <c:autoTitleDeleted val="0"/>
    <c:plotArea>
      <c:layout/>
      <c:barChart>
        <c:barDir val="col"/>
        <c:grouping val="clustered"/>
        <c:varyColors val="0"/>
        <c:ser>
          <c:idx val="0"/>
          <c:order val="0"/>
          <c:tx>
            <c:v>Surplus / (conso + export)</c:v>
          </c:tx>
          <c:spPr>
            <a:solidFill>
              <a:srgbClr val="8C5A2B"/>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'6_Surplus'!$D$5:$D$21</c:f>
              <c:numCache>
                <c:formatCode>0%</c:formatCode>
                <c:ptCount val="17"/>
                <c:pt idx="0">
                  <c:v>0.0012860554841080288</c:v>
                </c:pt>
                <c:pt idx="1">
                  <c:v>-0.013395363760327263</c:v>
                </c:pt>
                <c:pt idx="2">
                  <c:v>0.13452826472326176</c:v>
                </c:pt>
                <c:pt idx="3">
                  <c:v>0.05294723673559497</c:v>
                </c:pt>
                <c:pt idx="4">
                  <c:v>-0.0463390240906778</c:v>
                </c:pt>
                <c:pt idx="5">
                  <c:v>-0.12292989113089114</c:v>
                </c:pt>
                <c:pt idx="6">
                  <c:v>0.026614996526889187</c:v>
                </c:pt>
                <c:pt idx="7">
                  <c:v>-0.013484888603094148</c:v>
                </c:pt>
                <c:pt idx="8">
                  <c:v>0.030034351499396525</c:v>
                </c:pt>
                <c:pt idx="9">
                  <c:v>-0.04241897233201581</c:v>
                </c:pt>
                <c:pt idx="10">
                  <c:v>0.02968140681333235</c:v>
                </c:pt>
                <c:pt idx="11">
                  <c:v>-0.06207174526400645</c:v>
                </c:pt>
                <c:pt idx="12">
                  <c:v>0.06963051454902296</c:v>
                </c:pt>
                <c:pt idx="13">
                  <c:v>-0.0367871136264693</c:v>
                </c:pt>
                <c:pt idx="14">
                  <c:v>-0.016936450839328536</c:v>
                </c:pt>
                <c:pt idx="15">
                  <c:v>0.04887780548628429</c:v>
                </c:pt>
                <c:pt idx="16">
                  <c:v>0.007416736635880212</c:v>
                </c:pt>
              </c:numCache>
            </c:numRef>
          </c:val>
        </c:ser>
        <c:gapWidth val="40"/>
        <c:overlap val="0"/>
        <c:axId val="101"/>
        <c:axId val="102"/>
      </c:barChart>
      <c:lineChart>
        <c:grouping val="standard"/>
        <c:varyColors val="0"/>
        <c:ser>
          <c:idx val="1"/>
          <c:order val="1"/>
          <c:tx>
            <c:v>KC1 arabica NY (c/lb)</c:v>
          </c:tx>
          <c:spPr>
            <a:ln w="28575" cap="rnd">
              <a:solidFill>
                <a:srgbClr val="C00000"/>
              </a:solidFill>
              <a:round/>
            </a:ln>
          </c:spPr>
          <c:marker>
            <c:symbol val="circle"/>
            <c:size val="5"/>
            <c:spPr>
              <a:solidFill>
                <a:srgbClr val="C00000"/>
              </a:solidFill>
              <a:ln w="9525">
                <a:solidFill>
                  <a:srgbClr val="FFFFFF"/>
                </a:solidFill>
              </a:ln>
            </c:spPr>
          </c:marker>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'6_Surplus'!$H$5:$H$21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Surplus (% de l'utilisation)</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cents/lb)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1.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ARABICA 6 pays — surplus / (conso + export) vs KC1</a:t>
            </a:r>
          </a:p>
        </c:rich>
      </c:tx>
      <c:overlay val="0"/>
    </c:title>
    <c:autoTitleDeleted val="0"/>
    <c:plotArea>
      <c:layout/>
      <c:barChart>
        <c:barDir val="col"/>
        <c:grouping val="clustered"/>
        <c:varyColors val="0"/>
        <c:ser>
          <c:idx val="0"/>
          <c:order val="0"/>
          <c:tx>
            <c:v>Surplus / (conso + export)</c:v>
          </c:tx>
          <c:spPr>
            <a:solidFill>
              <a:srgbClr val="8C5A2B"/>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'6_Surplus'!$G$5:$G$21</c:f>
              <c:numCache>
                <c:formatCode>0%</c:formatCode>
                <c:ptCount val="17"/>
                <c:pt idx="0">
                  <c:v>-0.00479604353513547</c:v>
                </c:pt>
                <c:pt idx="1">
                  <c:v>-0.0026936820618371857</c:v>
                </c:pt>
                <c:pt idx="2">
                  <c:v>0.08391703663006805</c:v>
                </c:pt>
                <c:pt idx="3">
                  <c:v>0.03748073396153246</c:v>
                </c:pt>
                <c:pt idx="4">
                  <c:v>-0.03026623613202784</c:v>
                </c:pt>
                <c:pt idx="5">
                  <c:v>-0.06508268240798994</c:v>
                </c:pt>
                <c:pt idx="6">
                  <c:v>0.01189666343962646</c:v>
                </c:pt>
                <c:pt idx="7">
                  <c:v>-0.0024600594188231967</c:v>
                </c:pt>
                <c:pt idx="8">
                  <c:v>0.006275121354530577</c:v>
                </c:pt>
                <c:pt idx="9">
                  <c:v>-0.020279702032476955</c:v>
                </c:pt>
                <c:pt idx="10">
                  <c:v>0.02302518095031686</c:v>
                </c:pt>
                <c:pt idx="11">
                  <c:v>-0.042901001561328485</c:v>
                </c:pt>
                <c:pt idx="12">
                  <c:v>0.04134149233999244</c:v>
                </c:pt>
                <c:pt idx="13">
                  <c:v>-0.024847994262980153</c:v>
                </c:pt>
                <c:pt idx="14">
                  <c:v>-0.006869543541466307</c:v>
                </c:pt>
                <c:pt idx="15">
                  <c:v>0.028002078948719006</c:v>
                </c:pt>
                <c:pt idx="16">
                  <c:v>0.005470692815496899</c:v>
                </c:pt>
              </c:numCache>
            </c:numRef>
          </c:val>
        </c:ser>
        <c:gapWidth val="40"/>
        <c:overlap val="0"/>
        <c:axId val="101"/>
        <c:axId val="102"/>
      </c:barChart>
      <c:lineChart>
        <c:grouping val="standard"/>
        <c:varyColors val="0"/>
        <c:ser>
          <c:idx val="1"/>
          <c:order val="1"/>
          <c:tx>
            <c:v>KC1 arabica NY (c/lb)</c:v>
          </c:tx>
          <c:spPr>
            <a:ln w="28575" cap="rnd">
              <a:solidFill>
                <a:srgbClr val="C00000"/>
              </a:solidFill>
              <a:round/>
            </a:ln>
          </c:spPr>
          <c:marker>
            <c:symbol val="circle"/>
            <c:size val="5"/>
            <c:spPr>
              <a:solidFill>
                <a:srgbClr val="C00000"/>
              </a:solidFill>
              <a:ln w="9525">
                <a:solidFill>
                  <a:srgbClr val="FFFFFF"/>
                </a:solidFill>
              </a:ln>
            </c:spPr>
          </c:marker>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'6_Surplus'!$H$5:$H$21</c:f>
              <c:numCache>
                <c:formatCode>#,##0</c:formatCode>
                <c:ptCount val="17"/>
                <c:pt idx="0">
                  <c:v>249.65999999999997</c:v>
                </c:pt>
                <c:pt idx="1">
                  <c:v>197.8416666666667</c:v>
                </c:pt>
                <c:pt idx="2">
                  <c:v>140.69833333333332</c:v>
                </c:pt>
                <c:pt idx="3">
                  <c:v>161.4675</c:v>
                </c:pt>
                <c:pt idx="4">
                  <c:v>154.02083333333334</c:v>
                </c:pt>
                <c:pt idx="5">
                  <c:v>131.83249999999998</c:v>
                </c:pt>
                <c:pt idx="6">
                  <c:v>143.7716666666667</c:v>
                </c:pt>
                <c:pt idx="7">
                  <c:v>120.60083333333334</c:v>
                </c:pt>
                <c:pt idx="8">
                  <c:v>104.98083333333334</c:v>
                </c:pt>
                <c:pt idx="9">
                  <c:v>113.23666666666666</c:v>
                </c:pt>
                <c:pt idx="10">
                  <c:v>143.75333333333336</c:v>
                </c:pt>
                <c:pt idx="11">
                  <c:v>224.0875</c:v>
                </c:pt>
                <c:pt idx="12">
                  <c:v>171.18999999999997</c:v>
                </c:pt>
                <c:pt idx="13">
                  <c:v>204.00166666666667</c:v>
                </c:pt>
                <c:pt idx="14">
                  <c:v>333.06</c:v>
                </c:pt>
                <c:pt idx="15">
                  <c:v>312.21</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Surplus (% de l'utilisation)</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KC1 (US cents/lb)</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2.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ROBUSTA Vietnam — surplus / (conso + export) vs DF1</a:t>
            </a:r>
          </a:p>
        </c:rich>
      </c:tx>
      <c:overlay val="0"/>
    </c:title>
    <c:autoTitleDeleted val="0"/>
    <c:plotArea>
      <c:layout/>
      <c:barChart>
        <c:barDir val="col"/>
        <c:grouping val="clustered"/>
        <c:varyColors val="0"/>
        <c:ser>
          <c:idx val="0"/>
          <c:order val="0"/>
          <c:tx>
            <c:v>Surplus / (conso + export)</c:v>
          </c:tx>
          <c:spPr>
            <a:solidFill>
              <a:srgbClr val="548235"/>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'6_Surplus'!$K$5:$K$21</c:f>
              <c:numCache>
                <c:formatCode>0%</c:formatCode>
                <c:ptCount val="17"/>
                <c:pt idx="0">
                  <c:v>-0.010612204034639836</c:v>
                </c:pt>
                <c:pt idx="1">
                  <c:v>0.011085626911314986</c:v>
                </c:pt>
                <c:pt idx="2">
                  <c:v>0.03234094000302252</c:v>
                </c:pt>
                <c:pt idx="3">
                  <c:v>0.006073208568505133</c:v>
                </c:pt>
                <c:pt idx="4">
                  <c:v>0.17684157416750756</c:v>
                </c:pt>
                <c:pt idx="5">
                  <c:v>-0.06736078245780092</c:v>
                </c:pt>
                <c:pt idx="6">
                  <c:v>-0.05201916495550992</c:v>
                </c:pt>
                <c:pt idx="7">
                  <c:v>-0.0740232409186568</c:v>
                </c:pt>
                <c:pt idx="8">
                  <c:v>0.009661526649177812</c:v>
                </c:pt>
                <c:pt idx="9">
                  <c:v>0.05173207125484783</c:v>
                </c:pt>
                <c:pt idx="10">
                  <c:v>0.05460385438972163</c:v>
                </c:pt>
                <c:pt idx="11">
                  <c:v>-0.0024837007140639552</c:v>
                </c:pt>
                <c:pt idx="12">
                  <c:v>-0.08690551680405834</c:v>
                </c:pt>
                <c:pt idx="13">
                  <c:v>0.0017667844522968198</c:v>
                </c:pt>
                <c:pt idx="14">
                  <c:v>0.006666666666666666</c:v>
                </c:pt>
                <c:pt idx="15">
                  <c:v>-0.011976047904191616</c:v>
                </c:pt>
                <c:pt idx="16">
                  <c:v>-0.005891016200294551</c:v>
                </c:pt>
              </c:numCache>
            </c:numRef>
          </c:val>
        </c:ser>
        <c:gapWidth val="40"/>
        <c:overlap val="0"/>
        <c:axId val="101"/>
        <c:axId val="102"/>
      </c:barChart>
      <c:lineChart>
        <c:grouping val="standard"/>
        <c:varyColors val="0"/>
        <c:ser>
          <c:idx val="1"/>
          <c:order val="1"/>
          <c:tx>
            <c:v>DF1 robusta Londres (US$/t)</c:v>
          </c:tx>
          <c:spPr>
            <a:ln w="28575" cap="rnd">
              <a:solidFill>
                <a:srgbClr val="ED7D31"/>
              </a:solidFill>
              <a:round/>
            </a:ln>
          </c:spPr>
          <c:marker>
            <c:symbol val="circle"/>
            <c:size val="5"/>
            <c:spPr>
              <a:solidFill>
                <a:srgbClr val="ED7D31"/>
              </a:solidFill>
              <a:ln w="9525">
                <a:solidFill>
                  <a:srgbClr val="FFFFFF"/>
                </a:solidFill>
              </a:ln>
            </c:spPr>
          </c:marker>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'6_Surplus'!$O$5:$O$21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Surplus (% de l'utilisation)</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charts/chart13.xml><?xml version="1.0" encoding="utf-8"?>
<c:chartSpace xmlns:c="http://schemas.openxmlformats.org/drawingml/2006/chart" xmlns:a="http://schemas.openxmlformats.org/drawingml/2006/main" xmlns:r="http://schemas.openxmlformats.org/officeDocument/2006/relationships">
  <c:date1904 val="0"/>
  <c:lang val="fr-FR"/>
  <c:roundedCorners val="0"/>
  <c:chart>
    <c:title>
      <c:tx>
        <c:rich>
          <a:bodyPr/>
          <a:lstStyle/>
          <a:p>
            <a:pPr>
              <a:defRPr sz="1200" b="1">
                <a:solidFill>
                  <a:srgbClr val="262626"/>
                </a:solidFill>
              </a:defRPr>
            </a:pPr>
            <a:r>
              <a:rPr lang="fr-FR" sz="1200" b="1">
                <a:solidFill>
                  <a:srgbClr val="262626"/>
                </a:solidFill>
              </a:rPr>
              <a:t>ROBUSTA 4 pays — surplus / (conso + export) vs DF1</a:t>
            </a:r>
          </a:p>
        </c:rich>
      </c:tx>
      <c:overlay val="0"/>
    </c:title>
    <c:autoTitleDeleted val="0"/>
    <c:plotArea>
      <c:layout/>
      <c:barChart>
        <c:barDir val="col"/>
        <c:grouping val="clustered"/>
        <c:varyColors val="0"/>
        <c:ser>
          <c:idx val="0"/>
          <c:order val="0"/>
          <c:tx>
            <c:v>Surplus / (conso + export)</c:v>
          </c:tx>
          <c:spPr>
            <a:solidFill>
              <a:srgbClr val="548235"/>
            </a:solidFill>
            <a:ln>
              <a:noFill/>
            </a:ln>
          </c:spPr>
          <c:invertIfNegative val="0"/>
          <c:dLbls>
            <c:numFmt formatCode="0.0%" sourceLinked="0"/>
            <c:spPr>
              <a:noFill/>
              <a:ln>
                <a:noFill/>
              </a:ln>
            </c:spPr>
            <c:txPr>
              <a:bodyPr/>
              <a:lstStyle/>
              <a:p>
                <a:pPr>
                  <a:defRPr sz="700">
                    <a:solidFill>
                      <a:srgbClr val="404040"/>
                    </a:solidFill>
                  </a:defRPr>
                </a:pPr>
                <a:endParaRPr lang="fr-FR"/>
              </a:p>
            </c:txPr>
            <c:dLblPos val="outEnd"/>
            <c:showLegendKey val="0"/>
            <c:showVal val="1"/>
            <c:showCatName val="0"/>
            <c:showSerName val="0"/>
            <c:showPercent val="0"/>
            <c:showBubbleSize val="0"/>
          </c:dLbls>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'6_Surplus'!$N$5:$N$21</c:f>
              <c:numCache>
                <c:formatCode>0%</c:formatCode>
                <c:ptCount val="17"/>
                <c:pt idx="0">
                  <c:v>-0.03507196794832841</c:v>
                </c:pt>
                <c:pt idx="1">
                  <c:v>0.0006937762576931856</c:v>
                </c:pt>
                <c:pt idx="2">
                  <c:v>0.04778013165827783</c:v>
                </c:pt>
                <c:pt idx="3">
                  <c:v>0.016205138289968304</c:v>
                </c:pt>
                <c:pt idx="4">
                  <c:v>0.05887113943372933</c:v>
                </c:pt>
                <c:pt idx="5">
                  <c:v>-0.06574396968544591</c:v>
                </c:pt>
                <c:pt idx="6">
                  <c:v>-0.022990496335203177</c:v>
                </c:pt>
                <c:pt idx="7">
                  <c:v>-0.033518787097737465</c:v>
                </c:pt>
                <c:pt idx="8">
                  <c:v>0.03977291600474951</c:v>
                </c:pt>
                <c:pt idx="9">
                  <c:v>0.00959235236339739</c:v>
                </c:pt>
                <c:pt idx="10">
                  <c:v>0.024025248457509432</c:v>
                </c:pt>
                <c:pt idx="11">
                  <c:v>-0.02846469903490429</c:v>
                </c:pt>
                <c:pt idx="12">
                  <c:v>-0.023921151597718234</c:v>
                </c:pt>
                <c:pt idx="13">
                  <c:v>-0.015365415027480896</c:v>
                </c:pt>
                <c:pt idx="14">
                  <c:v>-0.00036966108330853365</c:v>
                </c:pt>
                <c:pt idx="15">
                  <c:v>0.012843600357414057</c:v>
                </c:pt>
                <c:pt idx="16">
                  <c:v>-0.0011811465876556309</c:v>
                </c:pt>
              </c:numCache>
            </c:numRef>
          </c:val>
        </c:ser>
        <c:gapWidth val="40"/>
        <c:overlap val="0"/>
        <c:axId val="101"/>
        <c:axId val="102"/>
      </c:barChart>
      <c:lineChart>
        <c:grouping val="standard"/>
        <c:varyColors val="0"/>
        <c:ser>
          <c:idx val="1"/>
          <c:order val="1"/>
          <c:tx>
            <c:v>DF1 robusta Londres (US$/t)</c:v>
          </c:tx>
          <c:spPr>
            <a:ln w="28575" cap="rnd">
              <a:solidFill>
                <a:srgbClr val="ED7D31"/>
              </a:solidFill>
              <a:round/>
            </a:ln>
          </c:spPr>
          <c:marker>
            <c:symbol val="circle"/>
            <c:size val="5"/>
            <c:spPr>
              <a:solidFill>
                <a:srgbClr val="ED7D31"/>
              </a:solidFill>
              <a:ln w="9525">
                <a:solidFill>
                  <a:srgbClr val="FFFFFF"/>
                </a:solidFill>
              </a:ln>
            </c:spPr>
          </c:marker>
          <c:cat>
            <c:strRef>
              <c:f>'6_Surplus'!$A$5:$A$21</c:f>
              <c:strCache>
                <c:ptCount val="17"/>
                <c:pt idx="0">
                  <c:v>2010/11</c:v>
                </c:pt>
                <c:pt idx="1">
                  <c:v>2011/12</c:v>
                </c:pt>
                <c:pt idx="2">
                  <c:v>2012/13</c:v>
                </c:pt>
                <c:pt idx="3">
                  <c:v>2013/14</c:v>
                </c:pt>
                <c:pt idx="4">
                  <c:v>2014/15</c:v>
                </c:pt>
                <c:pt idx="5">
                  <c:v>2015/16</c:v>
                </c:pt>
                <c:pt idx="6">
                  <c:v>2016/17</c:v>
                </c:pt>
                <c:pt idx="7">
                  <c:v>2017/18</c:v>
                </c:pt>
                <c:pt idx="8">
                  <c:v>2018/19</c:v>
                </c:pt>
                <c:pt idx="9">
                  <c:v>2019/20</c:v>
                </c:pt>
                <c:pt idx="10">
                  <c:v>2020/21</c:v>
                </c:pt>
                <c:pt idx="11">
                  <c:v>2021/22</c:v>
                </c:pt>
                <c:pt idx="12">
                  <c:v>2022/23</c:v>
                </c:pt>
                <c:pt idx="13">
                  <c:v>2023/24</c:v>
                </c:pt>
                <c:pt idx="14">
                  <c:v>2024/25</c:v>
                </c:pt>
                <c:pt idx="15">
                  <c:v>2025/26</c:v>
                </c:pt>
                <c:pt idx="16">
                  <c:v>2026/27 (prév.)</c:v>
                </c:pt>
              </c:strCache>
            </c:strRef>
          </c:cat>
          <c:val>
            <c:numRef>
              <c:f>'6_Surplus'!$O$5:$O$21</c:f>
              <c:numCache>
                <c:formatCode>#,##0</c:formatCode>
                <c:ptCount val="17"/>
                <c:pt idx="0">
                  <c:v>2219.0812700161664</c:v>
                </c:pt>
                <c:pt idx="1">
                  <c:v>2014.6760094318333</c:v>
                </c:pt>
                <c:pt idx="2">
                  <c:v>1950.6684660311666</c:v>
                </c:pt>
                <c:pt idx="3">
                  <c:v>1893.2013030698333</c:v>
                </c:pt>
                <c:pt idx="4">
                  <c:v>1849.9172122971665</c:v>
                </c:pt>
                <c:pt idx="5">
                  <c:v>1632.9272309236667</c:v>
                </c:pt>
                <c:pt idx="6">
                  <c:v>2097.110523564667</c:v>
                </c:pt>
                <c:pt idx="7">
                  <c:v>1725.8888180669999</c:v>
                </c:pt>
                <c:pt idx="8">
                  <c:v>1488.8367708514998</c:v>
                </c:pt>
                <c:pt idx="9">
                  <c:v>1305.5958874191667</c:v>
                </c:pt>
                <c:pt idx="10">
                  <c:v>1540.9393521041666</c:v>
                </c:pt>
                <c:pt idx="11">
                  <c:v>2150.1500694308334</c:v>
                </c:pt>
                <c:pt idx="12">
                  <c:v>2217.078737803</c:v>
                </c:pt>
                <c:pt idx="13">
                  <c:v>3504.24765449</c:v>
                </c:pt>
                <c:pt idx="14">
                  <c:v>4701.7435461085</c:v>
                </c:pt>
                <c:pt idx="15">
                  <c:v>3788.463594255636</c:v>
                </c:pt>
              </c:numCache>
            </c:numRef>
          </c:val>
          <c:smooth val="0"/>
        </c:ser>
        <c:marker val="1"/>
        <c:axId val="103"/>
        <c:axId val="104"/>
      </c:lineChart>
      <c:catAx>
        <c:axId val="101"/>
        <c:scaling>
          <c:orientation val="minMax"/>
        </c:scaling>
        <c:delete val="0"/>
        <c:axPos val="b"/>
        <c:numFmt formatCode="General" sourceLinked="1"/>
        <c:majorTickMark val="none"/>
        <c:minorTickMark val="none"/>
        <c:tickLblPos val="low"/>
        <c:spPr>
          <a:ln w="9525">
            <a:solidFill>
              <a:srgbClr val="BFBFBF"/>
            </a:solidFill>
          </a:ln>
        </c:spPr>
        <c:txPr>
          <a:bodyPr rot="-2700000" vert="horz"/>
          <a:lstStyle/>
          <a:p>
            <a:pPr>
              <a:defRPr sz="800">
                <a:solidFill>
                  <a:srgbClr val="404040"/>
                </a:solidFill>
              </a:defRPr>
            </a:pPr>
            <a:endParaRPr lang="fr-FR"/>
          </a:p>
        </c:txPr>
        <c:crossAx val="102"/>
        <c:crosses val="autoZero"/>
        <c:auto val="1"/>
        <c:lblAlgn val="ctr"/>
        <c:lblOffset val="100"/>
        <c:noMultiLvlLbl val="0"/>
      </c:catAx>
      <c:valAx>
        <c:axId val="102"/>
        <c:scaling>
          <c:orientation val="minMax"/>
        </c:scaling>
        <c:delete val="0"/>
        <c:axPos val="l"/>
        <c:majorGridlines>
          <c:spPr>
            <a:ln w="6350">
              <a:solidFill>
                <a:srgbClr val="E4E4E4"/>
              </a:solidFill>
            </a:ln>
          </c:spPr>
        </c:majorGridlines>
        <c:title>
          <c:tx>
            <c:rich>
              <a:bodyPr rot="-5400000" vert="horz"/>
              <a:lstStyle/>
              <a:p>
                <a:pPr>
                  <a:defRPr sz="900" b="0">
                    <a:solidFill>
                      <a:srgbClr val="595959"/>
                    </a:solidFill>
                  </a:defRPr>
                </a:pPr>
                <a:r>
                  <a:rPr lang="fr-FR" sz="900" b="0">
                    <a:solidFill>
                      <a:srgbClr val="595959"/>
                    </a:solidFill>
                  </a:rPr>
                  <a:t>Surplus (% de l'utilisation)</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1"/>
        <c:crosses val="autoZero"/>
        <c:crossBetween val="between"/>
      </c:valAx>
      <c:catAx>
        <c:axId val="103"/>
        <c:scaling>
          <c:orientation val="minMax"/>
        </c:scaling>
        <c:delete val="1"/>
        <c:axPos val="b"/>
        <c:majorTickMark val="none"/>
        <c:minorTickMark val="none"/>
        <c:tickLblPos val="nextTo"/>
        <c:crossAx val="104"/>
        <c:crosses val="autoZero"/>
        <c:auto val="1"/>
        <c:lblAlgn val="ctr"/>
        <c:lblOffset val="100"/>
        <c:noMultiLvlLbl val="0"/>
      </c:catAx>
      <c:valAx>
        <c:axId val="104"/>
        <c:scaling>
          <c:orientation val="minMax"/>
        </c:scaling>
        <c:delete val="0"/>
        <c:axPos val="r"/>
        <c:title>
          <c:tx>
            <c:rich>
              <a:bodyPr rot="-5400000" vert="horz"/>
              <a:lstStyle/>
              <a:p>
                <a:pPr>
                  <a:defRPr sz="900" b="0">
                    <a:solidFill>
                      <a:srgbClr val="595959"/>
                    </a:solidFill>
                  </a:defRPr>
                </a:pPr>
                <a:r>
                  <a:rPr lang="fr-FR" sz="900" b="0">
                    <a:solidFill>
                      <a:srgbClr val="595959"/>
                    </a:solidFill>
                  </a:rPr>
                  <a:t>DF1 (US$/t)</a:t>
                </a:r>
              </a:p>
            </c:rich>
          </c:tx>
          <c:overlay val="0"/>
        </c:title>
        <c:numFmt formatCode="#,##0" sourceLinked="0"/>
        <c:majorTickMark val="out"/>
        <c:minorTickMark val="none"/>
        <c:tickLblPos val="nextTo"/>
        <c:spPr>
          <a:ln>
            <a:noFill/>
          </a:ln>
        </c:spPr>
        <c:txPr>
          <a:bodyPr/>
          <a:lstStyle/>
          <a:p>
            <a:pPr>
              <a:defRPr sz="800">
                <a:solidFill>
                  <a:srgbClr val="404040"/>
                </a:solidFill>
              </a:defRPr>
            </a:pPr>
            <a:endParaRPr lang="fr-FR"/>
          </a:p>
        </c:txPr>
        <c:crossAx val="103"/>
        <c:crosses val="max"/>
        <c:crossBetween val="between"/>
      </c:valAx>
      <c:spPr>
        <a:noFill/>
        <a:ln>
          <a:noFill/>
        </a:ln>
      </c:spPr>
    </c:plotArea>
    <c:legend>
      <c:legendPos val="b"/>
      <c:overlay val="0"/>
      <c:txPr>
        <a:bodyPr/>
        <a:lstStyle/>
        <a:p>
          <a:pPr>
            <a:defRPr sz="900">
              <a:solidFill>
                <a:srgbClr val="404040"/>
              </a:solidFill>
            </a:defRPr>
          </a:pPr>
          <a:endParaRPr lang="fr-FR"/>
        </a:p>
      </c:txPr>
    </c:legend>
    <c:plotVisOnly val="1"/>
    <c:dispBlanksAs val="gap"/>
  </c:chart>
  <c:spPr>
    <a:solidFill>
      <a:srgbClr val="FFFFFF"/>
    </a:solidFill>
    <a:ln w="9525">
      <a:solidFill>
        <a:srgbClr val="D9D9D9"/>
      </a:solidFill>
    </a:ln>
  </c:spPr>
  <c:txPr>
    <a:bodyPr/>
    <a:lstStyle/>
    <a:p>
      <a:pPr>
        <a:defRPr sz="900">
          <a:latin typeface="Arial"/>
        </a:defRPr>
      </a:pPr>
      <a:endParaRPr lang="fr-FR"/>
    </a:p>
  </c:tx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 Id="rId3" Type="http://schemas.openxmlformats.org/officeDocument/2006/relationships/chart" Target="../charts/chart1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24</xdr:col>
      <xdr:colOff>0</xdr:colOff>
      <xdr:row>31</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24</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31</xdr:row>
      <xdr:rowOff>0</xdr:rowOff>
    </xdr:from>
    <xdr:to>
      <xdr:col>24</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26</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31</xdr:row>
      <xdr:rowOff>0</xdr:rowOff>
    </xdr:from>
    <xdr:to>
      <xdr:col>26</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23</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0</xdr:colOff>
      <xdr:row>31</xdr:row>
      <xdr:rowOff>0</xdr:rowOff>
    </xdr:from>
    <xdr:to>
      <xdr:col>23</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0</xdr:colOff>
      <xdr:row>4</xdr:row>
      <xdr:rowOff>0</xdr:rowOff>
    </xdr:from>
    <xdr:to>
      <xdr:col>26</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0</xdr:colOff>
      <xdr:row>31</xdr:row>
      <xdr:rowOff>0</xdr:rowOff>
    </xdr:from>
    <xdr:to>
      <xdr:col>26</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16</xdr:col>
      <xdr:colOff>0</xdr:colOff>
      <xdr:row>4</xdr:row>
      <xdr:rowOff>0</xdr:rowOff>
    </xdr:from>
    <xdr:to>
      <xdr:col>30</xdr:col>
      <xdr:colOff>0</xdr:colOff>
      <xdr:row>29</xdr:row>
      <xdr:rowOff>0</xdr:rowOff>
    </xdr:to>
    <xdr:graphicFrame macro="">
      <xdr:nvGraphicFramePr>
        <xdr:cNvPr id="2" name="Graphique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0</xdr:colOff>
      <xdr:row>31</xdr:row>
      <xdr:rowOff>0</xdr:rowOff>
    </xdr:from>
    <xdr:to>
      <xdr:col>30</xdr:col>
      <xdr:colOff>0</xdr:colOff>
      <xdr:row>56</xdr:row>
      <xdr:rowOff>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0</xdr:colOff>
      <xdr:row>58</xdr:row>
      <xdr:rowOff>0</xdr:rowOff>
    </xdr:from>
    <xdr:to>
      <xdr:col>30</xdr:col>
      <xdr:colOff>0</xdr:colOff>
      <xdr:row>83</xdr:row>
      <xdr:rowOff>0</xdr:rowOff>
    </xdr:to>
    <xdr:graphicFrame macro="">
      <xdr:nvGraphicFramePr>
        <xdr:cNvPr id="4" name="Graphique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0</xdr:colOff>
      <xdr:row>85</xdr:row>
      <xdr:rowOff>0</xdr:rowOff>
    </xdr:from>
    <xdr:to>
      <xdr:col>30</xdr:col>
      <xdr:colOff>0</xdr:colOff>
      <xdr:row>110</xdr:row>
      <xdr:rowOff>0</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sheetPr>
    <tabColor rgb="FF1F3864"/>
  </sheetPr>
  <dimension ref="A1:A24"/>
  <sheetViews>
    <sheetView tabSelected="1" showGridLines="0" workbookViewId="0"/>
  </sheetViews>
  <sheetFormatPr defaultRowHeight="12.75"/>
  <cols>
    <col min="1" max="1" width="150" customWidth="1"/>
  </cols>
  <sheetData>
    <row r="1">
      <c r="A1" s="1" t="s">
        <v>0</v>
      </c>
    </row>
    <row r="3">
      <c r="A3" s="15" t="s">
        <v>1</v>
      </c>
    </row>
    <row r="4">
      <c r="A4" s="13" t="s">
        <v>2</v>
      </c>
    </row>
    <row r="5">
      <c r="A5" s="13" t="s">
        <v>3</v>
      </c>
    </row>
    <row r="6">
      <c r="A6" s="13" t="s">
        <v>4</v>
      </c>
    </row>
    <row r="7">
      <c r="A7" s="13" t="s">
        <v>5</v>
      </c>
    </row>
    <row r="8">
      <c r="A8" s="13" t="s">
        <v>6</v>
      </c>
    </row>
    <row r="9">
      <c r="A9" s="13" t="s">
        <v>7</v>
      </c>
    </row>
    <row r="10">
      <c r="A10" s="13" t="s">
        <v>8</v>
      </c>
    </row>
    <row r="11">
      <c r="A11" s="13" t="s">
        <v>9</v>
      </c>
    </row>
    <row r="12">
      <c r="A12" s="13" t="s">
        <v>10</v>
      </c>
    </row>
    <row r="13">
      <c r="A13" s="15" t="s">
        <v>11</v>
      </c>
    </row>
    <row r="14">
      <c r="A14" s="13" t="s">
        <v>12</v>
      </c>
    </row>
    <row r="15">
      <c r="A15" s="13" t="s">
        <v>13</v>
      </c>
    </row>
    <row r="16">
      <c r="A16" s="15" t="s">
        <v>14</v>
      </c>
    </row>
    <row r="17">
      <c r="A17" s="13" t="s">
        <v>15</v>
      </c>
    </row>
    <row r="18">
      <c r="A18" s="13" t="s">
        <v>16</v>
      </c>
    </row>
    <row r="19">
      <c r="A19" s="15" t="s">
        <v>17</v>
      </c>
    </row>
    <row r="20">
      <c r="A20" s="13" t="s">
        <v>18</v>
      </c>
    </row>
    <row r="21">
      <c r="A21" s="13" t="s">
        <v>19</v>
      </c>
    </row>
    <row r="22">
      <c r="A22" s="13" t="s">
        <v>20</v>
      </c>
    </row>
    <row r="23">
      <c r="A23" s="15" t="s">
        <v>21</v>
      </c>
    </row>
    <row r="24">
      <c r="A24" s="13" t="s">
        <v>22</v>
      </c>
    </row>
  </sheetData>
  <pageMargins left="0.5" right="0.5" top="0.75" bottom="0.75" header="0.3" footer="0.3"/>
  <pageSetup orientation="landscape"/>
</worksheet>
</file>

<file path=xl/worksheets/sheet2.xml><?xml version="1.0" encoding="utf-8"?>
<worksheet xmlns="http://schemas.openxmlformats.org/spreadsheetml/2006/main" xmlns:r="http://schemas.openxmlformats.org/officeDocument/2006/relationships">
  <sheetPr>
    <tabColor rgb="FF4472C4"/>
  </sheetPr>
  <dimension ref="A1:I28"/>
  <sheetViews>
    <sheetView showGridLines="0" workbookViewId="0"/>
  </sheetViews>
  <sheetFormatPr defaultRowHeight="12.75"/>
  <cols>
    <col min="1" max="1" width="13" customWidth="1"/>
    <col min="2" max="2" width="12" customWidth="1"/>
    <col min="3" max="3" width="12" customWidth="1"/>
    <col min="4" max="4" width="12" customWidth="1"/>
    <col min="5" max="5" width="11" customWidth="1"/>
    <col min="6" max="6" width="12" customWidth="1"/>
    <col min="7" max="7" width="10" customWidth="1"/>
    <col min="8" max="8" width="10" customWidth="1"/>
    <col min="9" max="9" width="10" customWidth="1"/>
    <col min="10" max="10" width="2" customWidth="1"/>
  </cols>
  <sheetData>
    <row r="1" ht="20" customHeight="1">
      <c r="A1" s="1" t="s">
        <v>23</v>
      </c>
    </row>
    <row r="2">
      <c r="A2" s="2" t="s">
        <v>24</v>
      </c>
    </row>
    <row r="3">
      <c r="A3" s="2" t="s">
        <v>25</v>
      </c>
    </row>
    <row r="4" ht="48" customHeight="1">
      <c r="A4" s="3" t="s">
        <v>26</v>
      </c>
      <c r="B4" s="3" t="s">
        <v>27</v>
      </c>
      <c r="C4" s="3" t="s">
        <v>28</v>
      </c>
      <c r="D4" s="3" t="s">
        <v>29</v>
      </c>
      <c r="E4" s="3" t="s">
        <v>30</v>
      </c>
      <c r="F4" s="3" t="s">
        <v>31</v>
      </c>
      <c r="G4" s="3" t="s">
        <v>32</v>
      </c>
      <c r="H4" s="3" t="s">
        <v>33</v>
      </c>
      <c r="I4" s="3" t="s">
        <v>34</v>
      </c>
    </row>
    <row r="5">
      <c r="A5" s="5" t="s">
        <v>35</v>
      </c>
      <c r="B5" s="7">
        <f>'Donnees_USDA'!C801</f>
        <v>28640</v>
      </c>
      <c r="C5" s="7">
        <f>'Donnees_USDA'!C601</f>
        <v>135508</v>
      </c>
      <c r="D5" s="7">
        <f>'Donnees_USDA'!C701</f>
        <v>116972</v>
      </c>
      <c r="E5" s="9">
        <f>B5/C5</f>
        <v>0.211352835256959</v>
      </c>
      <c r="F5" s="8">
        <f>B5/(C5+D5)</f>
        <v>0.11343472750316856</v>
      </c>
      <c r="G5" s="10">
        <f>'Prix_ICE'!J5</f>
        <v>249.65999999999997</v>
      </c>
      <c r="H5" s="10">
        <f>'Prix_ICE'!K5</f>
        <v>100.65583333333332</v>
      </c>
      <c r="I5" s="7">
        <f>'Prix_ICE'!L5</f>
        <v>2219.0812700161664</v>
      </c>
    </row>
    <row r="6">
      <c r="A6" s="5" t="s">
        <v>36</v>
      </c>
      <c r="B6" s="7">
        <f>'Donnees_USDA'!D801</f>
        <v>25748</v>
      </c>
      <c r="C6" s="7">
        <f>'Donnees_USDA'!D601</f>
        <v>142831</v>
      </c>
      <c r="D6" s="7">
        <f>'Donnees_USDA'!D701</f>
        <v>118031</v>
      </c>
      <c r="E6" s="9">
        <f>B6/C6</f>
        <v>0.18026898922502818</v>
      </c>
      <c r="F6" s="8">
        <f>B6/(C6+D6)</f>
        <v>0.09870352906900967</v>
      </c>
      <c r="G6" s="10">
        <f>'Prix_ICE'!J6</f>
        <v>197.8416666666667</v>
      </c>
      <c r="H6" s="10">
        <f>'Prix_ICE'!K6</f>
        <v>91.38416666666667</v>
      </c>
      <c r="I6" s="7">
        <f>'Prix_ICE'!L6</f>
        <v>2014.6760094318333</v>
      </c>
    </row>
    <row r="7">
      <c r="A7" s="5" t="s">
        <v>37</v>
      </c>
      <c r="B7" s="7">
        <f>'Donnees_USDA'!E801</f>
        <v>35365</v>
      </c>
      <c r="C7" s="7">
        <f>'Donnees_USDA'!E601</f>
        <v>143400</v>
      </c>
      <c r="D7" s="7">
        <f>'Donnees_USDA'!E701</f>
        <v>123239</v>
      </c>
      <c r="E7" s="9">
        <f>B7/C7</f>
        <v>0.24661785216178522</v>
      </c>
      <c r="F7" s="8">
        <f>B7/(C7+D7)</f>
        <v>0.13263251062297712</v>
      </c>
      <c r="G7" s="10">
        <f>'Prix_ICE'!J7</f>
        <v>140.69833333333332</v>
      </c>
      <c r="H7" s="10">
        <f>'Prix_ICE'!K7</f>
        <v>88.48083333333334</v>
      </c>
      <c r="I7" s="7">
        <f>'Prix_ICE'!L7</f>
        <v>1950.6684660311666</v>
      </c>
    </row>
    <row r="8">
      <c r="A8" s="5" t="s">
        <v>38</v>
      </c>
      <c r="B8" s="7">
        <f>'Donnees_USDA'!F801</f>
        <v>41184</v>
      </c>
      <c r="C8" s="7">
        <f>'Donnees_USDA'!F601</f>
        <v>143877</v>
      </c>
      <c r="D8" s="7">
        <f>'Donnees_USDA'!F701</f>
        <v>129260</v>
      </c>
      <c r="E8" s="9">
        <f>B8/C8</f>
        <v>0.28624450051085304</v>
      </c>
      <c r="F8" s="8">
        <f>B8/(C8+D8)</f>
        <v>0.15078147596261218</v>
      </c>
      <c r="G8" s="10">
        <f>'Prix_ICE'!J8</f>
        <v>161.4675</v>
      </c>
      <c r="H8" s="10">
        <f>'Prix_ICE'!K8</f>
        <v>85.87416666666667</v>
      </c>
      <c r="I8" s="7">
        <f>'Prix_ICE'!L8</f>
        <v>1893.2013030698333</v>
      </c>
    </row>
    <row r="9">
      <c r="A9" s="5" t="s">
        <v>39</v>
      </c>
      <c r="B9" s="7">
        <f>'Donnees_USDA'!G801</f>
        <v>43132</v>
      </c>
      <c r="C9" s="7">
        <f>'Donnees_USDA'!G601</f>
        <v>147163</v>
      </c>
      <c r="D9" s="7">
        <f>'Donnees_USDA'!G701</f>
        <v>124027</v>
      </c>
      <c r="E9" s="9">
        <f>B9/C9</f>
        <v>0.29308997506166634</v>
      </c>
      <c r="F9" s="8">
        <f>B9/(C9+D9)</f>
        <v>0.1590471625059921</v>
      </c>
      <c r="G9" s="10">
        <f>'Prix_ICE'!J9</f>
        <v>154.02083333333334</v>
      </c>
      <c r="H9" s="10">
        <f>'Prix_ICE'!K9</f>
        <v>83.91083333333333</v>
      </c>
      <c r="I9" s="7">
        <f>'Prix_ICE'!L9</f>
        <v>1849.9172122971665</v>
      </c>
    </row>
    <row r="10">
      <c r="A10" s="5" t="s">
        <v>40</v>
      </c>
      <c r="B10" s="7">
        <f>'Donnees_USDA'!H801</f>
        <v>34951</v>
      </c>
      <c r="C10" s="7">
        <f>'Donnees_USDA'!H601</f>
        <v>153186</v>
      </c>
      <c r="D10" s="7">
        <f>'Donnees_USDA'!H701</f>
        <v>133845</v>
      </c>
      <c r="E10" s="9">
        <f>B10/C10</f>
        <v>0.22816053686368207</v>
      </c>
      <c r="F10" s="8">
        <f>B10/(C10+D10)</f>
        <v>0.12176733523556689</v>
      </c>
      <c r="G10" s="10">
        <f>'Prix_ICE'!J10</f>
        <v>131.83249999999998</v>
      </c>
      <c r="H10" s="10">
        <f>'Prix_ICE'!K10</f>
        <v>74.06833333333334</v>
      </c>
      <c r="I10" s="7">
        <f>'Prix_ICE'!L10</f>
        <v>1632.9272309236667</v>
      </c>
    </row>
    <row r="11">
      <c r="A11" s="5" t="s">
        <v>41</v>
      </c>
      <c r="B11" s="7">
        <f>'Donnees_USDA'!I801</f>
        <v>36453</v>
      </c>
      <c r="C11" s="7">
        <f>'Donnees_USDA'!I601</f>
        <v>155104</v>
      </c>
      <c r="D11" s="7">
        <f>'Donnees_USDA'!I701</f>
        <v>133606</v>
      </c>
      <c r="E11" s="9">
        <f>B11/C11</f>
        <v>0.23502295234165463</v>
      </c>
      <c r="F11" s="8">
        <f>B11/(C11+D11)</f>
        <v>0.1262616466350317</v>
      </c>
      <c r="G11" s="10">
        <f>'Prix_ICE'!J11</f>
        <v>143.7716666666667</v>
      </c>
      <c r="H11" s="10">
        <f>'Prix_ICE'!K11</f>
        <v>95.12333333333335</v>
      </c>
      <c r="I11" s="7">
        <f>'Prix_ICE'!L11</f>
        <v>2097.110523564667</v>
      </c>
    </row>
    <row r="12">
      <c r="A12" s="5" t="s">
        <v>42</v>
      </c>
      <c r="B12" s="7">
        <f>'Donnees_USDA'!J801</f>
        <v>31951</v>
      </c>
      <c r="C12" s="7">
        <f>'Donnees_USDA'!J601</f>
        <v>160627</v>
      </c>
      <c r="D12" s="7">
        <f>'Donnees_USDA'!J701</f>
        <v>134174</v>
      </c>
      <c r="E12" s="9">
        <f>B12/C12</f>
        <v>0.198914254764143</v>
      </c>
      <c r="F12" s="8">
        <f>B12/(C12+D12)</f>
        <v>0.10838158622257048</v>
      </c>
      <c r="G12" s="10">
        <f>'Prix_ICE'!J12</f>
        <v>120.60083333333334</v>
      </c>
      <c r="H12" s="10">
        <f>'Prix_ICE'!K12</f>
        <v>78.28500000000001</v>
      </c>
      <c r="I12" s="7">
        <f>'Prix_ICE'!L12</f>
        <v>1725.8888180669999</v>
      </c>
    </row>
    <row r="13">
      <c r="A13" s="5" t="s">
        <v>43</v>
      </c>
      <c r="B13" s="7">
        <f>'Donnees_USDA'!K801</f>
        <v>36946</v>
      </c>
      <c r="C13" s="7">
        <f>'Donnees_USDA'!K601</f>
        <v>166003</v>
      </c>
      <c r="D13" s="7">
        <f>'Donnees_USDA'!K701</f>
        <v>143364</v>
      </c>
      <c r="E13" s="9">
        <f>B13/C13</f>
        <v>0.22256224285103282</v>
      </c>
      <c r="F13" s="8">
        <f>B13/(C13+D13)</f>
        <v>0.11942450229016023</v>
      </c>
      <c r="G13" s="10">
        <f>'Prix_ICE'!J13</f>
        <v>104.98083333333334</v>
      </c>
      <c r="H13" s="10">
        <f>'Prix_ICE'!K13</f>
        <v>67.53249999999998</v>
      </c>
      <c r="I13" s="7">
        <f>'Prix_ICE'!L13</f>
        <v>1488.8367708514998</v>
      </c>
    </row>
    <row r="14">
      <c r="A14" s="5" t="s">
        <v>44</v>
      </c>
      <c r="B14" s="7">
        <f>'Donnees_USDA'!L801</f>
        <v>35808</v>
      </c>
      <c r="C14" s="7">
        <f>'Donnees_USDA'!L601</f>
        <v>162355</v>
      </c>
      <c r="D14" s="7">
        <f>'Donnees_USDA'!L701</f>
        <v>139001</v>
      </c>
      <c r="E14" s="9">
        <f>B14/C14</f>
        <v>0.22055372486218472</v>
      </c>
      <c r="F14" s="8">
        <f>B14/(C14+D14)</f>
        <v>0.11882292039979293</v>
      </c>
      <c r="G14" s="10">
        <f>'Prix_ICE'!J14</f>
        <v>113.23666666666666</v>
      </c>
      <c r="H14" s="10">
        <f>'Prix_ICE'!K14</f>
        <v>59.22083333333333</v>
      </c>
      <c r="I14" s="7">
        <f>'Prix_ICE'!L14</f>
        <v>1305.5958874191667</v>
      </c>
    </row>
    <row r="15">
      <c r="A15" s="5" t="s">
        <v>45</v>
      </c>
      <c r="B15" s="7">
        <f>'Donnees_USDA'!M801</f>
        <v>37494</v>
      </c>
      <c r="C15" s="7">
        <f>'Donnees_USDA'!M601</f>
        <v>162093</v>
      </c>
      <c r="D15" s="7">
        <f>'Donnees_USDA'!M701</f>
        <v>144941</v>
      </c>
      <c r="E15" s="9">
        <f>B15/C15</f>
        <v>0.23131165442061039</v>
      </c>
      <c r="F15" s="8">
        <f>B15/(C15+D15)</f>
        <v>0.12211676882690517</v>
      </c>
      <c r="G15" s="10">
        <f>'Prix_ICE'!J15</f>
        <v>143.75333333333336</v>
      </c>
      <c r="H15" s="10">
        <f>'Prix_ICE'!K15</f>
        <v>69.89583333333333</v>
      </c>
      <c r="I15" s="7">
        <f>'Prix_ICE'!L15</f>
        <v>1540.9393521041666</v>
      </c>
    </row>
    <row r="16">
      <c r="A16" s="5" t="s">
        <v>46</v>
      </c>
      <c r="B16" s="7">
        <f>'Donnees_USDA'!N801</f>
        <v>31940</v>
      </c>
      <c r="C16" s="7">
        <f>'Donnees_USDA'!N601</f>
        <v>167876</v>
      </c>
      <c r="D16" s="7">
        <f>'Donnees_USDA'!N701</f>
        <v>143583</v>
      </c>
      <c r="E16" s="9">
        <f>B16/C16</f>
        <v>0.19025947723319592</v>
      </c>
      <c r="F16" s="8">
        <f>B16/(C16+D16)</f>
        <v>0.10254961327173079</v>
      </c>
      <c r="G16" s="10">
        <f>'Prix_ICE'!J16</f>
        <v>224.0875</v>
      </c>
      <c r="H16" s="10">
        <f>'Prix_ICE'!K16</f>
        <v>97.52916666666668</v>
      </c>
      <c r="I16" s="7">
        <f>'Prix_ICE'!L16</f>
        <v>2150.1500694308334</v>
      </c>
    </row>
    <row r="17">
      <c r="A17" s="5" t="s">
        <v>47</v>
      </c>
      <c r="B17" s="7">
        <f>'Donnees_USDA'!O801</f>
        <v>26934</v>
      </c>
      <c r="C17" s="7">
        <f>'Donnees_USDA'!O601</f>
        <v>168754</v>
      </c>
      <c r="D17" s="7">
        <f>'Donnees_USDA'!O701</f>
        <v>134699</v>
      </c>
      <c r="E17" s="9">
        <f>B17/C17</f>
        <v>0.15960510565675481</v>
      </c>
      <c r="F17" s="8">
        <f>B17/(C17+D17)</f>
        <v>0.08875839092050498</v>
      </c>
      <c r="G17" s="10">
        <f>'Prix_ICE'!J17</f>
        <v>171.18999999999997</v>
      </c>
      <c r="H17" s="10">
        <f>'Prix_ICE'!K17</f>
        <v>100.565</v>
      </c>
      <c r="I17" s="7">
        <f>'Prix_ICE'!L17</f>
        <v>2217.078737803</v>
      </c>
    </row>
    <row r="18">
      <c r="A18" s="5" t="s">
        <v>48</v>
      </c>
      <c r="B18" s="7">
        <f>'Donnees_USDA'!P801</f>
        <v>23121</v>
      </c>
      <c r="C18" s="7">
        <f>'Donnees_USDA'!P601</f>
        <v>163944</v>
      </c>
      <c r="D18" s="7">
        <f>'Donnees_USDA'!P701</f>
        <v>143474</v>
      </c>
      <c r="E18" s="9">
        <f>B18/C18</f>
        <v>0.14102986385595082</v>
      </c>
      <c r="F18" s="8">
        <f>B18/(C18+D18)</f>
        <v>0.07521029998243434</v>
      </c>
      <c r="G18" s="10">
        <f>'Prix_ICE'!J18</f>
        <v>204.00166666666667</v>
      </c>
      <c r="H18" s="10">
        <f>'Prix_ICE'!K18</f>
        <v>158.95000000000002</v>
      </c>
      <c r="I18" s="7">
        <f>'Prix_ICE'!L18</f>
        <v>3504.24765449</v>
      </c>
    </row>
    <row r="19">
      <c r="A19" s="5" t="s">
        <v>49</v>
      </c>
      <c r="B19" s="7">
        <f>'Donnees_USDA'!Q801</f>
        <v>22010</v>
      </c>
      <c r="C19" s="7">
        <f>'Donnees_USDA'!Q601</f>
        <v>171761</v>
      </c>
      <c r="D19" s="7">
        <f>'Donnees_USDA'!Q701</f>
        <v>147746</v>
      </c>
      <c r="E19" s="9">
        <f>B19/C19</f>
        <v>0.1281431756918043</v>
      </c>
      <c r="F19" s="8">
        <f>B19/(C19+D19)</f>
        <v>0.06888737961922586</v>
      </c>
      <c r="G19" s="10">
        <f>'Prix_ICE'!J19</f>
        <v>333.06</v>
      </c>
      <c r="H19" s="10">
        <f>'Prix_ICE'!K19</f>
        <v>213.2675</v>
      </c>
      <c r="I19" s="7">
        <f>'Prix_ICE'!L19</f>
        <v>4701.7435461085</v>
      </c>
    </row>
    <row r="20">
      <c r="A20" s="5" t="s">
        <v>50</v>
      </c>
      <c r="B20" s="7">
        <f>'Donnees_USDA'!R801</f>
        <v>24370</v>
      </c>
      <c r="C20" s="7">
        <f>'Donnees_USDA'!R601</f>
        <v>173459</v>
      </c>
      <c r="D20" s="7">
        <f>'Donnees_USDA'!R701</f>
        <v>145942</v>
      </c>
      <c r="E20" s="9">
        <f>B20/C20</f>
        <v>0.14049429548192946</v>
      </c>
      <c r="F20" s="8">
        <f>B20/(C20+D20)</f>
        <v>0.07629907232601026</v>
      </c>
      <c r="G20" s="10">
        <f>'Prix_ICE'!J20</f>
        <v>312.21</v>
      </c>
      <c r="H20" s="10">
        <f>'Prix_ICE'!K20</f>
        <v>171.8418181818182</v>
      </c>
      <c r="I20" s="7">
        <f>'Prix_ICE'!L20</f>
        <v>3788.463594255636</v>
      </c>
    </row>
    <row r="21">
      <c r="A21" s="6" t="s">
        <v>51</v>
      </c>
      <c r="B21" s="7">
        <f>'Donnees_USDA'!S801</f>
        <v>26283</v>
      </c>
      <c r="C21" s="7">
        <f>'Donnees_USDA'!S601</f>
        <v>179736</v>
      </c>
      <c r="D21" s="7">
        <f>'Donnees_USDA'!S701</f>
        <v>158874</v>
      </c>
      <c r="E21" s="9">
        <f>B21/C21</f>
        <v>0.14623113900387236</v>
      </c>
      <c r="F21" s="8">
        <f>B21/(C21+D21)</f>
        <v>0.07762027110835475</v>
      </c>
      <c r="G21" s="10"/>
      <c r="H21" s="10"/>
      <c r="I21" s="10"/>
    </row>
    <row r="24">
      <c r="A24" s="23" t="s">
        <v>52</v>
      </c>
    </row>
    <row r="28">
      <c r="A28" s="23" t="s">
        <v>53</v>
      </c>
    </row>
  </sheetData>
  <mergeCells count="2">
    <mergeCell ref="A24:I26"/>
    <mergeCell ref="A28:I30"/>
  </mergeCells>
  <pageMargins left="0.5" right="0.5"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sheetPr>
    <tabColor rgb="FF8C5A2B"/>
  </sheetPr>
  <dimension ref="A1:I21"/>
  <sheetViews>
    <sheetView showGridLines="0" workbookViewId="0"/>
  </sheetViews>
  <sheetFormatPr defaultRowHeight="12.75"/>
  <cols>
    <col min="1" max="1" width="13" customWidth="1"/>
    <col min="2" max="2" width="12" customWidth="1"/>
    <col min="3" max="3" width="12" customWidth="1"/>
    <col min="4" max="4" width="10" customWidth="1"/>
    <col min="5" max="5" width="12" customWidth="1"/>
    <col min="6" max="6" width="12" customWidth="1"/>
    <col min="7" max="7" width="10" customWidth="1"/>
    <col min="8" max="8" width="10" customWidth="1"/>
    <col min="9" max="9" width="10" customWidth="1"/>
    <col min="10" max="10" width="2" customWidth="1"/>
  </cols>
  <sheetData>
    <row r="1" ht="20" customHeight="1">
      <c r="A1" s="1" t="s">
        <v>54</v>
      </c>
    </row>
    <row r="2">
      <c r="A2" s="2" t="s">
        <v>55</v>
      </c>
    </row>
    <row r="3">
      <c r="A3" s="2" t="s">
        <v>56</v>
      </c>
    </row>
    <row r="4" ht="48" customHeight="1">
      <c r="A4" s="3" t="s">
        <v>26</v>
      </c>
      <c r="B4" s="3" t="s">
        <v>57</v>
      </c>
      <c r="C4" s="3" t="s">
        <v>58</v>
      </c>
      <c r="D4" s="3" t="s">
        <v>59</v>
      </c>
      <c r="E4" s="3" t="s">
        <v>60</v>
      </c>
      <c r="F4" s="3" t="s">
        <v>61</v>
      </c>
      <c r="G4" s="3" t="s">
        <v>62</v>
      </c>
      <c r="H4" s="3" t="s">
        <v>32</v>
      </c>
      <c r="I4" s="3" t="s">
        <v>34</v>
      </c>
    </row>
    <row r="5">
      <c r="A5" s="5" t="s">
        <v>35</v>
      </c>
      <c r="B5" s="7">
        <f>SUMPRODUCT('Donnees_USDA'!C706:C752,'Donnees_USDA'!C806:C852)</f>
        <v>9293.21654429327</v>
      </c>
      <c r="C5" s="7">
        <f>SUMPRODUCT('Donnees_USDA'!C506:C552,'Donnees_USDA'!C806:C852)+SUMPRODUCT('Donnees_USDA'!C606:C652,'Donnees_USDA'!C806:C852)</f>
        <v>116870.23597528358</v>
      </c>
      <c r="D5" s="9">
        <f>B5/C5</f>
        <v>0.0795173935154769</v>
      </c>
      <c r="E5" s="7">
        <f>SUMPRODUCT('Donnees_USDA'!C706:C752,'Donnees_USDA'!C906:C952)</f>
        <v>3936.7834557067326</v>
      </c>
      <c r="F5" s="7">
        <f>SUMPRODUCT('Donnees_USDA'!C506:C552,'Donnees_USDA'!C906:C952)+SUMPRODUCT('Donnees_USDA'!C606:C652,'Donnees_USDA'!C906:C952)</f>
        <v>61324.764024716416</v>
      </c>
      <c r="G5" s="9">
        <f>E5/F5</f>
        <v>0.06419565600154688</v>
      </c>
      <c r="H5" s="10">
        <f>'Prix_ICE'!J5</f>
        <v>249.65999999999997</v>
      </c>
      <c r="I5" s="7">
        <f>'Prix_ICE'!L5</f>
        <v>2219.0812700161664</v>
      </c>
    </row>
    <row r="6">
      <c r="A6" s="5" t="s">
        <v>36</v>
      </c>
      <c r="B6" s="7">
        <f>SUMPRODUCT('Donnees_USDA'!D706:D752,'Donnees_USDA'!D806:D852)</f>
        <v>9586.953800369993</v>
      </c>
      <c r="C6" s="7">
        <f>SUMPRODUCT('Donnees_USDA'!D506:D552,'Donnees_USDA'!D806:D852)+SUMPRODUCT('Donnees_USDA'!D606:D652,'Donnees_USDA'!D806:D852)</f>
        <v>114087.82052227549</v>
      </c>
      <c r="D6" s="9">
        <f>B6/C6</f>
        <v>0.08403135195748745</v>
      </c>
      <c r="E6" s="7">
        <f>SUMPRODUCT('Donnees_USDA'!D706:D752,'Donnees_USDA'!D906:D952)</f>
        <v>3621.0461996300082</v>
      </c>
      <c r="F6" s="7">
        <f>SUMPRODUCT('Donnees_USDA'!D506:D552,'Donnees_USDA'!D906:D952)+SUMPRODUCT('Donnees_USDA'!D606:D652,'Donnees_USDA'!D906:D952)</f>
        <v>68249.17947772451</v>
      </c>
      <c r="G6" s="9">
        <f>E6/F6</f>
        <v>0.05305625983110702</v>
      </c>
      <c r="H6" s="10">
        <f>'Prix_ICE'!J6</f>
        <v>197.8416666666667</v>
      </c>
      <c r="I6" s="7">
        <f>'Prix_ICE'!L6</f>
        <v>2014.6760094318333</v>
      </c>
    </row>
    <row r="7">
      <c r="A7" s="5" t="s">
        <v>37</v>
      </c>
      <c r="B7" s="7">
        <f>SUMPRODUCT('Donnees_USDA'!E706:E752,'Donnees_USDA'!E806:E852)</f>
        <v>15040.255404935211</v>
      </c>
      <c r="C7" s="7">
        <f>SUMPRODUCT('Donnees_USDA'!E506:E552,'Donnees_USDA'!E806:E852)+SUMPRODUCT('Donnees_USDA'!E606:E652,'Donnees_USDA'!E806:E852)</f>
        <v>117410.69346304731</v>
      </c>
      <c r="D7" s="9">
        <f>B7/C7</f>
        <v>0.1280995364333559</v>
      </c>
      <c r="E7" s="7">
        <f>SUMPRODUCT('Donnees_USDA'!E706:E752,'Donnees_USDA'!E906:E952)</f>
        <v>6499.744595064792</v>
      </c>
      <c r="F7" s="7">
        <f>SUMPRODUCT('Donnees_USDA'!E506:E552,'Donnees_USDA'!E906:E952)+SUMPRODUCT('Donnees_USDA'!E606:E652,'Donnees_USDA'!E906:E952)</f>
        <v>71613.30653695267</v>
      </c>
      <c r="G7" s="9">
        <f>E7/F7</f>
        <v>0.09076168814675391</v>
      </c>
      <c r="H7" s="10">
        <f>'Prix_ICE'!J7</f>
        <v>140.69833333333332</v>
      </c>
      <c r="I7" s="7">
        <f>'Prix_ICE'!L7</f>
        <v>1950.6684660311666</v>
      </c>
    </row>
    <row r="8">
      <c r="A8" s="5" t="s">
        <v>38</v>
      </c>
      <c r="B8" s="7">
        <f>SUMPRODUCT('Donnees_USDA'!F706:F752,'Donnees_USDA'!F806:F852)</f>
        <v>18263.419701653387</v>
      </c>
      <c r="C8" s="7">
        <f>SUMPRODUCT('Donnees_USDA'!F506:F552,'Donnees_USDA'!F806:F852)+SUMPRODUCT('Donnees_USDA'!F606:F652,'Donnees_USDA'!F806:F852)</f>
        <v>120683.67208002365</v>
      </c>
      <c r="D8" s="9">
        <f>B8/C8</f>
        <v>0.15133297973849494</v>
      </c>
      <c r="E8" s="7">
        <f>SUMPRODUCT('Donnees_USDA'!F706:F752,'Donnees_USDA'!F906:F952)</f>
        <v>7420.580298346611</v>
      </c>
      <c r="F8" s="7">
        <f>SUMPRODUCT('Donnees_USDA'!F506:F552,'Donnees_USDA'!F906:F952)+SUMPRODUCT('Donnees_USDA'!F606:F652,'Donnees_USDA'!F906:F952)</f>
        <v>75203.32791997636</v>
      </c>
      <c r="G8" s="9">
        <f>E8/F8</f>
        <v>0.09867356277428078</v>
      </c>
      <c r="H8" s="10">
        <f>'Prix_ICE'!J8</f>
        <v>161.4675</v>
      </c>
      <c r="I8" s="7">
        <f>'Prix_ICE'!L8</f>
        <v>1893.2013030698333</v>
      </c>
    </row>
    <row r="9">
      <c r="A9" s="5" t="s">
        <v>39</v>
      </c>
      <c r="B9" s="7">
        <f>SUMPRODUCT('Donnees_USDA'!G706:G752,'Donnees_USDA'!G806:G852)</f>
        <v>15901.178832232623</v>
      </c>
      <c r="C9" s="7">
        <f>SUMPRODUCT('Donnees_USDA'!G506:G552,'Donnees_USDA'!G806:G852)+SUMPRODUCT('Donnees_USDA'!G606:G652,'Donnees_USDA'!G806:G852)</f>
        <v>118555.70048474033</v>
      </c>
      <c r="D9" s="9">
        <f>B9/C9</f>
        <v>0.1341241185975643</v>
      </c>
      <c r="E9" s="7">
        <f>SUMPRODUCT('Donnees_USDA'!G706:G752,'Donnees_USDA'!G906:G952)</f>
        <v>11655.821167767377</v>
      </c>
      <c r="F9" s="7">
        <f>SUMPRODUCT('Donnees_USDA'!G506:G552,'Donnees_USDA'!G906:G952)+SUMPRODUCT('Donnees_USDA'!G606:G652,'Donnees_USDA'!G906:G952)</f>
        <v>72984.29951525966</v>
      </c>
      <c r="G9" s="9">
        <f>E9/F9</f>
        <v>0.15970313129237285</v>
      </c>
      <c r="H9" s="10">
        <f>'Prix_ICE'!J9</f>
        <v>154.02083333333334</v>
      </c>
      <c r="I9" s="7">
        <f>'Prix_ICE'!L9</f>
        <v>1849.9172122971665</v>
      </c>
    </row>
    <row r="10">
      <c r="A10" s="5" t="s">
        <v>40</v>
      </c>
      <c r="B10" s="7">
        <f>SUMPRODUCT('Donnees_USDA'!H706:H752,'Donnees_USDA'!H806:H852)</f>
        <v>11773.585643269449</v>
      </c>
      <c r="C10" s="7">
        <f>SUMPRODUCT('Donnees_USDA'!H506:H552,'Donnees_USDA'!H806:H852)+SUMPRODUCT('Donnees_USDA'!H606:H652,'Donnees_USDA'!H806:H852)</f>
        <v>123881.16460637012</v>
      </c>
      <c r="D10" s="9">
        <f>B10/C10</f>
        <v>0.09503935227505955</v>
      </c>
      <c r="E10" s="7">
        <f>SUMPRODUCT('Donnees_USDA'!H706:H752,'Donnees_USDA'!H906:H952)</f>
        <v>7592.41435673055</v>
      </c>
      <c r="F10" s="7">
        <f>SUMPRODUCT('Donnees_USDA'!H506:H552,'Donnees_USDA'!H906:H952)+SUMPRODUCT('Donnees_USDA'!H606:H652,'Donnees_USDA'!H906:H952)</f>
        <v>80920.83539362988</v>
      </c>
      <c r="G10" s="9">
        <f>E10/F10</f>
        <v>0.09382520978432989</v>
      </c>
      <c r="H10" s="10">
        <f>'Prix_ICE'!J10</f>
        <v>131.83249999999998</v>
      </c>
      <c r="I10" s="7">
        <f>'Prix_ICE'!L10</f>
        <v>1632.9272309236667</v>
      </c>
    </row>
    <row r="11">
      <c r="A11" s="5" t="s">
        <v>41</v>
      </c>
      <c r="B11" s="7">
        <f>SUMPRODUCT('Donnees_USDA'!I706:I752,'Donnees_USDA'!I806:I852)</f>
        <v>13683.019007335188</v>
      </c>
      <c r="C11" s="7">
        <f>SUMPRODUCT('Donnees_USDA'!I506:I552,'Donnees_USDA'!I806:I852)+SUMPRODUCT('Donnees_USDA'!I606:I652,'Donnees_USDA'!I806:I852)</f>
        <v>132742.8150610327</v>
      </c>
      <c r="D11" s="9">
        <f>B11/C11</f>
        <v>0.10307916854892664</v>
      </c>
      <c r="E11" s="7">
        <f>SUMPRODUCT('Donnees_USDA'!I706:I752,'Donnees_USDA'!I906:I952)</f>
        <v>5564.980992664813</v>
      </c>
      <c r="F11" s="7">
        <f>SUMPRODUCT('Donnees_USDA'!I506:I552,'Donnees_USDA'!I906:I952)+SUMPRODUCT('Donnees_USDA'!I606:I652,'Donnees_USDA'!I906:I952)</f>
        <v>73013.18493896732</v>
      </c>
      <c r="G11" s="9">
        <f>E11/F11</f>
        <v>0.076218850024371</v>
      </c>
      <c r="H11" s="10">
        <f>'Prix_ICE'!J11</f>
        <v>143.7716666666667</v>
      </c>
      <c r="I11" s="7">
        <f>'Prix_ICE'!L11</f>
        <v>2097.110523564667</v>
      </c>
    </row>
    <row r="12">
      <c r="A12" s="5" t="s">
        <v>42</v>
      </c>
      <c r="B12" s="7">
        <f>SUMPRODUCT('Donnees_USDA'!J706:J752,'Donnees_USDA'!J806:J852)</f>
        <v>12243.909088380504</v>
      </c>
      <c r="C12" s="7">
        <f>SUMPRODUCT('Donnees_USDA'!J506:J552,'Donnees_USDA'!J806:J852)+SUMPRODUCT('Donnees_USDA'!J606:J652,'Donnees_USDA'!J806:J852)</f>
        <v>128761.48506367371</v>
      </c>
      <c r="D12" s="9">
        <f>B12/C12</f>
        <v>0.09508984058645938</v>
      </c>
      <c r="E12" s="7">
        <f>SUMPRODUCT('Donnees_USDA'!J706:J752,'Donnees_USDA'!J906:J952)</f>
        <v>3413.0909116194985</v>
      </c>
      <c r="F12" s="7">
        <f>SUMPRODUCT('Donnees_USDA'!J506:J552,'Donnees_USDA'!J906:J952)+SUMPRODUCT('Donnees_USDA'!J606:J652,'Donnees_USDA'!J906:J952)</f>
        <v>78988.51493632629</v>
      </c>
      <c r="G12" s="9">
        <f>E12/F12</f>
        <v>0.04320996431406309</v>
      </c>
      <c r="H12" s="10">
        <f>'Prix_ICE'!J12</f>
        <v>120.60083333333334</v>
      </c>
      <c r="I12" s="7">
        <f>'Prix_ICE'!L12</f>
        <v>1725.8888180669999</v>
      </c>
    </row>
    <row r="13">
      <c r="A13" s="5" t="s">
        <v>43</v>
      </c>
      <c r="B13" s="7">
        <f>SUMPRODUCT('Donnees_USDA'!K706:K752,'Donnees_USDA'!K806:K852)</f>
        <v>13528.244889078027</v>
      </c>
      <c r="C13" s="7">
        <f>SUMPRODUCT('Donnees_USDA'!K506:K552,'Donnees_USDA'!K806:K852)+SUMPRODUCT('Donnees_USDA'!K606:K652,'Donnees_USDA'!K806:K852)</f>
        <v>139660.50793003873</v>
      </c>
      <c r="D13" s="9">
        <f>B13/C13</f>
        <v>0.09686521329175489</v>
      </c>
      <c r="E13" s="7">
        <f>SUMPRODUCT('Donnees_USDA'!K706:K752,'Donnees_USDA'!K906:K952)</f>
        <v>5868.755110921973</v>
      </c>
      <c r="F13" s="7">
        <f>SUMPRODUCT('Donnees_USDA'!K506:K552,'Donnees_USDA'!K906:K952)+SUMPRODUCT('Donnees_USDA'!K606:K652,'Donnees_USDA'!K906:K952)</f>
        <v>81016.4920699613</v>
      </c>
      <c r="G13" s="9">
        <f>E13/F13</f>
        <v>0.07243901779719178</v>
      </c>
      <c r="H13" s="10">
        <f>'Prix_ICE'!J13</f>
        <v>104.98083333333334</v>
      </c>
      <c r="I13" s="7">
        <f>'Prix_ICE'!L13</f>
        <v>1488.8367708514998</v>
      </c>
    </row>
    <row r="14">
      <c r="A14" s="5" t="s">
        <v>44</v>
      </c>
      <c r="B14" s="7">
        <f>SUMPRODUCT('Donnees_USDA'!L706:L752,'Donnees_USDA'!L806:L852)</f>
        <v>11120.172308866673</v>
      </c>
      <c r="C14" s="7">
        <f>SUMPRODUCT('Donnees_USDA'!L506:L552,'Donnees_USDA'!L806:L852)+SUMPRODUCT('Donnees_USDA'!L606:L652,'Donnees_USDA'!L806:L852)</f>
        <v>129910.0312912851</v>
      </c>
      <c r="D14" s="9">
        <f>B14/C14</f>
        <v>0.08559902725242943</v>
      </c>
      <c r="E14" s="7">
        <f>SUMPRODUCT('Donnees_USDA'!L706:L752,'Donnees_USDA'!L906:L952)</f>
        <v>6752.827691133326</v>
      </c>
      <c r="F14" s="7">
        <f>SUMPRODUCT('Donnees_USDA'!L506:L552,'Donnees_USDA'!L906:L952)+SUMPRODUCT('Donnees_USDA'!L606:L652,'Donnees_USDA'!L906:L952)</f>
        <v>84897.9687087149</v>
      </c>
      <c r="G14" s="9">
        <f>E14/F14</f>
        <v>0.07954050955332384</v>
      </c>
      <c r="H14" s="10">
        <f>'Prix_ICE'!J14</f>
        <v>113.23666666666666</v>
      </c>
      <c r="I14" s="7">
        <f>'Prix_ICE'!L14</f>
        <v>1305.5958874191667</v>
      </c>
    </row>
    <row r="15">
      <c r="A15" s="5" t="s">
        <v>45</v>
      </c>
      <c r="B15" s="7">
        <f>SUMPRODUCT('Donnees_USDA'!M706:M752,'Donnees_USDA'!M806:M852)</f>
        <v>12831.579280660715</v>
      </c>
      <c r="C15" s="7">
        <f>SUMPRODUCT('Donnees_USDA'!M506:M552,'Donnees_USDA'!M806:M852)+SUMPRODUCT('Donnees_USDA'!M606:M652,'Donnees_USDA'!M806:M852)</f>
        <v>135351.22459868737</v>
      </c>
      <c r="D15" s="9">
        <f>B15/C15</f>
        <v>0.09480209225077935</v>
      </c>
      <c r="E15" s="7">
        <f>SUMPRODUCT('Donnees_USDA'!M706:M752,'Donnees_USDA'!M906:M952)</f>
        <v>8202.420719339285</v>
      </c>
      <c r="F15" s="7">
        <f>SUMPRODUCT('Donnees_USDA'!M506:M552,'Donnees_USDA'!M906:M952)+SUMPRODUCT('Donnees_USDA'!M606:M652,'Donnees_USDA'!M906:M952)</f>
        <v>84293.77540131263</v>
      </c>
      <c r="G15" s="9">
        <f>E15/F15</f>
        <v>0.09730754946362928</v>
      </c>
      <c r="H15" s="10">
        <f>'Prix_ICE'!J15</f>
        <v>143.75333333333336</v>
      </c>
      <c r="I15" s="7">
        <f>'Prix_ICE'!L15</f>
        <v>1540.9393521041666</v>
      </c>
    </row>
    <row r="16">
      <c r="A16" s="5" t="s">
        <v>46</v>
      </c>
      <c r="B16" s="7">
        <f>SUMPRODUCT('Donnees_USDA'!N706:N752,'Donnees_USDA'!N806:N852)</f>
        <v>9221.261132170866</v>
      </c>
      <c r="C16" s="7">
        <f>SUMPRODUCT('Donnees_USDA'!N506:N552,'Donnees_USDA'!N806:N852)+SUMPRODUCT('Donnees_USDA'!N606:N652,'Donnees_USDA'!N806:N852)</f>
        <v>127772.33373587791</v>
      </c>
      <c r="D16" s="9">
        <f>B16/C16</f>
        <v>0.07216946628862878</v>
      </c>
      <c r="E16" s="7">
        <f>SUMPRODUCT('Donnees_USDA'!N706:N752,'Donnees_USDA'!N906:N952)</f>
        <v>5820.738867829134</v>
      </c>
      <c r="F16" s="7">
        <f>SUMPRODUCT('Donnees_USDA'!N506:N552,'Donnees_USDA'!N906:N952)+SUMPRODUCT('Donnees_USDA'!N606:N652,'Donnees_USDA'!N906:N952)</f>
        <v>92911.66626412208</v>
      </c>
      <c r="G16" s="9">
        <f>E16/F16</f>
        <v>0.06264809471054354</v>
      </c>
      <c r="H16" s="10">
        <f>'Prix_ICE'!J16</f>
        <v>224.0875</v>
      </c>
      <c r="I16" s="7">
        <f>'Prix_ICE'!L16</f>
        <v>2150.1500694308334</v>
      </c>
    </row>
    <row r="17">
      <c r="A17" s="5" t="s">
        <v>47</v>
      </c>
      <c r="B17" s="7">
        <f>SUMPRODUCT('Donnees_USDA'!O706:O752,'Donnees_USDA'!O806:O852)</f>
        <v>10846.446892336608</v>
      </c>
      <c r="C17" s="7">
        <f>SUMPRODUCT('Donnees_USDA'!O506:O552,'Donnees_USDA'!O806:O852)+SUMPRODUCT('Donnees_USDA'!O606:O652,'Donnees_USDA'!O806:O852)</f>
        <v>120505.64879175925</v>
      </c>
      <c r="D17" s="9">
        <f>B17/C17</f>
        <v>0.09000778802560448</v>
      </c>
      <c r="E17" s="7">
        <f>SUMPRODUCT('Donnees_USDA'!O706:O752,'Donnees_USDA'!O906:O952)</f>
        <v>4257.553107663393</v>
      </c>
      <c r="F17" s="7">
        <f>SUMPRODUCT('Donnees_USDA'!O506:O552,'Donnees_USDA'!O906:O952)+SUMPRODUCT('Donnees_USDA'!O606:O652,'Donnees_USDA'!O906:O952)</f>
        <v>89475.35120824075</v>
      </c>
      <c r="G17" s="9">
        <f>E17/F17</f>
        <v>0.04758353054971042</v>
      </c>
      <c r="H17" s="10">
        <f>'Prix_ICE'!J17</f>
        <v>171.18999999999997</v>
      </c>
      <c r="I17" s="7">
        <f>'Prix_ICE'!L17</f>
        <v>2217.078737803</v>
      </c>
    </row>
    <row r="18">
      <c r="A18" s="5" t="s">
        <v>48</v>
      </c>
      <c r="B18" s="7">
        <f>SUMPRODUCT('Donnees_USDA'!P706:P752,'Donnees_USDA'!P806:P852)</f>
        <v>9357.90176101939</v>
      </c>
      <c r="C18" s="7">
        <f>SUMPRODUCT('Donnees_USDA'!P506:P552,'Donnees_USDA'!P806:P852)+SUMPRODUCT('Donnees_USDA'!P606:P652,'Donnees_USDA'!P806:P852)</f>
        <v>133041.86694052833</v>
      </c>
      <c r="D18" s="9">
        <f>B18/C18</f>
        <v>0.07033802197922034</v>
      </c>
      <c r="E18" s="7">
        <f>SUMPRODUCT('Donnees_USDA'!P706:P752,'Donnees_USDA'!P906:P952)</f>
        <v>2711.0982389806113</v>
      </c>
      <c r="F18" s="7">
        <f>SUMPRODUCT('Donnees_USDA'!P506:P552,'Donnees_USDA'!P906:P952)+SUMPRODUCT('Donnees_USDA'!P606:P652,'Donnees_USDA'!P906:P952)</f>
        <v>85766.13305947167</v>
      </c>
      <c r="G18" s="9">
        <f>E18/F18</f>
        <v>0.03161035880095807</v>
      </c>
      <c r="H18" s="10">
        <f>'Prix_ICE'!J18</f>
        <v>204.00166666666667</v>
      </c>
      <c r="I18" s="7">
        <f>'Prix_ICE'!L18</f>
        <v>3504.24765449</v>
      </c>
    </row>
    <row r="19">
      <c r="A19" s="5" t="s">
        <v>49</v>
      </c>
      <c r="B19" s="7">
        <f>SUMPRODUCT('Donnees_USDA'!Q706:Q752,'Donnees_USDA'!Q806:Q852)</f>
        <v>8829.214808572198</v>
      </c>
      <c r="C19" s="7">
        <f>SUMPRODUCT('Donnees_USDA'!Q506:Q552,'Donnees_USDA'!Q806:Q852)+SUMPRODUCT('Donnees_USDA'!Q606:Q652,'Donnees_USDA'!Q806:Q852)</f>
        <v>140002.10314164672</v>
      </c>
      <c r="D19" s="9">
        <f>B19/C19</f>
        <v>0.06306487267294311</v>
      </c>
      <c r="E19" s="7">
        <f>SUMPRODUCT('Donnees_USDA'!Q706:Q752,'Donnees_USDA'!Q906:Q952)</f>
        <v>2742.7851914278012</v>
      </c>
      <c r="F19" s="7">
        <f>SUMPRODUCT('Donnees_USDA'!Q506:Q552,'Donnees_USDA'!Q906:Q952)+SUMPRODUCT('Donnees_USDA'!Q606:Q652,'Donnees_USDA'!Q906:Q952)</f>
        <v>86159.89685835328</v>
      </c>
      <c r="G19" s="9">
        <f>E19/F19</f>
        <v>0.03183366382084852</v>
      </c>
      <c r="H19" s="10">
        <f>'Prix_ICE'!J19</f>
        <v>333.06</v>
      </c>
      <c r="I19" s="7">
        <f>'Prix_ICE'!L19</f>
        <v>4701.7435461085</v>
      </c>
    </row>
    <row r="20">
      <c r="A20" s="5" t="s">
        <v>50</v>
      </c>
      <c r="B20" s="7">
        <f>SUMPRODUCT('Donnees_USDA'!R706:R752,'Donnees_USDA'!R806:R852)</f>
        <v>10789.606775336924</v>
      </c>
      <c r="C20" s="7">
        <f>SUMPRODUCT('Donnees_USDA'!R506:R552,'Donnees_USDA'!R806:R852)+SUMPRODUCT('Donnees_USDA'!R606:R652,'Donnees_USDA'!R806:R852)</f>
        <v>130872.0319571878</v>
      </c>
      <c r="D20" s="9">
        <f>B20/C20</f>
        <v>0.08244394630371851</v>
      </c>
      <c r="E20" s="7">
        <f>SUMPRODUCT('Donnees_USDA'!R706:R752,'Donnees_USDA'!R906:R952)</f>
        <v>3880.393224663077</v>
      </c>
      <c r="F20" s="7">
        <f>SUMPRODUCT('Donnees_USDA'!R506:R552,'Donnees_USDA'!R906:R952)+SUMPRODUCT('Donnees_USDA'!R606:R652,'Donnees_USDA'!R906:R952)</f>
        <v>95265.96804281218</v>
      </c>
      <c r="G20" s="9">
        <f>E20/F20</f>
        <v>0.04073220798973294</v>
      </c>
      <c r="H20" s="10">
        <f>'Prix_ICE'!J20</f>
        <v>312.21</v>
      </c>
      <c r="I20" s="7">
        <f>'Prix_ICE'!L20</f>
        <v>3788.463594255636</v>
      </c>
    </row>
    <row r="21">
      <c r="A21" s="6" t="s">
        <v>51</v>
      </c>
      <c r="B21" s="7">
        <f>SUMPRODUCT('Donnees_USDA'!S706:S752,'Donnees_USDA'!S806:S852)</f>
        <v>11284.83347551055</v>
      </c>
      <c r="C21" s="7">
        <f>SUMPRODUCT('Donnees_USDA'!S506:S552,'Donnees_USDA'!S806:S852)+SUMPRODUCT('Donnees_USDA'!S606:S652,'Donnees_USDA'!S806:S852)</f>
        <v>145437.03312399308</v>
      </c>
      <c r="D21" s="9">
        <f>B21/C21</f>
        <v>0.0775925720781832</v>
      </c>
      <c r="E21" s="7">
        <f>SUMPRODUCT('Donnees_USDA'!S706:S752,'Donnees_USDA'!S906:S952)</f>
        <v>3398.166524489449</v>
      </c>
      <c r="F21" s="7">
        <f>SUMPRODUCT('Donnees_USDA'!S506:S552,'Donnees_USDA'!S906:S952)+SUMPRODUCT('Donnees_USDA'!S606:S652,'Donnees_USDA'!S906:S952)</f>
        <v>96607.96687600692</v>
      </c>
      <c r="G21" s="9">
        <f>E21/F21</f>
        <v>0.03517480632679996</v>
      </c>
      <c r="H21" s="10"/>
      <c r="I21" s="10"/>
    </row>
  </sheetData>
  <pageMargins left="0.5" right="0.5" top="0.75" bottom="0.75" header="0.3" footer="0.3"/>
  <pageSetup orientation="landscape"/>
  <drawing r:id="rId1"/>
</worksheet>
</file>

<file path=xl/worksheets/sheet4.xml><?xml version="1.0" encoding="utf-8"?>
<worksheet xmlns="http://schemas.openxmlformats.org/spreadsheetml/2006/main" xmlns:r="http://schemas.openxmlformats.org/officeDocument/2006/relationships">
  <sheetPr>
    <tabColor rgb="FF8C5A2B"/>
  </sheetPr>
  <dimension ref="A1:K21"/>
  <sheetViews>
    <sheetView showGridLines="0" workbookViewId="0"/>
  </sheetViews>
  <sheetFormatPr defaultRowHeight="12.75"/>
  <cols>
    <col min="1" max="1" width="13" customWidth="1"/>
    <col min="2" max="2" width="11" customWidth="1"/>
    <col min="3" max="3" width="12" customWidth="1"/>
    <col min="4" max="4" width="10" customWidth="1"/>
    <col min="5" max="5" width="11" customWidth="1"/>
    <col min="6" max="6" width="12" customWidth="1"/>
    <col min="7" max="7" width="10" customWidth="1"/>
    <col min="8" max="8" width="10" customWidth="1"/>
    <col min="9" max="9" width="10" customWidth="1"/>
    <col min="10" max="10" width="12" customWidth="1"/>
    <col min="11" max="11" width="12" customWidth="1"/>
    <col min="12" max="12" width="2" customWidth="1"/>
  </cols>
  <sheetData>
    <row r="1" ht="20" customHeight="1">
      <c r="A1" s="1" t="s">
        <v>63</v>
      </c>
    </row>
    <row r="2">
      <c r="A2" s="2" t="s">
        <v>64</v>
      </c>
    </row>
    <row r="3">
      <c r="A3" s="2" t="s">
        <v>65</v>
      </c>
    </row>
    <row r="4" ht="48" customHeight="1">
      <c r="A4" s="3" t="s">
        <v>26</v>
      </c>
      <c r="B4" s="3" t="s">
        <v>66</v>
      </c>
      <c r="C4" s="3" t="s">
        <v>67</v>
      </c>
      <c r="D4" s="3" t="s">
        <v>68</v>
      </c>
      <c r="E4" s="3" t="s">
        <v>69</v>
      </c>
      <c r="F4" s="3" t="s">
        <v>70</v>
      </c>
      <c r="G4" s="3" t="s">
        <v>71</v>
      </c>
      <c r="H4" s="3" t="s">
        <v>32</v>
      </c>
      <c r="I4" s="3" t="s">
        <v>34</v>
      </c>
      <c r="J4" s="3" t="s">
        <v>72</v>
      </c>
      <c r="K4" s="3" t="s">
        <v>73</v>
      </c>
    </row>
    <row r="5">
      <c r="A5" s="5" t="s">
        <v>35</v>
      </c>
      <c r="B5" s="7">
        <f>'Donnees_USDA'!C706*'Donnees_USDA'!C806+'Donnees_USDA'!C708*'Donnees_USDA'!C808+'Donnees_USDA'!C713*'Donnees_USDA'!C813+'Donnees_USDA'!C709*'Donnees_USDA'!C809+'Donnees_USDA'!C714*'Donnees_USDA'!C814+'Donnees_USDA'!C715*'Donnees_USDA'!C815+'Donnees_USDA'!C716*'Donnees_USDA'!C816+'Donnees_USDA'!C722*'Donnees_USDA'!C822</f>
        <v>3102.7735335001394</v>
      </c>
      <c r="C5" s="7">
        <f>('Donnees_USDA'!C506+'Donnees_USDA'!C606)*'Donnees_USDA'!C806+('Donnees_USDA'!C508+'Donnees_USDA'!C608)*'Donnees_USDA'!C808+('Donnees_USDA'!C513+'Donnees_USDA'!C613)*'Donnees_USDA'!C813+('Donnees_USDA'!C509+'Donnees_USDA'!C609)*'Donnees_USDA'!C809+('Donnees_USDA'!C514+'Donnees_USDA'!C614)*'Donnees_USDA'!C814+('Donnees_USDA'!C515+'Donnees_USDA'!C615)*'Donnees_USDA'!C815+('Donnees_USDA'!C516+'Donnees_USDA'!C616)*'Donnees_USDA'!C816+('Donnees_USDA'!C522+'Donnees_USDA'!C622)*'Donnees_USDA'!C822</f>
        <v>76339.8321286257</v>
      </c>
      <c r="D5" s="9">
        <f>B5/C5</f>
        <v>0.04064422788187754</v>
      </c>
      <c r="E5" s="7">
        <f>'Donnees_USDA'!C706*'Donnees_USDA'!C906+'Donnees_USDA'!C707*'Donnees_USDA'!C907+'Donnees_USDA'!C710*'Donnees_USDA'!C910+'Donnees_USDA'!C711*'Donnees_USDA'!C911</f>
        <v>2011.2506059488014</v>
      </c>
      <c r="F5" s="7">
        <f>('Donnees_USDA'!C506+'Donnees_USDA'!C606)*'Donnees_USDA'!C906+('Donnees_USDA'!C507+'Donnees_USDA'!C607)*'Donnees_USDA'!C907+('Donnees_USDA'!C510+'Donnees_USDA'!C610)*'Donnees_USDA'!C910+('Donnees_USDA'!C511+'Donnees_USDA'!C611)*'Donnees_USDA'!C911</f>
        <v>44332.21280303018</v>
      </c>
      <c r="G5" s="9">
        <f>E5/F5</f>
        <v>0.045367701695488774</v>
      </c>
      <c r="H5" s="10">
        <f>'Prix_ICE'!J5</f>
        <v>249.65999999999997</v>
      </c>
      <c r="I5" s="7">
        <f>'Prix_ICE'!L5</f>
        <v>2219.0812700161664</v>
      </c>
      <c r="J5" s="8">
        <f>('Donnees_USDA'!C706+'Donnees_USDA'!C708+'Donnees_USDA'!C713+'Donnees_USDA'!C709+'Donnees_USDA'!C714+'Donnees_USDA'!C715+'Donnees_USDA'!C716+'Donnees_USDA'!C722)/('Donnees_USDA'!C506+'Donnees_USDA'!C606+'Donnees_USDA'!C508+'Donnees_USDA'!C608+'Donnees_USDA'!C513+'Donnees_USDA'!C613+'Donnees_USDA'!C509+'Donnees_USDA'!C609+'Donnees_USDA'!C514+'Donnees_USDA'!C614+'Donnees_USDA'!C515+'Donnees_USDA'!C615+'Donnees_USDA'!C516+'Donnees_USDA'!C616+'Donnees_USDA'!C522+'Donnees_USDA'!C622)</f>
        <v>0.042388541095046646</v>
      </c>
      <c r="K5" s="8">
        <f>('Donnees_USDA'!C706+'Donnees_USDA'!C707+'Donnees_USDA'!C710+'Donnees_USDA'!C711)/('Donnees_USDA'!C506+'Donnees_USDA'!C606+'Donnees_USDA'!C507+'Donnees_USDA'!C607+'Donnees_USDA'!C510+'Donnees_USDA'!C610+'Donnees_USDA'!C511+'Donnees_USDA'!C611)</f>
        <v>0.04941237217551382</v>
      </c>
    </row>
    <row r="6">
      <c r="A6" s="5" t="s">
        <v>36</v>
      </c>
      <c r="B6" s="7">
        <f>'Donnees_USDA'!D706*'Donnees_USDA'!D806+'Donnees_USDA'!D708*'Donnees_USDA'!D808+'Donnees_USDA'!D713*'Donnees_USDA'!D813+'Donnees_USDA'!D709*'Donnees_USDA'!D809+'Donnees_USDA'!D714*'Donnees_USDA'!D814+'Donnees_USDA'!D715*'Donnees_USDA'!D815+'Donnees_USDA'!D716*'Donnees_USDA'!D816+'Donnees_USDA'!D722*'Donnees_USDA'!D822</f>
        <v>2846.665557317652</v>
      </c>
      <c r="C6" s="7">
        <f>('Donnees_USDA'!D506+'Donnees_USDA'!D606)*'Donnees_USDA'!D806+('Donnees_USDA'!D508+'Donnees_USDA'!D608)*'Donnees_USDA'!D808+('Donnees_USDA'!D513+'Donnees_USDA'!D613)*'Donnees_USDA'!D813+('Donnees_USDA'!D509+'Donnees_USDA'!D609)*'Donnees_USDA'!D809+('Donnees_USDA'!D514+'Donnees_USDA'!D614)*'Donnees_USDA'!D814+('Donnees_USDA'!D515+'Donnees_USDA'!D615)*'Donnees_USDA'!D815+('Donnees_USDA'!D516+'Donnees_USDA'!D616)*'Donnees_USDA'!D816+('Donnees_USDA'!D522+'Donnees_USDA'!D622)*'Donnees_USDA'!D822</f>
        <v>72489.1783331597</v>
      </c>
      <c r="D6" s="9">
        <f>B6/C6</f>
        <v>0.03927021415851066</v>
      </c>
      <c r="E6" s="7">
        <f>'Donnees_USDA'!D706*'Donnees_USDA'!D906+'Donnees_USDA'!D707*'Donnees_USDA'!D907+'Donnees_USDA'!D710*'Donnees_USDA'!D910+'Donnees_USDA'!D711*'Donnees_USDA'!D911</f>
        <v>2174.591451448247</v>
      </c>
      <c r="F6" s="7">
        <f>('Donnees_USDA'!D506+'Donnees_USDA'!D606)*'Donnees_USDA'!D906+('Donnees_USDA'!D507+'Donnees_USDA'!D607)*'Donnees_USDA'!D907+('Donnees_USDA'!D510+'Donnees_USDA'!D610)*'Donnees_USDA'!D910+('Donnees_USDA'!D511+'Donnees_USDA'!D611)*'Donnees_USDA'!D911</f>
        <v>50063.56020897628</v>
      </c>
      <c r="G6" s="9">
        <f>E6/F6</f>
        <v>0.04343661222595886</v>
      </c>
      <c r="H6" s="10">
        <f>'Prix_ICE'!J6</f>
        <v>197.8416666666667</v>
      </c>
      <c r="I6" s="7">
        <f>'Prix_ICE'!L6</f>
        <v>2014.6760094318333</v>
      </c>
      <c r="J6" s="8">
        <f>('Donnees_USDA'!D706+'Donnees_USDA'!D708+'Donnees_USDA'!D713+'Donnees_USDA'!D709+'Donnees_USDA'!D714+'Donnees_USDA'!D715+'Donnees_USDA'!D716+'Donnees_USDA'!D722)/('Donnees_USDA'!D506+'Donnees_USDA'!D606+'Donnees_USDA'!D508+'Donnees_USDA'!D608+'Donnees_USDA'!D513+'Donnees_USDA'!D613+'Donnees_USDA'!D509+'Donnees_USDA'!D609+'Donnees_USDA'!D514+'Donnees_USDA'!D614+'Donnees_USDA'!D515+'Donnees_USDA'!D615+'Donnees_USDA'!D516+'Donnees_USDA'!D616+'Donnees_USDA'!D522+'Donnees_USDA'!D622)</f>
        <v>0.04013309093403766</v>
      </c>
      <c r="K6" s="8">
        <f>('Donnees_USDA'!D706+'Donnees_USDA'!D707+'Donnees_USDA'!D710+'Donnees_USDA'!D711)/('Donnees_USDA'!D506+'Donnees_USDA'!D606+'Donnees_USDA'!D507+'Donnees_USDA'!D607+'Donnees_USDA'!D510+'Donnees_USDA'!D610+'Donnees_USDA'!D511+'Donnees_USDA'!D611)</f>
        <v>0.04470423299565847</v>
      </c>
    </row>
    <row r="7">
      <c r="A7" s="5" t="s">
        <v>37</v>
      </c>
      <c r="B7" s="7">
        <f>'Donnees_USDA'!E706*'Donnees_USDA'!E806+'Donnees_USDA'!E708*'Donnees_USDA'!E808+'Donnees_USDA'!E713*'Donnees_USDA'!E813+'Donnees_USDA'!E709*'Donnees_USDA'!E809+'Donnees_USDA'!E714*'Donnees_USDA'!E814+'Donnees_USDA'!E715*'Donnees_USDA'!E815+'Donnees_USDA'!E716*'Donnees_USDA'!E816+'Donnees_USDA'!E722*'Donnees_USDA'!E822</f>
        <v>8142.674054670671</v>
      </c>
      <c r="C7" s="7">
        <f>('Donnees_USDA'!E506+'Donnees_USDA'!E606)*'Donnees_USDA'!E806+('Donnees_USDA'!E508+'Donnees_USDA'!E608)*'Donnees_USDA'!E808+('Donnees_USDA'!E513+'Donnees_USDA'!E613)*'Donnees_USDA'!E813+('Donnees_USDA'!E509+'Donnees_USDA'!E609)*'Donnees_USDA'!E809+('Donnees_USDA'!E514+'Donnees_USDA'!E614)*'Donnees_USDA'!E814+('Donnees_USDA'!E515+'Donnees_USDA'!E615)*'Donnees_USDA'!E815+('Donnees_USDA'!E516+'Donnees_USDA'!E616)*'Donnees_USDA'!E816+('Donnees_USDA'!E522+'Donnees_USDA'!E622)*'Donnees_USDA'!E822</f>
        <v>74429.17605711304</v>
      </c>
      <c r="D7" s="9">
        <f>B7/C7</f>
        <v>0.10940164174896158</v>
      </c>
      <c r="E7" s="7">
        <f>'Donnees_USDA'!E706*'Donnees_USDA'!E906+'Donnees_USDA'!E707*'Donnees_USDA'!E907+'Donnees_USDA'!E710*'Donnees_USDA'!E910+'Donnees_USDA'!E711*'Donnees_USDA'!E911</f>
        <v>4683.945790171414</v>
      </c>
      <c r="F7" s="7">
        <f>('Donnees_USDA'!E506+'Donnees_USDA'!E606)*'Donnees_USDA'!E906+('Donnees_USDA'!E507+'Donnees_USDA'!E607)*'Donnees_USDA'!E907+('Donnees_USDA'!E510+'Donnees_USDA'!E610)*'Donnees_USDA'!E910+('Donnees_USDA'!E511+'Donnees_USDA'!E611)*'Donnees_USDA'!E911</f>
        <v>53098.86051444163</v>
      </c>
      <c r="G7" s="9">
        <f>E7/F7</f>
        <v>0.08821179484440146</v>
      </c>
      <c r="H7" s="10">
        <f>'Prix_ICE'!J7</f>
        <v>140.69833333333332</v>
      </c>
      <c r="I7" s="7">
        <f>'Prix_ICE'!L7</f>
        <v>1950.6684660311666</v>
      </c>
      <c r="J7" s="8">
        <f>('Donnees_USDA'!E706+'Donnees_USDA'!E708+'Donnees_USDA'!E713+'Donnees_USDA'!E709+'Donnees_USDA'!E714+'Donnees_USDA'!E715+'Donnees_USDA'!E716+'Donnees_USDA'!E722)/('Donnees_USDA'!E506+'Donnees_USDA'!E606+'Donnees_USDA'!E508+'Donnees_USDA'!E608+'Donnees_USDA'!E513+'Donnees_USDA'!E613+'Donnees_USDA'!E509+'Donnees_USDA'!E609+'Donnees_USDA'!E514+'Donnees_USDA'!E614+'Donnees_USDA'!E515+'Donnees_USDA'!E615+'Donnees_USDA'!E516+'Donnees_USDA'!E616+'Donnees_USDA'!E522+'Donnees_USDA'!E622)</f>
        <v>0.11981754592477731</v>
      </c>
      <c r="K7" s="8">
        <f>('Donnees_USDA'!E706+'Donnees_USDA'!E707+'Donnees_USDA'!E710+'Donnees_USDA'!E711)/('Donnees_USDA'!E506+'Donnees_USDA'!E606+'Donnees_USDA'!E507+'Donnees_USDA'!E607+'Donnees_USDA'!E510+'Donnees_USDA'!E610+'Donnees_USDA'!E511+'Donnees_USDA'!E611)</f>
        <v>0.12187609529170605</v>
      </c>
    </row>
    <row r="8">
      <c r="A8" s="5" t="s">
        <v>38</v>
      </c>
      <c r="B8" s="7">
        <f>'Donnees_USDA'!F706*'Donnees_USDA'!F806+'Donnees_USDA'!F708*'Donnees_USDA'!F808+'Donnees_USDA'!F713*'Donnees_USDA'!F813+'Donnees_USDA'!F709*'Donnees_USDA'!F809+'Donnees_USDA'!F714*'Donnees_USDA'!F814+'Donnees_USDA'!F715*'Donnees_USDA'!F815+'Donnees_USDA'!F716*'Donnees_USDA'!F816+'Donnees_USDA'!F722*'Donnees_USDA'!F822</f>
        <v>10559.294772300102</v>
      </c>
      <c r="C8" s="7">
        <f>('Donnees_USDA'!F506+'Donnees_USDA'!F606)*'Donnees_USDA'!F806+('Donnees_USDA'!F508+'Donnees_USDA'!F608)*'Donnees_USDA'!F808+('Donnees_USDA'!F513+'Donnees_USDA'!F613)*'Donnees_USDA'!F813+('Donnees_USDA'!F509+'Donnees_USDA'!F609)*'Donnees_USDA'!F809+('Donnees_USDA'!F514+'Donnees_USDA'!F614)*'Donnees_USDA'!F814+('Donnees_USDA'!F515+'Donnees_USDA'!F615)*'Donnees_USDA'!F815+('Donnees_USDA'!F516+'Donnees_USDA'!F616)*'Donnees_USDA'!F816+('Donnees_USDA'!F522+'Donnees_USDA'!F622)*'Donnees_USDA'!F822</f>
        <v>77602.53444896749</v>
      </c>
      <c r="D8" s="9">
        <f>B8/C8</f>
        <v>0.13606894217152202</v>
      </c>
      <c r="E8" s="7">
        <f>'Donnees_USDA'!F706*'Donnees_USDA'!F906+'Donnees_USDA'!F707*'Donnees_USDA'!F907+'Donnees_USDA'!F710*'Donnees_USDA'!F910+'Donnees_USDA'!F711*'Donnees_USDA'!F911</f>
        <v>5608.908671125034</v>
      </c>
      <c r="F8" s="7">
        <f>('Donnees_USDA'!F506+'Donnees_USDA'!F606)*'Donnees_USDA'!F906+('Donnees_USDA'!F507+'Donnees_USDA'!F607)*'Donnees_USDA'!F907+('Donnees_USDA'!F510+'Donnees_USDA'!F610)*'Donnees_USDA'!F910+('Donnees_USDA'!F511+'Donnees_USDA'!F611)*'Donnees_USDA'!F911</f>
        <v>57571.798861548064</v>
      </c>
      <c r="G8" s="9">
        <f>E8/F8</f>
        <v>0.09742458603063031</v>
      </c>
      <c r="H8" s="10">
        <f>'Prix_ICE'!J8</f>
        <v>161.4675</v>
      </c>
      <c r="I8" s="7">
        <f>'Prix_ICE'!L8</f>
        <v>1893.2013030698333</v>
      </c>
      <c r="J8" s="8">
        <f>('Donnees_USDA'!F706+'Donnees_USDA'!F708+'Donnees_USDA'!F713+'Donnees_USDA'!F709+'Donnees_USDA'!F714+'Donnees_USDA'!F715+'Donnees_USDA'!F716+'Donnees_USDA'!F722)/('Donnees_USDA'!F506+'Donnees_USDA'!F606+'Donnees_USDA'!F508+'Donnees_USDA'!F608+'Donnees_USDA'!F513+'Donnees_USDA'!F613+'Donnees_USDA'!F509+'Donnees_USDA'!F609+'Donnees_USDA'!F514+'Donnees_USDA'!F614+'Donnees_USDA'!F515+'Donnees_USDA'!F615+'Donnees_USDA'!F516+'Donnees_USDA'!F616+'Donnees_USDA'!F522+'Donnees_USDA'!F622)</f>
        <v>0.14898031968355868</v>
      </c>
      <c r="K8" s="8">
        <f>('Donnees_USDA'!F706+'Donnees_USDA'!F707+'Donnees_USDA'!F710+'Donnees_USDA'!F711)/('Donnees_USDA'!F506+'Donnees_USDA'!F606+'Donnees_USDA'!F507+'Donnees_USDA'!F607+'Donnees_USDA'!F510+'Donnees_USDA'!F610+'Donnees_USDA'!F511+'Donnees_USDA'!F611)</f>
        <v>0.14317556438807413</v>
      </c>
    </row>
    <row r="9">
      <c r="A9" s="5" t="s">
        <v>39</v>
      </c>
      <c r="B9" s="7">
        <f>'Donnees_USDA'!G706*'Donnees_USDA'!G806+'Donnees_USDA'!G708*'Donnees_USDA'!G808+'Donnees_USDA'!G713*'Donnees_USDA'!G813+'Donnees_USDA'!G709*'Donnees_USDA'!G809+'Donnees_USDA'!G714*'Donnees_USDA'!G814+'Donnees_USDA'!G715*'Donnees_USDA'!G815+'Donnees_USDA'!G716*'Donnees_USDA'!G816+'Donnees_USDA'!G722*'Donnees_USDA'!G822</f>
        <v>7682.6882027346055</v>
      </c>
      <c r="C9" s="7">
        <f>('Donnees_USDA'!G506+'Donnees_USDA'!G606)*'Donnees_USDA'!G806+('Donnees_USDA'!G508+'Donnees_USDA'!G608)*'Donnees_USDA'!G808+('Donnees_USDA'!G513+'Donnees_USDA'!G613)*'Donnees_USDA'!G813+('Donnees_USDA'!G509+'Donnees_USDA'!G609)*'Donnees_USDA'!G809+('Donnees_USDA'!G514+'Donnees_USDA'!G614)*'Donnees_USDA'!G814+('Donnees_USDA'!G515+'Donnees_USDA'!G615)*'Donnees_USDA'!G815+('Donnees_USDA'!G516+'Donnees_USDA'!G616)*'Donnees_USDA'!G816+('Donnees_USDA'!G522+'Donnees_USDA'!G622)*'Donnees_USDA'!G822</f>
        <v>77125.5217063419</v>
      </c>
      <c r="D9" s="9">
        <f>B9/C9</f>
        <v>0.09961278747632603</v>
      </c>
      <c r="E9" s="7">
        <f>'Donnees_USDA'!G706*'Donnees_USDA'!G906+'Donnees_USDA'!G707*'Donnees_USDA'!G907+'Donnees_USDA'!G710*'Donnees_USDA'!G910+'Donnees_USDA'!G711*'Donnees_USDA'!G911</f>
        <v>9294.392966308997</v>
      </c>
      <c r="F9" s="7">
        <f>('Donnees_USDA'!G506+'Donnees_USDA'!G606)*'Donnees_USDA'!G906+('Donnees_USDA'!G507+'Donnees_USDA'!G607)*'Donnees_USDA'!G907+('Donnees_USDA'!G510+'Donnees_USDA'!G610)*'Donnees_USDA'!G910+('Donnees_USDA'!G511+'Donnees_USDA'!G611)*'Donnees_USDA'!G911</f>
        <v>53687.90217585212</v>
      </c>
      <c r="G9" s="9">
        <f>E9/F9</f>
        <v>0.1731189446714767</v>
      </c>
      <c r="H9" s="10">
        <f>'Prix_ICE'!J9</f>
        <v>154.02083333333334</v>
      </c>
      <c r="I9" s="7">
        <f>'Prix_ICE'!L9</f>
        <v>1849.9172122971665</v>
      </c>
      <c r="J9" s="8">
        <f>('Donnees_USDA'!G706+'Donnees_USDA'!G708+'Donnees_USDA'!G713+'Donnees_USDA'!G709+'Donnees_USDA'!G714+'Donnees_USDA'!G715+'Donnees_USDA'!G716+'Donnees_USDA'!G722)/('Donnees_USDA'!G506+'Donnees_USDA'!G606+'Donnees_USDA'!G508+'Donnees_USDA'!G608+'Donnees_USDA'!G513+'Donnees_USDA'!G613+'Donnees_USDA'!G509+'Donnees_USDA'!G609+'Donnees_USDA'!G514+'Donnees_USDA'!G614+'Donnees_USDA'!G515+'Donnees_USDA'!G615+'Donnees_USDA'!G516+'Donnees_USDA'!G616+'Donnees_USDA'!G522+'Donnees_USDA'!G622)</f>
        <v>0.11121832522235274</v>
      </c>
      <c r="K9" s="8">
        <f>('Donnees_USDA'!G706+'Donnees_USDA'!G707+'Donnees_USDA'!G710+'Donnees_USDA'!G711)/('Donnees_USDA'!G506+'Donnees_USDA'!G606+'Donnees_USDA'!G507+'Donnees_USDA'!G607+'Donnees_USDA'!G510+'Donnees_USDA'!G610+'Donnees_USDA'!G511+'Donnees_USDA'!G611)</f>
        <v>0.16677954093168154</v>
      </c>
    </row>
    <row r="10">
      <c r="A10" s="5" t="s">
        <v>40</v>
      </c>
      <c r="B10" s="7">
        <f>'Donnees_USDA'!H706*'Donnees_USDA'!H806+'Donnees_USDA'!H708*'Donnees_USDA'!H808+'Donnees_USDA'!H713*'Donnees_USDA'!H813+'Donnees_USDA'!H709*'Donnees_USDA'!H809+'Donnees_USDA'!H714*'Donnees_USDA'!H814+'Donnees_USDA'!H715*'Donnees_USDA'!H815+'Donnees_USDA'!H716*'Donnees_USDA'!H816+'Donnees_USDA'!H722*'Donnees_USDA'!H822</f>
        <v>3783.0649281114083</v>
      </c>
      <c r="C10" s="7">
        <f>('Donnees_USDA'!H506+'Donnees_USDA'!H606)*'Donnees_USDA'!H806+('Donnees_USDA'!H508+'Donnees_USDA'!H608)*'Donnees_USDA'!H808+('Donnees_USDA'!H513+'Donnees_USDA'!H613)*'Donnees_USDA'!H813+('Donnees_USDA'!H509+'Donnees_USDA'!H609)*'Donnees_USDA'!H809+('Donnees_USDA'!H514+'Donnees_USDA'!H614)*'Donnees_USDA'!H814+('Donnees_USDA'!H515+'Donnees_USDA'!H615)*'Donnees_USDA'!H815+('Donnees_USDA'!H516+'Donnees_USDA'!H616)*'Donnees_USDA'!H816+('Donnees_USDA'!H522+'Donnees_USDA'!H622)*'Donnees_USDA'!H822</f>
        <v>79548.74221989332</v>
      </c>
      <c r="D10" s="9">
        <f>B10/C10</f>
        <v>0.047556564975647725</v>
      </c>
      <c r="E10" s="7">
        <f>'Donnees_USDA'!H706*'Donnees_USDA'!H906+'Donnees_USDA'!H707*'Donnees_USDA'!H907+'Donnees_USDA'!H710*'Donnees_USDA'!H910+'Donnees_USDA'!H711*'Donnees_USDA'!H911</f>
        <v>4949.4185015920775</v>
      </c>
      <c r="F10" s="7">
        <f>('Donnees_USDA'!H506+'Donnees_USDA'!H606)*'Donnees_USDA'!H906+('Donnees_USDA'!H507+'Donnees_USDA'!H607)*'Donnees_USDA'!H907+('Donnees_USDA'!H510+'Donnees_USDA'!H610)*'Donnees_USDA'!H910+('Donnees_USDA'!H511+'Donnees_USDA'!H611)*'Donnees_USDA'!H911</f>
        <v>59724.57194240257</v>
      </c>
      <c r="G10" s="9">
        <f>E10/F10</f>
        <v>0.08287072373436545</v>
      </c>
      <c r="H10" s="10">
        <f>'Prix_ICE'!J10</f>
        <v>131.83249999999998</v>
      </c>
      <c r="I10" s="7">
        <f>'Prix_ICE'!L10</f>
        <v>1632.9272309236667</v>
      </c>
      <c r="J10" s="8">
        <f>('Donnees_USDA'!H706+'Donnees_USDA'!H708+'Donnees_USDA'!H713+'Donnees_USDA'!H709+'Donnees_USDA'!H714+'Donnees_USDA'!H715+'Donnees_USDA'!H716+'Donnees_USDA'!H722)/('Donnees_USDA'!H506+'Donnees_USDA'!H606+'Donnees_USDA'!H508+'Donnees_USDA'!H608+'Donnees_USDA'!H513+'Donnees_USDA'!H613+'Donnees_USDA'!H509+'Donnees_USDA'!H609+'Donnees_USDA'!H514+'Donnees_USDA'!H614+'Donnees_USDA'!H515+'Donnees_USDA'!H615+'Donnees_USDA'!H516+'Donnees_USDA'!H616+'Donnees_USDA'!H522+'Donnees_USDA'!H622)</f>
        <v>0.04659535830875329</v>
      </c>
      <c r="K10" s="8">
        <f>('Donnees_USDA'!H706+'Donnees_USDA'!H707+'Donnees_USDA'!H710+'Donnees_USDA'!H711)/('Donnees_USDA'!H506+'Donnees_USDA'!H606+'Donnees_USDA'!H507+'Donnees_USDA'!H607+'Donnees_USDA'!H510+'Donnees_USDA'!H610+'Donnees_USDA'!H511+'Donnees_USDA'!H611)</f>
        <v>0.06619936207192925</v>
      </c>
    </row>
    <row r="11">
      <c r="A11" s="5" t="s">
        <v>41</v>
      </c>
      <c r="B11" s="7">
        <f>'Donnees_USDA'!I706*'Donnees_USDA'!I806+'Donnees_USDA'!I708*'Donnees_USDA'!I808+'Donnees_USDA'!I713*'Donnees_USDA'!I813+'Donnees_USDA'!I709*'Donnees_USDA'!I809+'Donnees_USDA'!I714*'Donnees_USDA'!I814+'Donnees_USDA'!I715*'Donnees_USDA'!I815+'Donnees_USDA'!I716*'Donnees_USDA'!I816+'Donnees_USDA'!I722*'Donnees_USDA'!I822</f>
        <v>4791.542398777694</v>
      </c>
      <c r="C11" s="7">
        <f>('Donnees_USDA'!I506+'Donnees_USDA'!I606)*'Donnees_USDA'!I806+('Donnees_USDA'!I508+'Donnees_USDA'!I608)*'Donnees_USDA'!I808+('Donnees_USDA'!I513+'Donnees_USDA'!I613)*'Donnees_USDA'!I813+('Donnees_USDA'!I509+'Donnees_USDA'!I609)*'Donnees_USDA'!I809+('Donnees_USDA'!I514+'Donnees_USDA'!I614)*'Donnees_USDA'!I814+('Donnees_USDA'!I515+'Donnees_USDA'!I615)*'Donnees_USDA'!I815+('Donnees_USDA'!I516+'Donnees_USDA'!I616)*'Donnees_USDA'!I816+('Donnees_USDA'!I522+'Donnees_USDA'!I622)*'Donnees_USDA'!I822</f>
        <v>88107.36796536797</v>
      </c>
      <c r="D11" s="9">
        <f>B11/C11</f>
        <v>0.054382993266364366</v>
      </c>
      <c r="E11" s="7">
        <f>'Donnees_USDA'!I706*'Donnees_USDA'!I906+'Donnees_USDA'!I707*'Donnees_USDA'!I907+'Donnees_USDA'!I710*'Donnees_USDA'!I910+'Donnees_USDA'!I711*'Donnees_USDA'!I911</f>
        <v>3559.2790399348205</v>
      </c>
      <c r="F11" s="7">
        <f>('Donnees_USDA'!I506+'Donnees_USDA'!I606)*'Donnees_USDA'!I906+('Donnees_USDA'!I507+'Donnees_USDA'!I607)*'Donnees_USDA'!I907+('Donnees_USDA'!I510+'Donnees_USDA'!I610)*'Donnees_USDA'!I910+('Donnees_USDA'!I511+'Donnees_USDA'!I611)*'Donnees_USDA'!I911</f>
        <v>51992.61925718265</v>
      </c>
      <c r="G11" s="9">
        <f>E11/F11</f>
        <v>0.06845739050630952</v>
      </c>
      <c r="H11" s="10">
        <f>'Prix_ICE'!J11</f>
        <v>143.7716666666667</v>
      </c>
      <c r="I11" s="7">
        <f>'Prix_ICE'!L11</f>
        <v>2097.110523564667</v>
      </c>
      <c r="J11" s="8">
        <f>('Donnees_USDA'!I706+'Donnees_USDA'!I708+'Donnees_USDA'!I713+'Donnees_USDA'!I709+'Donnees_USDA'!I714+'Donnees_USDA'!I715+'Donnees_USDA'!I716+'Donnees_USDA'!I722)/('Donnees_USDA'!I506+'Donnees_USDA'!I606+'Donnees_USDA'!I508+'Donnees_USDA'!I608+'Donnees_USDA'!I513+'Donnees_USDA'!I613+'Donnees_USDA'!I509+'Donnees_USDA'!I609+'Donnees_USDA'!I514+'Donnees_USDA'!I614+'Donnees_USDA'!I515+'Donnees_USDA'!I615+'Donnees_USDA'!I516+'Donnees_USDA'!I616+'Donnees_USDA'!I522+'Donnees_USDA'!I622)</f>
        <v>0.05584619276498862</v>
      </c>
      <c r="K11" s="8">
        <f>('Donnees_USDA'!I706+'Donnees_USDA'!I707+'Donnees_USDA'!I710+'Donnees_USDA'!I711)/('Donnees_USDA'!I506+'Donnees_USDA'!I606+'Donnees_USDA'!I507+'Donnees_USDA'!I607+'Donnees_USDA'!I510+'Donnees_USDA'!I610+'Donnees_USDA'!I511+'Donnees_USDA'!I611)</f>
        <v>0.06848521761704592</v>
      </c>
    </row>
    <row r="12">
      <c r="A12" s="5" t="s">
        <v>42</v>
      </c>
      <c r="B12" s="7">
        <f>'Donnees_USDA'!J706*'Donnees_USDA'!J806+'Donnees_USDA'!J708*'Donnees_USDA'!J808+'Donnees_USDA'!J713*'Donnees_USDA'!J813+'Donnees_USDA'!J709*'Donnees_USDA'!J809+'Donnees_USDA'!J714*'Donnees_USDA'!J814+'Donnees_USDA'!J715*'Donnees_USDA'!J815+'Donnees_USDA'!J716*'Donnees_USDA'!J816+'Donnees_USDA'!J722*'Donnees_USDA'!J822</f>
        <v>4440.462649666392</v>
      </c>
      <c r="C12" s="7">
        <f>('Donnees_USDA'!J506+'Donnees_USDA'!J606)*'Donnees_USDA'!J806+('Donnees_USDA'!J508+'Donnees_USDA'!J608)*'Donnees_USDA'!J808+('Donnees_USDA'!J513+'Donnees_USDA'!J613)*'Donnees_USDA'!J813+('Donnees_USDA'!J509+'Donnees_USDA'!J609)*'Donnees_USDA'!J809+('Donnees_USDA'!J514+'Donnees_USDA'!J614)*'Donnees_USDA'!J814+('Donnees_USDA'!J515+'Donnees_USDA'!J615)*'Donnees_USDA'!J815+('Donnees_USDA'!J516+'Donnees_USDA'!J616)*'Donnees_USDA'!J816+('Donnees_USDA'!J522+'Donnees_USDA'!J622)*'Donnees_USDA'!J822</f>
        <v>84057.9685814825</v>
      </c>
      <c r="D12" s="9">
        <f>B12/C12</f>
        <v>0.05282619511988303</v>
      </c>
      <c r="E12" s="7">
        <f>'Donnees_USDA'!J706*'Donnees_USDA'!J906+'Donnees_USDA'!J707*'Donnees_USDA'!J907+'Donnees_USDA'!J710*'Donnees_USDA'!J910+'Donnees_USDA'!J711*'Donnees_USDA'!J911</f>
        <v>1821.2087747414203</v>
      </c>
      <c r="F12" s="7">
        <f>('Donnees_USDA'!J506+'Donnees_USDA'!J606)*'Donnees_USDA'!J906+('Donnees_USDA'!J507+'Donnees_USDA'!J607)*'Donnees_USDA'!J907+('Donnees_USDA'!J510+'Donnees_USDA'!J610)*'Donnees_USDA'!J910+('Donnees_USDA'!J511+'Donnees_USDA'!J611)*'Donnees_USDA'!J911</f>
        <v>58246.62515356368</v>
      </c>
      <c r="G12" s="9">
        <f>E12/F12</f>
        <v>0.03126719822719195</v>
      </c>
      <c r="H12" s="10">
        <f>'Prix_ICE'!J12</f>
        <v>120.60083333333334</v>
      </c>
      <c r="I12" s="7">
        <f>'Prix_ICE'!L12</f>
        <v>1725.8888180669999</v>
      </c>
      <c r="J12" s="8">
        <f>('Donnees_USDA'!J706+'Donnees_USDA'!J708+'Donnees_USDA'!J713+'Donnees_USDA'!J709+'Donnees_USDA'!J714+'Donnees_USDA'!J715+'Donnees_USDA'!J716+'Donnees_USDA'!J722)/('Donnees_USDA'!J506+'Donnees_USDA'!J606+'Donnees_USDA'!J508+'Donnees_USDA'!J608+'Donnees_USDA'!J513+'Donnees_USDA'!J613+'Donnees_USDA'!J509+'Donnees_USDA'!J609+'Donnees_USDA'!J514+'Donnees_USDA'!J614+'Donnees_USDA'!J515+'Donnees_USDA'!J615+'Donnees_USDA'!J516+'Donnees_USDA'!J616+'Donnees_USDA'!J522+'Donnees_USDA'!J622)</f>
        <v>0.0535202293724116</v>
      </c>
      <c r="K12" s="8">
        <f>('Donnees_USDA'!J706+'Donnees_USDA'!J707+'Donnees_USDA'!J710+'Donnees_USDA'!J711)/('Donnees_USDA'!J506+'Donnees_USDA'!J606+'Donnees_USDA'!J507+'Donnees_USDA'!J607+'Donnees_USDA'!J510+'Donnees_USDA'!J610+'Donnees_USDA'!J511+'Donnees_USDA'!J611)</f>
        <v>0.042738821587526156</v>
      </c>
    </row>
    <row r="13">
      <c r="A13" s="5" t="s">
        <v>43</v>
      </c>
      <c r="B13" s="7">
        <f>'Donnees_USDA'!K706*'Donnees_USDA'!K806+'Donnees_USDA'!K708*'Donnees_USDA'!K808+'Donnees_USDA'!K713*'Donnees_USDA'!K813+'Donnees_USDA'!K709*'Donnees_USDA'!K809+'Donnees_USDA'!K714*'Donnees_USDA'!K814+'Donnees_USDA'!K715*'Donnees_USDA'!K815+'Donnees_USDA'!K716*'Donnees_USDA'!K816+'Donnees_USDA'!K722*'Donnees_USDA'!K822</f>
        <v>4786.801584826564</v>
      </c>
      <c r="C13" s="7">
        <f>('Donnees_USDA'!K506+'Donnees_USDA'!K606)*'Donnees_USDA'!K806+('Donnees_USDA'!K508+'Donnees_USDA'!K608)*'Donnees_USDA'!K808+('Donnees_USDA'!K513+'Donnees_USDA'!K613)*'Donnees_USDA'!K813+('Donnees_USDA'!K509+'Donnees_USDA'!K609)*'Donnees_USDA'!K809+('Donnees_USDA'!K514+'Donnees_USDA'!K614)*'Donnees_USDA'!K814+('Donnees_USDA'!K515+'Donnees_USDA'!K615)*'Donnees_USDA'!K815+('Donnees_USDA'!K516+'Donnees_USDA'!K616)*'Donnees_USDA'!K816+('Donnees_USDA'!K522+'Donnees_USDA'!K622)*'Donnees_USDA'!K822</f>
        <v>93063.47375774964</v>
      </c>
      <c r="D13" s="9">
        <f>B13/C13</f>
        <v>0.05143587909996702</v>
      </c>
      <c r="E13" s="7">
        <f>'Donnees_USDA'!K706*'Donnees_USDA'!K906+'Donnees_USDA'!K707*'Donnees_USDA'!K907+'Donnees_USDA'!K710*'Donnees_USDA'!K910+'Donnees_USDA'!K711*'Donnees_USDA'!K911</f>
        <v>4220.67362590896</v>
      </c>
      <c r="F13" s="7">
        <f>('Donnees_USDA'!K506+'Donnees_USDA'!K606)*'Donnees_USDA'!K906+('Donnees_USDA'!K507+'Donnees_USDA'!K607)*'Donnees_USDA'!K907+('Donnees_USDA'!K510+'Donnees_USDA'!K610)*'Donnees_USDA'!K910+('Donnees_USDA'!K511+'Donnees_USDA'!K611)*'Donnees_USDA'!K911</f>
        <v>59396.22923054746</v>
      </c>
      <c r="G13" s="9">
        <f>E13/F13</f>
        <v>0.07105962248085387</v>
      </c>
      <c r="H13" s="10">
        <f>'Prix_ICE'!J13</f>
        <v>104.98083333333334</v>
      </c>
      <c r="I13" s="7">
        <f>'Prix_ICE'!L13</f>
        <v>1488.8367708514998</v>
      </c>
      <c r="J13" s="8">
        <f>('Donnees_USDA'!K706+'Donnees_USDA'!K708+'Donnees_USDA'!K713+'Donnees_USDA'!K709+'Donnees_USDA'!K714+'Donnees_USDA'!K715+'Donnees_USDA'!K716+'Donnees_USDA'!K722)/('Donnees_USDA'!K506+'Donnees_USDA'!K606+'Donnees_USDA'!K508+'Donnees_USDA'!K608+'Donnees_USDA'!K513+'Donnees_USDA'!K613+'Donnees_USDA'!K509+'Donnees_USDA'!K609+'Donnees_USDA'!K514+'Donnees_USDA'!K614+'Donnees_USDA'!K515+'Donnees_USDA'!K615+'Donnees_USDA'!K516+'Donnees_USDA'!K616+'Donnees_USDA'!K522+'Donnees_USDA'!K622)</f>
        <v>0.05499474428214143</v>
      </c>
      <c r="K13" s="8">
        <f>('Donnees_USDA'!K706+'Donnees_USDA'!K707+'Donnees_USDA'!K710+'Donnees_USDA'!K711)/('Donnees_USDA'!K506+'Donnees_USDA'!K606+'Donnees_USDA'!K507+'Donnees_USDA'!K607+'Donnees_USDA'!K510+'Donnees_USDA'!K610+'Donnees_USDA'!K511+'Donnees_USDA'!K611)</f>
        <v>0.07537330907649908</v>
      </c>
    </row>
    <row r="14">
      <c r="A14" s="5" t="s">
        <v>44</v>
      </c>
      <c r="B14" s="7">
        <f>'Donnees_USDA'!L706*'Donnees_USDA'!L806+'Donnees_USDA'!L708*'Donnees_USDA'!L808+'Donnees_USDA'!L713*'Donnees_USDA'!L813+'Donnees_USDA'!L709*'Donnees_USDA'!L809+'Donnees_USDA'!L714*'Donnees_USDA'!L814+'Donnees_USDA'!L715*'Donnees_USDA'!L815+'Donnees_USDA'!L716*'Donnees_USDA'!L816+'Donnees_USDA'!L722*'Donnees_USDA'!L822</f>
        <v>3458.3758492192833</v>
      </c>
      <c r="C14" s="7">
        <f>('Donnees_USDA'!L506+'Donnees_USDA'!L606)*'Donnees_USDA'!L806+('Donnees_USDA'!L508+'Donnees_USDA'!L608)*'Donnees_USDA'!L808+('Donnees_USDA'!L513+'Donnees_USDA'!L613)*'Donnees_USDA'!L813+('Donnees_USDA'!L509+'Donnees_USDA'!L609)*'Donnees_USDA'!L809+('Donnees_USDA'!L514+'Donnees_USDA'!L614)*'Donnees_USDA'!L814+('Donnees_USDA'!L515+'Donnees_USDA'!L615)*'Donnees_USDA'!L815+('Donnees_USDA'!L516+'Donnees_USDA'!L616)*'Donnees_USDA'!L816+('Donnees_USDA'!L522+'Donnees_USDA'!L622)*'Donnees_USDA'!L822</f>
        <v>85253.27687283243</v>
      </c>
      <c r="D14" s="9">
        <f>B14/C14</f>
        <v>0.04056589935396794</v>
      </c>
      <c r="E14" s="7">
        <f>'Donnees_USDA'!L706*'Donnees_USDA'!L906+'Donnees_USDA'!L707*'Donnees_USDA'!L907+'Donnees_USDA'!L710*'Donnees_USDA'!L910+'Donnees_USDA'!L711*'Donnees_USDA'!L911</f>
        <v>5105.355021106782</v>
      </c>
      <c r="F14" s="7">
        <f>('Donnees_USDA'!L506+'Donnees_USDA'!L606)*'Donnees_USDA'!L906+('Donnees_USDA'!L507+'Donnees_USDA'!L607)*'Donnees_USDA'!L907+('Donnees_USDA'!L510+'Donnees_USDA'!L610)*'Donnees_USDA'!L910+('Donnees_USDA'!L511+'Donnees_USDA'!L611)*'Donnees_USDA'!L911</f>
        <v>63771.36118592432</v>
      </c>
      <c r="G14" s="9">
        <f>E14/F14</f>
        <v>0.08005717497894088</v>
      </c>
      <c r="H14" s="10">
        <f>'Prix_ICE'!J14</f>
        <v>113.23666666666666</v>
      </c>
      <c r="I14" s="7">
        <f>'Prix_ICE'!L14</f>
        <v>1305.5958874191667</v>
      </c>
      <c r="J14" s="8">
        <f>('Donnees_USDA'!L706+'Donnees_USDA'!L708+'Donnees_USDA'!L713+'Donnees_USDA'!L709+'Donnees_USDA'!L714+'Donnees_USDA'!L715+'Donnees_USDA'!L716+'Donnees_USDA'!L722)/('Donnees_USDA'!L506+'Donnees_USDA'!L606+'Donnees_USDA'!L508+'Donnees_USDA'!L608+'Donnees_USDA'!L513+'Donnees_USDA'!L613+'Donnees_USDA'!L509+'Donnees_USDA'!L609+'Donnees_USDA'!L514+'Donnees_USDA'!L614+'Donnees_USDA'!L515+'Donnees_USDA'!L615+'Donnees_USDA'!L516+'Donnees_USDA'!L616+'Donnees_USDA'!L522+'Donnees_USDA'!L622)</f>
        <v>0.03981433240183773</v>
      </c>
      <c r="K14" s="8">
        <f>('Donnees_USDA'!L706+'Donnees_USDA'!L707+'Donnees_USDA'!L710+'Donnees_USDA'!L711)/('Donnees_USDA'!L506+'Donnees_USDA'!L606+'Donnees_USDA'!L507+'Donnees_USDA'!L607+'Donnees_USDA'!L510+'Donnees_USDA'!L610+'Donnees_USDA'!L511+'Donnees_USDA'!L611)</f>
        <v>0.06443720880030222</v>
      </c>
    </row>
    <row r="15">
      <c r="A15" s="5" t="s">
        <v>45</v>
      </c>
      <c r="B15" s="7">
        <f>'Donnees_USDA'!M706*'Donnees_USDA'!M806+'Donnees_USDA'!M708*'Donnees_USDA'!M808+'Donnees_USDA'!M713*'Donnees_USDA'!M813+'Donnees_USDA'!M709*'Donnees_USDA'!M809+'Donnees_USDA'!M714*'Donnees_USDA'!M814+'Donnees_USDA'!M715*'Donnees_USDA'!M815+'Donnees_USDA'!M716*'Donnees_USDA'!M816+'Donnees_USDA'!M722*'Donnees_USDA'!M822</f>
        <v>5248.417363497184</v>
      </c>
      <c r="C15" s="7">
        <f>('Donnees_USDA'!M506+'Donnees_USDA'!M606)*'Donnees_USDA'!M806+('Donnees_USDA'!M508+'Donnees_USDA'!M608)*'Donnees_USDA'!M808+('Donnees_USDA'!M513+'Donnees_USDA'!M613)*'Donnees_USDA'!M813+('Donnees_USDA'!M509+'Donnees_USDA'!M609)*'Donnees_USDA'!M809+('Donnees_USDA'!M514+'Donnees_USDA'!M614)*'Donnees_USDA'!M814+('Donnees_USDA'!M515+'Donnees_USDA'!M615)*'Donnees_USDA'!M815+('Donnees_USDA'!M516+'Donnees_USDA'!M616)*'Donnees_USDA'!M816+('Donnees_USDA'!M522+'Donnees_USDA'!M622)*'Donnees_USDA'!M822</f>
        <v>91328.58404750399</v>
      </c>
      <c r="D15" s="9">
        <f>B15/C15</f>
        <v>0.05746741196345771</v>
      </c>
      <c r="E15" s="7">
        <f>'Donnees_USDA'!M706*'Donnees_USDA'!M906+'Donnees_USDA'!M707*'Donnees_USDA'!M907+'Donnees_USDA'!M710*'Donnees_USDA'!M910+'Donnees_USDA'!M711*'Donnees_USDA'!M911</f>
        <v>6612.238647852032</v>
      </c>
      <c r="F15" s="7">
        <f>('Donnees_USDA'!M506+'Donnees_USDA'!M606)*'Donnees_USDA'!M906+('Donnees_USDA'!M507+'Donnees_USDA'!M607)*'Donnees_USDA'!M907+('Donnees_USDA'!M510+'Donnees_USDA'!M610)*'Donnees_USDA'!M910+('Donnees_USDA'!M511+'Donnees_USDA'!M611)*'Donnees_USDA'!M911</f>
        <v>63450.72532501766</v>
      </c>
      <c r="G15" s="9">
        <f>E15/F15</f>
        <v>0.10421060774296502</v>
      </c>
      <c r="H15" s="10">
        <f>'Prix_ICE'!J15</f>
        <v>143.75333333333336</v>
      </c>
      <c r="I15" s="7">
        <f>'Prix_ICE'!L15</f>
        <v>1540.9393521041666</v>
      </c>
      <c r="J15" s="8">
        <f>('Donnees_USDA'!M706+'Donnees_USDA'!M708+'Donnees_USDA'!M713+'Donnees_USDA'!M709+'Donnees_USDA'!M714+'Donnees_USDA'!M715+'Donnees_USDA'!M716+'Donnees_USDA'!M722)/('Donnees_USDA'!M506+'Donnees_USDA'!M606+'Donnees_USDA'!M508+'Donnees_USDA'!M608+'Donnees_USDA'!M513+'Donnees_USDA'!M613+'Donnees_USDA'!M509+'Donnees_USDA'!M609+'Donnees_USDA'!M514+'Donnees_USDA'!M614+'Donnees_USDA'!M515+'Donnees_USDA'!M615+'Donnees_USDA'!M516+'Donnees_USDA'!M616+'Donnees_USDA'!M522+'Donnees_USDA'!M622)</f>
        <v>0.05827332987904018</v>
      </c>
      <c r="K15" s="8">
        <f>('Donnees_USDA'!M706+'Donnees_USDA'!M707+'Donnees_USDA'!M710+'Donnees_USDA'!M711)/('Donnees_USDA'!M506+'Donnees_USDA'!M606+'Donnees_USDA'!M507+'Donnees_USDA'!M607+'Donnees_USDA'!M510+'Donnees_USDA'!M610+'Donnees_USDA'!M511+'Donnees_USDA'!M611)</f>
        <v>0.08787670458006631</v>
      </c>
    </row>
    <row r="16">
      <c r="A16" s="5" t="s">
        <v>46</v>
      </c>
      <c r="B16" s="7">
        <f>'Donnees_USDA'!N706*'Donnees_USDA'!N806+'Donnees_USDA'!N708*'Donnees_USDA'!N808+'Donnees_USDA'!N713*'Donnees_USDA'!N813+'Donnees_USDA'!N709*'Donnees_USDA'!N809+'Donnees_USDA'!N714*'Donnees_USDA'!N814+'Donnees_USDA'!N715*'Donnees_USDA'!N815+'Donnees_USDA'!N716*'Donnees_USDA'!N816+'Donnees_USDA'!N722*'Donnees_USDA'!N822</f>
        <v>1696.2479489243117</v>
      </c>
      <c r="C16" s="7">
        <f>('Donnees_USDA'!N506+'Donnees_USDA'!N606)*'Donnees_USDA'!N806+('Donnees_USDA'!N508+'Donnees_USDA'!N608)*'Donnees_USDA'!N808+('Donnees_USDA'!N513+'Donnees_USDA'!N613)*'Donnees_USDA'!N813+('Donnees_USDA'!N509+'Donnees_USDA'!N609)*'Donnees_USDA'!N809+('Donnees_USDA'!N514+'Donnees_USDA'!N614)*'Donnees_USDA'!N814+('Donnees_USDA'!N515+'Donnees_USDA'!N615)*'Donnees_USDA'!N815+('Donnees_USDA'!N516+'Donnees_USDA'!N616)*'Donnees_USDA'!N816+('Donnees_USDA'!N522+'Donnees_USDA'!N622)*'Donnees_USDA'!N822</f>
        <v>81137.93606602609</v>
      </c>
      <c r="D16" s="9">
        <f>B16/C16</f>
        <v>0.020905732030748084</v>
      </c>
      <c r="E16" s="7">
        <f>'Donnees_USDA'!N706*'Donnees_USDA'!N906+'Donnees_USDA'!N707*'Donnees_USDA'!N907+'Donnees_USDA'!N710*'Donnees_USDA'!N910+'Donnees_USDA'!N711*'Donnees_USDA'!N911</f>
        <v>4964.938627176468</v>
      </c>
      <c r="F16" s="7">
        <f>('Donnees_USDA'!N506+'Donnees_USDA'!N606)*'Donnees_USDA'!N906+('Donnees_USDA'!N507+'Donnees_USDA'!N607)*'Donnees_USDA'!N907+('Donnees_USDA'!N510+'Donnees_USDA'!N610)*'Donnees_USDA'!N910+('Donnees_USDA'!N511+'Donnees_USDA'!N611)*'Donnees_USDA'!N911</f>
        <v>69955.96150131559</v>
      </c>
      <c r="G16" s="9">
        <f>E16/F16</f>
        <v>0.07097234489562548</v>
      </c>
      <c r="H16" s="10">
        <f>'Prix_ICE'!J16</f>
        <v>224.0875</v>
      </c>
      <c r="I16" s="7">
        <f>'Prix_ICE'!L16</f>
        <v>2150.1500694308334</v>
      </c>
      <c r="J16" s="8">
        <f>('Donnees_USDA'!N706+'Donnees_USDA'!N708+'Donnees_USDA'!N713+'Donnees_USDA'!N709+'Donnees_USDA'!N714+'Donnees_USDA'!N715+'Donnees_USDA'!N716+'Donnees_USDA'!N722)/('Donnees_USDA'!N506+'Donnees_USDA'!N606+'Donnees_USDA'!N508+'Donnees_USDA'!N608+'Donnees_USDA'!N513+'Donnees_USDA'!N613+'Donnees_USDA'!N509+'Donnees_USDA'!N609+'Donnees_USDA'!N514+'Donnees_USDA'!N614+'Donnees_USDA'!N515+'Donnees_USDA'!N615+'Donnees_USDA'!N516+'Donnees_USDA'!N616+'Donnees_USDA'!N522+'Donnees_USDA'!N622)</f>
        <v>0.01816972978107043</v>
      </c>
      <c r="K16" s="8">
        <f>('Donnees_USDA'!N706+'Donnees_USDA'!N707+'Donnees_USDA'!N710+'Donnees_USDA'!N711)/('Donnees_USDA'!N506+'Donnees_USDA'!N606+'Donnees_USDA'!N507+'Donnees_USDA'!N607+'Donnees_USDA'!N510+'Donnees_USDA'!N610+'Donnees_USDA'!N511+'Donnees_USDA'!N611)</f>
        <v>0.05009431611915863</v>
      </c>
    </row>
    <row r="17">
      <c r="A17" s="5" t="s">
        <v>47</v>
      </c>
      <c r="B17" s="7">
        <f>'Donnees_USDA'!O706*'Donnees_USDA'!O806+'Donnees_USDA'!O708*'Donnees_USDA'!O808+'Donnees_USDA'!O713*'Donnees_USDA'!O813+'Donnees_USDA'!O709*'Donnees_USDA'!O809+'Donnees_USDA'!O714*'Donnees_USDA'!O814+'Donnees_USDA'!O715*'Donnees_USDA'!O815+'Donnees_USDA'!O716*'Donnees_USDA'!O816+'Donnees_USDA'!O722*'Donnees_USDA'!O822</f>
        <v>4348.36367944491</v>
      </c>
      <c r="C17" s="7">
        <f>('Donnees_USDA'!O506+'Donnees_USDA'!O606)*'Donnees_USDA'!O806+('Donnees_USDA'!O508+'Donnees_USDA'!O608)*'Donnees_USDA'!O808+('Donnees_USDA'!O513+'Donnees_USDA'!O613)*'Donnees_USDA'!O813+('Donnees_USDA'!O509+'Donnees_USDA'!O609)*'Donnees_USDA'!O809+('Donnees_USDA'!O514+'Donnees_USDA'!O614)*'Donnees_USDA'!O814+('Donnees_USDA'!O515+'Donnees_USDA'!O615)*'Donnees_USDA'!O815+('Donnees_USDA'!O516+'Donnees_USDA'!O616)*'Donnees_USDA'!O816+('Donnees_USDA'!O522+'Donnees_USDA'!O622)*'Donnees_USDA'!O822</f>
        <v>76210.95186782166</v>
      </c>
      <c r="D17" s="9">
        <f>B17/C17</f>
        <v>0.057056939624459777</v>
      </c>
      <c r="E17" s="7">
        <f>'Donnees_USDA'!O706*'Donnees_USDA'!O906+'Donnees_USDA'!O707*'Donnees_USDA'!O907+'Donnees_USDA'!O710*'Donnees_USDA'!O910+'Donnees_USDA'!O711*'Donnees_USDA'!O911</f>
        <v>3334.23723948451</v>
      </c>
      <c r="F17" s="7">
        <f>('Donnees_USDA'!O506+'Donnees_USDA'!O606)*'Donnees_USDA'!O906+('Donnees_USDA'!O507+'Donnees_USDA'!O607)*'Donnees_USDA'!O907+('Donnees_USDA'!O510+'Donnees_USDA'!O610)*'Donnees_USDA'!O910+('Donnees_USDA'!O511+'Donnees_USDA'!O611)*'Donnees_USDA'!O911</f>
        <v>68518.66370632718</v>
      </c>
      <c r="G17" s="9">
        <f>E17/F17</f>
        <v>0.04866173768033685</v>
      </c>
      <c r="H17" s="10">
        <f>'Prix_ICE'!J17</f>
        <v>171.18999999999997</v>
      </c>
      <c r="I17" s="7">
        <f>'Prix_ICE'!L17</f>
        <v>2217.078737803</v>
      </c>
      <c r="J17" s="8">
        <f>('Donnees_USDA'!O706+'Donnees_USDA'!O708+'Donnees_USDA'!O713+'Donnees_USDA'!O709+'Donnees_USDA'!O714+'Donnees_USDA'!O715+'Donnees_USDA'!O716+'Donnees_USDA'!O722)/('Donnees_USDA'!O506+'Donnees_USDA'!O606+'Donnees_USDA'!O508+'Donnees_USDA'!O608+'Donnees_USDA'!O513+'Donnees_USDA'!O613+'Donnees_USDA'!O509+'Donnees_USDA'!O609+'Donnees_USDA'!O514+'Donnees_USDA'!O614+'Donnees_USDA'!O515+'Donnees_USDA'!O615+'Donnees_USDA'!O516+'Donnees_USDA'!O616+'Donnees_USDA'!O522+'Donnees_USDA'!O622)</f>
        <v>0.06133176384632558</v>
      </c>
      <c r="K17" s="8">
        <f>('Donnees_USDA'!O706+'Donnees_USDA'!O707+'Donnees_USDA'!O710+'Donnees_USDA'!O711)/('Donnees_USDA'!O506+'Donnees_USDA'!O606+'Donnees_USDA'!O507+'Donnees_USDA'!O607+'Donnees_USDA'!O510+'Donnees_USDA'!O610+'Donnees_USDA'!O511+'Donnees_USDA'!O611)</f>
        <v>0.05881707049264329</v>
      </c>
    </row>
    <row r="18">
      <c r="A18" s="5" t="s">
        <v>48</v>
      </c>
      <c r="B18" s="7">
        <f>'Donnees_USDA'!P706*'Donnees_USDA'!P806+'Donnees_USDA'!P708*'Donnees_USDA'!P808+'Donnees_USDA'!P713*'Donnees_USDA'!P813+'Donnees_USDA'!P709*'Donnees_USDA'!P809+'Donnees_USDA'!P714*'Donnees_USDA'!P814+'Donnees_USDA'!P715*'Donnees_USDA'!P815+'Donnees_USDA'!P716*'Donnees_USDA'!P816+'Donnees_USDA'!P722*'Donnees_USDA'!P822</f>
        <v>2497.2470961652707</v>
      </c>
      <c r="C18" s="7">
        <f>('Donnees_USDA'!P506+'Donnees_USDA'!P606)*'Donnees_USDA'!P806+('Donnees_USDA'!P508+'Donnees_USDA'!P608)*'Donnees_USDA'!P808+('Donnees_USDA'!P513+'Donnees_USDA'!P613)*'Donnees_USDA'!P813+('Donnees_USDA'!P509+'Donnees_USDA'!P609)*'Donnees_USDA'!P809+('Donnees_USDA'!P514+'Donnees_USDA'!P614)*'Donnees_USDA'!P814+('Donnees_USDA'!P515+'Donnees_USDA'!P615)*'Donnees_USDA'!P815+('Donnees_USDA'!P516+'Donnees_USDA'!P616)*'Donnees_USDA'!P816+('Donnees_USDA'!P522+'Donnees_USDA'!P622)*'Donnees_USDA'!P822</f>
        <v>89277.80260936898</v>
      </c>
      <c r="D18" s="9">
        <f>B18/C18</f>
        <v>0.027971646066288876</v>
      </c>
      <c r="E18" s="7">
        <f>'Donnees_USDA'!P706*'Donnees_USDA'!P906+'Donnees_USDA'!P707*'Donnees_USDA'!P907+'Donnees_USDA'!P710*'Donnees_USDA'!P910+'Donnees_USDA'!P711*'Donnees_USDA'!P911</f>
        <v>2136.083620344544</v>
      </c>
      <c r="F18" s="7">
        <f>('Donnees_USDA'!P506+'Donnees_USDA'!P606)*'Donnees_USDA'!P906+('Donnees_USDA'!P507+'Donnees_USDA'!P607)*'Donnees_USDA'!P907+('Donnees_USDA'!P510+'Donnees_USDA'!P610)*'Donnees_USDA'!P910+('Donnees_USDA'!P511+'Donnees_USDA'!P611)*'Donnees_USDA'!P911</f>
        <v>63557.08849830131</v>
      </c>
      <c r="G18" s="9">
        <f>E18/F18</f>
        <v>0.03360889667564988</v>
      </c>
      <c r="H18" s="10">
        <f>'Prix_ICE'!J18</f>
        <v>204.00166666666667</v>
      </c>
      <c r="I18" s="7">
        <f>'Prix_ICE'!L18</f>
        <v>3504.24765449</v>
      </c>
      <c r="J18" s="8">
        <f>('Donnees_USDA'!P706+'Donnees_USDA'!P708+'Donnees_USDA'!P713+'Donnees_USDA'!P709+'Donnees_USDA'!P714+'Donnees_USDA'!P715+'Donnees_USDA'!P716+'Donnees_USDA'!P722)/('Donnees_USDA'!P506+'Donnees_USDA'!P606+'Donnees_USDA'!P508+'Donnees_USDA'!P608+'Donnees_USDA'!P513+'Donnees_USDA'!P613+'Donnees_USDA'!P509+'Donnees_USDA'!P609+'Donnees_USDA'!P514+'Donnees_USDA'!P614+'Donnees_USDA'!P515+'Donnees_USDA'!P615+'Donnees_USDA'!P516+'Donnees_USDA'!P616+'Donnees_USDA'!P522+'Donnees_USDA'!P622)</f>
        <v>0.02822476627616328</v>
      </c>
      <c r="K18" s="8">
        <f>('Donnees_USDA'!P706+'Donnees_USDA'!P707+'Donnees_USDA'!P710+'Donnees_USDA'!P711)/('Donnees_USDA'!P506+'Donnees_USDA'!P606+'Donnees_USDA'!P507+'Donnees_USDA'!P607+'Donnees_USDA'!P510+'Donnees_USDA'!P610+'Donnees_USDA'!P511+'Donnees_USDA'!P611)</f>
        <v>0.03244855876804282</v>
      </c>
    </row>
    <row r="19">
      <c r="A19" s="5" t="s">
        <v>49</v>
      </c>
      <c r="B19" s="7">
        <f>'Donnees_USDA'!Q706*'Donnees_USDA'!Q806+'Donnees_USDA'!Q708*'Donnees_USDA'!Q808+'Donnees_USDA'!Q713*'Donnees_USDA'!Q813+'Donnees_USDA'!Q709*'Donnees_USDA'!Q809+'Donnees_USDA'!Q714*'Donnees_USDA'!Q814+'Donnees_USDA'!Q715*'Donnees_USDA'!Q815+'Donnees_USDA'!Q716*'Donnees_USDA'!Q816+'Donnees_USDA'!Q722*'Donnees_USDA'!Q822</f>
        <v>2068.8471008869074</v>
      </c>
      <c r="C19" s="7">
        <f>('Donnees_USDA'!Q506+'Donnees_USDA'!Q606)*'Donnees_USDA'!Q806+('Donnees_USDA'!Q508+'Donnees_USDA'!Q608)*'Donnees_USDA'!Q808+('Donnees_USDA'!Q513+'Donnees_USDA'!Q613)*'Donnees_USDA'!Q813+('Donnees_USDA'!Q509+'Donnees_USDA'!Q609)*'Donnees_USDA'!Q809+('Donnees_USDA'!Q514+'Donnees_USDA'!Q614)*'Donnees_USDA'!Q814+('Donnees_USDA'!Q515+'Donnees_USDA'!Q615)*'Donnees_USDA'!Q815+('Donnees_USDA'!Q516+'Donnees_USDA'!Q616)*'Donnees_USDA'!Q816+('Donnees_USDA'!Q522+'Donnees_USDA'!Q622)*'Donnees_USDA'!Q822</f>
        <v>92890.54329370173</v>
      </c>
      <c r="D19" s="9">
        <f>B19/C19</f>
        <v>0.022271880726820785</v>
      </c>
      <c r="E19" s="7">
        <f>'Donnees_USDA'!Q706*'Donnees_USDA'!Q906+'Donnees_USDA'!Q707*'Donnees_USDA'!Q907+'Donnees_USDA'!Q710*'Donnees_USDA'!Q910+'Donnees_USDA'!Q711*'Donnees_USDA'!Q911</f>
        <v>2125.894573055562</v>
      </c>
      <c r="F19" s="7">
        <f>('Donnees_USDA'!Q506+'Donnees_USDA'!Q606)*'Donnees_USDA'!Q906+('Donnees_USDA'!Q507+'Donnees_USDA'!Q607)*'Donnees_USDA'!Q907+('Donnees_USDA'!Q510+'Donnees_USDA'!Q610)*'Donnees_USDA'!Q910+('Donnees_USDA'!Q511+'Donnees_USDA'!Q611)*'Donnees_USDA'!Q911</f>
        <v>66572.73920798916</v>
      </c>
      <c r="G19" s="9">
        <f>E19/F19</f>
        <v>0.03193340995649524</v>
      </c>
      <c r="H19" s="10">
        <f>'Prix_ICE'!J19</f>
        <v>333.06</v>
      </c>
      <c r="I19" s="7">
        <f>'Prix_ICE'!L19</f>
        <v>4701.7435461085</v>
      </c>
      <c r="J19" s="8">
        <f>('Donnees_USDA'!Q706+'Donnees_USDA'!Q708+'Donnees_USDA'!Q713+'Donnees_USDA'!Q709+'Donnees_USDA'!Q714+'Donnees_USDA'!Q715+'Donnees_USDA'!Q716+'Donnees_USDA'!Q722)/('Donnees_USDA'!Q506+'Donnees_USDA'!Q606+'Donnees_USDA'!Q508+'Donnees_USDA'!Q608+'Donnees_USDA'!Q513+'Donnees_USDA'!Q613+'Donnees_USDA'!Q509+'Donnees_USDA'!Q609+'Donnees_USDA'!Q514+'Donnees_USDA'!Q614+'Donnees_USDA'!Q515+'Donnees_USDA'!Q615+'Donnees_USDA'!Q516+'Donnees_USDA'!Q616+'Donnees_USDA'!Q522+'Donnees_USDA'!Q622)</f>
        <v>0.020669026025408033</v>
      </c>
      <c r="K19" s="8">
        <f>('Donnees_USDA'!Q706+'Donnees_USDA'!Q707+'Donnees_USDA'!Q710+'Donnees_USDA'!Q711)/('Donnees_USDA'!Q506+'Donnees_USDA'!Q606+'Donnees_USDA'!Q507+'Donnees_USDA'!Q607+'Donnees_USDA'!Q510+'Donnees_USDA'!Q610+'Donnees_USDA'!Q511+'Donnees_USDA'!Q611)</f>
        <v>0.025399600183465595</v>
      </c>
    </row>
    <row r="20">
      <c r="A20" s="5" t="s">
        <v>50</v>
      </c>
      <c r="B20" s="7">
        <f>'Donnees_USDA'!R706*'Donnees_USDA'!R806+'Donnees_USDA'!R708*'Donnees_USDA'!R808+'Donnees_USDA'!R713*'Donnees_USDA'!R813+'Donnees_USDA'!R709*'Donnees_USDA'!R809+'Donnees_USDA'!R714*'Donnees_USDA'!R814+'Donnees_USDA'!R715*'Donnees_USDA'!R815+'Donnees_USDA'!R716*'Donnees_USDA'!R816+'Donnees_USDA'!R722*'Donnees_USDA'!R822</f>
        <v>4007.4608501615116</v>
      </c>
      <c r="C20" s="7">
        <f>('Donnees_USDA'!R506+'Donnees_USDA'!R606)*'Donnees_USDA'!R806+('Donnees_USDA'!R508+'Donnees_USDA'!R608)*'Donnees_USDA'!R808+('Donnees_USDA'!R513+'Donnees_USDA'!R613)*'Donnees_USDA'!R813+('Donnees_USDA'!R509+'Donnees_USDA'!R609)*'Donnees_USDA'!R809+('Donnees_USDA'!R514+'Donnees_USDA'!R614)*'Donnees_USDA'!R814+('Donnees_USDA'!R515+'Donnees_USDA'!R615)*'Donnees_USDA'!R815+('Donnees_USDA'!R516+'Donnees_USDA'!R616)*'Donnees_USDA'!R816+('Donnees_USDA'!R522+'Donnees_USDA'!R622)*'Donnees_USDA'!R822</f>
        <v>83848.06025516387</v>
      </c>
      <c r="D20" s="9">
        <f>B20/C20</f>
        <v>0.047794317936111205</v>
      </c>
      <c r="E20" s="7">
        <f>'Donnees_USDA'!R706*'Donnees_USDA'!R906+'Donnees_USDA'!R707*'Donnees_USDA'!R907+'Donnees_USDA'!R710*'Donnees_USDA'!R910+'Donnees_USDA'!R711*'Donnees_USDA'!R911</f>
        <v>3157.6538318602757</v>
      </c>
      <c r="F20" s="7">
        <f>('Donnees_USDA'!R506+'Donnees_USDA'!R606)*'Donnees_USDA'!R906+('Donnees_USDA'!R507+'Donnees_USDA'!R607)*'Donnees_USDA'!R907+('Donnees_USDA'!R510+'Donnees_USDA'!R610)*'Donnees_USDA'!R910+('Donnees_USDA'!R511+'Donnees_USDA'!R611)*'Donnees_USDA'!R911</f>
        <v>74064.97122189845</v>
      </c>
      <c r="G20" s="9">
        <f>E20/F20</f>
        <v>0.04263356590526382</v>
      </c>
      <c r="H20" s="10">
        <f>'Prix_ICE'!J20</f>
        <v>312.21</v>
      </c>
      <c r="I20" s="7">
        <f>'Prix_ICE'!L20</f>
        <v>3788.463594255636</v>
      </c>
      <c r="J20" s="8">
        <f>('Donnees_USDA'!R706+'Donnees_USDA'!R708+'Donnees_USDA'!R713+'Donnees_USDA'!R709+'Donnees_USDA'!R714+'Donnees_USDA'!R715+'Donnees_USDA'!R716+'Donnees_USDA'!R722)/('Donnees_USDA'!R506+'Donnees_USDA'!R606+'Donnees_USDA'!R508+'Donnees_USDA'!R608+'Donnees_USDA'!R513+'Donnees_USDA'!R613+'Donnees_USDA'!R509+'Donnees_USDA'!R609+'Donnees_USDA'!R514+'Donnees_USDA'!R614+'Donnees_USDA'!R515+'Donnees_USDA'!R615+'Donnees_USDA'!R516+'Donnees_USDA'!R616+'Donnees_USDA'!R522+'Donnees_USDA'!R622)</f>
        <v>0.05111973943286164</v>
      </c>
      <c r="K20" s="8">
        <f>('Donnees_USDA'!R706+'Donnees_USDA'!R707+'Donnees_USDA'!R710+'Donnees_USDA'!R711)/('Donnees_USDA'!R506+'Donnees_USDA'!R606+'Donnees_USDA'!R507+'Donnees_USDA'!R607+'Donnees_USDA'!R510+'Donnees_USDA'!R610+'Donnees_USDA'!R511+'Donnees_USDA'!R611)</f>
        <v>0.049627074725120804</v>
      </c>
    </row>
    <row r="21">
      <c r="A21" s="6" t="s">
        <v>51</v>
      </c>
      <c r="B21" s="7">
        <f>'Donnees_USDA'!S706*'Donnees_USDA'!S806+'Donnees_USDA'!S708*'Donnees_USDA'!S808+'Donnees_USDA'!S713*'Donnees_USDA'!S813+'Donnees_USDA'!S709*'Donnees_USDA'!S809+'Donnees_USDA'!S714*'Donnees_USDA'!S814+'Donnees_USDA'!S715*'Donnees_USDA'!S815+'Donnees_USDA'!S716*'Donnees_USDA'!S816+'Donnees_USDA'!S722*'Donnees_USDA'!S822</f>
        <v>4559.015832177239</v>
      </c>
      <c r="C21" s="7">
        <f>('Donnees_USDA'!S506+'Donnees_USDA'!S606)*'Donnees_USDA'!S806+('Donnees_USDA'!S508+'Donnees_USDA'!S608)*'Donnees_USDA'!S808+('Donnees_USDA'!S513+'Donnees_USDA'!S613)*'Donnees_USDA'!S813+('Donnees_USDA'!S509+'Donnees_USDA'!S609)*'Donnees_USDA'!S809+('Donnees_USDA'!S514+'Donnees_USDA'!S614)*'Donnees_USDA'!S814+('Donnees_USDA'!S515+'Donnees_USDA'!S615)*'Donnees_USDA'!S815+('Donnees_USDA'!S516+'Donnees_USDA'!S616)*'Donnees_USDA'!S816+('Donnees_USDA'!S522+'Donnees_USDA'!S622)*'Donnees_USDA'!S822</f>
        <v>96782.21697047703</v>
      </c>
      <c r="D21" s="9">
        <f>B21/C21</f>
        <v>0.04710592477508493</v>
      </c>
      <c r="E21" s="7">
        <f>'Donnees_USDA'!S706*'Donnees_USDA'!S906+'Donnees_USDA'!S707*'Donnees_USDA'!S907+'Donnees_USDA'!S710*'Donnees_USDA'!S910+'Donnees_USDA'!S711*'Donnees_USDA'!S911</f>
        <v>2840.5962139680096</v>
      </c>
      <c r="F21" s="7">
        <f>('Donnees_USDA'!S506+'Donnees_USDA'!S606)*'Donnees_USDA'!S906+('Donnees_USDA'!S507+'Donnees_USDA'!S607)*'Donnees_USDA'!S907+('Donnees_USDA'!S510+'Donnees_USDA'!S610)*'Donnees_USDA'!S910+('Donnees_USDA'!S511+'Donnees_USDA'!S611)*'Donnees_USDA'!S911</f>
        <v>74398.9139144601</v>
      </c>
      <c r="G21" s="9">
        <f>E21/F21</f>
        <v>0.03818061399705344</v>
      </c>
      <c r="H21" s="10"/>
      <c r="I21" s="10"/>
      <c r="J21" s="8">
        <f>('Donnees_USDA'!S706+'Donnees_USDA'!S708+'Donnees_USDA'!S713+'Donnees_USDA'!S709+'Donnees_USDA'!S714+'Donnees_USDA'!S715+'Donnees_USDA'!S716+'Donnees_USDA'!S722)/('Donnees_USDA'!S506+'Donnees_USDA'!S606+'Donnees_USDA'!S508+'Donnees_USDA'!S608+'Donnees_USDA'!S513+'Donnees_USDA'!S613+'Donnees_USDA'!S509+'Donnees_USDA'!S609+'Donnees_USDA'!S514+'Donnees_USDA'!S614+'Donnees_USDA'!S515+'Donnees_USDA'!S615+'Donnees_USDA'!S516+'Donnees_USDA'!S616+'Donnees_USDA'!S522+'Donnees_USDA'!S622)</f>
        <v>0.049649049526196386</v>
      </c>
      <c r="K21" s="8">
        <f>('Donnees_USDA'!S706+'Donnees_USDA'!S707+'Donnees_USDA'!S710+'Donnees_USDA'!S711)/('Donnees_USDA'!S506+'Donnees_USDA'!S606+'Donnees_USDA'!S507+'Donnees_USDA'!S607+'Donnees_USDA'!S510+'Donnees_USDA'!S610+'Donnees_USDA'!S511+'Donnees_USDA'!S611)</f>
        <v>0.04714040891156192</v>
      </c>
    </row>
  </sheetData>
  <pageMargins left="0.5" right="0.5" top="0.75" bottom="0.75" header="0.3" footer="0.3"/>
  <pageSetup orientation="landscape"/>
  <drawing r:id="rId1"/>
</worksheet>
</file>

<file path=xl/worksheets/sheet5.xml><?xml version="1.0" encoding="utf-8"?>
<worksheet xmlns="http://schemas.openxmlformats.org/spreadsheetml/2006/main" xmlns:r="http://schemas.openxmlformats.org/officeDocument/2006/relationships">
  <sheetPr>
    <tabColor rgb="FF2E75B6"/>
  </sheetPr>
  <dimension ref="A1:F21"/>
  <sheetViews>
    <sheetView showGridLines="0" workbookViewId="0"/>
  </sheetViews>
  <sheetFormatPr defaultRowHeight="12.75"/>
  <cols>
    <col min="1" max="1" width="13" customWidth="1"/>
    <col min="2" max="2" width="10" customWidth="1"/>
    <col min="3" max="3" width="10" customWidth="1"/>
    <col min="4" max="4" width="10" customWidth="1"/>
    <col min="5" max="5" width="10" customWidth="1"/>
    <col min="6" max="6" width="10" customWidth="1"/>
    <col min="7" max="7" width="2" customWidth="1"/>
  </cols>
  <sheetData>
    <row r="1" ht="20" customHeight="1">
      <c r="A1" s="1" t="s">
        <v>74</v>
      </c>
    </row>
    <row r="2">
      <c r="A2" s="2" t="s">
        <v>75</v>
      </c>
    </row>
    <row r="3">
      <c r="A3" s="2" t="s">
        <v>76</v>
      </c>
    </row>
    <row r="4" ht="48" customHeight="1">
      <c r="A4" s="3" t="s">
        <v>26</v>
      </c>
      <c r="B4" s="3" t="s">
        <v>77</v>
      </c>
      <c r="C4" s="3" t="s">
        <v>78</v>
      </c>
      <c r="D4" s="3" t="s">
        <v>79</v>
      </c>
      <c r="E4" s="3" t="s">
        <v>32</v>
      </c>
      <c r="F4" s="3" t="s">
        <v>34</v>
      </c>
    </row>
    <row r="5">
      <c r="A5" s="5" t="s">
        <v>35</v>
      </c>
      <c r="B5" s="9">
        <f>'Donnees_USDA'!C706/('Donnees_USDA'!C506+'Donnees_USDA'!C606)</f>
        <v>0.05338967481168473</v>
      </c>
      <c r="C5" s="9">
        <f>'Donnees_USDA'!C708/('Donnees_USDA'!C508+'Donnees_USDA'!C608)</f>
        <v>0.010415570752235665</v>
      </c>
      <c r="D5" s="9">
        <f>'Donnees_USDA'!C707/('Donnees_USDA'!C507+'Donnees_USDA'!C607)</f>
        <v>0.04004605296090504</v>
      </c>
      <c r="E5" s="10">
        <f>'Prix_ICE'!J5</f>
        <v>249.65999999999997</v>
      </c>
      <c r="F5" s="7">
        <f>'Prix_ICE'!L5</f>
        <v>2219.0812700161664</v>
      </c>
    </row>
    <row r="6">
      <c r="A6" s="5" t="s">
        <v>36</v>
      </c>
      <c r="B6" s="9">
        <f>'Donnees_USDA'!D706/('Donnees_USDA'!D506+'Donnees_USDA'!D606)</f>
        <v>0.04487847918504853</v>
      </c>
      <c r="C6" s="9">
        <f>'Donnees_USDA'!D708/('Donnees_USDA'!D508+'Donnees_USDA'!D608)</f>
        <v>0.02888631090487239</v>
      </c>
      <c r="D6" s="9">
        <f>'Donnees_USDA'!D707/('Donnees_USDA'!D507+'Donnees_USDA'!D607)</f>
        <v>0.041666666666666664</v>
      </c>
      <c r="E6" s="10">
        <f>'Prix_ICE'!J6</f>
        <v>197.8416666666667</v>
      </c>
      <c r="F6" s="7">
        <f>'Prix_ICE'!L6</f>
        <v>2014.6760094318333</v>
      </c>
    </row>
    <row r="7">
      <c r="A7" s="5" t="s">
        <v>37</v>
      </c>
      <c r="B7" s="9">
        <f>'Donnees_USDA'!E706/('Donnees_USDA'!E506+'Donnees_USDA'!E606)</f>
        <v>0.17860941500886351</v>
      </c>
      <c r="C7" s="9">
        <f>'Donnees_USDA'!E708/('Donnees_USDA'!E508+'Donnees_USDA'!E608)</f>
        <v>0.07667826951765291</v>
      </c>
      <c r="D7" s="9">
        <f>'Donnees_USDA'!E707/('Donnees_USDA'!E507+'Donnees_USDA'!E607)</f>
        <v>0.07352274444612363</v>
      </c>
      <c r="E7" s="10">
        <f>'Prix_ICE'!J7</f>
        <v>140.69833333333332</v>
      </c>
      <c r="F7" s="7">
        <f>'Prix_ICE'!L7</f>
        <v>1950.6684660311666</v>
      </c>
    </row>
    <row r="8">
      <c r="A8" s="5" t="s">
        <v>38</v>
      </c>
      <c r="B8" s="9">
        <f>'Donnees_USDA'!F706/('Donnees_USDA'!F506+'Donnees_USDA'!F606)</f>
        <v>0.21977334608874824</v>
      </c>
      <c r="C8" s="9">
        <f>'Donnees_USDA'!F708/('Donnees_USDA'!F508+'Donnees_USDA'!F608)</f>
        <v>0.07787682333873581</v>
      </c>
      <c r="D8" s="9">
        <f>'Donnees_USDA'!F707/('Donnees_USDA'!F507+'Donnees_USDA'!F607)</f>
        <v>0.07030399049410833</v>
      </c>
      <c r="E8" s="10">
        <f>'Prix_ICE'!J8</f>
        <v>161.4675</v>
      </c>
      <c r="F8" s="7">
        <f>'Prix_ICE'!L8</f>
        <v>1893.2013030698333</v>
      </c>
    </row>
    <row r="9">
      <c r="A9" s="5" t="s">
        <v>39</v>
      </c>
      <c r="B9" s="9">
        <f>'Donnees_USDA'!G706/('Donnees_USDA'!G506+'Donnees_USDA'!G606)</f>
        <v>0.16326566420437597</v>
      </c>
      <c r="C9" s="9">
        <f>'Donnees_USDA'!G708/('Donnees_USDA'!G508+'Donnees_USDA'!G608)</f>
        <v>0.048552821997105644</v>
      </c>
      <c r="D9" s="9">
        <f>'Donnees_USDA'!G707/('Donnees_USDA'!G507+'Donnees_USDA'!G607)</f>
        <v>0.26639757820383453</v>
      </c>
      <c r="E9" s="10">
        <f>'Prix_ICE'!J9</f>
        <v>154.02083333333334</v>
      </c>
      <c r="F9" s="7">
        <f>'Prix_ICE'!L9</f>
        <v>1849.9172122971665</v>
      </c>
    </row>
    <row r="10">
      <c r="A10" s="5" t="s">
        <v>40</v>
      </c>
      <c r="B10" s="9">
        <f>'Donnees_USDA'!H706/('Donnees_USDA'!H506+'Donnees_USDA'!H606)</f>
        <v>0.042058229015213305</v>
      </c>
      <c r="C10" s="9">
        <f>'Donnees_USDA'!H708/('Donnees_USDA'!H508+'Donnees_USDA'!H608)</f>
        <v>0.08192683810213691</v>
      </c>
      <c r="D10" s="9">
        <f>'Donnees_USDA'!H707/('Donnees_USDA'!H507+'Donnees_USDA'!H607)</f>
        <v>0.13254456538886258</v>
      </c>
      <c r="E10" s="10">
        <f>'Prix_ICE'!J10</f>
        <v>131.83249999999998</v>
      </c>
      <c r="F10" s="7">
        <f>'Prix_ICE'!L10</f>
        <v>1632.9272309236667</v>
      </c>
    </row>
    <row r="11">
      <c r="A11" s="5" t="s">
        <v>41</v>
      </c>
      <c r="B11" s="9">
        <f>'Donnees_USDA'!I706/('Donnees_USDA'!I506+'Donnees_USDA'!I606)</f>
        <v>0.06997404306657405</v>
      </c>
      <c r="C11" s="9">
        <f>'Donnees_USDA'!I708/('Donnees_USDA'!I508+'Donnees_USDA'!I608)</f>
        <v>0.0582703058204538</v>
      </c>
      <c r="D11" s="9">
        <f>'Donnees_USDA'!I707/('Donnees_USDA'!I507+'Donnees_USDA'!I607)</f>
        <v>0.09175222450376455</v>
      </c>
      <c r="E11" s="10">
        <f>'Prix_ICE'!J11</f>
        <v>143.7716666666667</v>
      </c>
      <c r="F11" s="7">
        <f>'Prix_ICE'!L11</f>
        <v>2097.110523564667</v>
      </c>
    </row>
    <row r="12">
      <c r="A12" s="5" t="s">
        <v>42</v>
      </c>
      <c r="B12" s="9">
        <f>'Donnees_USDA'!J706/('Donnees_USDA'!J506+'Donnees_USDA'!J606)</f>
        <v>0.05891364375685592</v>
      </c>
      <c r="C12" s="9">
        <f>'Donnees_USDA'!J708/('Donnees_USDA'!J508+'Donnees_USDA'!J608)</f>
        <v>0.07728695652173913</v>
      </c>
      <c r="D12" s="9">
        <f>'Donnees_USDA'!J707/('Donnees_USDA'!J507+'Donnees_USDA'!J607)</f>
        <v>0.007746972885594901</v>
      </c>
      <c r="E12" s="10">
        <f>'Prix_ICE'!J12</f>
        <v>120.60083333333334</v>
      </c>
      <c r="F12" s="7">
        <f>'Prix_ICE'!L12</f>
        <v>1725.8888180669999</v>
      </c>
    </row>
    <row r="13">
      <c r="A13" s="5" t="s">
        <v>43</v>
      </c>
      <c r="B13" s="9">
        <f>'Donnees_USDA'!K706/('Donnees_USDA'!K506+'Donnees_USDA'!K606)</f>
        <v>0.07823476619317303</v>
      </c>
      <c r="C13" s="9">
        <f>'Donnees_USDA'!K708/('Donnees_USDA'!K508+'Donnees_USDA'!K608)</f>
        <v>0.03552123552123552</v>
      </c>
      <c r="D13" s="9">
        <f>'Donnees_USDA'!K707/('Donnees_USDA'!K507+'Donnees_USDA'!K607)</f>
        <v>0.01778744641371809</v>
      </c>
      <c r="E13" s="10">
        <f>'Prix_ICE'!J13</f>
        <v>104.98083333333334</v>
      </c>
      <c r="F13" s="7">
        <f>'Prix_ICE'!L13</f>
        <v>1488.8367708514998</v>
      </c>
    </row>
    <row r="14">
      <c r="A14" s="5" t="s">
        <v>44</v>
      </c>
      <c r="B14" s="9">
        <f>'Donnees_USDA'!L706/('Donnees_USDA'!L506+'Donnees_USDA'!L606)</f>
        <v>0.037517786561264824</v>
      </c>
      <c r="C14" s="9">
        <f>'Donnees_USDA'!L708/('Donnees_USDA'!L508+'Donnees_USDA'!L608)</f>
        <v>0.05764546684709066</v>
      </c>
      <c r="D14" s="9">
        <f>'Donnees_USDA'!L707/('Donnees_USDA'!L507+'Donnees_USDA'!L607)</f>
        <v>0.0700059159929008</v>
      </c>
      <c r="E14" s="10">
        <f>'Prix_ICE'!J14</f>
        <v>113.23666666666666</v>
      </c>
      <c r="F14" s="7">
        <f>'Prix_ICE'!L14</f>
        <v>1305.5958874191667</v>
      </c>
    </row>
    <row r="15">
      <c r="A15" s="5" t="s">
        <v>45</v>
      </c>
      <c r="B15" s="9">
        <f>'Donnees_USDA'!M706/('Donnees_USDA'!M506+'Donnees_USDA'!M606)</f>
        <v>0.06460157457140756</v>
      </c>
      <c r="C15" s="9">
        <f>'Donnees_USDA'!M708/('Donnees_USDA'!M508+'Donnees_USDA'!M608)</f>
        <v>0.08324907313784968</v>
      </c>
      <c r="D15" s="9">
        <f>'Donnees_USDA'!M707/('Donnees_USDA'!M507+'Donnees_USDA'!M607)</f>
        <v>0.13062098501070663</v>
      </c>
      <c r="E15" s="10">
        <f>'Prix_ICE'!J15</f>
        <v>143.75333333333336</v>
      </c>
      <c r="F15" s="7">
        <f>'Prix_ICE'!L15</f>
        <v>1540.9393521041666</v>
      </c>
    </row>
    <row r="16">
      <c r="A16" s="5" t="s">
        <v>46</v>
      </c>
      <c r="B16" s="9">
        <f>'Donnees_USDA'!N706/('Donnees_USDA'!N506+'Donnees_USDA'!N606)</f>
        <v>0.008706166868198308</v>
      </c>
      <c r="C16" s="9">
        <f>'Donnees_USDA'!N708/('Donnees_USDA'!N508+'Donnees_USDA'!N608)</f>
        <v>0.052377670572019294</v>
      </c>
      <c r="D16" s="9">
        <f>'Donnees_USDA'!N707/('Donnees_USDA'!N507+'Donnees_USDA'!N607)</f>
        <v>0.111145606954362</v>
      </c>
      <c r="E16" s="10">
        <f>'Prix_ICE'!J16</f>
        <v>224.0875</v>
      </c>
      <c r="F16" s="7">
        <f>'Prix_ICE'!L16</f>
        <v>2150.1500694308334</v>
      </c>
    </row>
    <row r="17">
      <c r="A17" s="5" t="s">
        <v>47</v>
      </c>
      <c r="B17" s="9">
        <f>'Donnees_USDA'!O706/('Donnees_USDA'!O506+'Donnees_USDA'!O606)</f>
        <v>0.07884631794521717</v>
      </c>
      <c r="C17" s="9">
        <f>'Donnees_USDA'!O708/('Donnees_USDA'!O508+'Donnees_USDA'!O608)</f>
        <v>0.06935736677115988</v>
      </c>
      <c r="D17" s="9">
        <f>'Donnees_USDA'!O707/('Donnees_USDA'!O507+'Donnees_USDA'!O607)</f>
        <v>0.026601141407736208</v>
      </c>
      <c r="E17" s="10">
        <f>'Prix_ICE'!J17</f>
        <v>171.18999999999997</v>
      </c>
      <c r="F17" s="7">
        <f>'Prix_ICE'!L17</f>
        <v>2217.078737803</v>
      </c>
    </row>
    <row r="18">
      <c r="A18" s="5" t="s">
        <v>48</v>
      </c>
      <c r="B18" s="9">
        <f>'Donnees_USDA'!P706/('Donnees_USDA'!P506+'Donnees_USDA'!P606)</f>
        <v>0.030256856769699608</v>
      </c>
      <c r="C18" s="9">
        <f>'Donnees_USDA'!P708/('Donnees_USDA'!P508+'Donnees_USDA'!P608)</f>
        <v>0.04773133261879243</v>
      </c>
      <c r="D18" s="9">
        <f>'Donnees_USDA'!P707/('Donnees_USDA'!P507+'Donnees_USDA'!P607)</f>
        <v>0.03141342756183746</v>
      </c>
      <c r="E18" s="10">
        <f>'Prix_ICE'!J18</f>
        <v>204.00166666666667</v>
      </c>
      <c r="F18" s="7">
        <f>'Prix_ICE'!L18</f>
        <v>3504.24765449</v>
      </c>
    </row>
    <row r="19">
      <c r="A19" s="5" t="s">
        <v>49</v>
      </c>
      <c r="B19" s="9">
        <f>'Donnees_USDA'!Q706/('Donnees_USDA'!Q506+'Donnees_USDA'!Q606)</f>
        <v>0.014313549160671462</v>
      </c>
      <c r="C19" s="9">
        <f>'Donnees_USDA'!Q708/('Donnees_USDA'!Q508+'Donnees_USDA'!Q608)</f>
        <v>0.05938425866288806</v>
      </c>
      <c r="D19" s="9">
        <f>'Donnees_USDA'!Q707/('Donnees_USDA'!Q507+'Donnees_USDA'!Q607)</f>
        <v>0.0363</v>
      </c>
      <c r="E19" s="10">
        <f>'Prix_ICE'!J19</f>
        <v>333.06</v>
      </c>
      <c r="F19" s="7">
        <f>'Prix_ICE'!L19</f>
        <v>4701.7435461085</v>
      </c>
    </row>
    <row r="20">
      <c r="A20" s="5" t="s">
        <v>50</v>
      </c>
      <c r="B20" s="9">
        <f>'Donnees_USDA'!R706/('Donnees_USDA'!R506+'Donnees_USDA'!R606)</f>
        <v>0.06475477971737323</v>
      </c>
      <c r="C20" s="9">
        <f>'Donnees_USDA'!R708/('Donnees_USDA'!R508+'Donnees_USDA'!R608)</f>
        <v>0.05769487008660893</v>
      </c>
      <c r="D20" s="9">
        <f>'Donnees_USDA'!R707/('Donnees_USDA'!R507+'Donnees_USDA'!R607)</f>
        <v>0.020628742514970058</v>
      </c>
      <c r="E20" s="10">
        <f>'Prix_ICE'!J20</f>
        <v>312.21</v>
      </c>
      <c r="F20" s="7">
        <f>'Prix_ICE'!L20</f>
        <v>3788.463594255636</v>
      </c>
    </row>
    <row r="21">
      <c r="A21" s="6" t="s">
        <v>51</v>
      </c>
      <c r="B21" s="9">
        <f>'Donnees_USDA'!S706/('Donnees_USDA'!S506+'Donnees_USDA'!S606)</f>
        <v>0.06192275398824517</v>
      </c>
      <c r="C21" s="9">
        <f>'Donnees_USDA'!S708/('Donnees_USDA'!S508+'Donnees_USDA'!S608)</f>
        <v>0.04294871794871795</v>
      </c>
      <c r="D21" s="9">
        <f>'Donnees_USDA'!S707/('Donnees_USDA'!S507+'Donnees_USDA'!S607)</f>
        <v>0.014403534609720176</v>
      </c>
      <c r="E21" s="10"/>
      <c r="F21" s="10"/>
    </row>
  </sheetData>
  <pageMargins left="0.5" right="0.5" top="0.75" bottom="0.75" header="0.3" footer="0.3"/>
  <pageSetup orientation="landscape"/>
  <drawing r:id="rId1"/>
</worksheet>
</file>

<file path=xl/worksheets/sheet6.xml><?xml version="1.0" encoding="utf-8"?>
<worksheet xmlns="http://schemas.openxmlformats.org/spreadsheetml/2006/main" xmlns:r="http://schemas.openxmlformats.org/officeDocument/2006/relationships">
  <sheetPr>
    <tabColor rgb="FF70AD47"/>
  </sheetPr>
  <dimension ref="A1:K21"/>
  <sheetViews>
    <sheetView showGridLines="0" workbookViewId="0"/>
  </sheetViews>
  <sheetFormatPr defaultRowHeight="12.75"/>
  <cols>
    <col min="1" max="1" width="13" customWidth="1"/>
    <col min="2" max="2" width="10"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2" customWidth="1"/>
  </cols>
  <sheetData>
    <row r="1" ht="20" customHeight="1">
      <c r="A1" s="1" t="s">
        <v>80</v>
      </c>
    </row>
    <row r="2">
      <c r="A2" s="2" t="s">
        <v>81</v>
      </c>
    </row>
    <row r="3">
      <c r="A3" s="2" t="s">
        <v>82</v>
      </c>
    </row>
    <row r="4" ht="48" customHeight="1">
      <c r="A4" s="3" t="s">
        <v>26</v>
      </c>
      <c r="B4" s="3" t="s">
        <v>83</v>
      </c>
      <c r="C4" s="3" t="s">
        <v>84</v>
      </c>
      <c r="D4" s="3" t="s">
        <v>85</v>
      </c>
      <c r="E4" s="3" t="s">
        <v>86</v>
      </c>
      <c r="F4" s="3" t="s">
        <v>32</v>
      </c>
      <c r="G4" s="3" t="s">
        <v>87</v>
      </c>
      <c r="H4" s="3" t="s">
        <v>88</v>
      </c>
      <c r="I4" s="3" t="s">
        <v>89</v>
      </c>
      <c r="J4" s="3" t="s">
        <v>90</v>
      </c>
      <c r="K4" s="3" t="s">
        <v>34</v>
      </c>
    </row>
    <row r="5">
      <c r="A5" s="5" t="s">
        <v>35</v>
      </c>
      <c r="B5" s="7">
        <f>'Donnees_USDA'!C706</f>
        <v>2906</v>
      </c>
      <c r="C5" s="7">
        <f>'Donnees_USDA'!C506</f>
        <v>19420</v>
      </c>
      <c r="D5" s="7">
        <f>'Donnees_USDA'!C606</f>
        <v>35010</v>
      </c>
      <c r="E5" s="9">
        <f>B5/(C5+D5)</f>
        <v>0.05338967481168473</v>
      </c>
      <c r="F5" s="10">
        <f>'Prix_ICE'!J5</f>
        <v>249.65999999999997</v>
      </c>
      <c r="G5" s="7">
        <f>'Donnees_USDA'!C707</f>
        <v>800</v>
      </c>
      <c r="H5" s="7">
        <f>'Donnees_USDA'!C507</f>
        <v>1337</v>
      </c>
      <c r="I5" s="7">
        <f>'Donnees_USDA'!C607</f>
        <v>18640</v>
      </c>
      <c r="J5" s="9">
        <f>G5/(H5+I5)</f>
        <v>0.04004605296090504</v>
      </c>
      <c r="K5" s="7">
        <f>'Prix_ICE'!L5</f>
        <v>2219.0812700161664</v>
      </c>
    </row>
    <row r="6">
      <c r="A6" s="5" t="s">
        <v>36</v>
      </c>
      <c r="B6" s="7">
        <f>'Donnees_USDA'!D706</f>
        <v>2238</v>
      </c>
      <c r="C6" s="7">
        <f>'Donnees_USDA'!D506</f>
        <v>20025</v>
      </c>
      <c r="D6" s="7">
        <f>'Donnees_USDA'!D606</f>
        <v>29843</v>
      </c>
      <c r="E6" s="9">
        <f>B6/(C6+D6)</f>
        <v>0.04487847918504853</v>
      </c>
      <c r="F6" s="10">
        <f>'Prix_ICE'!J6</f>
        <v>197.8416666666667</v>
      </c>
      <c r="G6" s="7">
        <f>'Donnees_USDA'!D707</f>
        <v>1090</v>
      </c>
      <c r="H6" s="7">
        <f>'Donnees_USDA'!D507</f>
        <v>1665</v>
      </c>
      <c r="I6" s="7">
        <f>'Donnees_USDA'!D607</f>
        <v>24495</v>
      </c>
      <c r="J6" s="9">
        <f>G6/(H6+I6)</f>
        <v>0.041666666666666664</v>
      </c>
      <c r="K6" s="7">
        <f>'Prix_ICE'!L6</f>
        <v>2014.6760094318333</v>
      </c>
    </row>
    <row r="7">
      <c r="A7" s="5" t="s">
        <v>37</v>
      </c>
      <c r="B7" s="7">
        <f>'Donnees_USDA'!E706</f>
        <v>9068</v>
      </c>
      <c r="C7" s="7">
        <f>'Donnees_USDA'!E506</f>
        <v>20110</v>
      </c>
      <c r="D7" s="7">
        <f>'Donnees_USDA'!E606</f>
        <v>30660</v>
      </c>
      <c r="E7" s="9">
        <f>B7/(C7+D7)</f>
        <v>0.17860941500886351</v>
      </c>
      <c r="F7" s="10">
        <f>'Prix_ICE'!J7</f>
        <v>140.69833333333332</v>
      </c>
      <c r="G7" s="7">
        <f>'Donnees_USDA'!E707</f>
        <v>1946</v>
      </c>
      <c r="H7" s="7">
        <f>'Donnees_USDA'!E507</f>
        <v>1825</v>
      </c>
      <c r="I7" s="7">
        <f>'Donnees_USDA'!E607</f>
        <v>24643</v>
      </c>
      <c r="J7" s="9">
        <f>G7/(H7+I7)</f>
        <v>0.07352274444612363</v>
      </c>
      <c r="K7" s="7">
        <f>'Prix_ICE'!L7</f>
        <v>1950.6684660311666</v>
      </c>
    </row>
    <row r="8">
      <c r="A8" s="5" t="s">
        <v>38</v>
      </c>
      <c r="B8" s="7">
        <f>'Donnees_USDA'!F706</f>
        <v>11946</v>
      </c>
      <c r="C8" s="7">
        <f>'Donnees_USDA'!F506</f>
        <v>20210</v>
      </c>
      <c r="D8" s="7">
        <f>'Donnees_USDA'!F606</f>
        <v>34146</v>
      </c>
      <c r="E8" s="9">
        <f>B8/(C8+D8)</f>
        <v>0.21977334608874824</v>
      </c>
      <c r="F8" s="10">
        <f>'Prix_ICE'!J8</f>
        <v>161.4675</v>
      </c>
      <c r="G8" s="7">
        <f>'Donnees_USDA'!F707</f>
        <v>2130</v>
      </c>
      <c r="H8" s="7">
        <f>'Donnees_USDA'!F507</f>
        <v>2008</v>
      </c>
      <c r="I8" s="7">
        <f>'Donnees_USDA'!F607</f>
        <v>28289</v>
      </c>
      <c r="J8" s="9">
        <f>G8/(H8+I8)</f>
        <v>0.07030399049410833</v>
      </c>
      <c r="K8" s="7">
        <f>'Prix_ICE'!L8</f>
        <v>1893.2013030698333</v>
      </c>
    </row>
    <row r="9">
      <c r="A9" s="5" t="s">
        <v>39</v>
      </c>
      <c r="B9" s="7">
        <f>'Donnees_USDA'!G706</f>
        <v>9305</v>
      </c>
      <c r="C9" s="7">
        <f>'Donnees_USDA'!G506</f>
        <v>20420</v>
      </c>
      <c r="D9" s="7">
        <f>'Donnees_USDA'!G606</f>
        <v>36573</v>
      </c>
      <c r="E9" s="9">
        <f>B9/(C9+D9)</f>
        <v>0.16326566420437597</v>
      </c>
      <c r="F9" s="10">
        <f>'Prix_ICE'!J9</f>
        <v>154.02083333333334</v>
      </c>
      <c r="G9" s="7">
        <f>'Donnees_USDA'!G707</f>
        <v>6336</v>
      </c>
      <c r="H9" s="7">
        <f>'Donnees_USDA'!G507</f>
        <v>2217</v>
      </c>
      <c r="I9" s="7">
        <f>'Donnees_USDA'!G607</f>
        <v>21567</v>
      </c>
      <c r="J9" s="9">
        <f>G9/(H9+I9)</f>
        <v>0.26639757820383453</v>
      </c>
      <c r="K9" s="7">
        <f>'Prix_ICE'!L9</f>
        <v>1849.9172122971665</v>
      </c>
    </row>
    <row r="10">
      <c r="A10" s="5" t="s">
        <v>40</v>
      </c>
      <c r="B10" s="7">
        <f>'Donnees_USDA'!H706</f>
        <v>2372</v>
      </c>
      <c r="C10" s="7">
        <f>'Donnees_USDA'!H506</f>
        <v>20855</v>
      </c>
      <c r="D10" s="7">
        <f>'Donnees_USDA'!H606</f>
        <v>35543</v>
      </c>
      <c r="E10" s="9">
        <f>B10/(C10+D10)</f>
        <v>0.042058229015213305</v>
      </c>
      <c r="F10" s="10">
        <f>'Prix_ICE'!J10</f>
        <v>131.83249999999998</v>
      </c>
      <c r="G10" s="7">
        <f>'Donnees_USDA'!H707</f>
        <v>4201</v>
      </c>
      <c r="H10" s="7">
        <f>'Donnees_USDA'!H507</f>
        <v>2630</v>
      </c>
      <c r="I10" s="7">
        <f>'Donnees_USDA'!H607</f>
        <v>29065</v>
      </c>
      <c r="J10" s="9">
        <f>G10/(H10+I10)</f>
        <v>0.13254456538886258</v>
      </c>
      <c r="K10" s="7">
        <f>'Prix_ICE'!L10</f>
        <v>1632.9272309236667</v>
      </c>
    </row>
    <row r="11">
      <c r="A11" s="5" t="s">
        <v>41</v>
      </c>
      <c r="B11" s="7">
        <f>'Donnees_USDA'!I706</f>
        <v>3828</v>
      </c>
      <c r="C11" s="7">
        <f>'Donnees_USDA'!I506</f>
        <v>21625</v>
      </c>
      <c r="D11" s="7">
        <f>'Donnees_USDA'!I606</f>
        <v>33081</v>
      </c>
      <c r="E11" s="9">
        <f>B11/(C11+D11)</f>
        <v>0.06997404306657405</v>
      </c>
      <c r="F11" s="10">
        <f>'Prix_ICE'!J11</f>
        <v>143.7716666666667</v>
      </c>
      <c r="G11" s="7">
        <f>'Donnees_USDA'!I707</f>
        <v>2681</v>
      </c>
      <c r="H11" s="7">
        <f>'Donnees_USDA'!I507</f>
        <v>2770</v>
      </c>
      <c r="I11" s="7">
        <f>'Donnees_USDA'!I607</f>
        <v>26450</v>
      </c>
      <c r="J11" s="9">
        <f>G11/(H11+I11)</f>
        <v>0.09175222450376455</v>
      </c>
      <c r="K11" s="7">
        <f>'Prix_ICE'!L11</f>
        <v>2097.110523564667</v>
      </c>
    </row>
    <row r="12">
      <c r="A12" s="5" t="s">
        <v>42</v>
      </c>
      <c r="B12" s="7">
        <f>'Donnees_USDA'!J706</f>
        <v>3115</v>
      </c>
      <c r="C12" s="7">
        <f>'Donnees_USDA'!J506</f>
        <v>22420</v>
      </c>
      <c r="D12" s="7">
        <f>'Donnees_USDA'!J606</f>
        <v>30454</v>
      </c>
      <c r="E12" s="9">
        <f>B12/(C12+D12)</f>
        <v>0.05891364375685592</v>
      </c>
      <c r="F12" s="10">
        <f>'Prix_ICE'!J12</f>
        <v>120.60083333333334</v>
      </c>
      <c r="G12" s="7">
        <f>'Donnees_USDA'!J707</f>
        <v>254</v>
      </c>
      <c r="H12" s="7">
        <f>'Donnees_USDA'!J507</f>
        <v>2880</v>
      </c>
      <c r="I12" s="7">
        <f>'Donnees_USDA'!J607</f>
        <v>29907</v>
      </c>
      <c r="J12" s="9">
        <f>G12/(H12+I12)</f>
        <v>0.007746972885594901</v>
      </c>
      <c r="K12" s="7">
        <f>'Prix_ICE'!L12</f>
        <v>1725.8888180669999</v>
      </c>
    </row>
    <row r="13">
      <c r="A13" s="5" t="s">
        <v>43</v>
      </c>
      <c r="B13" s="7">
        <f>'Donnees_USDA'!K706</f>
        <v>5056</v>
      </c>
      <c r="C13" s="7">
        <f>'Donnees_USDA'!K506</f>
        <v>23200</v>
      </c>
      <c r="D13" s="7">
        <f>'Donnees_USDA'!K606</f>
        <v>41426</v>
      </c>
      <c r="E13" s="9">
        <f>B13/(C13+D13)</f>
        <v>0.07823476619317303</v>
      </c>
      <c r="F13" s="10">
        <f>'Prix_ICE'!J13</f>
        <v>104.98083333333334</v>
      </c>
      <c r="G13" s="7">
        <f>'Donnees_USDA'!K707</f>
        <v>556</v>
      </c>
      <c r="H13" s="7">
        <f>'Donnees_USDA'!K507</f>
        <v>2940</v>
      </c>
      <c r="I13" s="7">
        <f>'Donnees_USDA'!K607</f>
        <v>28318</v>
      </c>
      <c r="J13" s="9">
        <f>G13/(H13+I13)</f>
        <v>0.01778744641371809</v>
      </c>
      <c r="K13" s="7">
        <f>'Prix_ICE'!L13</f>
        <v>1488.8367708514998</v>
      </c>
    </row>
    <row r="14">
      <c r="A14" s="5" t="s">
        <v>44</v>
      </c>
      <c r="B14" s="7">
        <f>'Donnees_USDA'!L706</f>
        <v>2373</v>
      </c>
      <c r="C14" s="7">
        <f>'Donnees_USDA'!L506</f>
        <v>22994</v>
      </c>
      <c r="D14" s="7">
        <f>'Donnees_USDA'!L606</f>
        <v>40256</v>
      </c>
      <c r="E14" s="9">
        <f>B14/(C14+D14)</f>
        <v>0.037517786561264824</v>
      </c>
      <c r="F14" s="10">
        <f>'Prix_ICE'!J14</f>
        <v>113.23666666666666</v>
      </c>
      <c r="G14" s="7">
        <f>'Donnees_USDA'!L707</f>
        <v>2130</v>
      </c>
      <c r="H14" s="7">
        <f>'Donnees_USDA'!L507</f>
        <v>3100</v>
      </c>
      <c r="I14" s="7">
        <f>'Donnees_USDA'!L607</f>
        <v>27326</v>
      </c>
      <c r="J14" s="9">
        <f>G14/(H14+I14)</f>
        <v>0.0700059159929008</v>
      </c>
      <c r="K14" s="7">
        <f>'Prix_ICE'!L14</f>
        <v>1305.5958874191667</v>
      </c>
    </row>
    <row r="15">
      <c r="A15" s="5" t="s">
        <v>45</v>
      </c>
      <c r="B15" s="7">
        <f>'Donnees_USDA'!M706</f>
        <v>4390</v>
      </c>
      <c r="C15" s="7">
        <f>'Donnees_USDA'!M506</f>
        <v>22280</v>
      </c>
      <c r="D15" s="7">
        <f>'Donnees_USDA'!M606</f>
        <v>45675</v>
      </c>
      <c r="E15" s="9">
        <f>B15/(C15+D15)</f>
        <v>0.06460157457140756</v>
      </c>
      <c r="F15" s="10">
        <f>'Prix_ICE'!J15</f>
        <v>143.75333333333336</v>
      </c>
      <c r="G15" s="7">
        <f>'Donnees_USDA'!M707</f>
        <v>3660</v>
      </c>
      <c r="H15" s="7">
        <f>'Donnees_USDA'!M507</f>
        <v>2720</v>
      </c>
      <c r="I15" s="7">
        <f>'Donnees_USDA'!M607</f>
        <v>25300</v>
      </c>
      <c r="J15" s="9">
        <f>G15/(H15+I15)</f>
        <v>0.13062098501070663</v>
      </c>
      <c r="K15" s="7">
        <f>'Prix_ICE'!L15</f>
        <v>1540.9393521041666</v>
      </c>
    </row>
    <row r="16">
      <c r="A16" s="5" t="s">
        <v>46</v>
      </c>
      <c r="B16" s="7">
        <f>'Donnees_USDA'!N706</f>
        <v>540</v>
      </c>
      <c r="C16" s="7">
        <f>'Donnees_USDA'!N506</f>
        <v>22340</v>
      </c>
      <c r="D16" s="7">
        <f>'Donnees_USDA'!N606</f>
        <v>39685</v>
      </c>
      <c r="E16" s="9">
        <f>B16/(C16+D16)</f>
        <v>0.008706166868198308</v>
      </c>
      <c r="F16" s="10">
        <f>'Prix_ICE'!J16</f>
        <v>224.0875</v>
      </c>
      <c r="G16" s="7">
        <f>'Donnees_USDA'!N707</f>
        <v>3580</v>
      </c>
      <c r="H16" s="7">
        <f>'Donnees_USDA'!N507</f>
        <v>3200</v>
      </c>
      <c r="I16" s="7">
        <f>'Donnees_USDA'!N607</f>
        <v>29010</v>
      </c>
      <c r="J16" s="9">
        <f>G16/(H16+I16)</f>
        <v>0.111145606954362</v>
      </c>
      <c r="K16" s="7">
        <f>'Prix_ICE'!L16</f>
        <v>2150.1500694308334</v>
      </c>
    </row>
    <row r="17">
      <c r="A17" s="5" t="s">
        <v>47</v>
      </c>
      <c r="B17" s="7">
        <f>'Donnees_USDA'!O706</f>
        <v>4620</v>
      </c>
      <c r="C17" s="7">
        <f>'Donnees_USDA'!O506</f>
        <v>22450</v>
      </c>
      <c r="D17" s="7">
        <f>'Donnees_USDA'!O606</f>
        <v>36145</v>
      </c>
      <c r="E17" s="9">
        <f>B17/(C17+D17)</f>
        <v>0.07884631794521717</v>
      </c>
      <c r="F17" s="10">
        <f>'Prix_ICE'!J17</f>
        <v>171.18999999999997</v>
      </c>
      <c r="G17" s="7">
        <f>'Donnees_USDA'!O707</f>
        <v>839</v>
      </c>
      <c r="H17" s="7">
        <f>'Donnees_USDA'!O507</f>
        <v>3200</v>
      </c>
      <c r="I17" s="7">
        <f>'Donnees_USDA'!O607</f>
        <v>28340</v>
      </c>
      <c r="J17" s="9">
        <f>G17/(H17+I17)</f>
        <v>0.026601141407736208</v>
      </c>
      <c r="K17" s="7">
        <f>'Prix_ICE'!L17</f>
        <v>2217.078737803</v>
      </c>
    </row>
    <row r="18">
      <c r="A18" s="5" t="s">
        <v>48</v>
      </c>
      <c r="B18" s="7">
        <f>'Donnees_USDA'!P706</f>
        <v>2085</v>
      </c>
      <c r="C18" s="7">
        <f>'Donnees_USDA'!P506</f>
        <v>22160</v>
      </c>
      <c r="D18" s="7">
        <f>'Donnees_USDA'!P606</f>
        <v>46750</v>
      </c>
      <c r="E18" s="9">
        <f>B18/(C18+D18)</f>
        <v>0.030256856769699608</v>
      </c>
      <c r="F18" s="10">
        <f>'Prix_ICE'!J18</f>
        <v>204.00166666666667</v>
      </c>
      <c r="G18" s="7">
        <f>'Donnees_USDA'!P707</f>
        <v>889</v>
      </c>
      <c r="H18" s="7">
        <f>'Donnees_USDA'!P507</f>
        <v>3900</v>
      </c>
      <c r="I18" s="7">
        <f>'Donnees_USDA'!P607</f>
        <v>24400</v>
      </c>
      <c r="J18" s="9">
        <f>G18/(H18+I18)</f>
        <v>0.03141342756183746</v>
      </c>
      <c r="K18" s="7">
        <f>'Prix_ICE'!L18</f>
        <v>3504.24765449</v>
      </c>
    </row>
    <row r="19">
      <c r="A19" s="5" t="s">
        <v>49</v>
      </c>
      <c r="B19" s="7">
        <f>'Donnees_USDA'!Q706</f>
        <v>955</v>
      </c>
      <c r="C19" s="7">
        <f>'Donnees_USDA'!Q506</f>
        <v>21970</v>
      </c>
      <c r="D19" s="7">
        <f>'Donnees_USDA'!Q606</f>
        <v>44750</v>
      </c>
      <c r="E19" s="9">
        <f>B19/(C19+D19)</f>
        <v>0.014313549160671462</v>
      </c>
      <c r="F19" s="10">
        <f>'Prix_ICE'!J19</f>
        <v>333.06</v>
      </c>
      <c r="G19" s="7">
        <f>'Donnees_USDA'!Q707</f>
        <v>1089</v>
      </c>
      <c r="H19" s="7">
        <f>'Donnees_USDA'!Q507</f>
        <v>4800</v>
      </c>
      <c r="I19" s="7">
        <f>'Donnees_USDA'!Q607</f>
        <v>25200</v>
      </c>
      <c r="J19" s="9">
        <f>G19/(H19+I19)</f>
        <v>0.0363</v>
      </c>
      <c r="K19" s="7">
        <f>'Prix_ICE'!L19</f>
        <v>4701.7435461085</v>
      </c>
    </row>
    <row r="20">
      <c r="A20" s="5" t="s">
        <v>50</v>
      </c>
      <c r="B20" s="7">
        <f>'Donnees_USDA'!R706</f>
        <v>3895</v>
      </c>
      <c r="C20" s="7">
        <f>'Donnees_USDA'!R506</f>
        <v>22280</v>
      </c>
      <c r="D20" s="7">
        <f>'Donnees_USDA'!R606</f>
        <v>37870</v>
      </c>
      <c r="E20" s="9">
        <f>B20/(C20+D20)</f>
        <v>0.06475477971737323</v>
      </c>
      <c r="F20" s="10">
        <f>'Prix_ICE'!J20</f>
        <v>312.21</v>
      </c>
      <c r="G20" s="7">
        <f>'Donnees_USDA'!R707</f>
        <v>689</v>
      </c>
      <c r="H20" s="7">
        <f>'Donnees_USDA'!R507</f>
        <v>4900</v>
      </c>
      <c r="I20" s="7">
        <f>'Donnees_USDA'!R607</f>
        <v>28500</v>
      </c>
      <c r="J20" s="9">
        <f>G20/(H20+I20)</f>
        <v>0.020628742514970058</v>
      </c>
      <c r="K20" s="7">
        <f>'Prix_ICE'!L20</f>
        <v>3788.463594255636</v>
      </c>
    </row>
    <row r="21">
      <c r="A21" s="6" t="s">
        <v>51</v>
      </c>
      <c r="B21" s="7">
        <f>'Donnees_USDA'!S706</f>
        <v>4425</v>
      </c>
      <c r="C21" s="7">
        <f>'Donnees_USDA'!S506</f>
        <v>22390</v>
      </c>
      <c r="D21" s="7">
        <f>'Donnees_USDA'!S606</f>
        <v>49070</v>
      </c>
      <c r="E21" s="9">
        <f>B21/(C21+D21)</f>
        <v>0.06192275398824517</v>
      </c>
      <c r="F21" s="10"/>
      <c r="G21" s="7">
        <f>'Donnees_USDA'!S707</f>
        <v>489</v>
      </c>
      <c r="H21" s="7">
        <f>'Donnees_USDA'!S507</f>
        <v>5000</v>
      </c>
      <c r="I21" s="7">
        <f>'Donnees_USDA'!S607</f>
        <v>28950</v>
      </c>
      <c r="J21" s="9">
        <f>G21/(H21+I21)</f>
        <v>0.014403534609720176</v>
      </c>
      <c r="K21" s="10"/>
    </row>
  </sheetData>
  <pageMargins left="0.5" right="0.5" top="0.75" bottom="0.75" header="0.3" footer="0.3"/>
  <pageSetup orientation="landscape"/>
  <drawing r:id="rId1"/>
</worksheet>
</file>

<file path=xl/worksheets/sheet7.xml><?xml version="1.0" encoding="utf-8"?>
<worksheet xmlns="http://schemas.openxmlformats.org/spreadsheetml/2006/main" xmlns:r="http://schemas.openxmlformats.org/officeDocument/2006/relationships">
  <sheetPr>
    <tabColor rgb="FF7030A0"/>
  </sheetPr>
  <dimension ref="A1:O24"/>
  <sheetViews>
    <sheetView showGridLines="0" workbookViewId="0"/>
  </sheetViews>
  <sheetFormatPr defaultRowHeight="12.75"/>
  <cols>
    <col min="1" max="1" width="13" customWidth="1"/>
    <col min="2" max="2" width="10"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2" customWidth="1"/>
  </cols>
  <sheetData>
    <row r="1" ht="20" customHeight="1">
      <c r="A1" s="1" t="s">
        <v>91</v>
      </c>
    </row>
    <row r="2">
      <c r="A2" s="2" t="s">
        <v>92</v>
      </c>
    </row>
    <row r="3">
      <c r="A3" s="2" t="s">
        <v>93</v>
      </c>
    </row>
    <row r="4" ht="50" customHeight="1">
      <c r="A4" s="3" t="s">
        <v>26</v>
      </c>
      <c r="B4" s="3" t="s">
        <v>94</v>
      </c>
      <c r="C4" s="3" t="s">
        <v>95</v>
      </c>
      <c r="D4" s="3" t="s">
        <v>96</v>
      </c>
      <c r="E4" s="3" t="s">
        <v>97</v>
      </c>
      <c r="F4" s="3" t="s">
        <v>98</v>
      </c>
      <c r="G4" s="3" t="s">
        <v>99</v>
      </c>
      <c r="H4" s="3" t="s">
        <v>32</v>
      </c>
      <c r="I4" s="3" t="s">
        <v>100</v>
      </c>
      <c r="J4" s="3" t="s">
        <v>101</v>
      </c>
      <c r="K4" s="3" t="s">
        <v>102</v>
      </c>
      <c r="L4" s="3" t="s">
        <v>103</v>
      </c>
      <c r="M4" s="3" t="s">
        <v>70</v>
      </c>
      <c r="N4" s="3" t="s">
        <v>104</v>
      </c>
      <c r="O4" s="3" t="s">
        <v>34</v>
      </c>
    </row>
    <row r="5">
      <c r="A5" s="5" t="s">
        <v>35</v>
      </c>
      <c r="B5" s="7">
        <f>('Donnees_USDA'!C6+'Donnees_USDA'!C406-'Donnees_USDA'!C506-'Donnees_USDA'!C606)*'Donnees_USDA'!C806</f>
        <v>53.68807339449542</v>
      </c>
      <c r="C5" s="7">
        <f>('Donnees_USDA'!C506+'Donnees_USDA'!C606)*'Donnees_USDA'!C806</f>
        <v>41746.31192660551</v>
      </c>
      <c r="D5" s="9">
        <f>B5/C5</f>
        <v>0.0012860554841080288</v>
      </c>
      <c r="E5" s="7">
        <f>('Donnees_USDA'!C6+'Donnees_USDA'!C406-'Donnees_USDA'!C506-'Donnees_USDA'!C606)*'Donnees_USDA'!C806+('Donnees_USDA'!C8+'Donnees_USDA'!C408-'Donnees_USDA'!C508-'Donnees_USDA'!C608)*'Donnees_USDA'!C808+('Donnees_USDA'!C13+'Donnees_USDA'!C413-'Donnees_USDA'!C513-'Donnees_USDA'!C613)*'Donnees_USDA'!C813+('Donnees_USDA'!C15+'Donnees_USDA'!C415-'Donnees_USDA'!C515-'Donnees_USDA'!C615)*'Donnees_USDA'!C815+('Donnees_USDA'!C14+'Donnees_USDA'!C414-'Donnees_USDA'!C514-'Donnees_USDA'!C614)*'Donnees_USDA'!C814+('Donnees_USDA'!C17+'Donnees_USDA'!C417-'Donnees_USDA'!C517-'Donnees_USDA'!C617)*'Donnees_USDA'!C817</f>
        <v>-317.5619266055046</v>
      </c>
      <c r="F5" s="7">
        <f>('Donnees_USDA'!C506+'Donnees_USDA'!C606)*'Donnees_USDA'!C806+('Donnees_USDA'!C508+'Donnees_USDA'!C608)*'Donnees_USDA'!C808+('Donnees_USDA'!C513+'Donnees_USDA'!C613)*'Donnees_USDA'!C813+('Donnees_USDA'!C515+'Donnees_USDA'!C615)*'Donnees_USDA'!C815+('Donnees_USDA'!C514+'Donnees_USDA'!C614)*'Donnees_USDA'!C814+('Donnees_USDA'!C517+'Donnees_USDA'!C617)*'Donnees_USDA'!C817</f>
        <v>66213.3119266055</v>
      </c>
      <c r="G5" s="9">
        <f>E5/F5</f>
        <v>-0.00479604353513547</v>
      </c>
      <c r="H5" s="10">
        <f>'Prix_ICE'!J5</f>
        <v>249.65999999999997</v>
      </c>
      <c r="I5" s="7">
        <f>('Donnees_USDA'!C7+'Donnees_USDA'!C407-'Donnees_USDA'!C507-'Donnees_USDA'!C607)*'Donnees_USDA'!C907</f>
        <v>-204.90239505536957</v>
      </c>
      <c r="J5" s="7">
        <f>('Donnees_USDA'!C507+'Donnees_USDA'!C607)*'Donnees_USDA'!C907</f>
        <v>19308.184651043008</v>
      </c>
      <c r="K5" s="9">
        <f>I5/J5</f>
        <v>-0.010612204034639836</v>
      </c>
      <c r="L5" s="7">
        <f>('Donnees_USDA'!C7+'Donnees_USDA'!C407-'Donnees_USDA'!C507-'Donnees_USDA'!C607)*'Donnees_USDA'!C907+('Donnees_USDA'!C6+'Donnees_USDA'!C406-'Donnees_USDA'!C506-'Donnees_USDA'!C606)*'Donnees_USDA'!C906+('Donnees_USDA'!C11+'Donnees_USDA'!C411-'Donnees_USDA'!C511-'Donnees_USDA'!C611)*'Donnees_USDA'!C911+('Donnees_USDA'!C10+'Donnees_USDA'!C410-'Donnees_USDA'!C510-'Donnees_USDA'!C610)*'Donnees_USDA'!C910</f>
        <v>-1554.817946506349</v>
      </c>
      <c r="M5" s="7">
        <f>('Donnees_USDA'!C507+'Donnees_USDA'!C607)*'Donnees_USDA'!C907+('Donnees_USDA'!C506+'Donnees_USDA'!C606)*'Donnees_USDA'!C906+('Donnees_USDA'!C511+'Donnees_USDA'!C611)*'Donnees_USDA'!C911+('Donnees_USDA'!C510+'Donnees_USDA'!C610)*'Donnees_USDA'!C910</f>
        <v>44332.21280303018</v>
      </c>
      <c r="N5" s="9">
        <f>L5/M5</f>
        <v>-0.03507196794832841</v>
      </c>
      <c r="O5" s="7">
        <f>'Prix_ICE'!L5</f>
        <v>2219.0812700161664</v>
      </c>
    </row>
    <row r="6">
      <c r="A6" s="5" t="s">
        <v>36</v>
      </c>
      <c r="B6" s="7">
        <f>('Donnees_USDA'!D6+'Donnees_USDA'!D406-'Donnees_USDA'!D506-'Donnees_USDA'!D606)*'Donnees_USDA'!D806</f>
        <v>-471.130081300813</v>
      </c>
      <c r="C6" s="7">
        <f>('Donnees_USDA'!D506+'Donnees_USDA'!D606)*'Donnees_USDA'!D806</f>
        <v>35171.13008130081</v>
      </c>
      <c r="D6" s="9">
        <f>B6/C6</f>
        <v>-0.013395363760327263</v>
      </c>
      <c r="E6" s="7">
        <f>('Donnees_USDA'!D6+'Donnees_USDA'!D406-'Donnees_USDA'!D506-'Donnees_USDA'!D606)*'Donnees_USDA'!D806+('Donnees_USDA'!D8+'Donnees_USDA'!D408-'Donnees_USDA'!D508-'Donnees_USDA'!D608)*'Donnees_USDA'!D808+('Donnees_USDA'!D13+'Donnees_USDA'!D413-'Donnees_USDA'!D513-'Donnees_USDA'!D613)*'Donnees_USDA'!D813+('Donnees_USDA'!D15+'Donnees_USDA'!D415-'Donnees_USDA'!D515-'Donnees_USDA'!D615)*'Donnees_USDA'!D815+('Donnees_USDA'!D14+'Donnees_USDA'!D414-'Donnees_USDA'!D514-'Donnees_USDA'!D614)*'Donnees_USDA'!D814+('Donnees_USDA'!D17+'Donnees_USDA'!D417-'Donnees_USDA'!D517-'Donnees_USDA'!D617)*'Donnees_USDA'!D817</f>
        <v>-166.87426734732463</v>
      </c>
      <c r="F6" s="7">
        <f>('Donnees_USDA'!D506+'Donnees_USDA'!D606)*'Donnees_USDA'!D806+('Donnees_USDA'!D508+'Donnees_USDA'!D608)*'Donnees_USDA'!D808+('Donnees_USDA'!D513+'Donnees_USDA'!D613)*'Donnees_USDA'!D813+('Donnees_USDA'!D515+'Donnees_USDA'!D615)*'Donnees_USDA'!D815+('Donnees_USDA'!D514+'Donnees_USDA'!D614)*'Donnees_USDA'!D814+('Donnees_USDA'!D517+'Donnees_USDA'!D617)*'Donnees_USDA'!D817</f>
        <v>61950.246360370584</v>
      </c>
      <c r="G6" s="9">
        <f>E6/F6</f>
        <v>-0.0026936820618371857</v>
      </c>
      <c r="H6" s="10">
        <f>'Prix_ICE'!J6</f>
        <v>197.8416666666667</v>
      </c>
      <c r="I6" s="7">
        <f>('Donnees_USDA'!D7+'Donnees_USDA'!D407-'Donnees_USDA'!D507-'Donnees_USDA'!D607)*'Donnees_USDA'!D907</f>
        <v>281.0769230769231</v>
      </c>
      <c r="J6" s="7">
        <f>('Donnees_USDA'!D507+'Donnees_USDA'!D607)*'Donnees_USDA'!D907</f>
        <v>25355.076923076922</v>
      </c>
      <c r="K6" s="9">
        <f>I6/J6</f>
        <v>0.011085626911314986</v>
      </c>
      <c r="L6" s="7">
        <f>('Donnees_USDA'!D7+'Donnees_USDA'!D407-'Donnees_USDA'!D507-'Donnees_USDA'!D607)*'Donnees_USDA'!D907+('Donnees_USDA'!D6+'Donnees_USDA'!D406-'Donnees_USDA'!D506-'Donnees_USDA'!D606)*'Donnees_USDA'!D906+('Donnees_USDA'!D11+'Donnees_USDA'!D411-'Donnees_USDA'!D511-'Donnees_USDA'!D611)*'Donnees_USDA'!D911+('Donnees_USDA'!D10+'Donnees_USDA'!D410-'Donnees_USDA'!D510-'Donnees_USDA'!D610)*'Donnees_USDA'!D910</f>
        <v>34.73290944858104</v>
      </c>
      <c r="M6" s="7">
        <f>('Donnees_USDA'!D507+'Donnees_USDA'!D607)*'Donnees_USDA'!D907+('Donnees_USDA'!D506+'Donnees_USDA'!D606)*'Donnees_USDA'!D906+('Donnees_USDA'!D511+'Donnees_USDA'!D611)*'Donnees_USDA'!D911+('Donnees_USDA'!D510+'Donnees_USDA'!D610)*'Donnees_USDA'!D910</f>
        <v>50063.56020897628</v>
      </c>
      <c r="N6" s="9">
        <f>L6/M6</f>
        <v>0.0006937762576931856</v>
      </c>
      <c r="O6" s="7">
        <f>'Prix_ICE'!L6</f>
        <v>2014.6760094318333</v>
      </c>
    </row>
    <row r="7">
      <c r="A7" s="5" t="s">
        <v>37</v>
      </c>
      <c r="B7" s="7">
        <f>('Donnees_USDA'!E6+'Donnees_USDA'!E406-'Donnees_USDA'!E506-'Donnees_USDA'!E606)*'Donnees_USDA'!E806</f>
        <v>4992.065972222223</v>
      </c>
      <c r="C7" s="7">
        <f>('Donnees_USDA'!E506+'Donnees_USDA'!E606)*'Donnees_USDA'!E806</f>
        <v>37107.93402777778</v>
      </c>
      <c r="D7" s="9">
        <f>B7/C7</f>
        <v>0.13452826472326176</v>
      </c>
      <c r="E7" s="7">
        <f>('Donnees_USDA'!E6+'Donnees_USDA'!E406-'Donnees_USDA'!E506-'Donnees_USDA'!E606)*'Donnees_USDA'!E806+('Donnees_USDA'!E8+'Donnees_USDA'!E408-'Donnees_USDA'!E508-'Donnees_USDA'!E608)*'Donnees_USDA'!E808+('Donnees_USDA'!E13+'Donnees_USDA'!E413-'Donnees_USDA'!E513-'Donnees_USDA'!E613)*'Donnees_USDA'!E813+('Donnees_USDA'!E15+'Donnees_USDA'!E415-'Donnees_USDA'!E515-'Donnees_USDA'!E615)*'Donnees_USDA'!E815+('Donnees_USDA'!E14+'Donnees_USDA'!E414-'Donnees_USDA'!E514-'Donnees_USDA'!E614)*'Donnees_USDA'!E814+('Donnees_USDA'!E17+'Donnees_USDA'!E417-'Donnees_USDA'!E517-'Donnees_USDA'!E617)*'Donnees_USDA'!E817</f>
        <v>5358.108982974911</v>
      </c>
      <c r="F7" s="7">
        <f>('Donnees_USDA'!E506+'Donnees_USDA'!E606)*'Donnees_USDA'!E806+('Donnees_USDA'!E508+'Donnees_USDA'!E608)*'Donnees_USDA'!E808+('Donnees_USDA'!E513+'Donnees_USDA'!E613)*'Donnees_USDA'!E813+('Donnees_USDA'!E515+'Donnees_USDA'!E615)*'Donnees_USDA'!E815+('Donnees_USDA'!E514+'Donnees_USDA'!E614)*'Donnees_USDA'!E814+('Donnees_USDA'!E517+'Donnees_USDA'!E617)*'Donnees_USDA'!E817</f>
        <v>63850.07381272402</v>
      </c>
      <c r="G7" s="9">
        <f>E7/F7</f>
        <v>0.08391703663006805</v>
      </c>
      <c r="H7" s="10">
        <f>'Prix_ICE'!J7</f>
        <v>140.69833333333332</v>
      </c>
      <c r="I7" s="7">
        <f>('Donnees_USDA'!E7+'Donnees_USDA'!E407-'Donnees_USDA'!E507-'Donnees_USDA'!E607)*'Donnees_USDA'!E907</f>
        <v>826.9283018867925</v>
      </c>
      <c r="J7" s="7">
        <f>('Donnees_USDA'!E507+'Donnees_USDA'!E607)*'Donnees_USDA'!E907</f>
        <v>25569.086792452832</v>
      </c>
      <c r="K7" s="9">
        <f>I7/J7</f>
        <v>0.03234094000302252</v>
      </c>
      <c r="L7" s="7">
        <f>('Donnees_USDA'!E7+'Donnees_USDA'!E407-'Donnees_USDA'!E507-'Donnees_USDA'!E607)*'Donnees_USDA'!E907+('Donnees_USDA'!E6+'Donnees_USDA'!E406-'Donnees_USDA'!E506-'Donnees_USDA'!E606)*'Donnees_USDA'!E906+('Donnees_USDA'!E11+'Donnees_USDA'!E411-'Donnees_USDA'!E511-'Donnees_USDA'!E611)*'Donnees_USDA'!E911+('Donnees_USDA'!E10+'Donnees_USDA'!E410-'Donnees_USDA'!E510-'Donnees_USDA'!E610)*'Donnees_USDA'!E910</f>
        <v>2537.0705462845513</v>
      </c>
      <c r="M7" s="7">
        <f>('Donnees_USDA'!E507+'Donnees_USDA'!E607)*'Donnees_USDA'!E907+('Donnees_USDA'!E506+'Donnees_USDA'!E606)*'Donnees_USDA'!E906+('Donnees_USDA'!E511+'Donnees_USDA'!E611)*'Donnees_USDA'!E911+('Donnees_USDA'!E510+'Donnees_USDA'!E610)*'Donnees_USDA'!E910</f>
        <v>53098.86051444163</v>
      </c>
      <c r="N7" s="9">
        <f>L7/M7</f>
        <v>0.04778013165827783</v>
      </c>
      <c r="O7" s="7">
        <f>'Prix_ICE'!L7</f>
        <v>1950.6684660311666</v>
      </c>
    </row>
    <row r="8">
      <c r="A8" s="5" t="s">
        <v>38</v>
      </c>
      <c r="B8" s="7">
        <f>('Donnees_USDA'!F6+'Donnees_USDA'!F406-'Donnees_USDA'!F506-'Donnees_USDA'!F606)*'Donnees_USDA'!F806</f>
        <v>2103.153846153846</v>
      </c>
      <c r="C8" s="7">
        <f>('Donnees_USDA'!F506+'Donnees_USDA'!F606)*'Donnees_USDA'!F806</f>
        <v>39721.692307692305</v>
      </c>
      <c r="D8" s="9">
        <f>B8/C8</f>
        <v>0.05294723673559497</v>
      </c>
      <c r="E8" s="7">
        <f>('Donnees_USDA'!F6+'Donnees_USDA'!F406-'Donnees_USDA'!F506-'Donnees_USDA'!F606)*'Donnees_USDA'!F806+('Donnees_USDA'!F8+'Donnees_USDA'!F408-'Donnees_USDA'!F508-'Donnees_USDA'!F608)*'Donnees_USDA'!F808+('Donnees_USDA'!F13+'Donnees_USDA'!F413-'Donnees_USDA'!F513-'Donnees_USDA'!F613)*'Donnees_USDA'!F813+('Donnees_USDA'!F15+'Donnees_USDA'!F415-'Donnees_USDA'!F515-'Donnees_USDA'!F615)*'Donnees_USDA'!F815+('Donnees_USDA'!F14+'Donnees_USDA'!F414-'Donnees_USDA'!F514-'Donnees_USDA'!F614)*'Donnees_USDA'!F814+('Donnees_USDA'!F17+'Donnees_USDA'!F417-'Donnees_USDA'!F517-'Donnees_USDA'!F617)*'Donnees_USDA'!F817</f>
        <v>2540.6854917234664</v>
      </c>
      <c r="F8" s="7">
        <f>('Donnees_USDA'!F506+'Donnees_USDA'!F606)*'Donnees_USDA'!F806+('Donnees_USDA'!F508+'Donnees_USDA'!F608)*'Donnees_USDA'!F808+('Donnees_USDA'!F513+'Donnees_USDA'!F613)*'Donnees_USDA'!F813+('Donnees_USDA'!F515+'Donnees_USDA'!F615)*'Donnees_USDA'!F815+('Donnees_USDA'!F514+'Donnees_USDA'!F614)*'Donnees_USDA'!F814+('Donnees_USDA'!F517+'Donnees_USDA'!F617)*'Donnees_USDA'!F817</f>
        <v>67786.43914313534</v>
      </c>
      <c r="G8" s="9">
        <f>E8/F8</f>
        <v>0.03748073396153246</v>
      </c>
      <c r="H8" s="10">
        <f>'Prix_ICE'!J8</f>
        <v>161.4675</v>
      </c>
      <c r="I8" s="7">
        <f>('Donnees_USDA'!F7+'Donnees_USDA'!F407-'Donnees_USDA'!F507-'Donnees_USDA'!F607)*'Donnees_USDA'!F907</f>
        <v>176.75299165353803</v>
      </c>
      <c r="J8" s="7">
        <f>('Donnees_USDA'!F507+'Donnees_USDA'!F607)*'Donnees_USDA'!F907</f>
        <v>29103.72493547414</v>
      </c>
      <c r="K8" s="9">
        <f>I8/J8</f>
        <v>0.006073208568505133</v>
      </c>
      <c r="L8" s="7">
        <f>('Donnees_USDA'!F7+'Donnees_USDA'!F407-'Donnees_USDA'!F507-'Donnees_USDA'!F607)*'Donnees_USDA'!F907+('Donnees_USDA'!F6+'Donnees_USDA'!F406-'Donnees_USDA'!F506-'Donnees_USDA'!F606)*'Donnees_USDA'!F906+('Donnees_USDA'!F11+'Donnees_USDA'!F411-'Donnees_USDA'!F511-'Donnees_USDA'!F611)*'Donnees_USDA'!F911+('Donnees_USDA'!F10+'Donnees_USDA'!F410-'Donnees_USDA'!F510-'Donnees_USDA'!F610)*'Donnees_USDA'!F910</f>
        <v>932.9589621536261</v>
      </c>
      <c r="M8" s="7">
        <f>('Donnees_USDA'!F507+'Donnees_USDA'!F607)*'Donnees_USDA'!F907+('Donnees_USDA'!F506+'Donnees_USDA'!F606)*'Donnees_USDA'!F906+('Donnees_USDA'!F511+'Donnees_USDA'!F611)*'Donnees_USDA'!F911+('Donnees_USDA'!F510+'Donnees_USDA'!F610)*'Donnees_USDA'!F910</f>
        <v>57571.798861548064</v>
      </c>
      <c r="N8" s="9">
        <f>L8/M8</f>
        <v>0.016205138289968304</v>
      </c>
      <c r="O8" s="7">
        <f>'Prix_ICE'!L8</f>
        <v>1893.2013030698333</v>
      </c>
    </row>
    <row r="9">
      <c r="A9" s="5" t="s">
        <v>39</v>
      </c>
      <c r="B9" s="7">
        <f>('Donnees_USDA'!G6+'Donnees_USDA'!G406-'Donnees_USDA'!G506-'Donnees_USDA'!G606)*'Donnees_USDA'!G806</f>
        <v>-1814.1675874769799</v>
      </c>
      <c r="C9" s="7">
        <f>('Donnees_USDA'!G506+'Donnees_USDA'!G606)*'Donnees_USDA'!G806</f>
        <v>39149.88766114181</v>
      </c>
      <c r="D9" s="9">
        <f>B9/C9</f>
        <v>-0.0463390240906778</v>
      </c>
      <c r="E9" s="7">
        <f>('Donnees_USDA'!G6+'Donnees_USDA'!G406-'Donnees_USDA'!G506-'Donnees_USDA'!G606)*'Donnees_USDA'!G806+('Donnees_USDA'!G8+'Donnees_USDA'!G408-'Donnees_USDA'!G508-'Donnees_USDA'!G608)*'Donnees_USDA'!G808+('Donnees_USDA'!G13+'Donnees_USDA'!G413-'Donnees_USDA'!G513-'Donnees_USDA'!G613)*'Donnees_USDA'!G813+('Donnees_USDA'!G15+'Donnees_USDA'!G415-'Donnees_USDA'!G515-'Donnees_USDA'!G615)*'Donnees_USDA'!G815+('Donnees_USDA'!G14+'Donnees_USDA'!G414-'Donnees_USDA'!G514-'Donnees_USDA'!G614)*'Donnees_USDA'!G814+('Donnees_USDA'!G17+'Donnees_USDA'!G417-'Donnees_USDA'!G517-'Donnees_USDA'!G617)*'Donnees_USDA'!G817</f>
        <v>-2046.3414683500837</v>
      </c>
      <c r="F9" s="7">
        <f>('Donnees_USDA'!G506+'Donnees_USDA'!G606)*'Donnees_USDA'!G806+('Donnees_USDA'!G508+'Donnees_USDA'!G608)*'Donnees_USDA'!G808+('Donnees_USDA'!G513+'Donnees_USDA'!G613)*'Donnees_USDA'!G813+('Donnees_USDA'!G515+'Donnees_USDA'!G615)*'Donnees_USDA'!G815+('Donnees_USDA'!G514+'Donnees_USDA'!G614)*'Donnees_USDA'!G814+('Donnees_USDA'!G517+'Donnees_USDA'!G617)*'Donnees_USDA'!G817</f>
        <v>67611.36268888875</v>
      </c>
      <c r="G9" s="9">
        <f>E9/F9</f>
        <v>-0.03026623613202784</v>
      </c>
      <c r="H9" s="10">
        <f>'Prix_ICE'!J9</f>
        <v>154.02083333333334</v>
      </c>
      <c r="I9" s="7">
        <f>('Donnees_USDA'!G7+'Donnees_USDA'!G407-'Donnees_USDA'!G507-'Donnees_USDA'!G607)*'Donnees_USDA'!G907</f>
        <v>4044.8211678832117</v>
      </c>
      <c r="J9" s="7">
        <f>('Donnees_USDA'!G507+'Donnees_USDA'!G607)*'Donnees_USDA'!G907</f>
        <v>22872.569343065694</v>
      </c>
      <c r="K9" s="9">
        <f>I9/J9</f>
        <v>0.17684157416750756</v>
      </c>
      <c r="L9" s="7">
        <f>('Donnees_USDA'!G7+'Donnees_USDA'!G407-'Donnees_USDA'!G507-'Donnees_USDA'!G607)*'Donnees_USDA'!G907+('Donnees_USDA'!G6+'Donnees_USDA'!G406-'Donnees_USDA'!G506-'Donnees_USDA'!G606)*'Donnees_USDA'!G906+('Donnees_USDA'!G11+'Donnees_USDA'!G411-'Donnees_USDA'!G511-'Donnees_USDA'!G611)*'Donnees_USDA'!G911+('Donnees_USDA'!G10+'Donnees_USDA'!G410-'Donnees_USDA'!G510-'Donnees_USDA'!G610)*'Donnees_USDA'!G910</f>
        <v>3160.66797489901</v>
      </c>
      <c r="M9" s="7">
        <f>('Donnees_USDA'!G507+'Donnees_USDA'!G607)*'Donnees_USDA'!G907+('Donnees_USDA'!G506+'Donnees_USDA'!G606)*'Donnees_USDA'!G906+('Donnees_USDA'!G511+'Donnees_USDA'!G611)*'Donnees_USDA'!G911+('Donnees_USDA'!G510+'Donnees_USDA'!G610)*'Donnees_USDA'!G910</f>
        <v>53687.90217585211</v>
      </c>
      <c r="N9" s="9">
        <f>L9/M9</f>
        <v>0.05887113943372933</v>
      </c>
      <c r="O9" s="7">
        <f>'Prix_ICE'!L9</f>
        <v>1849.9172122971665</v>
      </c>
    </row>
    <row r="10">
      <c r="A10" s="5" t="s">
        <v>40</v>
      </c>
      <c r="B10" s="7">
        <f>('Donnees_USDA'!H6+'Donnees_USDA'!H406-'Donnees_USDA'!H506-'Donnees_USDA'!H606)*'Donnees_USDA'!H806</f>
        <v>-5066.423076923076</v>
      </c>
      <c r="C10" s="7">
        <f>('Donnees_USDA'!H506+'Donnees_USDA'!H606)*'Donnees_USDA'!H806</f>
        <v>41213.92307692308</v>
      </c>
      <c r="D10" s="9">
        <f>B10/C10</f>
        <v>-0.12292989113089114</v>
      </c>
      <c r="E10" s="7">
        <f>('Donnees_USDA'!H6+'Donnees_USDA'!H406-'Donnees_USDA'!H506-'Donnees_USDA'!H606)*'Donnees_USDA'!H806+('Donnees_USDA'!H8+'Donnees_USDA'!H408-'Donnees_USDA'!H508-'Donnees_USDA'!H608)*'Donnees_USDA'!H808+('Donnees_USDA'!H13+'Donnees_USDA'!H413-'Donnees_USDA'!H513-'Donnees_USDA'!H613)*'Donnees_USDA'!H813+('Donnees_USDA'!H15+'Donnees_USDA'!H415-'Donnees_USDA'!H515-'Donnees_USDA'!H615)*'Donnees_USDA'!H815+('Donnees_USDA'!H14+'Donnees_USDA'!H414-'Donnees_USDA'!H514-'Donnees_USDA'!H614)*'Donnees_USDA'!H814+('Donnees_USDA'!H17+'Donnees_USDA'!H417-'Donnees_USDA'!H517-'Donnees_USDA'!H617)*'Donnees_USDA'!H817</f>
        <v>-4577.125762345071</v>
      </c>
      <c r="F10" s="7">
        <f>('Donnees_USDA'!H506+'Donnees_USDA'!H606)*'Donnees_USDA'!H806+('Donnees_USDA'!H508+'Donnees_USDA'!H608)*'Donnees_USDA'!H808+('Donnees_USDA'!H513+'Donnees_USDA'!H613)*'Donnees_USDA'!H813+('Donnees_USDA'!H515+'Donnees_USDA'!H615)*'Donnees_USDA'!H815+('Donnees_USDA'!H514+'Donnees_USDA'!H614)*'Donnees_USDA'!H814+('Donnees_USDA'!H517+'Donnees_USDA'!H617)*'Donnees_USDA'!H817</f>
        <v>70327.85977769035</v>
      </c>
      <c r="G10" s="9">
        <f>E10/F10</f>
        <v>-0.06508268240798994</v>
      </c>
      <c r="H10" s="10">
        <f>'Prix_ICE'!J10</f>
        <v>131.83249999999998</v>
      </c>
      <c r="I10" s="7">
        <f>('Donnees_USDA'!H7+'Donnees_USDA'!H407-'Donnees_USDA'!H507-'Donnees_USDA'!H607)*'Donnees_USDA'!H907</f>
        <v>-2053.8212927756654</v>
      </c>
      <c r="J10" s="7">
        <f>('Donnees_USDA'!H507+'Donnees_USDA'!H607)*'Donnees_USDA'!H907</f>
        <v>30489.86692015209</v>
      </c>
      <c r="K10" s="9">
        <f>I10/J10</f>
        <v>-0.06736078245780092</v>
      </c>
      <c r="L10" s="7">
        <f>('Donnees_USDA'!H7+'Donnees_USDA'!H407-'Donnees_USDA'!H507-'Donnees_USDA'!H607)*'Donnees_USDA'!H907+('Donnees_USDA'!H6+'Donnees_USDA'!H406-'Donnees_USDA'!H506-'Donnees_USDA'!H606)*'Donnees_USDA'!H906+('Donnees_USDA'!H11+'Donnees_USDA'!H411-'Donnees_USDA'!H511-'Donnees_USDA'!H611)*'Donnees_USDA'!H911+('Donnees_USDA'!H10+'Donnees_USDA'!H410-'Donnees_USDA'!H510-'Donnees_USDA'!H610)*'Donnees_USDA'!H910</f>
        <v>-3926.530447257547</v>
      </c>
      <c r="M10" s="7">
        <f>('Donnees_USDA'!H507+'Donnees_USDA'!H607)*'Donnees_USDA'!H907+('Donnees_USDA'!H506+'Donnees_USDA'!H606)*'Donnees_USDA'!H906+('Donnees_USDA'!H511+'Donnees_USDA'!H611)*'Donnees_USDA'!H911+('Donnees_USDA'!H510+'Donnees_USDA'!H610)*'Donnees_USDA'!H910</f>
        <v>59724.57194240257</v>
      </c>
      <c r="N10" s="9">
        <f>L10/M10</f>
        <v>-0.06574396968544591</v>
      </c>
      <c r="O10" s="7">
        <f>'Prix_ICE'!L10</f>
        <v>1632.9272309236667</v>
      </c>
    </row>
    <row r="11">
      <c r="A11" s="5" t="s">
        <v>41</v>
      </c>
      <c r="B11" s="7">
        <f>('Donnees_USDA'!I6+'Donnees_USDA'!I406-'Donnees_USDA'!I506-'Donnees_USDA'!I606)*'Donnees_USDA'!I806</f>
        <v>1183.4866310160428</v>
      </c>
      <c r="C11" s="7">
        <f>('Donnees_USDA'!I506+'Donnees_USDA'!I606)*'Donnees_USDA'!I806</f>
        <v>44466.909090909096</v>
      </c>
      <c r="D11" s="9">
        <f>B11/C11</f>
        <v>0.026614996526889187</v>
      </c>
      <c r="E11" s="7">
        <f>('Donnees_USDA'!I6+'Donnees_USDA'!I406-'Donnees_USDA'!I506-'Donnees_USDA'!I606)*'Donnees_USDA'!I806+('Donnees_USDA'!I8+'Donnees_USDA'!I408-'Donnees_USDA'!I508-'Donnees_USDA'!I608)*'Donnees_USDA'!I808+('Donnees_USDA'!I13+'Donnees_USDA'!I413-'Donnees_USDA'!I513-'Donnees_USDA'!I613)*'Donnees_USDA'!I813+('Donnees_USDA'!I15+'Donnees_USDA'!I415-'Donnees_USDA'!I515-'Donnees_USDA'!I615)*'Donnees_USDA'!I815+('Donnees_USDA'!I14+'Donnees_USDA'!I414-'Donnees_USDA'!I514-'Donnees_USDA'!I614)*'Donnees_USDA'!I814+('Donnees_USDA'!I17+'Donnees_USDA'!I417-'Donnees_USDA'!I517-'Donnees_USDA'!I617)*'Donnees_USDA'!I817</f>
        <v>935.6078431372549</v>
      </c>
      <c r="F11" s="7">
        <f>('Donnees_USDA'!I506+'Donnees_USDA'!I606)*'Donnees_USDA'!I806+('Donnees_USDA'!I508+'Donnees_USDA'!I608)*'Donnees_USDA'!I808+('Donnees_USDA'!I513+'Donnees_USDA'!I613)*'Donnees_USDA'!I813+('Donnees_USDA'!I515+'Donnees_USDA'!I615)*'Donnees_USDA'!I815+('Donnees_USDA'!I514+'Donnees_USDA'!I614)*'Donnees_USDA'!I814+('Donnees_USDA'!I517+'Donnees_USDA'!I617)*'Donnees_USDA'!I817</f>
        <v>78644.55844155845</v>
      </c>
      <c r="G11" s="9">
        <f>E11/F11</f>
        <v>0.01189666343962646</v>
      </c>
      <c r="H11" s="10">
        <f>'Prix_ICE'!J11</f>
        <v>143.7716666666667</v>
      </c>
      <c r="I11" s="7">
        <f>('Donnees_USDA'!I7+'Donnees_USDA'!I407-'Donnees_USDA'!I507-'Donnees_USDA'!I607)*'Donnees_USDA'!I907</f>
        <v>-1457.378277153558</v>
      </c>
      <c r="J11" s="7">
        <f>('Donnees_USDA'!I507+'Donnees_USDA'!I607)*'Donnees_USDA'!I907</f>
        <v>28016.1797752809</v>
      </c>
      <c r="K11" s="9">
        <f>I11/J11</f>
        <v>-0.05201916495550992</v>
      </c>
      <c r="L11" s="7">
        <f>('Donnees_USDA'!I7+'Donnees_USDA'!I407-'Donnees_USDA'!I507-'Donnees_USDA'!I607)*'Donnees_USDA'!I907+('Donnees_USDA'!I6+'Donnees_USDA'!I406-'Donnees_USDA'!I506-'Donnees_USDA'!I606)*'Donnees_USDA'!I906+('Donnees_USDA'!I11+'Donnees_USDA'!I411-'Donnees_USDA'!I511-'Donnees_USDA'!I611)*'Donnees_USDA'!I911+('Donnees_USDA'!I10+'Donnees_USDA'!I410-'Donnees_USDA'!I510-'Donnees_USDA'!I610)*'Donnees_USDA'!I910</f>
        <v>-1195.3361224898717</v>
      </c>
      <c r="M11" s="7">
        <f>('Donnees_USDA'!I507+'Donnees_USDA'!I607)*'Donnees_USDA'!I907+('Donnees_USDA'!I506+'Donnees_USDA'!I606)*'Donnees_USDA'!I906+('Donnees_USDA'!I511+'Donnees_USDA'!I611)*'Donnees_USDA'!I911+('Donnees_USDA'!I510+'Donnees_USDA'!I610)*'Donnees_USDA'!I910</f>
        <v>51992.61925718265</v>
      </c>
      <c r="N11" s="9">
        <f>L11/M11</f>
        <v>-0.022990496335203177</v>
      </c>
      <c r="O11" s="7">
        <f>'Prix_ICE'!L11</f>
        <v>2097.110523564667</v>
      </c>
    </row>
    <row r="12">
      <c r="A12" s="5" t="s">
        <v>42</v>
      </c>
      <c r="B12" s="7">
        <f>('Donnees_USDA'!J6+'Donnees_USDA'!J406-'Donnees_USDA'!J506-'Donnees_USDA'!J606)*'Donnees_USDA'!J806</f>
        <v>-540.5662188099808</v>
      </c>
      <c r="C12" s="7">
        <f>('Donnees_USDA'!J506+'Donnees_USDA'!J606)*'Donnees_USDA'!J806</f>
        <v>40086.813819577736</v>
      </c>
      <c r="D12" s="9">
        <f>B12/C12</f>
        <v>-0.013484888603094148</v>
      </c>
      <c r="E12" s="7">
        <f>('Donnees_USDA'!J6+'Donnees_USDA'!J406-'Donnees_USDA'!J506-'Donnees_USDA'!J606)*'Donnees_USDA'!J806+('Donnees_USDA'!J8+'Donnees_USDA'!J408-'Donnees_USDA'!J508-'Donnees_USDA'!J608)*'Donnees_USDA'!J808+('Donnees_USDA'!J13+'Donnees_USDA'!J413-'Donnees_USDA'!J513-'Donnees_USDA'!J613)*'Donnees_USDA'!J813+('Donnees_USDA'!J15+'Donnees_USDA'!J415-'Donnees_USDA'!J515-'Donnees_USDA'!J615)*'Donnees_USDA'!J815+('Donnees_USDA'!J14+'Donnees_USDA'!J414-'Donnees_USDA'!J514-'Donnees_USDA'!J614)*'Donnees_USDA'!J814+('Donnees_USDA'!J17+'Donnees_USDA'!J417-'Donnees_USDA'!J517-'Donnees_USDA'!J617)*'Donnees_USDA'!J817</f>
        <v>-182.83544957921157</v>
      </c>
      <c r="F12" s="7">
        <f>('Donnees_USDA'!J506+'Donnees_USDA'!J606)*'Donnees_USDA'!J806+('Donnees_USDA'!J508+'Donnees_USDA'!J608)*'Donnees_USDA'!J808+('Donnees_USDA'!J513+'Donnees_USDA'!J613)*'Donnees_USDA'!J813+('Donnees_USDA'!J515+'Donnees_USDA'!J615)*'Donnees_USDA'!J815+('Donnees_USDA'!J514+'Donnees_USDA'!J614)*'Donnees_USDA'!J814+('Donnees_USDA'!J517+'Donnees_USDA'!J617)*'Donnees_USDA'!J817</f>
        <v>74321.55832507226</v>
      </c>
      <c r="G12" s="9">
        <f>E12/F12</f>
        <v>-0.0024600594188231967</v>
      </c>
      <c r="H12" s="10">
        <f>'Prix_ICE'!J12</f>
        <v>120.60083333333334</v>
      </c>
      <c r="I12" s="7">
        <f>('Donnees_USDA'!J7+'Donnees_USDA'!J407-'Donnees_USDA'!J507-'Donnees_USDA'!J607)*'Donnees_USDA'!J907</f>
        <v>-2342.0135836177474</v>
      </c>
      <c r="J12" s="7">
        <f>('Donnees_USDA'!J507+'Donnees_USDA'!J607)*'Donnees_USDA'!J907</f>
        <v>31638.895494880544</v>
      </c>
      <c r="K12" s="9">
        <f>I12/J12</f>
        <v>-0.0740232409186568</v>
      </c>
      <c r="L12" s="7">
        <f>('Donnees_USDA'!J7+'Donnees_USDA'!J407-'Donnees_USDA'!J507-'Donnees_USDA'!J607)*'Donnees_USDA'!J907+('Donnees_USDA'!J6+'Donnees_USDA'!J406-'Donnees_USDA'!J506-'Donnees_USDA'!J606)*'Donnees_USDA'!J906+('Donnees_USDA'!J11+'Donnees_USDA'!J411-'Donnees_USDA'!J511-'Donnees_USDA'!J611)*'Donnees_USDA'!J911+('Donnees_USDA'!J10+'Donnees_USDA'!J410-'Donnees_USDA'!J510-'Donnees_USDA'!J610)*'Donnees_USDA'!J910</f>
        <v>-1952.3562276840207</v>
      </c>
      <c r="M12" s="7">
        <f>('Donnees_USDA'!J507+'Donnees_USDA'!J607)*'Donnees_USDA'!J907+('Donnees_USDA'!J506+'Donnees_USDA'!J606)*'Donnees_USDA'!J906+('Donnees_USDA'!J511+'Donnees_USDA'!J611)*'Donnees_USDA'!J911+('Donnees_USDA'!J510+'Donnees_USDA'!J610)*'Donnees_USDA'!J910</f>
        <v>58246.62515356368</v>
      </c>
      <c r="N12" s="9">
        <f>L12/M12</f>
        <v>-0.033518787097737465</v>
      </c>
      <c r="O12" s="7">
        <f>'Prix_ICE'!L12</f>
        <v>1725.8888180669999</v>
      </c>
    </row>
    <row r="13">
      <c r="A13" s="5" t="s">
        <v>43</v>
      </c>
      <c r="B13" s="7">
        <f>('Donnees_USDA'!K6+'Donnees_USDA'!K406-'Donnees_USDA'!K506-'Donnees_USDA'!K606)*'Donnees_USDA'!K806</f>
        <v>1450.6421052631579</v>
      </c>
      <c r="C13" s="7">
        <f>('Donnees_USDA'!K506+'Donnees_USDA'!K606)*'Donnees_USDA'!K806</f>
        <v>48299.43157894737</v>
      </c>
      <c r="D13" s="9">
        <f>B13/C13</f>
        <v>0.030034351499396525</v>
      </c>
      <c r="E13" s="7">
        <f>('Donnees_USDA'!K6+'Donnees_USDA'!K406-'Donnees_USDA'!K506-'Donnees_USDA'!K606)*'Donnees_USDA'!K806+('Donnees_USDA'!K8+'Donnees_USDA'!K408-'Donnees_USDA'!K508-'Donnees_USDA'!K608)*'Donnees_USDA'!K808+('Donnees_USDA'!K13+'Donnees_USDA'!K413-'Donnees_USDA'!K513-'Donnees_USDA'!K613)*'Donnees_USDA'!K813+('Donnees_USDA'!K15+'Donnees_USDA'!K415-'Donnees_USDA'!K515-'Donnees_USDA'!K615)*'Donnees_USDA'!K815+('Donnees_USDA'!K14+'Donnees_USDA'!K414-'Donnees_USDA'!K514-'Donnees_USDA'!K614)*'Donnees_USDA'!K814+('Donnees_USDA'!K17+'Donnees_USDA'!K417-'Donnees_USDA'!K517-'Donnees_USDA'!K617)*'Donnees_USDA'!K817</f>
        <v>522.5855285145304</v>
      </c>
      <c r="F13" s="7">
        <f>('Donnees_USDA'!K506+'Donnees_USDA'!K606)*'Donnees_USDA'!K806+('Donnees_USDA'!K508+'Donnees_USDA'!K608)*'Donnees_USDA'!K808+('Donnees_USDA'!K513+'Donnees_USDA'!K613)*'Donnees_USDA'!K813+('Donnees_USDA'!K515+'Donnees_USDA'!K615)*'Donnees_USDA'!K815+('Donnees_USDA'!K514+'Donnees_USDA'!K614)*'Donnees_USDA'!K814+('Donnees_USDA'!K517+'Donnees_USDA'!K617)*'Donnees_USDA'!K817</f>
        <v>83278.9517508261</v>
      </c>
      <c r="G13" s="9">
        <f>E13/F13</f>
        <v>0.006275121354530577</v>
      </c>
      <c r="H13" s="10">
        <f>'Prix_ICE'!J13</f>
        <v>104.98083333333334</v>
      </c>
      <c r="I13" s="7">
        <f>('Donnees_USDA'!K7+'Donnees_USDA'!K407-'Donnees_USDA'!K507-'Donnees_USDA'!K607)*'Donnees_USDA'!K907</f>
        <v>291.43</v>
      </c>
      <c r="J13" s="7">
        <f>('Donnees_USDA'!K507+'Donnees_USDA'!K607)*'Donnees_USDA'!K907</f>
        <v>30163.969999999998</v>
      </c>
      <c r="K13" s="9">
        <f>I13/J13</f>
        <v>0.009661526649177812</v>
      </c>
      <c r="L13" s="7">
        <f>('Donnees_USDA'!K7+'Donnees_USDA'!K407-'Donnees_USDA'!K507-'Donnees_USDA'!K607)*'Donnees_USDA'!K907+('Donnees_USDA'!K6+'Donnees_USDA'!K406-'Donnees_USDA'!K506-'Donnees_USDA'!K606)*'Donnees_USDA'!K906+('Donnees_USDA'!K11+'Donnees_USDA'!K411-'Donnees_USDA'!K511-'Donnees_USDA'!K611)*'Donnees_USDA'!K911+('Donnees_USDA'!K10+'Donnees_USDA'!K410-'Donnees_USDA'!K510-'Donnees_USDA'!K610)*'Donnees_USDA'!K910</f>
        <v>2362.361236185412</v>
      </c>
      <c r="M13" s="7">
        <f>('Donnees_USDA'!K507+'Donnees_USDA'!K607)*'Donnees_USDA'!K907+('Donnees_USDA'!K506+'Donnees_USDA'!K606)*'Donnees_USDA'!K906+('Donnees_USDA'!K511+'Donnees_USDA'!K611)*'Donnees_USDA'!K911+('Donnees_USDA'!K510+'Donnees_USDA'!K610)*'Donnees_USDA'!K910</f>
        <v>59396.22923054746</v>
      </c>
      <c r="N13" s="9">
        <f>L13/M13</f>
        <v>0.03977291600474951</v>
      </c>
      <c r="O13" s="7">
        <f>'Prix_ICE'!L13</f>
        <v>1488.8367708514998</v>
      </c>
    </row>
    <row r="14">
      <c r="A14" s="5" t="s">
        <v>44</v>
      </c>
      <c r="B14" s="7">
        <f>('Donnees_USDA'!L6+'Donnees_USDA'!L406-'Donnees_USDA'!L506-'Donnees_USDA'!L606)*'Donnees_USDA'!L806</f>
        <v>-1862.5785123966944</v>
      </c>
      <c r="C14" s="7">
        <f>('Donnees_USDA'!L506+'Donnees_USDA'!L606)*'Donnees_USDA'!L806</f>
        <v>43909.09090909091</v>
      </c>
      <c r="D14" s="9">
        <f>B14/C14</f>
        <v>-0.04241897233201581</v>
      </c>
      <c r="E14" s="7">
        <f>('Donnees_USDA'!L6+'Donnees_USDA'!L406-'Donnees_USDA'!L506-'Donnees_USDA'!L606)*'Donnees_USDA'!L806+('Donnees_USDA'!L8+'Donnees_USDA'!L408-'Donnees_USDA'!L508-'Donnees_USDA'!L608)*'Donnees_USDA'!L808+('Donnees_USDA'!L13+'Donnees_USDA'!L413-'Donnees_USDA'!L513-'Donnees_USDA'!L613)*'Donnees_USDA'!L813+('Donnees_USDA'!L15+'Donnees_USDA'!L415-'Donnees_USDA'!L515-'Donnees_USDA'!L615)*'Donnees_USDA'!L815+('Donnees_USDA'!L14+'Donnees_USDA'!L414-'Donnees_USDA'!L514-'Donnees_USDA'!L614)*'Donnees_USDA'!L814+('Donnees_USDA'!L17+'Donnees_USDA'!L417-'Donnees_USDA'!L517-'Donnees_USDA'!L617)*'Donnees_USDA'!L817</f>
        <v>-1530.3843200191989</v>
      </c>
      <c r="F14" s="7">
        <f>('Donnees_USDA'!L506+'Donnees_USDA'!L606)*'Donnees_USDA'!L806+('Donnees_USDA'!L508+'Donnees_USDA'!L608)*'Donnees_USDA'!L808+('Donnees_USDA'!L513+'Donnees_USDA'!L613)*'Donnees_USDA'!L813+('Donnees_USDA'!L515+'Donnees_USDA'!L615)*'Donnees_USDA'!L815+('Donnees_USDA'!L514+'Donnees_USDA'!L614)*'Donnees_USDA'!L814+('Donnees_USDA'!L517+'Donnees_USDA'!L617)*'Donnees_USDA'!L817</f>
        <v>75463.84643957602</v>
      </c>
      <c r="G14" s="9">
        <f>E14/F14</f>
        <v>-0.020279702032476955</v>
      </c>
      <c r="H14" s="10">
        <f>'Prix_ICE'!J14</f>
        <v>113.23666666666666</v>
      </c>
      <c r="I14" s="7">
        <f>('Donnees_USDA'!L7+'Donnees_USDA'!L407-'Donnees_USDA'!L507-'Donnees_USDA'!L607)*'Donnees_USDA'!L907</f>
        <v>1518.6837060702876</v>
      </c>
      <c r="J14" s="7">
        <f>('Donnees_USDA'!L507+'Donnees_USDA'!L607)*'Donnees_USDA'!L907</f>
        <v>29356.715654952077</v>
      </c>
      <c r="K14" s="9">
        <f>I14/J14</f>
        <v>0.05173207125484783</v>
      </c>
      <c r="L14" s="7">
        <f>('Donnees_USDA'!L7+'Donnees_USDA'!L407-'Donnees_USDA'!L507-'Donnees_USDA'!L607)*'Donnees_USDA'!L907+('Donnees_USDA'!L6+'Donnees_USDA'!L406-'Donnees_USDA'!L506-'Donnees_USDA'!L606)*'Donnees_USDA'!L906+('Donnees_USDA'!L11+'Donnees_USDA'!L411-'Donnees_USDA'!L511-'Donnees_USDA'!L611)*'Donnees_USDA'!L911+('Donnees_USDA'!L10+'Donnees_USDA'!L410-'Donnees_USDA'!L510-'Donnees_USDA'!L610)*'Donnees_USDA'!L910</f>
        <v>611.7173671888697</v>
      </c>
      <c r="M14" s="7">
        <f>('Donnees_USDA'!L507+'Donnees_USDA'!L607)*'Donnees_USDA'!L907+('Donnees_USDA'!L506+'Donnees_USDA'!L606)*'Donnees_USDA'!L906+('Donnees_USDA'!L511+'Donnees_USDA'!L611)*'Donnees_USDA'!L911+('Donnees_USDA'!L510+'Donnees_USDA'!L610)*'Donnees_USDA'!L910</f>
        <v>63771.36118592432</v>
      </c>
      <c r="N14" s="9">
        <f>L14/M14</f>
        <v>0.00959235236339739</v>
      </c>
      <c r="O14" s="7">
        <f>'Prix_ICE'!L14</f>
        <v>1305.5958874191667</v>
      </c>
    </row>
    <row r="15">
      <c r="A15" s="5" t="s">
        <v>45</v>
      </c>
      <c r="B15" s="7">
        <f>('Donnees_USDA'!M6+'Donnees_USDA'!M406-'Donnees_USDA'!M506-'Donnees_USDA'!M606)*'Donnees_USDA'!M806</f>
        <v>1434.1187410586551</v>
      </c>
      <c r="C15" s="7">
        <f>('Donnees_USDA'!M506+'Donnees_USDA'!M606)*'Donnees_USDA'!M806</f>
        <v>48317.07439198856</v>
      </c>
      <c r="D15" s="9">
        <f>B15/C15</f>
        <v>0.02968140681333235</v>
      </c>
      <c r="E15" s="7">
        <f>('Donnees_USDA'!M6+'Donnees_USDA'!M406-'Donnees_USDA'!M506-'Donnees_USDA'!M606)*'Donnees_USDA'!M806+('Donnees_USDA'!M8+'Donnees_USDA'!M408-'Donnees_USDA'!M508-'Donnees_USDA'!M608)*'Donnees_USDA'!M808+('Donnees_USDA'!M13+'Donnees_USDA'!M413-'Donnees_USDA'!M513-'Donnees_USDA'!M613)*'Donnees_USDA'!M813+('Donnees_USDA'!M15+'Donnees_USDA'!M415-'Donnees_USDA'!M515-'Donnees_USDA'!M615)*'Donnees_USDA'!M815+('Donnees_USDA'!M14+'Donnees_USDA'!M414-'Donnees_USDA'!M514-'Donnees_USDA'!M614)*'Donnees_USDA'!M814+('Donnees_USDA'!M17+'Donnees_USDA'!M417-'Donnees_USDA'!M517-'Donnees_USDA'!M617)*'Donnees_USDA'!M817</f>
        <v>1851.4303557895332</v>
      </c>
      <c r="F15" s="7">
        <f>('Donnees_USDA'!M506+'Donnees_USDA'!M606)*'Donnees_USDA'!M806+('Donnees_USDA'!M508+'Donnees_USDA'!M608)*'Donnees_USDA'!M808+('Donnees_USDA'!M513+'Donnees_USDA'!M613)*'Donnees_USDA'!M813+('Donnees_USDA'!M515+'Donnees_USDA'!M615)*'Donnees_USDA'!M815+('Donnees_USDA'!M514+'Donnees_USDA'!M614)*'Donnees_USDA'!M814+('Donnees_USDA'!M517+'Donnees_USDA'!M617)*'Donnees_USDA'!M817</f>
        <v>80408.93836120123</v>
      </c>
      <c r="G15" s="9">
        <f>E15/F15</f>
        <v>0.02302518095031686</v>
      </c>
      <c r="H15" s="10">
        <f>'Prix_ICE'!J15</f>
        <v>143.75333333333336</v>
      </c>
      <c r="I15" s="7">
        <f>('Donnees_USDA'!M7+'Donnees_USDA'!M407-'Donnees_USDA'!M507-'Donnees_USDA'!M607)*'Donnees_USDA'!M907</f>
        <v>1479.8793103448277</v>
      </c>
      <c r="J15" s="7">
        <f>('Donnees_USDA'!M507+'Donnees_USDA'!M607)*'Donnees_USDA'!M907</f>
        <v>27102.103448275862</v>
      </c>
      <c r="K15" s="9">
        <f>I15/J15</f>
        <v>0.05460385438972163</v>
      </c>
      <c r="L15" s="7">
        <f>('Donnees_USDA'!M7+'Donnees_USDA'!M407-'Donnees_USDA'!M507-'Donnees_USDA'!M607)*'Donnees_USDA'!M907+('Donnees_USDA'!M6+'Donnees_USDA'!M406-'Donnees_USDA'!M506-'Donnees_USDA'!M606)*'Donnees_USDA'!M906+('Donnees_USDA'!M11+'Donnees_USDA'!M411-'Donnees_USDA'!M511-'Donnees_USDA'!M611)*'Donnees_USDA'!M911+('Donnees_USDA'!M10+'Donnees_USDA'!M410-'Donnees_USDA'!M510-'Donnees_USDA'!M610)*'Donnees_USDA'!M910</f>
        <v>1524.419440742735</v>
      </c>
      <c r="M15" s="7">
        <f>('Donnees_USDA'!M507+'Donnees_USDA'!M607)*'Donnees_USDA'!M907+('Donnees_USDA'!M506+'Donnees_USDA'!M606)*'Donnees_USDA'!M906+('Donnees_USDA'!M511+'Donnees_USDA'!M611)*'Donnees_USDA'!M911+('Donnees_USDA'!M510+'Donnees_USDA'!M610)*'Donnees_USDA'!M910</f>
        <v>63450.72532501766</v>
      </c>
      <c r="N15" s="9">
        <f>L15/M15</f>
        <v>0.024025248457509432</v>
      </c>
      <c r="O15" s="7">
        <f>'Prix_ICE'!L15</f>
        <v>1540.9393521041666</v>
      </c>
    </row>
    <row r="16">
      <c r="A16" s="5" t="s">
        <v>46</v>
      </c>
      <c r="B16" s="7">
        <f>('Donnees_USDA'!N6+'Donnees_USDA'!N406-'Donnees_USDA'!N506-'Donnees_USDA'!N606)*'Donnees_USDA'!N806</f>
        <v>-2412.0481927710844</v>
      </c>
      <c r="C16" s="7">
        <f>('Donnees_USDA'!N506+'Donnees_USDA'!N606)*'Donnees_USDA'!N806</f>
        <v>38859.03614457831</v>
      </c>
      <c r="D16" s="9">
        <f>B16/C16</f>
        <v>-0.06207174526400645</v>
      </c>
      <c r="E16" s="7">
        <f>('Donnees_USDA'!N6+'Donnees_USDA'!N406-'Donnees_USDA'!N506-'Donnees_USDA'!N606)*'Donnees_USDA'!N806+('Donnees_USDA'!N8+'Donnees_USDA'!N408-'Donnees_USDA'!N508-'Donnees_USDA'!N608)*'Donnees_USDA'!N808+('Donnees_USDA'!N13+'Donnees_USDA'!N413-'Donnees_USDA'!N513-'Donnees_USDA'!N613)*'Donnees_USDA'!N813+('Donnees_USDA'!N15+'Donnees_USDA'!N415-'Donnees_USDA'!N515-'Donnees_USDA'!N615)*'Donnees_USDA'!N815+('Donnees_USDA'!N14+'Donnees_USDA'!N414-'Donnees_USDA'!N514-'Donnees_USDA'!N614)*'Donnees_USDA'!N814+('Donnees_USDA'!N17+'Donnees_USDA'!N417-'Donnees_USDA'!N517-'Donnees_USDA'!N617)*'Donnees_USDA'!N817</f>
        <v>-3020.3803653864306</v>
      </c>
      <c r="F16" s="7">
        <f>('Donnees_USDA'!N506+'Donnees_USDA'!N606)*'Donnees_USDA'!N806+('Donnees_USDA'!N508+'Donnees_USDA'!N608)*'Donnees_USDA'!N808+('Donnees_USDA'!N513+'Donnees_USDA'!N613)*'Donnees_USDA'!N813+('Donnees_USDA'!N515+'Donnees_USDA'!N615)*'Donnees_USDA'!N815+('Donnees_USDA'!N514+'Donnees_USDA'!N614)*'Donnees_USDA'!N814+('Donnees_USDA'!N517+'Donnees_USDA'!N617)*'Donnees_USDA'!N817</f>
        <v>70403.49305292305</v>
      </c>
      <c r="G16" s="9">
        <f>E16/F16</f>
        <v>-0.042901001561328485</v>
      </c>
      <c r="H16" s="10">
        <f>'Prix_ICE'!J16</f>
        <v>224.0875</v>
      </c>
      <c r="I16" s="7">
        <f>('Donnees_USDA'!N7+'Donnees_USDA'!N407-'Donnees_USDA'!N507-'Donnees_USDA'!N607)*'Donnees_USDA'!N907</f>
        <v>-77.21342621912603</v>
      </c>
      <c r="J16" s="7">
        <f>('Donnees_USDA'!N507+'Donnees_USDA'!N607)*'Donnees_USDA'!N907</f>
        <v>31088.05573147562</v>
      </c>
      <c r="K16" s="9">
        <f>I16/J16</f>
        <v>-0.0024837007140639552</v>
      </c>
      <c r="L16" s="7">
        <f>('Donnees_USDA'!N7+'Donnees_USDA'!N407-'Donnees_USDA'!N507-'Donnees_USDA'!N607)*'Donnees_USDA'!N907+('Donnees_USDA'!N6+'Donnees_USDA'!N406-'Donnees_USDA'!N506-'Donnees_USDA'!N606)*'Donnees_USDA'!N906+('Donnees_USDA'!N11+'Donnees_USDA'!N411-'Donnees_USDA'!N511-'Donnees_USDA'!N611)*'Donnees_USDA'!N911+('Donnees_USDA'!N10+'Donnees_USDA'!N410-'Donnees_USDA'!N510-'Donnees_USDA'!N610)*'Donnees_USDA'!N910</f>
        <v>-1991.2753898322999</v>
      </c>
      <c r="M16" s="7">
        <f>('Donnees_USDA'!N507+'Donnees_USDA'!N607)*'Donnees_USDA'!N907+('Donnees_USDA'!N506+'Donnees_USDA'!N606)*'Donnees_USDA'!N906+('Donnees_USDA'!N511+'Donnees_USDA'!N611)*'Donnees_USDA'!N911+('Donnees_USDA'!N510+'Donnees_USDA'!N610)*'Donnees_USDA'!N910</f>
        <v>69955.9615013156</v>
      </c>
      <c r="N16" s="9">
        <f>L16/M16</f>
        <v>-0.02846469903490429</v>
      </c>
      <c r="O16" s="7">
        <f>'Prix_ICE'!L16</f>
        <v>2150.1500694308334</v>
      </c>
    </row>
    <row r="17">
      <c r="A17" s="5" t="s">
        <v>47</v>
      </c>
      <c r="B17" s="7">
        <f>('Donnees_USDA'!O6+'Donnees_USDA'!O406-'Donnees_USDA'!O506-'Donnees_USDA'!O606)*'Donnees_USDA'!O806</f>
        <v>2593.9936102236425</v>
      </c>
      <c r="C17" s="7">
        <f>('Donnees_USDA'!O506+'Donnees_USDA'!O606)*'Donnees_USDA'!O806</f>
        <v>37253.69009584665</v>
      </c>
      <c r="D17" s="9">
        <f>B17/C17</f>
        <v>0.06963051454902296</v>
      </c>
      <c r="E17" s="7">
        <f>('Donnees_USDA'!O6+'Donnees_USDA'!O406-'Donnees_USDA'!O506-'Donnees_USDA'!O606)*'Donnees_USDA'!O806+('Donnees_USDA'!O8+'Donnees_USDA'!O408-'Donnees_USDA'!O508-'Donnees_USDA'!O608)*'Donnees_USDA'!O808+('Donnees_USDA'!O13+'Donnees_USDA'!O413-'Donnees_USDA'!O513-'Donnees_USDA'!O613)*'Donnees_USDA'!O813+('Donnees_USDA'!O15+'Donnees_USDA'!O415-'Donnees_USDA'!O515-'Donnees_USDA'!O615)*'Donnees_USDA'!O815+('Donnees_USDA'!O14+'Donnees_USDA'!O414-'Donnees_USDA'!O514-'Donnees_USDA'!O614)*'Donnees_USDA'!O814+('Donnees_USDA'!O17+'Donnees_USDA'!O417-'Donnees_USDA'!O517-'Donnees_USDA'!O617)*'Donnees_USDA'!O817</f>
        <v>2747.068363397126</v>
      </c>
      <c r="F17" s="7">
        <f>('Donnees_USDA'!O506+'Donnees_USDA'!O606)*'Donnees_USDA'!O806+('Donnees_USDA'!O508+'Donnees_USDA'!O608)*'Donnees_USDA'!O808+('Donnees_USDA'!O513+'Donnees_USDA'!O613)*'Donnees_USDA'!O813+('Donnees_USDA'!O515+'Donnees_USDA'!O615)*'Donnees_USDA'!O815+('Donnees_USDA'!O514+'Donnees_USDA'!O614)*'Donnees_USDA'!O814+('Donnees_USDA'!O517+'Donnees_USDA'!O617)*'Donnees_USDA'!O817</f>
        <v>66448.21480572679</v>
      </c>
      <c r="G17" s="9">
        <f>E17/F17</f>
        <v>0.04134149233999244</v>
      </c>
      <c r="H17" s="10">
        <f>'Prix_ICE'!J17</f>
        <v>171.18999999999997</v>
      </c>
      <c r="I17" s="7">
        <f>('Donnees_USDA'!O7+'Donnees_USDA'!O407-'Donnees_USDA'!O507-'Donnees_USDA'!O607)*'Donnees_USDA'!O907</f>
        <v>-2644.1448763250883</v>
      </c>
      <c r="J17" s="7">
        <f>('Donnees_USDA'!O507+'Donnees_USDA'!O607)*'Donnees_USDA'!O907</f>
        <v>30425.512367491167</v>
      </c>
      <c r="K17" s="9">
        <f>I17/J17</f>
        <v>-0.08690551680405834</v>
      </c>
      <c r="L17" s="7">
        <f>('Donnees_USDA'!O7+'Donnees_USDA'!O407-'Donnees_USDA'!O507-'Donnees_USDA'!O607)*'Donnees_USDA'!O907+('Donnees_USDA'!O6+'Donnees_USDA'!O406-'Donnees_USDA'!O506-'Donnees_USDA'!O606)*'Donnees_USDA'!O906+('Donnees_USDA'!O11+'Donnees_USDA'!O411-'Donnees_USDA'!O511-'Donnees_USDA'!O611)*'Donnees_USDA'!O911+('Donnees_USDA'!O10+'Donnees_USDA'!O410-'Donnees_USDA'!O510-'Donnees_USDA'!O610)*'Donnees_USDA'!O910</f>
        <v>-1639.0453417921267</v>
      </c>
      <c r="M17" s="7">
        <f>('Donnees_USDA'!O507+'Donnees_USDA'!O607)*'Donnees_USDA'!O907+('Donnees_USDA'!O506+'Donnees_USDA'!O606)*'Donnees_USDA'!O906+('Donnees_USDA'!O511+'Donnees_USDA'!O611)*'Donnees_USDA'!O911+('Donnees_USDA'!O510+'Donnees_USDA'!O610)*'Donnees_USDA'!O910</f>
        <v>68518.66370632718</v>
      </c>
      <c r="N17" s="9">
        <f>L17/M17</f>
        <v>-0.023921151597718234</v>
      </c>
      <c r="O17" s="7">
        <f>'Prix_ICE'!L17</f>
        <v>2217.078737803</v>
      </c>
    </row>
    <row r="18">
      <c r="A18" s="5" t="s">
        <v>48</v>
      </c>
      <c r="B18" s="7">
        <f>('Donnees_USDA'!P6+'Donnees_USDA'!P406-'Donnees_USDA'!P506-'Donnees_USDA'!P606)*'Donnees_USDA'!P806</f>
        <v>-1716.764705882353</v>
      </c>
      <c r="C18" s="7">
        <f>('Donnees_USDA'!P506+'Donnees_USDA'!P606)*'Donnees_USDA'!P806</f>
        <v>46667.55656108598</v>
      </c>
      <c r="D18" s="9">
        <f>B18/C18</f>
        <v>-0.0367871136264693</v>
      </c>
      <c r="E18" s="7">
        <f>('Donnees_USDA'!P6+'Donnees_USDA'!P406-'Donnees_USDA'!P506-'Donnees_USDA'!P606)*'Donnees_USDA'!P806+('Donnees_USDA'!P8+'Donnees_USDA'!P408-'Donnees_USDA'!P508-'Donnees_USDA'!P608)*'Donnees_USDA'!P808+('Donnees_USDA'!P13+'Donnees_USDA'!P413-'Donnees_USDA'!P513-'Donnees_USDA'!P613)*'Donnees_USDA'!P813+('Donnees_USDA'!P15+'Donnees_USDA'!P415-'Donnees_USDA'!P515-'Donnees_USDA'!P615)*'Donnees_USDA'!P815+('Donnees_USDA'!P14+'Donnees_USDA'!P414-'Donnees_USDA'!P514-'Donnees_USDA'!P614)*'Donnees_USDA'!P814+('Donnees_USDA'!P17+'Donnees_USDA'!P417-'Donnees_USDA'!P517-'Donnees_USDA'!P617)*'Donnees_USDA'!P817</f>
        <v>-1916.5650822788123</v>
      </c>
      <c r="F18" s="7">
        <f>('Donnees_USDA'!P506+'Donnees_USDA'!P606)*'Donnees_USDA'!P806+('Donnees_USDA'!P508+'Donnees_USDA'!P608)*'Donnees_USDA'!P808+('Donnees_USDA'!P513+'Donnees_USDA'!P613)*'Donnees_USDA'!P813+('Donnees_USDA'!P515+'Donnees_USDA'!P615)*'Donnees_USDA'!P815+('Donnees_USDA'!P514+'Donnees_USDA'!P614)*'Donnees_USDA'!P814+('Donnees_USDA'!P517+'Donnees_USDA'!P617)*'Donnees_USDA'!P817</f>
        <v>77131.58100387247</v>
      </c>
      <c r="G18" s="9">
        <f>E18/F18</f>
        <v>-0.024847994262980153</v>
      </c>
      <c r="H18" s="10">
        <f>'Prix_ICE'!J18</f>
        <v>204.00166666666667</v>
      </c>
      <c r="I18" s="7">
        <f>('Donnees_USDA'!P7+'Donnees_USDA'!P407-'Donnees_USDA'!P507-'Donnees_USDA'!P607)*'Donnees_USDA'!P907</f>
        <v>48.185117967332125</v>
      </c>
      <c r="J18" s="7">
        <f>('Donnees_USDA'!P507+'Donnees_USDA'!P607)*'Donnees_USDA'!P907</f>
        <v>27272.776769509983</v>
      </c>
      <c r="K18" s="9">
        <f>I18/J18</f>
        <v>0.0017667844522968198</v>
      </c>
      <c r="L18" s="7">
        <f>('Donnees_USDA'!P7+'Donnees_USDA'!P407-'Donnees_USDA'!P507-'Donnees_USDA'!P607)*'Donnees_USDA'!P907+('Donnees_USDA'!P6+'Donnees_USDA'!P406-'Donnees_USDA'!P506-'Donnees_USDA'!P606)*'Donnees_USDA'!P906+('Donnees_USDA'!P11+'Donnees_USDA'!P411-'Donnees_USDA'!P511-'Donnees_USDA'!P611)*'Donnees_USDA'!P911+('Donnees_USDA'!P10+'Donnees_USDA'!P410-'Donnees_USDA'!P510-'Donnees_USDA'!P610)*'Donnees_USDA'!P910</f>
        <v>-976.5810427147321</v>
      </c>
      <c r="M18" s="7">
        <f>('Donnees_USDA'!P507+'Donnees_USDA'!P607)*'Donnees_USDA'!P907+('Donnees_USDA'!P506+'Donnees_USDA'!P606)*'Donnees_USDA'!P906+('Donnees_USDA'!P511+'Donnees_USDA'!P611)*'Donnees_USDA'!P911+('Donnees_USDA'!P510+'Donnees_USDA'!P610)*'Donnees_USDA'!P910</f>
        <v>63557.08849830131</v>
      </c>
      <c r="N18" s="9">
        <f>L18/M18</f>
        <v>-0.015365415027480896</v>
      </c>
      <c r="O18" s="7">
        <f>'Prix_ICE'!L18</f>
        <v>3504.24765449</v>
      </c>
    </row>
    <row r="19">
      <c r="A19" s="5" t="s">
        <v>49</v>
      </c>
      <c r="B19" s="7">
        <f>('Donnees_USDA'!Q6+'Donnees_USDA'!Q406-'Donnees_USDA'!Q506-'Donnees_USDA'!Q606)*'Donnees_USDA'!Q806</f>
        <v>-767.7099236641221</v>
      </c>
      <c r="C19" s="7">
        <f>('Donnees_USDA'!Q506+'Donnees_USDA'!Q606)*'Donnees_USDA'!Q806</f>
        <v>45328.85496183206</v>
      </c>
      <c r="D19" s="9">
        <f>B19/C19</f>
        <v>-0.016936450839328536</v>
      </c>
      <c r="E19" s="7">
        <f>('Donnees_USDA'!Q6+'Donnees_USDA'!Q406-'Donnees_USDA'!Q506-'Donnees_USDA'!Q606)*'Donnees_USDA'!Q806+('Donnees_USDA'!Q8+'Donnees_USDA'!Q408-'Donnees_USDA'!Q508-'Donnees_USDA'!Q608)*'Donnees_USDA'!Q808+('Donnees_USDA'!Q13+'Donnees_USDA'!Q413-'Donnees_USDA'!Q513-'Donnees_USDA'!Q613)*'Donnees_USDA'!Q813+('Donnees_USDA'!Q15+'Donnees_USDA'!Q415-'Donnees_USDA'!Q515-'Donnees_USDA'!Q615)*'Donnees_USDA'!Q815+('Donnees_USDA'!Q14+'Donnees_USDA'!Q414-'Donnees_USDA'!Q514-'Donnees_USDA'!Q614)*'Donnees_USDA'!Q814+('Donnees_USDA'!Q17+'Donnees_USDA'!Q417-'Donnees_USDA'!Q517-'Donnees_USDA'!Q617)*'Donnees_USDA'!Q817</f>
        <v>-542.0598233624514</v>
      </c>
      <c r="F19" s="7">
        <f>('Donnees_USDA'!Q506+'Donnees_USDA'!Q606)*'Donnees_USDA'!Q806+('Donnees_USDA'!Q508+'Donnees_USDA'!Q608)*'Donnees_USDA'!Q808+('Donnees_USDA'!Q513+'Donnees_USDA'!Q613)*'Donnees_USDA'!Q813+('Donnees_USDA'!Q515+'Donnees_USDA'!Q615)*'Donnees_USDA'!Q815+('Donnees_USDA'!Q514+'Donnees_USDA'!Q614)*'Donnees_USDA'!Q814+('Donnees_USDA'!Q517+'Donnees_USDA'!Q617)*'Donnees_USDA'!Q817</f>
        <v>78907.69162324117</v>
      </c>
      <c r="G19" s="9">
        <f>E19/F19</f>
        <v>-0.006869543541466307</v>
      </c>
      <c r="H19" s="10">
        <f>'Prix_ICE'!J19</f>
        <v>333.06</v>
      </c>
      <c r="I19" s="7">
        <f>('Donnees_USDA'!Q7+'Donnees_USDA'!Q407-'Donnees_USDA'!Q507-'Donnees_USDA'!Q607)*'Donnees_USDA'!Q907</f>
        <v>193.10344827586206</v>
      </c>
      <c r="J19" s="7">
        <f>('Donnees_USDA'!Q507+'Donnees_USDA'!Q607)*'Donnees_USDA'!Q907</f>
        <v>28965.51724137931</v>
      </c>
      <c r="K19" s="9">
        <f>I19/J19</f>
        <v>0.006666666666666666</v>
      </c>
      <c r="L19" s="7">
        <f>('Donnees_USDA'!Q7+'Donnees_USDA'!Q407-'Donnees_USDA'!Q507-'Donnees_USDA'!Q607)*'Donnees_USDA'!Q907+('Donnees_USDA'!Q6+'Donnees_USDA'!Q406-'Donnees_USDA'!Q506-'Donnees_USDA'!Q606)*'Donnees_USDA'!Q906+('Donnees_USDA'!Q11+'Donnees_USDA'!Q411-'Donnees_USDA'!Q511-'Donnees_USDA'!Q611)*'Donnees_USDA'!Q911+('Donnees_USDA'!Q10+'Donnees_USDA'!Q410-'Donnees_USDA'!Q510-'Donnees_USDA'!Q610)*'Donnees_USDA'!Q910</f>
        <v>-24.60935089444176</v>
      </c>
      <c r="M19" s="7">
        <f>('Donnees_USDA'!Q507+'Donnees_USDA'!Q607)*'Donnees_USDA'!Q907+('Donnees_USDA'!Q506+'Donnees_USDA'!Q606)*'Donnees_USDA'!Q906+('Donnees_USDA'!Q511+'Donnees_USDA'!Q611)*'Donnees_USDA'!Q911+('Donnees_USDA'!Q510+'Donnees_USDA'!Q610)*'Donnees_USDA'!Q910</f>
        <v>66572.73920798914</v>
      </c>
      <c r="N19" s="9">
        <f>L19/M19</f>
        <v>-0.00036966108330853365</v>
      </c>
      <c r="O19" s="7">
        <f>'Prix_ICE'!L19</f>
        <v>4701.7435461085</v>
      </c>
    </row>
    <row r="20">
      <c r="A20" s="5" t="s">
        <v>50</v>
      </c>
      <c r="B20" s="7">
        <f>('Donnees_USDA'!R6+'Donnees_USDA'!R406-'Donnees_USDA'!R506-'Donnees_USDA'!R606)*'Donnees_USDA'!R806</f>
        <v>1773.3333333333333</v>
      </c>
      <c r="C20" s="7">
        <f>('Donnees_USDA'!R506+'Donnees_USDA'!R606)*'Donnees_USDA'!R806</f>
        <v>36280.95238095238</v>
      </c>
      <c r="D20" s="9">
        <f>B20/C20</f>
        <v>0.04887780548628429</v>
      </c>
      <c r="E20" s="7">
        <f>('Donnees_USDA'!R6+'Donnees_USDA'!R406-'Donnees_USDA'!R506-'Donnees_USDA'!R606)*'Donnees_USDA'!R806+('Donnees_USDA'!R8+'Donnees_USDA'!R408-'Donnees_USDA'!R508-'Donnees_USDA'!R608)*'Donnees_USDA'!R808+('Donnees_USDA'!R13+'Donnees_USDA'!R413-'Donnees_USDA'!R513-'Donnees_USDA'!R613)*'Donnees_USDA'!R813+('Donnees_USDA'!R15+'Donnees_USDA'!R415-'Donnees_USDA'!R515-'Donnees_USDA'!R615)*'Donnees_USDA'!R815+('Donnees_USDA'!R14+'Donnees_USDA'!R414-'Donnees_USDA'!R514-'Donnees_USDA'!R614)*'Donnees_USDA'!R814+('Donnees_USDA'!R17+'Donnees_USDA'!R417-'Donnees_USDA'!R517-'Donnees_USDA'!R617)*'Donnees_USDA'!R817</f>
        <v>1953.5833333333333</v>
      </c>
      <c r="F20" s="7">
        <f>('Donnees_USDA'!R506+'Donnees_USDA'!R606)*'Donnees_USDA'!R806+('Donnees_USDA'!R508+'Donnees_USDA'!R608)*'Donnees_USDA'!R808+('Donnees_USDA'!R513+'Donnees_USDA'!R613)*'Donnees_USDA'!R813+('Donnees_USDA'!R515+'Donnees_USDA'!R615)*'Donnees_USDA'!R815+('Donnees_USDA'!R514+'Donnees_USDA'!R614)*'Donnees_USDA'!R814+('Donnees_USDA'!R517+'Donnees_USDA'!R617)*'Donnees_USDA'!R817</f>
        <v>69765.65336134454</v>
      </c>
      <c r="G20" s="9">
        <f>E20/F20</f>
        <v>0.028002078948719006</v>
      </c>
      <c r="H20" s="10">
        <f>'Prix_ICE'!J20</f>
        <v>312.21</v>
      </c>
      <c r="I20" s="7">
        <f>('Donnees_USDA'!R7+'Donnees_USDA'!R407-'Donnees_USDA'!R507-'Donnees_USDA'!R607)*'Donnees_USDA'!R907</f>
        <v>-384.85804416403784</v>
      </c>
      <c r="J20" s="7">
        <f>('Donnees_USDA'!R507+'Donnees_USDA'!R607)*'Donnees_USDA'!R907</f>
        <v>32135.64668769716</v>
      </c>
      <c r="K20" s="9">
        <f>I20/J20</f>
        <v>-0.011976047904191616</v>
      </c>
      <c r="L20" s="7">
        <f>('Donnees_USDA'!R7+'Donnees_USDA'!R407-'Donnees_USDA'!R507-'Donnees_USDA'!R607)*'Donnees_USDA'!R907+('Donnees_USDA'!R6+'Donnees_USDA'!R406-'Donnees_USDA'!R506-'Donnees_USDA'!R606)*'Donnees_USDA'!R906+('Donnees_USDA'!R11+'Donnees_USDA'!R411-'Donnees_USDA'!R511-'Donnees_USDA'!R611)*'Donnees_USDA'!R911+('Donnees_USDA'!R10+'Donnees_USDA'!R410-'Donnees_USDA'!R510-'Donnees_USDA'!R610)*'Donnees_USDA'!R910</f>
        <v>951.260890857437</v>
      </c>
      <c r="M20" s="7">
        <f>('Donnees_USDA'!R507+'Donnees_USDA'!R607)*'Donnees_USDA'!R907+('Donnees_USDA'!R506+'Donnees_USDA'!R606)*'Donnees_USDA'!R906+('Donnees_USDA'!R511+'Donnees_USDA'!R611)*'Donnees_USDA'!R911+('Donnees_USDA'!R510+'Donnees_USDA'!R610)*'Donnees_USDA'!R910</f>
        <v>74064.97122189846</v>
      </c>
      <c r="N20" s="9">
        <f>L20/M20</f>
        <v>0.012843600357414057</v>
      </c>
      <c r="O20" s="7">
        <f>'Prix_ICE'!L20</f>
        <v>3788.463594255636</v>
      </c>
    </row>
    <row r="21">
      <c r="A21" s="6" t="s">
        <v>51</v>
      </c>
      <c r="B21" s="7">
        <f>('Donnees_USDA'!S6+'Donnees_USDA'!S406-'Donnees_USDA'!S506-'Donnees_USDA'!S606)*'Donnees_USDA'!S806</f>
        <v>350.13908205841443</v>
      </c>
      <c r="C21" s="7">
        <f>('Donnees_USDA'!S506+'Donnees_USDA'!S606)*'Donnees_USDA'!S806</f>
        <v>47209.318497913766</v>
      </c>
      <c r="D21" s="9">
        <f>B21/C21</f>
        <v>0.007416736635880212</v>
      </c>
      <c r="E21" s="7">
        <f>('Donnees_USDA'!S6+'Donnees_USDA'!S406-'Donnees_USDA'!S506-'Donnees_USDA'!S606)*'Donnees_USDA'!S806+('Donnees_USDA'!S8+'Donnees_USDA'!S408-'Donnees_USDA'!S508-'Donnees_USDA'!S608)*'Donnees_USDA'!S808+('Donnees_USDA'!S13+'Donnees_USDA'!S413-'Donnees_USDA'!S513-'Donnees_USDA'!S613)*'Donnees_USDA'!S813+('Donnees_USDA'!S15+'Donnees_USDA'!S415-'Donnees_USDA'!S515-'Donnees_USDA'!S615)*'Donnees_USDA'!S815+('Donnees_USDA'!S14+'Donnees_USDA'!S414-'Donnees_USDA'!S514-'Donnees_USDA'!S614)*'Donnees_USDA'!S814+('Donnees_USDA'!S17+'Donnees_USDA'!S417-'Donnees_USDA'!S517-'Donnees_USDA'!S617)*'Donnees_USDA'!S817</f>
        <v>446.44920951891754</v>
      </c>
      <c r="F21" s="7">
        <f>('Donnees_USDA'!S506+'Donnees_USDA'!S606)*'Donnees_USDA'!S806+('Donnees_USDA'!S508+'Donnees_USDA'!S608)*'Donnees_USDA'!S808+('Donnees_USDA'!S513+'Donnees_USDA'!S613)*'Donnees_USDA'!S813+('Donnees_USDA'!S515+'Donnees_USDA'!S615)*'Donnees_USDA'!S815+('Donnees_USDA'!S514+'Donnees_USDA'!S614)*'Donnees_USDA'!S814+('Donnees_USDA'!S517+'Donnees_USDA'!S617)*'Donnees_USDA'!S817</f>
        <v>81607.43521446778</v>
      </c>
      <c r="G21" s="9">
        <f>E21/F21</f>
        <v>0.005470692815496899</v>
      </c>
      <c r="H21" s="10"/>
      <c r="I21" s="7">
        <f>('Donnees_USDA'!S7+'Donnees_USDA'!S407-'Donnees_USDA'!S507-'Donnees_USDA'!S607)*'Donnees_USDA'!S907</f>
        <v>-193.23076923076923</v>
      </c>
      <c r="J21" s="7">
        <f>('Donnees_USDA'!S507+'Donnees_USDA'!S607)*'Donnees_USDA'!S907</f>
        <v>32800.92307692308</v>
      </c>
      <c r="K21" s="9">
        <f>I21/J21</f>
        <v>-0.005891016200294551</v>
      </c>
      <c r="L21" s="7">
        <f>('Donnees_USDA'!S7+'Donnees_USDA'!S407-'Donnees_USDA'!S507-'Donnees_USDA'!S607)*'Donnees_USDA'!S907+('Donnees_USDA'!S6+'Donnees_USDA'!S406-'Donnees_USDA'!S506-'Donnees_USDA'!S606)*'Donnees_USDA'!S906+('Donnees_USDA'!S11+'Donnees_USDA'!S411-'Donnees_USDA'!S511-'Donnees_USDA'!S611)*'Donnees_USDA'!S911+('Donnees_USDA'!S10+'Donnees_USDA'!S410-'Donnees_USDA'!S510-'Donnees_USDA'!S610)*'Donnees_USDA'!S910</f>
        <v>-87.87602329534958</v>
      </c>
      <c r="M21" s="7">
        <f>('Donnees_USDA'!S507+'Donnees_USDA'!S607)*'Donnees_USDA'!S907+('Donnees_USDA'!S506+'Donnees_USDA'!S606)*'Donnees_USDA'!S906+('Donnees_USDA'!S511+'Donnees_USDA'!S611)*'Donnees_USDA'!S911+('Donnees_USDA'!S510+'Donnees_USDA'!S610)*'Donnees_USDA'!S910</f>
        <v>74398.9139144601</v>
      </c>
      <c r="N21" s="9">
        <f>L21/M21</f>
        <v>-0.0011811465876556309</v>
      </c>
      <c r="O21" s="10"/>
    </row>
    <row r="24">
      <c r="A24" s="23" t="s">
        <v>105</v>
      </c>
    </row>
  </sheetData>
  <mergeCells count="1">
    <mergeCell ref="A24:O25"/>
  </mergeCells>
  <pageMargins left="0.5" right="0.5" top="0.75" bottom="0.75" header="0.3" footer="0.3"/>
  <pageSetup orientation="landscape"/>
  <drawing r:id="rId1"/>
</worksheet>
</file>

<file path=xl/worksheets/sheet8.xml><?xml version="1.0" encoding="utf-8"?>
<worksheet xmlns="http://schemas.openxmlformats.org/spreadsheetml/2006/main" xmlns:r="http://schemas.openxmlformats.org/officeDocument/2006/relationships">
  <sheetPr>
    <tabColor rgb="FF00B050"/>
  </sheetPr>
  <dimension ref="A1:S42"/>
  <sheetViews>
    <sheetView workbookViewId="0">
      <pane xSplit="2" ySplit="4" topLeftCell="C5" activePane="bottomRight" state="frozen"/>
      <selection pane="bottomRight" activeCell="C5" sqref="C5"/>
    </sheetView>
  </sheetViews>
  <sheetFormatPr defaultRowHeight="12.75"/>
  <cols>
    <col min="1" max="1" width="27" customWidth="1"/>
    <col min="2" max="2" width="24" customWidth="1"/>
    <col min="3" max="3" width="8.2" customWidth="1"/>
    <col min="4" max="4" width="8.2" customWidth="1"/>
    <col min="5" max="5" width="8.2" customWidth="1"/>
    <col min="6" max="6" width="8.2" customWidth="1"/>
    <col min="7" max="7" width="8.2" customWidth="1"/>
    <col min="8" max="8" width="8.2" customWidth="1"/>
    <col min="9" max="9" width="8.2" customWidth="1"/>
    <col min="10" max="10" width="8.2" customWidth="1"/>
    <col min="11" max="11" width="8.2" customWidth="1"/>
    <col min="12" max="12" width="8.2" customWidth="1"/>
    <col min="13" max="13" width="8.2" customWidth="1"/>
    <col min="14" max="14" width="8.2" customWidth="1"/>
    <col min="15" max="15" width="8.2" customWidth="1"/>
    <col min="16" max="16" width="8.2" customWidth="1"/>
    <col min="17" max="17" width="8.2" customWidth="1"/>
    <col min="18" max="18" width="8.2" customWidth="1"/>
    <col min="19" max="19" width="8.2" customWidth="1"/>
  </cols>
  <sheetData>
    <row r="1">
      <c r="A1" s="1" t="s">
        <v>106</v>
      </c>
    </row>
    <row r="2">
      <c r="A2" s="2" t="s">
        <v>107</v>
      </c>
    </row>
    <row r="4" ht="24" customHeight="1">
      <c r="A4" s="4" t="s">
        <v>108</v>
      </c>
      <c r="B4" s="3" t="s">
        <v>109</v>
      </c>
      <c r="C4" s="3" t="s">
        <v>35</v>
      </c>
      <c r="D4" s="3" t="s">
        <v>36</v>
      </c>
      <c r="E4" s="3" t="s">
        <v>37</v>
      </c>
      <c r="F4" s="3" t="s">
        <v>38</v>
      </c>
      <c r="G4" s="3" t="s">
        <v>39</v>
      </c>
      <c r="H4" s="3" t="s">
        <v>40</v>
      </c>
      <c r="I4" s="3" t="s">
        <v>41</v>
      </c>
      <c r="J4" s="3" t="s">
        <v>42</v>
      </c>
      <c r="K4" s="3" t="s">
        <v>43</v>
      </c>
      <c r="L4" s="3" t="s">
        <v>44</v>
      </c>
      <c r="M4" s="3" t="s">
        <v>45</v>
      </c>
      <c r="N4" s="3" t="s">
        <v>46</v>
      </c>
      <c r="O4" s="3" t="s">
        <v>47</v>
      </c>
      <c r="P4" s="3" t="s">
        <v>48</v>
      </c>
      <c r="Q4" s="3" t="s">
        <v>49</v>
      </c>
      <c r="R4" s="3" t="s">
        <v>50</v>
      </c>
      <c r="S4" s="3" t="s">
        <v>110</v>
      </c>
    </row>
    <row r="6">
      <c r="A6" s="15" t="s">
        <v>111</v>
      </c>
      <c r="B6" s="15"/>
      <c r="C6" s="15"/>
      <c r="D6" s="15"/>
      <c r="E6" s="15"/>
      <c r="F6" s="15"/>
      <c r="G6" s="15"/>
      <c r="H6" s="15"/>
      <c r="I6" s="15"/>
      <c r="J6" s="15"/>
      <c r="K6" s="15"/>
      <c r="L6" s="15"/>
      <c r="M6" s="15"/>
      <c r="N6" s="15"/>
      <c r="O6" s="15"/>
      <c r="P6" s="15"/>
      <c r="Q6" s="15"/>
      <c r="R6" s="15"/>
      <c r="S6" s="15"/>
    </row>
    <row r="7">
      <c r="A7" s="17" t="s">
        <v>112</v>
      </c>
      <c r="B7" s="2" t="s">
        <v>113</v>
      </c>
      <c r="C7" s="8">
        <f>'1_Monde'!E5</f>
        <v>0.211352835256959</v>
      </c>
      <c r="D7" s="8">
        <f>'1_Monde'!E6</f>
        <v>0.18026898922502818</v>
      </c>
      <c r="E7" s="8">
        <f>'1_Monde'!E7</f>
        <v>0.24661785216178522</v>
      </c>
      <c r="F7" s="8">
        <f>'1_Monde'!E8</f>
        <v>0.28624450051085304</v>
      </c>
      <c r="G7" s="8">
        <f>'1_Monde'!E9</f>
        <v>0.29308997506166634</v>
      </c>
      <c r="H7" s="8">
        <f>'1_Monde'!E10</f>
        <v>0.22816053686368207</v>
      </c>
      <c r="I7" s="8">
        <f>'1_Monde'!E11</f>
        <v>0.23502295234165463</v>
      </c>
      <c r="J7" s="8">
        <f>'1_Monde'!E12</f>
        <v>0.198914254764143</v>
      </c>
      <c r="K7" s="8">
        <f>'1_Monde'!E13</f>
        <v>0.22256224285103282</v>
      </c>
      <c r="L7" s="8">
        <f>'1_Monde'!E14</f>
        <v>0.22055372486218472</v>
      </c>
      <c r="M7" s="8">
        <f>'1_Monde'!E15</f>
        <v>0.23131165442061039</v>
      </c>
      <c r="N7" s="8">
        <f>'1_Monde'!E16</f>
        <v>0.19025947723319592</v>
      </c>
      <c r="O7" s="8">
        <f>'1_Monde'!E17</f>
        <v>0.15960510565675481</v>
      </c>
      <c r="P7" s="8">
        <f>'1_Monde'!E18</f>
        <v>0.14102986385595082</v>
      </c>
      <c r="Q7" s="8">
        <f>'1_Monde'!E19</f>
        <v>0.1281431756918043</v>
      </c>
      <c r="R7" s="8">
        <f>'1_Monde'!E20</f>
        <v>0.14049429548192946</v>
      </c>
      <c r="S7" s="8">
        <f>'1_Monde'!E21</f>
        <v>0.14623113900387236</v>
      </c>
    </row>
    <row r="8">
      <c r="A8" s="16" t="s">
        <v>112</v>
      </c>
      <c r="B8" s="2" t="s">
        <v>114</v>
      </c>
      <c r="C8" s="8">
        <f>'1_Monde'!F5</f>
        <v>0.11343472750316856</v>
      </c>
      <c r="D8" s="8">
        <f>'1_Monde'!F6</f>
        <v>0.09870352906900967</v>
      </c>
      <c r="E8" s="8">
        <f>'1_Monde'!F7</f>
        <v>0.13263251062297712</v>
      </c>
      <c r="F8" s="8">
        <f>'1_Monde'!F8</f>
        <v>0.15078147596261218</v>
      </c>
      <c r="G8" s="8">
        <f>'1_Monde'!F9</f>
        <v>0.1590471625059921</v>
      </c>
      <c r="H8" s="8">
        <f>'1_Monde'!F10</f>
        <v>0.12176733523556689</v>
      </c>
      <c r="I8" s="8">
        <f>'1_Monde'!F11</f>
        <v>0.1262616466350317</v>
      </c>
      <c r="J8" s="8">
        <f>'1_Monde'!F12</f>
        <v>0.10838158622257048</v>
      </c>
      <c r="K8" s="8">
        <f>'1_Monde'!F13</f>
        <v>0.11942450229016023</v>
      </c>
      <c r="L8" s="8">
        <f>'1_Monde'!F14</f>
        <v>0.11882292039979293</v>
      </c>
      <c r="M8" s="8">
        <f>'1_Monde'!F15</f>
        <v>0.12211676882690517</v>
      </c>
      <c r="N8" s="8">
        <f>'1_Monde'!F16</f>
        <v>0.10254961327173079</v>
      </c>
      <c r="O8" s="8">
        <f>'1_Monde'!F17</f>
        <v>0.08875839092050498</v>
      </c>
      <c r="P8" s="8">
        <f>'1_Monde'!F18</f>
        <v>0.07521029998243434</v>
      </c>
      <c r="Q8" s="8">
        <f>'1_Monde'!F19</f>
        <v>0.06888737961922586</v>
      </c>
      <c r="R8" s="8">
        <f>'1_Monde'!F20</f>
        <v>0.07629907232601026</v>
      </c>
      <c r="S8" s="8">
        <f>'1_Monde'!F21</f>
        <v>0.07762027110835475</v>
      </c>
    </row>
    <row r="9">
      <c r="A9" s="16" t="s">
        <v>115</v>
      </c>
      <c r="B9" s="2" t="s">
        <v>114</v>
      </c>
      <c r="C9" s="8">
        <f>'Donnees_USDA'!C799/('Donnees_USDA'!C599+'Donnees_USDA'!C699)</f>
        <v>0.07424450742164483</v>
      </c>
      <c r="D9" s="8">
        <f>'Donnees_USDA'!D799/('Donnees_USDA'!D599+'Donnees_USDA'!D699)</f>
        <v>0.07243730016398207</v>
      </c>
      <c r="E9" s="8">
        <f>'Donnees_USDA'!E799/('Donnees_USDA'!E599+'Donnees_USDA'!E699)</f>
        <v>0.11395378364652108</v>
      </c>
      <c r="F9" s="8">
        <f>'Donnees_USDA'!F799/('Donnees_USDA'!F599+'Donnees_USDA'!F699)</f>
        <v>0.13111640895005794</v>
      </c>
      <c r="G9" s="8">
        <f>'Donnees_USDA'!G799/('Donnees_USDA'!G599+'Donnees_USDA'!G699)</f>
        <v>0.14387073196199227</v>
      </c>
      <c r="H9" s="8">
        <f>'Donnees_USDA'!H799/('Donnees_USDA'!H599+'Donnees_USDA'!H699)</f>
        <v>0.09455269826235127</v>
      </c>
      <c r="I9" s="8">
        <f>'Donnees_USDA'!I799/('Donnees_USDA'!I599+'Donnees_USDA'!I699)</f>
        <v>0.09354769727249752</v>
      </c>
      <c r="J9" s="8">
        <f>'Donnees_USDA'!J799/('Donnees_USDA'!J599+'Donnees_USDA'!J699)</f>
        <v>0.07536462093862815</v>
      </c>
      <c r="K9" s="8">
        <f>'Donnees_USDA'!K799/('Donnees_USDA'!K599+'Donnees_USDA'!K699)</f>
        <v>0.08789769663354133</v>
      </c>
      <c r="L9" s="8">
        <f>'Donnees_USDA'!L799/('Donnees_USDA'!L599+'Donnees_USDA'!L699)</f>
        <v>0.08320453614390526</v>
      </c>
      <c r="M9" s="8">
        <f>'Donnees_USDA'!M799/('Donnees_USDA'!M599+'Donnees_USDA'!M699)</f>
        <v>0.09576361856632293</v>
      </c>
      <c r="N9" s="8">
        <f>'Donnees_USDA'!N799/('Donnees_USDA'!N599+'Donnees_USDA'!N699)</f>
        <v>0.06816080912073372</v>
      </c>
      <c r="O9" s="8">
        <f>'Donnees_USDA'!O799/('Donnees_USDA'!O599+'Donnees_USDA'!O699)</f>
        <v>0.07193031750491712</v>
      </c>
      <c r="P9" s="8">
        <f>'Donnees_USDA'!P799/('Donnees_USDA'!P599+'Donnees_USDA'!P699)</f>
        <v>0.055157946692991115</v>
      </c>
      <c r="Q9" s="8">
        <f>'Donnees_USDA'!Q799/('Donnees_USDA'!Q599+'Donnees_USDA'!Q699)</f>
        <v>0.05116686269134514</v>
      </c>
      <c r="R9" s="8">
        <f>'Donnees_USDA'!R799/('Donnees_USDA'!R599+'Donnees_USDA'!R699)</f>
        <v>0.06487189238429632</v>
      </c>
      <c r="S9" s="8">
        <f>'Donnees_USDA'!S799/('Donnees_USDA'!S599+'Donnees_USDA'!S699)</f>
        <v>0.06066227354417567</v>
      </c>
    </row>
    <row r="10">
      <c r="A10" s="16" t="s">
        <v>116</v>
      </c>
      <c r="B10" s="2" t="s">
        <v>113</v>
      </c>
      <c r="C10" s="8">
        <f>'Donnees_USDA'!C800/'Donnees_USDA'!C600</f>
        <v>0.21410211879124696</v>
      </c>
      <c r="D10" s="8">
        <f>'Donnees_USDA'!D800/'Donnees_USDA'!D600</f>
        <v>0.16440511307767944</v>
      </c>
      <c r="E10" s="8">
        <f>'Donnees_USDA'!E800/'Donnees_USDA'!E600</f>
        <v>0.18417371611270233</v>
      </c>
      <c r="F10" s="8">
        <f>'Donnees_USDA'!F800/'Donnees_USDA'!F600</f>
        <v>0.20844540075309306</v>
      </c>
      <c r="G10" s="8">
        <f>'Donnees_USDA'!G800/'Donnees_USDA'!G600</f>
        <v>0.20258844953173777</v>
      </c>
      <c r="H10" s="8">
        <f>'Donnees_USDA'!H800/'Donnees_USDA'!H600</f>
        <v>0.19810853067917478</v>
      </c>
      <c r="I10" s="8">
        <f>'Donnees_USDA'!I800/'Donnees_USDA'!I600</f>
        <v>0.2181327180059335</v>
      </c>
      <c r="J10" s="8">
        <f>'Donnees_USDA'!J800/'Donnees_USDA'!J600</f>
        <v>0.1972376560022273</v>
      </c>
      <c r="K10" s="8">
        <f>'Donnees_USDA'!K800/'Donnees_USDA'!K600</f>
        <v>0.2089315903516918</v>
      </c>
      <c r="L10" s="8">
        <f>'Donnees_USDA'!L800/'Donnees_USDA'!L600</f>
        <v>0.22119309843000381</v>
      </c>
      <c r="M10" s="8">
        <f>'Donnees_USDA'!M800/'Donnees_USDA'!M600</f>
        <v>0.20259957658411698</v>
      </c>
      <c r="N10" s="8">
        <f>'Donnees_USDA'!N800/'Donnees_USDA'!N600</f>
        <v>0.20100394918399392</v>
      </c>
      <c r="O10" s="8">
        <f>'Donnees_USDA'!O800/'Donnees_USDA'!O600</f>
        <v>0.13654674099980377</v>
      </c>
      <c r="P10" s="8">
        <f>'Donnees_USDA'!P800/'Donnees_USDA'!P600</f>
        <v>0.13594932037640692</v>
      </c>
      <c r="Q10" s="8">
        <f>'Donnees_USDA'!Q800/'Donnees_USDA'!Q600</f>
        <v>0.12198200303844806</v>
      </c>
      <c r="R10" s="8">
        <f>'Donnees_USDA'!R800/'Donnees_USDA'!R600</f>
        <v>0.11363236999636846</v>
      </c>
      <c r="S10" s="8">
        <f>'Donnees_USDA'!S800/'Donnees_USDA'!S600</f>
        <v>0.1311253037924603</v>
      </c>
    </row>
    <row r="11">
      <c r="A11" s="17" t="s">
        <v>117</v>
      </c>
      <c r="B11" s="2" t="s">
        <v>118</v>
      </c>
      <c r="C11" s="8">
        <f>'2_Arabica_Robusta'!D5</f>
        <v>0.0795173935154769</v>
      </c>
      <c r="D11" s="8">
        <f>'2_Arabica_Robusta'!D6</f>
        <v>0.08403135195748745</v>
      </c>
      <c r="E11" s="8">
        <f>'2_Arabica_Robusta'!D7</f>
        <v>0.1280995364333559</v>
      </c>
      <c r="F11" s="8">
        <f>'2_Arabica_Robusta'!D8</f>
        <v>0.15133297973849494</v>
      </c>
      <c r="G11" s="8">
        <f>'2_Arabica_Robusta'!D9</f>
        <v>0.1341241185975643</v>
      </c>
      <c r="H11" s="8">
        <f>'2_Arabica_Robusta'!D10</f>
        <v>0.09503935227505955</v>
      </c>
      <c r="I11" s="8">
        <f>'2_Arabica_Robusta'!D11</f>
        <v>0.10307916854892664</v>
      </c>
      <c r="J11" s="8">
        <f>'2_Arabica_Robusta'!D12</f>
        <v>0.09508984058645938</v>
      </c>
      <c r="K11" s="8">
        <f>'2_Arabica_Robusta'!D13</f>
        <v>0.09686521329175489</v>
      </c>
      <c r="L11" s="8">
        <f>'2_Arabica_Robusta'!D14</f>
        <v>0.08559902725242943</v>
      </c>
      <c r="M11" s="8">
        <f>'2_Arabica_Robusta'!D15</f>
        <v>0.09480209225077935</v>
      </c>
      <c r="N11" s="8">
        <f>'2_Arabica_Robusta'!D16</f>
        <v>0.07216946628862878</v>
      </c>
      <c r="O11" s="8">
        <f>'2_Arabica_Robusta'!D17</f>
        <v>0.09000778802560448</v>
      </c>
      <c r="P11" s="8">
        <f>'2_Arabica_Robusta'!D18</f>
        <v>0.07033802197922034</v>
      </c>
      <c r="Q11" s="8">
        <f>'2_Arabica_Robusta'!D19</f>
        <v>0.06306487267294311</v>
      </c>
      <c r="R11" s="8">
        <f>'2_Arabica_Robusta'!D20</f>
        <v>0.08244394630371851</v>
      </c>
      <c r="S11" s="8">
        <f>'2_Arabica_Robusta'!D21</f>
        <v>0.0775925720781832</v>
      </c>
    </row>
    <row r="12">
      <c r="A12" s="17" t="s">
        <v>119</v>
      </c>
      <c r="B12" s="2" t="s">
        <v>118</v>
      </c>
      <c r="C12" s="8">
        <f>'2_Arabica_Robusta'!G5</f>
        <v>0.06419565600154688</v>
      </c>
      <c r="D12" s="8">
        <f>'2_Arabica_Robusta'!G6</f>
        <v>0.05305625983110702</v>
      </c>
      <c r="E12" s="8">
        <f>'2_Arabica_Robusta'!G7</f>
        <v>0.09076168814675391</v>
      </c>
      <c r="F12" s="8">
        <f>'2_Arabica_Robusta'!G8</f>
        <v>0.09867356277428078</v>
      </c>
      <c r="G12" s="8">
        <f>'2_Arabica_Robusta'!G9</f>
        <v>0.15970313129237285</v>
      </c>
      <c r="H12" s="8">
        <f>'2_Arabica_Robusta'!G10</f>
        <v>0.09382520978432989</v>
      </c>
      <c r="I12" s="8">
        <f>'2_Arabica_Robusta'!G11</f>
        <v>0.076218850024371</v>
      </c>
      <c r="J12" s="8">
        <f>'2_Arabica_Robusta'!G12</f>
        <v>0.04320996431406309</v>
      </c>
      <c r="K12" s="8">
        <f>'2_Arabica_Robusta'!G13</f>
        <v>0.07243901779719178</v>
      </c>
      <c r="L12" s="8">
        <f>'2_Arabica_Robusta'!G14</f>
        <v>0.07954050955332384</v>
      </c>
      <c r="M12" s="8">
        <f>'2_Arabica_Robusta'!G15</f>
        <v>0.09730754946362928</v>
      </c>
      <c r="N12" s="8">
        <f>'2_Arabica_Robusta'!G16</f>
        <v>0.06264809471054354</v>
      </c>
      <c r="O12" s="8">
        <f>'2_Arabica_Robusta'!G17</f>
        <v>0.04758353054971042</v>
      </c>
      <c r="P12" s="8">
        <f>'2_Arabica_Robusta'!G18</f>
        <v>0.03161035880095807</v>
      </c>
      <c r="Q12" s="8">
        <f>'2_Arabica_Robusta'!G19</f>
        <v>0.03183366382084852</v>
      </c>
      <c r="R12" s="8">
        <f>'2_Arabica_Robusta'!G20</f>
        <v>0.04073220798973294</v>
      </c>
      <c r="S12" s="8">
        <f>'2_Arabica_Robusta'!G21</f>
        <v>0.03517480632679996</v>
      </c>
    </row>
    <row r="13">
      <c r="A13" s="16" t="s">
        <v>120</v>
      </c>
      <c r="B13" s="2" t="s">
        <v>121</v>
      </c>
      <c r="C13" s="8">
        <f>'3_Groupes_pays'!D5</f>
        <v>0.04064422788187754</v>
      </c>
      <c r="D13" s="8">
        <f>'3_Groupes_pays'!D6</f>
        <v>0.03927021415851066</v>
      </c>
      <c r="E13" s="8">
        <f>'3_Groupes_pays'!D7</f>
        <v>0.10940164174896158</v>
      </c>
      <c r="F13" s="8">
        <f>'3_Groupes_pays'!D8</f>
        <v>0.13606894217152202</v>
      </c>
      <c r="G13" s="8">
        <f>'3_Groupes_pays'!D9</f>
        <v>0.09961278747632603</v>
      </c>
      <c r="H13" s="8">
        <f>'3_Groupes_pays'!D10</f>
        <v>0.047556564975647725</v>
      </c>
      <c r="I13" s="8">
        <f>'3_Groupes_pays'!D11</f>
        <v>0.054382993266364366</v>
      </c>
      <c r="J13" s="8">
        <f>'3_Groupes_pays'!D12</f>
        <v>0.05282619511988303</v>
      </c>
      <c r="K13" s="8">
        <f>'3_Groupes_pays'!D13</f>
        <v>0.05143587909996702</v>
      </c>
      <c r="L13" s="8">
        <f>'3_Groupes_pays'!D14</f>
        <v>0.04056589935396794</v>
      </c>
      <c r="M13" s="8">
        <f>'3_Groupes_pays'!D15</f>
        <v>0.05746741196345771</v>
      </c>
      <c r="N13" s="8">
        <f>'3_Groupes_pays'!D16</f>
        <v>0.020905732030748084</v>
      </c>
      <c r="O13" s="8">
        <f>'3_Groupes_pays'!D17</f>
        <v>0.057056939624459777</v>
      </c>
      <c r="P13" s="8">
        <f>'3_Groupes_pays'!D18</f>
        <v>0.027971646066288876</v>
      </c>
      <c r="Q13" s="8">
        <f>'3_Groupes_pays'!D19</f>
        <v>0.022271880726820785</v>
      </c>
      <c r="R13" s="8">
        <f>'3_Groupes_pays'!D20</f>
        <v>0.047794317936111205</v>
      </c>
      <c r="S13" s="8">
        <f>'3_Groupes_pays'!D21</f>
        <v>0.04710592477508493</v>
      </c>
    </row>
    <row r="14">
      <c r="A14" s="16" t="s">
        <v>122</v>
      </c>
      <c r="B14" s="2" t="s">
        <v>121</v>
      </c>
      <c r="C14" s="8">
        <f>'3_Groupes_pays'!G5</f>
        <v>0.045367701695488774</v>
      </c>
      <c r="D14" s="8">
        <f>'3_Groupes_pays'!G6</f>
        <v>0.04343661222595886</v>
      </c>
      <c r="E14" s="8">
        <f>'3_Groupes_pays'!G7</f>
        <v>0.08821179484440146</v>
      </c>
      <c r="F14" s="8">
        <f>'3_Groupes_pays'!G8</f>
        <v>0.09742458603063031</v>
      </c>
      <c r="G14" s="8">
        <f>'3_Groupes_pays'!G9</f>
        <v>0.1731189446714767</v>
      </c>
      <c r="H14" s="8">
        <f>'3_Groupes_pays'!G10</f>
        <v>0.08287072373436545</v>
      </c>
      <c r="I14" s="8">
        <f>'3_Groupes_pays'!G11</f>
        <v>0.06845739050630952</v>
      </c>
      <c r="J14" s="8">
        <f>'3_Groupes_pays'!G12</f>
        <v>0.03126719822719195</v>
      </c>
      <c r="K14" s="8">
        <f>'3_Groupes_pays'!G13</f>
        <v>0.07105962248085387</v>
      </c>
      <c r="L14" s="8">
        <f>'3_Groupes_pays'!G14</f>
        <v>0.08005717497894088</v>
      </c>
      <c r="M14" s="8">
        <f>'3_Groupes_pays'!G15</f>
        <v>0.10421060774296502</v>
      </c>
      <c r="N14" s="8">
        <f>'3_Groupes_pays'!G16</f>
        <v>0.07097234489562548</v>
      </c>
      <c r="O14" s="8">
        <f>'3_Groupes_pays'!G17</f>
        <v>0.04866173768033685</v>
      </c>
      <c r="P14" s="8">
        <f>'3_Groupes_pays'!G18</f>
        <v>0.03360889667564988</v>
      </c>
      <c r="Q14" s="8">
        <f>'3_Groupes_pays'!G19</f>
        <v>0.03193340995649524</v>
      </c>
      <c r="R14" s="8">
        <f>'3_Groupes_pays'!G20</f>
        <v>0.04263356590526382</v>
      </c>
      <c r="S14" s="8">
        <f>'3_Groupes_pays'!G21</f>
        <v>0.03818061399705344</v>
      </c>
    </row>
    <row r="16">
      <c r="A16" s="15" t="s">
        <v>123</v>
      </c>
      <c r="B16" s="15"/>
      <c r="C16" s="15"/>
      <c r="D16" s="15"/>
      <c r="E16" s="15"/>
      <c r="F16" s="15"/>
      <c r="G16" s="15"/>
      <c r="H16" s="15"/>
      <c r="I16" s="15"/>
      <c r="J16" s="15"/>
      <c r="K16" s="15"/>
      <c r="L16" s="15"/>
      <c r="M16" s="15"/>
      <c r="N16" s="15"/>
      <c r="O16" s="15"/>
      <c r="P16" s="15"/>
      <c r="Q16" s="15"/>
      <c r="R16" s="15"/>
      <c r="S16" s="15"/>
    </row>
    <row r="17">
      <c r="A17" s="17" t="s">
        <v>124</v>
      </c>
      <c r="B17" s="2" t="s">
        <v>114</v>
      </c>
      <c r="C17" s="8">
        <f>'Donnees_USDA'!C706/('Donnees_USDA'!C506+'Donnees_USDA'!C606)</f>
        <v>0.05338967481168473</v>
      </c>
      <c r="D17" s="8">
        <f>'Donnees_USDA'!D706/('Donnees_USDA'!D506+'Donnees_USDA'!D606)</f>
        <v>0.04487847918504853</v>
      </c>
      <c r="E17" s="8">
        <f>'Donnees_USDA'!E706/('Donnees_USDA'!E506+'Donnees_USDA'!E606)</f>
        <v>0.17860941500886351</v>
      </c>
      <c r="F17" s="8">
        <f>'Donnees_USDA'!F706/('Donnees_USDA'!F506+'Donnees_USDA'!F606)</f>
        <v>0.21977334608874824</v>
      </c>
      <c r="G17" s="8">
        <f>'Donnees_USDA'!G706/('Donnees_USDA'!G506+'Donnees_USDA'!G606)</f>
        <v>0.16326566420437597</v>
      </c>
      <c r="H17" s="8">
        <f>'Donnees_USDA'!H706/('Donnees_USDA'!H506+'Donnees_USDA'!H606)</f>
        <v>0.042058229015213305</v>
      </c>
      <c r="I17" s="8">
        <f>'Donnees_USDA'!I706/('Donnees_USDA'!I506+'Donnees_USDA'!I606)</f>
        <v>0.06997404306657405</v>
      </c>
      <c r="J17" s="8">
        <f>'Donnees_USDA'!J706/('Donnees_USDA'!J506+'Donnees_USDA'!J606)</f>
        <v>0.05891364375685592</v>
      </c>
      <c r="K17" s="8">
        <f>'Donnees_USDA'!K706/('Donnees_USDA'!K506+'Donnees_USDA'!K606)</f>
        <v>0.07823476619317303</v>
      </c>
      <c r="L17" s="8">
        <f>'Donnees_USDA'!L706/('Donnees_USDA'!L506+'Donnees_USDA'!L606)</f>
        <v>0.037517786561264824</v>
      </c>
      <c r="M17" s="8">
        <f>'Donnees_USDA'!M706/('Donnees_USDA'!M506+'Donnees_USDA'!M606)</f>
        <v>0.06460157457140756</v>
      </c>
      <c r="N17" s="8">
        <f>'Donnees_USDA'!N706/('Donnees_USDA'!N506+'Donnees_USDA'!N606)</f>
        <v>0.008706166868198308</v>
      </c>
      <c r="O17" s="8">
        <f>'Donnees_USDA'!O706/('Donnees_USDA'!O506+'Donnees_USDA'!O606)</f>
        <v>0.07884631794521717</v>
      </c>
      <c r="P17" s="8">
        <f>'Donnees_USDA'!P706/('Donnees_USDA'!P506+'Donnees_USDA'!P606)</f>
        <v>0.030256856769699608</v>
      </c>
      <c r="Q17" s="8">
        <f>'Donnees_USDA'!Q706/('Donnees_USDA'!Q506+'Donnees_USDA'!Q606)</f>
        <v>0.014313549160671462</v>
      </c>
      <c r="R17" s="8">
        <f>'Donnees_USDA'!R706/('Donnees_USDA'!R506+'Donnees_USDA'!R606)</f>
        <v>0.06475477971737323</v>
      </c>
      <c r="S17" s="8">
        <f>'Donnees_USDA'!S706/('Donnees_USDA'!S506+'Donnees_USDA'!S606)</f>
        <v>0.06192275398824517</v>
      </c>
    </row>
    <row r="18">
      <c r="A18" s="17" t="s">
        <v>125</v>
      </c>
      <c r="B18" s="2" t="s">
        <v>114</v>
      </c>
      <c r="C18" s="8">
        <f>'Donnees_USDA'!C707/('Donnees_USDA'!C507+'Donnees_USDA'!C607)</f>
        <v>0.04004605296090504</v>
      </c>
      <c r="D18" s="8">
        <f>'Donnees_USDA'!D707/('Donnees_USDA'!D507+'Donnees_USDA'!D607)</f>
        <v>0.041666666666666664</v>
      </c>
      <c r="E18" s="8">
        <f>'Donnees_USDA'!E707/('Donnees_USDA'!E507+'Donnees_USDA'!E607)</f>
        <v>0.07352274444612363</v>
      </c>
      <c r="F18" s="8">
        <f>'Donnees_USDA'!F707/('Donnees_USDA'!F507+'Donnees_USDA'!F607)</f>
        <v>0.07030399049410833</v>
      </c>
      <c r="G18" s="8">
        <f>'Donnees_USDA'!G707/('Donnees_USDA'!G507+'Donnees_USDA'!G607)</f>
        <v>0.26639757820383453</v>
      </c>
      <c r="H18" s="8">
        <f>'Donnees_USDA'!H707/('Donnees_USDA'!H507+'Donnees_USDA'!H607)</f>
        <v>0.13254456538886258</v>
      </c>
      <c r="I18" s="8">
        <f>'Donnees_USDA'!I707/('Donnees_USDA'!I507+'Donnees_USDA'!I607)</f>
        <v>0.09175222450376455</v>
      </c>
      <c r="J18" s="8">
        <f>'Donnees_USDA'!J707/('Donnees_USDA'!J507+'Donnees_USDA'!J607)</f>
        <v>0.007746972885594901</v>
      </c>
      <c r="K18" s="8">
        <f>'Donnees_USDA'!K707/('Donnees_USDA'!K507+'Donnees_USDA'!K607)</f>
        <v>0.01778744641371809</v>
      </c>
      <c r="L18" s="8">
        <f>'Donnees_USDA'!L707/('Donnees_USDA'!L507+'Donnees_USDA'!L607)</f>
        <v>0.0700059159929008</v>
      </c>
      <c r="M18" s="8">
        <f>'Donnees_USDA'!M707/('Donnees_USDA'!M507+'Donnees_USDA'!M607)</f>
        <v>0.13062098501070663</v>
      </c>
      <c r="N18" s="8">
        <f>'Donnees_USDA'!N707/('Donnees_USDA'!N507+'Donnees_USDA'!N607)</f>
        <v>0.111145606954362</v>
      </c>
      <c r="O18" s="8">
        <f>'Donnees_USDA'!O707/('Donnees_USDA'!O507+'Donnees_USDA'!O607)</f>
        <v>0.026601141407736208</v>
      </c>
      <c r="P18" s="8">
        <f>'Donnees_USDA'!P707/('Donnees_USDA'!P507+'Donnees_USDA'!P607)</f>
        <v>0.03141342756183746</v>
      </c>
      <c r="Q18" s="8">
        <f>'Donnees_USDA'!Q707/('Donnees_USDA'!Q507+'Donnees_USDA'!Q607)</f>
        <v>0.0363</v>
      </c>
      <c r="R18" s="8">
        <f>'Donnees_USDA'!R707/('Donnees_USDA'!R507+'Donnees_USDA'!R607)</f>
        <v>0.020628742514970058</v>
      </c>
      <c r="S18" s="8">
        <f>'Donnees_USDA'!S707/('Donnees_USDA'!S507+'Donnees_USDA'!S607)</f>
        <v>0.014403534609720176</v>
      </c>
    </row>
    <row r="19">
      <c r="A19" s="16" t="s">
        <v>126</v>
      </c>
      <c r="B19" s="2" t="s">
        <v>114</v>
      </c>
      <c r="C19" s="8">
        <f>'Donnees_USDA'!C708/('Donnees_USDA'!C508+'Donnees_USDA'!C608)</f>
        <v>0.010415570752235665</v>
      </c>
      <c r="D19" s="8">
        <f>'Donnees_USDA'!D708/('Donnees_USDA'!D508+'Donnees_USDA'!D608)</f>
        <v>0.02888631090487239</v>
      </c>
      <c r="E19" s="8">
        <f>'Donnees_USDA'!E708/('Donnees_USDA'!E508+'Donnees_USDA'!E608)</f>
        <v>0.07667826951765291</v>
      </c>
      <c r="F19" s="8">
        <f>'Donnees_USDA'!F708/('Donnees_USDA'!F508+'Donnees_USDA'!F608)</f>
        <v>0.07787682333873581</v>
      </c>
      <c r="G19" s="8">
        <f>'Donnees_USDA'!G708/('Donnees_USDA'!G508+'Donnees_USDA'!G608)</f>
        <v>0.048552821997105644</v>
      </c>
      <c r="H19" s="8">
        <f>'Donnees_USDA'!H708/('Donnees_USDA'!H508+'Donnees_USDA'!H608)</f>
        <v>0.08192683810213691</v>
      </c>
      <c r="I19" s="8">
        <f>'Donnees_USDA'!I708/('Donnees_USDA'!I508+'Donnees_USDA'!I608)</f>
        <v>0.0582703058204538</v>
      </c>
      <c r="J19" s="8">
        <f>'Donnees_USDA'!J708/('Donnees_USDA'!J508+'Donnees_USDA'!J608)</f>
        <v>0.07728695652173913</v>
      </c>
      <c r="K19" s="8">
        <f>'Donnees_USDA'!K708/('Donnees_USDA'!K508+'Donnees_USDA'!K608)</f>
        <v>0.03552123552123552</v>
      </c>
      <c r="L19" s="8">
        <f>'Donnees_USDA'!L708/('Donnees_USDA'!L508+'Donnees_USDA'!L608)</f>
        <v>0.05764546684709066</v>
      </c>
      <c r="M19" s="8">
        <f>'Donnees_USDA'!M708/('Donnees_USDA'!M508+'Donnees_USDA'!M608)</f>
        <v>0.08324907313784968</v>
      </c>
      <c r="N19" s="8">
        <f>'Donnees_USDA'!N708/('Donnees_USDA'!N508+'Donnees_USDA'!N608)</f>
        <v>0.052377670572019294</v>
      </c>
      <c r="O19" s="8">
        <f>'Donnees_USDA'!O708/('Donnees_USDA'!O508+'Donnees_USDA'!O608)</f>
        <v>0.06935736677115988</v>
      </c>
      <c r="P19" s="8">
        <f>'Donnees_USDA'!P708/('Donnees_USDA'!P508+'Donnees_USDA'!P608)</f>
        <v>0.04773133261879243</v>
      </c>
      <c r="Q19" s="8">
        <f>'Donnees_USDA'!Q708/('Donnees_USDA'!Q508+'Donnees_USDA'!Q608)</f>
        <v>0.05938425866288806</v>
      </c>
      <c r="R19" s="8">
        <f>'Donnees_USDA'!R708/('Donnees_USDA'!R508+'Donnees_USDA'!R608)</f>
        <v>0.05769487008660893</v>
      </c>
      <c r="S19" s="8">
        <f>'Donnees_USDA'!S708/('Donnees_USDA'!S508+'Donnees_USDA'!S608)</f>
        <v>0.04294871794871795</v>
      </c>
    </row>
    <row r="20">
      <c r="A20" s="16" t="s">
        <v>127</v>
      </c>
      <c r="B20" s="2" t="s">
        <v>114</v>
      </c>
      <c r="C20" s="8">
        <f>'Donnees_USDA'!C710/('Donnees_USDA'!C510+'Donnees_USDA'!C610)</f>
        <v>0.007293497363796133</v>
      </c>
      <c r="D20" s="8">
        <f>'Donnees_USDA'!D710/('Donnees_USDA'!D510+'Donnees_USDA'!D610)</f>
        <v>0.009492988133764833</v>
      </c>
      <c r="E20" s="8">
        <f>'Donnees_USDA'!E710/('Donnees_USDA'!E510+'Donnees_USDA'!E610)</f>
        <v>0.007458143074581431</v>
      </c>
      <c r="F20" s="8">
        <f>'Donnees_USDA'!F710/('Donnees_USDA'!F510+'Donnees_USDA'!F610)</f>
        <v>0.0037151702786377707</v>
      </c>
      <c r="G20" s="8">
        <f>'Donnees_USDA'!G710/('Donnees_USDA'!G510+'Donnees_USDA'!G610)</f>
        <v>0.004561101549053356</v>
      </c>
      <c r="H20" s="8">
        <f>'Donnees_USDA'!H710/('Donnees_USDA'!H510+'Donnees_USDA'!H610)</f>
        <v>0.003519241068013159</v>
      </c>
      <c r="I20" s="8">
        <f>'Donnees_USDA'!I710/('Donnees_USDA'!I510+'Donnees_USDA'!I610)</f>
        <v>0.0010547596027072163</v>
      </c>
      <c r="J20" s="8">
        <f>'Donnees_USDA'!J710/('Donnees_USDA'!J510+'Donnees_USDA'!J610)</f>
        <v>0.05125324114088159</v>
      </c>
      <c r="K20" s="8">
        <f>'Donnees_USDA'!K710/('Donnees_USDA'!K510+'Donnees_USDA'!K610)</f>
        <v>0.23148325358851674</v>
      </c>
      <c r="L20" s="8">
        <f>'Donnees_USDA'!L710/('Donnees_USDA'!L510+'Donnees_USDA'!L610)</f>
        <v>0.1906737470959177</v>
      </c>
      <c r="M20" s="8">
        <f>'Donnees_USDA'!M710/('Donnees_USDA'!M510+'Donnees_USDA'!M610)</f>
        <v>0.13544879078071742</v>
      </c>
      <c r="N20" s="8">
        <f>'Donnees_USDA'!N710/('Donnees_USDA'!N510+'Donnees_USDA'!N610)</f>
        <v>0.08671374609952373</v>
      </c>
      <c r="O20" s="8">
        <f>'Donnees_USDA'!O710/('Donnees_USDA'!O510+'Donnees_USDA'!O610)</f>
        <v>0.039673093707847336</v>
      </c>
      <c r="P20" s="8">
        <f>'Donnees_USDA'!P710/('Donnees_USDA'!P510+'Donnees_USDA'!P610)</f>
        <v>0.04738400789733465</v>
      </c>
      <c r="Q20" s="8">
        <f>'Donnees_USDA'!Q710/('Donnees_USDA'!Q510+'Donnees_USDA'!Q610)</f>
        <v>0.05115973021878598</v>
      </c>
      <c r="R20" s="8">
        <f>'Donnees_USDA'!R710/('Donnees_USDA'!R510+'Donnees_USDA'!R610)</f>
        <v>0.05501025490770583</v>
      </c>
      <c r="S20" s="8">
        <f>'Donnees_USDA'!S710/('Donnees_USDA'!S510+'Donnees_USDA'!S610)</f>
        <v>0.05209627329192547</v>
      </c>
    </row>
    <row r="21">
      <c r="A21" s="16" t="s">
        <v>128</v>
      </c>
      <c r="B21" s="2" t="s">
        <v>114</v>
      </c>
      <c r="C21" s="8">
        <f>'Donnees_USDA'!C709/('Donnees_USDA'!C509+'Donnees_USDA'!C609)</f>
        <v>0.016406890894175553</v>
      </c>
      <c r="D21" s="8">
        <f>'Donnees_USDA'!D709/('Donnees_USDA'!D509+'Donnees_USDA'!D609)</f>
        <v>0.03715670436187399</v>
      </c>
      <c r="E21" s="8">
        <f>'Donnees_USDA'!E709/('Donnees_USDA'!E509+'Donnees_USDA'!E609)</f>
        <v>0.015082956259426848</v>
      </c>
      <c r="F21" s="8">
        <f>'Donnees_USDA'!F709/('Donnees_USDA'!F509+'Donnees_USDA'!F609)</f>
        <v>0.00624512099921936</v>
      </c>
      <c r="G21" s="8">
        <f>'Donnees_USDA'!G709/('Donnees_USDA'!G509+'Donnees_USDA'!G609)</f>
        <v>0.004626060138781804</v>
      </c>
      <c r="H21" s="8">
        <f>'Donnees_USDA'!H709/('Donnees_USDA'!H509+'Donnees_USDA'!H609)</f>
        <v>0.003837298541826554</v>
      </c>
      <c r="I21" s="8">
        <f>'Donnees_USDA'!I709/('Donnees_USDA'!I509+'Donnees_USDA'!I609)</f>
        <v>0.002157342154465698</v>
      </c>
      <c r="J21" s="8">
        <f>'Donnees_USDA'!J709/('Donnees_USDA'!J509+'Donnees_USDA'!J609)</f>
        <v>0.003833593639074258</v>
      </c>
      <c r="K21" s="8">
        <f>'Donnees_USDA'!K709/('Donnees_USDA'!K509+'Donnees_USDA'!K609)</f>
        <v>0.0013574046423238768</v>
      </c>
      <c r="L21" s="8">
        <f>'Donnees_USDA'!L709/('Donnees_USDA'!L509+'Donnees_USDA'!L609)</f>
        <v>0.0288659793814433</v>
      </c>
      <c r="M21" s="8">
        <f>'Donnees_USDA'!M709/('Donnees_USDA'!M509+'Donnees_USDA'!M609)</f>
        <v>0.01758957654723127</v>
      </c>
      <c r="N21" s="8">
        <f>'Donnees_USDA'!N709/('Donnees_USDA'!N509+'Donnees_USDA'!N609)</f>
        <v>0.010982306284319707</v>
      </c>
      <c r="O21" s="8">
        <f>'Donnees_USDA'!O709/('Donnees_USDA'!O509+'Donnees_USDA'!O609)</f>
        <v>0.006811989100817439</v>
      </c>
      <c r="P21" s="8">
        <f>'Donnees_USDA'!P709/('Donnees_USDA'!P509+'Donnees_USDA'!P609)</f>
        <v>0.00547645125958379</v>
      </c>
      <c r="Q21" s="8">
        <f>'Donnees_USDA'!Q709/('Donnees_USDA'!Q509+'Donnees_USDA'!Q609)</f>
        <v>0.00699912510936133</v>
      </c>
      <c r="R21" s="8">
        <f>'Donnees_USDA'!R709/('Donnees_USDA'!R509+'Donnees_USDA'!R609)</f>
        <v>0.015263846489315308</v>
      </c>
      <c r="S21" s="8">
        <f>'Donnees_USDA'!S709/('Donnees_USDA'!S509+'Donnees_USDA'!S609)</f>
        <v>0.011953833470733718</v>
      </c>
    </row>
    <row r="22">
      <c r="A22" s="16" t="s">
        <v>129</v>
      </c>
      <c r="B22" s="2" t="s">
        <v>114</v>
      </c>
      <c r="C22" s="8">
        <f>'Donnees_USDA'!C711/('Donnees_USDA'!C511+'Donnees_USDA'!C611)</f>
        <v>0.18575757575757576</v>
      </c>
      <c r="D22" s="8">
        <f>'Donnees_USDA'!D711/('Donnees_USDA'!D511+'Donnees_USDA'!D611)</f>
        <v>0.1707936507936508</v>
      </c>
      <c r="E22" s="8">
        <f>'Donnees_USDA'!E711/('Donnees_USDA'!E511+'Donnees_USDA'!E611)</f>
        <v>0.096158940397351</v>
      </c>
      <c r="F22" s="8">
        <f>'Donnees_USDA'!F711/('Donnees_USDA'!F511+'Donnees_USDA'!F611)</f>
        <v>0.10287958115183246</v>
      </c>
      <c r="G22" s="8">
        <f>'Donnees_USDA'!G711/('Donnees_USDA'!G511+'Donnees_USDA'!G611)</f>
        <v>0.08743016759776537</v>
      </c>
      <c r="H22" s="8">
        <f>'Donnees_USDA'!H711/('Donnees_USDA'!H511+'Donnees_USDA'!H611)</f>
        <v>0.08816901408450704</v>
      </c>
      <c r="I22" s="8">
        <f>'Donnees_USDA'!I711/('Donnees_USDA'!I511+'Donnees_USDA'!I611)</f>
        <v>0.06969072164948453</v>
      </c>
      <c r="J22" s="8">
        <f>'Donnees_USDA'!J711/('Donnees_USDA'!J511+'Donnees_USDA'!J611)</f>
        <v>0.08527472527472528</v>
      </c>
      <c r="K22" s="8">
        <f>'Donnees_USDA'!K711/('Donnees_USDA'!K511+'Donnees_USDA'!K611)</f>
        <v>0.07191489361702127</v>
      </c>
      <c r="L22" s="8">
        <f>'Donnees_USDA'!L711/('Donnees_USDA'!L511+'Donnees_USDA'!L611)</f>
        <v>0.06660550458715596</v>
      </c>
      <c r="M22" s="8">
        <f>'Donnees_USDA'!M711/('Donnees_USDA'!M511+'Donnees_USDA'!M611)</f>
        <v>0.057302691260961595</v>
      </c>
      <c r="N22" s="8">
        <f>'Donnees_USDA'!N711/('Donnees_USDA'!N511+'Donnees_USDA'!N611)</f>
        <v>0.07598326359832636</v>
      </c>
      <c r="O22" s="8">
        <f>'Donnees_USDA'!O711/('Donnees_USDA'!O511+'Donnees_USDA'!O611)</f>
        <v>0.0716030534351145</v>
      </c>
      <c r="P22" s="8">
        <f>'Donnees_USDA'!P711/('Donnees_USDA'!P511+'Donnees_USDA'!P611)</f>
        <v>0.036830188679245285</v>
      </c>
      <c r="Q22" s="8">
        <f>'Donnees_USDA'!Q711/('Donnees_USDA'!Q511+'Donnees_USDA'!Q611)</f>
        <v>0.0402996254681648</v>
      </c>
      <c r="R22" s="8">
        <f>'Donnees_USDA'!R711/('Donnees_USDA'!R511+'Donnees_USDA'!R611)</f>
        <v>0.04751066856330014</v>
      </c>
      <c r="S22" s="8">
        <f>'Donnees_USDA'!S711/('Donnees_USDA'!S511+'Donnees_USDA'!S611)</f>
        <v>0.04591765526866713</v>
      </c>
    </row>
    <row r="23">
      <c r="A23" s="16" t="s">
        <v>130</v>
      </c>
      <c r="B23" s="2" t="s">
        <v>114</v>
      </c>
      <c r="C23" s="8">
        <f>'Donnees_USDA'!C713/('Donnees_USDA'!C513+'Donnees_USDA'!C613)</f>
        <v>0.00716674629718108</v>
      </c>
      <c r="D23" s="8">
        <f>'Donnees_USDA'!D713/('Donnees_USDA'!D513+'Donnees_USDA'!D613)</f>
        <v>0.016201620162016202</v>
      </c>
      <c r="E23" s="8">
        <f>'Donnees_USDA'!E713/('Donnees_USDA'!E513+'Donnees_USDA'!E613)</f>
        <v>0.029850746268656716</v>
      </c>
      <c r="F23" s="8">
        <f>'Donnees_USDA'!F713/('Donnees_USDA'!F513+'Donnees_USDA'!F613)</f>
        <v>0.07050528789659224</v>
      </c>
      <c r="G23" s="8">
        <f>'Donnees_USDA'!G713/('Donnees_USDA'!G513+'Donnees_USDA'!G613)</f>
        <v>0.06692913385826772</v>
      </c>
      <c r="H23" s="8">
        <f>'Donnees_USDA'!H713/('Donnees_USDA'!H513+'Donnees_USDA'!H613)</f>
        <v>0.05893358278765201</v>
      </c>
      <c r="I23" s="8">
        <f>'Donnees_USDA'!I713/('Donnees_USDA'!I513+'Donnees_USDA'!I613)</f>
        <v>0.039735099337748346</v>
      </c>
      <c r="J23" s="8">
        <f>'Donnees_USDA'!J713/('Donnees_USDA'!J513+'Donnees_USDA'!J613)</f>
        <v>0.04276315789473684</v>
      </c>
      <c r="K23" s="8">
        <f>'Donnees_USDA'!K713/('Donnees_USDA'!K513+'Donnees_USDA'!K613)</f>
        <v>0.0222680412371134</v>
      </c>
      <c r="L23" s="8">
        <f>'Donnees_USDA'!L713/('Donnees_USDA'!L513+'Donnees_USDA'!L613)</f>
        <v>0.023547284466388152</v>
      </c>
      <c r="M23" s="8">
        <f>'Donnees_USDA'!M713/('Donnees_USDA'!M513+'Donnees_USDA'!M613)</f>
        <v>0.04216961906254899</v>
      </c>
      <c r="N23" s="8">
        <f>'Donnees_USDA'!N713/('Donnees_USDA'!N513+'Donnees_USDA'!N613)</f>
        <v>0.013338642245669918</v>
      </c>
      <c r="O23" s="8">
        <f>'Donnees_USDA'!O713/('Donnees_USDA'!O513+'Donnees_USDA'!O613)</f>
        <v>0.01972872996300863</v>
      </c>
      <c r="P23" s="8">
        <f>'Donnees_USDA'!P713/('Donnees_USDA'!P513+'Donnees_USDA'!P613)</f>
        <v>0.028272044286279163</v>
      </c>
      <c r="Q23" s="8">
        <f>'Donnees_USDA'!Q713/('Donnees_USDA'!Q513+'Donnees_USDA'!Q613)</f>
        <v>0.033616619452313506</v>
      </c>
      <c r="R23" s="8">
        <f>'Donnees_USDA'!R713/('Donnees_USDA'!R513+'Donnees_USDA'!R613)</f>
        <v>0.08040665434380777</v>
      </c>
      <c r="S23" s="8">
        <f>'Donnees_USDA'!S713/('Donnees_USDA'!S513+'Donnees_USDA'!S613)</f>
        <v>0.11946603582291315</v>
      </c>
    </row>
    <row r="24">
      <c r="A24" s="16" t="s">
        <v>131</v>
      </c>
      <c r="B24" s="2" t="s">
        <v>114</v>
      </c>
      <c r="C24" s="8">
        <f>'Donnees_USDA'!C712/('Donnees_USDA'!C512+'Donnees_USDA'!C612)</f>
        <v>0.2582270975392825</v>
      </c>
      <c r="D24" s="8">
        <f>'Donnees_USDA'!D712/('Donnees_USDA'!D512+'Donnees_USDA'!D612)</f>
        <v>0.2304803630104835</v>
      </c>
      <c r="E24" s="8">
        <f>'Donnees_USDA'!E712/('Donnees_USDA'!E512+'Donnees_USDA'!E612)</f>
        <v>0.33266196710305473</v>
      </c>
      <c r="F24" s="8">
        <f>'Donnees_USDA'!F712/('Donnees_USDA'!F512+'Donnees_USDA'!F612)</f>
        <v>0.3276726508167556</v>
      </c>
      <c r="G24" s="8">
        <f>'Donnees_USDA'!G712/('Donnees_USDA'!G512+'Donnees_USDA'!G612)</f>
        <v>0.42497945768282663</v>
      </c>
      <c r="H24" s="8">
        <f>'Donnees_USDA'!H712/('Donnees_USDA'!H512+'Donnees_USDA'!H612)</f>
        <v>0.38095923952182054</v>
      </c>
      <c r="I24" s="8">
        <f>'Donnees_USDA'!I712/('Donnees_USDA'!I512+'Donnees_USDA'!I612)</f>
        <v>0.2545528676270726</v>
      </c>
      <c r="J24" s="8">
        <f>'Donnees_USDA'!J712/('Donnees_USDA'!J512+'Donnees_USDA'!J612)</f>
        <v>0.16949612929512428</v>
      </c>
      <c r="K24" s="8">
        <f>'Donnees_USDA'!K712/('Donnees_USDA'!K512+'Donnees_USDA'!K612)</f>
        <v>0.13247011952191234</v>
      </c>
      <c r="L24" s="8">
        <f>'Donnees_USDA'!L712/('Donnees_USDA'!L512+'Donnees_USDA'!L612)</f>
        <v>0.15310778914240755</v>
      </c>
      <c r="M24" s="8">
        <f>'Donnees_USDA'!M712/('Donnees_USDA'!M512+'Donnees_USDA'!M612)</f>
        <v>0.13062804703183253</v>
      </c>
      <c r="N24" s="8">
        <f>'Donnees_USDA'!N712/('Donnees_USDA'!N512+'Donnees_USDA'!N612)</f>
        <v>0.020656584286241238</v>
      </c>
      <c r="O24" s="8">
        <f>'Donnees_USDA'!O712/('Donnees_USDA'!O512+'Donnees_USDA'!O612)</f>
        <v>0.06489071038251366</v>
      </c>
      <c r="P24" s="8">
        <f>'Donnees_USDA'!P712/('Donnees_USDA'!P512+'Donnees_USDA'!P612)</f>
        <v>0.029671407552721924</v>
      </c>
      <c r="Q24" s="8">
        <f>'Donnees_USDA'!Q712/('Donnees_USDA'!Q512+'Donnees_USDA'!Q612)</f>
        <v>0.04415584415584416</v>
      </c>
      <c r="R24" s="8">
        <f>'Donnees_USDA'!R712/('Donnees_USDA'!R512+'Donnees_USDA'!R612)</f>
        <v>0.06380739376397843</v>
      </c>
      <c r="S24" s="8">
        <f>'Donnees_USDA'!S712/('Donnees_USDA'!S512+'Donnees_USDA'!S612)</f>
        <v>0.02769585844339018</v>
      </c>
    </row>
    <row r="25">
      <c r="A25" s="16" t="s">
        <v>132</v>
      </c>
      <c r="B25" s="2" t="s">
        <v>114</v>
      </c>
      <c r="C25" s="8">
        <f>'Donnees_USDA'!C714/('Donnees_USDA'!C514+'Donnees_USDA'!C614)</f>
        <v>0.030617283950617285</v>
      </c>
      <c r="D25" s="8">
        <f>'Donnees_USDA'!D714/('Donnees_USDA'!D514+'Donnees_USDA'!D614)</f>
        <v>0.0026365348399246705</v>
      </c>
      <c r="E25" s="8">
        <f>'Donnees_USDA'!E714/('Donnees_USDA'!E514+'Donnees_USDA'!E614)</f>
        <v>0.010304449648711944</v>
      </c>
      <c r="F25" s="8">
        <f>'Donnees_USDA'!F714/('Donnees_USDA'!F514+'Donnees_USDA'!F614)</f>
        <v>0.005620608899297424</v>
      </c>
      <c r="G25" s="8">
        <f>'Donnees_USDA'!G714/('Donnees_USDA'!G514+'Donnees_USDA'!G614)</f>
        <v>0.0013698630136986301</v>
      </c>
      <c r="H25" s="8">
        <f>'Donnees_USDA'!H714/('Donnees_USDA'!H514+'Donnees_USDA'!H614)</f>
        <v>0.012716763005780347</v>
      </c>
      <c r="I25" s="8">
        <f>'Donnees_USDA'!I714/('Donnees_USDA'!I514+'Donnees_USDA'!I614)</f>
        <v>0.0178826895565093</v>
      </c>
      <c r="J25" s="8">
        <f>'Donnees_USDA'!J714/('Donnees_USDA'!J514+'Donnees_USDA'!J614)</f>
        <v>0.019473081328751432</v>
      </c>
      <c r="K25" s="8">
        <f>'Donnees_USDA'!K714/('Donnees_USDA'!K514+'Donnees_USDA'!K614)</f>
        <v>0.002688774367017701</v>
      </c>
      <c r="L25" s="8">
        <f>'Donnees_USDA'!L714/('Donnees_USDA'!L514+'Donnees_USDA'!L614)</f>
        <v>0.03206106870229008</v>
      </c>
      <c r="M25" s="8">
        <f>'Donnees_USDA'!M714/('Donnees_USDA'!M514+'Donnees_USDA'!M614)</f>
        <v>0.023957158962795943</v>
      </c>
      <c r="N25" s="8">
        <f>'Donnees_USDA'!N714/('Donnees_USDA'!N514+'Donnees_USDA'!N614)</f>
        <v>0.022041763341067284</v>
      </c>
      <c r="O25" s="8">
        <f>'Donnees_USDA'!O714/('Donnees_USDA'!O514+'Donnees_USDA'!O614)</f>
        <v>0.02664796633941094</v>
      </c>
      <c r="P25" s="8">
        <f>'Donnees_USDA'!P714/('Donnees_USDA'!P514+'Donnees_USDA'!P614)</f>
        <v>0.006534422403733956</v>
      </c>
      <c r="Q25" s="8">
        <f>'Donnees_USDA'!Q714/('Donnees_USDA'!Q514+'Donnees_USDA'!Q614)</f>
        <v>0.0054761904761904765</v>
      </c>
      <c r="R25" s="8">
        <f>'Donnees_USDA'!R714/('Donnees_USDA'!R514+'Donnees_USDA'!R614)</f>
        <v>0.004333470903838217</v>
      </c>
      <c r="S25" s="8">
        <f>'Donnees_USDA'!S714/('Donnees_USDA'!S514+'Donnees_USDA'!S614)</f>
        <v>0.005350895245935378</v>
      </c>
    </row>
    <row r="26">
      <c r="A26" s="16" t="s">
        <v>133</v>
      </c>
      <c r="B26" s="2" t="s">
        <v>114</v>
      </c>
      <c r="C26" s="8">
        <f>'Donnees_USDA'!C715/('Donnees_USDA'!C515+'Donnees_USDA'!C615)</f>
        <v>0.01718146718146718</v>
      </c>
      <c r="D26" s="8">
        <f>'Donnees_USDA'!D715/('Donnees_USDA'!D515+'Donnees_USDA'!D615)</f>
        <v>0.010969568294409059</v>
      </c>
      <c r="E26" s="8">
        <f>'Donnees_USDA'!E715/('Donnees_USDA'!E515+'Donnees_USDA'!E615)</f>
        <v>0.010542689249913584</v>
      </c>
      <c r="F26" s="8">
        <f>'Donnees_USDA'!F715/('Donnees_USDA'!F515+'Donnees_USDA'!F615)</f>
        <v>0.03097507331378299</v>
      </c>
      <c r="G26" s="8">
        <f>'Donnees_USDA'!G715/('Donnees_USDA'!G515+'Donnees_USDA'!G615)</f>
        <v>0.025515411308430293</v>
      </c>
      <c r="H26" s="8">
        <f>'Donnees_USDA'!H715/('Donnees_USDA'!H515+'Donnees_USDA'!H615)</f>
        <v>0.04501607717041801</v>
      </c>
      <c r="I26" s="8">
        <f>'Donnees_USDA'!I715/('Donnees_USDA'!I515+'Donnees_USDA'!I615)</f>
        <v>0.031084924827305974</v>
      </c>
      <c r="J26" s="8">
        <f>'Donnees_USDA'!J715/('Donnees_USDA'!J515+'Donnees_USDA'!J615)</f>
        <v>0.033182230281051675</v>
      </c>
      <c r="K26" s="8">
        <f>'Donnees_USDA'!K715/('Donnees_USDA'!K515+'Donnees_USDA'!K615)</f>
        <v>0.004565376186997808</v>
      </c>
      <c r="L26" s="8">
        <f>'Donnees_USDA'!L715/('Donnees_USDA'!L515+'Donnees_USDA'!L615)</f>
        <v>0.017659650374598643</v>
      </c>
      <c r="M26" s="8">
        <f>'Donnees_USDA'!M715/('Donnees_USDA'!M515+'Donnees_USDA'!M615)</f>
        <v>0.0030378842030021444</v>
      </c>
      <c r="N26" s="8">
        <f>'Donnees_USDA'!N715/('Donnees_USDA'!N515+'Donnees_USDA'!N615)</f>
        <v>0.01711914231367802</v>
      </c>
      <c r="O26" s="8">
        <f>'Donnees_USDA'!O715/('Donnees_USDA'!O515+'Donnees_USDA'!O615)</f>
        <v>0.014107142857142856</v>
      </c>
      <c r="P26" s="8">
        <f>'Donnees_USDA'!P715/('Donnees_USDA'!P515+'Donnees_USDA'!P615)</f>
        <v>0.002932045532942394</v>
      </c>
      <c r="Q26" s="8">
        <f>'Donnees_USDA'!Q715/('Donnees_USDA'!Q515+'Donnees_USDA'!Q615)</f>
        <v>0.0030464584920030465</v>
      </c>
      <c r="R26" s="8">
        <f>'Donnees_USDA'!R715/('Donnees_USDA'!R515+'Donnees_USDA'!R615)</f>
        <v>0.0030257186081694403</v>
      </c>
      <c r="S26" s="8">
        <f>'Donnees_USDA'!S715/('Donnees_USDA'!S515+'Donnees_USDA'!S615)</f>
        <v>0.0007518796992481203</v>
      </c>
    </row>
    <row r="27">
      <c r="A27" s="16" t="s">
        <v>134</v>
      </c>
      <c r="B27" s="2" t="s">
        <v>114</v>
      </c>
      <c r="C27" s="8">
        <f>'Donnees_USDA'!C716/('Donnees_USDA'!C516+'Donnees_USDA'!C616)</f>
        <v>0.05710843373493976</v>
      </c>
      <c r="D27" s="8">
        <f>'Donnees_USDA'!D716/('Donnees_USDA'!D516+'Donnees_USDA'!D616)</f>
        <v>0.08716216216216216</v>
      </c>
      <c r="E27" s="8">
        <f>'Donnees_USDA'!E716/('Donnees_USDA'!E516+'Donnees_USDA'!E616)</f>
        <v>0.04851258581235698</v>
      </c>
      <c r="F27" s="8">
        <f>'Donnees_USDA'!F716/('Donnees_USDA'!F516+'Donnees_USDA'!F616)</f>
        <v>0.05768714784008586</v>
      </c>
      <c r="G27" s="8">
        <f>'Donnees_USDA'!G716/('Donnees_USDA'!G516+'Donnees_USDA'!G616)</f>
        <v>0.004201680672268907</v>
      </c>
      <c r="H27" s="8">
        <f>'Donnees_USDA'!H716/('Donnees_USDA'!H516+'Donnees_USDA'!H616)</f>
        <v>0.007484168105929764</v>
      </c>
      <c r="I27" s="8">
        <f>'Donnees_USDA'!I716/('Donnees_USDA'!I516+'Donnees_USDA'!I616)</f>
        <v>0.009511228533685601</v>
      </c>
      <c r="J27" s="8">
        <f>'Donnees_USDA'!J716/('Donnees_USDA'!J516+'Donnees_USDA'!J616)</f>
        <v>0.026835443037974683</v>
      </c>
      <c r="K27" s="8">
        <f>'Donnees_USDA'!K716/('Donnees_USDA'!K516+'Donnees_USDA'!K616)</f>
        <v>0.006343010490363503</v>
      </c>
      <c r="L27" s="8">
        <f>'Donnees_USDA'!L716/('Donnees_USDA'!L516+'Donnees_USDA'!L616)</f>
        <v>0.0311284046692607</v>
      </c>
      <c r="M27" s="8">
        <f>'Donnees_USDA'!M716/('Donnees_USDA'!M516+'Donnees_USDA'!M616)</f>
        <v>0.025813953488372093</v>
      </c>
      <c r="N27" s="8">
        <f>'Donnees_USDA'!N716/('Donnees_USDA'!N516+'Donnees_USDA'!N616)</f>
        <v>0.005277707966825836</v>
      </c>
      <c r="O27" s="8">
        <f>'Donnees_USDA'!O716/('Donnees_USDA'!O516+'Donnees_USDA'!O616)</f>
        <v>0.0060790273556231</v>
      </c>
      <c r="P27" s="8">
        <f>'Donnees_USDA'!P716/('Donnees_USDA'!P516+'Donnees_USDA'!P616)</f>
        <v>0.0038255547054322878</v>
      </c>
      <c r="Q27" s="8">
        <f>'Donnees_USDA'!Q716/('Donnees_USDA'!Q516+'Donnees_USDA'!Q616)</f>
        <v>0.0015584415584415584</v>
      </c>
      <c r="R27" s="8">
        <f>'Donnees_USDA'!R716/('Donnees_USDA'!R516+'Donnees_USDA'!R616)</f>
        <v>0.0028534370946822307</v>
      </c>
      <c r="S27" s="8">
        <f>'Donnees_USDA'!S716/('Donnees_USDA'!S516+'Donnees_USDA'!S616)</f>
        <v>0.003902439024390244</v>
      </c>
    </row>
    <row r="28">
      <c r="A28" s="16" t="s">
        <v>135</v>
      </c>
      <c r="B28" s="2" t="s">
        <v>114</v>
      </c>
      <c r="C28" s="8">
        <f>'Donnees_USDA'!C717/('Donnees_USDA'!C517+'Donnees_USDA'!C617)</f>
        <v>0.01218836565096953</v>
      </c>
      <c r="D28" s="8">
        <f>'Donnees_USDA'!D717/('Donnees_USDA'!D517+'Donnees_USDA'!D617)</f>
        <v>0.13228346456692913</v>
      </c>
      <c r="E28" s="8">
        <f>'Donnees_USDA'!E717/('Donnees_USDA'!E517+'Donnees_USDA'!E617)</f>
        <v>0.007762557077625571</v>
      </c>
      <c r="F28" s="8">
        <f>'Donnees_USDA'!F717/('Donnees_USDA'!F517+'Donnees_USDA'!F617)</f>
        <v>0.01089108910891089</v>
      </c>
      <c r="G28" s="8">
        <f>'Donnees_USDA'!G717/('Donnees_USDA'!G517+'Donnees_USDA'!G617)</f>
        <v>0.0491566265060241</v>
      </c>
      <c r="H28" s="8">
        <f>'Donnees_USDA'!H717/('Donnees_USDA'!H517+'Donnees_USDA'!H617)</f>
        <v>0.016666666666666666</v>
      </c>
      <c r="I28" s="8">
        <f>'Donnees_USDA'!I717/('Donnees_USDA'!I517+'Donnees_USDA'!I617)</f>
        <v>0.02737642585551331</v>
      </c>
      <c r="J28" s="8">
        <f>'Donnees_USDA'!J717/('Donnees_USDA'!J517+'Donnees_USDA'!J617)</f>
        <v>0.05288640595903166</v>
      </c>
      <c r="K28" s="8">
        <f>'Donnees_USDA'!K717/('Donnees_USDA'!K517+'Donnees_USDA'!K617)</f>
        <v>0.049494949494949494</v>
      </c>
      <c r="L28" s="8">
        <f>'Donnees_USDA'!L717/('Donnees_USDA'!L517+'Donnees_USDA'!L617)</f>
        <v>0.012802768166089966</v>
      </c>
      <c r="M28" s="8">
        <f>'Donnees_USDA'!M717/('Donnees_USDA'!M517+'Donnees_USDA'!M617)</f>
        <v>0.013831775700934579</v>
      </c>
      <c r="N28" s="8">
        <f>'Donnees_USDA'!N717/('Donnees_USDA'!N517+'Donnees_USDA'!N617)</f>
        <v>0.008695652173913044</v>
      </c>
      <c r="O28" s="8">
        <f>'Donnees_USDA'!O717/('Donnees_USDA'!O517+'Donnees_USDA'!O617)</f>
        <v>0.009560229445506692</v>
      </c>
      <c r="P28" s="8">
        <f>'Donnees_USDA'!P717/('Donnees_USDA'!P517+'Donnees_USDA'!P617)</f>
        <v>0.06272401433691756</v>
      </c>
      <c r="Q28" s="8">
        <f>'Donnees_USDA'!Q717/('Donnees_USDA'!Q517+'Donnees_USDA'!Q617)</f>
        <v>0.027522935779816515</v>
      </c>
      <c r="R28" s="8">
        <f>'Donnees_USDA'!R717/('Donnees_USDA'!R517+'Donnees_USDA'!R617)</f>
        <v>0.02131782945736434</v>
      </c>
      <c r="S28" s="8">
        <f>'Donnees_USDA'!S717/('Donnees_USDA'!S517+'Donnees_USDA'!S617)</f>
        <v>0.035269709543568464</v>
      </c>
    </row>
    <row r="29">
      <c r="A29" s="16" t="s">
        <v>136</v>
      </c>
      <c r="B29" s="2" t="s">
        <v>114</v>
      </c>
      <c r="C29" s="8">
        <f>'Donnees_USDA'!C722/('Donnees_USDA'!C522+'Donnees_USDA'!C622)</f>
        <v>0.11785503830288745</v>
      </c>
      <c r="D29" s="8">
        <f>'Donnees_USDA'!D722/('Donnees_USDA'!D522+'Donnees_USDA'!D622)</f>
        <v>0.13157894736842105</v>
      </c>
      <c r="E29" s="8">
        <f>'Donnees_USDA'!E722/('Donnees_USDA'!E522+'Donnees_USDA'!E622)</f>
        <v>0.10674157303370786</v>
      </c>
      <c r="F29" s="8">
        <f>'Donnees_USDA'!F722/('Donnees_USDA'!F522+'Donnees_USDA'!F622)</f>
        <v>0.0755813953488372</v>
      </c>
      <c r="G29" s="8">
        <f>'Donnees_USDA'!G722/('Donnees_USDA'!G522+'Donnees_USDA'!G622)</f>
        <v>0.07228915662650602</v>
      </c>
      <c r="H29" s="8">
        <f>'Donnees_USDA'!H722/('Donnees_USDA'!H522+'Donnees_USDA'!H622)</f>
        <v>0.19688473520249222</v>
      </c>
      <c r="I29" s="8">
        <f>'Donnees_USDA'!I722/('Donnees_USDA'!I522+'Donnees_USDA'!I622)</f>
        <v>0.14966887417218544</v>
      </c>
      <c r="J29" s="8">
        <f>'Donnees_USDA'!J722/('Donnees_USDA'!J522+'Donnees_USDA'!J622)</f>
        <v>0.16131064902331443</v>
      </c>
      <c r="K29" s="8">
        <f>'Donnees_USDA'!K722/('Donnees_USDA'!K522+'Donnees_USDA'!K622)</f>
        <v>0.14966887417218544</v>
      </c>
      <c r="L29" s="8">
        <f>'Donnees_USDA'!L722/('Donnees_USDA'!L522+'Donnees_USDA'!L622)</f>
        <v>0.18652526512788523</v>
      </c>
      <c r="M29" s="8">
        <f>'Donnees_USDA'!M722/('Donnees_USDA'!M522+'Donnees_USDA'!M622)</f>
        <v>0.1703030303030303</v>
      </c>
      <c r="N29" s="8">
        <f>'Donnees_USDA'!N722/('Donnees_USDA'!N522+'Donnees_USDA'!N622)</f>
        <v>0.16506849315068492</v>
      </c>
      <c r="O29" s="8">
        <f>'Donnees_USDA'!O722/('Donnees_USDA'!O522+'Donnees_USDA'!O622)</f>
        <v>0.1302158273381295</v>
      </c>
      <c r="P29" s="8">
        <f>'Donnees_USDA'!P722/('Donnees_USDA'!P522+'Donnees_USDA'!P622)</f>
        <v>0.12632375189107414</v>
      </c>
      <c r="Q29" s="8">
        <f>'Donnees_USDA'!Q722/('Donnees_USDA'!Q522+'Donnees_USDA'!Q622)</f>
        <v>0.13620324629498942</v>
      </c>
      <c r="R29" s="8">
        <f>'Donnees_USDA'!R722/('Donnees_USDA'!R522+'Donnees_USDA'!R622)</f>
        <v>0.09925373134328358</v>
      </c>
      <c r="S29" s="8">
        <f>'Donnees_USDA'!S722/('Donnees_USDA'!S522+'Donnees_USDA'!S622)</f>
        <v>0.04927536231884058</v>
      </c>
    </row>
    <row r="31">
      <c r="A31" s="15" t="s">
        <v>137</v>
      </c>
      <c r="B31" s="15"/>
      <c r="C31" s="15"/>
      <c r="D31" s="15"/>
      <c r="E31" s="15"/>
      <c r="F31" s="15"/>
      <c r="G31" s="15"/>
      <c r="H31" s="15"/>
      <c r="I31" s="15"/>
      <c r="J31" s="15"/>
      <c r="K31" s="15"/>
      <c r="L31" s="15"/>
      <c r="M31" s="15"/>
      <c r="N31" s="15"/>
      <c r="O31" s="15"/>
      <c r="P31" s="15"/>
      <c r="Q31" s="15"/>
      <c r="R31" s="15"/>
      <c r="S31" s="15"/>
    </row>
    <row r="32">
      <c r="A32" s="16" t="s">
        <v>138</v>
      </c>
      <c r="B32" s="2" t="s">
        <v>139</v>
      </c>
      <c r="C32" s="8">
        <f>'6_Surplus'!D5</f>
        <v>0.0012860554841080288</v>
      </c>
      <c r="D32" s="8">
        <f>'6_Surplus'!D6</f>
        <v>-0.013395363760327263</v>
      </c>
      <c r="E32" s="8">
        <f>'6_Surplus'!D7</f>
        <v>0.13452826472326176</v>
      </c>
      <c r="F32" s="8">
        <f>'6_Surplus'!D8</f>
        <v>0.05294723673559497</v>
      </c>
      <c r="G32" s="8">
        <f>'6_Surplus'!D9</f>
        <v>-0.0463390240906778</v>
      </c>
      <c r="H32" s="8">
        <f>'6_Surplus'!D10</f>
        <v>-0.12292989113089114</v>
      </c>
      <c r="I32" s="8">
        <f>'6_Surplus'!D11</f>
        <v>0.026614996526889187</v>
      </c>
      <c r="J32" s="8">
        <f>'6_Surplus'!D12</f>
        <v>-0.013484888603094148</v>
      </c>
      <c r="K32" s="8">
        <f>'6_Surplus'!D13</f>
        <v>0.030034351499396525</v>
      </c>
      <c r="L32" s="8">
        <f>'6_Surplus'!D14</f>
        <v>-0.04241897233201581</v>
      </c>
      <c r="M32" s="8">
        <f>'6_Surplus'!D15</f>
        <v>0.02968140681333235</v>
      </c>
      <c r="N32" s="8">
        <f>'6_Surplus'!D16</f>
        <v>-0.06207174526400645</v>
      </c>
      <c r="O32" s="8">
        <f>'6_Surplus'!D17</f>
        <v>0.06963051454902296</v>
      </c>
      <c r="P32" s="8">
        <f>'6_Surplus'!D18</f>
        <v>-0.0367871136264693</v>
      </c>
      <c r="Q32" s="8">
        <f>'6_Surplus'!D19</f>
        <v>-0.016936450839328536</v>
      </c>
      <c r="R32" s="8">
        <f>'6_Surplus'!D20</f>
        <v>0.04887780548628429</v>
      </c>
      <c r="S32" s="8">
        <f>'6_Surplus'!D21</f>
        <v>0.007416736635880212</v>
      </c>
    </row>
    <row r="33">
      <c r="A33" s="16" t="s">
        <v>140</v>
      </c>
      <c r="B33" s="2" t="s">
        <v>141</v>
      </c>
      <c r="C33" s="8">
        <f>'6_Surplus'!G5</f>
        <v>-0.00479604353513547</v>
      </c>
      <c r="D33" s="8">
        <f>'6_Surplus'!G6</f>
        <v>-0.0026936820618371857</v>
      </c>
      <c r="E33" s="8">
        <f>'6_Surplus'!G7</f>
        <v>0.08391703663006805</v>
      </c>
      <c r="F33" s="8">
        <f>'6_Surplus'!G8</f>
        <v>0.03748073396153246</v>
      </c>
      <c r="G33" s="8">
        <f>'6_Surplus'!G9</f>
        <v>-0.03026623613202784</v>
      </c>
      <c r="H33" s="8">
        <f>'6_Surplus'!G10</f>
        <v>-0.06508268240798994</v>
      </c>
      <c r="I33" s="8">
        <f>'6_Surplus'!G11</f>
        <v>0.01189666343962646</v>
      </c>
      <c r="J33" s="8">
        <f>'6_Surplus'!G12</f>
        <v>-0.0024600594188231967</v>
      </c>
      <c r="K33" s="8">
        <f>'6_Surplus'!G13</f>
        <v>0.006275121354530577</v>
      </c>
      <c r="L33" s="8">
        <f>'6_Surplus'!G14</f>
        <v>-0.020279702032476955</v>
      </c>
      <c r="M33" s="8">
        <f>'6_Surplus'!G15</f>
        <v>0.02302518095031686</v>
      </c>
      <c r="N33" s="8">
        <f>'6_Surplus'!G16</f>
        <v>-0.042901001561328485</v>
      </c>
      <c r="O33" s="8">
        <f>'6_Surplus'!G17</f>
        <v>0.04134149233999244</v>
      </c>
      <c r="P33" s="8">
        <f>'6_Surplus'!G18</f>
        <v>-0.024847994262980153</v>
      </c>
      <c r="Q33" s="8">
        <f>'6_Surplus'!G19</f>
        <v>-0.006869543541466307</v>
      </c>
      <c r="R33" s="8">
        <f>'6_Surplus'!G20</f>
        <v>0.028002078948719006</v>
      </c>
      <c r="S33" s="8">
        <f>'6_Surplus'!G21</f>
        <v>0.005470692815496899</v>
      </c>
    </row>
    <row r="34">
      <c r="A34" s="16" t="s">
        <v>142</v>
      </c>
      <c r="B34" s="2" t="s">
        <v>141</v>
      </c>
      <c r="C34" s="8">
        <f>'6_Surplus'!K5</f>
        <v>-0.010612204034639836</v>
      </c>
      <c r="D34" s="8">
        <f>'6_Surplus'!K6</f>
        <v>0.011085626911314986</v>
      </c>
      <c r="E34" s="8">
        <f>'6_Surplus'!K7</f>
        <v>0.03234094000302252</v>
      </c>
      <c r="F34" s="8">
        <f>'6_Surplus'!K8</f>
        <v>0.006073208568505133</v>
      </c>
      <c r="G34" s="8">
        <f>'6_Surplus'!K9</f>
        <v>0.17684157416750756</v>
      </c>
      <c r="H34" s="8">
        <f>'6_Surplus'!K10</f>
        <v>-0.06736078245780092</v>
      </c>
      <c r="I34" s="8">
        <f>'6_Surplus'!K11</f>
        <v>-0.05201916495550992</v>
      </c>
      <c r="J34" s="8">
        <f>'6_Surplus'!K12</f>
        <v>-0.0740232409186568</v>
      </c>
      <c r="K34" s="8">
        <f>'6_Surplus'!K13</f>
        <v>0.009661526649177812</v>
      </c>
      <c r="L34" s="8">
        <f>'6_Surplus'!K14</f>
        <v>0.05173207125484783</v>
      </c>
      <c r="M34" s="8">
        <f>'6_Surplus'!K15</f>
        <v>0.05460385438972163</v>
      </c>
      <c r="N34" s="8">
        <f>'6_Surplus'!K16</f>
        <v>-0.0024837007140639552</v>
      </c>
      <c r="O34" s="8">
        <f>'6_Surplus'!K17</f>
        <v>-0.08690551680405834</v>
      </c>
      <c r="P34" s="8">
        <f>'6_Surplus'!K18</f>
        <v>0.0017667844522968198</v>
      </c>
      <c r="Q34" s="8">
        <f>'6_Surplus'!K19</f>
        <v>0.006666666666666666</v>
      </c>
      <c r="R34" s="8">
        <f>'6_Surplus'!K20</f>
        <v>-0.011976047904191616</v>
      </c>
      <c r="S34" s="8">
        <f>'6_Surplus'!K21</f>
        <v>-0.005891016200294551</v>
      </c>
    </row>
    <row r="35">
      <c r="A35" s="16" t="s">
        <v>122</v>
      </c>
      <c r="B35" s="2" t="s">
        <v>141</v>
      </c>
      <c r="C35" s="8">
        <f>'6_Surplus'!N5</f>
        <v>-0.03507196794832841</v>
      </c>
      <c r="D35" s="8">
        <f>'6_Surplus'!N6</f>
        <v>0.0006937762576931856</v>
      </c>
      <c r="E35" s="8">
        <f>'6_Surplus'!N7</f>
        <v>0.04778013165827783</v>
      </c>
      <c r="F35" s="8">
        <f>'6_Surplus'!N8</f>
        <v>0.016205138289968304</v>
      </c>
      <c r="G35" s="8">
        <f>'6_Surplus'!N9</f>
        <v>0.05887113943372933</v>
      </c>
      <c r="H35" s="8">
        <f>'6_Surplus'!N10</f>
        <v>-0.06574396968544591</v>
      </c>
      <c r="I35" s="8">
        <f>'6_Surplus'!N11</f>
        <v>-0.022990496335203177</v>
      </c>
      <c r="J35" s="8">
        <f>'6_Surplus'!N12</f>
        <v>-0.033518787097737465</v>
      </c>
      <c r="K35" s="8">
        <f>'6_Surplus'!N13</f>
        <v>0.03977291600474951</v>
      </c>
      <c r="L35" s="8">
        <f>'6_Surplus'!N14</f>
        <v>0.00959235236339739</v>
      </c>
      <c r="M35" s="8">
        <f>'6_Surplus'!N15</f>
        <v>0.024025248457509432</v>
      </c>
      <c r="N35" s="8">
        <f>'6_Surplus'!N16</f>
        <v>-0.02846469903490429</v>
      </c>
      <c r="O35" s="8">
        <f>'6_Surplus'!N17</f>
        <v>-0.023921151597718234</v>
      </c>
      <c r="P35" s="8">
        <f>'6_Surplus'!N18</f>
        <v>-0.015365415027480896</v>
      </c>
      <c r="Q35" s="8">
        <f>'6_Surplus'!N19</f>
        <v>-0.00036966108330853365</v>
      </c>
      <c r="R35" s="8">
        <f>'6_Surplus'!N20</f>
        <v>0.012843600357414057</v>
      </c>
      <c r="S35" s="8">
        <f>'6_Surplus'!N21</f>
        <v>-0.0011811465876556309</v>
      </c>
    </row>
    <row r="37">
      <c r="A37" s="15" t="s">
        <v>143</v>
      </c>
      <c r="B37" s="15"/>
      <c r="C37" s="15"/>
      <c r="D37" s="15"/>
      <c r="E37" s="15"/>
      <c r="F37" s="15"/>
      <c r="G37" s="15"/>
      <c r="H37" s="15"/>
      <c r="I37" s="15"/>
      <c r="J37" s="15"/>
      <c r="K37" s="15"/>
      <c r="L37" s="15"/>
      <c r="M37" s="15"/>
      <c r="N37" s="15"/>
      <c r="O37" s="15"/>
      <c r="P37" s="15"/>
      <c r="Q37" s="15"/>
      <c r="R37" s="15"/>
      <c r="S37" s="15"/>
    </row>
    <row r="38">
      <c r="A38" s="16" t="s">
        <v>144</v>
      </c>
      <c r="B38" s="2" t="s">
        <v>145</v>
      </c>
      <c r="C38" s="10">
        <f>'Prix_ICE'!J5</f>
        <v>249.65999999999997</v>
      </c>
      <c r="D38" s="10">
        <f>'Prix_ICE'!J6</f>
        <v>197.8416666666667</v>
      </c>
      <c r="E38" s="10">
        <f>'Prix_ICE'!J7</f>
        <v>140.69833333333332</v>
      </c>
      <c r="F38" s="10">
        <f>'Prix_ICE'!J8</f>
        <v>161.4675</v>
      </c>
      <c r="G38" s="10">
        <f>'Prix_ICE'!J9</f>
        <v>154.02083333333334</v>
      </c>
      <c r="H38" s="10">
        <f>'Prix_ICE'!J10</f>
        <v>131.83249999999998</v>
      </c>
      <c r="I38" s="10">
        <f>'Prix_ICE'!J11</f>
        <v>143.7716666666667</v>
      </c>
      <c r="J38" s="10">
        <f>'Prix_ICE'!J12</f>
        <v>120.60083333333334</v>
      </c>
      <c r="K38" s="10">
        <f>'Prix_ICE'!J13</f>
        <v>104.98083333333334</v>
      </c>
      <c r="L38" s="10">
        <f>'Prix_ICE'!J14</f>
        <v>113.23666666666666</v>
      </c>
      <c r="M38" s="10">
        <f>'Prix_ICE'!J15</f>
        <v>143.75333333333336</v>
      </c>
      <c r="N38" s="10">
        <f>'Prix_ICE'!J16</f>
        <v>224.0875</v>
      </c>
      <c r="O38" s="10">
        <f>'Prix_ICE'!J17</f>
        <v>171.18999999999997</v>
      </c>
      <c r="P38" s="10">
        <f>'Prix_ICE'!J18</f>
        <v>204.00166666666667</v>
      </c>
      <c r="Q38" s="10">
        <f>'Prix_ICE'!J19</f>
        <v>333.06</v>
      </c>
      <c r="R38" s="10">
        <f>'Prix_ICE'!J20</f>
        <v>312.21</v>
      </c>
      <c r="S38" s="10"/>
    </row>
    <row r="39">
      <c r="A39" s="16" t="s">
        <v>146</v>
      </c>
      <c r="B39" s="2" t="s">
        <v>145</v>
      </c>
      <c r="C39" s="10">
        <f>'Prix_ICE'!K5</f>
        <v>100.65583333333332</v>
      </c>
      <c r="D39" s="10">
        <f>'Prix_ICE'!K6</f>
        <v>91.38416666666667</v>
      </c>
      <c r="E39" s="10">
        <f>'Prix_ICE'!K7</f>
        <v>88.48083333333334</v>
      </c>
      <c r="F39" s="10">
        <f>'Prix_ICE'!K8</f>
        <v>85.87416666666667</v>
      </c>
      <c r="G39" s="10">
        <f>'Prix_ICE'!K9</f>
        <v>83.91083333333333</v>
      </c>
      <c r="H39" s="10">
        <f>'Prix_ICE'!K10</f>
        <v>74.06833333333334</v>
      </c>
      <c r="I39" s="10">
        <f>'Prix_ICE'!K11</f>
        <v>95.12333333333335</v>
      </c>
      <c r="J39" s="10">
        <f>'Prix_ICE'!K12</f>
        <v>78.28500000000001</v>
      </c>
      <c r="K39" s="10">
        <f>'Prix_ICE'!K13</f>
        <v>67.53249999999998</v>
      </c>
      <c r="L39" s="10">
        <f>'Prix_ICE'!K14</f>
        <v>59.22083333333333</v>
      </c>
      <c r="M39" s="10">
        <f>'Prix_ICE'!K15</f>
        <v>69.89583333333333</v>
      </c>
      <c r="N39" s="10">
        <f>'Prix_ICE'!K16</f>
        <v>97.52916666666668</v>
      </c>
      <c r="O39" s="10">
        <f>'Prix_ICE'!K17</f>
        <v>100.565</v>
      </c>
      <c r="P39" s="10">
        <f>'Prix_ICE'!K18</f>
        <v>158.95000000000002</v>
      </c>
      <c r="Q39" s="10">
        <f>'Prix_ICE'!K19</f>
        <v>213.2675</v>
      </c>
      <c r="R39" s="10">
        <f>'Prix_ICE'!K20</f>
        <v>171.8418181818182</v>
      </c>
      <c r="S39" s="10"/>
    </row>
    <row r="40">
      <c r="A40" s="16" t="s">
        <v>146</v>
      </c>
      <c r="B40" s="2" t="s">
        <v>147</v>
      </c>
      <c r="C40" s="7">
        <f>'Prix_ICE'!L5</f>
        <v>2219.0812700161664</v>
      </c>
      <c r="D40" s="7">
        <f>'Prix_ICE'!L6</f>
        <v>2014.6760094318333</v>
      </c>
      <c r="E40" s="7">
        <f>'Prix_ICE'!L7</f>
        <v>1950.6684660311666</v>
      </c>
      <c r="F40" s="7">
        <f>'Prix_ICE'!L8</f>
        <v>1893.2013030698333</v>
      </c>
      <c r="G40" s="7">
        <f>'Prix_ICE'!L9</f>
        <v>1849.9172122971665</v>
      </c>
      <c r="H40" s="7">
        <f>'Prix_ICE'!L10</f>
        <v>1632.9272309236667</v>
      </c>
      <c r="I40" s="7">
        <f>'Prix_ICE'!L11</f>
        <v>2097.110523564667</v>
      </c>
      <c r="J40" s="7">
        <f>'Prix_ICE'!L12</f>
        <v>1725.8888180669999</v>
      </c>
      <c r="K40" s="7">
        <f>'Prix_ICE'!L13</f>
        <v>1488.8367708514998</v>
      </c>
      <c r="L40" s="7">
        <f>'Prix_ICE'!L14</f>
        <v>1305.5958874191667</v>
      </c>
      <c r="M40" s="7">
        <f>'Prix_ICE'!L15</f>
        <v>1540.9393521041666</v>
      </c>
      <c r="N40" s="7">
        <f>'Prix_ICE'!L16</f>
        <v>2150.1500694308334</v>
      </c>
      <c r="O40" s="7">
        <f>'Prix_ICE'!L17</f>
        <v>2217.078737803</v>
      </c>
      <c r="P40" s="7">
        <f>'Prix_ICE'!L18</f>
        <v>3504.24765449</v>
      </c>
      <c r="Q40" s="7">
        <f>'Prix_ICE'!L19</f>
        <v>4701.7435461085</v>
      </c>
      <c r="R40" s="7">
        <f>'Prix_ICE'!L20</f>
        <v>3788.463594255636</v>
      </c>
      <c r="S40" s="7"/>
    </row>
    <row r="42">
      <c r="A42" s="12" t="s">
        <v>148</v>
      </c>
    </row>
  </sheetData>
  <conditionalFormatting sqref="C7:S7">
    <cfRule type="colorScale" priority="1">
      <colorScale>
        <cfvo type="min"/>
        <cfvo type="percentile" val="50"/>
        <cfvo type="max"/>
        <color rgb="FFF8696B"/>
        <color rgb="FFFFEB84"/>
        <color rgb="FF63BE7B"/>
      </colorScale>
    </cfRule>
  </conditionalFormatting>
  <conditionalFormatting sqref="C8:S8">
    <cfRule type="colorScale" priority="2">
      <colorScale>
        <cfvo type="min"/>
        <cfvo type="percentile" val="50"/>
        <cfvo type="max"/>
        <color rgb="FFF8696B"/>
        <color rgb="FFFFEB84"/>
        <color rgb="FF63BE7B"/>
      </colorScale>
    </cfRule>
  </conditionalFormatting>
  <conditionalFormatting sqref="C9:S9">
    <cfRule type="colorScale" priority="3">
      <colorScale>
        <cfvo type="min"/>
        <cfvo type="percentile" val="50"/>
        <cfvo type="max"/>
        <color rgb="FFF8696B"/>
        <color rgb="FFFFEB84"/>
        <color rgb="FF63BE7B"/>
      </colorScale>
    </cfRule>
  </conditionalFormatting>
  <conditionalFormatting sqref="C10:S10">
    <cfRule type="colorScale" priority="4">
      <colorScale>
        <cfvo type="min"/>
        <cfvo type="percentile" val="50"/>
        <cfvo type="max"/>
        <color rgb="FFF8696B"/>
        <color rgb="FFFFEB84"/>
        <color rgb="FF63BE7B"/>
      </colorScale>
    </cfRule>
  </conditionalFormatting>
  <conditionalFormatting sqref="C11:S11">
    <cfRule type="colorScale" priority="5">
      <colorScale>
        <cfvo type="min"/>
        <cfvo type="percentile" val="50"/>
        <cfvo type="max"/>
        <color rgb="FFF8696B"/>
        <color rgb="FFFFEB84"/>
        <color rgb="FF63BE7B"/>
      </colorScale>
    </cfRule>
  </conditionalFormatting>
  <conditionalFormatting sqref="C12:S12">
    <cfRule type="colorScale" priority="6">
      <colorScale>
        <cfvo type="min"/>
        <cfvo type="percentile" val="50"/>
        <cfvo type="max"/>
        <color rgb="FFF8696B"/>
        <color rgb="FFFFEB84"/>
        <color rgb="FF63BE7B"/>
      </colorScale>
    </cfRule>
  </conditionalFormatting>
  <conditionalFormatting sqref="C13:S13">
    <cfRule type="colorScale" priority="7">
      <colorScale>
        <cfvo type="min"/>
        <cfvo type="percentile" val="50"/>
        <cfvo type="max"/>
        <color rgb="FFF8696B"/>
        <color rgb="FFFFEB84"/>
        <color rgb="FF63BE7B"/>
      </colorScale>
    </cfRule>
  </conditionalFormatting>
  <conditionalFormatting sqref="C14:S14">
    <cfRule type="colorScale" priority="8">
      <colorScale>
        <cfvo type="min"/>
        <cfvo type="percentile" val="50"/>
        <cfvo type="max"/>
        <color rgb="FFF8696B"/>
        <color rgb="FFFFEB84"/>
        <color rgb="FF63BE7B"/>
      </colorScale>
    </cfRule>
  </conditionalFormatting>
  <conditionalFormatting sqref="C17:S17">
    <cfRule type="colorScale" priority="9">
      <colorScale>
        <cfvo type="min"/>
        <cfvo type="percentile" val="50"/>
        <cfvo type="max"/>
        <color rgb="FFF8696B"/>
        <color rgb="FFFFEB84"/>
        <color rgb="FF63BE7B"/>
      </colorScale>
    </cfRule>
  </conditionalFormatting>
  <conditionalFormatting sqref="C18:S18">
    <cfRule type="colorScale" priority="10">
      <colorScale>
        <cfvo type="min"/>
        <cfvo type="percentile" val="50"/>
        <cfvo type="max"/>
        <color rgb="FFF8696B"/>
        <color rgb="FFFFEB84"/>
        <color rgb="FF63BE7B"/>
      </colorScale>
    </cfRule>
  </conditionalFormatting>
  <conditionalFormatting sqref="C19:S19">
    <cfRule type="colorScale" priority="11">
      <colorScale>
        <cfvo type="min"/>
        <cfvo type="percentile" val="50"/>
        <cfvo type="max"/>
        <color rgb="FFF8696B"/>
        <color rgb="FFFFEB84"/>
        <color rgb="FF63BE7B"/>
      </colorScale>
    </cfRule>
  </conditionalFormatting>
  <conditionalFormatting sqref="C20:S20">
    <cfRule type="colorScale" priority="12">
      <colorScale>
        <cfvo type="min"/>
        <cfvo type="percentile" val="50"/>
        <cfvo type="max"/>
        <color rgb="FFF8696B"/>
        <color rgb="FFFFEB84"/>
        <color rgb="FF63BE7B"/>
      </colorScale>
    </cfRule>
  </conditionalFormatting>
  <conditionalFormatting sqref="C21:S21">
    <cfRule type="colorScale" priority="13">
      <colorScale>
        <cfvo type="min"/>
        <cfvo type="percentile" val="50"/>
        <cfvo type="max"/>
        <color rgb="FFF8696B"/>
        <color rgb="FFFFEB84"/>
        <color rgb="FF63BE7B"/>
      </colorScale>
    </cfRule>
  </conditionalFormatting>
  <conditionalFormatting sqref="C22:S22">
    <cfRule type="colorScale" priority="14">
      <colorScale>
        <cfvo type="min"/>
        <cfvo type="percentile" val="50"/>
        <cfvo type="max"/>
        <color rgb="FFF8696B"/>
        <color rgb="FFFFEB84"/>
        <color rgb="FF63BE7B"/>
      </colorScale>
    </cfRule>
  </conditionalFormatting>
  <conditionalFormatting sqref="C23:S23">
    <cfRule type="colorScale" priority="15">
      <colorScale>
        <cfvo type="min"/>
        <cfvo type="percentile" val="50"/>
        <cfvo type="max"/>
        <color rgb="FFF8696B"/>
        <color rgb="FFFFEB84"/>
        <color rgb="FF63BE7B"/>
      </colorScale>
    </cfRule>
  </conditionalFormatting>
  <conditionalFormatting sqref="C24:S24">
    <cfRule type="colorScale" priority="16">
      <colorScale>
        <cfvo type="min"/>
        <cfvo type="percentile" val="50"/>
        <cfvo type="max"/>
        <color rgb="FFF8696B"/>
        <color rgb="FFFFEB84"/>
        <color rgb="FF63BE7B"/>
      </colorScale>
    </cfRule>
  </conditionalFormatting>
  <conditionalFormatting sqref="C25:S25">
    <cfRule type="colorScale" priority="17">
      <colorScale>
        <cfvo type="min"/>
        <cfvo type="percentile" val="50"/>
        <cfvo type="max"/>
        <color rgb="FFF8696B"/>
        <color rgb="FFFFEB84"/>
        <color rgb="FF63BE7B"/>
      </colorScale>
    </cfRule>
  </conditionalFormatting>
  <conditionalFormatting sqref="C26:S26">
    <cfRule type="colorScale" priority="18">
      <colorScale>
        <cfvo type="min"/>
        <cfvo type="percentile" val="50"/>
        <cfvo type="max"/>
        <color rgb="FFF8696B"/>
        <color rgb="FFFFEB84"/>
        <color rgb="FF63BE7B"/>
      </colorScale>
    </cfRule>
  </conditionalFormatting>
  <conditionalFormatting sqref="C27:S27">
    <cfRule type="colorScale" priority="19">
      <colorScale>
        <cfvo type="min"/>
        <cfvo type="percentile" val="50"/>
        <cfvo type="max"/>
        <color rgb="FFF8696B"/>
        <color rgb="FFFFEB84"/>
        <color rgb="FF63BE7B"/>
      </colorScale>
    </cfRule>
  </conditionalFormatting>
  <conditionalFormatting sqref="C28:S28">
    <cfRule type="colorScale" priority="20">
      <colorScale>
        <cfvo type="min"/>
        <cfvo type="percentile" val="50"/>
        <cfvo type="max"/>
        <color rgb="FFF8696B"/>
        <color rgb="FFFFEB84"/>
        <color rgb="FF63BE7B"/>
      </colorScale>
    </cfRule>
  </conditionalFormatting>
  <conditionalFormatting sqref="C29:S29">
    <cfRule type="colorScale" priority="21">
      <colorScale>
        <cfvo type="min"/>
        <cfvo type="percentile" val="50"/>
        <cfvo type="max"/>
        <color rgb="FFF8696B"/>
        <color rgb="FFFFEB84"/>
        <color rgb="FF63BE7B"/>
      </colorScale>
    </cfRule>
  </conditionalFormatting>
  <conditionalFormatting sqref="C32:S32">
    <cfRule type="colorScale" priority="22">
      <colorScale>
        <cfvo type="min"/>
        <cfvo type="percentile" val="50"/>
        <cfvo type="max"/>
        <color rgb="FFF8696B"/>
        <color rgb="FFFFEB84"/>
        <color rgb="FF63BE7B"/>
      </colorScale>
    </cfRule>
  </conditionalFormatting>
  <conditionalFormatting sqref="C33:S33">
    <cfRule type="colorScale" priority="23">
      <colorScale>
        <cfvo type="min"/>
        <cfvo type="percentile" val="50"/>
        <cfvo type="max"/>
        <color rgb="FFF8696B"/>
        <color rgb="FFFFEB84"/>
        <color rgb="FF63BE7B"/>
      </colorScale>
    </cfRule>
  </conditionalFormatting>
  <conditionalFormatting sqref="C34:S34">
    <cfRule type="colorScale" priority="24">
      <colorScale>
        <cfvo type="min"/>
        <cfvo type="percentile" val="50"/>
        <cfvo type="max"/>
        <color rgb="FFF8696B"/>
        <color rgb="FFFFEB84"/>
        <color rgb="FF63BE7B"/>
      </colorScale>
    </cfRule>
  </conditionalFormatting>
  <conditionalFormatting sqref="C35:S35">
    <cfRule type="colorScale" priority="25">
      <colorScale>
        <cfvo type="min"/>
        <cfvo type="percentile" val="50"/>
        <cfvo type="max"/>
        <color rgb="FFF8696B"/>
        <color rgb="FFFFEB84"/>
        <color rgb="FF63BE7B"/>
      </colorScale>
    </cfRule>
  </conditionalFormatting>
  <pageMargins left="0.5" right="0.5" top="0.75" bottom="0.75" header="0.3" footer="0.3"/>
  <pageSetup orientation="landscape"/>
</worksheet>
</file>

<file path=xl/worksheets/sheet9.xml><?xml version="1.0" encoding="utf-8"?>
<worksheet xmlns="http://schemas.openxmlformats.org/spreadsheetml/2006/main" xmlns:r="http://schemas.openxmlformats.org/officeDocument/2006/relationships">
  <sheetPr>
    <tabColor rgb="FFFFC000"/>
  </sheetPr>
  <dimension ref="A1:R97"/>
  <sheetViews>
    <sheetView workbookViewId="0"/>
  </sheetViews>
  <sheetFormatPr defaultRowHeight="12.75"/>
  <cols>
    <col min="1" max="1" width="36" customWidth="1"/>
    <col min="2" max="2" width="24" customWidth="1"/>
    <col min="3" max="3" width="13" customWidth="1"/>
    <col min="4" max="4" width="13" customWidth="1"/>
    <col min="5" max="5" width="60" customWidth="1"/>
    <col min="6" max="6" width="9" customWidth="1"/>
    <col min="7" max="7" width="9" customWidth="1"/>
    <col min="8" max="8" width="9" customWidth="1"/>
    <col min="9" max="9" width="9" customWidth="1"/>
    <col min="10" max="10" width="9" customWidth="1"/>
    <col min="11" max="11" width="9" customWidth="1"/>
    <col min="12" max="12" width="9" customWidth="1"/>
    <col min="13" max="13" width="9" customWidth="1"/>
    <col min="14" max="14" width="9" customWidth="1"/>
    <col min="15" max="15" width="9" customWidth="1"/>
    <col min="16" max="16" width="9" customWidth="1"/>
    <col min="17" max="17" width="9" customWidth="1"/>
    <col min="18" max="18" width="9" customWidth="1"/>
  </cols>
  <sheetData>
    <row r="1">
      <c r="A1" s="1" t="s">
        <v>149</v>
      </c>
    </row>
    <row r="2">
      <c r="A2" s="2" t="s">
        <v>150</v>
      </c>
    </row>
    <row r="4">
      <c r="A4" s="15" t="s">
        <v>151</v>
      </c>
      <c r="B4" s="15"/>
      <c r="C4" s="15"/>
      <c r="D4" s="15"/>
      <c r="E4" s="15"/>
    </row>
    <row r="5">
      <c r="A5" s="3" t="s">
        <v>108</v>
      </c>
      <c r="B5" s="3" t="s">
        <v>109</v>
      </c>
      <c r="C5" s="3" t="s">
        <v>152</v>
      </c>
      <c r="D5" s="3" t="s">
        <v>153</v>
      </c>
      <c r="E5" s="3" t="s">
        <v>154</v>
      </c>
    </row>
    <row r="6">
      <c r="A6" s="17" t="s">
        <v>155</v>
      </c>
      <c r="B6" s="2" t="s">
        <v>113</v>
      </c>
      <c r="C6" s="11">
        <f>CORREL('Tableau_STU'!C7:R7,$C$93:$R$93)</f>
        <v>-0.6218969826565213</v>
      </c>
      <c r="D6" s="11">
        <f>CORREL('Tableau_STU'!C7:R7,$C$94:$R$94)</f>
        <v>-0.7138411940333647</v>
      </c>
      <c r="E6" s="2" t="s">
        <v>156</v>
      </c>
    </row>
    <row r="7">
      <c r="A7" s="16" t="s">
        <v>155</v>
      </c>
      <c r="B7" s="2" t="s">
        <v>114</v>
      </c>
      <c r="C7" s="11">
        <f>CORREL('Tableau_STU'!C8:R8,$C$93:$R$93)</f>
        <v>-0.6287170498222363</v>
      </c>
      <c r="D7" s="11">
        <f>CORREL('Tableau_STU'!C8:R8,$C$94:$R$94)</f>
        <v>-0.7213847729578974</v>
      </c>
    </row>
    <row r="8">
      <c r="A8" s="17" t="s">
        <v>157</v>
      </c>
      <c r="B8" s="2" t="s">
        <v>113</v>
      </c>
      <c r="C8" s="11">
        <f>CORREL('Tableau_STU'!C10:R10,$C$93:$R$93)</f>
        <v>-0.6782841072971207</v>
      </c>
      <c r="D8" s="11">
        <f>CORREL('Tableau_STU'!C10:R10,$C$94:$R$94)</f>
        <v>-0.8325913653749726</v>
      </c>
      <c r="E8" s="2" t="s">
        <v>158</v>
      </c>
    </row>
    <row r="9">
      <c r="A9" s="16" t="s">
        <v>159</v>
      </c>
      <c r="B9" s="2" t="s">
        <v>114</v>
      </c>
      <c r="C9" s="11">
        <f>CORREL('Tableau_STU'!C9:R9,$C$93:$R$93)</f>
        <v>-0.5100191161330626</v>
      </c>
      <c r="D9" s="11">
        <f>CORREL('Tableau_STU'!C9:R9,$C$94:$R$94)</f>
        <v>-0.5471076676955138</v>
      </c>
    </row>
    <row r="10">
      <c r="A10" s="16" t="s">
        <v>160</v>
      </c>
      <c r="B10" s="2" t="s">
        <v>161</v>
      </c>
      <c r="C10" s="11">
        <f>CORREL('Tableau_STU'!C11:R11,$C$93:$R$93)</f>
        <v>-0.47539211524365804</v>
      </c>
      <c r="D10" s="11">
        <f>CORREL('Tableau_STU'!C11:R11,$C$94:$R$94)</f>
        <v>-0.44711927561700554</v>
      </c>
    </row>
    <row r="11">
      <c r="A11" s="16" t="s">
        <v>162</v>
      </c>
      <c r="B11" s="2" t="s">
        <v>161</v>
      </c>
      <c r="C11" s="11">
        <f>CORREL('Tableau_STU'!C12:R12,$C$93:$R$93)</f>
        <v>-0.46844409056409425</v>
      </c>
      <c r="D11" s="11">
        <f>CORREL('Tableau_STU'!C12:R12,$C$94:$R$94)</f>
        <v>-0.5768679049113123</v>
      </c>
    </row>
    <row r="12">
      <c r="A12" s="16" t="s">
        <v>163</v>
      </c>
      <c r="B12" s="2" t="s">
        <v>164</v>
      </c>
      <c r="C12" s="11">
        <f>CORREL('Tableau_STU'!C13:R13,$C$93:$R$93)</f>
        <v>-0.35019989616114405</v>
      </c>
      <c r="D12" s="11">
        <f>CORREL('Tableau_STU'!C13:R13,$C$94:$R$94)</f>
        <v>-0.3219500594957658</v>
      </c>
    </row>
    <row r="13">
      <c r="A13" s="16" t="s">
        <v>165</v>
      </c>
      <c r="B13" s="2" t="s">
        <v>164</v>
      </c>
      <c r="C13" s="11">
        <f>CORREL('Tableau_STU'!C14:R14,$C$93:$R$93)</f>
        <v>-0.40951667525201607</v>
      </c>
      <c r="D13" s="11">
        <f>CORREL('Tableau_STU'!C14:R14,$C$94:$R$94)</f>
        <v>-0.4979781011152421</v>
      </c>
    </row>
    <row r="14">
      <c r="A14" s="16" t="s">
        <v>124</v>
      </c>
      <c r="B14" s="2" t="s">
        <v>164</v>
      </c>
      <c r="C14" s="11">
        <f>CORREL('Tableau_STU'!C17:R17,$C$93:$R$93)</f>
        <v>-0.29653620413356274</v>
      </c>
      <c r="D14" s="11">
        <f>CORREL('Tableau_STU'!C17:R17,$C$94:$R$94)</f>
        <v>-0.2592120525819405</v>
      </c>
      <c r="E14" s="2" t="s">
        <v>166</v>
      </c>
    </row>
    <row r="15">
      <c r="A15" s="16" t="s">
        <v>126</v>
      </c>
      <c r="B15" s="2" t="s">
        <v>164</v>
      </c>
      <c r="C15" s="11">
        <f>CORREL('Tableau_STU'!C19:R19,$C$93:$R$93)</f>
        <v>-0.32902990018159817</v>
      </c>
      <c r="D15" s="11">
        <f>CORREL('Tableau_STU'!C19:R19,$C$94:$R$94)</f>
        <v>-0.15949983070928758</v>
      </c>
    </row>
    <row r="16">
      <c r="A16" s="16" t="s">
        <v>125</v>
      </c>
      <c r="B16" s="2" t="s">
        <v>164</v>
      </c>
      <c r="C16" s="11">
        <f>CORREL('Tableau_STU'!C18:R18,$C$93:$R$93)</f>
        <v>-0.20225457761346186</v>
      </c>
      <c r="D16" s="11">
        <f>CORREL('Tableau_STU'!C18:R18,$C$94:$R$94)</f>
        <v>-0.31546639091261114</v>
      </c>
    </row>
    <row r="17">
      <c r="A17" s="16" t="s">
        <v>127</v>
      </c>
      <c r="B17" s="2" t="s">
        <v>164</v>
      </c>
      <c r="C17" s="11">
        <f>CORREL('Tableau_STU'!C20:R20,$C$93:$R$93)</f>
        <v>-0.36876234272495895</v>
      </c>
      <c r="D17" s="11">
        <f>CORREL('Tableau_STU'!C20:R20,$C$94:$R$94)</f>
        <v>-0.3488393001438588</v>
      </c>
    </row>
    <row r="18">
      <c r="A18" s="16" t="s">
        <v>167</v>
      </c>
      <c r="B18" s="2" t="s">
        <v>168</v>
      </c>
      <c r="C18" s="11">
        <f>CORREL('Tableau_STU'!C32:R32,$C$93:$R$93)</f>
        <v>-0.004057675767572453</v>
      </c>
      <c r="D18" s="11">
        <f>CORREL('Tableau_STU'!C32:R32,$C$94:$R$94)</f>
        <v>0.07399210995331751</v>
      </c>
      <c r="E18" s="2" t="s">
        <v>169</v>
      </c>
    </row>
    <row r="19">
      <c r="A19" s="16" t="s">
        <v>97</v>
      </c>
      <c r="B19" s="2" t="s">
        <v>168</v>
      </c>
      <c r="C19" s="11">
        <f>CORREL('Tableau_STU'!C33:R33,$C$93:$R$93)</f>
        <v>-0.02265492825148008</v>
      </c>
      <c r="D19" s="11">
        <f>CORREL('Tableau_STU'!C33:R33,$C$94:$R$94)</f>
        <v>0.052829136386372065</v>
      </c>
    </row>
    <row r="20">
      <c r="A20" s="16" t="s">
        <v>100</v>
      </c>
      <c r="B20" s="2" t="s">
        <v>168</v>
      </c>
      <c r="C20" s="11">
        <f>CORREL('Tableau_STU'!C34:R34,$C$93:$R$93)</f>
        <v>-0.04316005127002363</v>
      </c>
      <c r="D20" s="11">
        <f>CORREL('Tableau_STU'!C34:R34,$C$94:$R$94)</f>
        <v>-0.13886885801083</v>
      </c>
    </row>
    <row r="21">
      <c r="A21" s="16" t="s">
        <v>103</v>
      </c>
      <c r="B21" s="2" t="s">
        <v>168</v>
      </c>
      <c r="C21" s="11">
        <f>CORREL('Tableau_STU'!C35:R35,$C$93:$R$93)</f>
        <v>-0.15523963266212742</v>
      </c>
      <c r="D21" s="11">
        <f>CORREL('Tableau_STU'!C35:R35,$C$94:$R$94)</f>
        <v>-0.11003856855308583</v>
      </c>
      <c r="E21" s="2" t="s">
        <v>170</v>
      </c>
    </row>
    <row r="24">
      <c r="A24" s="15" t="s">
        <v>171</v>
      </c>
      <c r="B24" s="15"/>
      <c r="C24" s="15"/>
      <c r="D24" s="15"/>
      <c r="E24" s="15"/>
    </row>
    <row r="39">
      <c r="A39" s="3" t="s">
        <v>172</v>
      </c>
      <c r="B39" s="3" t="s">
        <v>164</v>
      </c>
      <c r="C39" s="3" t="s">
        <v>173</v>
      </c>
      <c r="D39" s="3" t="s">
        <v>174</v>
      </c>
    </row>
    <row r="40">
      <c r="A40" s="16" t="s">
        <v>175</v>
      </c>
      <c r="C40" s="24">
        <f>INTERCEPT($C$93:$R$93,$C$95:$R$95)</f>
        <v>4.197246651764584</v>
      </c>
      <c r="D40" s="24">
        <f>INTERCEPT($C$94:$R$94,$C$95:$R$95)</f>
        <v>6.523963784519061</v>
      </c>
    </row>
    <row r="41">
      <c r="A41" s="16" t="s">
        <v>176</v>
      </c>
      <c r="C41" s="25">
        <f>SLOPE($C$93:$R$93,$C$95:$R$95)</f>
        <v>0.1850902644918699</v>
      </c>
      <c r="D41" s="25">
        <f>SLOPE($C$94:$R$94,$C$95:$R$95)</f>
        <v>0.22165979340656147</v>
      </c>
    </row>
    <row r="42">
      <c r="A42" s="16" t="s">
        <v>177</v>
      </c>
      <c r="C42" s="11">
        <f>RSQ($C$93:$R$93,$C$95:$R$95)</f>
        <v>0.5009551167858002</v>
      </c>
      <c r="D42" s="11">
        <f>RSQ($C$94:$R$94,$C$95:$R$95)</f>
        <v>0.696664817087064</v>
      </c>
    </row>
    <row r="44" ht="36" customHeight="1">
      <c r="A44" s="3" t="s">
        <v>178</v>
      </c>
      <c r="B44" s="3" t="s">
        <v>164</v>
      </c>
      <c r="C44" s="3" t="s">
        <v>179</v>
      </c>
      <c r="D44" s="3" t="s">
        <v>180</v>
      </c>
      <c r="E44" s="3" t="s">
        <v>181</v>
      </c>
    </row>
    <row r="45">
      <c r="A45" s="26">
        <v>0.11</v>
      </c>
      <c r="C45" s="10">
        <f>EXP($C$40+$C$41/A45)</f>
        <v>357.7682462289926</v>
      </c>
      <c r="D45" s="7">
        <f>EXP($D$40+$D$41/A45)</f>
        <v>5110.5014806074805</v>
      </c>
      <c r="E45" s="27">
        <f>EXP($C$41*(1/(A45-0.01)-1/A45))-1</f>
        <v>0.18324880137613153</v>
      </c>
    </row>
    <row r="46">
      <c r="A46" s="26">
        <v>0.12</v>
      </c>
      <c r="C46" s="10">
        <f>EXP($C$40+$C$41/A46)</f>
        <v>310.9603843425061</v>
      </c>
      <c r="D46" s="7">
        <f>EXP($D$40+$D$41/A46)</f>
        <v>4320.509998911387</v>
      </c>
      <c r="E46" s="27">
        <f>EXP($C$41*(1/(A46-0.01)-1/A46))-1</f>
        <v>0.15052676882123484</v>
      </c>
    </row>
    <row r="47">
      <c r="A47" s="26">
        <v>0.13</v>
      </c>
      <c r="C47" s="10">
        <f>EXP($C$40+$C$41/A47)</f>
        <v>276.1703587326243</v>
      </c>
      <c r="D47" s="7">
        <f>EXP($D$40+$D$41/A47)</f>
        <v>3748.230415597376</v>
      </c>
      <c r="E47" s="27">
        <f>EXP($C$41*(1/(A47-0.01)-1/A47))-1</f>
        <v>0.12597306158972676</v>
      </c>
    </row>
    <row r="48">
      <c r="A48" s="26">
        <v>0.14</v>
      </c>
      <c r="C48" s="10">
        <f>EXP($C$40+$C$41/A48)</f>
        <v>249.46533547413242</v>
      </c>
      <c r="D48" s="7">
        <f>EXP($D$40+$D$41/A48)</f>
        <v>3318.433201097061</v>
      </c>
      <c r="E48" s="27">
        <f>EXP($C$41*(1/(A48-0.01)-1/A48))-1</f>
        <v>0.10704903431868185</v>
      </c>
    </row>
    <row r="49">
      <c r="A49" s="26">
        <v>0.15</v>
      </c>
      <c r="C49" s="10">
        <f>EXP($C$40+$C$41/A49)</f>
        <v>228.4190197958265</v>
      </c>
      <c r="D49" s="7">
        <f>EXP($D$40+$D$41/A49)</f>
        <v>2986.0172067660897</v>
      </c>
      <c r="E49" s="27">
        <f>EXP($C$41*(1/(A49-0.01)-1/A49))-1</f>
        <v>0.09213906835393226</v>
      </c>
    </row>
    <row r="50">
      <c r="A50" s="26">
        <v>0.16</v>
      </c>
      <c r="C50" s="10">
        <f>EXP($C$40+$C$41/A50)</f>
        <v>211.46527589435755</v>
      </c>
      <c r="D50" s="7">
        <f>EXP($D$40+$D$41/A50)</f>
        <v>2722.586137186912</v>
      </c>
      <c r="E50" s="27">
        <f>EXP($C$41*(1/(A50-0.01)-1/A50))-1</f>
        <v>0.08017270840219903</v>
      </c>
    </row>
    <row r="51">
      <c r="A51" s="26">
        <v>0.18</v>
      </c>
      <c r="C51" s="10">
        <f>EXP($C$40+$C$41/A51)</f>
        <v>185.95894042511543</v>
      </c>
      <c r="D51" s="7">
        <f>EXP($D$40+$D$41/A51)</f>
        <v>2334.1593438278446</v>
      </c>
      <c r="E51" s="27">
        <f>EXP($C$41*(1/(A51-0.01)-1/A51))-1</f>
        <v>0.06235380232776655</v>
      </c>
    </row>
    <row r="52">
      <c r="A52" s="26">
        <v>0.2</v>
      </c>
      <c r="C52" s="10">
        <f>EXP($C$40+$C$41/A52)</f>
        <v>167.7874457056818</v>
      </c>
      <c r="D52" s="7">
        <f>EXP($D$40+$D$41/A52)</f>
        <v>2063.7144136571233</v>
      </c>
      <c r="E52" s="27">
        <f>EXP($C$41*(1/(A52-0.01)-1/A52))-1</f>
        <v>0.04991369372628962</v>
      </c>
    </row>
    <row r="53">
      <c r="A53" s="26">
        <v>0.22</v>
      </c>
      <c r="C53" s="10">
        <f>EXP($C$40+$C$41/A53)</f>
        <v>154.24866929608663</v>
      </c>
      <c r="D53" s="7">
        <f>EXP($D$40+$D$41/A53)</f>
        <v>1865.9177459133512</v>
      </c>
      <c r="E53" s="27">
        <f>EXP($C$41*(1/(A53-0.01)-1/A53))-1</f>
        <v>0.04087616811039041</v>
      </c>
    </row>
    <row r="54">
      <c r="A54" s="26">
        <v>0.25</v>
      </c>
      <c r="C54" s="10">
        <f>EXP($C$40+$C$41/A54)</f>
        <v>139.43627818974096</v>
      </c>
      <c r="D54" s="7">
        <f>EXP($D$40+$D$41/A54)</f>
        <v>1653.4229912270666</v>
      </c>
      <c r="E54" s="27">
        <f>EXP($C$41*(1/(A54-0.01)-1/A54))-1</f>
        <v>0.03132911924437631</v>
      </c>
    </row>
    <row r="55">
      <c r="A55" s="26">
        <v>0.28</v>
      </c>
      <c r="C55" s="10">
        <f>EXP($C$40+$C$41/A55)</f>
        <v>128.802897645404</v>
      </c>
      <c r="D55" s="7">
        <f>EXP($D$40+$D$41/A55)</f>
        <v>1503.5825465202747</v>
      </c>
      <c r="E55" s="27">
        <f>EXP($C$41*(1/(A55-0.01)-1/A55))-1</f>
        <v>0.024785004844750658</v>
      </c>
    </row>
    <row r="56">
      <c r="A56" s="2" t="s">
        <v>182</v>
      </c>
    </row>
    <row r="58">
      <c r="A58" s="15" t="s">
        <v>183</v>
      </c>
      <c r="B58" s="15"/>
      <c r="C58" s="15"/>
      <c r="D58" s="15"/>
      <c r="E58" s="15"/>
    </row>
    <row r="59">
      <c r="A59" s="3" t="s">
        <v>164</v>
      </c>
      <c r="B59" s="3" t="s">
        <v>164</v>
      </c>
      <c r="C59" s="3" t="s">
        <v>184</v>
      </c>
      <c r="D59" s="3" t="s">
        <v>174</v>
      </c>
    </row>
    <row r="60">
      <c r="A60" s="16" t="s">
        <v>185</v>
      </c>
      <c r="B60" s="9">
        <f>'1_Monde'!E21</f>
        <v>0.14623113900387236</v>
      </c>
    </row>
    <row r="61">
      <c r="A61" s="16" t="s">
        <v>186</v>
      </c>
      <c r="C61" s="10">
        <f>EXP($C$40+$C$41/B60)</f>
        <v>235.80008404326045</v>
      </c>
      <c r="D61" s="7">
        <f>EXP($D$40+$D$41/B60)</f>
        <v>3101.9362417450498</v>
      </c>
    </row>
    <row r="62">
      <c r="A62" s="16" t="s">
        <v>187</v>
      </c>
      <c r="C62" s="10">
        <f>'Prix_ICE'!C195</f>
        <v>313.2</v>
      </c>
      <c r="D62" s="7">
        <f>'Prix_ICE'!E195</f>
        <v>3695.608897906</v>
      </c>
    </row>
    <row r="63">
      <c r="A63" s="17" t="s">
        <v>188</v>
      </c>
      <c r="C63" s="28">
        <f>C62/C61-1</f>
        <v>0.3282438013997466</v>
      </c>
      <c r="D63" s="28">
        <f>D62/D61-1</f>
        <v>0.1913877687656691</v>
      </c>
    </row>
    <row r="64">
      <c r="A64" s="2" t="s">
        <v>189</v>
      </c>
    </row>
    <row r="66">
      <c r="A66" s="15" t="s">
        <v>190</v>
      </c>
      <c r="B66" s="15"/>
      <c r="C66" s="15"/>
      <c r="D66" s="15"/>
      <c r="E66" s="15"/>
    </row>
    <row r="67">
      <c r="A67" s="3" t="s">
        <v>191</v>
      </c>
      <c r="B67" s="3" t="s">
        <v>192</v>
      </c>
      <c r="C67" s="3" t="s">
        <v>193</v>
      </c>
      <c r="D67" s="3" t="s">
        <v>194</v>
      </c>
      <c r="E67" s="3" t="s">
        <v>195</v>
      </c>
    </row>
    <row r="68">
      <c r="A68" s="17" t="s">
        <v>196</v>
      </c>
      <c r="B68" s="16" t="s">
        <v>197</v>
      </c>
      <c r="C68" s="10">
        <v>283.09055555555557</v>
      </c>
      <c r="D68" s="7">
        <v>3998.1545454545453</v>
      </c>
      <c r="E68" s="2" t="s">
        <v>198</v>
      </c>
    </row>
    <row r="69">
      <c r="A69" s="17" t="s">
        <v>199</v>
      </c>
      <c r="B69" s="16" t="s">
        <v>200</v>
      </c>
      <c r="C69" s="10">
        <v>178.43</v>
      </c>
      <c r="D69" s="7">
        <v>2026.95</v>
      </c>
      <c r="E69" s="2" t="s">
        <v>201</v>
      </c>
    </row>
    <row r="70">
      <c r="A70" s="17" t="s">
        <v>202</v>
      </c>
      <c r="B70" s="16" t="s">
        <v>203</v>
      </c>
      <c r="C70" s="10">
        <v>147.87249999999997</v>
      </c>
      <c r="D70" s="7">
        <v>1714.0847222222221</v>
      </c>
      <c r="E70" s="2" t="s">
        <v>204</v>
      </c>
    </row>
    <row r="71">
      <c r="A71" s="17" t="s">
        <v>205</v>
      </c>
      <c r="B71" s="16" t="s">
        <v>206</v>
      </c>
      <c r="C71" s="10">
        <v>152.06222222222223</v>
      </c>
      <c r="D71" s="7">
        <v>1897.9277777777777</v>
      </c>
      <c r="E71" s="2" t="s">
        <v>207</v>
      </c>
    </row>
    <row r="73">
      <c r="A73" s="15" t="s">
        <v>208</v>
      </c>
      <c r="B73" s="15"/>
      <c r="C73" s="15"/>
      <c r="D73" s="15"/>
      <c r="E73" s="15"/>
    </row>
    <row r="74">
      <c r="A74" s="3" t="s">
        <v>209</v>
      </c>
      <c r="B74" s="3" t="s">
        <v>210</v>
      </c>
      <c r="C74" s="3" t="s">
        <v>211</v>
      </c>
      <c r="D74" s="3" t="s">
        <v>212</v>
      </c>
      <c r="E74" s="3" t="s">
        <v>213</v>
      </c>
    </row>
    <row r="75">
      <c r="A75" s="17" t="s">
        <v>214</v>
      </c>
      <c r="B75" s="16" t="s">
        <v>215</v>
      </c>
      <c r="C75" s="16" t="s">
        <v>216</v>
      </c>
      <c r="D75" s="16" t="s">
        <v>217</v>
      </c>
      <c r="E75" s="16" t="s">
        <v>218</v>
      </c>
    </row>
    <row r="76">
      <c r="A76" s="17" t="s">
        <v>219</v>
      </c>
      <c r="B76" s="16" t="s">
        <v>220</v>
      </c>
      <c r="C76" s="16" t="s">
        <v>221</v>
      </c>
      <c r="D76" s="16" t="s">
        <v>217</v>
      </c>
      <c r="E76" s="16" t="s">
        <v>222</v>
      </c>
    </row>
    <row r="77">
      <c r="A77" s="17" t="s">
        <v>223</v>
      </c>
      <c r="B77" s="16" t="s">
        <v>224</v>
      </c>
      <c r="C77" s="16" t="s">
        <v>225</v>
      </c>
      <c r="D77" s="16" t="s">
        <v>226</v>
      </c>
      <c r="E77" s="16" t="s">
        <v>227</v>
      </c>
    </row>
    <row r="79">
      <c r="A79" s="15" t="s">
        <v>228</v>
      </c>
      <c r="B79" s="15"/>
      <c r="C79" s="15"/>
      <c r="D79" s="15"/>
      <c r="E79" s="15"/>
    </row>
    <row r="80">
      <c r="A80" s="16" t="s">
        <v>229</v>
      </c>
    </row>
    <row r="81">
      <c r="A81" s="16" t="s">
        <v>230</v>
      </c>
    </row>
    <row r="82">
      <c r="A82" s="16" t="s">
        <v>231</v>
      </c>
    </row>
    <row r="83">
      <c r="A83" s="16" t="s">
        <v>232</v>
      </c>
    </row>
    <row r="84">
      <c r="A84" s="16" t="s">
        <v>233</v>
      </c>
    </row>
    <row r="85">
      <c r="A85" s="16" t="s">
        <v>234</v>
      </c>
    </row>
    <row r="91">
      <c r="A91" s="15" t="s">
        <v>235</v>
      </c>
      <c r="B91" s="15"/>
      <c r="C91" s="15"/>
      <c r="D91" s="15"/>
      <c r="E91" s="15"/>
      <c r="F91" s="15"/>
      <c r="G91" s="15"/>
      <c r="H91" s="15"/>
      <c r="I91" s="15"/>
      <c r="J91" s="15"/>
      <c r="K91" s="15"/>
      <c r="L91" s="15"/>
      <c r="M91" s="15"/>
      <c r="N91" s="15"/>
      <c r="O91" s="15"/>
      <c r="P91" s="15"/>
      <c r="Q91" s="15"/>
      <c r="R91" s="15"/>
    </row>
    <row r="92">
      <c r="A92" s="4" t="s">
        <v>26</v>
      </c>
      <c r="C92" s="3" t="s">
        <v>35</v>
      </c>
      <c r="D92" s="3" t="s">
        <v>36</v>
      </c>
      <c r="E92" s="3" t="s">
        <v>37</v>
      </c>
      <c r="F92" s="3" t="s">
        <v>38</v>
      </c>
      <c r="G92" s="3" t="s">
        <v>39</v>
      </c>
      <c r="H92" s="3" t="s">
        <v>40</v>
      </c>
      <c r="I92" s="3" t="s">
        <v>41</v>
      </c>
      <c r="J92" s="3" t="s">
        <v>42</v>
      </c>
      <c r="K92" s="3" t="s">
        <v>43</v>
      </c>
      <c r="L92" s="3" t="s">
        <v>44</v>
      </c>
      <c r="M92" s="3" t="s">
        <v>45</v>
      </c>
      <c r="N92" s="3" t="s">
        <v>46</v>
      </c>
      <c r="O92" s="3" t="s">
        <v>47</v>
      </c>
      <c r="P92" s="3" t="s">
        <v>48</v>
      </c>
      <c r="Q92" s="3" t="s">
        <v>49</v>
      </c>
      <c r="R92" s="3" t="s">
        <v>50</v>
      </c>
    </row>
    <row r="93">
      <c r="A93" s="16" t="s">
        <v>236</v>
      </c>
      <c r="C93" s="11">
        <f>LN('Tableau_STU'!C38)</f>
        <v>5.520099992222905</v>
      </c>
      <c r="D93" s="11">
        <f>LN('Tableau_STU'!D38)</f>
        <v>5.287467047493622</v>
      </c>
      <c r="E93" s="11">
        <f>LN('Tableau_STU'!E38)</f>
        <v>4.946618118515951</v>
      </c>
      <c r="F93" s="11">
        <f>LN('Tableau_STU'!F38)</f>
        <v>5.084303884021456</v>
      </c>
      <c r="G93" s="11">
        <f>LN('Tableau_STU'!G38)</f>
        <v>5.03708787464921</v>
      </c>
      <c r="H93" s="11">
        <f>LN('Tableau_STU'!H38)</f>
        <v>4.881532177407105</v>
      </c>
      <c r="I93" s="11">
        <f>LN('Tableau_STU'!I38)</f>
        <v>4.968226392957324</v>
      </c>
      <c r="J93" s="11">
        <f>LN('Tableau_STU'!J38)</f>
        <v>4.792486194164182</v>
      </c>
      <c r="K93" s="11">
        <f>LN('Tableau_STU'!K38)</f>
        <v>4.653777793812588</v>
      </c>
      <c r="L93" s="11">
        <f>LN('Tableau_STU'!L38)</f>
        <v>4.729480023804328</v>
      </c>
      <c r="M93" s="11">
        <f>LN('Tableau_STU'!M38)</f>
        <v>4.96809886781441</v>
      </c>
      <c r="N93" s="11">
        <f>LN('Tableau_STU'!N38)</f>
        <v>5.412036600580957</v>
      </c>
      <c r="O93" s="11">
        <f>LN('Tableau_STU'!O38)</f>
        <v>5.142774050786687</v>
      </c>
      <c r="P93" s="11">
        <f>LN('Tableau_STU'!P38)</f>
        <v>5.318128163745484</v>
      </c>
      <c r="Q93" s="11">
        <f>LN('Tableau_STU'!Q38)</f>
        <v>5.808322653930125</v>
      </c>
      <c r="R93" s="11">
        <f>LN('Tableau_STU'!R38)</f>
        <v>5.7436760383178775</v>
      </c>
    </row>
    <row r="94">
      <c r="A94" s="16" t="s">
        <v>237</v>
      </c>
      <c r="C94" s="11">
        <f>LN('Tableau_STU'!C40)</f>
        <v>7.704848546874893</v>
      </c>
      <c r="D94" s="11">
        <f>LN('Tableau_STU'!D40)</f>
        <v>7.608213672088933</v>
      </c>
      <c r="E94" s="11">
        <f>LN('Tableau_STU'!E40)</f>
        <v>7.575927395907143</v>
      </c>
      <c r="F94" s="11">
        <f>LN('Tableau_STU'!F40)</f>
        <v>7.5460244863214365</v>
      </c>
      <c r="G94" s="11">
        <f>LN('Tableau_STU'!G40)</f>
        <v>7.522896166961415</v>
      </c>
      <c r="H94" s="11">
        <f>LN('Tableau_STU'!H40)</f>
        <v>7.398129530387652</v>
      </c>
      <c r="I94" s="11">
        <f>LN('Tableau_STU'!I40)</f>
        <v>7.64831573507558</v>
      </c>
      <c r="J94" s="11">
        <f>LN('Tableau_STU'!J40)</f>
        <v>7.453497453616665</v>
      </c>
      <c r="K94" s="11">
        <f>LN('Tableau_STU'!K40)</f>
        <v>7.305750403338129</v>
      </c>
      <c r="L94" s="11">
        <f>LN('Tableau_STU'!L40)</f>
        <v>7.174414834250199</v>
      </c>
      <c r="M94" s="11">
        <f>LN('Tableau_STU'!M40)</f>
        <v>7.34014747835107</v>
      </c>
      <c r="N94" s="11">
        <f>LN('Tableau_STU'!N40)</f>
        <v>7.673292918421092</v>
      </c>
      <c r="O94" s="11">
        <f>LN('Tableau_STU'!O40)</f>
        <v>7.703945724458363</v>
      </c>
      <c r="P94" s="11">
        <f>LN('Tableau_STU'!P40)</f>
        <v>8.16173112720999</v>
      </c>
      <c r="Q94" s="11">
        <f>LN('Tableau_STU'!Q40)</f>
        <v>8.455688686163937</v>
      </c>
      <c r="R94" s="11">
        <f>LN('Tableau_STU'!R40)</f>
        <v>8.239715831784709</v>
      </c>
    </row>
    <row r="95">
      <c r="A95" s="16" t="s">
        <v>238</v>
      </c>
      <c r="C95" s="11">
        <f>1/'Tableau_STU'!C7</f>
        <v>4.731424581005586</v>
      </c>
      <c r="D95" s="11">
        <f>1/'Tableau_STU'!D7</f>
        <v>5.547265807052975</v>
      </c>
      <c r="E95" s="11">
        <f>1/'Tableau_STU'!E7</f>
        <v>4.054856496536123</v>
      </c>
      <c r="F95" s="11">
        <f>1/'Tableau_STU'!F7</f>
        <v>3.4935168997668997</v>
      </c>
      <c r="G95" s="11">
        <f>1/'Tableau_STU'!G7</f>
        <v>3.4119215431698042</v>
      </c>
      <c r="H95" s="11">
        <f>1/'Tableau_STU'!H7</f>
        <v>4.382878887585477</v>
      </c>
      <c r="I95" s="11">
        <f>1/'Tableau_STU'!I7</f>
        <v>4.25490357446575</v>
      </c>
      <c r="J95" s="11">
        <f>1/'Tableau_STU'!J7</f>
        <v>5.027291790554286</v>
      </c>
      <c r="K95" s="11">
        <f>1/'Tableau_STU'!K7</f>
        <v>4.493125101499485</v>
      </c>
      <c r="L95" s="11">
        <f>1/'Tableau_STU'!L7</f>
        <v>4.534042672028597</v>
      </c>
      <c r="M95" s="11">
        <f>1/'Tableau_STU'!M7</f>
        <v>4.323171707473196</v>
      </c>
      <c r="N95" s="11">
        <f>1/'Tableau_STU'!N7</f>
        <v>5.255979962429556</v>
      </c>
      <c r="O95" s="11">
        <f>1/'Tableau_STU'!O7</f>
        <v>6.265463726145392</v>
      </c>
      <c r="P95" s="11">
        <f>1/'Tableau_STU'!P7</f>
        <v>7.090696769170884</v>
      </c>
      <c r="Q95" s="11">
        <f>1/'Tableau_STU'!Q7</f>
        <v>7.8037710131758296</v>
      </c>
      <c r="R95" s="11">
        <f>1/'Tableau_STU'!R7</f>
        <v>7.117726713171932</v>
      </c>
    </row>
    <row r="96">
      <c r="A96" s="16" t="s">
        <v>239</v>
      </c>
      <c r="C96" s="10">
        <f>EXP($C$40+$C$41*C95)</f>
        <v>159.65053638106951</v>
      </c>
      <c r="D96" s="10">
        <f>EXP($C$40+$C$41*D95)</f>
        <v>185.6738327844006</v>
      </c>
      <c r="E96" s="10">
        <f>EXP($C$40+$C$41*E95)</f>
        <v>140.85924272004948</v>
      </c>
      <c r="F96" s="10">
        <f>EXP($C$40+$C$41*F95)</f>
        <v>126.95879928542674</v>
      </c>
      <c r="G96" s="10">
        <f>EXP($C$40+$C$41*G95)</f>
        <v>125.05580936917207</v>
      </c>
      <c r="H96" s="10">
        <f>EXP($C$40+$C$41*H95)</f>
        <v>149.67628533841358</v>
      </c>
      <c r="I96" s="10">
        <f>EXP($C$40+$C$41*I95)</f>
        <v>146.17256557623256</v>
      </c>
      <c r="J96" s="10">
        <f>EXP($C$40+$C$41*J95)</f>
        <v>168.63715904755443</v>
      </c>
      <c r="K96" s="10">
        <f>EXP($C$40+$C$41*K95)</f>
        <v>152.7618793932264</v>
      </c>
      <c r="L96" s="10">
        <f>EXP($C$40+$C$41*L95)</f>
        <v>153.9232049910683</v>
      </c>
      <c r="M96" s="10">
        <f>EXP($C$40+$C$41*M95)</f>
        <v>148.0312864779453</v>
      </c>
      <c r="N96" s="10">
        <f>EXP($C$40+$C$41*N95)</f>
        <v>175.9284491000877</v>
      </c>
      <c r="O96" s="10">
        <f>EXP($C$40+$C$41*O95)</f>
        <v>212.0713956690899</v>
      </c>
      <c r="P96" s="10">
        <f>EXP($C$40+$C$41*P95)</f>
        <v>247.06849162120417</v>
      </c>
      <c r="Q96" s="10">
        <f>EXP($C$40+$C$41*Q95)</f>
        <v>281.92714672860455</v>
      </c>
      <c r="R96" s="10">
        <f>EXP($C$40+$C$41*R95)</f>
        <v>248.30766741686418</v>
      </c>
    </row>
    <row r="97">
      <c r="A97" s="16" t="s">
        <v>240</v>
      </c>
      <c r="C97" s="7">
        <f>EXP($D$40+$D$41*C95)</f>
        <v>1944.4421054504892</v>
      </c>
      <c r="D97" s="7">
        <f>EXP($D$40+$D$41*D95)</f>
        <v>2329.87425497538</v>
      </c>
      <c r="E97" s="7">
        <f>EXP($D$40+$D$41*E95)</f>
        <v>1673.6504831713783</v>
      </c>
      <c r="F97" s="7">
        <f>EXP($D$40+$D$41*F95)</f>
        <v>1477.8387845263726</v>
      </c>
      <c r="G97" s="7">
        <f>EXP($D$40+$D$41*G95)</f>
        <v>1451.3502498410335</v>
      </c>
      <c r="H97" s="7">
        <f>EXP($D$40+$D$41*H95)</f>
        <v>1799.8737693157352</v>
      </c>
      <c r="I97" s="7">
        <f>EXP($D$40+$D$41*I95)</f>
        <v>1749.5341505597257</v>
      </c>
      <c r="J97" s="7">
        <f>EXP($D$40+$D$41*J95)</f>
        <v>2076.236677328512</v>
      </c>
      <c r="K97" s="7">
        <f>EXP($D$40+$D$41*K95)</f>
        <v>1844.3993838501024</v>
      </c>
      <c r="L97" s="7">
        <f>EXP($D$40+$D$41*L95)</f>
        <v>1861.2037717758</v>
      </c>
      <c r="M97" s="7">
        <f>EXP($D$40+$D$41*M95)</f>
        <v>1776.20995071636</v>
      </c>
      <c r="N97" s="7">
        <f>EXP($D$40+$D$41*N95)</f>
        <v>2184.1963073434795</v>
      </c>
      <c r="O97" s="7">
        <f>EXP($D$40+$D$41*O95)</f>
        <v>2731.9343206738854</v>
      </c>
      <c r="P97" s="7">
        <f>EXP($D$40+$D$41*P95)</f>
        <v>3280.286894806984</v>
      </c>
      <c r="Q97" s="7">
        <f>EXP($D$40+$D$41*Q95)</f>
        <v>3841.9912086043732</v>
      </c>
      <c r="R97" s="7">
        <f>EXP($D$40+$D$41*R95)</f>
        <v>3299.9995704408184</v>
      </c>
    </row>
  </sheetData>
  <conditionalFormatting sqref="C6:D21">
    <cfRule type="colorScale" priority="1">
      <colorScale>
        <cfvo type="min"/>
        <cfvo type="percentile" val="50"/>
        <cfvo type="max"/>
        <color rgb="FF63BE7B"/>
        <color rgb="FFFFFFFF"/>
        <color rgb="FFF8696B"/>
      </colorScale>
    </cfRule>
  </conditionalFormatting>
  <pageMargins left="0.5" right="0.5" top="0.75" bottom="0.75" header="0.3" footer="0.3"/>
  <pageSetup orientation="landscape"/>
</worksheet>
</file>

<file path=xl/worksheets/sheet10.xml><?xml version="1.0" encoding="utf-8"?>
<worksheet xmlns="http://schemas.openxmlformats.org/spreadsheetml/2006/main" xmlns:r="http://schemas.openxmlformats.org/officeDocument/2006/relationships">
  <sheetPr>
    <tabColor rgb="FFC00000"/>
  </sheetPr>
  <dimension ref="A1:N195"/>
  <sheetViews>
    <sheetView workbookViewId="0">
      <pane ySplit="4" topLeftCell="A5" activePane="bottomLeft" state="frozen"/>
      <selection pane="bottomLeft" activeCell="A5" sqref="A5"/>
    </sheetView>
  </sheetViews>
  <sheetFormatPr defaultRowHeight="12.75"/>
  <cols>
    <col min="1" max="1" width="11" customWidth="1"/>
    <col min="2" max="2" width="10" customWidth="1"/>
    <col min="3" max="3" width="13" customWidth="1"/>
    <col min="4" max="4" width="13" customWidth="1"/>
    <col min="5" max="5" width="13" customWidth="1"/>
    <col min="6" max="6" width="13" customWidth="1"/>
    <col min="7" max="7" width="16" customWidth="1"/>
    <col min="8" max="8" width="3" customWidth="1"/>
    <col min="9" max="9" width="11" customWidth="1"/>
    <col min="10" max="10" width="12" customWidth="1"/>
    <col min="11" max="11" width="13" customWidth="1"/>
    <col min="12" max="12" width="12" customWidth="1"/>
    <col min="13" max="13" width="13" customWidth="1"/>
    <col min="14" max="14" width="8" customWidth="1"/>
  </cols>
  <sheetData>
    <row r="1">
      <c r="A1" s="1" t="s">
        <v>241</v>
      </c>
    </row>
    <row r="2">
      <c r="A2" s="2" t="s">
        <v>242</v>
      </c>
    </row>
    <row r="3">
      <c r="A3" s="2" t="s">
        <v>243</v>
      </c>
    </row>
    <row r="4" ht="38" customHeight="1">
      <c r="A4" s="3" t="s">
        <v>244</v>
      </c>
      <c r="B4" s="3" t="s">
        <v>26</v>
      </c>
      <c r="C4" s="3" t="s">
        <v>245</v>
      </c>
      <c r="D4" s="3" t="s">
        <v>246</v>
      </c>
      <c r="E4" s="3" t="s">
        <v>247</v>
      </c>
      <c r="F4" s="3" t="s">
        <v>248</v>
      </c>
      <c r="G4" s="3" t="s">
        <v>249</v>
      </c>
      <c r="I4" s="3" t="s">
        <v>26</v>
      </c>
      <c r="J4" s="3" t="s">
        <v>250</v>
      </c>
      <c r="K4" s="3" t="s">
        <v>251</v>
      </c>
      <c r="L4" s="3" t="s">
        <v>252</v>
      </c>
      <c r="M4" s="3" t="s">
        <v>253</v>
      </c>
      <c r="N4" s="3" t="s">
        <v>254</v>
      </c>
    </row>
    <row r="5">
      <c r="A5" s="18">
        <v>40452</v>
      </c>
      <c r="B5" s="21" t="s">
        <v>35</v>
      </c>
      <c r="C5" s="10">
        <v>190.43</v>
      </c>
      <c r="D5" s="10">
        <v>80.08</v>
      </c>
      <c r="E5" s="7">
        <f>D5*22.0462262</f>
        <v>1765.461794096</v>
      </c>
      <c r="F5" s="10">
        <v>161.56</v>
      </c>
      <c r="G5" s="2" t="s">
        <v>255</v>
      </c>
      <c r="I5" s="5" t="s">
        <v>35</v>
      </c>
      <c r="J5" s="10">
        <f>AVERAGE(C5:C16)</f>
        <v>249.65999999999997</v>
      </c>
      <c r="K5" s="10">
        <f>AVERAGE(D5:D16)</f>
        <v>100.65583333333332</v>
      </c>
      <c r="L5" s="7">
        <f>AVERAGE(E5:E16)</f>
        <v>2219.0812700161664</v>
      </c>
      <c r="M5" s="10">
        <f>AVERAGE(F5:F16)</f>
        <v>205.65083333333334</v>
      </c>
      <c r="N5" s="22">
        <f>COUNT(C5:C16)</f>
        <v>12</v>
      </c>
    </row>
    <row r="6">
      <c r="A6" s="18">
        <v>40483</v>
      </c>
      <c r="B6" s="21" t="s">
        <v>35</v>
      </c>
      <c r="C6" s="10">
        <v>206.92</v>
      </c>
      <c r="D6" s="10">
        <v>86.4</v>
      </c>
      <c r="E6" s="7">
        <f>D6*22.0462262</f>
        <v>1904.79394368</v>
      </c>
      <c r="F6" s="10">
        <v>173.9</v>
      </c>
      <c r="G6" s="2" t="s">
        <v>256</v>
      </c>
      <c r="I6" s="5" t="s">
        <v>36</v>
      </c>
      <c r="J6" s="10">
        <f>AVERAGE(C17:C28)</f>
        <v>197.8416666666667</v>
      </c>
      <c r="K6" s="10">
        <f>AVERAGE(D17:D28)</f>
        <v>91.38416666666667</v>
      </c>
      <c r="L6" s="7">
        <f>AVERAGE(E17:E28)</f>
        <v>2014.6760094318333</v>
      </c>
      <c r="M6" s="10">
        <f>AVERAGE(F17:F28)</f>
        <v>169.82</v>
      </c>
      <c r="N6" s="22">
        <f>COUNT(C17:C28)</f>
        <v>12</v>
      </c>
    </row>
    <row r="7">
      <c r="A7" s="18">
        <v>40513</v>
      </c>
      <c r="B7" s="21" t="s">
        <v>35</v>
      </c>
      <c r="C7" s="10">
        <v>221.51</v>
      </c>
      <c r="D7" s="10">
        <v>88.7</v>
      </c>
      <c r="E7" s="7">
        <f>D7*22.0462262</f>
        <v>1955.50026394</v>
      </c>
      <c r="F7" s="10">
        <v>184.26</v>
      </c>
      <c r="G7" s="2" t="s">
        <v>257</v>
      </c>
      <c r="I7" s="5" t="s">
        <v>37</v>
      </c>
      <c r="J7" s="10">
        <f>AVERAGE(C29:C40)</f>
        <v>140.69833333333332</v>
      </c>
      <c r="K7" s="10">
        <f>AVERAGE(D29:D40)</f>
        <v>88.48083333333334</v>
      </c>
      <c r="L7" s="7">
        <f>AVERAGE(E29:E40)</f>
        <v>1950.6684660311666</v>
      </c>
      <c r="M7" s="10">
        <f>AVERAGE(F29:F40)</f>
        <v>127.86166666666668</v>
      </c>
      <c r="N7" s="22">
        <f>COUNT(C29:C40)</f>
        <v>12</v>
      </c>
    </row>
    <row r="8">
      <c r="A8" s="18">
        <v>40544</v>
      </c>
      <c r="B8" s="21" t="s">
        <v>35</v>
      </c>
      <c r="C8" s="10">
        <v>238.05</v>
      </c>
      <c r="D8" s="10">
        <v>96.02</v>
      </c>
      <c r="E8" s="7">
        <f>D8*22.0462262</f>
        <v>2116.878639724</v>
      </c>
      <c r="F8" s="10">
        <v>197.35</v>
      </c>
      <c r="G8" s="2" t="s">
        <v>257</v>
      </c>
      <c r="I8" s="5" t="s">
        <v>38</v>
      </c>
      <c r="J8" s="10">
        <f>AVERAGE(C41:C52)</f>
        <v>161.4675</v>
      </c>
      <c r="K8" s="10">
        <f>AVERAGE(D41:D52)</f>
        <v>85.87416666666667</v>
      </c>
      <c r="L8" s="7">
        <f>AVERAGE(E41:E52)</f>
        <v>1893.2013030698333</v>
      </c>
      <c r="M8" s="10">
        <f>AVERAGE(F41:F52)</f>
        <v>140.99833333333333</v>
      </c>
      <c r="N8" s="22">
        <f>COUNT(C41:C52)</f>
        <v>12</v>
      </c>
    </row>
    <row r="9">
      <c r="A9" s="18">
        <v>40575</v>
      </c>
      <c r="B9" s="21" t="s">
        <v>35</v>
      </c>
      <c r="C9" s="10">
        <v>261.41</v>
      </c>
      <c r="D9" s="10">
        <v>104.53</v>
      </c>
      <c r="E9" s="7">
        <f>D9*22.0462262</f>
        <v>2304.492024686</v>
      </c>
      <c r="F9" s="10">
        <v>216.03</v>
      </c>
      <c r="G9" s="2" t="s">
        <v>257</v>
      </c>
      <c r="I9" s="5" t="s">
        <v>39</v>
      </c>
      <c r="J9" s="10">
        <f>AVERAGE(C53:C64)</f>
        <v>154.02083333333334</v>
      </c>
      <c r="K9" s="10">
        <f>AVERAGE(D53:D64)</f>
        <v>83.91083333333333</v>
      </c>
      <c r="L9" s="7">
        <f>AVERAGE(E53:E64)</f>
        <v>1849.9172122971665</v>
      </c>
      <c r="M9" s="10">
        <f>AVERAGE(F53:F64)</f>
        <v>136.14083333333335</v>
      </c>
      <c r="N9" s="22">
        <f>COUNT(C53:C64)</f>
        <v>12</v>
      </c>
    </row>
    <row r="10">
      <c r="A10" s="18">
        <v>40603</v>
      </c>
      <c r="B10" s="21" t="s">
        <v>35</v>
      </c>
      <c r="C10" s="10">
        <v>274.1</v>
      </c>
      <c r="D10" s="10">
        <v>111.36</v>
      </c>
      <c r="E10" s="7">
        <f>D10*22.0462262</f>
        <v>2455.067749632</v>
      </c>
      <c r="F10" s="10">
        <v>224.33</v>
      </c>
      <c r="G10" s="2" t="s">
        <v>257</v>
      </c>
      <c r="I10" s="5" t="s">
        <v>40</v>
      </c>
      <c r="J10" s="10">
        <f>AVERAGE(C65:C76)</f>
        <v>131.83249999999998</v>
      </c>
      <c r="K10" s="10">
        <f>AVERAGE(D65:D76)</f>
        <v>74.06833333333334</v>
      </c>
      <c r="L10" s="7">
        <f>AVERAGE(E65:E76)</f>
        <v>1632.9272309236667</v>
      </c>
      <c r="M10" s="10">
        <f>AVERAGE(F65:F76)</f>
        <v>121.30416666666667</v>
      </c>
      <c r="N10" s="22">
        <f>COUNT(C65:C76)</f>
        <v>12</v>
      </c>
    </row>
    <row r="11">
      <c r="A11" s="18">
        <v>40634</v>
      </c>
      <c r="B11" s="21" t="s">
        <v>35</v>
      </c>
      <c r="C11" s="10">
        <v>285.58</v>
      </c>
      <c r="D11" s="10">
        <v>111.34</v>
      </c>
      <c r="E11" s="7">
        <f>D11*22.0462262</f>
        <v>2454.626825108</v>
      </c>
      <c r="F11" s="10">
        <v>231.24</v>
      </c>
      <c r="G11" s="2" t="s">
        <v>257</v>
      </c>
      <c r="I11" s="5" t="s">
        <v>41</v>
      </c>
      <c r="J11" s="10">
        <f>AVERAGE(C77:C88)</f>
        <v>143.7716666666667</v>
      </c>
      <c r="K11" s="10">
        <f>AVERAGE(D77:D88)</f>
        <v>95.12333333333335</v>
      </c>
      <c r="L11" s="7">
        <f>AVERAGE(E77:E88)</f>
        <v>2097.110523564667</v>
      </c>
      <c r="M11" s="10">
        <f>AVERAGE(F77:F88)</f>
        <v>132.43</v>
      </c>
      <c r="N11" s="22">
        <f>COUNT(C77:C88)</f>
        <v>12</v>
      </c>
    </row>
    <row r="12">
      <c r="A12" s="18">
        <v>40664</v>
      </c>
      <c r="B12" s="21" t="s">
        <v>35</v>
      </c>
      <c r="C12" s="10">
        <v>277.72</v>
      </c>
      <c r="D12" s="10">
        <v>116.76</v>
      </c>
      <c r="E12" s="7">
        <f>D12*22.0462262</f>
        <v>2574.117371112</v>
      </c>
      <c r="F12" s="10">
        <v>227.97</v>
      </c>
      <c r="G12" s="2" t="s">
        <v>257</v>
      </c>
      <c r="I12" s="5" t="s">
        <v>42</v>
      </c>
      <c r="J12" s="10">
        <f>AVERAGE(C89:C100)</f>
        <v>120.60083333333334</v>
      </c>
      <c r="K12" s="10">
        <f>AVERAGE(D89:D100)</f>
        <v>78.28500000000001</v>
      </c>
      <c r="L12" s="7">
        <f>AVERAGE(E89:E100)</f>
        <v>1725.8888180669999</v>
      </c>
      <c r="M12" s="10">
        <f>AVERAGE(F89:F100)</f>
        <v>111.51416666666667</v>
      </c>
      <c r="N12" s="22">
        <f>COUNT(C89:C100)</f>
        <v>12</v>
      </c>
    </row>
    <row r="13">
      <c r="A13" s="18">
        <v>40695</v>
      </c>
      <c r="B13" s="21" t="s">
        <v>35</v>
      </c>
      <c r="C13" s="10">
        <v>262.52</v>
      </c>
      <c r="D13" s="10">
        <v>110.51</v>
      </c>
      <c r="E13" s="7">
        <f>D13*22.0462262</f>
        <v>2436.328457362</v>
      </c>
      <c r="F13" s="10">
        <v>215.58</v>
      </c>
      <c r="G13" s="2" t="s">
        <v>257</v>
      </c>
      <c r="I13" s="5" t="s">
        <v>43</v>
      </c>
      <c r="J13" s="10">
        <f>AVERAGE(C101:C112)</f>
        <v>104.98083333333334</v>
      </c>
      <c r="K13" s="10">
        <f>AVERAGE(D101:D112)</f>
        <v>67.53249999999998</v>
      </c>
      <c r="L13" s="7">
        <f>AVERAGE(E101:E112)</f>
        <v>1488.8367708514998</v>
      </c>
      <c r="M13" s="10">
        <f>AVERAGE(F101:F112)</f>
        <v>100.47333333333334</v>
      </c>
      <c r="N13" s="22">
        <f>COUNT(C101:C112)</f>
        <v>12</v>
      </c>
    </row>
    <row r="14">
      <c r="A14" s="18">
        <v>40725</v>
      </c>
      <c r="B14" s="21" t="s">
        <v>35</v>
      </c>
      <c r="C14" s="10">
        <v>255.9</v>
      </c>
      <c r="D14" s="10">
        <v>103.36</v>
      </c>
      <c r="E14" s="7">
        <f>D14*22.0462262</f>
        <v>2278.697940032</v>
      </c>
      <c r="F14" s="10">
        <v>210.36</v>
      </c>
      <c r="G14" s="2" t="s">
        <v>257</v>
      </c>
      <c r="I14" s="5" t="s">
        <v>44</v>
      </c>
      <c r="J14" s="10">
        <f>AVERAGE(C113:C124)</f>
        <v>113.23666666666666</v>
      </c>
      <c r="K14" s="10">
        <f>AVERAGE(D113:D124)</f>
        <v>59.22083333333333</v>
      </c>
      <c r="L14" s="7">
        <f>AVERAGE(E113:E124)</f>
        <v>1305.5958874191667</v>
      </c>
      <c r="M14" s="10">
        <f>AVERAGE(F113:F124)</f>
        <v>107.24916666666665</v>
      </c>
      <c r="N14" s="22">
        <f>COUNT(C113:C124)</f>
        <v>12</v>
      </c>
    </row>
    <row r="15">
      <c r="A15" s="18">
        <v>40756</v>
      </c>
      <c r="B15" s="21" t="s">
        <v>35</v>
      </c>
      <c r="C15" s="10">
        <v>260.39</v>
      </c>
      <c r="D15" s="10">
        <v>102.71</v>
      </c>
      <c r="E15" s="7">
        <f>D15*22.0462262</f>
        <v>2264.3678930019996</v>
      </c>
      <c r="F15" s="10">
        <v>212.19</v>
      </c>
      <c r="G15" s="2" t="s">
        <v>257</v>
      </c>
      <c r="I15" s="5" t="s">
        <v>45</v>
      </c>
      <c r="J15" s="10">
        <f>AVERAGE(C125:C136)</f>
        <v>143.75333333333336</v>
      </c>
      <c r="K15" s="10">
        <f>AVERAGE(D125:D136)</f>
        <v>69.89583333333333</v>
      </c>
      <c r="L15" s="7">
        <f>AVERAGE(E125:E136)</f>
        <v>1540.9393521041666</v>
      </c>
      <c r="M15" s="10">
        <f>AVERAGE(F125:F136)</f>
        <v>130.49749999999997</v>
      </c>
      <c r="N15" s="22">
        <f>COUNT(C125:C136)</f>
        <v>12</v>
      </c>
    </row>
    <row r="16">
      <c r="A16" s="18">
        <v>40787</v>
      </c>
      <c r="B16" s="21" t="s">
        <v>35</v>
      </c>
      <c r="C16" s="10">
        <v>261.39</v>
      </c>
      <c r="D16" s="10">
        <v>96.1</v>
      </c>
      <c r="E16" s="7">
        <f>D16*22.0462262</f>
        <v>2118.6423378199997</v>
      </c>
      <c r="F16" s="10">
        <v>213.04</v>
      </c>
      <c r="G16" s="2" t="s">
        <v>257</v>
      </c>
      <c r="I16" s="5" t="s">
        <v>46</v>
      </c>
      <c r="J16" s="10">
        <f>AVERAGE(C137:C148)</f>
        <v>224.0875</v>
      </c>
      <c r="K16" s="10">
        <f>AVERAGE(D137:D148)</f>
        <v>97.52916666666668</v>
      </c>
      <c r="L16" s="7">
        <f>AVERAGE(E137:E148)</f>
        <v>2150.1500694308334</v>
      </c>
      <c r="M16" s="10">
        <f>AVERAGE(F137:F148)</f>
        <v>197.905</v>
      </c>
      <c r="N16" s="22">
        <f>COUNT(C137:C148)</f>
        <v>12</v>
      </c>
    </row>
    <row r="17">
      <c r="A17" s="18">
        <v>40817</v>
      </c>
      <c r="B17" s="21" t="s">
        <v>36</v>
      </c>
      <c r="C17" s="10">
        <v>236.74</v>
      </c>
      <c r="D17" s="10">
        <v>88.64</v>
      </c>
      <c r="E17" s="7">
        <f>D17*22.0462262</f>
        <v>1954.177490368</v>
      </c>
      <c r="F17" s="10">
        <v>193.9</v>
      </c>
      <c r="G17" s="2" t="s">
        <v>258</v>
      </c>
      <c r="I17" s="5" t="s">
        <v>47</v>
      </c>
      <c r="J17" s="10">
        <f>AVERAGE(C149:C160)</f>
        <v>171.18999999999997</v>
      </c>
      <c r="K17" s="10">
        <f>AVERAGE(D149:D160)</f>
        <v>100.565</v>
      </c>
      <c r="L17" s="7">
        <f>AVERAGE(E149:E160)</f>
        <v>2217.078737803</v>
      </c>
      <c r="M17" s="10">
        <f>AVERAGE(F149:F160)</f>
        <v>165.4983333333333</v>
      </c>
      <c r="N17" s="22">
        <f>COUNT(C149:C160)</f>
        <v>12</v>
      </c>
    </row>
    <row r="18">
      <c r="A18" s="18">
        <v>40848</v>
      </c>
      <c r="B18" s="21" t="s">
        <v>36</v>
      </c>
      <c r="C18" s="10">
        <v>235.25</v>
      </c>
      <c r="D18" s="10">
        <v>85.78</v>
      </c>
      <c r="E18" s="7">
        <f>D18*22.0462262</f>
        <v>1891.125283436</v>
      </c>
      <c r="F18" s="10">
        <v>193.66</v>
      </c>
      <c r="G18" s="2" t="s">
        <v>259</v>
      </c>
      <c r="I18" s="5" t="s">
        <v>48</v>
      </c>
      <c r="J18" s="10">
        <f>AVERAGE(C161:C172)</f>
        <v>204.00166666666667</v>
      </c>
      <c r="K18" s="10">
        <f>AVERAGE(D161:D172)</f>
        <v>158.95000000000002</v>
      </c>
      <c r="L18" s="7">
        <f>AVERAGE(E161:E172)</f>
        <v>3504.24765449</v>
      </c>
      <c r="M18" s="10">
        <f>AVERAGE(F161:F172)</f>
        <v>201.70000000000002</v>
      </c>
      <c r="N18" s="22">
        <f>COUNT(C161:C172)</f>
        <v>12</v>
      </c>
    </row>
    <row r="19">
      <c r="A19" s="18">
        <v>40878</v>
      </c>
      <c r="B19" s="21" t="s">
        <v>36</v>
      </c>
      <c r="C19" s="10">
        <v>227.23</v>
      </c>
      <c r="D19" s="10">
        <v>87.65</v>
      </c>
      <c r="E19" s="7">
        <f>D19*22.0462262</f>
        <v>1932.35172643</v>
      </c>
      <c r="F19" s="10">
        <v>189.02</v>
      </c>
      <c r="G19" s="2" t="s">
        <v>260</v>
      </c>
      <c r="I19" s="5" t="s">
        <v>49</v>
      </c>
      <c r="J19" s="10">
        <f>AVERAGE(C173:C184)</f>
        <v>333.06</v>
      </c>
      <c r="K19" s="10">
        <f>AVERAGE(D173:D184)</f>
        <v>213.2675</v>
      </c>
      <c r="L19" s="7">
        <f>AVERAGE(E173:E184)</f>
        <v>4701.7435461085</v>
      </c>
      <c r="M19" s="10">
        <f>AVERAGE(F173:F184)</f>
        <v>306.6158333333333</v>
      </c>
      <c r="N19" s="22">
        <f>COUNT(C173:C184)</f>
        <v>12</v>
      </c>
    </row>
    <row r="20">
      <c r="A20" s="18">
        <v>40909</v>
      </c>
      <c r="B20" s="21" t="s">
        <v>36</v>
      </c>
      <c r="C20" s="10">
        <v>227.5</v>
      </c>
      <c r="D20" s="10">
        <v>84.19</v>
      </c>
      <c r="E20" s="7">
        <f>D20*22.0462262</f>
        <v>1856.0717837779998</v>
      </c>
      <c r="F20" s="10">
        <v>188.9</v>
      </c>
      <c r="G20" s="2" t="s">
        <v>261</v>
      </c>
      <c r="I20" s="5" t="s">
        <v>50</v>
      </c>
      <c r="J20" s="10">
        <f>AVERAGE(C185:C195)</f>
        <v>312.21</v>
      </c>
      <c r="K20" s="10">
        <f>AVERAGE(D185:D195)</f>
        <v>171.8418181818182</v>
      </c>
      <c r="L20" s="7">
        <f>AVERAGE(E185:E195)</f>
        <v>3788.463594255636</v>
      </c>
      <c r="M20" s="10">
        <f>AVERAGE(F185:F195)</f>
        <v>285.94545454545454</v>
      </c>
      <c r="N20" s="22">
        <f>COUNT(C185:C195)</f>
        <v>11</v>
      </c>
    </row>
    <row r="21">
      <c r="A21" s="18">
        <v>40940</v>
      </c>
      <c r="B21" s="21" t="s">
        <v>36</v>
      </c>
      <c r="C21" s="10">
        <v>212.09</v>
      </c>
      <c r="D21" s="10">
        <v>88.69</v>
      </c>
      <c r="E21" s="7">
        <f>D21*22.0462262</f>
        <v>1955.279801678</v>
      </c>
      <c r="F21" s="10">
        <v>182.29</v>
      </c>
      <c r="G21" s="2" t="s">
        <v>262</v>
      </c>
      <c r="I21" s="5" t="s">
        <v>110</v>
      </c>
      <c r="J21" s="2" t="s">
        <v>263</v>
      </c>
    </row>
    <row r="22">
      <c r="A22" s="18">
        <v>40969</v>
      </c>
      <c r="B22" s="21" t="s">
        <v>36</v>
      </c>
      <c r="C22" s="10">
        <v>188.78</v>
      </c>
      <c r="D22" s="10">
        <v>91.37</v>
      </c>
      <c r="E22" s="7">
        <f>D22*22.0462262</f>
        <v>2014.3636878940001</v>
      </c>
      <c r="F22" s="10">
        <v>167.77</v>
      </c>
      <c r="G22" s="2" t="s">
        <v>264</v>
      </c>
    </row>
    <row r="23">
      <c r="A23" s="18">
        <v>41000</v>
      </c>
      <c r="B23" s="21" t="s">
        <v>36</v>
      </c>
      <c r="C23" s="10">
        <v>181.75</v>
      </c>
      <c r="D23" s="10">
        <v>91.81</v>
      </c>
      <c r="E23" s="7">
        <f>D23*22.0462262</f>
        <v>2024.064027422</v>
      </c>
      <c r="F23" s="10">
        <v>160.46</v>
      </c>
      <c r="G23" s="2" t="s">
        <v>265</v>
      </c>
    </row>
    <row r="24">
      <c r="A24" s="18">
        <v>41030</v>
      </c>
      <c r="B24" s="21" t="s">
        <v>36</v>
      </c>
      <c r="C24" s="10">
        <v>176.5</v>
      </c>
      <c r="D24" s="10">
        <v>96.82</v>
      </c>
      <c r="E24" s="7">
        <f>D24*22.0462262</f>
        <v>2134.5156206839997</v>
      </c>
      <c r="F24" s="10">
        <v>157.68</v>
      </c>
      <c r="G24" s="2" t="s">
        <v>266</v>
      </c>
    </row>
    <row r="25">
      <c r="A25" s="18">
        <v>41061</v>
      </c>
      <c r="B25" s="21" t="s">
        <v>36</v>
      </c>
      <c r="C25" s="10">
        <v>159.93</v>
      </c>
      <c r="D25" s="10">
        <v>94.75</v>
      </c>
      <c r="E25" s="7">
        <f>D25*22.0462262</f>
        <v>2088.87993245</v>
      </c>
      <c r="F25" s="10">
        <v>145.31</v>
      </c>
      <c r="G25" s="2" t="s">
        <v>267</v>
      </c>
    </row>
    <row r="26">
      <c r="A26" s="18">
        <v>41091</v>
      </c>
      <c r="B26" s="21" t="s">
        <v>36</v>
      </c>
      <c r="C26" s="10">
        <v>183.2</v>
      </c>
      <c r="D26" s="10">
        <v>96.14</v>
      </c>
      <c r="E26" s="7">
        <f>D26*22.0462262</f>
        <v>2119.524186868</v>
      </c>
      <c r="F26" s="10">
        <v>159.07</v>
      </c>
      <c r="G26" s="2" t="s">
        <v>268</v>
      </c>
    </row>
    <row r="27">
      <c r="A27" s="18">
        <v>41122</v>
      </c>
      <c r="B27" s="21" t="s">
        <v>36</v>
      </c>
      <c r="C27" s="10">
        <v>169.77</v>
      </c>
      <c r="D27" s="10">
        <v>96.12</v>
      </c>
      <c r="E27" s="7">
        <f>D27*22.0462262</f>
        <v>2119.083262344</v>
      </c>
      <c r="F27" s="10">
        <v>148.5</v>
      </c>
      <c r="G27" s="2" t="s">
        <v>269</v>
      </c>
    </row>
    <row r="28">
      <c r="A28" s="18">
        <v>41153</v>
      </c>
      <c r="B28" s="21" t="s">
        <v>36</v>
      </c>
      <c r="C28" s="10">
        <v>175.36</v>
      </c>
      <c r="D28" s="10">
        <v>94.65</v>
      </c>
      <c r="E28" s="7">
        <f>D28*22.0462262</f>
        <v>2086.67530983</v>
      </c>
      <c r="F28" s="10">
        <v>151.28</v>
      </c>
      <c r="G28" s="2" t="s">
        <v>270</v>
      </c>
    </row>
    <row r="29">
      <c r="A29" s="18">
        <v>41183</v>
      </c>
      <c r="B29" s="21" t="s">
        <v>37</v>
      </c>
      <c r="C29" s="10">
        <v>170.43</v>
      </c>
      <c r="D29" s="10">
        <v>94.66</v>
      </c>
      <c r="E29" s="7">
        <f>D29*22.0462262</f>
        <v>2086.895772092</v>
      </c>
      <c r="F29" s="10">
        <v>147.12</v>
      </c>
      <c r="G29" s="2" t="s">
        <v>271</v>
      </c>
    </row>
    <row r="30">
      <c r="A30" s="18">
        <v>41214</v>
      </c>
      <c r="B30" s="21" t="s">
        <v>37</v>
      </c>
      <c r="C30" s="10">
        <v>155.72</v>
      </c>
      <c r="D30" s="10">
        <v>87.32</v>
      </c>
      <c r="E30" s="7">
        <f>D30*22.0462262</f>
        <v>1925.0764717839998</v>
      </c>
      <c r="F30" s="10">
        <v>136.35</v>
      </c>
      <c r="G30" s="2" t="s">
        <v>272</v>
      </c>
    </row>
    <row r="31">
      <c r="A31" s="18">
        <v>41244</v>
      </c>
      <c r="B31" s="21" t="s">
        <v>37</v>
      </c>
      <c r="C31" s="10">
        <v>149.58</v>
      </c>
      <c r="D31" s="10">
        <v>85.94</v>
      </c>
      <c r="E31" s="7">
        <f>D31*22.0462262</f>
        <v>1894.652679628</v>
      </c>
      <c r="F31" s="10">
        <v>131.31</v>
      </c>
      <c r="G31" s="2" t="s">
        <v>273</v>
      </c>
    </row>
    <row r="32">
      <c r="A32" s="18">
        <v>41275</v>
      </c>
      <c r="B32" s="21" t="s">
        <v>37</v>
      </c>
      <c r="C32" s="10">
        <v>154.28</v>
      </c>
      <c r="D32" s="10">
        <v>88.85</v>
      </c>
      <c r="E32" s="7">
        <f>D32*22.0462262</f>
        <v>1958.8071978699998</v>
      </c>
      <c r="F32" s="10">
        <v>135.38</v>
      </c>
      <c r="G32" s="2" t="s">
        <v>274</v>
      </c>
    </row>
    <row r="33">
      <c r="A33" s="18">
        <v>41306</v>
      </c>
      <c r="B33" s="21" t="s">
        <v>37</v>
      </c>
      <c r="C33" s="10">
        <v>144.89</v>
      </c>
      <c r="D33" s="10">
        <v>94.41</v>
      </c>
      <c r="E33" s="7">
        <f>D33*22.0462262</f>
        <v>2081.3842155419998</v>
      </c>
      <c r="F33" s="10">
        <v>131.51</v>
      </c>
      <c r="G33" s="2" t="s">
        <v>274</v>
      </c>
    </row>
    <row r="34">
      <c r="A34" s="18">
        <v>41334</v>
      </c>
      <c r="B34" s="21" t="s">
        <v>37</v>
      </c>
      <c r="C34" s="10">
        <v>141.43</v>
      </c>
      <c r="D34" s="10">
        <v>97.22</v>
      </c>
      <c r="E34" s="7">
        <f>D34*22.0462262</f>
        <v>2143.3341111639998</v>
      </c>
      <c r="F34" s="10">
        <v>131.38</v>
      </c>
      <c r="G34" s="2" t="s">
        <v>275</v>
      </c>
    </row>
    <row r="35">
      <c r="A35" s="18">
        <v>41365</v>
      </c>
      <c r="B35" s="21" t="s">
        <v>37</v>
      </c>
      <c r="C35" s="10">
        <v>139.91</v>
      </c>
      <c r="D35" s="10">
        <v>93.15</v>
      </c>
      <c r="E35" s="7">
        <f>D35*22.0462262</f>
        <v>2053.60597053</v>
      </c>
      <c r="F35" s="10">
        <v>129.55</v>
      </c>
      <c r="G35" s="2" t="s">
        <v>275</v>
      </c>
    </row>
    <row r="36">
      <c r="A36" s="18">
        <v>41395</v>
      </c>
      <c r="B36" s="21" t="s">
        <v>37</v>
      </c>
      <c r="C36" s="10">
        <v>138.64</v>
      </c>
      <c r="D36" s="10">
        <v>91.07</v>
      </c>
      <c r="E36" s="7">
        <f>D36*22.0462262</f>
        <v>2007.7498200339999</v>
      </c>
      <c r="F36" s="10">
        <v>126.96</v>
      </c>
      <c r="G36" s="2" t="s">
        <v>276</v>
      </c>
    </row>
    <row r="37">
      <c r="A37" s="18">
        <v>41426</v>
      </c>
      <c r="B37" s="21" t="s">
        <v>37</v>
      </c>
      <c r="C37" s="10">
        <v>126.37</v>
      </c>
      <c r="D37" s="10">
        <v>81.82</v>
      </c>
      <c r="E37" s="7">
        <f>D37*22.0462262</f>
        <v>1803.8222276839997</v>
      </c>
      <c r="F37" s="10">
        <v>117.58</v>
      </c>
      <c r="G37" s="2" t="s">
        <v>277</v>
      </c>
    </row>
    <row r="38">
      <c r="A38" s="18">
        <v>41456</v>
      </c>
      <c r="B38" s="21" t="s">
        <v>37</v>
      </c>
      <c r="C38" s="10">
        <v>125.27</v>
      </c>
      <c r="D38" s="10">
        <v>85.34</v>
      </c>
      <c r="E38" s="7">
        <f>D38*22.0462262</f>
        <v>1881.424943908</v>
      </c>
      <c r="F38" s="10">
        <v>118.93</v>
      </c>
      <c r="G38" s="2" t="s">
        <v>278</v>
      </c>
    </row>
    <row r="39">
      <c r="A39" s="18">
        <v>41487</v>
      </c>
      <c r="B39" s="21" t="s">
        <v>37</v>
      </c>
      <c r="C39" s="10">
        <v>122.31</v>
      </c>
      <c r="D39" s="10">
        <v>84.1</v>
      </c>
      <c r="E39" s="7">
        <f>D39*22.0462262</f>
        <v>1854.0876234199998</v>
      </c>
      <c r="F39" s="10">
        <v>116.45</v>
      </c>
      <c r="G39" s="2" t="s">
        <v>279</v>
      </c>
    </row>
    <row r="40">
      <c r="A40" s="18">
        <v>41518</v>
      </c>
      <c r="B40" s="21" t="s">
        <v>37</v>
      </c>
      <c r="C40" s="10">
        <v>119.55</v>
      </c>
      <c r="D40" s="10">
        <v>77.89</v>
      </c>
      <c r="E40" s="7">
        <f>D40*22.0462262</f>
        <v>1717.180558718</v>
      </c>
      <c r="F40" s="10">
        <v>111.82</v>
      </c>
      <c r="G40" s="2" t="s">
        <v>280</v>
      </c>
    </row>
    <row r="41">
      <c r="A41" s="18">
        <v>41548</v>
      </c>
      <c r="B41" s="21" t="s">
        <v>38</v>
      </c>
      <c r="C41" s="10">
        <v>117.05</v>
      </c>
      <c r="D41" s="10">
        <v>73.47</v>
      </c>
      <c r="E41" s="7">
        <f>D41*22.0462262</f>
        <v>1619.7362389139998</v>
      </c>
      <c r="F41" s="10">
        <v>107.03</v>
      </c>
      <c r="G41" s="2" t="s">
        <v>281</v>
      </c>
    </row>
    <row r="42">
      <c r="A42" s="18">
        <v>41579</v>
      </c>
      <c r="B42" s="21" t="s">
        <v>38</v>
      </c>
      <c r="C42" s="10">
        <v>109.1</v>
      </c>
      <c r="D42" s="10">
        <v>69.32</v>
      </c>
      <c r="E42" s="7">
        <f>D42*22.0462262</f>
        <v>1528.244400184</v>
      </c>
      <c r="F42" s="10">
        <v>100.99</v>
      </c>
      <c r="G42" s="2" t="s">
        <v>281</v>
      </c>
    </row>
    <row r="43">
      <c r="A43" s="18">
        <v>41609</v>
      </c>
      <c r="B43" s="21" t="s">
        <v>38</v>
      </c>
      <c r="C43" s="10">
        <v>114.12</v>
      </c>
      <c r="D43" s="10">
        <v>76.74</v>
      </c>
      <c r="E43" s="7">
        <f>D43*22.0462262</f>
        <v>1691.8273985879998</v>
      </c>
      <c r="F43" s="10">
        <v>106.56</v>
      </c>
      <c r="G43" s="2" t="s">
        <v>281</v>
      </c>
    </row>
    <row r="44">
      <c r="A44" s="18">
        <v>41640</v>
      </c>
      <c r="B44" s="21" t="s">
        <v>38</v>
      </c>
      <c r="C44" s="10">
        <v>120.92</v>
      </c>
      <c r="D44" s="10">
        <v>77.25</v>
      </c>
      <c r="E44" s="7">
        <f>D44*22.0462262</f>
        <v>1703.07097395</v>
      </c>
      <c r="F44" s="10">
        <v>110.75</v>
      </c>
      <c r="G44" s="2" t="s">
        <v>281</v>
      </c>
    </row>
    <row r="45">
      <c r="A45" s="18">
        <v>41671</v>
      </c>
      <c r="B45" s="21" t="s">
        <v>38</v>
      </c>
      <c r="C45" s="10">
        <v>156.68</v>
      </c>
      <c r="D45" s="10">
        <v>85.12</v>
      </c>
      <c r="E45" s="7">
        <f>D45*22.0462262</f>
        <v>1876.574774144</v>
      </c>
      <c r="F45" s="10">
        <v>137.81</v>
      </c>
      <c r="G45" s="2" t="s">
        <v>281</v>
      </c>
    </row>
    <row r="46">
      <c r="A46" s="18">
        <v>41699</v>
      </c>
      <c r="B46" s="21" t="s">
        <v>38</v>
      </c>
      <c r="C46" s="10">
        <v>190.66</v>
      </c>
      <c r="D46" s="10">
        <v>95.53</v>
      </c>
      <c r="E46" s="7">
        <f>D46*22.0462262</f>
        <v>2106.075988886</v>
      </c>
      <c r="F46" s="10">
        <v>165.03</v>
      </c>
      <c r="G46" s="2" t="s">
        <v>281</v>
      </c>
    </row>
    <row r="47">
      <c r="A47" s="18">
        <v>41730</v>
      </c>
      <c r="B47" s="21" t="s">
        <v>38</v>
      </c>
      <c r="C47" s="10">
        <v>200.39</v>
      </c>
      <c r="D47" s="10">
        <v>96.12</v>
      </c>
      <c r="E47" s="7">
        <f>D47*22.0462262</f>
        <v>2119.083262344</v>
      </c>
      <c r="F47" s="10">
        <v>170.58</v>
      </c>
      <c r="G47" s="2" t="s">
        <v>281</v>
      </c>
    </row>
    <row r="48">
      <c r="A48" s="18">
        <v>41760</v>
      </c>
      <c r="B48" s="21" t="s">
        <v>38</v>
      </c>
      <c r="C48" s="10">
        <v>191.07</v>
      </c>
      <c r="D48" s="10">
        <v>93.83</v>
      </c>
      <c r="E48" s="7">
        <f>D48*22.0462262</f>
        <v>2068.597404346</v>
      </c>
      <c r="F48" s="10">
        <v>163.94</v>
      </c>
      <c r="G48" s="2" t="s">
        <v>281</v>
      </c>
    </row>
    <row r="49">
      <c r="A49" s="18">
        <v>41791</v>
      </c>
      <c r="B49" s="21" t="s">
        <v>38</v>
      </c>
      <c r="C49" s="10">
        <v>175.81</v>
      </c>
      <c r="D49" s="10">
        <v>89.4</v>
      </c>
      <c r="E49" s="7">
        <f>D49*22.0462262</f>
        <v>1970.93262228</v>
      </c>
      <c r="F49" s="10">
        <v>151.92</v>
      </c>
      <c r="G49" s="2" t="s">
        <v>281</v>
      </c>
    </row>
    <row r="50">
      <c r="A50" s="18">
        <v>41821</v>
      </c>
      <c r="B50" s="21" t="s">
        <v>38</v>
      </c>
      <c r="C50" s="10">
        <v>175.74</v>
      </c>
      <c r="D50" s="10">
        <v>91.83</v>
      </c>
      <c r="E50" s="7">
        <f>D50*22.0462262</f>
        <v>2024.504951946</v>
      </c>
      <c r="F50" s="10">
        <v>152.5</v>
      </c>
      <c r="G50" s="2" t="s">
        <v>281</v>
      </c>
    </row>
    <row r="51">
      <c r="A51" s="18">
        <v>41852</v>
      </c>
      <c r="B51" s="21" t="s">
        <v>38</v>
      </c>
      <c r="C51" s="10">
        <v>193.98</v>
      </c>
      <c r="D51" s="10">
        <v>90.64</v>
      </c>
      <c r="E51" s="7">
        <f>D51*22.0462262</f>
        <v>1998.269942768</v>
      </c>
      <c r="F51" s="10">
        <v>163.08</v>
      </c>
      <c r="G51" s="2" t="s">
        <v>281</v>
      </c>
    </row>
    <row r="52">
      <c r="A52" s="18">
        <v>41883</v>
      </c>
      <c r="B52" s="21" t="s">
        <v>38</v>
      </c>
      <c r="C52" s="10">
        <v>192.09</v>
      </c>
      <c r="D52" s="10">
        <v>91.24</v>
      </c>
      <c r="E52" s="7">
        <f>D52*22.0462262</f>
        <v>2011.4976784879998</v>
      </c>
      <c r="F52" s="10">
        <v>161.79</v>
      </c>
      <c r="G52" s="2" t="s">
        <v>282</v>
      </c>
    </row>
    <row r="53">
      <c r="A53" s="18">
        <v>41913</v>
      </c>
      <c r="B53" s="21" t="s">
        <v>39</v>
      </c>
      <c r="C53" s="10">
        <v>210.12</v>
      </c>
      <c r="D53" s="10">
        <v>95.51</v>
      </c>
      <c r="E53" s="7">
        <f>D53*22.0462262</f>
        <v>2105.635064362</v>
      </c>
      <c r="F53" s="10">
        <v>172.88</v>
      </c>
      <c r="G53" s="2" t="s">
        <v>283</v>
      </c>
    </row>
    <row r="54">
      <c r="A54" s="18">
        <v>41944</v>
      </c>
      <c r="B54" s="21" t="s">
        <v>39</v>
      </c>
      <c r="C54" s="10">
        <v>192.33</v>
      </c>
      <c r="D54" s="10">
        <v>93.6</v>
      </c>
      <c r="E54" s="7">
        <f>D54*22.0462262</f>
        <v>2063.52677232</v>
      </c>
      <c r="F54" s="10">
        <v>162.17</v>
      </c>
      <c r="G54" s="2" t="s">
        <v>283</v>
      </c>
    </row>
    <row r="55">
      <c r="A55" s="18">
        <v>41974</v>
      </c>
      <c r="B55" s="21" t="s">
        <v>39</v>
      </c>
      <c r="C55" s="10">
        <v>177.82</v>
      </c>
      <c r="D55" s="10">
        <v>89.86</v>
      </c>
      <c r="E55" s="7">
        <f>D55*22.0462262</f>
        <v>1981.073886332</v>
      </c>
      <c r="F55" s="10">
        <v>150.66</v>
      </c>
      <c r="G55" s="2" t="s">
        <v>284</v>
      </c>
    </row>
    <row r="56">
      <c r="A56" s="18">
        <v>42005</v>
      </c>
      <c r="B56" s="21" t="s">
        <v>39</v>
      </c>
      <c r="C56" s="10">
        <v>173.19</v>
      </c>
      <c r="D56" s="10">
        <v>89.33</v>
      </c>
      <c r="E56" s="7">
        <f>D56*22.0462262</f>
        <v>1969.389386446</v>
      </c>
      <c r="F56" s="10">
        <v>148.24</v>
      </c>
      <c r="G56" s="2" t="s">
        <v>284</v>
      </c>
    </row>
    <row r="57">
      <c r="A57" s="18">
        <v>42036</v>
      </c>
      <c r="B57" s="21" t="s">
        <v>39</v>
      </c>
      <c r="C57" s="10">
        <v>159.55</v>
      </c>
      <c r="D57" s="10">
        <v>89.76</v>
      </c>
      <c r="E57" s="7">
        <f>D57*22.0462262</f>
        <v>1978.869263712</v>
      </c>
      <c r="F57" s="10">
        <v>141.1</v>
      </c>
      <c r="G57" s="2" t="s">
        <v>284</v>
      </c>
    </row>
    <row r="58">
      <c r="A58" s="18">
        <v>42064</v>
      </c>
      <c r="B58" s="21" t="s">
        <v>39</v>
      </c>
      <c r="C58" s="10">
        <v>139.7</v>
      </c>
      <c r="D58" s="10">
        <v>82.94</v>
      </c>
      <c r="E58" s="7">
        <f>D58*22.0462262</f>
        <v>1828.514001028</v>
      </c>
      <c r="F58" s="10">
        <v>127.04</v>
      </c>
      <c r="G58" s="2" t="s">
        <v>285</v>
      </c>
    </row>
    <row r="59">
      <c r="A59" s="18">
        <v>42095</v>
      </c>
      <c r="B59" s="21" t="s">
        <v>39</v>
      </c>
      <c r="C59" s="10">
        <v>141.79</v>
      </c>
      <c r="D59" s="10">
        <v>82.71</v>
      </c>
      <c r="E59" s="7">
        <f>D59*22.0462262</f>
        <v>1823.4433690019998</v>
      </c>
      <c r="F59" s="10">
        <v>129.02</v>
      </c>
      <c r="G59" s="2" t="s">
        <v>285</v>
      </c>
    </row>
    <row r="60">
      <c r="A60" s="18">
        <v>42125</v>
      </c>
      <c r="B60" s="21" t="s">
        <v>39</v>
      </c>
      <c r="C60" s="10">
        <v>135.22</v>
      </c>
      <c r="D60" s="10">
        <v>78.03</v>
      </c>
      <c r="E60" s="7">
        <f>D60*22.0462262</f>
        <v>1720.267030386</v>
      </c>
      <c r="F60" s="10">
        <v>123.49</v>
      </c>
      <c r="G60" s="2" t="s">
        <v>285</v>
      </c>
    </row>
    <row r="61">
      <c r="A61" s="18">
        <v>42156</v>
      </c>
      <c r="B61" s="21" t="s">
        <v>39</v>
      </c>
      <c r="C61" s="10">
        <v>135.86</v>
      </c>
      <c r="D61" s="10">
        <v>80.25</v>
      </c>
      <c r="E61" s="7">
        <f>D61*22.0462262</f>
        <v>1769.2096525499999</v>
      </c>
      <c r="F61" s="10">
        <v>124.97</v>
      </c>
      <c r="G61" s="2" t="s">
        <v>286</v>
      </c>
    </row>
    <row r="62">
      <c r="A62" s="18">
        <v>42186</v>
      </c>
      <c r="B62" s="21" t="s">
        <v>39</v>
      </c>
      <c r="C62" s="10">
        <v>128.59</v>
      </c>
      <c r="D62" s="10">
        <v>77.16</v>
      </c>
      <c r="E62" s="7">
        <f>D62*22.0462262</f>
        <v>1701.086813592</v>
      </c>
      <c r="F62" s="10">
        <v>119.77</v>
      </c>
      <c r="G62" s="2" t="s">
        <v>287</v>
      </c>
    </row>
    <row r="63">
      <c r="A63" s="18">
        <v>42217</v>
      </c>
      <c r="B63" s="21" t="s">
        <v>39</v>
      </c>
      <c r="C63" s="10">
        <v>132.42</v>
      </c>
      <c r="D63" s="10">
        <v>76.25</v>
      </c>
      <c r="E63" s="7">
        <f>D63*22.0462262</f>
        <v>1681.02474775</v>
      </c>
      <c r="F63" s="10">
        <v>121.21</v>
      </c>
      <c r="G63" s="2" t="s">
        <v>288</v>
      </c>
    </row>
    <row r="64">
      <c r="A64" s="18">
        <v>42248</v>
      </c>
      <c r="B64" s="21" t="s">
        <v>39</v>
      </c>
      <c r="C64" s="10">
        <v>121.66</v>
      </c>
      <c r="D64" s="10">
        <v>71.53</v>
      </c>
      <c r="E64" s="7">
        <f>D64*22.0462262</f>
        <v>1576.966560086</v>
      </c>
      <c r="F64" s="10">
        <v>113.14</v>
      </c>
      <c r="G64" s="2" t="s">
        <v>288</v>
      </c>
    </row>
    <row r="65">
      <c r="A65" s="18">
        <v>42278</v>
      </c>
      <c r="B65" s="21" t="s">
        <v>40</v>
      </c>
      <c r="C65" s="10">
        <v>129.45</v>
      </c>
      <c r="D65" s="10">
        <v>72.89</v>
      </c>
      <c r="E65" s="7">
        <f>D65*22.0462262</f>
        <v>1606.949427718</v>
      </c>
      <c r="F65" s="10">
        <v>118.43</v>
      </c>
      <c r="G65" s="2" t="s">
        <v>289</v>
      </c>
    </row>
    <row r="66">
      <c r="A66" s="18">
        <v>42309</v>
      </c>
      <c r="B66" s="21" t="s">
        <v>40</v>
      </c>
      <c r="C66" s="10">
        <v>122.35</v>
      </c>
      <c r="D66" s="10">
        <v>72.04</v>
      </c>
      <c r="E66" s="7">
        <f>D66*22.0462262</f>
        <v>1588.210135448</v>
      </c>
      <c r="F66" s="10">
        <v>115.03</v>
      </c>
      <c r="G66" s="2" t="s">
        <v>289</v>
      </c>
    </row>
    <row r="67">
      <c r="A67" s="18">
        <v>42339</v>
      </c>
      <c r="B67" s="21" t="s">
        <v>40</v>
      </c>
      <c r="C67" s="10">
        <v>123.77</v>
      </c>
      <c r="D67" s="10">
        <v>70.02</v>
      </c>
      <c r="E67" s="7">
        <f>D67*22.0462262</f>
        <v>1543.676758524</v>
      </c>
      <c r="F67" s="10">
        <v>114.63</v>
      </c>
      <c r="G67" s="2" t="s">
        <v>289</v>
      </c>
    </row>
    <row r="68">
      <c r="A68" s="18">
        <v>42370</v>
      </c>
      <c r="B68" s="21" t="s">
        <v>40</v>
      </c>
      <c r="C68" s="10">
        <v>120.2</v>
      </c>
      <c r="D68" s="10">
        <v>65.67</v>
      </c>
      <c r="E68" s="7">
        <f>D68*22.0462262</f>
        <v>1447.775674554</v>
      </c>
      <c r="F68" s="10">
        <v>110.89</v>
      </c>
      <c r="G68" s="2" t="s">
        <v>289</v>
      </c>
    </row>
    <row r="69">
      <c r="A69" s="18">
        <v>42401</v>
      </c>
      <c r="B69" s="21" t="s">
        <v>40</v>
      </c>
      <c r="C69" s="10">
        <v>119.25</v>
      </c>
      <c r="D69" s="10">
        <v>64.96</v>
      </c>
      <c r="E69" s="7">
        <f>D69*22.0462262</f>
        <v>1432.1228539519998</v>
      </c>
      <c r="F69" s="10">
        <v>111.75</v>
      </c>
      <c r="G69" s="2" t="s">
        <v>289</v>
      </c>
    </row>
    <row r="70">
      <c r="A70" s="18">
        <v>42430</v>
      </c>
      <c r="B70" s="21" t="s">
        <v>40</v>
      </c>
      <c r="C70" s="10">
        <v>127.33</v>
      </c>
      <c r="D70" s="10">
        <v>66.17</v>
      </c>
      <c r="E70" s="7">
        <f>D70*22.0462262</f>
        <v>1458.798787654</v>
      </c>
      <c r="F70" s="10">
        <v>117.83</v>
      </c>
      <c r="G70" s="2" t="s">
        <v>289</v>
      </c>
    </row>
    <row r="71">
      <c r="A71" s="18">
        <v>42461</v>
      </c>
      <c r="B71" s="21" t="s">
        <v>40</v>
      </c>
      <c r="C71" s="10">
        <v>125.34</v>
      </c>
      <c r="D71" s="10">
        <v>70.9</v>
      </c>
      <c r="E71" s="7">
        <f>D71*22.0462262</f>
        <v>1563.0774375800002</v>
      </c>
      <c r="F71" s="10">
        <v>117.93</v>
      </c>
      <c r="G71" s="2" t="s">
        <v>289</v>
      </c>
    </row>
    <row r="72">
      <c r="A72" s="18">
        <v>42491</v>
      </c>
      <c r="B72" s="21" t="s">
        <v>40</v>
      </c>
      <c r="C72" s="10">
        <v>126.8</v>
      </c>
      <c r="D72" s="10">
        <v>75.11</v>
      </c>
      <c r="E72" s="7">
        <f>D72*22.0462262</f>
        <v>1655.892049882</v>
      </c>
      <c r="F72" s="10">
        <v>119.91</v>
      </c>
      <c r="G72" s="2" t="s">
        <v>289</v>
      </c>
    </row>
    <row r="73">
      <c r="A73" s="18">
        <v>42522</v>
      </c>
      <c r="B73" s="21" t="s">
        <v>40</v>
      </c>
      <c r="C73" s="10">
        <v>139.1</v>
      </c>
      <c r="D73" s="10">
        <v>76.87</v>
      </c>
      <c r="E73" s="7">
        <f>D73*22.0462262</f>
        <v>1694.6934079940002</v>
      </c>
      <c r="F73" s="10">
        <v>127.05</v>
      </c>
      <c r="G73" s="2" t="s">
        <v>289</v>
      </c>
    </row>
    <row r="74">
      <c r="A74" s="18">
        <v>42552</v>
      </c>
      <c r="B74" s="21" t="s">
        <v>40</v>
      </c>
      <c r="C74" s="10">
        <v>148.16</v>
      </c>
      <c r="D74" s="10">
        <v>82.09</v>
      </c>
      <c r="E74" s="7">
        <f>D74*22.0462262</f>
        <v>1809.774708758</v>
      </c>
      <c r="F74" s="10">
        <v>132.98</v>
      </c>
      <c r="G74" s="2" t="s">
        <v>289</v>
      </c>
    </row>
    <row r="75">
      <c r="A75" s="18">
        <v>42583</v>
      </c>
      <c r="B75" s="21" t="s">
        <v>40</v>
      </c>
      <c r="C75" s="10">
        <v>145.37</v>
      </c>
      <c r="D75" s="10">
        <v>83.47</v>
      </c>
      <c r="E75" s="7">
        <f>D75*22.0462262</f>
        <v>1840.1985009139999</v>
      </c>
      <c r="F75" s="10">
        <v>131</v>
      </c>
      <c r="G75" s="2" t="s">
        <v>289</v>
      </c>
    </row>
    <row r="76">
      <c r="A76" s="18">
        <v>42614</v>
      </c>
      <c r="B76" s="21" t="s">
        <v>40</v>
      </c>
      <c r="C76" s="10">
        <v>154.87</v>
      </c>
      <c r="D76" s="10">
        <v>88.63</v>
      </c>
      <c r="E76" s="7">
        <f>D76*22.0462262</f>
        <v>1953.9570281059998</v>
      </c>
      <c r="F76" s="10">
        <v>138.22</v>
      </c>
      <c r="G76" s="2" t="s">
        <v>290</v>
      </c>
    </row>
    <row r="77">
      <c r="A77" s="18">
        <v>42644</v>
      </c>
      <c r="B77" s="21" t="s">
        <v>41</v>
      </c>
      <c r="C77" s="10">
        <v>160.07</v>
      </c>
      <c r="D77" s="10">
        <v>95.3</v>
      </c>
      <c r="E77" s="7">
        <f>D77*22.0462262</f>
        <v>2101.00535686</v>
      </c>
      <c r="F77" s="10">
        <v>142.68</v>
      </c>
      <c r="G77" s="2" t="s">
        <v>290</v>
      </c>
    </row>
    <row r="78">
      <c r="A78" s="18">
        <v>42675</v>
      </c>
      <c r="B78" s="21" t="s">
        <v>41</v>
      </c>
      <c r="C78" s="10">
        <v>165.24</v>
      </c>
      <c r="D78" s="10">
        <v>95.4</v>
      </c>
      <c r="E78" s="7">
        <f>D78*22.0462262</f>
        <v>2103.20997948</v>
      </c>
      <c r="F78" s="10">
        <v>145.82</v>
      </c>
      <c r="G78" s="2" t="s">
        <v>290</v>
      </c>
    </row>
    <row r="79">
      <c r="A79" s="18">
        <v>42705</v>
      </c>
      <c r="B79" s="21" t="s">
        <v>41</v>
      </c>
      <c r="C79" s="10">
        <v>143.04</v>
      </c>
      <c r="D79" s="10">
        <v>93.66</v>
      </c>
      <c r="E79" s="7">
        <f>D79*22.0462262</f>
        <v>2064.8495458919997</v>
      </c>
      <c r="F79" s="10">
        <v>131.7</v>
      </c>
      <c r="G79" s="2" t="s">
        <v>290</v>
      </c>
    </row>
    <row r="80">
      <c r="A80" s="18">
        <v>42736</v>
      </c>
      <c r="B80" s="21" t="s">
        <v>41</v>
      </c>
      <c r="C80" s="10">
        <v>152.24</v>
      </c>
      <c r="D80" s="10">
        <v>100.24</v>
      </c>
      <c r="E80" s="7">
        <f>D80*22.0462262</f>
        <v>2209.913714288</v>
      </c>
      <c r="F80" s="10">
        <v>139.07</v>
      </c>
      <c r="G80" s="2" t="s">
        <v>290</v>
      </c>
    </row>
    <row r="81">
      <c r="A81" s="18">
        <v>42767</v>
      </c>
      <c r="B81" s="21" t="s">
        <v>41</v>
      </c>
      <c r="C81" s="10">
        <v>148.64</v>
      </c>
      <c r="D81" s="10">
        <v>98.46</v>
      </c>
      <c r="E81" s="7">
        <f>D81*22.0462262</f>
        <v>2170.6714316519997</v>
      </c>
      <c r="F81" s="10">
        <v>137.68</v>
      </c>
      <c r="G81" s="2" t="s">
        <v>290</v>
      </c>
    </row>
    <row r="82">
      <c r="A82" s="18">
        <v>42795</v>
      </c>
      <c r="B82" s="21" t="s">
        <v>41</v>
      </c>
      <c r="C82" s="10">
        <v>143.38</v>
      </c>
      <c r="D82" s="10">
        <v>99.01</v>
      </c>
      <c r="E82" s="7">
        <f>D82*22.0462262</f>
        <v>2182.796856062</v>
      </c>
      <c r="F82" s="10">
        <v>134.07</v>
      </c>
      <c r="G82" s="2" t="s">
        <v>290</v>
      </c>
    </row>
    <row r="83">
      <c r="A83" s="18">
        <v>42826</v>
      </c>
      <c r="B83" s="21" t="s">
        <v>41</v>
      </c>
      <c r="C83" s="10">
        <v>139.25</v>
      </c>
      <c r="D83" s="10">
        <v>95.34</v>
      </c>
      <c r="E83" s="7">
        <f>D83*22.0462262</f>
        <v>2101.887205908</v>
      </c>
      <c r="F83" s="10">
        <v>130.39</v>
      </c>
      <c r="G83" s="2" t="s">
        <v>290</v>
      </c>
    </row>
    <row r="84">
      <c r="A84" s="18">
        <v>42856</v>
      </c>
      <c r="B84" s="21" t="s">
        <v>41</v>
      </c>
      <c r="C84" s="10">
        <v>135.45</v>
      </c>
      <c r="D84" s="10">
        <v>90.35</v>
      </c>
      <c r="E84" s="7">
        <f>D84*22.0462262</f>
        <v>1991.87653717</v>
      </c>
      <c r="F84" s="10">
        <v>125.4</v>
      </c>
      <c r="G84" s="2" t="s">
        <v>290</v>
      </c>
    </row>
    <row r="85">
      <c r="A85" s="18">
        <v>42887</v>
      </c>
      <c r="B85" s="21" t="s">
        <v>41</v>
      </c>
      <c r="C85" s="10">
        <v>128.18</v>
      </c>
      <c r="D85" s="10">
        <v>93.11</v>
      </c>
      <c r="E85" s="7">
        <f>D85*22.0462262</f>
        <v>2052.724121482</v>
      </c>
      <c r="F85" s="10">
        <v>122.39</v>
      </c>
      <c r="G85" s="2" t="s">
        <v>290</v>
      </c>
    </row>
    <row r="86">
      <c r="A86" s="18">
        <v>42917</v>
      </c>
      <c r="B86" s="21" t="s">
        <v>41</v>
      </c>
      <c r="C86" s="10">
        <v>135.71</v>
      </c>
      <c r="D86" s="10">
        <v>96.03</v>
      </c>
      <c r="E86" s="7">
        <f>D86*22.0462262</f>
        <v>2117.099101986</v>
      </c>
      <c r="F86" s="10">
        <v>127.26</v>
      </c>
      <c r="G86" s="2" t="s">
        <v>290</v>
      </c>
    </row>
    <row r="87">
      <c r="A87" s="18">
        <v>42948</v>
      </c>
      <c r="B87" s="21" t="s">
        <v>41</v>
      </c>
      <c r="C87" s="10">
        <v>138.11</v>
      </c>
      <c r="D87" s="10">
        <v>94.89</v>
      </c>
      <c r="E87" s="7">
        <f>D87*22.0462262</f>
        <v>2091.966404118</v>
      </c>
      <c r="F87" s="10">
        <v>128.24</v>
      </c>
      <c r="G87" s="2" t="s">
        <v>290</v>
      </c>
    </row>
    <row r="88">
      <c r="A88" s="18">
        <v>42979</v>
      </c>
      <c r="B88" s="21" t="s">
        <v>41</v>
      </c>
      <c r="C88" s="10">
        <v>135.95</v>
      </c>
      <c r="D88" s="10">
        <v>89.69</v>
      </c>
      <c r="E88" s="7">
        <f>D88*22.0462262</f>
        <v>1977.3260278779999</v>
      </c>
      <c r="F88" s="10">
        <v>124.46</v>
      </c>
      <c r="G88" s="2" t="s">
        <v>291</v>
      </c>
    </row>
    <row r="89">
      <c r="A89" s="18">
        <v>43009</v>
      </c>
      <c r="B89" s="21" t="s">
        <v>42</v>
      </c>
      <c r="C89" s="10">
        <v>131</v>
      </c>
      <c r="D89" s="10">
        <v>88.38</v>
      </c>
      <c r="E89" s="7">
        <f>D89*22.0462262</f>
        <v>1948.4454715559998</v>
      </c>
      <c r="F89" s="10">
        <v>120.01</v>
      </c>
      <c r="G89" s="2" t="s">
        <v>291</v>
      </c>
    </row>
    <row r="90">
      <c r="A90" s="18">
        <v>43040</v>
      </c>
      <c r="B90" s="21" t="s">
        <v>42</v>
      </c>
      <c r="C90" s="10">
        <v>129.96</v>
      </c>
      <c r="D90" s="10">
        <v>81.46</v>
      </c>
      <c r="E90" s="7">
        <f>D90*22.0462262</f>
        <v>1795.885586252</v>
      </c>
      <c r="F90" s="10">
        <v>117.26</v>
      </c>
      <c r="G90" s="2" t="s">
        <v>291</v>
      </c>
    </row>
    <row r="91">
      <c r="A91" s="18">
        <v>43070</v>
      </c>
      <c r="B91" s="21" t="s">
        <v>42</v>
      </c>
      <c r="C91" s="10">
        <v>125.25</v>
      </c>
      <c r="D91" s="10">
        <v>78.3</v>
      </c>
      <c r="E91" s="7">
        <f>D91*22.0462262</f>
        <v>1726.21951146</v>
      </c>
      <c r="F91" s="10">
        <v>114</v>
      </c>
      <c r="G91" s="2" t="s">
        <v>291</v>
      </c>
    </row>
    <row r="92">
      <c r="A92" s="18">
        <v>43101</v>
      </c>
      <c r="B92" s="21" t="s">
        <v>42</v>
      </c>
      <c r="C92" s="10">
        <v>127.65</v>
      </c>
      <c r="D92" s="10">
        <v>78.9</v>
      </c>
      <c r="E92" s="7">
        <f>D92*22.0462262</f>
        <v>1739.44724718</v>
      </c>
      <c r="F92" s="10">
        <v>115.6</v>
      </c>
      <c r="G92" s="2" t="s">
        <v>291</v>
      </c>
    </row>
    <row r="93">
      <c r="A93" s="18">
        <v>43132</v>
      </c>
      <c r="B93" s="21" t="s">
        <v>42</v>
      </c>
      <c r="C93" s="10">
        <v>123.82</v>
      </c>
      <c r="D93" s="10">
        <v>80.38</v>
      </c>
      <c r="E93" s="7">
        <f>D93*22.0462262</f>
        <v>1772.075661956</v>
      </c>
      <c r="F93" s="10">
        <v>114.19</v>
      </c>
      <c r="G93" s="2" t="s">
        <v>291</v>
      </c>
    </row>
    <row r="94">
      <c r="A94" s="18">
        <v>43160</v>
      </c>
      <c r="B94" s="21" t="s">
        <v>42</v>
      </c>
      <c r="C94" s="10">
        <v>121.66</v>
      </c>
      <c r="D94" s="10">
        <v>79.86</v>
      </c>
      <c r="E94" s="7">
        <f>D94*22.0462262</f>
        <v>1760.611624332</v>
      </c>
      <c r="F94" s="10">
        <v>112.99</v>
      </c>
      <c r="G94" s="2" t="s">
        <v>291</v>
      </c>
    </row>
    <row r="95">
      <c r="A95" s="18">
        <v>43191</v>
      </c>
      <c r="B95" s="21" t="s">
        <v>42</v>
      </c>
      <c r="C95" s="10">
        <v>120.17</v>
      </c>
      <c r="D95" s="10">
        <v>79.36</v>
      </c>
      <c r="E95" s="7">
        <f>D95*22.0462262</f>
        <v>1749.588511232</v>
      </c>
      <c r="F95" s="10">
        <v>112.56</v>
      </c>
      <c r="G95" s="2" t="s">
        <v>291</v>
      </c>
    </row>
    <row r="96">
      <c r="A96" s="18">
        <v>43221</v>
      </c>
      <c r="B96" s="21" t="s">
        <v>42</v>
      </c>
      <c r="C96" s="10">
        <v>122.5</v>
      </c>
      <c r="D96" s="10">
        <v>79.85</v>
      </c>
      <c r="E96" s="7">
        <f>D96*22.0462262</f>
        <v>1760.3911620699998</v>
      </c>
      <c r="F96" s="10">
        <v>113.34</v>
      </c>
      <c r="G96" s="2" t="s">
        <v>291</v>
      </c>
    </row>
    <row r="97">
      <c r="A97" s="18">
        <v>43252</v>
      </c>
      <c r="B97" s="21" t="s">
        <v>42</v>
      </c>
      <c r="C97" s="10">
        <v>120.19</v>
      </c>
      <c r="D97" s="10">
        <v>77.4</v>
      </c>
      <c r="E97" s="7">
        <f>D97*22.0462262</f>
        <v>1706.37790788</v>
      </c>
      <c r="F97" s="10">
        <v>110.44</v>
      </c>
      <c r="G97" s="2" t="s">
        <v>291</v>
      </c>
    </row>
    <row r="98">
      <c r="A98" s="18">
        <v>43282</v>
      </c>
      <c r="B98" s="21" t="s">
        <v>42</v>
      </c>
      <c r="C98" s="10">
        <v>114.06</v>
      </c>
      <c r="D98" s="10">
        <v>75.56</v>
      </c>
      <c r="E98" s="7">
        <f>D98*22.0462262</f>
        <v>1665.812851672</v>
      </c>
      <c r="F98" s="10">
        <v>107.2</v>
      </c>
      <c r="G98" s="2" t="s">
        <v>291</v>
      </c>
    </row>
    <row r="99">
      <c r="A99" s="18">
        <v>43313</v>
      </c>
      <c r="B99" s="21" t="s">
        <v>42</v>
      </c>
      <c r="C99" s="10">
        <v>108.12</v>
      </c>
      <c r="D99" s="10">
        <v>71.94</v>
      </c>
      <c r="E99" s="7">
        <f>D99*22.0462262</f>
        <v>1586.0055128279998</v>
      </c>
      <c r="F99" s="10">
        <v>102.41</v>
      </c>
      <c r="G99" s="2" t="s">
        <v>291</v>
      </c>
    </row>
    <row r="100">
      <c r="A100" s="18">
        <v>43344</v>
      </c>
      <c r="B100" s="21" t="s">
        <v>42</v>
      </c>
      <c r="C100" s="10">
        <v>102.83</v>
      </c>
      <c r="D100" s="10">
        <v>68.03</v>
      </c>
      <c r="E100" s="7">
        <f>D100*22.0462262</f>
        <v>1499.804768386</v>
      </c>
      <c r="F100" s="10">
        <v>98.17</v>
      </c>
      <c r="G100" s="2" t="s">
        <v>292</v>
      </c>
    </row>
    <row r="101">
      <c r="A101" s="18">
        <v>43374</v>
      </c>
      <c r="B101" s="21" t="s">
        <v>43</v>
      </c>
      <c r="C101" s="10">
        <v>119.73</v>
      </c>
      <c r="D101" s="10">
        <v>77.16</v>
      </c>
      <c r="E101" s="7">
        <f>D101*22.0462262</f>
        <v>1701.086813592</v>
      </c>
      <c r="F101" s="10">
        <v>111.21</v>
      </c>
      <c r="G101" s="2" t="s">
        <v>293</v>
      </c>
    </row>
    <row r="102">
      <c r="A102" s="18">
        <v>43405</v>
      </c>
      <c r="B102" s="21" t="s">
        <v>43</v>
      </c>
      <c r="C102" s="10">
        <v>117.06</v>
      </c>
      <c r="D102" s="10">
        <v>75.23</v>
      </c>
      <c r="E102" s="7">
        <f>D102*22.0462262</f>
        <v>1658.537597026</v>
      </c>
      <c r="F102" s="10">
        <v>109.59</v>
      </c>
      <c r="G102" s="2" t="s">
        <v>294</v>
      </c>
    </row>
    <row r="103">
      <c r="A103" s="18">
        <v>43435</v>
      </c>
      <c r="B103" s="21" t="s">
        <v>43</v>
      </c>
      <c r="C103" s="10">
        <v>105.79</v>
      </c>
      <c r="D103" s="10">
        <v>69.59</v>
      </c>
      <c r="E103" s="7">
        <f>D103*22.0462262</f>
        <v>1534.196881258</v>
      </c>
      <c r="F103" s="10">
        <v>100.61</v>
      </c>
      <c r="G103" s="2" t="s">
        <v>295</v>
      </c>
    </row>
    <row r="104">
      <c r="A104" s="18">
        <v>43466</v>
      </c>
      <c r="B104" s="21" t="s">
        <v>43</v>
      </c>
      <c r="C104" s="10">
        <v>107.93</v>
      </c>
      <c r="D104" s="10">
        <v>70.32</v>
      </c>
      <c r="E104" s="7">
        <f>D104*22.0462262</f>
        <v>1550.2906263839998</v>
      </c>
      <c r="F104" s="10">
        <v>101.56</v>
      </c>
      <c r="G104" s="2" t="s">
        <v>296</v>
      </c>
    </row>
    <row r="105">
      <c r="A105" s="18">
        <v>43497</v>
      </c>
      <c r="B105" s="21" t="s">
        <v>43</v>
      </c>
      <c r="C105" s="10">
        <v>104.12</v>
      </c>
      <c r="D105" s="10">
        <v>70.52</v>
      </c>
      <c r="E105" s="7">
        <f>D105*22.0462262</f>
        <v>1554.6998716239998</v>
      </c>
      <c r="F105" s="10">
        <v>100.67</v>
      </c>
      <c r="G105" s="2" t="s">
        <v>297</v>
      </c>
    </row>
    <row r="106">
      <c r="A106" s="18">
        <v>43525</v>
      </c>
      <c r="B106" s="21" t="s">
        <v>43</v>
      </c>
      <c r="C106" s="10">
        <v>98.84</v>
      </c>
      <c r="D106" s="10">
        <v>68.61</v>
      </c>
      <c r="E106" s="7">
        <f>D106*22.0462262</f>
        <v>1512.591579582</v>
      </c>
      <c r="F106" s="10">
        <v>97.5</v>
      </c>
      <c r="G106" s="2" t="s">
        <v>298</v>
      </c>
    </row>
    <row r="107">
      <c r="A107" s="18">
        <v>43556</v>
      </c>
      <c r="B107" s="21" t="s">
        <v>43</v>
      </c>
      <c r="C107" s="10">
        <v>95.31</v>
      </c>
      <c r="D107" s="10">
        <v>65.06</v>
      </c>
      <c r="E107" s="7">
        <f>D107*22.0462262</f>
        <v>1434.327476572</v>
      </c>
      <c r="F107" s="10">
        <v>94.42</v>
      </c>
      <c r="G107" s="2" t="s">
        <v>299</v>
      </c>
    </row>
    <row r="108">
      <c r="A108" s="18">
        <v>43586</v>
      </c>
      <c r="B108" s="21" t="s">
        <v>43</v>
      </c>
      <c r="C108" s="10">
        <v>94.86</v>
      </c>
      <c r="D108" s="10">
        <v>62.45</v>
      </c>
      <c r="E108" s="7">
        <f>D108*22.0462262</f>
        <v>1376.78682619</v>
      </c>
      <c r="F108" s="10">
        <v>93.33</v>
      </c>
      <c r="G108" s="2" t="s">
        <v>300</v>
      </c>
    </row>
    <row r="109">
      <c r="A109" s="18">
        <v>43617</v>
      </c>
      <c r="B109" s="21" t="s">
        <v>43</v>
      </c>
      <c r="C109" s="10">
        <v>104.44</v>
      </c>
      <c r="D109" s="10">
        <v>65.41</v>
      </c>
      <c r="E109" s="7">
        <f>D109*22.0462262</f>
        <v>1442.0436557419998</v>
      </c>
      <c r="F109" s="10">
        <v>99.97</v>
      </c>
      <c r="G109" s="2" t="s">
        <v>300</v>
      </c>
    </row>
    <row r="110">
      <c r="A110" s="18">
        <v>43647</v>
      </c>
      <c r="B110" s="21" t="s">
        <v>43</v>
      </c>
      <c r="C110" s="10">
        <v>109.01</v>
      </c>
      <c r="D110" s="10">
        <v>64.83</v>
      </c>
      <c r="E110" s="7">
        <f>D110*22.0462262</f>
        <v>1429.256844546</v>
      </c>
      <c r="F110" s="10">
        <v>103.01</v>
      </c>
      <c r="G110" s="2" t="s">
        <v>300</v>
      </c>
    </row>
    <row r="111">
      <c r="A111" s="18">
        <v>43678</v>
      </c>
      <c r="B111" s="21" t="s">
        <v>43</v>
      </c>
      <c r="C111" s="10">
        <v>99.87</v>
      </c>
      <c r="D111" s="10">
        <v>60.9</v>
      </c>
      <c r="E111" s="7">
        <f>D111*22.0462262</f>
        <v>1342.61517558</v>
      </c>
      <c r="F111" s="10">
        <v>96.07</v>
      </c>
      <c r="G111" s="2" t="s">
        <v>300</v>
      </c>
    </row>
    <row r="112">
      <c r="A112" s="18">
        <v>43709</v>
      </c>
      <c r="B112" s="21" t="s">
        <v>43</v>
      </c>
      <c r="C112" s="10">
        <v>102.81</v>
      </c>
      <c r="D112" s="10">
        <v>60.31</v>
      </c>
      <c r="E112" s="7">
        <f>D112*22.0462262</f>
        <v>1329.607902122</v>
      </c>
      <c r="F112" s="10">
        <v>97.74</v>
      </c>
      <c r="G112" s="2" t="s">
        <v>300</v>
      </c>
    </row>
    <row r="113">
      <c r="A113" s="18">
        <v>43739</v>
      </c>
      <c r="B113" s="21" t="s">
        <v>44</v>
      </c>
      <c r="C113" s="10">
        <v>102.41</v>
      </c>
      <c r="D113" s="10">
        <v>58.34</v>
      </c>
      <c r="E113" s="7">
        <f>D113*22.0462262</f>
        <v>1286.176836508</v>
      </c>
      <c r="F113" s="10">
        <v>97.35</v>
      </c>
      <c r="G113" s="2" t="s">
        <v>300</v>
      </c>
    </row>
    <row r="114">
      <c r="A114" s="18">
        <v>43770</v>
      </c>
      <c r="B114" s="21" t="s">
        <v>44</v>
      </c>
      <c r="C114" s="10">
        <v>113.31</v>
      </c>
      <c r="D114" s="10">
        <v>63</v>
      </c>
      <c r="E114" s="7">
        <f>D114*22.0462262</f>
        <v>1388.9122505999999</v>
      </c>
      <c r="F114" s="10">
        <v>107.23</v>
      </c>
      <c r="G114" s="2" t="s">
        <v>300</v>
      </c>
    </row>
    <row r="115">
      <c r="A115" s="18">
        <v>43800</v>
      </c>
      <c r="B115" s="21" t="s">
        <v>44</v>
      </c>
      <c r="C115" s="10">
        <v>131.44</v>
      </c>
      <c r="D115" s="10">
        <v>63.87</v>
      </c>
      <c r="E115" s="7">
        <f>D115*22.0462262</f>
        <v>1408.0924673939999</v>
      </c>
      <c r="F115" s="10">
        <v>117.37</v>
      </c>
      <c r="G115" s="2" t="s">
        <v>300</v>
      </c>
    </row>
    <row r="116">
      <c r="A116" s="18">
        <v>43831</v>
      </c>
      <c r="B116" s="21" t="s">
        <v>44</v>
      </c>
      <c r="C116" s="10">
        <v>117.05</v>
      </c>
      <c r="D116" s="10">
        <v>61.03</v>
      </c>
      <c r="E116" s="7">
        <f>D116*22.0462262</f>
        <v>1345.481184986</v>
      </c>
      <c r="F116" s="10">
        <v>106.89</v>
      </c>
      <c r="G116" s="2" t="s">
        <v>300</v>
      </c>
    </row>
    <row r="117">
      <c r="A117" s="18">
        <v>43862</v>
      </c>
      <c r="B117" s="21" t="s">
        <v>44</v>
      </c>
      <c r="C117" s="10">
        <v>106.69</v>
      </c>
      <c r="D117" s="10">
        <v>59.02</v>
      </c>
      <c r="E117" s="7">
        <f>D117*22.0462262</f>
        <v>1301.168270324</v>
      </c>
      <c r="F117" s="10">
        <v>102</v>
      </c>
      <c r="G117" s="2" t="s">
        <v>300</v>
      </c>
    </row>
    <row r="118">
      <c r="A118" s="18">
        <v>43891</v>
      </c>
      <c r="B118" s="21" t="s">
        <v>44</v>
      </c>
      <c r="C118" s="10">
        <v>116.09</v>
      </c>
      <c r="D118" s="10">
        <v>57.39</v>
      </c>
      <c r="E118" s="7">
        <f>D118*22.0462262</f>
        <v>1265.232921618</v>
      </c>
      <c r="F118" s="10">
        <v>109.05</v>
      </c>
      <c r="G118" s="2" t="s">
        <v>301</v>
      </c>
    </row>
    <row r="119">
      <c r="A119" s="18">
        <v>43922</v>
      </c>
      <c r="B119" s="21" t="s">
        <v>44</v>
      </c>
      <c r="C119" s="10">
        <v>115.55</v>
      </c>
      <c r="D119" s="10">
        <v>54.4</v>
      </c>
      <c r="E119" s="7">
        <f>D119*22.0462262</f>
        <v>1199.31470528</v>
      </c>
      <c r="F119" s="10">
        <v>108.91</v>
      </c>
      <c r="G119" s="2" t="s">
        <v>301</v>
      </c>
    </row>
    <row r="120">
      <c r="A120" s="18">
        <v>43952</v>
      </c>
      <c r="B120" s="21" t="s">
        <v>44</v>
      </c>
      <c r="C120" s="10">
        <v>107.54</v>
      </c>
      <c r="D120" s="10">
        <v>54.67</v>
      </c>
      <c r="E120" s="7">
        <f>D120*22.0462262</f>
        <v>1205.267186354</v>
      </c>
      <c r="F120" s="10">
        <v>104.45</v>
      </c>
      <c r="G120" s="2" t="s">
        <v>301</v>
      </c>
    </row>
    <row r="121">
      <c r="A121" s="18">
        <v>43983</v>
      </c>
      <c r="B121" s="21" t="s">
        <v>44</v>
      </c>
      <c r="C121" s="10">
        <v>99.5</v>
      </c>
      <c r="D121" s="10">
        <v>54.77</v>
      </c>
      <c r="E121" s="7">
        <f>D121*22.0462262</f>
        <v>1207.471808974</v>
      </c>
      <c r="F121" s="10">
        <v>99.05</v>
      </c>
      <c r="G121" s="2" t="s">
        <v>301</v>
      </c>
    </row>
    <row r="122">
      <c r="A122" s="18">
        <v>44013</v>
      </c>
      <c r="B122" s="21" t="s">
        <v>44</v>
      </c>
      <c r="C122" s="10">
        <v>106.2</v>
      </c>
      <c r="D122" s="10">
        <v>57.92</v>
      </c>
      <c r="E122" s="7">
        <f>D122*22.0462262</f>
        <v>1276.917421504</v>
      </c>
      <c r="F122" s="10">
        <v>103.66</v>
      </c>
      <c r="G122" s="2" t="s">
        <v>302</v>
      </c>
    </row>
    <row r="123">
      <c r="A123" s="18">
        <v>44044</v>
      </c>
      <c r="B123" s="21" t="s">
        <v>44</v>
      </c>
      <c r="C123" s="10">
        <v>120.98</v>
      </c>
      <c r="D123" s="10">
        <v>62.89</v>
      </c>
      <c r="E123" s="7">
        <f>D123*22.0462262</f>
        <v>1386.487165718</v>
      </c>
      <c r="F123" s="10">
        <v>114.78</v>
      </c>
      <c r="G123" s="2" t="s">
        <v>303</v>
      </c>
    </row>
    <row r="124">
      <c r="A124" s="18">
        <v>44075</v>
      </c>
      <c r="B124" s="21" t="s">
        <v>44</v>
      </c>
      <c r="C124" s="10">
        <v>122.08</v>
      </c>
      <c r="D124" s="10">
        <v>63.35</v>
      </c>
      <c r="E124" s="7">
        <f>D124*22.0462262</f>
        <v>1396.62842977</v>
      </c>
      <c r="F124" s="10">
        <v>116.25</v>
      </c>
      <c r="G124" s="2" t="s">
        <v>304</v>
      </c>
    </row>
    <row r="125">
      <c r="A125" s="18">
        <v>44105</v>
      </c>
      <c r="B125" s="21" t="s">
        <v>45</v>
      </c>
      <c r="C125" s="10">
        <v>110.7</v>
      </c>
      <c r="D125" s="10">
        <v>59.14</v>
      </c>
      <c r="E125" s="7">
        <f>D125*22.0462262</f>
        <v>1303.813817468</v>
      </c>
      <c r="F125" s="10">
        <v>105.85</v>
      </c>
      <c r="G125" s="2" t="s">
        <v>305</v>
      </c>
    </row>
    <row r="126">
      <c r="A126" s="18">
        <v>44136</v>
      </c>
      <c r="B126" s="21" t="s">
        <v>45</v>
      </c>
      <c r="C126" s="10">
        <v>115.48</v>
      </c>
      <c r="D126" s="10">
        <v>62.82</v>
      </c>
      <c r="E126" s="7">
        <f>D126*22.0462262</f>
        <v>1384.943929884</v>
      </c>
      <c r="F126" s="10">
        <v>109.7</v>
      </c>
      <c r="G126" s="2" t="s">
        <v>305</v>
      </c>
    </row>
    <row r="127">
      <c r="A127" s="18">
        <v>44166</v>
      </c>
      <c r="B127" s="21" t="s">
        <v>45</v>
      </c>
      <c r="C127" s="10">
        <v>124.46</v>
      </c>
      <c r="D127" s="10">
        <v>62.41</v>
      </c>
      <c r="E127" s="7">
        <f>D127*22.0462262</f>
        <v>1375.904977142</v>
      </c>
      <c r="F127" s="10">
        <v>114.74</v>
      </c>
      <c r="G127" s="2" t="s">
        <v>305</v>
      </c>
    </row>
    <row r="128">
      <c r="A128" s="18">
        <v>44197</v>
      </c>
      <c r="B128" s="21" t="s">
        <v>45</v>
      </c>
      <c r="C128" s="10">
        <v>127.59</v>
      </c>
      <c r="D128" s="10">
        <v>60.54</v>
      </c>
      <c r="E128" s="7">
        <f>D128*22.0462262</f>
        <v>1334.678534148</v>
      </c>
      <c r="F128" s="10">
        <v>115.73</v>
      </c>
      <c r="G128" s="2" t="s">
        <v>305</v>
      </c>
    </row>
    <row r="129">
      <c r="A129" s="18">
        <v>44228</v>
      </c>
      <c r="B129" s="21" t="s">
        <v>45</v>
      </c>
      <c r="C129" s="10">
        <v>129.69</v>
      </c>
      <c r="D129" s="10">
        <v>63.07</v>
      </c>
      <c r="E129" s="7">
        <f>D129*22.0462262</f>
        <v>1390.455486434</v>
      </c>
      <c r="F129" s="10">
        <v>119.35</v>
      </c>
      <c r="G129" s="2" t="s">
        <v>305</v>
      </c>
    </row>
    <row r="130">
      <c r="A130" s="18">
        <v>44256</v>
      </c>
      <c r="B130" s="21" t="s">
        <v>45</v>
      </c>
      <c r="C130" s="10">
        <v>131.72</v>
      </c>
      <c r="D130" s="10">
        <v>63.9</v>
      </c>
      <c r="E130" s="7">
        <f>D130*22.0462262</f>
        <v>1408.75385418</v>
      </c>
      <c r="F130" s="10">
        <v>120.36</v>
      </c>
      <c r="G130" s="2" t="s">
        <v>305</v>
      </c>
    </row>
    <row r="131">
      <c r="A131" s="18">
        <v>44287</v>
      </c>
      <c r="B131" s="21" t="s">
        <v>45</v>
      </c>
      <c r="C131" s="10">
        <v>134.77</v>
      </c>
      <c r="D131" s="10">
        <v>63.76</v>
      </c>
      <c r="E131" s="7">
        <f>D131*22.0462262</f>
        <v>1405.667382512</v>
      </c>
      <c r="F131" s="10">
        <v>122.03</v>
      </c>
      <c r="G131" s="2" t="s">
        <v>305</v>
      </c>
    </row>
    <row r="132">
      <c r="A132" s="18">
        <v>44317</v>
      </c>
      <c r="B132" s="21" t="s">
        <v>45</v>
      </c>
      <c r="C132" s="10">
        <v>152.42</v>
      </c>
      <c r="D132" s="10">
        <v>69.15</v>
      </c>
      <c r="E132" s="7">
        <f>D132*22.0462262</f>
        <v>1524.49654173</v>
      </c>
      <c r="F132" s="10">
        <v>134.78</v>
      </c>
      <c r="G132" s="2" t="s">
        <v>305</v>
      </c>
    </row>
    <row r="133">
      <c r="A133" s="18">
        <v>44348</v>
      </c>
      <c r="B133" s="21" t="s">
        <v>45</v>
      </c>
      <c r="C133" s="10">
        <v>156.43</v>
      </c>
      <c r="D133" s="10">
        <v>73.16</v>
      </c>
      <c r="E133" s="7">
        <f>D133*22.0462262</f>
        <v>1612.9019087919999</v>
      </c>
      <c r="F133" s="10">
        <v>141.03</v>
      </c>
      <c r="G133" s="2" t="s">
        <v>305</v>
      </c>
    </row>
    <row r="134">
      <c r="A134" s="18">
        <v>44378</v>
      </c>
      <c r="B134" s="21" t="s">
        <v>45</v>
      </c>
      <c r="C134" s="10">
        <v>168.55</v>
      </c>
      <c r="D134" s="10">
        <v>81.17</v>
      </c>
      <c r="E134" s="7">
        <f>D134*22.0462262</f>
        <v>1789.492180654</v>
      </c>
      <c r="F134" s="10">
        <v>152.24</v>
      </c>
      <c r="G134" s="2" t="s">
        <v>305</v>
      </c>
    </row>
    <row r="135">
      <c r="A135" s="18">
        <v>44409</v>
      </c>
      <c r="B135" s="21" t="s">
        <v>45</v>
      </c>
      <c r="C135" s="10">
        <v>181.93</v>
      </c>
      <c r="D135" s="10">
        <v>84.72</v>
      </c>
      <c r="E135" s="7">
        <f>D135*22.0462262</f>
        <v>1867.756283664</v>
      </c>
      <c r="F135" s="10">
        <v>160.14</v>
      </c>
      <c r="G135" s="2" t="s">
        <v>305</v>
      </c>
    </row>
    <row r="136">
      <c r="A136" s="18">
        <v>44440</v>
      </c>
      <c r="B136" s="21" t="s">
        <v>45</v>
      </c>
      <c r="C136" s="10">
        <v>191.3</v>
      </c>
      <c r="D136" s="10">
        <v>94.91</v>
      </c>
      <c r="E136" s="7">
        <f>D136*22.0462262</f>
        <v>2092.407328642</v>
      </c>
      <c r="F136" s="10">
        <v>170.02</v>
      </c>
      <c r="G136" s="2" t="s">
        <v>305</v>
      </c>
    </row>
    <row r="137">
      <c r="A137" s="18">
        <v>44470</v>
      </c>
      <c r="B137" s="21" t="s">
        <v>46</v>
      </c>
      <c r="C137" s="10">
        <v>206.05</v>
      </c>
      <c r="D137" s="10">
        <v>96.36</v>
      </c>
      <c r="E137" s="7">
        <f>D137*22.0462262</f>
        <v>2124.374356632</v>
      </c>
      <c r="F137" s="10">
        <v>181.57</v>
      </c>
      <c r="G137" s="2" t="s">
        <v>306</v>
      </c>
    </row>
    <row r="138">
      <c r="A138" s="18">
        <v>44501</v>
      </c>
      <c r="B138" s="21" t="s">
        <v>46</v>
      </c>
      <c r="C138" s="10">
        <v>223.94</v>
      </c>
      <c r="D138" s="10">
        <v>100.3</v>
      </c>
      <c r="E138" s="7">
        <f>D138*22.0462262</f>
        <v>2211.2364878599997</v>
      </c>
      <c r="F138" s="10">
        <v>195.17</v>
      </c>
      <c r="G138" s="2" t="s">
        <v>306</v>
      </c>
    </row>
    <row r="139">
      <c r="A139" s="18">
        <v>44531</v>
      </c>
      <c r="B139" s="21" t="s">
        <v>46</v>
      </c>
      <c r="C139" s="10">
        <v>234.14</v>
      </c>
      <c r="D139" s="10">
        <v>104.14</v>
      </c>
      <c r="E139" s="7">
        <f>D139*22.0462262</f>
        <v>2295.893996468</v>
      </c>
      <c r="F139" s="10">
        <v>203.06</v>
      </c>
      <c r="G139" s="2" t="s">
        <v>306</v>
      </c>
    </row>
    <row r="140">
      <c r="A140" s="18">
        <v>44562</v>
      </c>
      <c r="B140" s="21" t="s">
        <v>46</v>
      </c>
      <c r="C140" s="10">
        <v>236.13</v>
      </c>
      <c r="D140" s="10">
        <v>101.06</v>
      </c>
      <c r="E140" s="7">
        <f>D140*22.0462262</f>
        <v>2227.991619772</v>
      </c>
      <c r="F140" s="10">
        <v>204.29</v>
      </c>
      <c r="G140" s="2" t="s">
        <v>306</v>
      </c>
    </row>
    <row r="141">
      <c r="A141" s="18">
        <v>44593</v>
      </c>
      <c r="B141" s="21" t="s">
        <v>46</v>
      </c>
      <c r="C141" s="10">
        <v>245.38</v>
      </c>
      <c r="D141" s="10">
        <v>100.58</v>
      </c>
      <c r="E141" s="7">
        <f>D141*22.0462262</f>
        <v>2217.409431196</v>
      </c>
      <c r="F141" s="10">
        <v>210.89</v>
      </c>
      <c r="G141" s="2" t="s">
        <v>306</v>
      </c>
    </row>
    <row r="142">
      <c r="A142" s="18">
        <v>44621</v>
      </c>
      <c r="B142" s="21" t="s">
        <v>46</v>
      </c>
      <c r="C142" s="10">
        <v>222.44</v>
      </c>
      <c r="D142" s="10">
        <v>95.21</v>
      </c>
      <c r="E142" s="7">
        <f>D142*22.0462262</f>
        <v>2099.021196502</v>
      </c>
      <c r="F142" s="10">
        <v>194.78</v>
      </c>
      <c r="G142" s="2" t="s">
        <v>306</v>
      </c>
    </row>
    <row r="143">
      <c r="A143" s="18">
        <v>44652</v>
      </c>
      <c r="B143" s="21" t="s">
        <v>46</v>
      </c>
      <c r="C143" s="10">
        <v>225.37</v>
      </c>
      <c r="D143" s="10">
        <v>95.07</v>
      </c>
      <c r="E143" s="7">
        <f>D143*22.0462262</f>
        <v>2095.934724834</v>
      </c>
      <c r="F143" s="10">
        <v>198.37</v>
      </c>
      <c r="G143" s="2" t="s">
        <v>306</v>
      </c>
    </row>
    <row r="144">
      <c r="A144" s="18">
        <v>44682</v>
      </c>
      <c r="B144" s="21" t="s">
        <v>46</v>
      </c>
      <c r="C144" s="10">
        <v>218.61</v>
      </c>
      <c r="D144" s="10">
        <v>94.31</v>
      </c>
      <c r="E144" s="7">
        <f>D144*22.0462262</f>
        <v>2079.179592922</v>
      </c>
      <c r="F144" s="10">
        <v>193.71</v>
      </c>
      <c r="G144" s="2" t="s">
        <v>306</v>
      </c>
    </row>
    <row r="145">
      <c r="A145" s="18">
        <v>44713</v>
      </c>
      <c r="B145" s="21" t="s">
        <v>46</v>
      </c>
      <c r="C145" s="10">
        <v>229.38</v>
      </c>
      <c r="D145" s="10">
        <v>94.48</v>
      </c>
      <c r="E145" s="7">
        <f>D145*22.0462262</f>
        <v>2082.927451376</v>
      </c>
      <c r="F145" s="10">
        <v>202.46</v>
      </c>
      <c r="G145" s="2" t="s">
        <v>306</v>
      </c>
    </row>
    <row r="146">
      <c r="A146" s="18">
        <v>44743</v>
      </c>
      <c r="B146" s="21" t="s">
        <v>46</v>
      </c>
      <c r="C146" s="10">
        <v>210.84</v>
      </c>
      <c r="D146" s="10">
        <v>89.6</v>
      </c>
      <c r="E146" s="7">
        <f>D146*22.0462262</f>
        <v>1975.3418675199998</v>
      </c>
      <c r="F146" s="10">
        <v>190.82</v>
      </c>
      <c r="G146" s="2" t="s">
        <v>306</v>
      </c>
    </row>
    <row r="147">
      <c r="A147" s="18">
        <v>44774</v>
      </c>
      <c r="B147" s="21" t="s">
        <v>46</v>
      </c>
      <c r="C147" s="10">
        <v>218.53</v>
      </c>
      <c r="D147" s="10">
        <v>98.75</v>
      </c>
      <c r="E147" s="7">
        <f>D147*22.0462262</f>
        <v>2177.06483725</v>
      </c>
      <c r="F147" s="10">
        <v>200.11</v>
      </c>
      <c r="G147" s="2" t="s">
        <v>307</v>
      </c>
    </row>
    <row r="148">
      <c r="A148" s="18">
        <v>44805</v>
      </c>
      <c r="B148" s="21" t="s">
        <v>46</v>
      </c>
      <c r="C148" s="10">
        <v>218.24</v>
      </c>
      <c r="D148" s="10">
        <v>100.49</v>
      </c>
      <c r="E148" s="7">
        <f>D148*22.0462262</f>
        <v>2215.425270838</v>
      </c>
      <c r="F148" s="10">
        <v>199.63</v>
      </c>
      <c r="G148" s="2" t="s">
        <v>307</v>
      </c>
    </row>
    <row r="149">
      <c r="A149" s="18">
        <v>44835</v>
      </c>
      <c r="B149" s="21" t="s">
        <v>47</v>
      </c>
      <c r="C149" s="10">
        <v>191.72</v>
      </c>
      <c r="D149" s="10">
        <v>92.16</v>
      </c>
      <c r="E149" s="7">
        <f>D149*22.0462262</f>
        <v>2031.7802065919998</v>
      </c>
      <c r="F149" s="10">
        <v>178.54</v>
      </c>
      <c r="G149" s="2" t="s">
        <v>307</v>
      </c>
    </row>
    <row r="150">
      <c r="A150" s="18">
        <v>44866</v>
      </c>
      <c r="B150" s="21" t="s">
        <v>47</v>
      </c>
      <c r="C150" s="10">
        <v>164.8</v>
      </c>
      <c r="D150" s="10">
        <v>82.67</v>
      </c>
      <c r="E150" s="7">
        <f>D150*22.0462262</f>
        <v>1822.561519954</v>
      </c>
      <c r="F150" s="10">
        <v>156.66</v>
      </c>
      <c r="G150" s="2" t="s">
        <v>307</v>
      </c>
    </row>
    <row r="151">
      <c r="A151" s="18">
        <v>44896</v>
      </c>
      <c r="B151" s="21" t="s">
        <v>47</v>
      </c>
      <c r="C151" s="10">
        <v>166.21</v>
      </c>
      <c r="D151" s="10">
        <v>83.95</v>
      </c>
      <c r="E151" s="7">
        <f>D151*22.0462262</f>
        <v>1850.78068949</v>
      </c>
      <c r="F151" s="10">
        <v>157.19</v>
      </c>
      <c r="G151" s="2" t="s">
        <v>308</v>
      </c>
    </row>
    <row r="152">
      <c r="A152" s="18">
        <v>44927</v>
      </c>
      <c r="B152" s="21" t="s">
        <v>47</v>
      </c>
      <c r="C152" s="10">
        <v>159.8</v>
      </c>
      <c r="D152" s="10">
        <v>85.82</v>
      </c>
      <c r="E152" s="7">
        <f>D152*22.0462262</f>
        <v>1892.0071324839998</v>
      </c>
      <c r="F152" s="10">
        <v>156.95</v>
      </c>
      <c r="G152" s="2" t="s">
        <v>308</v>
      </c>
    </row>
    <row r="153">
      <c r="A153" s="18">
        <v>44958</v>
      </c>
      <c r="B153" s="21" t="s">
        <v>47</v>
      </c>
      <c r="C153" s="10">
        <v>180.93</v>
      </c>
      <c r="D153" s="10">
        <v>94.26</v>
      </c>
      <c r="E153" s="7">
        <f>D153*22.0462262</f>
        <v>2078.077281612</v>
      </c>
      <c r="F153" s="10">
        <v>174.77</v>
      </c>
      <c r="G153" s="2" t="s">
        <v>308</v>
      </c>
    </row>
    <row r="154">
      <c r="A154" s="18">
        <v>44986</v>
      </c>
      <c r="B154" s="21" t="s">
        <v>47</v>
      </c>
      <c r="C154" s="10">
        <v>176.17</v>
      </c>
      <c r="D154" s="10">
        <v>96.6</v>
      </c>
      <c r="E154" s="7">
        <f>D154*22.0462262</f>
        <v>2129.66545092</v>
      </c>
      <c r="F154" s="10">
        <v>170.03</v>
      </c>
      <c r="G154" s="2" t="s">
        <v>309</v>
      </c>
    </row>
    <row r="155">
      <c r="A155" s="18">
        <v>45017</v>
      </c>
      <c r="B155" s="21" t="s">
        <v>47</v>
      </c>
      <c r="C155" s="10">
        <v>187.3</v>
      </c>
      <c r="D155" s="10">
        <v>105.43</v>
      </c>
      <c r="E155" s="7">
        <f>D155*22.0462262</f>
        <v>2324.3336282660002</v>
      </c>
      <c r="F155" s="10">
        <v>178.57</v>
      </c>
      <c r="G155" s="2" t="s">
        <v>309</v>
      </c>
    </row>
    <row r="156">
      <c r="A156" s="18">
        <v>45047</v>
      </c>
      <c r="B156" s="21" t="s">
        <v>47</v>
      </c>
      <c r="C156" s="10">
        <v>183.13</v>
      </c>
      <c r="D156" s="10">
        <v>112.56</v>
      </c>
      <c r="E156" s="7">
        <f>D156*22.0462262</f>
        <v>2481.523221072</v>
      </c>
      <c r="F156" s="10">
        <v>175.48</v>
      </c>
      <c r="G156" s="2" t="s">
        <v>309</v>
      </c>
    </row>
    <row r="157">
      <c r="A157" s="18">
        <v>45078</v>
      </c>
      <c r="B157" s="21" t="s">
        <v>47</v>
      </c>
      <c r="C157" s="10">
        <v>174.54</v>
      </c>
      <c r="D157" s="10">
        <v>119.23</v>
      </c>
      <c r="E157" s="7">
        <f>D157*22.0462262</f>
        <v>2628.571549826</v>
      </c>
      <c r="F157" s="10">
        <v>171.25</v>
      </c>
      <c r="G157" s="2" t="s">
        <v>309</v>
      </c>
    </row>
    <row r="158">
      <c r="A158" s="18">
        <v>45108</v>
      </c>
      <c r="B158" s="21" t="s">
        <v>47</v>
      </c>
      <c r="C158" s="10">
        <v>159.57</v>
      </c>
      <c r="D158" s="10">
        <v>113.62</v>
      </c>
      <c r="E158" s="7">
        <f>D158*22.0462262</f>
        <v>2504.892220844</v>
      </c>
      <c r="F158" s="10">
        <v>158.88</v>
      </c>
      <c r="G158" s="2" t="s">
        <v>310</v>
      </c>
    </row>
    <row r="159">
      <c r="A159" s="18">
        <v>45139</v>
      </c>
      <c r="B159" s="21" t="s">
        <v>47</v>
      </c>
      <c r="C159" s="10">
        <v>156.56</v>
      </c>
      <c r="D159" s="10">
        <v>111.34</v>
      </c>
      <c r="E159" s="7">
        <f>D159*22.0462262</f>
        <v>2454.626825108</v>
      </c>
      <c r="F159" s="10">
        <v>154.53</v>
      </c>
      <c r="G159" s="2" t="s">
        <v>310</v>
      </c>
    </row>
    <row r="160">
      <c r="A160" s="18">
        <v>45170</v>
      </c>
      <c r="B160" s="21" t="s">
        <v>47</v>
      </c>
      <c r="C160" s="10">
        <v>153.55</v>
      </c>
      <c r="D160" s="10">
        <v>109.14</v>
      </c>
      <c r="E160" s="7">
        <f>D160*22.0462262</f>
        <v>2406.125127468</v>
      </c>
      <c r="F160" s="10">
        <v>153.13</v>
      </c>
      <c r="G160" s="2" t="s">
        <v>310</v>
      </c>
    </row>
    <row r="161">
      <c r="A161" s="18">
        <v>45200</v>
      </c>
      <c r="B161" s="21" t="s">
        <v>48</v>
      </c>
      <c r="C161" s="10">
        <v>155.91</v>
      </c>
      <c r="D161" s="10">
        <v>105.4</v>
      </c>
      <c r="E161" s="7">
        <f>D161*22.0462262</f>
        <v>2323.67224148</v>
      </c>
      <c r="F161" s="10">
        <v>151.94</v>
      </c>
      <c r="G161" s="2" t="s">
        <v>310</v>
      </c>
    </row>
    <row r="162">
      <c r="A162" s="18">
        <v>45231</v>
      </c>
      <c r="B162" s="21" t="s">
        <v>48</v>
      </c>
      <c r="C162" s="10">
        <v>170.25</v>
      </c>
      <c r="D162" s="10">
        <v>110.45</v>
      </c>
      <c r="E162" s="7">
        <f>D162*22.0462262</f>
        <v>2435.00568379</v>
      </c>
      <c r="F162" s="10">
        <v>161.53</v>
      </c>
      <c r="G162" s="2" t="s">
        <v>310</v>
      </c>
    </row>
    <row r="163">
      <c r="A163" s="18">
        <v>45261</v>
      </c>
      <c r="B163" s="21" t="s">
        <v>48</v>
      </c>
      <c r="C163" s="10">
        <v>186.67</v>
      </c>
      <c r="D163" s="10">
        <v>123.91</v>
      </c>
      <c r="E163" s="7">
        <f>D163*22.0462262</f>
        <v>2731.7478884419997</v>
      </c>
      <c r="F163" s="10">
        <v>175.73</v>
      </c>
      <c r="G163" s="2" t="s">
        <v>310</v>
      </c>
    </row>
    <row r="164">
      <c r="A164" s="18">
        <v>45292</v>
      </c>
      <c r="B164" s="21" t="s">
        <v>48</v>
      </c>
      <c r="C164" s="10">
        <v>183.06</v>
      </c>
      <c r="D164" s="10">
        <v>135.84</v>
      </c>
      <c r="E164" s="7">
        <f>D164*22.0462262</f>
        <v>2994.759367008</v>
      </c>
      <c r="F164" s="10">
        <v>176.41</v>
      </c>
      <c r="G164" s="2" t="s">
        <v>310</v>
      </c>
    </row>
    <row r="165">
      <c r="A165" s="18">
        <v>45323</v>
      </c>
      <c r="B165" s="21" t="s">
        <v>48</v>
      </c>
      <c r="C165" s="10">
        <v>185.37</v>
      </c>
      <c r="D165" s="10">
        <v>142.43</v>
      </c>
      <c r="E165" s="7">
        <f>D165*22.0462262</f>
        <v>3140.043997666</v>
      </c>
      <c r="F165" s="10">
        <v>182.04</v>
      </c>
      <c r="G165" s="2" t="s">
        <v>310</v>
      </c>
    </row>
    <row r="166">
      <c r="A166" s="18">
        <v>45352</v>
      </c>
      <c r="B166" s="21" t="s">
        <v>48</v>
      </c>
      <c r="C166" s="10">
        <v>184.59</v>
      </c>
      <c r="D166" s="10">
        <v>148.53</v>
      </c>
      <c r="E166" s="7">
        <f>D166*22.0462262</f>
        <v>3274.525977486</v>
      </c>
      <c r="F166" s="10">
        <v>186.38</v>
      </c>
      <c r="G166" s="2" t="s">
        <v>310</v>
      </c>
    </row>
    <row r="167">
      <c r="A167" s="18">
        <v>45383</v>
      </c>
      <c r="B167" s="21" t="s">
        <v>48</v>
      </c>
      <c r="C167" s="10">
        <v>217.97</v>
      </c>
      <c r="D167" s="10">
        <v>176.04</v>
      </c>
      <c r="E167" s="7">
        <f>D167*22.0462262</f>
        <v>3881.0176602479996</v>
      </c>
      <c r="F167" s="10">
        <v>216.89</v>
      </c>
      <c r="G167" s="2" t="s">
        <v>310</v>
      </c>
    </row>
    <row r="168">
      <c r="A168" s="18">
        <v>45413</v>
      </c>
      <c r="B168" s="21" t="s">
        <v>48</v>
      </c>
      <c r="C168" s="10">
        <v>208.86</v>
      </c>
      <c r="D168" s="10">
        <v>165.11</v>
      </c>
      <c r="E168" s="7">
        <f>D168*22.0462262</f>
        <v>3640.0524078820004</v>
      </c>
      <c r="F168" s="10">
        <v>208.38</v>
      </c>
      <c r="G168" s="2" t="s">
        <v>310</v>
      </c>
    </row>
    <row r="169">
      <c r="A169" s="18">
        <v>45444</v>
      </c>
      <c r="B169" s="21" t="s">
        <v>48</v>
      </c>
      <c r="C169" s="10">
        <v>226.47</v>
      </c>
      <c r="D169" s="10">
        <v>182.82</v>
      </c>
      <c r="E169" s="7">
        <f>D169*22.0462262</f>
        <v>4030.491073884</v>
      </c>
      <c r="F169" s="10">
        <v>226.83</v>
      </c>
      <c r="G169" s="2" t="s">
        <v>311</v>
      </c>
    </row>
    <row r="170">
      <c r="A170" s="18">
        <v>45474</v>
      </c>
      <c r="B170" s="21" t="s">
        <v>48</v>
      </c>
      <c r="C170" s="10">
        <v>235.15</v>
      </c>
      <c r="D170" s="10">
        <v>193.93</v>
      </c>
      <c r="E170" s="7">
        <f>D170*22.0462262</f>
        <v>4275.424646966</v>
      </c>
      <c r="F170" s="10">
        <v>236.54</v>
      </c>
      <c r="G170" s="2" t="s">
        <v>312</v>
      </c>
    </row>
    <row r="171">
      <c r="A171" s="18">
        <v>45505</v>
      </c>
      <c r="B171" s="21" t="s">
        <v>48</v>
      </c>
      <c r="C171" s="10">
        <v>239.29</v>
      </c>
      <c r="D171" s="10">
        <v>197.81</v>
      </c>
      <c r="E171" s="7">
        <f>D171*22.0462262</f>
        <v>4360.964004622</v>
      </c>
      <c r="F171" s="10">
        <v>238.89</v>
      </c>
      <c r="G171" s="2" t="s">
        <v>313</v>
      </c>
    </row>
    <row r="172">
      <c r="A172" s="18">
        <v>45536</v>
      </c>
      <c r="B172" s="21" t="s">
        <v>48</v>
      </c>
      <c r="C172" s="10">
        <v>254.43</v>
      </c>
      <c r="D172" s="10">
        <v>225.13</v>
      </c>
      <c r="E172" s="7">
        <f>D172*22.0462262</f>
        <v>4963.266904405999</v>
      </c>
      <c r="F172" s="10">
        <v>258.84</v>
      </c>
      <c r="G172" s="2" t="s">
        <v>314</v>
      </c>
    </row>
    <row r="173">
      <c r="A173" s="18">
        <v>45566</v>
      </c>
      <c r="B173" s="21" t="s">
        <v>49</v>
      </c>
      <c r="C173" s="10">
        <v>250.62</v>
      </c>
      <c r="D173" s="10">
        <v>207.11</v>
      </c>
      <c r="E173" s="7">
        <f>D173*22.0462262</f>
        <v>4565.993908282</v>
      </c>
      <c r="F173" s="10">
        <v>250.56</v>
      </c>
      <c r="G173" s="2" t="s">
        <v>315</v>
      </c>
    </row>
    <row r="174">
      <c r="A174" s="18">
        <v>45597</v>
      </c>
      <c r="B174" s="21" t="s">
        <v>49</v>
      </c>
      <c r="C174" s="10">
        <v>277.04</v>
      </c>
      <c r="D174" s="10">
        <v>214.43</v>
      </c>
      <c r="E174" s="7">
        <f>D174*22.0462262</f>
        <v>4727.372284066</v>
      </c>
      <c r="F174" s="10">
        <v>270.72</v>
      </c>
      <c r="G174" s="2" t="s">
        <v>315</v>
      </c>
    </row>
    <row r="175">
      <c r="A175" s="18">
        <v>45627</v>
      </c>
      <c r="B175" s="21" t="s">
        <v>49</v>
      </c>
      <c r="C175" s="10">
        <v>317</v>
      </c>
      <c r="D175" s="10">
        <v>226.28</v>
      </c>
      <c r="E175" s="7">
        <f>D175*22.0462262</f>
        <v>4988.6200645359995</v>
      </c>
      <c r="F175" s="10">
        <v>299.61</v>
      </c>
      <c r="G175" s="2" t="s">
        <v>315</v>
      </c>
    </row>
    <row r="176">
      <c r="A176" s="18">
        <v>45658</v>
      </c>
      <c r="B176" s="21" t="s">
        <v>49</v>
      </c>
      <c r="C176" s="10">
        <v>328.94</v>
      </c>
      <c r="D176" s="10">
        <v>234.33</v>
      </c>
      <c r="E176" s="7">
        <f>D176*22.0462262</f>
        <v>5166.092185446</v>
      </c>
      <c r="F176" s="10">
        <v>310.12</v>
      </c>
      <c r="G176" s="2" t="s">
        <v>315</v>
      </c>
    </row>
    <row r="177">
      <c r="A177" s="18">
        <v>45689</v>
      </c>
      <c r="B177" s="21" t="s">
        <v>49</v>
      </c>
      <c r="C177" s="10">
        <v>388.18</v>
      </c>
      <c r="D177" s="10">
        <v>253.48</v>
      </c>
      <c r="E177" s="7">
        <f>D177*22.0462262</f>
        <v>5588.277417175999</v>
      </c>
      <c r="F177" s="10">
        <v>354.32</v>
      </c>
      <c r="G177" s="2" t="s">
        <v>315</v>
      </c>
    </row>
    <row r="178">
      <c r="A178" s="18">
        <v>45717</v>
      </c>
      <c r="B178" s="21" t="s">
        <v>49</v>
      </c>
      <c r="C178" s="10">
        <v>382.75</v>
      </c>
      <c r="D178" s="10">
        <v>247.63</v>
      </c>
      <c r="E178" s="7">
        <f>D178*22.0462262</f>
        <v>5459.306993906</v>
      </c>
      <c r="F178" s="10">
        <v>347.85</v>
      </c>
      <c r="G178" s="2" t="s">
        <v>315</v>
      </c>
    </row>
    <row r="179">
      <c r="A179" s="18">
        <v>45748</v>
      </c>
      <c r="B179" s="21" t="s">
        <v>49</v>
      </c>
      <c r="C179" s="10">
        <v>370.37</v>
      </c>
      <c r="D179" s="10">
        <v>235.69</v>
      </c>
      <c r="E179" s="7">
        <f>D179*22.0462262</f>
        <v>5196.075053078</v>
      </c>
      <c r="F179" s="10">
        <v>335.76</v>
      </c>
      <c r="G179" s="2" t="s">
        <v>315</v>
      </c>
    </row>
    <row r="180">
      <c r="A180" s="18">
        <v>45778</v>
      </c>
      <c r="B180" s="21" t="s">
        <v>49</v>
      </c>
      <c r="C180" s="10">
        <v>368.21</v>
      </c>
      <c r="D180" s="10">
        <v>224.63</v>
      </c>
      <c r="E180" s="7">
        <f>D180*22.0462262</f>
        <v>4952.243791305999</v>
      </c>
      <c r="F180" s="10">
        <v>334.41</v>
      </c>
      <c r="G180" s="2" t="s">
        <v>315</v>
      </c>
    </row>
    <row r="181">
      <c r="A181" s="18">
        <v>45809</v>
      </c>
      <c r="B181" s="21" t="s">
        <v>49</v>
      </c>
      <c r="C181" s="10">
        <v>329.56</v>
      </c>
      <c r="D181" s="10">
        <v>183.21</v>
      </c>
      <c r="E181" s="7">
        <f>D181*22.0462262</f>
        <v>4039.089102102</v>
      </c>
      <c r="F181" s="10">
        <v>295.06</v>
      </c>
      <c r="G181" s="2" t="s">
        <v>315</v>
      </c>
    </row>
    <row r="182">
      <c r="A182" s="18">
        <v>45839</v>
      </c>
      <c r="B182" s="21" t="s">
        <v>49</v>
      </c>
      <c r="C182" s="10">
        <v>289.17</v>
      </c>
      <c r="D182" s="10">
        <v>153.43</v>
      </c>
      <c r="E182" s="7">
        <f>D182*22.0462262</f>
        <v>3382.552485866</v>
      </c>
      <c r="F182" s="10">
        <v>259.31</v>
      </c>
      <c r="G182" s="2" t="s">
        <v>315</v>
      </c>
    </row>
    <row r="183">
      <c r="A183" s="18">
        <v>45870</v>
      </c>
      <c r="B183" s="21" t="s">
        <v>49</v>
      </c>
      <c r="C183" s="10">
        <v>328.57</v>
      </c>
      <c r="D183" s="10">
        <v>181.43</v>
      </c>
      <c r="E183" s="7">
        <f>D183*22.0462262</f>
        <v>3999.846819466</v>
      </c>
      <c r="F183" s="10">
        <v>297.05</v>
      </c>
      <c r="G183" s="2" t="s">
        <v>315</v>
      </c>
    </row>
    <row r="184">
      <c r="A184" s="18">
        <v>45901</v>
      </c>
      <c r="B184" s="21" t="s">
        <v>49</v>
      </c>
      <c r="C184" s="10">
        <v>366.31</v>
      </c>
      <c r="D184" s="10">
        <v>197.56</v>
      </c>
      <c r="E184" s="7">
        <f>D184*22.0462262</f>
        <v>4355.452448072</v>
      </c>
      <c r="F184" s="10">
        <v>324.62</v>
      </c>
      <c r="G184" s="2" t="s">
        <v>316</v>
      </c>
    </row>
    <row r="185">
      <c r="A185" s="18">
        <v>45931</v>
      </c>
      <c r="B185" s="21" t="s">
        <v>50</v>
      </c>
      <c r="C185" s="10">
        <v>366</v>
      </c>
      <c r="D185" s="10">
        <v>202.16</v>
      </c>
      <c r="E185" s="7">
        <f>D185*22.0462262</f>
        <v>4456.865088592</v>
      </c>
      <c r="F185" s="10">
        <v>326.38</v>
      </c>
      <c r="G185" s="2" t="s">
        <v>316</v>
      </c>
    </row>
    <row r="186">
      <c r="A186" s="18">
        <v>45962</v>
      </c>
      <c r="B186" s="21" t="s">
        <v>50</v>
      </c>
      <c r="C186" s="10">
        <v>373.57</v>
      </c>
      <c r="D186" s="10">
        <v>202.33</v>
      </c>
      <c r="E186" s="7">
        <f>D186*22.0462262</f>
        <v>4460.612947046</v>
      </c>
      <c r="F186" s="10">
        <v>330.44</v>
      </c>
      <c r="G186" s="2" t="s">
        <v>316</v>
      </c>
    </row>
    <row r="187">
      <c r="A187" s="18">
        <v>45992</v>
      </c>
      <c r="B187" s="21" t="s">
        <v>50</v>
      </c>
      <c r="C187" s="10">
        <v>347.71</v>
      </c>
      <c r="D187" s="10">
        <v>178.87</v>
      </c>
      <c r="E187" s="7">
        <f>D187*22.0462262</f>
        <v>3943.408480394</v>
      </c>
      <c r="F187" s="10">
        <v>304.68</v>
      </c>
      <c r="G187" s="2" t="s">
        <v>316</v>
      </c>
    </row>
    <row r="188">
      <c r="A188" s="18">
        <v>46023</v>
      </c>
      <c r="B188" s="21" t="s">
        <v>50</v>
      </c>
      <c r="C188" s="10">
        <v>334.99</v>
      </c>
      <c r="D188" s="10">
        <v>180.23</v>
      </c>
      <c r="E188" s="7">
        <f>D188*22.0462262</f>
        <v>3973.391348026</v>
      </c>
      <c r="F188" s="10">
        <v>296.89</v>
      </c>
      <c r="G188" s="2" t="s">
        <v>316</v>
      </c>
    </row>
    <row r="189">
      <c r="A189" s="18">
        <v>46054</v>
      </c>
      <c r="B189" s="21" t="s">
        <v>50</v>
      </c>
      <c r="C189" s="10">
        <v>288.76</v>
      </c>
      <c r="D189" s="10">
        <v>166.06</v>
      </c>
      <c r="E189" s="7">
        <f>D189*22.0462262</f>
        <v>3660.996322772</v>
      </c>
      <c r="F189" s="10">
        <v>267.57</v>
      </c>
      <c r="G189" s="2" t="s">
        <v>316</v>
      </c>
    </row>
    <row r="190">
      <c r="A190" s="18">
        <v>46082</v>
      </c>
      <c r="B190" s="21" t="s">
        <v>50</v>
      </c>
      <c r="C190" s="10">
        <v>290.18</v>
      </c>
      <c r="D190" s="10">
        <v>161.91</v>
      </c>
      <c r="E190" s="7">
        <f>D190*22.0462262</f>
        <v>3569.504484042</v>
      </c>
      <c r="F190" s="10">
        <v>273.7</v>
      </c>
      <c r="G190" s="2" t="s">
        <v>316</v>
      </c>
    </row>
    <row r="191">
      <c r="A191" s="18">
        <v>46113</v>
      </c>
      <c r="B191" s="21" t="s">
        <v>50</v>
      </c>
      <c r="C191" s="10">
        <v>284.63</v>
      </c>
      <c r="D191" s="10">
        <v>150.65</v>
      </c>
      <c r="E191" s="7">
        <f>D191*22.0462262</f>
        <v>3321.26397703</v>
      </c>
      <c r="F191" s="10">
        <v>266.24</v>
      </c>
      <c r="G191" s="2" t="s">
        <v>316</v>
      </c>
    </row>
    <row r="192">
      <c r="A192" s="18">
        <v>46143</v>
      </c>
      <c r="B192" s="21" t="s">
        <v>50</v>
      </c>
      <c r="C192" s="10">
        <v>268.18</v>
      </c>
      <c r="D192" s="10">
        <v>151.79</v>
      </c>
      <c r="E192" s="7">
        <f>D192*22.0462262</f>
        <v>3346.3966748979997</v>
      </c>
      <c r="F192" s="10">
        <v>256.05</v>
      </c>
      <c r="G192" s="2" t="s">
        <v>316</v>
      </c>
    </row>
    <row r="193">
      <c r="A193" s="18">
        <v>46174</v>
      </c>
      <c r="B193" s="21" t="s">
        <v>50</v>
      </c>
      <c r="C193" s="10">
        <v>256.75</v>
      </c>
      <c r="D193" s="10">
        <v>155.9</v>
      </c>
      <c r="E193" s="7">
        <f>D193*22.0462262</f>
        <v>3437.0066645800002</v>
      </c>
      <c r="F193" s="10">
        <v>248.9</v>
      </c>
      <c r="G193" s="2" t="s">
        <v>316</v>
      </c>
    </row>
    <row r="194">
      <c r="A194" s="18">
        <v>46204</v>
      </c>
      <c r="B194" s="21" t="s">
        <v>50</v>
      </c>
      <c r="C194" s="10">
        <v>310.34</v>
      </c>
      <c r="D194" s="10">
        <v>172.73</v>
      </c>
      <c r="E194" s="7">
        <f>D194*22.0462262</f>
        <v>3808.0446515259996</v>
      </c>
      <c r="F194" s="10">
        <v>287.26</v>
      </c>
      <c r="G194" s="2" t="s">
        <v>316</v>
      </c>
    </row>
    <row r="195">
      <c r="A195" s="18">
        <v>46235</v>
      </c>
      <c r="B195" s="21" t="s">
        <v>50</v>
      </c>
      <c r="C195" s="10">
        <v>313.2</v>
      </c>
      <c r="D195" s="10">
        <v>167.63</v>
      </c>
      <c r="E195" s="7">
        <f>D195*22.0462262</f>
        <v>3695.608897906</v>
      </c>
      <c r="F195" s="10">
        <v>287.29</v>
      </c>
      <c r="G195" s="2" t="s">
        <v>316</v>
      </c>
    </row>
  </sheetData>
  <pageMargins left="0.5" right="0.5" top="0.75" bottom="0.75" header="0.3" footer="0.3"/>
  <pageSetup orientation="landscape"/>
</worksheet>
</file>

<file path=xl/worksheets/sheet11.xml><?xml version="1.0" encoding="utf-8"?>
<worksheet xmlns="http://schemas.openxmlformats.org/spreadsheetml/2006/main" xmlns:r="http://schemas.openxmlformats.org/officeDocument/2006/relationships">
  <sheetPr>
    <tabColor rgb="FF7F7F7F"/>
  </sheetPr>
  <dimension ref="A1:S1001"/>
  <sheetViews>
    <sheetView workbookViewId="0">
      <pane xSplit="2" ySplit="4" topLeftCell="C5" activePane="bottomRight" state="frozen"/>
      <selection pane="bottomRight" activeCell="C5" sqref="C5"/>
    </sheetView>
  </sheetViews>
  <sheetFormatPr defaultRowHeight="12.75"/>
  <cols>
    <col min="1" max="1" width="26" customWidth="1"/>
    <col min="2" max="2" width="11" customWidth="1"/>
    <col min="3" max="3" width="9.5" customWidth="1"/>
    <col min="4" max="4" width="9.5" customWidth="1"/>
    <col min="5" max="5" width="9.5" customWidth="1"/>
    <col min="6" max="6" width="9.5" customWidth="1"/>
    <col min="7" max="7" width="9.5" customWidth="1"/>
    <col min="8" max="8" width="9.5" customWidth="1"/>
    <col min="9" max="9" width="9.5" customWidth="1"/>
    <col min="10" max="10" width="9.5" customWidth="1"/>
    <col min="11" max="11" width="9.5" customWidth="1"/>
    <col min="12" max="12" width="9.5" customWidth="1"/>
    <col min="13" max="13" width="9.5" customWidth="1"/>
    <col min="14" max="14" width="9.5" customWidth="1"/>
    <col min="15" max="15" width="9.5" customWidth="1"/>
    <col min="16" max="16" width="9.5" customWidth="1"/>
    <col min="17" max="17" width="9.5" customWidth="1"/>
    <col min="18" max="18" width="9.5" customWidth="1"/>
    <col min="19" max="19" width="9.5" customWidth="1"/>
  </cols>
  <sheetData>
    <row r="1">
      <c r="A1" s="1" t="s">
        <v>317</v>
      </c>
    </row>
    <row r="2">
      <c r="A2" s="2" t="s">
        <v>318</v>
      </c>
    </row>
    <row r="3">
      <c r="A3" s="2" t="s">
        <v>319</v>
      </c>
    </row>
    <row r="5">
      <c r="A5" s="4" t="s">
        <v>214</v>
      </c>
      <c r="B5" s="3" t="s">
        <v>320</v>
      </c>
      <c r="C5" s="3" t="s">
        <v>35</v>
      </c>
      <c r="D5" s="3" t="s">
        <v>36</v>
      </c>
      <c r="E5" s="3" t="s">
        <v>37</v>
      </c>
      <c r="F5" s="3" t="s">
        <v>38</v>
      </c>
      <c r="G5" s="3" t="s">
        <v>39</v>
      </c>
      <c r="H5" s="3" t="s">
        <v>40</v>
      </c>
      <c r="I5" s="3" t="s">
        <v>41</v>
      </c>
      <c r="J5" s="3" t="s">
        <v>42</v>
      </c>
      <c r="K5" s="3" t="s">
        <v>43</v>
      </c>
      <c r="L5" s="3" t="s">
        <v>44</v>
      </c>
      <c r="M5" s="3" t="s">
        <v>45</v>
      </c>
      <c r="N5" s="3" t="s">
        <v>46</v>
      </c>
      <c r="O5" s="3" t="s">
        <v>47</v>
      </c>
      <c r="P5" s="3" t="s">
        <v>48</v>
      </c>
      <c r="Q5" s="3" t="s">
        <v>49</v>
      </c>
      <c r="R5" s="3" t="s">
        <v>50</v>
      </c>
      <c r="S5" s="3" t="s">
        <v>110</v>
      </c>
    </row>
    <row r="6">
      <c r="A6" s="16" t="s">
        <v>321</v>
      </c>
      <c r="B6" s="2" t="s">
        <v>322</v>
      </c>
      <c r="C6" s="7">
        <v>54500</v>
      </c>
      <c r="D6" s="7">
        <v>49200</v>
      </c>
      <c r="E6" s="7">
        <v>57600</v>
      </c>
      <c r="F6" s="7">
        <v>57200</v>
      </c>
      <c r="G6" s="7">
        <v>54300</v>
      </c>
      <c r="H6" s="7">
        <v>49400</v>
      </c>
      <c r="I6" s="7">
        <v>56100</v>
      </c>
      <c r="J6" s="7">
        <v>52100</v>
      </c>
      <c r="K6" s="7">
        <v>66500</v>
      </c>
      <c r="L6" s="7">
        <v>60500</v>
      </c>
      <c r="M6" s="7">
        <v>69900</v>
      </c>
      <c r="N6" s="7">
        <v>58100</v>
      </c>
      <c r="O6" s="7">
        <v>62600</v>
      </c>
      <c r="P6" s="7">
        <v>66300</v>
      </c>
      <c r="Q6" s="7">
        <v>65500</v>
      </c>
      <c r="R6" s="7">
        <v>63000</v>
      </c>
      <c r="S6" s="7">
        <v>71900</v>
      </c>
    </row>
    <row r="7">
      <c r="A7" s="16" t="s">
        <v>125</v>
      </c>
      <c r="B7" s="2" t="s">
        <v>322</v>
      </c>
      <c r="C7" s="7">
        <v>19415</v>
      </c>
      <c r="D7" s="7">
        <v>26000</v>
      </c>
      <c r="E7" s="7">
        <v>26500</v>
      </c>
      <c r="F7" s="7">
        <v>29833</v>
      </c>
      <c r="G7" s="7">
        <v>27400</v>
      </c>
      <c r="H7" s="7">
        <v>28930</v>
      </c>
      <c r="I7" s="7">
        <v>26700</v>
      </c>
      <c r="J7" s="7">
        <v>29300</v>
      </c>
      <c r="K7" s="7">
        <v>30400</v>
      </c>
      <c r="L7" s="7">
        <v>31300</v>
      </c>
      <c r="M7" s="7">
        <v>29000</v>
      </c>
      <c r="N7" s="7">
        <v>31580</v>
      </c>
      <c r="O7" s="7">
        <v>28300</v>
      </c>
      <c r="P7" s="7">
        <v>27550</v>
      </c>
      <c r="Q7" s="7">
        <v>29000</v>
      </c>
      <c r="R7" s="7">
        <v>31700</v>
      </c>
      <c r="S7" s="7">
        <v>32500</v>
      </c>
    </row>
    <row r="8">
      <c r="A8" s="16" t="s">
        <v>323</v>
      </c>
      <c r="B8" s="2" t="s">
        <v>322</v>
      </c>
      <c r="C8" s="7">
        <v>8525</v>
      </c>
      <c r="D8" s="7">
        <v>7655</v>
      </c>
      <c r="E8" s="7">
        <v>9927</v>
      </c>
      <c r="F8" s="7">
        <v>12075</v>
      </c>
      <c r="G8" s="7">
        <v>13300</v>
      </c>
      <c r="H8" s="7">
        <v>14000</v>
      </c>
      <c r="I8" s="7">
        <v>14600</v>
      </c>
      <c r="J8" s="7">
        <v>13825</v>
      </c>
      <c r="K8" s="7">
        <v>13870</v>
      </c>
      <c r="L8" s="7">
        <v>14100</v>
      </c>
      <c r="M8" s="7">
        <v>13400</v>
      </c>
      <c r="N8" s="7">
        <v>11800</v>
      </c>
      <c r="O8" s="7">
        <v>10700</v>
      </c>
      <c r="P8" s="7">
        <v>12760</v>
      </c>
      <c r="Q8" s="7">
        <v>14800</v>
      </c>
      <c r="R8" s="7">
        <v>12500</v>
      </c>
      <c r="S8" s="7">
        <v>13400</v>
      </c>
    </row>
    <row r="9">
      <c r="A9" s="16" t="s">
        <v>324</v>
      </c>
      <c r="B9" s="2" t="s">
        <v>322</v>
      </c>
      <c r="C9" s="7">
        <v>6125</v>
      </c>
      <c r="D9" s="7">
        <v>6320</v>
      </c>
      <c r="E9" s="7">
        <v>6500</v>
      </c>
      <c r="F9" s="7">
        <v>6345</v>
      </c>
      <c r="G9" s="7">
        <v>6475</v>
      </c>
      <c r="H9" s="7">
        <v>6510</v>
      </c>
      <c r="I9" s="7">
        <v>6943</v>
      </c>
      <c r="J9" s="7">
        <v>7055</v>
      </c>
      <c r="K9" s="7">
        <v>7350</v>
      </c>
      <c r="L9" s="7">
        <v>7475</v>
      </c>
      <c r="M9" s="7">
        <v>7600</v>
      </c>
      <c r="N9" s="7">
        <v>8150</v>
      </c>
      <c r="O9" s="7">
        <v>7300</v>
      </c>
      <c r="P9" s="7">
        <v>9130</v>
      </c>
      <c r="Q9" s="7">
        <v>11460</v>
      </c>
      <c r="R9" s="7">
        <v>11560</v>
      </c>
      <c r="S9" s="7">
        <v>12100</v>
      </c>
    </row>
    <row r="10">
      <c r="A10" s="16" t="s">
        <v>325</v>
      </c>
      <c r="B10" s="2" t="s">
        <v>322</v>
      </c>
      <c r="C10" s="7">
        <v>9325</v>
      </c>
      <c r="D10" s="7">
        <v>7970</v>
      </c>
      <c r="E10" s="7">
        <v>11900</v>
      </c>
      <c r="F10" s="7">
        <v>11900</v>
      </c>
      <c r="G10" s="7">
        <v>10470</v>
      </c>
      <c r="H10" s="7">
        <v>12100</v>
      </c>
      <c r="I10" s="7">
        <v>10600</v>
      </c>
      <c r="J10" s="7">
        <v>10400</v>
      </c>
      <c r="K10" s="7">
        <v>10600</v>
      </c>
      <c r="L10" s="7">
        <v>10700</v>
      </c>
      <c r="M10" s="7">
        <v>10700</v>
      </c>
      <c r="N10" s="7">
        <v>10580</v>
      </c>
      <c r="O10" s="7">
        <v>10700</v>
      </c>
      <c r="P10" s="7">
        <v>8150</v>
      </c>
      <c r="Q10" s="7">
        <v>10700</v>
      </c>
      <c r="R10" s="7">
        <v>12370</v>
      </c>
      <c r="S10" s="7">
        <v>11380</v>
      </c>
    </row>
    <row r="11">
      <c r="A11" s="16" t="s">
        <v>326</v>
      </c>
      <c r="B11" s="2" t="s">
        <v>322</v>
      </c>
      <c r="C11" s="7">
        <v>3212</v>
      </c>
      <c r="D11" s="7">
        <v>3075</v>
      </c>
      <c r="E11" s="7">
        <v>3600</v>
      </c>
      <c r="F11" s="7">
        <v>3850</v>
      </c>
      <c r="G11" s="7">
        <v>3500</v>
      </c>
      <c r="H11" s="7">
        <v>3550</v>
      </c>
      <c r="I11" s="7">
        <v>4875</v>
      </c>
      <c r="J11" s="7">
        <v>4600</v>
      </c>
      <c r="K11" s="7">
        <v>4650</v>
      </c>
      <c r="L11" s="7">
        <v>5475</v>
      </c>
      <c r="M11" s="7">
        <v>6630</v>
      </c>
      <c r="N11" s="7">
        <v>6050</v>
      </c>
      <c r="O11" s="7">
        <v>6565</v>
      </c>
      <c r="P11" s="7">
        <v>6400</v>
      </c>
      <c r="Q11" s="7">
        <v>6700</v>
      </c>
      <c r="R11" s="7">
        <v>7095</v>
      </c>
      <c r="S11" s="7">
        <v>7160</v>
      </c>
    </row>
    <row r="12">
      <c r="A12" s="16" t="s">
        <v>327</v>
      </c>
      <c r="B12" s="2" t="s">
        <v>322</v>
      </c>
      <c r="C12" s="7">
        <v>5035</v>
      </c>
      <c r="D12" s="7">
        <v>5230</v>
      </c>
      <c r="E12" s="7">
        <v>5303</v>
      </c>
      <c r="F12" s="7">
        <v>5075</v>
      </c>
      <c r="G12" s="7">
        <v>5440</v>
      </c>
      <c r="H12" s="7">
        <v>5800</v>
      </c>
      <c r="I12" s="7">
        <v>5200</v>
      </c>
      <c r="J12" s="7">
        <v>5266</v>
      </c>
      <c r="K12" s="7">
        <v>5325</v>
      </c>
      <c r="L12" s="7">
        <v>4967</v>
      </c>
      <c r="M12" s="7">
        <v>5567</v>
      </c>
      <c r="N12" s="7">
        <v>5700</v>
      </c>
      <c r="O12" s="7">
        <v>5867</v>
      </c>
      <c r="P12" s="7">
        <v>6560</v>
      </c>
      <c r="Q12" s="7">
        <v>6059</v>
      </c>
      <c r="R12" s="7">
        <v>6430</v>
      </c>
      <c r="S12" s="7">
        <v>6140</v>
      </c>
    </row>
    <row r="13">
      <c r="A13" s="16" t="s">
        <v>130</v>
      </c>
      <c r="B13" s="2" t="s">
        <v>322</v>
      </c>
      <c r="C13" s="7">
        <v>3975</v>
      </c>
      <c r="D13" s="7">
        <v>5600</v>
      </c>
      <c r="E13" s="7">
        <v>4725</v>
      </c>
      <c r="F13" s="7">
        <v>4400</v>
      </c>
      <c r="G13" s="7">
        <v>5100</v>
      </c>
      <c r="H13" s="7">
        <v>5300</v>
      </c>
      <c r="I13" s="7">
        <v>7510</v>
      </c>
      <c r="J13" s="7">
        <v>7600</v>
      </c>
      <c r="K13" s="7">
        <v>7100</v>
      </c>
      <c r="L13" s="7">
        <v>5200</v>
      </c>
      <c r="M13" s="7">
        <v>6500</v>
      </c>
      <c r="N13" s="7">
        <v>4800</v>
      </c>
      <c r="O13" s="7">
        <v>5700</v>
      </c>
      <c r="P13" s="7">
        <v>5050</v>
      </c>
      <c r="Q13" s="7">
        <v>5200</v>
      </c>
      <c r="R13" s="7">
        <v>5530</v>
      </c>
      <c r="S13" s="7">
        <v>6030</v>
      </c>
    </row>
    <row r="14">
      <c r="A14" s="16" t="s">
        <v>328</v>
      </c>
      <c r="B14" s="2" t="s">
        <v>322</v>
      </c>
      <c r="C14" s="7">
        <v>4100</v>
      </c>
      <c r="D14" s="7">
        <v>5200</v>
      </c>
      <c r="E14" s="7">
        <v>4300</v>
      </c>
      <c r="F14" s="7">
        <v>4250</v>
      </c>
      <c r="G14" s="7">
        <v>2900</v>
      </c>
      <c r="H14" s="7">
        <v>3500</v>
      </c>
      <c r="I14" s="7">
        <v>4225</v>
      </c>
      <c r="J14" s="7">
        <v>4375</v>
      </c>
      <c r="K14" s="7">
        <v>4390</v>
      </c>
      <c r="L14" s="7">
        <v>3925</v>
      </c>
      <c r="M14" s="7">
        <v>3369</v>
      </c>
      <c r="N14" s="7">
        <v>4200</v>
      </c>
      <c r="O14" s="7">
        <v>3475</v>
      </c>
      <c r="P14" s="7">
        <v>3912</v>
      </c>
      <c r="Q14" s="7">
        <v>4120</v>
      </c>
      <c r="R14" s="7">
        <v>4764</v>
      </c>
      <c r="S14" s="7">
        <v>4780</v>
      </c>
    </row>
    <row r="15">
      <c r="A15" s="16" t="s">
        <v>329</v>
      </c>
      <c r="B15" s="2" t="s">
        <v>322</v>
      </c>
      <c r="C15" s="7">
        <v>4000</v>
      </c>
      <c r="D15" s="7">
        <v>4300</v>
      </c>
      <c r="E15" s="7">
        <v>4650</v>
      </c>
      <c r="F15" s="7">
        <v>3950</v>
      </c>
      <c r="G15" s="7">
        <v>3180</v>
      </c>
      <c r="H15" s="7">
        <v>2300</v>
      </c>
      <c r="I15" s="7">
        <v>3300</v>
      </c>
      <c r="J15" s="7">
        <v>4000</v>
      </c>
      <c r="K15" s="7">
        <v>3550</v>
      </c>
      <c r="L15" s="7">
        <v>3700</v>
      </c>
      <c r="M15" s="7">
        <v>3530</v>
      </c>
      <c r="N15" s="7">
        <v>3740</v>
      </c>
      <c r="O15" s="7">
        <v>3545</v>
      </c>
      <c r="P15" s="7">
        <v>3856</v>
      </c>
      <c r="Q15" s="7">
        <v>3928</v>
      </c>
      <c r="R15" s="7">
        <v>4080</v>
      </c>
      <c r="S15" s="7">
        <v>4135</v>
      </c>
    </row>
    <row r="16">
      <c r="A16" s="16" t="s">
        <v>134</v>
      </c>
      <c r="B16" s="2" t="s">
        <v>322</v>
      </c>
      <c r="C16" s="7">
        <v>3960</v>
      </c>
      <c r="D16" s="7">
        <v>4410</v>
      </c>
      <c r="E16" s="7">
        <v>4010</v>
      </c>
      <c r="F16" s="7">
        <v>3515</v>
      </c>
      <c r="G16" s="7">
        <v>3185</v>
      </c>
      <c r="H16" s="7">
        <v>3295</v>
      </c>
      <c r="I16" s="7">
        <v>3570</v>
      </c>
      <c r="J16" s="7">
        <v>3780</v>
      </c>
      <c r="K16" s="7">
        <v>3770</v>
      </c>
      <c r="L16" s="7">
        <v>3645</v>
      </c>
      <c r="M16" s="7">
        <v>3930</v>
      </c>
      <c r="N16" s="7">
        <v>3540</v>
      </c>
      <c r="O16" s="7">
        <v>3270</v>
      </c>
      <c r="P16" s="7">
        <v>3469</v>
      </c>
      <c r="Q16" s="7">
        <v>3270</v>
      </c>
      <c r="R16" s="7">
        <v>3155</v>
      </c>
      <c r="S16" s="7">
        <v>3260</v>
      </c>
    </row>
    <row r="17">
      <c r="A17" s="16" t="s">
        <v>135</v>
      </c>
      <c r="B17" s="2" t="s">
        <v>322</v>
      </c>
      <c r="C17" s="7">
        <v>1740</v>
      </c>
      <c r="D17" s="7">
        <v>2100</v>
      </c>
      <c r="E17" s="7">
        <v>1925</v>
      </c>
      <c r="F17" s="7">
        <v>2000</v>
      </c>
      <c r="G17" s="7">
        <v>2125</v>
      </c>
      <c r="H17" s="7">
        <v>2125</v>
      </c>
      <c r="I17" s="7">
        <v>2625</v>
      </c>
      <c r="J17" s="7">
        <v>2730</v>
      </c>
      <c r="K17" s="7">
        <v>2950</v>
      </c>
      <c r="L17" s="7">
        <v>2755</v>
      </c>
      <c r="M17" s="7">
        <v>2650</v>
      </c>
      <c r="N17" s="7">
        <v>2838</v>
      </c>
      <c r="O17" s="7">
        <v>2590</v>
      </c>
      <c r="P17" s="7">
        <v>2347</v>
      </c>
      <c r="Q17" s="7">
        <v>2660</v>
      </c>
      <c r="R17" s="7">
        <v>2560</v>
      </c>
      <c r="S17" s="7">
        <v>2440</v>
      </c>
    </row>
    <row r="18">
      <c r="A18" s="16" t="s">
        <v>330</v>
      </c>
      <c r="B18" s="2" t="s">
        <v>322</v>
      </c>
      <c r="C18" s="7">
        <v>827</v>
      </c>
      <c r="D18" s="7">
        <v>1090</v>
      </c>
      <c r="E18" s="7">
        <v>1535</v>
      </c>
      <c r="F18" s="7">
        <v>1947</v>
      </c>
      <c r="G18" s="7">
        <v>2125</v>
      </c>
      <c r="H18" s="7">
        <v>1925</v>
      </c>
      <c r="I18" s="7">
        <v>1900</v>
      </c>
      <c r="J18" s="7">
        <v>1925</v>
      </c>
      <c r="K18" s="7">
        <v>1925</v>
      </c>
      <c r="L18" s="7">
        <v>2000</v>
      </c>
      <c r="M18" s="7">
        <v>1900</v>
      </c>
      <c r="N18" s="7">
        <v>1800</v>
      </c>
      <c r="O18" s="7">
        <v>1800</v>
      </c>
      <c r="P18" s="7">
        <v>1800</v>
      </c>
      <c r="Q18" s="7">
        <v>1900</v>
      </c>
      <c r="R18" s="7">
        <v>1900</v>
      </c>
      <c r="S18" s="7">
        <v>1900</v>
      </c>
    </row>
    <row r="19">
      <c r="A19" s="16" t="s">
        <v>331</v>
      </c>
      <c r="B19" s="2" t="s">
        <v>322</v>
      </c>
      <c r="C19" s="7">
        <v>1050</v>
      </c>
      <c r="D19" s="7">
        <v>565</v>
      </c>
      <c r="E19" s="7">
        <v>1180</v>
      </c>
      <c r="F19" s="7">
        <v>800</v>
      </c>
      <c r="G19" s="7">
        <v>1150</v>
      </c>
      <c r="H19" s="7">
        <v>1100</v>
      </c>
      <c r="I19" s="7">
        <v>1050</v>
      </c>
      <c r="J19" s="7">
        <v>1150</v>
      </c>
      <c r="K19" s="7">
        <v>1200</v>
      </c>
      <c r="L19" s="7">
        <v>1200</v>
      </c>
      <c r="M19" s="7">
        <v>1125</v>
      </c>
      <c r="N19" s="7">
        <v>1200</v>
      </c>
      <c r="O19" s="7">
        <v>1200</v>
      </c>
      <c r="P19" s="7">
        <v>1350</v>
      </c>
      <c r="Q19" s="7">
        <v>1350</v>
      </c>
      <c r="R19" s="7">
        <v>1450</v>
      </c>
      <c r="S19" s="7">
        <v>1600</v>
      </c>
    </row>
    <row r="20">
      <c r="A20" s="16" t="s">
        <v>332</v>
      </c>
      <c r="B20" s="2" t="s">
        <v>322</v>
      </c>
      <c r="C20" s="7">
        <v>1100</v>
      </c>
      <c r="D20" s="7">
        <v>1450</v>
      </c>
      <c r="E20" s="7">
        <v>1400</v>
      </c>
      <c r="F20" s="7">
        <v>1500</v>
      </c>
      <c r="G20" s="7">
        <v>2100</v>
      </c>
      <c r="H20" s="7">
        <v>2200</v>
      </c>
      <c r="I20" s="7">
        <v>2100</v>
      </c>
      <c r="J20" s="7">
        <v>2100</v>
      </c>
      <c r="K20" s="7">
        <v>2100</v>
      </c>
      <c r="L20" s="7">
        <v>1900</v>
      </c>
      <c r="M20" s="7">
        <v>2000</v>
      </c>
      <c r="N20" s="7">
        <v>2000</v>
      </c>
      <c r="O20" s="7">
        <v>2000</v>
      </c>
      <c r="P20" s="7">
        <v>1330</v>
      </c>
      <c r="Q20" s="7">
        <v>1400</v>
      </c>
      <c r="R20" s="7">
        <v>1500</v>
      </c>
      <c r="S20" s="7">
        <v>1500</v>
      </c>
    </row>
    <row r="21">
      <c r="A21" s="16" t="s">
        <v>333</v>
      </c>
      <c r="B21" s="2" t="s">
        <v>322</v>
      </c>
      <c r="C21" s="7">
        <v>1600</v>
      </c>
      <c r="D21" s="7">
        <v>1600</v>
      </c>
      <c r="E21" s="7">
        <v>1750</v>
      </c>
      <c r="F21" s="7">
        <v>1675</v>
      </c>
      <c r="G21" s="7">
        <v>1400</v>
      </c>
      <c r="H21" s="7">
        <v>1600</v>
      </c>
      <c r="I21" s="7">
        <v>1090</v>
      </c>
      <c r="J21" s="7">
        <v>1250</v>
      </c>
      <c r="K21" s="7">
        <v>2000</v>
      </c>
      <c r="L21" s="7">
        <v>1775</v>
      </c>
      <c r="M21" s="7">
        <v>910</v>
      </c>
      <c r="N21" s="7">
        <v>1110</v>
      </c>
      <c r="O21" s="7">
        <v>1020</v>
      </c>
      <c r="P21" s="7">
        <v>1325</v>
      </c>
      <c r="Q21" s="7">
        <v>650</v>
      </c>
      <c r="R21" s="7">
        <v>1300</v>
      </c>
      <c r="S21" s="7">
        <v>1300</v>
      </c>
    </row>
    <row r="22">
      <c r="A22" s="16" t="s">
        <v>136</v>
      </c>
      <c r="B22" s="2" t="s">
        <v>322</v>
      </c>
      <c r="C22" s="7">
        <v>1575</v>
      </c>
      <c r="D22" s="7">
        <v>1775</v>
      </c>
      <c r="E22" s="7">
        <v>1675</v>
      </c>
      <c r="F22" s="7">
        <v>1450</v>
      </c>
      <c r="G22" s="7">
        <v>1400</v>
      </c>
      <c r="H22" s="7">
        <v>1625</v>
      </c>
      <c r="I22" s="7">
        <v>1300</v>
      </c>
      <c r="J22" s="7">
        <v>1525</v>
      </c>
      <c r="K22" s="7">
        <v>1250</v>
      </c>
      <c r="L22" s="7">
        <v>1466</v>
      </c>
      <c r="M22" s="7">
        <v>1472</v>
      </c>
      <c r="N22" s="7">
        <v>1215</v>
      </c>
      <c r="O22" s="7">
        <v>1100</v>
      </c>
      <c r="P22" s="7">
        <v>1158</v>
      </c>
      <c r="Q22" s="7">
        <v>1315</v>
      </c>
      <c r="R22" s="7">
        <v>1160</v>
      </c>
      <c r="S22" s="7">
        <v>1200</v>
      </c>
    </row>
    <row r="23">
      <c r="A23" s="16" t="s">
        <v>334</v>
      </c>
      <c r="B23" s="2" t="s">
        <v>322</v>
      </c>
      <c r="C23" s="7">
        <v>710</v>
      </c>
      <c r="D23" s="7">
        <v>750</v>
      </c>
      <c r="E23" s="7">
        <v>660</v>
      </c>
      <c r="F23" s="7">
        <v>850</v>
      </c>
      <c r="G23" s="7">
        <v>780</v>
      </c>
      <c r="H23" s="7">
        <v>750</v>
      </c>
      <c r="I23" s="7">
        <v>850</v>
      </c>
      <c r="J23" s="7">
        <v>720</v>
      </c>
      <c r="K23" s="7">
        <v>850</v>
      </c>
      <c r="L23" s="7">
        <v>750</v>
      </c>
      <c r="M23" s="7">
        <v>693</v>
      </c>
      <c r="N23" s="7">
        <v>860</v>
      </c>
      <c r="O23" s="7">
        <v>750</v>
      </c>
      <c r="P23" s="7">
        <v>825</v>
      </c>
      <c r="Q23" s="7">
        <v>950</v>
      </c>
      <c r="R23" s="7">
        <v>850</v>
      </c>
      <c r="S23" s="7">
        <v>950</v>
      </c>
    </row>
    <row r="24">
      <c r="A24" s="16" t="s">
        <v>335</v>
      </c>
      <c r="B24" s="2" t="s">
        <v>322</v>
      </c>
      <c r="C24" s="7">
        <v>1000</v>
      </c>
      <c r="D24" s="7">
        <v>1000</v>
      </c>
      <c r="E24" s="7">
        <v>1000</v>
      </c>
      <c r="F24" s="7">
        <v>1000</v>
      </c>
      <c r="G24" s="7">
        <v>1000</v>
      </c>
      <c r="H24" s="7">
        <v>700</v>
      </c>
      <c r="I24" s="7">
        <v>800</v>
      </c>
      <c r="J24" s="7">
        <v>700</v>
      </c>
      <c r="K24" s="7">
        <v>650</v>
      </c>
      <c r="L24" s="7">
        <v>700</v>
      </c>
      <c r="M24" s="7">
        <v>600</v>
      </c>
      <c r="N24" s="7">
        <v>650</v>
      </c>
      <c r="O24" s="7">
        <v>700</v>
      </c>
      <c r="P24" s="7">
        <v>750</v>
      </c>
      <c r="Q24" s="7">
        <v>900</v>
      </c>
      <c r="R24" s="7">
        <v>900</v>
      </c>
      <c r="S24" s="7">
        <v>900</v>
      </c>
    </row>
    <row r="25">
      <c r="A25" s="16" t="s">
        <v>336</v>
      </c>
      <c r="B25" s="2" t="s">
        <v>322</v>
      </c>
      <c r="C25" s="7">
        <v>865</v>
      </c>
      <c r="D25" s="7">
        <v>1400</v>
      </c>
      <c r="E25" s="7">
        <v>825</v>
      </c>
      <c r="F25" s="7">
        <v>855</v>
      </c>
      <c r="G25" s="7">
        <v>810</v>
      </c>
      <c r="H25" s="7">
        <v>750</v>
      </c>
      <c r="I25" s="7">
        <v>1115</v>
      </c>
      <c r="J25" s="7">
        <v>810</v>
      </c>
      <c r="K25" s="7">
        <v>965</v>
      </c>
      <c r="L25" s="7">
        <v>825</v>
      </c>
      <c r="M25" s="7">
        <v>700</v>
      </c>
      <c r="N25" s="7">
        <v>775</v>
      </c>
      <c r="O25" s="7">
        <v>875</v>
      </c>
      <c r="P25" s="7">
        <v>980</v>
      </c>
      <c r="Q25" s="7">
        <v>790</v>
      </c>
      <c r="R25" s="7">
        <v>800</v>
      </c>
      <c r="S25" s="7">
        <v>800</v>
      </c>
    </row>
    <row r="26">
      <c r="A26" s="16" t="s">
        <v>337</v>
      </c>
      <c r="B26" s="2" t="s">
        <v>322</v>
      </c>
      <c r="C26" s="7">
        <v>1860</v>
      </c>
      <c r="D26" s="7">
        <v>1200</v>
      </c>
      <c r="E26" s="7">
        <v>1250</v>
      </c>
      <c r="F26" s="7">
        <v>550</v>
      </c>
      <c r="G26" s="7">
        <v>700</v>
      </c>
      <c r="H26" s="7">
        <v>560</v>
      </c>
      <c r="I26" s="7">
        <v>600</v>
      </c>
      <c r="J26" s="7">
        <v>660</v>
      </c>
      <c r="K26" s="7">
        <v>654</v>
      </c>
      <c r="L26" s="7">
        <v>510</v>
      </c>
      <c r="M26" s="7">
        <v>540</v>
      </c>
      <c r="N26" s="7">
        <v>600</v>
      </c>
      <c r="O26" s="7">
        <v>550</v>
      </c>
      <c r="P26" s="7">
        <v>604</v>
      </c>
      <c r="Q26" s="7">
        <v>581</v>
      </c>
      <c r="R26" s="7">
        <v>586</v>
      </c>
      <c r="S26" s="7">
        <v>542</v>
      </c>
    </row>
    <row r="27">
      <c r="A27" s="16" t="s">
        <v>338</v>
      </c>
      <c r="B27" s="2" t="s">
        <v>322</v>
      </c>
      <c r="C27" s="7">
        <v>500</v>
      </c>
      <c r="D27" s="7">
        <v>450</v>
      </c>
      <c r="E27" s="7">
        <v>460</v>
      </c>
      <c r="F27" s="7">
        <v>475</v>
      </c>
      <c r="G27" s="7">
        <v>475</v>
      </c>
      <c r="H27" s="7">
        <v>475</v>
      </c>
      <c r="I27" s="7">
        <v>410</v>
      </c>
      <c r="J27" s="7">
        <v>450</v>
      </c>
      <c r="K27" s="7">
        <v>375</v>
      </c>
      <c r="L27" s="7">
        <v>440</v>
      </c>
      <c r="M27" s="7">
        <v>485</v>
      </c>
      <c r="N27" s="7">
        <v>385</v>
      </c>
      <c r="O27" s="7">
        <v>410</v>
      </c>
      <c r="P27" s="7">
        <v>410</v>
      </c>
      <c r="Q27" s="7">
        <v>450</v>
      </c>
      <c r="R27" s="7">
        <v>475</v>
      </c>
      <c r="S27" s="7">
        <v>500</v>
      </c>
    </row>
    <row r="28">
      <c r="A28" s="16" t="s">
        <v>339</v>
      </c>
      <c r="B28" s="2" t="s">
        <v>322</v>
      </c>
      <c r="C28" s="7">
        <v>625</v>
      </c>
      <c r="D28" s="7">
        <v>700</v>
      </c>
      <c r="E28" s="7">
        <v>730</v>
      </c>
      <c r="F28" s="7">
        <v>700</v>
      </c>
      <c r="G28" s="7">
        <v>460</v>
      </c>
      <c r="H28" s="7">
        <v>500</v>
      </c>
      <c r="I28" s="7">
        <v>530</v>
      </c>
      <c r="J28" s="7">
        <v>575</v>
      </c>
      <c r="K28" s="7">
        <v>585</v>
      </c>
      <c r="L28" s="7">
        <v>550</v>
      </c>
      <c r="M28" s="7">
        <v>480</v>
      </c>
      <c r="N28" s="7">
        <v>500</v>
      </c>
      <c r="O28" s="7">
        <v>500</v>
      </c>
      <c r="P28" s="7">
        <v>500</v>
      </c>
      <c r="Q28" s="7">
        <v>500</v>
      </c>
      <c r="R28" s="7">
        <v>500</v>
      </c>
      <c r="S28" s="7">
        <v>500</v>
      </c>
    </row>
    <row r="29">
      <c r="A29" s="16" t="s">
        <v>340</v>
      </c>
      <c r="B29" s="2" t="s">
        <v>322</v>
      </c>
      <c r="C29" s="7">
        <v>460</v>
      </c>
      <c r="D29" s="7">
        <v>455</v>
      </c>
      <c r="E29" s="7">
        <v>455</v>
      </c>
      <c r="F29" s="7">
        <v>450</v>
      </c>
      <c r="G29" s="7">
        <v>475</v>
      </c>
      <c r="H29" s="7">
        <v>425</v>
      </c>
      <c r="I29" s="7">
        <v>475</v>
      </c>
      <c r="J29" s="7">
        <v>450</v>
      </c>
      <c r="K29" s="7">
        <v>425</v>
      </c>
      <c r="L29" s="7">
        <v>450</v>
      </c>
      <c r="M29" s="7">
        <v>425</v>
      </c>
      <c r="N29" s="7">
        <v>450</v>
      </c>
      <c r="O29" s="7">
        <v>475</v>
      </c>
      <c r="P29" s="7">
        <v>450</v>
      </c>
      <c r="Q29" s="7">
        <v>450</v>
      </c>
      <c r="R29" s="7">
        <v>450</v>
      </c>
      <c r="S29" s="7">
        <v>475</v>
      </c>
    </row>
    <row r="30">
      <c r="A30" s="16" t="s">
        <v>341</v>
      </c>
      <c r="B30" s="2" t="s">
        <v>322</v>
      </c>
      <c r="C30" s="7">
        <v>650</v>
      </c>
      <c r="D30" s="7">
        <v>630</v>
      </c>
      <c r="E30" s="7">
        <v>465</v>
      </c>
      <c r="F30" s="7">
        <v>220</v>
      </c>
      <c r="G30" s="7">
        <v>255</v>
      </c>
      <c r="H30" s="7">
        <v>225</v>
      </c>
      <c r="I30" s="7">
        <v>170</v>
      </c>
      <c r="J30" s="7">
        <v>205</v>
      </c>
      <c r="K30" s="7">
        <v>255</v>
      </c>
      <c r="L30" s="7">
        <v>275</v>
      </c>
      <c r="M30" s="7">
        <v>255</v>
      </c>
      <c r="N30" s="7">
        <v>260</v>
      </c>
      <c r="O30" s="7">
        <v>354</v>
      </c>
      <c r="P30" s="7">
        <v>370</v>
      </c>
      <c r="Q30" s="7">
        <v>355</v>
      </c>
      <c r="R30" s="7">
        <v>350</v>
      </c>
      <c r="S30" s="7">
        <v>350</v>
      </c>
    </row>
    <row r="31">
      <c r="A31" s="16" t="s">
        <v>342</v>
      </c>
      <c r="B31" s="2" t="s">
        <v>322</v>
      </c>
      <c r="C31" s="7">
        <v>317</v>
      </c>
      <c r="D31" s="7">
        <v>245</v>
      </c>
      <c r="E31" s="7">
        <v>260</v>
      </c>
      <c r="F31" s="7">
        <v>250</v>
      </c>
      <c r="G31" s="7">
        <v>240</v>
      </c>
      <c r="H31" s="7">
        <v>300</v>
      </c>
      <c r="I31" s="7">
        <v>230</v>
      </c>
      <c r="J31" s="7">
        <v>275</v>
      </c>
      <c r="K31" s="7">
        <v>275</v>
      </c>
      <c r="L31" s="7">
        <v>350</v>
      </c>
      <c r="M31" s="7">
        <v>345</v>
      </c>
      <c r="N31" s="7">
        <v>270</v>
      </c>
      <c r="O31" s="7">
        <v>400</v>
      </c>
      <c r="P31" s="7">
        <v>280</v>
      </c>
      <c r="Q31" s="7">
        <v>260</v>
      </c>
      <c r="R31" s="7">
        <v>350</v>
      </c>
      <c r="S31" s="7">
        <v>350</v>
      </c>
    </row>
    <row r="32">
      <c r="A32" s="16" t="s">
        <v>343</v>
      </c>
      <c r="B32" s="2" t="s">
        <v>322</v>
      </c>
      <c r="C32" s="7">
        <v>550</v>
      </c>
      <c r="D32" s="7">
        <v>550</v>
      </c>
      <c r="E32" s="7">
        <v>525</v>
      </c>
      <c r="F32" s="7">
        <v>550</v>
      </c>
      <c r="G32" s="7">
        <v>500</v>
      </c>
      <c r="H32" s="7">
        <v>255</v>
      </c>
      <c r="I32" s="7">
        <v>295</v>
      </c>
      <c r="J32" s="7">
        <v>250</v>
      </c>
      <c r="K32" s="7">
        <v>280</v>
      </c>
      <c r="L32" s="7">
        <v>325</v>
      </c>
      <c r="M32" s="7">
        <v>325</v>
      </c>
      <c r="N32" s="7">
        <v>300</v>
      </c>
      <c r="O32" s="7">
        <v>325</v>
      </c>
      <c r="P32" s="7">
        <v>300</v>
      </c>
      <c r="Q32" s="7">
        <v>300</v>
      </c>
      <c r="R32" s="7">
        <v>300</v>
      </c>
      <c r="S32" s="7">
        <v>300</v>
      </c>
    </row>
    <row r="33">
      <c r="A33" s="16" t="s">
        <v>344</v>
      </c>
      <c r="B33" s="2" t="s">
        <v>322</v>
      </c>
      <c r="C33" s="7">
        <v>715</v>
      </c>
      <c r="D33" s="7">
        <v>735</v>
      </c>
      <c r="E33" s="7">
        <v>535</v>
      </c>
      <c r="F33" s="7">
        <v>425</v>
      </c>
      <c r="G33" s="7">
        <v>575</v>
      </c>
      <c r="H33" s="7">
        <v>625</v>
      </c>
      <c r="I33" s="7">
        <v>500</v>
      </c>
      <c r="J33" s="7">
        <v>425</v>
      </c>
      <c r="K33" s="7">
        <v>450</v>
      </c>
      <c r="L33" s="7">
        <v>475</v>
      </c>
      <c r="M33" s="7">
        <v>400</v>
      </c>
      <c r="N33" s="7">
        <v>275</v>
      </c>
      <c r="O33" s="7">
        <v>270</v>
      </c>
      <c r="P33" s="7">
        <v>215</v>
      </c>
      <c r="Q33" s="7">
        <v>205</v>
      </c>
      <c r="R33" s="7">
        <v>225</v>
      </c>
      <c r="S33" s="7">
        <v>215</v>
      </c>
    </row>
    <row r="34">
      <c r="A34" s="16" t="s">
        <v>345</v>
      </c>
      <c r="B34" s="2" t="s">
        <v>322</v>
      </c>
      <c r="C34" s="7">
        <v>265</v>
      </c>
      <c r="D34" s="7">
        <v>255</v>
      </c>
      <c r="E34" s="7">
        <v>230</v>
      </c>
      <c r="F34" s="7">
        <v>240</v>
      </c>
      <c r="G34" s="7">
        <v>220</v>
      </c>
      <c r="H34" s="7">
        <v>220</v>
      </c>
      <c r="I34" s="7">
        <v>230</v>
      </c>
      <c r="J34" s="7">
        <v>250</v>
      </c>
      <c r="K34" s="7">
        <v>245</v>
      </c>
      <c r="L34" s="7">
        <v>255</v>
      </c>
      <c r="M34" s="7">
        <v>250</v>
      </c>
      <c r="N34" s="7">
        <v>270</v>
      </c>
      <c r="O34" s="7">
        <v>255</v>
      </c>
      <c r="P34" s="7">
        <v>225</v>
      </c>
      <c r="Q34" s="7">
        <v>170</v>
      </c>
      <c r="R34" s="7">
        <v>160</v>
      </c>
      <c r="S34" s="7">
        <v>160</v>
      </c>
    </row>
    <row r="35">
      <c r="A35" s="16" t="s">
        <v>346</v>
      </c>
      <c r="B35" s="2" t="s">
        <v>322</v>
      </c>
      <c r="C35" s="7">
        <v>235</v>
      </c>
      <c r="D35" s="7">
        <v>210</v>
      </c>
      <c r="E35" s="7">
        <v>235</v>
      </c>
      <c r="F35" s="7">
        <v>185</v>
      </c>
      <c r="G35" s="7">
        <v>160</v>
      </c>
      <c r="H35" s="7">
        <v>240</v>
      </c>
      <c r="I35" s="7">
        <v>200</v>
      </c>
      <c r="J35" s="7">
        <v>205</v>
      </c>
      <c r="K35" s="7">
        <v>205</v>
      </c>
      <c r="L35" s="7">
        <v>265</v>
      </c>
      <c r="M35" s="7">
        <v>230</v>
      </c>
      <c r="N35" s="7">
        <v>165</v>
      </c>
      <c r="O35" s="7">
        <v>175</v>
      </c>
      <c r="P35" s="7">
        <v>140</v>
      </c>
      <c r="Q35" s="7">
        <v>115</v>
      </c>
      <c r="R35" s="7">
        <v>140</v>
      </c>
      <c r="S35" s="7">
        <v>140</v>
      </c>
    </row>
    <row r="36">
      <c r="A36" s="16" t="s">
        <v>347</v>
      </c>
      <c r="B36" s="2" t="s">
        <v>322</v>
      </c>
      <c r="C36" s="7">
        <v>500</v>
      </c>
      <c r="D36" s="7">
        <v>500</v>
      </c>
      <c r="E36" s="7">
        <v>475</v>
      </c>
      <c r="F36" s="7">
        <v>275</v>
      </c>
      <c r="G36" s="7">
        <v>225</v>
      </c>
      <c r="H36" s="7">
        <v>225</v>
      </c>
      <c r="I36" s="7">
        <v>225</v>
      </c>
      <c r="J36" s="7">
        <v>125</v>
      </c>
      <c r="K36" s="7">
        <v>125</v>
      </c>
      <c r="L36" s="7">
        <v>120</v>
      </c>
      <c r="M36" s="7">
        <v>120</v>
      </c>
      <c r="N36" s="7">
        <v>125</v>
      </c>
      <c r="O36" s="7">
        <v>125</v>
      </c>
      <c r="P36" s="7">
        <v>125</v>
      </c>
      <c r="Q36" s="7">
        <v>125</v>
      </c>
      <c r="R36" s="7">
        <v>125</v>
      </c>
      <c r="S36" s="7">
        <v>125</v>
      </c>
    </row>
    <row r="37">
      <c r="A37" s="16" t="s">
        <v>348</v>
      </c>
      <c r="B37" s="2" t="s">
        <v>322</v>
      </c>
      <c r="C37" s="7">
        <v>325</v>
      </c>
      <c r="D37" s="7">
        <v>425</v>
      </c>
      <c r="E37" s="7">
        <v>165</v>
      </c>
      <c r="F37" s="7">
        <v>50</v>
      </c>
      <c r="G37" s="7">
        <v>150</v>
      </c>
      <c r="H37" s="7">
        <v>280</v>
      </c>
      <c r="I37" s="7">
        <v>200</v>
      </c>
      <c r="J37" s="7">
        <v>190</v>
      </c>
      <c r="K37" s="7">
        <v>70</v>
      </c>
      <c r="L37" s="7">
        <v>145</v>
      </c>
      <c r="M37" s="7">
        <v>70</v>
      </c>
      <c r="N37" s="7">
        <v>300</v>
      </c>
      <c r="O37" s="7">
        <v>115</v>
      </c>
      <c r="P37" s="7">
        <v>260</v>
      </c>
      <c r="Q37" s="7">
        <v>110</v>
      </c>
      <c r="R37" s="7">
        <v>75</v>
      </c>
      <c r="S37" s="7">
        <v>125</v>
      </c>
    </row>
    <row r="38">
      <c r="A38" s="16" t="s">
        <v>349</v>
      </c>
      <c r="B38" s="2" t="s">
        <v>322</v>
      </c>
      <c r="C38" s="7">
        <v>120</v>
      </c>
      <c r="D38" s="7">
        <v>170</v>
      </c>
      <c r="E38" s="7">
        <v>125</v>
      </c>
      <c r="F38" s="7">
        <v>150</v>
      </c>
      <c r="G38" s="7">
        <v>150</v>
      </c>
      <c r="H38" s="7">
        <v>150</v>
      </c>
      <c r="I38" s="7">
        <v>150</v>
      </c>
      <c r="J38" s="7">
        <v>100</v>
      </c>
      <c r="K38" s="7">
        <v>110</v>
      </c>
      <c r="L38" s="7">
        <v>90</v>
      </c>
      <c r="M38" s="7">
        <v>100</v>
      </c>
      <c r="N38" s="7">
        <v>100</v>
      </c>
      <c r="O38" s="7">
        <v>100</v>
      </c>
      <c r="P38" s="7">
        <v>100</v>
      </c>
      <c r="Q38" s="7">
        <v>100</v>
      </c>
      <c r="R38" s="7">
        <v>100</v>
      </c>
      <c r="S38" s="7">
        <v>100</v>
      </c>
    </row>
    <row r="39">
      <c r="A39" s="16" t="s">
        <v>350</v>
      </c>
      <c r="B39" s="2" t="s">
        <v>322</v>
      </c>
      <c r="C39" s="7">
        <v>125</v>
      </c>
      <c r="D39" s="7">
        <v>100</v>
      </c>
      <c r="E39" s="7">
        <v>100</v>
      </c>
      <c r="F39" s="7">
        <v>95</v>
      </c>
      <c r="G39" s="7">
        <v>120</v>
      </c>
      <c r="H39" s="7">
        <v>85</v>
      </c>
      <c r="I39" s="7">
        <v>95</v>
      </c>
      <c r="J39" s="7">
        <v>75</v>
      </c>
      <c r="K39" s="7">
        <v>75</v>
      </c>
      <c r="L39" s="7">
        <v>75</v>
      </c>
      <c r="M39" s="7">
        <v>75</v>
      </c>
      <c r="N39" s="7">
        <v>75</v>
      </c>
      <c r="O39" s="7">
        <v>85</v>
      </c>
      <c r="P39" s="7">
        <v>75</v>
      </c>
      <c r="Q39" s="7">
        <v>100</v>
      </c>
      <c r="R39" s="7">
        <v>80</v>
      </c>
      <c r="S39" s="7">
        <v>100</v>
      </c>
    </row>
    <row r="40">
      <c r="A40" s="16" t="s">
        <v>351</v>
      </c>
      <c r="B40" s="2" t="s">
        <v>322</v>
      </c>
      <c r="C40" s="7">
        <v>615</v>
      </c>
      <c r="D40" s="7">
        <v>560</v>
      </c>
      <c r="E40" s="7">
        <v>200</v>
      </c>
      <c r="F40" s="7">
        <v>165</v>
      </c>
      <c r="G40" s="7">
        <v>175</v>
      </c>
      <c r="H40" s="7">
        <v>120</v>
      </c>
      <c r="I40" s="7">
        <v>80</v>
      </c>
      <c r="J40" s="7">
        <v>130</v>
      </c>
      <c r="K40" s="7">
        <v>95</v>
      </c>
      <c r="L40" s="7">
        <v>100</v>
      </c>
      <c r="M40" s="7">
        <v>85</v>
      </c>
      <c r="N40" s="7">
        <v>80</v>
      </c>
      <c r="O40" s="7">
        <v>110</v>
      </c>
      <c r="P40" s="7">
        <v>75</v>
      </c>
      <c r="Q40" s="7">
        <v>90</v>
      </c>
      <c r="R40" s="7">
        <v>90</v>
      </c>
      <c r="S40" s="7">
        <v>90</v>
      </c>
    </row>
    <row r="41">
      <c r="A41" s="16" t="s">
        <v>352</v>
      </c>
      <c r="B41" s="2" t="s">
        <v>322</v>
      </c>
      <c r="C41" s="7">
        <v>125</v>
      </c>
      <c r="D41" s="7">
        <v>140</v>
      </c>
      <c r="E41" s="7">
        <v>115</v>
      </c>
      <c r="F41" s="7">
        <v>128</v>
      </c>
      <c r="G41" s="7">
        <v>100</v>
      </c>
      <c r="H41" s="7">
        <v>80</v>
      </c>
      <c r="I41" s="7">
        <v>75</v>
      </c>
      <c r="J41" s="7">
        <v>85</v>
      </c>
      <c r="K41" s="7">
        <v>85</v>
      </c>
      <c r="L41" s="7">
        <v>85</v>
      </c>
      <c r="M41" s="7">
        <v>80</v>
      </c>
      <c r="N41" s="7">
        <v>85</v>
      </c>
      <c r="O41" s="7">
        <v>90</v>
      </c>
      <c r="P41" s="7">
        <v>70</v>
      </c>
      <c r="Q41" s="7">
        <v>85</v>
      </c>
      <c r="R41" s="7">
        <v>80</v>
      </c>
      <c r="S41" s="7">
        <v>80</v>
      </c>
    </row>
    <row r="42">
      <c r="A42" s="16" t="s">
        <v>353</v>
      </c>
      <c r="B42" s="2" t="s">
        <v>322</v>
      </c>
      <c r="C42" s="7">
        <v>53</v>
      </c>
      <c r="D42" s="7">
        <v>46</v>
      </c>
      <c r="E42" s="7">
        <v>42</v>
      </c>
      <c r="F42" s="7">
        <v>51</v>
      </c>
      <c r="G42" s="7">
        <v>45</v>
      </c>
      <c r="H42" s="7">
        <v>40</v>
      </c>
      <c r="I42" s="7">
        <v>33</v>
      </c>
      <c r="J42" s="7">
        <v>32</v>
      </c>
      <c r="K42" s="7">
        <v>54</v>
      </c>
      <c r="L42" s="7">
        <v>39</v>
      </c>
      <c r="M42" s="7">
        <v>33</v>
      </c>
      <c r="N42" s="7">
        <v>38</v>
      </c>
      <c r="O42" s="7">
        <v>40</v>
      </c>
      <c r="P42" s="7">
        <v>50</v>
      </c>
      <c r="Q42" s="7">
        <v>50</v>
      </c>
      <c r="R42" s="7">
        <v>50</v>
      </c>
      <c r="S42" s="7">
        <v>50</v>
      </c>
    </row>
    <row r="43">
      <c r="A43" s="16" t="s">
        <v>354</v>
      </c>
      <c r="B43" s="2" t="s">
        <v>322</v>
      </c>
      <c r="C43" s="7">
        <v>25</v>
      </c>
      <c r="D43" s="7">
        <v>35</v>
      </c>
      <c r="E43" s="7">
        <v>29</v>
      </c>
      <c r="F43" s="7">
        <v>31</v>
      </c>
      <c r="G43" s="7">
        <v>30</v>
      </c>
      <c r="H43" s="7">
        <v>25</v>
      </c>
      <c r="I43" s="7">
        <v>20</v>
      </c>
      <c r="J43" s="7">
        <v>19</v>
      </c>
      <c r="K43" s="7">
        <v>20</v>
      </c>
      <c r="L43" s="7">
        <v>32</v>
      </c>
      <c r="M43" s="7">
        <v>30</v>
      </c>
      <c r="N43" s="7">
        <v>30</v>
      </c>
      <c r="O43" s="7">
        <v>20</v>
      </c>
      <c r="P43" s="7">
        <v>30</v>
      </c>
      <c r="Q43" s="7">
        <v>45</v>
      </c>
      <c r="R43" s="7">
        <v>45</v>
      </c>
      <c r="S43" s="7">
        <v>45</v>
      </c>
    </row>
    <row r="44">
      <c r="A44" s="16" t="s">
        <v>355</v>
      </c>
      <c r="B44" s="2" t="s">
        <v>322</v>
      </c>
      <c r="C44" s="7">
        <v>45</v>
      </c>
      <c r="D44" s="7">
        <v>90</v>
      </c>
      <c r="E44" s="7">
        <v>70</v>
      </c>
      <c r="F44" s="7">
        <v>45</v>
      </c>
      <c r="G44" s="7">
        <v>65</v>
      </c>
      <c r="H44" s="7">
        <v>60</v>
      </c>
      <c r="I44" s="7">
        <v>60</v>
      </c>
      <c r="J44" s="7">
        <v>65</v>
      </c>
      <c r="K44" s="7">
        <v>50</v>
      </c>
      <c r="L44" s="7">
        <v>65</v>
      </c>
      <c r="M44" s="7">
        <v>75</v>
      </c>
      <c r="N44" s="7">
        <v>33</v>
      </c>
      <c r="O44" s="7">
        <v>55</v>
      </c>
      <c r="P44" s="7">
        <v>35</v>
      </c>
      <c r="Q44" s="7">
        <v>58</v>
      </c>
      <c r="R44" s="7">
        <v>30</v>
      </c>
      <c r="S44" s="7">
        <v>30</v>
      </c>
    </row>
    <row r="45">
      <c r="A45" s="16" t="s">
        <v>356</v>
      </c>
      <c r="B45" s="2" t="s">
        <v>322</v>
      </c>
      <c r="C45" s="7">
        <v>23</v>
      </c>
      <c r="D45" s="7">
        <v>20</v>
      </c>
      <c r="E45" s="7">
        <v>25</v>
      </c>
      <c r="F45" s="7">
        <v>31</v>
      </c>
      <c r="G45" s="7">
        <v>27</v>
      </c>
      <c r="H45" s="7">
        <v>27</v>
      </c>
      <c r="I45" s="7">
        <v>16</v>
      </c>
      <c r="J45" s="7">
        <v>16</v>
      </c>
      <c r="K45" s="7">
        <v>15</v>
      </c>
      <c r="L45" s="7">
        <v>16</v>
      </c>
      <c r="M45" s="7">
        <v>15</v>
      </c>
      <c r="N45" s="7">
        <v>15</v>
      </c>
      <c r="O45" s="7">
        <v>18</v>
      </c>
      <c r="P45" s="7">
        <v>19</v>
      </c>
      <c r="Q45" s="7">
        <v>15</v>
      </c>
      <c r="R45" s="7">
        <v>15</v>
      </c>
      <c r="S45" s="7">
        <v>15</v>
      </c>
    </row>
    <row r="46">
      <c r="A46" s="16" t="s">
        <v>357</v>
      </c>
      <c r="B46" s="2" t="s">
        <v>322</v>
      </c>
      <c r="C46" s="7">
        <v>27</v>
      </c>
      <c r="D46" s="7">
        <v>10</v>
      </c>
      <c r="E46" s="7">
        <v>7</v>
      </c>
      <c r="F46" s="7">
        <v>6</v>
      </c>
      <c r="G46" s="7">
        <v>6</v>
      </c>
      <c r="H46" s="7">
        <v>8</v>
      </c>
      <c r="I46" s="7">
        <v>5</v>
      </c>
      <c r="J46" s="7">
        <v>3</v>
      </c>
      <c r="K46" s="7">
        <v>2</v>
      </c>
      <c r="L46" s="7">
        <v>0</v>
      </c>
      <c r="M46" s="7">
        <v>0</v>
      </c>
      <c r="N46" s="7">
        <v>0</v>
      </c>
      <c r="O46" s="7">
        <v>0</v>
      </c>
      <c r="P46" s="7">
        <v>0</v>
      </c>
      <c r="Q46" s="7">
        <v>0</v>
      </c>
      <c r="R46" s="7">
        <v>0</v>
      </c>
      <c r="S46" s="7">
        <v>0</v>
      </c>
    </row>
    <row r="47">
      <c r="A47" s="16" t="s">
        <v>358</v>
      </c>
      <c r="B47" s="2" t="s">
        <v>322</v>
      </c>
      <c r="C47" s="7">
        <v>57</v>
      </c>
      <c r="D47" s="7">
        <v>70</v>
      </c>
      <c r="E47" s="7">
        <v>30</v>
      </c>
      <c r="F47" s="7">
        <v>6</v>
      </c>
      <c r="G47" s="7">
        <v>4</v>
      </c>
      <c r="H47" s="7">
        <v>1</v>
      </c>
      <c r="I47" s="7">
        <v>1</v>
      </c>
      <c r="J47" s="7">
        <v>1</v>
      </c>
      <c r="K47" s="7">
        <v>0</v>
      </c>
      <c r="L47" s="7">
        <v>0</v>
      </c>
      <c r="M47" s="7">
        <v>0</v>
      </c>
      <c r="N47" s="7">
        <v>0</v>
      </c>
      <c r="O47" s="7">
        <v>0</v>
      </c>
      <c r="P47" s="7">
        <v>0</v>
      </c>
      <c r="Q47" s="7">
        <v>0</v>
      </c>
      <c r="R47" s="7">
        <v>0</v>
      </c>
      <c r="S47" s="7">
        <v>0</v>
      </c>
    </row>
    <row r="48">
      <c r="A48" s="16" t="s">
        <v>359</v>
      </c>
      <c r="B48" s="2" t="s">
        <v>322</v>
      </c>
      <c r="C48" s="7">
        <v>350</v>
      </c>
      <c r="D48" s="7">
        <v>350</v>
      </c>
      <c r="E48" s="7">
        <v>325</v>
      </c>
      <c r="F48" s="7">
        <v>325</v>
      </c>
      <c r="G48" s="7">
        <v>325</v>
      </c>
      <c r="H48" s="7">
        <v>0</v>
      </c>
      <c r="I48" s="7">
        <v>0</v>
      </c>
      <c r="J48" s="7">
        <v>0</v>
      </c>
      <c r="K48" s="7">
        <v>0</v>
      </c>
      <c r="L48" s="7">
        <v>0</v>
      </c>
      <c r="M48" s="7">
        <v>0</v>
      </c>
      <c r="N48" s="7">
        <v>0</v>
      </c>
      <c r="O48" s="7">
        <v>0</v>
      </c>
      <c r="P48" s="7">
        <v>0</v>
      </c>
      <c r="Q48" s="7">
        <v>0</v>
      </c>
      <c r="R48" s="7">
        <v>0</v>
      </c>
      <c r="S48" s="7">
        <v>0</v>
      </c>
    </row>
    <row r="49">
      <c r="A49" s="16" t="s">
        <v>360</v>
      </c>
      <c r="B49" s="2" t="s">
        <v>322</v>
      </c>
      <c r="C49" s="7">
        <v>4</v>
      </c>
      <c r="D49" s="7">
        <v>5</v>
      </c>
      <c r="E49" s="7">
        <v>5</v>
      </c>
      <c r="F49" s="7">
        <v>1</v>
      </c>
      <c r="G49" s="7">
        <v>3</v>
      </c>
      <c r="H49" s="7">
        <v>0</v>
      </c>
      <c r="I49" s="7">
        <v>0</v>
      </c>
      <c r="J49" s="7">
        <v>0</v>
      </c>
      <c r="K49" s="7">
        <v>0</v>
      </c>
      <c r="L49" s="7">
        <v>0</v>
      </c>
      <c r="M49" s="7">
        <v>0</v>
      </c>
      <c r="N49" s="7">
        <v>0</v>
      </c>
      <c r="O49" s="7">
        <v>0</v>
      </c>
      <c r="P49" s="7">
        <v>0</v>
      </c>
      <c r="Q49" s="7">
        <v>0</v>
      </c>
      <c r="R49" s="7">
        <v>0</v>
      </c>
      <c r="S49" s="7">
        <v>0</v>
      </c>
    </row>
    <row r="50">
      <c r="A50" s="16" t="s">
        <v>361</v>
      </c>
      <c r="B50" s="2" t="s">
        <v>322</v>
      </c>
      <c r="C50" s="7">
        <v>24</v>
      </c>
      <c r="D50" s="7">
        <v>21</v>
      </c>
      <c r="E50" s="7">
        <v>25</v>
      </c>
      <c r="F50" s="7">
        <v>25</v>
      </c>
      <c r="G50" s="7">
        <v>21</v>
      </c>
      <c r="H50" s="7">
        <v>23</v>
      </c>
      <c r="I50" s="7">
        <v>16</v>
      </c>
      <c r="J50" s="7">
        <v>12</v>
      </c>
      <c r="K50" s="7">
        <v>11</v>
      </c>
      <c r="L50" s="7">
        <v>10</v>
      </c>
      <c r="M50" s="7">
        <v>0</v>
      </c>
      <c r="N50" s="7">
        <v>0</v>
      </c>
      <c r="O50" s="7">
        <v>0</v>
      </c>
      <c r="P50" s="7">
        <v>0</v>
      </c>
      <c r="Q50" s="7">
        <v>0</v>
      </c>
      <c r="R50" s="7">
        <v>0</v>
      </c>
      <c r="S50" s="7">
        <v>0</v>
      </c>
    </row>
    <row r="51">
      <c r="A51" s="16" t="s">
        <v>362</v>
      </c>
      <c r="B51" s="2" t="s">
        <v>322</v>
      </c>
      <c r="C51" s="7">
        <v>30</v>
      </c>
      <c r="D51" s="7">
        <v>40</v>
      </c>
      <c r="E51" s="7">
        <v>30</v>
      </c>
      <c r="F51" s="7">
        <v>20</v>
      </c>
      <c r="G51" s="7">
        <v>20</v>
      </c>
      <c r="H51" s="7">
        <v>20</v>
      </c>
      <c r="I51" s="7">
        <v>10</v>
      </c>
      <c r="J51" s="7">
        <v>5</v>
      </c>
      <c r="K51" s="7">
        <v>0</v>
      </c>
      <c r="L51" s="7">
        <v>0</v>
      </c>
      <c r="M51" s="7">
        <v>0</v>
      </c>
      <c r="N51" s="7">
        <v>0</v>
      </c>
      <c r="O51" s="7">
        <v>0</v>
      </c>
      <c r="P51" s="7">
        <v>0</v>
      </c>
      <c r="Q51" s="7">
        <v>0</v>
      </c>
      <c r="R51" s="7">
        <v>0</v>
      </c>
      <c r="S51" s="7">
        <v>0</v>
      </c>
    </row>
    <row r="52">
      <c r="A52" s="16" t="s">
        <v>363</v>
      </c>
      <c r="B52" s="2" t="s">
        <v>322</v>
      </c>
      <c r="C52" s="7">
        <v>145</v>
      </c>
      <c r="D52" s="7">
        <v>135</v>
      </c>
      <c r="E52" s="7">
        <v>140</v>
      </c>
      <c r="F52" s="7">
        <v>135</v>
      </c>
      <c r="G52" s="7">
        <v>130</v>
      </c>
      <c r="H52" s="7">
        <v>0</v>
      </c>
      <c r="I52" s="7">
        <v>0</v>
      </c>
      <c r="J52" s="7">
        <v>0</v>
      </c>
      <c r="K52" s="7">
        <v>0</v>
      </c>
      <c r="L52" s="7">
        <v>0</v>
      </c>
      <c r="M52" s="7">
        <v>0</v>
      </c>
      <c r="N52" s="7">
        <v>0</v>
      </c>
      <c r="O52" s="7">
        <v>0</v>
      </c>
      <c r="P52" s="7">
        <v>0</v>
      </c>
      <c r="Q52" s="7">
        <v>0</v>
      </c>
      <c r="R52" s="7">
        <v>0</v>
      </c>
      <c r="S52" s="7">
        <v>0</v>
      </c>
    </row>
    <row r="53">
      <c r="A53" s="16" t="s">
        <v>364</v>
      </c>
      <c r="B53" s="2" t="s">
        <v>365</v>
      </c>
      <c r="C53" s="7">
        <v>0</v>
      </c>
      <c r="D53" s="7">
        <v>0</v>
      </c>
      <c r="E53" s="7">
        <v>0</v>
      </c>
      <c r="F53" s="7">
        <v>0</v>
      </c>
      <c r="G53" s="7">
        <v>0</v>
      </c>
      <c r="H53" s="7">
        <v>0</v>
      </c>
      <c r="I53" s="7">
        <v>0</v>
      </c>
      <c r="J53" s="7">
        <v>0</v>
      </c>
      <c r="K53" s="7">
        <v>0</v>
      </c>
      <c r="L53" s="7">
        <v>0</v>
      </c>
      <c r="M53" s="7">
        <v>0</v>
      </c>
      <c r="N53" s="7">
        <v>0</v>
      </c>
      <c r="O53" s="7">
        <v>0</v>
      </c>
      <c r="P53" s="7">
        <v>0</v>
      </c>
      <c r="Q53" s="7">
        <v>0</v>
      </c>
      <c r="R53" s="7">
        <v>0</v>
      </c>
      <c r="S53" s="7">
        <v>0</v>
      </c>
    </row>
    <row r="54">
      <c r="A54" s="16" t="s">
        <v>366</v>
      </c>
      <c r="B54" s="2" t="s">
        <v>365</v>
      </c>
      <c r="C54" s="7">
        <v>0</v>
      </c>
      <c r="D54" s="7">
        <v>0</v>
      </c>
      <c r="E54" s="7">
        <v>0</v>
      </c>
      <c r="F54" s="7">
        <v>0</v>
      </c>
      <c r="G54" s="7">
        <v>0</v>
      </c>
      <c r="H54" s="7">
        <v>0</v>
      </c>
      <c r="I54" s="7">
        <v>0</v>
      </c>
      <c r="J54" s="7">
        <v>0</v>
      </c>
      <c r="K54" s="7">
        <v>0</v>
      </c>
      <c r="L54" s="7">
        <v>0</v>
      </c>
      <c r="M54" s="7">
        <v>0</v>
      </c>
      <c r="N54" s="7">
        <v>0</v>
      </c>
      <c r="O54" s="7">
        <v>0</v>
      </c>
      <c r="P54" s="7">
        <v>0</v>
      </c>
      <c r="Q54" s="7">
        <v>0</v>
      </c>
      <c r="R54" s="7">
        <v>0</v>
      </c>
      <c r="S54" s="7">
        <v>0</v>
      </c>
    </row>
    <row r="55">
      <c r="A55" s="16" t="s">
        <v>367</v>
      </c>
      <c r="B55" s="2" t="s">
        <v>365</v>
      </c>
      <c r="C55" s="7">
        <v>0</v>
      </c>
      <c r="D55" s="7">
        <v>0</v>
      </c>
      <c r="E55" s="7">
        <v>0</v>
      </c>
      <c r="F55" s="7">
        <v>0</v>
      </c>
      <c r="G55" s="7">
        <v>0</v>
      </c>
      <c r="H55" s="7">
        <v>0</v>
      </c>
      <c r="I55" s="7">
        <v>0</v>
      </c>
      <c r="J55" s="7">
        <v>0</v>
      </c>
      <c r="K55" s="7">
        <v>0</v>
      </c>
      <c r="L55" s="7">
        <v>0</v>
      </c>
      <c r="M55" s="7">
        <v>0</v>
      </c>
      <c r="N55" s="7">
        <v>0</v>
      </c>
      <c r="O55" s="7">
        <v>0</v>
      </c>
      <c r="P55" s="7">
        <v>0</v>
      </c>
      <c r="Q55" s="7">
        <v>0</v>
      </c>
      <c r="R55" s="7">
        <v>0</v>
      </c>
      <c r="S55" s="7">
        <v>0</v>
      </c>
    </row>
    <row r="56">
      <c r="A56" s="16" t="s">
        <v>368</v>
      </c>
      <c r="B56" s="2" t="s">
        <v>365</v>
      </c>
      <c r="C56" s="7">
        <v>0</v>
      </c>
      <c r="D56" s="7">
        <v>0</v>
      </c>
      <c r="E56" s="7">
        <v>0</v>
      </c>
      <c r="F56" s="7">
        <v>0</v>
      </c>
      <c r="G56" s="7">
        <v>0</v>
      </c>
      <c r="H56" s="7">
        <v>0</v>
      </c>
      <c r="I56" s="7">
        <v>0</v>
      </c>
      <c r="J56" s="7">
        <v>0</v>
      </c>
      <c r="K56" s="7">
        <v>0</v>
      </c>
      <c r="L56" s="7">
        <v>0</v>
      </c>
      <c r="M56" s="7">
        <v>0</v>
      </c>
      <c r="N56" s="7">
        <v>0</v>
      </c>
      <c r="O56" s="7">
        <v>0</v>
      </c>
      <c r="P56" s="7">
        <v>0</v>
      </c>
      <c r="Q56" s="7">
        <v>0</v>
      </c>
      <c r="R56" s="7">
        <v>0</v>
      </c>
      <c r="S56" s="7">
        <v>0</v>
      </c>
    </row>
    <row r="57">
      <c r="A57" s="16" t="s">
        <v>369</v>
      </c>
      <c r="B57" s="2" t="s">
        <v>365</v>
      </c>
      <c r="C57" s="7">
        <v>0</v>
      </c>
      <c r="D57" s="7">
        <v>0</v>
      </c>
      <c r="E57" s="7">
        <v>0</v>
      </c>
      <c r="F57" s="7">
        <v>0</v>
      </c>
      <c r="G57" s="7">
        <v>0</v>
      </c>
      <c r="H57" s="7">
        <v>0</v>
      </c>
      <c r="I57" s="7">
        <v>0</v>
      </c>
      <c r="J57" s="7">
        <v>0</v>
      </c>
      <c r="K57" s="7">
        <v>0</v>
      </c>
      <c r="L57" s="7">
        <v>0</v>
      </c>
      <c r="M57" s="7">
        <v>0</v>
      </c>
      <c r="N57" s="7">
        <v>0</v>
      </c>
      <c r="O57" s="7">
        <v>0</v>
      </c>
      <c r="P57" s="7">
        <v>0</v>
      </c>
      <c r="Q57" s="7">
        <v>0</v>
      </c>
      <c r="R57" s="7">
        <v>0</v>
      </c>
      <c r="S57" s="7">
        <v>0</v>
      </c>
    </row>
    <row r="58">
      <c r="A58" s="16" t="s">
        <v>370</v>
      </c>
      <c r="B58" s="2" t="s">
        <v>365</v>
      </c>
      <c r="C58" s="7">
        <v>0</v>
      </c>
      <c r="D58" s="7">
        <v>0</v>
      </c>
      <c r="E58" s="7">
        <v>0</v>
      </c>
      <c r="F58" s="7">
        <v>0</v>
      </c>
      <c r="G58" s="7">
        <v>0</v>
      </c>
      <c r="H58" s="7">
        <v>0</v>
      </c>
      <c r="I58" s="7">
        <v>0</v>
      </c>
      <c r="J58" s="7">
        <v>0</v>
      </c>
      <c r="K58" s="7">
        <v>0</v>
      </c>
      <c r="L58" s="7">
        <v>0</v>
      </c>
      <c r="M58" s="7">
        <v>0</v>
      </c>
      <c r="N58" s="7">
        <v>0</v>
      </c>
      <c r="O58" s="7">
        <v>0</v>
      </c>
      <c r="P58" s="7">
        <v>0</v>
      </c>
      <c r="Q58" s="7">
        <v>0</v>
      </c>
      <c r="R58" s="7">
        <v>0</v>
      </c>
      <c r="S58" s="7">
        <v>0</v>
      </c>
    </row>
    <row r="59">
      <c r="A59" s="16" t="s">
        <v>371</v>
      </c>
      <c r="B59" s="2" t="s">
        <v>365</v>
      </c>
      <c r="C59" s="7">
        <v>0</v>
      </c>
      <c r="D59" s="7">
        <v>0</v>
      </c>
      <c r="E59" s="7">
        <v>0</v>
      </c>
      <c r="F59" s="7">
        <v>0</v>
      </c>
      <c r="G59" s="7">
        <v>0</v>
      </c>
      <c r="H59" s="7">
        <v>0</v>
      </c>
      <c r="I59" s="7">
        <v>0</v>
      </c>
      <c r="J59" s="7">
        <v>0</v>
      </c>
      <c r="K59" s="7">
        <v>0</v>
      </c>
      <c r="L59" s="7">
        <v>0</v>
      </c>
      <c r="M59" s="7">
        <v>0</v>
      </c>
      <c r="N59" s="7">
        <v>0</v>
      </c>
      <c r="O59" s="7">
        <v>0</v>
      </c>
      <c r="P59" s="7">
        <v>0</v>
      </c>
      <c r="Q59" s="7">
        <v>0</v>
      </c>
      <c r="R59" s="7">
        <v>0</v>
      </c>
      <c r="S59" s="7">
        <v>0</v>
      </c>
    </row>
    <row r="60">
      <c r="A60" s="16" t="s">
        <v>372</v>
      </c>
      <c r="B60" s="2" t="s">
        <v>365</v>
      </c>
      <c r="C60" s="7">
        <v>0</v>
      </c>
      <c r="D60" s="7">
        <v>0</v>
      </c>
      <c r="E60" s="7">
        <v>0</v>
      </c>
      <c r="F60" s="7">
        <v>0</v>
      </c>
      <c r="G60" s="7">
        <v>0</v>
      </c>
      <c r="H60" s="7">
        <v>0</v>
      </c>
      <c r="I60" s="7">
        <v>0</v>
      </c>
      <c r="J60" s="7">
        <v>0</v>
      </c>
      <c r="K60" s="7">
        <v>0</v>
      </c>
      <c r="L60" s="7">
        <v>0</v>
      </c>
      <c r="M60" s="7">
        <v>0</v>
      </c>
      <c r="N60" s="7">
        <v>0</v>
      </c>
      <c r="O60" s="7">
        <v>0</v>
      </c>
      <c r="P60" s="7">
        <v>0</v>
      </c>
      <c r="Q60" s="7">
        <v>0</v>
      </c>
      <c r="R60" s="7">
        <v>0</v>
      </c>
      <c r="S60" s="7">
        <v>0</v>
      </c>
    </row>
    <row r="61">
      <c r="A61" s="16" t="s">
        <v>373</v>
      </c>
      <c r="B61" s="2" t="s">
        <v>365</v>
      </c>
      <c r="C61" s="7">
        <v>0</v>
      </c>
      <c r="D61" s="7">
        <v>0</v>
      </c>
      <c r="E61" s="7">
        <v>0</v>
      </c>
      <c r="F61" s="7">
        <v>0</v>
      </c>
      <c r="G61" s="7">
        <v>0</v>
      </c>
      <c r="H61" s="7">
        <v>0</v>
      </c>
      <c r="I61" s="7">
        <v>0</v>
      </c>
      <c r="J61" s="7">
        <v>0</v>
      </c>
      <c r="K61" s="7">
        <v>0</v>
      </c>
      <c r="L61" s="7">
        <v>0</v>
      </c>
      <c r="M61" s="7">
        <v>0</v>
      </c>
      <c r="N61" s="7">
        <v>0</v>
      </c>
      <c r="O61" s="7">
        <v>0</v>
      </c>
      <c r="P61" s="7">
        <v>0</v>
      </c>
      <c r="Q61" s="7">
        <v>0</v>
      </c>
      <c r="R61" s="7">
        <v>0</v>
      </c>
      <c r="S61" s="7">
        <v>0</v>
      </c>
    </row>
    <row r="62">
      <c r="A62" s="16" t="s">
        <v>374</v>
      </c>
      <c r="B62" s="2" t="s">
        <v>365</v>
      </c>
      <c r="C62" s="7">
        <v>0</v>
      </c>
      <c r="D62" s="7">
        <v>0</v>
      </c>
      <c r="E62" s="7">
        <v>0</v>
      </c>
      <c r="F62" s="7">
        <v>0</v>
      </c>
      <c r="G62" s="7">
        <v>0</v>
      </c>
      <c r="H62" s="7">
        <v>0</v>
      </c>
      <c r="I62" s="7">
        <v>0</v>
      </c>
      <c r="J62" s="7">
        <v>0</v>
      </c>
      <c r="K62" s="7">
        <v>0</v>
      </c>
      <c r="L62" s="7">
        <v>0</v>
      </c>
      <c r="M62" s="7">
        <v>0</v>
      </c>
      <c r="N62" s="7">
        <v>0</v>
      </c>
      <c r="O62" s="7">
        <v>0</v>
      </c>
      <c r="P62" s="7">
        <v>0</v>
      </c>
      <c r="Q62" s="7">
        <v>0</v>
      </c>
      <c r="R62" s="7">
        <v>0</v>
      </c>
      <c r="S62" s="7">
        <v>0</v>
      </c>
    </row>
    <row r="63">
      <c r="A63" s="16" t="s">
        <v>375</v>
      </c>
      <c r="B63" s="2" t="s">
        <v>365</v>
      </c>
      <c r="C63" s="7">
        <v>0</v>
      </c>
      <c r="D63" s="7">
        <v>0</v>
      </c>
      <c r="E63" s="7">
        <v>0</v>
      </c>
      <c r="F63" s="7">
        <v>0</v>
      </c>
      <c r="G63" s="7">
        <v>0</v>
      </c>
      <c r="H63" s="7">
        <v>0</v>
      </c>
      <c r="I63" s="7">
        <v>0</v>
      </c>
      <c r="J63" s="7">
        <v>0</v>
      </c>
      <c r="K63" s="7">
        <v>0</v>
      </c>
      <c r="L63" s="7">
        <v>0</v>
      </c>
      <c r="M63" s="7">
        <v>0</v>
      </c>
      <c r="N63" s="7">
        <v>0</v>
      </c>
      <c r="O63" s="7">
        <v>0</v>
      </c>
      <c r="P63" s="7">
        <v>0</v>
      </c>
      <c r="Q63" s="7">
        <v>0</v>
      </c>
      <c r="R63" s="7">
        <v>0</v>
      </c>
      <c r="S63" s="7">
        <v>0</v>
      </c>
    </row>
    <row r="64">
      <c r="A64" s="16" t="s">
        <v>376</v>
      </c>
      <c r="B64" s="2" t="s">
        <v>365</v>
      </c>
      <c r="C64" s="7">
        <v>0</v>
      </c>
      <c r="D64" s="7">
        <v>0</v>
      </c>
      <c r="E64" s="7">
        <v>0</v>
      </c>
      <c r="F64" s="7">
        <v>0</v>
      </c>
      <c r="G64" s="7">
        <v>0</v>
      </c>
      <c r="H64" s="7">
        <v>0</v>
      </c>
      <c r="I64" s="7">
        <v>0</v>
      </c>
      <c r="J64" s="7">
        <v>0</v>
      </c>
      <c r="K64" s="7">
        <v>0</v>
      </c>
      <c r="L64" s="7">
        <v>0</v>
      </c>
      <c r="M64" s="7">
        <v>0</v>
      </c>
      <c r="N64" s="7">
        <v>0</v>
      </c>
      <c r="O64" s="7">
        <v>0</v>
      </c>
      <c r="P64" s="7">
        <v>0</v>
      </c>
      <c r="Q64" s="7">
        <v>0</v>
      </c>
      <c r="R64" s="7">
        <v>0</v>
      </c>
      <c r="S64" s="7">
        <v>0</v>
      </c>
    </row>
    <row r="65">
      <c r="A65" s="16" t="s">
        <v>377</v>
      </c>
      <c r="B65" s="2" t="s">
        <v>365</v>
      </c>
      <c r="C65" s="7">
        <v>0</v>
      </c>
      <c r="D65" s="7">
        <v>0</v>
      </c>
      <c r="E65" s="7">
        <v>0</v>
      </c>
      <c r="F65" s="7">
        <v>0</v>
      </c>
      <c r="G65" s="7">
        <v>0</v>
      </c>
      <c r="H65" s="7">
        <v>0</v>
      </c>
      <c r="I65" s="7">
        <v>0</v>
      </c>
      <c r="J65" s="7">
        <v>0</v>
      </c>
      <c r="K65" s="7">
        <v>0</v>
      </c>
      <c r="L65" s="7">
        <v>0</v>
      </c>
      <c r="M65" s="7">
        <v>0</v>
      </c>
      <c r="N65" s="7">
        <v>0</v>
      </c>
      <c r="O65" s="7">
        <v>0</v>
      </c>
      <c r="P65" s="7">
        <v>0</v>
      </c>
      <c r="Q65" s="7">
        <v>0</v>
      </c>
      <c r="R65" s="7">
        <v>0</v>
      </c>
      <c r="S65" s="7">
        <v>0</v>
      </c>
    </row>
    <row r="66">
      <c r="A66" s="16" t="s">
        <v>378</v>
      </c>
      <c r="B66" s="2" t="s">
        <v>365</v>
      </c>
      <c r="C66" s="7">
        <v>0</v>
      </c>
      <c r="D66" s="7">
        <v>0</v>
      </c>
      <c r="E66" s="7">
        <v>0</v>
      </c>
      <c r="F66" s="7">
        <v>0</v>
      </c>
      <c r="G66" s="7">
        <v>0</v>
      </c>
      <c r="H66" s="7">
        <v>0</v>
      </c>
      <c r="I66" s="7">
        <v>0</v>
      </c>
      <c r="J66" s="7">
        <v>0</v>
      </c>
      <c r="K66" s="7">
        <v>0</v>
      </c>
      <c r="L66" s="7">
        <v>0</v>
      </c>
      <c r="M66" s="7">
        <v>0</v>
      </c>
      <c r="N66" s="7">
        <v>0</v>
      </c>
      <c r="O66" s="7">
        <v>0</v>
      </c>
      <c r="P66" s="7">
        <v>0</v>
      </c>
      <c r="Q66" s="7">
        <v>0</v>
      </c>
      <c r="R66" s="7">
        <v>0</v>
      </c>
      <c r="S66" s="7">
        <v>0</v>
      </c>
    </row>
    <row r="67">
      <c r="A67" s="16" t="s">
        <v>379</v>
      </c>
      <c r="B67" s="2" t="s">
        <v>365</v>
      </c>
      <c r="C67" s="7">
        <v>0</v>
      </c>
      <c r="D67" s="7">
        <v>0</v>
      </c>
      <c r="E67" s="7">
        <v>0</v>
      </c>
      <c r="F67" s="7">
        <v>0</v>
      </c>
      <c r="G67" s="7">
        <v>0</v>
      </c>
      <c r="H67" s="7">
        <v>0</v>
      </c>
      <c r="I67" s="7">
        <v>0</v>
      </c>
      <c r="J67" s="7">
        <v>0</v>
      </c>
      <c r="K67" s="7">
        <v>0</v>
      </c>
      <c r="L67" s="7">
        <v>0</v>
      </c>
      <c r="M67" s="7">
        <v>0</v>
      </c>
      <c r="N67" s="7">
        <v>0</v>
      </c>
      <c r="O67" s="7">
        <v>0</v>
      </c>
      <c r="P67" s="7">
        <v>0</v>
      </c>
      <c r="Q67" s="7">
        <v>0</v>
      </c>
      <c r="R67" s="7">
        <v>0</v>
      </c>
      <c r="S67" s="7">
        <v>0</v>
      </c>
    </row>
    <row r="68">
      <c r="A68" s="16" t="s">
        <v>380</v>
      </c>
      <c r="B68" s="2" t="s">
        <v>365</v>
      </c>
      <c r="C68" s="7">
        <v>0</v>
      </c>
      <c r="D68" s="7">
        <v>0</v>
      </c>
      <c r="E68" s="7">
        <v>0</v>
      </c>
      <c r="F68" s="7">
        <v>0</v>
      </c>
      <c r="G68" s="7">
        <v>0</v>
      </c>
      <c r="H68" s="7">
        <v>0</v>
      </c>
      <c r="I68" s="7">
        <v>0</v>
      </c>
      <c r="J68" s="7">
        <v>0</v>
      </c>
      <c r="K68" s="7">
        <v>0</v>
      </c>
      <c r="L68" s="7">
        <v>0</v>
      </c>
      <c r="M68" s="7">
        <v>0</v>
      </c>
      <c r="N68" s="7">
        <v>0</v>
      </c>
      <c r="O68" s="7">
        <v>0</v>
      </c>
      <c r="P68" s="7">
        <v>0</v>
      </c>
      <c r="Q68" s="7">
        <v>0</v>
      </c>
      <c r="R68" s="7">
        <v>0</v>
      </c>
      <c r="S68" s="7">
        <v>0</v>
      </c>
    </row>
    <row r="69">
      <c r="A69" s="16" t="s">
        <v>381</v>
      </c>
      <c r="B69" s="2" t="s">
        <v>365</v>
      </c>
      <c r="C69" s="7">
        <v>0</v>
      </c>
      <c r="D69" s="7">
        <v>0</v>
      </c>
      <c r="E69" s="7">
        <v>0</v>
      </c>
      <c r="F69" s="7">
        <v>0</v>
      </c>
      <c r="G69" s="7">
        <v>0</v>
      </c>
      <c r="H69" s="7">
        <v>0</v>
      </c>
      <c r="I69" s="7">
        <v>0</v>
      </c>
      <c r="J69" s="7">
        <v>0</v>
      </c>
      <c r="K69" s="7">
        <v>0</v>
      </c>
      <c r="L69" s="7">
        <v>0</v>
      </c>
      <c r="M69" s="7">
        <v>0</v>
      </c>
      <c r="N69" s="7">
        <v>0</v>
      </c>
      <c r="O69" s="7">
        <v>0</v>
      </c>
      <c r="P69" s="7">
        <v>0</v>
      </c>
      <c r="Q69" s="7">
        <v>0</v>
      </c>
      <c r="R69" s="7">
        <v>0</v>
      </c>
      <c r="S69" s="7">
        <v>0</v>
      </c>
    </row>
    <row r="70">
      <c r="A70" s="16" t="s">
        <v>382</v>
      </c>
      <c r="B70" s="2" t="s">
        <v>365</v>
      </c>
      <c r="C70" s="7">
        <v>0</v>
      </c>
      <c r="D70" s="7">
        <v>0</v>
      </c>
      <c r="E70" s="7">
        <v>0</v>
      </c>
      <c r="F70" s="7">
        <v>0</v>
      </c>
      <c r="G70" s="7">
        <v>0</v>
      </c>
      <c r="H70" s="7">
        <v>0</v>
      </c>
      <c r="I70" s="7">
        <v>0</v>
      </c>
      <c r="J70" s="7">
        <v>0</v>
      </c>
      <c r="K70" s="7">
        <v>0</v>
      </c>
      <c r="L70" s="7">
        <v>0</v>
      </c>
      <c r="M70" s="7">
        <v>0</v>
      </c>
      <c r="N70" s="7">
        <v>0</v>
      </c>
      <c r="O70" s="7">
        <v>0</v>
      </c>
      <c r="P70" s="7">
        <v>0</v>
      </c>
      <c r="Q70" s="7">
        <v>0</v>
      </c>
      <c r="R70" s="7">
        <v>0</v>
      </c>
      <c r="S70" s="7">
        <v>0</v>
      </c>
    </row>
    <row r="71">
      <c r="A71" s="16" t="s">
        <v>383</v>
      </c>
      <c r="B71" s="2" t="s">
        <v>365</v>
      </c>
      <c r="C71" s="7">
        <v>0</v>
      </c>
      <c r="D71" s="7">
        <v>0</v>
      </c>
      <c r="E71" s="7">
        <v>0</v>
      </c>
      <c r="F71" s="7">
        <v>0</v>
      </c>
      <c r="G71" s="7">
        <v>0</v>
      </c>
      <c r="H71" s="7">
        <v>0</v>
      </c>
      <c r="I71" s="7">
        <v>0</v>
      </c>
      <c r="J71" s="7">
        <v>0</v>
      </c>
      <c r="K71" s="7">
        <v>0</v>
      </c>
      <c r="L71" s="7">
        <v>0</v>
      </c>
      <c r="M71" s="7">
        <v>0</v>
      </c>
      <c r="N71" s="7">
        <v>0</v>
      </c>
      <c r="O71" s="7">
        <v>0</v>
      </c>
      <c r="P71" s="7">
        <v>0</v>
      </c>
      <c r="Q71" s="7">
        <v>0</v>
      </c>
      <c r="R71" s="7">
        <v>0</v>
      </c>
      <c r="S71" s="7">
        <v>0</v>
      </c>
    </row>
    <row r="72">
      <c r="A72" s="16" t="s">
        <v>384</v>
      </c>
      <c r="B72" s="2" t="s">
        <v>365</v>
      </c>
      <c r="C72" s="7">
        <v>0</v>
      </c>
      <c r="D72" s="7">
        <v>0</v>
      </c>
      <c r="E72" s="7">
        <v>0</v>
      </c>
      <c r="F72" s="7">
        <v>0</v>
      </c>
      <c r="G72" s="7">
        <v>0</v>
      </c>
      <c r="H72" s="7">
        <v>0</v>
      </c>
      <c r="I72" s="7">
        <v>0</v>
      </c>
      <c r="J72" s="7">
        <v>0</v>
      </c>
      <c r="K72" s="7">
        <v>0</v>
      </c>
      <c r="L72" s="7">
        <v>0</v>
      </c>
      <c r="M72" s="7">
        <v>0</v>
      </c>
      <c r="N72" s="7">
        <v>0</v>
      </c>
      <c r="O72" s="7">
        <v>0</v>
      </c>
      <c r="P72" s="7">
        <v>0</v>
      </c>
      <c r="Q72" s="7">
        <v>0</v>
      </c>
      <c r="R72" s="7">
        <v>0</v>
      </c>
      <c r="S72" s="7">
        <v>0</v>
      </c>
    </row>
    <row r="73">
      <c r="A73" s="16" t="s">
        <v>385</v>
      </c>
      <c r="B73" s="2" t="s">
        <v>365</v>
      </c>
      <c r="C73" s="7">
        <v>0</v>
      </c>
      <c r="D73" s="7">
        <v>0</v>
      </c>
      <c r="E73" s="7">
        <v>0</v>
      </c>
      <c r="F73" s="7">
        <v>0</v>
      </c>
      <c r="G73" s="7">
        <v>0</v>
      </c>
      <c r="H73" s="7">
        <v>0</v>
      </c>
      <c r="I73" s="7">
        <v>0</v>
      </c>
      <c r="J73" s="7">
        <v>0</v>
      </c>
      <c r="K73" s="7">
        <v>0</v>
      </c>
      <c r="L73" s="7">
        <v>0</v>
      </c>
      <c r="M73" s="7">
        <v>0</v>
      </c>
      <c r="N73" s="7">
        <v>0</v>
      </c>
      <c r="O73" s="7">
        <v>0</v>
      </c>
      <c r="P73" s="7">
        <v>0</v>
      </c>
      <c r="Q73" s="7">
        <v>0</v>
      </c>
      <c r="R73" s="7">
        <v>0</v>
      </c>
      <c r="S73" s="7">
        <v>0</v>
      </c>
    </row>
    <row r="74">
      <c r="A74" s="16" t="s">
        <v>386</v>
      </c>
      <c r="B74" s="2" t="s">
        <v>365</v>
      </c>
      <c r="C74" s="7">
        <v>0</v>
      </c>
      <c r="D74" s="7">
        <v>0</v>
      </c>
      <c r="E74" s="7">
        <v>0</v>
      </c>
      <c r="F74" s="7">
        <v>0</v>
      </c>
      <c r="G74" s="7">
        <v>0</v>
      </c>
      <c r="H74" s="7">
        <v>0</v>
      </c>
      <c r="I74" s="7">
        <v>0</v>
      </c>
      <c r="J74" s="7">
        <v>0</v>
      </c>
      <c r="K74" s="7">
        <v>0</v>
      </c>
      <c r="L74" s="7">
        <v>0</v>
      </c>
      <c r="M74" s="7">
        <v>0</v>
      </c>
      <c r="N74" s="7">
        <v>0</v>
      </c>
      <c r="O74" s="7">
        <v>0</v>
      </c>
      <c r="P74" s="7">
        <v>0</v>
      </c>
      <c r="Q74" s="7">
        <v>0</v>
      </c>
      <c r="R74" s="7">
        <v>0</v>
      </c>
      <c r="S74" s="7">
        <v>0</v>
      </c>
    </row>
    <row r="75">
      <c r="A75" s="16" t="s">
        <v>387</v>
      </c>
      <c r="B75" s="2" t="s">
        <v>365</v>
      </c>
      <c r="C75" s="7">
        <v>0</v>
      </c>
      <c r="D75" s="7">
        <v>0</v>
      </c>
      <c r="E75" s="7">
        <v>0</v>
      </c>
      <c r="F75" s="7">
        <v>0</v>
      </c>
      <c r="G75" s="7">
        <v>0</v>
      </c>
      <c r="H75" s="7">
        <v>0</v>
      </c>
      <c r="I75" s="7">
        <v>0</v>
      </c>
      <c r="J75" s="7">
        <v>0</v>
      </c>
      <c r="K75" s="7">
        <v>0</v>
      </c>
      <c r="L75" s="7">
        <v>0</v>
      </c>
      <c r="M75" s="7">
        <v>0</v>
      </c>
      <c r="N75" s="7">
        <v>0</v>
      </c>
      <c r="O75" s="7">
        <v>0</v>
      </c>
      <c r="P75" s="7">
        <v>0</v>
      </c>
      <c r="Q75" s="7">
        <v>0</v>
      </c>
      <c r="R75" s="7">
        <v>0</v>
      </c>
      <c r="S75" s="7">
        <v>0</v>
      </c>
    </row>
    <row r="76">
      <c r="A76" s="16" t="s">
        <v>388</v>
      </c>
      <c r="B76" s="2" t="s">
        <v>365</v>
      </c>
      <c r="C76" s="7">
        <v>0</v>
      </c>
      <c r="D76" s="7">
        <v>0</v>
      </c>
      <c r="E76" s="7">
        <v>0</v>
      </c>
      <c r="F76" s="7">
        <v>0</v>
      </c>
      <c r="G76" s="7">
        <v>0</v>
      </c>
      <c r="H76" s="7">
        <v>0</v>
      </c>
      <c r="I76" s="7">
        <v>0</v>
      </c>
      <c r="J76" s="7">
        <v>0</v>
      </c>
      <c r="K76" s="7">
        <v>0</v>
      </c>
      <c r="L76" s="7">
        <v>0</v>
      </c>
      <c r="M76" s="7">
        <v>0</v>
      </c>
      <c r="N76" s="7">
        <v>0</v>
      </c>
      <c r="O76" s="7">
        <v>0</v>
      </c>
      <c r="P76" s="7">
        <v>0</v>
      </c>
      <c r="Q76" s="7">
        <v>0</v>
      </c>
      <c r="R76" s="7">
        <v>0</v>
      </c>
      <c r="S76" s="7">
        <v>0</v>
      </c>
    </row>
    <row r="77">
      <c r="A77" s="16" t="s">
        <v>389</v>
      </c>
      <c r="B77" s="2" t="s">
        <v>365</v>
      </c>
      <c r="C77" s="7">
        <v>0</v>
      </c>
      <c r="D77" s="7">
        <v>0</v>
      </c>
      <c r="E77" s="7">
        <v>0</v>
      </c>
      <c r="F77" s="7">
        <v>0</v>
      </c>
      <c r="G77" s="7">
        <v>0</v>
      </c>
      <c r="H77" s="7">
        <v>0</v>
      </c>
      <c r="I77" s="7">
        <v>0</v>
      </c>
      <c r="J77" s="7">
        <v>0</v>
      </c>
      <c r="K77" s="7">
        <v>0</v>
      </c>
      <c r="L77" s="7">
        <v>0</v>
      </c>
      <c r="M77" s="7">
        <v>0</v>
      </c>
      <c r="N77" s="7">
        <v>0</v>
      </c>
      <c r="O77" s="7">
        <v>0</v>
      </c>
      <c r="P77" s="7">
        <v>0</v>
      </c>
      <c r="Q77" s="7">
        <v>0</v>
      </c>
      <c r="R77" s="7">
        <v>0</v>
      </c>
      <c r="S77" s="7">
        <v>0</v>
      </c>
    </row>
    <row r="78">
      <c r="A78" s="16" t="s">
        <v>390</v>
      </c>
      <c r="B78" s="2" t="s">
        <v>365</v>
      </c>
      <c r="C78" s="7">
        <v>0</v>
      </c>
      <c r="D78" s="7">
        <v>0</v>
      </c>
      <c r="E78" s="7">
        <v>0</v>
      </c>
      <c r="F78" s="7">
        <v>0</v>
      </c>
      <c r="G78" s="7">
        <v>0</v>
      </c>
      <c r="H78" s="7">
        <v>0</v>
      </c>
      <c r="I78" s="7">
        <v>0</v>
      </c>
      <c r="J78" s="7">
        <v>0</v>
      </c>
      <c r="K78" s="7">
        <v>0</v>
      </c>
      <c r="L78" s="7">
        <v>0</v>
      </c>
      <c r="M78" s="7">
        <v>0</v>
      </c>
      <c r="N78" s="7">
        <v>0</v>
      </c>
      <c r="O78" s="7">
        <v>0</v>
      </c>
      <c r="P78" s="7">
        <v>0</v>
      </c>
      <c r="Q78" s="7">
        <v>0</v>
      </c>
      <c r="R78" s="7">
        <v>0</v>
      </c>
      <c r="S78" s="7">
        <v>0</v>
      </c>
    </row>
    <row r="79">
      <c r="A79" s="16" t="s">
        <v>391</v>
      </c>
      <c r="B79" s="2" t="s">
        <v>365</v>
      </c>
      <c r="C79" s="7">
        <v>0</v>
      </c>
      <c r="D79" s="7">
        <v>0</v>
      </c>
      <c r="E79" s="7">
        <v>0</v>
      </c>
      <c r="F79" s="7">
        <v>0</v>
      </c>
      <c r="G79" s="7">
        <v>0</v>
      </c>
      <c r="H79" s="7">
        <v>0</v>
      </c>
      <c r="I79" s="7">
        <v>0</v>
      </c>
      <c r="J79" s="7">
        <v>0</v>
      </c>
      <c r="K79" s="7">
        <v>0</v>
      </c>
      <c r="L79" s="7">
        <v>0</v>
      </c>
      <c r="M79" s="7">
        <v>0</v>
      </c>
      <c r="N79" s="7">
        <v>0</v>
      </c>
      <c r="O79" s="7">
        <v>0</v>
      </c>
      <c r="P79" s="7">
        <v>0</v>
      </c>
      <c r="Q79" s="7">
        <v>0</v>
      </c>
      <c r="R79" s="7">
        <v>0</v>
      </c>
      <c r="S79" s="7">
        <v>0</v>
      </c>
    </row>
    <row r="80">
      <c r="A80" s="16" t="s">
        <v>392</v>
      </c>
      <c r="B80" s="2" t="s">
        <v>365</v>
      </c>
      <c r="C80" s="7">
        <v>0</v>
      </c>
      <c r="D80" s="7">
        <v>0</v>
      </c>
      <c r="E80" s="7">
        <v>0</v>
      </c>
      <c r="F80" s="7">
        <v>0</v>
      </c>
      <c r="G80" s="7">
        <v>0</v>
      </c>
      <c r="H80" s="7">
        <v>0</v>
      </c>
      <c r="I80" s="7">
        <v>0</v>
      </c>
      <c r="J80" s="7">
        <v>0</v>
      </c>
      <c r="K80" s="7">
        <v>0</v>
      </c>
      <c r="L80" s="7">
        <v>0</v>
      </c>
      <c r="M80" s="7">
        <v>0</v>
      </c>
      <c r="N80" s="7">
        <v>0</v>
      </c>
      <c r="O80" s="7">
        <v>0</v>
      </c>
      <c r="P80" s="7">
        <v>0</v>
      </c>
      <c r="Q80" s="7">
        <v>0</v>
      </c>
      <c r="R80" s="7">
        <v>0</v>
      </c>
      <c r="S80" s="7">
        <v>0</v>
      </c>
    </row>
    <row r="81">
      <c r="A81" s="16" t="s">
        <v>393</v>
      </c>
      <c r="B81" s="2" t="s">
        <v>365</v>
      </c>
      <c r="C81" s="7">
        <v>0</v>
      </c>
      <c r="D81" s="7">
        <v>0</v>
      </c>
      <c r="E81" s="7">
        <v>0</v>
      </c>
      <c r="F81" s="7">
        <v>0</v>
      </c>
      <c r="G81" s="7">
        <v>0</v>
      </c>
      <c r="H81" s="7">
        <v>0</v>
      </c>
      <c r="I81" s="7">
        <v>0</v>
      </c>
      <c r="J81" s="7">
        <v>0</v>
      </c>
      <c r="K81" s="7">
        <v>0</v>
      </c>
      <c r="L81" s="7">
        <v>0</v>
      </c>
      <c r="M81" s="7">
        <v>0</v>
      </c>
      <c r="N81" s="7">
        <v>0</v>
      </c>
      <c r="O81" s="7">
        <v>0</v>
      </c>
      <c r="P81" s="7">
        <v>0</v>
      </c>
      <c r="Q81" s="7">
        <v>0</v>
      </c>
      <c r="R81" s="7">
        <v>0</v>
      </c>
      <c r="S81" s="7">
        <v>0</v>
      </c>
    </row>
    <row r="82">
      <c r="A82" s="16" t="s">
        <v>394</v>
      </c>
      <c r="B82" s="2" t="s">
        <v>365</v>
      </c>
      <c r="C82" s="7">
        <v>0</v>
      </c>
      <c r="D82" s="7">
        <v>0</v>
      </c>
      <c r="E82" s="7">
        <v>0</v>
      </c>
      <c r="F82" s="7">
        <v>0</v>
      </c>
      <c r="G82" s="7">
        <v>0</v>
      </c>
      <c r="H82" s="7">
        <v>0</v>
      </c>
      <c r="I82" s="7">
        <v>0</v>
      </c>
      <c r="J82" s="7">
        <v>0</v>
      </c>
      <c r="K82" s="7">
        <v>0</v>
      </c>
      <c r="L82" s="7">
        <v>0</v>
      </c>
      <c r="M82" s="7">
        <v>0</v>
      </c>
      <c r="N82" s="7">
        <v>0</v>
      </c>
      <c r="O82" s="7">
        <v>0</v>
      </c>
      <c r="P82" s="7">
        <v>0</v>
      </c>
      <c r="Q82" s="7">
        <v>0</v>
      </c>
      <c r="R82" s="7">
        <v>0</v>
      </c>
      <c r="S82" s="7">
        <v>0</v>
      </c>
    </row>
    <row r="83">
      <c r="A83" s="16" t="s">
        <v>395</v>
      </c>
      <c r="B83" s="2" t="s">
        <v>365</v>
      </c>
      <c r="C83" s="7">
        <v>0</v>
      </c>
      <c r="D83" s="7">
        <v>0</v>
      </c>
      <c r="E83" s="7">
        <v>0</v>
      </c>
      <c r="F83" s="7">
        <v>0</v>
      </c>
      <c r="G83" s="7">
        <v>0</v>
      </c>
      <c r="H83" s="7">
        <v>0</v>
      </c>
      <c r="I83" s="7">
        <v>0</v>
      </c>
      <c r="J83" s="7">
        <v>0</v>
      </c>
      <c r="K83" s="7">
        <v>0</v>
      </c>
      <c r="L83" s="7">
        <v>0</v>
      </c>
      <c r="M83" s="7">
        <v>0</v>
      </c>
      <c r="N83" s="7">
        <v>0</v>
      </c>
      <c r="O83" s="7">
        <v>0</v>
      </c>
      <c r="P83" s="7">
        <v>0</v>
      </c>
      <c r="Q83" s="7">
        <v>0</v>
      </c>
      <c r="R83" s="7">
        <v>0</v>
      </c>
      <c r="S83" s="7">
        <v>0</v>
      </c>
    </row>
    <row r="84">
      <c r="A84" s="16" t="s">
        <v>396</v>
      </c>
      <c r="B84" s="2" t="s">
        <v>365</v>
      </c>
      <c r="C84" s="7">
        <v>0</v>
      </c>
      <c r="D84" s="7">
        <v>0</v>
      </c>
      <c r="E84" s="7">
        <v>0</v>
      </c>
      <c r="F84" s="7">
        <v>0</v>
      </c>
      <c r="G84" s="7">
        <v>0</v>
      </c>
      <c r="H84" s="7">
        <v>0</v>
      </c>
      <c r="I84" s="7">
        <v>0</v>
      </c>
      <c r="J84" s="7">
        <v>0</v>
      </c>
      <c r="K84" s="7">
        <v>0</v>
      </c>
      <c r="L84" s="7">
        <v>0</v>
      </c>
      <c r="M84" s="7">
        <v>0</v>
      </c>
      <c r="N84" s="7">
        <v>0</v>
      </c>
      <c r="O84" s="7">
        <v>0</v>
      </c>
      <c r="P84" s="7">
        <v>0</v>
      </c>
      <c r="Q84" s="7">
        <v>0</v>
      </c>
      <c r="R84" s="7">
        <v>0</v>
      </c>
      <c r="S84" s="7">
        <v>0</v>
      </c>
    </row>
    <row r="85">
      <c r="A85" s="16" t="s">
        <v>397</v>
      </c>
      <c r="B85" s="2" t="s">
        <v>365</v>
      </c>
      <c r="C85" s="7">
        <v>0</v>
      </c>
      <c r="D85" s="7">
        <v>0</v>
      </c>
      <c r="E85" s="7">
        <v>0</v>
      </c>
      <c r="F85" s="7">
        <v>0</v>
      </c>
      <c r="G85" s="7">
        <v>0</v>
      </c>
      <c r="H85" s="7">
        <v>0</v>
      </c>
      <c r="I85" s="7">
        <v>0</v>
      </c>
      <c r="J85" s="7">
        <v>0</v>
      </c>
      <c r="K85" s="7">
        <v>0</v>
      </c>
      <c r="L85" s="7">
        <v>0</v>
      </c>
      <c r="M85" s="7">
        <v>0</v>
      </c>
      <c r="N85" s="7">
        <v>0</v>
      </c>
      <c r="O85" s="7">
        <v>0</v>
      </c>
      <c r="P85" s="7">
        <v>0</v>
      </c>
      <c r="Q85" s="7">
        <v>0</v>
      </c>
      <c r="R85" s="7">
        <v>0</v>
      </c>
      <c r="S85" s="7">
        <v>0</v>
      </c>
    </row>
    <row r="86">
      <c r="A86" s="16" t="s">
        <v>398</v>
      </c>
      <c r="B86" s="2" t="s">
        <v>365</v>
      </c>
      <c r="C86" s="7">
        <v>0</v>
      </c>
      <c r="D86" s="7">
        <v>0</v>
      </c>
      <c r="E86" s="7">
        <v>0</v>
      </c>
      <c r="F86" s="7">
        <v>0</v>
      </c>
      <c r="G86" s="7">
        <v>0</v>
      </c>
      <c r="H86" s="7">
        <v>0</v>
      </c>
      <c r="I86" s="7">
        <v>0</v>
      </c>
      <c r="J86" s="7">
        <v>0</v>
      </c>
      <c r="K86" s="7">
        <v>0</v>
      </c>
      <c r="L86" s="7">
        <v>0</v>
      </c>
      <c r="M86" s="7">
        <v>0</v>
      </c>
      <c r="N86" s="7">
        <v>0</v>
      </c>
      <c r="O86" s="7">
        <v>0</v>
      </c>
      <c r="P86" s="7">
        <v>0</v>
      </c>
      <c r="Q86" s="7">
        <v>0</v>
      </c>
      <c r="R86" s="7">
        <v>0</v>
      </c>
      <c r="S86" s="7">
        <v>0</v>
      </c>
    </row>
    <row r="87">
      <c r="A87" s="16" t="s">
        <v>399</v>
      </c>
      <c r="B87" s="2" t="s">
        <v>365</v>
      </c>
      <c r="C87" s="7">
        <v>0</v>
      </c>
      <c r="D87" s="7">
        <v>0</v>
      </c>
      <c r="E87" s="7">
        <v>0</v>
      </c>
      <c r="F87" s="7">
        <v>0</v>
      </c>
      <c r="G87" s="7">
        <v>0</v>
      </c>
      <c r="H87" s="7">
        <v>0</v>
      </c>
      <c r="I87" s="7">
        <v>0</v>
      </c>
      <c r="J87" s="7">
        <v>0</v>
      </c>
      <c r="K87" s="7">
        <v>0</v>
      </c>
      <c r="L87" s="7">
        <v>0</v>
      </c>
      <c r="M87" s="7">
        <v>0</v>
      </c>
      <c r="N87" s="7">
        <v>0</v>
      </c>
      <c r="O87" s="7">
        <v>0</v>
      </c>
      <c r="P87" s="7">
        <v>0</v>
      </c>
      <c r="Q87" s="7">
        <v>0</v>
      </c>
      <c r="R87" s="7">
        <v>0</v>
      </c>
      <c r="S87" s="7">
        <v>0</v>
      </c>
    </row>
    <row r="88">
      <c r="A88" s="16" t="s">
        <v>400</v>
      </c>
      <c r="B88" s="2" t="s">
        <v>365</v>
      </c>
      <c r="C88" s="7">
        <v>0</v>
      </c>
      <c r="D88" s="7">
        <v>0</v>
      </c>
      <c r="E88" s="7">
        <v>0</v>
      </c>
      <c r="F88" s="7">
        <v>0</v>
      </c>
      <c r="G88" s="7">
        <v>0</v>
      </c>
      <c r="H88" s="7">
        <v>0</v>
      </c>
      <c r="I88" s="7">
        <v>0</v>
      </c>
      <c r="J88" s="7">
        <v>0</v>
      </c>
      <c r="K88" s="7">
        <v>0</v>
      </c>
      <c r="L88" s="7">
        <v>0</v>
      </c>
      <c r="M88" s="7">
        <v>0</v>
      </c>
      <c r="N88" s="7">
        <v>0</v>
      </c>
      <c r="O88" s="7">
        <v>0</v>
      </c>
      <c r="P88" s="7">
        <v>0</v>
      </c>
      <c r="Q88" s="7">
        <v>0</v>
      </c>
      <c r="R88" s="7">
        <v>0</v>
      </c>
      <c r="S88" s="7">
        <v>0</v>
      </c>
    </row>
    <row r="89">
      <c r="A89" s="16" t="s">
        <v>401</v>
      </c>
      <c r="B89" s="2" t="s">
        <v>365</v>
      </c>
      <c r="C89" s="7">
        <v>0</v>
      </c>
      <c r="D89" s="7">
        <v>0</v>
      </c>
      <c r="E89" s="7">
        <v>0</v>
      </c>
      <c r="F89" s="7">
        <v>0</v>
      </c>
      <c r="G89" s="7">
        <v>0</v>
      </c>
      <c r="H89" s="7">
        <v>0</v>
      </c>
      <c r="I89" s="7">
        <v>0</v>
      </c>
      <c r="J89" s="7">
        <v>0</v>
      </c>
      <c r="K89" s="7">
        <v>0</v>
      </c>
      <c r="L89" s="7">
        <v>0</v>
      </c>
      <c r="M89" s="7">
        <v>0</v>
      </c>
      <c r="N89" s="7">
        <v>0</v>
      </c>
      <c r="O89" s="7">
        <v>0</v>
      </c>
      <c r="P89" s="7">
        <v>0</v>
      </c>
      <c r="Q89" s="7">
        <v>0</v>
      </c>
      <c r="R89" s="7">
        <v>0</v>
      </c>
      <c r="S89" s="7">
        <v>0</v>
      </c>
    </row>
    <row r="90">
      <c r="A90" s="16" t="s">
        <v>402</v>
      </c>
      <c r="B90" s="2" t="s">
        <v>365</v>
      </c>
      <c r="C90" s="7">
        <v>0</v>
      </c>
      <c r="D90" s="7">
        <v>0</v>
      </c>
      <c r="E90" s="7">
        <v>0</v>
      </c>
      <c r="F90" s="7">
        <v>0</v>
      </c>
      <c r="G90" s="7">
        <v>0</v>
      </c>
      <c r="H90" s="7">
        <v>0</v>
      </c>
      <c r="I90" s="7">
        <v>0</v>
      </c>
      <c r="J90" s="7">
        <v>0</v>
      </c>
      <c r="K90" s="7">
        <v>0</v>
      </c>
      <c r="L90" s="7">
        <v>0</v>
      </c>
      <c r="M90" s="7">
        <v>0</v>
      </c>
      <c r="N90" s="7">
        <v>0</v>
      </c>
      <c r="O90" s="7">
        <v>0</v>
      </c>
      <c r="P90" s="7">
        <v>0</v>
      </c>
      <c r="Q90" s="7">
        <v>0</v>
      </c>
      <c r="R90" s="7">
        <v>0</v>
      </c>
      <c r="S90" s="7">
        <v>0</v>
      </c>
    </row>
    <row r="91">
      <c r="A91" s="16" t="s">
        <v>403</v>
      </c>
      <c r="B91" s="2" t="s">
        <v>365</v>
      </c>
      <c r="C91" s="7">
        <v>0</v>
      </c>
      <c r="D91" s="7">
        <v>0</v>
      </c>
      <c r="E91" s="7">
        <v>0</v>
      </c>
      <c r="F91" s="7">
        <v>0</v>
      </c>
      <c r="G91" s="7">
        <v>0</v>
      </c>
      <c r="H91" s="7">
        <v>0</v>
      </c>
      <c r="I91" s="7">
        <v>0</v>
      </c>
      <c r="J91" s="7">
        <v>0</v>
      </c>
      <c r="K91" s="7">
        <v>0</v>
      </c>
      <c r="L91" s="7">
        <v>0</v>
      </c>
      <c r="M91" s="7">
        <v>0</v>
      </c>
      <c r="N91" s="7">
        <v>0</v>
      </c>
      <c r="O91" s="7">
        <v>0</v>
      </c>
      <c r="P91" s="7">
        <v>0</v>
      </c>
      <c r="Q91" s="7">
        <v>0</v>
      </c>
      <c r="R91" s="7">
        <v>0</v>
      </c>
      <c r="S91" s="7">
        <v>0</v>
      </c>
    </row>
    <row r="92">
      <c r="A92" s="16" t="s">
        <v>404</v>
      </c>
      <c r="B92" s="2" t="s">
        <v>365</v>
      </c>
      <c r="C92" s="7">
        <v>0</v>
      </c>
      <c r="D92" s="7">
        <v>0</v>
      </c>
      <c r="E92" s="7">
        <v>0</v>
      </c>
      <c r="F92" s="7">
        <v>0</v>
      </c>
      <c r="G92" s="7">
        <v>0</v>
      </c>
      <c r="H92" s="7">
        <v>0</v>
      </c>
      <c r="I92" s="7">
        <v>0</v>
      </c>
      <c r="J92" s="7">
        <v>0</v>
      </c>
      <c r="K92" s="7">
        <v>0</v>
      </c>
      <c r="L92" s="7">
        <v>0</v>
      </c>
      <c r="M92" s="7">
        <v>0</v>
      </c>
      <c r="N92" s="7">
        <v>0</v>
      </c>
      <c r="O92" s="7">
        <v>0</v>
      </c>
      <c r="P92" s="7">
        <v>0</v>
      </c>
      <c r="Q92" s="7">
        <v>0</v>
      </c>
      <c r="R92" s="7">
        <v>0</v>
      </c>
      <c r="S92" s="7">
        <v>0</v>
      </c>
    </row>
    <row r="93">
      <c r="A93" s="16" t="s">
        <v>405</v>
      </c>
      <c r="B93" s="2" t="s">
        <v>365</v>
      </c>
      <c r="C93" s="7">
        <v>0</v>
      </c>
      <c r="D93" s="7">
        <v>0</v>
      </c>
      <c r="E93" s="7">
        <v>0</v>
      </c>
      <c r="F93" s="7">
        <v>0</v>
      </c>
      <c r="G93" s="7">
        <v>0</v>
      </c>
      <c r="H93" s="7">
        <v>0</v>
      </c>
      <c r="I93" s="7">
        <v>0</v>
      </c>
      <c r="J93" s="7">
        <v>0</v>
      </c>
      <c r="K93" s="7">
        <v>0</v>
      </c>
      <c r="L93" s="7">
        <v>0</v>
      </c>
      <c r="M93" s="7">
        <v>0</v>
      </c>
      <c r="N93" s="7">
        <v>0</v>
      </c>
      <c r="O93" s="7">
        <v>0</v>
      </c>
      <c r="P93" s="7">
        <v>0</v>
      </c>
      <c r="Q93" s="7">
        <v>0</v>
      </c>
      <c r="R93" s="7">
        <v>0</v>
      </c>
      <c r="S93" s="7">
        <v>0</v>
      </c>
    </row>
    <row r="94">
      <c r="A94" s="16" t="s">
        <v>406</v>
      </c>
      <c r="B94" s="2" t="s">
        <v>365</v>
      </c>
      <c r="C94" s="7">
        <v>0</v>
      </c>
      <c r="D94" s="7">
        <v>0</v>
      </c>
      <c r="E94" s="7">
        <v>0</v>
      </c>
      <c r="F94" s="7">
        <v>0</v>
      </c>
      <c r="G94" s="7">
        <v>0</v>
      </c>
      <c r="H94" s="7">
        <v>0</v>
      </c>
      <c r="I94" s="7">
        <v>0</v>
      </c>
      <c r="J94" s="7">
        <v>0</v>
      </c>
      <c r="K94" s="7">
        <v>0</v>
      </c>
      <c r="L94" s="7">
        <v>0</v>
      </c>
      <c r="M94" s="7">
        <v>0</v>
      </c>
      <c r="N94" s="7">
        <v>0</v>
      </c>
      <c r="O94" s="7">
        <v>0</v>
      </c>
      <c r="P94" s="7">
        <v>0</v>
      </c>
      <c r="Q94" s="7">
        <v>0</v>
      </c>
      <c r="R94" s="7">
        <v>0</v>
      </c>
      <c r="S94" s="7">
        <v>0</v>
      </c>
    </row>
    <row r="95">
      <c r="A95" s="16" t="s">
        <v>407</v>
      </c>
      <c r="B95" s="2" t="s">
        <v>365</v>
      </c>
      <c r="C95" s="7">
        <v>0</v>
      </c>
      <c r="D95" s="7">
        <v>0</v>
      </c>
      <c r="E95" s="7">
        <v>0</v>
      </c>
      <c r="F95" s="7">
        <v>0</v>
      </c>
      <c r="G95" s="7">
        <v>0</v>
      </c>
      <c r="H95" s="7">
        <v>0</v>
      </c>
      <c r="I95" s="7">
        <v>0</v>
      </c>
      <c r="J95" s="7">
        <v>0</v>
      </c>
      <c r="K95" s="7">
        <v>0</v>
      </c>
      <c r="L95" s="7">
        <v>0</v>
      </c>
      <c r="M95" s="7">
        <v>0</v>
      </c>
      <c r="N95" s="7">
        <v>0</v>
      </c>
      <c r="O95" s="7">
        <v>0</v>
      </c>
      <c r="P95" s="7">
        <v>0</v>
      </c>
      <c r="Q95" s="7">
        <v>0</v>
      </c>
      <c r="R95" s="7">
        <v>0</v>
      </c>
      <c r="S95" s="7">
        <v>0</v>
      </c>
    </row>
    <row r="96">
      <c r="A96" s="16" t="s">
        <v>408</v>
      </c>
      <c r="B96" s="2" t="s">
        <v>365</v>
      </c>
      <c r="C96" s="7">
        <v>0</v>
      </c>
      <c r="D96" s="7">
        <v>0</v>
      </c>
      <c r="E96" s="7">
        <v>0</v>
      </c>
      <c r="F96" s="7">
        <v>0</v>
      </c>
      <c r="G96" s="7">
        <v>0</v>
      </c>
      <c r="H96" s="7">
        <v>0</v>
      </c>
      <c r="I96" s="7">
        <v>0</v>
      </c>
      <c r="J96" s="7">
        <v>0</v>
      </c>
      <c r="K96" s="7">
        <v>0</v>
      </c>
      <c r="L96" s="7">
        <v>0</v>
      </c>
      <c r="M96" s="7">
        <v>0</v>
      </c>
      <c r="N96" s="7">
        <v>0</v>
      </c>
      <c r="O96" s="7">
        <v>0</v>
      </c>
      <c r="P96" s="7">
        <v>0</v>
      </c>
      <c r="Q96" s="7">
        <v>0</v>
      </c>
      <c r="R96" s="7">
        <v>0</v>
      </c>
      <c r="S96" s="7">
        <v>0</v>
      </c>
    </row>
    <row r="97">
      <c r="A97" s="16" t="s">
        <v>409</v>
      </c>
      <c r="B97" s="2" t="s">
        <v>365</v>
      </c>
      <c r="C97" s="7">
        <v>0</v>
      </c>
      <c r="D97" s="7">
        <v>0</v>
      </c>
      <c r="E97" s="7">
        <v>0</v>
      </c>
      <c r="F97" s="7">
        <v>0</v>
      </c>
      <c r="G97" s="7">
        <v>0</v>
      </c>
      <c r="H97" s="7">
        <v>0</v>
      </c>
      <c r="I97" s="7">
        <v>0</v>
      </c>
      <c r="J97" s="7">
        <v>0</v>
      </c>
      <c r="K97" s="7">
        <v>0</v>
      </c>
      <c r="L97" s="7">
        <v>0</v>
      </c>
      <c r="M97" s="7">
        <v>0</v>
      </c>
      <c r="N97" s="7">
        <v>0</v>
      </c>
      <c r="O97" s="7">
        <v>0</v>
      </c>
      <c r="P97" s="7">
        <v>0</v>
      </c>
      <c r="Q97" s="7">
        <v>0</v>
      </c>
      <c r="R97" s="7">
        <v>0</v>
      </c>
      <c r="S97" s="7">
        <v>0</v>
      </c>
    </row>
    <row r="98">
      <c r="A98" s="16" t="s">
        <v>410</v>
      </c>
      <c r="B98" s="2" t="s">
        <v>365</v>
      </c>
      <c r="C98" s="7">
        <v>0</v>
      </c>
      <c r="D98" s="7">
        <v>0</v>
      </c>
      <c r="E98" s="7">
        <v>0</v>
      </c>
      <c r="F98" s="7">
        <v>0</v>
      </c>
      <c r="G98" s="7">
        <v>0</v>
      </c>
      <c r="H98" s="7">
        <v>0</v>
      </c>
      <c r="I98" s="7">
        <v>0</v>
      </c>
      <c r="J98" s="7">
        <v>0</v>
      </c>
      <c r="K98" s="7">
        <v>0</v>
      </c>
      <c r="L98" s="7">
        <v>0</v>
      </c>
      <c r="M98" s="7">
        <v>0</v>
      </c>
      <c r="N98" s="7">
        <v>0</v>
      </c>
      <c r="O98" s="7">
        <v>0</v>
      </c>
      <c r="P98" s="7">
        <v>0</v>
      </c>
      <c r="Q98" s="7">
        <v>0</v>
      </c>
      <c r="R98" s="7">
        <v>0</v>
      </c>
      <c r="S98" s="7">
        <v>0</v>
      </c>
    </row>
    <row r="99">
      <c r="A99" s="17" t="s">
        <v>411</v>
      </c>
      <c r="C99" s="19">
        <f>SUM(C6:C52)</f>
        <v>141409</v>
      </c>
      <c r="D99" s="19">
        <f>SUM(D6:D52)</f>
        <v>144837</v>
      </c>
      <c r="E99" s="19">
        <f>SUM(E6:E52)</f>
        <v>158018</v>
      </c>
      <c r="F99" s="19">
        <f>SUM(F6:F52)</f>
        <v>160054</v>
      </c>
      <c r="G99" s="19">
        <f>SUM(G6:G52)</f>
        <v>153796</v>
      </c>
      <c r="H99" s="19">
        <f>SUM(H6:H52)</f>
        <v>152429</v>
      </c>
      <c r="I99" s="19">
        <f>SUM(I6:I52)</f>
        <v>161079</v>
      </c>
      <c r="J99" s="19">
        <f>SUM(J6:J52)</f>
        <v>159814</v>
      </c>
      <c r="K99" s="19">
        <f>SUM(K6:K52)</f>
        <v>175856</v>
      </c>
      <c r="L99" s="19">
        <f>SUM(L6:L52)</f>
        <v>169030</v>
      </c>
      <c r="M99" s="19">
        <f>SUM(M6:M52)</f>
        <v>176594</v>
      </c>
      <c r="N99" s="19">
        <f>SUM(N6:N52)</f>
        <v>165044</v>
      </c>
      <c r="O99" s="19">
        <f>SUM(O6:O52)</f>
        <v>164529</v>
      </c>
      <c r="P99" s="19">
        <f>SUM(P6:P52)</f>
        <v>169335</v>
      </c>
      <c r="Q99" s="19">
        <f>SUM(Q6:Q52)</f>
        <v>176816</v>
      </c>
      <c r="R99" s="19">
        <f>SUM(R6:R52)</f>
        <v>178830</v>
      </c>
      <c r="S99" s="19">
        <f>SUM(S6:S52)</f>
        <v>189667</v>
      </c>
    </row>
    <row r="100">
      <c r="A100" s="17" t="s">
        <v>412</v>
      </c>
      <c r="C100" s="19">
        <f>SUM(C53:C98)</f>
        <v>0</v>
      </c>
      <c r="D100" s="19">
        <f>SUM(D53:D98)</f>
        <v>0</v>
      </c>
      <c r="E100" s="19">
        <f>SUM(E53:E98)</f>
        <v>0</v>
      </c>
      <c r="F100" s="19">
        <f>SUM(F53:F98)</f>
        <v>0</v>
      </c>
      <c r="G100" s="19">
        <f>SUM(G53:G98)</f>
        <v>0</v>
      </c>
      <c r="H100" s="19">
        <f>SUM(H53:H98)</f>
        <v>0</v>
      </c>
      <c r="I100" s="19">
        <f>SUM(I53:I98)</f>
        <v>0</v>
      </c>
      <c r="J100" s="19">
        <f>SUM(J53:J98)</f>
        <v>0</v>
      </c>
      <c r="K100" s="19">
        <f>SUM(K53:K98)</f>
        <v>0</v>
      </c>
      <c r="L100" s="19">
        <f>SUM(L53:L98)</f>
        <v>0</v>
      </c>
      <c r="M100" s="19">
        <f>SUM(M53:M98)</f>
        <v>0</v>
      </c>
      <c r="N100" s="19">
        <f>SUM(N53:N98)</f>
        <v>0</v>
      </c>
      <c r="O100" s="19">
        <f>SUM(O53:O98)</f>
        <v>0</v>
      </c>
      <c r="P100" s="19">
        <f>SUM(P53:P98)</f>
        <v>0</v>
      </c>
      <c r="Q100" s="19">
        <f>SUM(Q53:Q98)</f>
        <v>0</v>
      </c>
      <c r="R100" s="19">
        <f>SUM(R53:R98)</f>
        <v>0</v>
      </c>
      <c r="S100" s="19">
        <f>SUM(S53:S98)</f>
        <v>0</v>
      </c>
    </row>
    <row r="101">
      <c r="A101" s="17" t="s">
        <v>112</v>
      </c>
      <c r="C101" s="20">
        <f>C99+C100</f>
        <v>141409</v>
      </c>
      <c r="D101" s="20">
        <f>D99+D100</f>
        <v>144837</v>
      </c>
      <c r="E101" s="20">
        <f>E99+E100</f>
        <v>158018</v>
      </c>
      <c r="F101" s="20">
        <f>F99+F100</f>
        <v>160054</v>
      </c>
      <c r="G101" s="20">
        <f>G99+G100</f>
        <v>153796</v>
      </c>
      <c r="H101" s="20">
        <f>H99+H100</f>
        <v>152429</v>
      </c>
      <c r="I101" s="20">
        <f>I99+I100</f>
        <v>161079</v>
      </c>
      <c r="J101" s="20">
        <f>J99+J100</f>
        <v>159814</v>
      </c>
      <c r="K101" s="20">
        <f>K99+K100</f>
        <v>175856</v>
      </c>
      <c r="L101" s="20">
        <f>L99+L100</f>
        <v>169030</v>
      </c>
      <c r="M101" s="20">
        <f>M99+M100</f>
        <v>176594</v>
      </c>
      <c r="N101" s="20">
        <f>N99+N100</f>
        <v>165044</v>
      </c>
      <c r="O101" s="20">
        <f>O99+O100</f>
        <v>164529</v>
      </c>
      <c r="P101" s="20">
        <f>P99+P100</f>
        <v>169335</v>
      </c>
      <c r="Q101" s="20">
        <f>Q99+Q100</f>
        <v>176816</v>
      </c>
      <c r="R101" s="20">
        <f>R99+R100</f>
        <v>178830</v>
      </c>
      <c r="S101" s="20">
        <f>S99+S100</f>
        <v>189667</v>
      </c>
    </row>
    <row r="105">
      <c r="A105" s="4" t="s">
        <v>413</v>
      </c>
      <c r="B105" s="3" t="s">
        <v>320</v>
      </c>
      <c r="C105" s="3" t="s">
        <v>35</v>
      </c>
      <c r="D105" s="3" t="s">
        <v>36</v>
      </c>
      <c r="E105" s="3" t="s">
        <v>37</v>
      </c>
      <c r="F105" s="3" t="s">
        <v>38</v>
      </c>
      <c r="G105" s="3" t="s">
        <v>39</v>
      </c>
      <c r="H105" s="3" t="s">
        <v>40</v>
      </c>
      <c r="I105" s="3" t="s">
        <v>41</v>
      </c>
      <c r="J105" s="3" t="s">
        <v>42</v>
      </c>
      <c r="K105" s="3" t="s">
        <v>43</v>
      </c>
      <c r="L105" s="3" t="s">
        <v>44</v>
      </c>
      <c r="M105" s="3" t="s">
        <v>45</v>
      </c>
      <c r="N105" s="3" t="s">
        <v>46</v>
      </c>
      <c r="O105" s="3" t="s">
        <v>47</v>
      </c>
      <c r="P105" s="3" t="s">
        <v>48</v>
      </c>
      <c r="Q105" s="3" t="s">
        <v>49</v>
      </c>
      <c r="R105" s="3" t="s">
        <v>50</v>
      </c>
      <c r="S105" s="3" t="s">
        <v>110</v>
      </c>
    </row>
    <row r="106">
      <c r="A106" s="16" t="s">
        <v>321</v>
      </c>
      <c r="B106" s="2" t="s">
        <v>322</v>
      </c>
      <c r="C106" s="7">
        <v>41800</v>
      </c>
      <c r="D106" s="7">
        <v>34700</v>
      </c>
      <c r="E106" s="7">
        <v>42100</v>
      </c>
      <c r="F106" s="7">
        <v>41800</v>
      </c>
      <c r="G106" s="7">
        <v>37300</v>
      </c>
      <c r="H106" s="7">
        <v>36100</v>
      </c>
      <c r="I106" s="7">
        <v>45600</v>
      </c>
      <c r="J106" s="7">
        <v>39500</v>
      </c>
      <c r="K106" s="7">
        <v>49700</v>
      </c>
      <c r="L106" s="7">
        <v>42000</v>
      </c>
      <c r="M106" s="7">
        <v>49700</v>
      </c>
      <c r="N106" s="7">
        <v>36400</v>
      </c>
      <c r="O106" s="7">
        <v>39800</v>
      </c>
      <c r="P106" s="7">
        <v>44900</v>
      </c>
      <c r="Q106" s="7">
        <v>44500</v>
      </c>
      <c r="R106" s="7">
        <v>38000</v>
      </c>
      <c r="S106" s="7">
        <v>47500</v>
      </c>
    </row>
    <row r="107">
      <c r="A107" s="16" t="s">
        <v>125</v>
      </c>
      <c r="B107" s="2" t="s">
        <v>322</v>
      </c>
      <c r="C107" s="7">
        <v>650</v>
      </c>
      <c r="D107" s="7">
        <v>800</v>
      </c>
      <c r="E107" s="7">
        <v>900</v>
      </c>
      <c r="F107" s="7">
        <v>1175</v>
      </c>
      <c r="G107" s="7">
        <v>1050</v>
      </c>
      <c r="H107" s="7">
        <v>1100</v>
      </c>
      <c r="I107" s="7">
        <v>1100</v>
      </c>
      <c r="J107" s="7">
        <v>1026</v>
      </c>
      <c r="K107" s="7">
        <v>1064</v>
      </c>
      <c r="L107" s="7">
        <v>1100</v>
      </c>
      <c r="M107" s="7">
        <v>950</v>
      </c>
      <c r="N107" s="7">
        <v>1100</v>
      </c>
      <c r="O107" s="7">
        <v>1000</v>
      </c>
      <c r="P107" s="7">
        <v>1000</v>
      </c>
      <c r="Q107" s="7">
        <v>1000</v>
      </c>
      <c r="R107" s="7">
        <v>1200</v>
      </c>
      <c r="S107" s="7">
        <v>1100</v>
      </c>
    </row>
    <row r="108">
      <c r="A108" s="16" t="s">
        <v>323</v>
      </c>
      <c r="B108" s="2" t="s">
        <v>322</v>
      </c>
      <c r="C108" s="7">
        <v>8525</v>
      </c>
      <c r="D108" s="7">
        <v>7655</v>
      </c>
      <c r="E108" s="7">
        <v>9927</v>
      </c>
      <c r="F108" s="7">
        <v>12075</v>
      </c>
      <c r="G108" s="7">
        <v>13300</v>
      </c>
      <c r="H108" s="7">
        <v>14000</v>
      </c>
      <c r="I108" s="7">
        <v>14600</v>
      </c>
      <c r="J108" s="7">
        <v>13825</v>
      </c>
      <c r="K108" s="7">
        <v>13870</v>
      </c>
      <c r="L108" s="7">
        <v>14100</v>
      </c>
      <c r="M108" s="7">
        <v>13400</v>
      </c>
      <c r="N108" s="7">
        <v>11800</v>
      </c>
      <c r="O108" s="7">
        <v>10700</v>
      </c>
      <c r="P108" s="7">
        <v>12760</v>
      </c>
      <c r="Q108" s="7">
        <v>14800</v>
      </c>
      <c r="R108" s="7">
        <v>12500</v>
      </c>
      <c r="S108" s="7">
        <v>13400</v>
      </c>
    </row>
    <row r="109">
      <c r="A109" s="16" t="s">
        <v>324</v>
      </c>
      <c r="B109" s="2" t="s">
        <v>322</v>
      </c>
      <c r="C109" s="7">
        <v>6125</v>
      </c>
      <c r="D109" s="7">
        <v>6320</v>
      </c>
      <c r="E109" s="7">
        <v>6500</v>
      </c>
      <c r="F109" s="7">
        <v>6345</v>
      </c>
      <c r="G109" s="7">
        <v>6475</v>
      </c>
      <c r="H109" s="7">
        <v>6510</v>
      </c>
      <c r="I109" s="7">
        <v>6943</v>
      </c>
      <c r="J109" s="7">
        <v>7055</v>
      </c>
      <c r="K109" s="7">
        <v>7350</v>
      </c>
      <c r="L109" s="7">
        <v>7475</v>
      </c>
      <c r="M109" s="7">
        <v>7600</v>
      </c>
      <c r="N109" s="7">
        <v>8150</v>
      </c>
      <c r="O109" s="7">
        <v>7300</v>
      </c>
      <c r="P109" s="7">
        <v>9130</v>
      </c>
      <c r="Q109" s="7">
        <v>11460</v>
      </c>
      <c r="R109" s="7">
        <v>11560</v>
      </c>
      <c r="S109" s="7">
        <v>12100</v>
      </c>
    </row>
    <row r="110">
      <c r="A110" s="16" t="s">
        <v>325</v>
      </c>
      <c r="B110" s="2" t="s">
        <v>322</v>
      </c>
      <c r="C110" s="7">
        <v>1375</v>
      </c>
      <c r="D110" s="7">
        <v>1300</v>
      </c>
      <c r="E110" s="7">
        <v>2000</v>
      </c>
      <c r="F110" s="7">
        <v>1900</v>
      </c>
      <c r="G110" s="7">
        <v>1270</v>
      </c>
      <c r="H110" s="7">
        <v>1500</v>
      </c>
      <c r="I110" s="7">
        <v>1300</v>
      </c>
      <c r="J110" s="7">
        <v>1000</v>
      </c>
      <c r="K110" s="7">
        <v>1200</v>
      </c>
      <c r="L110" s="7">
        <v>1250</v>
      </c>
      <c r="M110" s="7">
        <v>1300</v>
      </c>
      <c r="N110" s="7">
        <v>1280</v>
      </c>
      <c r="O110" s="7">
        <v>1200</v>
      </c>
      <c r="P110" s="7">
        <v>1350</v>
      </c>
      <c r="Q110" s="7">
        <v>1400</v>
      </c>
      <c r="R110" s="7">
        <v>1370</v>
      </c>
      <c r="S110" s="7">
        <v>1380</v>
      </c>
    </row>
    <row r="111">
      <c r="A111" s="16" t="s">
        <v>326</v>
      </c>
      <c r="B111" s="2" t="s">
        <v>322</v>
      </c>
      <c r="C111" s="7">
        <v>644</v>
      </c>
      <c r="D111" s="7">
        <v>875</v>
      </c>
      <c r="E111" s="7">
        <v>800</v>
      </c>
      <c r="F111" s="7">
        <v>850</v>
      </c>
      <c r="G111" s="7">
        <v>800</v>
      </c>
      <c r="H111" s="7">
        <v>950</v>
      </c>
      <c r="I111" s="7">
        <v>1100</v>
      </c>
      <c r="J111" s="7">
        <v>1200</v>
      </c>
      <c r="K111" s="7">
        <v>1050</v>
      </c>
      <c r="L111" s="7">
        <v>1025</v>
      </c>
      <c r="M111" s="7">
        <v>730</v>
      </c>
      <c r="N111" s="7">
        <v>990</v>
      </c>
      <c r="O111" s="7">
        <v>990</v>
      </c>
      <c r="P111" s="7">
        <v>1000</v>
      </c>
      <c r="Q111" s="7">
        <v>1030</v>
      </c>
      <c r="R111" s="7">
        <v>1120</v>
      </c>
      <c r="S111" s="7">
        <v>1135</v>
      </c>
    </row>
    <row r="112">
      <c r="A112" s="16" t="s">
        <v>327</v>
      </c>
      <c r="B112" s="2" t="s">
        <v>322</v>
      </c>
      <c r="C112" s="7">
        <v>1570</v>
      </c>
      <c r="D112" s="7">
        <v>1690</v>
      </c>
      <c r="E112" s="7">
        <v>1643</v>
      </c>
      <c r="F112" s="7">
        <v>1703</v>
      </c>
      <c r="G112" s="7">
        <v>1630</v>
      </c>
      <c r="H112" s="7">
        <v>1725</v>
      </c>
      <c r="I112" s="7">
        <v>1583</v>
      </c>
      <c r="J112" s="7">
        <v>1583</v>
      </c>
      <c r="K112" s="7">
        <v>1583</v>
      </c>
      <c r="L112" s="7">
        <v>1450</v>
      </c>
      <c r="M112" s="7">
        <v>1650</v>
      </c>
      <c r="N112" s="7">
        <v>1583</v>
      </c>
      <c r="O112" s="7">
        <v>1667</v>
      </c>
      <c r="P112" s="7">
        <v>1480</v>
      </c>
      <c r="Q112" s="7">
        <v>1762</v>
      </c>
      <c r="R112" s="7">
        <v>1730</v>
      </c>
      <c r="S112" s="7">
        <v>1560</v>
      </c>
    </row>
    <row r="113">
      <c r="A113" s="16" t="s">
        <v>130</v>
      </c>
      <c r="B113" s="2" t="s">
        <v>322</v>
      </c>
      <c r="C113" s="7">
        <v>3975</v>
      </c>
      <c r="D113" s="7">
        <v>5600</v>
      </c>
      <c r="E113" s="7">
        <v>4725</v>
      </c>
      <c r="F113" s="7">
        <v>4400</v>
      </c>
      <c r="G113" s="7">
        <v>5100</v>
      </c>
      <c r="H113" s="7">
        <v>5300</v>
      </c>
      <c r="I113" s="7">
        <v>7510</v>
      </c>
      <c r="J113" s="7">
        <v>7600</v>
      </c>
      <c r="K113" s="7">
        <v>7100</v>
      </c>
      <c r="L113" s="7">
        <v>5200</v>
      </c>
      <c r="M113" s="7">
        <v>6500</v>
      </c>
      <c r="N113" s="7">
        <v>4800</v>
      </c>
      <c r="O113" s="7">
        <v>5700</v>
      </c>
      <c r="P113" s="7">
        <v>5050</v>
      </c>
      <c r="Q113" s="7">
        <v>5200</v>
      </c>
      <c r="R113" s="7">
        <v>5530</v>
      </c>
      <c r="S113" s="7">
        <v>6030</v>
      </c>
    </row>
    <row r="114">
      <c r="A114" s="16" t="s">
        <v>328</v>
      </c>
      <c r="B114" s="2" t="s">
        <v>322</v>
      </c>
      <c r="C114" s="7">
        <v>4100</v>
      </c>
      <c r="D114" s="7">
        <v>5200</v>
      </c>
      <c r="E114" s="7">
        <v>4300</v>
      </c>
      <c r="F114" s="7">
        <v>4250</v>
      </c>
      <c r="G114" s="7">
        <v>2900</v>
      </c>
      <c r="H114" s="7">
        <v>3500</v>
      </c>
      <c r="I114" s="7">
        <v>4225</v>
      </c>
      <c r="J114" s="7">
        <v>4375</v>
      </c>
      <c r="K114" s="7">
        <v>4390</v>
      </c>
      <c r="L114" s="7">
        <v>3925</v>
      </c>
      <c r="M114" s="7">
        <v>3369</v>
      </c>
      <c r="N114" s="7">
        <v>4200</v>
      </c>
      <c r="O114" s="7">
        <v>3475</v>
      </c>
      <c r="P114" s="7">
        <v>3912</v>
      </c>
      <c r="Q114" s="7">
        <v>4120</v>
      </c>
      <c r="R114" s="7">
        <v>4764</v>
      </c>
      <c r="S114" s="7">
        <v>4780</v>
      </c>
    </row>
    <row r="115">
      <c r="A115" s="16" t="s">
        <v>329</v>
      </c>
      <c r="B115" s="2" t="s">
        <v>322</v>
      </c>
      <c r="C115" s="7">
        <v>3800</v>
      </c>
      <c r="D115" s="7">
        <v>4100</v>
      </c>
      <c r="E115" s="7">
        <v>4450</v>
      </c>
      <c r="F115" s="7">
        <v>3750</v>
      </c>
      <c r="G115" s="7">
        <v>2980</v>
      </c>
      <c r="H115" s="7">
        <v>2125</v>
      </c>
      <c r="I115" s="7">
        <v>3100</v>
      </c>
      <c r="J115" s="7">
        <v>3800</v>
      </c>
      <c r="K115" s="7">
        <v>3100</v>
      </c>
      <c r="L115" s="7">
        <v>3150</v>
      </c>
      <c r="M115" s="7">
        <v>3000</v>
      </c>
      <c r="N115" s="7">
        <v>3200</v>
      </c>
      <c r="O115" s="7">
        <v>3000</v>
      </c>
      <c r="P115" s="7">
        <v>3356</v>
      </c>
      <c r="Q115" s="7">
        <v>3588</v>
      </c>
      <c r="R115" s="7">
        <v>3580</v>
      </c>
      <c r="S115" s="7">
        <v>3575</v>
      </c>
    </row>
    <row r="116">
      <c r="A116" s="16" t="s">
        <v>134</v>
      </c>
      <c r="B116" s="2" t="s">
        <v>322</v>
      </c>
      <c r="C116" s="7">
        <v>3950</v>
      </c>
      <c r="D116" s="7">
        <v>4400</v>
      </c>
      <c r="E116" s="7">
        <v>4000</v>
      </c>
      <c r="F116" s="7">
        <v>3500</v>
      </c>
      <c r="G116" s="7">
        <v>3125</v>
      </c>
      <c r="H116" s="7">
        <v>3125</v>
      </c>
      <c r="I116" s="7">
        <v>3400</v>
      </c>
      <c r="J116" s="7">
        <v>3600</v>
      </c>
      <c r="K116" s="7">
        <v>3520</v>
      </c>
      <c r="L116" s="7">
        <v>3515</v>
      </c>
      <c r="M116" s="7">
        <v>3810</v>
      </c>
      <c r="N116" s="7">
        <v>3410</v>
      </c>
      <c r="O116" s="7">
        <v>3150</v>
      </c>
      <c r="P116" s="7">
        <v>3339</v>
      </c>
      <c r="Q116" s="7">
        <v>3140</v>
      </c>
      <c r="R116" s="7">
        <v>3025</v>
      </c>
      <c r="S116" s="7">
        <v>3130</v>
      </c>
    </row>
    <row r="117">
      <c r="A117" s="16" t="s">
        <v>135</v>
      </c>
      <c r="B117" s="2" t="s">
        <v>322</v>
      </c>
      <c r="C117" s="7">
        <v>1740</v>
      </c>
      <c r="D117" s="7">
        <v>2100</v>
      </c>
      <c r="E117" s="7">
        <v>1925</v>
      </c>
      <c r="F117" s="7">
        <v>2000</v>
      </c>
      <c r="G117" s="7">
        <v>2100</v>
      </c>
      <c r="H117" s="7">
        <v>2100</v>
      </c>
      <c r="I117" s="7">
        <v>2600</v>
      </c>
      <c r="J117" s="7">
        <v>2700</v>
      </c>
      <c r="K117" s="7">
        <v>2900</v>
      </c>
      <c r="L117" s="7">
        <v>2675</v>
      </c>
      <c r="M117" s="7">
        <v>2550</v>
      </c>
      <c r="N117" s="7">
        <v>2718</v>
      </c>
      <c r="O117" s="7">
        <v>2430</v>
      </c>
      <c r="P117" s="7">
        <v>2187</v>
      </c>
      <c r="Q117" s="7">
        <v>2500</v>
      </c>
      <c r="R117" s="7">
        <v>2400</v>
      </c>
      <c r="S117" s="7">
        <v>2300</v>
      </c>
    </row>
    <row r="118">
      <c r="A118" s="16" t="s">
        <v>330</v>
      </c>
      <c r="B118" s="2" t="s">
        <v>322</v>
      </c>
      <c r="C118" s="7">
        <v>827</v>
      </c>
      <c r="D118" s="7">
        <v>1090</v>
      </c>
      <c r="E118" s="7">
        <v>1535</v>
      </c>
      <c r="F118" s="7">
        <v>1947</v>
      </c>
      <c r="G118" s="7">
        <v>2125</v>
      </c>
      <c r="H118" s="7">
        <v>1925</v>
      </c>
      <c r="I118" s="7">
        <v>1900</v>
      </c>
      <c r="J118" s="7">
        <v>1925</v>
      </c>
      <c r="K118" s="7">
        <v>1925</v>
      </c>
      <c r="L118" s="7">
        <v>2000</v>
      </c>
      <c r="M118" s="7">
        <v>1900</v>
      </c>
      <c r="N118" s="7">
        <v>1800</v>
      </c>
      <c r="O118" s="7">
        <v>1800</v>
      </c>
      <c r="P118" s="7">
        <v>1800</v>
      </c>
      <c r="Q118" s="7">
        <v>1900</v>
      </c>
      <c r="R118" s="7">
        <v>1900</v>
      </c>
      <c r="S118" s="7">
        <v>1900</v>
      </c>
    </row>
    <row r="119">
      <c r="A119" s="16" t="s">
        <v>331</v>
      </c>
      <c r="B119" s="2" t="s">
        <v>322</v>
      </c>
      <c r="C119" s="7">
        <v>600</v>
      </c>
      <c r="D119" s="7">
        <v>365</v>
      </c>
      <c r="E119" s="7">
        <v>610</v>
      </c>
      <c r="F119" s="7">
        <v>450</v>
      </c>
      <c r="G119" s="7">
        <v>600</v>
      </c>
      <c r="H119" s="7">
        <v>600</v>
      </c>
      <c r="I119" s="7">
        <v>550</v>
      </c>
      <c r="J119" s="7">
        <v>600</v>
      </c>
      <c r="K119" s="7">
        <v>650</v>
      </c>
      <c r="L119" s="7">
        <v>625</v>
      </c>
      <c r="M119" s="7">
        <v>600</v>
      </c>
      <c r="N119" s="7">
        <v>650</v>
      </c>
      <c r="O119" s="7">
        <v>650</v>
      </c>
      <c r="P119" s="7">
        <v>750</v>
      </c>
      <c r="Q119" s="7">
        <v>700</v>
      </c>
      <c r="R119" s="7">
        <v>750</v>
      </c>
      <c r="S119" s="7">
        <v>850</v>
      </c>
    </row>
    <row r="120">
      <c r="A120" s="16" t="s">
        <v>332</v>
      </c>
      <c r="B120" s="2" t="s">
        <v>322</v>
      </c>
      <c r="C120" s="7">
        <v>0</v>
      </c>
      <c r="D120" s="7">
        <v>0</v>
      </c>
      <c r="E120" s="7">
        <v>0</v>
      </c>
      <c r="F120" s="7">
        <v>0</v>
      </c>
      <c r="G120" s="7">
        <v>0</v>
      </c>
      <c r="H120" s="7">
        <v>0</v>
      </c>
      <c r="I120" s="7">
        <v>0</v>
      </c>
      <c r="J120" s="7">
        <v>0</v>
      </c>
      <c r="K120" s="7">
        <v>0</v>
      </c>
      <c r="L120" s="7">
        <v>0</v>
      </c>
      <c r="M120" s="7">
        <v>0</v>
      </c>
      <c r="N120" s="7">
        <v>0</v>
      </c>
      <c r="O120" s="7">
        <v>0</v>
      </c>
      <c r="P120" s="7">
        <v>0</v>
      </c>
      <c r="Q120" s="7">
        <v>0</v>
      </c>
      <c r="R120" s="7">
        <v>0</v>
      </c>
      <c r="S120" s="7">
        <v>0</v>
      </c>
    </row>
    <row r="121">
      <c r="A121" s="16" t="s">
        <v>333</v>
      </c>
      <c r="B121" s="2" t="s">
        <v>322</v>
      </c>
      <c r="C121" s="7">
        <v>0</v>
      </c>
      <c r="D121" s="7">
        <v>0</v>
      </c>
      <c r="E121" s="7">
        <v>0</v>
      </c>
      <c r="F121" s="7">
        <v>0</v>
      </c>
      <c r="G121" s="7">
        <v>0</v>
      </c>
      <c r="H121" s="7">
        <v>0</v>
      </c>
      <c r="I121" s="7">
        <v>0</v>
      </c>
      <c r="J121" s="7">
        <v>0</v>
      </c>
      <c r="K121" s="7">
        <v>0</v>
      </c>
      <c r="L121" s="7">
        <v>0</v>
      </c>
      <c r="M121" s="7">
        <v>0</v>
      </c>
      <c r="N121" s="7">
        <v>0</v>
      </c>
      <c r="O121" s="7">
        <v>0</v>
      </c>
      <c r="P121" s="7">
        <v>0</v>
      </c>
      <c r="Q121" s="7">
        <v>0</v>
      </c>
      <c r="R121" s="7">
        <v>0</v>
      </c>
      <c r="S121" s="7">
        <v>0</v>
      </c>
    </row>
    <row r="122">
      <c r="A122" s="16" t="s">
        <v>136</v>
      </c>
      <c r="B122" s="2" t="s">
        <v>322</v>
      </c>
      <c r="C122" s="7">
        <v>1575</v>
      </c>
      <c r="D122" s="7">
        <v>1775</v>
      </c>
      <c r="E122" s="7">
        <v>1675</v>
      </c>
      <c r="F122" s="7">
        <v>1450</v>
      </c>
      <c r="G122" s="7">
        <v>1400</v>
      </c>
      <c r="H122" s="7">
        <v>1625</v>
      </c>
      <c r="I122" s="7">
        <v>1300</v>
      </c>
      <c r="J122" s="7">
        <v>1525</v>
      </c>
      <c r="K122" s="7">
        <v>1250</v>
      </c>
      <c r="L122" s="7">
        <v>1466</v>
      </c>
      <c r="M122" s="7">
        <v>1472</v>
      </c>
      <c r="N122" s="7">
        <v>1215</v>
      </c>
      <c r="O122" s="7">
        <v>1100</v>
      </c>
      <c r="P122" s="7">
        <v>1158</v>
      </c>
      <c r="Q122" s="7">
        <v>1315</v>
      </c>
      <c r="R122" s="7">
        <v>1160</v>
      </c>
      <c r="S122" s="7">
        <v>1200</v>
      </c>
    </row>
    <row r="123">
      <c r="A123" s="16" t="s">
        <v>334</v>
      </c>
      <c r="B123" s="2" t="s">
        <v>322</v>
      </c>
      <c r="C123" s="7">
        <v>710</v>
      </c>
      <c r="D123" s="7">
        <v>750</v>
      </c>
      <c r="E123" s="7">
        <v>660</v>
      </c>
      <c r="F123" s="7">
        <v>850</v>
      </c>
      <c r="G123" s="7">
        <v>780</v>
      </c>
      <c r="H123" s="7">
        <v>750</v>
      </c>
      <c r="I123" s="7">
        <v>850</v>
      </c>
      <c r="J123" s="7">
        <v>720</v>
      </c>
      <c r="K123" s="7">
        <v>850</v>
      </c>
      <c r="L123" s="7">
        <v>750</v>
      </c>
      <c r="M123" s="7">
        <v>693</v>
      </c>
      <c r="N123" s="7">
        <v>860</v>
      </c>
      <c r="O123" s="7">
        <v>750</v>
      </c>
      <c r="P123" s="7">
        <v>825</v>
      </c>
      <c r="Q123" s="7">
        <v>950</v>
      </c>
      <c r="R123" s="7">
        <v>850</v>
      </c>
      <c r="S123" s="7">
        <v>950</v>
      </c>
    </row>
    <row r="124">
      <c r="A124" s="16" t="s">
        <v>335</v>
      </c>
      <c r="B124" s="2" t="s">
        <v>322</v>
      </c>
      <c r="C124" s="7">
        <v>0</v>
      </c>
      <c r="D124" s="7">
        <v>0</v>
      </c>
      <c r="E124" s="7">
        <v>0</v>
      </c>
      <c r="F124" s="7">
        <v>0</v>
      </c>
      <c r="G124" s="7">
        <v>0</v>
      </c>
      <c r="H124" s="7">
        <v>0</v>
      </c>
      <c r="I124" s="7">
        <v>0</v>
      </c>
      <c r="J124" s="7">
        <v>0</v>
      </c>
      <c r="K124" s="7">
        <v>0</v>
      </c>
      <c r="L124" s="7">
        <v>0</v>
      </c>
      <c r="M124" s="7">
        <v>0</v>
      </c>
      <c r="N124" s="7">
        <v>0</v>
      </c>
      <c r="O124" s="7">
        <v>0</v>
      </c>
      <c r="P124" s="7">
        <v>0</v>
      </c>
      <c r="Q124" s="7">
        <v>0</v>
      </c>
      <c r="R124" s="7">
        <v>0</v>
      </c>
      <c r="S124" s="7">
        <v>0</v>
      </c>
    </row>
    <row r="125">
      <c r="A125" s="16" t="s">
        <v>336</v>
      </c>
      <c r="B125" s="2" t="s">
        <v>322</v>
      </c>
      <c r="C125" s="7">
        <v>825</v>
      </c>
      <c r="D125" s="7">
        <v>1350</v>
      </c>
      <c r="E125" s="7">
        <v>775</v>
      </c>
      <c r="F125" s="7">
        <v>815</v>
      </c>
      <c r="G125" s="7">
        <v>760</v>
      </c>
      <c r="H125" s="7">
        <v>700</v>
      </c>
      <c r="I125" s="7">
        <v>1065</v>
      </c>
      <c r="J125" s="7">
        <v>760</v>
      </c>
      <c r="K125" s="7">
        <v>915</v>
      </c>
      <c r="L125" s="7">
        <v>775</v>
      </c>
      <c r="M125" s="7">
        <v>650</v>
      </c>
      <c r="N125" s="7">
        <v>725</v>
      </c>
      <c r="O125" s="7">
        <v>825</v>
      </c>
      <c r="P125" s="7">
        <v>930</v>
      </c>
      <c r="Q125" s="7">
        <v>750</v>
      </c>
      <c r="R125" s="7">
        <v>750</v>
      </c>
      <c r="S125" s="7">
        <v>750</v>
      </c>
    </row>
    <row r="126">
      <c r="A126" s="16" t="s">
        <v>337</v>
      </c>
      <c r="B126" s="2" t="s">
        <v>322</v>
      </c>
      <c r="C126" s="7">
        <v>1860</v>
      </c>
      <c r="D126" s="7">
        <v>1200</v>
      </c>
      <c r="E126" s="7">
        <v>1250</v>
      </c>
      <c r="F126" s="7">
        <v>550</v>
      </c>
      <c r="G126" s="7">
        <v>700</v>
      </c>
      <c r="H126" s="7">
        <v>560</v>
      </c>
      <c r="I126" s="7">
        <v>600</v>
      </c>
      <c r="J126" s="7">
        <v>660</v>
      </c>
      <c r="K126" s="7">
        <v>654</v>
      </c>
      <c r="L126" s="7">
        <v>510</v>
      </c>
      <c r="M126" s="7">
        <v>540</v>
      </c>
      <c r="N126" s="7">
        <v>600</v>
      </c>
      <c r="O126" s="7">
        <v>550</v>
      </c>
      <c r="P126" s="7">
        <v>604</v>
      </c>
      <c r="Q126" s="7">
        <v>581</v>
      </c>
      <c r="R126" s="7">
        <v>586</v>
      </c>
      <c r="S126" s="7">
        <v>542</v>
      </c>
    </row>
    <row r="127">
      <c r="A127" s="16" t="s">
        <v>338</v>
      </c>
      <c r="B127" s="2" t="s">
        <v>322</v>
      </c>
      <c r="C127" s="7">
        <v>0</v>
      </c>
      <c r="D127" s="7">
        <v>0</v>
      </c>
      <c r="E127" s="7">
        <v>0</v>
      </c>
      <c r="F127" s="7">
        <v>0</v>
      </c>
      <c r="G127" s="7">
        <v>0</v>
      </c>
      <c r="H127" s="7">
        <v>0</v>
      </c>
      <c r="I127" s="7">
        <v>0</v>
      </c>
      <c r="J127" s="7">
        <v>0</v>
      </c>
      <c r="K127" s="7">
        <v>0</v>
      </c>
      <c r="L127" s="7">
        <v>0</v>
      </c>
      <c r="M127" s="7">
        <v>0</v>
      </c>
      <c r="N127" s="7">
        <v>0</v>
      </c>
      <c r="O127" s="7">
        <v>0</v>
      </c>
      <c r="P127" s="7">
        <v>0</v>
      </c>
      <c r="Q127" s="7">
        <v>0</v>
      </c>
      <c r="R127" s="7">
        <v>0</v>
      </c>
      <c r="S127" s="7">
        <v>0</v>
      </c>
    </row>
    <row r="128">
      <c r="A128" s="16" t="s">
        <v>339</v>
      </c>
      <c r="B128" s="2" t="s">
        <v>322</v>
      </c>
      <c r="C128" s="7">
        <v>625</v>
      </c>
      <c r="D128" s="7">
        <v>700</v>
      </c>
      <c r="E128" s="7">
        <v>730</v>
      </c>
      <c r="F128" s="7">
        <v>700</v>
      </c>
      <c r="G128" s="7">
        <v>460</v>
      </c>
      <c r="H128" s="7">
        <v>500</v>
      </c>
      <c r="I128" s="7">
        <v>530</v>
      </c>
      <c r="J128" s="7">
        <v>575</v>
      </c>
      <c r="K128" s="7">
        <v>585</v>
      </c>
      <c r="L128" s="7">
        <v>550</v>
      </c>
      <c r="M128" s="7">
        <v>480</v>
      </c>
      <c r="N128" s="7">
        <v>500</v>
      </c>
      <c r="O128" s="7">
        <v>500</v>
      </c>
      <c r="P128" s="7">
        <v>500</v>
      </c>
      <c r="Q128" s="7">
        <v>500</v>
      </c>
      <c r="R128" s="7">
        <v>500</v>
      </c>
      <c r="S128" s="7">
        <v>500</v>
      </c>
    </row>
    <row r="129">
      <c r="A129" s="16" t="s">
        <v>340</v>
      </c>
      <c r="B129" s="2" t="s">
        <v>322</v>
      </c>
      <c r="C129" s="7">
        <v>35</v>
      </c>
      <c r="D129" s="7">
        <v>30</v>
      </c>
      <c r="E129" s="7">
        <v>30</v>
      </c>
      <c r="F129" s="7">
        <v>25</v>
      </c>
      <c r="G129" s="7">
        <v>25</v>
      </c>
      <c r="H129" s="7">
        <v>25</v>
      </c>
      <c r="I129" s="7">
        <v>25</v>
      </c>
      <c r="J129" s="7">
        <v>25</v>
      </c>
      <c r="K129" s="7">
        <v>25</v>
      </c>
      <c r="L129" s="7">
        <v>25</v>
      </c>
      <c r="M129" s="7">
        <v>25</v>
      </c>
      <c r="N129" s="7">
        <v>25</v>
      </c>
      <c r="O129" s="7">
        <v>25</v>
      </c>
      <c r="P129" s="7">
        <v>25</v>
      </c>
      <c r="Q129" s="7">
        <v>25</v>
      </c>
      <c r="R129" s="7">
        <v>25</v>
      </c>
      <c r="S129" s="7">
        <v>25</v>
      </c>
    </row>
    <row r="130">
      <c r="A130" s="16" t="s">
        <v>341</v>
      </c>
      <c r="B130" s="2" t="s">
        <v>322</v>
      </c>
      <c r="C130" s="7">
        <v>400</v>
      </c>
      <c r="D130" s="7">
        <v>400</v>
      </c>
      <c r="E130" s="7">
        <v>315</v>
      </c>
      <c r="F130" s="7">
        <v>135</v>
      </c>
      <c r="G130" s="7">
        <v>120</v>
      </c>
      <c r="H130" s="7">
        <v>100</v>
      </c>
      <c r="I130" s="7">
        <v>70</v>
      </c>
      <c r="J130" s="7">
        <v>95</v>
      </c>
      <c r="K130" s="7">
        <v>140</v>
      </c>
      <c r="L130" s="7">
        <v>155</v>
      </c>
      <c r="M130" s="7">
        <v>88</v>
      </c>
      <c r="N130" s="7">
        <v>90</v>
      </c>
      <c r="O130" s="7">
        <v>113</v>
      </c>
      <c r="P130" s="7">
        <v>120</v>
      </c>
      <c r="Q130" s="7">
        <v>105</v>
      </c>
      <c r="R130" s="7">
        <v>100</v>
      </c>
      <c r="S130" s="7">
        <v>100</v>
      </c>
    </row>
    <row r="131">
      <c r="A131" s="16" t="s">
        <v>342</v>
      </c>
      <c r="B131" s="2" t="s">
        <v>322</v>
      </c>
      <c r="C131" s="7">
        <v>317</v>
      </c>
      <c r="D131" s="7">
        <v>245</v>
      </c>
      <c r="E131" s="7">
        <v>260</v>
      </c>
      <c r="F131" s="7">
        <v>250</v>
      </c>
      <c r="G131" s="7">
        <v>240</v>
      </c>
      <c r="H131" s="7">
        <v>300</v>
      </c>
      <c r="I131" s="7">
        <v>230</v>
      </c>
      <c r="J131" s="7">
        <v>275</v>
      </c>
      <c r="K131" s="7">
        <v>275</v>
      </c>
      <c r="L131" s="7">
        <v>350</v>
      </c>
      <c r="M131" s="7">
        <v>345</v>
      </c>
      <c r="N131" s="7">
        <v>270</v>
      </c>
      <c r="O131" s="7">
        <v>400</v>
      </c>
      <c r="P131" s="7">
        <v>280</v>
      </c>
      <c r="Q131" s="7">
        <v>260</v>
      </c>
      <c r="R131" s="7">
        <v>350</v>
      </c>
      <c r="S131" s="7">
        <v>350</v>
      </c>
    </row>
    <row r="132">
      <c r="A132" s="16" t="s">
        <v>343</v>
      </c>
      <c r="B132" s="2" t="s">
        <v>322</v>
      </c>
      <c r="C132" s="7">
        <v>25</v>
      </c>
      <c r="D132" s="7">
        <v>25</v>
      </c>
      <c r="E132" s="7">
        <v>25</v>
      </c>
      <c r="F132" s="7">
        <v>25</v>
      </c>
      <c r="G132" s="7">
        <v>25</v>
      </c>
      <c r="H132" s="7">
        <v>25</v>
      </c>
      <c r="I132" s="7">
        <v>25</v>
      </c>
      <c r="J132" s="7">
        <v>25</v>
      </c>
      <c r="K132" s="7">
        <v>30</v>
      </c>
      <c r="L132" s="7">
        <v>25</v>
      </c>
      <c r="M132" s="7">
        <v>25</v>
      </c>
      <c r="N132" s="7">
        <v>25</v>
      </c>
      <c r="O132" s="7">
        <v>25</v>
      </c>
      <c r="P132" s="7">
        <v>25</v>
      </c>
      <c r="Q132" s="7">
        <v>25</v>
      </c>
      <c r="R132" s="7">
        <v>25</v>
      </c>
      <c r="S132" s="7">
        <v>25</v>
      </c>
    </row>
    <row r="133">
      <c r="A133" s="16" t="s">
        <v>344</v>
      </c>
      <c r="B133" s="2" t="s">
        <v>322</v>
      </c>
      <c r="C133" s="7">
        <v>90</v>
      </c>
      <c r="D133" s="7">
        <v>90</v>
      </c>
      <c r="E133" s="7">
        <v>50</v>
      </c>
      <c r="F133" s="7">
        <v>50</v>
      </c>
      <c r="G133" s="7">
        <v>50</v>
      </c>
      <c r="H133" s="7">
        <v>50</v>
      </c>
      <c r="I133" s="7">
        <v>50</v>
      </c>
      <c r="J133" s="7">
        <v>50</v>
      </c>
      <c r="K133" s="7">
        <v>50</v>
      </c>
      <c r="L133" s="7">
        <v>50</v>
      </c>
      <c r="M133" s="7">
        <v>50</v>
      </c>
      <c r="N133" s="7">
        <v>25</v>
      </c>
      <c r="O133" s="7">
        <v>50</v>
      </c>
      <c r="P133" s="7">
        <v>25</v>
      </c>
      <c r="Q133" s="7">
        <v>25</v>
      </c>
      <c r="R133" s="7">
        <v>25</v>
      </c>
      <c r="S133" s="7">
        <v>25</v>
      </c>
    </row>
    <row r="134">
      <c r="A134" s="16" t="s">
        <v>345</v>
      </c>
      <c r="B134" s="2" t="s">
        <v>322</v>
      </c>
      <c r="C134" s="7">
        <v>100</v>
      </c>
      <c r="D134" s="7">
        <v>90</v>
      </c>
      <c r="E134" s="7">
        <v>80</v>
      </c>
      <c r="F134" s="7">
        <v>70</v>
      </c>
      <c r="G134" s="7">
        <v>70</v>
      </c>
      <c r="H134" s="7">
        <v>70</v>
      </c>
      <c r="I134" s="7">
        <v>70</v>
      </c>
      <c r="J134" s="7">
        <v>75</v>
      </c>
      <c r="K134" s="7">
        <v>70</v>
      </c>
      <c r="L134" s="7">
        <v>75</v>
      </c>
      <c r="M134" s="7">
        <v>75</v>
      </c>
      <c r="N134" s="7">
        <v>70</v>
      </c>
      <c r="O134" s="7">
        <v>75</v>
      </c>
      <c r="P134" s="7">
        <v>75</v>
      </c>
      <c r="Q134" s="7">
        <v>50</v>
      </c>
      <c r="R134" s="7">
        <v>50</v>
      </c>
      <c r="S134" s="7">
        <v>50</v>
      </c>
    </row>
    <row r="135">
      <c r="A135" s="16" t="s">
        <v>346</v>
      </c>
      <c r="B135" s="2" t="s">
        <v>322</v>
      </c>
      <c r="C135" s="7">
        <v>235</v>
      </c>
      <c r="D135" s="7">
        <v>210</v>
      </c>
      <c r="E135" s="7">
        <v>235</v>
      </c>
      <c r="F135" s="7">
        <v>185</v>
      </c>
      <c r="G135" s="7">
        <v>160</v>
      </c>
      <c r="H135" s="7">
        <v>240</v>
      </c>
      <c r="I135" s="7">
        <v>200</v>
      </c>
      <c r="J135" s="7">
        <v>205</v>
      </c>
      <c r="K135" s="7">
        <v>205</v>
      </c>
      <c r="L135" s="7">
        <v>265</v>
      </c>
      <c r="M135" s="7">
        <v>230</v>
      </c>
      <c r="N135" s="7">
        <v>165</v>
      </c>
      <c r="O135" s="7">
        <v>175</v>
      </c>
      <c r="P135" s="7">
        <v>140</v>
      </c>
      <c r="Q135" s="7">
        <v>115</v>
      </c>
      <c r="R135" s="7">
        <v>140</v>
      </c>
      <c r="S135" s="7">
        <v>140</v>
      </c>
    </row>
    <row r="136">
      <c r="A136" s="16" t="s">
        <v>347</v>
      </c>
      <c r="B136" s="2" t="s">
        <v>322</v>
      </c>
      <c r="C136" s="7">
        <v>500</v>
      </c>
      <c r="D136" s="7">
        <v>500</v>
      </c>
      <c r="E136" s="7">
        <v>475</v>
      </c>
      <c r="F136" s="7">
        <v>275</v>
      </c>
      <c r="G136" s="7">
        <v>225</v>
      </c>
      <c r="H136" s="7">
        <v>225</v>
      </c>
      <c r="I136" s="7">
        <v>225</v>
      </c>
      <c r="J136" s="7">
        <v>125</v>
      </c>
      <c r="K136" s="7">
        <v>125</v>
      </c>
      <c r="L136" s="7">
        <v>120</v>
      </c>
      <c r="M136" s="7">
        <v>120</v>
      </c>
      <c r="N136" s="7">
        <v>125</v>
      </c>
      <c r="O136" s="7">
        <v>125</v>
      </c>
      <c r="P136" s="7">
        <v>125</v>
      </c>
      <c r="Q136" s="7">
        <v>125</v>
      </c>
      <c r="R136" s="7">
        <v>125</v>
      </c>
      <c r="S136" s="7">
        <v>125</v>
      </c>
    </row>
    <row r="137">
      <c r="A137" s="16" t="s">
        <v>348</v>
      </c>
      <c r="B137" s="2" t="s">
        <v>322</v>
      </c>
      <c r="C137" s="7">
        <v>0</v>
      </c>
      <c r="D137" s="7">
        <v>0</v>
      </c>
      <c r="E137" s="7">
        <v>0</v>
      </c>
      <c r="F137" s="7">
        <v>0</v>
      </c>
      <c r="G137" s="7">
        <v>0</v>
      </c>
      <c r="H137" s="7">
        <v>0</v>
      </c>
      <c r="I137" s="7">
        <v>0</v>
      </c>
      <c r="J137" s="7">
        <v>0</v>
      </c>
      <c r="K137" s="7">
        <v>0</v>
      </c>
      <c r="L137" s="7">
        <v>0</v>
      </c>
      <c r="M137" s="7">
        <v>0</v>
      </c>
      <c r="N137" s="7">
        <v>0</v>
      </c>
      <c r="O137" s="7">
        <v>0</v>
      </c>
      <c r="P137" s="7">
        <v>0</v>
      </c>
      <c r="Q137" s="7">
        <v>0</v>
      </c>
      <c r="R137" s="7">
        <v>0</v>
      </c>
      <c r="S137" s="7">
        <v>0</v>
      </c>
    </row>
    <row r="138">
      <c r="A138" s="16" t="s">
        <v>349</v>
      </c>
      <c r="B138" s="2" t="s">
        <v>322</v>
      </c>
      <c r="C138" s="7">
        <v>120</v>
      </c>
      <c r="D138" s="7">
        <v>170</v>
      </c>
      <c r="E138" s="7">
        <v>125</v>
      </c>
      <c r="F138" s="7">
        <v>150</v>
      </c>
      <c r="G138" s="7">
        <v>150</v>
      </c>
      <c r="H138" s="7">
        <v>150</v>
      </c>
      <c r="I138" s="7">
        <v>150</v>
      </c>
      <c r="J138" s="7">
        <v>100</v>
      </c>
      <c r="K138" s="7">
        <v>110</v>
      </c>
      <c r="L138" s="7">
        <v>90</v>
      </c>
      <c r="M138" s="7">
        <v>100</v>
      </c>
      <c r="N138" s="7">
        <v>100</v>
      </c>
      <c r="O138" s="7">
        <v>100</v>
      </c>
      <c r="P138" s="7">
        <v>100</v>
      </c>
      <c r="Q138" s="7">
        <v>100</v>
      </c>
      <c r="R138" s="7">
        <v>100</v>
      </c>
      <c r="S138" s="7">
        <v>100</v>
      </c>
    </row>
    <row r="139">
      <c r="A139" s="16" t="s">
        <v>350</v>
      </c>
      <c r="B139" s="2" t="s">
        <v>322</v>
      </c>
      <c r="C139" s="7">
        <v>125</v>
      </c>
      <c r="D139" s="7">
        <v>100</v>
      </c>
      <c r="E139" s="7">
        <v>100</v>
      </c>
      <c r="F139" s="7">
        <v>95</v>
      </c>
      <c r="G139" s="7">
        <v>120</v>
      </c>
      <c r="H139" s="7">
        <v>85</v>
      </c>
      <c r="I139" s="7">
        <v>95</v>
      </c>
      <c r="J139" s="7">
        <v>75</v>
      </c>
      <c r="K139" s="7">
        <v>75</v>
      </c>
      <c r="L139" s="7">
        <v>75</v>
      </c>
      <c r="M139" s="7">
        <v>75</v>
      </c>
      <c r="N139" s="7">
        <v>75</v>
      </c>
      <c r="O139" s="7">
        <v>85</v>
      </c>
      <c r="P139" s="7">
        <v>75</v>
      </c>
      <c r="Q139" s="7">
        <v>100</v>
      </c>
      <c r="R139" s="7">
        <v>80</v>
      </c>
      <c r="S139" s="7">
        <v>100</v>
      </c>
    </row>
    <row r="140">
      <c r="A140" s="16" t="s">
        <v>351</v>
      </c>
      <c r="B140" s="2" t="s">
        <v>322</v>
      </c>
      <c r="C140" s="7">
        <v>0</v>
      </c>
      <c r="D140" s="7">
        <v>0</v>
      </c>
      <c r="E140" s="7">
        <v>0</v>
      </c>
      <c r="F140" s="7">
        <v>0</v>
      </c>
      <c r="G140" s="7">
        <v>0</v>
      </c>
      <c r="H140" s="7">
        <v>0</v>
      </c>
      <c r="I140" s="7">
        <v>0</v>
      </c>
      <c r="J140" s="7">
        <v>0</v>
      </c>
      <c r="K140" s="7">
        <v>0</v>
      </c>
      <c r="L140" s="7">
        <v>0</v>
      </c>
      <c r="M140" s="7">
        <v>0</v>
      </c>
      <c r="N140" s="7">
        <v>0</v>
      </c>
      <c r="O140" s="7">
        <v>0</v>
      </c>
      <c r="P140" s="7">
        <v>0</v>
      </c>
      <c r="Q140" s="7">
        <v>0</v>
      </c>
      <c r="R140" s="7">
        <v>0</v>
      </c>
      <c r="S140" s="7">
        <v>0</v>
      </c>
    </row>
    <row r="141">
      <c r="A141" s="16" t="s">
        <v>352</v>
      </c>
      <c r="B141" s="2" t="s">
        <v>322</v>
      </c>
      <c r="C141" s="7">
        <v>125</v>
      </c>
      <c r="D141" s="7">
        <v>140</v>
      </c>
      <c r="E141" s="7">
        <v>115</v>
      </c>
      <c r="F141" s="7">
        <v>128</v>
      </c>
      <c r="G141" s="7">
        <v>100</v>
      </c>
      <c r="H141" s="7">
        <v>80</v>
      </c>
      <c r="I141" s="7">
        <v>75</v>
      </c>
      <c r="J141" s="7">
        <v>85</v>
      </c>
      <c r="K141" s="7">
        <v>85</v>
      </c>
      <c r="L141" s="7">
        <v>85</v>
      </c>
      <c r="M141" s="7">
        <v>80</v>
      </c>
      <c r="N141" s="7">
        <v>85</v>
      </c>
      <c r="O141" s="7">
        <v>90</v>
      </c>
      <c r="P141" s="7">
        <v>70</v>
      </c>
      <c r="Q141" s="7">
        <v>85</v>
      </c>
      <c r="R141" s="7">
        <v>80</v>
      </c>
      <c r="S141" s="7">
        <v>80</v>
      </c>
    </row>
    <row r="142">
      <c r="A142" s="16" t="s">
        <v>353</v>
      </c>
      <c r="B142" s="2" t="s">
        <v>322</v>
      </c>
      <c r="C142" s="7">
        <v>53</v>
      </c>
      <c r="D142" s="7">
        <v>46</v>
      </c>
      <c r="E142" s="7">
        <v>42</v>
      </c>
      <c r="F142" s="7">
        <v>51</v>
      </c>
      <c r="G142" s="7">
        <v>45</v>
      </c>
      <c r="H142" s="7">
        <v>40</v>
      </c>
      <c r="I142" s="7">
        <v>33</v>
      </c>
      <c r="J142" s="7">
        <v>32</v>
      </c>
      <c r="K142" s="7">
        <v>54</v>
      </c>
      <c r="L142" s="7">
        <v>39</v>
      </c>
      <c r="M142" s="7">
        <v>33</v>
      </c>
      <c r="N142" s="7">
        <v>38</v>
      </c>
      <c r="O142" s="7">
        <v>40</v>
      </c>
      <c r="P142" s="7">
        <v>50</v>
      </c>
      <c r="Q142" s="7">
        <v>50</v>
      </c>
      <c r="R142" s="7">
        <v>50</v>
      </c>
      <c r="S142" s="7">
        <v>50</v>
      </c>
    </row>
    <row r="143">
      <c r="A143" s="16" t="s">
        <v>354</v>
      </c>
      <c r="B143" s="2" t="s">
        <v>322</v>
      </c>
      <c r="C143" s="7">
        <v>0</v>
      </c>
      <c r="D143" s="7">
        <v>0</v>
      </c>
      <c r="E143" s="7">
        <v>0</v>
      </c>
      <c r="F143" s="7">
        <v>0</v>
      </c>
      <c r="G143" s="7">
        <v>0</v>
      </c>
      <c r="H143" s="7">
        <v>0</v>
      </c>
      <c r="I143" s="7">
        <v>0</v>
      </c>
      <c r="J143" s="7">
        <v>0</v>
      </c>
      <c r="K143" s="7">
        <v>0</v>
      </c>
      <c r="L143" s="7">
        <v>0</v>
      </c>
      <c r="M143" s="7">
        <v>0</v>
      </c>
      <c r="N143" s="7">
        <v>0</v>
      </c>
      <c r="O143" s="7">
        <v>0</v>
      </c>
      <c r="P143" s="7">
        <v>0</v>
      </c>
      <c r="Q143" s="7">
        <v>0</v>
      </c>
      <c r="R143" s="7">
        <v>0</v>
      </c>
      <c r="S143" s="7">
        <v>0</v>
      </c>
    </row>
    <row r="144">
      <c r="A144" s="16" t="s">
        <v>355</v>
      </c>
      <c r="B144" s="2" t="s">
        <v>322</v>
      </c>
      <c r="C144" s="7">
        <v>0</v>
      </c>
      <c r="D144" s="7">
        <v>0</v>
      </c>
      <c r="E144" s="7">
        <v>0</v>
      </c>
      <c r="F144" s="7">
        <v>0</v>
      </c>
      <c r="G144" s="7">
        <v>0</v>
      </c>
      <c r="H144" s="7">
        <v>0</v>
      </c>
      <c r="I144" s="7">
        <v>0</v>
      </c>
      <c r="J144" s="7">
        <v>0</v>
      </c>
      <c r="K144" s="7">
        <v>0</v>
      </c>
      <c r="L144" s="7">
        <v>0</v>
      </c>
      <c r="M144" s="7">
        <v>0</v>
      </c>
      <c r="N144" s="7">
        <v>0</v>
      </c>
      <c r="O144" s="7">
        <v>0</v>
      </c>
      <c r="P144" s="7">
        <v>0</v>
      </c>
      <c r="Q144" s="7">
        <v>0</v>
      </c>
      <c r="R144" s="7">
        <v>0</v>
      </c>
      <c r="S144" s="7">
        <v>0</v>
      </c>
    </row>
    <row r="145">
      <c r="A145" s="16" t="s">
        <v>356</v>
      </c>
      <c r="B145" s="2" t="s">
        <v>322</v>
      </c>
      <c r="C145" s="7">
        <v>23</v>
      </c>
      <c r="D145" s="7">
        <v>20</v>
      </c>
      <c r="E145" s="7">
        <v>25</v>
      </c>
      <c r="F145" s="7">
        <v>31</v>
      </c>
      <c r="G145" s="7">
        <v>27</v>
      </c>
      <c r="H145" s="7">
        <v>27</v>
      </c>
      <c r="I145" s="7">
        <v>16</v>
      </c>
      <c r="J145" s="7">
        <v>16</v>
      </c>
      <c r="K145" s="7">
        <v>15</v>
      </c>
      <c r="L145" s="7">
        <v>16</v>
      </c>
      <c r="M145" s="7">
        <v>15</v>
      </c>
      <c r="N145" s="7">
        <v>15</v>
      </c>
      <c r="O145" s="7">
        <v>18</v>
      </c>
      <c r="P145" s="7">
        <v>19</v>
      </c>
      <c r="Q145" s="7">
        <v>15</v>
      </c>
      <c r="R145" s="7">
        <v>15</v>
      </c>
      <c r="S145" s="7">
        <v>15</v>
      </c>
    </row>
    <row r="146">
      <c r="A146" s="16" t="s">
        <v>357</v>
      </c>
      <c r="B146" s="2" t="s">
        <v>322</v>
      </c>
      <c r="C146" s="7">
        <v>0</v>
      </c>
      <c r="D146" s="7">
        <v>0</v>
      </c>
      <c r="E146" s="7">
        <v>0</v>
      </c>
      <c r="F146" s="7">
        <v>0</v>
      </c>
      <c r="G146" s="7">
        <v>0</v>
      </c>
      <c r="H146" s="7">
        <v>0</v>
      </c>
      <c r="I146" s="7">
        <v>0</v>
      </c>
      <c r="J146" s="7">
        <v>0</v>
      </c>
      <c r="K146" s="7">
        <v>0</v>
      </c>
      <c r="L146" s="7">
        <v>0</v>
      </c>
      <c r="M146" s="7">
        <v>0</v>
      </c>
      <c r="N146" s="7">
        <v>0</v>
      </c>
      <c r="O146" s="7">
        <v>0</v>
      </c>
      <c r="P146" s="7">
        <v>0</v>
      </c>
      <c r="Q146" s="7">
        <v>0</v>
      </c>
      <c r="R146" s="7">
        <v>0</v>
      </c>
      <c r="S146" s="7">
        <v>0</v>
      </c>
    </row>
    <row r="147">
      <c r="A147" s="16" t="s">
        <v>358</v>
      </c>
      <c r="B147" s="2" t="s">
        <v>322</v>
      </c>
      <c r="C147" s="7">
        <v>0</v>
      </c>
      <c r="D147" s="7">
        <v>0</v>
      </c>
      <c r="E147" s="7">
        <v>0</v>
      </c>
      <c r="F147" s="7">
        <v>0</v>
      </c>
      <c r="G147" s="7">
        <v>0</v>
      </c>
      <c r="H147" s="7">
        <v>0</v>
      </c>
      <c r="I147" s="7">
        <v>0</v>
      </c>
      <c r="J147" s="7">
        <v>0</v>
      </c>
      <c r="K147" s="7">
        <v>0</v>
      </c>
      <c r="L147" s="7">
        <v>0</v>
      </c>
      <c r="M147" s="7">
        <v>0</v>
      </c>
      <c r="N147" s="7">
        <v>0</v>
      </c>
      <c r="O147" s="7">
        <v>0</v>
      </c>
      <c r="P147" s="7">
        <v>0</v>
      </c>
      <c r="Q147" s="7">
        <v>0</v>
      </c>
      <c r="R147" s="7">
        <v>0</v>
      </c>
      <c r="S147" s="7">
        <v>0</v>
      </c>
    </row>
    <row r="148">
      <c r="A148" s="16" t="s">
        <v>359</v>
      </c>
      <c r="B148" s="2" t="s">
        <v>322</v>
      </c>
      <c r="C148" s="7">
        <v>350</v>
      </c>
      <c r="D148" s="7">
        <v>350</v>
      </c>
      <c r="E148" s="7">
        <v>325</v>
      </c>
      <c r="F148" s="7">
        <v>325</v>
      </c>
      <c r="G148" s="7">
        <v>325</v>
      </c>
      <c r="H148" s="7">
        <v>0</v>
      </c>
      <c r="I148" s="7">
        <v>0</v>
      </c>
      <c r="J148" s="7">
        <v>0</v>
      </c>
      <c r="K148" s="7">
        <v>0</v>
      </c>
      <c r="L148" s="7">
        <v>0</v>
      </c>
      <c r="M148" s="7">
        <v>0</v>
      </c>
      <c r="N148" s="7">
        <v>0</v>
      </c>
      <c r="O148" s="7">
        <v>0</v>
      </c>
      <c r="P148" s="7">
        <v>0</v>
      </c>
      <c r="Q148" s="7">
        <v>0</v>
      </c>
      <c r="R148" s="7">
        <v>0</v>
      </c>
      <c r="S148" s="7">
        <v>0</v>
      </c>
    </row>
    <row r="149">
      <c r="A149" s="16" t="s">
        <v>360</v>
      </c>
      <c r="B149" s="2" t="s">
        <v>322</v>
      </c>
      <c r="C149" s="7">
        <v>0</v>
      </c>
      <c r="D149" s="7">
        <v>0</v>
      </c>
      <c r="E149" s="7">
        <v>0</v>
      </c>
      <c r="F149" s="7">
        <v>0</v>
      </c>
      <c r="G149" s="7">
        <v>0</v>
      </c>
      <c r="H149" s="7">
        <v>0</v>
      </c>
      <c r="I149" s="7">
        <v>0</v>
      </c>
      <c r="J149" s="7">
        <v>0</v>
      </c>
      <c r="K149" s="7">
        <v>0</v>
      </c>
      <c r="L149" s="7">
        <v>0</v>
      </c>
      <c r="M149" s="7">
        <v>0</v>
      </c>
      <c r="N149" s="7">
        <v>0</v>
      </c>
      <c r="O149" s="7">
        <v>0</v>
      </c>
      <c r="P149" s="7">
        <v>0</v>
      </c>
      <c r="Q149" s="7">
        <v>0</v>
      </c>
      <c r="R149" s="7">
        <v>0</v>
      </c>
      <c r="S149" s="7">
        <v>0</v>
      </c>
    </row>
    <row r="150">
      <c r="A150" s="16" t="s">
        <v>361</v>
      </c>
      <c r="B150" s="2" t="s">
        <v>322</v>
      </c>
      <c r="C150" s="7">
        <v>24</v>
      </c>
      <c r="D150" s="7">
        <v>21</v>
      </c>
      <c r="E150" s="7">
        <v>25</v>
      </c>
      <c r="F150" s="7">
        <v>25</v>
      </c>
      <c r="G150" s="7">
        <v>21</v>
      </c>
      <c r="H150" s="7">
        <v>23</v>
      </c>
      <c r="I150" s="7">
        <v>16</v>
      </c>
      <c r="J150" s="7">
        <v>12</v>
      </c>
      <c r="K150" s="7">
        <v>11</v>
      </c>
      <c r="L150" s="7">
        <v>10</v>
      </c>
      <c r="M150" s="7">
        <v>0</v>
      </c>
      <c r="N150" s="7">
        <v>0</v>
      </c>
      <c r="O150" s="7">
        <v>0</v>
      </c>
      <c r="P150" s="7">
        <v>0</v>
      </c>
      <c r="Q150" s="7">
        <v>0</v>
      </c>
      <c r="R150" s="7">
        <v>0</v>
      </c>
      <c r="S150" s="7">
        <v>0</v>
      </c>
    </row>
    <row r="151">
      <c r="A151" s="16" t="s">
        <v>362</v>
      </c>
      <c r="B151" s="2" t="s">
        <v>322</v>
      </c>
      <c r="C151" s="7">
        <v>0</v>
      </c>
      <c r="D151" s="7">
        <v>0</v>
      </c>
      <c r="E151" s="7">
        <v>0</v>
      </c>
      <c r="F151" s="7">
        <v>0</v>
      </c>
      <c r="G151" s="7">
        <v>0</v>
      </c>
      <c r="H151" s="7">
        <v>0</v>
      </c>
      <c r="I151" s="7">
        <v>0</v>
      </c>
      <c r="J151" s="7">
        <v>0</v>
      </c>
      <c r="K151" s="7">
        <v>0</v>
      </c>
      <c r="L151" s="7">
        <v>0</v>
      </c>
      <c r="M151" s="7">
        <v>0</v>
      </c>
      <c r="N151" s="7">
        <v>0</v>
      </c>
      <c r="O151" s="7">
        <v>0</v>
      </c>
      <c r="P151" s="7">
        <v>0</v>
      </c>
      <c r="Q151" s="7">
        <v>0</v>
      </c>
      <c r="R151" s="7">
        <v>0</v>
      </c>
      <c r="S151" s="7">
        <v>0</v>
      </c>
    </row>
    <row r="152">
      <c r="A152" s="16" t="s">
        <v>363</v>
      </c>
      <c r="B152" s="2" t="s">
        <v>322</v>
      </c>
      <c r="C152" s="7">
        <v>145</v>
      </c>
      <c r="D152" s="7">
        <v>135</v>
      </c>
      <c r="E152" s="7">
        <v>140</v>
      </c>
      <c r="F152" s="7">
        <v>135</v>
      </c>
      <c r="G152" s="7">
        <v>130</v>
      </c>
      <c r="H152" s="7">
        <v>0</v>
      </c>
      <c r="I152" s="7">
        <v>0</v>
      </c>
      <c r="J152" s="7">
        <v>0</v>
      </c>
      <c r="K152" s="7">
        <v>0</v>
      </c>
      <c r="L152" s="7">
        <v>0</v>
      </c>
      <c r="M152" s="7">
        <v>0</v>
      </c>
      <c r="N152" s="7">
        <v>0</v>
      </c>
      <c r="O152" s="7">
        <v>0</v>
      </c>
      <c r="P152" s="7">
        <v>0</v>
      </c>
      <c r="Q152" s="7">
        <v>0</v>
      </c>
      <c r="R152" s="7">
        <v>0</v>
      </c>
      <c r="S152" s="7">
        <v>0</v>
      </c>
    </row>
    <row r="153">
      <c r="A153" s="16" t="s">
        <v>364</v>
      </c>
      <c r="B153" s="2" t="s">
        <v>365</v>
      </c>
      <c r="C153" s="7">
        <v>0</v>
      </c>
      <c r="D153" s="7">
        <v>0</v>
      </c>
      <c r="E153" s="7">
        <v>0</v>
      </c>
      <c r="F153" s="7">
        <v>0</v>
      </c>
      <c r="G153" s="7">
        <v>0</v>
      </c>
      <c r="H153" s="7">
        <v>0</v>
      </c>
      <c r="I153" s="7">
        <v>0</v>
      </c>
      <c r="J153" s="7">
        <v>0</v>
      </c>
      <c r="K153" s="7">
        <v>0</v>
      </c>
      <c r="L153" s="7">
        <v>0</v>
      </c>
      <c r="M153" s="7">
        <v>0</v>
      </c>
      <c r="N153" s="7">
        <v>0</v>
      </c>
      <c r="O153" s="7">
        <v>0</v>
      </c>
      <c r="P153" s="7">
        <v>0</v>
      </c>
      <c r="Q153" s="7">
        <v>0</v>
      </c>
      <c r="R153" s="7">
        <v>0</v>
      </c>
      <c r="S153" s="7">
        <v>0</v>
      </c>
    </row>
    <row r="154">
      <c r="A154" s="16" t="s">
        <v>366</v>
      </c>
      <c r="B154" s="2" t="s">
        <v>365</v>
      </c>
      <c r="C154" s="7">
        <v>0</v>
      </c>
      <c r="D154" s="7">
        <v>0</v>
      </c>
      <c r="E154" s="7">
        <v>0</v>
      </c>
      <c r="F154" s="7">
        <v>0</v>
      </c>
      <c r="G154" s="7">
        <v>0</v>
      </c>
      <c r="H154" s="7">
        <v>0</v>
      </c>
      <c r="I154" s="7">
        <v>0</v>
      </c>
      <c r="J154" s="7">
        <v>0</v>
      </c>
      <c r="K154" s="7">
        <v>0</v>
      </c>
      <c r="L154" s="7">
        <v>0</v>
      </c>
      <c r="M154" s="7">
        <v>0</v>
      </c>
      <c r="N154" s="7">
        <v>0</v>
      </c>
      <c r="O154" s="7">
        <v>0</v>
      </c>
      <c r="P154" s="7">
        <v>0</v>
      </c>
      <c r="Q154" s="7">
        <v>0</v>
      </c>
      <c r="R154" s="7">
        <v>0</v>
      </c>
      <c r="S154" s="7">
        <v>0</v>
      </c>
    </row>
    <row r="155">
      <c r="A155" s="16" t="s">
        <v>367</v>
      </c>
      <c r="B155" s="2" t="s">
        <v>365</v>
      </c>
      <c r="C155" s="7">
        <v>0</v>
      </c>
      <c r="D155" s="7">
        <v>0</v>
      </c>
      <c r="E155" s="7">
        <v>0</v>
      </c>
      <c r="F155" s="7">
        <v>0</v>
      </c>
      <c r="G155" s="7">
        <v>0</v>
      </c>
      <c r="H155" s="7">
        <v>0</v>
      </c>
      <c r="I155" s="7">
        <v>0</v>
      </c>
      <c r="J155" s="7">
        <v>0</v>
      </c>
      <c r="K155" s="7">
        <v>0</v>
      </c>
      <c r="L155" s="7">
        <v>0</v>
      </c>
      <c r="M155" s="7">
        <v>0</v>
      </c>
      <c r="N155" s="7">
        <v>0</v>
      </c>
      <c r="O155" s="7">
        <v>0</v>
      </c>
      <c r="P155" s="7">
        <v>0</v>
      </c>
      <c r="Q155" s="7">
        <v>0</v>
      </c>
      <c r="R155" s="7">
        <v>0</v>
      </c>
      <c r="S155" s="7">
        <v>0</v>
      </c>
    </row>
    <row r="156">
      <c r="A156" s="16" t="s">
        <v>368</v>
      </c>
      <c r="B156" s="2" t="s">
        <v>365</v>
      </c>
      <c r="C156" s="7">
        <v>0</v>
      </c>
      <c r="D156" s="7">
        <v>0</v>
      </c>
      <c r="E156" s="7">
        <v>0</v>
      </c>
      <c r="F156" s="7">
        <v>0</v>
      </c>
      <c r="G156" s="7">
        <v>0</v>
      </c>
      <c r="H156" s="7">
        <v>0</v>
      </c>
      <c r="I156" s="7">
        <v>0</v>
      </c>
      <c r="J156" s="7">
        <v>0</v>
      </c>
      <c r="K156" s="7">
        <v>0</v>
      </c>
      <c r="L156" s="7">
        <v>0</v>
      </c>
      <c r="M156" s="7">
        <v>0</v>
      </c>
      <c r="N156" s="7">
        <v>0</v>
      </c>
      <c r="O156" s="7">
        <v>0</v>
      </c>
      <c r="P156" s="7">
        <v>0</v>
      </c>
      <c r="Q156" s="7">
        <v>0</v>
      </c>
      <c r="R156" s="7">
        <v>0</v>
      </c>
      <c r="S156" s="7">
        <v>0</v>
      </c>
    </row>
    <row r="157">
      <c r="A157" s="16" t="s">
        <v>369</v>
      </c>
      <c r="B157" s="2" t="s">
        <v>365</v>
      </c>
      <c r="C157" s="7">
        <v>0</v>
      </c>
      <c r="D157" s="7">
        <v>0</v>
      </c>
      <c r="E157" s="7">
        <v>0</v>
      </c>
      <c r="F157" s="7">
        <v>0</v>
      </c>
      <c r="G157" s="7">
        <v>0</v>
      </c>
      <c r="H157" s="7">
        <v>0</v>
      </c>
      <c r="I157" s="7">
        <v>0</v>
      </c>
      <c r="J157" s="7">
        <v>0</v>
      </c>
      <c r="K157" s="7">
        <v>0</v>
      </c>
      <c r="L157" s="7">
        <v>0</v>
      </c>
      <c r="M157" s="7">
        <v>0</v>
      </c>
      <c r="N157" s="7">
        <v>0</v>
      </c>
      <c r="O157" s="7">
        <v>0</v>
      </c>
      <c r="P157" s="7">
        <v>0</v>
      </c>
      <c r="Q157" s="7">
        <v>0</v>
      </c>
      <c r="R157" s="7">
        <v>0</v>
      </c>
      <c r="S157" s="7">
        <v>0</v>
      </c>
    </row>
    <row r="158">
      <c r="A158" s="16" t="s">
        <v>370</v>
      </c>
      <c r="B158" s="2" t="s">
        <v>365</v>
      </c>
      <c r="C158" s="7">
        <v>0</v>
      </c>
      <c r="D158" s="7">
        <v>0</v>
      </c>
      <c r="E158" s="7">
        <v>0</v>
      </c>
      <c r="F158" s="7">
        <v>0</v>
      </c>
      <c r="G158" s="7">
        <v>0</v>
      </c>
      <c r="H158" s="7">
        <v>0</v>
      </c>
      <c r="I158" s="7">
        <v>0</v>
      </c>
      <c r="J158" s="7">
        <v>0</v>
      </c>
      <c r="K158" s="7">
        <v>0</v>
      </c>
      <c r="L158" s="7">
        <v>0</v>
      </c>
      <c r="M158" s="7">
        <v>0</v>
      </c>
      <c r="N158" s="7">
        <v>0</v>
      </c>
      <c r="O158" s="7">
        <v>0</v>
      </c>
      <c r="P158" s="7">
        <v>0</v>
      </c>
      <c r="Q158" s="7">
        <v>0</v>
      </c>
      <c r="R158" s="7">
        <v>0</v>
      </c>
      <c r="S158" s="7">
        <v>0</v>
      </c>
    </row>
    <row r="159">
      <c r="A159" s="16" t="s">
        <v>371</v>
      </c>
      <c r="B159" s="2" t="s">
        <v>365</v>
      </c>
      <c r="C159" s="7">
        <v>0</v>
      </c>
      <c r="D159" s="7">
        <v>0</v>
      </c>
      <c r="E159" s="7">
        <v>0</v>
      </c>
      <c r="F159" s="7">
        <v>0</v>
      </c>
      <c r="G159" s="7">
        <v>0</v>
      </c>
      <c r="H159" s="7">
        <v>0</v>
      </c>
      <c r="I159" s="7">
        <v>0</v>
      </c>
      <c r="J159" s="7">
        <v>0</v>
      </c>
      <c r="K159" s="7">
        <v>0</v>
      </c>
      <c r="L159" s="7">
        <v>0</v>
      </c>
      <c r="M159" s="7">
        <v>0</v>
      </c>
      <c r="N159" s="7">
        <v>0</v>
      </c>
      <c r="O159" s="7">
        <v>0</v>
      </c>
      <c r="P159" s="7">
        <v>0</v>
      </c>
      <c r="Q159" s="7">
        <v>0</v>
      </c>
      <c r="R159" s="7">
        <v>0</v>
      </c>
      <c r="S159" s="7">
        <v>0</v>
      </c>
    </row>
    <row r="160">
      <c r="A160" s="16" t="s">
        <v>372</v>
      </c>
      <c r="B160" s="2" t="s">
        <v>365</v>
      </c>
      <c r="C160" s="7">
        <v>0</v>
      </c>
      <c r="D160" s="7">
        <v>0</v>
      </c>
      <c r="E160" s="7">
        <v>0</v>
      </c>
      <c r="F160" s="7">
        <v>0</v>
      </c>
      <c r="G160" s="7">
        <v>0</v>
      </c>
      <c r="H160" s="7">
        <v>0</v>
      </c>
      <c r="I160" s="7">
        <v>0</v>
      </c>
      <c r="J160" s="7">
        <v>0</v>
      </c>
      <c r="K160" s="7">
        <v>0</v>
      </c>
      <c r="L160" s="7">
        <v>0</v>
      </c>
      <c r="M160" s="7">
        <v>0</v>
      </c>
      <c r="N160" s="7">
        <v>0</v>
      </c>
      <c r="O160" s="7">
        <v>0</v>
      </c>
      <c r="P160" s="7">
        <v>0</v>
      </c>
      <c r="Q160" s="7">
        <v>0</v>
      </c>
      <c r="R160" s="7">
        <v>0</v>
      </c>
      <c r="S160" s="7">
        <v>0</v>
      </c>
    </row>
    <row r="161">
      <c r="A161" s="16" t="s">
        <v>373</v>
      </c>
      <c r="B161" s="2" t="s">
        <v>365</v>
      </c>
      <c r="C161" s="7">
        <v>0</v>
      </c>
      <c r="D161" s="7">
        <v>0</v>
      </c>
      <c r="E161" s="7">
        <v>0</v>
      </c>
      <c r="F161" s="7">
        <v>0</v>
      </c>
      <c r="G161" s="7">
        <v>0</v>
      </c>
      <c r="H161" s="7">
        <v>0</v>
      </c>
      <c r="I161" s="7">
        <v>0</v>
      </c>
      <c r="J161" s="7">
        <v>0</v>
      </c>
      <c r="K161" s="7">
        <v>0</v>
      </c>
      <c r="L161" s="7">
        <v>0</v>
      </c>
      <c r="M161" s="7">
        <v>0</v>
      </c>
      <c r="N161" s="7">
        <v>0</v>
      </c>
      <c r="O161" s="7">
        <v>0</v>
      </c>
      <c r="P161" s="7">
        <v>0</v>
      </c>
      <c r="Q161" s="7">
        <v>0</v>
      </c>
      <c r="R161" s="7">
        <v>0</v>
      </c>
      <c r="S161" s="7">
        <v>0</v>
      </c>
    </row>
    <row r="162">
      <c r="A162" s="16" t="s">
        <v>374</v>
      </c>
      <c r="B162" s="2" t="s">
        <v>365</v>
      </c>
      <c r="C162" s="7">
        <v>0</v>
      </c>
      <c r="D162" s="7">
        <v>0</v>
      </c>
      <c r="E162" s="7">
        <v>0</v>
      </c>
      <c r="F162" s="7">
        <v>0</v>
      </c>
      <c r="G162" s="7">
        <v>0</v>
      </c>
      <c r="H162" s="7">
        <v>0</v>
      </c>
      <c r="I162" s="7">
        <v>0</v>
      </c>
      <c r="J162" s="7">
        <v>0</v>
      </c>
      <c r="K162" s="7">
        <v>0</v>
      </c>
      <c r="L162" s="7">
        <v>0</v>
      </c>
      <c r="M162" s="7">
        <v>0</v>
      </c>
      <c r="N162" s="7">
        <v>0</v>
      </c>
      <c r="O162" s="7">
        <v>0</v>
      </c>
      <c r="P162" s="7">
        <v>0</v>
      </c>
      <c r="Q162" s="7">
        <v>0</v>
      </c>
      <c r="R162" s="7">
        <v>0</v>
      </c>
      <c r="S162" s="7">
        <v>0</v>
      </c>
    </row>
    <row r="163">
      <c r="A163" s="16" t="s">
        <v>375</v>
      </c>
      <c r="B163" s="2" t="s">
        <v>365</v>
      </c>
      <c r="C163" s="7">
        <v>0</v>
      </c>
      <c r="D163" s="7">
        <v>0</v>
      </c>
      <c r="E163" s="7">
        <v>0</v>
      </c>
      <c r="F163" s="7">
        <v>0</v>
      </c>
      <c r="G163" s="7">
        <v>0</v>
      </c>
      <c r="H163" s="7">
        <v>0</v>
      </c>
      <c r="I163" s="7">
        <v>0</v>
      </c>
      <c r="J163" s="7">
        <v>0</v>
      </c>
      <c r="K163" s="7">
        <v>0</v>
      </c>
      <c r="L163" s="7">
        <v>0</v>
      </c>
      <c r="M163" s="7">
        <v>0</v>
      </c>
      <c r="N163" s="7">
        <v>0</v>
      </c>
      <c r="O163" s="7">
        <v>0</v>
      </c>
      <c r="P163" s="7">
        <v>0</v>
      </c>
      <c r="Q163" s="7">
        <v>0</v>
      </c>
      <c r="R163" s="7">
        <v>0</v>
      </c>
      <c r="S163" s="7">
        <v>0</v>
      </c>
    </row>
    <row r="164">
      <c r="A164" s="16" t="s">
        <v>376</v>
      </c>
      <c r="B164" s="2" t="s">
        <v>365</v>
      </c>
      <c r="C164" s="7">
        <v>0</v>
      </c>
      <c r="D164" s="7">
        <v>0</v>
      </c>
      <c r="E164" s="7">
        <v>0</v>
      </c>
      <c r="F164" s="7">
        <v>0</v>
      </c>
      <c r="G164" s="7">
        <v>0</v>
      </c>
      <c r="H164" s="7">
        <v>0</v>
      </c>
      <c r="I164" s="7">
        <v>0</v>
      </c>
      <c r="J164" s="7">
        <v>0</v>
      </c>
      <c r="K164" s="7">
        <v>0</v>
      </c>
      <c r="L164" s="7">
        <v>0</v>
      </c>
      <c r="M164" s="7">
        <v>0</v>
      </c>
      <c r="N164" s="7">
        <v>0</v>
      </c>
      <c r="O164" s="7">
        <v>0</v>
      </c>
      <c r="P164" s="7">
        <v>0</v>
      </c>
      <c r="Q164" s="7">
        <v>0</v>
      </c>
      <c r="R164" s="7">
        <v>0</v>
      </c>
      <c r="S164" s="7">
        <v>0</v>
      </c>
    </row>
    <row r="165">
      <c r="A165" s="16" t="s">
        <v>377</v>
      </c>
      <c r="B165" s="2" t="s">
        <v>365</v>
      </c>
      <c r="C165" s="7">
        <v>0</v>
      </c>
      <c r="D165" s="7">
        <v>0</v>
      </c>
      <c r="E165" s="7">
        <v>0</v>
      </c>
      <c r="F165" s="7">
        <v>0</v>
      </c>
      <c r="G165" s="7">
        <v>0</v>
      </c>
      <c r="H165" s="7">
        <v>0</v>
      </c>
      <c r="I165" s="7">
        <v>0</v>
      </c>
      <c r="J165" s="7">
        <v>0</v>
      </c>
      <c r="K165" s="7">
        <v>0</v>
      </c>
      <c r="L165" s="7">
        <v>0</v>
      </c>
      <c r="M165" s="7">
        <v>0</v>
      </c>
      <c r="N165" s="7">
        <v>0</v>
      </c>
      <c r="O165" s="7">
        <v>0</v>
      </c>
      <c r="P165" s="7">
        <v>0</v>
      </c>
      <c r="Q165" s="7">
        <v>0</v>
      </c>
      <c r="R165" s="7">
        <v>0</v>
      </c>
      <c r="S165" s="7">
        <v>0</v>
      </c>
    </row>
    <row r="166">
      <c r="A166" s="16" t="s">
        <v>378</v>
      </c>
      <c r="B166" s="2" t="s">
        <v>365</v>
      </c>
      <c r="C166" s="7">
        <v>0</v>
      </c>
      <c r="D166" s="7">
        <v>0</v>
      </c>
      <c r="E166" s="7">
        <v>0</v>
      </c>
      <c r="F166" s="7">
        <v>0</v>
      </c>
      <c r="G166" s="7">
        <v>0</v>
      </c>
      <c r="H166" s="7">
        <v>0</v>
      </c>
      <c r="I166" s="7">
        <v>0</v>
      </c>
      <c r="J166" s="7">
        <v>0</v>
      </c>
      <c r="K166" s="7">
        <v>0</v>
      </c>
      <c r="L166" s="7">
        <v>0</v>
      </c>
      <c r="M166" s="7">
        <v>0</v>
      </c>
      <c r="N166" s="7">
        <v>0</v>
      </c>
      <c r="O166" s="7">
        <v>0</v>
      </c>
      <c r="P166" s="7">
        <v>0</v>
      </c>
      <c r="Q166" s="7">
        <v>0</v>
      </c>
      <c r="R166" s="7">
        <v>0</v>
      </c>
      <c r="S166" s="7">
        <v>0</v>
      </c>
    </row>
    <row r="167">
      <c r="A167" s="16" t="s">
        <v>379</v>
      </c>
      <c r="B167" s="2" t="s">
        <v>365</v>
      </c>
      <c r="C167" s="7">
        <v>0</v>
      </c>
      <c r="D167" s="7">
        <v>0</v>
      </c>
      <c r="E167" s="7">
        <v>0</v>
      </c>
      <c r="F167" s="7">
        <v>0</v>
      </c>
      <c r="G167" s="7">
        <v>0</v>
      </c>
      <c r="H167" s="7">
        <v>0</v>
      </c>
      <c r="I167" s="7">
        <v>0</v>
      </c>
      <c r="J167" s="7">
        <v>0</v>
      </c>
      <c r="K167" s="7">
        <v>0</v>
      </c>
      <c r="L167" s="7">
        <v>0</v>
      </c>
      <c r="M167" s="7">
        <v>0</v>
      </c>
      <c r="N167" s="7">
        <v>0</v>
      </c>
      <c r="O167" s="7">
        <v>0</v>
      </c>
      <c r="P167" s="7">
        <v>0</v>
      </c>
      <c r="Q167" s="7">
        <v>0</v>
      </c>
      <c r="R167" s="7">
        <v>0</v>
      </c>
      <c r="S167" s="7">
        <v>0</v>
      </c>
    </row>
    <row r="168">
      <c r="A168" s="16" t="s">
        <v>380</v>
      </c>
      <c r="B168" s="2" t="s">
        <v>365</v>
      </c>
      <c r="C168" s="7">
        <v>0</v>
      </c>
      <c r="D168" s="7">
        <v>0</v>
      </c>
      <c r="E168" s="7">
        <v>0</v>
      </c>
      <c r="F168" s="7">
        <v>0</v>
      </c>
      <c r="G168" s="7">
        <v>0</v>
      </c>
      <c r="H168" s="7">
        <v>0</v>
      </c>
      <c r="I168" s="7">
        <v>0</v>
      </c>
      <c r="J168" s="7">
        <v>0</v>
      </c>
      <c r="K168" s="7">
        <v>0</v>
      </c>
      <c r="L168" s="7">
        <v>0</v>
      </c>
      <c r="M168" s="7">
        <v>0</v>
      </c>
      <c r="N168" s="7">
        <v>0</v>
      </c>
      <c r="O168" s="7">
        <v>0</v>
      </c>
      <c r="P168" s="7">
        <v>0</v>
      </c>
      <c r="Q168" s="7">
        <v>0</v>
      </c>
      <c r="R168" s="7">
        <v>0</v>
      </c>
      <c r="S168" s="7">
        <v>0</v>
      </c>
    </row>
    <row r="169">
      <c r="A169" s="16" t="s">
        <v>381</v>
      </c>
      <c r="B169" s="2" t="s">
        <v>365</v>
      </c>
      <c r="C169" s="7">
        <v>0</v>
      </c>
      <c r="D169" s="7">
        <v>0</v>
      </c>
      <c r="E169" s="7">
        <v>0</v>
      </c>
      <c r="F169" s="7">
        <v>0</v>
      </c>
      <c r="G169" s="7">
        <v>0</v>
      </c>
      <c r="H169" s="7">
        <v>0</v>
      </c>
      <c r="I169" s="7">
        <v>0</v>
      </c>
      <c r="J169" s="7">
        <v>0</v>
      </c>
      <c r="K169" s="7">
        <v>0</v>
      </c>
      <c r="L169" s="7">
        <v>0</v>
      </c>
      <c r="M169" s="7">
        <v>0</v>
      </c>
      <c r="N169" s="7">
        <v>0</v>
      </c>
      <c r="O169" s="7">
        <v>0</v>
      </c>
      <c r="P169" s="7">
        <v>0</v>
      </c>
      <c r="Q169" s="7">
        <v>0</v>
      </c>
      <c r="R169" s="7">
        <v>0</v>
      </c>
      <c r="S169" s="7">
        <v>0</v>
      </c>
    </row>
    <row r="170">
      <c r="A170" s="16" t="s">
        <v>382</v>
      </c>
      <c r="B170" s="2" t="s">
        <v>365</v>
      </c>
      <c r="C170" s="7">
        <v>0</v>
      </c>
      <c r="D170" s="7">
        <v>0</v>
      </c>
      <c r="E170" s="7">
        <v>0</v>
      </c>
      <c r="F170" s="7">
        <v>0</v>
      </c>
      <c r="G170" s="7">
        <v>0</v>
      </c>
      <c r="H170" s="7">
        <v>0</v>
      </c>
      <c r="I170" s="7">
        <v>0</v>
      </c>
      <c r="J170" s="7">
        <v>0</v>
      </c>
      <c r="K170" s="7">
        <v>0</v>
      </c>
      <c r="L170" s="7">
        <v>0</v>
      </c>
      <c r="M170" s="7">
        <v>0</v>
      </c>
      <c r="N170" s="7">
        <v>0</v>
      </c>
      <c r="O170" s="7">
        <v>0</v>
      </c>
      <c r="P170" s="7">
        <v>0</v>
      </c>
      <c r="Q170" s="7">
        <v>0</v>
      </c>
      <c r="R170" s="7">
        <v>0</v>
      </c>
      <c r="S170" s="7">
        <v>0</v>
      </c>
    </row>
    <row r="171">
      <c r="A171" s="16" t="s">
        <v>383</v>
      </c>
      <c r="B171" s="2" t="s">
        <v>365</v>
      </c>
      <c r="C171" s="7">
        <v>0</v>
      </c>
      <c r="D171" s="7">
        <v>0</v>
      </c>
      <c r="E171" s="7">
        <v>0</v>
      </c>
      <c r="F171" s="7">
        <v>0</v>
      </c>
      <c r="G171" s="7">
        <v>0</v>
      </c>
      <c r="H171" s="7">
        <v>0</v>
      </c>
      <c r="I171" s="7">
        <v>0</v>
      </c>
      <c r="J171" s="7">
        <v>0</v>
      </c>
      <c r="K171" s="7">
        <v>0</v>
      </c>
      <c r="L171" s="7">
        <v>0</v>
      </c>
      <c r="M171" s="7">
        <v>0</v>
      </c>
      <c r="N171" s="7">
        <v>0</v>
      </c>
      <c r="O171" s="7">
        <v>0</v>
      </c>
      <c r="P171" s="7">
        <v>0</v>
      </c>
      <c r="Q171" s="7">
        <v>0</v>
      </c>
      <c r="R171" s="7">
        <v>0</v>
      </c>
      <c r="S171" s="7">
        <v>0</v>
      </c>
    </row>
    <row r="172">
      <c r="A172" s="16" t="s">
        <v>384</v>
      </c>
      <c r="B172" s="2" t="s">
        <v>365</v>
      </c>
      <c r="C172" s="7">
        <v>0</v>
      </c>
      <c r="D172" s="7">
        <v>0</v>
      </c>
      <c r="E172" s="7">
        <v>0</v>
      </c>
      <c r="F172" s="7">
        <v>0</v>
      </c>
      <c r="G172" s="7">
        <v>0</v>
      </c>
      <c r="H172" s="7">
        <v>0</v>
      </c>
      <c r="I172" s="7">
        <v>0</v>
      </c>
      <c r="J172" s="7">
        <v>0</v>
      </c>
      <c r="K172" s="7">
        <v>0</v>
      </c>
      <c r="L172" s="7">
        <v>0</v>
      </c>
      <c r="M172" s="7">
        <v>0</v>
      </c>
      <c r="N172" s="7">
        <v>0</v>
      </c>
      <c r="O172" s="7">
        <v>0</v>
      </c>
      <c r="P172" s="7">
        <v>0</v>
      </c>
      <c r="Q172" s="7">
        <v>0</v>
      </c>
      <c r="R172" s="7">
        <v>0</v>
      </c>
      <c r="S172" s="7">
        <v>0</v>
      </c>
    </row>
    <row r="173">
      <c r="A173" s="16" t="s">
        <v>385</v>
      </c>
      <c r="B173" s="2" t="s">
        <v>365</v>
      </c>
      <c r="C173" s="7">
        <v>0</v>
      </c>
      <c r="D173" s="7">
        <v>0</v>
      </c>
      <c r="E173" s="7">
        <v>0</v>
      </c>
      <c r="F173" s="7">
        <v>0</v>
      </c>
      <c r="G173" s="7">
        <v>0</v>
      </c>
      <c r="H173" s="7">
        <v>0</v>
      </c>
      <c r="I173" s="7">
        <v>0</v>
      </c>
      <c r="J173" s="7">
        <v>0</v>
      </c>
      <c r="K173" s="7">
        <v>0</v>
      </c>
      <c r="L173" s="7">
        <v>0</v>
      </c>
      <c r="M173" s="7">
        <v>0</v>
      </c>
      <c r="N173" s="7">
        <v>0</v>
      </c>
      <c r="O173" s="7">
        <v>0</v>
      </c>
      <c r="P173" s="7">
        <v>0</v>
      </c>
      <c r="Q173" s="7">
        <v>0</v>
      </c>
      <c r="R173" s="7">
        <v>0</v>
      </c>
      <c r="S173" s="7">
        <v>0</v>
      </c>
    </row>
    <row r="174">
      <c r="A174" s="16" t="s">
        <v>386</v>
      </c>
      <c r="B174" s="2" t="s">
        <v>365</v>
      </c>
      <c r="C174" s="7">
        <v>0</v>
      </c>
      <c r="D174" s="7">
        <v>0</v>
      </c>
      <c r="E174" s="7">
        <v>0</v>
      </c>
      <c r="F174" s="7">
        <v>0</v>
      </c>
      <c r="G174" s="7">
        <v>0</v>
      </c>
      <c r="H174" s="7">
        <v>0</v>
      </c>
      <c r="I174" s="7">
        <v>0</v>
      </c>
      <c r="J174" s="7">
        <v>0</v>
      </c>
      <c r="K174" s="7">
        <v>0</v>
      </c>
      <c r="L174" s="7">
        <v>0</v>
      </c>
      <c r="M174" s="7">
        <v>0</v>
      </c>
      <c r="N174" s="7">
        <v>0</v>
      </c>
      <c r="O174" s="7">
        <v>0</v>
      </c>
      <c r="P174" s="7">
        <v>0</v>
      </c>
      <c r="Q174" s="7">
        <v>0</v>
      </c>
      <c r="R174" s="7">
        <v>0</v>
      </c>
      <c r="S174" s="7">
        <v>0</v>
      </c>
    </row>
    <row r="175">
      <c r="A175" s="16" t="s">
        <v>387</v>
      </c>
      <c r="B175" s="2" t="s">
        <v>365</v>
      </c>
      <c r="C175" s="7">
        <v>0</v>
      </c>
      <c r="D175" s="7">
        <v>0</v>
      </c>
      <c r="E175" s="7">
        <v>0</v>
      </c>
      <c r="F175" s="7">
        <v>0</v>
      </c>
      <c r="G175" s="7">
        <v>0</v>
      </c>
      <c r="H175" s="7">
        <v>0</v>
      </c>
      <c r="I175" s="7">
        <v>0</v>
      </c>
      <c r="J175" s="7">
        <v>0</v>
      </c>
      <c r="K175" s="7">
        <v>0</v>
      </c>
      <c r="L175" s="7">
        <v>0</v>
      </c>
      <c r="M175" s="7">
        <v>0</v>
      </c>
      <c r="N175" s="7">
        <v>0</v>
      </c>
      <c r="O175" s="7">
        <v>0</v>
      </c>
      <c r="P175" s="7">
        <v>0</v>
      </c>
      <c r="Q175" s="7">
        <v>0</v>
      </c>
      <c r="R175" s="7">
        <v>0</v>
      </c>
      <c r="S175" s="7">
        <v>0</v>
      </c>
    </row>
    <row r="176">
      <c r="A176" s="16" t="s">
        <v>388</v>
      </c>
      <c r="B176" s="2" t="s">
        <v>365</v>
      </c>
      <c r="C176" s="7">
        <v>0</v>
      </c>
      <c r="D176" s="7">
        <v>0</v>
      </c>
      <c r="E176" s="7">
        <v>0</v>
      </c>
      <c r="F176" s="7">
        <v>0</v>
      </c>
      <c r="G176" s="7">
        <v>0</v>
      </c>
      <c r="H176" s="7">
        <v>0</v>
      </c>
      <c r="I176" s="7">
        <v>0</v>
      </c>
      <c r="J176" s="7">
        <v>0</v>
      </c>
      <c r="K176" s="7">
        <v>0</v>
      </c>
      <c r="L176" s="7">
        <v>0</v>
      </c>
      <c r="M176" s="7">
        <v>0</v>
      </c>
      <c r="N176" s="7">
        <v>0</v>
      </c>
      <c r="O176" s="7">
        <v>0</v>
      </c>
      <c r="P176" s="7">
        <v>0</v>
      </c>
      <c r="Q176" s="7">
        <v>0</v>
      </c>
      <c r="R176" s="7">
        <v>0</v>
      </c>
      <c r="S176" s="7">
        <v>0</v>
      </c>
    </row>
    <row r="177">
      <c r="A177" s="16" t="s">
        <v>389</v>
      </c>
      <c r="B177" s="2" t="s">
        <v>365</v>
      </c>
      <c r="C177" s="7">
        <v>0</v>
      </c>
      <c r="D177" s="7">
        <v>0</v>
      </c>
      <c r="E177" s="7">
        <v>0</v>
      </c>
      <c r="F177" s="7">
        <v>0</v>
      </c>
      <c r="G177" s="7">
        <v>0</v>
      </c>
      <c r="H177" s="7">
        <v>0</v>
      </c>
      <c r="I177" s="7">
        <v>0</v>
      </c>
      <c r="J177" s="7">
        <v>0</v>
      </c>
      <c r="K177" s="7">
        <v>0</v>
      </c>
      <c r="L177" s="7">
        <v>0</v>
      </c>
      <c r="M177" s="7">
        <v>0</v>
      </c>
      <c r="N177" s="7">
        <v>0</v>
      </c>
      <c r="O177" s="7">
        <v>0</v>
      </c>
      <c r="P177" s="7">
        <v>0</v>
      </c>
      <c r="Q177" s="7">
        <v>0</v>
      </c>
      <c r="R177" s="7">
        <v>0</v>
      </c>
      <c r="S177" s="7">
        <v>0</v>
      </c>
    </row>
    <row r="178">
      <c r="A178" s="16" t="s">
        <v>390</v>
      </c>
      <c r="B178" s="2" t="s">
        <v>365</v>
      </c>
      <c r="C178" s="7">
        <v>0</v>
      </c>
      <c r="D178" s="7">
        <v>0</v>
      </c>
      <c r="E178" s="7">
        <v>0</v>
      </c>
      <c r="F178" s="7">
        <v>0</v>
      </c>
      <c r="G178" s="7">
        <v>0</v>
      </c>
      <c r="H178" s="7">
        <v>0</v>
      </c>
      <c r="I178" s="7">
        <v>0</v>
      </c>
      <c r="J178" s="7">
        <v>0</v>
      </c>
      <c r="K178" s="7">
        <v>0</v>
      </c>
      <c r="L178" s="7">
        <v>0</v>
      </c>
      <c r="M178" s="7">
        <v>0</v>
      </c>
      <c r="N178" s="7">
        <v>0</v>
      </c>
      <c r="O178" s="7">
        <v>0</v>
      </c>
      <c r="P178" s="7">
        <v>0</v>
      </c>
      <c r="Q178" s="7">
        <v>0</v>
      </c>
      <c r="R178" s="7">
        <v>0</v>
      </c>
      <c r="S178" s="7">
        <v>0</v>
      </c>
    </row>
    <row r="179">
      <c r="A179" s="16" t="s">
        <v>391</v>
      </c>
      <c r="B179" s="2" t="s">
        <v>365</v>
      </c>
      <c r="C179" s="7">
        <v>0</v>
      </c>
      <c r="D179" s="7">
        <v>0</v>
      </c>
      <c r="E179" s="7">
        <v>0</v>
      </c>
      <c r="F179" s="7">
        <v>0</v>
      </c>
      <c r="G179" s="7">
        <v>0</v>
      </c>
      <c r="H179" s="7">
        <v>0</v>
      </c>
      <c r="I179" s="7">
        <v>0</v>
      </c>
      <c r="J179" s="7">
        <v>0</v>
      </c>
      <c r="K179" s="7">
        <v>0</v>
      </c>
      <c r="L179" s="7">
        <v>0</v>
      </c>
      <c r="M179" s="7">
        <v>0</v>
      </c>
      <c r="N179" s="7">
        <v>0</v>
      </c>
      <c r="O179" s="7">
        <v>0</v>
      </c>
      <c r="P179" s="7">
        <v>0</v>
      </c>
      <c r="Q179" s="7">
        <v>0</v>
      </c>
      <c r="R179" s="7">
        <v>0</v>
      </c>
      <c r="S179" s="7">
        <v>0</v>
      </c>
    </row>
    <row r="180">
      <c r="A180" s="16" t="s">
        <v>392</v>
      </c>
      <c r="B180" s="2" t="s">
        <v>365</v>
      </c>
      <c r="C180" s="7">
        <v>0</v>
      </c>
      <c r="D180" s="7">
        <v>0</v>
      </c>
      <c r="E180" s="7">
        <v>0</v>
      </c>
      <c r="F180" s="7">
        <v>0</v>
      </c>
      <c r="G180" s="7">
        <v>0</v>
      </c>
      <c r="H180" s="7">
        <v>0</v>
      </c>
      <c r="I180" s="7">
        <v>0</v>
      </c>
      <c r="J180" s="7">
        <v>0</v>
      </c>
      <c r="K180" s="7">
        <v>0</v>
      </c>
      <c r="L180" s="7">
        <v>0</v>
      </c>
      <c r="M180" s="7">
        <v>0</v>
      </c>
      <c r="N180" s="7">
        <v>0</v>
      </c>
      <c r="O180" s="7">
        <v>0</v>
      </c>
      <c r="P180" s="7">
        <v>0</v>
      </c>
      <c r="Q180" s="7">
        <v>0</v>
      </c>
      <c r="R180" s="7">
        <v>0</v>
      </c>
      <c r="S180" s="7">
        <v>0</v>
      </c>
    </row>
    <row r="181">
      <c r="A181" s="16" t="s">
        <v>393</v>
      </c>
      <c r="B181" s="2" t="s">
        <v>365</v>
      </c>
      <c r="C181" s="7">
        <v>0</v>
      </c>
      <c r="D181" s="7">
        <v>0</v>
      </c>
      <c r="E181" s="7">
        <v>0</v>
      </c>
      <c r="F181" s="7">
        <v>0</v>
      </c>
      <c r="G181" s="7">
        <v>0</v>
      </c>
      <c r="H181" s="7">
        <v>0</v>
      </c>
      <c r="I181" s="7">
        <v>0</v>
      </c>
      <c r="J181" s="7">
        <v>0</v>
      </c>
      <c r="K181" s="7">
        <v>0</v>
      </c>
      <c r="L181" s="7">
        <v>0</v>
      </c>
      <c r="M181" s="7">
        <v>0</v>
      </c>
      <c r="N181" s="7">
        <v>0</v>
      </c>
      <c r="O181" s="7">
        <v>0</v>
      </c>
      <c r="P181" s="7">
        <v>0</v>
      </c>
      <c r="Q181" s="7">
        <v>0</v>
      </c>
      <c r="R181" s="7">
        <v>0</v>
      </c>
      <c r="S181" s="7">
        <v>0</v>
      </c>
    </row>
    <row r="182">
      <c r="A182" s="16" t="s">
        <v>394</v>
      </c>
      <c r="B182" s="2" t="s">
        <v>365</v>
      </c>
      <c r="C182" s="7">
        <v>0</v>
      </c>
      <c r="D182" s="7">
        <v>0</v>
      </c>
      <c r="E182" s="7">
        <v>0</v>
      </c>
      <c r="F182" s="7">
        <v>0</v>
      </c>
      <c r="G182" s="7">
        <v>0</v>
      </c>
      <c r="H182" s="7">
        <v>0</v>
      </c>
      <c r="I182" s="7">
        <v>0</v>
      </c>
      <c r="J182" s="7">
        <v>0</v>
      </c>
      <c r="K182" s="7">
        <v>0</v>
      </c>
      <c r="L182" s="7">
        <v>0</v>
      </c>
      <c r="M182" s="7">
        <v>0</v>
      </c>
      <c r="N182" s="7">
        <v>0</v>
      </c>
      <c r="O182" s="7">
        <v>0</v>
      </c>
      <c r="P182" s="7">
        <v>0</v>
      </c>
      <c r="Q182" s="7">
        <v>0</v>
      </c>
      <c r="R182" s="7">
        <v>0</v>
      </c>
      <c r="S182" s="7">
        <v>0</v>
      </c>
    </row>
    <row r="183">
      <c r="A183" s="16" t="s">
        <v>395</v>
      </c>
      <c r="B183" s="2" t="s">
        <v>365</v>
      </c>
      <c r="C183" s="7">
        <v>0</v>
      </c>
      <c r="D183" s="7">
        <v>0</v>
      </c>
      <c r="E183" s="7">
        <v>0</v>
      </c>
      <c r="F183" s="7">
        <v>0</v>
      </c>
      <c r="G183" s="7">
        <v>0</v>
      </c>
      <c r="H183" s="7">
        <v>0</v>
      </c>
      <c r="I183" s="7">
        <v>0</v>
      </c>
      <c r="J183" s="7">
        <v>0</v>
      </c>
      <c r="K183" s="7">
        <v>0</v>
      </c>
      <c r="L183" s="7">
        <v>0</v>
      </c>
      <c r="M183" s="7">
        <v>0</v>
      </c>
      <c r="N183" s="7">
        <v>0</v>
      </c>
      <c r="O183" s="7">
        <v>0</v>
      </c>
      <c r="P183" s="7">
        <v>0</v>
      </c>
      <c r="Q183" s="7">
        <v>0</v>
      </c>
      <c r="R183" s="7">
        <v>0</v>
      </c>
      <c r="S183" s="7">
        <v>0</v>
      </c>
    </row>
    <row r="184">
      <c r="A184" s="16" t="s">
        <v>396</v>
      </c>
      <c r="B184" s="2" t="s">
        <v>365</v>
      </c>
      <c r="C184" s="7">
        <v>0</v>
      </c>
      <c r="D184" s="7">
        <v>0</v>
      </c>
      <c r="E184" s="7">
        <v>0</v>
      </c>
      <c r="F184" s="7">
        <v>0</v>
      </c>
      <c r="G184" s="7">
        <v>0</v>
      </c>
      <c r="H184" s="7">
        <v>0</v>
      </c>
      <c r="I184" s="7">
        <v>0</v>
      </c>
      <c r="J184" s="7">
        <v>0</v>
      </c>
      <c r="K184" s="7">
        <v>0</v>
      </c>
      <c r="L184" s="7">
        <v>0</v>
      </c>
      <c r="M184" s="7">
        <v>0</v>
      </c>
      <c r="N184" s="7">
        <v>0</v>
      </c>
      <c r="O184" s="7">
        <v>0</v>
      </c>
      <c r="P184" s="7">
        <v>0</v>
      </c>
      <c r="Q184" s="7">
        <v>0</v>
      </c>
      <c r="R184" s="7">
        <v>0</v>
      </c>
      <c r="S184" s="7">
        <v>0</v>
      </c>
    </row>
    <row r="185">
      <c r="A185" s="16" t="s">
        <v>397</v>
      </c>
      <c r="B185" s="2" t="s">
        <v>365</v>
      </c>
      <c r="C185" s="7">
        <v>0</v>
      </c>
      <c r="D185" s="7">
        <v>0</v>
      </c>
      <c r="E185" s="7">
        <v>0</v>
      </c>
      <c r="F185" s="7">
        <v>0</v>
      </c>
      <c r="G185" s="7">
        <v>0</v>
      </c>
      <c r="H185" s="7">
        <v>0</v>
      </c>
      <c r="I185" s="7">
        <v>0</v>
      </c>
      <c r="J185" s="7">
        <v>0</v>
      </c>
      <c r="K185" s="7">
        <v>0</v>
      </c>
      <c r="L185" s="7">
        <v>0</v>
      </c>
      <c r="M185" s="7">
        <v>0</v>
      </c>
      <c r="N185" s="7">
        <v>0</v>
      </c>
      <c r="O185" s="7">
        <v>0</v>
      </c>
      <c r="P185" s="7">
        <v>0</v>
      </c>
      <c r="Q185" s="7">
        <v>0</v>
      </c>
      <c r="R185" s="7">
        <v>0</v>
      </c>
      <c r="S185" s="7">
        <v>0</v>
      </c>
    </row>
    <row r="186">
      <c r="A186" s="16" t="s">
        <v>398</v>
      </c>
      <c r="B186" s="2" t="s">
        <v>365</v>
      </c>
      <c r="C186" s="7">
        <v>0</v>
      </c>
      <c r="D186" s="7">
        <v>0</v>
      </c>
      <c r="E186" s="7">
        <v>0</v>
      </c>
      <c r="F186" s="7">
        <v>0</v>
      </c>
      <c r="G186" s="7">
        <v>0</v>
      </c>
      <c r="H186" s="7">
        <v>0</v>
      </c>
      <c r="I186" s="7">
        <v>0</v>
      </c>
      <c r="J186" s="7">
        <v>0</v>
      </c>
      <c r="K186" s="7">
        <v>0</v>
      </c>
      <c r="L186" s="7">
        <v>0</v>
      </c>
      <c r="M186" s="7">
        <v>0</v>
      </c>
      <c r="N186" s="7">
        <v>0</v>
      </c>
      <c r="O186" s="7">
        <v>0</v>
      </c>
      <c r="P186" s="7">
        <v>0</v>
      </c>
      <c r="Q186" s="7">
        <v>0</v>
      </c>
      <c r="R186" s="7">
        <v>0</v>
      </c>
      <c r="S186" s="7">
        <v>0</v>
      </c>
    </row>
    <row r="187">
      <c r="A187" s="16" t="s">
        <v>399</v>
      </c>
      <c r="B187" s="2" t="s">
        <v>365</v>
      </c>
      <c r="C187" s="7">
        <v>0</v>
      </c>
      <c r="D187" s="7">
        <v>0</v>
      </c>
      <c r="E187" s="7">
        <v>0</v>
      </c>
      <c r="F187" s="7">
        <v>0</v>
      </c>
      <c r="G187" s="7">
        <v>0</v>
      </c>
      <c r="H187" s="7">
        <v>0</v>
      </c>
      <c r="I187" s="7">
        <v>0</v>
      </c>
      <c r="J187" s="7">
        <v>0</v>
      </c>
      <c r="K187" s="7">
        <v>0</v>
      </c>
      <c r="L187" s="7">
        <v>0</v>
      </c>
      <c r="M187" s="7">
        <v>0</v>
      </c>
      <c r="N187" s="7">
        <v>0</v>
      </c>
      <c r="O187" s="7">
        <v>0</v>
      </c>
      <c r="P187" s="7">
        <v>0</v>
      </c>
      <c r="Q187" s="7">
        <v>0</v>
      </c>
      <c r="R187" s="7">
        <v>0</v>
      </c>
      <c r="S187" s="7">
        <v>0</v>
      </c>
    </row>
    <row r="188">
      <c r="A188" s="16" t="s">
        <v>400</v>
      </c>
      <c r="B188" s="2" t="s">
        <v>365</v>
      </c>
      <c r="C188" s="7">
        <v>0</v>
      </c>
      <c r="D188" s="7">
        <v>0</v>
      </c>
      <c r="E188" s="7">
        <v>0</v>
      </c>
      <c r="F188" s="7">
        <v>0</v>
      </c>
      <c r="G188" s="7">
        <v>0</v>
      </c>
      <c r="H188" s="7">
        <v>0</v>
      </c>
      <c r="I188" s="7">
        <v>0</v>
      </c>
      <c r="J188" s="7">
        <v>0</v>
      </c>
      <c r="K188" s="7">
        <v>0</v>
      </c>
      <c r="L188" s="7">
        <v>0</v>
      </c>
      <c r="M188" s="7">
        <v>0</v>
      </c>
      <c r="N188" s="7">
        <v>0</v>
      </c>
      <c r="O188" s="7">
        <v>0</v>
      </c>
      <c r="P188" s="7">
        <v>0</v>
      </c>
      <c r="Q188" s="7">
        <v>0</v>
      </c>
      <c r="R188" s="7">
        <v>0</v>
      </c>
      <c r="S188" s="7">
        <v>0</v>
      </c>
    </row>
    <row r="189">
      <c r="A189" s="16" t="s">
        <v>401</v>
      </c>
      <c r="B189" s="2" t="s">
        <v>365</v>
      </c>
      <c r="C189" s="7">
        <v>0</v>
      </c>
      <c r="D189" s="7">
        <v>0</v>
      </c>
      <c r="E189" s="7">
        <v>0</v>
      </c>
      <c r="F189" s="7">
        <v>0</v>
      </c>
      <c r="G189" s="7">
        <v>0</v>
      </c>
      <c r="H189" s="7">
        <v>0</v>
      </c>
      <c r="I189" s="7">
        <v>0</v>
      </c>
      <c r="J189" s="7">
        <v>0</v>
      </c>
      <c r="K189" s="7">
        <v>0</v>
      </c>
      <c r="L189" s="7">
        <v>0</v>
      </c>
      <c r="M189" s="7">
        <v>0</v>
      </c>
      <c r="N189" s="7">
        <v>0</v>
      </c>
      <c r="O189" s="7">
        <v>0</v>
      </c>
      <c r="P189" s="7">
        <v>0</v>
      </c>
      <c r="Q189" s="7">
        <v>0</v>
      </c>
      <c r="R189" s="7">
        <v>0</v>
      </c>
      <c r="S189" s="7">
        <v>0</v>
      </c>
    </row>
    <row r="190">
      <c r="A190" s="16" t="s">
        <v>402</v>
      </c>
      <c r="B190" s="2" t="s">
        <v>365</v>
      </c>
      <c r="C190" s="7">
        <v>0</v>
      </c>
      <c r="D190" s="7">
        <v>0</v>
      </c>
      <c r="E190" s="7">
        <v>0</v>
      </c>
      <c r="F190" s="7">
        <v>0</v>
      </c>
      <c r="G190" s="7">
        <v>0</v>
      </c>
      <c r="H190" s="7">
        <v>0</v>
      </c>
      <c r="I190" s="7">
        <v>0</v>
      </c>
      <c r="J190" s="7">
        <v>0</v>
      </c>
      <c r="K190" s="7">
        <v>0</v>
      </c>
      <c r="L190" s="7">
        <v>0</v>
      </c>
      <c r="M190" s="7">
        <v>0</v>
      </c>
      <c r="N190" s="7">
        <v>0</v>
      </c>
      <c r="O190" s="7">
        <v>0</v>
      </c>
      <c r="P190" s="7">
        <v>0</v>
      </c>
      <c r="Q190" s="7">
        <v>0</v>
      </c>
      <c r="R190" s="7">
        <v>0</v>
      </c>
      <c r="S190" s="7">
        <v>0</v>
      </c>
    </row>
    <row r="191">
      <c r="A191" s="16" t="s">
        <v>403</v>
      </c>
      <c r="B191" s="2" t="s">
        <v>365</v>
      </c>
      <c r="C191" s="7">
        <v>0</v>
      </c>
      <c r="D191" s="7">
        <v>0</v>
      </c>
      <c r="E191" s="7">
        <v>0</v>
      </c>
      <c r="F191" s="7">
        <v>0</v>
      </c>
      <c r="G191" s="7">
        <v>0</v>
      </c>
      <c r="H191" s="7">
        <v>0</v>
      </c>
      <c r="I191" s="7">
        <v>0</v>
      </c>
      <c r="J191" s="7">
        <v>0</v>
      </c>
      <c r="K191" s="7">
        <v>0</v>
      </c>
      <c r="L191" s="7">
        <v>0</v>
      </c>
      <c r="M191" s="7">
        <v>0</v>
      </c>
      <c r="N191" s="7">
        <v>0</v>
      </c>
      <c r="O191" s="7">
        <v>0</v>
      </c>
      <c r="P191" s="7">
        <v>0</v>
      </c>
      <c r="Q191" s="7">
        <v>0</v>
      </c>
      <c r="R191" s="7">
        <v>0</v>
      </c>
      <c r="S191" s="7">
        <v>0</v>
      </c>
    </row>
    <row r="192">
      <c r="A192" s="16" t="s">
        <v>404</v>
      </c>
      <c r="B192" s="2" t="s">
        <v>365</v>
      </c>
      <c r="C192" s="7">
        <v>0</v>
      </c>
      <c r="D192" s="7">
        <v>0</v>
      </c>
      <c r="E192" s="7">
        <v>0</v>
      </c>
      <c r="F192" s="7">
        <v>0</v>
      </c>
      <c r="G192" s="7">
        <v>0</v>
      </c>
      <c r="H192" s="7">
        <v>0</v>
      </c>
      <c r="I192" s="7">
        <v>0</v>
      </c>
      <c r="J192" s="7">
        <v>0</v>
      </c>
      <c r="K192" s="7">
        <v>0</v>
      </c>
      <c r="L192" s="7">
        <v>0</v>
      </c>
      <c r="M192" s="7">
        <v>0</v>
      </c>
      <c r="N192" s="7">
        <v>0</v>
      </c>
      <c r="O192" s="7">
        <v>0</v>
      </c>
      <c r="P192" s="7">
        <v>0</v>
      </c>
      <c r="Q192" s="7">
        <v>0</v>
      </c>
      <c r="R192" s="7">
        <v>0</v>
      </c>
      <c r="S192" s="7">
        <v>0</v>
      </c>
    </row>
    <row r="193">
      <c r="A193" s="16" t="s">
        <v>405</v>
      </c>
      <c r="B193" s="2" t="s">
        <v>365</v>
      </c>
      <c r="C193" s="7">
        <v>0</v>
      </c>
      <c r="D193" s="7">
        <v>0</v>
      </c>
      <c r="E193" s="7">
        <v>0</v>
      </c>
      <c r="F193" s="7">
        <v>0</v>
      </c>
      <c r="G193" s="7">
        <v>0</v>
      </c>
      <c r="H193" s="7">
        <v>0</v>
      </c>
      <c r="I193" s="7">
        <v>0</v>
      </c>
      <c r="J193" s="7">
        <v>0</v>
      </c>
      <c r="K193" s="7">
        <v>0</v>
      </c>
      <c r="L193" s="7">
        <v>0</v>
      </c>
      <c r="M193" s="7">
        <v>0</v>
      </c>
      <c r="N193" s="7">
        <v>0</v>
      </c>
      <c r="O193" s="7">
        <v>0</v>
      </c>
      <c r="P193" s="7">
        <v>0</v>
      </c>
      <c r="Q193" s="7">
        <v>0</v>
      </c>
      <c r="R193" s="7">
        <v>0</v>
      </c>
      <c r="S193" s="7">
        <v>0</v>
      </c>
    </row>
    <row r="194">
      <c r="A194" s="16" t="s">
        <v>406</v>
      </c>
      <c r="B194" s="2" t="s">
        <v>365</v>
      </c>
      <c r="C194" s="7">
        <v>0</v>
      </c>
      <c r="D194" s="7">
        <v>0</v>
      </c>
      <c r="E194" s="7">
        <v>0</v>
      </c>
      <c r="F194" s="7">
        <v>0</v>
      </c>
      <c r="G194" s="7">
        <v>0</v>
      </c>
      <c r="H194" s="7">
        <v>0</v>
      </c>
      <c r="I194" s="7">
        <v>0</v>
      </c>
      <c r="J194" s="7">
        <v>0</v>
      </c>
      <c r="K194" s="7">
        <v>0</v>
      </c>
      <c r="L194" s="7">
        <v>0</v>
      </c>
      <c r="M194" s="7">
        <v>0</v>
      </c>
      <c r="N194" s="7">
        <v>0</v>
      </c>
      <c r="O194" s="7">
        <v>0</v>
      </c>
      <c r="P194" s="7">
        <v>0</v>
      </c>
      <c r="Q194" s="7">
        <v>0</v>
      </c>
      <c r="R194" s="7">
        <v>0</v>
      </c>
      <c r="S194" s="7">
        <v>0</v>
      </c>
    </row>
    <row r="195">
      <c r="A195" s="16" t="s">
        <v>407</v>
      </c>
      <c r="B195" s="2" t="s">
        <v>365</v>
      </c>
      <c r="C195" s="7">
        <v>0</v>
      </c>
      <c r="D195" s="7">
        <v>0</v>
      </c>
      <c r="E195" s="7">
        <v>0</v>
      </c>
      <c r="F195" s="7">
        <v>0</v>
      </c>
      <c r="G195" s="7">
        <v>0</v>
      </c>
      <c r="H195" s="7">
        <v>0</v>
      </c>
      <c r="I195" s="7">
        <v>0</v>
      </c>
      <c r="J195" s="7">
        <v>0</v>
      </c>
      <c r="K195" s="7">
        <v>0</v>
      </c>
      <c r="L195" s="7">
        <v>0</v>
      </c>
      <c r="M195" s="7">
        <v>0</v>
      </c>
      <c r="N195" s="7">
        <v>0</v>
      </c>
      <c r="O195" s="7">
        <v>0</v>
      </c>
      <c r="P195" s="7">
        <v>0</v>
      </c>
      <c r="Q195" s="7">
        <v>0</v>
      </c>
      <c r="R195" s="7">
        <v>0</v>
      </c>
      <c r="S195" s="7">
        <v>0</v>
      </c>
    </row>
    <row r="196">
      <c r="A196" s="16" t="s">
        <v>408</v>
      </c>
      <c r="B196" s="2" t="s">
        <v>365</v>
      </c>
      <c r="C196" s="7">
        <v>0</v>
      </c>
      <c r="D196" s="7">
        <v>0</v>
      </c>
      <c r="E196" s="7">
        <v>0</v>
      </c>
      <c r="F196" s="7">
        <v>0</v>
      </c>
      <c r="G196" s="7">
        <v>0</v>
      </c>
      <c r="H196" s="7">
        <v>0</v>
      </c>
      <c r="I196" s="7">
        <v>0</v>
      </c>
      <c r="J196" s="7">
        <v>0</v>
      </c>
      <c r="K196" s="7">
        <v>0</v>
      </c>
      <c r="L196" s="7">
        <v>0</v>
      </c>
      <c r="M196" s="7">
        <v>0</v>
      </c>
      <c r="N196" s="7">
        <v>0</v>
      </c>
      <c r="O196" s="7">
        <v>0</v>
      </c>
      <c r="P196" s="7">
        <v>0</v>
      </c>
      <c r="Q196" s="7">
        <v>0</v>
      </c>
      <c r="R196" s="7">
        <v>0</v>
      </c>
      <c r="S196" s="7">
        <v>0</v>
      </c>
    </row>
    <row r="197">
      <c r="A197" s="16" t="s">
        <v>409</v>
      </c>
      <c r="B197" s="2" t="s">
        <v>365</v>
      </c>
      <c r="C197" s="7">
        <v>0</v>
      </c>
      <c r="D197" s="7">
        <v>0</v>
      </c>
      <c r="E197" s="7">
        <v>0</v>
      </c>
      <c r="F197" s="7">
        <v>0</v>
      </c>
      <c r="G197" s="7">
        <v>0</v>
      </c>
      <c r="H197" s="7">
        <v>0</v>
      </c>
      <c r="I197" s="7">
        <v>0</v>
      </c>
      <c r="J197" s="7">
        <v>0</v>
      </c>
      <c r="K197" s="7">
        <v>0</v>
      </c>
      <c r="L197" s="7">
        <v>0</v>
      </c>
      <c r="M197" s="7">
        <v>0</v>
      </c>
      <c r="N197" s="7">
        <v>0</v>
      </c>
      <c r="O197" s="7">
        <v>0</v>
      </c>
      <c r="P197" s="7">
        <v>0</v>
      </c>
      <c r="Q197" s="7">
        <v>0</v>
      </c>
      <c r="R197" s="7">
        <v>0</v>
      </c>
      <c r="S197" s="7">
        <v>0</v>
      </c>
    </row>
    <row r="198">
      <c r="A198" s="16" t="s">
        <v>410</v>
      </c>
      <c r="B198" s="2" t="s">
        <v>365</v>
      </c>
      <c r="C198" s="7">
        <v>0</v>
      </c>
      <c r="D198" s="7">
        <v>0</v>
      </c>
      <c r="E198" s="7">
        <v>0</v>
      </c>
      <c r="F198" s="7">
        <v>0</v>
      </c>
      <c r="G198" s="7">
        <v>0</v>
      </c>
      <c r="H198" s="7">
        <v>0</v>
      </c>
      <c r="I198" s="7">
        <v>0</v>
      </c>
      <c r="J198" s="7">
        <v>0</v>
      </c>
      <c r="K198" s="7">
        <v>0</v>
      </c>
      <c r="L198" s="7">
        <v>0</v>
      </c>
      <c r="M198" s="7">
        <v>0</v>
      </c>
      <c r="N198" s="7">
        <v>0</v>
      </c>
      <c r="O198" s="7">
        <v>0</v>
      </c>
      <c r="P198" s="7">
        <v>0</v>
      </c>
      <c r="Q198" s="7">
        <v>0</v>
      </c>
      <c r="R198" s="7">
        <v>0</v>
      </c>
      <c r="S198" s="7">
        <v>0</v>
      </c>
    </row>
    <row r="199">
      <c r="A199" s="17" t="s">
        <v>411</v>
      </c>
      <c r="C199" s="19">
        <f>SUM(C106:C152)</f>
        <v>87943</v>
      </c>
      <c r="D199" s="19">
        <f>SUM(D106:D152)</f>
        <v>84542</v>
      </c>
      <c r="E199" s="19">
        <f>SUM(E106:E152)</f>
        <v>92872</v>
      </c>
      <c r="F199" s="19">
        <f>SUM(F106:F152)</f>
        <v>92465</v>
      </c>
      <c r="G199" s="19">
        <f>SUM(G106:G152)</f>
        <v>86688</v>
      </c>
      <c r="H199" s="19">
        <f>SUM(H106:H152)</f>
        <v>86135</v>
      </c>
      <c r="I199" s="19">
        <f>SUM(I106:I152)</f>
        <v>101136</v>
      </c>
      <c r="J199" s="19">
        <f>SUM(J106:J152)</f>
        <v>95224</v>
      </c>
      <c r="K199" s="19">
        <f>SUM(K106:K152)</f>
        <v>104926</v>
      </c>
      <c r="L199" s="19">
        <f>SUM(L106:L152)</f>
        <v>94921</v>
      </c>
      <c r="M199" s="19">
        <f>SUM(M106:M152)</f>
        <v>102155</v>
      </c>
      <c r="N199" s="19">
        <f>SUM(N106:N152)</f>
        <v>87089</v>
      </c>
      <c r="O199" s="19">
        <f>SUM(O106:O152)</f>
        <v>87908</v>
      </c>
      <c r="P199" s="19">
        <f>SUM(P106:P152)</f>
        <v>97160</v>
      </c>
      <c r="Q199" s="19">
        <f>SUM(Q106:Q152)</f>
        <v>102276</v>
      </c>
      <c r="R199" s="19">
        <f>SUM(R106:R152)</f>
        <v>94440</v>
      </c>
      <c r="S199" s="19">
        <f>SUM(S106:S152)</f>
        <v>105867</v>
      </c>
    </row>
    <row r="200">
      <c r="A200" s="17" t="s">
        <v>412</v>
      </c>
      <c r="C200" s="19">
        <f>SUM(C153:C198)</f>
        <v>0</v>
      </c>
      <c r="D200" s="19">
        <f>SUM(D153:D198)</f>
        <v>0</v>
      </c>
      <c r="E200" s="19">
        <f>SUM(E153:E198)</f>
        <v>0</v>
      </c>
      <c r="F200" s="19">
        <f>SUM(F153:F198)</f>
        <v>0</v>
      </c>
      <c r="G200" s="19">
        <f>SUM(G153:G198)</f>
        <v>0</v>
      </c>
      <c r="H200" s="19">
        <f>SUM(H153:H198)</f>
        <v>0</v>
      </c>
      <c r="I200" s="19">
        <f>SUM(I153:I198)</f>
        <v>0</v>
      </c>
      <c r="J200" s="19">
        <f>SUM(J153:J198)</f>
        <v>0</v>
      </c>
      <c r="K200" s="19">
        <f>SUM(K153:K198)</f>
        <v>0</v>
      </c>
      <c r="L200" s="19">
        <f>SUM(L153:L198)</f>
        <v>0</v>
      </c>
      <c r="M200" s="19">
        <f>SUM(M153:M198)</f>
        <v>0</v>
      </c>
      <c r="N200" s="19">
        <f>SUM(N153:N198)</f>
        <v>0</v>
      </c>
      <c r="O200" s="19">
        <f>SUM(O153:O198)</f>
        <v>0</v>
      </c>
      <c r="P200" s="19">
        <f>SUM(P153:P198)</f>
        <v>0</v>
      </c>
      <c r="Q200" s="19">
        <f>SUM(Q153:Q198)</f>
        <v>0</v>
      </c>
      <c r="R200" s="19">
        <f>SUM(R153:R198)</f>
        <v>0</v>
      </c>
      <c r="S200" s="19">
        <f>SUM(S153:S198)</f>
        <v>0</v>
      </c>
    </row>
    <row r="201">
      <c r="A201" s="17" t="s">
        <v>112</v>
      </c>
      <c r="C201" s="20">
        <f>C199+C200</f>
        <v>87943</v>
      </c>
      <c r="D201" s="20">
        <f>D199+D200</f>
        <v>84542</v>
      </c>
      <c r="E201" s="20">
        <f>E199+E200</f>
        <v>92872</v>
      </c>
      <c r="F201" s="20">
        <f>F199+F200</f>
        <v>92465</v>
      </c>
      <c r="G201" s="20">
        <f>G199+G200</f>
        <v>86688</v>
      </c>
      <c r="H201" s="20">
        <f>H199+H200</f>
        <v>86135</v>
      </c>
      <c r="I201" s="20">
        <f>I199+I200</f>
        <v>101136</v>
      </c>
      <c r="J201" s="20">
        <f>J199+J200</f>
        <v>95224</v>
      </c>
      <c r="K201" s="20">
        <f>K199+K200</f>
        <v>104926</v>
      </c>
      <c r="L201" s="20">
        <f>L199+L200</f>
        <v>94921</v>
      </c>
      <c r="M201" s="20">
        <f>M199+M200</f>
        <v>102155</v>
      </c>
      <c r="N201" s="20">
        <f>N199+N200</f>
        <v>87089</v>
      </c>
      <c r="O201" s="20">
        <f>O199+O200</f>
        <v>87908</v>
      </c>
      <c r="P201" s="20">
        <f>P199+P200</f>
        <v>97160</v>
      </c>
      <c r="Q201" s="20">
        <f>Q199+Q200</f>
        <v>102276</v>
      </c>
      <c r="R201" s="20">
        <f>R199+R200</f>
        <v>94440</v>
      </c>
      <c r="S201" s="20">
        <f>S199+S200</f>
        <v>105867</v>
      </c>
    </row>
    <row r="205">
      <c r="A205" s="4" t="s">
        <v>414</v>
      </c>
      <c r="B205" s="3" t="s">
        <v>320</v>
      </c>
      <c r="C205" s="3" t="s">
        <v>35</v>
      </c>
      <c r="D205" s="3" t="s">
        <v>36</v>
      </c>
      <c r="E205" s="3" t="s">
        <v>37</v>
      </c>
      <c r="F205" s="3" t="s">
        <v>38</v>
      </c>
      <c r="G205" s="3" t="s">
        <v>39</v>
      </c>
      <c r="H205" s="3" t="s">
        <v>40</v>
      </c>
      <c r="I205" s="3" t="s">
        <v>41</v>
      </c>
      <c r="J205" s="3" t="s">
        <v>42</v>
      </c>
      <c r="K205" s="3" t="s">
        <v>43</v>
      </c>
      <c r="L205" s="3" t="s">
        <v>44</v>
      </c>
      <c r="M205" s="3" t="s">
        <v>45</v>
      </c>
      <c r="N205" s="3" t="s">
        <v>46</v>
      </c>
      <c r="O205" s="3" t="s">
        <v>47</v>
      </c>
      <c r="P205" s="3" t="s">
        <v>48</v>
      </c>
      <c r="Q205" s="3" t="s">
        <v>49</v>
      </c>
      <c r="R205" s="3" t="s">
        <v>50</v>
      </c>
      <c r="S205" s="3" t="s">
        <v>110</v>
      </c>
    </row>
    <row r="206">
      <c r="A206" s="16" t="s">
        <v>321</v>
      </c>
      <c r="B206" s="2" t="s">
        <v>322</v>
      </c>
      <c r="C206" s="7">
        <v>12700</v>
      </c>
      <c r="D206" s="7">
        <v>14500</v>
      </c>
      <c r="E206" s="7">
        <v>15500</v>
      </c>
      <c r="F206" s="7">
        <v>15400</v>
      </c>
      <c r="G206" s="7">
        <v>17000</v>
      </c>
      <c r="H206" s="7">
        <v>13300</v>
      </c>
      <c r="I206" s="7">
        <v>10500</v>
      </c>
      <c r="J206" s="7">
        <v>12600</v>
      </c>
      <c r="K206" s="7">
        <v>16800</v>
      </c>
      <c r="L206" s="7">
        <v>18500</v>
      </c>
      <c r="M206" s="7">
        <v>20200</v>
      </c>
      <c r="N206" s="7">
        <v>21700</v>
      </c>
      <c r="O206" s="7">
        <v>22800</v>
      </c>
      <c r="P206" s="7">
        <v>21400</v>
      </c>
      <c r="Q206" s="7">
        <v>21000</v>
      </c>
      <c r="R206" s="7">
        <v>25000</v>
      </c>
      <c r="S206" s="7">
        <v>24400</v>
      </c>
    </row>
    <row r="207">
      <c r="A207" s="16" t="s">
        <v>125</v>
      </c>
      <c r="B207" s="2" t="s">
        <v>322</v>
      </c>
      <c r="C207" s="7">
        <v>18765</v>
      </c>
      <c r="D207" s="7">
        <v>25200</v>
      </c>
      <c r="E207" s="7">
        <v>25600</v>
      </c>
      <c r="F207" s="7">
        <v>28658</v>
      </c>
      <c r="G207" s="7">
        <v>26350</v>
      </c>
      <c r="H207" s="7">
        <v>27830</v>
      </c>
      <c r="I207" s="7">
        <v>25600</v>
      </c>
      <c r="J207" s="7">
        <v>28274</v>
      </c>
      <c r="K207" s="7">
        <v>29336</v>
      </c>
      <c r="L207" s="7">
        <v>30200</v>
      </c>
      <c r="M207" s="7">
        <v>28050</v>
      </c>
      <c r="N207" s="7">
        <v>30480</v>
      </c>
      <c r="O207" s="7">
        <v>27300</v>
      </c>
      <c r="P207" s="7">
        <v>26550</v>
      </c>
      <c r="Q207" s="7">
        <v>28000</v>
      </c>
      <c r="R207" s="7">
        <v>30500</v>
      </c>
      <c r="S207" s="7">
        <v>31400</v>
      </c>
    </row>
    <row r="208">
      <c r="A208" s="16" t="s">
        <v>323</v>
      </c>
      <c r="B208" s="2" t="s">
        <v>322</v>
      </c>
      <c r="C208" s="7">
        <v>0</v>
      </c>
      <c r="D208" s="7">
        <v>0</v>
      </c>
      <c r="E208" s="7">
        <v>0</v>
      </c>
      <c r="F208" s="7">
        <v>0</v>
      </c>
      <c r="G208" s="7">
        <v>0</v>
      </c>
      <c r="H208" s="7">
        <v>0</v>
      </c>
      <c r="I208" s="7">
        <v>0</v>
      </c>
      <c r="J208" s="7">
        <v>0</v>
      </c>
      <c r="K208" s="7">
        <v>0</v>
      </c>
      <c r="L208" s="7">
        <v>0</v>
      </c>
      <c r="M208" s="7">
        <v>0</v>
      </c>
      <c r="N208" s="7">
        <v>0</v>
      </c>
      <c r="O208" s="7">
        <v>0</v>
      </c>
      <c r="P208" s="7">
        <v>0</v>
      </c>
      <c r="Q208" s="7">
        <v>0</v>
      </c>
      <c r="R208" s="7">
        <v>0</v>
      </c>
      <c r="S208" s="7">
        <v>0</v>
      </c>
    </row>
    <row r="209">
      <c r="A209" s="16" t="s">
        <v>324</v>
      </c>
      <c r="B209" s="2" t="s">
        <v>322</v>
      </c>
      <c r="C209" s="7">
        <v>0</v>
      </c>
      <c r="D209" s="7">
        <v>0</v>
      </c>
      <c r="E209" s="7">
        <v>0</v>
      </c>
      <c r="F209" s="7">
        <v>0</v>
      </c>
      <c r="G209" s="7">
        <v>0</v>
      </c>
      <c r="H209" s="7">
        <v>0</v>
      </c>
      <c r="I209" s="7">
        <v>0</v>
      </c>
      <c r="J209" s="7">
        <v>0</v>
      </c>
      <c r="K209" s="7">
        <v>0</v>
      </c>
      <c r="L209" s="7">
        <v>0</v>
      </c>
      <c r="M209" s="7">
        <v>0</v>
      </c>
      <c r="N209" s="7">
        <v>0</v>
      </c>
      <c r="O209" s="7">
        <v>0</v>
      </c>
      <c r="P209" s="7">
        <v>0</v>
      </c>
      <c r="Q209" s="7">
        <v>0</v>
      </c>
      <c r="R209" s="7">
        <v>0</v>
      </c>
      <c r="S209" s="7">
        <v>0</v>
      </c>
    </row>
    <row r="210">
      <c r="A210" s="16" t="s">
        <v>325</v>
      </c>
      <c r="B210" s="2" t="s">
        <v>322</v>
      </c>
      <c r="C210" s="7">
        <v>7950</v>
      </c>
      <c r="D210" s="7">
        <v>6670</v>
      </c>
      <c r="E210" s="7">
        <v>9900</v>
      </c>
      <c r="F210" s="7">
        <v>10000</v>
      </c>
      <c r="G210" s="7">
        <v>9200</v>
      </c>
      <c r="H210" s="7">
        <v>10600</v>
      </c>
      <c r="I210" s="7">
        <v>9300</v>
      </c>
      <c r="J210" s="7">
        <v>9400</v>
      </c>
      <c r="K210" s="7">
        <v>9400</v>
      </c>
      <c r="L210" s="7">
        <v>9450</v>
      </c>
      <c r="M210" s="7">
        <v>9400</v>
      </c>
      <c r="N210" s="7">
        <v>9300</v>
      </c>
      <c r="O210" s="7">
        <v>9500</v>
      </c>
      <c r="P210" s="7">
        <v>6800</v>
      </c>
      <c r="Q210" s="7">
        <v>9300</v>
      </c>
      <c r="R210" s="7">
        <v>11000</v>
      </c>
      <c r="S210" s="7">
        <v>10000</v>
      </c>
    </row>
    <row r="211">
      <c r="A211" s="16" t="s">
        <v>326</v>
      </c>
      <c r="B211" s="2" t="s">
        <v>322</v>
      </c>
      <c r="C211" s="7">
        <v>2568</v>
      </c>
      <c r="D211" s="7">
        <v>2200</v>
      </c>
      <c r="E211" s="7">
        <v>2800</v>
      </c>
      <c r="F211" s="7">
        <v>3000</v>
      </c>
      <c r="G211" s="7">
        <v>2700</v>
      </c>
      <c r="H211" s="7">
        <v>2600</v>
      </c>
      <c r="I211" s="7">
        <v>3775</v>
      </c>
      <c r="J211" s="7">
        <v>3400</v>
      </c>
      <c r="K211" s="7">
        <v>3600</v>
      </c>
      <c r="L211" s="7">
        <v>4450</v>
      </c>
      <c r="M211" s="7">
        <v>5900</v>
      </c>
      <c r="N211" s="7">
        <v>5060</v>
      </c>
      <c r="O211" s="7">
        <v>5575</v>
      </c>
      <c r="P211" s="7">
        <v>5400</v>
      </c>
      <c r="Q211" s="7">
        <v>5670</v>
      </c>
      <c r="R211" s="7">
        <v>5975</v>
      </c>
      <c r="S211" s="7">
        <v>6025</v>
      </c>
    </row>
    <row r="212">
      <c r="A212" s="16" t="s">
        <v>327</v>
      </c>
      <c r="B212" s="2" t="s">
        <v>322</v>
      </c>
      <c r="C212" s="7">
        <v>3465</v>
      </c>
      <c r="D212" s="7">
        <v>3540</v>
      </c>
      <c r="E212" s="7">
        <v>3660</v>
      </c>
      <c r="F212" s="7">
        <v>3372</v>
      </c>
      <c r="G212" s="7">
        <v>3810</v>
      </c>
      <c r="H212" s="7">
        <v>4075</v>
      </c>
      <c r="I212" s="7">
        <v>3617</v>
      </c>
      <c r="J212" s="7">
        <v>3683</v>
      </c>
      <c r="K212" s="7">
        <v>3742</v>
      </c>
      <c r="L212" s="7">
        <v>3517</v>
      </c>
      <c r="M212" s="7">
        <v>3917</v>
      </c>
      <c r="N212" s="7">
        <v>4117</v>
      </c>
      <c r="O212" s="7">
        <v>4200</v>
      </c>
      <c r="P212" s="7">
        <v>5080</v>
      </c>
      <c r="Q212" s="7">
        <v>4297</v>
      </c>
      <c r="R212" s="7">
        <v>4700</v>
      </c>
      <c r="S212" s="7">
        <v>4580</v>
      </c>
    </row>
    <row r="213">
      <c r="A213" s="16" t="s">
        <v>130</v>
      </c>
      <c r="B213" s="2" t="s">
        <v>322</v>
      </c>
      <c r="C213" s="7">
        <v>0</v>
      </c>
      <c r="D213" s="7">
        <v>0</v>
      </c>
      <c r="E213" s="7">
        <v>0</v>
      </c>
      <c r="F213" s="7">
        <v>0</v>
      </c>
      <c r="G213" s="7">
        <v>0</v>
      </c>
      <c r="H213" s="7">
        <v>0</v>
      </c>
      <c r="I213" s="7">
        <v>0</v>
      </c>
      <c r="J213" s="7">
        <v>0</v>
      </c>
      <c r="K213" s="7">
        <v>0</v>
      </c>
      <c r="L213" s="7">
        <v>0</v>
      </c>
      <c r="M213" s="7">
        <v>0</v>
      </c>
      <c r="N213" s="7">
        <v>0</v>
      </c>
      <c r="O213" s="7">
        <v>0</v>
      </c>
      <c r="P213" s="7">
        <v>0</v>
      </c>
      <c r="Q213" s="7">
        <v>0</v>
      </c>
      <c r="R213" s="7">
        <v>0</v>
      </c>
      <c r="S213" s="7">
        <v>0</v>
      </c>
    </row>
    <row r="214">
      <c r="A214" s="16" t="s">
        <v>328</v>
      </c>
      <c r="B214" s="2" t="s">
        <v>322</v>
      </c>
      <c r="C214" s="7">
        <v>0</v>
      </c>
      <c r="D214" s="7">
        <v>0</v>
      </c>
      <c r="E214" s="7">
        <v>0</v>
      </c>
      <c r="F214" s="7">
        <v>0</v>
      </c>
      <c r="G214" s="7">
        <v>0</v>
      </c>
      <c r="H214" s="7">
        <v>0</v>
      </c>
      <c r="I214" s="7">
        <v>0</v>
      </c>
      <c r="J214" s="7">
        <v>0</v>
      </c>
      <c r="K214" s="7">
        <v>0</v>
      </c>
      <c r="L214" s="7">
        <v>0</v>
      </c>
      <c r="M214" s="7">
        <v>0</v>
      </c>
      <c r="N214" s="7">
        <v>0</v>
      </c>
      <c r="O214" s="7">
        <v>0</v>
      </c>
      <c r="P214" s="7">
        <v>0</v>
      </c>
      <c r="Q214" s="7">
        <v>0</v>
      </c>
      <c r="R214" s="7">
        <v>0</v>
      </c>
      <c r="S214" s="7">
        <v>0</v>
      </c>
    </row>
    <row r="215">
      <c r="A215" s="16" t="s">
        <v>329</v>
      </c>
      <c r="B215" s="2" t="s">
        <v>322</v>
      </c>
      <c r="C215" s="7">
        <v>200</v>
      </c>
      <c r="D215" s="7">
        <v>200</v>
      </c>
      <c r="E215" s="7">
        <v>200</v>
      </c>
      <c r="F215" s="7">
        <v>200</v>
      </c>
      <c r="G215" s="7">
        <v>200</v>
      </c>
      <c r="H215" s="7">
        <v>175</v>
      </c>
      <c r="I215" s="7">
        <v>200</v>
      </c>
      <c r="J215" s="7">
        <v>200</v>
      </c>
      <c r="K215" s="7">
        <v>450</v>
      </c>
      <c r="L215" s="7">
        <v>550</v>
      </c>
      <c r="M215" s="7">
        <v>530</v>
      </c>
      <c r="N215" s="7">
        <v>540</v>
      </c>
      <c r="O215" s="7">
        <v>545</v>
      </c>
      <c r="P215" s="7">
        <v>500</v>
      </c>
      <c r="Q215" s="7">
        <v>340</v>
      </c>
      <c r="R215" s="7">
        <v>500</v>
      </c>
      <c r="S215" s="7">
        <v>560</v>
      </c>
    </row>
    <row r="216">
      <c r="A216" s="16" t="s">
        <v>134</v>
      </c>
      <c r="B216" s="2" t="s">
        <v>322</v>
      </c>
      <c r="C216" s="7">
        <v>10</v>
      </c>
      <c r="D216" s="7">
        <v>10</v>
      </c>
      <c r="E216" s="7">
        <v>10</v>
      </c>
      <c r="F216" s="7">
        <v>15</v>
      </c>
      <c r="G216" s="7">
        <v>60</v>
      </c>
      <c r="H216" s="7">
        <v>170</v>
      </c>
      <c r="I216" s="7">
        <v>170</v>
      </c>
      <c r="J216" s="7">
        <v>180</v>
      </c>
      <c r="K216" s="7">
        <v>250</v>
      </c>
      <c r="L216" s="7">
        <v>130</v>
      </c>
      <c r="M216" s="7">
        <v>120</v>
      </c>
      <c r="N216" s="7">
        <v>130</v>
      </c>
      <c r="O216" s="7">
        <v>120</v>
      </c>
      <c r="P216" s="7">
        <v>130</v>
      </c>
      <c r="Q216" s="7">
        <v>130</v>
      </c>
      <c r="R216" s="7">
        <v>130</v>
      </c>
      <c r="S216" s="7">
        <v>130</v>
      </c>
    </row>
    <row r="217">
      <c r="A217" s="16" t="s">
        <v>135</v>
      </c>
      <c r="B217" s="2" t="s">
        <v>322</v>
      </c>
      <c r="C217" s="7">
        <v>0</v>
      </c>
      <c r="D217" s="7">
        <v>0</v>
      </c>
      <c r="E217" s="7">
        <v>0</v>
      </c>
      <c r="F217" s="7">
        <v>0</v>
      </c>
      <c r="G217" s="7">
        <v>25</v>
      </c>
      <c r="H217" s="7">
        <v>25</v>
      </c>
      <c r="I217" s="7">
        <v>25</v>
      </c>
      <c r="J217" s="7">
        <v>30</v>
      </c>
      <c r="K217" s="7">
        <v>50</v>
      </c>
      <c r="L217" s="7">
        <v>80</v>
      </c>
      <c r="M217" s="7">
        <v>100</v>
      </c>
      <c r="N217" s="7">
        <v>120</v>
      </c>
      <c r="O217" s="7">
        <v>160</v>
      </c>
      <c r="P217" s="7">
        <v>160</v>
      </c>
      <c r="Q217" s="7">
        <v>160</v>
      </c>
      <c r="R217" s="7">
        <v>160</v>
      </c>
      <c r="S217" s="7">
        <v>140</v>
      </c>
    </row>
    <row r="218">
      <c r="A218" s="16" t="s">
        <v>330</v>
      </c>
      <c r="B218" s="2" t="s">
        <v>322</v>
      </c>
      <c r="C218" s="7">
        <v>0</v>
      </c>
      <c r="D218" s="7">
        <v>0</v>
      </c>
      <c r="E218" s="7">
        <v>0</v>
      </c>
      <c r="F218" s="7">
        <v>0</v>
      </c>
      <c r="G218" s="7">
        <v>0</v>
      </c>
      <c r="H218" s="7">
        <v>0</v>
      </c>
      <c r="I218" s="7">
        <v>0</v>
      </c>
      <c r="J218" s="7">
        <v>0</v>
      </c>
      <c r="K218" s="7">
        <v>0</v>
      </c>
      <c r="L218" s="7">
        <v>0</v>
      </c>
      <c r="M218" s="7">
        <v>0</v>
      </c>
      <c r="N218" s="7">
        <v>0</v>
      </c>
      <c r="O218" s="7">
        <v>0</v>
      </c>
      <c r="P218" s="7">
        <v>0</v>
      </c>
      <c r="Q218" s="7">
        <v>0</v>
      </c>
      <c r="R218" s="7">
        <v>0</v>
      </c>
      <c r="S218" s="7">
        <v>0</v>
      </c>
    </row>
    <row r="219">
      <c r="A219" s="16" t="s">
        <v>331</v>
      </c>
      <c r="B219" s="2" t="s">
        <v>322</v>
      </c>
      <c r="C219" s="7">
        <v>450</v>
      </c>
      <c r="D219" s="7">
        <v>200</v>
      </c>
      <c r="E219" s="7">
        <v>570</v>
      </c>
      <c r="F219" s="7">
        <v>350</v>
      </c>
      <c r="G219" s="7">
        <v>550</v>
      </c>
      <c r="H219" s="7">
        <v>500</v>
      </c>
      <c r="I219" s="7">
        <v>500</v>
      </c>
      <c r="J219" s="7">
        <v>550</v>
      </c>
      <c r="K219" s="7">
        <v>550</v>
      </c>
      <c r="L219" s="7">
        <v>575</v>
      </c>
      <c r="M219" s="7">
        <v>525</v>
      </c>
      <c r="N219" s="7">
        <v>550</v>
      </c>
      <c r="O219" s="7">
        <v>550</v>
      </c>
      <c r="P219" s="7">
        <v>600</v>
      </c>
      <c r="Q219" s="7">
        <v>650</v>
      </c>
      <c r="R219" s="7">
        <v>700</v>
      </c>
      <c r="S219" s="7">
        <v>750</v>
      </c>
    </row>
    <row r="220">
      <c r="A220" s="16" t="s">
        <v>332</v>
      </c>
      <c r="B220" s="2" t="s">
        <v>322</v>
      </c>
      <c r="C220" s="7">
        <v>1100</v>
      </c>
      <c r="D220" s="7">
        <v>1450</v>
      </c>
      <c r="E220" s="7">
        <v>1400</v>
      </c>
      <c r="F220" s="7">
        <v>1500</v>
      </c>
      <c r="G220" s="7">
        <v>2100</v>
      </c>
      <c r="H220" s="7">
        <v>2200</v>
      </c>
      <c r="I220" s="7">
        <v>2100</v>
      </c>
      <c r="J220" s="7">
        <v>2100</v>
      </c>
      <c r="K220" s="7">
        <v>2100</v>
      </c>
      <c r="L220" s="7">
        <v>1900</v>
      </c>
      <c r="M220" s="7">
        <v>2000</v>
      </c>
      <c r="N220" s="7">
        <v>2000</v>
      </c>
      <c r="O220" s="7">
        <v>2000</v>
      </c>
      <c r="P220" s="7">
        <v>1330</v>
      </c>
      <c r="Q220" s="7">
        <v>1400</v>
      </c>
      <c r="R220" s="7">
        <v>1500</v>
      </c>
      <c r="S220" s="7">
        <v>1500</v>
      </c>
    </row>
    <row r="221">
      <c r="A221" s="16" t="s">
        <v>333</v>
      </c>
      <c r="B221" s="2" t="s">
        <v>322</v>
      </c>
      <c r="C221" s="7">
        <v>1600</v>
      </c>
      <c r="D221" s="7">
        <v>1600</v>
      </c>
      <c r="E221" s="7">
        <v>1750</v>
      </c>
      <c r="F221" s="7">
        <v>1675</v>
      </c>
      <c r="G221" s="7">
        <v>1400</v>
      </c>
      <c r="H221" s="7">
        <v>1600</v>
      </c>
      <c r="I221" s="7">
        <v>1090</v>
      </c>
      <c r="J221" s="7">
        <v>1250</v>
      </c>
      <c r="K221" s="7">
        <v>2000</v>
      </c>
      <c r="L221" s="7">
        <v>1775</v>
      </c>
      <c r="M221" s="7">
        <v>910</v>
      </c>
      <c r="N221" s="7">
        <v>1110</v>
      </c>
      <c r="O221" s="7">
        <v>1020</v>
      </c>
      <c r="P221" s="7">
        <v>1325</v>
      </c>
      <c r="Q221" s="7">
        <v>650</v>
      </c>
      <c r="R221" s="7">
        <v>1300</v>
      </c>
      <c r="S221" s="7">
        <v>1300</v>
      </c>
    </row>
    <row r="222">
      <c r="A222" s="16" t="s">
        <v>136</v>
      </c>
      <c r="B222" s="2" t="s">
        <v>322</v>
      </c>
      <c r="C222" s="7">
        <v>0</v>
      </c>
      <c r="D222" s="7">
        <v>0</v>
      </c>
      <c r="E222" s="7">
        <v>0</v>
      </c>
      <c r="F222" s="7">
        <v>0</v>
      </c>
      <c r="G222" s="7">
        <v>0</v>
      </c>
      <c r="H222" s="7">
        <v>0</v>
      </c>
      <c r="I222" s="7">
        <v>0</v>
      </c>
      <c r="J222" s="7">
        <v>0</v>
      </c>
      <c r="K222" s="7">
        <v>0</v>
      </c>
      <c r="L222" s="7">
        <v>0</v>
      </c>
      <c r="M222" s="7">
        <v>0</v>
      </c>
      <c r="N222" s="7">
        <v>0</v>
      </c>
      <c r="O222" s="7">
        <v>0</v>
      </c>
      <c r="P222" s="7">
        <v>0</v>
      </c>
      <c r="Q222" s="7">
        <v>0</v>
      </c>
      <c r="R222" s="7">
        <v>0</v>
      </c>
      <c r="S222" s="7">
        <v>0</v>
      </c>
    </row>
    <row r="223">
      <c r="A223" s="16" t="s">
        <v>334</v>
      </c>
      <c r="B223" s="2" t="s">
        <v>322</v>
      </c>
      <c r="C223" s="7">
        <v>0</v>
      </c>
      <c r="D223" s="7">
        <v>0</v>
      </c>
      <c r="E223" s="7">
        <v>0</v>
      </c>
      <c r="F223" s="7">
        <v>0</v>
      </c>
      <c r="G223" s="7">
        <v>0</v>
      </c>
      <c r="H223" s="7">
        <v>0</v>
      </c>
      <c r="I223" s="7">
        <v>0</v>
      </c>
      <c r="J223" s="7">
        <v>0</v>
      </c>
      <c r="K223" s="7">
        <v>0</v>
      </c>
      <c r="L223" s="7">
        <v>0</v>
      </c>
      <c r="M223" s="7">
        <v>0</v>
      </c>
      <c r="N223" s="7">
        <v>0</v>
      </c>
      <c r="O223" s="7">
        <v>0</v>
      </c>
      <c r="P223" s="7">
        <v>0</v>
      </c>
      <c r="Q223" s="7">
        <v>0</v>
      </c>
      <c r="R223" s="7">
        <v>0</v>
      </c>
      <c r="S223" s="7">
        <v>0</v>
      </c>
    </row>
    <row r="224">
      <c r="A224" s="16" t="s">
        <v>335</v>
      </c>
      <c r="B224" s="2" t="s">
        <v>322</v>
      </c>
      <c r="C224" s="7">
        <v>1000</v>
      </c>
      <c r="D224" s="7">
        <v>1000</v>
      </c>
      <c r="E224" s="7">
        <v>1000</v>
      </c>
      <c r="F224" s="7">
        <v>1000</v>
      </c>
      <c r="G224" s="7">
        <v>1000</v>
      </c>
      <c r="H224" s="7">
        <v>700</v>
      </c>
      <c r="I224" s="7">
        <v>800</v>
      </c>
      <c r="J224" s="7">
        <v>700</v>
      </c>
      <c r="K224" s="7">
        <v>650</v>
      </c>
      <c r="L224" s="7">
        <v>700</v>
      </c>
      <c r="M224" s="7">
        <v>600</v>
      </c>
      <c r="N224" s="7">
        <v>650</v>
      </c>
      <c r="O224" s="7">
        <v>700</v>
      </c>
      <c r="P224" s="7">
        <v>750</v>
      </c>
      <c r="Q224" s="7">
        <v>900</v>
      </c>
      <c r="R224" s="7">
        <v>900</v>
      </c>
      <c r="S224" s="7">
        <v>900</v>
      </c>
    </row>
    <row r="225">
      <c r="A225" s="16" t="s">
        <v>336</v>
      </c>
      <c r="B225" s="2" t="s">
        <v>322</v>
      </c>
      <c r="C225" s="7">
        <v>40</v>
      </c>
      <c r="D225" s="7">
        <v>50</v>
      </c>
      <c r="E225" s="7">
        <v>50</v>
      </c>
      <c r="F225" s="7">
        <v>40</v>
      </c>
      <c r="G225" s="7">
        <v>50</v>
      </c>
      <c r="H225" s="7">
        <v>50</v>
      </c>
      <c r="I225" s="7">
        <v>50</v>
      </c>
      <c r="J225" s="7">
        <v>50</v>
      </c>
      <c r="K225" s="7">
        <v>50</v>
      </c>
      <c r="L225" s="7">
        <v>50</v>
      </c>
      <c r="M225" s="7">
        <v>50</v>
      </c>
      <c r="N225" s="7">
        <v>50</v>
      </c>
      <c r="O225" s="7">
        <v>50</v>
      </c>
      <c r="P225" s="7">
        <v>50</v>
      </c>
      <c r="Q225" s="7">
        <v>40</v>
      </c>
      <c r="R225" s="7">
        <v>50</v>
      </c>
      <c r="S225" s="7">
        <v>50</v>
      </c>
    </row>
    <row r="226">
      <c r="A226" s="16" t="s">
        <v>337</v>
      </c>
      <c r="B226" s="2" t="s">
        <v>322</v>
      </c>
      <c r="C226" s="7">
        <v>0</v>
      </c>
      <c r="D226" s="7">
        <v>0</v>
      </c>
      <c r="E226" s="7">
        <v>0</v>
      </c>
      <c r="F226" s="7">
        <v>0</v>
      </c>
      <c r="G226" s="7">
        <v>0</v>
      </c>
      <c r="H226" s="7">
        <v>0</v>
      </c>
      <c r="I226" s="7">
        <v>0</v>
      </c>
      <c r="J226" s="7">
        <v>0</v>
      </c>
      <c r="K226" s="7">
        <v>0</v>
      </c>
      <c r="L226" s="7">
        <v>0</v>
      </c>
      <c r="M226" s="7">
        <v>0</v>
      </c>
      <c r="N226" s="7">
        <v>0</v>
      </c>
      <c r="O226" s="7">
        <v>0</v>
      </c>
      <c r="P226" s="7">
        <v>0</v>
      </c>
      <c r="Q226" s="7">
        <v>0</v>
      </c>
      <c r="R226" s="7">
        <v>0</v>
      </c>
      <c r="S226" s="7">
        <v>0</v>
      </c>
    </row>
    <row r="227">
      <c r="A227" s="16" t="s">
        <v>338</v>
      </c>
      <c r="B227" s="2" t="s">
        <v>322</v>
      </c>
      <c r="C227" s="7">
        <v>500</v>
      </c>
      <c r="D227" s="7">
        <v>450</v>
      </c>
      <c r="E227" s="7">
        <v>460</v>
      </c>
      <c r="F227" s="7">
        <v>475</v>
      </c>
      <c r="G227" s="7">
        <v>475</v>
      </c>
      <c r="H227" s="7">
        <v>475</v>
      </c>
      <c r="I227" s="7">
        <v>410</v>
      </c>
      <c r="J227" s="7">
        <v>450</v>
      </c>
      <c r="K227" s="7">
        <v>375</v>
      </c>
      <c r="L227" s="7">
        <v>440</v>
      </c>
      <c r="M227" s="7">
        <v>485</v>
      </c>
      <c r="N227" s="7">
        <v>385</v>
      </c>
      <c r="O227" s="7">
        <v>410</v>
      </c>
      <c r="P227" s="7">
        <v>410</v>
      </c>
      <c r="Q227" s="7">
        <v>450</v>
      </c>
      <c r="R227" s="7">
        <v>475</v>
      </c>
      <c r="S227" s="7">
        <v>500</v>
      </c>
    </row>
    <row r="228">
      <c r="A228" s="16" t="s">
        <v>339</v>
      </c>
      <c r="B228" s="2" t="s">
        <v>322</v>
      </c>
      <c r="C228" s="7">
        <v>0</v>
      </c>
      <c r="D228" s="7">
        <v>0</v>
      </c>
      <c r="E228" s="7">
        <v>0</v>
      </c>
      <c r="F228" s="7">
        <v>0</v>
      </c>
      <c r="G228" s="7">
        <v>0</v>
      </c>
      <c r="H228" s="7">
        <v>0</v>
      </c>
      <c r="I228" s="7">
        <v>0</v>
      </c>
      <c r="J228" s="7">
        <v>0</v>
      </c>
      <c r="K228" s="7">
        <v>0</v>
      </c>
      <c r="L228" s="7">
        <v>0</v>
      </c>
      <c r="M228" s="7">
        <v>0</v>
      </c>
      <c r="N228" s="7">
        <v>0</v>
      </c>
      <c r="O228" s="7">
        <v>0</v>
      </c>
      <c r="P228" s="7">
        <v>0</v>
      </c>
      <c r="Q228" s="7">
        <v>0</v>
      </c>
      <c r="R228" s="7">
        <v>0</v>
      </c>
      <c r="S228" s="7">
        <v>0</v>
      </c>
    </row>
    <row r="229">
      <c r="A229" s="16" t="s">
        <v>340</v>
      </c>
      <c r="B229" s="2" t="s">
        <v>322</v>
      </c>
      <c r="C229" s="7">
        <v>425</v>
      </c>
      <c r="D229" s="7">
        <v>425</v>
      </c>
      <c r="E229" s="7">
        <v>425</v>
      </c>
      <c r="F229" s="7">
        <v>425</v>
      </c>
      <c r="G229" s="7">
        <v>450</v>
      </c>
      <c r="H229" s="7">
        <v>400</v>
      </c>
      <c r="I229" s="7">
        <v>450</v>
      </c>
      <c r="J229" s="7">
        <v>425</v>
      </c>
      <c r="K229" s="7">
        <v>400</v>
      </c>
      <c r="L229" s="7">
        <v>425</v>
      </c>
      <c r="M229" s="7">
        <v>400</v>
      </c>
      <c r="N229" s="7">
        <v>425</v>
      </c>
      <c r="O229" s="7">
        <v>450</v>
      </c>
      <c r="P229" s="7">
        <v>425</v>
      </c>
      <c r="Q229" s="7">
        <v>425</v>
      </c>
      <c r="R229" s="7">
        <v>425</v>
      </c>
      <c r="S229" s="7">
        <v>450</v>
      </c>
    </row>
    <row r="230">
      <c r="A230" s="16" t="s">
        <v>341</v>
      </c>
      <c r="B230" s="2" t="s">
        <v>322</v>
      </c>
      <c r="C230" s="7">
        <v>250</v>
      </c>
      <c r="D230" s="7">
        <v>230</v>
      </c>
      <c r="E230" s="7">
        <v>150</v>
      </c>
      <c r="F230" s="7">
        <v>85</v>
      </c>
      <c r="G230" s="7">
        <v>135</v>
      </c>
      <c r="H230" s="7">
        <v>125</v>
      </c>
      <c r="I230" s="7">
        <v>100</v>
      </c>
      <c r="J230" s="7">
        <v>110</v>
      </c>
      <c r="K230" s="7">
        <v>115</v>
      </c>
      <c r="L230" s="7">
        <v>120</v>
      </c>
      <c r="M230" s="7">
        <v>167</v>
      </c>
      <c r="N230" s="7">
        <v>170</v>
      </c>
      <c r="O230" s="7">
        <v>241</v>
      </c>
      <c r="P230" s="7">
        <v>250</v>
      </c>
      <c r="Q230" s="7">
        <v>250</v>
      </c>
      <c r="R230" s="7">
        <v>250</v>
      </c>
      <c r="S230" s="7">
        <v>250</v>
      </c>
    </row>
    <row r="231">
      <c r="A231" s="16" t="s">
        <v>342</v>
      </c>
      <c r="B231" s="2" t="s">
        <v>322</v>
      </c>
      <c r="C231" s="7">
        <v>0</v>
      </c>
      <c r="D231" s="7">
        <v>0</v>
      </c>
      <c r="E231" s="7">
        <v>0</v>
      </c>
      <c r="F231" s="7">
        <v>0</v>
      </c>
      <c r="G231" s="7">
        <v>0</v>
      </c>
      <c r="H231" s="7">
        <v>0</v>
      </c>
      <c r="I231" s="7">
        <v>0</v>
      </c>
      <c r="J231" s="7">
        <v>0</v>
      </c>
      <c r="K231" s="7">
        <v>0</v>
      </c>
      <c r="L231" s="7">
        <v>0</v>
      </c>
      <c r="M231" s="7">
        <v>0</v>
      </c>
      <c r="N231" s="7">
        <v>0</v>
      </c>
      <c r="O231" s="7">
        <v>0</v>
      </c>
      <c r="P231" s="7">
        <v>0</v>
      </c>
      <c r="Q231" s="7">
        <v>0</v>
      </c>
      <c r="R231" s="7">
        <v>0</v>
      </c>
      <c r="S231" s="7">
        <v>0</v>
      </c>
    </row>
    <row r="232">
      <c r="A232" s="16" t="s">
        <v>343</v>
      </c>
      <c r="B232" s="2" t="s">
        <v>322</v>
      </c>
      <c r="C232" s="7">
        <v>525</v>
      </c>
      <c r="D232" s="7">
        <v>525</v>
      </c>
      <c r="E232" s="7">
        <v>500</v>
      </c>
      <c r="F232" s="7">
        <v>525</v>
      </c>
      <c r="G232" s="7">
        <v>475</v>
      </c>
      <c r="H232" s="7">
        <v>230</v>
      </c>
      <c r="I232" s="7">
        <v>270</v>
      </c>
      <c r="J232" s="7">
        <v>225</v>
      </c>
      <c r="K232" s="7">
        <v>250</v>
      </c>
      <c r="L232" s="7">
        <v>300</v>
      </c>
      <c r="M232" s="7">
        <v>300</v>
      </c>
      <c r="N232" s="7">
        <v>275</v>
      </c>
      <c r="O232" s="7">
        <v>300</v>
      </c>
      <c r="P232" s="7">
        <v>275</v>
      </c>
      <c r="Q232" s="7">
        <v>275</v>
      </c>
      <c r="R232" s="7">
        <v>275</v>
      </c>
      <c r="S232" s="7">
        <v>275</v>
      </c>
    </row>
    <row r="233">
      <c r="A233" s="16" t="s">
        <v>344</v>
      </c>
      <c r="B233" s="2" t="s">
        <v>322</v>
      </c>
      <c r="C233" s="7">
        <v>625</v>
      </c>
      <c r="D233" s="7">
        <v>645</v>
      </c>
      <c r="E233" s="7">
        <v>485</v>
      </c>
      <c r="F233" s="7">
        <v>375</v>
      </c>
      <c r="G233" s="7">
        <v>525</v>
      </c>
      <c r="H233" s="7">
        <v>575</v>
      </c>
      <c r="I233" s="7">
        <v>450</v>
      </c>
      <c r="J233" s="7">
        <v>375</v>
      </c>
      <c r="K233" s="7">
        <v>400</v>
      </c>
      <c r="L233" s="7">
        <v>425</v>
      </c>
      <c r="M233" s="7">
        <v>350</v>
      </c>
      <c r="N233" s="7">
        <v>250</v>
      </c>
      <c r="O233" s="7">
        <v>220</v>
      </c>
      <c r="P233" s="7">
        <v>190</v>
      </c>
      <c r="Q233" s="7">
        <v>180</v>
      </c>
      <c r="R233" s="7">
        <v>200</v>
      </c>
      <c r="S233" s="7">
        <v>190</v>
      </c>
    </row>
    <row r="234">
      <c r="A234" s="16" t="s">
        <v>345</v>
      </c>
      <c r="B234" s="2" t="s">
        <v>322</v>
      </c>
      <c r="C234" s="7">
        <v>165</v>
      </c>
      <c r="D234" s="7">
        <v>165</v>
      </c>
      <c r="E234" s="7">
        <v>150</v>
      </c>
      <c r="F234" s="7">
        <v>170</v>
      </c>
      <c r="G234" s="7">
        <v>150</v>
      </c>
      <c r="H234" s="7">
        <v>150</v>
      </c>
      <c r="I234" s="7">
        <v>160</v>
      </c>
      <c r="J234" s="7">
        <v>175</v>
      </c>
      <c r="K234" s="7">
        <v>175</v>
      </c>
      <c r="L234" s="7">
        <v>180</v>
      </c>
      <c r="M234" s="7">
        <v>175</v>
      </c>
      <c r="N234" s="7">
        <v>200</v>
      </c>
      <c r="O234" s="7">
        <v>180</v>
      </c>
      <c r="P234" s="7">
        <v>150</v>
      </c>
      <c r="Q234" s="7">
        <v>120</v>
      </c>
      <c r="R234" s="7">
        <v>110</v>
      </c>
      <c r="S234" s="7">
        <v>110</v>
      </c>
    </row>
    <row r="235">
      <c r="A235" s="16" t="s">
        <v>346</v>
      </c>
      <c r="B235" s="2" t="s">
        <v>322</v>
      </c>
      <c r="C235" s="7">
        <v>0</v>
      </c>
      <c r="D235" s="7">
        <v>0</v>
      </c>
      <c r="E235" s="7">
        <v>0</v>
      </c>
      <c r="F235" s="7">
        <v>0</v>
      </c>
      <c r="G235" s="7">
        <v>0</v>
      </c>
      <c r="H235" s="7">
        <v>0</v>
      </c>
      <c r="I235" s="7">
        <v>0</v>
      </c>
      <c r="J235" s="7">
        <v>0</v>
      </c>
      <c r="K235" s="7">
        <v>0</v>
      </c>
      <c r="L235" s="7">
        <v>0</v>
      </c>
      <c r="M235" s="7">
        <v>0</v>
      </c>
      <c r="N235" s="7">
        <v>0</v>
      </c>
      <c r="O235" s="7">
        <v>0</v>
      </c>
      <c r="P235" s="7">
        <v>0</v>
      </c>
      <c r="Q235" s="7">
        <v>0</v>
      </c>
      <c r="R235" s="7">
        <v>0</v>
      </c>
      <c r="S235" s="7">
        <v>0</v>
      </c>
    </row>
    <row r="236">
      <c r="A236" s="16" t="s">
        <v>347</v>
      </c>
      <c r="B236" s="2" t="s">
        <v>322</v>
      </c>
      <c r="C236" s="7">
        <v>0</v>
      </c>
      <c r="D236" s="7">
        <v>0</v>
      </c>
      <c r="E236" s="7">
        <v>0</v>
      </c>
      <c r="F236" s="7">
        <v>0</v>
      </c>
      <c r="G236" s="7">
        <v>0</v>
      </c>
      <c r="H236" s="7">
        <v>0</v>
      </c>
      <c r="I236" s="7">
        <v>0</v>
      </c>
      <c r="J236" s="7">
        <v>0</v>
      </c>
      <c r="K236" s="7">
        <v>0</v>
      </c>
      <c r="L236" s="7">
        <v>0</v>
      </c>
      <c r="M236" s="7">
        <v>0</v>
      </c>
      <c r="N236" s="7">
        <v>0</v>
      </c>
      <c r="O236" s="7">
        <v>0</v>
      </c>
      <c r="P236" s="7">
        <v>0</v>
      </c>
      <c r="Q236" s="7">
        <v>0</v>
      </c>
      <c r="R236" s="7">
        <v>0</v>
      </c>
      <c r="S236" s="7">
        <v>0</v>
      </c>
    </row>
    <row r="237">
      <c r="A237" s="16" t="s">
        <v>348</v>
      </c>
      <c r="B237" s="2" t="s">
        <v>322</v>
      </c>
      <c r="C237" s="7">
        <v>325</v>
      </c>
      <c r="D237" s="7">
        <v>425</v>
      </c>
      <c r="E237" s="7">
        <v>165</v>
      </c>
      <c r="F237" s="7">
        <v>50</v>
      </c>
      <c r="G237" s="7">
        <v>150</v>
      </c>
      <c r="H237" s="7">
        <v>280</v>
      </c>
      <c r="I237" s="7">
        <v>200</v>
      </c>
      <c r="J237" s="7">
        <v>190</v>
      </c>
      <c r="K237" s="7">
        <v>70</v>
      </c>
      <c r="L237" s="7">
        <v>145</v>
      </c>
      <c r="M237" s="7">
        <v>70</v>
      </c>
      <c r="N237" s="7">
        <v>300</v>
      </c>
      <c r="O237" s="7">
        <v>115</v>
      </c>
      <c r="P237" s="7">
        <v>260</v>
      </c>
      <c r="Q237" s="7">
        <v>110</v>
      </c>
      <c r="R237" s="7">
        <v>75</v>
      </c>
      <c r="S237" s="7">
        <v>125</v>
      </c>
    </row>
    <row r="238">
      <c r="A238" s="16" t="s">
        <v>349</v>
      </c>
      <c r="B238" s="2" t="s">
        <v>322</v>
      </c>
      <c r="C238" s="7">
        <v>0</v>
      </c>
      <c r="D238" s="7">
        <v>0</v>
      </c>
      <c r="E238" s="7">
        <v>0</v>
      </c>
      <c r="F238" s="7">
        <v>0</v>
      </c>
      <c r="G238" s="7">
        <v>0</v>
      </c>
      <c r="H238" s="7">
        <v>0</v>
      </c>
      <c r="I238" s="7">
        <v>0</v>
      </c>
      <c r="J238" s="7">
        <v>0</v>
      </c>
      <c r="K238" s="7">
        <v>0</v>
      </c>
      <c r="L238" s="7">
        <v>0</v>
      </c>
      <c r="M238" s="7">
        <v>0</v>
      </c>
      <c r="N238" s="7">
        <v>0</v>
      </c>
      <c r="O238" s="7">
        <v>0</v>
      </c>
      <c r="P238" s="7">
        <v>0</v>
      </c>
      <c r="Q238" s="7">
        <v>0</v>
      </c>
      <c r="R238" s="7">
        <v>0</v>
      </c>
      <c r="S238" s="7">
        <v>0</v>
      </c>
    </row>
    <row r="239">
      <c r="A239" s="16" t="s">
        <v>350</v>
      </c>
      <c r="B239" s="2" t="s">
        <v>322</v>
      </c>
      <c r="C239" s="7">
        <v>0</v>
      </c>
      <c r="D239" s="7">
        <v>0</v>
      </c>
      <c r="E239" s="7">
        <v>0</v>
      </c>
      <c r="F239" s="7">
        <v>0</v>
      </c>
      <c r="G239" s="7">
        <v>0</v>
      </c>
      <c r="H239" s="7">
        <v>0</v>
      </c>
      <c r="I239" s="7">
        <v>0</v>
      </c>
      <c r="J239" s="7">
        <v>0</v>
      </c>
      <c r="K239" s="7">
        <v>0</v>
      </c>
      <c r="L239" s="7">
        <v>0</v>
      </c>
      <c r="M239" s="7">
        <v>0</v>
      </c>
      <c r="N239" s="7">
        <v>0</v>
      </c>
      <c r="O239" s="7">
        <v>0</v>
      </c>
      <c r="P239" s="7">
        <v>0</v>
      </c>
      <c r="Q239" s="7">
        <v>0</v>
      </c>
      <c r="R239" s="7">
        <v>0</v>
      </c>
      <c r="S239" s="7">
        <v>0</v>
      </c>
    </row>
    <row r="240">
      <c r="A240" s="16" t="s">
        <v>351</v>
      </c>
      <c r="B240" s="2" t="s">
        <v>322</v>
      </c>
      <c r="C240" s="7">
        <v>615</v>
      </c>
      <c r="D240" s="7">
        <v>560</v>
      </c>
      <c r="E240" s="7">
        <v>200</v>
      </c>
      <c r="F240" s="7">
        <v>165</v>
      </c>
      <c r="G240" s="7">
        <v>175</v>
      </c>
      <c r="H240" s="7">
        <v>120</v>
      </c>
      <c r="I240" s="7">
        <v>80</v>
      </c>
      <c r="J240" s="7">
        <v>130</v>
      </c>
      <c r="K240" s="7">
        <v>95</v>
      </c>
      <c r="L240" s="7">
        <v>100</v>
      </c>
      <c r="M240" s="7">
        <v>85</v>
      </c>
      <c r="N240" s="7">
        <v>80</v>
      </c>
      <c r="O240" s="7">
        <v>110</v>
      </c>
      <c r="P240" s="7">
        <v>75</v>
      </c>
      <c r="Q240" s="7">
        <v>90</v>
      </c>
      <c r="R240" s="7">
        <v>90</v>
      </c>
      <c r="S240" s="7">
        <v>90</v>
      </c>
    </row>
    <row r="241">
      <c r="A241" s="16" t="s">
        <v>352</v>
      </c>
      <c r="B241" s="2" t="s">
        <v>322</v>
      </c>
      <c r="C241" s="7">
        <v>0</v>
      </c>
      <c r="D241" s="7">
        <v>0</v>
      </c>
      <c r="E241" s="7">
        <v>0</v>
      </c>
      <c r="F241" s="7">
        <v>0</v>
      </c>
      <c r="G241" s="7">
        <v>0</v>
      </c>
      <c r="H241" s="7">
        <v>0</v>
      </c>
      <c r="I241" s="7">
        <v>0</v>
      </c>
      <c r="J241" s="7">
        <v>0</v>
      </c>
      <c r="K241" s="7">
        <v>0</v>
      </c>
      <c r="L241" s="7">
        <v>0</v>
      </c>
      <c r="M241" s="7">
        <v>0</v>
      </c>
      <c r="N241" s="7">
        <v>0</v>
      </c>
      <c r="O241" s="7">
        <v>0</v>
      </c>
      <c r="P241" s="7">
        <v>0</v>
      </c>
      <c r="Q241" s="7">
        <v>0</v>
      </c>
      <c r="R241" s="7">
        <v>0</v>
      </c>
      <c r="S241" s="7">
        <v>0</v>
      </c>
    </row>
    <row r="242">
      <c r="A242" s="16" t="s">
        <v>353</v>
      </c>
      <c r="B242" s="2" t="s">
        <v>322</v>
      </c>
      <c r="C242" s="7">
        <v>0</v>
      </c>
      <c r="D242" s="7">
        <v>0</v>
      </c>
      <c r="E242" s="7">
        <v>0</v>
      </c>
      <c r="F242" s="7">
        <v>0</v>
      </c>
      <c r="G242" s="7">
        <v>0</v>
      </c>
      <c r="H242" s="7">
        <v>0</v>
      </c>
      <c r="I242" s="7">
        <v>0</v>
      </c>
      <c r="J242" s="7">
        <v>0</v>
      </c>
      <c r="K242" s="7">
        <v>0</v>
      </c>
      <c r="L242" s="7">
        <v>0</v>
      </c>
      <c r="M242" s="7">
        <v>0</v>
      </c>
      <c r="N242" s="7">
        <v>0</v>
      </c>
      <c r="O242" s="7">
        <v>0</v>
      </c>
      <c r="P242" s="7">
        <v>0</v>
      </c>
      <c r="Q242" s="7">
        <v>0</v>
      </c>
      <c r="R242" s="7">
        <v>0</v>
      </c>
      <c r="S242" s="7">
        <v>0</v>
      </c>
    </row>
    <row r="243">
      <c r="A243" s="16" t="s">
        <v>354</v>
      </c>
      <c r="B243" s="2" t="s">
        <v>322</v>
      </c>
      <c r="C243" s="7">
        <v>25</v>
      </c>
      <c r="D243" s="7">
        <v>35</v>
      </c>
      <c r="E243" s="7">
        <v>29</v>
      </c>
      <c r="F243" s="7">
        <v>31</v>
      </c>
      <c r="G243" s="7">
        <v>30</v>
      </c>
      <c r="H243" s="7">
        <v>25</v>
      </c>
      <c r="I243" s="7">
        <v>20</v>
      </c>
      <c r="J243" s="7">
        <v>19</v>
      </c>
      <c r="K243" s="7">
        <v>20</v>
      </c>
      <c r="L243" s="7">
        <v>32</v>
      </c>
      <c r="M243" s="7">
        <v>30</v>
      </c>
      <c r="N243" s="7">
        <v>30</v>
      </c>
      <c r="O243" s="7">
        <v>20</v>
      </c>
      <c r="P243" s="7">
        <v>30</v>
      </c>
      <c r="Q243" s="7">
        <v>45</v>
      </c>
      <c r="R243" s="7">
        <v>45</v>
      </c>
      <c r="S243" s="7">
        <v>45</v>
      </c>
    </row>
    <row r="244">
      <c r="A244" s="16" t="s">
        <v>355</v>
      </c>
      <c r="B244" s="2" t="s">
        <v>322</v>
      </c>
      <c r="C244" s="7">
        <v>45</v>
      </c>
      <c r="D244" s="7">
        <v>90</v>
      </c>
      <c r="E244" s="7">
        <v>70</v>
      </c>
      <c r="F244" s="7">
        <v>45</v>
      </c>
      <c r="G244" s="7">
        <v>65</v>
      </c>
      <c r="H244" s="7">
        <v>60</v>
      </c>
      <c r="I244" s="7">
        <v>60</v>
      </c>
      <c r="J244" s="7">
        <v>65</v>
      </c>
      <c r="K244" s="7">
        <v>50</v>
      </c>
      <c r="L244" s="7">
        <v>65</v>
      </c>
      <c r="M244" s="7">
        <v>75</v>
      </c>
      <c r="N244" s="7">
        <v>33</v>
      </c>
      <c r="O244" s="7">
        <v>55</v>
      </c>
      <c r="P244" s="7">
        <v>35</v>
      </c>
      <c r="Q244" s="7">
        <v>58</v>
      </c>
      <c r="R244" s="7">
        <v>30</v>
      </c>
      <c r="S244" s="7">
        <v>30</v>
      </c>
    </row>
    <row r="245">
      <c r="A245" s="16" t="s">
        <v>356</v>
      </c>
      <c r="B245" s="2" t="s">
        <v>322</v>
      </c>
      <c r="C245" s="7">
        <v>0</v>
      </c>
      <c r="D245" s="7">
        <v>0</v>
      </c>
      <c r="E245" s="7">
        <v>0</v>
      </c>
      <c r="F245" s="7">
        <v>0</v>
      </c>
      <c r="G245" s="7">
        <v>0</v>
      </c>
      <c r="H245" s="7">
        <v>0</v>
      </c>
      <c r="I245" s="7">
        <v>0</v>
      </c>
      <c r="J245" s="7">
        <v>0</v>
      </c>
      <c r="K245" s="7">
        <v>0</v>
      </c>
      <c r="L245" s="7">
        <v>0</v>
      </c>
      <c r="M245" s="7">
        <v>0</v>
      </c>
      <c r="N245" s="7">
        <v>0</v>
      </c>
      <c r="O245" s="7">
        <v>0</v>
      </c>
      <c r="P245" s="7">
        <v>0</v>
      </c>
      <c r="Q245" s="7">
        <v>0</v>
      </c>
      <c r="R245" s="7">
        <v>0</v>
      </c>
      <c r="S245" s="7">
        <v>0</v>
      </c>
    </row>
    <row r="246">
      <c r="A246" s="16" t="s">
        <v>357</v>
      </c>
      <c r="B246" s="2" t="s">
        <v>322</v>
      </c>
      <c r="C246" s="7">
        <v>27</v>
      </c>
      <c r="D246" s="7">
        <v>10</v>
      </c>
      <c r="E246" s="7">
        <v>7</v>
      </c>
      <c r="F246" s="7">
        <v>6</v>
      </c>
      <c r="G246" s="7">
        <v>6</v>
      </c>
      <c r="H246" s="7">
        <v>8</v>
      </c>
      <c r="I246" s="7">
        <v>5</v>
      </c>
      <c r="J246" s="7">
        <v>3</v>
      </c>
      <c r="K246" s="7">
        <v>2</v>
      </c>
      <c r="L246" s="7">
        <v>0</v>
      </c>
      <c r="M246" s="7">
        <v>0</v>
      </c>
      <c r="N246" s="7">
        <v>0</v>
      </c>
      <c r="O246" s="7">
        <v>0</v>
      </c>
      <c r="P246" s="7">
        <v>0</v>
      </c>
      <c r="Q246" s="7">
        <v>0</v>
      </c>
      <c r="R246" s="7">
        <v>0</v>
      </c>
      <c r="S246" s="7">
        <v>0</v>
      </c>
    </row>
    <row r="247">
      <c r="A247" s="16" t="s">
        <v>358</v>
      </c>
      <c r="B247" s="2" t="s">
        <v>322</v>
      </c>
      <c r="C247" s="7">
        <v>57</v>
      </c>
      <c r="D247" s="7">
        <v>70</v>
      </c>
      <c r="E247" s="7">
        <v>30</v>
      </c>
      <c r="F247" s="7">
        <v>6</v>
      </c>
      <c r="G247" s="7">
        <v>4</v>
      </c>
      <c r="H247" s="7">
        <v>1</v>
      </c>
      <c r="I247" s="7">
        <v>1</v>
      </c>
      <c r="J247" s="7">
        <v>1</v>
      </c>
      <c r="K247" s="7">
        <v>0</v>
      </c>
      <c r="L247" s="7">
        <v>0</v>
      </c>
      <c r="M247" s="7">
        <v>0</v>
      </c>
      <c r="N247" s="7">
        <v>0</v>
      </c>
      <c r="O247" s="7">
        <v>0</v>
      </c>
      <c r="P247" s="7">
        <v>0</v>
      </c>
      <c r="Q247" s="7">
        <v>0</v>
      </c>
      <c r="R247" s="7">
        <v>0</v>
      </c>
      <c r="S247" s="7">
        <v>0</v>
      </c>
    </row>
    <row r="248">
      <c r="A248" s="16" t="s">
        <v>359</v>
      </c>
      <c r="B248" s="2" t="s">
        <v>322</v>
      </c>
      <c r="C248" s="7">
        <v>0</v>
      </c>
      <c r="D248" s="7">
        <v>0</v>
      </c>
      <c r="E248" s="7">
        <v>0</v>
      </c>
      <c r="F248" s="7">
        <v>0</v>
      </c>
      <c r="G248" s="7">
        <v>0</v>
      </c>
      <c r="H248" s="7">
        <v>0</v>
      </c>
      <c r="I248" s="7">
        <v>0</v>
      </c>
      <c r="J248" s="7">
        <v>0</v>
      </c>
      <c r="K248" s="7">
        <v>0</v>
      </c>
      <c r="L248" s="7">
        <v>0</v>
      </c>
      <c r="M248" s="7">
        <v>0</v>
      </c>
      <c r="N248" s="7">
        <v>0</v>
      </c>
      <c r="O248" s="7">
        <v>0</v>
      </c>
      <c r="P248" s="7">
        <v>0</v>
      </c>
      <c r="Q248" s="7">
        <v>0</v>
      </c>
      <c r="R248" s="7">
        <v>0</v>
      </c>
      <c r="S248" s="7">
        <v>0</v>
      </c>
    </row>
    <row r="249">
      <c r="A249" s="16" t="s">
        <v>360</v>
      </c>
      <c r="B249" s="2" t="s">
        <v>322</v>
      </c>
      <c r="C249" s="7">
        <v>4</v>
      </c>
      <c r="D249" s="7">
        <v>5</v>
      </c>
      <c r="E249" s="7">
        <v>5</v>
      </c>
      <c r="F249" s="7">
        <v>1</v>
      </c>
      <c r="G249" s="7">
        <v>3</v>
      </c>
      <c r="H249" s="7">
        <v>0</v>
      </c>
      <c r="I249" s="7">
        <v>0</v>
      </c>
      <c r="J249" s="7">
        <v>0</v>
      </c>
      <c r="K249" s="7">
        <v>0</v>
      </c>
      <c r="L249" s="7">
        <v>0</v>
      </c>
      <c r="M249" s="7">
        <v>0</v>
      </c>
      <c r="N249" s="7">
        <v>0</v>
      </c>
      <c r="O249" s="7">
        <v>0</v>
      </c>
      <c r="P249" s="7">
        <v>0</v>
      </c>
      <c r="Q249" s="7">
        <v>0</v>
      </c>
      <c r="R249" s="7">
        <v>0</v>
      </c>
      <c r="S249" s="7">
        <v>0</v>
      </c>
    </row>
    <row r="250">
      <c r="A250" s="16" t="s">
        <v>361</v>
      </c>
      <c r="B250" s="2" t="s">
        <v>322</v>
      </c>
      <c r="C250" s="7">
        <v>0</v>
      </c>
      <c r="D250" s="7">
        <v>0</v>
      </c>
      <c r="E250" s="7">
        <v>0</v>
      </c>
      <c r="F250" s="7">
        <v>0</v>
      </c>
      <c r="G250" s="7">
        <v>0</v>
      </c>
      <c r="H250" s="7">
        <v>0</v>
      </c>
      <c r="I250" s="7">
        <v>0</v>
      </c>
      <c r="J250" s="7">
        <v>0</v>
      </c>
      <c r="K250" s="7">
        <v>0</v>
      </c>
      <c r="L250" s="7">
        <v>0</v>
      </c>
      <c r="M250" s="7">
        <v>0</v>
      </c>
      <c r="N250" s="7">
        <v>0</v>
      </c>
      <c r="O250" s="7">
        <v>0</v>
      </c>
      <c r="P250" s="7">
        <v>0</v>
      </c>
      <c r="Q250" s="7">
        <v>0</v>
      </c>
      <c r="R250" s="7">
        <v>0</v>
      </c>
      <c r="S250" s="7">
        <v>0</v>
      </c>
    </row>
    <row r="251">
      <c r="A251" s="16" t="s">
        <v>362</v>
      </c>
      <c r="B251" s="2" t="s">
        <v>322</v>
      </c>
      <c r="C251" s="7">
        <v>30</v>
      </c>
      <c r="D251" s="7">
        <v>40</v>
      </c>
      <c r="E251" s="7">
        <v>30</v>
      </c>
      <c r="F251" s="7">
        <v>20</v>
      </c>
      <c r="G251" s="7">
        <v>20</v>
      </c>
      <c r="H251" s="7">
        <v>20</v>
      </c>
      <c r="I251" s="7">
        <v>10</v>
      </c>
      <c r="J251" s="7">
        <v>5</v>
      </c>
      <c r="K251" s="7">
        <v>0</v>
      </c>
      <c r="L251" s="7">
        <v>0</v>
      </c>
      <c r="M251" s="7">
        <v>0</v>
      </c>
      <c r="N251" s="7">
        <v>0</v>
      </c>
      <c r="O251" s="7">
        <v>0</v>
      </c>
      <c r="P251" s="7">
        <v>0</v>
      </c>
      <c r="Q251" s="7">
        <v>0</v>
      </c>
      <c r="R251" s="7">
        <v>0</v>
      </c>
      <c r="S251" s="7">
        <v>0</v>
      </c>
    </row>
    <row r="252">
      <c r="A252" s="16" t="s">
        <v>363</v>
      </c>
      <c r="B252" s="2" t="s">
        <v>322</v>
      </c>
      <c r="C252" s="7">
        <v>0</v>
      </c>
      <c r="D252" s="7">
        <v>0</v>
      </c>
      <c r="E252" s="7">
        <v>0</v>
      </c>
      <c r="F252" s="7">
        <v>0</v>
      </c>
      <c r="G252" s="7">
        <v>0</v>
      </c>
      <c r="H252" s="7">
        <v>0</v>
      </c>
      <c r="I252" s="7">
        <v>0</v>
      </c>
      <c r="J252" s="7">
        <v>0</v>
      </c>
      <c r="K252" s="7">
        <v>0</v>
      </c>
      <c r="L252" s="7">
        <v>0</v>
      </c>
      <c r="M252" s="7">
        <v>0</v>
      </c>
      <c r="N252" s="7">
        <v>0</v>
      </c>
      <c r="O252" s="7">
        <v>0</v>
      </c>
      <c r="P252" s="7">
        <v>0</v>
      </c>
      <c r="Q252" s="7">
        <v>0</v>
      </c>
      <c r="R252" s="7">
        <v>0</v>
      </c>
      <c r="S252" s="7">
        <v>0</v>
      </c>
    </row>
    <row r="253">
      <c r="A253" s="16" t="s">
        <v>364</v>
      </c>
      <c r="B253" s="2" t="s">
        <v>365</v>
      </c>
      <c r="C253" s="7">
        <v>0</v>
      </c>
      <c r="D253" s="7">
        <v>0</v>
      </c>
      <c r="E253" s="7">
        <v>0</v>
      </c>
      <c r="F253" s="7">
        <v>0</v>
      </c>
      <c r="G253" s="7">
        <v>0</v>
      </c>
      <c r="H253" s="7">
        <v>0</v>
      </c>
      <c r="I253" s="7">
        <v>0</v>
      </c>
      <c r="J253" s="7">
        <v>0</v>
      </c>
      <c r="K253" s="7">
        <v>0</v>
      </c>
      <c r="L253" s="7">
        <v>0</v>
      </c>
      <c r="M253" s="7">
        <v>0</v>
      </c>
      <c r="N253" s="7">
        <v>0</v>
      </c>
      <c r="O253" s="7">
        <v>0</v>
      </c>
      <c r="P253" s="7">
        <v>0</v>
      </c>
      <c r="Q253" s="7">
        <v>0</v>
      </c>
      <c r="R253" s="7">
        <v>0</v>
      </c>
      <c r="S253" s="7">
        <v>0</v>
      </c>
    </row>
    <row r="254">
      <c r="A254" s="16" t="s">
        <v>366</v>
      </c>
      <c r="B254" s="2" t="s">
        <v>365</v>
      </c>
      <c r="C254" s="7">
        <v>0</v>
      </c>
      <c r="D254" s="7">
        <v>0</v>
      </c>
      <c r="E254" s="7">
        <v>0</v>
      </c>
      <c r="F254" s="7">
        <v>0</v>
      </c>
      <c r="G254" s="7">
        <v>0</v>
      </c>
      <c r="H254" s="7">
        <v>0</v>
      </c>
      <c r="I254" s="7">
        <v>0</v>
      </c>
      <c r="J254" s="7">
        <v>0</v>
      </c>
      <c r="K254" s="7">
        <v>0</v>
      </c>
      <c r="L254" s="7">
        <v>0</v>
      </c>
      <c r="M254" s="7">
        <v>0</v>
      </c>
      <c r="N254" s="7">
        <v>0</v>
      </c>
      <c r="O254" s="7">
        <v>0</v>
      </c>
      <c r="P254" s="7">
        <v>0</v>
      </c>
      <c r="Q254" s="7">
        <v>0</v>
      </c>
      <c r="R254" s="7">
        <v>0</v>
      </c>
      <c r="S254" s="7">
        <v>0</v>
      </c>
    </row>
    <row r="255">
      <c r="A255" s="16" t="s">
        <v>367</v>
      </c>
      <c r="B255" s="2" t="s">
        <v>365</v>
      </c>
      <c r="C255" s="7">
        <v>0</v>
      </c>
      <c r="D255" s="7">
        <v>0</v>
      </c>
      <c r="E255" s="7">
        <v>0</v>
      </c>
      <c r="F255" s="7">
        <v>0</v>
      </c>
      <c r="G255" s="7">
        <v>0</v>
      </c>
      <c r="H255" s="7">
        <v>0</v>
      </c>
      <c r="I255" s="7">
        <v>0</v>
      </c>
      <c r="J255" s="7">
        <v>0</v>
      </c>
      <c r="K255" s="7">
        <v>0</v>
      </c>
      <c r="L255" s="7">
        <v>0</v>
      </c>
      <c r="M255" s="7">
        <v>0</v>
      </c>
      <c r="N255" s="7">
        <v>0</v>
      </c>
      <c r="O255" s="7">
        <v>0</v>
      </c>
      <c r="P255" s="7">
        <v>0</v>
      </c>
      <c r="Q255" s="7">
        <v>0</v>
      </c>
      <c r="R255" s="7">
        <v>0</v>
      </c>
      <c r="S255" s="7">
        <v>0</v>
      </c>
    </row>
    <row r="256">
      <c r="A256" s="16" t="s">
        <v>368</v>
      </c>
      <c r="B256" s="2" t="s">
        <v>365</v>
      </c>
      <c r="C256" s="7">
        <v>0</v>
      </c>
      <c r="D256" s="7">
        <v>0</v>
      </c>
      <c r="E256" s="7">
        <v>0</v>
      </c>
      <c r="F256" s="7">
        <v>0</v>
      </c>
      <c r="G256" s="7">
        <v>0</v>
      </c>
      <c r="H256" s="7">
        <v>0</v>
      </c>
      <c r="I256" s="7">
        <v>0</v>
      </c>
      <c r="J256" s="7">
        <v>0</v>
      </c>
      <c r="K256" s="7">
        <v>0</v>
      </c>
      <c r="L256" s="7">
        <v>0</v>
      </c>
      <c r="M256" s="7">
        <v>0</v>
      </c>
      <c r="N256" s="7">
        <v>0</v>
      </c>
      <c r="O256" s="7">
        <v>0</v>
      </c>
      <c r="P256" s="7">
        <v>0</v>
      </c>
      <c r="Q256" s="7">
        <v>0</v>
      </c>
      <c r="R256" s="7">
        <v>0</v>
      </c>
      <c r="S256" s="7">
        <v>0</v>
      </c>
    </row>
    <row r="257">
      <c r="A257" s="16" t="s">
        <v>369</v>
      </c>
      <c r="B257" s="2" t="s">
        <v>365</v>
      </c>
      <c r="C257" s="7">
        <v>0</v>
      </c>
      <c r="D257" s="7">
        <v>0</v>
      </c>
      <c r="E257" s="7">
        <v>0</v>
      </c>
      <c r="F257" s="7">
        <v>0</v>
      </c>
      <c r="G257" s="7">
        <v>0</v>
      </c>
      <c r="H257" s="7">
        <v>0</v>
      </c>
      <c r="I257" s="7">
        <v>0</v>
      </c>
      <c r="J257" s="7">
        <v>0</v>
      </c>
      <c r="K257" s="7">
        <v>0</v>
      </c>
      <c r="L257" s="7">
        <v>0</v>
      </c>
      <c r="M257" s="7">
        <v>0</v>
      </c>
      <c r="N257" s="7">
        <v>0</v>
      </c>
      <c r="O257" s="7">
        <v>0</v>
      </c>
      <c r="P257" s="7">
        <v>0</v>
      </c>
      <c r="Q257" s="7">
        <v>0</v>
      </c>
      <c r="R257" s="7">
        <v>0</v>
      </c>
      <c r="S257" s="7">
        <v>0</v>
      </c>
    </row>
    <row r="258">
      <c r="A258" s="16" t="s">
        <v>370</v>
      </c>
      <c r="B258" s="2" t="s">
        <v>365</v>
      </c>
      <c r="C258" s="7">
        <v>0</v>
      </c>
      <c r="D258" s="7">
        <v>0</v>
      </c>
      <c r="E258" s="7">
        <v>0</v>
      </c>
      <c r="F258" s="7">
        <v>0</v>
      </c>
      <c r="G258" s="7">
        <v>0</v>
      </c>
      <c r="H258" s="7">
        <v>0</v>
      </c>
      <c r="I258" s="7">
        <v>0</v>
      </c>
      <c r="J258" s="7">
        <v>0</v>
      </c>
      <c r="K258" s="7">
        <v>0</v>
      </c>
      <c r="L258" s="7">
        <v>0</v>
      </c>
      <c r="M258" s="7">
        <v>0</v>
      </c>
      <c r="N258" s="7">
        <v>0</v>
      </c>
      <c r="O258" s="7">
        <v>0</v>
      </c>
      <c r="P258" s="7">
        <v>0</v>
      </c>
      <c r="Q258" s="7">
        <v>0</v>
      </c>
      <c r="R258" s="7">
        <v>0</v>
      </c>
      <c r="S258" s="7">
        <v>0</v>
      </c>
    </row>
    <row r="259">
      <c r="A259" s="16" t="s">
        <v>371</v>
      </c>
      <c r="B259" s="2" t="s">
        <v>365</v>
      </c>
      <c r="C259" s="7">
        <v>0</v>
      </c>
      <c r="D259" s="7">
        <v>0</v>
      </c>
      <c r="E259" s="7">
        <v>0</v>
      </c>
      <c r="F259" s="7">
        <v>0</v>
      </c>
      <c r="G259" s="7">
        <v>0</v>
      </c>
      <c r="H259" s="7">
        <v>0</v>
      </c>
      <c r="I259" s="7">
        <v>0</v>
      </c>
      <c r="J259" s="7">
        <v>0</v>
      </c>
      <c r="K259" s="7">
        <v>0</v>
      </c>
      <c r="L259" s="7">
        <v>0</v>
      </c>
      <c r="M259" s="7">
        <v>0</v>
      </c>
      <c r="N259" s="7">
        <v>0</v>
      </c>
      <c r="O259" s="7">
        <v>0</v>
      </c>
      <c r="P259" s="7">
        <v>0</v>
      </c>
      <c r="Q259" s="7">
        <v>0</v>
      </c>
      <c r="R259" s="7">
        <v>0</v>
      </c>
      <c r="S259" s="7">
        <v>0</v>
      </c>
    </row>
    <row r="260">
      <c r="A260" s="16" t="s">
        <v>372</v>
      </c>
      <c r="B260" s="2" t="s">
        <v>365</v>
      </c>
      <c r="C260" s="7">
        <v>0</v>
      </c>
      <c r="D260" s="7">
        <v>0</v>
      </c>
      <c r="E260" s="7">
        <v>0</v>
      </c>
      <c r="F260" s="7">
        <v>0</v>
      </c>
      <c r="G260" s="7">
        <v>0</v>
      </c>
      <c r="H260" s="7">
        <v>0</v>
      </c>
      <c r="I260" s="7">
        <v>0</v>
      </c>
      <c r="J260" s="7">
        <v>0</v>
      </c>
      <c r="K260" s="7">
        <v>0</v>
      </c>
      <c r="L260" s="7">
        <v>0</v>
      </c>
      <c r="M260" s="7">
        <v>0</v>
      </c>
      <c r="N260" s="7">
        <v>0</v>
      </c>
      <c r="O260" s="7">
        <v>0</v>
      </c>
      <c r="P260" s="7">
        <v>0</v>
      </c>
      <c r="Q260" s="7">
        <v>0</v>
      </c>
      <c r="R260" s="7">
        <v>0</v>
      </c>
      <c r="S260" s="7">
        <v>0</v>
      </c>
    </row>
    <row r="261">
      <c r="A261" s="16" t="s">
        <v>373</v>
      </c>
      <c r="B261" s="2" t="s">
        <v>365</v>
      </c>
      <c r="C261" s="7">
        <v>0</v>
      </c>
      <c r="D261" s="7">
        <v>0</v>
      </c>
      <c r="E261" s="7">
        <v>0</v>
      </c>
      <c r="F261" s="7">
        <v>0</v>
      </c>
      <c r="G261" s="7">
        <v>0</v>
      </c>
      <c r="H261" s="7">
        <v>0</v>
      </c>
      <c r="I261" s="7">
        <v>0</v>
      </c>
      <c r="J261" s="7">
        <v>0</v>
      </c>
      <c r="K261" s="7">
        <v>0</v>
      </c>
      <c r="L261" s="7">
        <v>0</v>
      </c>
      <c r="M261" s="7">
        <v>0</v>
      </c>
      <c r="N261" s="7">
        <v>0</v>
      </c>
      <c r="O261" s="7">
        <v>0</v>
      </c>
      <c r="P261" s="7">
        <v>0</v>
      </c>
      <c r="Q261" s="7">
        <v>0</v>
      </c>
      <c r="R261" s="7">
        <v>0</v>
      </c>
      <c r="S261" s="7">
        <v>0</v>
      </c>
    </row>
    <row r="262">
      <c r="A262" s="16" t="s">
        <v>374</v>
      </c>
      <c r="B262" s="2" t="s">
        <v>365</v>
      </c>
      <c r="C262" s="7">
        <v>0</v>
      </c>
      <c r="D262" s="7">
        <v>0</v>
      </c>
      <c r="E262" s="7">
        <v>0</v>
      </c>
      <c r="F262" s="7">
        <v>0</v>
      </c>
      <c r="G262" s="7">
        <v>0</v>
      </c>
      <c r="H262" s="7">
        <v>0</v>
      </c>
      <c r="I262" s="7">
        <v>0</v>
      </c>
      <c r="J262" s="7">
        <v>0</v>
      </c>
      <c r="K262" s="7">
        <v>0</v>
      </c>
      <c r="L262" s="7">
        <v>0</v>
      </c>
      <c r="M262" s="7">
        <v>0</v>
      </c>
      <c r="N262" s="7">
        <v>0</v>
      </c>
      <c r="O262" s="7">
        <v>0</v>
      </c>
      <c r="P262" s="7">
        <v>0</v>
      </c>
      <c r="Q262" s="7">
        <v>0</v>
      </c>
      <c r="R262" s="7">
        <v>0</v>
      </c>
      <c r="S262" s="7">
        <v>0</v>
      </c>
    </row>
    <row r="263">
      <c r="A263" s="16" t="s">
        <v>375</v>
      </c>
      <c r="B263" s="2" t="s">
        <v>365</v>
      </c>
      <c r="C263" s="7">
        <v>0</v>
      </c>
      <c r="D263" s="7">
        <v>0</v>
      </c>
      <c r="E263" s="7">
        <v>0</v>
      </c>
      <c r="F263" s="7">
        <v>0</v>
      </c>
      <c r="G263" s="7">
        <v>0</v>
      </c>
      <c r="H263" s="7">
        <v>0</v>
      </c>
      <c r="I263" s="7">
        <v>0</v>
      </c>
      <c r="J263" s="7">
        <v>0</v>
      </c>
      <c r="K263" s="7">
        <v>0</v>
      </c>
      <c r="L263" s="7">
        <v>0</v>
      </c>
      <c r="M263" s="7">
        <v>0</v>
      </c>
      <c r="N263" s="7">
        <v>0</v>
      </c>
      <c r="O263" s="7">
        <v>0</v>
      </c>
      <c r="P263" s="7">
        <v>0</v>
      </c>
      <c r="Q263" s="7">
        <v>0</v>
      </c>
      <c r="R263" s="7">
        <v>0</v>
      </c>
      <c r="S263" s="7">
        <v>0</v>
      </c>
    </row>
    <row r="264">
      <c r="A264" s="16" t="s">
        <v>376</v>
      </c>
      <c r="B264" s="2" t="s">
        <v>365</v>
      </c>
      <c r="C264" s="7">
        <v>0</v>
      </c>
      <c r="D264" s="7">
        <v>0</v>
      </c>
      <c r="E264" s="7">
        <v>0</v>
      </c>
      <c r="F264" s="7">
        <v>0</v>
      </c>
      <c r="G264" s="7">
        <v>0</v>
      </c>
      <c r="H264" s="7">
        <v>0</v>
      </c>
      <c r="I264" s="7">
        <v>0</v>
      </c>
      <c r="J264" s="7">
        <v>0</v>
      </c>
      <c r="K264" s="7">
        <v>0</v>
      </c>
      <c r="L264" s="7">
        <v>0</v>
      </c>
      <c r="M264" s="7">
        <v>0</v>
      </c>
      <c r="N264" s="7">
        <v>0</v>
      </c>
      <c r="O264" s="7">
        <v>0</v>
      </c>
      <c r="P264" s="7">
        <v>0</v>
      </c>
      <c r="Q264" s="7">
        <v>0</v>
      </c>
      <c r="R264" s="7">
        <v>0</v>
      </c>
      <c r="S264" s="7">
        <v>0</v>
      </c>
    </row>
    <row r="265">
      <c r="A265" s="16" t="s">
        <v>377</v>
      </c>
      <c r="B265" s="2" t="s">
        <v>365</v>
      </c>
      <c r="C265" s="7">
        <v>0</v>
      </c>
      <c r="D265" s="7">
        <v>0</v>
      </c>
      <c r="E265" s="7">
        <v>0</v>
      </c>
      <c r="F265" s="7">
        <v>0</v>
      </c>
      <c r="G265" s="7">
        <v>0</v>
      </c>
      <c r="H265" s="7">
        <v>0</v>
      </c>
      <c r="I265" s="7">
        <v>0</v>
      </c>
      <c r="J265" s="7">
        <v>0</v>
      </c>
      <c r="K265" s="7">
        <v>0</v>
      </c>
      <c r="L265" s="7">
        <v>0</v>
      </c>
      <c r="M265" s="7">
        <v>0</v>
      </c>
      <c r="N265" s="7">
        <v>0</v>
      </c>
      <c r="O265" s="7">
        <v>0</v>
      </c>
      <c r="P265" s="7">
        <v>0</v>
      </c>
      <c r="Q265" s="7">
        <v>0</v>
      </c>
      <c r="R265" s="7">
        <v>0</v>
      </c>
      <c r="S265" s="7">
        <v>0</v>
      </c>
    </row>
    <row r="266">
      <c r="A266" s="16" t="s">
        <v>378</v>
      </c>
      <c r="B266" s="2" t="s">
        <v>365</v>
      </c>
      <c r="C266" s="7">
        <v>0</v>
      </c>
      <c r="D266" s="7">
        <v>0</v>
      </c>
      <c r="E266" s="7">
        <v>0</v>
      </c>
      <c r="F266" s="7">
        <v>0</v>
      </c>
      <c r="G266" s="7">
        <v>0</v>
      </c>
      <c r="H266" s="7">
        <v>0</v>
      </c>
      <c r="I266" s="7">
        <v>0</v>
      </c>
      <c r="J266" s="7">
        <v>0</v>
      </c>
      <c r="K266" s="7">
        <v>0</v>
      </c>
      <c r="L266" s="7">
        <v>0</v>
      </c>
      <c r="M266" s="7">
        <v>0</v>
      </c>
      <c r="N266" s="7">
        <v>0</v>
      </c>
      <c r="O266" s="7">
        <v>0</v>
      </c>
      <c r="P266" s="7">
        <v>0</v>
      </c>
      <c r="Q266" s="7">
        <v>0</v>
      </c>
      <c r="R266" s="7">
        <v>0</v>
      </c>
      <c r="S266" s="7">
        <v>0</v>
      </c>
    </row>
    <row r="267">
      <c r="A267" s="16" t="s">
        <v>379</v>
      </c>
      <c r="B267" s="2" t="s">
        <v>365</v>
      </c>
      <c r="C267" s="7">
        <v>0</v>
      </c>
      <c r="D267" s="7">
        <v>0</v>
      </c>
      <c r="E267" s="7">
        <v>0</v>
      </c>
      <c r="F267" s="7">
        <v>0</v>
      </c>
      <c r="G267" s="7">
        <v>0</v>
      </c>
      <c r="H267" s="7">
        <v>0</v>
      </c>
      <c r="I267" s="7">
        <v>0</v>
      </c>
      <c r="J267" s="7">
        <v>0</v>
      </c>
      <c r="K267" s="7">
        <v>0</v>
      </c>
      <c r="L267" s="7">
        <v>0</v>
      </c>
      <c r="M267" s="7">
        <v>0</v>
      </c>
      <c r="N267" s="7">
        <v>0</v>
      </c>
      <c r="O267" s="7">
        <v>0</v>
      </c>
      <c r="P267" s="7">
        <v>0</v>
      </c>
      <c r="Q267" s="7">
        <v>0</v>
      </c>
      <c r="R267" s="7">
        <v>0</v>
      </c>
      <c r="S267" s="7">
        <v>0</v>
      </c>
    </row>
    <row r="268">
      <c r="A268" s="16" t="s">
        <v>380</v>
      </c>
      <c r="B268" s="2" t="s">
        <v>365</v>
      </c>
      <c r="C268" s="7">
        <v>0</v>
      </c>
      <c r="D268" s="7">
        <v>0</v>
      </c>
      <c r="E268" s="7">
        <v>0</v>
      </c>
      <c r="F268" s="7">
        <v>0</v>
      </c>
      <c r="G268" s="7">
        <v>0</v>
      </c>
      <c r="H268" s="7">
        <v>0</v>
      </c>
      <c r="I268" s="7">
        <v>0</v>
      </c>
      <c r="J268" s="7">
        <v>0</v>
      </c>
      <c r="K268" s="7">
        <v>0</v>
      </c>
      <c r="L268" s="7">
        <v>0</v>
      </c>
      <c r="M268" s="7">
        <v>0</v>
      </c>
      <c r="N268" s="7">
        <v>0</v>
      </c>
      <c r="O268" s="7">
        <v>0</v>
      </c>
      <c r="P268" s="7">
        <v>0</v>
      </c>
      <c r="Q268" s="7">
        <v>0</v>
      </c>
      <c r="R268" s="7">
        <v>0</v>
      </c>
      <c r="S268" s="7">
        <v>0</v>
      </c>
    </row>
    <row r="269">
      <c r="A269" s="16" t="s">
        <v>381</v>
      </c>
      <c r="B269" s="2" t="s">
        <v>365</v>
      </c>
      <c r="C269" s="7">
        <v>0</v>
      </c>
      <c r="D269" s="7">
        <v>0</v>
      </c>
      <c r="E269" s="7">
        <v>0</v>
      </c>
      <c r="F269" s="7">
        <v>0</v>
      </c>
      <c r="G269" s="7">
        <v>0</v>
      </c>
      <c r="H269" s="7">
        <v>0</v>
      </c>
      <c r="I269" s="7">
        <v>0</v>
      </c>
      <c r="J269" s="7">
        <v>0</v>
      </c>
      <c r="K269" s="7">
        <v>0</v>
      </c>
      <c r="L269" s="7">
        <v>0</v>
      </c>
      <c r="M269" s="7">
        <v>0</v>
      </c>
      <c r="N269" s="7">
        <v>0</v>
      </c>
      <c r="O269" s="7">
        <v>0</v>
      </c>
      <c r="P269" s="7">
        <v>0</v>
      </c>
      <c r="Q269" s="7">
        <v>0</v>
      </c>
      <c r="R269" s="7">
        <v>0</v>
      </c>
      <c r="S269" s="7">
        <v>0</v>
      </c>
    </row>
    <row r="270">
      <c r="A270" s="16" t="s">
        <v>382</v>
      </c>
      <c r="B270" s="2" t="s">
        <v>365</v>
      </c>
      <c r="C270" s="7">
        <v>0</v>
      </c>
      <c r="D270" s="7">
        <v>0</v>
      </c>
      <c r="E270" s="7">
        <v>0</v>
      </c>
      <c r="F270" s="7">
        <v>0</v>
      </c>
      <c r="G270" s="7">
        <v>0</v>
      </c>
      <c r="H270" s="7">
        <v>0</v>
      </c>
      <c r="I270" s="7">
        <v>0</v>
      </c>
      <c r="J270" s="7">
        <v>0</v>
      </c>
      <c r="K270" s="7">
        <v>0</v>
      </c>
      <c r="L270" s="7">
        <v>0</v>
      </c>
      <c r="M270" s="7">
        <v>0</v>
      </c>
      <c r="N270" s="7">
        <v>0</v>
      </c>
      <c r="O270" s="7">
        <v>0</v>
      </c>
      <c r="P270" s="7">
        <v>0</v>
      </c>
      <c r="Q270" s="7">
        <v>0</v>
      </c>
      <c r="R270" s="7">
        <v>0</v>
      </c>
      <c r="S270" s="7">
        <v>0</v>
      </c>
    </row>
    <row r="271">
      <c r="A271" s="16" t="s">
        <v>383</v>
      </c>
      <c r="B271" s="2" t="s">
        <v>365</v>
      </c>
      <c r="C271" s="7">
        <v>0</v>
      </c>
      <c r="D271" s="7">
        <v>0</v>
      </c>
      <c r="E271" s="7">
        <v>0</v>
      </c>
      <c r="F271" s="7">
        <v>0</v>
      </c>
      <c r="G271" s="7">
        <v>0</v>
      </c>
      <c r="H271" s="7">
        <v>0</v>
      </c>
      <c r="I271" s="7">
        <v>0</v>
      </c>
      <c r="J271" s="7">
        <v>0</v>
      </c>
      <c r="K271" s="7">
        <v>0</v>
      </c>
      <c r="L271" s="7">
        <v>0</v>
      </c>
      <c r="M271" s="7">
        <v>0</v>
      </c>
      <c r="N271" s="7">
        <v>0</v>
      </c>
      <c r="O271" s="7">
        <v>0</v>
      </c>
      <c r="P271" s="7">
        <v>0</v>
      </c>
      <c r="Q271" s="7">
        <v>0</v>
      </c>
      <c r="R271" s="7">
        <v>0</v>
      </c>
      <c r="S271" s="7">
        <v>0</v>
      </c>
    </row>
    <row r="272">
      <c r="A272" s="16" t="s">
        <v>384</v>
      </c>
      <c r="B272" s="2" t="s">
        <v>365</v>
      </c>
      <c r="C272" s="7">
        <v>0</v>
      </c>
      <c r="D272" s="7">
        <v>0</v>
      </c>
      <c r="E272" s="7">
        <v>0</v>
      </c>
      <c r="F272" s="7">
        <v>0</v>
      </c>
      <c r="G272" s="7">
        <v>0</v>
      </c>
      <c r="H272" s="7">
        <v>0</v>
      </c>
      <c r="I272" s="7">
        <v>0</v>
      </c>
      <c r="J272" s="7">
        <v>0</v>
      </c>
      <c r="K272" s="7">
        <v>0</v>
      </c>
      <c r="L272" s="7">
        <v>0</v>
      </c>
      <c r="M272" s="7">
        <v>0</v>
      </c>
      <c r="N272" s="7">
        <v>0</v>
      </c>
      <c r="O272" s="7">
        <v>0</v>
      </c>
      <c r="P272" s="7">
        <v>0</v>
      </c>
      <c r="Q272" s="7">
        <v>0</v>
      </c>
      <c r="R272" s="7">
        <v>0</v>
      </c>
      <c r="S272" s="7">
        <v>0</v>
      </c>
    </row>
    <row r="273">
      <c r="A273" s="16" t="s">
        <v>385</v>
      </c>
      <c r="B273" s="2" t="s">
        <v>365</v>
      </c>
      <c r="C273" s="7">
        <v>0</v>
      </c>
      <c r="D273" s="7">
        <v>0</v>
      </c>
      <c r="E273" s="7">
        <v>0</v>
      </c>
      <c r="F273" s="7">
        <v>0</v>
      </c>
      <c r="G273" s="7">
        <v>0</v>
      </c>
      <c r="H273" s="7">
        <v>0</v>
      </c>
      <c r="I273" s="7">
        <v>0</v>
      </c>
      <c r="J273" s="7">
        <v>0</v>
      </c>
      <c r="K273" s="7">
        <v>0</v>
      </c>
      <c r="L273" s="7">
        <v>0</v>
      </c>
      <c r="M273" s="7">
        <v>0</v>
      </c>
      <c r="N273" s="7">
        <v>0</v>
      </c>
      <c r="O273" s="7">
        <v>0</v>
      </c>
      <c r="P273" s="7">
        <v>0</v>
      </c>
      <c r="Q273" s="7">
        <v>0</v>
      </c>
      <c r="R273" s="7">
        <v>0</v>
      </c>
      <c r="S273" s="7">
        <v>0</v>
      </c>
    </row>
    <row r="274">
      <c r="A274" s="16" t="s">
        <v>386</v>
      </c>
      <c r="B274" s="2" t="s">
        <v>365</v>
      </c>
      <c r="C274" s="7">
        <v>0</v>
      </c>
      <c r="D274" s="7">
        <v>0</v>
      </c>
      <c r="E274" s="7">
        <v>0</v>
      </c>
      <c r="F274" s="7">
        <v>0</v>
      </c>
      <c r="G274" s="7">
        <v>0</v>
      </c>
      <c r="H274" s="7">
        <v>0</v>
      </c>
      <c r="I274" s="7">
        <v>0</v>
      </c>
      <c r="J274" s="7">
        <v>0</v>
      </c>
      <c r="K274" s="7">
        <v>0</v>
      </c>
      <c r="L274" s="7">
        <v>0</v>
      </c>
      <c r="M274" s="7">
        <v>0</v>
      </c>
      <c r="N274" s="7">
        <v>0</v>
      </c>
      <c r="O274" s="7">
        <v>0</v>
      </c>
      <c r="P274" s="7">
        <v>0</v>
      </c>
      <c r="Q274" s="7">
        <v>0</v>
      </c>
      <c r="R274" s="7">
        <v>0</v>
      </c>
      <c r="S274" s="7">
        <v>0</v>
      </c>
    </row>
    <row r="275">
      <c r="A275" s="16" t="s">
        <v>387</v>
      </c>
      <c r="B275" s="2" t="s">
        <v>365</v>
      </c>
      <c r="C275" s="7">
        <v>0</v>
      </c>
      <c r="D275" s="7">
        <v>0</v>
      </c>
      <c r="E275" s="7">
        <v>0</v>
      </c>
      <c r="F275" s="7">
        <v>0</v>
      </c>
      <c r="G275" s="7">
        <v>0</v>
      </c>
      <c r="H275" s="7">
        <v>0</v>
      </c>
      <c r="I275" s="7">
        <v>0</v>
      </c>
      <c r="J275" s="7">
        <v>0</v>
      </c>
      <c r="K275" s="7">
        <v>0</v>
      </c>
      <c r="L275" s="7">
        <v>0</v>
      </c>
      <c r="M275" s="7">
        <v>0</v>
      </c>
      <c r="N275" s="7">
        <v>0</v>
      </c>
      <c r="O275" s="7">
        <v>0</v>
      </c>
      <c r="P275" s="7">
        <v>0</v>
      </c>
      <c r="Q275" s="7">
        <v>0</v>
      </c>
      <c r="R275" s="7">
        <v>0</v>
      </c>
      <c r="S275" s="7">
        <v>0</v>
      </c>
    </row>
    <row r="276">
      <c r="A276" s="16" t="s">
        <v>388</v>
      </c>
      <c r="B276" s="2" t="s">
        <v>365</v>
      </c>
      <c r="C276" s="7">
        <v>0</v>
      </c>
      <c r="D276" s="7">
        <v>0</v>
      </c>
      <c r="E276" s="7">
        <v>0</v>
      </c>
      <c r="F276" s="7">
        <v>0</v>
      </c>
      <c r="G276" s="7">
        <v>0</v>
      </c>
      <c r="H276" s="7">
        <v>0</v>
      </c>
      <c r="I276" s="7">
        <v>0</v>
      </c>
      <c r="J276" s="7">
        <v>0</v>
      </c>
      <c r="K276" s="7">
        <v>0</v>
      </c>
      <c r="L276" s="7">
        <v>0</v>
      </c>
      <c r="M276" s="7">
        <v>0</v>
      </c>
      <c r="N276" s="7">
        <v>0</v>
      </c>
      <c r="O276" s="7">
        <v>0</v>
      </c>
      <c r="P276" s="7">
        <v>0</v>
      </c>
      <c r="Q276" s="7">
        <v>0</v>
      </c>
      <c r="R276" s="7">
        <v>0</v>
      </c>
      <c r="S276" s="7">
        <v>0</v>
      </c>
    </row>
    <row r="277">
      <c r="A277" s="16" t="s">
        <v>389</v>
      </c>
      <c r="B277" s="2" t="s">
        <v>365</v>
      </c>
      <c r="C277" s="7">
        <v>0</v>
      </c>
      <c r="D277" s="7">
        <v>0</v>
      </c>
      <c r="E277" s="7">
        <v>0</v>
      </c>
      <c r="F277" s="7">
        <v>0</v>
      </c>
      <c r="G277" s="7">
        <v>0</v>
      </c>
      <c r="H277" s="7">
        <v>0</v>
      </c>
      <c r="I277" s="7">
        <v>0</v>
      </c>
      <c r="J277" s="7">
        <v>0</v>
      </c>
      <c r="K277" s="7">
        <v>0</v>
      </c>
      <c r="L277" s="7">
        <v>0</v>
      </c>
      <c r="M277" s="7">
        <v>0</v>
      </c>
      <c r="N277" s="7">
        <v>0</v>
      </c>
      <c r="O277" s="7">
        <v>0</v>
      </c>
      <c r="P277" s="7">
        <v>0</v>
      </c>
      <c r="Q277" s="7">
        <v>0</v>
      </c>
      <c r="R277" s="7">
        <v>0</v>
      </c>
      <c r="S277" s="7">
        <v>0</v>
      </c>
    </row>
    <row r="278">
      <c r="A278" s="16" t="s">
        <v>390</v>
      </c>
      <c r="B278" s="2" t="s">
        <v>365</v>
      </c>
      <c r="C278" s="7">
        <v>0</v>
      </c>
      <c r="D278" s="7">
        <v>0</v>
      </c>
      <c r="E278" s="7">
        <v>0</v>
      </c>
      <c r="F278" s="7">
        <v>0</v>
      </c>
      <c r="G278" s="7">
        <v>0</v>
      </c>
      <c r="H278" s="7">
        <v>0</v>
      </c>
      <c r="I278" s="7">
        <v>0</v>
      </c>
      <c r="J278" s="7">
        <v>0</v>
      </c>
      <c r="K278" s="7">
        <v>0</v>
      </c>
      <c r="L278" s="7">
        <v>0</v>
      </c>
      <c r="M278" s="7">
        <v>0</v>
      </c>
      <c r="N278" s="7">
        <v>0</v>
      </c>
      <c r="O278" s="7">
        <v>0</v>
      </c>
      <c r="P278" s="7">
        <v>0</v>
      </c>
      <c r="Q278" s="7">
        <v>0</v>
      </c>
      <c r="R278" s="7">
        <v>0</v>
      </c>
      <c r="S278" s="7">
        <v>0</v>
      </c>
    </row>
    <row r="279">
      <c r="A279" s="16" t="s">
        <v>391</v>
      </c>
      <c r="B279" s="2" t="s">
        <v>365</v>
      </c>
      <c r="C279" s="7">
        <v>0</v>
      </c>
      <c r="D279" s="7">
        <v>0</v>
      </c>
      <c r="E279" s="7">
        <v>0</v>
      </c>
      <c r="F279" s="7">
        <v>0</v>
      </c>
      <c r="G279" s="7">
        <v>0</v>
      </c>
      <c r="H279" s="7">
        <v>0</v>
      </c>
      <c r="I279" s="7">
        <v>0</v>
      </c>
      <c r="J279" s="7">
        <v>0</v>
      </c>
      <c r="K279" s="7">
        <v>0</v>
      </c>
      <c r="L279" s="7">
        <v>0</v>
      </c>
      <c r="M279" s="7">
        <v>0</v>
      </c>
      <c r="N279" s="7">
        <v>0</v>
      </c>
      <c r="O279" s="7">
        <v>0</v>
      </c>
      <c r="P279" s="7">
        <v>0</v>
      </c>
      <c r="Q279" s="7">
        <v>0</v>
      </c>
      <c r="R279" s="7">
        <v>0</v>
      </c>
      <c r="S279" s="7">
        <v>0</v>
      </c>
    </row>
    <row r="280">
      <c r="A280" s="16" t="s">
        <v>392</v>
      </c>
      <c r="B280" s="2" t="s">
        <v>365</v>
      </c>
      <c r="C280" s="7">
        <v>0</v>
      </c>
      <c r="D280" s="7">
        <v>0</v>
      </c>
      <c r="E280" s="7">
        <v>0</v>
      </c>
      <c r="F280" s="7">
        <v>0</v>
      </c>
      <c r="G280" s="7">
        <v>0</v>
      </c>
      <c r="H280" s="7">
        <v>0</v>
      </c>
      <c r="I280" s="7">
        <v>0</v>
      </c>
      <c r="J280" s="7">
        <v>0</v>
      </c>
      <c r="K280" s="7">
        <v>0</v>
      </c>
      <c r="L280" s="7">
        <v>0</v>
      </c>
      <c r="M280" s="7">
        <v>0</v>
      </c>
      <c r="N280" s="7">
        <v>0</v>
      </c>
      <c r="O280" s="7">
        <v>0</v>
      </c>
      <c r="P280" s="7">
        <v>0</v>
      </c>
      <c r="Q280" s="7">
        <v>0</v>
      </c>
      <c r="R280" s="7">
        <v>0</v>
      </c>
      <c r="S280" s="7">
        <v>0</v>
      </c>
    </row>
    <row r="281">
      <c r="A281" s="16" t="s">
        <v>393</v>
      </c>
      <c r="B281" s="2" t="s">
        <v>365</v>
      </c>
      <c r="C281" s="7">
        <v>0</v>
      </c>
      <c r="D281" s="7">
        <v>0</v>
      </c>
      <c r="E281" s="7">
        <v>0</v>
      </c>
      <c r="F281" s="7">
        <v>0</v>
      </c>
      <c r="G281" s="7">
        <v>0</v>
      </c>
      <c r="H281" s="7">
        <v>0</v>
      </c>
      <c r="I281" s="7">
        <v>0</v>
      </c>
      <c r="J281" s="7">
        <v>0</v>
      </c>
      <c r="K281" s="7">
        <v>0</v>
      </c>
      <c r="L281" s="7">
        <v>0</v>
      </c>
      <c r="M281" s="7">
        <v>0</v>
      </c>
      <c r="N281" s="7">
        <v>0</v>
      </c>
      <c r="O281" s="7">
        <v>0</v>
      </c>
      <c r="P281" s="7">
        <v>0</v>
      </c>
      <c r="Q281" s="7">
        <v>0</v>
      </c>
      <c r="R281" s="7">
        <v>0</v>
      </c>
      <c r="S281" s="7">
        <v>0</v>
      </c>
    </row>
    <row r="282">
      <c r="A282" s="16" t="s">
        <v>394</v>
      </c>
      <c r="B282" s="2" t="s">
        <v>365</v>
      </c>
      <c r="C282" s="7">
        <v>0</v>
      </c>
      <c r="D282" s="7">
        <v>0</v>
      </c>
      <c r="E282" s="7">
        <v>0</v>
      </c>
      <c r="F282" s="7">
        <v>0</v>
      </c>
      <c r="G282" s="7">
        <v>0</v>
      </c>
      <c r="H282" s="7">
        <v>0</v>
      </c>
      <c r="I282" s="7">
        <v>0</v>
      </c>
      <c r="J282" s="7">
        <v>0</v>
      </c>
      <c r="K282" s="7">
        <v>0</v>
      </c>
      <c r="L282" s="7">
        <v>0</v>
      </c>
      <c r="M282" s="7">
        <v>0</v>
      </c>
      <c r="N282" s="7">
        <v>0</v>
      </c>
      <c r="O282" s="7">
        <v>0</v>
      </c>
      <c r="P282" s="7">
        <v>0</v>
      </c>
      <c r="Q282" s="7">
        <v>0</v>
      </c>
      <c r="R282" s="7">
        <v>0</v>
      </c>
      <c r="S282" s="7">
        <v>0</v>
      </c>
    </row>
    <row r="283">
      <c r="A283" s="16" t="s">
        <v>395</v>
      </c>
      <c r="B283" s="2" t="s">
        <v>365</v>
      </c>
      <c r="C283" s="7">
        <v>0</v>
      </c>
      <c r="D283" s="7">
        <v>0</v>
      </c>
      <c r="E283" s="7">
        <v>0</v>
      </c>
      <c r="F283" s="7">
        <v>0</v>
      </c>
      <c r="G283" s="7">
        <v>0</v>
      </c>
      <c r="H283" s="7">
        <v>0</v>
      </c>
      <c r="I283" s="7">
        <v>0</v>
      </c>
      <c r="J283" s="7">
        <v>0</v>
      </c>
      <c r="K283" s="7">
        <v>0</v>
      </c>
      <c r="L283" s="7">
        <v>0</v>
      </c>
      <c r="M283" s="7">
        <v>0</v>
      </c>
      <c r="N283" s="7">
        <v>0</v>
      </c>
      <c r="O283" s="7">
        <v>0</v>
      </c>
      <c r="P283" s="7">
        <v>0</v>
      </c>
      <c r="Q283" s="7">
        <v>0</v>
      </c>
      <c r="R283" s="7">
        <v>0</v>
      </c>
      <c r="S283" s="7">
        <v>0</v>
      </c>
    </row>
    <row r="284">
      <c r="A284" s="16" t="s">
        <v>396</v>
      </c>
      <c r="B284" s="2" t="s">
        <v>365</v>
      </c>
      <c r="C284" s="7">
        <v>0</v>
      </c>
      <c r="D284" s="7">
        <v>0</v>
      </c>
      <c r="E284" s="7">
        <v>0</v>
      </c>
      <c r="F284" s="7">
        <v>0</v>
      </c>
      <c r="G284" s="7">
        <v>0</v>
      </c>
      <c r="H284" s="7">
        <v>0</v>
      </c>
      <c r="I284" s="7">
        <v>0</v>
      </c>
      <c r="J284" s="7">
        <v>0</v>
      </c>
      <c r="K284" s="7">
        <v>0</v>
      </c>
      <c r="L284" s="7">
        <v>0</v>
      </c>
      <c r="M284" s="7">
        <v>0</v>
      </c>
      <c r="N284" s="7">
        <v>0</v>
      </c>
      <c r="O284" s="7">
        <v>0</v>
      </c>
      <c r="P284" s="7">
        <v>0</v>
      </c>
      <c r="Q284" s="7">
        <v>0</v>
      </c>
      <c r="R284" s="7">
        <v>0</v>
      </c>
      <c r="S284" s="7">
        <v>0</v>
      </c>
    </row>
    <row r="285">
      <c r="A285" s="16" t="s">
        <v>397</v>
      </c>
      <c r="B285" s="2" t="s">
        <v>365</v>
      </c>
      <c r="C285" s="7">
        <v>0</v>
      </c>
      <c r="D285" s="7">
        <v>0</v>
      </c>
      <c r="E285" s="7">
        <v>0</v>
      </c>
      <c r="F285" s="7">
        <v>0</v>
      </c>
      <c r="G285" s="7">
        <v>0</v>
      </c>
      <c r="H285" s="7">
        <v>0</v>
      </c>
      <c r="I285" s="7">
        <v>0</v>
      </c>
      <c r="J285" s="7">
        <v>0</v>
      </c>
      <c r="K285" s="7">
        <v>0</v>
      </c>
      <c r="L285" s="7">
        <v>0</v>
      </c>
      <c r="M285" s="7">
        <v>0</v>
      </c>
      <c r="N285" s="7">
        <v>0</v>
      </c>
      <c r="O285" s="7">
        <v>0</v>
      </c>
      <c r="P285" s="7">
        <v>0</v>
      </c>
      <c r="Q285" s="7">
        <v>0</v>
      </c>
      <c r="R285" s="7">
        <v>0</v>
      </c>
      <c r="S285" s="7">
        <v>0</v>
      </c>
    </row>
    <row r="286">
      <c r="A286" s="16" t="s">
        <v>398</v>
      </c>
      <c r="B286" s="2" t="s">
        <v>365</v>
      </c>
      <c r="C286" s="7">
        <v>0</v>
      </c>
      <c r="D286" s="7">
        <v>0</v>
      </c>
      <c r="E286" s="7">
        <v>0</v>
      </c>
      <c r="F286" s="7">
        <v>0</v>
      </c>
      <c r="G286" s="7">
        <v>0</v>
      </c>
      <c r="H286" s="7">
        <v>0</v>
      </c>
      <c r="I286" s="7">
        <v>0</v>
      </c>
      <c r="J286" s="7">
        <v>0</v>
      </c>
      <c r="K286" s="7">
        <v>0</v>
      </c>
      <c r="L286" s="7">
        <v>0</v>
      </c>
      <c r="M286" s="7">
        <v>0</v>
      </c>
      <c r="N286" s="7">
        <v>0</v>
      </c>
      <c r="O286" s="7">
        <v>0</v>
      </c>
      <c r="P286" s="7">
        <v>0</v>
      </c>
      <c r="Q286" s="7">
        <v>0</v>
      </c>
      <c r="R286" s="7">
        <v>0</v>
      </c>
      <c r="S286" s="7">
        <v>0</v>
      </c>
    </row>
    <row r="287">
      <c r="A287" s="16" t="s">
        <v>399</v>
      </c>
      <c r="B287" s="2" t="s">
        <v>365</v>
      </c>
      <c r="C287" s="7">
        <v>0</v>
      </c>
      <c r="D287" s="7">
        <v>0</v>
      </c>
      <c r="E287" s="7">
        <v>0</v>
      </c>
      <c r="F287" s="7">
        <v>0</v>
      </c>
      <c r="G287" s="7">
        <v>0</v>
      </c>
      <c r="H287" s="7">
        <v>0</v>
      </c>
      <c r="I287" s="7">
        <v>0</v>
      </c>
      <c r="J287" s="7">
        <v>0</v>
      </c>
      <c r="K287" s="7">
        <v>0</v>
      </c>
      <c r="L287" s="7">
        <v>0</v>
      </c>
      <c r="M287" s="7">
        <v>0</v>
      </c>
      <c r="N287" s="7">
        <v>0</v>
      </c>
      <c r="O287" s="7">
        <v>0</v>
      </c>
      <c r="P287" s="7">
        <v>0</v>
      </c>
      <c r="Q287" s="7">
        <v>0</v>
      </c>
      <c r="R287" s="7">
        <v>0</v>
      </c>
      <c r="S287" s="7">
        <v>0</v>
      </c>
    </row>
    <row r="288">
      <c r="A288" s="16" t="s">
        <v>400</v>
      </c>
      <c r="B288" s="2" t="s">
        <v>365</v>
      </c>
      <c r="C288" s="7">
        <v>0</v>
      </c>
      <c r="D288" s="7">
        <v>0</v>
      </c>
      <c r="E288" s="7">
        <v>0</v>
      </c>
      <c r="F288" s="7">
        <v>0</v>
      </c>
      <c r="G288" s="7">
        <v>0</v>
      </c>
      <c r="H288" s="7">
        <v>0</v>
      </c>
      <c r="I288" s="7">
        <v>0</v>
      </c>
      <c r="J288" s="7">
        <v>0</v>
      </c>
      <c r="K288" s="7">
        <v>0</v>
      </c>
      <c r="L288" s="7">
        <v>0</v>
      </c>
      <c r="M288" s="7">
        <v>0</v>
      </c>
      <c r="N288" s="7">
        <v>0</v>
      </c>
      <c r="O288" s="7">
        <v>0</v>
      </c>
      <c r="P288" s="7">
        <v>0</v>
      </c>
      <c r="Q288" s="7">
        <v>0</v>
      </c>
      <c r="R288" s="7">
        <v>0</v>
      </c>
      <c r="S288" s="7">
        <v>0</v>
      </c>
    </row>
    <row r="289">
      <c r="A289" s="16" t="s">
        <v>401</v>
      </c>
      <c r="B289" s="2" t="s">
        <v>365</v>
      </c>
      <c r="C289" s="7">
        <v>0</v>
      </c>
      <c r="D289" s="7">
        <v>0</v>
      </c>
      <c r="E289" s="7">
        <v>0</v>
      </c>
      <c r="F289" s="7">
        <v>0</v>
      </c>
      <c r="G289" s="7">
        <v>0</v>
      </c>
      <c r="H289" s="7">
        <v>0</v>
      </c>
      <c r="I289" s="7">
        <v>0</v>
      </c>
      <c r="J289" s="7">
        <v>0</v>
      </c>
      <c r="K289" s="7">
        <v>0</v>
      </c>
      <c r="L289" s="7">
        <v>0</v>
      </c>
      <c r="M289" s="7">
        <v>0</v>
      </c>
      <c r="N289" s="7">
        <v>0</v>
      </c>
      <c r="O289" s="7">
        <v>0</v>
      </c>
      <c r="P289" s="7">
        <v>0</v>
      </c>
      <c r="Q289" s="7">
        <v>0</v>
      </c>
      <c r="R289" s="7">
        <v>0</v>
      </c>
      <c r="S289" s="7">
        <v>0</v>
      </c>
    </row>
    <row r="290">
      <c r="A290" s="16" t="s">
        <v>402</v>
      </c>
      <c r="B290" s="2" t="s">
        <v>365</v>
      </c>
      <c r="C290" s="7">
        <v>0</v>
      </c>
      <c r="D290" s="7">
        <v>0</v>
      </c>
      <c r="E290" s="7">
        <v>0</v>
      </c>
      <c r="F290" s="7">
        <v>0</v>
      </c>
      <c r="G290" s="7">
        <v>0</v>
      </c>
      <c r="H290" s="7">
        <v>0</v>
      </c>
      <c r="I290" s="7">
        <v>0</v>
      </c>
      <c r="J290" s="7">
        <v>0</v>
      </c>
      <c r="K290" s="7">
        <v>0</v>
      </c>
      <c r="L290" s="7">
        <v>0</v>
      </c>
      <c r="M290" s="7">
        <v>0</v>
      </c>
      <c r="N290" s="7">
        <v>0</v>
      </c>
      <c r="O290" s="7">
        <v>0</v>
      </c>
      <c r="P290" s="7">
        <v>0</v>
      </c>
      <c r="Q290" s="7">
        <v>0</v>
      </c>
      <c r="R290" s="7">
        <v>0</v>
      </c>
      <c r="S290" s="7">
        <v>0</v>
      </c>
    </row>
    <row r="291">
      <c r="A291" s="16" t="s">
        <v>403</v>
      </c>
      <c r="B291" s="2" t="s">
        <v>365</v>
      </c>
      <c r="C291" s="7">
        <v>0</v>
      </c>
      <c r="D291" s="7">
        <v>0</v>
      </c>
      <c r="E291" s="7">
        <v>0</v>
      </c>
      <c r="F291" s="7">
        <v>0</v>
      </c>
      <c r="G291" s="7">
        <v>0</v>
      </c>
      <c r="H291" s="7">
        <v>0</v>
      </c>
      <c r="I291" s="7">
        <v>0</v>
      </c>
      <c r="J291" s="7">
        <v>0</v>
      </c>
      <c r="K291" s="7">
        <v>0</v>
      </c>
      <c r="L291" s="7">
        <v>0</v>
      </c>
      <c r="M291" s="7">
        <v>0</v>
      </c>
      <c r="N291" s="7">
        <v>0</v>
      </c>
      <c r="O291" s="7">
        <v>0</v>
      </c>
      <c r="P291" s="7">
        <v>0</v>
      </c>
      <c r="Q291" s="7">
        <v>0</v>
      </c>
      <c r="R291" s="7">
        <v>0</v>
      </c>
      <c r="S291" s="7">
        <v>0</v>
      </c>
    </row>
    <row r="292">
      <c r="A292" s="16" t="s">
        <v>404</v>
      </c>
      <c r="B292" s="2" t="s">
        <v>365</v>
      </c>
      <c r="C292" s="7">
        <v>0</v>
      </c>
      <c r="D292" s="7">
        <v>0</v>
      </c>
      <c r="E292" s="7">
        <v>0</v>
      </c>
      <c r="F292" s="7">
        <v>0</v>
      </c>
      <c r="G292" s="7">
        <v>0</v>
      </c>
      <c r="H292" s="7">
        <v>0</v>
      </c>
      <c r="I292" s="7">
        <v>0</v>
      </c>
      <c r="J292" s="7">
        <v>0</v>
      </c>
      <c r="K292" s="7">
        <v>0</v>
      </c>
      <c r="L292" s="7">
        <v>0</v>
      </c>
      <c r="M292" s="7">
        <v>0</v>
      </c>
      <c r="N292" s="7">
        <v>0</v>
      </c>
      <c r="O292" s="7">
        <v>0</v>
      </c>
      <c r="P292" s="7">
        <v>0</v>
      </c>
      <c r="Q292" s="7">
        <v>0</v>
      </c>
      <c r="R292" s="7">
        <v>0</v>
      </c>
      <c r="S292" s="7">
        <v>0</v>
      </c>
    </row>
    <row r="293">
      <c r="A293" s="16" t="s">
        <v>405</v>
      </c>
      <c r="B293" s="2" t="s">
        <v>365</v>
      </c>
      <c r="C293" s="7">
        <v>0</v>
      </c>
      <c r="D293" s="7">
        <v>0</v>
      </c>
      <c r="E293" s="7">
        <v>0</v>
      </c>
      <c r="F293" s="7">
        <v>0</v>
      </c>
      <c r="G293" s="7">
        <v>0</v>
      </c>
      <c r="H293" s="7">
        <v>0</v>
      </c>
      <c r="I293" s="7">
        <v>0</v>
      </c>
      <c r="J293" s="7">
        <v>0</v>
      </c>
      <c r="K293" s="7">
        <v>0</v>
      </c>
      <c r="L293" s="7">
        <v>0</v>
      </c>
      <c r="M293" s="7">
        <v>0</v>
      </c>
      <c r="N293" s="7">
        <v>0</v>
      </c>
      <c r="O293" s="7">
        <v>0</v>
      </c>
      <c r="P293" s="7">
        <v>0</v>
      </c>
      <c r="Q293" s="7">
        <v>0</v>
      </c>
      <c r="R293" s="7">
        <v>0</v>
      </c>
      <c r="S293" s="7">
        <v>0</v>
      </c>
    </row>
    <row r="294">
      <c r="A294" s="16" t="s">
        <v>406</v>
      </c>
      <c r="B294" s="2" t="s">
        <v>365</v>
      </c>
      <c r="C294" s="7">
        <v>0</v>
      </c>
      <c r="D294" s="7">
        <v>0</v>
      </c>
      <c r="E294" s="7">
        <v>0</v>
      </c>
      <c r="F294" s="7">
        <v>0</v>
      </c>
      <c r="G294" s="7">
        <v>0</v>
      </c>
      <c r="H294" s="7">
        <v>0</v>
      </c>
      <c r="I294" s="7">
        <v>0</v>
      </c>
      <c r="J294" s="7">
        <v>0</v>
      </c>
      <c r="K294" s="7">
        <v>0</v>
      </c>
      <c r="L294" s="7">
        <v>0</v>
      </c>
      <c r="M294" s="7">
        <v>0</v>
      </c>
      <c r="N294" s="7">
        <v>0</v>
      </c>
      <c r="O294" s="7">
        <v>0</v>
      </c>
      <c r="P294" s="7">
        <v>0</v>
      </c>
      <c r="Q294" s="7">
        <v>0</v>
      </c>
      <c r="R294" s="7">
        <v>0</v>
      </c>
      <c r="S294" s="7">
        <v>0</v>
      </c>
    </row>
    <row r="295">
      <c r="A295" s="16" t="s">
        <v>407</v>
      </c>
      <c r="B295" s="2" t="s">
        <v>365</v>
      </c>
      <c r="C295" s="7">
        <v>0</v>
      </c>
      <c r="D295" s="7">
        <v>0</v>
      </c>
      <c r="E295" s="7">
        <v>0</v>
      </c>
      <c r="F295" s="7">
        <v>0</v>
      </c>
      <c r="G295" s="7">
        <v>0</v>
      </c>
      <c r="H295" s="7">
        <v>0</v>
      </c>
      <c r="I295" s="7">
        <v>0</v>
      </c>
      <c r="J295" s="7">
        <v>0</v>
      </c>
      <c r="K295" s="7">
        <v>0</v>
      </c>
      <c r="L295" s="7">
        <v>0</v>
      </c>
      <c r="M295" s="7">
        <v>0</v>
      </c>
      <c r="N295" s="7">
        <v>0</v>
      </c>
      <c r="O295" s="7">
        <v>0</v>
      </c>
      <c r="P295" s="7">
        <v>0</v>
      </c>
      <c r="Q295" s="7">
        <v>0</v>
      </c>
      <c r="R295" s="7">
        <v>0</v>
      </c>
      <c r="S295" s="7">
        <v>0</v>
      </c>
    </row>
    <row r="296">
      <c r="A296" s="16" t="s">
        <v>408</v>
      </c>
      <c r="B296" s="2" t="s">
        <v>365</v>
      </c>
      <c r="C296" s="7">
        <v>0</v>
      </c>
      <c r="D296" s="7">
        <v>0</v>
      </c>
      <c r="E296" s="7">
        <v>0</v>
      </c>
      <c r="F296" s="7">
        <v>0</v>
      </c>
      <c r="G296" s="7">
        <v>0</v>
      </c>
      <c r="H296" s="7">
        <v>0</v>
      </c>
      <c r="I296" s="7">
        <v>0</v>
      </c>
      <c r="J296" s="7">
        <v>0</v>
      </c>
      <c r="K296" s="7">
        <v>0</v>
      </c>
      <c r="L296" s="7">
        <v>0</v>
      </c>
      <c r="M296" s="7">
        <v>0</v>
      </c>
      <c r="N296" s="7">
        <v>0</v>
      </c>
      <c r="O296" s="7">
        <v>0</v>
      </c>
      <c r="P296" s="7">
        <v>0</v>
      </c>
      <c r="Q296" s="7">
        <v>0</v>
      </c>
      <c r="R296" s="7">
        <v>0</v>
      </c>
      <c r="S296" s="7">
        <v>0</v>
      </c>
    </row>
    <row r="297">
      <c r="A297" s="16" t="s">
        <v>409</v>
      </c>
      <c r="B297" s="2" t="s">
        <v>365</v>
      </c>
      <c r="C297" s="7">
        <v>0</v>
      </c>
      <c r="D297" s="7">
        <v>0</v>
      </c>
      <c r="E297" s="7">
        <v>0</v>
      </c>
      <c r="F297" s="7">
        <v>0</v>
      </c>
      <c r="G297" s="7">
        <v>0</v>
      </c>
      <c r="H297" s="7">
        <v>0</v>
      </c>
      <c r="I297" s="7">
        <v>0</v>
      </c>
      <c r="J297" s="7">
        <v>0</v>
      </c>
      <c r="K297" s="7">
        <v>0</v>
      </c>
      <c r="L297" s="7">
        <v>0</v>
      </c>
      <c r="M297" s="7">
        <v>0</v>
      </c>
      <c r="N297" s="7">
        <v>0</v>
      </c>
      <c r="O297" s="7">
        <v>0</v>
      </c>
      <c r="P297" s="7">
        <v>0</v>
      </c>
      <c r="Q297" s="7">
        <v>0</v>
      </c>
      <c r="R297" s="7">
        <v>0</v>
      </c>
      <c r="S297" s="7">
        <v>0</v>
      </c>
    </row>
    <row r="298">
      <c r="A298" s="16" t="s">
        <v>410</v>
      </c>
      <c r="B298" s="2" t="s">
        <v>365</v>
      </c>
      <c r="C298" s="7">
        <v>0</v>
      </c>
      <c r="D298" s="7">
        <v>0</v>
      </c>
      <c r="E298" s="7">
        <v>0</v>
      </c>
      <c r="F298" s="7">
        <v>0</v>
      </c>
      <c r="G298" s="7">
        <v>0</v>
      </c>
      <c r="H298" s="7">
        <v>0</v>
      </c>
      <c r="I298" s="7">
        <v>0</v>
      </c>
      <c r="J298" s="7">
        <v>0</v>
      </c>
      <c r="K298" s="7">
        <v>0</v>
      </c>
      <c r="L298" s="7">
        <v>0</v>
      </c>
      <c r="M298" s="7">
        <v>0</v>
      </c>
      <c r="N298" s="7">
        <v>0</v>
      </c>
      <c r="O298" s="7">
        <v>0</v>
      </c>
      <c r="P298" s="7">
        <v>0</v>
      </c>
      <c r="Q298" s="7">
        <v>0</v>
      </c>
      <c r="R298" s="7">
        <v>0</v>
      </c>
      <c r="S298" s="7">
        <v>0</v>
      </c>
    </row>
    <row r="299">
      <c r="A299" s="17" t="s">
        <v>411</v>
      </c>
      <c r="C299" s="19">
        <f>SUM(C206:C252)</f>
        <v>53466</v>
      </c>
      <c r="D299" s="19">
        <f>SUM(D206:D252)</f>
        <v>60295</v>
      </c>
      <c r="E299" s="19">
        <f>SUM(E206:E252)</f>
        <v>65146</v>
      </c>
      <c r="F299" s="19">
        <f>SUM(F206:F252)</f>
        <v>67589</v>
      </c>
      <c r="G299" s="19">
        <f>SUM(G206:G252)</f>
        <v>67108</v>
      </c>
      <c r="H299" s="19">
        <f>SUM(H206:H252)</f>
        <v>66294</v>
      </c>
      <c r="I299" s="19">
        <f>SUM(I206:I252)</f>
        <v>59943</v>
      </c>
      <c r="J299" s="19">
        <f>SUM(J206:J252)</f>
        <v>64590</v>
      </c>
      <c r="K299" s="19">
        <f>SUM(K206:K252)</f>
        <v>70930</v>
      </c>
      <c r="L299" s="19">
        <f>SUM(L206:L252)</f>
        <v>74109</v>
      </c>
      <c r="M299" s="19">
        <f>SUM(M206:M252)</f>
        <v>74439</v>
      </c>
      <c r="N299" s="19">
        <f>SUM(N206:N252)</f>
        <v>77955</v>
      </c>
      <c r="O299" s="19">
        <f>SUM(O206:O252)</f>
        <v>76621</v>
      </c>
      <c r="P299" s="19">
        <f>SUM(P206:P252)</f>
        <v>72175</v>
      </c>
      <c r="Q299" s="19">
        <f>SUM(Q206:Q252)</f>
        <v>74540</v>
      </c>
      <c r="R299" s="19">
        <f>SUM(R206:R252)</f>
        <v>84390</v>
      </c>
      <c r="S299" s="19">
        <f>SUM(S206:S252)</f>
        <v>83800</v>
      </c>
    </row>
    <row r="300">
      <c r="A300" s="17" t="s">
        <v>412</v>
      </c>
      <c r="C300" s="19">
        <f>SUM(C253:C298)</f>
        <v>0</v>
      </c>
      <c r="D300" s="19">
        <f>SUM(D253:D298)</f>
        <v>0</v>
      </c>
      <c r="E300" s="19">
        <f>SUM(E253:E298)</f>
        <v>0</v>
      </c>
      <c r="F300" s="19">
        <f>SUM(F253:F298)</f>
        <v>0</v>
      </c>
      <c r="G300" s="19">
        <f>SUM(G253:G298)</f>
        <v>0</v>
      </c>
      <c r="H300" s="19">
        <f>SUM(H253:H298)</f>
        <v>0</v>
      </c>
      <c r="I300" s="19">
        <f>SUM(I253:I298)</f>
        <v>0</v>
      </c>
      <c r="J300" s="19">
        <f>SUM(J253:J298)</f>
        <v>0</v>
      </c>
      <c r="K300" s="19">
        <f>SUM(K253:K298)</f>
        <v>0</v>
      </c>
      <c r="L300" s="19">
        <f>SUM(L253:L298)</f>
        <v>0</v>
      </c>
      <c r="M300" s="19">
        <f>SUM(M253:M298)</f>
        <v>0</v>
      </c>
      <c r="N300" s="19">
        <f>SUM(N253:N298)</f>
        <v>0</v>
      </c>
      <c r="O300" s="19">
        <f>SUM(O253:O298)</f>
        <v>0</v>
      </c>
      <c r="P300" s="19">
        <f>SUM(P253:P298)</f>
        <v>0</v>
      </c>
      <c r="Q300" s="19">
        <f>SUM(Q253:Q298)</f>
        <v>0</v>
      </c>
      <c r="R300" s="19">
        <f>SUM(R253:R298)</f>
        <v>0</v>
      </c>
      <c r="S300" s="19">
        <f>SUM(S253:S298)</f>
        <v>0</v>
      </c>
    </row>
    <row r="301">
      <c r="A301" s="17" t="s">
        <v>112</v>
      </c>
      <c r="C301" s="20">
        <f>C299+C300</f>
        <v>53466</v>
      </c>
      <c r="D301" s="20">
        <f>D299+D300</f>
        <v>60295</v>
      </c>
      <c r="E301" s="20">
        <f>E299+E300</f>
        <v>65146</v>
      </c>
      <c r="F301" s="20">
        <f>F299+F300</f>
        <v>67589</v>
      </c>
      <c r="G301" s="20">
        <f>G299+G300</f>
        <v>67108</v>
      </c>
      <c r="H301" s="20">
        <f>H299+H300</f>
        <v>66294</v>
      </c>
      <c r="I301" s="20">
        <f>I299+I300</f>
        <v>59943</v>
      </c>
      <c r="J301" s="20">
        <f>J299+J300</f>
        <v>64590</v>
      </c>
      <c r="K301" s="20">
        <f>K299+K300</f>
        <v>70930</v>
      </c>
      <c r="L301" s="20">
        <f>L299+L300</f>
        <v>74109</v>
      </c>
      <c r="M301" s="20">
        <f>M299+M300</f>
        <v>74439</v>
      </c>
      <c r="N301" s="20">
        <f>N299+N300</f>
        <v>77955</v>
      </c>
      <c r="O301" s="20">
        <f>O299+O300</f>
        <v>76621</v>
      </c>
      <c r="P301" s="20">
        <f>P299+P300</f>
        <v>72175</v>
      </c>
      <c r="Q301" s="20">
        <f>Q299+Q300</f>
        <v>74540</v>
      </c>
      <c r="R301" s="20">
        <f>R299+R300</f>
        <v>84390</v>
      </c>
      <c r="S301" s="20">
        <f>S299+S300</f>
        <v>83800</v>
      </c>
    </row>
    <row r="305">
      <c r="A305" s="4" t="s">
        <v>415</v>
      </c>
      <c r="B305" s="3" t="s">
        <v>320</v>
      </c>
      <c r="C305" s="3" t="s">
        <v>35</v>
      </c>
      <c r="D305" s="3" t="s">
        <v>36</v>
      </c>
      <c r="E305" s="3" t="s">
        <v>37</v>
      </c>
      <c r="F305" s="3" t="s">
        <v>38</v>
      </c>
      <c r="G305" s="3" t="s">
        <v>39</v>
      </c>
      <c r="H305" s="3" t="s">
        <v>40</v>
      </c>
      <c r="I305" s="3" t="s">
        <v>41</v>
      </c>
      <c r="J305" s="3" t="s">
        <v>42</v>
      </c>
      <c r="K305" s="3" t="s">
        <v>43</v>
      </c>
      <c r="L305" s="3" t="s">
        <v>44</v>
      </c>
      <c r="M305" s="3" t="s">
        <v>45</v>
      </c>
      <c r="N305" s="3" t="s">
        <v>46</v>
      </c>
      <c r="O305" s="3" t="s">
        <v>47</v>
      </c>
      <c r="P305" s="3" t="s">
        <v>48</v>
      </c>
      <c r="Q305" s="3" t="s">
        <v>49</v>
      </c>
      <c r="R305" s="3" t="s">
        <v>50</v>
      </c>
      <c r="S305" s="3" t="s">
        <v>110</v>
      </c>
    </row>
    <row r="306">
      <c r="A306" s="16" t="s">
        <v>321</v>
      </c>
      <c r="B306" s="2" t="s">
        <v>322</v>
      </c>
      <c r="C306" s="7">
        <v>2836</v>
      </c>
      <c r="D306" s="7">
        <v>2906</v>
      </c>
      <c r="E306" s="7">
        <v>2238</v>
      </c>
      <c r="F306" s="7">
        <v>9068</v>
      </c>
      <c r="G306" s="7">
        <v>11946</v>
      </c>
      <c r="H306" s="7">
        <v>9305</v>
      </c>
      <c r="I306" s="7">
        <v>2372</v>
      </c>
      <c r="J306" s="7">
        <v>3828</v>
      </c>
      <c r="K306" s="7">
        <v>3115</v>
      </c>
      <c r="L306" s="7">
        <v>5056</v>
      </c>
      <c r="M306" s="7">
        <v>2373</v>
      </c>
      <c r="N306" s="7">
        <v>4390</v>
      </c>
      <c r="O306" s="7">
        <v>540</v>
      </c>
      <c r="P306" s="7">
        <v>4620</v>
      </c>
      <c r="Q306" s="7">
        <v>2085</v>
      </c>
      <c r="R306" s="7">
        <v>955</v>
      </c>
      <c r="S306" s="7">
        <v>3895</v>
      </c>
    </row>
    <row r="307">
      <c r="A307" s="16" t="s">
        <v>125</v>
      </c>
      <c r="B307" s="2" t="s">
        <v>322</v>
      </c>
      <c r="C307" s="7">
        <v>1012</v>
      </c>
      <c r="D307" s="7">
        <v>800</v>
      </c>
      <c r="E307" s="7">
        <v>1090</v>
      </c>
      <c r="F307" s="7">
        <v>1946</v>
      </c>
      <c r="G307" s="7">
        <v>2130</v>
      </c>
      <c r="H307" s="7">
        <v>6336</v>
      </c>
      <c r="I307" s="7">
        <v>4201</v>
      </c>
      <c r="J307" s="7">
        <v>2681</v>
      </c>
      <c r="K307" s="7">
        <v>254</v>
      </c>
      <c r="L307" s="7">
        <v>556</v>
      </c>
      <c r="M307" s="7">
        <v>2130</v>
      </c>
      <c r="N307" s="7">
        <v>3660</v>
      </c>
      <c r="O307" s="7">
        <v>3580</v>
      </c>
      <c r="P307" s="7">
        <v>839</v>
      </c>
      <c r="Q307" s="7">
        <v>889</v>
      </c>
      <c r="R307" s="7">
        <v>1089</v>
      </c>
      <c r="S307" s="7">
        <v>689</v>
      </c>
    </row>
    <row r="308">
      <c r="A308" s="16" t="s">
        <v>323</v>
      </c>
      <c r="B308" s="2" t="s">
        <v>322</v>
      </c>
      <c r="C308" s="7">
        <v>284</v>
      </c>
      <c r="D308" s="7">
        <v>99</v>
      </c>
      <c r="E308" s="7">
        <v>249</v>
      </c>
      <c r="F308" s="7">
        <v>771</v>
      </c>
      <c r="G308" s="7">
        <v>961</v>
      </c>
      <c r="H308" s="7">
        <v>671</v>
      </c>
      <c r="I308" s="7">
        <v>1131</v>
      </c>
      <c r="J308" s="7">
        <v>886</v>
      </c>
      <c r="K308" s="7">
        <v>1111</v>
      </c>
      <c r="L308" s="7">
        <v>552</v>
      </c>
      <c r="M308" s="7">
        <v>852</v>
      </c>
      <c r="N308" s="7">
        <v>1235</v>
      </c>
      <c r="O308" s="7">
        <v>760</v>
      </c>
      <c r="P308" s="7">
        <v>885</v>
      </c>
      <c r="Q308" s="7">
        <v>668</v>
      </c>
      <c r="R308" s="7">
        <v>922</v>
      </c>
      <c r="S308" s="7">
        <v>866</v>
      </c>
    </row>
    <row r="309">
      <c r="A309" s="16" t="s">
        <v>324</v>
      </c>
      <c r="B309" s="2" t="s">
        <v>322</v>
      </c>
      <c r="C309" s="7">
        <v>70</v>
      </c>
      <c r="D309" s="7">
        <v>100</v>
      </c>
      <c r="E309" s="7">
        <v>230</v>
      </c>
      <c r="F309" s="7">
        <v>100</v>
      </c>
      <c r="G309" s="7">
        <v>40</v>
      </c>
      <c r="H309" s="7">
        <v>30</v>
      </c>
      <c r="I309" s="7">
        <v>25</v>
      </c>
      <c r="J309" s="7">
        <v>15</v>
      </c>
      <c r="K309" s="7">
        <v>27</v>
      </c>
      <c r="L309" s="7">
        <v>10</v>
      </c>
      <c r="M309" s="7">
        <v>210</v>
      </c>
      <c r="N309" s="7">
        <v>135</v>
      </c>
      <c r="O309" s="7">
        <v>90</v>
      </c>
      <c r="P309" s="7">
        <v>50</v>
      </c>
      <c r="Q309" s="7">
        <v>50</v>
      </c>
      <c r="R309" s="7">
        <v>80</v>
      </c>
      <c r="S309" s="7">
        <v>175</v>
      </c>
    </row>
    <row r="310">
      <c r="A310" s="16" t="s">
        <v>325</v>
      </c>
      <c r="B310" s="2" t="s">
        <v>322</v>
      </c>
      <c r="C310" s="7">
        <v>1603</v>
      </c>
      <c r="D310" s="7">
        <v>83</v>
      </c>
      <c r="E310" s="7">
        <v>88</v>
      </c>
      <c r="F310" s="7">
        <v>98</v>
      </c>
      <c r="G310" s="7">
        <v>48</v>
      </c>
      <c r="H310" s="7">
        <v>53</v>
      </c>
      <c r="I310" s="7">
        <v>46</v>
      </c>
      <c r="J310" s="7">
        <v>12</v>
      </c>
      <c r="K310" s="7">
        <v>593</v>
      </c>
      <c r="L310" s="7">
        <v>2419</v>
      </c>
      <c r="M310" s="7">
        <v>2298</v>
      </c>
      <c r="N310" s="7">
        <v>1669</v>
      </c>
      <c r="O310" s="7">
        <v>1056</v>
      </c>
      <c r="P310" s="7">
        <v>500</v>
      </c>
      <c r="Q310" s="7">
        <v>480</v>
      </c>
      <c r="R310" s="7">
        <v>622</v>
      </c>
      <c r="S310" s="7">
        <v>751</v>
      </c>
    </row>
    <row r="311">
      <c r="A311" s="16" t="s">
        <v>326</v>
      </c>
      <c r="B311" s="2" t="s">
        <v>322</v>
      </c>
      <c r="C311" s="7">
        <v>701</v>
      </c>
      <c r="D311" s="7">
        <v>613</v>
      </c>
      <c r="E311" s="7">
        <v>538</v>
      </c>
      <c r="F311" s="7">
        <v>363</v>
      </c>
      <c r="G311" s="7">
        <v>393</v>
      </c>
      <c r="H311" s="7">
        <v>313</v>
      </c>
      <c r="I311" s="7">
        <v>313</v>
      </c>
      <c r="J311" s="7">
        <v>338</v>
      </c>
      <c r="K311" s="7">
        <v>388</v>
      </c>
      <c r="L311" s="7">
        <v>338</v>
      </c>
      <c r="M311" s="7">
        <v>363</v>
      </c>
      <c r="N311" s="7">
        <v>379</v>
      </c>
      <c r="O311" s="7">
        <v>454</v>
      </c>
      <c r="P311" s="7">
        <v>469</v>
      </c>
      <c r="Q311" s="7">
        <v>244</v>
      </c>
      <c r="R311" s="7">
        <v>269</v>
      </c>
      <c r="S311" s="7">
        <v>334</v>
      </c>
    </row>
    <row r="312">
      <c r="A312" s="16" t="s">
        <v>327</v>
      </c>
      <c r="B312" s="2" t="s">
        <v>322</v>
      </c>
      <c r="C312" s="7">
        <v>2633</v>
      </c>
      <c r="D312" s="7">
        <v>1742</v>
      </c>
      <c r="E312" s="7">
        <v>1473</v>
      </c>
      <c r="F312" s="7">
        <v>1982</v>
      </c>
      <c r="G312" s="7">
        <v>2026</v>
      </c>
      <c r="H312" s="7">
        <v>2586</v>
      </c>
      <c r="I312" s="7">
        <v>2645</v>
      </c>
      <c r="J312" s="7">
        <v>1873</v>
      </c>
      <c r="K312" s="7">
        <v>1248</v>
      </c>
      <c r="L312" s="7">
        <v>931</v>
      </c>
      <c r="M312" s="7">
        <v>973</v>
      </c>
      <c r="N312" s="7">
        <v>911</v>
      </c>
      <c r="O312" s="7">
        <v>168</v>
      </c>
      <c r="P312" s="7">
        <v>475</v>
      </c>
      <c r="Q312" s="7">
        <v>242</v>
      </c>
      <c r="R312" s="7">
        <v>323</v>
      </c>
      <c r="S312" s="7">
        <v>485</v>
      </c>
    </row>
    <row r="313">
      <c r="A313" s="16" t="s">
        <v>130</v>
      </c>
      <c r="B313" s="2" t="s">
        <v>322</v>
      </c>
      <c r="C313" s="7">
        <v>218</v>
      </c>
      <c r="D313" s="7">
        <v>30</v>
      </c>
      <c r="E313" s="7">
        <v>90</v>
      </c>
      <c r="F313" s="7">
        <v>140</v>
      </c>
      <c r="G313" s="7">
        <v>300</v>
      </c>
      <c r="H313" s="7">
        <v>340</v>
      </c>
      <c r="I313" s="7">
        <v>315</v>
      </c>
      <c r="J313" s="7">
        <v>300</v>
      </c>
      <c r="K313" s="7">
        <v>325</v>
      </c>
      <c r="L313" s="7">
        <v>162</v>
      </c>
      <c r="M313" s="7">
        <v>124</v>
      </c>
      <c r="N313" s="7">
        <v>269</v>
      </c>
      <c r="O313" s="7">
        <v>67</v>
      </c>
      <c r="P313" s="7">
        <v>112</v>
      </c>
      <c r="Q313" s="7">
        <v>143</v>
      </c>
      <c r="R313" s="7">
        <v>178</v>
      </c>
      <c r="S313" s="7">
        <v>435</v>
      </c>
    </row>
    <row r="314">
      <c r="A314" s="16" t="s">
        <v>328</v>
      </c>
      <c r="B314" s="2" t="s">
        <v>322</v>
      </c>
      <c r="C314" s="7">
        <v>74</v>
      </c>
      <c r="D314" s="7">
        <v>124</v>
      </c>
      <c r="E314" s="7">
        <v>14</v>
      </c>
      <c r="F314" s="7">
        <v>44</v>
      </c>
      <c r="G314" s="7">
        <v>24</v>
      </c>
      <c r="H314" s="7">
        <v>4</v>
      </c>
      <c r="I314" s="7">
        <v>44</v>
      </c>
      <c r="J314" s="7">
        <v>75</v>
      </c>
      <c r="K314" s="7">
        <v>85</v>
      </c>
      <c r="L314" s="7">
        <v>12</v>
      </c>
      <c r="M314" s="7">
        <v>126</v>
      </c>
      <c r="N314" s="7">
        <v>85</v>
      </c>
      <c r="O314" s="7">
        <v>95</v>
      </c>
      <c r="P314" s="7">
        <v>95</v>
      </c>
      <c r="Q314" s="7">
        <v>28</v>
      </c>
      <c r="R314" s="7">
        <v>23</v>
      </c>
      <c r="S314" s="7">
        <v>21</v>
      </c>
    </row>
    <row r="315">
      <c r="A315" s="16" t="s">
        <v>329</v>
      </c>
      <c r="B315" s="2" t="s">
        <v>322</v>
      </c>
      <c r="C315" s="7">
        <v>124</v>
      </c>
      <c r="D315" s="7">
        <v>89</v>
      </c>
      <c r="E315" s="7">
        <v>62</v>
      </c>
      <c r="F315" s="7">
        <v>61</v>
      </c>
      <c r="G315" s="7">
        <v>169</v>
      </c>
      <c r="H315" s="7">
        <v>125</v>
      </c>
      <c r="I315" s="7">
        <v>210</v>
      </c>
      <c r="J315" s="7">
        <v>153</v>
      </c>
      <c r="K315" s="7">
        <v>183</v>
      </c>
      <c r="L315" s="7">
        <v>25</v>
      </c>
      <c r="M315" s="7">
        <v>99</v>
      </c>
      <c r="N315" s="7">
        <v>17</v>
      </c>
      <c r="O315" s="7">
        <v>99</v>
      </c>
      <c r="P315" s="7">
        <v>79</v>
      </c>
      <c r="Q315" s="7">
        <v>17</v>
      </c>
      <c r="R315" s="7">
        <v>20</v>
      </c>
      <c r="S315" s="7">
        <v>20</v>
      </c>
    </row>
    <row r="316">
      <c r="A316" s="16" t="s">
        <v>134</v>
      </c>
      <c r="B316" s="2" t="s">
        <v>322</v>
      </c>
      <c r="C316" s="7">
        <v>227</v>
      </c>
      <c r="D316" s="7">
        <v>237</v>
      </c>
      <c r="E316" s="7">
        <v>387</v>
      </c>
      <c r="F316" s="7">
        <v>212</v>
      </c>
      <c r="G316" s="7">
        <v>215</v>
      </c>
      <c r="H316" s="7">
        <v>15</v>
      </c>
      <c r="I316" s="7">
        <v>26</v>
      </c>
      <c r="J316" s="7">
        <v>36</v>
      </c>
      <c r="K316" s="7">
        <v>106</v>
      </c>
      <c r="L316" s="7">
        <v>26</v>
      </c>
      <c r="M316" s="7">
        <v>120</v>
      </c>
      <c r="N316" s="7">
        <v>111</v>
      </c>
      <c r="O316" s="7">
        <v>21</v>
      </c>
      <c r="P316" s="7">
        <v>22</v>
      </c>
      <c r="Q316" s="7">
        <v>15</v>
      </c>
      <c r="R316" s="7">
        <v>6</v>
      </c>
      <c r="S316" s="7">
        <v>11</v>
      </c>
    </row>
    <row r="317">
      <c r="A317" s="16" t="s">
        <v>135</v>
      </c>
      <c r="B317" s="2" t="s">
        <v>322</v>
      </c>
      <c r="C317" s="7">
        <v>37</v>
      </c>
      <c r="D317" s="7">
        <v>22</v>
      </c>
      <c r="E317" s="7">
        <v>252</v>
      </c>
      <c r="F317" s="7">
        <v>17</v>
      </c>
      <c r="G317" s="7">
        <v>22</v>
      </c>
      <c r="H317" s="7">
        <v>102</v>
      </c>
      <c r="I317" s="7">
        <v>37</v>
      </c>
      <c r="J317" s="7">
        <v>72</v>
      </c>
      <c r="K317" s="7">
        <v>142</v>
      </c>
      <c r="L317" s="7">
        <v>147</v>
      </c>
      <c r="M317" s="7">
        <v>37</v>
      </c>
      <c r="N317" s="7">
        <v>37</v>
      </c>
      <c r="O317" s="7">
        <v>25</v>
      </c>
      <c r="P317" s="7">
        <v>25</v>
      </c>
      <c r="Q317" s="7">
        <v>140</v>
      </c>
      <c r="R317" s="7">
        <v>75</v>
      </c>
      <c r="S317" s="7">
        <v>55</v>
      </c>
    </row>
    <row r="318">
      <c r="A318" s="16" t="s">
        <v>330</v>
      </c>
      <c r="B318" s="2" t="s">
        <v>322</v>
      </c>
      <c r="C318" s="7">
        <v>0</v>
      </c>
      <c r="D318" s="7">
        <v>0</v>
      </c>
      <c r="E318" s="7">
        <v>0</v>
      </c>
      <c r="F318" s="7">
        <v>0</v>
      </c>
      <c r="G318" s="7">
        <v>100</v>
      </c>
      <c r="H318" s="7">
        <v>225</v>
      </c>
      <c r="I318" s="7">
        <v>203</v>
      </c>
      <c r="J318" s="7">
        <v>323</v>
      </c>
      <c r="K318" s="7">
        <v>103</v>
      </c>
      <c r="L318" s="7">
        <v>33</v>
      </c>
      <c r="M318" s="7">
        <v>48</v>
      </c>
      <c r="N318" s="7">
        <v>488</v>
      </c>
      <c r="O318" s="7">
        <v>358</v>
      </c>
      <c r="P318" s="7">
        <v>303</v>
      </c>
      <c r="Q318" s="7">
        <v>558</v>
      </c>
      <c r="R318" s="7">
        <v>400</v>
      </c>
      <c r="S318" s="7">
        <v>400</v>
      </c>
    </row>
    <row r="319">
      <c r="A319" s="16" t="s">
        <v>331</v>
      </c>
      <c r="B319" s="2" t="s">
        <v>322</v>
      </c>
      <c r="C319" s="7">
        <v>40</v>
      </c>
      <c r="D319" s="7">
        <v>50</v>
      </c>
      <c r="E319" s="7">
        <v>45</v>
      </c>
      <c r="F319" s="7">
        <v>255</v>
      </c>
      <c r="G319" s="7">
        <v>202</v>
      </c>
      <c r="H319" s="7">
        <v>322</v>
      </c>
      <c r="I319" s="7">
        <v>250</v>
      </c>
      <c r="J319" s="7">
        <v>220</v>
      </c>
      <c r="K319" s="7">
        <v>290</v>
      </c>
      <c r="L319" s="7">
        <v>210</v>
      </c>
      <c r="M319" s="7">
        <v>130</v>
      </c>
      <c r="N319" s="7">
        <v>129</v>
      </c>
      <c r="O319" s="7">
        <v>51</v>
      </c>
      <c r="P319" s="7">
        <v>22</v>
      </c>
      <c r="Q319" s="7">
        <v>31</v>
      </c>
      <c r="R319" s="7">
        <v>50</v>
      </c>
      <c r="S319" s="7">
        <v>51</v>
      </c>
    </row>
    <row r="320">
      <c r="A320" s="16" t="s">
        <v>332</v>
      </c>
      <c r="B320" s="2" t="s">
        <v>322</v>
      </c>
      <c r="C320" s="7">
        <v>0</v>
      </c>
      <c r="D320" s="7">
        <v>0</v>
      </c>
      <c r="E320" s="7">
        <v>0</v>
      </c>
      <c r="F320" s="7">
        <v>0</v>
      </c>
      <c r="G320" s="7">
        <v>0</v>
      </c>
      <c r="H320" s="7">
        <v>0</v>
      </c>
      <c r="I320" s="7">
        <v>0</v>
      </c>
      <c r="J320" s="7">
        <v>0</v>
      </c>
      <c r="K320" s="7">
        <v>0</v>
      </c>
      <c r="L320" s="7">
        <v>0</v>
      </c>
      <c r="M320" s="7">
        <v>0</v>
      </c>
      <c r="N320" s="7">
        <v>0</v>
      </c>
      <c r="O320" s="7">
        <v>0</v>
      </c>
      <c r="P320" s="7">
        <v>0</v>
      </c>
      <c r="Q320" s="7">
        <v>0</v>
      </c>
      <c r="R320" s="7">
        <v>0</v>
      </c>
      <c r="S320" s="7">
        <v>0</v>
      </c>
    </row>
    <row r="321">
      <c r="A321" s="16" t="s">
        <v>333</v>
      </c>
      <c r="B321" s="2" t="s">
        <v>322</v>
      </c>
      <c r="C321" s="7">
        <v>93</v>
      </c>
      <c r="D321" s="7">
        <v>408</v>
      </c>
      <c r="E321" s="7">
        <v>88</v>
      </c>
      <c r="F321" s="7">
        <v>50</v>
      </c>
      <c r="G321" s="7">
        <v>55</v>
      </c>
      <c r="H321" s="7">
        <v>30</v>
      </c>
      <c r="I321" s="7">
        <v>15</v>
      </c>
      <c r="J321" s="7">
        <v>15</v>
      </c>
      <c r="K321" s="7">
        <v>15</v>
      </c>
      <c r="L321" s="7">
        <v>15</v>
      </c>
      <c r="M321" s="7">
        <v>0</v>
      </c>
      <c r="N321" s="7">
        <v>0</v>
      </c>
      <c r="O321" s="7">
        <v>0</v>
      </c>
      <c r="P321" s="7">
        <v>0</v>
      </c>
      <c r="Q321" s="7">
        <v>0</v>
      </c>
      <c r="R321" s="7">
        <v>0</v>
      </c>
      <c r="S321" s="7">
        <v>0</v>
      </c>
    </row>
    <row r="322">
      <c r="A322" s="16" t="s">
        <v>136</v>
      </c>
      <c r="B322" s="2" t="s">
        <v>322</v>
      </c>
      <c r="C322" s="7">
        <v>125</v>
      </c>
      <c r="D322" s="7">
        <v>200</v>
      </c>
      <c r="E322" s="7">
        <v>240</v>
      </c>
      <c r="F322" s="7">
        <v>190</v>
      </c>
      <c r="G322" s="7">
        <v>130</v>
      </c>
      <c r="H322" s="7">
        <v>114</v>
      </c>
      <c r="I322" s="7">
        <v>316</v>
      </c>
      <c r="J322" s="7">
        <v>226</v>
      </c>
      <c r="K322" s="7">
        <v>256</v>
      </c>
      <c r="L322" s="7">
        <v>226</v>
      </c>
      <c r="M322" s="7">
        <v>299</v>
      </c>
      <c r="N322" s="7">
        <v>281</v>
      </c>
      <c r="O322" s="7">
        <v>241</v>
      </c>
      <c r="P322" s="7">
        <v>181</v>
      </c>
      <c r="Q322" s="7">
        <v>167</v>
      </c>
      <c r="R322" s="7">
        <v>193</v>
      </c>
      <c r="S322" s="7">
        <v>133</v>
      </c>
    </row>
    <row r="323">
      <c r="A323" s="16" t="s">
        <v>334</v>
      </c>
      <c r="B323" s="2" t="s">
        <v>322</v>
      </c>
      <c r="C323" s="7">
        <v>392</v>
      </c>
      <c r="D323" s="7">
        <v>422</v>
      </c>
      <c r="E323" s="7">
        <v>337</v>
      </c>
      <c r="F323" s="7">
        <v>155</v>
      </c>
      <c r="G323" s="7">
        <v>200</v>
      </c>
      <c r="H323" s="7">
        <v>225</v>
      </c>
      <c r="I323" s="7">
        <v>194</v>
      </c>
      <c r="J323" s="7">
        <v>244</v>
      </c>
      <c r="K323" s="7">
        <v>234</v>
      </c>
      <c r="L323" s="7">
        <v>217</v>
      </c>
      <c r="M323" s="7">
        <v>205</v>
      </c>
      <c r="N323" s="7">
        <v>173</v>
      </c>
      <c r="O323" s="7">
        <v>227</v>
      </c>
      <c r="P323" s="7">
        <v>64</v>
      </c>
      <c r="Q323" s="7">
        <v>61</v>
      </c>
      <c r="R323" s="7">
        <v>74</v>
      </c>
      <c r="S323" s="7">
        <v>97</v>
      </c>
    </row>
    <row r="324">
      <c r="A324" s="16" t="s">
        <v>335</v>
      </c>
      <c r="B324" s="2" t="s">
        <v>322</v>
      </c>
      <c r="C324" s="7">
        <v>0</v>
      </c>
      <c r="D324" s="7">
        <v>0</v>
      </c>
      <c r="E324" s="7">
        <v>0</v>
      </c>
      <c r="F324" s="7">
        <v>0</v>
      </c>
      <c r="G324" s="7">
        <v>0</v>
      </c>
      <c r="H324" s="7">
        <v>0</v>
      </c>
      <c r="I324" s="7">
        <v>0</v>
      </c>
      <c r="J324" s="7">
        <v>0</v>
      </c>
      <c r="K324" s="7">
        <v>0</v>
      </c>
      <c r="L324" s="7">
        <v>0</v>
      </c>
      <c r="M324" s="7">
        <v>0</v>
      </c>
      <c r="N324" s="7">
        <v>0</v>
      </c>
      <c r="O324" s="7">
        <v>0</v>
      </c>
      <c r="P324" s="7">
        <v>0</v>
      </c>
      <c r="Q324" s="7">
        <v>0</v>
      </c>
      <c r="R324" s="7">
        <v>0</v>
      </c>
      <c r="S324" s="7">
        <v>0</v>
      </c>
    </row>
    <row r="325">
      <c r="A325" s="16" t="s">
        <v>336</v>
      </c>
      <c r="B325" s="2" t="s">
        <v>322</v>
      </c>
      <c r="C325" s="7">
        <v>36</v>
      </c>
      <c r="D325" s="7">
        <v>21</v>
      </c>
      <c r="E325" s="7">
        <v>31</v>
      </c>
      <c r="F325" s="7">
        <v>36</v>
      </c>
      <c r="G325" s="7">
        <v>36</v>
      </c>
      <c r="H325" s="7">
        <v>36</v>
      </c>
      <c r="I325" s="7">
        <v>36</v>
      </c>
      <c r="J325" s="7">
        <v>36</v>
      </c>
      <c r="K325" s="7">
        <v>36</v>
      </c>
      <c r="L325" s="7">
        <v>36</v>
      </c>
      <c r="M325" s="7">
        <v>35</v>
      </c>
      <c r="N325" s="7">
        <v>35</v>
      </c>
      <c r="O325" s="7">
        <v>35</v>
      </c>
      <c r="P325" s="7">
        <v>35</v>
      </c>
      <c r="Q325" s="7">
        <v>35</v>
      </c>
      <c r="R325" s="7">
        <v>35</v>
      </c>
      <c r="S325" s="7">
        <v>35</v>
      </c>
    </row>
    <row r="326">
      <c r="A326" s="16" t="s">
        <v>337</v>
      </c>
      <c r="B326" s="2" t="s">
        <v>322</v>
      </c>
      <c r="C326" s="7">
        <v>48</v>
      </c>
      <c r="D326" s="7">
        <v>13</v>
      </c>
      <c r="E326" s="7">
        <v>18</v>
      </c>
      <c r="F326" s="7">
        <v>18</v>
      </c>
      <c r="G326" s="7">
        <v>13</v>
      </c>
      <c r="H326" s="7">
        <v>18</v>
      </c>
      <c r="I326" s="7">
        <v>13</v>
      </c>
      <c r="J326" s="7">
        <v>28</v>
      </c>
      <c r="K326" s="7">
        <v>28</v>
      </c>
      <c r="L326" s="7">
        <v>41</v>
      </c>
      <c r="M326" s="7">
        <v>9</v>
      </c>
      <c r="N326" s="7">
        <v>21</v>
      </c>
      <c r="O326" s="7">
        <v>14</v>
      </c>
      <c r="P326" s="7">
        <v>10</v>
      </c>
      <c r="Q326" s="7">
        <v>106</v>
      </c>
      <c r="R326" s="7">
        <v>158</v>
      </c>
      <c r="S326" s="7">
        <v>147</v>
      </c>
    </row>
    <row r="327">
      <c r="A327" s="16" t="s">
        <v>338</v>
      </c>
      <c r="B327" s="2" t="s">
        <v>322</v>
      </c>
      <c r="C327" s="7">
        <v>0</v>
      </c>
      <c r="D327" s="7">
        <v>0</v>
      </c>
      <c r="E327" s="7">
        <v>0</v>
      </c>
      <c r="F327" s="7">
        <v>0</v>
      </c>
      <c r="G327" s="7">
        <v>0</v>
      </c>
      <c r="H327" s="7">
        <v>0</v>
      </c>
      <c r="I327" s="7">
        <v>0</v>
      </c>
      <c r="J327" s="7">
        <v>0</v>
      </c>
      <c r="K327" s="7">
        <v>0</v>
      </c>
      <c r="L327" s="7">
        <v>0</v>
      </c>
      <c r="M327" s="7">
        <v>0</v>
      </c>
      <c r="N327" s="7">
        <v>0</v>
      </c>
      <c r="O327" s="7">
        <v>0</v>
      </c>
      <c r="P327" s="7">
        <v>0</v>
      </c>
      <c r="Q327" s="7">
        <v>0</v>
      </c>
      <c r="R327" s="7">
        <v>0</v>
      </c>
      <c r="S327" s="7">
        <v>0</v>
      </c>
    </row>
    <row r="328">
      <c r="A328" s="16" t="s">
        <v>339</v>
      </c>
      <c r="B328" s="2" t="s">
        <v>322</v>
      </c>
      <c r="C328" s="7">
        <v>390</v>
      </c>
      <c r="D328" s="7">
        <v>232</v>
      </c>
      <c r="E328" s="7">
        <v>103</v>
      </c>
      <c r="F328" s="7">
        <v>69</v>
      </c>
      <c r="G328" s="7">
        <v>55</v>
      </c>
      <c r="H328" s="7">
        <v>21</v>
      </c>
      <c r="I328" s="7">
        <v>12</v>
      </c>
      <c r="J328" s="7">
        <v>3</v>
      </c>
      <c r="K328" s="7">
        <v>5</v>
      </c>
      <c r="L328" s="7">
        <v>0</v>
      </c>
      <c r="M328" s="7">
        <v>0</v>
      </c>
      <c r="N328" s="7">
        <v>0</v>
      </c>
      <c r="O328" s="7">
        <v>0</v>
      </c>
      <c r="P328" s="7">
        <v>0</v>
      </c>
      <c r="Q328" s="7">
        <v>0</v>
      </c>
      <c r="R328" s="7">
        <v>0</v>
      </c>
      <c r="S328" s="7">
        <v>0</v>
      </c>
    </row>
    <row r="329">
      <c r="A329" s="16" t="s">
        <v>340</v>
      </c>
      <c r="B329" s="2" t="s">
        <v>322</v>
      </c>
      <c r="C329" s="7">
        <v>470</v>
      </c>
      <c r="D329" s="7">
        <v>90</v>
      </c>
      <c r="E329" s="7">
        <v>165</v>
      </c>
      <c r="F329" s="7">
        <v>95</v>
      </c>
      <c r="G329" s="7">
        <v>100</v>
      </c>
      <c r="H329" s="7">
        <v>100</v>
      </c>
      <c r="I329" s="7">
        <v>500</v>
      </c>
      <c r="J329" s="7">
        <v>400</v>
      </c>
      <c r="K329" s="7">
        <v>400</v>
      </c>
      <c r="L329" s="7">
        <v>800</v>
      </c>
      <c r="M329" s="7">
        <v>800</v>
      </c>
      <c r="N329" s="7">
        <v>800</v>
      </c>
      <c r="O329" s="7">
        <v>600</v>
      </c>
      <c r="P329" s="7">
        <v>500</v>
      </c>
      <c r="Q329" s="7">
        <v>300</v>
      </c>
      <c r="R329" s="7">
        <v>300</v>
      </c>
      <c r="S329" s="7">
        <v>300</v>
      </c>
    </row>
    <row r="330">
      <c r="A330" s="16" t="s">
        <v>341</v>
      </c>
      <c r="B330" s="2" t="s">
        <v>322</v>
      </c>
      <c r="C330" s="7">
        <v>65</v>
      </c>
      <c r="D330" s="7">
        <v>143</v>
      </c>
      <c r="E330" s="7">
        <v>209</v>
      </c>
      <c r="F330" s="7">
        <v>309</v>
      </c>
      <c r="G330" s="7">
        <v>410</v>
      </c>
      <c r="H330" s="7">
        <v>400</v>
      </c>
      <c r="I330" s="7">
        <v>210</v>
      </c>
      <c r="J330" s="7">
        <v>237</v>
      </c>
      <c r="K330" s="7">
        <v>213</v>
      </c>
      <c r="L330" s="7">
        <v>198</v>
      </c>
      <c r="M330" s="7">
        <v>210</v>
      </c>
      <c r="N330" s="7">
        <v>166</v>
      </c>
      <c r="O330" s="7">
        <v>158</v>
      </c>
      <c r="P330" s="7">
        <v>98</v>
      </c>
      <c r="Q330" s="7">
        <v>100</v>
      </c>
      <c r="R330" s="7">
        <v>90</v>
      </c>
      <c r="S330" s="7">
        <v>60</v>
      </c>
    </row>
    <row r="331">
      <c r="A331" s="16" t="s">
        <v>342</v>
      </c>
      <c r="B331" s="2" t="s">
        <v>322</v>
      </c>
      <c r="C331" s="7">
        <v>0</v>
      </c>
      <c r="D331" s="7">
        <v>0</v>
      </c>
      <c r="E331" s="7">
        <v>0</v>
      </c>
      <c r="F331" s="7">
        <v>0</v>
      </c>
      <c r="G331" s="7">
        <v>0</v>
      </c>
      <c r="H331" s="7">
        <v>0</v>
      </c>
      <c r="I331" s="7">
        <v>0</v>
      </c>
      <c r="J331" s="7">
        <v>0</v>
      </c>
      <c r="K331" s="7">
        <v>0</v>
      </c>
      <c r="L331" s="7">
        <v>0</v>
      </c>
      <c r="M331" s="7">
        <v>0</v>
      </c>
      <c r="N331" s="7">
        <v>0</v>
      </c>
      <c r="O331" s="7">
        <v>0</v>
      </c>
      <c r="P331" s="7">
        <v>0</v>
      </c>
      <c r="Q331" s="7">
        <v>0</v>
      </c>
      <c r="R331" s="7">
        <v>0</v>
      </c>
      <c r="S331" s="7">
        <v>0</v>
      </c>
    </row>
    <row r="332">
      <c r="A332" s="16" t="s">
        <v>343</v>
      </c>
      <c r="B332" s="2" t="s">
        <v>322</v>
      </c>
      <c r="C332" s="7">
        <v>22</v>
      </c>
      <c r="D332" s="7">
        <v>12</v>
      </c>
      <c r="E332" s="7">
        <v>7</v>
      </c>
      <c r="F332" s="7">
        <v>7</v>
      </c>
      <c r="G332" s="7">
        <v>0</v>
      </c>
      <c r="H332" s="7">
        <v>0</v>
      </c>
      <c r="I332" s="7">
        <v>0</v>
      </c>
      <c r="J332" s="7">
        <v>0</v>
      </c>
      <c r="K332" s="7">
        <v>0</v>
      </c>
      <c r="L332" s="7">
        <v>0</v>
      </c>
      <c r="M332" s="7">
        <v>0</v>
      </c>
      <c r="N332" s="7">
        <v>0</v>
      </c>
      <c r="O332" s="7">
        <v>0</v>
      </c>
      <c r="P332" s="7">
        <v>0</v>
      </c>
      <c r="Q332" s="7">
        <v>0</v>
      </c>
      <c r="R332" s="7">
        <v>0</v>
      </c>
      <c r="S332" s="7">
        <v>0</v>
      </c>
    </row>
    <row r="333">
      <c r="A333" s="16" t="s">
        <v>344</v>
      </c>
      <c r="B333" s="2" t="s">
        <v>322</v>
      </c>
      <c r="C333" s="7">
        <v>44</v>
      </c>
      <c r="D333" s="7">
        <v>34</v>
      </c>
      <c r="E333" s="7">
        <v>24</v>
      </c>
      <c r="F333" s="7">
        <v>24</v>
      </c>
      <c r="G333" s="7">
        <v>25</v>
      </c>
      <c r="H333" s="7">
        <v>30</v>
      </c>
      <c r="I333" s="7">
        <v>35</v>
      </c>
      <c r="J333" s="7">
        <v>40</v>
      </c>
      <c r="K333" s="7">
        <v>40</v>
      </c>
      <c r="L333" s="7">
        <v>35</v>
      </c>
      <c r="M333" s="7">
        <v>30</v>
      </c>
      <c r="N333" s="7">
        <v>20</v>
      </c>
      <c r="O333" s="7">
        <v>25</v>
      </c>
      <c r="P333" s="7">
        <v>20</v>
      </c>
      <c r="Q333" s="7">
        <v>10</v>
      </c>
      <c r="R333" s="7">
        <v>10</v>
      </c>
      <c r="S333" s="7">
        <v>10</v>
      </c>
    </row>
    <row r="334">
      <c r="A334" s="16" t="s">
        <v>345</v>
      </c>
      <c r="B334" s="2" t="s">
        <v>322</v>
      </c>
      <c r="C334" s="7">
        <v>34</v>
      </c>
      <c r="D334" s="7">
        <v>24</v>
      </c>
      <c r="E334" s="7">
        <v>10</v>
      </c>
      <c r="F334" s="7">
        <v>10</v>
      </c>
      <c r="G334" s="7">
        <v>10</v>
      </c>
      <c r="H334" s="7">
        <v>10</v>
      </c>
      <c r="I334" s="7">
        <v>5</v>
      </c>
      <c r="J334" s="7">
        <v>5</v>
      </c>
      <c r="K334" s="7">
        <v>0</v>
      </c>
      <c r="L334" s="7">
        <v>0</v>
      </c>
      <c r="M334" s="7">
        <v>0</v>
      </c>
      <c r="N334" s="7">
        <v>0</v>
      </c>
      <c r="O334" s="7">
        <v>0</v>
      </c>
      <c r="P334" s="7">
        <v>0</v>
      </c>
      <c r="Q334" s="7">
        <v>0</v>
      </c>
      <c r="R334" s="7">
        <v>0</v>
      </c>
      <c r="S334" s="7">
        <v>0</v>
      </c>
    </row>
    <row r="335">
      <c r="A335" s="16" t="s">
        <v>346</v>
      </c>
      <c r="B335" s="2" t="s">
        <v>322</v>
      </c>
      <c r="C335" s="7">
        <v>23</v>
      </c>
      <c r="D335" s="7">
        <v>15</v>
      </c>
      <c r="E335" s="7">
        <v>15</v>
      </c>
      <c r="F335" s="7">
        <v>5</v>
      </c>
      <c r="G335" s="7">
        <v>5</v>
      </c>
      <c r="H335" s="7">
        <v>0</v>
      </c>
      <c r="I335" s="7">
        <v>0</v>
      </c>
      <c r="J335" s="7">
        <v>0</v>
      </c>
      <c r="K335" s="7">
        <v>0</v>
      </c>
      <c r="L335" s="7">
        <v>0</v>
      </c>
      <c r="M335" s="7">
        <v>0</v>
      </c>
      <c r="N335" s="7">
        <v>0</v>
      </c>
      <c r="O335" s="7">
        <v>0</v>
      </c>
      <c r="P335" s="7">
        <v>0</v>
      </c>
      <c r="Q335" s="7">
        <v>0</v>
      </c>
      <c r="R335" s="7">
        <v>0</v>
      </c>
      <c r="S335" s="7">
        <v>0</v>
      </c>
    </row>
    <row r="336">
      <c r="A336" s="16" t="s">
        <v>347</v>
      </c>
      <c r="B336" s="2" t="s">
        <v>322</v>
      </c>
      <c r="C336" s="7">
        <v>0</v>
      </c>
      <c r="D336" s="7">
        <v>0</v>
      </c>
      <c r="E336" s="7">
        <v>0</v>
      </c>
      <c r="F336" s="7">
        <v>0</v>
      </c>
      <c r="G336" s="7">
        <v>0</v>
      </c>
      <c r="H336" s="7">
        <v>0</v>
      </c>
      <c r="I336" s="7">
        <v>0</v>
      </c>
      <c r="J336" s="7">
        <v>0</v>
      </c>
      <c r="K336" s="7">
        <v>0</v>
      </c>
      <c r="L336" s="7">
        <v>0</v>
      </c>
      <c r="M336" s="7">
        <v>0</v>
      </c>
      <c r="N336" s="7">
        <v>0</v>
      </c>
      <c r="O336" s="7">
        <v>0</v>
      </c>
      <c r="P336" s="7">
        <v>0</v>
      </c>
      <c r="Q336" s="7">
        <v>0</v>
      </c>
      <c r="R336" s="7">
        <v>0</v>
      </c>
      <c r="S336" s="7">
        <v>0</v>
      </c>
    </row>
    <row r="337">
      <c r="A337" s="16" t="s">
        <v>348</v>
      </c>
      <c r="B337" s="2" t="s">
        <v>322</v>
      </c>
      <c r="C337" s="7">
        <v>7</v>
      </c>
      <c r="D337" s="7">
        <v>2</v>
      </c>
      <c r="E337" s="7">
        <v>12</v>
      </c>
      <c r="F337" s="7">
        <v>9</v>
      </c>
      <c r="G337" s="7">
        <v>9</v>
      </c>
      <c r="H337" s="7">
        <v>9</v>
      </c>
      <c r="I337" s="7">
        <v>9</v>
      </c>
      <c r="J337" s="7">
        <v>10</v>
      </c>
      <c r="K337" s="7">
        <v>20</v>
      </c>
      <c r="L337" s="7">
        <v>0</v>
      </c>
      <c r="M337" s="7">
        <v>0</v>
      </c>
      <c r="N337" s="7">
        <v>0</v>
      </c>
      <c r="O337" s="7">
        <v>0</v>
      </c>
      <c r="P337" s="7">
        <v>0</v>
      </c>
      <c r="Q337" s="7">
        <v>0</v>
      </c>
      <c r="R337" s="7">
        <v>0</v>
      </c>
      <c r="S337" s="7">
        <v>0</v>
      </c>
    </row>
    <row r="338">
      <c r="A338" s="16" t="s">
        <v>349</v>
      </c>
      <c r="B338" s="2" t="s">
        <v>322</v>
      </c>
      <c r="C338" s="7">
        <v>0</v>
      </c>
      <c r="D338" s="7">
        <v>0</v>
      </c>
      <c r="E338" s="7">
        <v>0</v>
      </c>
      <c r="F338" s="7">
        <v>0</v>
      </c>
      <c r="G338" s="7">
        <v>0</v>
      </c>
      <c r="H338" s="7">
        <v>0</v>
      </c>
      <c r="I338" s="7">
        <v>0</v>
      </c>
      <c r="J338" s="7">
        <v>0</v>
      </c>
      <c r="K338" s="7">
        <v>0</v>
      </c>
      <c r="L338" s="7">
        <v>0</v>
      </c>
      <c r="M338" s="7">
        <v>0</v>
      </c>
      <c r="N338" s="7">
        <v>0</v>
      </c>
      <c r="O338" s="7">
        <v>0</v>
      </c>
      <c r="P338" s="7">
        <v>0</v>
      </c>
      <c r="Q338" s="7">
        <v>0</v>
      </c>
      <c r="R338" s="7">
        <v>0</v>
      </c>
      <c r="S338" s="7">
        <v>0</v>
      </c>
    </row>
    <row r="339">
      <c r="A339" s="16" t="s">
        <v>350</v>
      </c>
      <c r="B339" s="2" t="s">
        <v>322</v>
      </c>
      <c r="C339" s="7">
        <v>0</v>
      </c>
      <c r="D339" s="7">
        <v>0</v>
      </c>
      <c r="E339" s="7">
        <v>0</v>
      </c>
      <c r="F339" s="7">
        <v>0</v>
      </c>
      <c r="G339" s="7">
        <v>0</v>
      </c>
      <c r="H339" s="7">
        <v>0</v>
      </c>
      <c r="I339" s="7">
        <v>0</v>
      </c>
      <c r="J339" s="7">
        <v>0</v>
      </c>
      <c r="K339" s="7">
        <v>0</v>
      </c>
      <c r="L339" s="7">
        <v>0</v>
      </c>
      <c r="M339" s="7">
        <v>0</v>
      </c>
      <c r="N339" s="7">
        <v>0</v>
      </c>
      <c r="O339" s="7">
        <v>0</v>
      </c>
      <c r="P339" s="7">
        <v>0</v>
      </c>
      <c r="Q339" s="7">
        <v>0</v>
      </c>
      <c r="R339" s="7">
        <v>0</v>
      </c>
      <c r="S339" s="7">
        <v>0</v>
      </c>
    </row>
    <row r="340">
      <c r="A340" s="16" t="s">
        <v>351</v>
      </c>
      <c r="B340" s="2" t="s">
        <v>322</v>
      </c>
      <c r="C340" s="7">
        <v>0</v>
      </c>
      <c r="D340" s="7">
        <v>0</v>
      </c>
      <c r="E340" s="7">
        <v>0</v>
      </c>
      <c r="F340" s="7">
        <v>0</v>
      </c>
      <c r="G340" s="7">
        <v>0</v>
      </c>
      <c r="H340" s="7">
        <v>0</v>
      </c>
      <c r="I340" s="7">
        <v>0</v>
      </c>
      <c r="J340" s="7">
        <v>0</v>
      </c>
      <c r="K340" s="7">
        <v>0</v>
      </c>
      <c r="L340" s="7">
        <v>0</v>
      </c>
      <c r="M340" s="7">
        <v>0</v>
      </c>
      <c r="N340" s="7">
        <v>0</v>
      </c>
      <c r="O340" s="7">
        <v>0</v>
      </c>
      <c r="P340" s="7">
        <v>0</v>
      </c>
      <c r="Q340" s="7">
        <v>0</v>
      </c>
      <c r="R340" s="7">
        <v>0</v>
      </c>
      <c r="S340" s="7">
        <v>0</v>
      </c>
    </row>
    <row r="341">
      <c r="A341" s="16" t="s">
        <v>352</v>
      </c>
      <c r="B341" s="2" t="s">
        <v>322</v>
      </c>
      <c r="C341" s="7">
        <v>35</v>
      </c>
      <c r="D341" s="7">
        <v>19</v>
      </c>
      <c r="E341" s="7">
        <v>4</v>
      </c>
      <c r="F341" s="7">
        <v>4</v>
      </c>
      <c r="G341" s="7">
        <v>0</v>
      </c>
      <c r="H341" s="7">
        <v>0</v>
      </c>
      <c r="I341" s="7">
        <v>0</v>
      </c>
      <c r="J341" s="7">
        <v>0</v>
      </c>
      <c r="K341" s="7">
        <v>0</v>
      </c>
      <c r="L341" s="7">
        <v>0</v>
      </c>
      <c r="M341" s="7">
        <v>0</v>
      </c>
      <c r="N341" s="7">
        <v>0</v>
      </c>
      <c r="O341" s="7">
        <v>0</v>
      </c>
      <c r="P341" s="7">
        <v>0</v>
      </c>
      <c r="Q341" s="7">
        <v>0</v>
      </c>
      <c r="R341" s="7">
        <v>0</v>
      </c>
      <c r="S341" s="7">
        <v>0</v>
      </c>
    </row>
    <row r="342">
      <c r="A342" s="16" t="s">
        <v>353</v>
      </c>
      <c r="B342" s="2" t="s">
        <v>322</v>
      </c>
      <c r="C342" s="7">
        <v>4250</v>
      </c>
      <c r="D342" s="7">
        <v>4580</v>
      </c>
      <c r="E342" s="7">
        <v>5100</v>
      </c>
      <c r="F342" s="7">
        <v>5450</v>
      </c>
      <c r="G342" s="7">
        <v>6025</v>
      </c>
      <c r="H342" s="7">
        <v>6117</v>
      </c>
      <c r="I342" s="7">
        <v>6199</v>
      </c>
      <c r="J342" s="7">
        <v>7190</v>
      </c>
      <c r="K342" s="7">
        <v>6440</v>
      </c>
      <c r="L342" s="7">
        <v>7352</v>
      </c>
      <c r="M342" s="7">
        <v>6402</v>
      </c>
      <c r="N342" s="7">
        <v>6023</v>
      </c>
      <c r="O342" s="7">
        <v>6378</v>
      </c>
      <c r="P342" s="7">
        <v>5700</v>
      </c>
      <c r="Q342" s="7">
        <v>5700</v>
      </c>
      <c r="R342" s="7">
        <v>5700</v>
      </c>
      <c r="S342" s="7">
        <v>5700</v>
      </c>
    </row>
    <row r="343">
      <c r="A343" s="16" t="s">
        <v>354</v>
      </c>
      <c r="B343" s="2" t="s">
        <v>322</v>
      </c>
      <c r="C343" s="7">
        <v>11</v>
      </c>
      <c r="D343" s="7">
        <v>5</v>
      </c>
      <c r="E343" s="7">
        <v>2</v>
      </c>
      <c r="F343" s="7">
        <v>1</v>
      </c>
      <c r="G343" s="7">
        <v>0</v>
      </c>
      <c r="H343" s="7">
        <v>0</v>
      </c>
      <c r="I343" s="7">
        <v>0</v>
      </c>
      <c r="J343" s="7">
        <v>0</v>
      </c>
      <c r="K343" s="7">
        <v>0</v>
      </c>
      <c r="L343" s="7">
        <v>0</v>
      </c>
      <c r="M343" s="7">
        <v>0</v>
      </c>
      <c r="N343" s="7">
        <v>0</v>
      </c>
      <c r="O343" s="7">
        <v>0</v>
      </c>
      <c r="P343" s="7">
        <v>0</v>
      </c>
      <c r="Q343" s="7">
        <v>0</v>
      </c>
      <c r="R343" s="7">
        <v>0</v>
      </c>
      <c r="S343" s="7">
        <v>0</v>
      </c>
    </row>
    <row r="344">
      <c r="A344" s="16" t="s">
        <v>355</v>
      </c>
      <c r="B344" s="2" t="s">
        <v>322</v>
      </c>
      <c r="C344" s="7">
        <v>0</v>
      </c>
      <c r="D344" s="7">
        <v>0</v>
      </c>
      <c r="E344" s="7">
        <v>0</v>
      </c>
      <c r="F344" s="7">
        <v>0</v>
      </c>
      <c r="G344" s="7">
        <v>0</v>
      </c>
      <c r="H344" s="7">
        <v>0</v>
      </c>
      <c r="I344" s="7">
        <v>0</v>
      </c>
      <c r="J344" s="7">
        <v>0</v>
      </c>
      <c r="K344" s="7">
        <v>0</v>
      </c>
      <c r="L344" s="7">
        <v>0</v>
      </c>
      <c r="M344" s="7">
        <v>0</v>
      </c>
      <c r="N344" s="7">
        <v>0</v>
      </c>
      <c r="O344" s="7">
        <v>0</v>
      </c>
      <c r="P344" s="7">
        <v>0</v>
      </c>
      <c r="Q344" s="7">
        <v>0</v>
      </c>
      <c r="R344" s="7">
        <v>0</v>
      </c>
      <c r="S344" s="7">
        <v>0</v>
      </c>
    </row>
    <row r="345">
      <c r="A345" s="16" t="s">
        <v>356</v>
      </c>
      <c r="B345" s="2" t="s">
        <v>322</v>
      </c>
      <c r="C345" s="7">
        <v>0</v>
      </c>
      <c r="D345" s="7">
        <v>0</v>
      </c>
      <c r="E345" s="7">
        <v>0</v>
      </c>
      <c r="F345" s="7">
        <v>0</v>
      </c>
      <c r="G345" s="7">
        <v>0</v>
      </c>
      <c r="H345" s="7">
        <v>0</v>
      </c>
      <c r="I345" s="7">
        <v>0</v>
      </c>
      <c r="J345" s="7">
        <v>0</v>
      </c>
      <c r="K345" s="7">
        <v>0</v>
      </c>
      <c r="L345" s="7">
        <v>0</v>
      </c>
      <c r="M345" s="7">
        <v>0</v>
      </c>
      <c r="N345" s="7">
        <v>0</v>
      </c>
      <c r="O345" s="7">
        <v>0</v>
      </c>
      <c r="P345" s="7">
        <v>0</v>
      </c>
      <c r="Q345" s="7">
        <v>0</v>
      </c>
      <c r="R345" s="7">
        <v>0</v>
      </c>
      <c r="S345" s="7">
        <v>0</v>
      </c>
    </row>
    <row r="346">
      <c r="A346" s="16" t="s">
        <v>357</v>
      </c>
      <c r="B346" s="2" t="s">
        <v>322</v>
      </c>
      <c r="C346" s="7">
        <v>112</v>
      </c>
      <c r="D346" s="7">
        <v>87</v>
      </c>
      <c r="E346" s="7">
        <v>60</v>
      </c>
      <c r="F346" s="7">
        <v>30</v>
      </c>
      <c r="G346" s="7">
        <v>15</v>
      </c>
      <c r="H346" s="7">
        <v>0</v>
      </c>
      <c r="I346" s="7">
        <v>0</v>
      </c>
      <c r="J346" s="7">
        <v>0</v>
      </c>
      <c r="K346" s="7">
        <v>0</v>
      </c>
      <c r="L346" s="7">
        <v>0</v>
      </c>
      <c r="M346" s="7">
        <v>0</v>
      </c>
      <c r="N346" s="7">
        <v>0</v>
      </c>
      <c r="O346" s="7">
        <v>0</v>
      </c>
      <c r="P346" s="7">
        <v>0</v>
      </c>
      <c r="Q346" s="7">
        <v>0</v>
      </c>
      <c r="R346" s="7">
        <v>0</v>
      </c>
      <c r="S346" s="7">
        <v>0</v>
      </c>
    </row>
    <row r="347">
      <c r="A347" s="16" t="s">
        <v>358</v>
      </c>
      <c r="B347" s="2" t="s">
        <v>322</v>
      </c>
      <c r="C347" s="7">
        <v>4</v>
      </c>
      <c r="D347" s="7">
        <v>3</v>
      </c>
      <c r="E347" s="7">
        <v>2</v>
      </c>
      <c r="F347" s="7">
        <v>6</v>
      </c>
      <c r="G347" s="7">
        <v>5</v>
      </c>
      <c r="H347" s="7">
        <v>5</v>
      </c>
      <c r="I347" s="7">
        <v>4</v>
      </c>
      <c r="J347" s="7">
        <v>2</v>
      </c>
      <c r="K347" s="7">
        <v>0</v>
      </c>
      <c r="L347" s="7">
        <v>0</v>
      </c>
      <c r="M347" s="7">
        <v>0</v>
      </c>
      <c r="N347" s="7">
        <v>0</v>
      </c>
      <c r="O347" s="7">
        <v>0</v>
      </c>
      <c r="P347" s="7">
        <v>0</v>
      </c>
      <c r="Q347" s="7">
        <v>0</v>
      </c>
      <c r="R347" s="7">
        <v>0</v>
      </c>
      <c r="S347" s="7">
        <v>0</v>
      </c>
    </row>
    <row r="348">
      <c r="A348" s="16" t="s">
        <v>359</v>
      </c>
      <c r="B348" s="2" t="s">
        <v>322</v>
      </c>
      <c r="C348" s="7">
        <v>25</v>
      </c>
      <c r="D348" s="7">
        <v>25</v>
      </c>
      <c r="E348" s="7">
        <v>25</v>
      </c>
      <c r="F348" s="7">
        <v>15</v>
      </c>
      <c r="G348" s="7">
        <v>15</v>
      </c>
      <c r="H348" s="7">
        <v>15</v>
      </c>
      <c r="I348" s="7">
        <v>0</v>
      </c>
      <c r="J348" s="7">
        <v>0</v>
      </c>
      <c r="K348" s="7">
        <v>0</v>
      </c>
      <c r="L348" s="7">
        <v>0</v>
      </c>
      <c r="M348" s="7">
        <v>0</v>
      </c>
      <c r="N348" s="7">
        <v>0</v>
      </c>
      <c r="O348" s="7">
        <v>0</v>
      </c>
      <c r="P348" s="7">
        <v>0</v>
      </c>
      <c r="Q348" s="7">
        <v>0</v>
      </c>
      <c r="R348" s="7">
        <v>0</v>
      </c>
      <c r="S348" s="7">
        <v>0</v>
      </c>
    </row>
    <row r="349">
      <c r="A349" s="16" t="s">
        <v>360</v>
      </c>
      <c r="B349" s="2" t="s">
        <v>322</v>
      </c>
      <c r="C349" s="7">
        <v>0</v>
      </c>
      <c r="D349" s="7">
        <v>0</v>
      </c>
      <c r="E349" s="7">
        <v>0</v>
      </c>
      <c r="F349" s="7">
        <v>0</v>
      </c>
      <c r="G349" s="7">
        <v>0</v>
      </c>
      <c r="H349" s="7">
        <v>0</v>
      </c>
      <c r="I349" s="7">
        <v>0</v>
      </c>
      <c r="J349" s="7">
        <v>0</v>
      </c>
      <c r="K349" s="7">
        <v>0</v>
      </c>
      <c r="L349" s="7">
        <v>0</v>
      </c>
      <c r="M349" s="7">
        <v>0</v>
      </c>
      <c r="N349" s="7">
        <v>0</v>
      </c>
      <c r="O349" s="7">
        <v>0</v>
      </c>
      <c r="P349" s="7">
        <v>0</v>
      </c>
      <c r="Q349" s="7">
        <v>0</v>
      </c>
      <c r="R349" s="7">
        <v>0</v>
      </c>
      <c r="S349" s="7">
        <v>0</v>
      </c>
    </row>
    <row r="350">
      <c r="A350" s="16" t="s">
        <v>361</v>
      </c>
      <c r="B350" s="2" t="s">
        <v>322</v>
      </c>
      <c r="C350" s="7">
        <v>0</v>
      </c>
      <c r="D350" s="7">
        <v>0</v>
      </c>
      <c r="E350" s="7">
        <v>0</v>
      </c>
      <c r="F350" s="7">
        <v>0</v>
      </c>
      <c r="G350" s="7">
        <v>0</v>
      </c>
      <c r="H350" s="7">
        <v>0</v>
      </c>
      <c r="I350" s="7">
        <v>0</v>
      </c>
      <c r="J350" s="7">
        <v>0</v>
      </c>
      <c r="K350" s="7">
        <v>0</v>
      </c>
      <c r="L350" s="7">
        <v>0</v>
      </c>
      <c r="M350" s="7">
        <v>0</v>
      </c>
      <c r="N350" s="7">
        <v>0</v>
      </c>
      <c r="O350" s="7">
        <v>0</v>
      </c>
      <c r="P350" s="7">
        <v>0</v>
      </c>
      <c r="Q350" s="7">
        <v>0</v>
      </c>
      <c r="R350" s="7">
        <v>0</v>
      </c>
      <c r="S350" s="7">
        <v>0</v>
      </c>
    </row>
    <row r="351">
      <c r="A351" s="16" t="s">
        <v>362</v>
      </c>
      <c r="B351" s="2" t="s">
        <v>322</v>
      </c>
      <c r="C351" s="7">
        <v>0</v>
      </c>
      <c r="D351" s="7">
        <v>0</v>
      </c>
      <c r="E351" s="7">
        <v>0</v>
      </c>
      <c r="F351" s="7">
        <v>0</v>
      </c>
      <c r="G351" s="7">
        <v>0</v>
      </c>
      <c r="H351" s="7">
        <v>0</v>
      </c>
      <c r="I351" s="7">
        <v>0</v>
      </c>
      <c r="J351" s="7">
        <v>0</v>
      </c>
      <c r="K351" s="7">
        <v>0</v>
      </c>
      <c r="L351" s="7">
        <v>0</v>
      </c>
      <c r="M351" s="7">
        <v>0</v>
      </c>
      <c r="N351" s="7">
        <v>0</v>
      </c>
      <c r="O351" s="7">
        <v>0</v>
      </c>
      <c r="P351" s="7">
        <v>0</v>
      </c>
      <c r="Q351" s="7">
        <v>0</v>
      </c>
      <c r="R351" s="7">
        <v>0</v>
      </c>
      <c r="S351" s="7">
        <v>0</v>
      </c>
    </row>
    <row r="352">
      <c r="A352" s="16" t="s">
        <v>363</v>
      </c>
      <c r="B352" s="2" t="s">
        <v>322</v>
      </c>
      <c r="C352" s="7">
        <v>0</v>
      </c>
      <c r="D352" s="7">
        <v>0</v>
      </c>
      <c r="E352" s="7">
        <v>0</v>
      </c>
      <c r="F352" s="7">
        <v>0</v>
      </c>
      <c r="G352" s="7">
        <v>0</v>
      </c>
      <c r="H352" s="7">
        <v>0</v>
      </c>
      <c r="I352" s="7">
        <v>0</v>
      </c>
      <c r="J352" s="7">
        <v>0</v>
      </c>
      <c r="K352" s="7">
        <v>0</v>
      </c>
      <c r="L352" s="7">
        <v>0</v>
      </c>
      <c r="M352" s="7">
        <v>0</v>
      </c>
      <c r="N352" s="7">
        <v>0</v>
      </c>
      <c r="O352" s="7">
        <v>0</v>
      </c>
      <c r="P352" s="7">
        <v>0</v>
      </c>
      <c r="Q352" s="7">
        <v>0</v>
      </c>
      <c r="R352" s="7">
        <v>0</v>
      </c>
      <c r="S352" s="7">
        <v>0</v>
      </c>
    </row>
    <row r="353">
      <c r="A353" s="16" t="s">
        <v>364</v>
      </c>
      <c r="B353" s="2" t="s">
        <v>365</v>
      </c>
      <c r="C353" s="7">
        <v>10850</v>
      </c>
      <c r="D353" s="7">
        <v>12900</v>
      </c>
      <c r="E353" s="7">
        <v>10400</v>
      </c>
      <c r="F353" s="7">
        <v>10845</v>
      </c>
      <c r="G353" s="7">
        <v>12400</v>
      </c>
      <c r="H353" s="7">
        <v>12225</v>
      </c>
      <c r="I353" s="7">
        <v>12100</v>
      </c>
      <c r="J353" s="7">
        <v>13900</v>
      </c>
      <c r="K353" s="7">
        <v>13500</v>
      </c>
      <c r="L353" s="7">
        <v>14332</v>
      </c>
      <c r="M353" s="7">
        <v>15038</v>
      </c>
      <c r="N353" s="7">
        <v>13767</v>
      </c>
      <c r="O353" s="7">
        <v>14000</v>
      </c>
      <c r="P353" s="7">
        <v>9313</v>
      </c>
      <c r="Q353" s="7">
        <v>8626</v>
      </c>
      <c r="R353" s="7">
        <v>8170</v>
      </c>
      <c r="S353" s="7">
        <v>7500</v>
      </c>
    </row>
    <row r="354">
      <c r="A354" s="16" t="s">
        <v>366</v>
      </c>
      <c r="B354" s="2" t="s">
        <v>365</v>
      </c>
      <c r="C354" s="7">
        <v>1950</v>
      </c>
      <c r="D354" s="7">
        <v>2510</v>
      </c>
      <c r="E354" s="7">
        <v>2140</v>
      </c>
      <c r="F354" s="7">
        <v>2980</v>
      </c>
      <c r="G354" s="7">
        <v>3100</v>
      </c>
      <c r="H354" s="7">
        <v>3350</v>
      </c>
      <c r="I354" s="7">
        <v>3485</v>
      </c>
      <c r="J354" s="7">
        <v>3305</v>
      </c>
      <c r="K354" s="7">
        <v>2794</v>
      </c>
      <c r="L354" s="7">
        <v>3217</v>
      </c>
      <c r="M354" s="7">
        <v>2897</v>
      </c>
      <c r="N354" s="7">
        <v>2693</v>
      </c>
      <c r="O354" s="7">
        <v>2898</v>
      </c>
      <c r="P354" s="7">
        <v>2517</v>
      </c>
      <c r="Q354" s="7">
        <v>2426</v>
      </c>
      <c r="R354" s="7">
        <v>2268</v>
      </c>
      <c r="S354" s="7">
        <v>2200</v>
      </c>
    </row>
    <row r="355">
      <c r="A355" s="16" t="s">
        <v>367</v>
      </c>
      <c r="B355" s="2" t="s">
        <v>365</v>
      </c>
      <c r="C355" s="7">
        <v>0</v>
      </c>
      <c r="D355" s="7">
        <v>0</v>
      </c>
      <c r="E355" s="7">
        <v>0</v>
      </c>
      <c r="F355" s="7">
        <v>0</v>
      </c>
      <c r="G355" s="7">
        <v>0</v>
      </c>
      <c r="H355" s="7">
        <v>0</v>
      </c>
      <c r="I355" s="7">
        <v>0</v>
      </c>
      <c r="J355" s="7">
        <v>0</v>
      </c>
      <c r="K355" s="7">
        <v>0</v>
      </c>
      <c r="L355" s="7">
        <v>0</v>
      </c>
      <c r="M355" s="7">
        <v>0</v>
      </c>
      <c r="N355" s="7">
        <v>0</v>
      </c>
      <c r="O355" s="7">
        <v>0</v>
      </c>
      <c r="P355" s="7">
        <v>0</v>
      </c>
      <c r="Q355" s="7">
        <v>0</v>
      </c>
      <c r="R355" s="7">
        <v>0</v>
      </c>
      <c r="S355" s="7">
        <v>0</v>
      </c>
    </row>
    <row r="356">
      <c r="A356" s="16" t="s">
        <v>368</v>
      </c>
      <c r="B356" s="2" t="s">
        <v>365</v>
      </c>
      <c r="C356" s="7">
        <v>0</v>
      </c>
      <c r="D356" s="7">
        <v>0</v>
      </c>
      <c r="E356" s="7">
        <v>0</v>
      </c>
      <c r="F356" s="7">
        <v>0</v>
      </c>
      <c r="G356" s="7">
        <v>0</v>
      </c>
      <c r="H356" s="7">
        <v>0</v>
      </c>
      <c r="I356" s="7">
        <v>0</v>
      </c>
      <c r="J356" s="7">
        <v>0</v>
      </c>
      <c r="K356" s="7">
        <v>0</v>
      </c>
      <c r="L356" s="7">
        <v>0</v>
      </c>
      <c r="M356" s="7">
        <v>0</v>
      </c>
      <c r="N356" s="7">
        <v>0</v>
      </c>
      <c r="O356" s="7">
        <v>0</v>
      </c>
      <c r="P356" s="7">
        <v>0</v>
      </c>
      <c r="Q356" s="7">
        <v>0</v>
      </c>
      <c r="R356" s="7">
        <v>0</v>
      </c>
      <c r="S356" s="7">
        <v>0</v>
      </c>
    </row>
    <row r="357">
      <c r="A357" s="16" t="s">
        <v>369</v>
      </c>
      <c r="B357" s="2" t="s">
        <v>365</v>
      </c>
      <c r="C357" s="7">
        <v>0</v>
      </c>
      <c r="D357" s="7">
        <v>0</v>
      </c>
      <c r="E357" s="7">
        <v>0</v>
      </c>
      <c r="F357" s="7">
        <v>0</v>
      </c>
      <c r="G357" s="7">
        <v>0</v>
      </c>
      <c r="H357" s="7">
        <v>0</v>
      </c>
      <c r="I357" s="7">
        <v>0</v>
      </c>
      <c r="J357" s="7">
        <v>0</v>
      </c>
      <c r="K357" s="7">
        <v>0</v>
      </c>
      <c r="L357" s="7">
        <v>0</v>
      </c>
      <c r="M357" s="7">
        <v>0</v>
      </c>
      <c r="N357" s="7">
        <v>0</v>
      </c>
      <c r="O357" s="7">
        <v>0</v>
      </c>
      <c r="P357" s="7">
        <v>0</v>
      </c>
      <c r="Q357" s="7">
        <v>0</v>
      </c>
      <c r="R357" s="7">
        <v>0</v>
      </c>
      <c r="S357" s="7">
        <v>0</v>
      </c>
    </row>
    <row r="358">
      <c r="A358" s="16" t="s">
        <v>370</v>
      </c>
      <c r="B358" s="2" t="s">
        <v>365</v>
      </c>
      <c r="C358" s="7">
        <v>0</v>
      </c>
      <c r="D358" s="7">
        <v>0</v>
      </c>
      <c r="E358" s="7">
        <v>0</v>
      </c>
      <c r="F358" s="7">
        <v>0</v>
      </c>
      <c r="G358" s="7">
        <v>0</v>
      </c>
      <c r="H358" s="7">
        <v>0</v>
      </c>
      <c r="I358" s="7">
        <v>0</v>
      </c>
      <c r="J358" s="7">
        <v>0</v>
      </c>
      <c r="K358" s="7">
        <v>0</v>
      </c>
      <c r="L358" s="7">
        <v>0</v>
      </c>
      <c r="M358" s="7">
        <v>0</v>
      </c>
      <c r="N358" s="7">
        <v>0</v>
      </c>
      <c r="O358" s="7">
        <v>0</v>
      </c>
      <c r="P358" s="7">
        <v>0</v>
      </c>
      <c r="Q358" s="7">
        <v>0</v>
      </c>
      <c r="R358" s="7">
        <v>0</v>
      </c>
      <c r="S358" s="7">
        <v>0</v>
      </c>
    </row>
    <row r="359">
      <c r="A359" s="16" t="s">
        <v>371</v>
      </c>
      <c r="B359" s="2" t="s">
        <v>365</v>
      </c>
      <c r="C359" s="7">
        <v>0</v>
      </c>
      <c r="D359" s="7">
        <v>0</v>
      </c>
      <c r="E359" s="7">
        <v>0</v>
      </c>
      <c r="F359" s="7">
        <v>0</v>
      </c>
      <c r="G359" s="7">
        <v>0</v>
      </c>
      <c r="H359" s="7">
        <v>0</v>
      </c>
      <c r="I359" s="7">
        <v>0</v>
      </c>
      <c r="J359" s="7">
        <v>0</v>
      </c>
      <c r="K359" s="7">
        <v>0</v>
      </c>
      <c r="L359" s="7">
        <v>0</v>
      </c>
      <c r="M359" s="7">
        <v>0</v>
      </c>
      <c r="N359" s="7">
        <v>0</v>
      </c>
      <c r="O359" s="7">
        <v>0</v>
      </c>
      <c r="P359" s="7">
        <v>0</v>
      </c>
      <c r="Q359" s="7">
        <v>0</v>
      </c>
      <c r="R359" s="7">
        <v>0</v>
      </c>
      <c r="S359" s="7">
        <v>0</v>
      </c>
    </row>
    <row r="360">
      <c r="A360" s="16" t="s">
        <v>372</v>
      </c>
      <c r="B360" s="2" t="s">
        <v>365</v>
      </c>
      <c r="C360" s="7">
        <v>0</v>
      </c>
      <c r="D360" s="7">
        <v>0</v>
      </c>
      <c r="E360" s="7">
        <v>0</v>
      </c>
      <c r="F360" s="7">
        <v>0</v>
      </c>
      <c r="G360" s="7">
        <v>0</v>
      </c>
      <c r="H360" s="7">
        <v>0</v>
      </c>
      <c r="I360" s="7">
        <v>0</v>
      </c>
      <c r="J360" s="7">
        <v>0</v>
      </c>
      <c r="K360" s="7">
        <v>0</v>
      </c>
      <c r="L360" s="7">
        <v>0</v>
      </c>
      <c r="M360" s="7">
        <v>0</v>
      </c>
      <c r="N360" s="7">
        <v>0</v>
      </c>
      <c r="O360" s="7">
        <v>0</v>
      </c>
      <c r="P360" s="7">
        <v>0</v>
      </c>
      <c r="Q360" s="7">
        <v>0</v>
      </c>
      <c r="R360" s="7">
        <v>0</v>
      </c>
      <c r="S360" s="7">
        <v>0</v>
      </c>
    </row>
    <row r="361">
      <c r="A361" s="16" t="s">
        <v>373</v>
      </c>
      <c r="B361" s="2" t="s">
        <v>365</v>
      </c>
      <c r="C361" s="7">
        <v>0</v>
      </c>
      <c r="D361" s="7">
        <v>0</v>
      </c>
      <c r="E361" s="7">
        <v>0</v>
      </c>
      <c r="F361" s="7">
        <v>0</v>
      </c>
      <c r="G361" s="7">
        <v>0</v>
      </c>
      <c r="H361" s="7">
        <v>0</v>
      </c>
      <c r="I361" s="7">
        <v>0</v>
      </c>
      <c r="J361" s="7">
        <v>0</v>
      </c>
      <c r="K361" s="7">
        <v>0</v>
      </c>
      <c r="L361" s="7">
        <v>0</v>
      </c>
      <c r="M361" s="7">
        <v>0</v>
      </c>
      <c r="N361" s="7">
        <v>0</v>
      </c>
      <c r="O361" s="7">
        <v>0</v>
      </c>
      <c r="P361" s="7">
        <v>0</v>
      </c>
      <c r="Q361" s="7">
        <v>0</v>
      </c>
      <c r="R361" s="7">
        <v>0</v>
      </c>
      <c r="S361" s="7">
        <v>0</v>
      </c>
    </row>
    <row r="362">
      <c r="A362" s="16" t="s">
        <v>374</v>
      </c>
      <c r="B362" s="2" t="s">
        <v>365</v>
      </c>
      <c r="C362" s="7">
        <v>0</v>
      </c>
      <c r="D362" s="7">
        <v>0</v>
      </c>
      <c r="E362" s="7">
        <v>0</v>
      </c>
      <c r="F362" s="7">
        <v>0</v>
      </c>
      <c r="G362" s="7">
        <v>0</v>
      </c>
      <c r="H362" s="7">
        <v>0</v>
      </c>
      <c r="I362" s="7">
        <v>0</v>
      </c>
      <c r="J362" s="7">
        <v>0</v>
      </c>
      <c r="K362" s="7">
        <v>0</v>
      </c>
      <c r="L362" s="7">
        <v>0</v>
      </c>
      <c r="M362" s="7">
        <v>0</v>
      </c>
      <c r="N362" s="7">
        <v>0</v>
      </c>
      <c r="O362" s="7">
        <v>0</v>
      </c>
      <c r="P362" s="7">
        <v>0</v>
      </c>
      <c r="Q362" s="7">
        <v>0</v>
      </c>
      <c r="R362" s="7">
        <v>0</v>
      </c>
      <c r="S362" s="7">
        <v>0</v>
      </c>
    </row>
    <row r="363">
      <c r="A363" s="16" t="s">
        <v>375</v>
      </c>
      <c r="B363" s="2" t="s">
        <v>365</v>
      </c>
      <c r="C363" s="7">
        <v>0</v>
      </c>
      <c r="D363" s="7">
        <v>0</v>
      </c>
      <c r="E363" s="7">
        <v>0</v>
      </c>
      <c r="F363" s="7">
        <v>0</v>
      </c>
      <c r="G363" s="7">
        <v>0</v>
      </c>
      <c r="H363" s="7">
        <v>0</v>
      </c>
      <c r="I363" s="7">
        <v>0</v>
      </c>
      <c r="J363" s="7">
        <v>0</v>
      </c>
      <c r="K363" s="7">
        <v>0</v>
      </c>
      <c r="L363" s="7">
        <v>0</v>
      </c>
      <c r="M363" s="7">
        <v>0</v>
      </c>
      <c r="N363" s="7">
        <v>0</v>
      </c>
      <c r="O363" s="7">
        <v>0</v>
      </c>
      <c r="P363" s="7">
        <v>0</v>
      </c>
      <c r="Q363" s="7">
        <v>0</v>
      </c>
      <c r="R363" s="7">
        <v>0</v>
      </c>
      <c r="S363" s="7">
        <v>0</v>
      </c>
    </row>
    <row r="364">
      <c r="A364" s="16" t="s">
        <v>376</v>
      </c>
      <c r="B364" s="2" t="s">
        <v>365</v>
      </c>
      <c r="C364" s="7">
        <v>0</v>
      </c>
      <c r="D364" s="7">
        <v>0</v>
      </c>
      <c r="E364" s="7">
        <v>0</v>
      </c>
      <c r="F364" s="7">
        <v>0</v>
      </c>
      <c r="G364" s="7">
        <v>0</v>
      </c>
      <c r="H364" s="7">
        <v>0</v>
      </c>
      <c r="I364" s="7">
        <v>0</v>
      </c>
      <c r="J364" s="7">
        <v>0</v>
      </c>
      <c r="K364" s="7">
        <v>0</v>
      </c>
      <c r="L364" s="7">
        <v>0</v>
      </c>
      <c r="M364" s="7">
        <v>0</v>
      </c>
      <c r="N364" s="7">
        <v>0</v>
      </c>
      <c r="O364" s="7">
        <v>0</v>
      </c>
      <c r="P364" s="7">
        <v>0</v>
      </c>
      <c r="Q364" s="7">
        <v>0</v>
      </c>
      <c r="R364" s="7">
        <v>0</v>
      </c>
      <c r="S364" s="7">
        <v>0</v>
      </c>
    </row>
    <row r="365">
      <c r="A365" s="16" t="s">
        <v>377</v>
      </c>
      <c r="B365" s="2" t="s">
        <v>365</v>
      </c>
      <c r="C365" s="7">
        <v>0</v>
      </c>
      <c r="D365" s="7">
        <v>0</v>
      </c>
      <c r="E365" s="7">
        <v>0</v>
      </c>
      <c r="F365" s="7">
        <v>0</v>
      </c>
      <c r="G365" s="7">
        <v>0</v>
      </c>
      <c r="H365" s="7">
        <v>0</v>
      </c>
      <c r="I365" s="7">
        <v>0</v>
      </c>
      <c r="J365" s="7">
        <v>0</v>
      </c>
      <c r="K365" s="7">
        <v>0</v>
      </c>
      <c r="L365" s="7">
        <v>0</v>
      </c>
      <c r="M365" s="7">
        <v>0</v>
      </c>
      <c r="N365" s="7">
        <v>0</v>
      </c>
      <c r="O365" s="7">
        <v>0</v>
      </c>
      <c r="P365" s="7">
        <v>0</v>
      </c>
      <c r="Q365" s="7">
        <v>0</v>
      </c>
      <c r="R365" s="7">
        <v>0</v>
      </c>
      <c r="S365" s="7">
        <v>0</v>
      </c>
    </row>
    <row r="366">
      <c r="A366" s="16" t="s">
        <v>378</v>
      </c>
      <c r="B366" s="2" t="s">
        <v>365</v>
      </c>
      <c r="C366" s="7">
        <v>0</v>
      </c>
      <c r="D366" s="7">
        <v>0</v>
      </c>
      <c r="E366" s="7">
        <v>0</v>
      </c>
      <c r="F366" s="7">
        <v>0</v>
      </c>
      <c r="G366" s="7">
        <v>0</v>
      </c>
      <c r="H366" s="7">
        <v>0</v>
      </c>
      <c r="I366" s="7">
        <v>0</v>
      </c>
      <c r="J366" s="7">
        <v>0</v>
      </c>
      <c r="K366" s="7">
        <v>0</v>
      </c>
      <c r="L366" s="7">
        <v>0</v>
      </c>
      <c r="M366" s="7">
        <v>0</v>
      </c>
      <c r="N366" s="7">
        <v>0</v>
      </c>
      <c r="O366" s="7">
        <v>0</v>
      </c>
      <c r="P366" s="7">
        <v>0</v>
      </c>
      <c r="Q366" s="7">
        <v>0</v>
      </c>
      <c r="R366" s="7">
        <v>0</v>
      </c>
      <c r="S366" s="7">
        <v>0</v>
      </c>
    </row>
    <row r="367">
      <c r="A367" s="16" t="s">
        <v>379</v>
      </c>
      <c r="B367" s="2" t="s">
        <v>365</v>
      </c>
      <c r="C367" s="7">
        <v>0</v>
      </c>
      <c r="D367" s="7">
        <v>0</v>
      </c>
      <c r="E367" s="7">
        <v>0</v>
      </c>
      <c r="F367" s="7">
        <v>0</v>
      </c>
      <c r="G367" s="7">
        <v>0</v>
      </c>
      <c r="H367" s="7">
        <v>0</v>
      </c>
      <c r="I367" s="7">
        <v>0</v>
      </c>
      <c r="J367" s="7">
        <v>0</v>
      </c>
      <c r="K367" s="7">
        <v>0</v>
      </c>
      <c r="L367" s="7">
        <v>0</v>
      </c>
      <c r="M367" s="7">
        <v>0</v>
      </c>
      <c r="N367" s="7">
        <v>0</v>
      </c>
      <c r="O367" s="7">
        <v>0</v>
      </c>
      <c r="P367" s="7">
        <v>0</v>
      </c>
      <c r="Q367" s="7">
        <v>0</v>
      </c>
      <c r="R367" s="7">
        <v>0</v>
      </c>
      <c r="S367" s="7">
        <v>0</v>
      </c>
    </row>
    <row r="368">
      <c r="A368" s="16" t="s">
        <v>380</v>
      </c>
      <c r="B368" s="2" t="s">
        <v>365</v>
      </c>
      <c r="C368" s="7">
        <v>0</v>
      </c>
      <c r="D368" s="7">
        <v>0</v>
      </c>
      <c r="E368" s="7">
        <v>0</v>
      </c>
      <c r="F368" s="7">
        <v>0</v>
      </c>
      <c r="G368" s="7">
        <v>0</v>
      </c>
      <c r="H368" s="7">
        <v>0</v>
      </c>
      <c r="I368" s="7">
        <v>0</v>
      </c>
      <c r="J368" s="7">
        <v>0</v>
      </c>
      <c r="K368" s="7">
        <v>0</v>
      </c>
      <c r="L368" s="7">
        <v>0</v>
      </c>
      <c r="M368" s="7">
        <v>0</v>
      </c>
      <c r="N368" s="7">
        <v>0</v>
      </c>
      <c r="O368" s="7">
        <v>0</v>
      </c>
      <c r="P368" s="7">
        <v>0</v>
      </c>
      <c r="Q368" s="7">
        <v>0</v>
      </c>
      <c r="R368" s="7">
        <v>0</v>
      </c>
      <c r="S368" s="7">
        <v>0</v>
      </c>
    </row>
    <row r="369">
      <c r="A369" s="16" t="s">
        <v>381</v>
      </c>
      <c r="B369" s="2" t="s">
        <v>365</v>
      </c>
      <c r="C369" s="7">
        <v>0</v>
      </c>
      <c r="D369" s="7">
        <v>0</v>
      </c>
      <c r="E369" s="7">
        <v>0</v>
      </c>
      <c r="F369" s="7">
        <v>0</v>
      </c>
      <c r="G369" s="7">
        <v>0</v>
      </c>
      <c r="H369" s="7">
        <v>0</v>
      </c>
      <c r="I369" s="7">
        <v>0</v>
      </c>
      <c r="J369" s="7">
        <v>0</v>
      </c>
      <c r="K369" s="7">
        <v>0</v>
      </c>
      <c r="L369" s="7">
        <v>0</v>
      </c>
      <c r="M369" s="7">
        <v>0</v>
      </c>
      <c r="N369" s="7">
        <v>0</v>
      </c>
      <c r="O369" s="7">
        <v>0</v>
      </c>
      <c r="P369" s="7">
        <v>0</v>
      </c>
      <c r="Q369" s="7">
        <v>0</v>
      </c>
      <c r="R369" s="7">
        <v>0</v>
      </c>
      <c r="S369" s="7">
        <v>0</v>
      </c>
    </row>
    <row r="370">
      <c r="A370" s="16" t="s">
        <v>382</v>
      </c>
      <c r="B370" s="2" t="s">
        <v>365</v>
      </c>
      <c r="C370" s="7">
        <v>0</v>
      </c>
      <c r="D370" s="7">
        <v>0</v>
      </c>
      <c r="E370" s="7">
        <v>0</v>
      </c>
      <c r="F370" s="7">
        <v>0</v>
      </c>
      <c r="G370" s="7">
        <v>0</v>
      </c>
      <c r="H370" s="7">
        <v>0</v>
      </c>
      <c r="I370" s="7">
        <v>0</v>
      </c>
      <c r="J370" s="7">
        <v>0</v>
      </c>
      <c r="K370" s="7">
        <v>0</v>
      </c>
      <c r="L370" s="7">
        <v>0</v>
      </c>
      <c r="M370" s="7">
        <v>0</v>
      </c>
      <c r="N370" s="7">
        <v>0</v>
      </c>
      <c r="O370" s="7">
        <v>0</v>
      </c>
      <c r="P370" s="7">
        <v>0</v>
      </c>
      <c r="Q370" s="7">
        <v>0</v>
      </c>
      <c r="R370" s="7">
        <v>0</v>
      </c>
      <c r="S370" s="7">
        <v>0</v>
      </c>
    </row>
    <row r="371">
      <c r="A371" s="16" t="s">
        <v>383</v>
      </c>
      <c r="B371" s="2" t="s">
        <v>365</v>
      </c>
      <c r="C371" s="7">
        <v>0</v>
      </c>
      <c r="D371" s="7">
        <v>0</v>
      </c>
      <c r="E371" s="7">
        <v>0</v>
      </c>
      <c r="F371" s="7">
        <v>0</v>
      </c>
      <c r="G371" s="7">
        <v>0</v>
      </c>
      <c r="H371" s="7">
        <v>0</v>
      </c>
      <c r="I371" s="7">
        <v>0</v>
      </c>
      <c r="J371" s="7">
        <v>0</v>
      </c>
      <c r="K371" s="7">
        <v>0</v>
      </c>
      <c r="L371" s="7">
        <v>0</v>
      </c>
      <c r="M371" s="7">
        <v>0</v>
      </c>
      <c r="N371" s="7">
        <v>0</v>
      </c>
      <c r="O371" s="7">
        <v>0</v>
      </c>
      <c r="P371" s="7">
        <v>0</v>
      </c>
      <c r="Q371" s="7">
        <v>0</v>
      </c>
      <c r="R371" s="7">
        <v>0</v>
      </c>
      <c r="S371" s="7">
        <v>0</v>
      </c>
    </row>
    <row r="372">
      <c r="A372" s="16" t="s">
        <v>384</v>
      </c>
      <c r="B372" s="2" t="s">
        <v>365</v>
      </c>
      <c r="C372" s="7">
        <v>0</v>
      </c>
      <c r="D372" s="7">
        <v>0</v>
      </c>
      <c r="E372" s="7">
        <v>0</v>
      </c>
      <c r="F372" s="7">
        <v>0</v>
      </c>
      <c r="G372" s="7">
        <v>0</v>
      </c>
      <c r="H372" s="7">
        <v>0</v>
      </c>
      <c r="I372" s="7">
        <v>0</v>
      </c>
      <c r="J372" s="7">
        <v>0</v>
      </c>
      <c r="K372" s="7">
        <v>0</v>
      </c>
      <c r="L372" s="7">
        <v>0</v>
      </c>
      <c r="M372" s="7">
        <v>0</v>
      </c>
      <c r="N372" s="7">
        <v>0</v>
      </c>
      <c r="O372" s="7">
        <v>0</v>
      </c>
      <c r="P372" s="7">
        <v>0</v>
      </c>
      <c r="Q372" s="7">
        <v>0</v>
      </c>
      <c r="R372" s="7">
        <v>0</v>
      </c>
      <c r="S372" s="7">
        <v>0</v>
      </c>
    </row>
    <row r="373">
      <c r="A373" s="16" t="s">
        <v>385</v>
      </c>
      <c r="B373" s="2" t="s">
        <v>365</v>
      </c>
      <c r="C373" s="7">
        <v>0</v>
      </c>
      <c r="D373" s="7">
        <v>0</v>
      </c>
      <c r="E373" s="7">
        <v>0</v>
      </c>
      <c r="F373" s="7">
        <v>0</v>
      </c>
      <c r="G373" s="7">
        <v>0</v>
      </c>
      <c r="H373" s="7">
        <v>0</v>
      </c>
      <c r="I373" s="7">
        <v>0</v>
      </c>
      <c r="J373" s="7">
        <v>0</v>
      </c>
      <c r="K373" s="7">
        <v>0</v>
      </c>
      <c r="L373" s="7">
        <v>0</v>
      </c>
      <c r="M373" s="7">
        <v>0</v>
      </c>
      <c r="N373" s="7">
        <v>0</v>
      </c>
      <c r="O373" s="7">
        <v>0</v>
      </c>
      <c r="P373" s="7">
        <v>0</v>
      </c>
      <c r="Q373" s="7">
        <v>0</v>
      </c>
      <c r="R373" s="7">
        <v>0</v>
      </c>
      <c r="S373" s="7">
        <v>0</v>
      </c>
    </row>
    <row r="374">
      <c r="A374" s="16" t="s">
        <v>386</v>
      </c>
      <c r="B374" s="2" t="s">
        <v>365</v>
      </c>
      <c r="C374" s="7">
        <v>0</v>
      </c>
      <c r="D374" s="7">
        <v>0</v>
      </c>
      <c r="E374" s="7">
        <v>0</v>
      </c>
      <c r="F374" s="7">
        <v>0</v>
      </c>
      <c r="G374" s="7">
        <v>0</v>
      </c>
      <c r="H374" s="7">
        <v>0</v>
      </c>
      <c r="I374" s="7">
        <v>0</v>
      </c>
      <c r="J374" s="7">
        <v>0</v>
      </c>
      <c r="K374" s="7">
        <v>0</v>
      </c>
      <c r="L374" s="7">
        <v>0</v>
      </c>
      <c r="M374" s="7">
        <v>0</v>
      </c>
      <c r="N374" s="7">
        <v>0</v>
      </c>
      <c r="O374" s="7">
        <v>0</v>
      </c>
      <c r="P374" s="7">
        <v>0</v>
      </c>
      <c r="Q374" s="7">
        <v>0</v>
      </c>
      <c r="R374" s="7">
        <v>0</v>
      </c>
      <c r="S374" s="7">
        <v>0</v>
      </c>
    </row>
    <row r="375">
      <c r="A375" s="16" t="s">
        <v>387</v>
      </c>
      <c r="B375" s="2" t="s">
        <v>365</v>
      </c>
      <c r="C375" s="7">
        <v>0</v>
      </c>
      <c r="D375" s="7">
        <v>0</v>
      </c>
      <c r="E375" s="7">
        <v>0</v>
      </c>
      <c r="F375" s="7">
        <v>0</v>
      </c>
      <c r="G375" s="7">
        <v>0</v>
      </c>
      <c r="H375" s="7">
        <v>0</v>
      </c>
      <c r="I375" s="7">
        <v>0</v>
      </c>
      <c r="J375" s="7">
        <v>0</v>
      </c>
      <c r="K375" s="7">
        <v>0</v>
      </c>
      <c r="L375" s="7">
        <v>0</v>
      </c>
      <c r="M375" s="7">
        <v>0</v>
      </c>
      <c r="N375" s="7">
        <v>0</v>
      </c>
      <c r="O375" s="7">
        <v>0</v>
      </c>
      <c r="P375" s="7">
        <v>0</v>
      </c>
      <c r="Q375" s="7">
        <v>0</v>
      </c>
      <c r="R375" s="7">
        <v>0</v>
      </c>
      <c r="S375" s="7">
        <v>0</v>
      </c>
    </row>
    <row r="376">
      <c r="A376" s="16" t="s">
        <v>388</v>
      </c>
      <c r="B376" s="2" t="s">
        <v>365</v>
      </c>
      <c r="C376" s="7">
        <v>0</v>
      </c>
      <c r="D376" s="7">
        <v>0</v>
      </c>
      <c r="E376" s="7">
        <v>0</v>
      </c>
      <c r="F376" s="7">
        <v>0</v>
      </c>
      <c r="G376" s="7">
        <v>0</v>
      </c>
      <c r="H376" s="7">
        <v>0</v>
      </c>
      <c r="I376" s="7">
        <v>0</v>
      </c>
      <c r="J376" s="7">
        <v>0</v>
      </c>
      <c r="K376" s="7">
        <v>0</v>
      </c>
      <c r="L376" s="7">
        <v>0</v>
      </c>
      <c r="M376" s="7">
        <v>0</v>
      </c>
      <c r="N376" s="7">
        <v>0</v>
      </c>
      <c r="O376" s="7">
        <v>0</v>
      </c>
      <c r="P376" s="7">
        <v>0</v>
      </c>
      <c r="Q376" s="7">
        <v>0</v>
      </c>
      <c r="R376" s="7">
        <v>0</v>
      </c>
      <c r="S376" s="7">
        <v>0</v>
      </c>
    </row>
    <row r="377">
      <c r="A377" s="16" t="s">
        <v>389</v>
      </c>
      <c r="B377" s="2" t="s">
        <v>365</v>
      </c>
      <c r="C377" s="7">
        <v>0</v>
      </c>
      <c r="D377" s="7">
        <v>0</v>
      </c>
      <c r="E377" s="7">
        <v>0</v>
      </c>
      <c r="F377" s="7">
        <v>0</v>
      </c>
      <c r="G377" s="7">
        <v>0</v>
      </c>
      <c r="H377" s="7">
        <v>0</v>
      </c>
      <c r="I377" s="7">
        <v>0</v>
      </c>
      <c r="J377" s="7">
        <v>0</v>
      </c>
      <c r="K377" s="7">
        <v>0</v>
      </c>
      <c r="L377" s="7">
        <v>0</v>
      </c>
      <c r="M377" s="7">
        <v>0</v>
      </c>
      <c r="N377" s="7">
        <v>0</v>
      </c>
      <c r="O377" s="7">
        <v>0</v>
      </c>
      <c r="P377" s="7">
        <v>0</v>
      </c>
      <c r="Q377" s="7">
        <v>0</v>
      </c>
      <c r="R377" s="7">
        <v>0</v>
      </c>
      <c r="S377" s="7">
        <v>0</v>
      </c>
    </row>
    <row r="378">
      <c r="A378" s="16" t="s">
        <v>390</v>
      </c>
      <c r="B378" s="2" t="s">
        <v>365</v>
      </c>
      <c r="C378" s="7">
        <v>0</v>
      </c>
      <c r="D378" s="7">
        <v>0</v>
      </c>
      <c r="E378" s="7">
        <v>0</v>
      </c>
      <c r="F378" s="7">
        <v>0</v>
      </c>
      <c r="G378" s="7">
        <v>0</v>
      </c>
      <c r="H378" s="7">
        <v>0</v>
      </c>
      <c r="I378" s="7">
        <v>0</v>
      </c>
      <c r="J378" s="7">
        <v>0</v>
      </c>
      <c r="K378" s="7">
        <v>0</v>
      </c>
      <c r="L378" s="7">
        <v>0</v>
      </c>
      <c r="M378" s="7">
        <v>0</v>
      </c>
      <c r="N378" s="7">
        <v>0</v>
      </c>
      <c r="O378" s="7">
        <v>0</v>
      </c>
      <c r="P378" s="7">
        <v>0</v>
      </c>
      <c r="Q378" s="7">
        <v>0</v>
      </c>
      <c r="R378" s="7">
        <v>0</v>
      </c>
      <c r="S378" s="7">
        <v>0</v>
      </c>
    </row>
    <row r="379">
      <c r="A379" s="16" t="s">
        <v>391</v>
      </c>
      <c r="B379" s="2" t="s">
        <v>365</v>
      </c>
      <c r="C379" s="7">
        <v>0</v>
      </c>
      <c r="D379" s="7">
        <v>0</v>
      </c>
      <c r="E379" s="7">
        <v>0</v>
      </c>
      <c r="F379" s="7">
        <v>0</v>
      </c>
      <c r="G379" s="7">
        <v>0</v>
      </c>
      <c r="H379" s="7">
        <v>0</v>
      </c>
      <c r="I379" s="7">
        <v>0</v>
      </c>
      <c r="J379" s="7">
        <v>0</v>
      </c>
      <c r="K379" s="7">
        <v>0</v>
      </c>
      <c r="L379" s="7">
        <v>0</v>
      </c>
      <c r="M379" s="7">
        <v>0</v>
      </c>
      <c r="N379" s="7">
        <v>0</v>
      </c>
      <c r="O379" s="7">
        <v>0</v>
      </c>
      <c r="P379" s="7">
        <v>0</v>
      </c>
      <c r="Q379" s="7">
        <v>0</v>
      </c>
      <c r="R379" s="7">
        <v>0</v>
      </c>
      <c r="S379" s="7">
        <v>0</v>
      </c>
    </row>
    <row r="380">
      <c r="A380" s="16" t="s">
        <v>392</v>
      </c>
      <c r="B380" s="2" t="s">
        <v>365</v>
      </c>
      <c r="C380" s="7">
        <v>0</v>
      </c>
      <c r="D380" s="7">
        <v>0</v>
      </c>
      <c r="E380" s="7">
        <v>0</v>
      </c>
      <c r="F380" s="7">
        <v>0</v>
      </c>
      <c r="G380" s="7">
        <v>0</v>
      </c>
      <c r="H380" s="7">
        <v>0</v>
      </c>
      <c r="I380" s="7">
        <v>0</v>
      </c>
      <c r="J380" s="7">
        <v>0</v>
      </c>
      <c r="K380" s="7">
        <v>0</v>
      </c>
      <c r="L380" s="7">
        <v>0</v>
      </c>
      <c r="M380" s="7">
        <v>0</v>
      </c>
      <c r="N380" s="7">
        <v>0</v>
      </c>
      <c r="O380" s="7">
        <v>0</v>
      </c>
      <c r="P380" s="7">
        <v>0</v>
      </c>
      <c r="Q380" s="7">
        <v>0</v>
      </c>
      <c r="R380" s="7">
        <v>0</v>
      </c>
      <c r="S380" s="7">
        <v>0</v>
      </c>
    </row>
    <row r="381">
      <c r="A381" s="16" t="s">
        <v>393</v>
      </c>
      <c r="B381" s="2" t="s">
        <v>365</v>
      </c>
      <c r="C381" s="7">
        <v>0</v>
      </c>
      <c r="D381" s="7">
        <v>0</v>
      </c>
      <c r="E381" s="7">
        <v>0</v>
      </c>
      <c r="F381" s="7">
        <v>0</v>
      </c>
      <c r="G381" s="7">
        <v>0</v>
      </c>
      <c r="H381" s="7">
        <v>0</v>
      </c>
      <c r="I381" s="7">
        <v>0</v>
      </c>
      <c r="J381" s="7">
        <v>0</v>
      </c>
      <c r="K381" s="7">
        <v>0</v>
      </c>
      <c r="L381" s="7">
        <v>0</v>
      </c>
      <c r="M381" s="7">
        <v>0</v>
      </c>
      <c r="N381" s="7">
        <v>0</v>
      </c>
      <c r="O381" s="7">
        <v>0</v>
      </c>
      <c r="P381" s="7">
        <v>0</v>
      </c>
      <c r="Q381" s="7">
        <v>0</v>
      </c>
      <c r="R381" s="7">
        <v>0</v>
      </c>
      <c r="S381" s="7">
        <v>0</v>
      </c>
    </row>
    <row r="382">
      <c r="A382" s="16" t="s">
        <v>394</v>
      </c>
      <c r="B382" s="2" t="s">
        <v>365</v>
      </c>
      <c r="C382" s="7">
        <v>0</v>
      </c>
      <c r="D382" s="7">
        <v>0</v>
      </c>
      <c r="E382" s="7">
        <v>0</v>
      </c>
      <c r="F382" s="7">
        <v>0</v>
      </c>
      <c r="G382" s="7">
        <v>0</v>
      </c>
      <c r="H382" s="7">
        <v>0</v>
      </c>
      <c r="I382" s="7">
        <v>0</v>
      </c>
      <c r="J382" s="7">
        <v>0</v>
      </c>
      <c r="K382" s="7">
        <v>0</v>
      </c>
      <c r="L382" s="7">
        <v>0</v>
      </c>
      <c r="M382" s="7">
        <v>0</v>
      </c>
      <c r="N382" s="7">
        <v>0</v>
      </c>
      <c r="O382" s="7">
        <v>0</v>
      </c>
      <c r="P382" s="7">
        <v>0</v>
      </c>
      <c r="Q382" s="7">
        <v>0</v>
      </c>
      <c r="R382" s="7">
        <v>0</v>
      </c>
      <c r="S382" s="7">
        <v>0</v>
      </c>
    </row>
    <row r="383">
      <c r="A383" s="16" t="s">
        <v>395</v>
      </c>
      <c r="B383" s="2" t="s">
        <v>365</v>
      </c>
      <c r="C383" s="7">
        <v>0</v>
      </c>
      <c r="D383" s="7">
        <v>0</v>
      </c>
      <c r="E383" s="7">
        <v>0</v>
      </c>
      <c r="F383" s="7">
        <v>0</v>
      </c>
      <c r="G383" s="7">
        <v>0</v>
      </c>
      <c r="H383" s="7">
        <v>0</v>
      </c>
      <c r="I383" s="7">
        <v>0</v>
      </c>
      <c r="J383" s="7">
        <v>0</v>
      </c>
      <c r="K383" s="7">
        <v>0</v>
      </c>
      <c r="L383" s="7">
        <v>0</v>
      </c>
      <c r="M383" s="7">
        <v>0</v>
      </c>
      <c r="N383" s="7">
        <v>0</v>
      </c>
      <c r="O383" s="7">
        <v>0</v>
      </c>
      <c r="P383" s="7">
        <v>0</v>
      </c>
      <c r="Q383" s="7">
        <v>0</v>
      </c>
      <c r="R383" s="7">
        <v>0</v>
      </c>
      <c r="S383" s="7">
        <v>0</v>
      </c>
    </row>
    <row r="384">
      <c r="A384" s="16" t="s">
        <v>396</v>
      </c>
      <c r="B384" s="2" t="s">
        <v>365</v>
      </c>
      <c r="C384" s="7">
        <v>0</v>
      </c>
      <c r="D384" s="7">
        <v>0</v>
      </c>
      <c r="E384" s="7">
        <v>0</v>
      </c>
      <c r="F384" s="7">
        <v>0</v>
      </c>
      <c r="G384" s="7">
        <v>0</v>
      </c>
      <c r="H384" s="7">
        <v>0</v>
      </c>
      <c r="I384" s="7">
        <v>0</v>
      </c>
      <c r="J384" s="7">
        <v>0</v>
      </c>
      <c r="K384" s="7">
        <v>0</v>
      </c>
      <c r="L384" s="7">
        <v>0</v>
      </c>
      <c r="M384" s="7">
        <v>0</v>
      </c>
      <c r="N384" s="7">
        <v>0</v>
      </c>
      <c r="O384" s="7">
        <v>0</v>
      </c>
      <c r="P384" s="7">
        <v>0</v>
      </c>
      <c r="Q384" s="7">
        <v>0</v>
      </c>
      <c r="R384" s="7">
        <v>0</v>
      </c>
      <c r="S384" s="7">
        <v>0</v>
      </c>
    </row>
    <row r="385">
      <c r="A385" s="16" t="s">
        <v>397</v>
      </c>
      <c r="B385" s="2" t="s">
        <v>365</v>
      </c>
      <c r="C385" s="7">
        <v>0</v>
      </c>
      <c r="D385" s="7">
        <v>0</v>
      </c>
      <c r="E385" s="7">
        <v>0</v>
      </c>
      <c r="F385" s="7">
        <v>0</v>
      </c>
      <c r="G385" s="7">
        <v>0</v>
      </c>
      <c r="H385" s="7">
        <v>0</v>
      </c>
      <c r="I385" s="7">
        <v>0</v>
      </c>
      <c r="J385" s="7">
        <v>0</v>
      </c>
      <c r="K385" s="7">
        <v>0</v>
      </c>
      <c r="L385" s="7">
        <v>0</v>
      </c>
      <c r="M385" s="7">
        <v>0</v>
      </c>
      <c r="N385" s="7">
        <v>0</v>
      </c>
      <c r="O385" s="7">
        <v>0</v>
      </c>
      <c r="P385" s="7">
        <v>0</v>
      </c>
      <c r="Q385" s="7">
        <v>0</v>
      </c>
      <c r="R385" s="7">
        <v>0</v>
      </c>
      <c r="S385" s="7">
        <v>0</v>
      </c>
    </row>
    <row r="386">
      <c r="A386" s="16" t="s">
        <v>398</v>
      </c>
      <c r="B386" s="2" t="s">
        <v>365</v>
      </c>
      <c r="C386" s="7">
        <v>0</v>
      </c>
      <c r="D386" s="7">
        <v>0</v>
      </c>
      <c r="E386" s="7">
        <v>0</v>
      </c>
      <c r="F386" s="7">
        <v>0</v>
      </c>
      <c r="G386" s="7">
        <v>0</v>
      </c>
      <c r="H386" s="7">
        <v>0</v>
      </c>
      <c r="I386" s="7">
        <v>0</v>
      </c>
      <c r="J386" s="7">
        <v>0</v>
      </c>
      <c r="K386" s="7">
        <v>0</v>
      </c>
      <c r="L386" s="7">
        <v>0</v>
      </c>
      <c r="M386" s="7">
        <v>0</v>
      </c>
      <c r="N386" s="7">
        <v>0</v>
      </c>
      <c r="O386" s="7">
        <v>0</v>
      </c>
      <c r="P386" s="7">
        <v>0</v>
      </c>
      <c r="Q386" s="7">
        <v>0</v>
      </c>
      <c r="R386" s="7">
        <v>0</v>
      </c>
      <c r="S386" s="7">
        <v>0</v>
      </c>
    </row>
    <row r="387">
      <c r="A387" s="16" t="s">
        <v>399</v>
      </c>
      <c r="B387" s="2" t="s">
        <v>365</v>
      </c>
      <c r="C387" s="7">
        <v>0</v>
      </c>
      <c r="D387" s="7">
        <v>0</v>
      </c>
      <c r="E387" s="7">
        <v>0</v>
      </c>
      <c r="F387" s="7">
        <v>0</v>
      </c>
      <c r="G387" s="7">
        <v>0</v>
      </c>
      <c r="H387" s="7">
        <v>0</v>
      </c>
      <c r="I387" s="7">
        <v>0</v>
      </c>
      <c r="J387" s="7">
        <v>0</v>
      </c>
      <c r="K387" s="7">
        <v>0</v>
      </c>
      <c r="L387" s="7">
        <v>0</v>
      </c>
      <c r="M387" s="7">
        <v>0</v>
      </c>
      <c r="N387" s="7">
        <v>0</v>
      </c>
      <c r="O387" s="7">
        <v>0</v>
      </c>
      <c r="P387" s="7">
        <v>0</v>
      </c>
      <c r="Q387" s="7">
        <v>0</v>
      </c>
      <c r="R387" s="7">
        <v>0</v>
      </c>
      <c r="S387" s="7">
        <v>0</v>
      </c>
    </row>
    <row r="388">
      <c r="A388" s="16" t="s">
        <v>400</v>
      </c>
      <c r="B388" s="2" t="s">
        <v>365</v>
      </c>
      <c r="C388" s="7">
        <v>0</v>
      </c>
      <c r="D388" s="7">
        <v>0</v>
      </c>
      <c r="E388" s="7">
        <v>0</v>
      </c>
      <c r="F388" s="7">
        <v>0</v>
      </c>
      <c r="G388" s="7">
        <v>0</v>
      </c>
      <c r="H388" s="7">
        <v>0</v>
      </c>
      <c r="I388" s="7">
        <v>0</v>
      </c>
      <c r="J388" s="7">
        <v>0</v>
      </c>
      <c r="K388" s="7">
        <v>0</v>
      </c>
      <c r="L388" s="7">
        <v>0</v>
      </c>
      <c r="M388" s="7">
        <v>0</v>
      </c>
      <c r="N388" s="7">
        <v>0</v>
      </c>
      <c r="O388" s="7">
        <v>0</v>
      </c>
      <c r="P388" s="7">
        <v>0</v>
      </c>
      <c r="Q388" s="7">
        <v>0</v>
      </c>
      <c r="R388" s="7">
        <v>0</v>
      </c>
      <c r="S388" s="7">
        <v>0</v>
      </c>
    </row>
    <row r="389">
      <c r="A389" s="16" t="s">
        <v>401</v>
      </c>
      <c r="B389" s="2" t="s">
        <v>365</v>
      </c>
      <c r="C389" s="7">
        <v>0</v>
      </c>
      <c r="D389" s="7">
        <v>0</v>
      </c>
      <c r="E389" s="7">
        <v>0</v>
      </c>
      <c r="F389" s="7">
        <v>0</v>
      </c>
      <c r="G389" s="7">
        <v>0</v>
      </c>
      <c r="H389" s="7">
        <v>0</v>
      </c>
      <c r="I389" s="7">
        <v>0</v>
      </c>
      <c r="J389" s="7">
        <v>0</v>
      </c>
      <c r="K389" s="7">
        <v>0</v>
      </c>
      <c r="L389" s="7">
        <v>0</v>
      </c>
      <c r="M389" s="7">
        <v>0</v>
      </c>
      <c r="N389" s="7">
        <v>0</v>
      </c>
      <c r="O389" s="7">
        <v>0</v>
      </c>
      <c r="P389" s="7">
        <v>0</v>
      </c>
      <c r="Q389" s="7">
        <v>0</v>
      </c>
      <c r="R389" s="7">
        <v>0</v>
      </c>
      <c r="S389" s="7">
        <v>0</v>
      </c>
    </row>
    <row r="390">
      <c r="A390" s="16" t="s">
        <v>402</v>
      </c>
      <c r="B390" s="2" t="s">
        <v>365</v>
      </c>
      <c r="C390" s="7">
        <v>0</v>
      </c>
      <c r="D390" s="7">
        <v>0</v>
      </c>
      <c r="E390" s="7">
        <v>0</v>
      </c>
      <c r="F390" s="7">
        <v>0</v>
      </c>
      <c r="G390" s="7">
        <v>0</v>
      </c>
      <c r="H390" s="7">
        <v>0</v>
      </c>
      <c r="I390" s="7">
        <v>0</v>
      </c>
      <c r="J390" s="7">
        <v>0</v>
      </c>
      <c r="K390" s="7">
        <v>0</v>
      </c>
      <c r="L390" s="7">
        <v>0</v>
      </c>
      <c r="M390" s="7">
        <v>0</v>
      </c>
      <c r="N390" s="7">
        <v>0</v>
      </c>
      <c r="O390" s="7">
        <v>0</v>
      </c>
      <c r="P390" s="7">
        <v>0</v>
      </c>
      <c r="Q390" s="7">
        <v>0</v>
      </c>
      <c r="R390" s="7">
        <v>0</v>
      </c>
      <c r="S390" s="7">
        <v>0</v>
      </c>
    </row>
    <row r="391">
      <c r="A391" s="16" t="s">
        <v>403</v>
      </c>
      <c r="B391" s="2" t="s">
        <v>365</v>
      </c>
      <c r="C391" s="7">
        <v>0</v>
      </c>
      <c r="D391" s="7">
        <v>0</v>
      </c>
      <c r="E391" s="7">
        <v>0</v>
      </c>
      <c r="F391" s="7">
        <v>0</v>
      </c>
      <c r="G391" s="7">
        <v>0</v>
      </c>
      <c r="H391" s="7">
        <v>0</v>
      </c>
      <c r="I391" s="7">
        <v>0</v>
      </c>
      <c r="J391" s="7">
        <v>0</v>
      </c>
      <c r="K391" s="7">
        <v>0</v>
      </c>
      <c r="L391" s="7">
        <v>0</v>
      </c>
      <c r="M391" s="7">
        <v>0</v>
      </c>
      <c r="N391" s="7">
        <v>0</v>
      </c>
      <c r="O391" s="7">
        <v>0</v>
      </c>
      <c r="P391" s="7">
        <v>0</v>
      </c>
      <c r="Q391" s="7">
        <v>0</v>
      </c>
      <c r="R391" s="7">
        <v>0</v>
      </c>
      <c r="S391" s="7">
        <v>0</v>
      </c>
    </row>
    <row r="392">
      <c r="A392" s="16" t="s">
        <v>404</v>
      </c>
      <c r="B392" s="2" t="s">
        <v>365</v>
      </c>
      <c r="C392" s="7">
        <v>0</v>
      </c>
      <c r="D392" s="7">
        <v>0</v>
      </c>
      <c r="E392" s="7">
        <v>0</v>
      </c>
      <c r="F392" s="7">
        <v>0</v>
      </c>
      <c r="G392" s="7">
        <v>0</v>
      </c>
      <c r="H392" s="7">
        <v>0</v>
      </c>
      <c r="I392" s="7">
        <v>0</v>
      </c>
      <c r="J392" s="7">
        <v>0</v>
      </c>
      <c r="K392" s="7">
        <v>0</v>
      </c>
      <c r="L392" s="7">
        <v>0</v>
      </c>
      <c r="M392" s="7">
        <v>0</v>
      </c>
      <c r="N392" s="7">
        <v>0</v>
      </c>
      <c r="O392" s="7">
        <v>0</v>
      </c>
      <c r="P392" s="7">
        <v>0</v>
      </c>
      <c r="Q392" s="7">
        <v>0</v>
      </c>
      <c r="R392" s="7">
        <v>0</v>
      </c>
      <c r="S392" s="7">
        <v>0</v>
      </c>
    </row>
    <row r="393">
      <c r="A393" s="16" t="s">
        <v>405</v>
      </c>
      <c r="B393" s="2" t="s">
        <v>365</v>
      </c>
      <c r="C393" s="7">
        <v>0</v>
      </c>
      <c r="D393" s="7">
        <v>0</v>
      </c>
      <c r="E393" s="7">
        <v>0</v>
      </c>
      <c r="F393" s="7">
        <v>0</v>
      </c>
      <c r="G393" s="7">
        <v>0</v>
      </c>
      <c r="H393" s="7">
        <v>0</v>
      </c>
      <c r="I393" s="7">
        <v>0</v>
      </c>
      <c r="J393" s="7">
        <v>0</v>
      </c>
      <c r="K393" s="7">
        <v>0</v>
      </c>
      <c r="L393" s="7">
        <v>0</v>
      </c>
      <c r="M393" s="7">
        <v>0</v>
      </c>
      <c r="N393" s="7">
        <v>0</v>
      </c>
      <c r="O393" s="7">
        <v>0</v>
      </c>
      <c r="P393" s="7">
        <v>0</v>
      </c>
      <c r="Q393" s="7">
        <v>0</v>
      </c>
      <c r="R393" s="7">
        <v>0</v>
      </c>
      <c r="S393" s="7">
        <v>0</v>
      </c>
    </row>
    <row r="394">
      <c r="A394" s="16" t="s">
        <v>406</v>
      </c>
      <c r="B394" s="2" t="s">
        <v>365</v>
      </c>
      <c r="C394" s="7">
        <v>0</v>
      </c>
      <c r="D394" s="7">
        <v>0</v>
      </c>
      <c r="E394" s="7">
        <v>0</v>
      </c>
      <c r="F394" s="7">
        <v>0</v>
      </c>
      <c r="G394" s="7">
        <v>0</v>
      </c>
      <c r="H394" s="7">
        <v>0</v>
      </c>
      <c r="I394" s="7">
        <v>0</v>
      </c>
      <c r="J394" s="7">
        <v>0</v>
      </c>
      <c r="K394" s="7">
        <v>0</v>
      </c>
      <c r="L394" s="7">
        <v>0</v>
      </c>
      <c r="M394" s="7">
        <v>0</v>
      </c>
      <c r="N394" s="7">
        <v>0</v>
      </c>
      <c r="O394" s="7">
        <v>0</v>
      </c>
      <c r="P394" s="7">
        <v>0</v>
      </c>
      <c r="Q394" s="7">
        <v>0</v>
      </c>
      <c r="R394" s="7">
        <v>0</v>
      </c>
      <c r="S394" s="7">
        <v>0</v>
      </c>
    </row>
    <row r="395">
      <c r="A395" s="16" t="s">
        <v>407</v>
      </c>
      <c r="B395" s="2" t="s">
        <v>365</v>
      </c>
      <c r="C395" s="7">
        <v>0</v>
      </c>
      <c r="D395" s="7">
        <v>0</v>
      </c>
      <c r="E395" s="7">
        <v>0</v>
      </c>
      <c r="F395" s="7">
        <v>0</v>
      </c>
      <c r="G395" s="7">
        <v>0</v>
      </c>
      <c r="H395" s="7">
        <v>0</v>
      </c>
      <c r="I395" s="7">
        <v>0</v>
      </c>
      <c r="J395" s="7">
        <v>0</v>
      </c>
      <c r="K395" s="7">
        <v>0</v>
      </c>
      <c r="L395" s="7">
        <v>0</v>
      </c>
      <c r="M395" s="7">
        <v>0</v>
      </c>
      <c r="N395" s="7">
        <v>0</v>
      </c>
      <c r="O395" s="7">
        <v>0</v>
      </c>
      <c r="P395" s="7">
        <v>0</v>
      </c>
      <c r="Q395" s="7">
        <v>0</v>
      </c>
      <c r="R395" s="7">
        <v>0</v>
      </c>
      <c r="S395" s="7">
        <v>0</v>
      </c>
    </row>
    <row r="396">
      <c r="A396" s="16" t="s">
        <v>408</v>
      </c>
      <c r="B396" s="2" t="s">
        <v>365</v>
      </c>
      <c r="C396" s="7">
        <v>0</v>
      </c>
      <c r="D396" s="7">
        <v>0</v>
      </c>
      <c r="E396" s="7">
        <v>0</v>
      </c>
      <c r="F396" s="7">
        <v>0</v>
      </c>
      <c r="G396" s="7">
        <v>0</v>
      </c>
      <c r="H396" s="7">
        <v>0</v>
      </c>
      <c r="I396" s="7">
        <v>0</v>
      </c>
      <c r="J396" s="7">
        <v>0</v>
      </c>
      <c r="K396" s="7">
        <v>0</v>
      </c>
      <c r="L396" s="7">
        <v>0</v>
      </c>
      <c r="M396" s="7">
        <v>0</v>
      </c>
      <c r="N396" s="7">
        <v>0</v>
      </c>
      <c r="O396" s="7">
        <v>0</v>
      </c>
      <c r="P396" s="7">
        <v>0</v>
      </c>
      <c r="Q396" s="7">
        <v>0</v>
      </c>
      <c r="R396" s="7">
        <v>0</v>
      </c>
      <c r="S396" s="7">
        <v>0</v>
      </c>
    </row>
    <row r="397">
      <c r="A397" s="16" t="s">
        <v>409</v>
      </c>
      <c r="B397" s="2" t="s">
        <v>365</v>
      </c>
      <c r="C397" s="7">
        <v>0</v>
      </c>
      <c r="D397" s="7">
        <v>0</v>
      </c>
      <c r="E397" s="7">
        <v>0</v>
      </c>
      <c r="F397" s="7">
        <v>0</v>
      </c>
      <c r="G397" s="7">
        <v>0</v>
      </c>
      <c r="H397" s="7">
        <v>0</v>
      </c>
      <c r="I397" s="7">
        <v>0</v>
      </c>
      <c r="J397" s="7">
        <v>0</v>
      </c>
      <c r="K397" s="7">
        <v>0</v>
      </c>
      <c r="L397" s="7">
        <v>0</v>
      </c>
      <c r="M397" s="7">
        <v>0</v>
      </c>
      <c r="N397" s="7">
        <v>0</v>
      </c>
      <c r="O397" s="7">
        <v>0</v>
      </c>
      <c r="P397" s="7">
        <v>0</v>
      </c>
      <c r="Q397" s="7">
        <v>0</v>
      </c>
      <c r="R397" s="7">
        <v>0</v>
      </c>
      <c r="S397" s="7">
        <v>0</v>
      </c>
    </row>
    <row r="398">
      <c r="A398" s="16" t="s">
        <v>410</v>
      </c>
      <c r="B398" s="2" t="s">
        <v>365</v>
      </c>
      <c r="C398" s="7">
        <v>0</v>
      </c>
      <c r="D398" s="7">
        <v>0</v>
      </c>
      <c r="E398" s="7">
        <v>0</v>
      </c>
      <c r="F398" s="7">
        <v>0</v>
      </c>
      <c r="G398" s="7">
        <v>0</v>
      </c>
      <c r="H398" s="7">
        <v>0</v>
      </c>
      <c r="I398" s="7">
        <v>0</v>
      </c>
      <c r="J398" s="7">
        <v>0</v>
      </c>
      <c r="K398" s="7">
        <v>0</v>
      </c>
      <c r="L398" s="7">
        <v>0</v>
      </c>
      <c r="M398" s="7">
        <v>0</v>
      </c>
      <c r="N398" s="7">
        <v>0</v>
      </c>
      <c r="O398" s="7">
        <v>0</v>
      </c>
      <c r="P398" s="7">
        <v>0</v>
      </c>
      <c r="Q398" s="7">
        <v>0</v>
      </c>
      <c r="R398" s="7">
        <v>0</v>
      </c>
      <c r="S398" s="7">
        <v>0</v>
      </c>
    </row>
    <row r="399">
      <c r="A399" s="17" t="s">
        <v>411</v>
      </c>
      <c r="C399" s="19">
        <f>SUM(C306:C352)</f>
        <v>16045</v>
      </c>
      <c r="D399" s="19">
        <f>SUM(D306:D352)</f>
        <v>13230</v>
      </c>
      <c r="E399" s="19">
        <f>SUM(E306:E352)</f>
        <v>13208</v>
      </c>
      <c r="F399" s="19">
        <f>SUM(F306:F352)</f>
        <v>21540</v>
      </c>
      <c r="G399" s="19">
        <f>SUM(G306:G352)</f>
        <v>25684</v>
      </c>
      <c r="H399" s="19">
        <f>SUM(H306:H352)</f>
        <v>27557</v>
      </c>
      <c r="I399" s="19">
        <f>SUM(I306:I352)</f>
        <v>19366</v>
      </c>
      <c r="J399" s="19">
        <f>SUM(J306:J352)</f>
        <v>19248</v>
      </c>
      <c r="K399" s="19">
        <f>SUM(K306:K352)</f>
        <v>15657</v>
      </c>
      <c r="L399" s="19">
        <f>SUM(L306:L352)</f>
        <v>19397</v>
      </c>
      <c r="M399" s="19">
        <f>SUM(M306:M352)</f>
        <v>17873</v>
      </c>
      <c r="N399" s="19">
        <f>SUM(N306:N352)</f>
        <v>21034</v>
      </c>
      <c r="O399" s="19">
        <f>SUM(O306:O352)</f>
        <v>15042</v>
      </c>
      <c r="P399" s="19">
        <f>SUM(P306:P352)</f>
        <v>15104</v>
      </c>
      <c r="Q399" s="19">
        <f>SUM(Q306:Q352)</f>
        <v>12069</v>
      </c>
      <c r="R399" s="19">
        <f>SUM(R306:R352)</f>
        <v>11572</v>
      </c>
      <c r="S399" s="19">
        <f>SUM(S306:S352)</f>
        <v>14670</v>
      </c>
    </row>
    <row r="400">
      <c r="A400" s="17" t="s">
        <v>412</v>
      </c>
      <c r="C400" s="19">
        <f>SUM(C353:C398)</f>
        <v>12800</v>
      </c>
      <c r="D400" s="19">
        <f>SUM(D353:D398)</f>
        <v>15410</v>
      </c>
      <c r="E400" s="19">
        <f>SUM(E353:E398)</f>
        <v>12540</v>
      </c>
      <c r="F400" s="19">
        <f>SUM(F353:F398)</f>
        <v>13825</v>
      </c>
      <c r="G400" s="19">
        <f>SUM(G353:G398)</f>
        <v>15500</v>
      </c>
      <c r="H400" s="19">
        <f>SUM(H353:H398)</f>
        <v>15575</v>
      </c>
      <c r="I400" s="19">
        <f>SUM(I353:I398)</f>
        <v>15585</v>
      </c>
      <c r="J400" s="19">
        <f>SUM(J353:J398)</f>
        <v>17205</v>
      </c>
      <c r="K400" s="19">
        <f>SUM(K353:K398)</f>
        <v>16294</v>
      </c>
      <c r="L400" s="19">
        <f>SUM(L353:L398)</f>
        <v>17549</v>
      </c>
      <c r="M400" s="19">
        <f>SUM(M353:M398)</f>
        <v>17935</v>
      </c>
      <c r="N400" s="19">
        <f>SUM(N353:N398)</f>
        <v>16460</v>
      </c>
      <c r="O400" s="19">
        <f>SUM(O353:O398)</f>
        <v>16898</v>
      </c>
      <c r="P400" s="19">
        <f>SUM(P353:P398)</f>
        <v>11830</v>
      </c>
      <c r="Q400" s="19">
        <f>SUM(Q353:Q398)</f>
        <v>11052</v>
      </c>
      <c r="R400" s="19">
        <f>SUM(R353:R398)</f>
        <v>10438</v>
      </c>
      <c r="S400" s="19">
        <f>SUM(S353:S398)</f>
        <v>9700</v>
      </c>
    </row>
    <row r="401">
      <c r="A401" s="17" t="s">
        <v>112</v>
      </c>
      <c r="C401" s="20">
        <f>C399+C400</f>
        <v>28845</v>
      </c>
      <c r="D401" s="20">
        <f>D399+D400</f>
        <v>28640</v>
      </c>
      <c r="E401" s="20">
        <f>E399+E400</f>
        <v>25748</v>
      </c>
      <c r="F401" s="20">
        <f>F399+F400</f>
        <v>35365</v>
      </c>
      <c r="G401" s="20">
        <f>G399+G400</f>
        <v>41184</v>
      </c>
      <c r="H401" s="20">
        <f>H399+H400</f>
        <v>43132</v>
      </c>
      <c r="I401" s="20">
        <f>I399+I400</f>
        <v>34951</v>
      </c>
      <c r="J401" s="20">
        <f>J399+J400</f>
        <v>36453</v>
      </c>
      <c r="K401" s="20">
        <f>K399+K400</f>
        <v>31951</v>
      </c>
      <c r="L401" s="20">
        <f>L399+L400</f>
        <v>36946</v>
      </c>
      <c r="M401" s="20">
        <f>M399+M400</f>
        <v>35808</v>
      </c>
      <c r="N401" s="20">
        <f>N399+N400</f>
        <v>37494</v>
      </c>
      <c r="O401" s="20">
        <f>O399+O400</f>
        <v>31940</v>
      </c>
      <c r="P401" s="20">
        <f>P399+P400</f>
        <v>26934</v>
      </c>
      <c r="Q401" s="20">
        <f>Q399+Q400</f>
        <v>23121</v>
      </c>
      <c r="R401" s="20">
        <f>R399+R400</f>
        <v>22010</v>
      </c>
      <c r="S401" s="20">
        <f>S399+S400</f>
        <v>24370</v>
      </c>
    </row>
    <row r="405">
      <c r="A405" s="4" t="s">
        <v>416</v>
      </c>
      <c r="B405" s="3" t="s">
        <v>320</v>
      </c>
      <c r="C405" s="3" t="s">
        <v>35</v>
      </c>
      <c r="D405" s="3" t="s">
        <v>36</v>
      </c>
      <c r="E405" s="3" t="s">
        <v>37</v>
      </c>
      <c r="F405" s="3" t="s">
        <v>38</v>
      </c>
      <c r="G405" s="3" t="s">
        <v>39</v>
      </c>
      <c r="H405" s="3" t="s">
        <v>40</v>
      </c>
      <c r="I405" s="3" t="s">
        <v>41</v>
      </c>
      <c r="J405" s="3" t="s">
        <v>42</v>
      </c>
      <c r="K405" s="3" t="s">
        <v>43</v>
      </c>
      <c r="L405" s="3" t="s">
        <v>44</v>
      </c>
      <c r="M405" s="3" t="s">
        <v>45</v>
      </c>
      <c r="N405" s="3" t="s">
        <v>46</v>
      </c>
      <c r="O405" s="3" t="s">
        <v>47</v>
      </c>
      <c r="P405" s="3" t="s">
        <v>48</v>
      </c>
      <c r="Q405" s="3" t="s">
        <v>49</v>
      </c>
      <c r="R405" s="3" t="s">
        <v>50</v>
      </c>
      <c r="S405" s="3" t="s">
        <v>110</v>
      </c>
    </row>
    <row r="406">
      <c r="A406" s="16" t="s">
        <v>321</v>
      </c>
      <c r="B406" s="2" t="s">
        <v>322</v>
      </c>
      <c r="C406" s="7">
        <v>0</v>
      </c>
      <c r="D406" s="7">
        <v>0</v>
      </c>
      <c r="E406" s="7">
        <v>0</v>
      </c>
      <c r="F406" s="7">
        <v>34</v>
      </c>
      <c r="G406" s="7">
        <v>52</v>
      </c>
      <c r="H406" s="7">
        <v>65</v>
      </c>
      <c r="I406" s="7">
        <v>62</v>
      </c>
      <c r="J406" s="7">
        <v>61</v>
      </c>
      <c r="K406" s="7">
        <v>67</v>
      </c>
      <c r="L406" s="7">
        <v>67</v>
      </c>
      <c r="M406" s="7">
        <v>72</v>
      </c>
      <c r="N406" s="7">
        <v>75</v>
      </c>
      <c r="O406" s="7">
        <v>75</v>
      </c>
      <c r="P406" s="7">
        <v>75</v>
      </c>
      <c r="Q406" s="7">
        <v>90</v>
      </c>
      <c r="R406" s="7">
        <v>90</v>
      </c>
      <c r="S406" s="7">
        <v>90</v>
      </c>
    </row>
    <row r="407">
      <c r="A407" s="16" t="s">
        <v>125</v>
      </c>
      <c r="B407" s="2" t="s">
        <v>322</v>
      </c>
      <c r="C407" s="7">
        <v>350</v>
      </c>
      <c r="D407" s="7">
        <v>450</v>
      </c>
      <c r="E407" s="7">
        <v>824</v>
      </c>
      <c r="F407" s="7">
        <v>648</v>
      </c>
      <c r="G407" s="7">
        <v>590</v>
      </c>
      <c r="H407" s="7">
        <v>630</v>
      </c>
      <c r="I407" s="7">
        <v>1000</v>
      </c>
      <c r="J407" s="7">
        <v>1060</v>
      </c>
      <c r="K407" s="7">
        <v>1160</v>
      </c>
      <c r="L407" s="7">
        <v>700</v>
      </c>
      <c r="M407" s="7">
        <v>550</v>
      </c>
      <c r="N407" s="7">
        <v>550</v>
      </c>
      <c r="O407" s="7">
        <v>499</v>
      </c>
      <c r="P407" s="7">
        <v>800</v>
      </c>
      <c r="Q407" s="7">
        <v>1200</v>
      </c>
      <c r="R407" s="7">
        <v>1300</v>
      </c>
      <c r="S407" s="7">
        <v>1250</v>
      </c>
    </row>
    <row r="408">
      <c r="A408" s="16" t="s">
        <v>323</v>
      </c>
      <c r="B408" s="2" t="s">
        <v>322</v>
      </c>
      <c r="C408" s="7">
        <v>795</v>
      </c>
      <c r="D408" s="7">
        <v>1115</v>
      </c>
      <c r="E408" s="7">
        <v>650</v>
      </c>
      <c r="F408" s="7">
        <v>455</v>
      </c>
      <c r="G408" s="7">
        <v>230</v>
      </c>
      <c r="H408" s="7">
        <v>265</v>
      </c>
      <c r="I408" s="7">
        <v>360</v>
      </c>
      <c r="J408" s="7">
        <v>775</v>
      </c>
      <c r="K408" s="7">
        <v>1111</v>
      </c>
      <c r="L408" s="7">
        <v>980</v>
      </c>
      <c r="M408" s="7">
        <v>1818</v>
      </c>
      <c r="N408" s="7">
        <v>2235</v>
      </c>
      <c r="O408" s="7">
        <v>2185</v>
      </c>
      <c r="P408" s="7">
        <v>1018</v>
      </c>
      <c r="Q408" s="7">
        <v>980</v>
      </c>
      <c r="R408" s="7">
        <v>2454</v>
      </c>
      <c r="S408" s="7">
        <v>2004</v>
      </c>
    </row>
    <row r="409">
      <c r="A409" s="16" t="s">
        <v>324</v>
      </c>
      <c r="B409" s="2" t="s">
        <v>322</v>
      </c>
      <c r="C409" s="7">
        <v>0</v>
      </c>
      <c r="D409" s="7">
        <v>0</v>
      </c>
      <c r="E409" s="7">
        <v>0</v>
      </c>
      <c r="F409" s="7">
        <v>0</v>
      </c>
      <c r="G409" s="7">
        <v>0</v>
      </c>
      <c r="H409" s="7">
        <v>0</v>
      </c>
      <c r="I409" s="7">
        <v>0</v>
      </c>
      <c r="J409" s="7">
        <v>0</v>
      </c>
      <c r="K409" s="7">
        <v>0</v>
      </c>
      <c r="L409" s="7">
        <v>0</v>
      </c>
      <c r="M409" s="7">
        <v>0</v>
      </c>
      <c r="N409" s="7">
        <v>0</v>
      </c>
      <c r="O409" s="7">
        <v>0</v>
      </c>
      <c r="P409" s="7">
        <v>0</v>
      </c>
      <c r="Q409" s="7">
        <v>0</v>
      </c>
      <c r="R409" s="7">
        <v>0</v>
      </c>
      <c r="S409" s="7">
        <v>0</v>
      </c>
    </row>
    <row r="410">
      <c r="A410" s="16" t="s">
        <v>325</v>
      </c>
      <c r="B410" s="2" t="s">
        <v>322</v>
      </c>
      <c r="C410" s="7">
        <v>535</v>
      </c>
      <c r="D410" s="7">
        <v>1305</v>
      </c>
      <c r="E410" s="7">
        <v>1250</v>
      </c>
      <c r="F410" s="7">
        <v>970</v>
      </c>
      <c r="G410" s="7">
        <v>1155</v>
      </c>
      <c r="H410" s="7">
        <v>964</v>
      </c>
      <c r="I410" s="7">
        <v>743</v>
      </c>
      <c r="J410" s="7">
        <v>1751</v>
      </c>
      <c r="K410" s="7">
        <v>1676</v>
      </c>
      <c r="L410" s="7">
        <v>1231</v>
      </c>
      <c r="M410" s="7">
        <v>993</v>
      </c>
      <c r="N410" s="7">
        <v>985</v>
      </c>
      <c r="O410" s="7">
        <v>1347</v>
      </c>
      <c r="P410" s="7">
        <v>1960</v>
      </c>
      <c r="Q410" s="7">
        <v>1600</v>
      </c>
      <c r="R410" s="7">
        <v>1411</v>
      </c>
      <c r="S410" s="7">
        <v>1420</v>
      </c>
    </row>
    <row r="411">
      <c r="A411" s="16" t="s">
        <v>326</v>
      </c>
      <c r="B411" s="2" t="s">
        <v>322</v>
      </c>
      <c r="C411" s="7">
        <v>0</v>
      </c>
      <c r="D411" s="7">
        <v>0</v>
      </c>
      <c r="E411" s="7">
        <v>0</v>
      </c>
      <c r="F411" s="7">
        <v>0</v>
      </c>
      <c r="G411" s="7">
        <v>0</v>
      </c>
      <c r="H411" s="7">
        <v>0</v>
      </c>
      <c r="I411" s="7">
        <v>0</v>
      </c>
      <c r="J411" s="7">
        <v>0</v>
      </c>
      <c r="K411" s="7">
        <v>0</v>
      </c>
      <c r="L411" s="7">
        <v>0</v>
      </c>
      <c r="M411" s="7">
        <v>0</v>
      </c>
      <c r="N411" s="7">
        <v>0</v>
      </c>
      <c r="O411" s="7">
        <v>0</v>
      </c>
      <c r="P411" s="7">
        <v>0</v>
      </c>
      <c r="Q411" s="7">
        <v>0</v>
      </c>
      <c r="R411" s="7">
        <v>0</v>
      </c>
      <c r="S411" s="7">
        <v>0</v>
      </c>
    </row>
    <row r="412">
      <c r="A412" s="16" t="s">
        <v>327</v>
      </c>
      <c r="B412" s="2" t="s">
        <v>322</v>
      </c>
      <c r="C412" s="7">
        <v>820</v>
      </c>
      <c r="D412" s="7">
        <v>892</v>
      </c>
      <c r="E412" s="7">
        <v>1164</v>
      </c>
      <c r="F412" s="7">
        <v>1152</v>
      </c>
      <c r="G412" s="7">
        <v>1205</v>
      </c>
      <c r="H412" s="7">
        <v>1202</v>
      </c>
      <c r="I412" s="7">
        <v>1386</v>
      </c>
      <c r="J412" s="7">
        <v>1472</v>
      </c>
      <c r="K412" s="7">
        <v>1386</v>
      </c>
      <c r="L412" s="7">
        <v>1430</v>
      </c>
      <c r="M412" s="7">
        <v>1345</v>
      </c>
      <c r="N412" s="7">
        <v>1690</v>
      </c>
      <c r="O412" s="7">
        <v>1760</v>
      </c>
      <c r="P412" s="7">
        <v>1363</v>
      </c>
      <c r="Q412" s="7">
        <v>1337</v>
      </c>
      <c r="R412" s="7">
        <v>1333</v>
      </c>
      <c r="S412" s="7">
        <v>1390</v>
      </c>
    </row>
    <row r="413">
      <c r="A413" s="16" t="s">
        <v>130</v>
      </c>
      <c r="B413" s="2" t="s">
        <v>322</v>
      </c>
      <c r="C413" s="7">
        <v>23</v>
      </c>
      <c r="D413" s="7">
        <v>15</v>
      </c>
      <c r="E413" s="7">
        <v>15</v>
      </c>
      <c r="F413" s="7">
        <v>15</v>
      </c>
      <c r="G413" s="7">
        <v>20</v>
      </c>
      <c r="H413" s="7">
        <v>20</v>
      </c>
      <c r="I413" s="7">
        <v>25</v>
      </c>
      <c r="J413" s="7">
        <v>25</v>
      </c>
      <c r="K413" s="7">
        <v>12</v>
      </c>
      <c r="L413" s="7">
        <v>28</v>
      </c>
      <c r="M413" s="7">
        <v>24</v>
      </c>
      <c r="N413" s="7">
        <v>21</v>
      </c>
      <c r="O413" s="7">
        <v>22</v>
      </c>
      <c r="P413" s="7">
        <v>39</v>
      </c>
      <c r="Q413" s="7">
        <v>130</v>
      </c>
      <c r="R413" s="7">
        <v>137</v>
      </c>
      <c r="S413" s="7">
        <v>160</v>
      </c>
    </row>
    <row r="414">
      <c r="A414" s="16" t="s">
        <v>328</v>
      </c>
      <c r="B414" s="2" t="s">
        <v>322</v>
      </c>
      <c r="C414" s="7">
        <v>0</v>
      </c>
      <c r="D414" s="7">
        <v>0</v>
      </c>
      <c r="E414" s="7">
        <v>0</v>
      </c>
      <c r="F414" s="7">
        <v>0</v>
      </c>
      <c r="G414" s="7">
        <v>0</v>
      </c>
      <c r="H414" s="7">
        <v>0</v>
      </c>
      <c r="I414" s="7">
        <v>0</v>
      </c>
      <c r="J414" s="7">
        <v>0</v>
      </c>
      <c r="K414" s="7">
        <v>0</v>
      </c>
      <c r="L414" s="7">
        <v>119</v>
      </c>
      <c r="M414" s="7">
        <v>138</v>
      </c>
      <c r="N414" s="7">
        <v>120</v>
      </c>
      <c r="O414" s="7">
        <v>90</v>
      </c>
      <c r="P414" s="7">
        <v>306</v>
      </c>
      <c r="Q414" s="7">
        <v>75</v>
      </c>
      <c r="R414" s="7">
        <v>80</v>
      </c>
      <c r="S414" s="7">
        <v>84</v>
      </c>
    </row>
    <row r="415">
      <c r="A415" s="16" t="s">
        <v>329</v>
      </c>
      <c r="B415" s="2" t="s">
        <v>322</v>
      </c>
      <c r="C415" s="7">
        <v>1145</v>
      </c>
      <c r="D415" s="7">
        <v>1325</v>
      </c>
      <c r="E415" s="7">
        <v>1135</v>
      </c>
      <c r="F415" s="7">
        <v>1614</v>
      </c>
      <c r="G415" s="7">
        <v>1675</v>
      </c>
      <c r="H415" s="7">
        <v>2450</v>
      </c>
      <c r="I415" s="7">
        <v>1565</v>
      </c>
      <c r="J415" s="7">
        <v>1545</v>
      </c>
      <c r="K415" s="7">
        <v>1768</v>
      </c>
      <c r="L415" s="7">
        <v>1980</v>
      </c>
      <c r="M415" s="7">
        <v>1984</v>
      </c>
      <c r="N415" s="7">
        <v>2125</v>
      </c>
      <c r="O415" s="7">
        <v>2035</v>
      </c>
      <c r="P415" s="7">
        <v>1880</v>
      </c>
      <c r="Q415" s="7">
        <v>2640</v>
      </c>
      <c r="R415" s="7">
        <v>2530</v>
      </c>
      <c r="S415" s="7">
        <v>2500</v>
      </c>
    </row>
    <row r="416">
      <c r="A416" s="16" t="s">
        <v>134</v>
      </c>
      <c r="B416" s="2" t="s">
        <v>322</v>
      </c>
      <c r="C416" s="7">
        <v>200</v>
      </c>
      <c r="D416" s="7">
        <v>180</v>
      </c>
      <c r="E416" s="7">
        <v>185</v>
      </c>
      <c r="F416" s="7">
        <v>215</v>
      </c>
      <c r="G416" s="7">
        <v>185</v>
      </c>
      <c r="H416" s="7">
        <v>190</v>
      </c>
      <c r="I416" s="7">
        <v>225</v>
      </c>
      <c r="J416" s="7">
        <v>240</v>
      </c>
      <c r="K416" s="7">
        <v>249</v>
      </c>
      <c r="L416" s="7">
        <v>304</v>
      </c>
      <c r="M416" s="7">
        <v>361</v>
      </c>
      <c r="N416" s="7">
        <v>349</v>
      </c>
      <c r="O416" s="7">
        <v>350</v>
      </c>
      <c r="P416" s="7">
        <v>445</v>
      </c>
      <c r="Q416" s="7">
        <v>571</v>
      </c>
      <c r="R416" s="7">
        <v>705</v>
      </c>
      <c r="S416" s="7">
        <v>845</v>
      </c>
    </row>
    <row r="417">
      <c r="A417" s="16" t="s">
        <v>135</v>
      </c>
      <c r="B417" s="2" t="s">
        <v>322</v>
      </c>
      <c r="C417" s="7">
        <v>50</v>
      </c>
      <c r="D417" s="7">
        <v>35</v>
      </c>
      <c r="E417" s="7">
        <v>30</v>
      </c>
      <c r="F417" s="7">
        <v>25</v>
      </c>
      <c r="G417" s="7">
        <v>30</v>
      </c>
      <c r="H417" s="7">
        <v>30</v>
      </c>
      <c r="I417" s="7">
        <v>40</v>
      </c>
      <c r="J417" s="7">
        <v>25</v>
      </c>
      <c r="K417" s="7">
        <v>25</v>
      </c>
      <c r="L417" s="7">
        <v>25</v>
      </c>
      <c r="M417" s="7">
        <v>25</v>
      </c>
      <c r="N417" s="7">
        <v>25</v>
      </c>
      <c r="O417" s="7">
        <v>25</v>
      </c>
      <c r="P417" s="7">
        <v>0</v>
      </c>
      <c r="Q417" s="7">
        <v>0</v>
      </c>
      <c r="R417" s="7">
        <v>0</v>
      </c>
      <c r="S417" s="7">
        <v>0</v>
      </c>
    </row>
    <row r="418">
      <c r="A418" s="16" t="s">
        <v>330</v>
      </c>
      <c r="B418" s="2" t="s">
        <v>322</v>
      </c>
      <c r="C418" s="7">
        <v>987</v>
      </c>
      <c r="D418" s="7">
        <v>1095</v>
      </c>
      <c r="E418" s="7">
        <v>1629</v>
      </c>
      <c r="F418" s="7">
        <v>1803</v>
      </c>
      <c r="G418" s="7">
        <v>1901</v>
      </c>
      <c r="H418" s="7">
        <v>2950</v>
      </c>
      <c r="I418" s="7">
        <v>2547</v>
      </c>
      <c r="J418" s="7">
        <v>2620</v>
      </c>
      <c r="K418" s="7">
        <v>2630</v>
      </c>
      <c r="L418" s="7">
        <v>2935</v>
      </c>
      <c r="M418" s="7">
        <v>3810</v>
      </c>
      <c r="N418" s="7">
        <v>4180</v>
      </c>
      <c r="O418" s="7">
        <v>4230</v>
      </c>
      <c r="P418" s="7">
        <v>5485</v>
      </c>
      <c r="Q418" s="7">
        <v>5295</v>
      </c>
      <c r="R418" s="7">
        <v>5750</v>
      </c>
      <c r="S418" s="7">
        <v>6050</v>
      </c>
    </row>
    <row r="419">
      <c r="A419" s="16" t="s">
        <v>331</v>
      </c>
      <c r="B419" s="2" t="s">
        <v>322</v>
      </c>
      <c r="C419" s="7">
        <v>0</v>
      </c>
      <c r="D419" s="7">
        <v>0</v>
      </c>
      <c r="E419" s="7">
        <v>0</v>
      </c>
      <c r="F419" s="7">
        <v>0</v>
      </c>
      <c r="G419" s="7">
        <v>0</v>
      </c>
      <c r="H419" s="7">
        <v>0</v>
      </c>
      <c r="I419" s="7">
        <v>0</v>
      </c>
      <c r="J419" s="7">
        <v>0</v>
      </c>
      <c r="K419" s="7">
        <v>0</v>
      </c>
      <c r="L419" s="7">
        <v>0</v>
      </c>
      <c r="M419" s="7">
        <v>6</v>
      </c>
      <c r="N419" s="7">
        <v>9</v>
      </c>
      <c r="O419" s="7">
        <v>6</v>
      </c>
      <c r="P419" s="7">
        <v>6</v>
      </c>
      <c r="Q419" s="7">
        <v>6</v>
      </c>
      <c r="R419" s="7">
        <v>6</v>
      </c>
      <c r="S419" s="7">
        <v>6</v>
      </c>
    </row>
    <row r="420">
      <c r="A420" s="16" t="s">
        <v>332</v>
      </c>
      <c r="B420" s="2" t="s">
        <v>322</v>
      </c>
      <c r="C420" s="7">
        <v>1030</v>
      </c>
      <c r="D420" s="7">
        <v>1125</v>
      </c>
      <c r="E420" s="7">
        <v>1375</v>
      </c>
      <c r="F420" s="7">
        <v>1270</v>
      </c>
      <c r="G420" s="7">
        <v>1340</v>
      </c>
      <c r="H420" s="7">
        <v>1440</v>
      </c>
      <c r="I420" s="7">
        <v>1510</v>
      </c>
      <c r="J420" s="7">
        <v>1575</v>
      </c>
      <c r="K420" s="7">
        <v>1875</v>
      </c>
      <c r="L420" s="7">
        <v>1735</v>
      </c>
      <c r="M420" s="7">
        <v>1580</v>
      </c>
      <c r="N420" s="7">
        <v>1725</v>
      </c>
      <c r="O420" s="7">
        <v>1175</v>
      </c>
      <c r="P420" s="7">
        <v>1370</v>
      </c>
      <c r="Q420" s="7">
        <v>1470</v>
      </c>
      <c r="R420" s="7">
        <v>1500</v>
      </c>
      <c r="S420" s="7">
        <v>1600</v>
      </c>
    </row>
    <row r="421">
      <c r="A421" s="16" t="s">
        <v>333</v>
      </c>
      <c r="B421" s="2" t="s">
        <v>322</v>
      </c>
      <c r="C421" s="7">
        <v>0</v>
      </c>
      <c r="D421" s="7">
        <v>0</v>
      </c>
      <c r="E421" s="7">
        <v>0</v>
      </c>
      <c r="F421" s="7">
        <v>0</v>
      </c>
      <c r="G421" s="7">
        <v>0</v>
      </c>
      <c r="H421" s="7">
        <v>0</v>
      </c>
      <c r="I421" s="7">
        <v>0</v>
      </c>
      <c r="J421" s="7">
        <v>0</v>
      </c>
      <c r="K421" s="7">
        <v>0</v>
      </c>
      <c r="L421" s="7">
        <v>0</v>
      </c>
      <c r="M421" s="7">
        <v>0</v>
      </c>
      <c r="N421" s="7">
        <v>0</v>
      </c>
      <c r="O421" s="7">
        <v>0</v>
      </c>
      <c r="P421" s="7">
        <v>0</v>
      </c>
      <c r="Q421" s="7">
        <v>0</v>
      </c>
      <c r="R421" s="7">
        <v>0</v>
      </c>
      <c r="S421" s="7">
        <v>0</v>
      </c>
    </row>
    <row r="422">
      <c r="A422" s="16" t="s">
        <v>136</v>
      </c>
      <c r="B422" s="2" t="s">
        <v>322</v>
      </c>
      <c r="C422" s="7">
        <v>197</v>
      </c>
      <c r="D422" s="7">
        <v>89</v>
      </c>
      <c r="E422" s="7">
        <v>55</v>
      </c>
      <c r="F422" s="7">
        <v>210</v>
      </c>
      <c r="G422" s="7">
        <v>161</v>
      </c>
      <c r="H422" s="7">
        <v>182</v>
      </c>
      <c r="I422" s="7">
        <v>120</v>
      </c>
      <c r="J422" s="7">
        <v>92</v>
      </c>
      <c r="K422" s="7">
        <v>230</v>
      </c>
      <c r="L422" s="7">
        <v>210</v>
      </c>
      <c r="M422" s="7">
        <v>160</v>
      </c>
      <c r="N422" s="7">
        <v>205</v>
      </c>
      <c r="O422" s="7">
        <v>230</v>
      </c>
      <c r="P422" s="7">
        <v>150</v>
      </c>
      <c r="Q422" s="7">
        <v>128</v>
      </c>
      <c r="R422" s="7">
        <v>120</v>
      </c>
      <c r="S422" s="7">
        <v>115</v>
      </c>
    </row>
    <row r="423">
      <c r="A423" s="16" t="s">
        <v>334</v>
      </c>
      <c r="B423" s="2" t="s">
        <v>322</v>
      </c>
      <c r="C423" s="7">
        <v>20</v>
      </c>
      <c r="D423" s="7">
        <v>25</v>
      </c>
      <c r="E423" s="7">
        <v>20</v>
      </c>
      <c r="F423" s="7">
        <v>25</v>
      </c>
      <c r="G423" s="7">
        <v>6</v>
      </c>
      <c r="H423" s="7">
        <v>7</v>
      </c>
      <c r="I423" s="7">
        <v>11</v>
      </c>
      <c r="J423" s="7">
        <v>9</v>
      </c>
      <c r="K423" s="7">
        <v>15</v>
      </c>
      <c r="L423" s="7">
        <v>11</v>
      </c>
      <c r="M423" s="7">
        <v>11</v>
      </c>
      <c r="N423" s="7">
        <v>13</v>
      </c>
      <c r="O423" s="7">
        <v>15</v>
      </c>
      <c r="P423" s="7">
        <v>72</v>
      </c>
      <c r="Q423" s="7">
        <v>73</v>
      </c>
      <c r="R423" s="7">
        <v>75</v>
      </c>
      <c r="S423" s="7">
        <v>75</v>
      </c>
    </row>
    <row r="424">
      <c r="A424" s="16" t="s">
        <v>335</v>
      </c>
      <c r="B424" s="2" t="s">
        <v>322</v>
      </c>
      <c r="C424" s="7">
        <v>1005</v>
      </c>
      <c r="D424" s="7">
        <v>705</v>
      </c>
      <c r="E424" s="7">
        <v>1210</v>
      </c>
      <c r="F424" s="7">
        <v>1615</v>
      </c>
      <c r="G424" s="7">
        <v>1520</v>
      </c>
      <c r="H424" s="7">
        <v>815</v>
      </c>
      <c r="I424" s="7">
        <v>580</v>
      </c>
      <c r="J424" s="7">
        <v>585</v>
      </c>
      <c r="K424" s="7">
        <v>850</v>
      </c>
      <c r="L424" s="7">
        <v>1005</v>
      </c>
      <c r="M424" s="7">
        <v>935</v>
      </c>
      <c r="N424" s="7">
        <v>1065</v>
      </c>
      <c r="O424" s="7">
        <v>930</v>
      </c>
      <c r="P424" s="7">
        <v>1225</v>
      </c>
      <c r="Q424" s="7">
        <v>680</v>
      </c>
      <c r="R424" s="7">
        <v>525</v>
      </c>
      <c r="S424" s="7">
        <v>825</v>
      </c>
    </row>
    <row r="425">
      <c r="A425" s="16" t="s">
        <v>336</v>
      </c>
      <c r="B425" s="2" t="s">
        <v>322</v>
      </c>
      <c r="C425" s="7">
        <v>0</v>
      </c>
      <c r="D425" s="7">
        <v>0</v>
      </c>
      <c r="E425" s="7">
        <v>0</v>
      </c>
      <c r="F425" s="7">
        <v>0</v>
      </c>
      <c r="G425" s="7">
        <v>0</v>
      </c>
      <c r="H425" s="7">
        <v>0</v>
      </c>
      <c r="I425" s="7">
        <v>0</v>
      </c>
      <c r="J425" s="7">
        <v>0</v>
      </c>
      <c r="K425" s="7">
        <v>0</v>
      </c>
      <c r="L425" s="7">
        <v>0</v>
      </c>
      <c r="M425" s="7">
        <v>0</v>
      </c>
      <c r="N425" s="7">
        <v>0</v>
      </c>
      <c r="O425" s="7">
        <v>0</v>
      </c>
      <c r="P425" s="7">
        <v>0</v>
      </c>
      <c r="Q425" s="7">
        <v>0</v>
      </c>
      <c r="R425" s="7">
        <v>0</v>
      </c>
      <c r="S425" s="7">
        <v>0</v>
      </c>
    </row>
    <row r="426">
      <c r="A426" s="16" t="s">
        <v>337</v>
      </c>
      <c r="B426" s="2" t="s">
        <v>322</v>
      </c>
      <c r="C426" s="7">
        <v>204</v>
      </c>
      <c r="D426" s="7">
        <v>181</v>
      </c>
      <c r="E426" s="7">
        <v>170</v>
      </c>
      <c r="F426" s="7">
        <v>200</v>
      </c>
      <c r="G426" s="7">
        <v>180</v>
      </c>
      <c r="H426" s="7">
        <v>200</v>
      </c>
      <c r="I426" s="7">
        <v>200</v>
      </c>
      <c r="J426" s="7">
        <v>215</v>
      </c>
      <c r="K426" s="7">
        <v>226</v>
      </c>
      <c r="L426" s="7">
        <v>283</v>
      </c>
      <c r="M426" s="7">
        <v>235</v>
      </c>
      <c r="N426" s="7">
        <v>221</v>
      </c>
      <c r="O426" s="7">
        <v>240</v>
      </c>
      <c r="P426" s="7">
        <v>259</v>
      </c>
      <c r="Q426" s="7">
        <v>264</v>
      </c>
      <c r="R426" s="7">
        <v>270</v>
      </c>
      <c r="S426" s="7">
        <v>272</v>
      </c>
    </row>
    <row r="427">
      <c r="A427" s="16" t="s">
        <v>338</v>
      </c>
      <c r="B427" s="2" t="s">
        <v>322</v>
      </c>
      <c r="C427" s="7">
        <v>0</v>
      </c>
      <c r="D427" s="7">
        <v>0</v>
      </c>
      <c r="E427" s="7">
        <v>0</v>
      </c>
      <c r="F427" s="7">
        <v>0</v>
      </c>
      <c r="G427" s="7">
        <v>0</v>
      </c>
      <c r="H427" s="7">
        <v>0</v>
      </c>
      <c r="I427" s="7">
        <v>0</v>
      </c>
      <c r="J427" s="7">
        <v>0</v>
      </c>
      <c r="K427" s="7">
        <v>0</v>
      </c>
      <c r="L427" s="7">
        <v>0</v>
      </c>
      <c r="M427" s="7">
        <v>0</v>
      </c>
      <c r="N427" s="7">
        <v>0</v>
      </c>
      <c r="O427" s="7">
        <v>0</v>
      </c>
      <c r="P427" s="7">
        <v>0</v>
      </c>
      <c r="Q427" s="7">
        <v>0</v>
      </c>
      <c r="R427" s="7">
        <v>0</v>
      </c>
      <c r="S427" s="7">
        <v>0</v>
      </c>
    </row>
    <row r="428">
      <c r="A428" s="16" t="s">
        <v>339</v>
      </c>
      <c r="B428" s="2" t="s">
        <v>322</v>
      </c>
      <c r="C428" s="7">
        <v>622</v>
      </c>
      <c r="D428" s="7">
        <v>576</v>
      </c>
      <c r="E428" s="7">
        <v>606</v>
      </c>
      <c r="F428" s="7">
        <v>506</v>
      </c>
      <c r="G428" s="7">
        <v>687</v>
      </c>
      <c r="H428" s="7">
        <v>672</v>
      </c>
      <c r="I428" s="7">
        <v>602</v>
      </c>
      <c r="J428" s="7">
        <v>652</v>
      </c>
      <c r="K428" s="7">
        <v>650</v>
      </c>
      <c r="L428" s="7">
        <v>0</v>
      </c>
      <c r="M428" s="7">
        <v>0</v>
      </c>
      <c r="N428" s="7">
        <v>0</v>
      </c>
      <c r="O428" s="7">
        <v>0</v>
      </c>
      <c r="P428" s="7">
        <v>0</v>
      </c>
      <c r="Q428" s="7">
        <v>0</v>
      </c>
      <c r="R428" s="7">
        <v>0</v>
      </c>
      <c r="S428" s="7">
        <v>0</v>
      </c>
    </row>
    <row r="429">
      <c r="A429" s="16" t="s">
        <v>340</v>
      </c>
      <c r="B429" s="2" t="s">
        <v>322</v>
      </c>
      <c r="C429" s="7">
        <v>1985</v>
      </c>
      <c r="D429" s="7">
        <v>3280</v>
      </c>
      <c r="E429" s="7">
        <v>3880</v>
      </c>
      <c r="F429" s="7">
        <v>3145</v>
      </c>
      <c r="G429" s="7">
        <v>3755</v>
      </c>
      <c r="H429" s="7">
        <v>6185</v>
      </c>
      <c r="I429" s="7">
        <v>6420</v>
      </c>
      <c r="J429" s="7">
        <v>6100</v>
      </c>
      <c r="K429" s="7">
        <v>6100</v>
      </c>
      <c r="L429" s="7">
        <v>5670</v>
      </c>
      <c r="M429" s="7">
        <v>6160</v>
      </c>
      <c r="N429" s="7">
        <v>6540</v>
      </c>
      <c r="O429" s="7">
        <v>5890</v>
      </c>
      <c r="P429" s="7">
        <v>5940</v>
      </c>
      <c r="Q429" s="7">
        <v>5740</v>
      </c>
      <c r="R429" s="7">
        <v>6075</v>
      </c>
      <c r="S429" s="7">
        <v>6250</v>
      </c>
    </row>
    <row r="430">
      <c r="A430" s="16" t="s">
        <v>341</v>
      </c>
      <c r="B430" s="2" t="s">
        <v>322</v>
      </c>
      <c r="C430" s="7">
        <v>883</v>
      </c>
      <c r="D430" s="7">
        <v>1225</v>
      </c>
      <c r="E430" s="7">
        <v>1420</v>
      </c>
      <c r="F430" s="7">
        <v>1125</v>
      </c>
      <c r="G430" s="7">
        <v>890</v>
      </c>
      <c r="H430" s="7">
        <v>695</v>
      </c>
      <c r="I430" s="7">
        <v>648</v>
      </c>
      <c r="J430" s="7">
        <v>708</v>
      </c>
      <c r="K430" s="7">
        <v>456</v>
      </c>
      <c r="L430" s="7">
        <v>441</v>
      </c>
      <c r="M430" s="7">
        <v>440</v>
      </c>
      <c r="N430" s="7">
        <v>420</v>
      </c>
      <c r="O430" s="7">
        <v>440</v>
      </c>
      <c r="P430" s="7">
        <v>425</v>
      </c>
      <c r="Q430" s="7">
        <v>425</v>
      </c>
      <c r="R430" s="7">
        <v>425</v>
      </c>
      <c r="S430" s="7">
        <v>425</v>
      </c>
    </row>
    <row r="431">
      <c r="A431" s="16" t="s">
        <v>342</v>
      </c>
      <c r="B431" s="2" t="s">
        <v>322</v>
      </c>
      <c r="C431" s="7">
        <v>0</v>
      </c>
      <c r="D431" s="7">
        <v>0</v>
      </c>
      <c r="E431" s="7">
        <v>0</v>
      </c>
      <c r="F431" s="7">
        <v>0</v>
      </c>
      <c r="G431" s="7">
        <v>0</v>
      </c>
      <c r="H431" s="7">
        <v>0</v>
      </c>
      <c r="I431" s="7">
        <v>0</v>
      </c>
      <c r="J431" s="7">
        <v>0</v>
      </c>
      <c r="K431" s="7">
        <v>0</v>
      </c>
      <c r="L431" s="7">
        <v>0</v>
      </c>
      <c r="M431" s="7">
        <v>0</v>
      </c>
      <c r="N431" s="7">
        <v>0</v>
      </c>
      <c r="O431" s="7">
        <v>0</v>
      </c>
      <c r="P431" s="7">
        <v>0</v>
      </c>
      <c r="Q431" s="7">
        <v>0</v>
      </c>
      <c r="R431" s="7">
        <v>0</v>
      </c>
      <c r="S431" s="7">
        <v>0</v>
      </c>
    </row>
    <row r="432">
      <c r="A432" s="16" t="s">
        <v>343</v>
      </c>
      <c r="B432" s="2" t="s">
        <v>322</v>
      </c>
      <c r="C432" s="7">
        <v>0</v>
      </c>
      <c r="D432" s="7">
        <v>0</v>
      </c>
      <c r="E432" s="7">
        <v>0</v>
      </c>
      <c r="F432" s="7">
        <v>0</v>
      </c>
      <c r="G432" s="7">
        <v>0</v>
      </c>
      <c r="H432" s="7">
        <v>0</v>
      </c>
      <c r="I432" s="7">
        <v>0</v>
      </c>
      <c r="J432" s="7">
        <v>0</v>
      </c>
      <c r="K432" s="7">
        <v>0</v>
      </c>
      <c r="L432" s="7">
        <v>0</v>
      </c>
      <c r="M432" s="7">
        <v>0</v>
      </c>
      <c r="N432" s="7">
        <v>0</v>
      </c>
      <c r="O432" s="7">
        <v>0</v>
      </c>
      <c r="P432" s="7">
        <v>0</v>
      </c>
      <c r="Q432" s="7">
        <v>0</v>
      </c>
      <c r="R432" s="7">
        <v>0</v>
      </c>
      <c r="S432" s="7">
        <v>0</v>
      </c>
    </row>
    <row r="433">
      <c r="A433" s="16" t="s">
        <v>344</v>
      </c>
      <c r="B433" s="2" t="s">
        <v>322</v>
      </c>
      <c r="C433" s="7">
        <v>0</v>
      </c>
      <c r="D433" s="7">
        <v>0</v>
      </c>
      <c r="E433" s="7">
        <v>0</v>
      </c>
      <c r="F433" s="7">
        <v>0</v>
      </c>
      <c r="G433" s="7">
        <v>0</v>
      </c>
      <c r="H433" s="7">
        <v>0</v>
      </c>
      <c r="I433" s="7">
        <v>0</v>
      </c>
      <c r="J433" s="7">
        <v>0</v>
      </c>
      <c r="K433" s="7">
        <v>0</v>
      </c>
      <c r="L433" s="7">
        <v>0</v>
      </c>
      <c r="M433" s="7">
        <v>0</v>
      </c>
      <c r="N433" s="7">
        <v>0</v>
      </c>
      <c r="O433" s="7">
        <v>0</v>
      </c>
      <c r="P433" s="7">
        <v>0</v>
      </c>
      <c r="Q433" s="7">
        <v>0</v>
      </c>
      <c r="R433" s="7">
        <v>0</v>
      </c>
      <c r="S433" s="7">
        <v>0</v>
      </c>
    </row>
    <row r="434">
      <c r="A434" s="16" t="s">
        <v>345</v>
      </c>
      <c r="B434" s="2" t="s">
        <v>322</v>
      </c>
      <c r="C434" s="7">
        <v>0</v>
      </c>
      <c r="D434" s="7">
        <v>0</v>
      </c>
      <c r="E434" s="7">
        <v>0</v>
      </c>
      <c r="F434" s="7">
        <v>0</v>
      </c>
      <c r="G434" s="7">
        <v>0</v>
      </c>
      <c r="H434" s="7">
        <v>0</v>
      </c>
      <c r="I434" s="7">
        <v>0</v>
      </c>
      <c r="J434" s="7">
        <v>0</v>
      </c>
      <c r="K434" s="7">
        <v>0</v>
      </c>
      <c r="L434" s="7">
        <v>0</v>
      </c>
      <c r="M434" s="7">
        <v>0</v>
      </c>
      <c r="N434" s="7">
        <v>0</v>
      </c>
      <c r="O434" s="7">
        <v>0</v>
      </c>
      <c r="P434" s="7">
        <v>0</v>
      </c>
      <c r="Q434" s="7">
        <v>0</v>
      </c>
      <c r="R434" s="7">
        <v>0</v>
      </c>
      <c r="S434" s="7">
        <v>0</v>
      </c>
    </row>
    <row r="435">
      <c r="A435" s="16" t="s">
        <v>346</v>
      </c>
      <c r="B435" s="2" t="s">
        <v>322</v>
      </c>
      <c r="C435" s="7">
        <v>0</v>
      </c>
      <c r="D435" s="7">
        <v>0</v>
      </c>
      <c r="E435" s="7">
        <v>0</v>
      </c>
      <c r="F435" s="7">
        <v>0</v>
      </c>
      <c r="G435" s="7">
        <v>0</v>
      </c>
      <c r="H435" s="7">
        <v>0</v>
      </c>
      <c r="I435" s="7">
        <v>0</v>
      </c>
      <c r="J435" s="7">
        <v>0</v>
      </c>
      <c r="K435" s="7">
        <v>0</v>
      </c>
      <c r="L435" s="7">
        <v>0</v>
      </c>
      <c r="M435" s="7">
        <v>0</v>
      </c>
      <c r="N435" s="7">
        <v>0</v>
      </c>
      <c r="O435" s="7">
        <v>0</v>
      </c>
      <c r="P435" s="7">
        <v>0</v>
      </c>
      <c r="Q435" s="7">
        <v>0</v>
      </c>
      <c r="R435" s="7">
        <v>0</v>
      </c>
      <c r="S435" s="7">
        <v>0</v>
      </c>
    </row>
    <row r="436">
      <c r="A436" s="16" t="s">
        <v>347</v>
      </c>
      <c r="B436" s="2" t="s">
        <v>322</v>
      </c>
      <c r="C436" s="7">
        <v>0</v>
      </c>
      <c r="D436" s="7">
        <v>0</v>
      </c>
      <c r="E436" s="7">
        <v>0</v>
      </c>
      <c r="F436" s="7">
        <v>0</v>
      </c>
      <c r="G436" s="7">
        <v>0</v>
      </c>
      <c r="H436" s="7">
        <v>0</v>
      </c>
      <c r="I436" s="7">
        <v>0</v>
      </c>
      <c r="J436" s="7">
        <v>0</v>
      </c>
      <c r="K436" s="7">
        <v>0</v>
      </c>
      <c r="L436" s="7">
        <v>0</v>
      </c>
      <c r="M436" s="7">
        <v>0</v>
      </c>
      <c r="N436" s="7">
        <v>0</v>
      </c>
      <c r="O436" s="7">
        <v>0</v>
      </c>
      <c r="P436" s="7">
        <v>0</v>
      </c>
      <c r="Q436" s="7">
        <v>0</v>
      </c>
      <c r="R436" s="7">
        <v>0</v>
      </c>
      <c r="S436" s="7">
        <v>0</v>
      </c>
    </row>
    <row r="437">
      <c r="A437" s="16" t="s">
        <v>348</v>
      </c>
      <c r="B437" s="2" t="s">
        <v>322</v>
      </c>
      <c r="C437" s="7">
        <v>0</v>
      </c>
      <c r="D437" s="7">
        <v>0</v>
      </c>
      <c r="E437" s="7">
        <v>0</v>
      </c>
      <c r="F437" s="7">
        <v>0</v>
      </c>
      <c r="G437" s="7">
        <v>0</v>
      </c>
      <c r="H437" s="7">
        <v>0</v>
      </c>
      <c r="I437" s="7">
        <v>0</v>
      </c>
      <c r="J437" s="7">
        <v>0</v>
      </c>
      <c r="K437" s="7">
        <v>0</v>
      </c>
      <c r="L437" s="7">
        <v>0</v>
      </c>
      <c r="M437" s="7">
        <v>0</v>
      </c>
      <c r="N437" s="7">
        <v>0</v>
      </c>
      <c r="O437" s="7">
        <v>0</v>
      </c>
      <c r="P437" s="7">
        <v>0</v>
      </c>
      <c r="Q437" s="7">
        <v>0</v>
      </c>
      <c r="R437" s="7">
        <v>0</v>
      </c>
      <c r="S437" s="7">
        <v>0</v>
      </c>
    </row>
    <row r="438">
      <c r="A438" s="16" t="s">
        <v>349</v>
      </c>
      <c r="B438" s="2" t="s">
        <v>322</v>
      </c>
      <c r="C438" s="7">
        <v>0</v>
      </c>
      <c r="D438" s="7">
        <v>0</v>
      </c>
      <c r="E438" s="7">
        <v>0</v>
      </c>
      <c r="F438" s="7">
        <v>0</v>
      </c>
      <c r="G438" s="7">
        <v>0</v>
      </c>
      <c r="H438" s="7">
        <v>0</v>
      </c>
      <c r="I438" s="7">
        <v>0</v>
      </c>
      <c r="J438" s="7">
        <v>0</v>
      </c>
      <c r="K438" s="7">
        <v>0</v>
      </c>
      <c r="L438" s="7">
        <v>0</v>
      </c>
      <c r="M438" s="7">
        <v>0</v>
      </c>
      <c r="N438" s="7">
        <v>0</v>
      </c>
      <c r="O438" s="7">
        <v>0</v>
      </c>
      <c r="P438" s="7">
        <v>0</v>
      </c>
      <c r="Q438" s="7">
        <v>0</v>
      </c>
      <c r="R438" s="7">
        <v>0</v>
      </c>
      <c r="S438" s="7">
        <v>0</v>
      </c>
    </row>
    <row r="439">
      <c r="A439" s="16" t="s">
        <v>350</v>
      </c>
      <c r="B439" s="2" t="s">
        <v>322</v>
      </c>
      <c r="C439" s="7">
        <v>10</v>
      </c>
      <c r="D439" s="7">
        <v>35</v>
      </c>
      <c r="E439" s="7">
        <v>20</v>
      </c>
      <c r="F439" s="7">
        <v>35</v>
      </c>
      <c r="G439" s="7">
        <v>40</v>
      </c>
      <c r="H439" s="7">
        <v>50</v>
      </c>
      <c r="I439" s="7">
        <v>45</v>
      </c>
      <c r="J439" s="7">
        <v>60</v>
      </c>
      <c r="K439" s="7">
        <v>55</v>
      </c>
      <c r="L439" s="7">
        <v>40</v>
      </c>
      <c r="M439" s="7">
        <v>55</v>
      </c>
      <c r="N439" s="7">
        <v>70</v>
      </c>
      <c r="O439" s="7">
        <v>65</v>
      </c>
      <c r="P439" s="7">
        <v>125</v>
      </c>
      <c r="Q439" s="7">
        <v>50</v>
      </c>
      <c r="R439" s="7">
        <v>120</v>
      </c>
      <c r="S439" s="7">
        <v>130</v>
      </c>
    </row>
    <row r="440">
      <c r="A440" s="16" t="s">
        <v>351</v>
      </c>
      <c r="B440" s="2" t="s">
        <v>322</v>
      </c>
      <c r="C440" s="7">
        <v>0</v>
      </c>
      <c r="D440" s="7">
        <v>0</v>
      </c>
      <c r="E440" s="7">
        <v>0</v>
      </c>
      <c r="F440" s="7">
        <v>0</v>
      </c>
      <c r="G440" s="7">
        <v>0</v>
      </c>
      <c r="H440" s="7">
        <v>0</v>
      </c>
      <c r="I440" s="7">
        <v>0</v>
      </c>
      <c r="J440" s="7">
        <v>0</v>
      </c>
      <c r="K440" s="7">
        <v>0</v>
      </c>
      <c r="L440" s="7">
        <v>0</v>
      </c>
      <c r="M440" s="7">
        <v>0</v>
      </c>
      <c r="N440" s="7">
        <v>0</v>
      </c>
      <c r="O440" s="7">
        <v>0</v>
      </c>
      <c r="P440" s="7">
        <v>0</v>
      </c>
      <c r="Q440" s="7">
        <v>0</v>
      </c>
      <c r="R440" s="7">
        <v>0</v>
      </c>
      <c r="S440" s="7">
        <v>0</v>
      </c>
    </row>
    <row r="441">
      <c r="A441" s="16" t="s">
        <v>352</v>
      </c>
      <c r="B441" s="2" t="s">
        <v>322</v>
      </c>
      <c r="C441" s="7">
        <v>0</v>
      </c>
      <c r="D441" s="7">
        <v>0</v>
      </c>
      <c r="E441" s="7">
        <v>0</v>
      </c>
      <c r="F441" s="7">
        <v>0</v>
      </c>
      <c r="G441" s="7">
        <v>0</v>
      </c>
      <c r="H441" s="7">
        <v>0</v>
      </c>
      <c r="I441" s="7">
        <v>0</v>
      </c>
      <c r="J441" s="7">
        <v>0</v>
      </c>
      <c r="K441" s="7">
        <v>0</v>
      </c>
      <c r="L441" s="7">
        <v>0</v>
      </c>
      <c r="M441" s="7">
        <v>0</v>
      </c>
      <c r="N441" s="7">
        <v>0</v>
      </c>
      <c r="O441" s="7">
        <v>0</v>
      </c>
      <c r="P441" s="7">
        <v>0</v>
      </c>
      <c r="Q441" s="7">
        <v>0</v>
      </c>
      <c r="R441" s="7">
        <v>0</v>
      </c>
      <c r="S441" s="7">
        <v>0</v>
      </c>
    </row>
    <row r="442">
      <c r="A442" s="16" t="s">
        <v>353</v>
      </c>
      <c r="B442" s="2" t="s">
        <v>322</v>
      </c>
      <c r="C442" s="7">
        <v>23110</v>
      </c>
      <c r="D442" s="7">
        <v>23825</v>
      </c>
      <c r="E442" s="7">
        <v>23700</v>
      </c>
      <c r="F442" s="7">
        <v>24915</v>
      </c>
      <c r="G442" s="7">
        <v>23995</v>
      </c>
      <c r="H442" s="7">
        <v>25185</v>
      </c>
      <c r="I442" s="7">
        <v>26470</v>
      </c>
      <c r="J442" s="7">
        <v>24775</v>
      </c>
      <c r="K442" s="7">
        <v>28020</v>
      </c>
      <c r="L442" s="7">
        <v>25060</v>
      </c>
      <c r="M442" s="7">
        <v>25510</v>
      </c>
      <c r="N442" s="7">
        <v>27025</v>
      </c>
      <c r="O442" s="7">
        <v>23905</v>
      </c>
      <c r="P442" s="7">
        <v>23495</v>
      </c>
      <c r="Q442" s="7">
        <v>26095</v>
      </c>
      <c r="R442" s="7">
        <v>25500</v>
      </c>
      <c r="S442" s="7">
        <v>26900</v>
      </c>
    </row>
    <row r="443">
      <c r="A443" s="16" t="s">
        <v>354</v>
      </c>
      <c r="B443" s="2" t="s">
        <v>322</v>
      </c>
      <c r="C443" s="7">
        <v>0</v>
      </c>
      <c r="D443" s="7">
        <v>0</v>
      </c>
      <c r="E443" s="7">
        <v>0</v>
      </c>
      <c r="F443" s="7">
        <v>0</v>
      </c>
      <c r="G443" s="7">
        <v>0</v>
      </c>
      <c r="H443" s="7">
        <v>0</v>
      </c>
      <c r="I443" s="7">
        <v>0</v>
      </c>
      <c r="J443" s="7">
        <v>0</v>
      </c>
      <c r="K443" s="7">
        <v>0</v>
      </c>
      <c r="L443" s="7">
        <v>0</v>
      </c>
      <c r="M443" s="7">
        <v>0</v>
      </c>
      <c r="N443" s="7">
        <v>0</v>
      </c>
      <c r="O443" s="7">
        <v>0</v>
      </c>
      <c r="P443" s="7">
        <v>0</v>
      </c>
      <c r="Q443" s="7">
        <v>0</v>
      </c>
      <c r="R443" s="7">
        <v>0</v>
      </c>
      <c r="S443" s="7">
        <v>0</v>
      </c>
    </row>
    <row r="444">
      <c r="A444" s="16" t="s">
        <v>355</v>
      </c>
      <c r="B444" s="2" t="s">
        <v>322</v>
      </c>
      <c r="C444" s="7">
        <v>0</v>
      </c>
      <c r="D444" s="7">
        <v>0</v>
      </c>
      <c r="E444" s="7">
        <v>0</v>
      </c>
      <c r="F444" s="7">
        <v>0</v>
      </c>
      <c r="G444" s="7">
        <v>0</v>
      </c>
      <c r="H444" s="7">
        <v>0</v>
      </c>
      <c r="I444" s="7">
        <v>0</v>
      </c>
      <c r="J444" s="7">
        <v>0</v>
      </c>
      <c r="K444" s="7">
        <v>0</v>
      </c>
      <c r="L444" s="7">
        <v>0</v>
      </c>
      <c r="M444" s="7">
        <v>0</v>
      </c>
      <c r="N444" s="7">
        <v>0</v>
      </c>
      <c r="O444" s="7">
        <v>0</v>
      </c>
      <c r="P444" s="7">
        <v>0</v>
      </c>
      <c r="Q444" s="7">
        <v>0</v>
      </c>
      <c r="R444" s="7">
        <v>0</v>
      </c>
      <c r="S444" s="7">
        <v>0</v>
      </c>
    </row>
    <row r="445">
      <c r="A445" s="16" t="s">
        <v>356</v>
      </c>
      <c r="B445" s="2" t="s">
        <v>322</v>
      </c>
      <c r="C445" s="7">
        <v>0</v>
      </c>
      <c r="D445" s="7">
        <v>0</v>
      </c>
      <c r="E445" s="7">
        <v>0</v>
      </c>
      <c r="F445" s="7">
        <v>0</v>
      </c>
      <c r="G445" s="7">
        <v>0</v>
      </c>
      <c r="H445" s="7">
        <v>0</v>
      </c>
      <c r="I445" s="7">
        <v>0</v>
      </c>
      <c r="J445" s="7">
        <v>0</v>
      </c>
      <c r="K445" s="7">
        <v>0</v>
      </c>
      <c r="L445" s="7">
        <v>0</v>
      </c>
      <c r="M445" s="7">
        <v>0</v>
      </c>
      <c r="N445" s="7">
        <v>0</v>
      </c>
      <c r="O445" s="7">
        <v>0</v>
      </c>
      <c r="P445" s="7">
        <v>0</v>
      </c>
      <c r="Q445" s="7">
        <v>0</v>
      </c>
      <c r="R445" s="7">
        <v>0</v>
      </c>
      <c r="S445" s="7">
        <v>0</v>
      </c>
    </row>
    <row r="446">
      <c r="A446" s="16" t="s">
        <v>357</v>
      </c>
      <c r="B446" s="2" t="s">
        <v>322</v>
      </c>
      <c r="C446" s="7">
        <v>0</v>
      </c>
      <c r="D446" s="7">
        <v>0</v>
      </c>
      <c r="E446" s="7">
        <v>0</v>
      </c>
      <c r="F446" s="7">
        <v>0</v>
      </c>
      <c r="G446" s="7">
        <v>0</v>
      </c>
      <c r="H446" s="7">
        <v>0</v>
      </c>
      <c r="I446" s="7">
        <v>0</v>
      </c>
      <c r="J446" s="7">
        <v>0</v>
      </c>
      <c r="K446" s="7">
        <v>0</v>
      </c>
      <c r="L446" s="7">
        <v>0</v>
      </c>
      <c r="M446" s="7">
        <v>0</v>
      </c>
      <c r="N446" s="7">
        <v>0</v>
      </c>
      <c r="O446" s="7">
        <v>0</v>
      </c>
      <c r="P446" s="7">
        <v>0</v>
      </c>
      <c r="Q446" s="7">
        <v>0</v>
      </c>
      <c r="R446" s="7">
        <v>0</v>
      </c>
      <c r="S446" s="7">
        <v>0</v>
      </c>
    </row>
    <row r="447">
      <c r="A447" s="16" t="s">
        <v>358</v>
      </c>
      <c r="B447" s="2" t="s">
        <v>322</v>
      </c>
      <c r="C447" s="7">
        <v>0</v>
      </c>
      <c r="D447" s="7">
        <v>0</v>
      </c>
      <c r="E447" s="7">
        <v>0</v>
      </c>
      <c r="F447" s="7">
        <v>0</v>
      </c>
      <c r="G447" s="7">
        <v>0</v>
      </c>
      <c r="H447" s="7">
        <v>0</v>
      </c>
      <c r="I447" s="7">
        <v>0</v>
      </c>
      <c r="J447" s="7">
        <v>0</v>
      </c>
      <c r="K447" s="7">
        <v>0</v>
      </c>
      <c r="L447" s="7">
        <v>0</v>
      </c>
      <c r="M447" s="7">
        <v>0</v>
      </c>
      <c r="N447" s="7">
        <v>0</v>
      </c>
      <c r="O447" s="7">
        <v>0</v>
      </c>
      <c r="P447" s="7">
        <v>0</v>
      </c>
      <c r="Q447" s="7">
        <v>0</v>
      </c>
      <c r="R447" s="7">
        <v>0</v>
      </c>
      <c r="S447" s="7">
        <v>0</v>
      </c>
    </row>
    <row r="448">
      <c r="A448" s="16" t="s">
        <v>359</v>
      </c>
      <c r="B448" s="2" t="s">
        <v>322</v>
      </c>
      <c r="C448" s="7">
        <v>0</v>
      </c>
      <c r="D448" s="7">
        <v>0</v>
      </c>
      <c r="E448" s="7">
        <v>0</v>
      </c>
      <c r="F448" s="7">
        <v>0</v>
      </c>
      <c r="G448" s="7">
        <v>0</v>
      </c>
      <c r="H448" s="7">
        <v>0</v>
      </c>
      <c r="I448" s="7">
        <v>0</v>
      </c>
      <c r="J448" s="7">
        <v>0</v>
      </c>
      <c r="K448" s="7">
        <v>0</v>
      </c>
      <c r="L448" s="7">
        <v>0</v>
      </c>
      <c r="M448" s="7">
        <v>0</v>
      </c>
      <c r="N448" s="7">
        <v>0</v>
      </c>
      <c r="O448" s="7">
        <v>0</v>
      </c>
      <c r="P448" s="7">
        <v>0</v>
      </c>
      <c r="Q448" s="7">
        <v>0</v>
      </c>
      <c r="R448" s="7">
        <v>0</v>
      </c>
      <c r="S448" s="7">
        <v>0</v>
      </c>
    </row>
    <row r="449">
      <c r="A449" s="16" t="s">
        <v>360</v>
      </c>
      <c r="B449" s="2" t="s">
        <v>322</v>
      </c>
      <c r="C449" s="7">
        <v>0</v>
      </c>
      <c r="D449" s="7">
        <v>0</v>
      </c>
      <c r="E449" s="7">
        <v>0</v>
      </c>
      <c r="F449" s="7">
        <v>0</v>
      </c>
      <c r="G449" s="7">
        <v>0</v>
      </c>
      <c r="H449" s="7">
        <v>0</v>
      </c>
      <c r="I449" s="7">
        <v>0</v>
      </c>
      <c r="J449" s="7">
        <v>0</v>
      </c>
      <c r="K449" s="7">
        <v>0</v>
      </c>
      <c r="L449" s="7">
        <v>0</v>
      </c>
      <c r="M449" s="7">
        <v>0</v>
      </c>
      <c r="N449" s="7">
        <v>0</v>
      </c>
      <c r="O449" s="7">
        <v>0</v>
      </c>
      <c r="P449" s="7">
        <v>0</v>
      </c>
      <c r="Q449" s="7">
        <v>0</v>
      </c>
      <c r="R449" s="7">
        <v>0</v>
      </c>
      <c r="S449" s="7">
        <v>0</v>
      </c>
    </row>
    <row r="450">
      <c r="A450" s="16" t="s">
        <v>361</v>
      </c>
      <c r="B450" s="2" t="s">
        <v>322</v>
      </c>
      <c r="C450" s="7">
        <v>0</v>
      </c>
      <c r="D450" s="7">
        <v>0</v>
      </c>
      <c r="E450" s="7">
        <v>0</v>
      </c>
      <c r="F450" s="7">
        <v>0</v>
      </c>
      <c r="G450" s="7">
        <v>0</v>
      </c>
      <c r="H450" s="7">
        <v>0</v>
      </c>
      <c r="I450" s="7">
        <v>0</v>
      </c>
      <c r="J450" s="7">
        <v>0</v>
      </c>
      <c r="K450" s="7">
        <v>0</v>
      </c>
      <c r="L450" s="7">
        <v>0</v>
      </c>
      <c r="M450" s="7">
        <v>0</v>
      </c>
      <c r="N450" s="7">
        <v>0</v>
      </c>
      <c r="O450" s="7">
        <v>0</v>
      </c>
      <c r="P450" s="7">
        <v>0</v>
      </c>
      <c r="Q450" s="7">
        <v>0</v>
      </c>
      <c r="R450" s="7">
        <v>0</v>
      </c>
      <c r="S450" s="7">
        <v>0</v>
      </c>
    </row>
    <row r="451">
      <c r="A451" s="16" t="s">
        <v>362</v>
      </c>
      <c r="B451" s="2" t="s">
        <v>322</v>
      </c>
      <c r="C451" s="7">
        <v>0</v>
      </c>
      <c r="D451" s="7">
        <v>0</v>
      </c>
      <c r="E451" s="7">
        <v>0</v>
      </c>
      <c r="F451" s="7">
        <v>0</v>
      </c>
      <c r="G451" s="7">
        <v>0</v>
      </c>
      <c r="H451" s="7">
        <v>0</v>
      </c>
      <c r="I451" s="7">
        <v>0</v>
      </c>
      <c r="J451" s="7">
        <v>0</v>
      </c>
      <c r="K451" s="7">
        <v>0</v>
      </c>
      <c r="L451" s="7">
        <v>0</v>
      </c>
      <c r="M451" s="7">
        <v>0</v>
      </c>
      <c r="N451" s="7">
        <v>0</v>
      </c>
      <c r="O451" s="7">
        <v>0</v>
      </c>
      <c r="P451" s="7">
        <v>0</v>
      </c>
      <c r="Q451" s="7">
        <v>0</v>
      </c>
      <c r="R451" s="7">
        <v>0</v>
      </c>
      <c r="S451" s="7">
        <v>0</v>
      </c>
    </row>
    <row r="452">
      <c r="A452" s="16" t="s">
        <v>363</v>
      </c>
      <c r="B452" s="2" t="s">
        <v>322</v>
      </c>
      <c r="C452" s="7">
        <v>0</v>
      </c>
      <c r="D452" s="7">
        <v>0</v>
      </c>
      <c r="E452" s="7">
        <v>0</v>
      </c>
      <c r="F452" s="7">
        <v>0</v>
      </c>
      <c r="G452" s="7">
        <v>0</v>
      </c>
      <c r="H452" s="7">
        <v>0</v>
      </c>
      <c r="I452" s="7">
        <v>0</v>
      </c>
      <c r="J452" s="7">
        <v>0</v>
      </c>
      <c r="K452" s="7">
        <v>0</v>
      </c>
      <c r="L452" s="7">
        <v>0</v>
      </c>
      <c r="M452" s="7">
        <v>0</v>
      </c>
      <c r="N452" s="7">
        <v>0</v>
      </c>
      <c r="O452" s="7">
        <v>0</v>
      </c>
      <c r="P452" s="7">
        <v>0</v>
      </c>
      <c r="Q452" s="7">
        <v>0</v>
      </c>
      <c r="R452" s="7">
        <v>0</v>
      </c>
      <c r="S452" s="7">
        <v>0</v>
      </c>
    </row>
    <row r="453">
      <c r="A453" s="16" t="s">
        <v>364</v>
      </c>
      <c r="B453" s="2" t="s">
        <v>365</v>
      </c>
      <c r="C453" s="7">
        <v>44610</v>
      </c>
      <c r="D453" s="7">
        <v>43950</v>
      </c>
      <c r="E453" s="7">
        <v>45070</v>
      </c>
      <c r="F453" s="7">
        <v>44650</v>
      </c>
      <c r="G453" s="7">
        <v>45140</v>
      </c>
      <c r="H453" s="7">
        <v>46150</v>
      </c>
      <c r="I453" s="7">
        <v>43425</v>
      </c>
      <c r="J453" s="7">
        <v>44510</v>
      </c>
      <c r="K453" s="7">
        <v>45890</v>
      </c>
      <c r="L453" s="7">
        <v>44460</v>
      </c>
      <c r="M453" s="7">
        <v>43875</v>
      </c>
      <c r="N453" s="7">
        <v>46615</v>
      </c>
      <c r="O453" s="7">
        <v>44515</v>
      </c>
      <c r="P453" s="7">
        <v>43990</v>
      </c>
      <c r="Q453" s="7">
        <v>46230</v>
      </c>
      <c r="R453" s="7">
        <v>46500</v>
      </c>
      <c r="S453" s="7">
        <v>50000</v>
      </c>
    </row>
    <row r="454">
      <c r="A454" s="16" t="s">
        <v>366</v>
      </c>
      <c r="B454" s="2" t="s">
        <v>365</v>
      </c>
      <c r="C454" s="7">
        <v>7575</v>
      </c>
      <c r="D454" s="7">
        <v>6680</v>
      </c>
      <c r="E454" s="7">
        <v>8405</v>
      </c>
      <c r="F454" s="7">
        <v>7870</v>
      </c>
      <c r="G454" s="7">
        <v>8110</v>
      </c>
      <c r="H454" s="7">
        <v>8195</v>
      </c>
      <c r="I454" s="7">
        <v>8030</v>
      </c>
      <c r="J454" s="7">
        <v>7720</v>
      </c>
      <c r="K454" s="7">
        <v>8320</v>
      </c>
      <c r="L454" s="7">
        <v>7290</v>
      </c>
      <c r="M454" s="7">
        <v>7150</v>
      </c>
      <c r="N454" s="7">
        <v>7415</v>
      </c>
      <c r="O454" s="7">
        <v>6505</v>
      </c>
      <c r="P454" s="7">
        <v>6905</v>
      </c>
      <c r="Q454" s="7">
        <v>6370</v>
      </c>
      <c r="R454" s="7">
        <v>6585</v>
      </c>
      <c r="S454" s="7">
        <v>7000</v>
      </c>
    </row>
    <row r="455">
      <c r="A455" s="16" t="s">
        <v>367</v>
      </c>
      <c r="B455" s="2" t="s">
        <v>365</v>
      </c>
      <c r="C455" s="7">
        <v>4245</v>
      </c>
      <c r="D455" s="7">
        <v>4170</v>
      </c>
      <c r="E455" s="7">
        <v>4230</v>
      </c>
      <c r="F455" s="7">
        <v>4605</v>
      </c>
      <c r="G455" s="7">
        <v>4495</v>
      </c>
      <c r="H455" s="7">
        <v>4545</v>
      </c>
      <c r="I455" s="7">
        <v>4550</v>
      </c>
      <c r="J455" s="7">
        <v>4750</v>
      </c>
      <c r="K455" s="7">
        <v>4885</v>
      </c>
      <c r="L455" s="7">
        <v>4830</v>
      </c>
      <c r="M455" s="7">
        <v>4995</v>
      </c>
      <c r="N455" s="7">
        <v>5330</v>
      </c>
      <c r="O455" s="7">
        <v>5110</v>
      </c>
      <c r="P455" s="7">
        <v>4980</v>
      </c>
      <c r="Q455" s="7">
        <v>5085</v>
      </c>
      <c r="R455" s="7">
        <v>5050</v>
      </c>
      <c r="S455" s="7">
        <v>5100</v>
      </c>
    </row>
    <row r="456">
      <c r="A456" s="16" t="s">
        <v>368</v>
      </c>
      <c r="B456" s="2" t="s">
        <v>365</v>
      </c>
      <c r="C456" s="7">
        <v>0</v>
      </c>
      <c r="D456" s="7">
        <v>0</v>
      </c>
      <c r="E456" s="7">
        <v>0</v>
      </c>
      <c r="F456" s="7">
        <v>0</v>
      </c>
      <c r="G456" s="7">
        <v>0</v>
      </c>
      <c r="H456" s="7">
        <v>0</v>
      </c>
      <c r="I456" s="7">
        <v>4260</v>
      </c>
      <c r="J456" s="7">
        <v>3610</v>
      </c>
      <c r="K456" s="7">
        <v>3875</v>
      </c>
      <c r="L456" s="7">
        <v>3805</v>
      </c>
      <c r="M456" s="7">
        <v>2955</v>
      </c>
      <c r="N456" s="7">
        <v>3985</v>
      </c>
      <c r="O456" s="7">
        <v>3980</v>
      </c>
      <c r="P456" s="7">
        <v>4190</v>
      </c>
      <c r="Q456" s="7">
        <v>4495</v>
      </c>
      <c r="R456" s="7">
        <v>4570</v>
      </c>
      <c r="S456" s="7">
        <v>4850</v>
      </c>
    </row>
    <row r="457">
      <c r="A457" s="16" t="s">
        <v>369</v>
      </c>
      <c r="B457" s="2" t="s">
        <v>365</v>
      </c>
      <c r="C457" s="7">
        <v>4355</v>
      </c>
      <c r="D457" s="7">
        <v>3865</v>
      </c>
      <c r="E457" s="7">
        <v>4130</v>
      </c>
      <c r="F457" s="7">
        <v>4230</v>
      </c>
      <c r="G457" s="7">
        <v>4050</v>
      </c>
      <c r="H457" s="7">
        <v>4395</v>
      </c>
      <c r="I457" s="7">
        <v>4740</v>
      </c>
      <c r="J457" s="7">
        <v>4465</v>
      </c>
      <c r="K457" s="7">
        <v>4945</v>
      </c>
      <c r="L457" s="7">
        <v>4625</v>
      </c>
      <c r="M457" s="7">
        <v>4165</v>
      </c>
      <c r="N457" s="7">
        <v>4055</v>
      </c>
      <c r="O457" s="7">
        <v>4250</v>
      </c>
      <c r="P457" s="7">
        <v>4250</v>
      </c>
      <c r="Q457" s="7">
        <v>4450</v>
      </c>
      <c r="R457" s="7">
        <v>4575</v>
      </c>
      <c r="S457" s="7">
        <v>4800</v>
      </c>
    </row>
    <row r="458">
      <c r="A458" s="16" t="s">
        <v>370</v>
      </c>
      <c r="B458" s="2" t="s">
        <v>365</v>
      </c>
      <c r="C458" s="7">
        <v>1910</v>
      </c>
      <c r="D458" s="7">
        <v>1785</v>
      </c>
      <c r="E458" s="7">
        <v>1825</v>
      </c>
      <c r="F458" s="7">
        <v>2160</v>
      </c>
      <c r="G458" s="7">
        <v>2305</v>
      </c>
      <c r="H458" s="7">
        <v>2465</v>
      </c>
      <c r="I458" s="7">
        <v>2725</v>
      </c>
      <c r="J458" s="7">
        <v>2645</v>
      </c>
      <c r="K458" s="7">
        <v>2770</v>
      </c>
      <c r="L458" s="7">
        <v>2980</v>
      </c>
      <c r="M458" s="7">
        <v>2995</v>
      </c>
      <c r="N458" s="7">
        <v>3405</v>
      </c>
      <c r="O458" s="7">
        <v>3175</v>
      </c>
      <c r="P458" s="7">
        <v>3350</v>
      </c>
      <c r="Q458" s="7">
        <v>3365</v>
      </c>
      <c r="R458" s="7">
        <v>3200</v>
      </c>
      <c r="S458" s="7">
        <v>3400</v>
      </c>
    </row>
    <row r="459">
      <c r="A459" s="16" t="s">
        <v>371</v>
      </c>
      <c r="B459" s="2" t="s">
        <v>365</v>
      </c>
      <c r="C459" s="7">
        <v>1445</v>
      </c>
      <c r="D459" s="7">
        <v>1600</v>
      </c>
      <c r="E459" s="7">
        <v>1660</v>
      </c>
      <c r="F459" s="7">
        <v>1615</v>
      </c>
      <c r="G459" s="7">
        <v>1775</v>
      </c>
      <c r="H459" s="7">
        <v>1785</v>
      </c>
      <c r="I459" s="7">
        <v>1730</v>
      </c>
      <c r="J459" s="7">
        <v>1900</v>
      </c>
      <c r="K459" s="7">
        <v>2040</v>
      </c>
      <c r="L459" s="7">
        <v>1960</v>
      </c>
      <c r="M459" s="7">
        <v>2055</v>
      </c>
      <c r="N459" s="7">
        <v>2305</v>
      </c>
      <c r="O459" s="7">
        <v>2135</v>
      </c>
      <c r="P459" s="7">
        <v>2090</v>
      </c>
      <c r="Q459" s="7">
        <v>2740</v>
      </c>
      <c r="R459" s="7">
        <v>2535</v>
      </c>
      <c r="S459" s="7">
        <v>2650</v>
      </c>
    </row>
    <row r="460">
      <c r="A460" s="16" t="s">
        <v>372</v>
      </c>
      <c r="B460" s="2" t="s">
        <v>365</v>
      </c>
      <c r="C460" s="7">
        <v>1815</v>
      </c>
      <c r="D460" s="7">
        <v>2270</v>
      </c>
      <c r="E460" s="7">
        <v>1945</v>
      </c>
      <c r="F460" s="7">
        <v>2300</v>
      </c>
      <c r="G460" s="7">
        <v>2195</v>
      </c>
      <c r="H460" s="7">
        <v>2320</v>
      </c>
      <c r="I460" s="7">
        <v>2205</v>
      </c>
      <c r="J460" s="7">
        <v>2300</v>
      </c>
      <c r="K460" s="7">
        <v>2340</v>
      </c>
      <c r="L460" s="7">
        <v>2040</v>
      </c>
      <c r="M460" s="7">
        <v>2240</v>
      </c>
      <c r="N460" s="7">
        <v>2090</v>
      </c>
      <c r="O460" s="7">
        <v>2050</v>
      </c>
      <c r="P460" s="7">
        <v>1950</v>
      </c>
      <c r="Q460" s="7">
        <v>2050</v>
      </c>
      <c r="R460" s="7">
        <v>2050</v>
      </c>
      <c r="S460" s="7">
        <v>2050</v>
      </c>
    </row>
    <row r="461">
      <c r="A461" s="16" t="s">
        <v>373</v>
      </c>
      <c r="B461" s="2" t="s">
        <v>365</v>
      </c>
      <c r="C461" s="7">
        <v>340</v>
      </c>
      <c r="D461" s="7">
        <v>375</v>
      </c>
      <c r="E461" s="7">
        <v>490</v>
      </c>
      <c r="F461" s="7">
        <v>505</v>
      </c>
      <c r="G461" s="7">
        <v>675</v>
      </c>
      <c r="H461" s="7">
        <v>710</v>
      </c>
      <c r="I461" s="7">
        <v>960</v>
      </c>
      <c r="J461" s="7">
        <v>865</v>
      </c>
      <c r="K461" s="7">
        <v>1205</v>
      </c>
      <c r="L461" s="7">
        <v>1215</v>
      </c>
      <c r="M461" s="7">
        <v>1165</v>
      </c>
      <c r="N461" s="7">
        <v>1285</v>
      </c>
      <c r="O461" s="7">
        <v>1590</v>
      </c>
      <c r="P461" s="7">
        <v>1545</v>
      </c>
      <c r="Q461" s="7">
        <v>1820</v>
      </c>
      <c r="R461" s="7">
        <v>1750</v>
      </c>
      <c r="S461" s="7">
        <v>1925</v>
      </c>
    </row>
    <row r="462">
      <c r="A462" s="16" t="s">
        <v>374</v>
      </c>
      <c r="B462" s="2" t="s">
        <v>365</v>
      </c>
      <c r="C462" s="7">
        <v>565</v>
      </c>
      <c r="D462" s="7">
        <v>685</v>
      </c>
      <c r="E462" s="7">
        <v>635</v>
      </c>
      <c r="F462" s="7">
        <v>730</v>
      </c>
      <c r="G462" s="7">
        <v>820</v>
      </c>
      <c r="H462" s="7">
        <v>785</v>
      </c>
      <c r="I462" s="7">
        <v>840</v>
      </c>
      <c r="J462" s="7">
        <v>935</v>
      </c>
      <c r="K462" s="7">
        <v>980</v>
      </c>
      <c r="L462" s="7">
        <v>1040</v>
      </c>
      <c r="M462" s="7">
        <v>1200</v>
      </c>
      <c r="N462" s="7">
        <v>1140</v>
      </c>
      <c r="O462" s="7">
        <v>1380</v>
      </c>
      <c r="P462" s="7">
        <v>1375</v>
      </c>
      <c r="Q462" s="7">
        <v>1540</v>
      </c>
      <c r="R462" s="7">
        <v>1350</v>
      </c>
      <c r="S462" s="7">
        <v>1450</v>
      </c>
    </row>
    <row r="463">
      <c r="A463" s="16" t="s">
        <v>375</v>
      </c>
      <c r="B463" s="2" t="s">
        <v>365</v>
      </c>
      <c r="C463" s="7">
        <v>2160</v>
      </c>
      <c r="D463" s="7">
        <v>2140</v>
      </c>
      <c r="E463" s="7">
        <v>2310</v>
      </c>
      <c r="F463" s="7">
        <v>2300</v>
      </c>
      <c r="G463" s="7">
        <v>2420</v>
      </c>
      <c r="H463" s="7">
        <v>2460</v>
      </c>
      <c r="I463" s="7">
        <v>2600</v>
      </c>
      <c r="J463" s="7">
        <v>2750</v>
      </c>
      <c r="K463" s="7">
        <v>2810</v>
      </c>
      <c r="L463" s="7">
        <v>3030</v>
      </c>
      <c r="M463" s="7">
        <v>3450</v>
      </c>
      <c r="N463" s="7">
        <v>3400</v>
      </c>
      <c r="O463" s="7">
        <v>3290</v>
      </c>
      <c r="P463" s="7">
        <v>3345</v>
      </c>
      <c r="Q463" s="7">
        <v>3540</v>
      </c>
      <c r="R463" s="7">
        <v>3500</v>
      </c>
      <c r="S463" s="7">
        <v>3700</v>
      </c>
    </row>
    <row r="464">
      <c r="A464" s="16" t="s">
        <v>376</v>
      </c>
      <c r="B464" s="2" t="s">
        <v>365</v>
      </c>
      <c r="C464" s="7">
        <v>250</v>
      </c>
      <c r="D464" s="7">
        <v>500</v>
      </c>
      <c r="E464" s="7">
        <v>450</v>
      </c>
      <c r="F464" s="7">
        <v>430</v>
      </c>
      <c r="G464" s="7">
        <v>480</v>
      </c>
      <c r="H464" s="7">
        <v>525</v>
      </c>
      <c r="I464" s="7">
        <v>630</v>
      </c>
      <c r="J464" s="7">
        <v>800</v>
      </c>
      <c r="K464" s="7">
        <v>825</v>
      </c>
      <c r="L464" s="7">
        <v>750</v>
      </c>
      <c r="M464" s="7">
        <v>400</v>
      </c>
      <c r="N464" s="7">
        <v>450</v>
      </c>
      <c r="O464" s="7">
        <v>900</v>
      </c>
      <c r="P464" s="7">
        <v>650</v>
      </c>
      <c r="Q464" s="7">
        <v>1175</v>
      </c>
      <c r="R464" s="7">
        <v>1175</v>
      </c>
      <c r="S464" s="7">
        <v>1275</v>
      </c>
    </row>
    <row r="465">
      <c r="A465" s="16" t="s">
        <v>377</v>
      </c>
      <c r="B465" s="2" t="s">
        <v>365</v>
      </c>
      <c r="C465" s="7">
        <v>1685</v>
      </c>
      <c r="D465" s="7">
        <v>1425</v>
      </c>
      <c r="E465" s="7">
        <v>1255</v>
      </c>
      <c r="F465" s="7">
        <v>1155</v>
      </c>
      <c r="G465" s="7">
        <v>1025</v>
      </c>
      <c r="H465" s="7">
        <v>970</v>
      </c>
      <c r="I465" s="7">
        <v>960</v>
      </c>
      <c r="J465" s="7">
        <v>1105</v>
      </c>
      <c r="K465" s="7">
        <v>1145</v>
      </c>
      <c r="L465" s="7">
        <v>1270</v>
      </c>
      <c r="M465" s="7">
        <v>1235</v>
      </c>
      <c r="N465" s="7">
        <v>1300</v>
      </c>
      <c r="O465" s="7">
        <v>1090</v>
      </c>
      <c r="P465" s="7">
        <v>1100</v>
      </c>
      <c r="Q465" s="7">
        <v>1070</v>
      </c>
      <c r="R465" s="7">
        <v>1110</v>
      </c>
      <c r="S465" s="7">
        <v>1150</v>
      </c>
    </row>
    <row r="466">
      <c r="A466" s="16" t="s">
        <v>378</v>
      </c>
      <c r="B466" s="2" t="s">
        <v>365</v>
      </c>
      <c r="C466" s="7">
        <v>555</v>
      </c>
      <c r="D466" s="7">
        <v>715</v>
      </c>
      <c r="E466" s="7">
        <v>705</v>
      </c>
      <c r="F466" s="7">
        <v>620</v>
      </c>
      <c r="G466" s="7">
        <v>635</v>
      </c>
      <c r="H466" s="7">
        <v>670</v>
      </c>
      <c r="I466" s="7">
        <v>660</v>
      </c>
      <c r="J466" s="7">
        <v>825</v>
      </c>
      <c r="K466" s="7">
        <v>845</v>
      </c>
      <c r="L466" s="7">
        <v>710</v>
      </c>
      <c r="M466" s="7">
        <v>880</v>
      </c>
      <c r="N466" s="7">
        <v>990</v>
      </c>
      <c r="O466" s="7">
        <v>805</v>
      </c>
      <c r="P466" s="7">
        <v>840</v>
      </c>
      <c r="Q466" s="7">
        <v>960</v>
      </c>
      <c r="R466" s="7">
        <v>910</v>
      </c>
      <c r="S466" s="7">
        <v>950</v>
      </c>
    </row>
    <row r="467">
      <c r="A467" s="16" t="s">
        <v>379</v>
      </c>
      <c r="B467" s="2" t="s">
        <v>365</v>
      </c>
      <c r="C467" s="7">
        <v>810</v>
      </c>
      <c r="D467" s="7">
        <v>750</v>
      </c>
      <c r="E467" s="7">
        <v>835</v>
      </c>
      <c r="F467" s="7">
        <v>685</v>
      </c>
      <c r="G467" s="7">
        <v>710</v>
      </c>
      <c r="H467" s="7">
        <v>741</v>
      </c>
      <c r="I467" s="7">
        <v>754</v>
      </c>
      <c r="J467" s="7">
        <v>775</v>
      </c>
      <c r="K467" s="7">
        <v>735</v>
      </c>
      <c r="L467" s="7">
        <v>859</v>
      </c>
      <c r="M467" s="7">
        <v>789</v>
      </c>
      <c r="N467" s="7">
        <v>906</v>
      </c>
      <c r="O467" s="7">
        <v>1019</v>
      </c>
      <c r="P467" s="7">
        <v>645</v>
      </c>
      <c r="Q467" s="7">
        <v>881</v>
      </c>
      <c r="R467" s="7">
        <v>815</v>
      </c>
      <c r="S467" s="7">
        <v>865</v>
      </c>
    </row>
    <row r="468">
      <c r="A468" s="16" t="s">
        <v>380</v>
      </c>
      <c r="B468" s="2" t="s">
        <v>365</v>
      </c>
      <c r="C468" s="7">
        <v>305</v>
      </c>
      <c r="D468" s="7">
        <v>305</v>
      </c>
      <c r="E468" s="7">
        <v>365</v>
      </c>
      <c r="F468" s="7">
        <v>380</v>
      </c>
      <c r="G468" s="7">
        <v>445</v>
      </c>
      <c r="H468" s="7">
        <v>535</v>
      </c>
      <c r="I468" s="7">
        <v>570</v>
      </c>
      <c r="J468" s="7">
        <v>590</v>
      </c>
      <c r="K468" s="7">
        <v>610</v>
      </c>
      <c r="L468" s="7">
        <v>690</v>
      </c>
      <c r="M468" s="7">
        <v>660</v>
      </c>
      <c r="N468" s="7">
        <v>695</v>
      </c>
      <c r="O468" s="7">
        <v>690</v>
      </c>
      <c r="P468" s="7">
        <v>740</v>
      </c>
      <c r="Q468" s="7">
        <v>820</v>
      </c>
      <c r="R468" s="7">
        <v>810</v>
      </c>
      <c r="S468" s="7">
        <v>860</v>
      </c>
    </row>
    <row r="469">
      <c r="A469" s="16" t="s">
        <v>381</v>
      </c>
      <c r="B469" s="2" t="s">
        <v>365</v>
      </c>
      <c r="C469" s="7">
        <v>340</v>
      </c>
      <c r="D469" s="7">
        <v>350</v>
      </c>
      <c r="E469" s="7">
        <v>570</v>
      </c>
      <c r="F469" s="7">
        <v>550</v>
      </c>
      <c r="G469" s="7">
        <v>470</v>
      </c>
      <c r="H469" s="7">
        <v>580</v>
      </c>
      <c r="I469" s="7">
        <v>625</v>
      </c>
      <c r="J469" s="7">
        <v>775</v>
      </c>
      <c r="K469" s="7">
        <v>835</v>
      </c>
      <c r="L469" s="7">
        <v>770</v>
      </c>
      <c r="M469" s="7">
        <v>845</v>
      </c>
      <c r="N469" s="7">
        <v>730</v>
      </c>
      <c r="O469" s="7">
        <v>725</v>
      </c>
      <c r="P469" s="7">
        <v>845</v>
      </c>
      <c r="Q469" s="7">
        <v>780</v>
      </c>
      <c r="R469" s="7">
        <v>770</v>
      </c>
      <c r="S469" s="7">
        <v>825</v>
      </c>
    </row>
    <row r="470">
      <c r="A470" s="16" t="s">
        <v>382</v>
      </c>
      <c r="B470" s="2" t="s">
        <v>365</v>
      </c>
      <c r="C470" s="7">
        <v>795</v>
      </c>
      <c r="D470" s="7">
        <v>760</v>
      </c>
      <c r="E470" s="7">
        <v>740</v>
      </c>
      <c r="F470" s="7">
        <v>775</v>
      </c>
      <c r="G470" s="7">
        <v>775</v>
      </c>
      <c r="H470" s="7">
        <v>785</v>
      </c>
      <c r="I470" s="7">
        <v>805</v>
      </c>
      <c r="J470" s="7">
        <v>740</v>
      </c>
      <c r="K470" s="7">
        <v>800</v>
      </c>
      <c r="L470" s="7">
        <v>795</v>
      </c>
      <c r="M470" s="7">
        <v>815</v>
      </c>
      <c r="N470" s="7">
        <v>750</v>
      </c>
      <c r="O470" s="7">
        <v>725</v>
      </c>
      <c r="P470" s="7">
        <v>730</v>
      </c>
      <c r="Q470" s="7">
        <v>805</v>
      </c>
      <c r="R470" s="7">
        <v>795</v>
      </c>
      <c r="S470" s="7">
        <v>820</v>
      </c>
    </row>
    <row r="471">
      <c r="A471" s="16" t="s">
        <v>383</v>
      </c>
      <c r="B471" s="2" t="s">
        <v>365</v>
      </c>
      <c r="C471" s="7">
        <v>245</v>
      </c>
      <c r="D471" s="7">
        <v>260</v>
      </c>
      <c r="E471" s="7">
        <v>200</v>
      </c>
      <c r="F471" s="7">
        <v>190</v>
      </c>
      <c r="G471" s="7">
        <v>145</v>
      </c>
      <c r="H471" s="7">
        <v>295</v>
      </c>
      <c r="I471" s="7">
        <v>405</v>
      </c>
      <c r="J471" s="7">
        <v>710</v>
      </c>
      <c r="K471" s="7">
        <v>515</v>
      </c>
      <c r="L471" s="7">
        <v>305</v>
      </c>
      <c r="M471" s="7">
        <v>425</v>
      </c>
      <c r="N471" s="7">
        <v>635</v>
      </c>
      <c r="O471" s="7">
        <v>800</v>
      </c>
      <c r="P471" s="7">
        <v>1040</v>
      </c>
      <c r="Q471" s="7">
        <v>855</v>
      </c>
      <c r="R471" s="7">
        <v>700</v>
      </c>
      <c r="S471" s="7">
        <v>775</v>
      </c>
    </row>
    <row r="472">
      <c r="A472" s="16" t="s">
        <v>384</v>
      </c>
      <c r="B472" s="2" t="s">
        <v>365</v>
      </c>
      <c r="C472" s="7">
        <v>700</v>
      </c>
      <c r="D472" s="7">
        <v>755</v>
      </c>
      <c r="E472" s="7">
        <v>740</v>
      </c>
      <c r="F472" s="7">
        <v>790</v>
      </c>
      <c r="G472" s="7">
        <v>605</v>
      </c>
      <c r="H472" s="7">
        <v>715</v>
      </c>
      <c r="I472" s="7">
        <v>625</v>
      </c>
      <c r="J472" s="7">
        <v>725</v>
      </c>
      <c r="K472" s="7">
        <v>800</v>
      </c>
      <c r="L472" s="7">
        <v>805</v>
      </c>
      <c r="M472" s="7">
        <v>835</v>
      </c>
      <c r="N472" s="7">
        <v>735</v>
      </c>
      <c r="O472" s="7">
        <v>725</v>
      </c>
      <c r="P472" s="7">
        <v>740</v>
      </c>
      <c r="Q472" s="7">
        <v>675</v>
      </c>
      <c r="R472" s="7">
        <v>680</v>
      </c>
      <c r="S472" s="7">
        <v>725</v>
      </c>
    </row>
    <row r="473">
      <c r="A473" s="16" t="s">
        <v>385</v>
      </c>
      <c r="B473" s="2" t="s">
        <v>365</v>
      </c>
      <c r="C473" s="7">
        <v>535</v>
      </c>
      <c r="D473" s="7">
        <v>500</v>
      </c>
      <c r="E473" s="7">
        <v>545</v>
      </c>
      <c r="F473" s="7">
        <v>545</v>
      </c>
      <c r="G473" s="7">
        <v>565</v>
      </c>
      <c r="H473" s="7">
        <v>600</v>
      </c>
      <c r="I473" s="7">
        <v>585</v>
      </c>
      <c r="J473" s="7">
        <v>715</v>
      </c>
      <c r="K473" s="7">
        <v>710</v>
      </c>
      <c r="L473" s="7">
        <v>660</v>
      </c>
      <c r="M473" s="7">
        <v>715</v>
      </c>
      <c r="N473" s="7">
        <v>880</v>
      </c>
      <c r="O473" s="7">
        <v>650</v>
      </c>
      <c r="P473" s="7">
        <v>620</v>
      </c>
      <c r="Q473" s="7">
        <v>750</v>
      </c>
      <c r="R473" s="7">
        <v>685</v>
      </c>
      <c r="S473" s="7">
        <v>725</v>
      </c>
    </row>
    <row r="474">
      <c r="A474" s="16" t="s">
        <v>386</v>
      </c>
      <c r="B474" s="2" t="s">
        <v>365</v>
      </c>
      <c r="C474" s="7">
        <v>190</v>
      </c>
      <c r="D474" s="7">
        <v>215</v>
      </c>
      <c r="E474" s="7">
        <v>175</v>
      </c>
      <c r="F474" s="7">
        <v>165</v>
      </c>
      <c r="G474" s="7">
        <v>125</v>
      </c>
      <c r="H474" s="7">
        <v>130</v>
      </c>
      <c r="I474" s="7">
        <v>100</v>
      </c>
      <c r="J474" s="7">
        <v>180</v>
      </c>
      <c r="K474" s="7">
        <v>150</v>
      </c>
      <c r="L474" s="7">
        <v>225</v>
      </c>
      <c r="M474" s="7">
        <v>210</v>
      </c>
      <c r="N474" s="7">
        <v>325</v>
      </c>
      <c r="O474" s="7">
        <v>500</v>
      </c>
      <c r="P474" s="7">
        <v>335</v>
      </c>
      <c r="Q474" s="7">
        <v>520</v>
      </c>
      <c r="R474" s="7">
        <v>560</v>
      </c>
      <c r="S474" s="7">
        <v>575</v>
      </c>
    </row>
    <row r="475">
      <c r="A475" s="16" t="s">
        <v>387</v>
      </c>
      <c r="B475" s="2" t="s">
        <v>365</v>
      </c>
      <c r="C475" s="7">
        <v>285</v>
      </c>
      <c r="D475" s="7">
        <v>310</v>
      </c>
      <c r="E475" s="7">
        <v>305</v>
      </c>
      <c r="F475" s="7">
        <v>305</v>
      </c>
      <c r="G475" s="7">
        <v>330</v>
      </c>
      <c r="H475" s="7">
        <v>358</v>
      </c>
      <c r="I475" s="7">
        <v>405</v>
      </c>
      <c r="J475" s="7">
        <v>425</v>
      </c>
      <c r="K475" s="7">
        <v>435</v>
      </c>
      <c r="L475" s="7">
        <v>450</v>
      </c>
      <c r="M475" s="7">
        <v>525</v>
      </c>
      <c r="N475" s="7">
        <v>515</v>
      </c>
      <c r="O475" s="7">
        <v>515</v>
      </c>
      <c r="P475" s="7">
        <v>462</v>
      </c>
      <c r="Q475" s="7">
        <v>505</v>
      </c>
      <c r="R475" s="7">
        <v>515</v>
      </c>
      <c r="S475" s="7">
        <v>540</v>
      </c>
    </row>
    <row r="476">
      <c r="A476" s="16" t="s">
        <v>388</v>
      </c>
      <c r="B476" s="2" t="s">
        <v>365</v>
      </c>
      <c r="C476" s="7">
        <v>300</v>
      </c>
      <c r="D476" s="7">
        <v>340</v>
      </c>
      <c r="E476" s="7">
        <v>340</v>
      </c>
      <c r="F476" s="7">
        <v>350</v>
      </c>
      <c r="G476" s="7">
        <v>350</v>
      </c>
      <c r="H476" s="7">
        <v>360</v>
      </c>
      <c r="I476" s="7">
        <v>335</v>
      </c>
      <c r="J476" s="7">
        <v>340</v>
      </c>
      <c r="K476" s="7">
        <v>345</v>
      </c>
      <c r="L476" s="7">
        <v>330</v>
      </c>
      <c r="M476" s="7">
        <v>345</v>
      </c>
      <c r="N476" s="7">
        <v>305</v>
      </c>
      <c r="O476" s="7">
        <v>305</v>
      </c>
      <c r="P476" s="7">
        <v>300</v>
      </c>
      <c r="Q476" s="7">
        <v>290</v>
      </c>
      <c r="R476" s="7">
        <v>300</v>
      </c>
      <c r="S476" s="7">
        <v>300</v>
      </c>
    </row>
    <row r="477">
      <c r="A477" s="16" t="s">
        <v>389</v>
      </c>
      <c r="B477" s="2" t="s">
        <v>365</v>
      </c>
      <c r="C477" s="7">
        <v>200</v>
      </c>
      <c r="D477" s="7">
        <v>165</v>
      </c>
      <c r="E477" s="7">
        <v>250</v>
      </c>
      <c r="F477" s="7">
        <v>210</v>
      </c>
      <c r="G477" s="7">
        <v>205</v>
      </c>
      <c r="H477" s="7">
        <v>250</v>
      </c>
      <c r="I477" s="7">
        <v>215</v>
      </c>
      <c r="J477" s="7">
        <v>245</v>
      </c>
      <c r="K477" s="7">
        <v>240</v>
      </c>
      <c r="L477" s="7">
        <v>245</v>
      </c>
      <c r="M477" s="7">
        <v>215</v>
      </c>
      <c r="N477" s="7">
        <v>200</v>
      </c>
      <c r="O477" s="7">
        <v>260</v>
      </c>
      <c r="P477" s="7">
        <v>205</v>
      </c>
      <c r="Q477" s="7">
        <v>250</v>
      </c>
      <c r="R477" s="7">
        <v>230</v>
      </c>
      <c r="S477" s="7">
        <v>250</v>
      </c>
    </row>
    <row r="478">
      <c r="A478" s="16" t="s">
        <v>390</v>
      </c>
      <c r="B478" s="2" t="s">
        <v>365</v>
      </c>
      <c r="C478" s="7">
        <v>190</v>
      </c>
      <c r="D478" s="7">
        <v>170</v>
      </c>
      <c r="E478" s="7">
        <v>140</v>
      </c>
      <c r="F478" s="7">
        <v>200</v>
      </c>
      <c r="G478" s="7">
        <v>180</v>
      </c>
      <c r="H478" s="7">
        <v>190</v>
      </c>
      <c r="I478" s="7">
        <v>170</v>
      </c>
      <c r="J478" s="7">
        <v>100</v>
      </c>
      <c r="K478" s="7">
        <v>200</v>
      </c>
      <c r="L478" s="7">
        <v>200</v>
      </c>
      <c r="M478" s="7">
        <v>180</v>
      </c>
      <c r="N478" s="7">
        <v>220</v>
      </c>
      <c r="O478" s="7">
        <v>240</v>
      </c>
      <c r="P478" s="7">
        <v>180</v>
      </c>
      <c r="Q478" s="7">
        <v>200</v>
      </c>
      <c r="R478" s="7">
        <v>220</v>
      </c>
      <c r="S478" s="7">
        <v>230</v>
      </c>
    </row>
    <row r="479">
      <c r="A479" s="16" t="s">
        <v>391</v>
      </c>
      <c r="B479" s="2" t="s">
        <v>365</v>
      </c>
      <c r="C479" s="7">
        <v>85</v>
      </c>
      <c r="D479" s="7">
        <v>100</v>
      </c>
      <c r="E479" s="7">
        <v>75</v>
      </c>
      <c r="F479" s="7">
        <v>90</v>
      </c>
      <c r="G479" s="7">
        <v>100</v>
      </c>
      <c r="H479" s="7">
        <v>100</v>
      </c>
      <c r="I479" s="7">
        <v>105</v>
      </c>
      <c r="J479" s="7">
        <v>105</v>
      </c>
      <c r="K479" s="7">
        <v>100</v>
      </c>
      <c r="L479" s="7">
        <v>90</v>
      </c>
      <c r="M479" s="7">
        <v>100</v>
      </c>
      <c r="N479" s="7">
        <v>85</v>
      </c>
      <c r="O479" s="7">
        <v>35</v>
      </c>
      <c r="P479" s="7">
        <v>20</v>
      </c>
      <c r="Q479" s="7">
        <v>80</v>
      </c>
      <c r="R479" s="7">
        <v>110</v>
      </c>
      <c r="S479" s="7">
        <v>125</v>
      </c>
    </row>
    <row r="480">
      <c r="A480" s="16" t="s">
        <v>392</v>
      </c>
      <c r="B480" s="2" t="s">
        <v>365</v>
      </c>
      <c r="C480" s="7">
        <v>25</v>
      </c>
      <c r="D480" s="7">
        <v>150</v>
      </c>
      <c r="E480" s="7">
        <v>115</v>
      </c>
      <c r="F480" s="7">
        <v>120</v>
      </c>
      <c r="G480" s="7">
        <v>150</v>
      </c>
      <c r="H480" s="7">
        <v>140</v>
      </c>
      <c r="I480" s="7">
        <v>105</v>
      </c>
      <c r="J480" s="7">
        <v>95</v>
      </c>
      <c r="K480" s="7">
        <v>190</v>
      </c>
      <c r="L480" s="7">
        <v>100</v>
      </c>
      <c r="M480" s="7">
        <v>90</v>
      </c>
      <c r="N480" s="7">
        <v>100</v>
      </c>
      <c r="O480" s="7">
        <v>110</v>
      </c>
      <c r="P480" s="7">
        <v>95</v>
      </c>
      <c r="Q480" s="7">
        <v>100</v>
      </c>
      <c r="R480" s="7">
        <v>100</v>
      </c>
      <c r="S480" s="7">
        <v>110</v>
      </c>
    </row>
    <row r="481">
      <c r="A481" s="16" t="s">
        <v>393</v>
      </c>
      <c r="B481" s="2" t="s">
        <v>365</v>
      </c>
      <c r="C481" s="7">
        <v>0</v>
      </c>
      <c r="D481" s="7">
        <v>0</v>
      </c>
      <c r="E481" s="7">
        <v>0</v>
      </c>
      <c r="F481" s="7">
        <v>0</v>
      </c>
      <c r="G481" s="7">
        <v>100</v>
      </c>
      <c r="H481" s="7">
        <v>105</v>
      </c>
      <c r="I481" s="7">
        <v>95</v>
      </c>
      <c r="J481" s="7">
        <v>90</v>
      </c>
      <c r="K481" s="7">
        <v>45</v>
      </c>
      <c r="L481" s="7">
        <v>80</v>
      </c>
      <c r="M481" s="7">
        <v>85</v>
      </c>
      <c r="N481" s="7">
        <v>50</v>
      </c>
      <c r="O481" s="7">
        <v>15</v>
      </c>
      <c r="P481" s="7">
        <v>5</v>
      </c>
      <c r="Q481" s="7">
        <v>35</v>
      </c>
      <c r="R481" s="7">
        <v>75</v>
      </c>
      <c r="S481" s="7">
        <v>100</v>
      </c>
    </row>
    <row r="482">
      <c r="A482" s="16" t="s">
        <v>394</v>
      </c>
      <c r="B482" s="2" t="s">
        <v>365</v>
      </c>
      <c r="C482" s="7">
        <v>55</v>
      </c>
      <c r="D482" s="7">
        <v>60</v>
      </c>
      <c r="E482" s="7">
        <v>60</v>
      </c>
      <c r="F482" s="7">
        <v>75</v>
      </c>
      <c r="G482" s="7">
        <v>75</v>
      </c>
      <c r="H482" s="7">
        <v>75</v>
      </c>
      <c r="I482" s="7">
        <v>80</v>
      </c>
      <c r="J482" s="7">
        <v>80</v>
      </c>
      <c r="K482" s="7">
        <v>90</v>
      </c>
      <c r="L482" s="7">
        <v>80</v>
      </c>
      <c r="M482" s="7">
        <v>85</v>
      </c>
      <c r="N482" s="7">
        <v>95</v>
      </c>
      <c r="O482" s="7">
        <v>95</v>
      </c>
      <c r="P482" s="7">
        <v>80</v>
      </c>
      <c r="Q482" s="7">
        <v>75</v>
      </c>
      <c r="R482" s="7">
        <v>80</v>
      </c>
      <c r="S482" s="7">
        <v>90</v>
      </c>
    </row>
    <row r="483">
      <c r="A483" s="16" t="s">
        <v>395</v>
      </c>
      <c r="B483" s="2" t="s">
        <v>365</v>
      </c>
      <c r="C483" s="7">
        <v>105</v>
      </c>
      <c r="D483" s="7">
        <v>110</v>
      </c>
      <c r="E483" s="7">
        <v>120</v>
      </c>
      <c r="F483" s="7">
        <v>110</v>
      </c>
      <c r="G483" s="7">
        <v>100</v>
      </c>
      <c r="H483" s="7">
        <v>105</v>
      </c>
      <c r="I483" s="7">
        <v>105</v>
      </c>
      <c r="J483" s="7">
        <v>100</v>
      </c>
      <c r="K483" s="7">
        <v>105</v>
      </c>
      <c r="L483" s="7">
        <v>100</v>
      </c>
      <c r="M483" s="7">
        <v>90</v>
      </c>
      <c r="N483" s="7">
        <v>77</v>
      </c>
      <c r="O483" s="7">
        <v>85</v>
      </c>
      <c r="P483" s="7">
        <v>85</v>
      </c>
      <c r="Q483" s="7">
        <v>75</v>
      </c>
      <c r="R483" s="7">
        <v>75</v>
      </c>
      <c r="S483" s="7">
        <v>80</v>
      </c>
    </row>
    <row r="484">
      <c r="A484" s="16" t="s">
        <v>396</v>
      </c>
      <c r="B484" s="2" t="s">
        <v>365</v>
      </c>
      <c r="C484" s="7">
        <v>50</v>
      </c>
      <c r="D484" s="7">
        <v>90</v>
      </c>
      <c r="E484" s="7">
        <v>125</v>
      </c>
      <c r="F484" s="7">
        <v>135</v>
      </c>
      <c r="G484" s="7">
        <v>105</v>
      </c>
      <c r="H484" s="7">
        <v>120</v>
      </c>
      <c r="I484" s="7">
        <v>115</v>
      </c>
      <c r="J484" s="7">
        <v>110</v>
      </c>
      <c r="K484" s="7">
        <v>95</v>
      </c>
      <c r="L484" s="7">
        <v>90</v>
      </c>
      <c r="M484" s="7">
        <v>70</v>
      </c>
      <c r="N484" s="7">
        <v>65</v>
      </c>
      <c r="O484" s="7">
        <v>60</v>
      </c>
      <c r="P484" s="7">
        <v>70</v>
      </c>
      <c r="Q484" s="7">
        <v>65</v>
      </c>
      <c r="R484" s="7">
        <v>70</v>
      </c>
      <c r="S484" s="7">
        <v>75</v>
      </c>
    </row>
    <row r="485">
      <c r="A485" s="16" t="s">
        <v>397</v>
      </c>
      <c r="B485" s="2" t="s">
        <v>365</v>
      </c>
      <c r="C485" s="7">
        <v>15</v>
      </c>
      <c r="D485" s="7">
        <v>15</v>
      </c>
      <c r="E485" s="7">
        <v>20</v>
      </c>
      <c r="F485" s="7">
        <v>20</v>
      </c>
      <c r="G485" s="7">
        <v>15</v>
      </c>
      <c r="H485" s="7">
        <v>20</v>
      </c>
      <c r="I485" s="7">
        <v>15</v>
      </c>
      <c r="J485" s="7">
        <v>20</v>
      </c>
      <c r="K485" s="7">
        <v>20</v>
      </c>
      <c r="L485" s="7">
        <v>20</v>
      </c>
      <c r="M485" s="7">
        <v>35</v>
      </c>
      <c r="N485" s="7">
        <v>40</v>
      </c>
      <c r="O485" s="7">
        <v>35</v>
      </c>
      <c r="P485" s="7">
        <v>35</v>
      </c>
      <c r="Q485" s="7">
        <v>35</v>
      </c>
      <c r="R485" s="7">
        <v>35</v>
      </c>
      <c r="S485" s="7">
        <v>50</v>
      </c>
    </row>
    <row r="486">
      <c r="A486" s="16" t="s">
        <v>398</v>
      </c>
      <c r="B486" s="2" t="s">
        <v>365</v>
      </c>
      <c r="C486" s="7">
        <v>155</v>
      </c>
      <c r="D486" s="7">
        <v>90</v>
      </c>
      <c r="E486" s="7">
        <v>70</v>
      </c>
      <c r="F486" s="7">
        <v>60</v>
      </c>
      <c r="G486" s="7">
        <v>50</v>
      </c>
      <c r="H486" s="7">
        <v>45</v>
      </c>
      <c r="I486" s="7">
        <v>45</v>
      </c>
      <c r="J486" s="7">
        <v>40</v>
      </c>
      <c r="K486" s="7">
        <v>50</v>
      </c>
      <c r="L486" s="7">
        <v>35</v>
      </c>
      <c r="M486" s="7">
        <v>40</v>
      </c>
      <c r="N486" s="7">
        <v>40</v>
      </c>
      <c r="O486" s="7">
        <v>40</v>
      </c>
      <c r="P486" s="7">
        <v>40</v>
      </c>
      <c r="Q486" s="7">
        <v>45</v>
      </c>
      <c r="R486" s="7">
        <v>40</v>
      </c>
      <c r="S486" s="7">
        <v>45</v>
      </c>
    </row>
    <row r="487">
      <c r="A487" s="16" t="s">
        <v>399</v>
      </c>
      <c r="B487" s="2" t="s">
        <v>365</v>
      </c>
      <c r="C487" s="7">
        <v>0</v>
      </c>
      <c r="D487" s="7">
        <v>0</v>
      </c>
      <c r="E487" s="7">
        <v>0</v>
      </c>
      <c r="F487" s="7">
        <v>0</v>
      </c>
      <c r="G487" s="7">
        <v>0</v>
      </c>
      <c r="H487" s="7">
        <v>0</v>
      </c>
      <c r="I487" s="7">
        <v>0</v>
      </c>
      <c r="J487" s="7">
        <v>0</v>
      </c>
      <c r="K487" s="7">
        <v>0</v>
      </c>
      <c r="L487" s="7">
        <v>0</v>
      </c>
      <c r="M487" s="7">
        <v>0</v>
      </c>
      <c r="N487" s="7">
        <v>0</v>
      </c>
      <c r="O487" s="7">
        <v>0</v>
      </c>
      <c r="P487" s="7">
        <v>0</v>
      </c>
      <c r="Q487" s="7">
        <v>0</v>
      </c>
      <c r="R487" s="7">
        <v>0</v>
      </c>
      <c r="S487" s="7">
        <v>0</v>
      </c>
    </row>
    <row r="488">
      <c r="A488" s="16" t="s">
        <v>400</v>
      </c>
      <c r="B488" s="2" t="s">
        <v>365</v>
      </c>
      <c r="C488" s="7">
        <v>0</v>
      </c>
      <c r="D488" s="7">
        <v>0</v>
      </c>
      <c r="E488" s="7">
        <v>0</v>
      </c>
      <c r="F488" s="7">
        <v>0</v>
      </c>
      <c r="G488" s="7">
        <v>0</v>
      </c>
      <c r="H488" s="7">
        <v>0</v>
      </c>
      <c r="I488" s="7">
        <v>0</v>
      </c>
      <c r="J488" s="7">
        <v>0</v>
      </c>
      <c r="K488" s="7">
        <v>0</v>
      </c>
      <c r="L488" s="7">
        <v>0</v>
      </c>
      <c r="M488" s="7">
        <v>0</v>
      </c>
      <c r="N488" s="7">
        <v>0</v>
      </c>
      <c r="O488" s="7">
        <v>0</v>
      </c>
      <c r="P488" s="7">
        <v>0</v>
      </c>
      <c r="Q488" s="7">
        <v>0</v>
      </c>
      <c r="R488" s="7">
        <v>0</v>
      </c>
      <c r="S488" s="7">
        <v>0</v>
      </c>
    </row>
    <row r="489">
      <c r="A489" s="16" t="s">
        <v>401</v>
      </c>
      <c r="B489" s="2" t="s">
        <v>365</v>
      </c>
      <c r="C489" s="7">
        <v>0</v>
      </c>
      <c r="D489" s="7">
        <v>0</v>
      </c>
      <c r="E489" s="7">
        <v>0</v>
      </c>
      <c r="F489" s="7">
        <v>0</v>
      </c>
      <c r="G489" s="7">
        <v>0</v>
      </c>
      <c r="H489" s="7">
        <v>0</v>
      </c>
      <c r="I489" s="7">
        <v>0</v>
      </c>
      <c r="J489" s="7">
        <v>0</v>
      </c>
      <c r="K489" s="7">
        <v>0</v>
      </c>
      <c r="L489" s="7">
        <v>0</v>
      </c>
      <c r="M489" s="7">
        <v>0</v>
      </c>
      <c r="N489" s="7">
        <v>0</v>
      </c>
      <c r="O489" s="7">
        <v>0</v>
      </c>
      <c r="P489" s="7">
        <v>0</v>
      </c>
      <c r="Q489" s="7">
        <v>0</v>
      </c>
      <c r="R489" s="7">
        <v>0</v>
      </c>
      <c r="S489" s="7">
        <v>0</v>
      </c>
    </row>
    <row r="490">
      <c r="A490" s="16" t="s">
        <v>402</v>
      </c>
      <c r="B490" s="2" t="s">
        <v>365</v>
      </c>
      <c r="C490" s="7">
        <v>0</v>
      </c>
      <c r="D490" s="7">
        <v>0</v>
      </c>
      <c r="E490" s="7">
        <v>0</v>
      </c>
      <c r="F490" s="7">
        <v>0</v>
      </c>
      <c r="G490" s="7">
        <v>0</v>
      </c>
      <c r="H490" s="7">
        <v>0</v>
      </c>
      <c r="I490" s="7">
        <v>0</v>
      </c>
      <c r="J490" s="7">
        <v>0</v>
      </c>
      <c r="K490" s="7">
        <v>0</v>
      </c>
      <c r="L490" s="7">
        <v>0</v>
      </c>
      <c r="M490" s="7">
        <v>0</v>
      </c>
      <c r="N490" s="7">
        <v>0</v>
      </c>
      <c r="O490" s="7">
        <v>0</v>
      </c>
      <c r="P490" s="7">
        <v>0</v>
      </c>
      <c r="Q490" s="7">
        <v>0</v>
      </c>
      <c r="R490" s="7">
        <v>0</v>
      </c>
      <c r="S490" s="7">
        <v>0</v>
      </c>
    </row>
    <row r="491">
      <c r="A491" s="16" t="s">
        <v>403</v>
      </c>
      <c r="B491" s="2" t="s">
        <v>365</v>
      </c>
      <c r="C491" s="7">
        <v>0</v>
      </c>
      <c r="D491" s="7">
        <v>0</v>
      </c>
      <c r="E491" s="7">
        <v>0</v>
      </c>
      <c r="F491" s="7">
        <v>0</v>
      </c>
      <c r="G491" s="7">
        <v>0</v>
      </c>
      <c r="H491" s="7">
        <v>0</v>
      </c>
      <c r="I491" s="7">
        <v>0</v>
      </c>
      <c r="J491" s="7">
        <v>0</v>
      </c>
      <c r="K491" s="7">
        <v>0</v>
      </c>
      <c r="L491" s="7">
        <v>0</v>
      </c>
      <c r="M491" s="7">
        <v>0</v>
      </c>
      <c r="N491" s="7">
        <v>0</v>
      </c>
      <c r="O491" s="7">
        <v>0</v>
      </c>
      <c r="P491" s="7">
        <v>0</v>
      </c>
      <c r="Q491" s="7">
        <v>0</v>
      </c>
      <c r="R491" s="7">
        <v>0</v>
      </c>
      <c r="S491" s="7">
        <v>0</v>
      </c>
    </row>
    <row r="492">
      <c r="A492" s="16" t="s">
        <v>404</v>
      </c>
      <c r="B492" s="2" t="s">
        <v>365</v>
      </c>
      <c r="C492" s="7">
        <v>0</v>
      </c>
      <c r="D492" s="7">
        <v>0</v>
      </c>
      <c r="E492" s="7">
        <v>0</v>
      </c>
      <c r="F492" s="7">
        <v>0</v>
      </c>
      <c r="G492" s="7">
        <v>0</v>
      </c>
      <c r="H492" s="7">
        <v>0</v>
      </c>
      <c r="I492" s="7">
        <v>0</v>
      </c>
      <c r="J492" s="7">
        <v>0</v>
      </c>
      <c r="K492" s="7">
        <v>0</v>
      </c>
      <c r="L492" s="7">
        <v>0</v>
      </c>
      <c r="M492" s="7">
        <v>0</v>
      </c>
      <c r="N492" s="7">
        <v>0</v>
      </c>
      <c r="O492" s="7">
        <v>0</v>
      </c>
      <c r="P492" s="7">
        <v>0</v>
      </c>
      <c r="Q492" s="7">
        <v>0</v>
      </c>
      <c r="R492" s="7">
        <v>0</v>
      </c>
      <c r="S492" s="7">
        <v>0</v>
      </c>
    </row>
    <row r="493">
      <c r="A493" s="16" t="s">
        <v>405</v>
      </c>
      <c r="B493" s="2" t="s">
        <v>365</v>
      </c>
      <c r="C493" s="7">
        <v>0</v>
      </c>
      <c r="D493" s="7">
        <v>0</v>
      </c>
      <c r="E493" s="7">
        <v>0</v>
      </c>
      <c r="F493" s="7">
        <v>0</v>
      </c>
      <c r="G493" s="7">
        <v>0</v>
      </c>
      <c r="H493" s="7">
        <v>0</v>
      </c>
      <c r="I493" s="7">
        <v>0</v>
      </c>
      <c r="J493" s="7">
        <v>0</v>
      </c>
      <c r="K493" s="7">
        <v>0</v>
      </c>
      <c r="L493" s="7">
        <v>0</v>
      </c>
      <c r="M493" s="7">
        <v>0</v>
      </c>
      <c r="N493" s="7">
        <v>0</v>
      </c>
      <c r="O493" s="7">
        <v>0</v>
      </c>
      <c r="P493" s="7">
        <v>0</v>
      </c>
      <c r="Q493" s="7">
        <v>0</v>
      </c>
      <c r="R493" s="7">
        <v>0</v>
      </c>
      <c r="S493" s="7">
        <v>0</v>
      </c>
    </row>
    <row r="494">
      <c r="A494" s="16" t="s">
        <v>406</v>
      </c>
      <c r="B494" s="2" t="s">
        <v>365</v>
      </c>
      <c r="C494" s="7">
        <v>0</v>
      </c>
      <c r="D494" s="7">
        <v>0</v>
      </c>
      <c r="E494" s="7">
        <v>0</v>
      </c>
      <c r="F494" s="7">
        <v>0</v>
      </c>
      <c r="G494" s="7">
        <v>0</v>
      </c>
      <c r="H494" s="7">
        <v>0</v>
      </c>
      <c r="I494" s="7">
        <v>0</v>
      </c>
      <c r="J494" s="7">
        <v>0</v>
      </c>
      <c r="K494" s="7">
        <v>0</v>
      </c>
      <c r="L494" s="7">
        <v>0</v>
      </c>
      <c r="M494" s="7">
        <v>0</v>
      </c>
      <c r="N494" s="7">
        <v>0</v>
      </c>
      <c r="O494" s="7">
        <v>0</v>
      </c>
      <c r="P494" s="7">
        <v>0</v>
      </c>
      <c r="Q494" s="7">
        <v>0</v>
      </c>
      <c r="R494" s="7">
        <v>0</v>
      </c>
      <c r="S494" s="7">
        <v>0</v>
      </c>
    </row>
    <row r="495">
      <c r="A495" s="16" t="s">
        <v>407</v>
      </c>
      <c r="B495" s="2" t="s">
        <v>365</v>
      </c>
      <c r="C495" s="7">
        <v>0</v>
      </c>
      <c r="D495" s="7">
        <v>0</v>
      </c>
      <c r="E495" s="7">
        <v>0</v>
      </c>
      <c r="F495" s="7">
        <v>0</v>
      </c>
      <c r="G495" s="7">
        <v>0</v>
      </c>
      <c r="H495" s="7">
        <v>0</v>
      </c>
      <c r="I495" s="7">
        <v>0</v>
      </c>
      <c r="J495" s="7">
        <v>0</v>
      </c>
      <c r="K495" s="7">
        <v>0</v>
      </c>
      <c r="L495" s="7">
        <v>0</v>
      </c>
      <c r="M495" s="7">
        <v>0</v>
      </c>
      <c r="N495" s="7">
        <v>0</v>
      </c>
      <c r="O495" s="7">
        <v>0</v>
      </c>
      <c r="P495" s="7">
        <v>0</v>
      </c>
      <c r="Q495" s="7">
        <v>0</v>
      </c>
      <c r="R495" s="7">
        <v>0</v>
      </c>
      <c r="S495" s="7">
        <v>0</v>
      </c>
    </row>
    <row r="496">
      <c r="A496" s="16" t="s">
        <v>408</v>
      </c>
      <c r="B496" s="2" t="s">
        <v>365</v>
      </c>
      <c r="C496" s="7">
        <v>0</v>
      </c>
      <c r="D496" s="7">
        <v>0</v>
      </c>
      <c r="E496" s="7">
        <v>0</v>
      </c>
      <c r="F496" s="7">
        <v>0</v>
      </c>
      <c r="G496" s="7">
        <v>0</v>
      </c>
      <c r="H496" s="7">
        <v>0</v>
      </c>
      <c r="I496" s="7">
        <v>0</v>
      </c>
      <c r="J496" s="7">
        <v>0</v>
      </c>
      <c r="K496" s="7">
        <v>0</v>
      </c>
      <c r="L496" s="7">
        <v>0</v>
      </c>
      <c r="M496" s="7">
        <v>0</v>
      </c>
      <c r="N496" s="7">
        <v>0</v>
      </c>
      <c r="O496" s="7">
        <v>0</v>
      </c>
      <c r="P496" s="7">
        <v>0</v>
      </c>
      <c r="Q496" s="7">
        <v>0</v>
      </c>
      <c r="R496" s="7">
        <v>0</v>
      </c>
      <c r="S496" s="7">
        <v>0</v>
      </c>
    </row>
    <row r="497">
      <c r="A497" s="16" t="s">
        <v>409</v>
      </c>
      <c r="B497" s="2" t="s">
        <v>365</v>
      </c>
      <c r="C497" s="7">
        <v>0</v>
      </c>
      <c r="D497" s="7">
        <v>0</v>
      </c>
      <c r="E497" s="7">
        <v>0</v>
      </c>
      <c r="F497" s="7">
        <v>0</v>
      </c>
      <c r="G497" s="7">
        <v>0</v>
      </c>
      <c r="H497" s="7">
        <v>0</v>
      </c>
      <c r="I497" s="7">
        <v>0</v>
      </c>
      <c r="J497" s="7">
        <v>0</v>
      </c>
      <c r="K497" s="7">
        <v>0</v>
      </c>
      <c r="L497" s="7">
        <v>0</v>
      </c>
      <c r="M497" s="7">
        <v>0</v>
      </c>
      <c r="N497" s="7">
        <v>0</v>
      </c>
      <c r="O497" s="7">
        <v>0</v>
      </c>
      <c r="P497" s="7">
        <v>0</v>
      </c>
      <c r="Q497" s="7">
        <v>0</v>
      </c>
      <c r="R497" s="7">
        <v>0</v>
      </c>
      <c r="S497" s="7">
        <v>0</v>
      </c>
    </row>
    <row r="498">
      <c r="A498" s="16" t="s">
        <v>410</v>
      </c>
      <c r="B498" s="2" t="s">
        <v>365</v>
      </c>
      <c r="C498" s="7">
        <v>0</v>
      </c>
      <c r="D498" s="7">
        <v>0</v>
      </c>
      <c r="E498" s="7">
        <v>0</v>
      </c>
      <c r="F498" s="7">
        <v>0</v>
      </c>
      <c r="G498" s="7">
        <v>0</v>
      </c>
      <c r="H498" s="7">
        <v>0</v>
      </c>
      <c r="I498" s="7">
        <v>0</v>
      </c>
      <c r="J498" s="7">
        <v>0</v>
      </c>
      <c r="K498" s="7">
        <v>0</v>
      </c>
      <c r="L498" s="7">
        <v>0</v>
      </c>
      <c r="M498" s="7">
        <v>0</v>
      </c>
      <c r="N498" s="7">
        <v>0</v>
      </c>
      <c r="O498" s="7">
        <v>0</v>
      </c>
      <c r="P498" s="7">
        <v>0</v>
      </c>
      <c r="Q498" s="7">
        <v>0</v>
      </c>
      <c r="R498" s="7">
        <v>0</v>
      </c>
      <c r="S498" s="7">
        <v>0</v>
      </c>
    </row>
    <row r="499">
      <c r="A499" s="17" t="s">
        <v>411</v>
      </c>
      <c r="C499" s="19">
        <f>SUM(C406:C452)</f>
        <v>33971</v>
      </c>
      <c r="D499" s="19">
        <f>SUM(D406:D452)</f>
        <v>37478</v>
      </c>
      <c r="E499" s="19">
        <f>SUM(E406:E452)</f>
        <v>39338</v>
      </c>
      <c r="F499" s="19">
        <f>SUM(F406:F452)</f>
        <v>39977</v>
      </c>
      <c r="G499" s="19">
        <f>SUM(G406:G452)</f>
        <v>39617</v>
      </c>
      <c r="H499" s="19">
        <f>SUM(H406:H452)</f>
        <v>44197</v>
      </c>
      <c r="I499" s="19">
        <f>SUM(I406:I452)</f>
        <v>44559</v>
      </c>
      <c r="J499" s="19">
        <f>SUM(J406:J452)</f>
        <v>44345</v>
      </c>
      <c r="K499" s="19">
        <f>SUM(K406:K452)</f>
        <v>48561</v>
      </c>
      <c r="L499" s="19">
        <f>SUM(L406:L452)</f>
        <v>44254</v>
      </c>
      <c r="M499" s="19">
        <f>SUM(M406:M452)</f>
        <v>46212</v>
      </c>
      <c r="N499" s="19">
        <f>SUM(N406:N452)</f>
        <v>49648</v>
      </c>
      <c r="O499" s="19">
        <f>SUM(O406:O452)</f>
        <v>45514</v>
      </c>
      <c r="P499" s="19">
        <f>SUM(P406:P452)</f>
        <v>46438</v>
      </c>
      <c r="Q499" s="19">
        <f>SUM(Q406:Q452)</f>
        <v>48849</v>
      </c>
      <c r="R499" s="19">
        <f>SUM(R406:R452)</f>
        <v>50406</v>
      </c>
      <c r="S499" s="19">
        <f>SUM(S406:S452)</f>
        <v>52391</v>
      </c>
    </row>
    <row r="500">
      <c r="A500" s="17" t="s">
        <v>412</v>
      </c>
      <c r="C500" s="19">
        <f>SUM(C453:C498)</f>
        <v>76895</v>
      </c>
      <c r="D500" s="19">
        <f>SUM(D453:D498)</f>
        <v>75655</v>
      </c>
      <c r="E500" s="19">
        <f>SUM(E453:E498)</f>
        <v>78900</v>
      </c>
      <c r="F500" s="19">
        <f>SUM(F453:F498)</f>
        <v>78925</v>
      </c>
      <c r="G500" s="19">
        <f>SUM(G453:G498)</f>
        <v>79725</v>
      </c>
      <c r="H500" s="19">
        <f>SUM(H453:H498)</f>
        <v>82224</v>
      </c>
      <c r="I500" s="19">
        <f>SUM(I453:I498)</f>
        <v>84574</v>
      </c>
      <c r="J500" s="19">
        <f>SUM(J453:J498)</f>
        <v>86140</v>
      </c>
      <c r="K500" s="19">
        <f>SUM(K453:K498)</f>
        <v>89945</v>
      </c>
      <c r="L500" s="19">
        <f>SUM(L453:L498)</f>
        <v>86934</v>
      </c>
      <c r="M500" s="19">
        <f>SUM(M453:M498)</f>
        <v>85914</v>
      </c>
      <c r="N500" s="19">
        <f>SUM(N453:N498)</f>
        <v>91213</v>
      </c>
      <c r="O500" s="19">
        <f>SUM(O453:O498)</f>
        <v>88404</v>
      </c>
      <c r="P500" s="19">
        <f>SUM(P453:P498)</f>
        <v>87832</v>
      </c>
      <c r="Q500" s="19">
        <f>SUM(Q453:Q498)</f>
        <v>92731</v>
      </c>
      <c r="R500" s="19">
        <f>SUM(R453:R498)</f>
        <v>92525</v>
      </c>
      <c r="S500" s="19">
        <f>SUM(S453:S498)</f>
        <v>98465</v>
      </c>
    </row>
    <row r="501">
      <c r="A501" s="17" t="s">
        <v>112</v>
      </c>
      <c r="C501" s="20">
        <f>C499+C500</f>
        <v>110866</v>
      </c>
      <c r="D501" s="20">
        <f>D499+D500</f>
        <v>113133</v>
      </c>
      <c r="E501" s="20">
        <f>E499+E500</f>
        <v>118238</v>
      </c>
      <c r="F501" s="20">
        <f>F499+F500</f>
        <v>118902</v>
      </c>
      <c r="G501" s="20">
        <f>G499+G500</f>
        <v>119342</v>
      </c>
      <c r="H501" s="20">
        <f>H499+H500</f>
        <v>126421</v>
      </c>
      <c r="I501" s="20">
        <f>I499+I500</f>
        <v>129133</v>
      </c>
      <c r="J501" s="20">
        <f>J499+J500</f>
        <v>130485</v>
      </c>
      <c r="K501" s="20">
        <f>K499+K500</f>
        <v>138506</v>
      </c>
      <c r="L501" s="20">
        <f>L499+L500</f>
        <v>131188</v>
      </c>
      <c r="M501" s="20">
        <f>M499+M500</f>
        <v>132126</v>
      </c>
      <c r="N501" s="20">
        <f>N499+N500</f>
        <v>140861</v>
      </c>
      <c r="O501" s="20">
        <f>O499+O500</f>
        <v>133918</v>
      </c>
      <c r="P501" s="20">
        <f>P499+P500</f>
        <v>134270</v>
      </c>
      <c r="Q501" s="20">
        <f>Q499+Q500</f>
        <v>141580</v>
      </c>
      <c r="R501" s="20">
        <f>R499+R500</f>
        <v>142931</v>
      </c>
      <c r="S501" s="20">
        <f>S499+S500</f>
        <v>150856</v>
      </c>
    </row>
    <row r="505">
      <c r="A505" s="4" t="s">
        <v>417</v>
      </c>
      <c r="B505" s="3" t="s">
        <v>320</v>
      </c>
      <c r="C505" s="3" t="s">
        <v>35</v>
      </c>
      <c r="D505" s="3" t="s">
        <v>36</v>
      </c>
      <c r="E505" s="3" t="s">
        <v>37</v>
      </c>
      <c r="F505" s="3" t="s">
        <v>38</v>
      </c>
      <c r="G505" s="3" t="s">
        <v>39</v>
      </c>
      <c r="H505" s="3" t="s">
        <v>40</v>
      </c>
      <c r="I505" s="3" t="s">
        <v>41</v>
      </c>
      <c r="J505" s="3" t="s">
        <v>42</v>
      </c>
      <c r="K505" s="3" t="s">
        <v>43</v>
      </c>
      <c r="L505" s="3" t="s">
        <v>44</v>
      </c>
      <c r="M505" s="3" t="s">
        <v>45</v>
      </c>
      <c r="N505" s="3" t="s">
        <v>46</v>
      </c>
      <c r="O505" s="3" t="s">
        <v>47</v>
      </c>
      <c r="P505" s="3" t="s">
        <v>48</v>
      </c>
      <c r="Q505" s="3" t="s">
        <v>49</v>
      </c>
      <c r="R505" s="3" t="s">
        <v>50</v>
      </c>
      <c r="S505" s="3" t="s">
        <v>110</v>
      </c>
    </row>
    <row r="506">
      <c r="A506" s="16" t="s">
        <v>321</v>
      </c>
      <c r="B506" s="2" t="s">
        <v>322</v>
      </c>
      <c r="C506" s="7">
        <v>19420</v>
      </c>
      <c r="D506" s="7">
        <v>20025</v>
      </c>
      <c r="E506" s="7">
        <v>20110</v>
      </c>
      <c r="F506" s="7">
        <v>20210</v>
      </c>
      <c r="G506" s="7">
        <v>20420</v>
      </c>
      <c r="H506" s="7">
        <v>20855</v>
      </c>
      <c r="I506" s="7">
        <v>21625</v>
      </c>
      <c r="J506" s="7">
        <v>22420</v>
      </c>
      <c r="K506" s="7">
        <v>23200</v>
      </c>
      <c r="L506" s="7">
        <v>22994</v>
      </c>
      <c r="M506" s="7">
        <v>22280</v>
      </c>
      <c r="N506" s="7">
        <v>22340</v>
      </c>
      <c r="O506" s="7">
        <v>22450</v>
      </c>
      <c r="P506" s="7">
        <v>22160</v>
      </c>
      <c r="Q506" s="7">
        <v>21970</v>
      </c>
      <c r="R506" s="7">
        <v>22280</v>
      </c>
      <c r="S506" s="7">
        <v>22390</v>
      </c>
    </row>
    <row r="507">
      <c r="A507" s="16" t="s">
        <v>125</v>
      </c>
      <c r="B507" s="2" t="s">
        <v>322</v>
      </c>
      <c r="C507" s="7">
        <v>1337</v>
      </c>
      <c r="D507" s="7">
        <v>1665</v>
      </c>
      <c r="E507" s="7">
        <v>1825</v>
      </c>
      <c r="F507" s="7">
        <v>2008</v>
      </c>
      <c r="G507" s="7">
        <v>2217</v>
      </c>
      <c r="H507" s="7">
        <v>2630</v>
      </c>
      <c r="I507" s="7">
        <v>2770</v>
      </c>
      <c r="J507" s="7">
        <v>2880</v>
      </c>
      <c r="K507" s="7">
        <v>2940</v>
      </c>
      <c r="L507" s="7">
        <v>3100</v>
      </c>
      <c r="M507" s="7">
        <v>2720</v>
      </c>
      <c r="N507" s="7">
        <v>3200</v>
      </c>
      <c r="O507" s="7">
        <v>3200</v>
      </c>
      <c r="P507" s="7">
        <v>3900</v>
      </c>
      <c r="Q507" s="7">
        <v>4800</v>
      </c>
      <c r="R507" s="7">
        <v>4900</v>
      </c>
      <c r="S507" s="7">
        <v>5000</v>
      </c>
    </row>
    <row r="508">
      <c r="A508" s="16" t="s">
        <v>323</v>
      </c>
      <c r="B508" s="2" t="s">
        <v>322</v>
      </c>
      <c r="C508" s="7">
        <v>1120</v>
      </c>
      <c r="D508" s="7">
        <v>1260</v>
      </c>
      <c r="E508" s="7">
        <v>1200</v>
      </c>
      <c r="F508" s="7">
        <v>1300</v>
      </c>
      <c r="G508" s="7">
        <v>1400</v>
      </c>
      <c r="H508" s="7">
        <v>1415</v>
      </c>
      <c r="I508" s="7">
        <v>1450</v>
      </c>
      <c r="J508" s="7">
        <v>1650</v>
      </c>
      <c r="K508" s="7">
        <v>1925</v>
      </c>
      <c r="L508" s="7">
        <v>1775</v>
      </c>
      <c r="M508" s="7">
        <v>2080</v>
      </c>
      <c r="N508" s="7">
        <v>2145</v>
      </c>
      <c r="O508" s="7">
        <v>2150</v>
      </c>
      <c r="P508" s="7">
        <v>2225</v>
      </c>
      <c r="Q508" s="7">
        <v>2149</v>
      </c>
      <c r="R508" s="7">
        <v>2200</v>
      </c>
      <c r="S508" s="7">
        <v>2200</v>
      </c>
    </row>
    <row r="509">
      <c r="A509" s="16" t="s">
        <v>324</v>
      </c>
      <c r="B509" s="2" t="s">
        <v>322</v>
      </c>
      <c r="C509" s="7">
        <v>2860</v>
      </c>
      <c r="D509" s="7">
        <v>3050</v>
      </c>
      <c r="E509" s="7">
        <v>3130</v>
      </c>
      <c r="F509" s="7">
        <v>3120</v>
      </c>
      <c r="G509" s="7">
        <v>2985</v>
      </c>
      <c r="H509" s="7">
        <v>3110</v>
      </c>
      <c r="I509" s="7">
        <v>3100</v>
      </c>
      <c r="J509" s="7">
        <v>3150</v>
      </c>
      <c r="K509" s="7">
        <v>3193</v>
      </c>
      <c r="L509" s="7">
        <v>3140</v>
      </c>
      <c r="M509" s="7">
        <v>3000</v>
      </c>
      <c r="N509" s="7">
        <v>3364</v>
      </c>
      <c r="O509" s="7">
        <v>3430</v>
      </c>
      <c r="P509" s="7">
        <v>3500</v>
      </c>
      <c r="Q509" s="7">
        <v>4000</v>
      </c>
      <c r="R509" s="7">
        <v>4500</v>
      </c>
      <c r="S509" s="7">
        <v>5000</v>
      </c>
    </row>
    <row r="510">
      <c r="A510" s="16" t="s">
        <v>325</v>
      </c>
      <c r="B510" s="2" t="s">
        <v>322</v>
      </c>
      <c r="C510" s="7">
        <v>1650</v>
      </c>
      <c r="D510" s="7">
        <v>2125</v>
      </c>
      <c r="E510" s="7">
        <v>2815</v>
      </c>
      <c r="F510" s="7">
        <v>2540</v>
      </c>
      <c r="G510" s="7">
        <v>2900</v>
      </c>
      <c r="H510" s="7">
        <v>3175</v>
      </c>
      <c r="I510" s="7">
        <v>3203</v>
      </c>
      <c r="J510" s="7">
        <v>3560</v>
      </c>
      <c r="K510" s="7">
        <v>4300</v>
      </c>
      <c r="L510" s="7">
        <v>4900</v>
      </c>
      <c r="M510" s="7">
        <v>4450</v>
      </c>
      <c r="N510" s="7">
        <v>4750</v>
      </c>
      <c r="O510" s="7">
        <v>4771</v>
      </c>
      <c r="P510" s="7">
        <v>4775</v>
      </c>
      <c r="Q510" s="7">
        <v>4873</v>
      </c>
      <c r="R510" s="7">
        <v>4810</v>
      </c>
      <c r="S510" s="7">
        <v>4830</v>
      </c>
    </row>
    <row r="511">
      <c r="A511" s="16" t="s">
        <v>326</v>
      </c>
      <c r="B511" s="2" t="s">
        <v>322</v>
      </c>
      <c r="C511" s="7">
        <v>150</v>
      </c>
      <c r="D511" s="7">
        <v>150</v>
      </c>
      <c r="E511" s="7">
        <v>200</v>
      </c>
      <c r="F511" s="7">
        <v>220</v>
      </c>
      <c r="G511" s="7">
        <v>230</v>
      </c>
      <c r="H511" s="7">
        <v>250</v>
      </c>
      <c r="I511" s="7">
        <v>250</v>
      </c>
      <c r="J511" s="7">
        <v>250</v>
      </c>
      <c r="K511" s="7">
        <v>250</v>
      </c>
      <c r="L511" s="7">
        <v>100</v>
      </c>
      <c r="M511" s="7">
        <v>100</v>
      </c>
      <c r="N511" s="7">
        <v>125</v>
      </c>
      <c r="O511" s="7">
        <v>300</v>
      </c>
      <c r="P511" s="7">
        <v>325</v>
      </c>
      <c r="Q511" s="7">
        <v>325</v>
      </c>
      <c r="R511" s="7">
        <v>330</v>
      </c>
      <c r="S511" s="7">
        <v>335</v>
      </c>
    </row>
    <row r="512">
      <c r="A512" s="16" t="s">
        <v>327</v>
      </c>
      <c r="B512" s="2" t="s">
        <v>322</v>
      </c>
      <c r="C512" s="7">
        <v>1231</v>
      </c>
      <c r="D512" s="7">
        <v>1168</v>
      </c>
      <c r="E512" s="7">
        <v>1100</v>
      </c>
      <c r="F512" s="7">
        <v>1170</v>
      </c>
      <c r="G512" s="7">
        <v>1191</v>
      </c>
      <c r="H512" s="7">
        <v>1250</v>
      </c>
      <c r="I512" s="7">
        <v>1200</v>
      </c>
      <c r="J512" s="7">
        <v>1215</v>
      </c>
      <c r="K512" s="7">
        <v>1250</v>
      </c>
      <c r="L512" s="7">
        <v>1170</v>
      </c>
      <c r="M512" s="7">
        <v>1180</v>
      </c>
      <c r="N512" s="7">
        <v>875</v>
      </c>
      <c r="O512" s="7">
        <v>900</v>
      </c>
      <c r="P512" s="7">
        <v>1250</v>
      </c>
      <c r="Q512" s="7">
        <v>1150</v>
      </c>
      <c r="R512" s="7">
        <v>1575</v>
      </c>
      <c r="S512" s="7">
        <v>1580</v>
      </c>
    </row>
    <row r="513">
      <c r="A513" s="16" t="s">
        <v>130</v>
      </c>
      <c r="B513" s="2" t="s">
        <v>322</v>
      </c>
      <c r="C513" s="7">
        <v>286</v>
      </c>
      <c r="D513" s="7">
        <v>265</v>
      </c>
      <c r="E513" s="7">
        <v>210</v>
      </c>
      <c r="F513" s="7">
        <v>315</v>
      </c>
      <c r="G513" s="7">
        <v>320</v>
      </c>
      <c r="H513" s="7">
        <v>345</v>
      </c>
      <c r="I513" s="7">
        <v>375</v>
      </c>
      <c r="J513" s="7">
        <v>375</v>
      </c>
      <c r="K513" s="7">
        <v>365</v>
      </c>
      <c r="L513" s="7">
        <v>366</v>
      </c>
      <c r="M513" s="7">
        <v>369</v>
      </c>
      <c r="N513" s="7">
        <v>373</v>
      </c>
      <c r="O513" s="7">
        <v>367</v>
      </c>
      <c r="P513" s="7">
        <v>340</v>
      </c>
      <c r="Q513" s="7">
        <v>335</v>
      </c>
      <c r="R513" s="7">
        <v>380</v>
      </c>
      <c r="S513" s="7">
        <v>415</v>
      </c>
    </row>
    <row r="514">
      <c r="A514" s="16" t="s">
        <v>328</v>
      </c>
      <c r="B514" s="2" t="s">
        <v>322</v>
      </c>
      <c r="C514" s="7">
        <v>170</v>
      </c>
      <c r="D514" s="7">
        <v>170</v>
      </c>
      <c r="E514" s="7">
        <v>170</v>
      </c>
      <c r="F514" s="7">
        <v>170</v>
      </c>
      <c r="G514" s="7">
        <v>170</v>
      </c>
      <c r="H514" s="7">
        <v>160</v>
      </c>
      <c r="I514" s="7">
        <v>169</v>
      </c>
      <c r="J514" s="7">
        <v>180</v>
      </c>
      <c r="K514" s="7">
        <v>170</v>
      </c>
      <c r="L514" s="7">
        <v>210</v>
      </c>
      <c r="M514" s="7">
        <v>222</v>
      </c>
      <c r="N514" s="7">
        <v>245</v>
      </c>
      <c r="O514" s="7">
        <v>240</v>
      </c>
      <c r="P514" s="7">
        <v>282</v>
      </c>
      <c r="Q514" s="7">
        <v>292</v>
      </c>
      <c r="R514" s="7">
        <v>300</v>
      </c>
      <c r="S514" s="7">
        <v>305</v>
      </c>
    </row>
    <row r="515">
      <c r="A515" s="16" t="s">
        <v>329</v>
      </c>
      <c r="B515" s="2" t="s">
        <v>322</v>
      </c>
      <c r="C515" s="7">
        <v>2620</v>
      </c>
      <c r="D515" s="7">
        <v>2287</v>
      </c>
      <c r="E515" s="7">
        <v>2170</v>
      </c>
      <c r="F515" s="7">
        <v>2731</v>
      </c>
      <c r="G515" s="7">
        <v>2339</v>
      </c>
      <c r="H515" s="7">
        <v>2325</v>
      </c>
      <c r="I515" s="7">
        <v>2057</v>
      </c>
      <c r="J515" s="7">
        <v>2295</v>
      </c>
      <c r="K515" s="7">
        <v>2580</v>
      </c>
      <c r="L515" s="7">
        <v>2620</v>
      </c>
      <c r="M515" s="7">
        <v>2589</v>
      </c>
      <c r="N515" s="7">
        <v>2850</v>
      </c>
      <c r="O515" s="7">
        <v>3035</v>
      </c>
      <c r="P515" s="7">
        <v>3100</v>
      </c>
      <c r="Q515" s="7">
        <v>3100</v>
      </c>
      <c r="R515" s="7">
        <v>3160</v>
      </c>
      <c r="S515" s="7">
        <v>3240</v>
      </c>
    </row>
    <row r="516">
      <c r="A516" s="16" t="s">
        <v>134</v>
      </c>
      <c r="B516" s="2" t="s">
        <v>322</v>
      </c>
      <c r="C516" s="7">
        <v>425</v>
      </c>
      <c r="D516" s="7">
        <v>600</v>
      </c>
      <c r="E516" s="7">
        <v>600</v>
      </c>
      <c r="F516" s="7">
        <v>552</v>
      </c>
      <c r="G516" s="7">
        <v>500</v>
      </c>
      <c r="H516" s="7">
        <v>430</v>
      </c>
      <c r="I516" s="7">
        <v>455</v>
      </c>
      <c r="J516" s="7">
        <v>485</v>
      </c>
      <c r="K516" s="7">
        <v>495</v>
      </c>
      <c r="L516" s="7">
        <v>635</v>
      </c>
      <c r="M516" s="7">
        <v>609</v>
      </c>
      <c r="N516" s="7">
        <v>625</v>
      </c>
      <c r="O516" s="7">
        <v>600</v>
      </c>
      <c r="P516" s="7">
        <v>718</v>
      </c>
      <c r="Q516" s="7">
        <v>861</v>
      </c>
      <c r="R516" s="7">
        <v>875</v>
      </c>
      <c r="S516" s="7">
        <v>900</v>
      </c>
    </row>
    <row r="517">
      <c r="A517" s="16" t="s">
        <v>135</v>
      </c>
      <c r="B517" s="2" t="s">
        <v>322</v>
      </c>
      <c r="C517" s="7">
        <v>130</v>
      </c>
      <c r="D517" s="7">
        <v>110</v>
      </c>
      <c r="E517" s="7">
        <v>105</v>
      </c>
      <c r="F517" s="7">
        <v>100</v>
      </c>
      <c r="G517" s="7">
        <v>150</v>
      </c>
      <c r="H517" s="7">
        <v>160</v>
      </c>
      <c r="I517" s="7">
        <v>180</v>
      </c>
      <c r="J517" s="7">
        <v>170</v>
      </c>
      <c r="K517" s="7">
        <v>180</v>
      </c>
      <c r="L517" s="7">
        <v>150</v>
      </c>
      <c r="M517" s="7">
        <v>175</v>
      </c>
      <c r="N517" s="7">
        <v>165</v>
      </c>
      <c r="O517" s="7">
        <v>155</v>
      </c>
      <c r="P517" s="7">
        <v>160</v>
      </c>
      <c r="Q517" s="7">
        <v>160</v>
      </c>
      <c r="R517" s="7">
        <v>160</v>
      </c>
      <c r="S517" s="7">
        <v>160</v>
      </c>
    </row>
    <row r="518">
      <c r="A518" s="16" t="s">
        <v>330</v>
      </c>
      <c r="B518" s="2" t="s">
        <v>322</v>
      </c>
      <c r="C518" s="7">
        <v>1109</v>
      </c>
      <c r="D518" s="7">
        <v>1106</v>
      </c>
      <c r="E518" s="7">
        <v>1694</v>
      </c>
      <c r="F518" s="7">
        <v>2299</v>
      </c>
      <c r="G518" s="7">
        <v>2381</v>
      </c>
      <c r="H518" s="7">
        <v>2487</v>
      </c>
      <c r="I518" s="7">
        <v>2345</v>
      </c>
      <c r="J518" s="7">
        <v>2715</v>
      </c>
      <c r="K518" s="7">
        <v>2915</v>
      </c>
      <c r="L518" s="7">
        <v>3705</v>
      </c>
      <c r="M518" s="7">
        <v>4480</v>
      </c>
      <c r="N518" s="7">
        <v>4920</v>
      </c>
      <c r="O518" s="7">
        <v>5280</v>
      </c>
      <c r="P518" s="7">
        <v>5765</v>
      </c>
      <c r="Q518" s="7">
        <v>5893</v>
      </c>
      <c r="R518" s="7">
        <v>6420</v>
      </c>
      <c r="S518" s="7">
        <v>6750</v>
      </c>
    </row>
    <row r="519">
      <c r="A519" s="16" t="s">
        <v>331</v>
      </c>
      <c r="B519" s="2" t="s">
        <v>322</v>
      </c>
      <c r="C519" s="7">
        <v>35</v>
      </c>
      <c r="D519" s="7">
        <v>45</v>
      </c>
      <c r="E519" s="7">
        <v>50</v>
      </c>
      <c r="F519" s="7">
        <v>50</v>
      </c>
      <c r="G519" s="7">
        <v>50</v>
      </c>
      <c r="H519" s="7">
        <v>52</v>
      </c>
      <c r="I519" s="7">
        <v>50</v>
      </c>
      <c r="J519" s="7">
        <v>50</v>
      </c>
      <c r="K519" s="7">
        <v>50</v>
      </c>
      <c r="L519" s="7">
        <v>50</v>
      </c>
      <c r="M519" s="7">
        <v>75</v>
      </c>
      <c r="N519" s="7">
        <v>40</v>
      </c>
      <c r="O519" s="7">
        <v>75</v>
      </c>
      <c r="P519" s="7">
        <v>77</v>
      </c>
      <c r="Q519" s="7">
        <v>77</v>
      </c>
      <c r="R519" s="7">
        <v>85</v>
      </c>
      <c r="S519" s="7">
        <v>90</v>
      </c>
    </row>
    <row r="520">
      <c r="A520" s="16" t="s">
        <v>332</v>
      </c>
      <c r="B520" s="2" t="s">
        <v>322</v>
      </c>
      <c r="C520" s="7">
        <v>455</v>
      </c>
      <c r="D520" s="7">
        <v>625</v>
      </c>
      <c r="E520" s="7">
        <v>625</v>
      </c>
      <c r="F520" s="7">
        <v>660</v>
      </c>
      <c r="G520" s="7">
        <v>665</v>
      </c>
      <c r="H520" s="7">
        <v>665</v>
      </c>
      <c r="I520" s="7">
        <v>670</v>
      </c>
      <c r="J520" s="7">
        <v>600</v>
      </c>
      <c r="K520" s="7">
        <v>850</v>
      </c>
      <c r="L520" s="7">
        <v>635</v>
      </c>
      <c r="M520" s="7">
        <v>800</v>
      </c>
      <c r="N520" s="7">
        <v>750</v>
      </c>
      <c r="O520" s="7">
        <v>675</v>
      </c>
      <c r="P520" s="7">
        <v>400</v>
      </c>
      <c r="Q520" s="7">
        <v>470</v>
      </c>
      <c r="R520" s="7">
        <v>500</v>
      </c>
      <c r="S520" s="7">
        <v>600</v>
      </c>
    </row>
    <row r="521">
      <c r="A521" s="16" t="s">
        <v>333</v>
      </c>
      <c r="B521" s="2" t="s">
        <v>322</v>
      </c>
      <c r="C521" s="7">
        <v>300</v>
      </c>
      <c r="D521" s="7">
        <v>300</v>
      </c>
      <c r="E521" s="7">
        <v>108</v>
      </c>
      <c r="F521" s="7">
        <v>100</v>
      </c>
      <c r="G521" s="7">
        <v>75</v>
      </c>
      <c r="H521" s="7">
        <v>75</v>
      </c>
      <c r="I521" s="7">
        <v>100</v>
      </c>
      <c r="J521" s="7">
        <v>80</v>
      </c>
      <c r="K521" s="7">
        <v>35</v>
      </c>
      <c r="L521" s="7">
        <v>75</v>
      </c>
      <c r="M521" s="7">
        <v>45</v>
      </c>
      <c r="N521" s="7">
        <v>50</v>
      </c>
      <c r="O521" s="7">
        <v>50</v>
      </c>
      <c r="P521" s="7">
        <v>50</v>
      </c>
      <c r="Q521" s="7">
        <v>55</v>
      </c>
      <c r="R521" s="7">
        <v>50</v>
      </c>
      <c r="S521" s="7">
        <v>50</v>
      </c>
    </row>
    <row r="522">
      <c r="A522" s="16" t="s">
        <v>136</v>
      </c>
      <c r="B522" s="2" t="s">
        <v>322</v>
      </c>
      <c r="C522" s="7">
        <v>433</v>
      </c>
      <c r="D522" s="7">
        <v>359</v>
      </c>
      <c r="E522" s="7">
        <v>369</v>
      </c>
      <c r="F522" s="7">
        <v>455</v>
      </c>
      <c r="G522" s="7">
        <v>397</v>
      </c>
      <c r="H522" s="7">
        <v>385</v>
      </c>
      <c r="I522" s="7">
        <v>390</v>
      </c>
      <c r="J522" s="7">
        <v>377</v>
      </c>
      <c r="K522" s="7">
        <v>430</v>
      </c>
      <c r="L522" s="7">
        <v>463</v>
      </c>
      <c r="M522" s="7">
        <v>485</v>
      </c>
      <c r="N522" s="7">
        <v>350</v>
      </c>
      <c r="O522" s="7">
        <v>380</v>
      </c>
      <c r="P522" s="7">
        <v>297</v>
      </c>
      <c r="Q522" s="7">
        <v>315</v>
      </c>
      <c r="R522" s="7">
        <v>320</v>
      </c>
      <c r="S522" s="7">
        <v>320</v>
      </c>
    </row>
    <row r="523">
      <c r="A523" s="16" t="s">
        <v>334</v>
      </c>
      <c r="B523" s="2" t="s">
        <v>322</v>
      </c>
      <c r="C523" s="7">
        <v>50</v>
      </c>
      <c r="D523" s="7">
        <v>60</v>
      </c>
      <c r="E523" s="7">
        <v>37</v>
      </c>
      <c r="F523" s="7">
        <v>30</v>
      </c>
      <c r="G523" s="7">
        <v>31</v>
      </c>
      <c r="H523" s="7">
        <v>37</v>
      </c>
      <c r="I523" s="7">
        <v>46</v>
      </c>
      <c r="J523" s="7">
        <v>44</v>
      </c>
      <c r="K523" s="7">
        <v>55</v>
      </c>
      <c r="L523" s="7">
        <v>36</v>
      </c>
      <c r="M523" s="7">
        <v>81</v>
      </c>
      <c r="N523" s="7">
        <v>48</v>
      </c>
      <c r="O523" s="7">
        <v>47</v>
      </c>
      <c r="P523" s="7">
        <v>55</v>
      </c>
      <c r="Q523" s="7">
        <v>58</v>
      </c>
      <c r="R523" s="7">
        <v>62</v>
      </c>
      <c r="S523" s="7">
        <v>62</v>
      </c>
    </row>
    <row r="524">
      <c r="A524" s="16" t="s">
        <v>335</v>
      </c>
      <c r="B524" s="2" t="s">
        <v>322</v>
      </c>
      <c r="C524" s="7">
        <v>485</v>
      </c>
      <c r="D524" s="7">
        <v>470</v>
      </c>
      <c r="E524" s="7">
        <v>510</v>
      </c>
      <c r="F524" s="7">
        <v>515</v>
      </c>
      <c r="G524" s="7">
        <v>545</v>
      </c>
      <c r="H524" s="7">
        <v>555</v>
      </c>
      <c r="I524" s="7">
        <v>530</v>
      </c>
      <c r="J524" s="7">
        <v>635</v>
      </c>
      <c r="K524" s="7">
        <v>770</v>
      </c>
      <c r="L524" s="7">
        <v>800</v>
      </c>
      <c r="M524" s="7">
        <v>650</v>
      </c>
      <c r="N524" s="7">
        <v>725</v>
      </c>
      <c r="O524" s="7">
        <v>730</v>
      </c>
      <c r="P524" s="7">
        <v>880</v>
      </c>
      <c r="Q524" s="7">
        <v>930</v>
      </c>
      <c r="R524" s="7">
        <v>925</v>
      </c>
      <c r="S524" s="7">
        <v>1125</v>
      </c>
    </row>
    <row r="525">
      <c r="A525" s="16" t="s">
        <v>336</v>
      </c>
      <c r="B525" s="2" t="s">
        <v>322</v>
      </c>
      <c r="C525" s="7">
        <v>30</v>
      </c>
      <c r="D525" s="7">
        <v>40</v>
      </c>
      <c r="E525" s="7">
        <v>45</v>
      </c>
      <c r="F525" s="7">
        <v>40</v>
      </c>
      <c r="G525" s="7">
        <v>55</v>
      </c>
      <c r="H525" s="7">
        <v>60</v>
      </c>
      <c r="I525" s="7">
        <v>50</v>
      </c>
      <c r="J525" s="7">
        <v>50</v>
      </c>
      <c r="K525" s="7">
        <v>50</v>
      </c>
      <c r="L525" s="7">
        <v>51</v>
      </c>
      <c r="M525" s="7">
        <v>50</v>
      </c>
      <c r="N525" s="7">
        <v>55</v>
      </c>
      <c r="O525" s="7">
        <v>50</v>
      </c>
      <c r="P525" s="7">
        <v>50</v>
      </c>
      <c r="Q525" s="7">
        <v>40</v>
      </c>
      <c r="R525" s="7">
        <v>50</v>
      </c>
      <c r="S525" s="7">
        <v>50</v>
      </c>
    </row>
    <row r="526">
      <c r="A526" s="16" t="s">
        <v>337</v>
      </c>
      <c r="B526" s="2" t="s">
        <v>322</v>
      </c>
      <c r="C526" s="7">
        <v>347</v>
      </c>
      <c r="D526" s="7">
        <v>311</v>
      </c>
      <c r="E526" s="7">
        <v>235</v>
      </c>
      <c r="F526" s="7">
        <v>255</v>
      </c>
      <c r="G526" s="7">
        <v>275</v>
      </c>
      <c r="H526" s="7">
        <v>275</v>
      </c>
      <c r="I526" s="7">
        <v>265</v>
      </c>
      <c r="J526" s="7">
        <v>285</v>
      </c>
      <c r="K526" s="7">
        <v>252</v>
      </c>
      <c r="L526" s="7">
        <v>270</v>
      </c>
      <c r="M526" s="7">
        <v>221</v>
      </c>
      <c r="N526" s="7">
        <v>217</v>
      </c>
      <c r="O526" s="7">
        <v>297</v>
      </c>
      <c r="P526" s="7">
        <v>305</v>
      </c>
      <c r="Q526" s="7">
        <v>318</v>
      </c>
      <c r="R526" s="7">
        <v>332</v>
      </c>
      <c r="S526" s="7">
        <v>339</v>
      </c>
    </row>
    <row r="527">
      <c r="A527" s="16" t="s">
        <v>338</v>
      </c>
      <c r="B527" s="2" t="s">
        <v>322</v>
      </c>
      <c r="C527" s="7">
        <v>100</v>
      </c>
      <c r="D527" s="7">
        <v>100</v>
      </c>
      <c r="E527" s="7">
        <v>100</v>
      </c>
      <c r="F527" s="7">
        <v>110</v>
      </c>
      <c r="G527" s="7">
        <v>100</v>
      </c>
      <c r="H527" s="7">
        <v>100</v>
      </c>
      <c r="I527" s="7">
        <v>100</v>
      </c>
      <c r="J527" s="7">
        <v>100</v>
      </c>
      <c r="K527" s="7">
        <v>95</v>
      </c>
      <c r="L527" s="7">
        <v>100</v>
      </c>
      <c r="M527" s="7">
        <v>85</v>
      </c>
      <c r="N527" s="7">
        <v>85</v>
      </c>
      <c r="O527" s="7">
        <v>85</v>
      </c>
      <c r="P527" s="7">
        <v>80</v>
      </c>
      <c r="Q527" s="7">
        <v>75</v>
      </c>
      <c r="R527" s="7">
        <v>88</v>
      </c>
      <c r="S527" s="7">
        <v>100</v>
      </c>
    </row>
    <row r="528">
      <c r="A528" s="16" t="s">
        <v>339</v>
      </c>
      <c r="B528" s="2" t="s">
        <v>322</v>
      </c>
      <c r="C528" s="7">
        <v>1305</v>
      </c>
      <c r="D528" s="7">
        <v>1305</v>
      </c>
      <c r="E528" s="7">
        <v>1290</v>
      </c>
      <c r="F528" s="7">
        <v>1170</v>
      </c>
      <c r="G528" s="7">
        <v>1151</v>
      </c>
      <c r="H528" s="7">
        <v>1151</v>
      </c>
      <c r="I528" s="7">
        <v>1133</v>
      </c>
      <c r="J528" s="7">
        <v>1217</v>
      </c>
      <c r="K528" s="7">
        <v>1240</v>
      </c>
      <c r="L528" s="7">
        <v>550</v>
      </c>
      <c r="M528" s="7">
        <v>480</v>
      </c>
      <c r="N528" s="7">
        <v>500</v>
      </c>
      <c r="O528" s="7">
        <v>500</v>
      </c>
      <c r="P528" s="7">
        <v>500</v>
      </c>
      <c r="Q528" s="7">
        <v>500</v>
      </c>
      <c r="R528" s="7">
        <v>500</v>
      </c>
      <c r="S528" s="7">
        <v>500</v>
      </c>
    </row>
    <row r="529">
      <c r="A529" s="16" t="s">
        <v>340</v>
      </c>
      <c r="B529" s="2" t="s">
        <v>322</v>
      </c>
      <c r="C529" s="7">
        <v>2825</v>
      </c>
      <c r="D529" s="7">
        <v>3660</v>
      </c>
      <c r="E529" s="7">
        <v>4405</v>
      </c>
      <c r="F529" s="7">
        <v>3590</v>
      </c>
      <c r="G529" s="7">
        <v>4230</v>
      </c>
      <c r="H529" s="7">
        <v>6210</v>
      </c>
      <c r="I529" s="7">
        <v>6995</v>
      </c>
      <c r="J529" s="7">
        <v>6550</v>
      </c>
      <c r="K529" s="7">
        <v>6125</v>
      </c>
      <c r="L529" s="7">
        <v>6120</v>
      </c>
      <c r="M529" s="7">
        <v>6585</v>
      </c>
      <c r="N529" s="7">
        <v>7190</v>
      </c>
      <c r="O529" s="7">
        <v>6465</v>
      </c>
      <c r="P529" s="7">
        <v>6590</v>
      </c>
      <c r="Q529" s="7">
        <v>6190</v>
      </c>
      <c r="R529" s="7">
        <v>6525</v>
      </c>
      <c r="S529" s="7">
        <v>6725</v>
      </c>
    </row>
    <row r="530">
      <c r="A530" s="16" t="s">
        <v>341</v>
      </c>
      <c r="B530" s="2" t="s">
        <v>322</v>
      </c>
      <c r="C530" s="7">
        <v>205</v>
      </c>
      <c r="D530" s="7">
        <v>239</v>
      </c>
      <c r="E530" s="7">
        <v>260</v>
      </c>
      <c r="F530" s="7">
        <v>265</v>
      </c>
      <c r="G530" s="7">
        <v>265</v>
      </c>
      <c r="H530" s="7">
        <v>265</v>
      </c>
      <c r="I530" s="7">
        <v>217</v>
      </c>
      <c r="J530" s="7">
        <v>232</v>
      </c>
      <c r="K530" s="7">
        <v>240</v>
      </c>
      <c r="L530" s="7">
        <v>313</v>
      </c>
      <c r="M530" s="7">
        <v>229</v>
      </c>
      <c r="N530" s="7">
        <v>205</v>
      </c>
      <c r="O530" s="7">
        <v>314</v>
      </c>
      <c r="P530" s="7">
        <v>363</v>
      </c>
      <c r="Q530" s="7">
        <v>363</v>
      </c>
      <c r="R530" s="7">
        <v>363</v>
      </c>
      <c r="S530" s="7">
        <v>375</v>
      </c>
    </row>
    <row r="531">
      <c r="A531" s="16" t="s">
        <v>342</v>
      </c>
      <c r="B531" s="2" t="s">
        <v>322</v>
      </c>
      <c r="C531" s="7">
        <v>0</v>
      </c>
      <c r="D531" s="7">
        <v>0</v>
      </c>
      <c r="E531" s="7">
        <v>0</v>
      </c>
      <c r="F531" s="7">
        <v>0</v>
      </c>
      <c r="G531" s="7">
        <v>0</v>
      </c>
      <c r="H531" s="7">
        <v>0</v>
      </c>
      <c r="I531" s="7">
        <v>0</v>
      </c>
      <c r="J531" s="7">
        <v>0</v>
      </c>
      <c r="K531" s="7">
        <v>0</v>
      </c>
      <c r="L531" s="7">
        <v>0</v>
      </c>
      <c r="M531" s="7">
        <v>0</v>
      </c>
      <c r="N531" s="7">
        <v>0</v>
      </c>
      <c r="O531" s="7">
        <v>0</v>
      </c>
      <c r="P531" s="7">
        <v>0</v>
      </c>
      <c r="Q531" s="7">
        <v>0</v>
      </c>
      <c r="R531" s="7">
        <v>0</v>
      </c>
      <c r="S531" s="7">
        <v>0</v>
      </c>
    </row>
    <row r="532">
      <c r="A532" s="16" t="s">
        <v>343</v>
      </c>
      <c r="B532" s="2" t="s">
        <v>322</v>
      </c>
      <c r="C532" s="7">
        <v>455</v>
      </c>
      <c r="D532" s="7">
        <v>450</v>
      </c>
      <c r="E532" s="7">
        <v>425</v>
      </c>
      <c r="F532" s="7">
        <v>392</v>
      </c>
      <c r="G532" s="7">
        <v>390</v>
      </c>
      <c r="H532" s="7">
        <v>208</v>
      </c>
      <c r="I532" s="7">
        <v>215</v>
      </c>
      <c r="J532" s="7">
        <v>225</v>
      </c>
      <c r="K532" s="7">
        <v>275</v>
      </c>
      <c r="L532" s="7">
        <v>300</v>
      </c>
      <c r="M532" s="7">
        <v>270</v>
      </c>
      <c r="N532" s="7">
        <v>299</v>
      </c>
      <c r="O532" s="7">
        <v>325</v>
      </c>
      <c r="P532" s="7">
        <v>280</v>
      </c>
      <c r="Q532" s="7">
        <v>160</v>
      </c>
      <c r="R532" s="7">
        <v>210</v>
      </c>
      <c r="S532" s="7">
        <v>200</v>
      </c>
    </row>
    <row r="533">
      <c r="A533" s="16" t="s">
        <v>344</v>
      </c>
      <c r="B533" s="2" t="s">
        <v>322</v>
      </c>
      <c r="C533" s="7">
        <v>75</v>
      </c>
      <c r="D533" s="7">
        <v>75</v>
      </c>
      <c r="E533" s="7">
        <v>65</v>
      </c>
      <c r="F533" s="7">
        <v>74</v>
      </c>
      <c r="G533" s="7">
        <v>70</v>
      </c>
      <c r="H533" s="7">
        <v>80</v>
      </c>
      <c r="I533" s="7">
        <v>65</v>
      </c>
      <c r="J533" s="7">
        <v>75</v>
      </c>
      <c r="K533" s="7">
        <v>80</v>
      </c>
      <c r="L533" s="7">
        <v>80</v>
      </c>
      <c r="M533" s="7">
        <v>80</v>
      </c>
      <c r="N533" s="7">
        <v>80</v>
      </c>
      <c r="O533" s="7">
        <v>75</v>
      </c>
      <c r="P533" s="7">
        <v>80</v>
      </c>
      <c r="Q533" s="7">
        <v>55</v>
      </c>
      <c r="R533" s="7">
        <v>65</v>
      </c>
      <c r="S533" s="7">
        <v>65</v>
      </c>
    </row>
    <row r="534">
      <c r="A534" s="16" t="s">
        <v>345</v>
      </c>
      <c r="B534" s="2" t="s">
        <v>322</v>
      </c>
      <c r="C534" s="7">
        <v>200</v>
      </c>
      <c r="D534" s="7">
        <v>200</v>
      </c>
      <c r="E534" s="7">
        <v>171</v>
      </c>
      <c r="F534" s="7">
        <v>170</v>
      </c>
      <c r="G534" s="7">
        <v>145</v>
      </c>
      <c r="H534" s="7">
        <v>155</v>
      </c>
      <c r="I534" s="7">
        <v>150</v>
      </c>
      <c r="J534" s="7">
        <v>160</v>
      </c>
      <c r="K534" s="7">
        <v>130</v>
      </c>
      <c r="L534" s="7">
        <v>130</v>
      </c>
      <c r="M534" s="7">
        <v>130</v>
      </c>
      <c r="N534" s="7">
        <v>120</v>
      </c>
      <c r="O534" s="7">
        <v>125</v>
      </c>
      <c r="P534" s="7">
        <v>125</v>
      </c>
      <c r="Q534" s="7">
        <v>100</v>
      </c>
      <c r="R534" s="7">
        <v>100</v>
      </c>
      <c r="S534" s="7">
        <v>100</v>
      </c>
    </row>
    <row r="535">
      <c r="A535" s="16" t="s">
        <v>346</v>
      </c>
      <c r="B535" s="2" t="s">
        <v>322</v>
      </c>
      <c r="C535" s="7">
        <v>8</v>
      </c>
      <c r="D535" s="7">
        <v>5</v>
      </c>
      <c r="E535" s="7">
        <v>5</v>
      </c>
      <c r="F535" s="7">
        <v>5</v>
      </c>
      <c r="G535" s="7">
        <v>5</v>
      </c>
      <c r="H535" s="7">
        <v>5</v>
      </c>
      <c r="I535" s="7">
        <v>5</v>
      </c>
      <c r="J535" s="7">
        <v>5</v>
      </c>
      <c r="K535" s="7">
        <v>5</v>
      </c>
      <c r="L535" s="7">
        <v>5</v>
      </c>
      <c r="M535" s="7">
        <v>15</v>
      </c>
      <c r="N535" s="7">
        <v>15</v>
      </c>
      <c r="O535" s="7">
        <v>15</v>
      </c>
      <c r="P535" s="7">
        <v>15</v>
      </c>
      <c r="Q535" s="7">
        <v>15</v>
      </c>
      <c r="R535" s="7">
        <v>15</v>
      </c>
      <c r="S535" s="7">
        <v>15</v>
      </c>
    </row>
    <row r="536">
      <c r="A536" s="16" t="s">
        <v>347</v>
      </c>
      <c r="B536" s="2" t="s">
        <v>322</v>
      </c>
      <c r="C536" s="7">
        <v>452</v>
      </c>
      <c r="D536" s="7">
        <v>453</v>
      </c>
      <c r="E536" s="7">
        <v>439</v>
      </c>
      <c r="F536" s="7">
        <v>252</v>
      </c>
      <c r="G536" s="7">
        <v>208</v>
      </c>
      <c r="H536" s="7">
        <v>210</v>
      </c>
      <c r="I536" s="7">
        <v>212</v>
      </c>
      <c r="J536" s="7">
        <v>112</v>
      </c>
      <c r="K536" s="7">
        <v>113</v>
      </c>
      <c r="L536" s="7">
        <v>110</v>
      </c>
      <c r="M536" s="7">
        <v>110</v>
      </c>
      <c r="N536" s="7">
        <v>113</v>
      </c>
      <c r="O536" s="7">
        <v>111</v>
      </c>
      <c r="P536" s="7">
        <v>113</v>
      </c>
      <c r="Q536" s="7">
        <v>114</v>
      </c>
      <c r="R536" s="7">
        <v>110</v>
      </c>
      <c r="S536" s="7">
        <v>115</v>
      </c>
    </row>
    <row r="537">
      <c r="A537" s="16" t="s">
        <v>348</v>
      </c>
      <c r="B537" s="2" t="s">
        <v>322</v>
      </c>
      <c r="C537" s="7">
        <v>30</v>
      </c>
      <c r="D537" s="7">
        <v>35</v>
      </c>
      <c r="E537" s="7">
        <v>25</v>
      </c>
      <c r="F537" s="7">
        <v>25</v>
      </c>
      <c r="G537" s="7">
        <v>20</v>
      </c>
      <c r="H537" s="7">
        <v>20</v>
      </c>
      <c r="I537" s="7">
        <v>19</v>
      </c>
      <c r="J537" s="7">
        <v>20</v>
      </c>
      <c r="K537" s="7">
        <v>20</v>
      </c>
      <c r="L537" s="7">
        <v>20</v>
      </c>
      <c r="M537" s="7">
        <v>10</v>
      </c>
      <c r="N537" s="7">
        <v>13</v>
      </c>
      <c r="O537" s="7">
        <v>15</v>
      </c>
      <c r="P537" s="7">
        <v>15</v>
      </c>
      <c r="Q537" s="7">
        <v>25</v>
      </c>
      <c r="R537" s="7">
        <v>25</v>
      </c>
      <c r="S537" s="7">
        <v>25</v>
      </c>
    </row>
    <row r="538">
      <c r="A538" s="16" t="s">
        <v>349</v>
      </c>
      <c r="B538" s="2" t="s">
        <v>322</v>
      </c>
      <c r="C538" s="7">
        <v>115</v>
      </c>
      <c r="D538" s="7">
        <v>159</v>
      </c>
      <c r="E538" s="7">
        <v>112</v>
      </c>
      <c r="F538" s="7">
        <v>136</v>
      </c>
      <c r="G538" s="7">
        <v>139</v>
      </c>
      <c r="H538" s="7">
        <v>131</v>
      </c>
      <c r="I538" s="7">
        <v>135</v>
      </c>
      <c r="J538" s="7">
        <v>86</v>
      </c>
      <c r="K538" s="7">
        <v>87</v>
      </c>
      <c r="L538" s="7">
        <v>80</v>
      </c>
      <c r="M538" s="7">
        <v>85</v>
      </c>
      <c r="N538" s="7">
        <v>80</v>
      </c>
      <c r="O538" s="7">
        <v>87</v>
      </c>
      <c r="P538" s="7">
        <v>90</v>
      </c>
      <c r="Q538" s="7">
        <v>89</v>
      </c>
      <c r="R538" s="7">
        <v>90</v>
      </c>
      <c r="S538" s="7">
        <v>90</v>
      </c>
    </row>
    <row r="539">
      <c r="A539" s="16" t="s">
        <v>350</v>
      </c>
      <c r="B539" s="2" t="s">
        <v>322</v>
      </c>
      <c r="C539" s="7">
        <v>83</v>
      </c>
      <c r="D539" s="7">
        <v>90</v>
      </c>
      <c r="E539" s="7">
        <v>78</v>
      </c>
      <c r="F539" s="7">
        <v>77</v>
      </c>
      <c r="G539" s="7">
        <v>103</v>
      </c>
      <c r="H539" s="7">
        <v>75</v>
      </c>
      <c r="I539" s="7">
        <v>83</v>
      </c>
      <c r="J539" s="7">
        <v>99</v>
      </c>
      <c r="K539" s="7">
        <v>87</v>
      </c>
      <c r="L539" s="7">
        <v>67</v>
      </c>
      <c r="M539" s="7">
        <v>97</v>
      </c>
      <c r="N539" s="7">
        <v>110</v>
      </c>
      <c r="O539" s="7">
        <v>117</v>
      </c>
      <c r="P539" s="7">
        <v>171</v>
      </c>
      <c r="Q539" s="7">
        <v>123</v>
      </c>
      <c r="R539" s="7">
        <v>170</v>
      </c>
      <c r="S539" s="7">
        <v>200</v>
      </c>
    </row>
    <row r="540">
      <c r="A540" s="16" t="s">
        <v>351</v>
      </c>
      <c r="B540" s="2" t="s">
        <v>322</v>
      </c>
      <c r="C540" s="7">
        <v>0</v>
      </c>
      <c r="D540" s="7">
        <v>0</v>
      </c>
      <c r="E540" s="7">
        <v>0</v>
      </c>
      <c r="F540" s="7">
        <v>0</v>
      </c>
      <c r="G540" s="7">
        <v>0</v>
      </c>
      <c r="H540" s="7">
        <v>0</v>
      </c>
      <c r="I540" s="7">
        <v>0</v>
      </c>
      <c r="J540" s="7">
        <v>0</v>
      </c>
      <c r="K540" s="7">
        <v>0</v>
      </c>
      <c r="L540" s="7">
        <v>0</v>
      </c>
      <c r="M540" s="7">
        <v>0</v>
      </c>
      <c r="N540" s="7">
        <v>0</v>
      </c>
      <c r="O540" s="7">
        <v>0</v>
      </c>
      <c r="P540" s="7">
        <v>0</v>
      </c>
      <c r="Q540" s="7">
        <v>0</v>
      </c>
      <c r="R540" s="7">
        <v>0</v>
      </c>
      <c r="S540" s="7">
        <v>0</v>
      </c>
    </row>
    <row r="541">
      <c r="A541" s="16" t="s">
        <v>352</v>
      </c>
      <c r="B541" s="2" t="s">
        <v>322</v>
      </c>
      <c r="C541" s="7">
        <v>75</v>
      </c>
      <c r="D541" s="7">
        <v>68</v>
      </c>
      <c r="E541" s="7">
        <v>59</v>
      </c>
      <c r="F541" s="7">
        <v>62</v>
      </c>
      <c r="G541" s="7">
        <v>55</v>
      </c>
      <c r="H541" s="7">
        <v>49</v>
      </c>
      <c r="I541" s="7">
        <v>54</v>
      </c>
      <c r="J541" s="7">
        <v>60</v>
      </c>
      <c r="K541" s="7">
        <v>62</v>
      </c>
      <c r="L541" s="7">
        <v>63</v>
      </c>
      <c r="M541" s="7">
        <v>57</v>
      </c>
      <c r="N541" s="7">
        <v>52</v>
      </c>
      <c r="O541" s="7">
        <v>50</v>
      </c>
      <c r="P541" s="7">
        <v>44</v>
      </c>
      <c r="Q541" s="7">
        <v>45</v>
      </c>
      <c r="R541" s="7">
        <v>45</v>
      </c>
      <c r="S541" s="7">
        <v>45</v>
      </c>
    </row>
    <row r="542">
      <c r="A542" s="16" t="s">
        <v>353</v>
      </c>
      <c r="B542" s="2" t="s">
        <v>322</v>
      </c>
      <c r="C542" s="7">
        <v>22383</v>
      </c>
      <c r="D542" s="7">
        <v>22946</v>
      </c>
      <c r="E542" s="7">
        <v>23027</v>
      </c>
      <c r="F542" s="7">
        <v>23811</v>
      </c>
      <c r="G542" s="7">
        <v>23568</v>
      </c>
      <c r="H542" s="7">
        <v>25083</v>
      </c>
      <c r="I542" s="7">
        <v>25512</v>
      </c>
      <c r="J542" s="7">
        <v>25557</v>
      </c>
      <c r="K542" s="7">
        <v>27162</v>
      </c>
      <c r="L542" s="7">
        <v>26049</v>
      </c>
      <c r="M542" s="7">
        <v>25922</v>
      </c>
      <c r="N542" s="7">
        <v>26708</v>
      </c>
      <c r="O542" s="7">
        <v>24623</v>
      </c>
      <c r="P542" s="7">
        <v>23545</v>
      </c>
      <c r="Q542" s="7">
        <v>26145</v>
      </c>
      <c r="R542" s="7">
        <v>25550</v>
      </c>
      <c r="S542" s="7">
        <v>26950</v>
      </c>
    </row>
    <row r="543">
      <c r="A543" s="16" t="s">
        <v>354</v>
      </c>
      <c r="B543" s="2" t="s">
        <v>322</v>
      </c>
      <c r="C543" s="7">
        <v>26</v>
      </c>
      <c r="D543" s="7">
        <v>30</v>
      </c>
      <c r="E543" s="7">
        <v>22</v>
      </c>
      <c r="F543" s="7">
        <v>27</v>
      </c>
      <c r="G543" s="7">
        <v>24</v>
      </c>
      <c r="H543" s="7">
        <v>13</v>
      </c>
      <c r="I543" s="7">
        <v>14</v>
      </c>
      <c r="J543" s="7">
        <v>13</v>
      </c>
      <c r="K543" s="7">
        <v>12</v>
      </c>
      <c r="L543" s="7">
        <v>10</v>
      </c>
      <c r="M543" s="7">
        <v>14</v>
      </c>
      <c r="N543" s="7">
        <v>12</v>
      </c>
      <c r="O543" s="7">
        <v>13</v>
      </c>
      <c r="P543" s="7">
        <v>9</v>
      </c>
      <c r="Q543" s="7">
        <v>7</v>
      </c>
      <c r="R543" s="7">
        <v>12</v>
      </c>
      <c r="S543" s="7">
        <v>10</v>
      </c>
    </row>
    <row r="544">
      <c r="A544" s="16" t="s">
        <v>355</v>
      </c>
      <c r="B544" s="2" t="s">
        <v>322</v>
      </c>
      <c r="C544" s="7">
        <v>20</v>
      </c>
      <c r="D544" s="7">
        <v>21</v>
      </c>
      <c r="E544" s="7">
        <v>20</v>
      </c>
      <c r="F544" s="7">
        <v>20</v>
      </c>
      <c r="G544" s="7">
        <v>23</v>
      </c>
      <c r="H544" s="7">
        <v>20</v>
      </c>
      <c r="I544" s="7">
        <v>20</v>
      </c>
      <c r="J544" s="7">
        <v>24</v>
      </c>
      <c r="K544" s="7">
        <v>13</v>
      </c>
      <c r="L544" s="7">
        <v>24</v>
      </c>
      <c r="M544" s="7">
        <v>15</v>
      </c>
      <c r="N544" s="7">
        <v>10</v>
      </c>
      <c r="O544" s="7">
        <v>10</v>
      </c>
      <c r="P544" s="7">
        <v>10</v>
      </c>
      <c r="Q544" s="7">
        <v>10</v>
      </c>
      <c r="R544" s="7">
        <v>10</v>
      </c>
      <c r="S544" s="7">
        <v>10</v>
      </c>
    </row>
    <row r="545">
      <c r="A545" s="16" t="s">
        <v>356</v>
      </c>
      <c r="B545" s="2" t="s">
        <v>322</v>
      </c>
      <c r="C545" s="7">
        <v>5</v>
      </c>
      <c r="D545" s="7">
        <v>3</v>
      </c>
      <c r="E545" s="7">
        <v>5</v>
      </c>
      <c r="F545" s="7">
        <v>5</v>
      </c>
      <c r="G545" s="7">
        <v>5</v>
      </c>
      <c r="H545" s="7">
        <v>5</v>
      </c>
      <c r="I545" s="7">
        <v>5</v>
      </c>
      <c r="J545" s="7">
        <v>5</v>
      </c>
      <c r="K545" s="7">
        <v>5</v>
      </c>
      <c r="L545" s="7">
        <v>5</v>
      </c>
      <c r="M545" s="7">
        <v>4</v>
      </c>
      <c r="N545" s="7">
        <v>4</v>
      </c>
      <c r="O545" s="7">
        <v>5</v>
      </c>
      <c r="P545" s="7">
        <v>5</v>
      </c>
      <c r="Q545" s="7">
        <v>4</v>
      </c>
      <c r="R545" s="7">
        <v>4</v>
      </c>
      <c r="S545" s="7">
        <v>5</v>
      </c>
    </row>
    <row r="546">
      <c r="A546" s="16" t="s">
        <v>357</v>
      </c>
      <c r="B546" s="2" t="s">
        <v>322</v>
      </c>
      <c r="C546" s="7">
        <v>30</v>
      </c>
      <c r="D546" s="7">
        <v>30</v>
      </c>
      <c r="E546" s="7">
        <v>35</v>
      </c>
      <c r="F546" s="7">
        <v>20</v>
      </c>
      <c r="G546" s="7">
        <v>19</v>
      </c>
      <c r="H546" s="7">
        <v>4</v>
      </c>
      <c r="I546" s="7">
        <v>4</v>
      </c>
      <c r="J546" s="7">
        <v>3</v>
      </c>
      <c r="K546" s="7">
        <v>2</v>
      </c>
      <c r="L546" s="7">
        <v>0</v>
      </c>
      <c r="M546" s="7">
        <v>0</v>
      </c>
      <c r="N546" s="7">
        <v>0</v>
      </c>
      <c r="O546" s="7">
        <v>0</v>
      </c>
      <c r="P546" s="7">
        <v>0</v>
      </c>
      <c r="Q546" s="7">
        <v>0</v>
      </c>
      <c r="R546" s="7">
        <v>0</v>
      </c>
      <c r="S546" s="7">
        <v>0</v>
      </c>
    </row>
    <row r="547">
      <c r="A547" s="16" t="s">
        <v>358</v>
      </c>
      <c r="B547" s="2" t="s">
        <v>322</v>
      </c>
      <c r="C547" s="7">
        <v>1</v>
      </c>
      <c r="D547" s="7">
        <v>1</v>
      </c>
      <c r="E547" s="7">
        <v>1</v>
      </c>
      <c r="F547" s="7">
        <v>1</v>
      </c>
      <c r="G547" s="7">
        <v>2</v>
      </c>
      <c r="H547" s="7">
        <v>2</v>
      </c>
      <c r="I547" s="7">
        <v>3</v>
      </c>
      <c r="J547" s="7">
        <v>3</v>
      </c>
      <c r="K547" s="7">
        <v>0</v>
      </c>
      <c r="L547" s="7">
        <v>0</v>
      </c>
      <c r="M547" s="7">
        <v>0</v>
      </c>
      <c r="N547" s="7">
        <v>0</v>
      </c>
      <c r="O547" s="7">
        <v>0</v>
      </c>
      <c r="P547" s="7">
        <v>0</v>
      </c>
      <c r="Q547" s="7">
        <v>0</v>
      </c>
      <c r="R547" s="7">
        <v>0</v>
      </c>
      <c r="S547" s="7">
        <v>0</v>
      </c>
    </row>
    <row r="548">
      <c r="A548" s="16" t="s">
        <v>359</v>
      </c>
      <c r="B548" s="2" t="s">
        <v>322</v>
      </c>
      <c r="C548" s="7">
        <v>343</v>
      </c>
      <c r="D548" s="7">
        <v>341</v>
      </c>
      <c r="E548" s="7">
        <v>328</v>
      </c>
      <c r="F548" s="7">
        <v>320</v>
      </c>
      <c r="G548" s="7">
        <v>323</v>
      </c>
      <c r="H548" s="7">
        <v>15</v>
      </c>
      <c r="I548" s="7">
        <v>0</v>
      </c>
      <c r="J548" s="7">
        <v>0</v>
      </c>
      <c r="K548" s="7">
        <v>0</v>
      </c>
      <c r="L548" s="7">
        <v>0</v>
      </c>
      <c r="M548" s="7">
        <v>0</v>
      </c>
      <c r="N548" s="7">
        <v>0</v>
      </c>
      <c r="O548" s="7">
        <v>0</v>
      </c>
      <c r="P548" s="7">
        <v>0</v>
      </c>
      <c r="Q548" s="7">
        <v>0</v>
      </c>
      <c r="R548" s="7">
        <v>0</v>
      </c>
      <c r="S548" s="7">
        <v>0</v>
      </c>
    </row>
    <row r="549">
      <c r="A549" s="16" t="s">
        <v>360</v>
      </c>
      <c r="B549" s="2" t="s">
        <v>322</v>
      </c>
      <c r="C549" s="7">
        <v>0</v>
      </c>
      <c r="D549" s="7">
        <v>0</v>
      </c>
      <c r="E549" s="7">
        <v>0</v>
      </c>
      <c r="F549" s="7">
        <v>0</v>
      </c>
      <c r="G549" s="7">
        <v>0</v>
      </c>
      <c r="H549" s="7">
        <v>0</v>
      </c>
      <c r="I549" s="7">
        <v>0</v>
      </c>
      <c r="J549" s="7">
        <v>0</v>
      </c>
      <c r="K549" s="7">
        <v>0</v>
      </c>
      <c r="L549" s="7">
        <v>0</v>
      </c>
      <c r="M549" s="7">
        <v>0</v>
      </c>
      <c r="N549" s="7">
        <v>0</v>
      </c>
      <c r="O549" s="7">
        <v>0</v>
      </c>
      <c r="P549" s="7">
        <v>0</v>
      </c>
      <c r="Q549" s="7">
        <v>0</v>
      </c>
      <c r="R549" s="7">
        <v>0</v>
      </c>
      <c r="S549" s="7">
        <v>0</v>
      </c>
    </row>
    <row r="550">
      <c r="A550" s="16" t="s">
        <v>361</v>
      </c>
      <c r="B550" s="2" t="s">
        <v>322</v>
      </c>
      <c r="C550" s="7">
        <v>1</v>
      </c>
      <c r="D550" s="7">
        <v>1</v>
      </c>
      <c r="E550" s="7">
        <v>1</v>
      </c>
      <c r="F550" s="7">
        <v>1</v>
      </c>
      <c r="G550" s="7">
        <v>1</v>
      </c>
      <c r="H550" s="7">
        <v>1</v>
      </c>
      <c r="I550" s="7">
        <v>1</v>
      </c>
      <c r="J550" s="7">
        <v>1</v>
      </c>
      <c r="K550" s="7">
        <v>1</v>
      </c>
      <c r="L550" s="7">
        <v>1</v>
      </c>
      <c r="M550" s="7">
        <v>0</v>
      </c>
      <c r="N550" s="7">
        <v>0</v>
      </c>
      <c r="O550" s="7">
        <v>0</v>
      </c>
      <c r="P550" s="7">
        <v>0</v>
      </c>
      <c r="Q550" s="7">
        <v>0</v>
      </c>
      <c r="R550" s="7">
        <v>0</v>
      </c>
      <c r="S550" s="7">
        <v>0</v>
      </c>
    </row>
    <row r="551">
      <c r="A551" s="16" t="s">
        <v>362</v>
      </c>
      <c r="B551" s="2" t="s">
        <v>322</v>
      </c>
      <c r="C551" s="7">
        <v>28</v>
      </c>
      <c r="D551" s="7">
        <v>33</v>
      </c>
      <c r="E551" s="7">
        <v>29</v>
      </c>
      <c r="F551" s="7">
        <v>19</v>
      </c>
      <c r="G551" s="7">
        <v>17</v>
      </c>
      <c r="H551" s="7">
        <v>19</v>
      </c>
      <c r="I551" s="7">
        <v>8</v>
      </c>
      <c r="J551" s="7">
        <v>3</v>
      </c>
      <c r="K551" s="7">
        <v>0</v>
      </c>
      <c r="L551" s="7">
        <v>0</v>
      </c>
      <c r="M551" s="7">
        <v>0</v>
      </c>
      <c r="N551" s="7">
        <v>0</v>
      </c>
      <c r="O551" s="7">
        <v>0</v>
      </c>
      <c r="P551" s="7">
        <v>0</v>
      </c>
      <c r="Q551" s="7">
        <v>0</v>
      </c>
      <c r="R551" s="7">
        <v>0</v>
      </c>
      <c r="S551" s="7">
        <v>0</v>
      </c>
    </row>
    <row r="552">
      <c r="A552" s="16" t="s">
        <v>363</v>
      </c>
      <c r="B552" s="2" t="s">
        <v>322</v>
      </c>
      <c r="C552" s="7">
        <v>125</v>
      </c>
      <c r="D552" s="7">
        <v>120</v>
      </c>
      <c r="E552" s="7">
        <v>125</v>
      </c>
      <c r="F552" s="7">
        <v>125</v>
      </c>
      <c r="G552" s="7">
        <v>124</v>
      </c>
      <c r="H552" s="7">
        <v>0</v>
      </c>
      <c r="I552" s="7">
        <v>0</v>
      </c>
      <c r="J552" s="7">
        <v>0</v>
      </c>
      <c r="K552" s="7">
        <v>0</v>
      </c>
      <c r="L552" s="7">
        <v>0</v>
      </c>
      <c r="M552" s="7">
        <v>0</v>
      </c>
      <c r="N552" s="7">
        <v>0</v>
      </c>
      <c r="O552" s="7">
        <v>0</v>
      </c>
      <c r="P552" s="7">
        <v>0</v>
      </c>
      <c r="Q552" s="7">
        <v>0</v>
      </c>
      <c r="R552" s="7">
        <v>0</v>
      </c>
      <c r="S552" s="7">
        <v>0</v>
      </c>
    </row>
    <row r="553">
      <c r="A553" s="16" t="s">
        <v>364</v>
      </c>
      <c r="B553" s="2" t="s">
        <v>365</v>
      </c>
      <c r="C553" s="7">
        <v>41350</v>
      </c>
      <c r="D553" s="7">
        <v>45250</v>
      </c>
      <c r="E553" s="7">
        <v>43275</v>
      </c>
      <c r="F553" s="7">
        <v>41475</v>
      </c>
      <c r="G553" s="7">
        <v>43870</v>
      </c>
      <c r="H553" s="7">
        <v>44095</v>
      </c>
      <c r="I553" s="7">
        <v>39045</v>
      </c>
      <c r="J553" s="7">
        <v>42065</v>
      </c>
      <c r="K553" s="7">
        <v>42092</v>
      </c>
      <c r="L553" s="7">
        <v>40264</v>
      </c>
      <c r="M553" s="7">
        <v>41271</v>
      </c>
      <c r="N553" s="7">
        <v>41890</v>
      </c>
      <c r="O553" s="7">
        <v>44497</v>
      </c>
      <c r="P553" s="7">
        <v>39613</v>
      </c>
      <c r="Q553" s="7">
        <v>41236</v>
      </c>
      <c r="R553" s="7">
        <v>41570</v>
      </c>
      <c r="S553" s="7">
        <v>42500</v>
      </c>
    </row>
    <row r="554">
      <c r="A554" s="16" t="s">
        <v>366</v>
      </c>
      <c r="B554" s="2" t="s">
        <v>365</v>
      </c>
      <c r="C554" s="7">
        <v>7015</v>
      </c>
      <c r="D554" s="7">
        <v>7050</v>
      </c>
      <c r="E554" s="7">
        <v>7565</v>
      </c>
      <c r="F554" s="7">
        <v>7750</v>
      </c>
      <c r="G554" s="7">
        <v>7860</v>
      </c>
      <c r="H554" s="7">
        <v>8060</v>
      </c>
      <c r="I554" s="7">
        <v>8210</v>
      </c>
      <c r="J554" s="7">
        <v>8231</v>
      </c>
      <c r="K554" s="7">
        <v>7897</v>
      </c>
      <c r="L554" s="7">
        <v>7610</v>
      </c>
      <c r="M554" s="7">
        <v>7354</v>
      </c>
      <c r="N554" s="7">
        <v>7210</v>
      </c>
      <c r="O554" s="7">
        <v>6886</v>
      </c>
      <c r="P554" s="7">
        <v>6996</v>
      </c>
      <c r="Q554" s="7">
        <v>6528</v>
      </c>
      <c r="R554" s="7">
        <v>6653</v>
      </c>
      <c r="S554" s="7">
        <v>6900</v>
      </c>
    </row>
    <row r="555">
      <c r="A555" s="16" t="s">
        <v>367</v>
      </c>
      <c r="B555" s="2" t="s">
        <v>365</v>
      </c>
      <c r="C555" s="7">
        <v>4245</v>
      </c>
      <c r="D555" s="7">
        <v>4170</v>
      </c>
      <c r="E555" s="7">
        <v>4230</v>
      </c>
      <c r="F555" s="7">
        <v>4605</v>
      </c>
      <c r="G555" s="7">
        <v>4495</v>
      </c>
      <c r="H555" s="7">
        <v>4545</v>
      </c>
      <c r="I555" s="7">
        <v>4550</v>
      </c>
      <c r="J555" s="7">
        <v>4750</v>
      </c>
      <c r="K555" s="7">
        <v>4885</v>
      </c>
      <c r="L555" s="7">
        <v>4830</v>
      </c>
      <c r="M555" s="7">
        <v>4995</v>
      </c>
      <c r="N555" s="7">
        <v>5330</v>
      </c>
      <c r="O555" s="7">
        <v>5110</v>
      </c>
      <c r="P555" s="7">
        <v>4980</v>
      </c>
      <c r="Q555" s="7">
        <v>5085</v>
      </c>
      <c r="R555" s="7">
        <v>5050</v>
      </c>
      <c r="S555" s="7">
        <v>5100</v>
      </c>
    </row>
    <row r="556">
      <c r="A556" s="16" t="s">
        <v>368</v>
      </c>
      <c r="B556" s="2" t="s">
        <v>365</v>
      </c>
      <c r="C556" s="7">
        <v>0</v>
      </c>
      <c r="D556" s="7">
        <v>0</v>
      </c>
      <c r="E556" s="7">
        <v>0</v>
      </c>
      <c r="F556" s="7">
        <v>0</v>
      </c>
      <c r="G556" s="7">
        <v>0</v>
      </c>
      <c r="H556" s="7">
        <v>0</v>
      </c>
      <c r="I556" s="7">
        <v>4260</v>
      </c>
      <c r="J556" s="7">
        <v>3610</v>
      </c>
      <c r="K556" s="7">
        <v>3875</v>
      </c>
      <c r="L556" s="7">
        <v>3805</v>
      </c>
      <c r="M556" s="7">
        <v>2955</v>
      </c>
      <c r="N556" s="7">
        <v>3985</v>
      </c>
      <c r="O556" s="7">
        <v>3980</v>
      </c>
      <c r="P556" s="7">
        <v>4190</v>
      </c>
      <c r="Q556" s="7">
        <v>4495</v>
      </c>
      <c r="R556" s="7">
        <v>4570</v>
      </c>
      <c r="S556" s="7">
        <v>4850</v>
      </c>
    </row>
    <row r="557">
      <c r="A557" s="16" t="s">
        <v>369</v>
      </c>
      <c r="B557" s="2" t="s">
        <v>365</v>
      </c>
      <c r="C557" s="7">
        <v>4355</v>
      </c>
      <c r="D557" s="7">
        <v>3865</v>
      </c>
      <c r="E557" s="7">
        <v>4130</v>
      </c>
      <c r="F557" s="7">
        <v>4230</v>
      </c>
      <c r="G557" s="7">
        <v>4050</v>
      </c>
      <c r="H557" s="7">
        <v>4395</v>
      </c>
      <c r="I557" s="7">
        <v>4740</v>
      </c>
      <c r="J557" s="7">
        <v>4465</v>
      </c>
      <c r="K557" s="7">
        <v>4945</v>
      </c>
      <c r="L557" s="7">
        <v>4625</v>
      </c>
      <c r="M557" s="7">
        <v>4165</v>
      </c>
      <c r="N557" s="7">
        <v>4055</v>
      </c>
      <c r="O557" s="7">
        <v>4250</v>
      </c>
      <c r="P557" s="7">
        <v>4250</v>
      </c>
      <c r="Q557" s="7">
        <v>4450</v>
      </c>
      <c r="R557" s="7">
        <v>4575</v>
      </c>
      <c r="S557" s="7">
        <v>4800</v>
      </c>
    </row>
    <row r="558">
      <c r="A558" s="16" t="s">
        <v>370</v>
      </c>
      <c r="B558" s="2" t="s">
        <v>365</v>
      </c>
      <c r="C558" s="7">
        <v>1910</v>
      </c>
      <c r="D558" s="7">
        <v>1785</v>
      </c>
      <c r="E558" s="7">
        <v>1825</v>
      </c>
      <c r="F558" s="7">
        <v>2160</v>
      </c>
      <c r="G558" s="7">
        <v>2305</v>
      </c>
      <c r="H558" s="7">
        <v>2465</v>
      </c>
      <c r="I558" s="7">
        <v>2725</v>
      </c>
      <c r="J558" s="7">
        <v>2645</v>
      </c>
      <c r="K558" s="7">
        <v>2770</v>
      </c>
      <c r="L558" s="7">
        <v>2980</v>
      </c>
      <c r="M558" s="7">
        <v>2995</v>
      </c>
      <c r="N558" s="7">
        <v>3405</v>
      </c>
      <c r="O558" s="7">
        <v>3175</v>
      </c>
      <c r="P558" s="7">
        <v>3350</v>
      </c>
      <c r="Q558" s="7">
        <v>3365</v>
      </c>
      <c r="R558" s="7">
        <v>3200</v>
      </c>
      <c r="S558" s="7">
        <v>3400</v>
      </c>
    </row>
    <row r="559">
      <c r="A559" s="16" t="s">
        <v>371</v>
      </c>
      <c r="B559" s="2" t="s">
        <v>365</v>
      </c>
      <c r="C559" s="7">
        <v>1445</v>
      </c>
      <c r="D559" s="7">
        <v>1600</v>
      </c>
      <c r="E559" s="7">
        <v>1660</v>
      </c>
      <c r="F559" s="7">
        <v>1615</v>
      </c>
      <c r="G559" s="7">
        <v>1775</v>
      </c>
      <c r="H559" s="7">
        <v>1785</v>
      </c>
      <c r="I559" s="7">
        <v>1730</v>
      </c>
      <c r="J559" s="7">
        <v>1900</v>
      </c>
      <c r="K559" s="7">
        <v>2040</v>
      </c>
      <c r="L559" s="7">
        <v>1960</v>
      </c>
      <c r="M559" s="7">
        <v>2055</v>
      </c>
      <c r="N559" s="7">
        <v>2305</v>
      </c>
      <c r="O559" s="7">
        <v>2135</v>
      </c>
      <c r="P559" s="7">
        <v>2090</v>
      </c>
      <c r="Q559" s="7">
        <v>2740</v>
      </c>
      <c r="R559" s="7">
        <v>2535</v>
      </c>
      <c r="S559" s="7">
        <v>2650</v>
      </c>
    </row>
    <row r="560">
      <c r="A560" s="16" t="s">
        <v>372</v>
      </c>
      <c r="B560" s="2" t="s">
        <v>365</v>
      </c>
      <c r="C560" s="7">
        <v>1815</v>
      </c>
      <c r="D560" s="7">
        <v>2270</v>
      </c>
      <c r="E560" s="7">
        <v>1945</v>
      </c>
      <c r="F560" s="7">
        <v>2300</v>
      </c>
      <c r="G560" s="7">
        <v>2195</v>
      </c>
      <c r="H560" s="7">
        <v>2320</v>
      </c>
      <c r="I560" s="7">
        <v>2205</v>
      </c>
      <c r="J560" s="7">
        <v>2300</v>
      </c>
      <c r="K560" s="7">
        <v>2340</v>
      </c>
      <c r="L560" s="7">
        <v>2040</v>
      </c>
      <c r="M560" s="7">
        <v>2240</v>
      </c>
      <c r="N560" s="7">
        <v>2090</v>
      </c>
      <c r="O560" s="7">
        <v>2050</v>
      </c>
      <c r="P560" s="7">
        <v>1950</v>
      </c>
      <c r="Q560" s="7">
        <v>2050</v>
      </c>
      <c r="R560" s="7">
        <v>2050</v>
      </c>
      <c r="S560" s="7">
        <v>2050</v>
      </c>
    </row>
    <row r="561">
      <c r="A561" s="16" t="s">
        <v>373</v>
      </c>
      <c r="B561" s="2" t="s">
        <v>365</v>
      </c>
      <c r="C561" s="7">
        <v>340</v>
      </c>
      <c r="D561" s="7">
        <v>375</v>
      </c>
      <c r="E561" s="7">
        <v>490</v>
      </c>
      <c r="F561" s="7">
        <v>505</v>
      </c>
      <c r="G561" s="7">
        <v>675</v>
      </c>
      <c r="H561" s="7">
        <v>710</v>
      </c>
      <c r="I561" s="7">
        <v>960</v>
      </c>
      <c r="J561" s="7">
        <v>865</v>
      </c>
      <c r="K561" s="7">
        <v>1205</v>
      </c>
      <c r="L561" s="7">
        <v>1215</v>
      </c>
      <c r="M561" s="7">
        <v>1165</v>
      </c>
      <c r="N561" s="7">
        <v>1285</v>
      </c>
      <c r="O561" s="7">
        <v>1590</v>
      </c>
      <c r="P561" s="7">
        <v>1545</v>
      </c>
      <c r="Q561" s="7">
        <v>1820</v>
      </c>
      <c r="R561" s="7">
        <v>1750</v>
      </c>
      <c r="S561" s="7">
        <v>1925</v>
      </c>
    </row>
    <row r="562">
      <c r="A562" s="16" t="s">
        <v>374</v>
      </c>
      <c r="B562" s="2" t="s">
        <v>365</v>
      </c>
      <c r="C562" s="7">
        <v>565</v>
      </c>
      <c r="D562" s="7">
        <v>685</v>
      </c>
      <c r="E562" s="7">
        <v>635</v>
      </c>
      <c r="F562" s="7">
        <v>730</v>
      </c>
      <c r="G562" s="7">
        <v>820</v>
      </c>
      <c r="H562" s="7">
        <v>785</v>
      </c>
      <c r="I562" s="7">
        <v>840</v>
      </c>
      <c r="J562" s="7">
        <v>935</v>
      </c>
      <c r="K562" s="7">
        <v>980</v>
      </c>
      <c r="L562" s="7">
        <v>1040</v>
      </c>
      <c r="M562" s="7">
        <v>1200</v>
      </c>
      <c r="N562" s="7">
        <v>1140</v>
      </c>
      <c r="O562" s="7">
        <v>1380</v>
      </c>
      <c r="P562" s="7">
        <v>1375</v>
      </c>
      <c r="Q562" s="7">
        <v>1540</v>
      </c>
      <c r="R562" s="7">
        <v>1350</v>
      </c>
      <c r="S562" s="7">
        <v>1450</v>
      </c>
    </row>
    <row r="563">
      <c r="A563" s="16" t="s">
        <v>375</v>
      </c>
      <c r="B563" s="2" t="s">
        <v>365</v>
      </c>
      <c r="C563" s="7">
        <v>1060</v>
      </c>
      <c r="D563" s="7">
        <v>1090</v>
      </c>
      <c r="E563" s="7">
        <v>1110</v>
      </c>
      <c r="F563" s="7">
        <v>1030</v>
      </c>
      <c r="G563" s="7">
        <v>1095</v>
      </c>
      <c r="H563" s="7">
        <v>1095</v>
      </c>
      <c r="I563" s="7">
        <v>1100</v>
      </c>
      <c r="J563" s="7">
        <v>1155</v>
      </c>
      <c r="K563" s="7">
        <v>1080</v>
      </c>
      <c r="L563" s="7">
        <v>1055</v>
      </c>
      <c r="M563" s="7">
        <v>1180</v>
      </c>
      <c r="N563" s="7">
        <v>1185</v>
      </c>
      <c r="O563" s="7">
        <v>1160</v>
      </c>
      <c r="P563" s="7">
        <v>1094</v>
      </c>
      <c r="Q563" s="7">
        <v>1215</v>
      </c>
      <c r="R563" s="7">
        <v>1200</v>
      </c>
      <c r="S563" s="7">
        <v>1300</v>
      </c>
    </row>
    <row r="564">
      <c r="A564" s="16" t="s">
        <v>376</v>
      </c>
      <c r="B564" s="2" t="s">
        <v>365</v>
      </c>
      <c r="C564" s="7">
        <v>250</v>
      </c>
      <c r="D564" s="7">
        <v>500</v>
      </c>
      <c r="E564" s="7">
        <v>450</v>
      </c>
      <c r="F564" s="7">
        <v>430</v>
      </c>
      <c r="G564" s="7">
        <v>480</v>
      </c>
      <c r="H564" s="7">
        <v>525</v>
      </c>
      <c r="I564" s="7">
        <v>630</v>
      </c>
      <c r="J564" s="7">
        <v>800</v>
      </c>
      <c r="K564" s="7">
        <v>825</v>
      </c>
      <c r="L564" s="7">
        <v>750</v>
      </c>
      <c r="M564" s="7">
        <v>400</v>
      </c>
      <c r="N564" s="7">
        <v>450</v>
      </c>
      <c r="O564" s="7">
        <v>900</v>
      </c>
      <c r="P564" s="7">
        <v>650</v>
      </c>
      <c r="Q564" s="7">
        <v>1175</v>
      </c>
      <c r="R564" s="7">
        <v>1175</v>
      </c>
      <c r="S564" s="7">
        <v>1275</v>
      </c>
    </row>
    <row r="565">
      <c r="A565" s="16" t="s">
        <v>377</v>
      </c>
      <c r="B565" s="2" t="s">
        <v>365</v>
      </c>
      <c r="C565" s="7">
        <v>1685</v>
      </c>
      <c r="D565" s="7">
        <v>1425</v>
      </c>
      <c r="E565" s="7">
        <v>1255</v>
      </c>
      <c r="F565" s="7">
        <v>1155</v>
      </c>
      <c r="G565" s="7">
        <v>1025</v>
      </c>
      <c r="H565" s="7">
        <v>970</v>
      </c>
      <c r="I565" s="7">
        <v>960</v>
      </c>
      <c r="J565" s="7">
        <v>1105</v>
      </c>
      <c r="K565" s="7">
        <v>1145</v>
      </c>
      <c r="L565" s="7">
        <v>1270</v>
      </c>
      <c r="M565" s="7">
        <v>1235</v>
      </c>
      <c r="N565" s="7">
        <v>1300</v>
      </c>
      <c r="O565" s="7">
        <v>1090</v>
      </c>
      <c r="P565" s="7">
        <v>1100</v>
      </c>
      <c r="Q565" s="7">
        <v>1070</v>
      </c>
      <c r="R565" s="7">
        <v>1110</v>
      </c>
      <c r="S565" s="7">
        <v>1150</v>
      </c>
    </row>
    <row r="566">
      <c r="A566" s="16" t="s">
        <v>378</v>
      </c>
      <c r="B566" s="2" t="s">
        <v>365</v>
      </c>
      <c r="C566" s="7">
        <v>555</v>
      </c>
      <c r="D566" s="7">
        <v>715</v>
      </c>
      <c r="E566" s="7">
        <v>705</v>
      </c>
      <c r="F566" s="7">
        <v>620</v>
      </c>
      <c r="G566" s="7">
        <v>635</v>
      </c>
      <c r="H566" s="7">
        <v>670</v>
      </c>
      <c r="I566" s="7">
        <v>660</v>
      </c>
      <c r="J566" s="7">
        <v>825</v>
      </c>
      <c r="K566" s="7">
        <v>845</v>
      </c>
      <c r="L566" s="7">
        <v>710</v>
      </c>
      <c r="M566" s="7">
        <v>880</v>
      </c>
      <c r="N566" s="7">
        <v>990</v>
      </c>
      <c r="O566" s="7">
        <v>805</v>
      </c>
      <c r="P566" s="7">
        <v>840</v>
      </c>
      <c r="Q566" s="7">
        <v>960</v>
      </c>
      <c r="R566" s="7">
        <v>910</v>
      </c>
      <c r="S566" s="7">
        <v>950</v>
      </c>
    </row>
    <row r="567">
      <c r="A567" s="16" t="s">
        <v>379</v>
      </c>
      <c r="B567" s="2" t="s">
        <v>365</v>
      </c>
      <c r="C567" s="7">
        <v>810</v>
      </c>
      <c r="D567" s="7">
        <v>750</v>
      </c>
      <c r="E567" s="7">
        <v>835</v>
      </c>
      <c r="F567" s="7">
        <v>685</v>
      </c>
      <c r="G567" s="7">
        <v>710</v>
      </c>
      <c r="H567" s="7">
        <v>741</v>
      </c>
      <c r="I567" s="7">
        <v>754</v>
      </c>
      <c r="J567" s="7">
        <v>775</v>
      </c>
      <c r="K567" s="7">
        <v>735</v>
      </c>
      <c r="L567" s="7">
        <v>859</v>
      </c>
      <c r="M567" s="7">
        <v>789</v>
      </c>
      <c r="N567" s="7">
        <v>906</v>
      </c>
      <c r="O567" s="7">
        <v>1019</v>
      </c>
      <c r="P567" s="7">
        <v>645</v>
      </c>
      <c r="Q567" s="7">
        <v>881</v>
      </c>
      <c r="R567" s="7">
        <v>815</v>
      </c>
      <c r="S567" s="7">
        <v>865</v>
      </c>
    </row>
    <row r="568">
      <c r="A568" s="16" t="s">
        <v>380</v>
      </c>
      <c r="B568" s="2" t="s">
        <v>365</v>
      </c>
      <c r="C568" s="7">
        <v>305</v>
      </c>
      <c r="D568" s="7">
        <v>305</v>
      </c>
      <c r="E568" s="7">
        <v>365</v>
      </c>
      <c r="F568" s="7">
        <v>380</v>
      </c>
      <c r="G568" s="7">
        <v>445</v>
      </c>
      <c r="H568" s="7">
        <v>535</v>
      </c>
      <c r="I568" s="7">
        <v>570</v>
      </c>
      <c r="J568" s="7">
        <v>590</v>
      </c>
      <c r="K568" s="7">
        <v>610</v>
      </c>
      <c r="L568" s="7">
        <v>690</v>
      </c>
      <c r="M568" s="7">
        <v>660</v>
      </c>
      <c r="N568" s="7">
        <v>695</v>
      </c>
      <c r="O568" s="7">
        <v>690</v>
      </c>
      <c r="P568" s="7">
        <v>740</v>
      </c>
      <c r="Q568" s="7">
        <v>820</v>
      </c>
      <c r="R568" s="7">
        <v>810</v>
      </c>
      <c r="S568" s="7">
        <v>860</v>
      </c>
    </row>
    <row r="569">
      <c r="A569" s="16" t="s">
        <v>381</v>
      </c>
      <c r="B569" s="2" t="s">
        <v>365</v>
      </c>
      <c r="C569" s="7">
        <v>340</v>
      </c>
      <c r="D569" s="7">
        <v>350</v>
      </c>
      <c r="E569" s="7">
        <v>570</v>
      </c>
      <c r="F569" s="7">
        <v>550</v>
      </c>
      <c r="G569" s="7">
        <v>470</v>
      </c>
      <c r="H569" s="7">
        <v>580</v>
      </c>
      <c r="I569" s="7">
        <v>625</v>
      </c>
      <c r="J569" s="7">
        <v>775</v>
      </c>
      <c r="K569" s="7">
        <v>835</v>
      </c>
      <c r="L569" s="7">
        <v>770</v>
      </c>
      <c r="M569" s="7">
        <v>845</v>
      </c>
      <c r="N569" s="7">
        <v>730</v>
      </c>
      <c r="O569" s="7">
        <v>725</v>
      </c>
      <c r="P569" s="7">
        <v>845</v>
      </c>
      <c r="Q569" s="7">
        <v>780</v>
      </c>
      <c r="R569" s="7">
        <v>770</v>
      </c>
      <c r="S569" s="7">
        <v>825</v>
      </c>
    </row>
    <row r="570">
      <c r="A570" s="16" t="s">
        <v>382</v>
      </c>
      <c r="B570" s="2" t="s">
        <v>365</v>
      </c>
      <c r="C570" s="7">
        <v>795</v>
      </c>
      <c r="D570" s="7">
        <v>760</v>
      </c>
      <c r="E570" s="7">
        <v>740</v>
      </c>
      <c r="F570" s="7">
        <v>775</v>
      </c>
      <c r="G570" s="7">
        <v>775</v>
      </c>
      <c r="H570" s="7">
        <v>785</v>
      </c>
      <c r="I570" s="7">
        <v>805</v>
      </c>
      <c r="J570" s="7">
        <v>740</v>
      </c>
      <c r="K570" s="7">
        <v>800</v>
      </c>
      <c r="L570" s="7">
        <v>795</v>
      </c>
      <c r="M570" s="7">
        <v>815</v>
      </c>
      <c r="N570" s="7">
        <v>750</v>
      </c>
      <c r="O570" s="7">
        <v>725</v>
      </c>
      <c r="P570" s="7">
        <v>730</v>
      </c>
      <c r="Q570" s="7">
        <v>805</v>
      </c>
      <c r="R570" s="7">
        <v>795</v>
      </c>
      <c r="S570" s="7">
        <v>820</v>
      </c>
    </row>
    <row r="571">
      <c r="A571" s="16" t="s">
        <v>383</v>
      </c>
      <c r="B571" s="2" t="s">
        <v>365</v>
      </c>
      <c r="C571" s="7">
        <v>245</v>
      </c>
      <c r="D571" s="7">
        <v>260</v>
      </c>
      <c r="E571" s="7">
        <v>200</v>
      </c>
      <c r="F571" s="7">
        <v>190</v>
      </c>
      <c r="G571" s="7">
        <v>145</v>
      </c>
      <c r="H571" s="7">
        <v>295</v>
      </c>
      <c r="I571" s="7">
        <v>405</v>
      </c>
      <c r="J571" s="7">
        <v>710</v>
      </c>
      <c r="K571" s="7">
        <v>515</v>
      </c>
      <c r="L571" s="7">
        <v>305</v>
      </c>
      <c r="M571" s="7">
        <v>425</v>
      </c>
      <c r="N571" s="7">
        <v>635</v>
      </c>
      <c r="O571" s="7">
        <v>800</v>
      </c>
      <c r="P571" s="7">
        <v>1040</v>
      </c>
      <c r="Q571" s="7">
        <v>855</v>
      </c>
      <c r="R571" s="7">
        <v>700</v>
      </c>
      <c r="S571" s="7">
        <v>775</v>
      </c>
    </row>
    <row r="572">
      <c r="A572" s="16" t="s">
        <v>384</v>
      </c>
      <c r="B572" s="2" t="s">
        <v>365</v>
      </c>
      <c r="C572" s="7">
        <v>700</v>
      </c>
      <c r="D572" s="7">
        <v>755</v>
      </c>
      <c r="E572" s="7">
        <v>740</v>
      </c>
      <c r="F572" s="7">
        <v>790</v>
      </c>
      <c r="G572" s="7">
        <v>605</v>
      </c>
      <c r="H572" s="7">
        <v>715</v>
      </c>
      <c r="I572" s="7">
        <v>625</v>
      </c>
      <c r="J572" s="7">
        <v>725</v>
      </c>
      <c r="K572" s="7">
        <v>800</v>
      </c>
      <c r="L572" s="7">
        <v>805</v>
      </c>
      <c r="M572" s="7">
        <v>835</v>
      </c>
      <c r="N572" s="7">
        <v>735</v>
      </c>
      <c r="O572" s="7">
        <v>725</v>
      </c>
      <c r="P572" s="7">
        <v>740</v>
      </c>
      <c r="Q572" s="7">
        <v>675</v>
      </c>
      <c r="R572" s="7">
        <v>680</v>
      </c>
      <c r="S572" s="7">
        <v>725</v>
      </c>
    </row>
    <row r="573">
      <c r="A573" s="16" t="s">
        <v>385</v>
      </c>
      <c r="B573" s="2" t="s">
        <v>365</v>
      </c>
      <c r="C573" s="7">
        <v>535</v>
      </c>
      <c r="D573" s="7">
        <v>500</v>
      </c>
      <c r="E573" s="7">
        <v>545</v>
      </c>
      <c r="F573" s="7">
        <v>545</v>
      </c>
      <c r="G573" s="7">
        <v>565</v>
      </c>
      <c r="H573" s="7">
        <v>600</v>
      </c>
      <c r="I573" s="7">
        <v>585</v>
      </c>
      <c r="J573" s="7">
        <v>715</v>
      </c>
      <c r="K573" s="7">
        <v>710</v>
      </c>
      <c r="L573" s="7">
        <v>660</v>
      </c>
      <c r="M573" s="7">
        <v>715</v>
      </c>
      <c r="N573" s="7">
        <v>880</v>
      </c>
      <c r="O573" s="7">
        <v>650</v>
      </c>
      <c r="P573" s="7">
        <v>620</v>
      </c>
      <c r="Q573" s="7">
        <v>750</v>
      </c>
      <c r="R573" s="7">
        <v>685</v>
      </c>
      <c r="S573" s="7">
        <v>725</v>
      </c>
    </row>
    <row r="574">
      <c r="A574" s="16" t="s">
        <v>386</v>
      </c>
      <c r="B574" s="2" t="s">
        <v>365</v>
      </c>
      <c r="C574" s="7">
        <v>190</v>
      </c>
      <c r="D574" s="7">
        <v>215</v>
      </c>
      <c r="E574" s="7">
        <v>175</v>
      </c>
      <c r="F574" s="7">
        <v>165</v>
      </c>
      <c r="G574" s="7">
        <v>125</v>
      </c>
      <c r="H574" s="7">
        <v>130</v>
      </c>
      <c r="I574" s="7">
        <v>100</v>
      </c>
      <c r="J574" s="7">
        <v>180</v>
      </c>
      <c r="K574" s="7">
        <v>150</v>
      </c>
      <c r="L574" s="7">
        <v>225</v>
      </c>
      <c r="M574" s="7">
        <v>210</v>
      </c>
      <c r="N574" s="7">
        <v>325</v>
      </c>
      <c r="O574" s="7">
        <v>500</v>
      </c>
      <c r="P574" s="7">
        <v>335</v>
      </c>
      <c r="Q574" s="7">
        <v>520</v>
      </c>
      <c r="R574" s="7">
        <v>560</v>
      </c>
      <c r="S574" s="7">
        <v>575</v>
      </c>
    </row>
    <row r="575">
      <c r="A575" s="16" t="s">
        <v>387</v>
      </c>
      <c r="B575" s="2" t="s">
        <v>365</v>
      </c>
      <c r="C575" s="7">
        <v>285</v>
      </c>
      <c r="D575" s="7">
        <v>310</v>
      </c>
      <c r="E575" s="7">
        <v>305</v>
      </c>
      <c r="F575" s="7">
        <v>305</v>
      </c>
      <c r="G575" s="7">
        <v>330</v>
      </c>
      <c r="H575" s="7">
        <v>358</v>
      </c>
      <c r="I575" s="7">
        <v>405</v>
      </c>
      <c r="J575" s="7">
        <v>425</v>
      </c>
      <c r="K575" s="7">
        <v>435</v>
      </c>
      <c r="L575" s="7">
        <v>450</v>
      </c>
      <c r="M575" s="7">
        <v>525</v>
      </c>
      <c r="N575" s="7">
        <v>515</v>
      </c>
      <c r="O575" s="7">
        <v>515</v>
      </c>
      <c r="P575" s="7">
        <v>462</v>
      </c>
      <c r="Q575" s="7">
        <v>505</v>
      </c>
      <c r="R575" s="7">
        <v>515</v>
      </c>
      <c r="S575" s="7">
        <v>540</v>
      </c>
    </row>
    <row r="576">
      <c r="A576" s="16" t="s">
        <v>388</v>
      </c>
      <c r="B576" s="2" t="s">
        <v>365</v>
      </c>
      <c r="C576" s="7">
        <v>300</v>
      </c>
      <c r="D576" s="7">
        <v>340</v>
      </c>
      <c r="E576" s="7">
        <v>340</v>
      </c>
      <c r="F576" s="7">
        <v>350</v>
      </c>
      <c r="G576" s="7">
        <v>350</v>
      </c>
      <c r="H576" s="7">
        <v>360</v>
      </c>
      <c r="I576" s="7">
        <v>335</v>
      </c>
      <c r="J576" s="7">
        <v>340</v>
      </c>
      <c r="K576" s="7">
        <v>345</v>
      </c>
      <c r="L576" s="7">
        <v>330</v>
      </c>
      <c r="M576" s="7">
        <v>345</v>
      </c>
      <c r="N576" s="7">
        <v>305</v>
      </c>
      <c r="O576" s="7">
        <v>305</v>
      </c>
      <c r="P576" s="7">
        <v>300</v>
      </c>
      <c r="Q576" s="7">
        <v>290</v>
      </c>
      <c r="R576" s="7">
        <v>300</v>
      </c>
      <c r="S576" s="7">
        <v>300</v>
      </c>
    </row>
    <row r="577">
      <c r="A577" s="16" t="s">
        <v>389</v>
      </c>
      <c r="B577" s="2" t="s">
        <v>365</v>
      </c>
      <c r="C577" s="7">
        <v>200</v>
      </c>
      <c r="D577" s="7">
        <v>165</v>
      </c>
      <c r="E577" s="7">
        <v>250</v>
      </c>
      <c r="F577" s="7">
        <v>210</v>
      </c>
      <c r="G577" s="7">
        <v>205</v>
      </c>
      <c r="H577" s="7">
        <v>250</v>
      </c>
      <c r="I577" s="7">
        <v>215</v>
      </c>
      <c r="J577" s="7">
        <v>245</v>
      </c>
      <c r="K577" s="7">
        <v>240</v>
      </c>
      <c r="L577" s="7">
        <v>245</v>
      </c>
      <c r="M577" s="7">
        <v>215</v>
      </c>
      <c r="N577" s="7">
        <v>200</v>
      </c>
      <c r="O577" s="7">
        <v>260</v>
      </c>
      <c r="P577" s="7">
        <v>205</v>
      </c>
      <c r="Q577" s="7">
        <v>250</v>
      </c>
      <c r="R577" s="7">
        <v>230</v>
      </c>
      <c r="S577" s="7">
        <v>250</v>
      </c>
    </row>
    <row r="578">
      <c r="A578" s="16" t="s">
        <v>390</v>
      </c>
      <c r="B578" s="2" t="s">
        <v>365</v>
      </c>
      <c r="C578" s="7">
        <v>190</v>
      </c>
      <c r="D578" s="7">
        <v>170</v>
      </c>
      <c r="E578" s="7">
        <v>140</v>
      </c>
      <c r="F578" s="7">
        <v>200</v>
      </c>
      <c r="G578" s="7">
        <v>180</v>
      </c>
      <c r="H578" s="7">
        <v>190</v>
      </c>
      <c r="I578" s="7">
        <v>170</v>
      </c>
      <c r="J578" s="7">
        <v>100</v>
      </c>
      <c r="K578" s="7">
        <v>200</v>
      </c>
      <c r="L578" s="7">
        <v>200</v>
      </c>
      <c r="M578" s="7">
        <v>180</v>
      </c>
      <c r="N578" s="7">
        <v>220</v>
      </c>
      <c r="O578" s="7">
        <v>240</v>
      </c>
      <c r="P578" s="7">
        <v>180</v>
      </c>
      <c r="Q578" s="7">
        <v>200</v>
      </c>
      <c r="R578" s="7">
        <v>220</v>
      </c>
      <c r="S578" s="7">
        <v>230</v>
      </c>
    </row>
    <row r="579">
      <c r="A579" s="16" t="s">
        <v>391</v>
      </c>
      <c r="B579" s="2" t="s">
        <v>365</v>
      </c>
      <c r="C579" s="7">
        <v>85</v>
      </c>
      <c r="D579" s="7">
        <v>100</v>
      </c>
      <c r="E579" s="7">
        <v>75</v>
      </c>
      <c r="F579" s="7">
        <v>90</v>
      </c>
      <c r="G579" s="7">
        <v>100</v>
      </c>
      <c r="H579" s="7">
        <v>100</v>
      </c>
      <c r="I579" s="7">
        <v>105</v>
      </c>
      <c r="J579" s="7">
        <v>105</v>
      </c>
      <c r="K579" s="7">
        <v>100</v>
      </c>
      <c r="L579" s="7">
        <v>90</v>
      </c>
      <c r="M579" s="7">
        <v>100</v>
      </c>
      <c r="N579" s="7">
        <v>85</v>
      </c>
      <c r="O579" s="7">
        <v>35</v>
      </c>
      <c r="P579" s="7">
        <v>20</v>
      </c>
      <c r="Q579" s="7">
        <v>80</v>
      </c>
      <c r="R579" s="7">
        <v>110</v>
      </c>
      <c r="S579" s="7">
        <v>125</v>
      </c>
    </row>
    <row r="580">
      <c r="A580" s="16" t="s">
        <v>392</v>
      </c>
      <c r="B580" s="2" t="s">
        <v>365</v>
      </c>
      <c r="C580" s="7">
        <v>25</v>
      </c>
      <c r="D580" s="7">
        <v>150</v>
      </c>
      <c r="E580" s="7">
        <v>115</v>
      </c>
      <c r="F580" s="7">
        <v>120</v>
      </c>
      <c r="G580" s="7">
        <v>150</v>
      </c>
      <c r="H580" s="7">
        <v>140</v>
      </c>
      <c r="I580" s="7">
        <v>105</v>
      </c>
      <c r="J580" s="7">
        <v>95</v>
      </c>
      <c r="K580" s="7">
        <v>190</v>
      </c>
      <c r="L580" s="7">
        <v>100</v>
      </c>
      <c r="M580" s="7">
        <v>90</v>
      </c>
      <c r="N580" s="7">
        <v>100</v>
      </c>
      <c r="O580" s="7">
        <v>110</v>
      </c>
      <c r="P580" s="7">
        <v>95</v>
      </c>
      <c r="Q580" s="7">
        <v>100</v>
      </c>
      <c r="R580" s="7">
        <v>100</v>
      </c>
      <c r="S580" s="7">
        <v>110</v>
      </c>
    </row>
    <row r="581">
      <c r="A581" s="16" t="s">
        <v>393</v>
      </c>
      <c r="B581" s="2" t="s">
        <v>365</v>
      </c>
      <c r="C581" s="7">
        <v>0</v>
      </c>
      <c r="D581" s="7">
        <v>0</v>
      </c>
      <c r="E581" s="7">
        <v>0</v>
      </c>
      <c r="F581" s="7">
        <v>0</v>
      </c>
      <c r="G581" s="7">
        <v>100</v>
      </c>
      <c r="H581" s="7">
        <v>105</v>
      </c>
      <c r="I581" s="7">
        <v>95</v>
      </c>
      <c r="J581" s="7">
        <v>90</v>
      </c>
      <c r="K581" s="7">
        <v>45</v>
      </c>
      <c r="L581" s="7">
        <v>80</v>
      </c>
      <c r="M581" s="7">
        <v>85</v>
      </c>
      <c r="N581" s="7">
        <v>50</v>
      </c>
      <c r="O581" s="7">
        <v>15</v>
      </c>
      <c r="P581" s="7">
        <v>5</v>
      </c>
      <c r="Q581" s="7">
        <v>35</v>
      </c>
      <c r="R581" s="7">
        <v>75</v>
      </c>
      <c r="S581" s="7">
        <v>100</v>
      </c>
    </row>
    <row r="582">
      <c r="A582" s="16" t="s">
        <v>394</v>
      </c>
      <c r="B582" s="2" t="s">
        <v>365</v>
      </c>
      <c r="C582" s="7">
        <v>55</v>
      </c>
      <c r="D582" s="7">
        <v>60</v>
      </c>
      <c r="E582" s="7">
        <v>60</v>
      </c>
      <c r="F582" s="7">
        <v>75</v>
      </c>
      <c r="G582" s="7">
        <v>75</v>
      </c>
      <c r="H582" s="7">
        <v>75</v>
      </c>
      <c r="I582" s="7">
        <v>80</v>
      </c>
      <c r="J582" s="7">
        <v>80</v>
      </c>
      <c r="K582" s="7">
        <v>90</v>
      </c>
      <c r="L582" s="7">
        <v>80</v>
      </c>
      <c r="M582" s="7">
        <v>85</v>
      </c>
      <c r="N582" s="7">
        <v>95</v>
      </c>
      <c r="O582" s="7">
        <v>95</v>
      </c>
      <c r="P582" s="7">
        <v>80</v>
      </c>
      <c r="Q582" s="7">
        <v>75</v>
      </c>
      <c r="R582" s="7">
        <v>80</v>
      </c>
      <c r="S582" s="7">
        <v>90</v>
      </c>
    </row>
    <row r="583">
      <c r="A583" s="16" t="s">
        <v>395</v>
      </c>
      <c r="B583" s="2" t="s">
        <v>365</v>
      </c>
      <c r="C583" s="7">
        <v>105</v>
      </c>
      <c r="D583" s="7">
        <v>110</v>
      </c>
      <c r="E583" s="7">
        <v>120</v>
      </c>
      <c r="F583" s="7">
        <v>110</v>
      </c>
      <c r="G583" s="7">
        <v>100</v>
      </c>
      <c r="H583" s="7">
        <v>105</v>
      </c>
      <c r="I583" s="7">
        <v>105</v>
      </c>
      <c r="J583" s="7">
        <v>100</v>
      </c>
      <c r="K583" s="7">
        <v>105</v>
      </c>
      <c r="L583" s="7">
        <v>100</v>
      </c>
      <c r="M583" s="7">
        <v>90</v>
      </c>
      <c r="N583" s="7">
        <v>77</v>
      </c>
      <c r="O583" s="7">
        <v>85</v>
      </c>
      <c r="P583" s="7">
        <v>85</v>
      </c>
      <c r="Q583" s="7">
        <v>75</v>
      </c>
      <c r="R583" s="7">
        <v>75</v>
      </c>
      <c r="S583" s="7">
        <v>80</v>
      </c>
    </row>
    <row r="584">
      <c r="A584" s="16" t="s">
        <v>396</v>
      </c>
      <c r="B584" s="2" t="s">
        <v>365</v>
      </c>
      <c r="C584" s="7">
        <v>50</v>
      </c>
      <c r="D584" s="7">
        <v>90</v>
      </c>
      <c r="E584" s="7">
        <v>125</v>
      </c>
      <c r="F584" s="7">
        <v>135</v>
      </c>
      <c r="G584" s="7">
        <v>105</v>
      </c>
      <c r="H584" s="7">
        <v>120</v>
      </c>
      <c r="I584" s="7">
        <v>115</v>
      </c>
      <c r="J584" s="7">
        <v>110</v>
      </c>
      <c r="K584" s="7">
        <v>95</v>
      </c>
      <c r="L584" s="7">
        <v>90</v>
      </c>
      <c r="M584" s="7">
        <v>70</v>
      </c>
      <c r="N584" s="7">
        <v>65</v>
      </c>
      <c r="O584" s="7">
        <v>60</v>
      </c>
      <c r="P584" s="7">
        <v>70</v>
      </c>
      <c r="Q584" s="7">
        <v>65</v>
      </c>
      <c r="R584" s="7">
        <v>70</v>
      </c>
      <c r="S584" s="7">
        <v>75</v>
      </c>
    </row>
    <row r="585">
      <c r="A585" s="16" t="s">
        <v>397</v>
      </c>
      <c r="B585" s="2" t="s">
        <v>365</v>
      </c>
      <c r="C585" s="7">
        <v>15</v>
      </c>
      <c r="D585" s="7">
        <v>15</v>
      </c>
      <c r="E585" s="7">
        <v>20</v>
      </c>
      <c r="F585" s="7">
        <v>20</v>
      </c>
      <c r="G585" s="7">
        <v>15</v>
      </c>
      <c r="H585" s="7">
        <v>20</v>
      </c>
      <c r="I585" s="7">
        <v>15</v>
      </c>
      <c r="J585" s="7">
        <v>20</v>
      </c>
      <c r="K585" s="7">
        <v>20</v>
      </c>
      <c r="L585" s="7">
        <v>20</v>
      </c>
      <c r="M585" s="7">
        <v>35</v>
      </c>
      <c r="N585" s="7">
        <v>40</v>
      </c>
      <c r="O585" s="7">
        <v>35</v>
      </c>
      <c r="P585" s="7">
        <v>35</v>
      </c>
      <c r="Q585" s="7">
        <v>35</v>
      </c>
      <c r="R585" s="7">
        <v>35</v>
      </c>
      <c r="S585" s="7">
        <v>50</v>
      </c>
    </row>
    <row r="586">
      <c r="A586" s="16" t="s">
        <v>398</v>
      </c>
      <c r="B586" s="2" t="s">
        <v>365</v>
      </c>
      <c r="C586" s="7">
        <v>155</v>
      </c>
      <c r="D586" s="7">
        <v>90</v>
      </c>
      <c r="E586" s="7">
        <v>70</v>
      </c>
      <c r="F586" s="7">
        <v>60</v>
      </c>
      <c r="G586" s="7">
        <v>50</v>
      </c>
      <c r="H586" s="7">
        <v>45</v>
      </c>
      <c r="I586" s="7">
        <v>45</v>
      </c>
      <c r="J586" s="7">
        <v>40</v>
      </c>
      <c r="K586" s="7">
        <v>50</v>
      </c>
      <c r="L586" s="7">
        <v>35</v>
      </c>
      <c r="M586" s="7">
        <v>40</v>
      </c>
      <c r="N586" s="7">
        <v>40</v>
      </c>
      <c r="O586" s="7">
        <v>40</v>
      </c>
      <c r="P586" s="7">
        <v>40</v>
      </c>
      <c r="Q586" s="7">
        <v>45</v>
      </c>
      <c r="R586" s="7">
        <v>40</v>
      </c>
      <c r="S586" s="7">
        <v>45</v>
      </c>
    </row>
    <row r="587">
      <c r="A587" s="16" t="s">
        <v>399</v>
      </c>
      <c r="B587" s="2" t="s">
        <v>365</v>
      </c>
      <c r="C587" s="7">
        <v>0</v>
      </c>
      <c r="D587" s="7">
        <v>0</v>
      </c>
      <c r="E587" s="7">
        <v>0</v>
      </c>
      <c r="F587" s="7">
        <v>0</v>
      </c>
      <c r="G587" s="7">
        <v>0</v>
      </c>
      <c r="H587" s="7">
        <v>0</v>
      </c>
      <c r="I587" s="7">
        <v>0</v>
      </c>
      <c r="J587" s="7">
        <v>0</v>
      </c>
      <c r="K587" s="7">
        <v>0</v>
      </c>
      <c r="L587" s="7">
        <v>0</v>
      </c>
      <c r="M587" s="7">
        <v>0</v>
      </c>
      <c r="N587" s="7">
        <v>0</v>
      </c>
      <c r="O587" s="7">
        <v>0</v>
      </c>
      <c r="P587" s="7">
        <v>0</v>
      </c>
      <c r="Q587" s="7">
        <v>0</v>
      </c>
      <c r="R587" s="7">
        <v>0</v>
      </c>
      <c r="S587" s="7">
        <v>0</v>
      </c>
    </row>
    <row r="588">
      <c r="A588" s="16" t="s">
        <v>400</v>
      </c>
      <c r="B588" s="2" t="s">
        <v>365</v>
      </c>
      <c r="C588" s="7">
        <v>0</v>
      </c>
      <c r="D588" s="7">
        <v>0</v>
      </c>
      <c r="E588" s="7">
        <v>0</v>
      </c>
      <c r="F588" s="7">
        <v>0</v>
      </c>
      <c r="G588" s="7">
        <v>0</v>
      </c>
      <c r="H588" s="7">
        <v>0</v>
      </c>
      <c r="I588" s="7">
        <v>0</v>
      </c>
      <c r="J588" s="7">
        <v>0</v>
      </c>
      <c r="K588" s="7">
        <v>0</v>
      </c>
      <c r="L588" s="7">
        <v>0</v>
      </c>
      <c r="M588" s="7">
        <v>0</v>
      </c>
      <c r="N588" s="7">
        <v>0</v>
      </c>
      <c r="O588" s="7">
        <v>0</v>
      </c>
      <c r="P588" s="7">
        <v>0</v>
      </c>
      <c r="Q588" s="7">
        <v>0</v>
      </c>
      <c r="R588" s="7">
        <v>0</v>
      </c>
      <c r="S588" s="7">
        <v>0</v>
      </c>
    </row>
    <row r="589">
      <c r="A589" s="16" t="s">
        <v>401</v>
      </c>
      <c r="B589" s="2" t="s">
        <v>365</v>
      </c>
      <c r="C589" s="7">
        <v>0</v>
      </c>
      <c r="D589" s="7">
        <v>0</v>
      </c>
      <c r="E589" s="7">
        <v>0</v>
      </c>
      <c r="F589" s="7">
        <v>0</v>
      </c>
      <c r="G589" s="7">
        <v>0</v>
      </c>
      <c r="H589" s="7">
        <v>0</v>
      </c>
      <c r="I589" s="7">
        <v>0</v>
      </c>
      <c r="J589" s="7">
        <v>0</v>
      </c>
      <c r="K589" s="7">
        <v>0</v>
      </c>
      <c r="L589" s="7">
        <v>0</v>
      </c>
      <c r="M589" s="7">
        <v>0</v>
      </c>
      <c r="N589" s="7">
        <v>0</v>
      </c>
      <c r="O589" s="7">
        <v>0</v>
      </c>
      <c r="P589" s="7">
        <v>0</v>
      </c>
      <c r="Q589" s="7">
        <v>0</v>
      </c>
      <c r="R589" s="7">
        <v>0</v>
      </c>
      <c r="S589" s="7">
        <v>0</v>
      </c>
    </row>
    <row r="590">
      <c r="A590" s="16" t="s">
        <v>402</v>
      </c>
      <c r="B590" s="2" t="s">
        <v>365</v>
      </c>
      <c r="C590" s="7">
        <v>0</v>
      </c>
      <c r="D590" s="7">
        <v>0</v>
      </c>
      <c r="E590" s="7">
        <v>0</v>
      </c>
      <c r="F590" s="7">
        <v>0</v>
      </c>
      <c r="G590" s="7">
        <v>0</v>
      </c>
      <c r="H590" s="7">
        <v>0</v>
      </c>
      <c r="I590" s="7">
        <v>0</v>
      </c>
      <c r="J590" s="7">
        <v>0</v>
      </c>
      <c r="K590" s="7">
        <v>0</v>
      </c>
      <c r="L590" s="7">
        <v>0</v>
      </c>
      <c r="M590" s="7">
        <v>0</v>
      </c>
      <c r="N590" s="7">
        <v>0</v>
      </c>
      <c r="O590" s="7">
        <v>0</v>
      </c>
      <c r="P590" s="7">
        <v>0</v>
      </c>
      <c r="Q590" s="7">
        <v>0</v>
      </c>
      <c r="R590" s="7">
        <v>0</v>
      </c>
      <c r="S590" s="7">
        <v>0</v>
      </c>
    </row>
    <row r="591">
      <c r="A591" s="16" t="s">
        <v>403</v>
      </c>
      <c r="B591" s="2" t="s">
        <v>365</v>
      </c>
      <c r="C591" s="7">
        <v>0</v>
      </c>
      <c r="D591" s="7">
        <v>0</v>
      </c>
      <c r="E591" s="7">
        <v>0</v>
      </c>
      <c r="F591" s="7">
        <v>0</v>
      </c>
      <c r="G591" s="7">
        <v>0</v>
      </c>
      <c r="H591" s="7">
        <v>0</v>
      </c>
      <c r="I591" s="7">
        <v>0</v>
      </c>
      <c r="J591" s="7">
        <v>0</v>
      </c>
      <c r="K591" s="7">
        <v>0</v>
      </c>
      <c r="L591" s="7">
        <v>0</v>
      </c>
      <c r="M591" s="7">
        <v>0</v>
      </c>
      <c r="N591" s="7">
        <v>0</v>
      </c>
      <c r="O591" s="7">
        <v>0</v>
      </c>
      <c r="P591" s="7">
        <v>0</v>
      </c>
      <c r="Q591" s="7">
        <v>0</v>
      </c>
      <c r="R591" s="7">
        <v>0</v>
      </c>
      <c r="S591" s="7">
        <v>0</v>
      </c>
    </row>
    <row r="592">
      <c r="A592" s="16" t="s">
        <v>404</v>
      </c>
      <c r="B592" s="2" t="s">
        <v>365</v>
      </c>
      <c r="C592" s="7">
        <v>0</v>
      </c>
      <c r="D592" s="7">
        <v>0</v>
      </c>
      <c r="E592" s="7">
        <v>0</v>
      </c>
      <c r="F592" s="7">
        <v>0</v>
      </c>
      <c r="G592" s="7">
        <v>0</v>
      </c>
      <c r="H592" s="7">
        <v>0</v>
      </c>
      <c r="I592" s="7">
        <v>0</v>
      </c>
      <c r="J592" s="7">
        <v>0</v>
      </c>
      <c r="K592" s="7">
        <v>0</v>
      </c>
      <c r="L592" s="7">
        <v>0</v>
      </c>
      <c r="M592" s="7">
        <v>0</v>
      </c>
      <c r="N592" s="7">
        <v>0</v>
      </c>
      <c r="O592" s="7">
        <v>0</v>
      </c>
      <c r="P592" s="7">
        <v>0</v>
      </c>
      <c r="Q592" s="7">
        <v>0</v>
      </c>
      <c r="R592" s="7">
        <v>0</v>
      </c>
      <c r="S592" s="7">
        <v>0</v>
      </c>
    </row>
    <row r="593">
      <c r="A593" s="16" t="s">
        <v>405</v>
      </c>
      <c r="B593" s="2" t="s">
        <v>365</v>
      </c>
      <c r="C593" s="7">
        <v>0</v>
      </c>
      <c r="D593" s="7">
        <v>0</v>
      </c>
      <c r="E593" s="7">
        <v>0</v>
      </c>
      <c r="F593" s="7">
        <v>0</v>
      </c>
      <c r="G593" s="7">
        <v>0</v>
      </c>
      <c r="H593" s="7">
        <v>0</v>
      </c>
      <c r="I593" s="7">
        <v>0</v>
      </c>
      <c r="J593" s="7">
        <v>0</v>
      </c>
      <c r="K593" s="7">
        <v>0</v>
      </c>
      <c r="L593" s="7">
        <v>0</v>
      </c>
      <c r="M593" s="7">
        <v>0</v>
      </c>
      <c r="N593" s="7">
        <v>0</v>
      </c>
      <c r="O593" s="7">
        <v>0</v>
      </c>
      <c r="P593" s="7">
        <v>0</v>
      </c>
      <c r="Q593" s="7">
        <v>0</v>
      </c>
      <c r="R593" s="7">
        <v>0</v>
      </c>
      <c r="S593" s="7">
        <v>0</v>
      </c>
    </row>
    <row r="594">
      <c r="A594" s="16" t="s">
        <v>406</v>
      </c>
      <c r="B594" s="2" t="s">
        <v>365</v>
      </c>
      <c r="C594" s="7">
        <v>0</v>
      </c>
      <c r="D594" s="7">
        <v>0</v>
      </c>
      <c r="E594" s="7">
        <v>0</v>
      </c>
      <c r="F594" s="7">
        <v>0</v>
      </c>
      <c r="G594" s="7">
        <v>0</v>
      </c>
      <c r="H594" s="7">
        <v>0</v>
      </c>
      <c r="I594" s="7">
        <v>0</v>
      </c>
      <c r="J594" s="7">
        <v>0</v>
      </c>
      <c r="K594" s="7">
        <v>0</v>
      </c>
      <c r="L594" s="7">
        <v>0</v>
      </c>
      <c r="M594" s="7">
        <v>0</v>
      </c>
      <c r="N594" s="7">
        <v>0</v>
      </c>
      <c r="O594" s="7">
        <v>0</v>
      </c>
      <c r="P594" s="7">
        <v>0</v>
      </c>
      <c r="Q594" s="7">
        <v>0</v>
      </c>
      <c r="R594" s="7">
        <v>0</v>
      </c>
      <c r="S594" s="7">
        <v>0</v>
      </c>
    </row>
    <row r="595">
      <c r="A595" s="16" t="s">
        <v>407</v>
      </c>
      <c r="B595" s="2" t="s">
        <v>365</v>
      </c>
      <c r="C595" s="7">
        <v>0</v>
      </c>
      <c r="D595" s="7">
        <v>0</v>
      </c>
      <c r="E595" s="7">
        <v>0</v>
      </c>
      <c r="F595" s="7">
        <v>0</v>
      </c>
      <c r="G595" s="7">
        <v>0</v>
      </c>
      <c r="H595" s="7">
        <v>0</v>
      </c>
      <c r="I595" s="7">
        <v>0</v>
      </c>
      <c r="J595" s="7">
        <v>0</v>
      </c>
      <c r="K595" s="7">
        <v>0</v>
      </c>
      <c r="L595" s="7">
        <v>0</v>
      </c>
      <c r="M595" s="7">
        <v>0</v>
      </c>
      <c r="N595" s="7">
        <v>0</v>
      </c>
      <c r="O595" s="7">
        <v>0</v>
      </c>
      <c r="P595" s="7">
        <v>0</v>
      </c>
      <c r="Q595" s="7">
        <v>0</v>
      </c>
      <c r="R595" s="7">
        <v>0</v>
      </c>
      <c r="S595" s="7">
        <v>0</v>
      </c>
    </row>
    <row r="596">
      <c r="A596" s="16" t="s">
        <v>408</v>
      </c>
      <c r="B596" s="2" t="s">
        <v>365</v>
      </c>
      <c r="C596" s="7">
        <v>0</v>
      </c>
      <c r="D596" s="7">
        <v>0</v>
      </c>
      <c r="E596" s="7">
        <v>0</v>
      </c>
      <c r="F596" s="7">
        <v>0</v>
      </c>
      <c r="G596" s="7">
        <v>0</v>
      </c>
      <c r="H596" s="7">
        <v>0</v>
      </c>
      <c r="I596" s="7">
        <v>0</v>
      </c>
      <c r="J596" s="7">
        <v>0</v>
      </c>
      <c r="K596" s="7">
        <v>0</v>
      </c>
      <c r="L596" s="7">
        <v>0</v>
      </c>
      <c r="M596" s="7">
        <v>0</v>
      </c>
      <c r="N596" s="7">
        <v>0</v>
      </c>
      <c r="O596" s="7">
        <v>0</v>
      </c>
      <c r="P596" s="7">
        <v>0</v>
      </c>
      <c r="Q596" s="7">
        <v>0</v>
      </c>
      <c r="R596" s="7">
        <v>0</v>
      </c>
      <c r="S596" s="7">
        <v>0</v>
      </c>
    </row>
    <row r="597">
      <c r="A597" s="16" t="s">
        <v>409</v>
      </c>
      <c r="B597" s="2" t="s">
        <v>365</v>
      </c>
      <c r="C597" s="7">
        <v>0</v>
      </c>
      <c r="D597" s="7">
        <v>0</v>
      </c>
      <c r="E597" s="7">
        <v>0</v>
      </c>
      <c r="F597" s="7">
        <v>0</v>
      </c>
      <c r="G597" s="7">
        <v>0</v>
      </c>
      <c r="H597" s="7">
        <v>0</v>
      </c>
      <c r="I597" s="7">
        <v>0</v>
      </c>
      <c r="J597" s="7">
        <v>0</v>
      </c>
      <c r="K597" s="7">
        <v>0</v>
      </c>
      <c r="L597" s="7">
        <v>0</v>
      </c>
      <c r="M597" s="7">
        <v>0</v>
      </c>
      <c r="N597" s="7">
        <v>0</v>
      </c>
      <c r="O597" s="7">
        <v>0</v>
      </c>
      <c r="P597" s="7">
        <v>0</v>
      </c>
      <c r="Q597" s="7">
        <v>0</v>
      </c>
      <c r="R597" s="7">
        <v>0</v>
      </c>
      <c r="S597" s="7">
        <v>0</v>
      </c>
    </row>
    <row r="598">
      <c r="A598" s="16" t="s">
        <v>410</v>
      </c>
      <c r="B598" s="2" t="s">
        <v>365</v>
      </c>
      <c r="C598" s="7">
        <v>0</v>
      </c>
      <c r="D598" s="7">
        <v>0</v>
      </c>
      <c r="E598" s="7">
        <v>0</v>
      </c>
      <c r="F598" s="7">
        <v>0</v>
      </c>
      <c r="G598" s="7">
        <v>0</v>
      </c>
      <c r="H598" s="7">
        <v>0</v>
      </c>
      <c r="I598" s="7">
        <v>0</v>
      </c>
      <c r="J598" s="7">
        <v>0</v>
      </c>
      <c r="K598" s="7">
        <v>0</v>
      </c>
      <c r="L598" s="7">
        <v>0</v>
      </c>
      <c r="M598" s="7">
        <v>0</v>
      </c>
      <c r="N598" s="7">
        <v>0</v>
      </c>
      <c r="O598" s="7">
        <v>0</v>
      </c>
      <c r="P598" s="7">
        <v>0</v>
      </c>
      <c r="Q598" s="7">
        <v>0</v>
      </c>
      <c r="R598" s="7">
        <v>0</v>
      </c>
      <c r="S598" s="7">
        <v>0</v>
      </c>
    </row>
    <row r="599">
      <c r="A599" s="17" t="s">
        <v>411</v>
      </c>
      <c r="C599" s="19">
        <f>SUM(C506:C552)</f>
        <v>63533</v>
      </c>
      <c r="D599" s="19">
        <f>SUM(D506:D552)</f>
        <v>66556</v>
      </c>
      <c r="E599" s="19">
        <f>SUM(E506:E552)</f>
        <v>68335</v>
      </c>
      <c r="F599" s="19">
        <f>SUM(F506:F552)</f>
        <v>69517</v>
      </c>
      <c r="G599" s="19">
        <f>SUM(G506:G552)</f>
        <v>70283</v>
      </c>
      <c r="H599" s="19">
        <f>SUM(H506:H552)</f>
        <v>74517</v>
      </c>
      <c r="I599" s="19">
        <f>SUM(I506:I552)</f>
        <v>76230</v>
      </c>
      <c r="J599" s="19">
        <f>SUM(J506:J552)</f>
        <v>78016</v>
      </c>
      <c r="K599" s="19">
        <f>SUM(K506:K552)</f>
        <v>82009</v>
      </c>
      <c r="L599" s="19">
        <f>SUM(L506:L552)</f>
        <v>81272</v>
      </c>
      <c r="M599" s="19">
        <f>SUM(M506:M552)</f>
        <v>80849</v>
      </c>
      <c r="N599" s="19">
        <f>SUM(N506:N552)</f>
        <v>83808</v>
      </c>
      <c r="O599" s="19">
        <f>SUM(O506:O552)</f>
        <v>82117</v>
      </c>
      <c r="P599" s="19">
        <f>SUM(P506:P552)</f>
        <v>82649</v>
      </c>
      <c r="Q599" s="19">
        <f>SUM(Q506:Q552)</f>
        <v>86191</v>
      </c>
      <c r="R599" s="19">
        <f>SUM(R506:R552)</f>
        <v>88096</v>
      </c>
      <c r="S599" s="19">
        <f>SUM(S506:S552)</f>
        <v>91271</v>
      </c>
    </row>
    <row r="600">
      <c r="A600" s="17" t="s">
        <v>412</v>
      </c>
      <c r="C600" s="19">
        <f>SUM(C553:C598)</f>
        <v>71975</v>
      </c>
      <c r="D600" s="19">
        <f>SUM(D553:D598)</f>
        <v>76275</v>
      </c>
      <c r="E600" s="19">
        <f>SUM(E553:E598)</f>
        <v>75065</v>
      </c>
      <c r="F600" s="19">
        <f>SUM(F553:F598)</f>
        <v>74360</v>
      </c>
      <c r="G600" s="19">
        <f>SUM(G553:G598)</f>
        <v>76880</v>
      </c>
      <c r="H600" s="19">
        <f>SUM(H553:H598)</f>
        <v>78669</v>
      </c>
      <c r="I600" s="19">
        <f>SUM(I553:I598)</f>
        <v>78874</v>
      </c>
      <c r="J600" s="19">
        <f>SUM(J553:J598)</f>
        <v>82611</v>
      </c>
      <c r="K600" s="19">
        <f>SUM(K553:K598)</f>
        <v>83994</v>
      </c>
      <c r="L600" s="19">
        <f>SUM(L553:L598)</f>
        <v>81083</v>
      </c>
      <c r="M600" s="19">
        <f>SUM(M553:M598)</f>
        <v>81244</v>
      </c>
      <c r="N600" s="19">
        <f>SUM(N553:N598)</f>
        <v>84068</v>
      </c>
      <c r="O600" s="19">
        <f>SUM(O553:O598)</f>
        <v>86637</v>
      </c>
      <c r="P600" s="19">
        <f>SUM(P553:P598)</f>
        <v>81295</v>
      </c>
      <c r="Q600" s="19">
        <f>SUM(Q553:Q598)</f>
        <v>85570</v>
      </c>
      <c r="R600" s="19">
        <f>SUM(R553:R598)</f>
        <v>85363</v>
      </c>
      <c r="S600" s="19">
        <f>SUM(S553:S598)</f>
        <v>88465</v>
      </c>
    </row>
    <row r="601">
      <c r="A601" s="17" t="s">
        <v>112</v>
      </c>
      <c r="C601" s="20">
        <f>C599+C600</f>
        <v>135508</v>
      </c>
      <c r="D601" s="20">
        <f>D599+D600</f>
        <v>142831</v>
      </c>
      <c r="E601" s="20">
        <f>E599+E600</f>
        <v>143400</v>
      </c>
      <c r="F601" s="20">
        <f>F599+F600</f>
        <v>143877</v>
      </c>
      <c r="G601" s="20">
        <f>G599+G600</f>
        <v>147163</v>
      </c>
      <c r="H601" s="20">
        <f>H599+H600</f>
        <v>153186</v>
      </c>
      <c r="I601" s="20">
        <f>I599+I600</f>
        <v>155104</v>
      </c>
      <c r="J601" s="20">
        <f>J599+J600</f>
        <v>160627</v>
      </c>
      <c r="K601" s="20">
        <f>K599+K600</f>
        <v>166003</v>
      </c>
      <c r="L601" s="20">
        <f>L599+L600</f>
        <v>162355</v>
      </c>
      <c r="M601" s="20">
        <f>M599+M600</f>
        <v>162093</v>
      </c>
      <c r="N601" s="20">
        <f>N599+N600</f>
        <v>167876</v>
      </c>
      <c r="O601" s="20">
        <f>O599+O600</f>
        <v>168754</v>
      </c>
      <c r="P601" s="20">
        <f>P599+P600</f>
        <v>163944</v>
      </c>
      <c r="Q601" s="20">
        <f>Q599+Q600</f>
        <v>171761</v>
      </c>
      <c r="R601" s="20">
        <f>R599+R600</f>
        <v>173459</v>
      </c>
      <c r="S601" s="20">
        <f>S599+S600</f>
        <v>179736</v>
      </c>
    </row>
    <row r="605">
      <c r="A605" s="4" t="s">
        <v>418</v>
      </c>
      <c r="B605" s="3" t="s">
        <v>320</v>
      </c>
      <c r="C605" s="3" t="s">
        <v>35</v>
      </c>
      <c r="D605" s="3" t="s">
        <v>36</v>
      </c>
      <c r="E605" s="3" t="s">
        <v>37</v>
      </c>
      <c r="F605" s="3" t="s">
        <v>38</v>
      </c>
      <c r="G605" s="3" t="s">
        <v>39</v>
      </c>
      <c r="H605" s="3" t="s">
        <v>40</v>
      </c>
      <c r="I605" s="3" t="s">
        <v>41</v>
      </c>
      <c r="J605" s="3" t="s">
        <v>42</v>
      </c>
      <c r="K605" s="3" t="s">
        <v>43</v>
      </c>
      <c r="L605" s="3" t="s">
        <v>44</v>
      </c>
      <c r="M605" s="3" t="s">
        <v>45</v>
      </c>
      <c r="N605" s="3" t="s">
        <v>46</v>
      </c>
      <c r="O605" s="3" t="s">
        <v>47</v>
      </c>
      <c r="P605" s="3" t="s">
        <v>48</v>
      </c>
      <c r="Q605" s="3" t="s">
        <v>49</v>
      </c>
      <c r="R605" s="3" t="s">
        <v>50</v>
      </c>
      <c r="S605" s="3" t="s">
        <v>110</v>
      </c>
    </row>
    <row r="606">
      <c r="A606" s="16" t="s">
        <v>321</v>
      </c>
      <c r="B606" s="2" t="s">
        <v>322</v>
      </c>
      <c r="C606" s="7">
        <v>35010</v>
      </c>
      <c r="D606" s="7">
        <v>29843</v>
      </c>
      <c r="E606" s="7">
        <v>30660</v>
      </c>
      <c r="F606" s="7">
        <v>34146</v>
      </c>
      <c r="G606" s="7">
        <v>36573</v>
      </c>
      <c r="H606" s="7">
        <v>35543</v>
      </c>
      <c r="I606" s="7">
        <v>33081</v>
      </c>
      <c r="J606" s="7">
        <v>30454</v>
      </c>
      <c r="K606" s="7">
        <v>41426</v>
      </c>
      <c r="L606" s="7">
        <v>40256</v>
      </c>
      <c r="M606" s="7">
        <v>45675</v>
      </c>
      <c r="N606" s="7">
        <v>39685</v>
      </c>
      <c r="O606" s="7">
        <v>36145</v>
      </c>
      <c r="P606" s="7">
        <v>46750</v>
      </c>
      <c r="Q606" s="7">
        <v>44750</v>
      </c>
      <c r="R606" s="7">
        <v>37870</v>
      </c>
      <c r="S606" s="7">
        <v>49070</v>
      </c>
    </row>
    <row r="607">
      <c r="A607" s="16" t="s">
        <v>125</v>
      </c>
      <c r="B607" s="2" t="s">
        <v>322</v>
      </c>
      <c r="C607" s="7">
        <v>18640</v>
      </c>
      <c r="D607" s="7">
        <v>24495</v>
      </c>
      <c r="E607" s="7">
        <v>24643</v>
      </c>
      <c r="F607" s="7">
        <v>28289</v>
      </c>
      <c r="G607" s="7">
        <v>21567</v>
      </c>
      <c r="H607" s="7">
        <v>29065</v>
      </c>
      <c r="I607" s="7">
        <v>26450</v>
      </c>
      <c r="J607" s="7">
        <v>29907</v>
      </c>
      <c r="K607" s="7">
        <v>28318</v>
      </c>
      <c r="L607" s="7">
        <v>27326</v>
      </c>
      <c r="M607" s="7">
        <v>25300</v>
      </c>
      <c r="N607" s="7">
        <v>29010</v>
      </c>
      <c r="O607" s="7">
        <v>28340</v>
      </c>
      <c r="P607" s="7">
        <v>24400</v>
      </c>
      <c r="Q607" s="7">
        <v>25200</v>
      </c>
      <c r="R607" s="7">
        <v>28500</v>
      </c>
      <c r="S607" s="7">
        <v>28950</v>
      </c>
    </row>
    <row r="608">
      <c r="A608" s="16" t="s">
        <v>323</v>
      </c>
      <c r="B608" s="2" t="s">
        <v>322</v>
      </c>
      <c r="C608" s="7">
        <v>8385</v>
      </c>
      <c r="D608" s="7">
        <v>7360</v>
      </c>
      <c r="E608" s="7">
        <v>8855</v>
      </c>
      <c r="F608" s="7">
        <v>11040</v>
      </c>
      <c r="G608" s="7">
        <v>12420</v>
      </c>
      <c r="H608" s="7">
        <v>12390</v>
      </c>
      <c r="I608" s="7">
        <v>13755</v>
      </c>
      <c r="J608" s="7">
        <v>12725</v>
      </c>
      <c r="K608" s="7">
        <v>13615</v>
      </c>
      <c r="L608" s="7">
        <v>13005</v>
      </c>
      <c r="M608" s="7">
        <v>12755</v>
      </c>
      <c r="N608" s="7">
        <v>12365</v>
      </c>
      <c r="O608" s="7">
        <v>10610</v>
      </c>
      <c r="P608" s="7">
        <v>11770</v>
      </c>
      <c r="Q608" s="7">
        <v>13377</v>
      </c>
      <c r="R608" s="7">
        <v>12810</v>
      </c>
      <c r="S608" s="7">
        <v>13400</v>
      </c>
    </row>
    <row r="609">
      <c r="A609" s="16" t="s">
        <v>324</v>
      </c>
      <c r="B609" s="2" t="s">
        <v>322</v>
      </c>
      <c r="C609" s="7">
        <v>3235</v>
      </c>
      <c r="D609" s="7">
        <v>3140</v>
      </c>
      <c r="E609" s="7">
        <v>3500</v>
      </c>
      <c r="F609" s="7">
        <v>3285</v>
      </c>
      <c r="G609" s="7">
        <v>3500</v>
      </c>
      <c r="H609" s="7">
        <v>3405</v>
      </c>
      <c r="I609" s="7">
        <v>3853</v>
      </c>
      <c r="J609" s="7">
        <v>3893</v>
      </c>
      <c r="K609" s="7">
        <v>4174</v>
      </c>
      <c r="L609" s="7">
        <v>4135</v>
      </c>
      <c r="M609" s="7">
        <v>4675</v>
      </c>
      <c r="N609" s="7">
        <v>4831</v>
      </c>
      <c r="O609" s="7">
        <v>3910</v>
      </c>
      <c r="P609" s="7">
        <v>5630</v>
      </c>
      <c r="Q609" s="7">
        <v>7430</v>
      </c>
      <c r="R609" s="7">
        <v>6965</v>
      </c>
      <c r="S609" s="7">
        <v>7130</v>
      </c>
    </row>
    <row r="610">
      <c r="A610" s="16" t="s">
        <v>325</v>
      </c>
      <c r="B610" s="2" t="s">
        <v>322</v>
      </c>
      <c r="C610" s="7">
        <v>9730</v>
      </c>
      <c r="D610" s="7">
        <v>7145</v>
      </c>
      <c r="E610" s="7">
        <v>10325</v>
      </c>
      <c r="F610" s="7">
        <v>10380</v>
      </c>
      <c r="G610" s="7">
        <v>8720</v>
      </c>
      <c r="H610" s="7">
        <v>9896</v>
      </c>
      <c r="I610" s="7">
        <v>8174</v>
      </c>
      <c r="J610" s="7">
        <v>8010</v>
      </c>
      <c r="K610" s="7">
        <v>6150</v>
      </c>
      <c r="L610" s="7">
        <v>7152</v>
      </c>
      <c r="M610" s="7">
        <v>7872</v>
      </c>
      <c r="N610" s="7">
        <v>7428</v>
      </c>
      <c r="O610" s="7">
        <v>7832</v>
      </c>
      <c r="P610" s="7">
        <v>5355</v>
      </c>
      <c r="Q610" s="7">
        <v>7285</v>
      </c>
      <c r="R610" s="7">
        <v>8842</v>
      </c>
      <c r="S610" s="7">
        <v>8050</v>
      </c>
    </row>
    <row r="611">
      <c r="A611" s="16" t="s">
        <v>326</v>
      </c>
      <c r="B611" s="2" t="s">
        <v>322</v>
      </c>
      <c r="C611" s="7">
        <v>3150</v>
      </c>
      <c r="D611" s="7">
        <v>3000</v>
      </c>
      <c r="E611" s="7">
        <v>3575</v>
      </c>
      <c r="F611" s="7">
        <v>3600</v>
      </c>
      <c r="G611" s="7">
        <v>3350</v>
      </c>
      <c r="H611" s="7">
        <v>3300</v>
      </c>
      <c r="I611" s="7">
        <v>4600</v>
      </c>
      <c r="J611" s="7">
        <v>4300</v>
      </c>
      <c r="K611" s="7">
        <v>4450</v>
      </c>
      <c r="L611" s="7">
        <v>5350</v>
      </c>
      <c r="M611" s="7">
        <v>6514</v>
      </c>
      <c r="N611" s="7">
        <v>5850</v>
      </c>
      <c r="O611" s="7">
        <v>6250</v>
      </c>
      <c r="P611" s="7">
        <v>6300</v>
      </c>
      <c r="Q611" s="7">
        <v>6350</v>
      </c>
      <c r="R611" s="7">
        <v>6700</v>
      </c>
      <c r="S611" s="7">
        <v>6830</v>
      </c>
    </row>
    <row r="612">
      <c r="A612" s="16" t="s">
        <v>327</v>
      </c>
      <c r="B612" s="2" t="s">
        <v>322</v>
      </c>
      <c r="C612" s="7">
        <v>5515</v>
      </c>
      <c r="D612" s="7">
        <v>5223</v>
      </c>
      <c r="E612" s="7">
        <v>4858</v>
      </c>
      <c r="F612" s="7">
        <v>5013</v>
      </c>
      <c r="G612" s="7">
        <v>4894</v>
      </c>
      <c r="H612" s="7">
        <v>5693</v>
      </c>
      <c r="I612" s="7">
        <v>6158</v>
      </c>
      <c r="J612" s="7">
        <v>6148</v>
      </c>
      <c r="K612" s="7">
        <v>5778</v>
      </c>
      <c r="L612" s="7">
        <v>5185</v>
      </c>
      <c r="M612" s="7">
        <v>5794</v>
      </c>
      <c r="N612" s="7">
        <v>7258</v>
      </c>
      <c r="O612" s="7">
        <v>6420</v>
      </c>
      <c r="P612" s="7">
        <v>6906</v>
      </c>
      <c r="Q612" s="7">
        <v>6165</v>
      </c>
      <c r="R612" s="7">
        <v>6026</v>
      </c>
      <c r="S612" s="7">
        <v>6219</v>
      </c>
    </row>
    <row r="613">
      <c r="A613" s="16" t="s">
        <v>130</v>
      </c>
      <c r="B613" s="2" t="s">
        <v>322</v>
      </c>
      <c r="C613" s="7">
        <v>3900</v>
      </c>
      <c r="D613" s="7">
        <v>5290</v>
      </c>
      <c r="E613" s="7">
        <v>4480</v>
      </c>
      <c r="F613" s="7">
        <v>3940</v>
      </c>
      <c r="G613" s="7">
        <v>4760</v>
      </c>
      <c r="H613" s="7">
        <v>5000</v>
      </c>
      <c r="I613" s="7">
        <v>7175</v>
      </c>
      <c r="J613" s="7">
        <v>7225</v>
      </c>
      <c r="K613" s="7">
        <v>6910</v>
      </c>
      <c r="L613" s="7">
        <v>4900</v>
      </c>
      <c r="M613" s="7">
        <v>6010</v>
      </c>
      <c r="N613" s="7">
        <v>4650</v>
      </c>
      <c r="O613" s="7">
        <v>5310</v>
      </c>
      <c r="P613" s="7">
        <v>4718</v>
      </c>
      <c r="Q613" s="7">
        <v>4960</v>
      </c>
      <c r="R613" s="7">
        <v>5030</v>
      </c>
      <c r="S613" s="7">
        <v>5503</v>
      </c>
    </row>
    <row r="614">
      <c r="A614" s="16" t="s">
        <v>328</v>
      </c>
      <c r="B614" s="2" t="s">
        <v>322</v>
      </c>
      <c r="C614" s="7">
        <v>3880</v>
      </c>
      <c r="D614" s="7">
        <v>5140</v>
      </c>
      <c r="E614" s="7">
        <v>4100</v>
      </c>
      <c r="F614" s="7">
        <v>4100</v>
      </c>
      <c r="G614" s="7">
        <v>2750</v>
      </c>
      <c r="H614" s="7">
        <v>3300</v>
      </c>
      <c r="I614" s="7">
        <v>4025</v>
      </c>
      <c r="J614" s="7">
        <v>4185</v>
      </c>
      <c r="K614" s="7">
        <v>4293</v>
      </c>
      <c r="L614" s="7">
        <v>3720</v>
      </c>
      <c r="M614" s="7">
        <v>3326</v>
      </c>
      <c r="N614" s="7">
        <v>4065</v>
      </c>
      <c r="O614" s="7">
        <v>3325</v>
      </c>
      <c r="P614" s="7">
        <v>4003</v>
      </c>
      <c r="Q614" s="7">
        <v>3908</v>
      </c>
      <c r="R614" s="7">
        <v>4546</v>
      </c>
      <c r="S614" s="7">
        <v>4554</v>
      </c>
    </row>
    <row r="615">
      <c r="A615" s="16" t="s">
        <v>329</v>
      </c>
      <c r="B615" s="2" t="s">
        <v>322</v>
      </c>
      <c r="C615" s="7">
        <v>2560</v>
      </c>
      <c r="D615" s="7">
        <v>3365</v>
      </c>
      <c r="E615" s="7">
        <v>3616</v>
      </c>
      <c r="F615" s="7">
        <v>2725</v>
      </c>
      <c r="G615" s="7">
        <v>2560</v>
      </c>
      <c r="H615" s="7">
        <v>2340</v>
      </c>
      <c r="I615" s="7">
        <v>2865</v>
      </c>
      <c r="J615" s="7">
        <v>3220</v>
      </c>
      <c r="K615" s="7">
        <v>2896</v>
      </c>
      <c r="L615" s="7">
        <v>2986</v>
      </c>
      <c r="M615" s="7">
        <v>3007</v>
      </c>
      <c r="N615" s="7">
        <v>2933</v>
      </c>
      <c r="O615" s="7">
        <v>2565</v>
      </c>
      <c r="P615" s="7">
        <v>2698</v>
      </c>
      <c r="Q615" s="7">
        <v>3465</v>
      </c>
      <c r="R615" s="7">
        <v>3450</v>
      </c>
      <c r="S615" s="7">
        <v>3410</v>
      </c>
    </row>
    <row r="616">
      <c r="A616" s="16" t="s">
        <v>134</v>
      </c>
      <c r="B616" s="2" t="s">
        <v>322</v>
      </c>
      <c r="C616" s="7">
        <v>3725</v>
      </c>
      <c r="D616" s="7">
        <v>3840</v>
      </c>
      <c r="E616" s="7">
        <v>3770</v>
      </c>
      <c r="F616" s="7">
        <v>3175</v>
      </c>
      <c r="G616" s="7">
        <v>3070</v>
      </c>
      <c r="H616" s="7">
        <v>3044</v>
      </c>
      <c r="I616" s="7">
        <v>3330</v>
      </c>
      <c r="J616" s="7">
        <v>3465</v>
      </c>
      <c r="K616" s="7">
        <v>3604</v>
      </c>
      <c r="L616" s="7">
        <v>3220</v>
      </c>
      <c r="M616" s="7">
        <v>3691</v>
      </c>
      <c r="N616" s="7">
        <v>3354</v>
      </c>
      <c r="O616" s="7">
        <v>3019</v>
      </c>
      <c r="P616" s="7">
        <v>3203</v>
      </c>
      <c r="Q616" s="7">
        <v>2989</v>
      </c>
      <c r="R616" s="7">
        <v>2980</v>
      </c>
      <c r="S616" s="7">
        <v>3200</v>
      </c>
    </row>
    <row r="617">
      <c r="A617" s="16" t="s">
        <v>135</v>
      </c>
      <c r="B617" s="2" t="s">
        <v>322</v>
      </c>
      <c r="C617" s="7">
        <v>1675</v>
      </c>
      <c r="D617" s="7">
        <v>1795</v>
      </c>
      <c r="E617" s="7">
        <v>2085</v>
      </c>
      <c r="F617" s="7">
        <v>1920</v>
      </c>
      <c r="G617" s="7">
        <v>1925</v>
      </c>
      <c r="H617" s="7">
        <v>2060</v>
      </c>
      <c r="I617" s="7">
        <v>2450</v>
      </c>
      <c r="J617" s="7">
        <v>2515</v>
      </c>
      <c r="K617" s="7">
        <v>2790</v>
      </c>
      <c r="L617" s="7">
        <v>2740</v>
      </c>
      <c r="M617" s="7">
        <v>2500</v>
      </c>
      <c r="N617" s="7">
        <v>2710</v>
      </c>
      <c r="O617" s="7">
        <v>2460</v>
      </c>
      <c r="P617" s="7">
        <v>2072</v>
      </c>
      <c r="Q617" s="7">
        <v>2565</v>
      </c>
      <c r="R617" s="7">
        <v>2420</v>
      </c>
      <c r="S617" s="7">
        <v>2250</v>
      </c>
    </row>
    <row r="618">
      <c r="A618" s="16" t="s">
        <v>330</v>
      </c>
      <c r="B618" s="2" t="s">
        <v>322</v>
      </c>
      <c r="C618" s="7">
        <v>705</v>
      </c>
      <c r="D618" s="7">
        <v>1079</v>
      </c>
      <c r="E618" s="7">
        <v>1470</v>
      </c>
      <c r="F618" s="7">
        <v>1351</v>
      </c>
      <c r="G618" s="7">
        <v>1520</v>
      </c>
      <c r="H618" s="7">
        <v>2410</v>
      </c>
      <c r="I618" s="7">
        <v>1982</v>
      </c>
      <c r="J618" s="7">
        <v>2050</v>
      </c>
      <c r="K618" s="7">
        <v>1710</v>
      </c>
      <c r="L618" s="7">
        <v>1215</v>
      </c>
      <c r="M618" s="7">
        <v>790</v>
      </c>
      <c r="N618" s="7">
        <v>1190</v>
      </c>
      <c r="O618" s="7">
        <v>805</v>
      </c>
      <c r="P618" s="7">
        <v>1265</v>
      </c>
      <c r="Q618" s="7">
        <v>1460</v>
      </c>
      <c r="R618" s="7">
        <v>1230</v>
      </c>
      <c r="S618" s="7">
        <v>1200</v>
      </c>
    </row>
    <row r="619">
      <c r="A619" s="16" t="s">
        <v>331</v>
      </c>
      <c r="B619" s="2" t="s">
        <v>322</v>
      </c>
      <c r="C619" s="7">
        <v>1005</v>
      </c>
      <c r="D619" s="7">
        <v>525</v>
      </c>
      <c r="E619" s="7">
        <v>920</v>
      </c>
      <c r="F619" s="7">
        <v>803</v>
      </c>
      <c r="G619" s="7">
        <v>980</v>
      </c>
      <c r="H619" s="7">
        <v>1120</v>
      </c>
      <c r="I619" s="7">
        <v>1030</v>
      </c>
      <c r="J619" s="7">
        <v>1030</v>
      </c>
      <c r="K619" s="7">
        <v>1230</v>
      </c>
      <c r="L619" s="7">
        <v>1230</v>
      </c>
      <c r="M619" s="7">
        <v>1057</v>
      </c>
      <c r="N619" s="7">
        <v>1247</v>
      </c>
      <c r="O619" s="7">
        <v>1160</v>
      </c>
      <c r="P619" s="7">
        <v>1270</v>
      </c>
      <c r="Q619" s="7">
        <v>1260</v>
      </c>
      <c r="R619" s="7">
        <v>1370</v>
      </c>
      <c r="S619" s="7">
        <v>1410</v>
      </c>
    </row>
    <row r="620">
      <c r="A620" s="16" t="s">
        <v>332</v>
      </c>
      <c r="B620" s="2" t="s">
        <v>322</v>
      </c>
      <c r="C620" s="7">
        <v>1675</v>
      </c>
      <c r="D620" s="7">
        <v>1950</v>
      </c>
      <c r="E620" s="7">
        <v>2150</v>
      </c>
      <c r="F620" s="7">
        <v>2110</v>
      </c>
      <c r="G620" s="7">
        <v>2775</v>
      </c>
      <c r="H620" s="7">
        <v>2975</v>
      </c>
      <c r="I620" s="7">
        <v>2940</v>
      </c>
      <c r="J620" s="7">
        <v>3075</v>
      </c>
      <c r="K620" s="7">
        <v>3125</v>
      </c>
      <c r="L620" s="7">
        <v>3000</v>
      </c>
      <c r="M620" s="7">
        <v>2780</v>
      </c>
      <c r="N620" s="7">
        <v>2975</v>
      </c>
      <c r="O620" s="7">
        <v>2500</v>
      </c>
      <c r="P620" s="7">
        <v>2300</v>
      </c>
      <c r="Q620" s="7">
        <v>2400</v>
      </c>
      <c r="R620" s="7">
        <v>2500</v>
      </c>
      <c r="S620" s="7">
        <v>2500</v>
      </c>
    </row>
    <row r="621">
      <c r="A621" s="16" t="s">
        <v>333</v>
      </c>
      <c r="B621" s="2" t="s">
        <v>322</v>
      </c>
      <c r="C621" s="7">
        <v>985</v>
      </c>
      <c r="D621" s="7">
        <v>1620</v>
      </c>
      <c r="E621" s="7">
        <v>1680</v>
      </c>
      <c r="F621" s="7">
        <v>1570</v>
      </c>
      <c r="G621" s="7">
        <v>1350</v>
      </c>
      <c r="H621" s="7">
        <v>1540</v>
      </c>
      <c r="I621" s="7">
        <v>990</v>
      </c>
      <c r="J621" s="7">
        <v>1170</v>
      </c>
      <c r="K621" s="7">
        <v>1965</v>
      </c>
      <c r="L621" s="7">
        <v>1715</v>
      </c>
      <c r="M621" s="7">
        <v>865</v>
      </c>
      <c r="N621" s="7">
        <v>1060</v>
      </c>
      <c r="O621" s="7">
        <v>970</v>
      </c>
      <c r="P621" s="7">
        <v>1275</v>
      </c>
      <c r="Q621" s="7">
        <v>595</v>
      </c>
      <c r="R621" s="7">
        <v>1250</v>
      </c>
      <c r="S621" s="7">
        <v>1250</v>
      </c>
    </row>
    <row r="622">
      <c r="A622" s="16" t="s">
        <v>136</v>
      </c>
      <c r="B622" s="2" t="s">
        <v>322</v>
      </c>
      <c r="C622" s="7">
        <v>1264</v>
      </c>
      <c r="D622" s="7">
        <v>1465</v>
      </c>
      <c r="E622" s="7">
        <v>1411</v>
      </c>
      <c r="F622" s="7">
        <v>1265</v>
      </c>
      <c r="G622" s="7">
        <v>1180</v>
      </c>
      <c r="H622" s="7">
        <v>1220</v>
      </c>
      <c r="I622" s="7">
        <v>1120</v>
      </c>
      <c r="J622" s="7">
        <v>1210</v>
      </c>
      <c r="K622" s="7">
        <v>1080</v>
      </c>
      <c r="L622" s="7">
        <v>1140</v>
      </c>
      <c r="M622" s="7">
        <v>1165</v>
      </c>
      <c r="N622" s="7">
        <v>1110</v>
      </c>
      <c r="O622" s="7">
        <v>1010</v>
      </c>
      <c r="P622" s="7">
        <v>1025</v>
      </c>
      <c r="Q622" s="7">
        <v>1102</v>
      </c>
      <c r="R622" s="7">
        <v>1020</v>
      </c>
      <c r="S622" s="7">
        <v>1060</v>
      </c>
    </row>
    <row r="623">
      <c r="A623" s="16" t="s">
        <v>334</v>
      </c>
      <c r="B623" s="2" t="s">
        <v>322</v>
      </c>
      <c r="C623" s="7">
        <v>650</v>
      </c>
      <c r="D623" s="7">
        <v>800</v>
      </c>
      <c r="E623" s="7">
        <v>825</v>
      </c>
      <c r="F623" s="7">
        <v>800</v>
      </c>
      <c r="G623" s="7">
        <v>730</v>
      </c>
      <c r="H623" s="7">
        <v>751</v>
      </c>
      <c r="I623" s="7">
        <v>765</v>
      </c>
      <c r="J623" s="7">
        <v>695</v>
      </c>
      <c r="K623" s="7">
        <v>827</v>
      </c>
      <c r="L623" s="7">
        <v>737</v>
      </c>
      <c r="M623" s="7">
        <v>655</v>
      </c>
      <c r="N623" s="7">
        <v>771</v>
      </c>
      <c r="O623" s="7">
        <v>881</v>
      </c>
      <c r="P623" s="7">
        <v>845</v>
      </c>
      <c r="Q623" s="7">
        <v>952</v>
      </c>
      <c r="R623" s="7">
        <v>840</v>
      </c>
      <c r="S623" s="7">
        <v>940</v>
      </c>
    </row>
    <row r="624">
      <c r="A624" s="16" t="s">
        <v>335</v>
      </c>
      <c r="B624" s="2" t="s">
        <v>322</v>
      </c>
      <c r="C624" s="7">
        <v>1520</v>
      </c>
      <c r="D624" s="7">
        <v>1235</v>
      </c>
      <c r="E624" s="7">
        <v>1700</v>
      </c>
      <c r="F624" s="7">
        <v>2100</v>
      </c>
      <c r="G624" s="7">
        <v>1975</v>
      </c>
      <c r="H624" s="7">
        <v>960</v>
      </c>
      <c r="I624" s="7">
        <v>850</v>
      </c>
      <c r="J624" s="7">
        <v>650</v>
      </c>
      <c r="K624" s="7">
        <v>730</v>
      </c>
      <c r="L624" s="7">
        <v>905</v>
      </c>
      <c r="M624" s="7">
        <v>885</v>
      </c>
      <c r="N624" s="7">
        <v>990</v>
      </c>
      <c r="O624" s="7">
        <v>900</v>
      </c>
      <c r="P624" s="7">
        <v>1095</v>
      </c>
      <c r="Q624" s="7">
        <v>650</v>
      </c>
      <c r="R624" s="7">
        <v>500</v>
      </c>
      <c r="S624" s="7">
        <v>600</v>
      </c>
    </row>
    <row r="625">
      <c r="A625" s="16" t="s">
        <v>336</v>
      </c>
      <c r="B625" s="2" t="s">
        <v>322</v>
      </c>
      <c r="C625" s="7">
        <v>850</v>
      </c>
      <c r="D625" s="7">
        <v>1350</v>
      </c>
      <c r="E625" s="7">
        <v>775</v>
      </c>
      <c r="F625" s="7">
        <v>815</v>
      </c>
      <c r="G625" s="7">
        <v>755</v>
      </c>
      <c r="H625" s="7">
        <v>690</v>
      </c>
      <c r="I625" s="7">
        <v>1065</v>
      </c>
      <c r="J625" s="7">
        <v>760</v>
      </c>
      <c r="K625" s="7">
        <v>915</v>
      </c>
      <c r="L625" s="7">
        <v>775</v>
      </c>
      <c r="M625" s="7">
        <v>650</v>
      </c>
      <c r="N625" s="7">
        <v>720</v>
      </c>
      <c r="O625" s="7">
        <v>825</v>
      </c>
      <c r="P625" s="7">
        <v>930</v>
      </c>
      <c r="Q625" s="7">
        <v>750</v>
      </c>
      <c r="R625" s="7">
        <v>750</v>
      </c>
      <c r="S625" s="7">
        <v>750</v>
      </c>
    </row>
    <row r="626">
      <c r="A626" s="16" t="s">
        <v>337</v>
      </c>
      <c r="B626" s="2" t="s">
        <v>322</v>
      </c>
      <c r="C626" s="7">
        <v>1752</v>
      </c>
      <c r="D626" s="7">
        <v>1065</v>
      </c>
      <c r="E626" s="7">
        <v>1185</v>
      </c>
      <c r="F626" s="7">
        <v>500</v>
      </c>
      <c r="G626" s="7">
        <v>600</v>
      </c>
      <c r="H626" s="7">
        <v>490</v>
      </c>
      <c r="I626" s="7">
        <v>520</v>
      </c>
      <c r="J626" s="7">
        <v>590</v>
      </c>
      <c r="K626" s="7">
        <v>615</v>
      </c>
      <c r="L626" s="7">
        <v>555</v>
      </c>
      <c r="M626" s="7">
        <v>542</v>
      </c>
      <c r="N626" s="7">
        <v>611</v>
      </c>
      <c r="O626" s="7">
        <v>497</v>
      </c>
      <c r="P626" s="7">
        <v>462</v>
      </c>
      <c r="Q626" s="7">
        <v>475</v>
      </c>
      <c r="R626" s="7">
        <v>535</v>
      </c>
      <c r="S626" s="7">
        <v>543</v>
      </c>
    </row>
    <row r="627">
      <c r="A627" s="16" t="s">
        <v>338</v>
      </c>
      <c r="B627" s="2" t="s">
        <v>322</v>
      </c>
      <c r="C627" s="7">
        <v>400</v>
      </c>
      <c r="D627" s="7">
        <v>350</v>
      </c>
      <c r="E627" s="7">
        <v>360</v>
      </c>
      <c r="F627" s="7">
        <v>365</v>
      </c>
      <c r="G627" s="7">
        <v>375</v>
      </c>
      <c r="H627" s="7">
        <v>375</v>
      </c>
      <c r="I627" s="7">
        <v>310</v>
      </c>
      <c r="J627" s="7">
        <v>350</v>
      </c>
      <c r="K627" s="7">
        <v>280</v>
      </c>
      <c r="L627" s="7">
        <v>340</v>
      </c>
      <c r="M627" s="7">
        <v>400</v>
      </c>
      <c r="N627" s="7">
        <v>300</v>
      </c>
      <c r="O627" s="7">
        <v>325</v>
      </c>
      <c r="P627" s="7">
        <v>330</v>
      </c>
      <c r="Q627" s="7">
        <v>375</v>
      </c>
      <c r="R627" s="7">
        <v>387</v>
      </c>
      <c r="S627" s="7">
        <v>400</v>
      </c>
    </row>
    <row r="628">
      <c r="A628" s="16" t="s">
        <v>339</v>
      </c>
      <c r="B628" s="2" t="s">
        <v>322</v>
      </c>
      <c r="C628" s="7">
        <v>100</v>
      </c>
      <c r="D628" s="7">
        <v>100</v>
      </c>
      <c r="E628" s="7">
        <v>80</v>
      </c>
      <c r="F628" s="7">
        <v>50</v>
      </c>
      <c r="G628" s="7">
        <v>30</v>
      </c>
      <c r="H628" s="7">
        <v>30</v>
      </c>
      <c r="I628" s="7">
        <v>8</v>
      </c>
      <c r="J628" s="7">
        <v>8</v>
      </c>
      <c r="K628" s="7">
        <v>0</v>
      </c>
      <c r="L628" s="7">
        <v>0</v>
      </c>
      <c r="M628" s="7">
        <v>0</v>
      </c>
      <c r="N628" s="7">
        <v>0</v>
      </c>
      <c r="O628" s="7">
        <v>0</v>
      </c>
      <c r="P628" s="7">
        <v>0</v>
      </c>
      <c r="Q628" s="7">
        <v>0</v>
      </c>
      <c r="R628" s="7">
        <v>0</v>
      </c>
      <c r="S628" s="7">
        <v>0</v>
      </c>
    </row>
    <row r="629">
      <c r="A629" s="16" t="s">
        <v>340</v>
      </c>
      <c r="B629" s="2" t="s">
        <v>322</v>
      </c>
      <c r="C629" s="7">
        <v>0</v>
      </c>
      <c r="D629" s="7">
        <v>0</v>
      </c>
      <c r="E629" s="7">
        <v>0</v>
      </c>
      <c r="F629" s="7">
        <v>0</v>
      </c>
      <c r="G629" s="7">
        <v>0</v>
      </c>
      <c r="H629" s="7">
        <v>0</v>
      </c>
      <c r="I629" s="7">
        <v>0</v>
      </c>
      <c r="J629" s="7">
        <v>0</v>
      </c>
      <c r="K629" s="7">
        <v>0</v>
      </c>
      <c r="L629" s="7">
        <v>0</v>
      </c>
      <c r="M629" s="7">
        <v>0</v>
      </c>
      <c r="N629" s="7">
        <v>0</v>
      </c>
      <c r="O629" s="7">
        <v>0</v>
      </c>
      <c r="P629" s="7">
        <v>0</v>
      </c>
      <c r="Q629" s="7">
        <v>0</v>
      </c>
      <c r="R629" s="7">
        <v>0</v>
      </c>
      <c r="S629" s="7">
        <v>0</v>
      </c>
    </row>
    <row r="630">
      <c r="A630" s="16" t="s">
        <v>341</v>
      </c>
      <c r="B630" s="2" t="s">
        <v>322</v>
      </c>
      <c r="C630" s="7">
        <v>1250</v>
      </c>
      <c r="D630" s="7">
        <v>1550</v>
      </c>
      <c r="E630" s="7">
        <v>1525</v>
      </c>
      <c r="F630" s="7">
        <v>979</v>
      </c>
      <c r="G630" s="7">
        <v>890</v>
      </c>
      <c r="H630" s="7">
        <v>845</v>
      </c>
      <c r="I630" s="7">
        <v>574</v>
      </c>
      <c r="J630" s="7">
        <v>705</v>
      </c>
      <c r="K630" s="7">
        <v>486</v>
      </c>
      <c r="L630" s="7">
        <v>391</v>
      </c>
      <c r="M630" s="7">
        <v>510</v>
      </c>
      <c r="N630" s="7">
        <v>483</v>
      </c>
      <c r="O630" s="7">
        <v>540</v>
      </c>
      <c r="P630" s="7">
        <v>430</v>
      </c>
      <c r="Q630" s="7">
        <v>427</v>
      </c>
      <c r="R630" s="7">
        <v>442</v>
      </c>
      <c r="S630" s="7">
        <v>430</v>
      </c>
    </row>
    <row r="631">
      <c r="A631" s="16" t="s">
        <v>342</v>
      </c>
      <c r="B631" s="2" t="s">
        <v>322</v>
      </c>
      <c r="C631" s="7">
        <v>317</v>
      </c>
      <c r="D631" s="7">
        <v>245</v>
      </c>
      <c r="E631" s="7">
        <v>260</v>
      </c>
      <c r="F631" s="7">
        <v>250</v>
      </c>
      <c r="G631" s="7">
        <v>240</v>
      </c>
      <c r="H631" s="7">
        <v>300</v>
      </c>
      <c r="I631" s="7">
        <v>230</v>
      </c>
      <c r="J631" s="7">
        <v>275</v>
      </c>
      <c r="K631" s="7">
        <v>275</v>
      </c>
      <c r="L631" s="7">
        <v>350</v>
      </c>
      <c r="M631" s="7">
        <v>345</v>
      </c>
      <c r="N631" s="7">
        <v>270</v>
      </c>
      <c r="O631" s="7">
        <v>400</v>
      </c>
      <c r="P631" s="7">
        <v>280</v>
      </c>
      <c r="Q631" s="7">
        <v>260</v>
      </c>
      <c r="R631" s="7">
        <v>350</v>
      </c>
      <c r="S631" s="7">
        <v>350</v>
      </c>
    </row>
    <row r="632">
      <c r="A632" s="16" t="s">
        <v>343</v>
      </c>
      <c r="B632" s="2" t="s">
        <v>322</v>
      </c>
      <c r="C632" s="7">
        <v>105</v>
      </c>
      <c r="D632" s="7">
        <v>105</v>
      </c>
      <c r="E632" s="7">
        <v>100</v>
      </c>
      <c r="F632" s="7">
        <v>165</v>
      </c>
      <c r="G632" s="7">
        <v>110</v>
      </c>
      <c r="H632" s="7">
        <v>47</v>
      </c>
      <c r="I632" s="7">
        <v>80</v>
      </c>
      <c r="J632" s="7">
        <v>25</v>
      </c>
      <c r="K632" s="7">
        <v>5</v>
      </c>
      <c r="L632" s="7">
        <v>25</v>
      </c>
      <c r="M632" s="7">
        <v>55</v>
      </c>
      <c r="N632" s="7">
        <v>1</v>
      </c>
      <c r="O632" s="7">
        <v>0</v>
      </c>
      <c r="P632" s="7">
        <v>20</v>
      </c>
      <c r="Q632" s="7">
        <v>140</v>
      </c>
      <c r="R632" s="7">
        <v>90</v>
      </c>
      <c r="S632" s="7">
        <v>100</v>
      </c>
    </row>
    <row r="633">
      <c r="A633" s="16" t="s">
        <v>344</v>
      </c>
      <c r="B633" s="2" t="s">
        <v>322</v>
      </c>
      <c r="C633" s="7">
        <v>650</v>
      </c>
      <c r="D633" s="7">
        <v>670</v>
      </c>
      <c r="E633" s="7">
        <v>470</v>
      </c>
      <c r="F633" s="7">
        <v>350</v>
      </c>
      <c r="G633" s="7">
        <v>500</v>
      </c>
      <c r="H633" s="7">
        <v>540</v>
      </c>
      <c r="I633" s="7">
        <v>430</v>
      </c>
      <c r="J633" s="7">
        <v>350</v>
      </c>
      <c r="K633" s="7">
        <v>375</v>
      </c>
      <c r="L633" s="7">
        <v>400</v>
      </c>
      <c r="M633" s="7">
        <v>330</v>
      </c>
      <c r="N633" s="7">
        <v>190</v>
      </c>
      <c r="O633" s="7">
        <v>200</v>
      </c>
      <c r="P633" s="7">
        <v>145</v>
      </c>
      <c r="Q633" s="7">
        <v>150</v>
      </c>
      <c r="R633" s="7">
        <v>160</v>
      </c>
      <c r="S633" s="7">
        <v>150</v>
      </c>
    </row>
    <row r="634">
      <c r="A634" s="16" t="s">
        <v>345</v>
      </c>
      <c r="B634" s="2" t="s">
        <v>322</v>
      </c>
      <c r="C634" s="7">
        <v>75</v>
      </c>
      <c r="D634" s="7">
        <v>69</v>
      </c>
      <c r="E634" s="7">
        <v>59</v>
      </c>
      <c r="F634" s="7">
        <v>70</v>
      </c>
      <c r="G634" s="7">
        <v>75</v>
      </c>
      <c r="H634" s="7">
        <v>70</v>
      </c>
      <c r="I634" s="7">
        <v>80</v>
      </c>
      <c r="J634" s="7">
        <v>95</v>
      </c>
      <c r="K634" s="7">
        <v>115</v>
      </c>
      <c r="L634" s="7">
        <v>125</v>
      </c>
      <c r="M634" s="7">
        <v>120</v>
      </c>
      <c r="N634" s="7">
        <v>150</v>
      </c>
      <c r="O634" s="7">
        <v>130</v>
      </c>
      <c r="P634" s="7">
        <v>100</v>
      </c>
      <c r="Q634" s="7">
        <v>70</v>
      </c>
      <c r="R634" s="7">
        <v>60</v>
      </c>
      <c r="S634" s="7">
        <v>60</v>
      </c>
    </row>
    <row r="635">
      <c r="A635" s="16" t="s">
        <v>346</v>
      </c>
      <c r="B635" s="2" t="s">
        <v>322</v>
      </c>
      <c r="C635" s="7">
        <v>235</v>
      </c>
      <c r="D635" s="7">
        <v>205</v>
      </c>
      <c r="E635" s="7">
        <v>240</v>
      </c>
      <c r="F635" s="7">
        <v>180</v>
      </c>
      <c r="G635" s="7">
        <v>160</v>
      </c>
      <c r="H635" s="7">
        <v>235</v>
      </c>
      <c r="I635" s="7">
        <v>195</v>
      </c>
      <c r="J635" s="7">
        <v>200</v>
      </c>
      <c r="K635" s="7">
        <v>200</v>
      </c>
      <c r="L635" s="7">
        <v>260</v>
      </c>
      <c r="M635" s="7">
        <v>215</v>
      </c>
      <c r="N635" s="7">
        <v>150</v>
      </c>
      <c r="O635" s="7">
        <v>160</v>
      </c>
      <c r="P635" s="7">
        <v>125</v>
      </c>
      <c r="Q635" s="7">
        <v>100</v>
      </c>
      <c r="R635" s="7">
        <v>125</v>
      </c>
      <c r="S635" s="7">
        <v>125</v>
      </c>
    </row>
    <row r="636">
      <c r="A636" s="16" t="s">
        <v>347</v>
      </c>
      <c r="B636" s="2" t="s">
        <v>322</v>
      </c>
      <c r="C636" s="7">
        <v>48</v>
      </c>
      <c r="D636" s="7">
        <v>47</v>
      </c>
      <c r="E636" s="7">
        <v>36</v>
      </c>
      <c r="F636" s="7">
        <v>23</v>
      </c>
      <c r="G636" s="7">
        <v>17</v>
      </c>
      <c r="H636" s="7">
        <v>15</v>
      </c>
      <c r="I636" s="7">
        <v>13</v>
      </c>
      <c r="J636" s="7">
        <v>13</v>
      </c>
      <c r="K636" s="7">
        <v>12</v>
      </c>
      <c r="L636" s="7">
        <v>10</v>
      </c>
      <c r="M636" s="7">
        <v>10</v>
      </c>
      <c r="N636" s="7">
        <v>12</v>
      </c>
      <c r="O636" s="7">
        <v>14</v>
      </c>
      <c r="P636" s="7">
        <v>12</v>
      </c>
      <c r="Q636" s="7">
        <v>11</v>
      </c>
      <c r="R636" s="7">
        <v>15</v>
      </c>
      <c r="S636" s="7">
        <v>10</v>
      </c>
    </row>
    <row r="637">
      <c r="A637" s="16" t="s">
        <v>348</v>
      </c>
      <c r="B637" s="2" t="s">
        <v>322</v>
      </c>
      <c r="C637" s="7">
        <v>300</v>
      </c>
      <c r="D637" s="7">
        <v>380</v>
      </c>
      <c r="E637" s="7">
        <v>143</v>
      </c>
      <c r="F637" s="7">
        <v>25</v>
      </c>
      <c r="G637" s="7">
        <v>130</v>
      </c>
      <c r="H637" s="7">
        <v>260</v>
      </c>
      <c r="I637" s="7">
        <v>180</v>
      </c>
      <c r="J637" s="7">
        <v>160</v>
      </c>
      <c r="K637" s="7">
        <v>70</v>
      </c>
      <c r="L637" s="7">
        <v>125</v>
      </c>
      <c r="M637" s="7">
        <v>60</v>
      </c>
      <c r="N637" s="7">
        <v>287</v>
      </c>
      <c r="O637" s="7">
        <v>100</v>
      </c>
      <c r="P637" s="7">
        <v>245</v>
      </c>
      <c r="Q637" s="7">
        <v>85</v>
      </c>
      <c r="R637" s="7">
        <v>50</v>
      </c>
      <c r="S637" s="7">
        <v>100</v>
      </c>
    </row>
    <row r="638">
      <c r="A638" s="16" t="s">
        <v>349</v>
      </c>
      <c r="B638" s="2" t="s">
        <v>322</v>
      </c>
      <c r="C638" s="7">
        <v>5</v>
      </c>
      <c r="D638" s="7">
        <v>11</v>
      </c>
      <c r="E638" s="7">
        <v>13</v>
      </c>
      <c r="F638" s="7">
        <v>14</v>
      </c>
      <c r="G638" s="7">
        <v>11</v>
      </c>
      <c r="H638" s="7">
        <v>19</v>
      </c>
      <c r="I638" s="7">
        <v>15</v>
      </c>
      <c r="J638" s="7">
        <v>14</v>
      </c>
      <c r="K638" s="7">
        <v>23</v>
      </c>
      <c r="L638" s="7">
        <v>10</v>
      </c>
      <c r="M638" s="7">
        <v>15</v>
      </c>
      <c r="N638" s="7">
        <v>20</v>
      </c>
      <c r="O638" s="7">
        <v>13</v>
      </c>
      <c r="P638" s="7">
        <v>10</v>
      </c>
      <c r="Q638" s="7">
        <v>11</v>
      </c>
      <c r="R638" s="7">
        <v>10</v>
      </c>
      <c r="S638" s="7">
        <v>10</v>
      </c>
    </row>
    <row r="639">
      <c r="A639" s="16" t="s">
        <v>350</v>
      </c>
      <c r="B639" s="2" t="s">
        <v>322</v>
      </c>
      <c r="C639" s="7">
        <v>52</v>
      </c>
      <c r="D639" s="7">
        <v>45</v>
      </c>
      <c r="E639" s="7">
        <v>42</v>
      </c>
      <c r="F639" s="7">
        <v>53</v>
      </c>
      <c r="G639" s="7">
        <v>57</v>
      </c>
      <c r="H639" s="7">
        <v>60</v>
      </c>
      <c r="I639" s="7">
        <v>57</v>
      </c>
      <c r="J639" s="7">
        <v>36</v>
      </c>
      <c r="K639" s="7">
        <v>43</v>
      </c>
      <c r="L639" s="7">
        <v>48</v>
      </c>
      <c r="M639" s="7">
        <v>33</v>
      </c>
      <c r="N639" s="7">
        <v>35</v>
      </c>
      <c r="O639" s="7">
        <v>33</v>
      </c>
      <c r="P639" s="7">
        <v>29</v>
      </c>
      <c r="Q639" s="7">
        <v>27</v>
      </c>
      <c r="R639" s="7">
        <v>30</v>
      </c>
      <c r="S639" s="7">
        <v>30</v>
      </c>
    </row>
    <row r="640">
      <c r="A640" s="16" t="s">
        <v>351</v>
      </c>
      <c r="B640" s="2" t="s">
        <v>322</v>
      </c>
      <c r="C640" s="7">
        <v>615</v>
      </c>
      <c r="D640" s="7">
        <v>560</v>
      </c>
      <c r="E640" s="7">
        <v>200</v>
      </c>
      <c r="F640" s="7">
        <v>165</v>
      </c>
      <c r="G640" s="7">
        <v>175</v>
      </c>
      <c r="H640" s="7">
        <v>120</v>
      </c>
      <c r="I640" s="7">
        <v>80</v>
      </c>
      <c r="J640" s="7">
        <v>130</v>
      </c>
      <c r="K640" s="7">
        <v>95</v>
      </c>
      <c r="L640" s="7">
        <v>100</v>
      </c>
      <c r="M640" s="7">
        <v>85</v>
      </c>
      <c r="N640" s="7">
        <v>80</v>
      </c>
      <c r="O640" s="7">
        <v>110</v>
      </c>
      <c r="P640" s="7">
        <v>75</v>
      </c>
      <c r="Q640" s="7">
        <v>90</v>
      </c>
      <c r="R640" s="7">
        <v>90</v>
      </c>
      <c r="S640" s="7">
        <v>90</v>
      </c>
    </row>
    <row r="641">
      <c r="A641" s="16" t="s">
        <v>352</v>
      </c>
      <c r="B641" s="2" t="s">
        <v>322</v>
      </c>
      <c r="C641" s="7">
        <v>66</v>
      </c>
      <c r="D641" s="7">
        <v>87</v>
      </c>
      <c r="E641" s="7">
        <v>56</v>
      </c>
      <c r="F641" s="7">
        <v>70</v>
      </c>
      <c r="G641" s="7">
        <v>45</v>
      </c>
      <c r="H641" s="7">
        <v>31</v>
      </c>
      <c r="I641" s="7">
        <v>21</v>
      </c>
      <c r="J641" s="7">
        <v>25</v>
      </c>
      <c r="K641" s="7">
        <v>23</v>
      </c>
      <c r="L641" s="7">
        <v>22</v>
      </c>
      <c r="M641" s="7">
        <v>23</v>
      </c>
      <c r="N641" s="7">
        <v>33</v>
      </c>
      <c r="O641" s="7">
        <v>40</v>
      </c>
      <c r="P641" s="7">
        <v>26</v>
      </c>
      <c r="Q641" s="7">
        <v>40</v>
      </c>
      <c r="R641" s="7">
        <v>35</v>
      </c>
      <c r="S641" s="7">
        <v>35</v>
      </c>
    </row>
    <row r="642">
      <c r="A642" s="16" t="s">
        <v>353</v>
      </c>
      <c r="B642" s="2" t="s">
        <v>322</v>
      </c>
      <c r="C642" s="7">
        <v>450</v>
      </c>
      <c r="D642" s="7">
        <v>405</v>
      </c>
      <c r="E642" s="7">
        <v>365</v>
      </c>
      <c r="F642" s="7">
        <v>580</v>
      </c>
      <c r="G642" s="7">
        <v>380</v>
      </c>
      <c r="H642" s="7">
        <v>60</v>
      </c>
      <c r="I642" s="7">
        <v>0</v>
      </c>
      <c r="J642" s="7">
        <v>0</v>
      </c>
      <c r="K642" s="7">
        <v>0</v>
      </c>
      <c r="L642" s="7">
        <v>0</v>
      </c>
      <c r="M642" s="7">
        <v>0</v>
      </c>
      <c r="N642" s="7">
        <v>0</v>
      </c>
      <c r="O642" s="7">
        <v>0</v>
      </c>
      <c r="P642" s="7">
        <v>0</v>
      </c>
      <c r="Q642" s="7">
        <v>0</v>
      </c>
      <c r="R642" s="7">
        <v>0</v>
      </c>
      <c r="S642" s="7">
        <v>0</v>
      </c>
    </row>
    <row r="643">
      <c r="A643" s="16" t="s">
        <v>354</v>
      </c>
      <c r="B643" s="2" t="s">
        <v>322</v>
      </c>
      <c r="C643" s="7">
        <v>5</v>
      </c>
      <c r="D643" s="7">
        <v>8</v>
      </c>
      <c r="E643" s="7">
        <v>8</v>
      </c>
      <c r="F643" s="7">
        <v>5</v>
      </c>
      <c r="G643" s="7">
        <v>6</v>
      </c>
      <c r="H643" s="7">
        <v>12</v>
      </c>
      <c r="I643" s="7">
        <v>6</v>
      </c>
      <c r="J643" s="7">
        <v>6</v>
      </c>
      <c r="K643" s="7">
        <v>8</v>
      </c>
      <c r="L643" s="7">
        <v>22</v>
      </c>
      <c r="M643" s="7">
        <v>16</v>
      </c>
      <c r="N643" s="7">
        <v>18</v>
      </c>
      <c r="O643" s="7">
        <v>7</v>
      </c>
      <c r="P643" s="7">
        <v>21</v>
      </c>
      <c r="Q643" s="7">
        <v>38</v>
      </c>
      <c r="R643" s="7">
        <v>33</v>
      </c>
      <c r="S643" s="7">
        <v>35</v>
      </c>
    </row>
    <row r="644">
      <c r="A644" s="16" t="s">
        <v>355</v>
      </c>
      <c r="B644" s="2" t="s">
        <v>322</v>
      </c>
      <c r="C644" s="7">
        <v>25</v>
      </c>
      <c r="D644" s="7">
        <v>69</v>
      </c>
      <c r="E644" s="7">
        <v>50</v>
      </c>
      <c r="F644" s="7">
        <v>25</v>
      </c>
      <c r="G644" s="7">
        <v>42</v>
      </c>
      <c r="H644" s="7">
        <v>40</v>
      </c>
      <c r="I644" s="7">
        <v>40</v>
      </c>
      <c r="J644" s="7">
        <v>41</v>
      </c>
      <c r="K644" s="7">
        <v>37</v>
      </c>
      <c r="L644" s="7">
        <v>41</v>
      </c>
      <c r="M644" s="7">
        <v>60</v>
      </c>
      <c r="N644" s="7">
        <v>23</v>
      </c>
      <c r="O644" s="7">
        <v>45</v>
      </c>
      <c r="P644" s="7">
        <v>25</v>
      </c>
      <c r="Q644" s="7">
        <v>48</v>
      </c>
      <c r="R644" s="7">
        <v>20</v>
      </c>
      <c r="S644" s="7">
        <v>20</v>
      </c>
    </row>
    <row r="645">
      <c r="A645" s="16" t="s">
        <v>356</v>
      </c>
      <c r="B645" s="2" t="s">
        <v>322</v>
      </c>
      <c r="C645" s="7">
        <v>18</v>
      </c>
      <c r="D645" s="7">
        <v>17</v>
      </c>
      <c r="E645" s="7">
        <v>20</v>
      </c>
      <c r="F645" s="7">
        <v>26</v>
      </c>
      <c r="G645" s="7">
        <v>22</v>
      </c>
      <c r="H645" s="7">
        <v>22</v>
      </c>
      <c r="I645" s="7">
        <v>11</v>
      </c>
      <c r="J645" s="7">
        <v>11</v>
      </c>
      <c r="K645" s="7">
        <v>10</v>
      </c>
      <c r="L645" s="7">
        <v>11</v>
      </c>
      <c r="M645" s="7">
        <v>11</v>
      </c>
      <c r="N645" s="7">
        <v>11</v>
      </c>
      <c r="O645" s="7">
        <v>13</v>
      </c>
      <c r="P645" s="7">
        <v>14</v>
      </c>
      <c r="Q645" s="7">
        <v>11</v>
      </c>
      <c r="R645" s="7">
        <v>11</v>
      </c>
      <c r="S645" s="7">
        <v>10</v>
      </c>
    </row>
    <row r="646">
      <c r="A646" s="16" t="s">
        <v>357</v>
      </c>
      <c r="B646" s="2" t="s">
        <v>322</v>
      </c>
      <c r="C646" s="7">
        <v>22</v>
      </c>
      <c r="D646" s="7">
        <v>7</v>
      </c>
      <c r="E646" s="7">
        <v>2</v>
      </c>
      <c r="F646" s="7">
        <v>1</v>
      </c>
      <c r="G646" s="7">
        <v>2</v>
      </c>
      <c r="H646" s="7">
        <v>4</v>
      </c>
      <c r="I646" s="7">
        <v>1</v>
      </c>
      <c r="J646" s="7">
        <v>0</v>
      </c>
      <c r="K646" s="7">
        <v>0</v>
      </c>
      <c r="L646" s="7">
        <v>0</v>
      </c>
      <c r="M646" s="7">
        <v>0</v>
      </c>
      <c r="N646" s="7">
        <v>0</v>
      </c>
      <c r="O646" s="7">
        <v>0</v>
      </c>
      <c r="P646" s="7">
        <v>0</v>
      </c>
      <c r="Q646" s="7">
        <v>0</v>
      </c>
      <c r="R646" s="7">
        <v>0</v>
      </c>
      <c r="S646" s="7">
        <v>0</v>
      </c>
    </row>
    <row r="647">
      <c r="A647" s="16" t="s">
        <v>358</v>
      </c>
      <c r="B647" s="2" t="s">
        <v>322</v>
      </c>
      <c r="C647" s="7">
        <v>57</v>
      </c>
      <c r="D647" s="7">
        <v>70</v>
      </c>
      <c r="E647" s="7">
        <v>25</v>
      </c>
      <c r="F647" s="7">
        <v>6</v>
      </c>
      <c r="G647" s="7">
        <v>2</v>
      </c>
      <c r="H647" s="7">
        <v>0</v>
      </c>
      <c r="I647" s="7">
        <v>0</v>
      </c>
      <c r="J647" s="7">
        <v>0</v>
      </c>
      <c r="K647" s="7">
        <v>0</v>
      </c>
      <c r="L647" s="7">
        <v>0</v>
      </c>
      <c r="M647" s="7">
        <v>0</v>
      </c>
      <c r="N647" s="7">
        <v>0</v>
      </c>
      <c r="O647" s="7">
        <v>0</v>
      </c>
      <c r="P647" s="7">
        <v>0</v>
      </c>
      <c r="Q647" s="7">
        <v>0</v>
      </c>
      <c r="R647" s="7">
        <v>0</v>
      </c>
      <c r="S647" s="7">
        <v>0</v>
      </c>
    </row>
    <row r="648">
      <c r="A648" s="16" t="s">
        <v>359</v>
      </c>
      <c r="B648" s="2" t="s">
        <v>322</v>
      </c>
      <c r="C648" s="7">
        <v>7</v>
      </c>
      <c r="D648" s="7">
        <v>9</v>
      </c>
      <c r="E648" s="7">
        <v>7</v>
      </c>
      <c r="F648" s="7">
        <v>5</v>
      </c>
      <c r="G648" s="7">
        <v>2</v>
      </c>
      <c r="H648" s="7">
        <v>0</v>
      </c>
      <c r="I648" s="7">
        <v>0</v>
      </c>
      <c r="J648" s="7">
        <v>0</v>
      </c>
      <c r="K648" s="7">
        <v>0</v>
      </c>
      <c r="L648" s="7">
        <v>0</v>
      </c>
      <c r="M648" s="7">
        <v>0</v>
      </c>
      <c r="N648" s="7">
        <v>0</v>
      </c>
      <c r="O648" s="7">
        <v>0</v>
      </c>
      <c r="P648" s="7">
        <v>0</v>
      </c>
      <c r="Q648" s="7">
        <v>0</v>
      </c>
      <c r="R648" s="7">
        <v>0</v>
      </c>
      <c r="S648" s="7">
        <v>0</v>
      </c>
    </row>
    <row r="649">
      <c r="A649" s="16" t="s">
        <v>360</v>
      </c>
      <c r="B649" s="2" t="s">
        <v>322</v>
      </c>
      <c r="C649" s="7">
        <v>4</v>
      </c>
      <c r="D649" s="7">
        <v>5</v>
      </c>
      <c r="E649" s="7">
        <v>5</v>
      </c>
      <c r="F649" s="7">
        <v>1</v>
      </c>
      <c r="G649" s="7">
        <v>3</v>
      </c>
      <c r="H649" s="7">
        <v>0</v>
      </c>
      <c r="I649" s="7">
        <v>0</v>
      </c>
      <c r="J649" s="7">
        <v>0</v>
      </c>
      <c r="K649" s="7">
        <v>0</v>
      </c>
      <c r="L649" s="7">
        <v>0</v>
      </c>
      <c r="M649" s="7">
        <v>0</v>
      </c>
      <c r="N649" s="7">
        <v>0</v>
      </c>
      <c r="O649" s="7">
        <v>0</v>
      </c>
      <c r="P649" s="7">
        <v>0</v>
      </c>
      <c r="Q649" s="7">
        <v>0</v>
      </c>
      <c r="R649" s="7">
        <v>0</v>
      </c>
      <c r="S649" s="7">
        <v>0</v>
      </c>
    </row>
    <row r="650">
      <c r="A650" s="16" t="s">
        <v>361</v>
      </c>
      <c r="B650" s="2" t="s">
        <v>322</v>
      </c>
      <c r="C650" s="7">
        <v>23</v>
      </c>
      <c r="D650" s="7">
        <v>20</v>
      </c>
      <c r="E650" s="7">
        <v>24</v>
      </c>
      <c r="F650" s="7">
        <v>24</v>
      </c>
      <c r="G650" s="7">
        <v>20</v>
      </c>
      <c r="H650" s="7">
        <v>22</v>
      </c>
      <c r="I650" s="7">
        <v>15</v>
      </c>
      <c r="J650" s="7">
        <v>11</v>
      </c>
      <c r="K650" s="7">
        <v>10</v>
      </c>
      <c r="L650" s="7">
        <v>9</v>
      </c>
      <c r="M650" s="7">
        <v>0</v>
      </c>
      <c r="N650" s="7">
        <v>0</v>
      </c>
      <c r="O650" s="7">
        <v>0</v>
      </c>
      <c r="P650" s="7">
        <v>0</v>
      </c>
      <c r="Q650" s="7">
        <v>0</v>
      </c>
      <c r="R650" s="7">
        <v>0</v>
      </c>
      <c r="S650" s="7">
        <v>0</v>
      </c>
    </row>
    <row r="651">
      <c r="A651" s="16" t="s">
        <v>362</v>
      </c>
      <c r="B651" s="2" t="s">
        <v>322</v>
      </c>
      <c r="C651" s="7">
        <v>2</v>
      </c>
      <c r="D651" s="7">
        <v>7</v>
      </c>
      <c r="E651" s="7">
        <v>1</v>
      </c>
      <c r="F651" s="7">
        <v>1</v>
      </c>
      <c r="G651" s="7">
        <v>3</v>
      </c>
      <c r="H651" s="7">
        <v>1</v>
      </c>
      <c r="I651" s="7">
        <v>2</v>
      </c>
      <c r="J651" s="7">
        <v>2</v>
      </c>
      <c r="K651" s="7">
        <v>0</v>
      </c>
      <c r="L651" s="7">
        <v>0</v>
      </c>
      <c r="M651" s="7">
        <v>0</v>
      </c>
      <c r="N651" s="7">
        <v>0</v>
      </c>
      <c r="O651" s="7">
        <v>0</v>
      </c>
      <c r="P651" s="7">
        <v>0</v>
      </c>
      <c r="Q651" s="7">
        <v>0</v>
      </c>
      <c r="R651" s="7">
        <v>0</v>
      </c>
      <c r="S651" s="7">
        <v>0</v>
      </c>
    </row>
    <row r="652">
      <c r="A652" s="16" t="s">
        <v>363</v>
      </c>
      <c r="B652" s="2" t="s">
        <v>322</v>
      </c>
      <c r="C652" s="7">
        <v>20</v>
      </c>
      <c r="D652" s="7">
        <v>15</v>
      </c>
      <c r="E652" s="7">
        <v>15</v>
      </c>
      <c r="F652" s="7">
        <v>10</v>
      </c>
      <c r="G652" s="7">
        <v>6</v>
      </c>
      <c r="H652" s="7">
        <v>0</v>
      </c>
      <c r="I652" s="7">
        <v>0</v>
      </c>
      <c r="J652" s="7">
        <v>0</v>
      </c>
      <c r="K652" s="7">
        <v>0</v>
      </c>
      <c r="L652" s="7">
        <v>0</v>
      </c>
      <c r="M652" s="7">
        <v>0</v>
      </c>
      <c r="N652" s="7">
        <v>0</v>
      </c>
      <c r="O652" s="7">
        <v>0</v>
      </c>
      <c r="P652" s="7">
        <v>0</v>
      </c>
      <c r="Q652" s="7">
        <v>0</v>
      </c>
      <c r="R652" s="7">
        <v>0</v>
      </c>
      <c r="S652" s="7">
        <v>0</v>
      </c>
    </row>
    <row r="653">
      <c r="A653" s="16" t="s">
        <v>364</v>
      </c>
      <c r="B653" s="2" t="s">
        <v>365</v>
      </c>
      <c r="C653" s="7">
        <v>1210</v>
      </c>
      <c r="D653" s="7">
        <v>1200</v>
      </c>
      <c r="E653" s="7">
        <v>1350</v>
      </c>
      <c r="F653" s="7">
        <v>1620</v>
      </c>
      <c r="G653" s="7">
        <v>1445</v>
      </c>
      <c r="H653" s="7">
        <v>2180</v>
      </c>
      <c r="I653" s="7">
        <v>2580</v>
      </c>
      <c r="J653" s="7">
        <v>2845</v>
      </c>
      <c r="K653" s="7">
        <v>2966</v>
      </c>
      <c r="L653" s="7">
        <v>3490</v>
      </c>
      <c r="M653" s="7">
        <v>3875</v>
      </c>
      <c r="N653" s="7">
        <v>4492</v>
      </c>
      <c r="O653" s="7">
        <v>4705</v>
      </c>
      <c r="P653" s="7">
        <v>5064</v>
      </c>
      <c r="Q653" s="7">
        <v>5450</v>
      </c>
      <c r="R653" s="7">
        <v>5600</v>
      </c>
      <c r="S653" s="7">
        <v>5700</v>
      </c>
    </row>
    <row r="654">
      <c r="A654" s="16" t="s">
        <v>366</v>
      </c>
      <c r="B654" s="2" t="s">
        <v>365</v>
      </c>
      <c r="C654" s="7">
        <v>0</v>
      </c>
      <c r="D654" s="7">
        <v>0</v>
      </c>
      <c r="E654" s="7">
        <v>0</v>
      </c>
      <c r="F654" s="7">
        <v>0</v>
      </c>
      <c r="G654" s="7">
        <v>0</v>
      </c>
      <c r="H654" s="7">
        <v>0</v>
      </c>
      <c r="I654" s="7">
        <v>0</v>
      </c>
      <c r="J654" s="7">
        <v>0</v>
      </c>
      <c r="K654" s="7">
        <v>0</v>
      </c>
      <c r="L654" s="7">
        <v>0</v>
      </c>
      <c r="M654" s="7">
        <v>0</v>
      </c>
      <c r="N654" s="7">
        <v>0</v>
      </c>
      <c r="O654" s="7">
        <v>0</v>
      </c>
      <c r="P654" s="7">
        <v>0</v>
      </c>
      <c r="Q654" s="7">
        <v>0</v>
      </c>
      <c r="R654" s="7">
        <v>0</v>
      </c>
      <c r="S654" s="7">
        <v>0</v>
      </c>
    </row>
    <row r="655">
      <c r="A655" s="16" t="s">
        <v>367</v>
      </c>
      <c r="B655" s="2" t="s">
        <v>365</v>
      </c>
      <c r="C655" s="7">
        <v>0</v>
      </c>
      <c r="D655" s="7">
        <v>0</v>
      </c>
      <c r="E655" s="7">
        <v>0</v>
      </c>
      <c r="F655" s="7">
        <v>0</v>
      </c>
      <c r="G655" s="7">
        <v>0</v>
      </c>
      <c r="H655" s="7">
        <v>0</v>
      </c>
      <c r="I655" s="7">
        <v>0</v>
      </c>
      <c r="J655" s="7">
        <v>0</v>
      </c>
      <c r="K655" s="7">
        <v>0</v>
      </c>
      <c r="L655" s="7">
        <v>0</v>
      </c>
      <c r="M655" s="7">
        <v>0</v>
      </c>
      <c r="N655" s="7">
        <v>0</v>
      </c>
      <c r="O655" s="7">
        <v>0</v>
      </c>
      <c r="P655" s="7">
        <v>0</v>
      </c>
      <c r="Q655" s="7">
        <v>0</v>
      </c>
      <c r="R655" s="7">
        <v>0</v>
      </c>
      <c r="S655" s="7">
        <v>0</v>
      </c>
    </row>
    <row r="656">
      <c r="A656" s="16" t="s">
        <v>368</v>
      </c>
      <c r="B656" s="2" t="s">
        <v>365</v>
      </c>
      <c r="C656" s="7">
        <v>0</v>
      </c>
      <c r="D656" s="7">
        <v>0</v>
      </c>
      <c r="E656" s="7">
        <v>0</v>
      </c>
      <c r="F656" s="7">
        <v>0</v>
      </c>
      <c r="G656" s="7">
        <v>0</v>
      </c>
      <c r="H656" s="7">
        <v>0</v>
      </c>
      <c r="I656" s="7">
        <v>0</v>
      </c>
      <c r="J656" s="7">
        <v>0</v>
      </c>
      <c r="K656" s="7">
        <v>0</v>
      </c>
      <c r="L656" s="7">
        <v>0</v>
      </c>
      <c r="M656" s="7">
        <v>0</v>
      </c>
      <c r="N656" s="7">
        <v>0</v>
      </c>
      <c r="O656" s="7">
        <v>0</v>
      </c>
      <c r="P656" s="7">
        <v>0</v>
      </c>
      <c r="Q656" s="7">
        <v>0</v>
      </c>
      <c r="R656" s="7">
        <v>0</v>
      </c>
      <c r="S656" s="7">
        <v>0</v>
      </c>
    </row>
    <row r="657">
      <c r="A657" s="16" t="s">
        <v>369</v>
      </c>
      <c r="B657" s="2" t="s">
        <v>365</v>
      </c>
      <c r="C657" s="7">
        <v>0</v>
      </c>
      <c r="D657" s="7">
        <v>0</v>
      </c>
      <c r="E657" s="7">
        <v>0</v>
      </c>
      <c r="F657" s="7">
        <v>0</v>
      </c>
      <c r="G657" s="7">
        <v>0</v>
      </c>
      <c r="H657" s="7">
        <v>0</v>
      </c>
      <c r="I657" s="7">
        <v>0</v>
      </c>
      <c r="J657" s="7">
        <v>0</v>
      </c>
      <c r="K657" s="7">
        <v>0</v>
      </c>
      <c r="L657" s="7">
        <v>0</v>
      </c>
      <c r="M657" s="7">
        <v>0</v>
      </c>
      <c r="N657" s="7">
        <v>0</v>
      </c>
      <c r="O657" s="7">
        <v>0</v>
      </c>
      <c r="P657" s="7">
        <v>0</v>
      </c>
      <c r="Q657" s="7">
        <v>0</v>
      </c>
      <c r="R657" s="7">
        <v>0</v>
      </c>
      <c r="S657" s="7">
        <v>0</v>
      </c>
    </row>
    <row r="658">
      <c r="A658" s="16" t="s">
        <v>370</v>
      </c>
      <c r="B658" s="2" t="s">
        <v>365</v>
      </c>
      <c r="C658" s="7">
        <v>0</v>
      </c>
      <c r="D658" s="7">
        <v>0</v>
      </c>
      <c r="E658" s="7">
        <v>0</v>
      </c>
      <c r="F658" s="7">
        <v>0</v>
      </c>
      <c r="G658" s="7">
        <v>0</v>
      </c>
      <c r="H658" s="7">
        <v>0</v>
      </c>
      <c r="I658" s="7">
        <v>0</v>
      </c>
      <c r="J658" s="7">
        <v>0</v>
      </c>
      <c r="K658" s="7">
        <v>0</v>
      </c>
      <c r="L658" s="7">
        <v>0</v>
      </c>
      <c r="M658" s="7">
        <v>0</v>
      </c>
      <c r="N658" s="7">
        <v>0</v>
      </c>
      <c r="O658" s="7">
        <v>0</v>
      </c>
      <c r="P658" s="7">
        <v>0</v>
      </c>
      <c r="Q658" s="7">
        <v>0</v>
      </c>
      <c r="R658" s="7">
        <v>0</v>
      </c>
      <c r="S658" s="7">
        <v>0</v>
      </c>
    </row>
    <row r="659">
      <c r="A659" s="16" t="s">
        <v>371</v>
      </c>
      <c r="B659" s="2" t="s">
        <v>365</v>
      </c>
      <c r="C659" s="7">
        <v>0</v>
      </c>
      <c r="D659" s="7">
        <v>0</v>
      </c>
      <c r="E659" s="7">
        <v>0</v>
      </c>
      <c r="F659" s="7">
        <v>0</v>
      </c>
      <c r="G659" s="7">
        <v>0</v>
      </c>
      <c r="H659" s="7">
        <v>0</v>
      </c>
      <c r="I659" s="7">
        <v>0</v>
      </c>
      <c r="J659" s="7">
        <v>0</v>
      </c>
      <c r="K659" s="7">
        <v>0</v>
      </c>
      <c r="L659" s="7">
        <v>0</v>
      </c>
      <c r="M659" s="7">
        <v>0</v>
      </c>
      <c r="N659" s="7">
        <v>0</v>
      </c>
      <c r="O659" s="7">
        <v>0</v>
      </c>
      <c r="P659" s="7">
        <v>0</v>
      </c>
      <c r="Q659" s="7">
        <v>0</v>
      </c>
      <c r="R659" s="7">
        <v>0</v>
      </c>
      <c r="S659" s="7">
        <v>0</v>
      </c>
    </row>
    <row r="660">
      <c r="A660" s="16" t="s">
        <v>372</v>
      </c>
      <c r="B660" s="2" t="s">
        <v>365</v>
      </c>
      <c r="C660" s="7">
        <v>0</v>
      </c>
      <c r="D660" s="7">
        <v>0</v>
      </c>
      <c r="E660" s="7">
        <v>0</v>
      </c>
      <c r="F660" s="7">
        <v>0</v>
      </c>
      <c r="G660" s="7">
        <v>0</v>
      </c>
      <c r="H660" s="7">
        <v>0</v>
      </c>
      <c r="I660" s="7">
        <v>0</v>
      </c>
      <c r="J660" s="7">
        <v>0</v>
      </c>
      <c r="K660" s="7">
        <v>0</v>
      </c>
      <c r="L660" s="7">
        <v>0</v>
      </c>
      <c r="M660" s="7">
        <v>0</v>
      </c>
      <c r="N660" s="7">
        <v>0</v>
      </c>
      <c r="O660" s="7">
        <v>0</v>
      </c>
      <c r="P660" s="7">
        <v>0</v>
      </c>
      <c r="Q660" s="7">
        <v>0</v>
      </c>
      <c r="R660" s="7">
        <v>0</v>
      </c>
      <c r="S660" s="7">
        <v>0</v>
      </c>
    </row>
    <row r="661">
      <c r="A661" s="16" t="s">
        <v>373</v>
      </c>
      <c r="B661" s="2" t="s">
        <v>365</v>
      </c>
      <c r="C661" s="7">
        <v>0</v>
      </c>
      <c r="D661" s="7">
        <v>0</v>
      </c>
      <c r="E661" s="7">
        <v>0</v>
      </c>
      <c r="F661" s="7">
        <v>0</v>
      </c>
      <c r="G661" s="7">
        <v>0</v>
      </c>
      <c r="H661" s="7">
        <v>0</v>
      </c>
      <c r="I661" s="7">
        <v>0</v>
      </c>
      <c r="J661" s="7">
        <v>0</v>
      </c>
      <c r="K661" s="7">
        <v>0</v>
      </c>
      <c r="L661" s="7">
        <v>0</v>
      </c>
      <c r="M661" s="7">
        <v>0</v>
      </c>
      <c r="N661" s="7">
        <v>0</v>
      </c>
      <c r="O661" s="7">
        <v>0</v>
      </c>
      <c r="P661" s="7">
        <v>0</v>
      </c>
      <c r="Q661" s="7">
        <v>0</v>
      </c>
      <c r="R661" s="7">
        <v>0</v>
      </c>
      <c r="S661" s="7">
        <v>0</v>
      </c>
    </row>
    <row r="662">
      <c r="A662" s="16" t="s">
        <v>374</v>
      </c>
      <c r="B662" s="2" t="s">
        <v>365</v>
      </c>
      <c r="C662" s="7">
        <v>0</v>
      </c>
      <c r="D662" s="7">
        <v>0</v>
      </c>
      <c r="E662" s="7">
        <v>0</v>
      </c>
      <c r="F662" s="7">
        <v>0</v>
      </c>
      <c r="G662" s="7">
        <v>0</v>
      </c>
      <c r="H662" s="7">
        <v>0</v>
      </c>
      <c r="I662" s="7">
        <v>0</v>
      </c>
      <c r="J662" s="7">
        <v>0</v>
      </c>
      <c r="K662" s="7">
        <v>0</v>
      </c>
      <c r="L662" s="7">
        <v>0</v>
      </c>
      <c r="M662" s="7">
        <v>0</v>
      </c>
      <c r="N662" s="7">
        <v>0</v>
      </c>
      <c r="O662" s="7">
        <v>0</v>
      </c>
      <c r="P662" s="7">
        <v>0</v>
      </c>
      <c r="Q662" s="7">
        <v>0</v>
      </c>
      <c r="R662" s="7">
        <v>0</v>
      </c>
      <c r="S662" s="7">
        <v>0</v>
      </c>
    </row>
    <row r="663">
      <c r="A663" s="16" t="s">
        <v>375</v>
      </c>
      <c r="B663" s="2" t="s">
        <v>365</v>
      </c>
      <c r="C663" s="7">
        <v>1100</v>
      </c>
      <c r="D663" s="7">
        <v>1050</v>
      </c>
      <c r="E663" s="7">
        <v>1200</v>
      </c>
      <c r="F663" s="7">
        <v>1270</v>
      </c>
      <c r="G663" s="7">
        <v>1325</v>
      </c>
      <c r="H663" s="7">
        <v>1365</v>
      </c>
      <c r="I663" s="7">
        <v>1500</v>
      </c>
      <c r="J663" s="7">
        <v>1595</v>
      </c>
      <c r="K663" s="7">
        <v>1730</v>
      </c>
      <c r="L663" s="7">
        <v>1975</v>
      </c>
      <c r="M663" s="7">
        <v>2270</v>
      </c>
      <c r="N663" s="7">
        <v>2215</v>
      </c>
      <c r="O663" s="7">
        <v>2130</v>
      </c>
      <c r="P663" s="7">
        <v>2251</v>
      </c>
      <c r="Q663" s="7">
        <v>2325</v>
      </c>
      <c r="R663" s="7">
        <v>2300</v>
      </c>
      <c r="S663" s="7">
        <v>2400</v>
      </c>
    </row>
    <row r="664">
      <c r="A664" s="16" t="s">
        <v>376</v>
      </c>
      <c r="B664" s="2" t="s">
        <v>365</v>
      </c>
      <c r="C664" s="7">
        <v>0</v>
      </c>
      <c r="D664" s="7">
        <v>0</v>
      </c>
      <c r="E664" s="7">
        <v>0</v>
      </c>
      <c r="F664" s="7">
        <v>0</v>
      </c>
      <c r="G664" s="7">
        <v>0</v>
      </c>
      <c r="H664" s="7">
        <v>0</v>
      </c>
      <c r="I664" s="7">
        <v>0</v>
      </c>
      <c r="J664" s="7">
        <v>0</v>
      </c>
      <c r="K664" s="7">
        <v>0</v>
      </c>
      <c r="L664" s="7">
        <v>0</v>
      </c>
      <c r="M664" s="7">
        <v>0</v>
      </c>
      <c r="N664" s="7">
        <v>0</v>
      </c>
      <c r="O664" s="7">
        <v>0</v>
      </c>
      <c r="P664" s="7">
        <v>0</v>
      </c>
      <c r="Q664" s="7">
        <v>0</v>
      </c>
      <c r="R664" s="7">
        <v>0</v>
      </c>
      <c r="S664" s="7">
        <v>0</v>
      </c>
    </row>
    <row r="665">
      <c r="A665" s="16" t="s">
        <v>377</v>
      </c>
      <c r="B665" s="2" t="s">
        <v>365</v>
      </c>
      <c r="C665" s="7">
        <v>0</v>
      </c>
      <c r="D665" s="7">
        <v>0</v>
      </c>
      <c r="E665" s="7">
        <v>0</v>
      </c>
      <c r="F665" s="7">
        <v>0</v>
      </c>
      <c r="G665" s="7">
        <v>0</v>
      </c>
      <c r="H665" s="7">
        <v>0</v>
      </c>
      <c r="I665" s="7">
        <v>0</v>
      </c>
      <c r="J665" s="7">
        <v>0</v>
      </c>
      <c r="K665" s="7">
        <v>0</v>
      </c>
      <c r="L665" s="7">
        <v>0</v>
      </c>
      <c r="M665" s="7">
        <v>0</v>
      </c>
      <c r="N665" s="7">
        <v>0</v>
      </c>
      <c r="O665" s="7">
        <v>0</v>
      </c>
      <c r="P665" s="7">
        <v>0</v>
      </c>
      <c r="Q665" s="7">
        <v>0</v>
      </c>
      <c r="R665" s="7">
        <v>0</v>
      </c>
      <c r="S665" s="7">
        <v>0</v>
      </c>
    </row>
    <row r="666">
      <c r="A666" s="16" t="s">
        <v>378</v>
      </c>
      <c r="B666" s="2" t="s">
        <v>365</v>
      </c>
      <c r="C666" s="7">
        <v>0</v>
      </c>
      <c r="D666" s="7">
        <v>0</v>
      </c>
      <c r="E666" s="7">
        <v>0</v>
      </c>
      <c r="F666" s="7">
        <v>0</v>
      </c>
      <c r="G666" s="7">
        <v>0</v>
      </c>
      <c r="H666" s="7">
        <v>0</v>
      </c>
      <c r="I666" s="7">
        <v>0</v>
      </c>
      <c r="J666" s="7">
        <v>0</v>
      </c>
      <c r="K666" s="7">
        <v>0</v>
      </c>
      <c r="L666" s="7">
        <v>0</v>
      </c>
      <c r="M666" s="7">
        <v>0</v>
      </c>
      <c r="N666" s="7">
        <v>0</v>
      </c>
      <c r="O666" s="7">
        <v>0</v>
      </c>
      <c r="P666" s="7">
        <v>0</v>
      </c>
      <c r="Q666" s="7">
        <v>0</v>
      </c>
      <c r="R666" s="7">
        <v>0</v>
      </c>
      <c r="S666" s="7">
        <v>0</v>
      </c>
    </row>
    <row r="667">
      <c r="A667" s="16" t="s">
        <v>379</v>
      </c>
      <c r="B667" s="2" t="s">
        <v>365</v>
      </c>
      <c r="C667" s="7">
        <v>0</v>
      </c>
      <c r="D667" s="7">
        <v>0</v>
      </c>
      <c r="E667" s="7">
        <v>0</v>
      </c>
      <c r="F667" s="7">
        <v>0</v>
      </c>
      <c r="G667" s="7">
        <v>0</v>
      </c>
      <c r="H667" s="7">
        <v>0</v>
      </c>
      <c r="I667" s="7">
        <v>0</v>
      </c>
      <c r="J667" s="7">
        <v>0</v>
      </c>
      <c r="K667" s="7">
        <v>0</v>
      </c>
      <c r="L667" s="7">
        <v>0</v>
      </c>
      <c r="M667" s="7">
        <v>0</v>
      </c>
      <c r="N667" s="7">
        <v>0</v>
      </c>
      <c r="O667" s="7">
        <v>0</v>
      </c>
      <c r="P667" s="7">
        <v>0</v>
      </c>
      <c r="Q667" s="7">
        <v>0</v>
      </c>
      <c r="R667" s="7">
        <v>0</v>
      </c>
      <c r="S667" s="7">
        <v>0</v>
      </c>
    </row>
    <row r="668">
      <c r="A668" s="16" t="s">
        <v>380</v>
      </c>
      <c r="B668" s="2" t="s">
        <v>365</v>
      </c>
      <c r="C668" s="7">
        <v>0</v>
      </c>
      <c r="D668" s="7">
        <v>0</v>
      </c>
      <c r="E668" s="7">
        <v>0</v>
      </c>
      <c r="F668" s="7">
        <v>0</v>
      </c>
      <c r="G668" s="7">
        <v>0</v>
      </c>
      <c r="H668" s="7">
        <v>0</v>
      </c>
      <c r="I668" s="7">
        <v>0</v>
      </c>
      <c r="J668" s="7">
        <v>0</v>
      </c>
      <c r="K668" s="7">
        <v>0</v>
      </c>
      <c r="L668" s="7">
        <v>0</v>
      </c>
      <c r="M668" s="7">
        <v>0</v>
      </c>
      <c r="N668" s="7">
        <v>0</v>
      </c>
      <c r="O668" s="7">
        <v>0</v>
      </c>
      <c r="P668" s="7">
        <v>0</v>
      </c>
      <c r="Q668" s="7">
        <v>0</v>
      </c>
      <c r="R668" s="7">
        <v>0</v>
      </c>
      <c r="S668" s="7">
        <v>0</v>
      </c>
    </row>
    <row r="669">
      <c r="A669" s="16" t="s">
        <v>381</v>
      </c>
      <c r="B669" s="2" t="s">
        <v>365</v>
      </c>
      <c r="C669" s="7">
        <v>0</v>
      </c>
      <c r="D669" s="7">
        <v>0</v>
      </c>
      <c r="E669" s="7">
        <v>0</v>
      </c>
      <c r="F669" s="7">
        <v>0</v>
      </c>
      <c r="G669" s="7">
        <v>0</v>
      </c>
      <c r="H669" s="7">
        <v>0</v>
      </c>
      <c r="I669" s="7">
        <v>0</v>
      </c>
      <c r="J669" s="7">
        <v>0</v>
      </c>
      <c r="K669" s="7">
        <v>0</v>
      </c>
      <c r="L669" s="7">
        <v>0</v>
      </c>
      <c r="M669" s="7">
        <v>0</v>
      </c>
      <c r="N669" s="7">
        <v>0</v>
      </c>
      <c r="O669" s="7">
        <v>0</v>
      </c>
      <c r="P669" s="7">
        <v>0</v>
      </c>
      <c r="Q669" s="7">
        <v>0</v>
      </c>
      <c r="R669" s="7">
        <v>0</v>
      </c>
      <c r="S669" s="7">
        <v>0</v>
      </c>
    </row>
    <row r="670">
      <c r="A670" s="16" t="s">
        <v>382</v>
      </c>
      <c r="B670" s="2" t="s">
        <v>365</v>
      </c>
      <c r="C670" s="7">
        <v>0</v>
      </c>
      <c r="D670" s="7">
        <v>0</v>
      </c>
      <c r="E670" s="7">
        <v>0</v>
      </c>
      <c r="F670" s="7">
        <v>0</v>
      </c>
      <c r="G670" s="7">
        <v>0</v>
      </c>
      <c r="H670" s="7">
        <v>0</v>
      </c>
      <c r="I670" s="7">
        <v>0</v>
      </c>
      <c r="J670" s="7">
        <v>0</v>
      </c>
      <c r="K670" s="7">
        <v>0</v>
      </c>
      <c r="L670" s="7">
        <v>0</v>
      </c>
      <c r="M670" s="7">
        <v>0</v>
      </c>
      <c r="N670" s="7">
        <v>0</v>
      </c>
      <c r="O670" s="7">
        <v>0</v>
      </c>
      <c r="P670" s="7">
        <v>0</v>
      </c>
      <c r="Q670" s="7">
        <v>0</v>
      </c>
      <c r="R670" s="7">
        <v>0</v>
      </c>
      <c r="S670" s="7">
        <v>0</v>
      </c>
    </row>
    <row r="671">
      <c r="A671" s="16" t="s">
        <v>383</v>
      </c>
      <c r="B671" s="2" t="s">
        <v>365</v>
      </c>
      <c r="C671" s="7">
        <v>0</v>
      </c>
      <c r="D671" s="7">
        <v>0</v>
      </c>
      <c r="E671" s="7">
        <v>0</v>
      </c>
      <c r="F671" s="7">
        <v>0</v>
      </c>
      <c r="G671" s="7">
        <v>0</v>
      </c>
      <c r="H671" s="7">
        <v>0</v>
      </c>
      <c r="I671" s="7">
        <v>0</v>
      </c>
      <c r="J671" s="7">
        <v>0</v>
      </c>
      <c r="K671" s="7">
        <v>0</v>
      </c>
      <c r="L671" s="7">
        <v>0</v>
      </c>
      <c r="M671" s="7">
        <v>0</v>
      </c>
      <c r="N671" s="7">
        <v>0</v>
      </c>
      <c r="O671" s="7">
        <v>0</v>
      </c>
      <c r="P671" s="7">
        <v>0</v>
      </c>
      <c r="Q671" s="7">
        <v>0</v>
      </c>
      <c r="R671" s="7">
        <v>0</v>
      </c>
      <c r="S671" s="7">
        <v>0</v>
      </c>
    </row>
    <row r="672">
      <c r="A672" s="16" t="s">
        <v>384</v>
      </c>
      <c r="B672" s="2" t="s">
        <v>365</v>
      </c>
      <c r="C672" s="7">
        <v>0</v>
      </c>
      <c r="D672" s="7">
        <v>0</v>
      </c>
      <c r="E672" s="7">
        <v>0</v>
      </c>
      <c r="F672" s="7">
        <v>0</v>
      </c>
      <c r="G672" s="7">
        <v>0</v>
      </c>
      <c r="H672" s="7">
        <v>0</v>
      </c>
      <c r="I672" s="7">
        <v>0</v>
      </c>
      <c r="J672" s="7">
        <v>0</v>
      </c>
      <c r="K672" s="7">
        <v>0</v>
      </c>
      <c r="L672" s="7">
        <v>0</v>
      </c>
      <c r="M672" s="7">
        <v>0</v>
      </c>
      <c r="N672" s="7">
        <v>0</v>
      </c>
      <c r="O672" s="7">
        <v>0</v>
      </c>
      <c r="P672" s="7">
        <v>0</v>
      </c>
      <c r="Q672" s="7">
        <v>0</v>
      </c>
      <c r="R672" s="7">
        <v>0</v>
      </c>
      <c r="S672" s="7">
        <v>0</v>
      </c>
    </row>
    <row r="673">
      <c r="A673" s="16" t="s">
        <v>385</v>
      </c>
      <c r="B673" s="2" t="s">
        <v>365</v>
      </c>
      <c r="C673" s="7">
        <v>0</v>
      </c>
      <c r="D673" s="7">
        <v>0</v>
      </c>
      <c r="E673" s="7">
        <v>0</v>
      </c>
      <c r="F673" s="7">
        <v>0</v>
      </c>
      <c r="G673" s="7">
        <v>0</v>
      </c>
      <c r="H673" s="7">
        <v>0</v>
      </c>
      <c r="I673" s="7">
        <v>0</v>
      </c>
      <c r="J673" s="7">
        <v>0</v>
      </c>
      <c r="K673" s="7">
        <v>0</v>
      </c>
      <c r="L673" s="7">
        <v>0</v>
      </c>
      <c r="M673" s="7">
        <v>0</v>
      </c>
      <c r="N673" s="7">
        <v>0</v>
      </c>
      <c r="O673" s="7">
        <v>0</v>
      </c>
      <c r="P673" s="7">
        <v>0</v>
      </c>
      <c r="Q673" s="7">
        <v>0</v>
      </c>
      <c r="R673" s="7">
        <v>0</v>
      </c>
      <c r="S673" s="7">
        <v>0</v>
      </c>
    </row>
    <row r="674">
      <c r="A674" s="16" t="s">
        <v>386</v>
      </c>
      <c r="B674" s="2" t="s">
        <v>365</v>
      </c>
      <c r="C674" s="7">
        <v>0</v>
      </c>
      <c r="D674" s="7">
        <v>0</v>
      </c>
      <c r="E674" s="7">
        <v>0</v>
      </c>
      <c r="F674" s="7">
        <v>0</v>
      </c>
      <c r="G674" s="7">
        <v>0</v>
      </c>
      <c r="H674" s="7">
        <v>0</v>
      </c>
      <c r="I674" s="7">
        <v>0</v>
      </c>
      <c r="J674" s="7">
        <v>0</v>
      </c>
      <c r="K674" s="7">
        <v>0</v>
      </c>
      <c r="L674" s="7">
        <v>0</v>
      </c>
      <c r="M674" s="7">
        <v>0</v>
      </c>
      <c r="N674" s="7">
        <v>0</v>
      </c>
      <c r="O674" s="7">
        <v>0</v>
      </c>
      <c r="P674" s="7">
        <v>0</v>
      </c>
      <c r="Q674" s="7">
        <v>0</v>
      </c>
      <c r="R674" s="7">
        <v>0</v>
      </c>
      <c r="S674" s="7">
        <v>0</v>
      </c>
    </row>
    <row r="675">
      <c r="A675" s="16" t="s">
        <v>387</v>
      </c>
      <c r="B675" s="2" t="s">
        <v>365</v>
      </c>
      <c r="C675" s="7">
        <v>0</v>
      </c>
      <c r="D675" s="7">
        <v>0</v>
      </c>
      <c r="E675" s="7">
        <v>0</v>
      </c>
      <c r="F675" s="7">
        <v>0</v>
      </c>
      <c r="G675" s="7">
        <v>0</v>
      </c>
      <c r="H675" s="7">
        <v>0</v>
      </c>
      <c r="I675" s="7">
        <v>0</v>
      </c>
      <c r="J675" s="7">
        <v>0</v>
      </c>
      <c r="K675" s="7">
        <v>0</v>
      </c>
      <c r="L675" s="7">
        <v>0</v>
      </c>
      <c r="M675" s="7">
        <v>0</v>
      </c>
      <c r="N675" s="7">
        <v>0</v>
      </c>
      <c r="O675" s="7">
        <v>0</v>
      </c>
      <c r="P675" s="7">
        <v>0</v>
      </c>
      <c r="Q675" s="7">
        <v>0</v>
      </c>
      <c r="R675" s="7">
        <v>0</v>
      </c>
      <c r="S675" s="7">
        <v>0</v>
      </c>
    </row>
    <row r="676">
      <c r="A676" s="16" t="s">
        <v>388</v>
      </c>
      <c r="B676" s="2" t="s">
        <v>365</v>
      </c>
      <c r="C676" s="7">
        <v>0</v>
      </c>
      <c r="D676" s="7">
        <v>0</v>
      </c>
      <c r="E676" s="7">
        <v>0</v>
      </c>
      <c r="F676" s="7">
        <v>0</v>
      </c>
      <c r="G676" s="7">
        <v>0</v>
      </c>
      <c r="H676" s="7">
        <v>0</v>
      </c>
      <c r="I676" s="7">
        <v>0</v>
      </c>
      <c r="J676" s="7">
        <v>0</v>
      </c>
      <c r="K676" s="7">
        <v>0</v>
      </c>
      <c r="L676" s="7">
        <v>0</v>
      </c>
      <c r="M676" s="7">
        <v>0</v>
      </c>
      <c r="N676" s="7">
        <v>0</v>
      </c>
      <c r="O676" s="7">
        <v>0</v>
      </c>
      <c r="P676" s="7">
        <v>0</v>
      </c>
      <c r="Q676" s="7">
        <v>0</v>
      </c>
      <c r="R676" s="7">
        <v>0</v>
      </c>
      <c r="S676" s="7">
        <v>0</v>
      </c>
    </row>
    <row r="677">
      <c r="A677" s="16" t="s">
        <v>389</v>
      </c>
      <c r="B677" s="2" t="s">
        <v>365</v>
      </c>
      <c r="C677" s="7">
        <v>0</v>
      </c>
      <c r="D677" s="7">
        <v>0</v>
      </c>
      <c r="E677" s="7">
        <v>0</v>
      </c>
      <c r="F677" s="7">
        <v>0</v>
      </c>
      <c r="G677" s="7">
        <v>0</v>
      </c>
      <c r="H677" s="7">
        <v>0</v>
      </c>
      <c r="I677" s="7">
        <v>0</v>
      </c>
      <c r="J677" s="7">
        <v>0</v>
      </c>
      <c r="K677" s="7">
        <v>0</v>
      </c>
      <c r="L677" s="7">
        <v>0</v>
      </c>
      <c r="M677" s="7">
        <v>0</v>
      </c>
      <c r="N677" s="7">
        <v>0</v>
      </c>
      <c r="O677" s="7">
        <v>0</v>
      </c>
      <c r="P677" s="7">
        <v>0</v>
      </c>
      <c r="Q677" s="7">
        <v>0</v>
      </c>
      <c r="R677" s="7">
        <v>0</v>
      </c>
      <c r="S677" s="7">
        <v>0</v>
      </c>
    </row>
    <row r="678">
      <c r="A678" s="16" t="s">
        <v>390</v>
      </c>
      <c r="B678" s="2" t="s">
        <v>365</v>
      </c>
      <c r="C678" s="7">
        <v>0</v>
      </c>
      <c r="D678" s="7">
        <v>0</v>
      </c>
      <c r="E678" s="7">
        <v>0</v>
      </c>
      <c r="F678" s="7">
        <v>0</v>
      </c>
      <c r="G678" s="7">
        <v>0</v>
      </c>
      <c r="H678" s="7">
        <v>0</v>
      </c>
      <c r="I678" s="7">
        <v>0</v>
      </c>
      <c r="J678" s="7">
        <v>0</v>
      </c>
      <c r="K678" s="7">
        <v>0</v>
      </c>
      <c r="L678" s="7">
        <v>0</v>
      </c>
      <c r="M678" s="7">
        <v>0</v>
      </c>
      <c r="N678" s="7">
        <v>0</v>
      </c>
      <c r="O678" s="7">
        <v>0</v>
      </c>
      <c r="P678" s="7">
        <v>0</v>
      </c>
      <c r="Q678" s="7">
        <v>0</v>
      </c>
      <c r="R678" s="7">
        <v>0</v>
      </c>
      <c r="S678" s="7">
        <v>0</v>
      </c>
    </row>
    <row r="679">
      <c r="A679" s="16" t="s">
        <v>391</v>
      </c>
      <c r="B679" s="2" t="s">
        <v>365</v>
      </c>
      <c r="C679" s="7">
        <v>0</v>
      </c>
      <c r="D679" s="7">
        <v>0</v>
      </c>
      <c r="E679" s="7">
        <v>0</v>
      </c>
      <c r="F679" s="7">
        <v>0</v>
      </c>
      <c r="G679" s="7">
        <v>0</v>
      </c>
      <c r="H679" s="7">
        <v>0</v>
      </c>
      <c r="I679" s="7">
        <v>0</v>
      </c>
      <c r="J679" s="7">
        <v>0</v>
      </c>
      <c r="K679" s="7">
        <v>0</v>
      </c>
      <c r="L679" s="7">
        <v>0</v>
      </c>
      <c r="M679" s="7">
        <v>0</v>
      </c>
      <c r="N679" s="7">
        <v>0</v>
      </c>
      <c r="O679" s="7">
        <v>0</v>
      </c>
      <c r="P679" s="7">
        <v>0</v>
      </c>
      <c r="Q679" s="7">
        <v>0</v>
      </c>
      <c r="R679" s="7">
        <v>0</v>
      </c>
      <c r="S679" s="7">
        <v>0</v>
      </c>
    </row>
    <row r="680">
      <c r="A680" s="16" t="s">
        <v>392</v>
      </c>
      <c r="B680" s="2" t="s">
        <v>365</v>
      </c>
      <c r="C680" s="7">
        <v>0</v>
      </c>
      <c r="D680" s="7">
        <v>0</v>
      </c>
      <c r="E680" s="7">
        <v>0</v>
      </c>
      <c r="F680" s="7">
        <v>0</v>
      </c>
      <c r="G680" s="7">
        <v>0</v>
      </c>
      <c r="H680" s="7">
        <v>0</v>
      </c>
      <c r="I680" s="7">
        <v>0</v>
      </c>
      <c r="J680" s="7">
        <v>0</v>
      </c>
      <c r="K680" s="7">
        <v>0</v>
      </c>
      <c r="L680" s="7">
        <v>0</v>
      </c>
      <c r="M680" s="7">
        <v>0</v>
      </c>
      <c r="N680" s="7">
        <v>0</v>
      </c>
      <c r="O680" s="7">
        <v>0</v>
      </c>
      <c r="P680" s="7">
        <v>0</v>
      </c>
      <c r="Q680" s="7">
        <v>0</v>
      </c>
      <c r="R680" s="7">
        <v>0</v>
      </c>
      <c r="S680" s="7">
        <v>0</v>
      </c>
    </row>
    <row r="681">
      <c r="A681" s="16" t="s">
        <v>393</v>
      </c>
      <c r="B681" s="2" t="s">
        <v>365</v>
      </c>
      <c r="C681" s="7">
        <v>0</v>
      </c>
      <c r="D681" s="7">
        <v>0</v>
      </c>
      <c r="E681" s="7">
        <v>0</v>
      </c>
      <c r="F681" s="7">
        <v>0</v>
      </c>
      <c r="G681" s="7">
        <v>0</v>
      </c>
      <c r="H681" s="7">
        <v>0</v>
      </c>
      <c r="I681" s="7">
        <v>0</v>
      </c>
      <c r="J681" s="7">
        <v>0</v>
      </c>
      <c r="K681" s="7">
        <v>0</v>
      </c>
      <c r="L681" s="7">
        <v>0</v>
      </c>
      <c r="M681" s="7">
        <v>0</v>
      </c>
      <c r="N681" s="7">
        <v>0</v>
      </c>
      <c r="O681" s="7">
        <v>0</v>
      </c>
      <c r="P681" s="7">
        <v>0</v>
      </c>
      <c r="Q681" s="7">
        <v>0</v>
      </c>
      <c r="R681" s="7">
        <v>0</v>
      </c>
      <c r="S681" s="7">
        <v>0</v>
      </c>
    </row>
    <row r="682">
      <c r="A682" s="16" t="s">
        <v>394</v>
      </c>
      <c r="B682" s="2" t="s">
        <v>365</v>
      </c>
      <c r="C682" s="7">
        <v>0</v>
      </c>
      <c r="D682" s="7">
        <v>0</v>
      </c>
      <c r="E682" s="7">
        <v>0</v>
      </c>
      <c r="F682" s="7">
        <v>0</v>
      </c>
      <c r="G682" s="7">
        <v>0</v>
      </c>
      <c r="H682" s="7">
        <v>0</v>
      </c>
      <c r="I682" s="7">
        <v>0</v>
      </c>
      <c r="J682" s="7">
        <v>0</v>
      </c>
      <c r="K682" s="7">
        <v>0</v>
      </c>
      <c r="L682" s="7">
        <v>0</v>
      </c>
      <c r="M682" s="7">
        <v>0</v>
      </c>
      <c r="N682" s="7">
        <v>0</v>
      </c>
      <c r="O682" s="7">
        <v>0</v>
      </c>
      <c r="P682" s="7">
        <v>0</v>
      </c>
      <c r="Q682" s="7">
        <v>0</v>
      </c>
      <c r="R682" s="7">
        <v>0</v>
      </c>
      <c r="S682" s="7">
        <v>0</v>
      </c>
    </row>
    <row r="683">
      <c r="A683" s="16" t="s">
        <v>395</v>
      </c>
      <c r="B683" s="2" t="s">
        <v>365</v>
      </c>
      <c r="C683" s="7">
        <v>0</v>
      </c>
      <c r="D683" s="7">
        <v>0</v>
      </c>
      <c r="E683" s="7">
        <v>0</v>
      </c>
      <c r="F683" s="7">
        <v>0</v>
      </c>
      <c r="G683" s="7">
        <v>0</v>
      </c>
      <c r="H683" s="7">
        <v>0</v>
      </c>
      <c r="I683" s="7">
        <v>0</v>
      </c>
      <c r="J683" s="7">
        <v>0</v>
      </c>
      <c r="K683" s="7">
        <v>0</v>
      </c>
      <c r="L683" s="7">
        <v>0</v>
      </c>
      <c r="M683" s="7">
        <v>0</v>
      </c>
      <c r="N683" s="7">
        <v>0</v>
      </c>
      <c r="O683" s="7">
        <v>0</v>
      </c>
      <c r="P683" s="7">
        <v>0</v>
      </c>
      <c r="Q683" s="7">
        <v>0</v>
      </c>
      <c r="R683" s="7">
        <v>0</v>
      </c>
      <c r="S683" s="7">
        <v>0</v>
      </c>
    </row>
    <row r="684">
      <c r="A684" s="16" t="s">
        <v>396</v>
      </c>
      <c r="B684" s="2" t="s">
        <v>365</v>
      </c>
      <c r="C684" s="7">
        <v>0</v>
      </c>
      <c r="D684" s="7">
        <v>0</v>
      </c>
      <c r="E684" s="7">
        <v>0</v>
      </c>
      <c r="F684" s="7">
        <v>0</v>
      </c>
      <c r="G684" s="7">
        <v>0</v>
      </c>
      <c r="H684" s="7">
        <v>0</v>
      </c>
      <c r="I684" s="7">
        <v>0</v>
      </c>
      <c r="J684" s="7">
        <v>0</v>
      </c>
      <c r="K684" s="7">
        <v>0</v>
      </c>
      <c r="L684" s="7">
        <v>0</v>
      </c>
      <c r="M684" s="7">
        <v>0</v>
      </c>
      <c r="N684" s="7">
        <v>0</v>
      </c>
      <c r="O684" s="7">
        <v>0</v>
      </c>
      <c r="P684" s="7">
        <v>0</v>
      </c>
      <c r="Q684" s="7">
        <v>0</v>
      </c>
      <c r="R684" s="7">
        <v>0</v>
      </c>
      <c r="S684" s="7">
        <v>0</v>
      </c>
    </row>
    <row r="685">
      <c r="A685" s="16" t="s">
        <v>397</v>
      </c>
      <c r="B685" s="2" t="s">
        <v>365</v>
      </c>
      <c r="C685" s="7">
        <v>0</v>
      </c>
      <c r="D685" s="7">
        <v>0</v>
      </c>
      <c r="E685" s="7">
        <v>0</v>
      </c>
      <c r="F685" s="7">
        <v>0</v>
      </c>
      <c r="G685" s="7">
        <v>0</v>
      </c>
      <c r="H685" s="7">
        <v>0</v>
      </c>
      <c r="I685" s="7">
        <v>0</v>
      </c>
      <c r="J685" s="7">
        <v>0</v>
      </c>
      <c r="K685" s="7">
        <v>0</v>
      </c>
      <c r="L685" s="7">
        <v>0</v>
      </c>
      <c r="M685" s="7">
        <v>0</v>
      </c>
      <c r="N685" s="7">
        <v>0</v>
      </c>
      <c r="O685" s="7">
        <v>0</v>
      </c>
      <c r="P685" s="7">
        <v>0</v>
      </c>
      <c r="Q685" s="7">
        <v>0</v>
      </c>
      <c r="R685" s="7">
        <v>0</v>
      </c>
      <c r="S685" s="7">
        <v>0</v>
      </c>
    </row>
    <row r="686">
      <c r="A686" s="16" t="s">
        <v>398</v>
      </c>
      <c r="B686" s="2" t="s">
        <v>365</v>
      </c>
      <c r="C686" s="7">
        <v>0</v>
      </c>
      <c r="D686" s="7">
        <v>0</v>
      </c>
      <c r="E686" s="7">
        <v>0</v>
      </c>
      <c r="F686" s="7">
        <v>0</v>
      </c>
      <c r="G686" s="7">
        <v>0</v>
      </c>
      <c r="H686" s="7">
        <v>0</v>
      </c>
      <c r="I686" s="7">
        <v>0</v>
      </c>
      <c r="J686" s="7">
        <v>0</v>
      </c>
      <c r="K686" s="7">
        <v>0</v>
      </c>
      <c r="L686" s="7">
        <v>0</v>
      </c>
      <c r="M686" s="7">
        <v>0</v>
      </c>
      <c r="N686" s="7">
        <v>0</v>
      </c>
      <c r="O686" s="7">
        <v>0</v>
      </c>
      <c r="P686" s="7">
        <v>0</v>
      </c>
      <c r="Q686" s="7">
        <v>0</v>
      </c>
      <c r="R686" s="7">
        <v>0</v>
      </c>
      <c r="S686" s="7">
        <v>0</v>
      </c>
    </row>
    <row r="687">
      <c r="A687" s="16" t="s">
        <v>399</v>
      </c>
      <c r="B687" s="2" t="s">
        <v>365</v>
      </c>
      <c r="C687" s="7">
        <v>0</v>
      </c>
      <c r="D687" s="7">
        <v>0</v>
      </c>
      <c r="E687" s="7">
        <v>0</v>
      </c>
      <c r="F687" s="7">
        <v>0</v>
      </c>
      <c r="G687" s="7">
        <v>0</v>
      </c>
      <c r="H687" s="7">
        <v>0</v>
      </c>
      <c r="I687" s="7">
        <v>0</v>
      </c>
      <c r="J687" s="7">
        <v>0</v>
      </c>
      <c r="K687" s="7">
        <v>0</v>
      </c>
      <c r="L687" s="7">
        <v>0</v>
      </c>
      <c r="M687" s="7">
        <v>0</v>
      </c>
      <c r="N687" s="7">
        <v>0</v>
      </c>
      <c r="O687" s="7">
        <v>0</v>
      </c>
      <c r="P687" s="7">
        <v>0</v>
      </c>
      <c r="Q687" s="7">
        <v>0</v>
      </c>
      <c r="R687" s="7">
        <v>0</v>
      </c>
      <c r="S687" s="7">
        <v>0</v>
      </c>
    </row>
    <row r="688">
      <c r="A688" s="16" t="s">
        <v>400</v>
      </c>
      <c r="B688" s="2" t="s">
        <v>365</v>
      </c>
      <c r="C688" s="7">
        <v>0</v>
      </c>
      <c r="D688" s="7">
        <v>0</v>
      </c>
      <c r="E688" s="7">
        <v>0</v>
      </c>
      <c r="F688" s="7">
        <v>0</v>
      </c>
      <c r="G688" s="7">
        <v>0</v>
      </c>
      <c r="H688" s="7">
        <v>0</v>
      </c>
      <c r="I688" s="7">
        <v>0</v>
      </c>
      <c r="J688" s="7">
        <v>0</v>
      </c>
      <c r="K688" s="7">
        <v>0</v>
      </c>
      <c r="L688" s="7">
        <v>0</v>
      </c>
      <c r="M688" s="7">
        <v>0</v>
      </c>
      <c r="N688" s="7">
        <v>0</v>
      </c>
      <c r="O688" s="7">
        <v>0</v>
      </c>
      <c r="P688" s="7">
        <v>0</v>
      </c>
      <c r="Q688" s="7">
        <v>0</v>
      </c>
      <c r="R688" s="7">
        <v>0</v>
      </c>
      <c r="S688" s="7">
        <v>0</v>
      </c>
    </row>
    <row r="689">
      <c r="A689" s="16" t="s">
        <v>401</v>
      </c>
      <c r="B689" s="2" t="s">
        <v>365</v>
      </c>
      <c r="C689" s="7">
        <v>0</v>
      </c>
      <c r="D689" s="7">
        <v>0</v>
      </c>
      <c r="E689" s="7">
        <v>0</v>
      </c>
      <c r="F689" s="7">
        <v>0</v>
      </c>
      <c r="G689" s="7">
        <v>0</v>
      </c>
      <c r="H689" s="7">
        <v>0</v>
      </c>
      <c r="I689" s="7">
        <v>0</v>
      </c>
      <c r="J689" s="7">
        <v>0</v>
      </c>
      <c r="K689" s="7">
        <v>0</v>
      </c>
      <c r="L689" s="7">
        <v>0</v>
      </c>
      <c r="M689" s="7">
        <v>0</v>
      </c>
      <c r="N689" s="7">
        <v>0</v>
      </c>
      <c r="O689" s="7">
        <v>0</v>
      </c>
      <c r="P689" s="7">
        <v>0</v>
      </c>
      <c r="Q689" s="7">
        <v>0</v>
      </c>
      <c r="R689" s="7">
        <v>0</v>
      </c>
      <c r="S689" s="7">
        <v>0</v>
      </c>
    </row>
    <row r="690">
      <c r="A690" s="16" t="s">
        <v>402</v>
      </c>
      <c r="B690" s="2" t="s">
        <v>365</v>
      </c>
      <c r="C690" s="7">
        <v>0</v>
      </c>
      <c r="D690" s="7">
        <v>0</v>
      </c>
      <c r="E690" s="7">
        <v>0</v>
      </c>
      <c r="F690" s="7">
        <v>0</v>
      </c>
      <c r="G690" s="7">
        <v>0</v>
      </c>
      <c r="H690" s="7">
        <v>0</v>
      </c>
      <c r="I690" s="7">
        <v>0</v>
      </c>
      <c r="J690" s="7">
        <v>0</v>
      </c>
      <c r="K690" s="7">
        <v>0</v>
      </c>
      <c r="L690" s="7">
        <v>0</v>
      </c>
      <c r="M690" s="7">
        <v>0</v>
      </c>
      <c r="N690" s="7">
        <v>0</v>
      </c>
      <c r="O690" s="7">
        <v>0</v>
      </c>
      <c r="P690" s="7">
        <v>0</v>
      </c>
      <c r="Q690" s="7">
        <v>0</v>
      </c>
      <c r="R690" s="7">
        <v>0</v>
      </c>
      <c r="S690" s="7">
        <v>0</v>
      </c>
    </row>
    <row r="691">
      <c r="A691" s="16" t="s">
        <v>403</v>
      </c>
      <c r="B691" s="2" t="s">
        <v>365</v>
      </c>
      <c r="C691" s="7">
        <v>0</v>
      </c>
      <c r="D691" s="7">
        <v>0</v>
      </c>
      <c r="E691" s="7">
        <v>0</v>
      </c>
      <c r="F691" s="7">
        <v>0</v>
      </c>
      <c r="G691" s="7">
        <v>0</v>
      </c>
      <c r="H691" s="7">
        <v>0</v>
      </c>
      <c r="I691" s="7">
        <v>0</v>
      </c>
      <c r="J691" s="7">
        <v>0</v>
      </c>
      <c r="K691" s="7">
        <v>0</v>
      </c>
      <c r="L691" s="7">
        <v>0</v>
      </c>
      <c r="M691" s="7">
        <v>0</v>
      </c>
      <c r="N691" s="7">
        <v>0</v>
      </c>
      <c r="O691" s="7">
        <v>0</v>
      </c>
      <c r="P691" s="7">
        <v>0</v>
      </c>
      <c r="Q691" s="7">
        <v>0</v>
      </c>
      <c r="R691" s="7">
        <v>0</v>
      </c>
      <c r="S691" s="7">
        <v>0</v>
      </c>
    </row>
    <row r="692">
      <c r="A692" s="16" t="s">
        <v>404</v>
      </c>
      <c r="B692" s="2" t="s">
        <v>365</v>
      </c>
      <c r="C692" s="7">
        <v>0</v>
      </c>
      <c r="D692" s="7">
        <v>0</v>
      </c>
      <c r="E692" s="7">
        <v>0</v>
      </c>
      <c r="F692" s="7">
        <v>0</v>
      </c>
      <c r="G692" s="7">
        <v>0</v>
      </c>
      <c r="H692" s="7">
        <v>0</v>
      </c>
      <c r="I692" s="7">
        <v>0</v>
      </c>
      <c r="J692" s="7">
        <v>0</v>
      </c>
      <c r="K692" s="7">
        <v>0</v>
      </c>
      <c r="L692" s="7">
        <v>0</v>
      </c>
      <c r="M692" s="7">
        <v>0</v>
      </c>
      <c r="N692" s="7">
        <v>0</v>
      </c>
      <c r="O692" s="7">
        <v>0</v>
      </c>
      <c r="P692" s="7">
        <v>0</v>
      </c>
      <c r="Q692" s="7">
        <v>0</v>
      </c>
      <c r="R692" s="7">
        <v>0</v>
      </c>
      <c r="S692" s="7">
        <v>0</v>
      </c>
    </row>
    <row r="693">
      <c r="A693" s="16" t="s">
        <v>405</v>
      </c>
      <c r="B693" s="2" t="s">
        <v>365</v>
      </c>
      <c r="C693" s="7">
        <v>0</v>
      </c>
      <c r="D693" s="7">
        <v>0</v>
      </c>
      <c r="E693" s="7">
        <v>0</v>
      </c>
      <c r="F693" s="7">
        <v>0</v>
      </c>
      <c r="G693" s="7">
        <v>0</v>
      </c>
      <c r="H693" s="7">
        <v>0</v>
      </c>
      <c r="I693" s="7">
        <v>0</v>
      </c>
      <c r="J693" s="7">
        <v>0</v>
      </c>
      <c r="K693" s="7">
        <v>0</v>
      </c>
      <c r="L693" s="7">
        <v>0</v>
      </c>
      <c r="M693" s="7">
        <v>0</v>
      </c>
      <c r="N693" s="7">
        <v>0</v>
      </c>
      <c r="O693" s="7">
        <v>0</v>
      </c>
      <c r="P693" s="7">
        <v>0</v>
      </c>
      <c r="Q693" s="7">
        <v>0</v>
      </c>
      <c r="R693" s="7">
        <v>0</v>
      </c>
      <c r="S693" s="7">
        <v>0</v>
      </c>
    </row>
    <row r="694">
      <c r="A694" s="16" t="s">
        <v>406</v>
      </c>
      <c r="B694" s="2" t="s">
        <v>365</v>
      </c>
      <c r="C694" s="7">
        <v>0</v>
      </c>
      <c r="D694" s="7">
        <v>0</v>
      </c>
      <c r="E694" s="7">
        <v>0</v>
      </c>
      <c r="F694" s="7">
        <v>0</v>
      </c>
      <c r="G694" s="7">
        <v>0</v>
      </c>
      <c r="H694" s="7">
        <v>0</v>
      </c>
      <c r="I694" s="7">
        <v>0</v>
      </c>
      <c r="J694" s="7">
        <v>0</v>
      </c>
      <c r="K694" s="7">
        <v>0</v>
      </c>
      <c r="L694" s="7">
        <v>0</v>
      </c>
      <c r="M694" s="7">
        <v>0</v>
      </c>
      <c r="N694" s="7">
        <v>0</v>
      </c>
      <c r="O694" s="7">
        <v>0</v>
      </c>
      <c r="P694" s="7">
        <v>0</v>
      </c>
      <c r="Q694" s="7">
        <v>0</v>
      </c>
      <c r="R694" s="7">
        <v>0</v>
      </c>
      <c r="S694" s="7">
        <v>0</v>
      </c>
    </row>
    <row r="695">
      <c r="A695" s="16" t="s">
        <v>407</v>
      </c>
      <c r="B695" s="2" t="s">
        <v>365</v>
      </c>
      <c r="C695" s="7">
        <v>0</v>
      </c>
      <c r="D695" s="7">
        <v>0</v>
      </c>
      <c r="E695" s="7">
        <v>0</v>
      </c>
      <c r="F695" s="7">
        <v>0</v>
      </c>
      <c r="G695" s="7">
        <v>0</v>
      </c>
      <c r="H695" s="7">
        <v>0</v>
      </c>
      <c r="I695" s="7">
        <v>0</v>
      </c>
      <c r="J695" s="7">
        <v>0</v>
      </c>
      <c r="K695" s="7">
        <v>0</v>
      </c>
      <c r="L695" s="7">
        <v>0</v>
      </c>
      <c r="M695" s="7">
        <v>0</v>
      </c>
      <c r="N695" s="7">
        <v>0</v>
      </c>
      <c r="O695" s="7">
        <v>0</v>
      </c>
      <c r="P695" s="7">
        <v>0</v>
      </c>
      <c r="Q695" s="7">
        <v>0</v>
      </c>
      <c r="R695" s="7">
        <v>0</v>
      </c>
      <c r="S695" s="7">
        <v>0</v>
      </c>
    </row>
    <row r="696">
      <c r="A696" s="16" t="s">
        <v>408</v>
      </c>
      <c r="B696" s="2" t="s">
        <v>365</v>
      </c>
      <c r="C696" s="7">
        <v>0</v>
      </c>
      <c r="D696" s="7">
        <v>0</v>
      </c>
      <c r="E696" s="7">
        <v>0</v>
      </c>
      <c r="F696" s="7">
        <v>0</v>
      </c>
      <c r="G696" s="7">
        <v>0</v>
      </c>
      <c r="H696" s="7">
        <v>0</v>
      </c>
      <c r="I696" s="7">
        <v>0</v>
      </c>
      <c r="J696" s="7">
        <v>0</v>
      </c>
      <c r="K696" s="7">
        <v>0</v>
      </c>
      <c r="L696" s="7">
        <v>0</v>
      </c>
      <c r="M696" s="7">
        <v>0</v>
      </c>
      <c r="N696" s="7">
        <v>0</v>
      </c>
      <c r="O696" s="7">
        <v>0</v>
      </c>
      <c r="P696" s="7">
        <v>0</v>
      </c>
      <c r="Q696" s="7">
        <v>0</v>
      </c>
      <c r="R696" s="7">
        <v>0</v>
      </c>
      <c r="S696" s="7">
        <v>0</v>
      </c>
    </row>
    <row r="697">
      <c r="A697" s="16" t="s">
        <v>409</v>
      </c>
      <c r="B697" s="2" t="s">
        <v>365</v>
      </c>
      <c r="C697" s="7">
        <v>0</v>
      </c>
      <c r="D697" s="7">
        <v>0</v>
      </c>
      <c r="E697" s="7">
        <v>0</v>
      </c>
      <c r="F697" s="7">
        <v>0</v>
      </c>
      <c r="G697" s="7">
        <v>0</v>
      </c>
      <c r="H697" s="7">
        <v>0</v>
      </c>
      <c r="I697" s="7">
        <v>0</v>
      </c>
      <c r="J697" s="7">
        <v>0</v>
      </c>
      <c r="K697" s="7">
        <v>0</v>
      </c>
      <c r="L697" s="7">
        <v>0</v>
      </c>
      <c r="M697" s="7">
        <v>0</v>
      </c>
      <c r="N697" s="7">
        <v>0</v>
      </c>
      <c r="O697" s="7">
        <v>0</v>
      </c>
      <c r="P697" s="7">
        <v>0</v>
      </c>
      <c r="Q697" s="7">
        <v>0</v>
      </c>
      <c r="R697" s="7">
        <v>0</v>
      </c>
      <c r="S697" s="7">
        <v>0</v>
      </c>
    </row>
    <row r="698">
      <c r="A698" s="16" t="s">
        <v>410</v>
      </c>
      <c r="B698" s="2" t="s">
        <v>365</v>
      </c>
      <c r="C698" s="7">
        <v>0</v>
      </c>
      <c r="D698" s="7">
        <v>0</v>
      </c>
      <c r="E698" s="7">
        <v>0</v>
      </c>
      <c r="F698" s="7">
        <v>0</v>
      </c>
      <c r="G698" s="7">
        <v>0</v>
      </c>
      <c r="H698" s="7">
        <v>0</v>
      </c>
      <c r="I698" s="7">
        <v>0</v>
      </c>
      <c r="J698" s="7">
        <v>0</v>
      </c>
      <c r="K698" s="7">
        <v>0</v>
      </c>
      <c r="L698" s="7">
        <v>0</v>
      </c>
      <c r="M698" s="7">
        <v>0</v>
      </c>
      <c r="N698" s="7">
        <v>0</v>
      </c>
      <c r="O698" s="7">
        <v>0</v>
      </c>
      <c r="P698" s="7">
        <v>0</v>
      </c>
      <c r="Q698" s="7">
        <v>0</v>
      </c>
      <c r="R698" s="7">
        <v>0</v>
      </c>
      <c r="S698" s="7">
        <v>0</v>
      </c>
    </row>
    <row r="699">
      <c r="A699" s="17" t="s">
        <v>411</v>
      </c>
      <c r="C699" s="19">
        <f>SUM(C606:C652)</f>
        <v>114662</v>
      </c>
      <c r="D699" s="19">
        <f>SUM(D606:D652)</f>
        <v>115781</v>
      </c>
      <c r="E699" s="19">
        <f>SUM(E606:E652)</f>
        <v>120689</v>
      </c>
      <c r="F699" s="19">
        <f>SUM(F606:F652)</f>
        <v>126370</v>
      </c>
      <c r="G699" s="19">
        <f>SUM(G606:G652)</f>
        <v>121257</v>
      </c>
      <c r="H699" s="19">
        <f>SUM(H606:H652)</f>
        <v>130300</v>
      </c>
      <c r="I699" s="19">
        <f>SUM(I606:I652)</f>
        <v>129526</v>
      </c>
      <c r="J699" s="19">
        <f>SUM(J606:J652)</f>
        <v>129734</v>
      </c>
      <c r="K699" s="19">
        <f>SUM(K606:K652)</f>
        <v>138668</v>
      </c>
      <c r="L699" s="19">
        <f>SUM(L606:L652)</f>
        <v>133536</v>
      </c>
      <c r="M699" s="19">
        <f>SUM(M606:M652)</f>
        <v>138796</v>
      </c>
      <c r="N699" s="19">
        <f>SUM(N606:N652)</f>
        <v>136876</v>
      </c>
      <c r="O699" s="19">
        <f>SUM(O606:O652)</f>
        <v>127864</v>
      </c>
      <c r="P699" s="19">
        <f>SUM(P606:P652)</f>
        <v>136159</v>
      </c>
      <c r="Q699" s="19">
        <f>SUM(Q606:Q652)</f>
        <v>139971</v>
      </c>
      <c r="R699" s="19">
        <f>SUM(R606:R652)</f>
        <v>138042</v>
      </c>
      <c r="S699" s="19">
        <f>SUM(S606:S652)</f>
        <v>150774</v>
      </c>
    </row>
    <row r="700">
      <c r="A700" s="17" t="s">
        <v>412</v>
      </c>
      <c r="C700" s="19">
        <f>SUM(C653:C698)</f>
        <v>2310</v>
      </c>
      <c r="D700" s="19">
        <f>SUM(D653:D698)</f>
        <v>2250</v>
      </c>
      <c r="E700" s="19">
        <f>SUM(E653:E698)</f>
        <v>2550</v>
      </c>
      <c r="F700" s="19">
        <f>SUM(F653:F698)</f>
        <v>2890</v>
      </c>
      <c r="G700" s="19">
        <f>SUM(G653:G698)</f>
        <v>2770</v>
      </c>
      <c r="H700" s="19">
        <f>SUM(H653:H698)</f>
        <v>3545</v>
      </c>
      <c r="I700" s="19">
        <f>SUM(I653:I698)</f>
        <v>4080</v>
      </c>
      <c r="J700" s="19">
        <f>SUM(J653:J698)</f>
        <v>4440</v>
      </c>
      <c r="K700" s="19">
        <f>SUM(K653:K698)</f>
        <v>4696</v>
      </c>
      <c r="L700" s="19">
        <f>SUM(L653:L698)</f>
        <v>5465</v>
      </c>
      <c r="M700" s="19">
        <f>SUM(M653:M698)</f>
        <v>6145</v>
      </c>
      <c r="N700" s="19">
        <f>SUM(N653:N698)</f>
        <v>6707</v>
      </c>
      <c r="O700" s="19">
        <f>SUM(O653:O698)</f>
        <v>6835</v>
      </c>
      <c r="P700" s="19">
        <f>SUM(P653:P698)</f>
        <v>7315</v>
      </c>
      <c r="Q700" s="19">
        <f>SUM(Q653:Q698)</f>
        <v>7775</v>
      </c>
      <c r="R700" s="19">
        <f>SUM(R653:R698)</f>
        <v>7900</v>
      </c>
      <c r="S700" s="19">
        <f>SUM(S653:S698)</f>
        <v>8100</v>
      </c>
    </row>
    <row r="701">
      <c r="A701" s="17" t="s">
        <v>112</v>
      </c>
      <c r="C701" s="20">
        <f>C699+C700</f>
        <v>116972</v>
      </c>
      <c r="D701" s="20">
        <f>D699+D700</f>
        <v>118031</v>
      </c>
      <c r="E701" s="20">
        <f>E699+E700</f>
        <v>123239</v>
      </c>
      <c r="F701" s="20">
        <f>F699+F700</f>
        <v>129260</v>
      </c>
      <c r="G701" s="20">
        <f>G699+G700</f>
        <v>124027</v>
      </c>
      <c r="H701" s="20">
        <f>H699+H700</f>
        <v>133845</v>
      </c>
      <c r="I701" s="20">
        <f>I699+I700</f>
        <v>133606</v>
      </c>
      <c r="J701" s="20">
        <f>J699+J700</f>
        <v>134174</v>
      </c>
      <c r="K701" s="20">
        <f>K699+K700</f>
        <v>143364</v>
      </c>
      <c r="L701" s="20">
        <f>L699+L700</f>
        <v>139001</v>
      </c>
      <c r="M701" s="20">
        <f>M699+M700</f>
        <v>144941</v>
      </c>
      <c r="N701" s="20">
        <f>N699+N700</f>
        <v>143583</v>
      </c>
      <c r="O701" s="20">
        <f>O699+O700</f>
        <v>134699</v>
      </c>
      <c r="P701" s="20">
        <f>P699+P700</f>
        <v>143474</v>
      </c>
      <c r="Q701" s="20">
        <f>Q699+Q700</f>
        <v>147746</v>
      </c>
      <c r="R701" s="20">
        <f>R699+R700</f>
        <v>145942</v>
      </c>
      <c r="S701" s="20">
        <f>S699+S700</f>
        <v>158874</v>
      </c>
    </row>
    <row r="705">
      <c r="A705" s="4" t="s">
        <v>419</v>
      </c>
      <c r="B705" s="3" t="s">
        <v>320</v>
      </c>
      <c r="C705" s="3" t="s">
        <v>35</v>
      </c>
      <c r="D705" s="3" t="s">
        <v>36</v>
      </c>
      <c r="E705" s="3" t="s">
        <v>37</v>
      </c>
      <c r="F705" s="3" t="s">
        <v>38</v>
      </c>
      <c r="G705" s="3" t="s">
        <v>39</v>
      </c>
      <c r="H705" s="3" t="s">
        <v>40</v>
      </c>
      <c r="I705" s="3" t="s">
        <v>41</v>
      </c>
      <c r="J705" s="3" t="s">
        <v>42</v>
      </c>
      <c r="K705" s="3" t="s">
        <v>43</v>
      </c>
      <c r="L705" s="3" t="s">
        <v>44</v>
      </c>
      <c r="M705" s="3" t="s">
        <v>45</v>
      </c>
      <c r="N705" s="3" t="s">
        <v>46</v>
      </c>
      <c r="O705" s="3" t="s">
        <v>47</v>
      </c>
      <c r="P705" s="3" t="s">
        <v>48</v>
      </c>
      <c r="Q705" s="3" t="s">
        <v>49</v>
      </c>
      <c r="R705" s="3" t="s">
        <v>50</v>
      </c>
      <c r="S705" s="3" t="s">
        <v>110</v>
      </c>
    </row>
    <row r="706">
      <c r="A706" s="16" t="s">
        <v>321</v>
      </c>
      <c r="B706" s="2" t="s">
        <v>322</v>
      </c>
      <c r="C706" s="7">
        <v>2906</v>
      </c>
      <c r="D706" s="7">
        <v>2238</v>
      </c>
      <c r="E706" s="7">
        <v>9068</v>
      </c>
      <c r="F706" s="7">
        <v>11946</v>
      </c>
      <c r="G706" s="7">
        <v>9305</v>
      </c>
      <c r="H706" s="7">
        <v>2372</v>
      </c>
      <c r="I706" s="7">
        <v>3828</v>
      </c>
      <c r="J706" s="7">
        <v>3115</v>
      </c>
      <c r="K706" s="7">
        <v>5056</v>
      </c>
      <c r="L706" s="7">
        <v>2373</v>
      </c>
      <c r="M706" s="7">
        <v>4390</v>
      </c>
      <c r="N706" s="7">
        <v>540</v>
      </c>
      <c r="O706" s="7">
        <v>4620</v>
      </c>
      <c r="P706" s="7">
        <v>2085</v>
      </c>
      <c r="Q706" s="7">
        <v>955</v>
      </c>
      <c r="R706" s="7">
        <v>3895</v>
      </c>
      <c r="S706" s="7">
        <v>4425</v>
      </c>
    </row>
    <row r="707">
      <c r="A707" s="16" t="s">
        <v>125</v>
      </c>
      <c r="B707" s="2" t="s">
        <v>322</v>
      </c>
      <c r="C707" s="7">
        <v>800</v>
      </c>
      <c r="D707" s="7">
        <v>1090</v>
      </c>
      <c r="E707" s="7">
        <v>1946</v>
      </c>
      <c r="F707" s="7">
        <v>2130</v>
      </c>
      <c r="G707" s="7">
        <v>6336</v>
      </c>
      <c r="H707" s="7">
        <v>4201</v>
      </c>
      <c r="I707" s="7">
        <v>2681</v>
      </c>
      <c r="J707" s="7">
        <v>254</v>
      </c>
      <c r="K707" s="7">
        <v>556</v>
      </c>
      <c r="L707" s="7">
        <v>2130</v>
      </c>
      <c r="M707" s="7">
        <v>3660</v>
      </c>
      <c r="N707" s="7">
        <v>3580</v>
      </c>
      <c r="O707" s="7">
        <v>839</v>
      </c>
      <c r="P707" s="7">
        <v>889</v>
      </c>
      <c r="Q707" s="7">
        <v>1089</v>
      </c>
      <c r="R707" s="7">
        <v>689</v>
      </c>
      <c r="S707" s="7">
        <v>489</v>
      </c>
    </row>
    <row r="708">
      <c r="A708" s="16" t="s">
        <v>323</v>
      </c>
      <c r="B708" s="2" t="s">
        <v>322</v>
      </c>
      <c r="C708" s="7">
        <v>99</v>
      </c>
      <c r="D708" s="7">
        <v>249</v>
      </c>
      <c r="E708" s="7">
        <v>771</v>
      </c>
      <c r="F708" s="7">
        <v>961</v>
      </c>
      <c r="G708" s="7">
        <v>671</v>
      </c>
      <c r="H708" s="7">
        <v>1131</v>
      </c>
      <c r="I708" s="7">
        <v>886</v>
      </c>
      <c r="J708" s="7">
        <v>1111</v>
      </c>
      <c r="K708" s="7">
        <v>552</v>
      </c>
      <c r="L708" s="7">
        <v>852</v>
      </c>
      <c r="M708" s="7">
        <v>1235</v>
      </c>
      <c r="N708" s="7">
        <v>760</v>
      </c>
      <c r="O708" s="7">
        <v>885</v>
      </c>
      <c r="P708" s="7">
        <v>668</v>
      </c>
      <c r="Q708" s="7">
        <v>922</v>
      </c>
      <c r="R708" s="7">
        <v>866</v>
      </c>
      <c r="S708" s="7">
        <v>670</v>
      </c>
    </row>
    <row r="709">
      <c r="A709" s="16" t="s">
        <v>324</v>
      </c>
      <c r="B709" s="2" t="s">
        <v>322</v>
      </c>
      <c r="C709" s="7">
        <v>100</v>
      </c>
      <c r="D709" s="7">
        <v>230</v>
      </c>
      <c r="E709" s="7">
        <v>100</v>
      </c>
      <c r="F709" s="7">
        <v>40</v>
      </c>
      <c r="G709" s="7">
        <v>30</v>
      </c>
      <c r="H709" s="7">
        <v>25</v>
      </c>
      <c r="I709" s="7">
        <v>15</v>
      </c>
      <c r="J709" s="7">
        <v>27</v>
      </c>
      <c r="K709" s="7">
        <v>10</v>
      </c>
      <c r="L709" s="7">
        <v>210</v>
      </c>
      <c r="M709" s="7">
        <v>135</v>
      </c>
      <c r="N709" s="7">
        <v>90</v>
      </c>
      <c r="O709" s="7">
        <v>50</v>
      </c>
      <c r="P709" s="7">
        <v>50</v>
      </c>
      <c r="Q709" s="7">
        <v>80</v>
      </c>
      <c r="R709" s="7">
        <v>175</v>
      </c>
      <c r="S709" s="7">
        <v>145</v>
      </c>
    </row>
    <row r="710">
      <c r="A710" s="16" t="s">
        <v>325</v>
      </c>
      <c r="B710" s="2" t="s">
        <v>322</v>
      </c>
      <c r="C710" s="7">
        <v>83</v>
      </c>
      <c r="D710" s="7">
        <v>88</v>
      </c>
      <c r="E710" s="7">
        <v>98</v>
      </c>
      <c r="F710" s="7">
        <v>48</v>
      </c>
      <c r="G710" s="7">
        <v>53</v>
      </c>
      <c r="H710" s="7">
        <v>46</v>
      </c>
      <c r="I710" s="7">
        <v>12</v>
      </c>
      <c r="J710" s="7">
        <v>593</v>
      </c>
      <c r="K710" s="7">
        <v>2419</v>
      </c>
      <c r="L710" s="7">
        <v>2298</v>
      </c>
      <c r="M710" s="7">
        <v>1669</v>
      </c>
      <c r="N710" s="7">
        <v>1056</v>
      </c>
      <c r="O710" s="7">
        <v>500</v>
      </c>
      <c r="P710" s="7">
        <v>480</v>
      </c>
      <c r="Q710" s="7">
        <v>622</v>
      </c>
      <c r="R710" s="7">
        <v>751</v>
      </c>
      <c r="S710" s="7">
        <v>671</v>
      </c>
    </row>
    <row r="711">
      <c r="A711" s="16" t="s">
        <v>326</v>
      </c>
      <c r="B711" s="2" t="s">
        <v>322</v>
      </c>
      <c r="C711" s="7">
        <v>613</v>
      </c>
      <c r="D711" s="7">
        <v>538</v>
      </c>
      <c r="E711" s="7">
        <v>363</v>
      </c>
      <c r="F711" s="7">
        <v>393</v>
      </c>
      <c r="G711" s="7">
        <v>313</v>
      </c>
      <c r="H711" s="7">
        <v>313</v>
      </c>
      <c r="I711" s="7">
        <v>338</v>
      </c>
      <c r="J711" s="7">
        <v>388</v>
      </c>
      <c r="K711" s="7">
        <v>338</v>
      </c>
      <c r="L711" s="7">
        <v>363</v>
      </c>
      <c r="M711" s="7">
        <v>379</v>
      </c>
      <c r="N711" s="7">
        <v>454</v>
      </c>
      <c r="O711" s="7">
        <v>469</v>
      </c>
      <c r="P711" s="7">
        <v>244</v>
      </c>
      <c r="Q711" s="7">
        <v>269</v>
      </c>
      <c r="R711" s="7">
        <v>334</v>
      </c>
      <c r="S711" s="7">
        <v>329</v>
      </c>
    </row>
    <row r="712">
      <c r="A712" s="16" t="s">
        <v>327</v>
      </c>
      <c r="B712" s="2" t="s">
        <v>322</v>
      </c>
      <c r="C712" s="7">
        <v>1742</v>
      </c>
      <c r="D712" s="7">
        <v>1473</v>
      </c>
      <c r="E712" s="7">
        <v>1982</v>
      </c>
      <c r="F712" s="7">
        <v>2026</v>
      </c>
      <c r="G712" s="7">
        <v>2586</v>
      </c>
      <c r="H712" s="7">
        <v>2645</v>
      </c>
      <c r="I712" s="7">
        <v>1873</v>
      </c>
      <c r="J712" s="7">
        <v>1248</v>
      </c>
      <c r="K712" s="7">
        <v>931</v>
      </c>
      <c r="L712" s="7">
        <v>973</v>
      </c>
      <c r="M712" s="7">
        <v>911</v>
      </c>
      <c r="N712" s="7">
        <v>168</v>
      </c>
      <c r="O712" s="7">
        <v>475</v>
      </c>
      <c r="P712" s="7">
        <v>242</v>
      </c>
      <c r="Q712" s="7">
        <v>323</v>
      </c>
      <c r="R712" s="7">
        <v>485</v>
      </c>
      <c r="S712" s="7">
        <v>216</v>
      </c>
    </row>
    <row r="713">
      <c r="A713" s="16" t="s">
        <v>130</v>
      </c>
      <c r="B713" s="2" t="s">
        <v>322</v>
      </c>
      <c r="C713" s="7">
        <v>30</v>
      </c>
      <c r="D713" s="7">
        <v>90</v>
      </c>
      <c r="E713" s="7">
        <v>140</v>
      </c>
      <c r="F713" s="7">
        <v>300</v>
      </c>
      <c r="G713" s="7">
        <v>340</v>
      </c>
      <c r="H713" s="7">
        <v>315</v>
      </c>
      <c r="I713" s="7">
        <v>300</v>
      </c>
      <c r="J713" s="7">
        <v>325</v>
      </c>
      <c r="K713" s="7">
        <v>162</v>
      </c>
      <c r="L713" s="7">
        <v>124</v>
      </c>
      <c r="M713" s="7">
        <v>269</v>
      </c>
      <c r="N713" s="7">
        <v>67</v>
      </c>
      <c r="O713" s="7">
        <v>112</v>
      </c>
      <c r="P713" s="7">
        <v>143</v>
      </c>
      <c r="Q713" s="7">
        <v>178</v>
      </c>
      <c r="R713" s="7">
        <v>435</v>
      </c>
      <c r="S713" s="7">
        <v>707</v>
      </c>
    </row>
    <row r="714">
      <c r="A714" s="16" t="s">
        <v>328</v>
      </c>
      <c r="B714" s="2" t="s">
        <v>322</v>
      </c>
      <c r="C714" s="7">
        <v>124</v>
      </c>
      <c r="D714" s="7">
        <v>14</v>
      </c>
      <c r="E714" s="7">
        <v>44</v>
      </c>
      <c r="F714" s="7">
        <v>24</v>
      </c>
      <c r="G714" s="7">
        <v>4</v>
      </c>
      <c r="H714" s="7">
        <v>44</v>
      </c>
      <c r="I714" s="7">
        <v>75</v>
      </c>
      <c r="J714" s="7">
        <v>85</v>
      </c>
      <c r="K714" s="7">
        <v>12</v>
      </c>
      <c r="L714" s="7">
        <v>126</v>
      </c>
      <c r="M714" s="7">
        <v>85</v>
      </c>
      <c r="N714" s="7">
        <v>95</v>
      </c>
      <c r="O714" s="7">
        <v>95</v>
      </c>
      <c r="P714" s="7">
        <v>28</v>
      </c>
      <c r="Q714" s="7">
        <v>23</v>
      </c>
      <c r="R714" s="7">
        <v>21</v>
      </c>
      <c r="S714" s="7">
        <v>26</v>
      </c>
    </row>
    <row r="715">
      <c r="A715" s="16" t="s">
        <v>329</v>
      </c>
      <c r="B715" s="2" t="s">
        <v>322</v>
      </c>
      <c r="C715" s="7">
        <v>89</v>
      </c>
      <c r="D715" s="7">
        <v>62</v>
      </c>
      <c r="E715" s="7">
        <v>61</v>
      </c>
      <c r="F715" s="7">
        <v>169</v>
      </c>
      <c r="G715" s="7">
        <v>125</v>
      </c>
      <c r="H715" s="7">
        <v>210</v>
      </c>
      <c r="I715" s="7">
        <v>153</v>
      </c>
      <c r="J715" s="7">
        <v>183</v>
      </c>
      <c r="K715" s="7">
        <v>25</v>
      </c>
      <c r="L715" s="7">
        <v>99</v>
      </c>
      <c r="M715" s="7">
        <v>17</v>
      </c>
      <c r="N715" s="7">
        <v>99</v>
      </c>
      <c r="O715" s="7">
        <v>79</v>
      </c>
      <c r="P715" s="7">
        <v>17</v>
      </c>
      <c r="Q715" s="7">
        <v>20</v>
      </c>
      <c r="R715" s="7">
        <v>20</v>
      </c>
      <c r="S715" s="7">
        <v>5</v>
      </c>
    </row>
    <row r="716">
      <c r="A716" s="16" t="s">
        <v>134</v>
      </c>
      <c r="B716" s="2" t="s">
        <v>322</v>
      </c>
      <c r="C716" s="7">
        <v>237</v>
      </c>
      <c r="D716" s="7">
        <v>387</v>
      </c>
      <c r="E716" s="7">
        <v>212</v>
      </c>
      <c r="F716" s="7">
        <v>215</v>
      </c>
      <c r="G716" s="7">
        <v>15</v>
      </c>
      <c r="H716" s="7">
        <v>26</v>
      </c>
      <c r="I716" s="7">
        <v>36</v>
      </c>
      <c r="J716" s="7">
        <v>106</v>
      </c>
      <c r="K716" s="7">
        <v>26</v>
      </c>
      <c r="L716" s="7">
        <v>120</v>
      </c>
      <c r="M716" s="7">
        <v>111</v>
      </c>
      <c r="N716" s="7">
        <v>21</v>
      </c>
      <c r="O716" s="7">
        <v>22</v>
      </c>
      <c r="P716" s="7">
        <v>15</v>
      </c>
      <c r="Q716" s="7">
        <v>6</v>
      </c>
      <c r="R716" s="7">
        <v>11</v>
      </c>
      <c r="S716" s="7">
        <v>16</v>
      </c>
    </row>
    <row r="717">
      <c r="A717" s="16" t="s">
        <v>135</v>
      </c>
      <c r="B717" s="2" t="s">
        <v>322</v>
      </c>
      <c r="C717" s="7">
        <v>22</v>
      </c>
      <c r="D717" s="7">
        <v>252</v>
      </c>
      <c r="E717" s="7">
        <v>17</v>
      </c>
      <c r="F717" s="7">
        <v>22</v>
      </c>
      <c r="G717" s="7">
        <v>102</v>
      </c>
      <c r="H717" s="7">
        <v>37</v>
      </c>
      <c r="I717" s="7">
        <v>72</v>
      </c>
      <c r="J717" s="7">
        <v>142</v>
      </c>
      <c r="K717" s="7">
        <v>147</v>
      </c>
      <c r="L717" s="7">
        <v>37</v>
      </c>
      <c r="M717" s="7">
        <v>37</v>
      </c>
      <c r="N717" s="7">
        <v>25</v>
      </c>
      <c r="O717" s="7">
        <v>25</v>
      </c>
      <c r="P717" s="7">
        <v>140</v>
      </c>
      <c r="Q717" s="7">
        <v>75</v>
      </c>
      <c r="R717" s="7">
        <v>55</v>
      </c>
      <c r="S717" s="7">
        <v>85</v>
      </c>
    </row>
    <row r="718">
      <c r="A718" s="16" t="s">
        <v>330</v>
      </c>
      <c r="B718" s="2" t="s">
        <v>322</v>
      </c>
      <c r="C718" s="7">
        <v>0</v>
      </c>
      <c r="D718" s="7">
        <v>0</v>
      </c>
      <c r="E718" s="7">
        <v>0</v>
      </c>
      <c r="F718" s="7">
        <v>100</v>
      </c>
      <c r="G718" s="7">
        <v>225</v>
      </c>
      <c r="H718" s="7">
        <v>203</v>
      </c>
      <c r="I718" s="7">
        <v>323</v>
      </c>
      <c r="J718" s="7">
        <v>103</v>
      </c>
      <c r="K718" s="7">
        <v>33</v>
      </c>
      <c r="L718" s="7">
        <v>48</v>
      </c>
      <c r="M718" s="7">
        <v>488</v>
      </c>
      <c r="N718" s="7">
        <v>358</v>
      </c>
      <c r="O718" s="7">
        <v>303</v>
      </c>
      <c r="P718" s="7">
        <v>558</v>
      </c>
      <c r="Q718" s="7">
        <v>400</v>
      </c>
      <c r="R718" s="7">
        <v>400</v>
      </c>
      <c r="S718" s="7">
        <v>400</v>
      </c>
    </row>
    <row r="719">
      <c r="A719" s="16" t="s">
        <v>331</v>
      </c>
      <c r="B719" s="2" t="s">
        <v>322</v>
      </c>
      <c r="C719" s="7">
        <v>50</v>
      </c>
      <c r="D719" s="7">
        <v>45</v>
      </c>
      <c r="E719" s="7">
        <v>255</v>
      </c>
      <c r="F719" s="7">
        <v>202</v>
      </c>
      <c r="G719" s="7">
        <v>322</v>
      </c>
      <c r="H719" s="7">
        <v>250</v>
      </c>
      <c r="I719" s="7">
        <v>220</v>
      </c>
      <c r="J719" s="7">
        <v>290</v>
      </c>
      <c r="K719" s="7">
        <v>210</v>
      </c>
      <c r="L719" s="7">
        <v>130</v>
      </c>
      <c r="M719" s="7">
        <v>129</v>
      </c>
      <c r="N719" s="7">
        <v>51</v>
      </c>
      <c r="O719" s="7">
        <v>22</v>
      </c>
      <c r="P719" s="7">
        <v>31</v>
      </c>
      <c r="Q719" s="7">
        <v>50</v>
      </c>
      <c r="R719" s="7">
        <v>51</v>
      </c>
      <c r="S719" s="7">
        <v>157</v>
      </c>
    </row>
    <row r="720">
      <c r="A720" s="16" t="s">
        <v>332</v>
      </c>
      <c r="B720" s="2" t="s">
        <v>322</v>
      </c>
      <c r="C720" s="7">
        <v>0</v>
      </c>
      <c r="D720" s="7">
        <v>0</v>
      </c>
      <c r="E720" s="7">
        <v>0</v>
      </c>
      <c r="F720" s="7">
        <v>0</v>
      </c>
      <c r="G720" s="7">
        <v>0</v>
      </c>
      <c r="H720" s="7">
        <v>0</v>
      </c>
      <c r="I720" s="7">
        <v>0</v>
      </c>
      <c r="J720" s="7">
        <v>0</v>
      </c>
      <c r="K720" s="7">
        <v>0</v>
      </c>
      <c r="L720" s="7">
        <v>0</v>
      </c>
      <c r="M720" s="7">
        <v>0</v>
      </c>
      <c r="N720" s="7">
        <v>0</v>
      </c>
      <c r="O720" s="7">
        <v>0</v>
      </c>
      <c r="P720" s="7">
        <v>0</v>
      </c>
      <c r="Q720" s="7">
        <v>0</v>
      </c>
      <c r="R720" s="7">
        <v>0</v>
      </c>
      <c r="S720" s="7">
        <v>0</v>
      </c>
    </row>
    <row r="721">
      <c r="A721" s="16" t="s">
        <v>333</v>
      </c>
      <c r="B721" s="2" t="s">
        <v>322</v>
      </c>
      <c r="C721" s="7">
        <v>408</v>
      </c>
      <c r="D721" s="7">
        <v>88</v>
      </c>
      <c r="E721" s="7">
        <v>50</v>
      </c>
      <c r="F721" s="7">
        <v>55</v>
      </c>
      <c r="G721" s="7">
        <v>30</v>
      </c>
      <c r="H721" s="7">
        <v>15</v>
      </c>
      <c r="I721" s="7">
        <v>15</v>
      </c>
      <c r="J721" s="7">
        <v>15</v>
      </c>
      <c r="K721" s="7">
        <v>15</v>
      </c>
      <c r="L721" s="7">
        <v>0</v>
      </c>
      <c r="M721" s="7">
        <v>0</v>
      </c>
      <c r="N721" s="7">
        <v>0</v>
      </c>
      <c r="O721" s="7">
        <v>0</v>
      </c>
      <c r="P721" s="7">
        <v>0</v>
      </c>
      <c r="Q721" s="7">
        <v>0</v>
      </c>
      <c r="R721" s="7">
        <v>0</v>
      </c>
      <c r="S721" s="7">
        <v>0</v>
      </c>
    </row>
    <row r="722">
      <c r="A722" s="16" t="s">
        <v>136</v>
      </c>
      <c r="B722" s="2" t="s">
        <v>322</v>
      </c>
      <c r="C722" s="7">
        <v>200</v>
      </c>
      <c r="D722" s="7">
        <v>240</v>
      </c>
      <c r="E722" s="7">
        <v>190</v>
      </c>
      <c r="F722" s="7">
        <v>130</v>
      </c>
      <c r="G722" s="7">
        <v>114</v>
      </c>
      <c r="H722" s="7">
        <v>316</v>
      </c>
      <c r="I722" s="7">
        <v>226</v>
      </c>
      <c r="J722" s="7">
        <v>256</v>
      </c>
      <c r="K722" s="7">
        <v>226</v>
      </c>
      <c r="L722" s="7">
        <v>299</v>
      </c>
      <c r="M722" s="7">
        <v>281</v>
      </c>
      <c r="N722" s="7">
        <v>241</v>
      </c>
      <c r="O722" s="7">
        <v>181</v>
      </c>
      <c r="P722" s="7">
        <v>167</v>
      </c>
      <c r="Q722" s="7">
        <v>193</v>
      </c>
      <c r="R722" s="7">
        <v>133</v>
      </c>
      <c r="S722" s="7">
        <v>68</v>
      </c>
    </row>
    <row r="723">
      <c r="A723" s="16" t="s">
        <v>334</v>
      </c>
      <c r="B723" s="2" t="s">
        <v>322</v>
      </c>
      <c r="C723" s="7">
        <v>422</v>
      </c>
      <c r="D723" s="7">
        <v>337</v>
      </c>
      <c r="E723" s="7">
        <v>155</v>
      </c>
      <c r="F723" s="7">
        <v>200</v>
      </c>
      <c r="G723" s="7">
        <v>225</v>
      </c>
      <c r="H723" s="7">
        <v>194</v>
      </c>
      <c r="I723" s="7">
        <v>244</v>
      </c>
      <c r="J723" s="7">
        <v>234</v>
      </c>
      <c r="K723" s="7">
        <v>217</v>
      </c>
      <c r="L723" s="7">
        <v>205</v>
      </c>
      <c r="M723" s="7">
        <v>173</v>
      </c>
      <c r="N723" s="7">
        <v>227</v>
      </c>
      <c r="O723" s="7">
        <v>64</v>
      </c>
      <c r="P723" s="7">
        <v>61</v>
      </c>
      <c r="Q723" s="7">
        <v>74</v>
      </c>
      <c r="R723" s="7">
        <v>97</v>
      </c>
      <c r="S723" s="7">
        <v>120</v>
      </c>
    </row>
    <row r="724">
      <c r="A724" s="16" t="s">
        <v>335</v>
      </c>
      <c r="B724" s="2" t="s">
        <v>322</v>
      </c>
      <c r="C724" s="7">
        <v>0</v>
      </c>
      <c r="D724" s="7">
        <v>0</v>
      </c>
      <c r="E724" s="7">
        <v>0</v>
      </c>
      <c r="F724" s="7">
        <v>0</v>
      </c>
      <c r="G724" s="7">
        <v>0</v>
      </c>
      <c r="H724" s="7">
        <v>0</v>
      </c>
      <c r="I724" s="7">
        <v>0</v>
      </c>
      <c r="J724" s="7">
        <v>0</v>
      </c>
      <c r="K724" s="7">
        <v>0</v>
      </c>
      <c r="L724" s="7">
        <v>0</v>
      </c>
      <c r="M724" s="7">
        <v>0</v>
      </c>
      <c r="N724" s="7">
        <v>0</v>
      </c>
      <c r="O724" s="7">
        <v>0</v>
      </c>
      <c r="P724" s="7">
        <v>0</v>
      </c>
      <c r="Q724" s="7">
        <v>0</v>
      </c>
      <c r="R724" s="7">
        <v>0</v>
      </c>
      <c r="S724" s="7">
        <v>0</v>
      </c>
    </row>
    <row r="725">
      <c r="A725" s="16" t="s">
        <v>336</v>
      </c>
      <c r="B725" s="2" t="s">
        <v>322</v>
      </c>
      <c r="C725" s="7">
        <v>21</v>
      </c>
      <c r="D725" s="7">
        <v>31</v>
      </c>
      <c r="E725" s="7">
        <v>36</v>
      </c>
      <c r="F725" s="7">
        <v>36</v>
      </c>
      <c r="G725" s="7">
        <v>36</v>
      </c>
      <c r="H725" s="7">
        <v>36</v>
      </c>
      <c r="I725" s="7">
        <v>36</v>
      </c>
      <c r="J725" s="7">
        <v>36</v>
      </c>
      <c r="K725" s="7">
        <v>36</v>
      </c>
      <c r="L725" s="7">
        <v>35</v>
      </c>
      <c r="M725" s="7">
        <v>35</v>
      </c>
      <c r="N725" s="7">
        <v>35</v>
      </c>
      <c r="O725" s="7">
        <v>35</v>
      </c>
      <c r="P725" s="7">
        <v>35</v>
      </c>
      <c r="Q725" s="7">
        <v>35</v>
      </c>
      <c r="R725" s="7">
        <v>35</v>
      </c>
      <c r="S725" s="7">
        <v>35</v>
      </c>
    </row>
    <row r="726">
      <c r="A726" s="16" t="s">
        <v>337</v>
      </c>
      <c r="B726" s="2" t="s">
        <v>322</v>
      </c>
      <c r="C726" s="7">
        <v>13</v>
      </c>
      <c r="D726" s="7">
        <v>18</v>
      </c>
      <c r="E726" s="7">
        <v>18</v>
      </c>
      <c r="F726" s="7">
        <v>13</v>
      </c>
      <c r="G726" s="7">
        <v>18</v>
      </c>
      <c r="H726" s="7">
        <v>13</v>
      </c>
      <c r="I726" s="7">
        <v>28</v>
      </c>
      <c r="J726" s="7">
        <v>28</v>
      </c>
      <c r="K726" s="7">
        <v>41</v>
      </c>
      <c r="L726" s="7">
        <v>9</v>
      </c>
      <c r="M726" s="7">
        <v>21</v>
      </c>
      <c r="N726" s="7">
        <v>14</v>
      </c>
      <c r="O726" s="7">
        <v>10</v>
      </c>
      <c r="P726" s="7">
        <v>106</v>
      </c>
      <c r="Q726" s="7">
        <v>158</v>
      </c>
      <c r="R726" s="7">
        <v>147</v>
      </c>
      <c r="S726" s="7">
        <v>79</v>
      </c>
    </row>
    <row r="727">
      <c r="A727" s="16" t="s">
        <v>338</v>
      </c>
      <c r="B727" s="2" t="s">
        <v>322</v>
      </c>
      <c r="C727" s="7">
        <v>0</v>
      </c>
      <c r="D727" s="7">
        <v>0</v>
      </c>
      <c r="E727" s="7">
        <v>0</v>
      </c>
      <c r="F727" s="7">
        <v>0</v>
      </c>
      <c r="G727" s="7">
        <v>0</v>
      </c>
      <c r="H727" s="7">
        <v>0</v>
      </c>
      <c r="I727" s="7">
        <v>0</v>
      </c>
      <c r="J727" s="7">
        <v>0</v>
      </c>
      <c r="K727" s="7">
        <v>0</v>
      </c>
      <c r="L727" s="7">
        <v>0</v>
      </c>
      <c r="M727" s="7">
        <v>0</v>
      </c>
      <c r="N727" s="7">
        <v>0</v>
      </c>
      <c r="O727" s="7">
        <v>0</v>
      </c>
      <c r="P727" s="7">
        <v>0</v>
      </c>
      <c r="Q727" s="7">
        <v>0</v>
      </c>
      <c r="R727" s="7">
        <v>0</v>
      </c>
      <c r="S727" s="7">
        <v>0</v>
      </c>
    </row>
    <row r="728">
      <c r="A728" s="16" t="s">
        <v>339</v>
      </c>
      <c r="B728" s="2" t="s">
        <v>322</v>
      </c>
      <c r="C728" s="7">
        <v>232</v>
      </c>
      <c r="D728" s="7">
        <v>103</v>
      </c>
      <c r="E728" s="7">
        <v>69</v>
      </c>
      <c r="F728" s="7">
        <v>55</v>
      </c>
      <c r="G728" s="7">
        <v>21</v>
      </c>
      <c r="H728" s="7">
        <v>12</v>
      </c>
      <c r="I728" s="7">
        <v>3</v>
      </c>
      <c r="J728" s="7">
        <v>5</v>
      </c>
      <c r="K728" s="7">
        <v>0</v>
      </c>
      <c r="L728" s="7">
        <v>0</v>
      </c>
      <c r="M728" s="7">
        <v>0</v>
      </c>
      <c r="N728" s="7">
        <v>0</v>
      </c>
      <c r="O728" s="7">
        <v>0</v>
      </c>
      <c r="P728" s="7">
        <v>0</v>
      </c>
      <c r="Q728" s="7">
        <v>0</v>
      </c>
      <c r="R728" s="7">
        <v>0</v>
      </c>
      <c r="S728" s="7">
        <v>0</v>
      </c>
    </row>
    <row r="729">
      <c r="A729" s="16" t="s">
        <v>340</v>
      </c>
      <c r="B729" s="2" t="s">
        <v>322</v>
      </c>
      <c r="C729" s="7">
        <v>90</v>
      </c>
      <c r="D729" s="7">
        <v>165</v>
      </c>
      <c r="E729" s="7">
        <v>95</v>
      </c>
      <c r="F729" s="7">
        <v>100</v>
      </c>
      <c r="G729" s="7">
        <v>100</v>
      </c>
      <c r="H729" s="7">
        <v>500</v>
      </c>
      <c r="I729" s="7">
        <v>400</v>
      </c>
      <c r="J729" s="7">
        <v>400</v>
      </c>
      <c r="K729" s="7">
        <v>800</v>
      </c>
      <c r="L729" s="7">
        <v>800</v>
      </c>
      <c r="M729" s="7">
        <v>800</v>
      </c>
      <c r="N729" s="7">
        <v>600</v>
      </c>
      <c r="O729" s="7">
        <v>500</v>
      </c>
      <c r="P729" s="7">
        <v>300</v>
      </c>
      <c r="Q729" s="7">
        <v>300</v>
      </c>
      <c r="R729" s="7">
        <v>300</v>
      </c>
      <c r="S729" s="7">
        <v>300</v>
      </c>
    </row>
    <row r="730">
      <c r="A730" s="16" t="s">
        <v>341</v>
      </c>
      <c r="B730" s="2" t="s">
        <v>322</v>
      </c>
      <c r="C730" s="7">
        <v>143</v>
      </c>
      <c r="D730" s="7">
        <v>209</v>
      </c>
      <c r="E730" s="7">
        <v>309</v>
      </c>
      <c r="F730" s="7">
        <v>410</v>
      </c>
      <c r="G730" s="7">
        <v>400</v>
      </c>
      <c r="H730" s="7">
        <v>210</v>
      </c>
      <c r="I730" s="7">
        <v>237</v>
      </c>
      <c r="J730" s="7">
        <v>213</v>
      </c>
      <c r="K730" s="7">
        <v>198</v>
      </c>
      <c r="L730" s="7">
        <v>210</v>
      </c>
      <c r="M730" s="7">
        <v>166</v>
      </c>
      <c r="N730" s="7">
        <v>158</v>
      </c>
      <c r="O730" s="7">
        <v>98</v>
      </c>
      <c r="P730" s="7">
        <v>100</v>
      </c>
      <c r="Q730" s="7">
        <v>90</v>
      </c>
      <c r="R730" s="7">
        <v>60</v>
      </c>
      <c r="S730" s="7">
        <v>30</v>
      </c>
    </row>
    <row r="731">
      <c r="A731" s="16" t="s">
        <v>342</v>
      </c>
      <c r="B731" s="2" t="s">
        <v>322</v>
      </c>
      <c r="C731" s="7">
        <v>0</v>
      </c>
      <c r="D731" s="7">
        <v>0</v>
      </c>
      <c r="E731" s="7">
        <v>0</v>
      </c>
      <c r="F731" s="7">
        <v>0</v>
      </c>
      <c r="G731" s="7">
        <v>0</v>
      </c>
      <c r="H731" s="7">
        <v>0</v>
      </c>
      <c r="I731" s="7">
        <v>0</v>
      </c>
      <c r="J731" s="7">
        <v>0</v>
      </c>
      <c r="K731" s="7">
        <v>0</v>
      </c>
      <c r="L731" s="7">
        <v>0</v>
      </c>
      <c r="M731" s="7">
        <v>0</v>
      </c>
      <c r="N731" s="7">
        <v>0</v>
      </c>
      <c r="O731" s="7">
        <v>0</v>
      </c>
      <c r="P731" s="7">
        <v>0</v>
      </c>
      <c r="Q731" s="7">
        <v>0</v>
      </c>
      <c r="R731" s="7">
        <v>0</v>
      </c>
      <c r="S731" s="7">
        <v>0</v>
      </c>
    </row>
    <row r="732">
      <c r="A732" s="16" t="s">
        <v>343</v>
      </c>
      <c r="B732" s="2" t="s">
        <v>322</v>
      </c>
      <c r="C732" s="7">
        <v>12</v>
      </c>
      <c r="D732" s="7">
        <v>7</v>
      </c>
      <c r="E732" s="7">
        <v>7</v>
      </c>
      <c r="F732" s="7">
        <v>0</v>
      </c>
      <c r="G732" s="7">
        <v>0</v>
      </c>
      <c r="H732" s="7">
        <v>0</v>
      </c>
      <c r="I732" s="7">
        <v>0</v>
      </c>
      <c r="J732" s="7">
        <v>0</v>
      </c>
      <c r="K732" s="7">
        <v>0</v>
      </c>
      <c r="L732" s="7">
        <v>0</v>
      </c>
      <c r="M732" s="7">
        <v>0</v>
      </c>
      <c r="N732" s="7">
        <v>0</v>
      </c>
      <c r="O732" s="7">
        <v>0</v>
      </c>
      <c r="P732" s="7">
        <v>0</v>
      </c>
      <c r="Q732" s="7">
        <v>0</v>
      </c>
      <c r="R732" s="7">
        <v>0</v>
      </c>
      <c r="S732" s="7">
        <v>0</v>
      </c>
    </row>
    <row r="733">
      <c r="A733" s="16" t="s">
        <v>344</v>
      </c>
      <c r="B733" s="2" t="s">
        <v>322</v>
      </c>
      <c r="C733" s="7">
        <v>34</v>
      </c>
      <c r="D733" s="7">
        <v>24</v>
      </c>
      <c r="E733" s="7">
        <v>24</v>
      </c>
      <c r="F733" s="7">
        <v>25</v>
      </c>
      <c r="G733" s="7">
        <v>30</v>
      </c>
      <c r="H733" s="7">
        <v>35</v>
      </c>
      <c r="I733" s="7">
        <v>40</v>
      </c>
      <c r="J733" s="7">
        <v>40</v>
      </c>
      <c r="K733" s="7">
        <v>35</v>
      </c>
      <c r="L733" s="7">
        <v>30</v>
      </c>
      <c r="M733" s="7">
        <v>20</v>
      </c>
      <c r="N733" s="7">
        <v>25</v>
      </c>
      <c r="O733" s="7">
        <v>20</v>
      </c>
      <c r="P733" s="7">
        <v>10</v>
      </c>
      <c r="Q733" s="7">
        <v>10</v>
      </c>
      <c r="R733" s="7">
        <v>10</v>
      </c>
      <c r="S733" s="7">
        <v>10</v>
      </c>
    </row>
    <row r="734">
      <c r="A734" s="16" t="s">
        <v>345</v>
      </c>
      <c r="B734" s="2" t="s">
        <v>322</v>
      </c>
      <c r="C734" s="7">
        <v>24</v>
      </c>
      <c r="D734" s="7">
        <v>10</v>
      </c>
      <c r="E734" s="7">
        <v>10</v>
      </c>
      <c r="F734" s="7">
        <v>10</v>
      </c>
      <c r="G734" s="7">
        <v>10</v>
      </c>
      <c r="H734" s="7">
        <v>5</v>
      </c>
      <c r="I734" s="7">
        <v>5</v>
      </c>
      <c r="J734" s="7">
        <v>0</v>
      </c>
      <c r="K734" s="7">
        <v>0</v>
      </c>
      <c r="L734" s="7">
        <v>0</v>
      </c>
      <c r="M734" s="7">
        <v>0</v>
      </c>
      <c r="N734" s="7">
        <v>0</v>
      </c>
      <c r="O734" s="7">
        <v>0</v>
      </c>
      <c r="P734" s="7">
        <v>0</v>
      </c>
      <c r="Q734" s="7">
        <v>0</v>
      </c>
      <c r="R734" s="7">
        <v>0</v>
      </c>
      <c r="S734" s="7">
        <v>0</v>
      </c>
    </row>
    <row r="735">
      <c r="A735" s="16" t="s">
        <v>346</v>
      </c>
      <c r="B735" s="2" t="s">
        <v>322</v>
      </c>
      <c r="C735" s="7">
        <v>15</v>
      </c>
      <c r="D735" s="7">
        <v>15</v>
      </c>
      <c r="E735" s="7">
        <v>5</v>
      </c>
      <c r="F735" s="7">
        <v>5</v>
      </c>
      <c r="G735" s="7">
        <v>0</v>
      </c>
      <c r="H735" s="7">
        <v>0</v>
      </c>
      <c r="I735" s="7">
        <v>0</v>
      </c>
      <c r="J735" s="7">
        <v>0</v>
      </c>
      <c r="K735" s="7">
        <v>0</v>
      </c>
      <c r="L735" s="7">
        <v>0</v>
      </c>
      <c r="M735" s="7">
        <v>0</v>
      </c>
      <c r="N735" s="7">
        <v>0</v>
      </c>
      <c r="O735" s="7">
        <v>0</v>
      </c>
      <c r="P735" s="7">
        <v>0</v>
      </c>
      <c r="Q735" s="7">
        <v>0</v>
      </c>
      <c r="R735" s="7">
        <v>0</v>
      </c>
      <c r="S735" s="7">
        <v>0</v>
      </c>
    </row>
    <row r="736">
      <c r="A736" s="16" t="s">
        <v>347</v>
      </c>
      <c r="B736" s="2" t="s">
        <v>322</v>
      </c>
      <c r="C736" s="7">
        <v>0</v>
      </c>
      <c r="D736" s="7">
        <v>0</v>
      </c>
      <c r="E736" s="7">
        <v>0</v>
      </c>
      <c r="F736" s="7">
        <v>0</v>
      </c>
      <c r="G736" s="7">
        <v>0</v>
      </c>
      <c r="H736" s="7">
        <v>0</v>
      </c>
      <c r="I736" s="7">
        <v>0</v>
      </c>
      <c r="J736" s="7">
        <v>0</v>
      </c>
      <c r="K736" s="7">
        <v>0</v>
      </c>
      <c r="L736" s="7">
        <v>0</v>
      </c>
      <c r="M736" s="7">
        <v>0</v>
      </c>
      <c r="N736" s="7">
        <v>0</v>
      </c>
      <c r="O736" s="7">
        <v>0</v>
      </c>
      <c r="P736" s="7">
        <v>0</v>
      </c>
      <c r="Q736" s="7">
        <v>0</v>
      </c>
      <c r="R736" s="7">
        <v>0</v>
      </c>
      <c r="S736" s="7">
        <v>0</v>
      </c>
    </row>
    <row r="737">
      <c r="A737" s="16" t="s">
        <v>348</v>
      </c>
      <c r="B737" s="2" t="s">
        <v>322</v>
      </c>
      <c r="C737" s="7">
        <v>2</v>
      </c>
      <c r="D737" s="7">
        <v>12</v>
      </c>
      <c r="E737" s="7">
        <v>9</v>
      </c>
      <c r="F737" s="7">
        <v>9</v>
      </c>
      <c r="G737" s="7">
        <v>9</v>
      </c>
      <c r="H737" s="7">
        <v>9</v>
      </c>
      <c r="I737" s="7">
        <v>10</v>
      </c>
      <c r="J737" s="7">
        <v>20</v>
      </c>
      <c r="K737" s="7">
        <v>0</v>
      </c>
      <c r="L737" s="7">
        <v>0</v>
      </c>
      <c r="M737" s="7">
        <v>0</v>
      </c>
      <c r="N737" s="7">
        <v>0</v>
      </c>
      <c r="O737" s="7">
        <v>0</v>
      </c>
      <c r="P737" s="7">
        <v>0</v>
      </c>
      <c r="Q737" s="7">
        <v>0</v>
      </c>
      <c r="R737" s="7">
        <v>0</v>
      </c>
      <c r="S737" s="7">
        <v>0</v>
      </c>
    </row>
    <row r="738">
      <c r="A738" s="16" t="s">
        <v>349</v>
      </c>
      <c r="B738" s="2" t="s">
        <v>322</v>
      </c>
      <c r="C738" s="7">
        <v>0</v>
      </c>
      <c r="D738" s="7">
        <v>0</v>
      </c>
      <c r="E738" s="7">
        <v>0</v>
      </c>
      <c r="F738" s="7">
        <v>0</v>
      </c>
      <c r="G738" s="7">
        <v>0</v>
      </c>
      <c r="H738" s="7">
        <v>0</v>
      </c>
      <c r="I738" s="7">
        <v>0</v>
      </c>
      <c r="J738" s="7">
        <v>0</v>
      </c>
      <c r="K738" s="7">
        <v>0</v>
      </c>
      <c r="L738" s="7">
        <v>0</v>
      </c>
      <c r="M738" s="7">
        <v>0</v>
      </c>
      <c r="N738" s="7">
        <v>0</v>
      </c>
      <c r="O738" s="7">
        <v>0</v>
      </c>
      <c r="P738" s="7">
        <v>0</v>
      </c>
      <c r="Q738" s="7">
        <v>0</v>
      </c>
      <c r="R738" s="7">
        <v>0</v>
      </c>
      <c r="S738" s="7">
        <v>0</v>
      </c>
    </row>
    <row r="739">
      <c r="A739" s="16" t="s">
        <v>350</v>
      </c>
      <c r="B739" s="2" t="s">
        <v>322</v>
      </c>
      <c r="C739" s="7">
        <v>0</v>
      </c>
      <c r="D739" s="7">
        <v>0</v>
      </c>
      <c r="E739" s="7">
        <v>0</v>
      </c>
      <c r="F739" s="7">
        <v>0</v>
      </c>
      <c r="G739" s="7">
        <v>0</v>
      </c>
      <c r="H739" s="7">
        <v>0</v>
      </c>
      <c r="I739" s="7">
        <v>0</v>
      </c>
      <c r="J739" s="7">
        <v>0</v>
      </c>
      <c r="K739" s="7">
        <v>0</v>
      </c>
      <c r="L739" s="7">
        <v>0</v>
      </c>
      <c r="M739" s="7">
        <v>0</v>
      </c>
      <c r="N739" s="7">
        <v>0</v>
      </c>
      <c r="O739" s="7">
        <v>0</v>
      </c>
      <c r="P739" s="7">
        <v>0</v>
      </c>
      <c r="Q739" s="7">
        <v>0</v>
      </c>
      <c r="R739" s="7">
        <v>0</v>
      </c>
      <c r="S739" s="7">
        <v>0</v>
      </c>
    </row>
    <row r="740">
      <c r="A740" s="16" t="s">
        <v>351</v>
      </c>
      <c r="B740" s="2" t="s">
        <v>322</v>
      </c>
      <c r="C740" s="7">
        <v>0</v>
      </c>
      <c r="D740" s="7">
        <v>0</v>
      </c>
      <c r="E740" s="7">
        <v>0</v>
      </c>
      <c r="F740" s="7">
        <v>0</v>
      </c>
      <c r="G740" s="7">
        <v>0</v>
      </c>
      <c r="H740" s="7">
        <v>0</v>
      </c>
      <c r="I740" s="7">
        <v>0</v>
      </c>
      <c r="J740" s="7">
        <v>0</v>
      </c>
      <c r="K740" s="7">
        <v>0</v>
      </c>
      <c r="L740" s="7">
        <v>0</v>
      </c>
      <c r="M740" s="7">
        <v>0</v>
      </c>
      <c r="N740" s="7">
        <v>0</v>
      </c>
      <c r="O740" s="7">
        <v>0</v>
      </c>
      <c r="P740" s="7">
        <v>0</v>
      </c>
      <c r="Q740" s="7">
        <v>0</v>
      </c>
      <c r="R740" s="7">
        <v>0</v>
      </c>
      <c r="S740" s="7">
        <v>0</v>
      </c>
    </row>
    <row r="741">
      <c r="A741" s="16" t="s">
        <v>352</v>
      </c>
      <c r="B741" s="2" t="s">
        <v>322</v>
      </c>
      <c r="C741" s="7">
        <v>19</v>
      </c>
      <c r="D741" s="7">
        <v>4</v>
      </c>
      <c r="E741" s="7">
        <v>4</v>
      </c>
      <c r="F741" s="7">
        <v>0</v>
      </c>
      <c r="G741" s="7">
        <v>0</v>
      </c>
      <c r="H741" s="7">
        <v>0</v>
      </c>
      <c r="I741" s="7">
        <v>0</v>
      </c>
      <c r="J741" s="7">
        <v>0</v>
      </c>
      <c r="K741" s="7">
        <v>0</v>
      </c>
      <c r="L741" s="7">
        <v>0</v>
      </c>
      <c r="M741" s="7">
        <v>0</v>
      </c>
      <c r="N741" s="7">
        <v>0</v>
      </c>
      <c r="O741" s="7">
        <v>0</v>
      </c>
      <c r="P741" s="7">
        <v>0</v>
      </c>
      <c r="Q741" s="7">
        <v>0</v>
      </c>
      <c r="R741" s="7">
        <v>0</v>
      </c>
      <c r="S741" s="7">
        <v>0</v>
      </c>
    </row>
    <row r="742">
      <c r="A742" s="16" t="s">
        <v>353</v>
      </c>
      <c r="B742" s="2" t="s">
        <v>322</v>
      </c>
      <c r="C742" s="7">
        <v>4580</v>
      </c>
      <c r="D742" s="7">
        <v>5100</v>
      </c>
      <c r="E742" s="7">
        <v>5450</v>
      </c>
      <c r="F742" s="7">
        <v>6025</v>
      </c>
      <c r="G742" s="7">
        <v>6117</v>
      </c>
      <c r="H742" s="7">
        <v>6199</v>
      </c>
      <c r="I742" s="7">
        <v>7190</v>
      </c>
      <c r="J742" s="7">
        <v>6440</v>
      </c>
      <c r="K742" s="7">
        <v>7352</v>
      </c>
      <c r="L742" s="7">
        <v>6402</v>
      </c>
      <c r="M742" s="7">
        <v>6023</v>
      </c>
      <c r="N742" s="7">
        <v>6378</v>
      </c>
      <c r="O742" s="7">
        <v>5700</v>
      </c>
      <c r="P742" s="7">
        <v>5700</v>
      </c>
      <c r="Q742" s="7">
        <v>5700</v>
      </c>
      <c r="R742" s="7">
        <v>5700</v>
      </c>
      <c r="S742" s="7">
        <v>5700</v>
      </c>
    </row>
    <row r="743">
      <c r="A743" s="16" t="s">
        <v>354</v>
      </c>
      <c r="B743" s="2" t="s">
        <v>322</v>
      </c>
      <c r="C743" s="7">
        <v>5</v>
      </c>
      <c r="D743" s="7">
        <v>2</v>
      </c>
      <c r="E743" s="7">
        <v>1</v>
      </c>
      <c r="F743" s="7">
        <v>0</v>
      </c>
      <c r="G743" s="7">
        <v>0</v>
      </c>
      <c r="H743" s="7">
        <v>0</v>
      </c>
      <c r="I743" s="7">
        <v>0</v>
      </c>
      <c r="J743" s="7">
        <v>0</v>
      </c>
      <c r="K743" s="7">
        <v>0</v>
      </c>
      <c r="L743" s="7">
        <v>0</v>
      </c>
      <c r="M743" s="7">
        <v>0</v>
      </c>
      <c r="N743" s="7">
        <v>0</v>
      </c>
      <c r="O743" s="7">
        <v>0</v>
      </c>
      <c r="P743" s="7">
        <v>0</v>
      </c>
      <c r="Q743" s="7">
        <v>0</v>
      </c>
      <c r="R743" s="7">
        <v>0</v>
      </c>
      <c r="S743" s="7">
        <v>0</v>
      </c>
    </row>
    <row r="744">
      <c r="A744" s="16" t="s">
        <v>355</v>
      </c>
      <c r="B744" s="2" t="s">
        <v>322</v>
      </c>
      <c r="C744" s="7">
        <v>0</v>
      </c>
      <c r="D744" s="7">
        <v>0</v>
      </c>
      <c r="E744" s="7">
        <v>0</v>
      </c>
      <c r="F744" s="7">
        <v>0</v>
      </c>
      <c r="G744" s="7">
        <v>0</v>
      </c>
      <c r="H744" s="7">
        <v>0</v>
      </c>
      <c r="I744" s="7">
        <v>0</v>
      </c>
      <c r="J744" s="7">
        <v>0</v>
      </c>
      <c r="K744" s="7">
        <v>0</v>
      </c>
      <c r="L744" s="7">
        <v>0</v>
      </c>
      <c r="M744" s="7">
        <v>0</v>
      </c>
      <c r="N744" s="7">
        <v>0</v>
      </c>
      <c r="O744" s="7">
        <v>0</v>
      </c>
      <c r="P744" s="7">
        <v>0</v>
      </c>
      <c r="Q744" s="7">
        <v>0</v>
      </c>
      <c r="R744" s="7">
        <v>0</v>
      </c>
      <c r="S744" s="7">
        <v>0</v>
      </c>
    </row>
    <row r="745">
      <c r="A745" s="16" t="s">
        <v>356</v>
      </c>
      <c r="B745" s="2" t="s">
        <v>322</v>
      </c>
      <c r="C745" s="7">
        <v>0</v>
      </c>
      <c r="D745" s="7">
        <v>0</v>
      </c>
      <c r="E745" s="7">
        <v>0</v>
      </c>
      <c r="F745" s="7">
        <v>0</v>
      </c>
      <c r="G745" s="7">
        <v>0</v>
      </c>
      <c r="H745" s="7">
        <v>0</v>
      </c>
      <c r="I745" s="7">
        <v>0</v>
      </c>
      <c r="J745" s="7">
        <v>0</v>
      </c>
      <c r="K745" s="7">
        <v>0</v>
      </c>
      <c r="L745" s="7">
        <v>0</v>
      </c>
      <c r="M745" s="7">
        <v>0</v>
      </c>
      <c r="N745" s="7">
        <v>0</v>
      </c>
      <c r="O745" s="7">
        <v>0</v>
      </c>
      <c r="P745" s="7">
        <v>0</v>
      </c>
      <c r="Q745" s="7">
        <v>0</v>
      </c>
      <c r="R745" s="7">
        <v>0</v>
      </c>
      <c r="S745" s="7">
        <v>0</v>
      </c>
    </row>
    <row r="746">
      <c r="A746" s="16" t="s">
        <v>357</v>
      </c>
      <c r="B746" s="2" t="s">
        <v>322</v>
      </c>
      <c r="C746" s="7">
        <v>87</v>
      </c>
      <c r="D746" s="7">
        <v>60</v>
      </c>
      <c r="E746" s="7">
        <v>30</v>
      </c>
      <c r="F746" s="7">
        <v>15</v>
      </c>
      <c r="G746" s="7">
        <v>0</v>
      </c>
      <c r="H746" s="7">
        <v>0</v>
      </c>
      <c r="I746" s="7">
        <v>0</v>
      </c>
      <c r="J746" s="7">
        <v>0</v>
      </c>
      <c r="K746" s="7">
        <v>0</v>
      </c>
      <c r="L746" s="7">
        <v>0</v>
      </c>
      <c r="M746" s="7">
        <v>0</v>
      </c>
      <c r="N746" s="7">
        <v>0</v>
      </c>
      <c r="O746" s="7">
        <v>0</v>
      </c>
      <c r="P746" s="7">
        <v>0</v>
      </c>
      <c r="Q746" s="7">
        <v>0</v>
      </c>
      <c r="R746" s="7">
        <v>0</v>
      </c>
      <c r="S746" s="7">
        <v>0</v>
      </c>
    </row>
    <row r="747">
      <c r="A747" s="16" t="s">
        <v>358</v>
      </c>
      <c r="B747" s="2" t="s">
        <v>322</v>
      </c>
      <c r="C747" s="7">
        <v>3</v>
      </c>
      <c r="D747" s="7">
        <v>2</v>
      </c>
      <c r="E747" s="7">
        <v>6</v>
      </c>
      <c r="F747" s="7">
        <v>5</v>
      </c>
      <c r="G747" s="7">
        <v>5</v>
      </c>
      <c r="H747" s="7">
        <v>4</v>
      </c>
      <c r="I747" s="7">
        <v>2</v>
      </c>
      <c r="J747" s="7">
        <v>0</v>
      </c>
      <c r="K747" s="7">
        <v>0</v>
      </c>
      <c r="L747" s="7">
        <v>0</v>
      </c>
      <c r="M747" s="7">
        <v>0</v>
      </c>
      <c r="N747" s="7">
        <v>0</v>
      </c>
      <c r="O747" s="7">
        <v>0</v>
      </c>
      <c r="P747" s="7">
        <v>0</v>
      </c>
      <c r="Q747" s="7">
        <v>0</v>
      </c>
      <c r="R747" s="7">
        <v>0</v>
      </c>
      <c r="S747" s="7">
        <v>0</v>
      </c>
    </row>
    <row r="748">
      <c r="A748" s="16" t="s">
        <v>359</v>
      </c>
      <c r="B748" s="2" t="s">
        <v>322</v>
      </c>
      <c r="C748" s="7">
        <v>25</v>
      </c>
      <c r="D748" s="7">
        <v>25</v>
      </c>
      <c r="E748" s="7">
        <v>15</v>
      </c>
      <c r="F748" s="7">
        <v>15</v>
      </c>
      <c r="G748" s="7">
        <v>15</v>
      </c>
      <c r="H748" s="7">
        <v>0</v>
      </c>
      <c r="I748" s="7">
        <v>0</v>
      </c>
      <c r="J748" s="7">
        <v>0</v>
      </c>
      <c r="K748" s="7">
        <v>0</v>
      </c>
      <c r="L748" s="7">
        <v>0</v>
      </c>
      <c r="M748" s="7">
        <v>0</v>
      </c>
      <c r="N748" s="7">
        <v>0</v>
      </c>
      <c r="O748" s="7">
        <v>0</v>
      </c>
      <c r="P748" s="7">
        <v>0</v>
      </c>
      <c r="Q748" s="7">
        <v>0</v>
      </c>
      <c r="R748" s="7">
        <v>0</v>
      </c>
      <c r="S748" s="7">
        <v>0</v>
      </c>
    </row>
    <row r="749">
      <c r="A749" s="16" t="s">
        <v>360</v>
      </c>
      <c r="B749" s="2" t="s">
        <v>322</v>
      </c>
      <c r="C749" s="7">
        <v>0</v>
      </c>
      <c r="D749" s="7">
        <v>0</v>
      </c>
      <c r="E749" s="7">
        <v>0</v>
      </c>
      <c r="F749" s="7">
        <v>0</v>
      </c>
      <c r="G749" s="7">
        <v>0</v>
      </c>
      <c r="H749" s="7">
        <v>0</v>
      </c>
      <c r="I749" s="7">
        <v>0</v>
      </c>
      <c r="J749" s="7">
        <v>0</v>
      </c>
      <c r="K749" s="7">
        <v>0</v>
      </c>
      <c r="L749" s="7">
        <v>0</v>
      </c>
      <c r="M749" s="7">
        <v>0</v>
      </c>
      <c r="N749" s="7">
        <v>0</v>
      </c>
      <c r="O749" s="7">
        <v>0</v>
      </c>
      <c r="P749" s="7">
        <v>0</v>
      </c>
      <c r="Q749" s="7">
        <v>0</v>
      </c>
      <c r="R749" s="7">
        <v>0</v>
      </c>
      <c r="S749" s="7">
        <v>0</v>
      </c>
    </row>
    <row r="750">
      <c r="A750" s="16" t="s">
        <v>361</v>
      </c>
      <c r="B750" s="2" t="s">
        <v>322</v>
      </c>
      <c r="C750" s="7">
        <v>0</v>
      </c>
      <c r="D750" s="7">
        <v>0</v>
      </c>
      <c r="E750" s="7">
        <v>0</v>
      </c>
      <c r="F750" s="7">
        <v>0</v>
      </c>
      <c r="G750" s="7">
        <v>0</v>
      </c>
      <c r="H750" s="7">
        <v>0</v>
      </c>
      <c r="I750" s="7">
        <v>0</v>
      </c>
      <c r="J750" s="7">
        <v>0</v>
      </c>
      <c r="K750" s="7">
        <v>0</v>
      </c>
      <c r="L750" s="7">
        <v>0</v>
      </c>
      <c r="M750" s="7">
        <v>0</v>
      </c>
      <c r="N750" s="7">
        <v>0</v>
      </c>
      <c r="O750" s="7">
        <v>0</v>
      </c>
      <c r="P750" s="7">
        <v>0</v>
      </c>
      <c r="Q750" s="7">
        <v>0</v>
      </c>
      <c r="R750" s="7">
        <v>0</v>
      </c>
      <c r="S750" s="7">
        <v>0</v>
      </c>
    </row>
    <row r="751">
      <c r="A751" s="16" t="s">
        <v>362</v>
      </c>
      <c r="B751" s="2" t="s">
        <v>322</v>
      </c>
      <c r="C751" s="7">
        <v>0</v>
      </c>
      <c r="D751" s="7">
        <v>0</v>
      </c>
      <c r="E751" s="7">
        <v>0</v>
      </c>
      <c r="F751" s="7">
        <v>0</v>
      </c>
      <c r="G751" s="7">
        <v>0</v>
      </c>
      <c r="H751" s="7">
        <v>0</v>
      </c>
      <c r="I751" s="7">
        <v>0</v>
      </c>
      <c r="J751" s="7">
        <v>0</v>
      </c>
      <c r="K751" s="7">
        <v>0</v>
      </c>
      <c r="L751" s="7">
        <v>0</v>
      </c>
      <c r="M751" s="7">
        <v>0</v>
      </c>
      <c r="N751" s="7">
        <v>0</v>
      </c>
      <c r="O751" s="7">
        <v>0</v>
      </c>
      <c r="P751" s="7">
        <v>0</v>
      </c>
      <c r="Q751" s="7">
        <v>0</v>
      </c>
      <c r="R751" s="7">
        <v>0</v>
      </c>
      <c r="S751" s="7">
        <v>0</v>
      </c>
    </row>
    <row r="752">
      <c r="A752" s="16" t="s">
        <v>363</v>
      </c>
      <c r="B752" s="2" t="s">
        <v>322</v>
      </c>
      <c r="C752" s="7">
        <v>0</v>
      </c>
      <c r="D752" s="7">
        <v>0</v>
      </c>
      <c r="E752" s="7">
        <v>0</v>
      </c>
      <c r="F752" s="7">
        <v>0</v>
      </c>
      <c r="G752" s="7">
        <v>0</v>
      </c>
      <c r="H752" s="7">
        <v>0</v>
      </c>
      <c r="I752" s="7">
        <v>0</v>
      </c>
      <c r="J752" s="7">
        <v>0</v>
      </c>
      <c r="K752" s="7">
        <v>0</v>
      </c>
      <c r="L752" s="7">
        <v>0</v>
      </c>
      <c r="M752" s="7">
        <v>0</v>
      </c>
      <c r="N752" s="7">
        <v>0</v>
      </c>
      <c r="O752" s="7">
        <v>0</v>
      </c>
      <c r="P752" s="7">
        <v>0</v>
      </c>
      <c r="Q752" s="7">
        <v>0</v>
      </c>
      <c r="R752" s="7">
        <v>0</v>
      </c>
      <c r="S752" s="7">
        <v>0</v>
      </c>
    </row>
    <row r="753">
      <c r="A753" s="16" t="s">
        <v>364</v>
      </c>
      <c r="B753" s="2" t="s">
        <v>365</v>
      </c>
      <c r="C753" s="7">
        <v>12900</v>
      </c>
      <c r="D753" s="7">
        <v>10400</v>
      </c>
      <c r="E753" s="7">
        <v>10845</v>
      </c>
      <c r="F753" s="7">
        <v>12400</v>
      </c>
      <c r="G753" s="7">
        <v>12225</v>
      </c>
      <c r="H753" s="7">
        <v>12100</v>
      </c>
      <c r="I753" s="7">
        <v>13900</v>
      </c>
      <c r="J753" s="7">
        <v>13500</v>
      </c>
      <c r="K753" s="7">
        <v>14332</v>
      </c>
      <c r="L753" s="7">
        <v>15038</v>
      </c>
      <c r="M753" s="7">
        <v>13767</v>
      </c>
      <c r="N753" s="7">
        <v>14000</v>
      </c>
      <c r="O753" s="7">
        <v>9313</v>
      </c>
      <c r="P753" s="7">
        <v>8626</v>
      </c>
      <c r="Q753" s="7">
        <v>8170</v>
      </c>
      <c r="R753" s="7">
        <v>7500</v>
      </c>
      <c r="S753" s="7">
        <v>9300</v>
      </c>
    </row>
    <row r="754">
      <c r="A754" s="16" t="s">
        <v>366</v>
      </c>
      <c r="B754" s="2" t="s">
        <v>365</v>
      </c>
      <c r="C754" s="7">
        <v>2510</v>
      </c>
      <c r="D754" s="7">
        <v>2140</v>
      </c>
      <c r="E754" s="7">
        <v>2980</v>
      </c>
      <c r="F754" s="7">
        <v>3100</v>
      </c>
      <c r="G754" s="7">
        <v>3350</v>
      </c>
      <c r="H754" s="7">
        <v>3485</v>
      </c>
      <c r="I754" s="7">
        <v>3305</v>
      </c>
      <c r="J754" s="7">
        <v>2794</v>
      </c>
      <c r="K754" s="7">
        <v>3217</v>
      </c>
      <c r="L754" s="7">
        <v>2897</v>
      </c>
      <c r="M754" s="7">
        <v>2693</v>
      </c>
      <c r="N754" s="7">
        <v>2898</v>
      </c>
      <c r="O754" s="7">
        <v>2517</v>
      </c>
      <c r="P754" s="7">
        <v>2426</v>
      </c>
      <c r="Q754" s="7">
        <v>2268</v>
      </c>
      <c r="R754" s="7">
        <v>2200</v>
      </c>
      <c r="S754" s="7">
        <v>2300</v>
      </c>
    </row>
    <row r="755">
      <c r="A755" s="16" t="s">
        <v>367</v>
      </c>
      <c r="B755" s="2" t="s">
        <v>365</v>
      </c>
      <c r="C755" s="7">
        <v>0</v>
      </c>
      <c r="D755" s="7">
        <v>0</v>
      </c>
      <c r="E755" s="7">
        <v>0</v>
      </c>
      <c r="F755" s="7">
        <v>0</v>
      </c>
      <c r="G755" s="7">
        <v>0</v>
      </c>
      <c r="H755" s="7">
        <v>0</v>
      </c>
      <c r="I755" s="7">
        <v>0</v>
      </c>
      <c r="J755" s="7">
        <v>0</v>
      </c>
      <c r="K755" s="7">
        <v>0</v>
      </c>
      <c r="L755" s="7">
        <v>0</v>
      </c>
      <c r="M755" s="7">
        <v>0</v>
      </c>
      <c r="N755" s="7">
        <v>0</v>
      </c>
      <c r="O755" s="7">
        <v>0</v>
      </c>
      <c r="P755" s="7">
        <v>0</v>
      </c>
      <c r="Q755" s="7">
        <v>0</v>
      </c>
      <c r="R755" s="7">
        <v>0</v>
      </c>
      <c r="S755" s="7">
        <v>0</v>
      </c>
    </row>
    <row r="756">
      <c r="A756" s="16" t="s">
        <v>368</v>
      </c>
      <c r="B756" s="2" t="s">
        <v>365</v>
      </c>
      <c r="C756" s="7">
        <v>0</v>
      </c>
      <c r="D756" s="7">
        <v>0</v>
      </c>
      <c r="E756" s="7">
        <v>0</v>
      </c>
      <c r="F756" s="7">
        <v>0</v>
      </c>
      <c r="G756" s="7">
        <v>0</v>
      </c>
      <c r="H756" s="7">
        <v>0</v>
      </c>
      <c r="I756" s="7">
        <v>0</v>
      </c>
      <c r="J756" s="7">
        <v>0</v>
      </c>
      <c r="K756" s="7">
        <v>0</v>
      </c>
      <c r="L756" s="7">
        <v>0</v>
      </c>
      <c r="M756" s="7">
        <v>0</v>
      </c>
      <c r="N756" s="7">
        <v>0</v>
      </c>
      <c r="O756" s="7">
        <v>0</v>
      </c>
      <c r="P756" s="7">
        <v>0</v>
      </c>
      <c r="Q756" s="7">
        <v>0</v>
      </c>
      <c r="R756" s="7">
        <v>0</v>
      </c>
      <c r="S756" s="7">
        <v>0</v>
      </c>
    </row>
    <row r="757">
      <c r="A757" s="16" t="s">
        <v>369</v>
      </c>
      <c r="B757" s="2" t="s">
        <v>365</v>
      </c>
      <c r="C757" s="7">
        <v>0</v>
      </c>
      <c r="D757" s="7">
        <v>0</v>
      </c>
      <c r="E757" s="7">
        <v>0</v>
      </c>
      <c r="F757" s="7">
        <v>0</v>
      </c>
      <c r="G757" s="7">
        <v>0</v>
      </c>
      <c r="H757" s="7">
        <v>0</v>
      </c>
      <c r="I757" s="7">
        <v>0</v>
      </c>
      <c r="J757" s="7">
        <v>0</v>
      </c>
      <c r="K757" s="7">
        <v>0</v>
      </c>
      <c r="L757" s="7">
        <v>0</v>
      </c>
      <c r="M757" s="7">
        <v>0</v>
      </c>
      <c r="N757" s="7">
        <v>0</v>
      </c>
      <c r="O757" s="7">
        <v>0</v>
      </c>
      <c r="P757" s="7">
        <v>0</v>
      </c>
      <c r="Q757" s="7">
        <v>0</v>
      </c>
      <c r="R757" s="7">
        <v>0</v>
      </c>
      <c r="S757" s="7">
        <v>0</v>
      </c>
    </row>
    <row r="758">
      <c r="A758" s="16" t="s">
        <v>370</v>
      </c>
      <c r="B758" s="2" t="s">
        <v>365</v>
      </c>
      <c r="C758" s="7">
        <v>0</v>
      </c>
      <c r="D758" s="7">
        <v>0</v>
      </c>
      <c r="E758" s="7">
        <v>0</v>
      </c>
      <c r="F758" s="7">
        <v>0</v>
      </c>
      <c r="G758" s="7">
        <v>0</v>
      </c>
      <c r="H758" s="7">
        <v>0</v>
      </c>
      <c r="I758" s="7">
        <v>0</v>
      </c>
      <c r="J758" s="7">
        <v>0</v>
      </c>
      <c r="K758" s="7">
        <v>0</v>
      </c>
      <c r="L758" s="7">
        <v>0</v>
      </c>
      <c r="M758" s="7">
        <v>0</v>
      </c>
      <c r="N758" s="7">
        <v>0</v>
      </c>
      <c r="O758" s="7">
        <v>0</v>
      </c>
      <c r="P758" s="7">
        <v>0</v>
      </c>
      <c r="Q758" s="7">
        <v>0</v>
      </c>
      <c r="R758" s="7">
        <v>0</v>
      </c>
      <c r="S758" s="7">
        <v>0</v>
      </c>
    </row>
    <row r="759">
      <c r="A759" s="16" t="s">
        <v>371</v>
      </c>
      <c r="B759" s="2" t="s">
        <v>365</v>
      </c>
      <c r="C759" s="7">
        <v>0</v>
      </c>
      <c r="D759" s="7">
        <v>0</v>
      </c>
      <c r="E759" s="7">
        <v>0</v>
      </c>
      <c r="F759" s="7">
        <v>0</v>
      </c>
      <c r="G759" s="7">
        <v>0</v>
      </c>
      <c r="H759" s="7">
        <v>0</v>
      </c>
      <c r="I759" s="7">
        <v>0</v>
      </c>
      <c r="J759" s="7">
        <v>0</v>
      </c>
      <c r="K759" s="7">
        <v>0</v>
      </c>
      <c r="L759" s="7">
        <v>0</v>
      </c>
      <c r="M759" s="7">
        <v>0</v>
      </c>
      <c r="N759" s="7">
        <v>0</v>
      </c>
      <c r="O759" s="7">
        <v>0</v>
      </c>
      <c r="P759" s="7">
        <v>0</v>
      </c>
      <c r="Q759" s="7">
        <v>0</v>
      </c>
      <c r="R759" s="7">
        <v>0</v>
      </c>
      <c r="S759" s="7">
        <v>0</v>
      </c>
    </row>
    <row r="760">
      <c r="A760" s="16" t="s">
        <v>372</v>
      </c>
      <c r="B760" s="2" t="s">
        <v>365</v>
      </c>
      <c r="C760" s="7">
        <v>0</v>
      </c>
      <c r="D760" s="7">
        <v>0</v>
      </c>
      <c r="E760" s="7">
        <v>0</v>
      </c>
      <c r="F760" s="7">
        <v>0</v>
      </c>
      <c r="G760" s="7">
        <v>0</v>
      </c>
      <c r="H760" s="7">
        <v>0</v>
      </c>
      <c r="I760" s="7">
        <v>0</v>
      </c>
      <c r="J760" s="7">
        <v>0</v>
      </c>
      <c r="K760" s="7">
        <v>0</v>
      </c>
      <c r="L760" s="7">
        <v>0</v>
      </c>
      <c r="M760" s="7">
        <v>0</v>
      </c>
      <c r="N760" s="7">
        <v>0</v>
      </c>
      <c r="O760" s="7">
        <v>0</v>
      </c>
      <c r="P760" s="7">
        <v>0</v>
      </c>
      <c r="Q760" s="7">
        <v>0</v>
      </c>
      <c r="R760" s="7">
        <v>0</v>
      </c>
      <c r="S760" s="7">
        <v>0</v>
      </c>
    </row>
    <row r="761">
      <c r="A761" s="16" t="s">
        <v>373</v>
      </c>
      <c r="B761" s="2" t="s">
        <v>365</v>
      </c>
      <c r="C761" s="7">
        <v>0</v>
      </c>
      <c r="D761" s="7">
        <v>0</v>
      </c>
      <c r="E761" s="7">
        <v>0</v>
      </c>
      <c r="F761" s="7">
        <v>0</v>
      </c>
      <c r="G761" s="7">
        <v>0</v>
      </c>
      <c r="H761" s="7">
        <v>0</v>
      </c>
      <c r="I761" s="7">
        <v>0</v>
      </c>
      <c r="J761" s="7">
        <v>0</v>
      </c>
      <c r="K761" s="7">
        <v>0</v>
      </c>
      <c r="L761" s="7">
        <v>0</v>
      </c>
      <c r="M761" s="7">
        <v>0</v>
      </c>
      <c r="N761" s="7">
        <v>0</v>
      </c>
      <c r="O761" s="7">
        <v>0</v>
      </c>
      <c r="P761" s="7">
        <v>0</v>
      </c>
      <c r="Q761" s="7">
        <v>0</v>
      </c>
      <c r="R761" s="7">
        <v>0</v>
      </c>
      <c r="S761" s="7">
        <v>0</v>
      </c>
    </row>
    <row r="762">
      <c r="A762" s="16" t="s">
        <v>374</v>
      </c>
      <c r="B762" s="2" t="s">
        <v>365</v>
      </c>
      <c r="C762" s="7">
        <v>0</v>
      </c>
      <c r="D762" s="7">
        <v>0</v>
      </c>
      <c r="E762" s="7">
        <v>0</v>
      </c>
      <c r="F762" s="7">
        <v>0</v>
      </c>
      <c r="G762" s="7">
        <v>0</v>
      </c>
      <c r="H762" s="7">
        <v>0</v>
      </c>
      <c r="I762" s="7">
        <v>0</v>
      </c>
      <c r="J762" s="7">
        <v>0</v>
      </c>
      <c r="K762" s="7">
        <v>0</v>
      </c>
      <c r="L762" s="7">
        <v>0</v>
      </c>
      <c r="M762" s="7">
        <v>0</v>
      </c>
      <c r="N762" s="7">
        <v>0</v>
      </c>
      <c r="O762" s="7">
        <v>0</v>
      </c>
      <c r="P762" s="7">
        <v>0</v>
      </c>
      <c r="Q762" s="7">
        <v>0</v>
      </c>
      <c r="R762" s="7">
        <v>0</v>
      </c>
      <c r="S762" s="7">
        <v>0</v>
      </c>
    </row>
    <row r="763">
      <c r="A763" s="16" t="s">
        <v>375</v>
      </c>
      <c r="B763" s="2" t="s">
        <v>365</v>
      </c>
      <c r="C763" s="7">
        <v>0</v>
      </c>
      <c r="D763" s="7">
        <v>0</v>
      </c>
      <c r="E763" s="7">
        <v>0</v>
      </c>
      <c r="F763" s="7">
        <v>0</v>
      </c>
      <c r="G763" s="7">
        <v>0</v>
      </c>
      <c r="H763" s="7">
        <v>0</v>
      </c>
      <c r="I763" s="7">
        <v>0</v>
      </c>
      <c r="J763" s="7">
        <v>0</v>
      </c>
      <c r="K763" s="7">
        <v>0</v>
      </c>
      <c r="L763" s="7">
        <v>0</v>
      </c>
      <c r="M763" s="7">
        <v>0</v>
      </c>
      <c r="N763" s="7">
        <v>0</v>
      </c>
      <c r="O763" s="7">
        <v>0</v>
      </c>
      <c r="P763" s="7">
        <v>0</v>
      </c>
      <c r="Q763" s="7">
        <v>0</v>
      </c>
      <c r="R763" s="7">
        <v>0</v>
      </c>
      <c r="S763" s="7">
        <v>0</v>
      </c>
    </row>
    <row r="764">
      <c r="A764" s="16" t="s">
        <v>376</v>
      </c>
      <c r="B764" s="2" t="s">
        <v>365</v>
      </c>
      <c r="C764" s="7">
        <v>0</v>
      </c>
      <c r="D764" s="7">
        <v>0</v>
      </c>
      <c r="E764" s="7">
        <v>0</v>
      </c>
      <c r="F764" s="7">
        <v>0</v>
      </c>
      <c r="G764" s="7">
        <v>0</v>
      </c>
      <c r="H764" s="7">
        <v>0</v>
      </c>
      <c r="I764" s="7">
        <v>0</v>
      </c>
      <c r="J764" s="7">
        <v>0</v>
      </c>
      <c r="K764" s="7">
        <v>0</v>
      </c>
      <c r="L764" s="7">
        <v>0</v>
      </c>
      <c r="M764" s="7">
        <v>0</v>
      </c>
      <c r="N764" s="7">
        <v>0</v>
      </c>
      <c r="O764" s="7">
        <v>0</v>
      </c>
      <c r="P764" s="7">
        <v>0</v>
      </c>
      <c r="Q764" s="7">
        <v>0</v>
      </c>
      <c r="R764" s="7">
        <v>0</v>
      </c>
      <c r="S764" s="7">
        <v>0</v>
      </c>
    </row>
    <row r="765">
      <c r="A765" s="16" t="s">
        <v>377</v>
      </c>
      <c r="B765" s="2" t="s">
        <v>365</v>
      </c>
      <c r="C765" s="7">
        <v>0</v>
      </c>
      <c r="D765" s="7">
        <v>0</v>
      </c>
      <c r="E765" s="7">
        <v>0</v>
      </c>
      <c r="F765" s="7">
        <v>0</v>
      </c>
      <c r="G765" s="7">
        <v>0</v>
      </c>
      <c r="H765" s="7">
        <v>0</v>
      </c>
      <c r="I765" s="7">
        <v>0</v>
      </c>
      <c r="J765" s="7">
        <v>0</v>
      </c>
      <c r="K765" s="7">
        <v>0</v>
      </c>
      <c r="L765" s="7">
        <v>0</v>
      </c>
      <c r="M765" s="7">
        <v>0</v>
      </c>
      <c r="N765" s="7">
        <v>0</v>
      </c>
      <c r="O765" s="7">
        <v>0</v>
      </c>
      <c r="P765" s="7">
        <v>0</v>
      </c>
      <c r="Q765" s="7">
        <v>0</v>
      </c>
      <c r="R765" s="7">
        <v>0</v>
      </c>
      <c r="S765" s="7">
        <v>0</v>
      </c>
    </row>
    <row r="766">
      <c r="A766" s="16" t="s">
        <v>378</v>
      </c>
      <c r="B766" s="2" t="s">
        <v>365</v>
      </c>
      <c r="C766" s="7">
        <v>0</v>
      </c>
      <c r="D766" s="7">
        <v>0</v>
      </c>
      <c r="E766" s="7">
        <v>0</v>
      </c>
      <c r="F766" s="7">
        <v>0</v>
      </c>
      <c r="G766" s="7">
        <v>0</v>
      </c>
      <c r="H766" s="7">
        <v>0</v>
      </c>
      <c r="I766" s="7">
        <v>0</v>
      </c>
      <c r="J766" s="7">
        <v>0</v>
      </c>
      <c r="K766" s="7">
        <v>0</v>
      </c>
      <c r="L766" s="7">
        <v>0</v>
      </c>
      <c r="M766" s="7">
        <v>0</v>
      </c>
      <c r="N766" s="7">
        <v>0</v>
      </c>
      <c r="O766" s="7">
        <v>0</v>
      </c>
      <c r="P766" s="7">
        <v>0</v>
      </c>
      <c r="Q766" s="7">
        <v>0</v>
      </c>
      <c r="R766" s="7">
        <v>0</v>
      </c>
      <c r="S766" s="7">
        <v>0</v>
      </c>
    </row>
    <row r="767">
      <c r="A767" s="16" t="s">
        <v>379</v>
      </c>
      <c r="B767" s="2" t="s">
        <v>365</v>
      </c>
      <c r="C767" s="7">
        <v>0</v>
      </c>
      <c r="D767" s="7">
        <v>0</v>
      </c>
      <c r="E767" s="7">
        <v>0</v>
      </c>
      <c r="F767" s="7">
        <v>0</v>
      </c>
      <c r="G767" s="7">
        <v>0</v>
      </c>
      <c r="H767" s="7">
        <v>0</v>
      </c>
      <c r="I767" s="7">
        <v>0</v>
      </c>
      <c r="J767" s="7">
        <v>0</v>
      </c>
      <c r="K767" s="7">
        <v>0</v>
      </c>
      <c r="L767" s="7">
        <v>0</v>
      </c>
      <c r="M767" s="7">
        <v>0</v>
      </c>
      <c r="N767" s="7">
        <v>0</v>
      </c>
      <c r="O767" s="7">
        <v>0</v>
      </c>
      <c r="P767" s="7">
        <v>0</v>
      </c>
      <c r="Q767" s="7">
        <v>0</v>
      </c>
      <c r="R767" s="7">
        <v>0</v>
      </c>
      <c r="S767" s="7">
        <v>0</v>
      </c>
    </row>
    <row r="768">
      <c r="A768" s="16" t="s">
        <v>380</v>
      </c>
      <c r="B768" s="2" t="s">
        <v>365</v>
      </c>
      <c r="C768" s="7">
        <v>0</v>
      </c>
      <c r="D768" s="7">
        <v>0</v>
      </c>
      <c r="E768" s="7">
        <v>0</v>
      </c>
      <c r="F768" s="7">
        <v>0</v>
      </c>
      <c r="G768" s="7">
        <v>0</v>
      </c>
      <c r="H768" s="7">
        <v>0</v>
      </c>
      <c r="I768" s="7">
        <v>0</v>
      </c>
      <c r="J768" s="7">
        <v>0</v>
      </c>
      <c r="K768" s="7">
        <v>0</v>
      </c>
      <c r="L768" s="7">
        <v>0</v>
      </c>
      <c r="M768" s="7">
        <v>0</v>
      </c>
      <c r="N768" s="7">
        <v>0</v>
      </c>
      <c r="O768" s="7">
        <v>0</v>
      </c>
      <c r="P768" s="7">
        <v>0</v>
      </c>
      <c r="Q768" s="7">
        <v>0</v>
      </c>
      <c r="R768" s="7">
        <v>0</v>
      </c>
      <c r="S768" s="7">
        <v>0</v>
      </c>
    </row>
    <row r="769">
      <c r="A769" s="16" t="s">
        <v>381</v>
      </c>
      <c r="B769" s="2" t="s">
        <v>365</v>
      </c>
      <c r="C769" s="7">
        <v>0</v>
      </c>
      <c r="D769" s="7">
        <v>0</v>
      </c>
      <c r="E769" s="7">
        <v>0</v>
      </c>
      <c r="F769" s="7">
        <v>0</v>
      </c>
      <c r="G769" s="7">
        <v>0</v>
      </c>
      <c r="H769" s="7">
        <v>0</v>
      </c>
      <c r="I769" s="7">
        <v>0</v>
      </c>
      <c r="J769" s="7">
        <v>0</v>
      </c>
      <c r="K769" s="7">
        <v>0</v>
      </c>
      <c r="L769" s="7">
        <v>0</v>
      </c>
      <c r="M769" s="7">
        <v>0</v>
      </c>
      <c r="N769" s="7">
        <v>0</v>
      </c>
      <c r="O769" s="7">
        <v>0</v>
      </c>
      <c r="P769" s="7">
        <v>0</v>
      </c>
      <c r="Q769" s="7">
        <v>0</v>
      </c>
      <c r="R769" s="7">
        <v>0</v>
      </c>
      <c r="S769" s="7">
        <v>0</v>
      </c>
    </row>
    <row r="770">
      <c r="A770" s="16" t="s">
        <v>382</v>
      </c>
      <c r="B770" s="2" t="s">
        <v>365</v>
      </c>
      <c r="C770" s="7">
        <v>0</v>
      </c>
      <c r="D770" s="7">
        <v>0</v>
      </c>
      <c r="E770" s="7">
        <v>0</v>
      </c>
      <c r="F770" s="7">
        <v>0</v>
      </c>
      <c r="G770" s="7">
        <v>0</v>
      </c>
      <c r="H770" s="7">
        <v>0</v>
      </c>
      <c r="I770" s="7">
        <v>0</v>
      </c>
      <c r="J770" s="7">
        <v>0</v>
      </c>
      <c r="K770" s="7">
        <v>0</v>
      </c>
      <c r="L770" s="7">
        <v>0</v>
      </c>
      <c r="M770" s="7">
        <v>0</v>
      </c>
      <c r="N770" s="7">
        <v>0</v>
      </c>
      <c r="O770" s="7">
        <v>0</v>
      </c>
      <c r="P770" s="7">
        <v>0</v>
      </c>
      <c r="Q770" s="7">
        <v>0</v>
      </c>
      <c r="R770" s="7">
        <v>0</v>
      </c>
      <c r="S770" s="7">
        <v>0</v>
      </c>
    </row>
    <row r="771">
      <c r="A771" s="16" t="s">
        <v>383</v>
      </c>
      <c r="B771" s="2" t="s">
        <v>365</v>
      </c>
      <c r="C771" s="7">
        <v>0</v>
      </c>
      <c r="D771" s="7">
        <v>0</v>
      </c>
      <c r="E771" s="7">
        <v>0</v>
      </c>
      <c r="F771" s="7">
        <v>0</v>
      </c>
      <c r="G771" s="7">
        <v>0</v>
      </c>
      <c r="H771" s="7">
        <v>0</v>
      </c>
      <c r="I771" s="7">
        <v>0</v>
      </c>
      <c r="J771" s="7">
        <v>0</v>
      </c>
      <c r="K771" s="7">
        <v>0</v>
      </c>
      <c r="L771" s="7">
        <v>0</v>
      </c>
      <c r="M771" s="7">
        <v>0</v>
      </c>
      <c r="N771" s="7">
        <v>0</v>
      </c>
      <c r="O771" s="7">
        <v>0</v>
      </c>
      <c r="P771" s="7">
        <v>0</v>
      </c>
      <c r="Q771" s="7">
        <v>0</v>
      </c>
      <c r="R771" s="7">
        <v>0</v>
      </c>
      <c r="S771" s="7">
        <v>0</v>
      </c>
    </row>
    <row r="772">
      <c r="A772" s="16" t="s">
        <v>384</v>
      </c>
      <c r="B772" s="2" t="s">
        <v>365</v>
      </c>
      <c r="C772" s="7">
        <v>0</v>
      </c>
      <c r="D772" s="7">
        <v>0</v>
      </c>
      <c r="E772" s="7">
        <v>0</v>
      </c>
      <c r="F772" s="7">
        <v>0</v>
      </c>
      <c r="G772" s="7">
        <v>0</v>
      </c>
      <c r="H772" s="7">
        <v>0</v>
      </c>
      <c r="I772" s="7">
        <v>0</v>
      </c>
      <c r="J772" s="7">
        <v>0</v>
      </c>
      <c r="K772" s="7">
        <v>0</v>
      </c>
      <c r="L772" s="7">
        <v>0</v>
      </c>
      <c r="M772" s="7">
        <v>0</v>
      </c>
      <c r="N772" s="7">
        <v>0</v>
      </c>
      <c r="O772" s="7">
        <v>0</v>
      </c>
      <c r="P772" s="7">
        <v>0</v>
      </c>
      <c r="Q772" s="7">
        <v>0</v>
      </c>
      <c r="R772" s="7">
        <v>0</v>
      </c>
      <c r="S772" s="7">
        <v>0</v>
      </c>
    </row>
    <row r="773">
      <c r="A773" s="16" t="s">
        <v>385</v>
      </c>
      <c r="B773" s="2" t="s">
        <v>365</v>
      </c>
      <c r="C773" s="7">
        <v>0</v>
      </c>
      <c r="D773" s="7">
        <v>0</v>
      </c>
      <c r="E773" s="7">
        <v>0</v>
      </c>
      <c r="F773" s="7">
        <v>0</v>
      </c>
      <c r="G773" s="7">
        <v>0</v>
      </c>
      <c r="H773" s="7">
        <v>0</v>
      </c>
      <c r="I773" s="7">
        <v>0</v>
      </c>
      <c r="J773" s="7">
        <v>0</v>
      </c>
      <c r="K773" s="7">
        <v>0</v>
      </c>
      <c r="L773" s="7">
        <v>0</v>
      </c>
      <c r="M773" s="7">
        <v>0</v>
      </c>
      <c r="N773" s="7">
        <v>0</v>
      </c>
      <c r="O773" s="7">
        <v>0</v>
      </c>
      <c r="P773" s="7">
        <v>0</v>
      </c>
      <c r="Q773" s="7">
        <v>0</v>
      </c>
      <c r="R773" s="7">
        <v>0</v>
      </c>
      <c r="S773" s="7">
        <v>0</v>
      </c>
    </row>
    <row r="774">
      <c r="A774" s="16" t="s">
        <v>386</v>
      </c>
      <c r="B774" s="2" t="s">
        <v>365</v>
      </c>
      <c r="C774" s="7">
        <v>0</v>
      </c>
      <c r="D774" s="7">
        <v>0</v>
      </c>
      <c r="E774" s="7">
        <v>0</v>
      </c>
      <c r="F774" s="7">
        <v>0</v>
      </c>
      <c r="G774" s="7">
        <v>0</v>
      </c>
      <c r="H774" s="7">
        <v>0</v>
      </c>
      <c r="I774" s="7">
        <v>0</v>
      </c>
      <c r="J774" s="7">
        <v>0</v>
      </c>
      <c r="K774" s="7">
        <v>0</v>
      </c>
      <c r="L774" s="7">
        <v>0</v>
      </c>
      <c r="M774" s="7">
        <v>0</v>
      </c>
      <c r="N774" s="7">
        <v>0</v>
      </c>
      <c r="O774" s="7">
        <v>0</v>
      </c>
      <c r="P774" s="7">
        <v>0</v>
      </c>
      <c r="Q774" s="7">
        <v>0</v>
      </c>
      <c r="R774" s="7">
        <v>0</v>
      </c>
      <c r="S774" s="7">
        <v>0</v>
      </c>
    </row>
    <row r="775">
      <c r="A775" s="16" t="s">
        <v>387</v>
      </c>
      <c r="B775" s="2" t="s">
        <v>365</v>
      </c>
      <c r="C775" s="7">
        <v>0</v>
      </c>
      <c r="D775" s="7">
        <v>0</v>
      </c>
      <c r="E775" s="7">
        <v>0</v>
      </c>
      <c r="F775" s="7">
        <v>0</v>
      </c>
      <c r="G775" s="7">
        <v>0</v>
      </c>
      <c r="H775" s="7">
        <v>0</v>
      </c>
      <c r="I775" s="7">
        <v>0</v>
      </c>
      <c r="J775" s="7">
        <v>0</v>
      </c>
      <c r="K775" s="7">
        <v>0</v>
      </c>
      <c r="L775" s="7">
        <v>0</v>
      </c>
      <c r="M775" s="7">
        <v>0</v>
      </c>
      <c r="N775" s="7">
        <v>0</v>
      </c>
      <c r="O775" s="7">
        <v>0</v>
      </c>
      <c r="P775" s="7">
        <v>0</v>
      </c>
      <c r="Q775" s="7">
        <v>0</v>
      </c>
      <c r="R775" s="7">
        <v>0</v>
      </c>
      <c r="S775" s="7">
        <v>0</v>
      </c>
    </row>
    <row r="776">
      <c r="A776" s="16" t="s">
        <v>388</v>
      </c>
      <c r="B776" s="2" t="s">
        <v>365</v>
      </c>
      <c r="C776" s="7">
        <v>0</v>
      </c>
      <c r="D776" s="7">
        <v>0</v>
      </c>
      <c r="E776" s="7">
        <v>0</v>
      </c>
      <c r="F776" s="7">
        <v>0</v>
      </c>
      <c r="G776" s="7">
        <v>0</v>
      </c>
      <c r="H776" s="7">
        <v>0</v>
      </c>
      <c r="I776" s="7">
        <v>0</v>
      </c>
      <c r="J776" s="7">
        <v>0</v>
      </c>
      <c r="K776" s="7">
        <v>0</v>
      </c>
      <c r="L776" s="7">
        <v>0</v>
      </c>
      <c r="M776" s="7">
        <v>0</v>
      </c>
      <c r="N776" s="7">
        <v>0</v>
      </c>
      <c r="O776" s="7">
        <v>0</v>
      </c>
      <c r="P776" s="7">
        <v>0</v>
      </c>
      <c r="Q776" s="7">
        <v>0</v>
      </c>
      <c r="R776" s="7">
        <v>0</v>
      </c>
      <c r="S776" s="7">
        <v>0</v>
      </c>
    </row>
    <row r="777">
      <c r="A777" s="16" t="s">
        <v>389</v>
      </c>
      <c r="B777" s="2" t="s">
        <v>365</v>
      </c>
      <c r="C777" s="7">
        <v>0</v>
      </c>
      <c r="D777" s="7">
        <v>0</v>
      </c>
      <c r="E777" s="7">
        <v>0</v>
      </c>
      <c r="F777" s="7">
        <v>0</v>
      </c>
      <c r="G777" s="7">
        <v>0</v>
      </c>
      <c r="H777" s="7">
        <v>0</v>
      </c>
      <c r="I777" s="7">
        <v>0</v>
      </c>
      <c r="J777" s="7">
        <v>0</v>
      </c>
      <c r="K777" s="7">
        <v>0</v>
      </c>
      <c r="L777" s="7">
        <v>0</v>
      </c>
      <c r="M777" s="7">
        <v>0</v>
      </c>
      <c r="N777" s="7">
        <v>0</v>
      </c>
      <c r="O777" s="7">
        <v>0</v>
      </c>
      <c r="P777" s="7">
        <v>0</v>
      </c>
      <c r="Q777" s="7">
        <v>0</v>
      </c>
      <c r="R777" s="7">
        <v>0</v>
      </c>
      <c r="S777" s="7">
        <v>0</v>
      </c>
    </row>
    <row r="778">
      <c r="A778" s="16" t="s">
        <v>390</v>
      </c>
      <c r="B778" s="2" t="s">
        <v>365</v>
      </c>
      <c r="C778" s="7">
        <v>0</v>
      </c>
      <c r="D778" s="7">
        <v>0</v>
      </c>
      <c r="E778" s="7">
        <v>0</v>
      </c>
      <c r="F778" s="7">
        <v>0</v>
      </c>
      <c r="G778" s="7">
        <v>0</v>
      </c>
      <c r="H778" s="7">
        <v>0</v>
      </c>
      <c r="I778" s="7">
        <v>0</v>
      </c>
      <c r="J778" s="7">
        <v>0</v>
      </c>
      <c r="K778" s="7">
        <v>0</v>
      </c>
      <c r="L778" s="7">
        <v>0</v>
      </c>
      <c r="M778" s="7">
        <v>0</v>
      </c>
      <c r="N778" s="7">
        <v>0</v>
      </c>
      <c r="O778" s="7">
        <v>0</v>
      </c>
      <c r="P778" s="7">
        <v>0</v>
      </c>
      <c r="Q778" s="7">
        <v>0</v>
      </c>
      <c r="R778" s="7">
        <v>0</v>
      </c>
      <c r="S778" s="7">
        <v>0</v>
      </c>
    </row>
    <row r="779">
      <c r="A779" s="16" t="s">
        <v>391</v>
      </c>
      <c r="B779" s="2" t="s">
        <v>365</v>
      </c>
      <c r="C779" s="7">
        <v>0</v>
      </c>
      <c r="D779" s="7">
        <v>0</v>
      </c>
      <c r="E779" s="7">
        <v>0</v>
      </c>
      <c r="F779" s="7">
        <v>0</v>
      </c>
      <c r="G779" s="7">
        <v>0</v>
      </c>
      <c r="H779" s="7">
        <v>0</v>
      </c>
      <c r="I779" s="7">
        <v>0</v>
      </c>
      <c r="J779" s="7">
        <v>0</v>
      </c>
      <c r="K779" s="7">
        <v>0</v>
      </c>
      <c r="L779" s="7">
        <v>0</v>
      </c>
      <c r="M779" s="7">
        <v>0</v>
      </c>
      <c r="N779" s="7">
        <v>0</v>
      </c>
      <c r="O779" s="7">
        <v>0</v>
      </c>
      <c r="P779" s="7">
        <v>0</v>
      </c>
      <c r="Q779" s="7">
        <v>0</v>
      </c>
      <c r="R779" s="7">
        <v>0</v>
      </c>
      <c r="S779" s="7">
        <v>0</v>
      </c>
    </row>
    <row r="780">
      <c r="A780" s="16" t="s">
        <v>392</v>
      </c>
      <c r="B780" s="2" t="s">
        <v>365</v>
      </c>
      <c r="C780" s="7">
        <v>0</v>
      </c>
      <c r="D780" s="7">
        <v>0</v>
      </c>
      <c r="E780" s="7">
        <v>0</v>
      </c>
      <c r="F780" s="7">
        <v>0</v>
      </c>
      <c r="G780" s="7">
        <v>0</v>
      </c>
      <c r="H780" s="7">
        <v>0</v>
      </c>
      <c r="I780" s="7">
        <v>0</v>
      </c>
      <c r="J780" s="7">
        <v>0</v>
      </c>
      <c r="K780" s="7">
        <v>0</v>
      </c>
      <c r="L780" s="7">
        <v>0</v>
      </c>
      <c r="M780" s="7">
        <v>0</v>
      </c>
      <c r="N780" s="7">
        <v>0</v>
      </c>
      <c r="O780" s="7">
        <v>0</v>
      </c>
      <c r="P780" s="7">
        <v>0</v>
      </c>
      <c r="Q780" s="7">
        <v>0</v>
      </c>
      <c r="R780" s="7">
        <v>0</v>
      </c>
      <c r="S780" s="7">
        <v>0</v>
      </c>
    </row>
    <row r="781">
      <c r="A781" s="16" t="s">
        <v>393</v>
      </c>
      <c r="B781" s="2" t="s">
        <v>365</v>
      </c>
      <c r="C781" s="7">
        <v>0</v>
      </c>
      <c r="D781" s="7">
        <v>0</v>
      </c>
      <c r="E781" s="7">
        <v>0</v>
      </c>
      <c r="F781" s="7">
        <v>0</v>
      </c>
      <c r="G781" s="7">
        <v>0</v>
      </c>
      <c r="H781" s="7">
        <v>0</v>
      </c>
      <c r="I781" s="7">
        <v>0</v>
      </c>
      <c r="J781" s="7">
        <v>0</v>
      </c>
      <c r="K781" s="7">
        <v>0</v>
      </c>
      <c r="L781" s="7">
        <v>0</v>
      </c>
      <c r="M781" s="7">
        <v>0</v>
      </c>
      <c r="N781" s="7">
        <v>0</v>
      </c>
      <c r="O781" s="7">
        <v>0</v>
      </c>
      <c r="P781" s="7">
        <v>0</v>
      </c>
      <c r="Q781" s="7">
        <v>0</v>
      </c>
      <c r="R781" s="7">
        <v>0</v>
      </c>
      <c r="S781" s="7">
        <v>0</v>
      </c>
    </row>
    <row r="782">
      <c r="A782" s="16" t="s">
        <v>394</v>
      </c>
      <c r="B782" s="2" t="s">
        <v>365</v>
      </c>
      <c r="C782" s="7">
        <v>0</v>
      </c>
      <c r="D782" s="7">
        <v>0</v>
      </c>
      <c r="E782" s="7">
        <v>0</v>
      </c>
      <c r="F782" s="7">
        <v>0</v>
      </c>
      <c r="G782" s="7">
        <v>0</v>
      </c>
      <c r="H782" s="7">
        <v>0</v>
      </c>
      <c r="I782" s="7">
        <v>0</v>
      </c>
      <c r="J782" s="7">
        <v>0</v>
      </c>
      <c r="K782" s="7">
        <v>0</v>
      </c>
      <c r="L782" s="7">
        <v>0</v>
      </c>
      <c r="M782" s="7">
        <v>0</v>
      </c>
      <c r="N782" s="7">
        <v>0</v>
      </c>
      <c r="O782" s="7">
        <v>0</v>
      </c>
      <c r="P782" s="7">
        <v>0</v>
      </c>
      <c r="Q782" s="7">
        <v>0</v>
      </c>
      <c r="R782" s="7">
        <v>0</v>
      </c>
      <c r="S782" s="7">
        <v>0</v>
      </c>
    </row>
    <row r="783">
      <c r="A783" s="16" t="s">
        <v>395</v>
      </c>
      <c r="B783" s="2" t="s">
        <v>365</v>
      </c>
      <c r="C783" s="7">
        <v>0</v>
      </c>
      <c r="D783" s="7">
        <v>0</v>
      </c>
      <c r="E783" s="7">
        <v>0</v>
      </c>
      <c r="F783" s="7">
        <v>0</v>
      </c>
      <c r="G783" s="7">
        <v>0</v>
      </c>
      <c r="H783" s="7">
        <v>0</v>
      </c>
      <c r="I783" s="7">
        <v>0</v>
      </c>
      <c r="J783" s="7">
        <v>0</v>
      </c>
      <c r="K783" s="7">
        <v>0</v>
      </c>
      <c r="L783" s="7">
        <v>0</v>
      </c>
      <c r="M783" s="7">
        <v>0</v>
      </c>
      <c r="N783" s="7">
        <v>0</v>
      </c>
      <c r="O783" s="7">
        <v>0</v>
      </c>
      <c r="P783" s="7">
        <v>0</v>
      </c>
      <c r="Q783" s="7">
        <v>0</v>
      </c>
      <c r="R783" s="7">
        <v>0</v>
      </c>
      <c r="S783" s="7">
        <v>0</v>
      </c>
    </row>
    <row r="784">
      <c r="A784" s="16" t="s">
        <v>396</v>
      </c>
      <c r="B784" s="2" t="s">
        <v>365</v>
      </c>
      <c r="C784" s="7">
        <v>0</v>
      </c>
      <c r="D784" s="7">
        <v>0</v>
      </c>
      <c r="E784" s="7">
        <v>0</v>
      </c>
      <c r="F784" s="7">
        <v>0</v>
      </c>
      <c r="G784" s="7">
        <v>0</v>
      </c>
      <c r="H784" s="7">
        <v>0</v>
      </c>
      <c r="I784" s="7">
        <v>0</v>
      </c>
      <c r="J784" s="7">
        <v>0</v>
      </c>
      <c r="K784" s="7">
        <v>0</v>
      </c>
      <c r="L784" s="7">
        <v>0</v>
      </c>
      <c r="M784" s="7">
        <v>0</v>
      </c>
      <c r="N784" s="7">
        <v>0</v>
      </c>
      <c r="O784" s="7">
        <v>0</v>
      </c>
      <c r="P784" s="7">
        <v>0</v>
      </c>
      <c r="Q784" s="7">
        <v>0</v>
      </c>
      <c r="R784" s="7">
        <v>0</v>
      </c>
      <c r="S784" s="7">
        <v>0</v>
      </c>
    </row>
    <row r="785">
      <c r="A785" s="16" t="s">
        <v>397</v>
      </c>
      <c r="B785" s="2" t="s">
        <v>365</v>
      </c>
      <c r="C785" s="7">
        <v>0</v>
      </c>
      <c r="D785" s="7">
        <v>0</v>
      </c>
      <c r="E785" s="7">
        <v>0</v>
      </c>
      <c r="F785" s="7">
        <v>0</v>
      </c>
      <c r="G785" s="7">
        <v>0</v>
      </c>
      <c r="H785" s="7">
        <v>0</v>
      </c>
      <c r="I785" s="7">
        <v>0</v>
      </c>
      <c r="J785" s="7">
        <v>0</v>
      </c>
      <c r="K785" s="7">
        <v>0</v>
      </c>
      <c r="L785" s="7">
        <v>0</v>
      </c>
      <c r="M785" s="7">
        <v>0</v>
      </c>
      <c r="N785" s="7">
        <v>0</v>
      </c>
      <c r="O785" s="7">
        <v>0</v>
      </c>
      <c r="P785" s="7">
        <v>0</v>
      </c>
      <c r="Q785" s="7">
        <v>0</v>
      </c>
      <c r="R785" s="7">
        <v>0</v>
      </c>
      <c r="S785" s="7">
        <v>0</v>
      </c>
    </row>
    <row r="786">
      <c r="A786" s="16" t="s">
        <v>398</v>
      </c>
      <c r="B786" s="2" t="s">
        <v>365</v>
      </c>
      <c r="C786" s="7">
        <v>0</v>
      </c>
      <c r="D786" s="7">
        <v>0</v>
      </c>
      <c r="E786" s="7">
        <v>0</v>
      </c>
      <c r="F786" s="7">
        <v>0</v>
      </c>
      <c r="G786" s="7">
        <v>0</v>
      </c>
      <c r="H786" s="7">
        <v>0</v>
      </c>
      <c r="I786" s="7">
        <v>0</v>
      </c>
      <c r="J786" s="7">
        <v>0</v>
      </c>
      <c r="K786" s="7">
        <v>0</v>
      </c>
      <c r="L786" s="7">
        <v>0</v>
      </c>
      <c r="M786" s="7">
        <v>0</v>
      </c>
      <c r="N786" s="7">
        <v>0</v>
      </c>
      <c r="O786" s="7">
        <v>0</v>
      </c>
      <c r="P786" s="7">
        <v>0</v>
      </c>
      <c r="Q786" s="7">
        <v>0</v>
      </c>
      <c r="R786" s="7">
        <v>0</v>
      </c>
      <c r="S786" s="7">
        <v>0</v>
      </c>
    </row>
    <row r="787">
      <c r="A787" s="16" t="s">
        <v>399</v>
      </c>
      <c r="B787" s="2" t="s">
        <v>365</v>
      </c>
      <c r="C787" s="7">
        <v>0</v>
      </c>
      <c r="D787" s="7">
        <v>0</v>
      </c>
      <c r="E787" s="7">
        <v>0</v>
      </c>
      <c r="F787" s="7">
        <v>0</v>
      </c>
      <c r="G787" s="7">
        <v>0</v>
      </c>
      <c r="H787" s="7">
        <v>0</v>
      </c>
      <c r="I787" s="7">
        <v>0</v>
      </c>
      <c r="J787" s="7">
        <v>0</v>
      </c>
      <c r="K787" s="7">
        <v>0</v>
      </c>
      <c r="L787" s="7">
        <v>0</v>
      </c>
      <c r="M787" s="7">
        <v>0</v>
      </c>
      <c r="N787" s="7">
        <v>0</v>
      </c>
      <c r="O787" s="7">
        <v>0</v>
      </c>
      <c r="P787" s="7">
        <v>0</v>
      </c>
      <c r="Q787" s="7">
        <v>0</v>
      </c>
      <c r="R787" s="7">
        <v>0</v>
      </c>
      <c r="S787" s="7">
        <v>0</v>
      </c>
    </row>
    <row r="788">
      <c r="A788" s="16" t="s">
        <v>400</v>
      </c>
      <c r="B788" s="2" t="s">
        <v>365</v>
      </c>
      <c r="C788" s="7">
        <v>0</v>
      </c>
      <c r="D788" s="7">
        <v>0</v>
      </c>
      <c r="E788" s="7">
        <v>0</v>
      </c>
      <c r="F788" s="7">
        <v>0</v>
      </c>
      <c r="G788" s="7">
        <v>0</v>
      </c>
      <c r="H788" s="7">
        <v>0</v>
      </c>
      <c r="I788" s="7">
        <v>0</v>
      </c>
      <c r="J788" s="7">
        <v>0</v>
      </c>
      <c r="K788" s="7">
        <v>0</v>
      </c>
      <c r="L788" s="7">
        <v>0</v>
      </c>
      <c r="M788" s="7">
        <v>0</v>
      </c>
      <c r="N788" s="7">
        <v>0</v>
      </c>
      <c r="O788" s="7">
        <v>0</v>
      </c>
      <c r="P788" s="7">
        <v>0</v>
      </c>
      <c r="Q788" s="7">
        <v>0</v>
      </c>
      <c r="R788" s="7">
        <v>0</v>
      </c>
      <c r="S788" s="7">
        <v>0</v>
      </c>
    </row>
    <row r="789">
      <c r="A789" s="16" t="s">
        <v>401</v>
      </c>
      <c r="B789" s="2" t="s">
        <v>365</v>
      </c>
      <c r="C789" s="7">
        <v>0</v>
      </c>
      <c r="D789" s="7">
        <v>0</v>
      </c>
      <c r="E789" s="7">
        <v>0</v>
      </c>
      <c r="F789" s="7">
        <v>0</v>
      </c>
      <c r="G789" s="7">
        <v>0</v>
      </c>
      <c r="H789" s="7">
        <v>0</v>
      </c>
      <c r="I789" s="7">
        <v>0</v>
      </c>
      <c r="J789" s="7">
        <v>0</v>
      </c>
      <c r="K789" s="7">
        <v>0</v>
      </c>
      <c r="L789" s="7">
        <v>0</v>
      </c>
      <c r="M789" s="7">
        <v>0</v>
      </c>
      <c r="N789" s="7">
        <v>0</v>
      </c>
      <c r="O789" s="7">
        <v>0</v>
      </c>
      <c r="P789" s="7">
        <v>0</v>
      </c>
      <c r="Q789" s="7">
        <v>0</v>
      </c>
      <c r="R789" s="7">
        <v>0</v>
      </c>
      <c r="S789" s="7">
        <v>0</v>
      </c>
    </row>
    <row r="790">
      <c r="A790" s="16" t="s">
        <v>402</v>
      </c>
      <c r="B790" s="2" t="s">
        <v>365</v>
      </c>
      <c r="C790" s="7">
        <v>0</v>
      </c>
      <c r="D790" s="7">
        <v>0</v>
      </c>
      <c r="E790" s="7">
        <v>0</v>
      </c>
      <c r="F790" s="7">
        <v>0</v>
      </c>
      <c r="G790" s="7">
        <v>0</v>
      </c>
      <c r="H790" s="7">
        <v>0</v>
      </c>
      <c r="I790" s="7">
        <v>0</v>
      </c>
      <c r="J790" s="7">
        <v>0</v>
      </c>
      <c r="K790" s="7">
        <v>0</v>
      </c>
      <c r="L790" s="7">
        <v>0</v>
      </c>
      <c r="M790" s="7">
        <v>0</v>
      </c>
      <c r="N790" s="7">
        <v>0</v>
      </c>
      <c r="O790" s="7">
        <v>0</v>
      </c>
      <c r="P790" s="7">
        <v>0</v>
      </c>
      <c r="Q790" s="7">
        <v>0</v>
      </c>
      <c r="R790" s="7">
        <v>0</v>
      </c>
      <c r="S790" s="7">
        <v>0</v>
      </c>
    </row>
    <row r="791">
      <c r="A791" s="16" t="s">
        <v>403</v>
      </c>
      <c r="B791" s="2" t="s">
        <v>365</v>
      </c>
      <c r="C791" s="7">
        <v>0</v>
      </c>
      <c r="D791" s="7">
        <v>0</v>
      </c>
      <c r="E791" s="7">
        <v>0</v>
      </c>
      <c r="F791" s="7">
        <v>0</v>
      </c>
      <c r="G791" s="7">
        <v>0</v>
      </c>
      <c r="H791" s="7">
        <v>0</v>
      </c>
      <c r="I791" s="7">
        <v>0</v>
      </c>
      <c r="J791" s="7">
        <v>0</v>
      </c>
      <c r="K791" s="7">
        <v>0</v>
      </c>
      <c r="L791" s="7">
        <v>0</v>
      </c>
      <c r="M791" s="7">
        <v>0</v>
      </c>
      <c r="N791" s="7">
        <v>0</v>
      </c>
      <c r="O791" s="7">
        <v>0</v>
      </c>
      <c r="P791" s="7">
        <v>0</v>
      </c>
      <c r="Q791" s="7">
        <v>0</v>
      </c>
      <c r="R791" s="7">
        <v>0</v>
      </c>
      <c r="S791" s="7">
        <v>0</v>
      </c>
    </row>
    <row r="792">
      <c r="A792" s="16" t="s">
        <v>404</v>
      </c>
      <c r="B792" s="2" t="s">
        <v>365</v>
      </c>
      <c r="C792" s="7">
        <v>0</v>
      </c>
      <c r="D792" s="7">
        <v>0</v>
      </c>
      <c r="E792" s="7">
        <v>0</v>
      </c>
      <c r="F792" s="7">
        <v>0</v>
      </c>
      <c r="G792" s="7">
        <v>0</v>
      </c>
      <c r="H792" s="7">
        <v>0</v>
      </c>
      <c r="I792" s="7">
        <v>0</v>
      </c>
      <c r="J792" s="7">
        <v>0</v>
      </c>
      <c r="K792" s="7">
        <v>0</v>
      </c>
      <c r="L792" s="7">
        <v>0</v>
      </c>
      <c r="M792" s="7">
        <v>0</v>
      </c>
      <c r="N792" s="7">
        <v>0</v>
      </c>
      <c r="O792" s="7">
        <v>0</v>
      </c>
      <c r="P792" s="7">
        <v>0</v>
      </c>
      <c r="Q792" s="7">
        <v>0</v>
      </c>
      <c r="R792" s="7">
        <v>0</v>
      </c>
      <c r="S792" s="7">
        <v>0</v>
      </c>
    </row>
    <row r="793">
      <c r="A793" s="16" t="s">
        <v>405</v>
      </c>
      <c r="B793" s="2" t="s">
        <v>365</v>
      </c>
      <c r="C793" s="7">
        <v>0</v>
      </c>
      <c r="D793" s="7">
        <v>0</v>
      </c>
      <c r="E793" s="7">
        <v>0</v>
      </c>
      <c r="F793" s="7">
        <v>0</v>
      </c>
      <c r="G793" s="7">
        <v>0</v>
      </c>
      <c r="H793" s="7">
        <v>0</v>
      </c>
      <c r="I793" s="7">
        <v>0</v>
      </c>
      <c r="J793" s="7">
        <v>0</v>
      </c>
      <c r="K793" s="7">
        <v>0</v>
      </c>
      <c r="L793" s="7">
        <v>0</v>
      </c>
      <c r="M793" s="7">
        <v>0</v>
      </c>
      <c r="N793" s="7">
        <v>0</v>
      </c>
      <c r="O793" s="7">
        <v>0</v>
      </c>
      <c r="P793" s="7">
        <v>0</v>
      </c>
      <c r="Q793" s="7">
        <v>0</v>
      </c>
      <c r="R793" s="7">
        <v>0</v>
      </c>
      <c r="S793" s="7">
        <v>0</v>
      </c>
    </row>
    <row r="794">
      <c r="A794" s="16" t="s">
        <v>406</v>
      </c>
      <c r="B794" s="2" t="s">
        <v>365</v>
      </c>
      <c r="C794" s="7">
        <v>0</v>
      </c>
      <c r="D794" s="7">
        <v>0</v>
      </c>
      <c r="E794" s="7">
        <v>0</v>
      </c>
      <c r="F794" s="7">
        <v>0</v>
      </c>
      <c r="G794" s="7">
        <v>0</v>
      </c>
      <c r="H794" s="7">
        <v>0</v>
      </c>
      <c r="I794" s="7">
        <v>0</v>
      </c>
      <c r="J794" s="7">
        <v>0</v>
      </c>
      <c r="K794" s="7">
        <v>0</v>
      </c>
      <c r="L794" s="7">
        <v>0</v>
      </c>
      <c r="M794" s="7">
        <v>0</v>
      </c>
      <c r="N794" s="7">
        <v>0</v>
      </c>
      <c r="O794" s="7">
        <v>0</v>
      </c>
      <c r="P794" s="7">
        <v>0</v>
      </c>
      <c r="Q794" s="7">
        <v>0</v>
      </c>
      <c r="R794" s="7">
        <v>0</v>
      </c>
      <c r="S794" s="7">
        <v>0</v>
      </c>
    </row>
    <row r="795">
      <c r="A795" s="16" t="s">
        <v>407</v>
      </c>
      <c r="B795" s="2" t="s">
        <v>365</v>
      </c>
      <c r="C795" s="7">
        <v>0</v>
      </c>
      <c r="D795" s="7">
        <v>0</v>
      </c>
      <c r="E795" s="7">
        <v>0</v>
      </c>
      <c r="F795" s="7">
        <v>0</v>
      </c>
      <c r="G795" s="7">
        <v>0</v>
      </c>
      <c r="H795" s="7">
        <v>0</v>
      </c>
      <c r="I795" s="7">
        <v>0</v>
      </c>
      <c r="J795" s="7">
        <v>0</v>
      </c>
      <c r="K795" s="7">
        <v>0</v>
      </c>
      <c r="L795" s="7">
        <v>0</v>
      </c>
      <c r="M795" s="7">
        <v>0</v>
      </c>
      <c r="N795" s="7">
        <v>0</v>
      </c>
      <c r="O795" s="7">
        <v>0</v>
      </c>
      <c r="P795" s="7">
        <v>0</v>
      </c>
      <c r="Q795" s="7">
        <v>0</v>
      </c>
      <c r="R795" s="7">
        <v>0</v>
      </c>
      <c r="S795" s="7">
        <v>0</v>
      </c>
    </row>
    <row r="796">
      <c r="A796" s="16" t="s">
        <v>408</v>
      </c>
      <c r="B796" s="2" t="s">
        <v>365</v>
      </c>
      <c r="C796" s="7">
        <v>0</v>
      </c>
      <c r="D796" s="7">
        <v>0</v>
      </c>
      <c r="E796" s="7">
        <v>0</v>
      </c>
      <c r="F796" s="7">
        <v>0</v>
      </c>
      <c r="G796" s="7">
        <v>0</v>
      </c>
      <c r="H796" s="7">
        <v>0</v>
      </c>
      <c r="I796" s="7">
        <v>0</v>
      </c>
      <c r="J796" s="7">
        <v>0</v>
      </c>
      <c r="K796" s="7">
        <v>0</v>
      </c>
      <c r="L796" s="7">
        <v>0</v>
      </c>
      <c r="M796" s="7">
        <v>0</v>
      </c>
      <c r="N796" s="7">
        <v>0</v>
      </c>
      <c r="O796" s="7">
        <v>0</v>
      </c>
      <c r="P796" s="7">
        <v>0</v>
      </c>
      <c r="Q796" s="7">
        <v>0</v>
      </c>
      <c r="R796" s="7">
        <v>0</v>
      </c>
      <c r="S796" s="7">
        <v>0</v>
      </c>
    </row>
    <row r="797">
      <c r="A797" s="16" t="s">
        <v>409</v>
      </c>
      <c r="B797" s="2" t="s">
        <v>365</v>
      </c>
      <c r="C797" s="7">
        <v>0</v>
      </c>
      <c r="D797" s="7">
        <v>0</v>
      </c>
      <c r="E797" s="7">
        <v>0</v>
      </c>
      <c r="F797" s="7">
        <v>0</v>
      </c>
      <c r="G797" s="7">
        <v>0</v>
      </c>
      <c r="H797" s="7">
        <v>0</v>
      </c>
      <c r="I797" s="7">
        <v>0</v>
      </c>
      <c r="J797" s="7">
        <v>0</v>
      </c>
      <c r="K797" s="7">
        <v>0</v>
      </c>
      <c r="L797" s="7">
        <v>0</v>
      </c>
      <c r="M797" s="7">
        <v>0</v>
      </c>
      <c r="N797" s="7">
        <v>0</v>
      </c>
      <c r="O797" s="7">
        <v>0</v>
      </c>
      <c r="P797" s="7">
        <v>0</v>
      </c>
      <c r="Q797" s="7">
        <v>0</v>
      </c>
      <c r="R797" s="7">
        <v>0</v>
      </c>
      <c r="S797" s="7">
        <v>0</v>
      </c>
    </row>
    <row r="798">
      <c r="A798" s="16" t="s">
        <v>410</v>
      </c>
      <c r="B798" s="2" t="s">
        <v>365</v>
      </c>
      <c r="C798" s="7">
        <v>0</v>
      </c>
      <c r="D798" s="7">
        <v>0</v>
      </c>
      <c r="E798" s="7">
        <v>0</v>
      </c>
      <c r="F798" s="7">
        <v>0</v>
      </c>
      <c r="G798" s="7">
        <v>0</v>
      </c>
      <c r="H798" s="7">
        <v>0</v>
      </c>
      <c r="I798" s="7">
        <v>0</v>
      </c>
      <c r="J798" s="7">
        <v>0</v>
      </c>
      <c r="K798" s="7">
        <v>0</v>
      </c>
      <c r="L798" s="7">
        <v>0</v>
      </c>
      <c r="M798" s="7">
        <v>0</v>
      </c>
      <c r="N798" s="7">
        <v>0</v>
      </c>
      <c r="O798" s="7">
        <v>0</v>
      </c>
      <c r="P798" s="7">
        <v>0</v>
      </c>
      <c r="Q798" s="7">
        <v>0</v>
      </c>
      <c r="R798" s="7">
        <v>0</v>
      </c>
      <c r="S798" s="7">
        <v>0</v>
      </c>
    </row>
    <row r="799">
      <c r="A799" s="17" t="s">
        <v>411</v>
      </c>
      <c r="C799" s="19">
        <f>SUM(C706:C752)</f>
        <v>13230</v>
      </c>
      <c r="D799" s="19">
        <f>SUM(D706:D752)</f>
        <v>13208</v>
      </c>
      <c r="E799" s="19">
        <f>SUM(E706:E752)</f>
        <v>21540</v>
      </c>
      <c r="F799" s="19">
        <f>SUM(F706:F752)</f>
        <v>25684</v>
      </c>
      <c r="G799" s="19">
        <f>SUM(G706:G752)</f>
        <v>27557</v>
      </c>
      <c r="H799" s="19">
        <f>SUM(H706:H752)</f>
        <v>19366</v>
      </c>
      <c r="I799" s="19">
        <f>SUM(I706:I752)</f>
        <v>19248</v>
      </c>
      <c r="J799" s="19">
        <f>SUM(J706:J752)</f>
        <v>15657</v>
      </c>
      <c r="K799" s="19">
        <f>SUM(K706:K752)</f>
        <v>19397</v>
      </c>
      <c r="L799" s="19">
        <f>SUM(L706:L752)</f>
        <v>17873</v>
      </c>
      <c r="M799" s="19">
        <f>SUM(M706:M752)</f>
        <v>21034</v>
      </c>
      <c r="N799" s="19">
        <f>SUM(N706:N752)</f>
        <v>15042</v>
      </c>
      <c r="O799" s="19">
        <f>SUM(O706:O752)</f>
        <v>15104</v>
      </c>
      <c r="P799" s="19">
        <f>SUM(P706:P752)</f>
        <v>12069</v>
      </c>
      <c r="Q799" s="19">
        <f>SUM(Q706:Q752)</f>
        <v>11572</v>
      </c>
      <c r="R799" s="19">
        <f>SUM(R706:R752)</f>
        <v>14670</v>
      </c>
      <c r="S799" s="19">
        <f>SUM(S706:S752)</f>
        <v>14683</v>
      </c>
    </row>
    <row r="800">
      <c r="A800" s="17" t="s">
        <v>412</v>
      </c>
      <c r="C800" s="19">
        <f>SUM(C753:C798)</f>
        <v>15410</v>
      </c>
      <c r="D800" s="19">
        <f>SUM(D753:D798)</f>
        <v>12540</v>
      </c>
      <c r="E800" s="19">
        <f>SUM(E753:E798)</f>
        <v>13825</v>
      </c>
      <c r="F800" s="19">
        <f>SUM(F753:F798)</f>
        <v>15500</v>
      </c>
      <c r="G800" s="19">
        <f>SUM(G753:G798)</f>
        <v>15575</v>
      </c>
      <c r="H800" s="19">
        <f>SUM(H753:H798)</f>
        <v>15585</v>
      </c>
      <c r="I800" s="19">
        <f>SUM(I753:I798)</f>
        <v>17205</v>
      </c>
      <c r="J800" s="19">
        <f>SUM(J753:J798)</f>
        <v>16294</v>
      </c>
      <c r="K800" s="19">
        <f>SUM(K753:K798)</f>
        <v>17549</v>
      </c>
      <c r="L800" s="19">
        <f>SUM(L753:L798)</f>
        <v>17935</v>
      </c>
      <c r="M800" s="19">
        <f>SUM(M753:M798)</f>
        <v>16460</v>
      </c>
      <c r="N800" s="19">
        <f>SUM(N753:N798)</f>
        <v>16898</v>
      </c>
      <c r="O800" s="19">
        <f>SUM(O753:O798)</f>
        <v>11830</v>
      </c>
      <c r="P800" s="19">
        <f>SUM(P753:P798)</f>
        <v>11052</v>
      </c>
      <c r="Q800" s="19">
        <f>SUM(Q753:Q798)</f>
        <v>10438</v>
      </c>
      <c r="R800" s="19">
        <f>SUM(R753:R798)</f>
        <v>9700</v>
      </c>
      <c r="S800" s="19">
        <f>SUM(S753:S798)</f>
        <v>11600</v>
      </c>
    </row>
    <row r="801">
      <c r="A801" s="17" t="s">
        <v>112</v>
      </c>
      <c r="C801" s="20">
        <f>C799+C800</f>
        <v>28640</v>
      </c>
      <c r="D801" s="20">
        <f>D799+D800</f>
        <v>25748</v>
      </c>
      <c r="E801" s="20">
        <f>E799+E800</f>
        <v>35365</v>
      </c>
      <c r="F801" s="20">
        <f>F799+F800</f>
        <v>41184</v>
      </c>
      <c r="G801" s="20">
        <f>G799+G800</f>
        <v>43132</v>
      </c>
      <c r="H801" s="20">
        <f>H799+H800</f>
        <v>34951</v>
      </c>
      <c r="I801" s="20">
        <f>I799+I800</f>
        <v>36453</v>
      </c>
      <c r="J801" s="20">
        <f>J799+J800</f>
        <v>31951</v>
      </c>
      <c r="K801" s="20">
        <f>K799+K800</f>
        <v>36946</v>
      </c>
      <c r="L801" s="20">
        <f>L799+L800</f>
        <v>35808</v>
      </c>
      <c r="M801" s="20">
        <f>M799+M800</f>
        <v>37494</v>
      </c>
      <c r="N801" s="20">
        <f>N799+N800</f>
        <v>31940</v>
      </c>
      <c r="O801" s="20">
        <f>O799+O800</f>
        <v>26934</v>
      </c>
      <c r="P801" s="20">
        <f>P799+P800</f>
        <v>23121</v>
      </c>
      <c r="Q801" s="20">
        <f>Q799+Q800</f>
        <v>22010</v>
      </c>
      <c r="R801" s="20">
        <f>R799+R800</f>
        <v>24370</v>
      </c>
      <c r="S801" s="20">
        <f>S799+S800</f>
        <v>26283</v>
      </c>
    </row>
    <row r="805">
      <c r="A805" s="4" t="s">
        <v>420</v>
      </c>
      <c r="B805" s="3" t="s">
        <v>320</v>
      </c>
      <c r="C805" s="3" t="s">
        <v>35</v>
      </c>
      <c r="D805" s="3" t="s">
        <v>36</v>
      </c>
      <c r="E805" s="3" t="s">
        <v>37</v>
      </c>
      <c r="F805" s="3" t="s">
        <v>38</v>
      </c>
      <c r="G805" s="3" t="s">
        <v>39</v>
      </c>
      <c r="H805" s="3" t="s">
        <v>40</v>
      </c>
      <c r="I805" s="3" t="s">
        <v>41</v>
      </c>
      <c r="J805" s="3" t="s">
        <v>42</v>
      </c>
      <c r="K805" s="3" t="s">
        <v>43</v>
      </c>
      <c r="L805" s="3" t="s">
        <v>44</v>
      </c>
      <c r="M805" s="3" t="s">
        <v>45</v>
      </c>
      <c r="N805" s="3" t="s">
        <v>46</v>
      </c>
      <c r="O805" s="3" t="s">
        <v>47</v>
      </c>
      <c r="P805" s="3" t="s">
        <v>48</v>
      </c>
      <c r="Q805" s="3" t="s">
        <v>49</v>
      </c>
      <c r="R805" s="3" t="s">
        <v>50</v>
      </c>
      <c r="S805" s="3" t="s">
        <v>110</v>
      </c>
    </row>
    <row r="806">
      <c r="A806" s="16" t="s">
        <v>321</v>
      </c>
      <c r="B806" s="2" t="s">
        <v>322</v>
      </c>
      <c r="C806" s="8">
        <f>IF(C6&gt;0,C106/C6,0)</f>
        <v>0.7669724770642202</v>
      </c>
      <c r="D806" s="8">
        <f>IF(D6&gt;0,D106/D6,0)</f>
        <v>0.7052845528455285</v>
      </c>
      <c r="E806" s="8">
        <f>IF(E6&gt;0,E106/E6,0)</f>
        <v>0.7309027777777778</v>
      </c>
      <c r="F806" s="8">
        <f>IF(F6&gt;0,F106/F6,0)</f>
        <v>0.7307692307692307</v>
      </c>
      <c r="G806" s="8">
        <f>IF(G6&gt;0,G106/G6,0)</f>
        <v>0.6869244935543278</v>
      </c>
      <c r="H806" s="8">
        <f>IF(H6&gt;0,H106/H6,0)</f>
        <v>0.7307692307692307</v>
      </c>
      <c r="I806" s="8">
        <f>IF(I6&gt;0,I106/I6,0)</f>
        <v>0.8128342245989305</v>
      </c>
      <c r="J806" s="8">
        <f>IF(J6&gt;0,J106/J6,0)</f>
        <v>0.7581573896353166</v>
      </c>
      <c r="K806" s="8">
        <f>IF(K6&gt;0,K106/K6,0)</f>
        <v>0.7473684210526316</v>
      </c>
      <c r="L806" s="8">
        <f>IF(L6&gt;0,L106/L6,0)</f>
        <v>0.6942148760330579</v>
      </c>
      <c r="M806" s="8">
        <f>IF(M6&gt;0,M106/M6,0)</f>
        <v>0.7110157367668097</v>
      </c>
      <c r="N806" s="8">
        <f>IF(N6&gt;0,N106/N6,0)</f>
        <v>0.6265060240963856</v>
      </c>
      <c r="O806" s="8">
        <f>IF(O6&gt;0,O106/O6,0)</f>
        <v>0.6357827476038339</v>
      </c>
      <c r="P806" s="8">
        <f>IF(P6&gt;0,P106/P6,0)</f>
        <v>0.6772247360482655</v>
      </c>
      <c r="Q806" s="8">
        <f>IF(Q6&gt;0,Q106/Q6,0)</f>
        <v>0.6793893129770993</v>
      </c>
      <c r="R806" s="8">
        <f>IF(R6&gt;0,R106/R6,0)</f>
        <v>0.6031746031746031</v>
      </c>
      <c r="S806" s="8">
        <f>IF(S6&gt;0,S106/S6,0)</f>
        <v>0.6606397774687065</v>
      </c>
    </row>
    <row r="807">
      <c r="A807" s="16" t="s">
        <v>125</v>
      </c>
      <c r="B807" s="2" t="s">
        <v>322</v>
      </c>
      <c r="C807" s="8">
        <f>IF(C7&gt;0,C107/C7,0)</f>
        <v>0.03347926860674736</v>
      </c>
      <c r="D807" s="8">
        <f>IF(D7&gt;0,D107/D7,0)</f>
        <v>0.03076923076923077</v>
      </c>
      <c r="E807" s="8">
        <f>IF(E7&gt;0,E107/E7,0)</f>
        <v>0.033962264150943396</v>
      </c>
      <c r="F807" s="8">
        <f>IF(F7&gt;0,F107/F7,0)</f>
        <v>0.03938591492642376</v>
      </c>
      <c r="G807" s="8">
        <f>IF(G7&gt;0,G107/G7,0)</f>
        <v>0.03832116788321168</v>
      </c>
      <c r="H807" s="8">
        <f>IF(H7&gt;0,H107/H7,0)</f>
        <v>0.03802281368821293</v>
      </c>
      <c r="I807" s="8">
        <f>IF(I7&gt;0,I107/I7,0)</f>
        <v>0.04119850187265917</v>
      </c>
      <c r="J807" s="8">
        <f>IF(J7&gt;0,J107/J7,0)</f>
        <v>0.03501706484641638</v>
      </c>
      <c r="K807" s="8">
        <f>IF(K7&gt;0,K107/K7,0)</f>
        <v>0.035</v>
      </c>
      <c r="L807" s="8">
        <f>IF(L7&gt;0,L107/L7,0)</f>
        <v>0.03514376996805112</v>
      </c>
      <c r="M807" s="8">
        <f>IF(M7&gt;0,M107/M7,0)</f>
        <v>0.032758620689655175</v>
      </c>
      <c r="N807" s="8">
        <f>IF(N7&gt;0,N107/N7,0)</f>
        <v>0.03483217226092464</v>
      </c>
      <c r="O807" s="8">
        <f>IF(O7&gt;0,O107/O7,0)</f>
        <v>0.0353356890459364</v>
      </c>
      <c r="P807" s="8">
        <f>IF(P7&gt;0,P107/P7,0)</f>
        <v>0.036297640653357534</v>
      </c>
      <c r="Q807" s="8">
        <f>IF(Q7&gt;0,Q107/Q7,0)</f>
        <v>0.034482758620689655</v>
      </c>
      <c r="R807" s="8">
        <f>IF(R7&gt;0,R107/R7,0)</f>
        <v>0.03785488958990536</v>
      </c>
      <c r="S807" s="8">
        <f>IF(S7&gt;0,S107/S7,0)</f>
        <v>0.033846153846153845</v>
      </c>
    </row>
    <row r="808">
      <c r="A808" s="16" t="s">
        <v>323</v>
      </c>
      <c r="B808" s="2" t="s">
        <v>322</v>
      </c>
      <c r="C808" s="8">
        <f>IF(C8&gt;0,C108/C8,0)</f>
        <v>1</v>
      </c>
      <c r="D808" s="8">
        <f>IF(D8&gt;0,D108/D8,0)</f>
        <v>1</v>
      </c>
      <c r="E808" s="8">
        <f>IF(E8&gt;0,E108/E8,0)</f>
        <v>1</v>
      </c>
      <c r="F808" s="8">
        <f>IF(F8&gt;0,F108/F8,0)</f>
        <v>1</v>
      </c>
      <c r="G808" s="8">
        <f>IF(G8&gt;0,G108/G8,0)</f>
        <v>1</v>
      </c>
      <c r="H808" s="8">
        <f>IF(H8&gt;0,H108/H8,0)</f>
        <v>1</v>
      </c>
      <c r="I808" s="8">
        <f>IF(I8&gt;0,I108/I8,0)</f>
        <v>1</v>
      </c>
      <c r="J808" s="8">
        <f>IF(J8&gt;0,J108/J8,0)</f>
        <v>1</v>
      </c>
      <c r="K808" s="8">
        <f>IF(K8&gt;0,K108/K8,0)</f>
        <v>1</v>
      </c>
      <c r="L808" s="8">
        <f>IF(L8&gt;0,L108/L8,0)</f>
        <v>1</v>
      </c>
      <c r="M808" s="8">
        <f>IF(M8&gt;0,M108/M8,0)</f>
        <v>1</v>
      </c>
      <c r="N808" s="8">
        <f>IF(N8&gt;0,N108/N8,0)</f>
        <v>1</v>
      </c>
      <c r="O808" s="8">
        <f>IF(O8&gt;0,O108/O8,0)</f>
        <v>1</v>
      </c>
      <c r="P808" s="8">
        <f>IF(P8&gt;0,P108/P8,0)</f>
        <v>1</v>
      </c>
      <c r="Q808" s="8">
        <f>IF(Q8&gt;0,Q108/Q8,0)</f>
        <v>1</v>
      </c>
      <c r="R808" s="8">
        <f>IF(R8&gt;0,R108/R8,0)</f>
        <v>1</v>
      </c>
      <c r="S808" s="8">
        <f>IF(S8&gt;0,S108/S8,0)</f>
        <v>1</v>
      </c>
    </row>
    <row r="809">
      <c r="A809" s="16" t="s">
        <v>324</v>
      </c>
      <c r="B809" s="2" t="s">
        <v>322</v>
      </c>
      <c r="C809" s="8">
        <f>IF(C9&gt;0,C109/C9,0)</f>
        <v>1</v>
      </c>
      <c r="D809" s="8">
        <f>IF(D9&gt;0,D109/D9,0)</f>
        <v>1</v>
      </c>
      <c r="E809" s="8">
        <f>IF(E9&gt;0,E109/E9,0)</f>
        <v>1</v>
      </c>
      <c r="F809" s="8">
        <f>IF(F9&gt;0,F109/F9,0)</f>
        <v>1</v>
      </c>
      <c r="G809" s="8">
        <f>IF(G9&gt;0,G109/G9,0)</f>
        <v>1</v>
      </c>
      <c r="H809" s="8">
        <f>IF(H9&gt;0,H109/H9,0)</f>
        <v>1</v>
      </c>
      <c r="I809" s="8">
        <f>IF(I9&gt;0,I109/I9,0)</f>
        <v>1</v>
      </c>
      <c r="J809" s="8">
        <f>IF(J9&gt;0,J109/J9,0)</f>
        <v>1</v>
      </c>
      <c r="K809" s="8">
        <f>IF(K9&gt;0,K109/K9,0)</f>
        <v>1</v>
      </c>
      <c r="L809" s="8">
        <f>IF(L9&gt;0,L109/L9,0)</f>
        <v>1</v>
      </c>
      <c r="M809" s="8">
        <f>IF(M9&gt;0,M109/M9,0)</f>
        <v>1</v>
      </c>
      <c r="N809" s="8">
        <f>IF(N9&gt;0,N109/N9,0)</f>
        <v>1</v>
      </c>
      <c r="O809" s="8">
        <f>IF(O9&gt;0,O109/O9,0)</f>
        <v>1</v>
      </c>
      <c r="P809" s="8">
        <f>IF(P9&gt;0,P109/P9,0)</f>
        <v>1</v>
      </c>
      <c r="Q809" s="8">
        <f>IF(Q9&gt;0,Q109/Q9,0)</f>
        <v>1</v>
      </c>
      <c r="R809" s="8">
        <f>IF(R9&gt;0,R109/R9,0)</f>
        <v>1</v>
      </c>
      <c r="S809" s="8">
        <f>IF(S9&gt;0,S109/S9,0)</f>
        <v>1</v>
      </c>
    </row>
    <row r="810">
      <c r="A810" s="16" t="s">
        <v>325</v>
      </c>
      <c r="B810" s="2" t="s">
        <v>322</v>
      </c>
      <c r="C810" s="8">
        <f>IF(C10&gt;0,C110/C10,0)</f>
        <v>0.14745308310991956</v>
      </c>
      <c r="D810" s="8">
        <f>IF(D10&gt;0,D110/D10,0)</f>
        <v>0.16311166875784192</v>
      </c>
      <c r="E810" s="8">
        <f>IF(E10&gt;0,E110/E10,0)</f>
        <v>0.16806722689075632</v>
      </c>
      <c r="F810" s="8">
        <f>IF(F10&gt;0,F110/F10,0)</f>
        <v>0.15966386554621848</v>
      </c>
      <c r="G810" s="8">
        <f>IF(G10&gt;0,G110/G10,0)</f>
        <v>0.12129894937917861</v>
      </c>
      <c r="H810" s="8">
        <f>IF(H10&gt;0,H110/H10,0)</f>
        <v>0.12396694214876033</v>
      </c>
      <c r="I810" s="8">
        <f>IF(I10&gt;0,I110/I10,0)</f>
        <v>0.12264150943396226</v>
      </c>
      <c r="J810" s="8">
        <f>IF(J10&gt;0,J110/J10,0)</f>
        <v>0.09615384615384616</v>
      </c>
      <c r="K810" s="8">
        <f>IF(K10&gt;0,K110/K10,0)</f>
        <v>0.11320754716981132</v>
      </c>
      <c r="L810" s="8">
        <f>IF(L10&gt;0,L110/L10,0)</f>
        <v>0.11682242990654206</v>
      </c>
      <c r="M810" s="8">
        <f>IF(M10&gt;0,M110/M10,0)</f>
        <v>0.12149532710280374</v>
      </c>
      <c r="N810" s="8">
        <f>IF(N10&gt;0,N110/N10,0)</f>
        <v>0.12098298676748583</v>
      </c>
      <c r="O810" s="8">
        <f>IF(O10&gt;0,O110/O10,0)</f>
        <v>0.11214953271028037</v>
      </c>
      <c r="P810" s="8">
        <f>IF(P10&gt;0,P110/P10,0)</f>
        <v>0.1656441717791411</v>
      </c>
      <c r="Q810" s="8">
        <f>IF(Q10&gt;0,Q110/Q10,0)</f>
        <v>0.1308411214953271</v>
      </c>
      <c r="R810" s="8">
        <f>IF(R10&gt;0,R110/R10,0)</f>
        <v>0.11075181891673404</v>
      </c>
      <c r="S810" s="8">
        <f>IF(S10&gt;0,S110/S10,0)</f>
        <v>0.12126537785588752</v>
      </c>
    </row>
    <row r="811">
      <c r="A811" s="16" t="s">
        <v>326</v>
      </c>
      <c r="B811" s="2" t="s">
        <v>322</v>
      </c>
      <c r="C811" s="8">
        <f>IF(C11&gt;0,C111/C11,0)</f>
        <v>0.20049813200498132</v>
      </c>
      <c r="D811" s="8">
        <f>IF(D11&gt;0,D111/D11,0)</f>
        <v>0.2845528455284553</v>
      </c>
      <c r="E811" s="8">
        <f>IF(E11&gt;0,E111/E11,0)</f>
        <v>0.2222222222222222</v>
      </c>
      <c r="F811" s="8">
        <f>IF(F11&gt;0,F111/F11,0)</f>
        <v>0.22077922077922077</v>
      </c>
      <c r="G811" s="8">
        <f>IF(G11&gt;0,G111/G11,0)</f>
        <v>0.22857142857142856</v>
      </c>
      <c r="H811" s="8">
        <f>IF(H11&gt;0,H111/H11,0)</f>
        <v>0.2676056338028169</v>
      </c>
      <c r="I811" s="8">
        <f>IF(I11&gt;0,I111/I11,0)</f>
        <v>0.22564102564102564</v>
      </c>
      <c r="J811" s="8">
        <f>IF(J11&gt;0,J111/J11,0)</f>
        <v>0.2608695652173913</v>
      </c>
      <c r="K811" s="8">
        <f>IF(K11&gt;0,K111/K11,0)</f>
        <v>0.22580645161290322</v>
      </c>
      <c r="L811" s="8">
        <f>IF(L11&gt;0,L111/L11,0)</f>
        <v>0.1872146118721461</v>
      </c>
      <c r="M811" s="8">
        <f>IF(M11&gt;0,M111/M11,0)</f>
        <v>0.11010558069381599</v>
      </c>
      <c r="N811" s="8">
        <f>IF(N11&gt;0,N111/N11,0)</f>
        <v>0.16363636363636364</v>
      </c>
      <c r="O811" s="8">
        <f>IF(O11&gt;0,O111/O11,0)</f>
        <v>0.1507996953541508</v>
      </c>
      <c r="P811" s="8">
        <f>IF(P11&gt;0,P111/P11,0)</f>
        <v>0.15625</v>
      </c>
      <c r="Q811" s="8">
        <f>IF(Q11&gt;0,Q111/Q11,0)</f>
        <v>0.1537313432835821</v>
      </c>
      <c r="R811" s="8">
        <f>IF(R11&gt;0,R111/R11,0)</f>
        <v>0.15785764622973925</v>
      </c>
      <c r="S811" s="8">
        <f>IF(S11&gt;0,S111/S11,0)</f>
        <v>0.1585195530726257</v>
      </c>
    </row>
    <row r="812">
      <c r="A812" s="16" t="s">
        <v>327</v>
      </c>
      <c r="B812" s="2" t="s">
        <v>322</v>
      </c>
      <c r="C812" s="8">
        <f>IF(C12&gt;0,C112/C12,0)</f>
        <v>0.3118172790466733</v>
      </c>
      <c r="D812" s="8">
        <f>IF(D12&gt;0,D112/D12,0)</f>
        <v>0.3231357552581262</v>
      </c>
      <c r="E812" s="8">
        <f>IF(E12&gt;0,E112/E12,0)</f>
        <v>0.3098246275693004</v>
      </c>
      <c r="F812" s="8">
        <f>IF(F12&gt;0,F112/F12,0)</f>
        <v>0.3355665024630542</v>
      </c>
      <c r="G812" s="8">
        <f>IF(G12&gt;0,G112/G12,0)</f>
        <v>0.29963235294117646</v>
      </c>
      <c r="H812" s="8">
        <f>IF(H12&gt;0,H112/H12,0)</f>
        <v>0.2974137931034483</v>
      </c>
      <c r="I812" s="8">
        <f>IF(I12&gt;0,I112/I12,0)</f>
        <v>0.3044230769230769</v>
      </c>
      <c r="J812" s="8">
        <f>IF(J12&gt;0,J112/J12,0)</f>
        <v>0.3006076718571971</v>
      </c>
      <c r="K812" s="8">
        <f>IF(K12&gt;0,K112/K12,0)</f>
        <v>0.2972769953051643</v>
      </c>
      <c r="L812" s="8">
        <f>IF(L12&gt;0,L112/L12,0)</f>
        <v>0.29192671632776324</v>
      </c>
      <c r="M812" s="8">
        <f>IF(M12&gt;0,M112/M12,0)</f>
        <v>0.2963894377582181</v>
      </c>
      <c r="N812" s="8">
        <f>IF(N12&gt;0,N112/N12,0)</f>
        <v>0.27771929824561403</v>
      </c>
      <c r="O812" s="8">
        <f>IF(O12&gt;0,O112/O12,0)</f>
        <v>0.2841315834327595</v>
      </c>
      <c r="P812" s="8">
        <f>IF(P12&gt;0,P112/P12,0)</f>
        <v>0.22560975609756098</v>
      </c>
      <c r="Q812" s="8">
        <f>IF(Q12&gt;0,Q112/Q12,0)</f>
        <v>0.29080706387192606</v>
      </c>
      <c r="R812" s="8">
        <f>IF(R12&gt;0,R112/R12,0)</f>
        <v>0.2690513219284603</v>
      </c>
      <c r="S812" s="8">
        <f>IF(S12&gt;0,S112/S12,0)</f>
        <v>0.254071661237785</v>
      </c>
    </row>
    <row r="813">
      <c r="A813" s="16" t="s">
        <v>130</v>
      </c>
      <c r="B813" s="2" t="s">
        <v>322</v>
      </c>
      <c r="C813" s="8">
        <f>IF(C13&gt;0,C113/C13,0)</f>
        <v>1</v>
      </c>
      <c r="D813" s="8">
        <f>IF(D13&gt;0,D113/D13,0)</f>
        <v>1</v>
      </c>
      <c r="E813" s="8">
        <f>IF(E13&gt;0,E113/E13,0)</f>
        <v>1</v>
      </c>
      <c r="F813" s="8">
        <f>IF(F13&gt;0,F113/F13,0)</f>
        <v>1</v>
      </c>
      <c r="G813" s="8">
        <f>IF(G13&gt;0,G113/G13,0)</f>
        <v>1</v>
      </c>
      <c r="H813" s="8">
        <f>IF(H13&gt;0,H113/H13,0)</f>
        <v>1</v>
      </c>
      <c r="I813" s="8">
        <f>IF(I13&gt;0,I113/I13,0)</f>
        <v>1</v>
      </c>
      <c r="J813" s="8">
        <f>IF(J13&gt;0,J113/J13,0)</f>
        <v>1</v>
      </c>
      <c r="K813" s="8">
        <f>IF(K13&gt;0,K113/K13,0)</f>
        <v>1</v>
      </c>
      <c r="L813" s="8">
        <f>IF(L13&gt;0,L113/L13,0)</f>
        <v>1</v>
      </c>
      <c r="M813" s="8">
        <f>IF(M13&gt;0,M113/M13,0)</f>
        <v>1</v>
      </c>
      <c r="N813" s="8">
        <f>IF(N13&gt;0,N113/N13,0)</f>
        <v>1</v>
      </c>
      <c r="O813" s="8">
        <f>IF(O13&gt;0,O113/O13,0)</f>
        <v>1</v>
      </c>
      <c r="P813" s="8">
        <f>IF(P13&gt;0,P113/P13,0)</f>
        <v>1</v>
      </c>
      <c r="Q813" s="8">
        <f>IF(Q13&gt;0,Q113/Q13,0)</f>
        <v>1</v>
      </c>
      <c r="R813" s="8">
        <f>IF(R13&gt;0,R113/R13,0)</f>
        <v>1</v>
      </c>
      <c r="S813" s="8">
        <f>IF(S13&gt;0,S113/S13,0)</f>
        <v>1</v>
      </c>
    </row>
    <row r="814">
      <c r="A814" s="16" t="s">
        <v>328</v>
      </c>
      <c r="B814" s="2" t="s">
        <v>322</v>
      </c>
      <c r="C814" s="8">
        <f>IF(C14&gt;0,C114/C14,0)</f>
        <v>1</v>
      </c>
      <c r="D814" s="8">
        <f>IF(D14&gt;0,D114/D14,0)</f>
        <v>1</v>
      </c>
      <c r="E814" s="8">
        <f>IF(E14&gt;0,E114/E14,0)</f>
        <v>1</v>
      </c>
      <c r="F814" s="8">
        <f>IF(F14&gt;0,F114/F14,0)</f>
        <v>1</v>
      </c>
      <c r="G814" s="8">
        <f>IF(G14&gt;0,G114/G14,0)</f>
        <v>1</v>
      </c>
      <c r="H814" s="8">
        <f>IF(H14&gt;0,H114/H14,0)</f>
        <v>1</v>
      </c>
      <c r="I814" s="8">
        <f>IF(I14&gt;0,I114/I14,0)</f>
        <v>1</v>
      </c>
      <c r="J814" s="8">
        <f>IF(J14&gt;0,J114/J14,0)</f>
        <v>1</v>
      </c>
      <c r="K814" s="8">
        <f>IF(K14&gt;0,K114/K14,0)</f>
        <v>1</v>
      </c>
      <c r="L814" s="8">
        <f>IF(L14&gt;0,L114/L14,0)</f>
        <v>1</v>
      </c>
      <c r="M814" s="8">
        <f>IF(M14&gt;0,M114/M14,0)</f>
        <v>1</v>
      </c>
      <c r="N814" s="8">
        <f>IF(N14&gt;0,N114/N14,0)</f>
        <v>1</v>
      </c>
      <c r="O814" s="8">
        <f>IF(O14&gt;0,O114/O14,0)</f>
        <v>1</v>
      </c>
      <c r="P814" s="8">
        <f>IF(P14&gt;0,P114/P14,0)</f>
        <v>1</v>
      </c>
      <c r="Q814" s="8">
        <f>IF(Q14&gt;0,Q114/Q14,0)</f>
        <v>1</v>
      </c>
      <c r="R814" s="8">
        <f>IF(R14&gt;0,R114/R14,0)</f>
        <v>1</v>
      </c>
      <c r="S814" s="8">
        <f>IF(S14&gt;0,S114/S14,0)</f>
        <v>1</v>
      </c>
    </row>
    <row r="815">
      <c r="A815" s="16" t="s">
        <v>329</v>
      </c>
      <c r="B815" s="2" t="s">
        <v>322</v>
      </c>
      <c r="C815" s="8">
        <f>IF(C15&gt;0,C115/C15,0)</f>
        <v>0.95</v>
      </c>
      <c r="D815" s="8">
        <f>IF(D15&gt;0,D115/D15,0)</f>
        <v>0.9534883720930233</v>
      </c>
      <c r="E815" s="8">
        <f>IF(E15&gt;0,E115/E15,0)</f>
        <v>0.956989247311828</v>
      </c>
      <c r="F815" s="8">
        <f>IF(F15&gt;0,F115/F15,0)</f>
        <v>0.9493670886075949</v>
      </c>
      <c r="G815" s="8">
        <f>IF(G15&gt;0,G115/G15,0)</f>
        <v>0.9371069182389937</v>
      </c>
      <c r="H815" s="8">
        <f>IF(H15&gt;0,H115/H15,0)</f>
        <v>0.9239130434782609</v>
      </c>
      <c r="I815" s="8">
        <f>IF(I15&gt;0,I115/I15,0)</f>
        <v>0.9393939393939394</v>
      </c>
      <c r="J815" s="8">
        <f>IF(J15&gt;0,J115/J15,0)</f>
        <v>0.95</v>
      </c>
      <c r="K815" s="8">
        <f>IF(K15&gt;0,K115/K15,0)</f>
        <v>0.8732394366197183</v>
      </c>
      <c r="L815" s="8">
        <f>IF(L15&gt;0,L115/L15,0)</f>
        <v>0.8513513513513513</v>
      </c>
      <c r="M815" s="8">
        <f>IF(M15&gt;0,M115/M15,0)</f>
        <v>0.8498583569405099</v>
      </c>
      <c r="N815" s="8">
        <f>IF(N15&gt;0,N115/N15,0)</f>
        <v>0.8556149732620321</v>
      </c>
      <c r="O815" s="8">
        <f>IF(O15&gt;0,O115/O15,0)</f>
        <v>0.846262341325811</v>
      </c>
      <c r="P815" s="8">
        <f>IF(P15&gt;0,P115/P15,0)</f>
        <v>0.8703319502074689</v>
      </c>
      <c r="Q815" s="8">
        <f>IF(Q15&gt;0,Q115/Q15,0)</f>
        <v>0.9134419551934827</v>
      </c>
      <c r="R815" s="8">
        <f>IF(R15&gt;0,R115/R15,0)</f>
        <v>0.8774509803921569</v>
      </c>
      <c r="S815" s="8">
        <f>IF(S15&gt;0,S115/S15,0)</f>
        <v>0.8645707376058042</v>
      </c>
    </row>
    <row r="816">
      <c r="A816" s="16" t="s">
        <v>134</v>
      </c>
      <c r="B816" s="2" t="s">
        <v>322</v>
      </c>
      <c r="C816" s="8">
        <f>IF(C16&gt;0,C116/C16,0)</f>
        <v>0.9974747474747475</v>
      </c>
      <c r="D816" s="8">
        <f>IF(D16&gt;0,D116/D16,0)</f>
        <v>0.9977324263038548</v>
      </c>
      <c r="E816" s="8">
        <f>IF(E16&gt;0,E116/E16,0)</f>
        <v>0.9975062344139651</v>
      </c>
      <c r="F816" s="8">
        <f>IF(F16&gt;0,F116/F16,0)</f>
        <v>0.9957325746799431</v>
      </c>
      <c r="G816" s="8">
        <f>IF(G16&gt;0,G116/G16,0)</f>
        <v>0.9811616954474097</v>
      </c>
      <c r="H816" s="8">
        <f>IF(H16&gt;0,H116/H16,0)</f>
        <v>0.9484066767830045</v>
      </c>
      <c r="I816" s="8">
        <f>IF(I16&gt;0,I116/I16,0)</f>
        <v>0.9523809523809523</v>
      </c>
      <c r="J816" s="8">
        <f>IF(J16&gt;0,J116/J16,0)</f>
        <v>0.9523809523809523</v>
      </c>
      <c r="K816" s="8">
        <f>IF(K16&gt;0,K116/K16,0)</f>
        <v>0.9336870026525199</v>
      </c>
      <c r="L816" s="8">
        <f>IF(L16&gt;0,L116/L16,0)</f>
        <v>0.9643347050754458</v>
      </c>
      <c r="M816" s="8">
        <f>IF(M16&gt;0,M116/M16,0)</f>
        <v>0.9694656488549618</v>
      </c>
      <c r="N816" s="8">
        <f>IF(N16&gt;0,N116/N16,0)</f>
        <v>0.963276836158192</v>
      </c>
      <c r="O816" s="8">
        <f>IF(O16&gt;0,O116/O16,0)</f>
        <v>0.963302752293578</v>
      </c>
      <c r="P816" s="8">
        <f>IF(P16&gt;0,P116/P16,0)</f>
        <v>0.962525223407322</v>
      </c>
      <c r="Q816" s="8">
        <f>IF(Q16&gt;0,Q116/Q16,0)</f>
        <v>0.9602446483180428</v>
      </c>
      <c r="R816" s="8">
        <f>IF(R16&gt;0,R116/R16,0)</f>
        <v>0.9587955625990491</v>
      </c>
      <c r="S816" s="8">
        <f>IF(S16&gt;0,S116/S16,0)</f>
        <v>0.9601226993865031</v>
      </c>
    </row>
    <row r="817">
      <c r="A817" s="16" t="s">
        <v>135</v>
      </c>
      <c r="B817" s="2" t="s">
        <v>322</v>
      </c>
      <c r="C817" s="8">
        <f>IF(C17&gt;0,C117/C17,0)</f>
        <v>1</v>
      </c>
      <c r="D817" s="8">
        <f>IF(D17&gt;0,D117/D17,0)</f>
        <v>1</v>
      </c>
      <c r="E817" s="8">
        <f>IF(E17&gt;0,E117/E17,0)</f>
        <v>1</v>
      </c>
      <c r="F817" s="8">
        <f>IF(F17&gt;0,F117/F17,0)</f>
        <v>1</v>
      </c>
      <c r="G817" s="8">
        <f>IF(G17&gt;0,G117/G17,0)</f>
        <v>0.9882352941176471</v>
      </c>
      <c r="H817" s="8">
        <f>IF(H17&gt;0,H117/H17,0)</f>
        <v>0.9882352941176471</v>
      </c>
      <c r="I817" s="8">
        <f>IF(I17&gt;0,I117/I17,0)</f>
        <v>0.9904761904761905</v>
      </c>
      <c r="J817" s="8">
        <f>IF(J17&gt;0,J117/J17,0)</f>
        <v>0.989010989010989</v>
      </c>
      <c r="K817" s="8">
        <f>IF(K17&gt;0,K117/K17,0)</f>
        <v>0.9830508474576272</v>
      </c>
      <c r="L817" s="8">
        <f>IF(L17&gt;0,L117/L17,0)</f>
        <v>0.9709618874773139</v>
      </c>
      <c r="M817" s="8">
        <f>IF(M17&gt;0,M117/M17,0)</f>
        <v>0.9622641509433962</v>
      </c>
      <c r="N817" s="8">
        <f>IF(N17&gt;0,N117/N17,0)</f>
        <v>0.9577167019027484</v>
      </c>
      <c r="O817" s="8">
        <f>IF(O17&gt;0,O117/O17,0)</f>
        <v>0.9382239382239382</v>
      </c>
      <c r="P817" s="8">
        <f>IF(P17&gt;0,P117/P17,0)</f>
        <v>0.931827865360034</v>
      </c>
      <c r="Q817" s="8">
        <f>IF(Q17&gt;0,Q117/Q17,0)</f>
        <v>0.9398496240601504</v>
      </c>
      <c r="R817" s="8">
        <f>IF(R17&gt;0,R117/R17,0)</f>
        <v>0.9375</v>
      </c>
      <c r="S817" s="8">
        <f>IF(S17&gt;0,S117/S17,0)</f>
        <v>0.9426229508196722</v>
      </c>
    </row>
    <row r="818">
      <c r="A818" s="16" t="s">
        <v>330</v>
      </c>
      <c r="B818" s="2" t="s">
        <v>322</v>
      </c>
      <c r="C818" s="8">
        <f>IF(C18&gt;0,C118/C18,0)</f>
        <v>1</v>
      </c>
      <c r="D818" s="8">
        <f>IF(D18&gt;0,D118/D18,0)</f>
        <v>1</v>
      </c>
      <c r="E818" s="8">
        <f>IF(E18&gt;0,E118/E18,0)</f>
        <v>1</v>
      </c>
      <c r="F818" s="8">
        <f>IF(F18&gt;0,F118/F18,0)</f>
        <v>1</v>
      </c>
      <c r="G818" s="8">
        <f>IF(G18&gt;0,G118/G18,0)</f>
        <v>1</v>
      </c>
      <c r="H818" s="8">
        <f>IF(H18&gt;0,H118/H18,0)</f>
        <v>1</v>
      </c>
      <c r="I818" s="8">
        <f>IF(I18&gt;0,I118/I18,0)</f>
        <v>1</v>
      </c>
      <c r="J818" s="8">
        <f>IF(J18&gt;0,J118/J18,0)</f>
        <v>1</v>
      </c>
      <c r="K818" s="8">
        <f>IF(K18&gt;0,K118/K18,0)</f>
        <v>1</v>
      </c>
      <c r="L818" s="8">
        <f>IF(L18&gt;0,L118/L18,0)</f>
        <v>1</v>
      </c>
      <c r="M818" s="8">
        <f>IF(M18&gt;0,M118/M18,0)</f>
        <v>1</v>
      </c>
      <c r="N818" s="8">
        <f>IF(N18&gt;0,N118/N18,0)</f>
        <v>1</v>
      </c>
      <c r="O818" s="8">
        <f>IF(O18&gt;0,O118/O18,0)</f>
        <v>1</v>
      </c>
      <c r="P818" s="8">
        <f>IF(P18&gt;0,P118/P18,0)</f>
        <v>1</v>
      </c>
      <c r="Q818" s="8">
        <f>IF(Q18&gt;0,Q118/Q18,0)</f>
        <v>1</v>
      </c>
      <c r="R818" s="8">
        <f>IF(R18&gt;0,R118/R18,0)</f>
        <v>1</v>
      </c>
      <c r="S818" s="8">
        <f>IF(S18&gt;0,S118/S18,0)</f>
        <v>1</v>
      </c>
    </row>
    <row r="819">
      <c r="A819" s="16" t="s">
        <v>331</v>
      </c>
      <c r="B819" s="2" t="s">
        <v>322</v>
      </c>
      <c r="C819" s="8">
        <f>IF(C19&gt;0,C119/C19,0)</f>
        <v>0.5714285714285714</v>
      </c>
      <c r="D819" s="8">
        <f>IF(D19&gt;0,D119/D19,0)</f>
        <v>0.6460176991150443</v>
      </c>
      <c r="E819" s="8">
        <f>IF(E19&gt;0,E119/E19,0)</f>
        <v>0.5169491525423728</v>
      </c>
      <c r="F819" s="8">
        <f>IF(F19&gt;0,F119/F19,0)</f>
        <v>0.5625</v>
      </c>
      <c r="G819" s="8">
        <f>IF(G19&gt;0,G119/G19,0)</f>
        <v>0.5217391304347826</v>
      </c>
      <c r="H819" s="8">
        <f>IF(H19&gt;0,H119/H19,0)</f>
        <v>0.5454545454545454</v>
      </c>
      <c r="I819" s="8">
        <f>IF(I19&gt;0,I119/I19,0)</f>
        <v>0.5238095238095238</v>
      </c>
      <c r="J819" s="8">
        <f>IF(J19&gt;0,J119/J19,0)</f>
        <v>0.5217391304347826</v>
      </c>
      <c r="K819" s="8">
        <f>IF(K19&gt;0,K119/K19,0)</f>
        <v>0.5416666666666666</v>
      </c>
      <c r="L819" s="8">
        <f>IF(L19&gt;0,L119/L19,0)</f>
        <v>0.5208333333333334</v>
      </c>
      <c r="M819" s="8">
        <f>IF(M19&gt;0,M119/M19,0)</f>
        <v>0.5333333333333333</v>
      </c>
      <c r="N819" s="8">
        <f>IF(N19&gt;0,N119/N19,0)</f>
        <v>0.5416666666666666</v>
      </c>
      <c r="O819" s="8">
        <f>IF(O19&gt;0,O119/O19,0)</f>
        <v>0.5416666666666666</v>
      </c>
      <c r="P819" s="8">
        <f>IF(P19&gt;0,P119/P19,0)</f>
        <v>0.5555555555555556</v>
      </c>
      <c r="Q819" s="8">
        <f>IF(Q19&gt;0,Q119/Q19,0)</f>
        <v>0.5185185185185185</v>
      </c>
      <c r="R819" s="8">
        <f>IF(R19&gt;0,R119/R19,0)</f>
        <v>0.5172413793103449</v>
      </c>
      <c r="S819" s="8">
        <f>IF(S19&gt;0,S119/S19,0)</f>
        <v>0.53125</v>
      </c>
    </row>
    <row r="820">
      <c r="A820" s="16" t="s">
        <v>332</v>
      </c>
      <c r="B820" s="2" t="s">
        <v>322</v>
      </c>
      <c r="C820" s="8">
        <f>IF(C20&gt;0,C120/C20,0)</f>
        <v>0</v>
      </c>
      <c r="D820" s="8">
        <f>IF(D20&gt;0,D120/D20,0)</f>
        <v>0</v>
      </c>
      <c r="E820" s="8">
        <f>IF(E20&gt;0,E120/E20,0)</f>
        <v>0</v>
      </c>
      <c r="F820" s="8">
        <f>IF(F20&gt;0,F120/F20,0)</f>
        <v>0</v>
      </c>
      <c r="G820" s="8">
        <f>IF(G20&gt;0,G120/G20,0)</f>
        <v>0</v>
      </c>
      <c r="H820" s="8">
        <f>IF(H20&gt;0,H120/H20,0)</f>
        <v>0</v>
      </c>
      <c r="I820" s="8">
        <f>IF(I20&gt;0,I120/I20,0)</f>
        <v>0</v>
      </c>
      <c r="J820" s="8">
        <f>IF(J20&gt;0,J120/J20,0)</f>
        <v>0</v>
      </c>
      <c r="K820" s="8">
        <f>IF(K20&gt;0,K120/K20,0)</f>
        <v>0</v>
      </c>
      <c r="L820" s="8">
        <f>IF(L20&gt;0,L120/L20,0)</f>
        <v>0</v>
      </c>
      <c r="M820" s="8">
        <f>IF(M20&gt;0,M120/M20,0)</f>
        <v>0</v>
      </c>
      <c r="N820" s="8">
        <f>IF(N20&gt;0,N120/N20,0)</f>
        <v>0</v>
      </c>
      <c r="O820" s="8">
        <f>IF(O20&gt;0,O120/O20,0)</f>
        <v>0</v>
      </c>
      <c r="P820" s="8">
        <f>IF(P20&gt;0,P120/P20,0)</f>
        <v>0</v>
      </c>
      <c r="Q820" s="8">
        <f>IF(Q20&gt;0,Q120/Q20,0)</f>
        <v>0</v>
      </c>
      <c r="R820" s="8">
        <f>IF(R20&gt;0,R120/R20,0)</f>
        <v>0</v>
      </c>
      <c r="S820" s="8">
        <f>IF(S20&gt;0,S120/S20,0)</f>
        <v>0</v>
      </c>
    </row>
    <row r="821">
      <c r="A821" s="16" t="s">
        <v>333</v>
      </c>
      <c r="B821" s="2" t="s">
        <v>322</v>
      </c>
      <c r="C821" s="8">
        <f>IF(C21&gt;0,C121/C21,0)</f>
        <v>0</v>
      </c>
      <c r="D821" s="8">
        <f>IF(D21&gt;0,D121/D21,0)</f>
        <v>0</v>
      </c>
      <c r="E821" s="8">
        <f>IF(E21&gt;0,E121/E21,0)</f>
        <v>0</v>
      </c>
      <c r="F821" s="8">
        <f>IF(F21&gt;0,F121/F21,0)</f>
        <v>0</v>
      </c>
      <c r="G821" s="8">
        <f>IF(G21&gt;0,G121/G21,0)</f>
        <v>0</v>
      </c>
      <c r="H821" s="8">
        <f>IF(H21&gt;0,H121/H21,0)</f>
        <v>0</v>
      </c>
      <c r="I821" s="8">
        <f>IF(I21&gt;0,I121/I21,0)</f>
        <v>0</v>
      </c>
      <c r="J821" s="8">
        <f>IF(J21&gt;0,J121/J21,0)</f>
        <v>0</v>
      </c>
      <c r="K821" s="8">
        <f>IF(K21&gt;0,K121/K21,0)</f>
        <v>0</v>
      </c>
      <c r="L821" s="8">
        <f>IF(L21&gt;0,L121/L21,0)</f>
        <v>0</v>
      </c>
      <c r="M821" s="8">
        <f>IF(M21&gt;0,M121/M21,0)</f>
        <v>0</v>
      </c>
      <c r="N821" s="8">
        <f>IF(N21&gt;0,N121/N21,0)</f>
        <v>0</v>
      </c>
      <c r="O821" s="8">
        <f>IF(O21&gt;0,O121/O21,0)</f>
        <v>0</v>
      </c>
      <c r="P821" s="8">
        <f>IF(P21&gt;0,P121/P21,0)</f>
        <v>0</v>
      </c>
      <c r="Q821" s="8">
        <f>IF(Q21&gt;0,Q121/Q21,0)</f>
        <v>0</v>
      </c>
      <c r="R821" s="8">
        <f>IF(R21&gt;0,R121/R21,0)</f>
        <v>0</v>
      </c>
      <c r="S821" s="8">
        <f>IF(S21&gt;0,S121/S21,0)</f>
        <v>0</v>
      </c>
    </row>
    <row r="822">
      <c r="A822" s="16" t="s">
        <v>136</v>
      </c>
      <c r="B822" s="2" t="s">
        <v>322</v>
      </c>
      <c r="C822" s="8">
        <f>IF(C22&gt;0,C122/C22,0)</f>
        <v>1</v>
      </c>
      <c r="D822" s="8">
        <f>IF(D22&gt;0,D122/D22,0)</f>
        <v>1</v>
      </c>
      <c r="E822" s="8">
        <f>IF(E22&gt;0,E122/E22,0)</f>
        <v>1</v>
      </c>
      <c r="F822" s="8">
        <f>IF(F22&gt;0,F122/F22,0)</f>
        <v>1</v>
      </c>
      <c r="G822" s="8">
        <f>IF(G22&gt;0,G122/G22,0)</f>
        <v>1</v>
      </c>
      <c r="H822" s="8">
        <f>IF(H22&gt;0,H122/H22,0)</f>
        <v>1</v>
      </c>
      <c r="I822" s="8">
        <f>IF(I22&gt;0,I122/I22,0)</f>
        <v>1</v>
      </c>
      <c r="J822" s="8">
        <f>IF(J22&gt;0,J122/J22,0)</f>
        <v>1</v>
      </c>
      <c r="K822" s="8">
        <f>IF(K22&gt;0,K122/K22,0)</f>
        <v>1</v>
      </c>
      <c r="L822" s="8">
        <f>IF(L22&gt;0,L122/L22,0)</f>
        <v>1</v>
      </c>
      <c r="M822" s="8">
        <f>IF(M22&gt;0,M122/M22,0)</f>
        <v>1</v>
      </c>
      <c r="N822" s="8">
        <f>IF(N22&gt;0,N122/N22,0)</f>
        <v>1</v>
      </c>
      <c r="O822" s="8">
        <f>IF(O22&gt;0,O122/O22,0)</f>
        <v>1</v>
      </c>
      <c r="P822" s="8">
        <f>IF(P22&gt;0,P122/P22,0)</f>
        <v>1</v>
      </c>
      <c r="Q822" s="8">
        <f>IF(Q22&gt;0,Q122/Q22,0)</f>
        <v>1</v>
      </c>
      <c r="R822" s="8">
        <f>IF(R22&gt;0,R122/R22,0)</f>
        <v>1</v>
      </c>
      <c r="S822" s="8">
        <f>IF(S22&gt;0,S122/S22,0)</f>
        <v>1</v>
      </c>
    </row>
    <row r="823">
      <c r="A823" s="16" t="s">
        <v>334</v>
      </c>
      <c r="B823" s="2" t="s">
        <v>322</v>
      </c>
      <c r="C823" s="8">
        <f>IF(C23&gt;0,C123/C23,0)</f>
        <v>1</v>
      </c>
      <c r="D823" s="8">
        <f>IF(D23&gt;0,D123/D23,0)</f>
        <v>1</v>
      </c>
      <c r="E823" s="8">
        <f>IF(E23&gt;0,E123/E23,0)</f>
        <v>1</v>
      </c>
      <c r="F823" s="8">
        <f>IF(F23&gt;0,F123/F23,0)</f>
        <v>1</v>
      </c>
      <c r="G823" s="8">
        <f>IF(G23&gt;0,G123/G23,0)</f>
        <v>1</v>
      </c>
      <c r="H823" s="8">
        <f>IF(H23&gt;0,H123/H23,0)</f>
        <v>1</v>
      </c>
      <c r="I823" s="8">
        <f>IF(I23&gt;0,I123/I23,0)</f>
        <v>1</v>
      </c>
      <c r="J823" s="8">
        <f>IF(J23&gt;0,J123/J23,0)</f>
        <v>1</v>
      </c>
      <c r="K823" s="8">
        <f>IF(K23&gt;0,K123/K23,0)</f>
        <v>1</v>
      </c>
      <c r="L823" s="8">
        <f>IF(L23&gt;0,L123/L23,0)</f>
        <v>1</v>
      </c>
      <c r="M823" s="8">
        <f>IF(M23&gt;0,M123/M23,0)</f>
        <v>1</v>
      </c>
      <c r="N823" s="8">
        <f>IF(N23&gt;0,N123/N23,0)</f>
        <v>1</v>
      </c>
      <c r="O823" s="8">
        <f>IF(O23&gt;0,O123/O23,0)</f>
        <v>1</v>
      </c>
      <c r="P823" s="8">
        <f>IF(P23&gt;0,P123/P23,0)</f>
        <v>1</v>
      </c>
      <c r="Q823" s="8">
        <f>IF(Q23&gt;0,Q123/Q23,0)</f>
        <v>1</v>
      </c>
      <c r="R823" s="8">
        <f>IF(R23&gt;0,R123/R23,0)</f>
        <v>1</v>
      </c>
      <c r="S823" s="8">
        <f>IF(S23&gt;0,S123/S23,0)</f>
        <v>1</v>
      </c>
    </row>
    <row r="824">
      <c r="A824" s="16" t="s">
        <v>335</v>
      </c>
      <c r="B824" s="2" t="s">
        <v>322</v>
      </c>
      <c r="C824" s="8">
        <f>IF(C24&gt;0,C124/C24,0)</f>
        <v>0</v>
      </c>
      <c r="D824" s="8">
        <f>IF(D24&gt;0,D124/D24,0)</f>
        <v>0</v>
      </c>
      <c r="E824" s="8">
        <f>IF(E24&gt;0,E124/E24,0)</f>
        <v>0</v>
      </c>
      <c r="F824" s="8">
        <f>IF(F24&gt;0,F124/F24,0)</f>
        <v>0</v>
      </c>
      <c r="G824" s="8">
        <f>IF(G24&gt;0,G124/G24,0)</f>
        <v>0</v>
      </c>
      <c r="H824" s="8">
        <f>IF(H24&gt;0,H124/H24,0)</f>
        <v>0</v>
      </c>
      <c r="I824" s="8">
        <f>IF(I24&gt;0,I124/I24,0)</f>
        <v>0</v>
      </c>
      <c r="J824" s="8">
        <f>IF(J24&gt;0,J124/J24,0)</f>
        <v>0</v>
      </c>
      <c r="K824" s="8">
        <f>IF(K24&gt;0,K124/K24,0)</f>
        <v>0</v>
      </c>
      <c r="L824" s="8">
        <f>IF(L24&gt;0,L124/L24,0)</f>
        <v>0</v>
      </c>
      <c r="M824" s="8">
        <f>IF(M24&gt;0,M124/M24,0)</f>
        <v>0</v>
      </c>
      <c r="N824" s="8">
        <f>IF(N24&gt;0,N124/N24,0)</f>
        <v>0</v>
      </c>
      <c r="O824" s="8">
        <f>IF(O24&gt;0,O124/O24,0)</f>
        <v>0</v>
      </c>
      <c r="P824" s="8">
        <f>IF(P24&gt;0,P124/P24,0)</f>
        <v>0</v>
      </c>
      <c r="Q824" s="8">
        <f>IF(Q24&gt;0,Q124/Q24,0)</f>
        <v>0</v>
      </c>
      <c r="R824" s="8">
        <f>IF(R24&gt;0,R124/R24,0)</f>
        <v>0</v>
      </c>
      <c r="S824" s="8">
        <f>IF(S24&gt;0,S124/S24,0)</f>
        <v>0</v>
      </c>
    </row>
    <row r="825">
      <c r="A825" s="16" t="s">
        <v>336</v>
      </c>
      <c r="B825" s="2" t="s">
        <v>322</v>
      </c>
      <c r="C825" s="8">
        <f>IF(C25&gt;0,C125/C25,0)</f>
        <v>0.953757225433526</v>
      </c>
      <c r="D825" s="8">
        <f>IF(D25&gt;0,D125/D25,0)</f>
        <v>0.9642857142857143</v>
      </c>
      <c r="E825" s="8">
        <f>IF(E25&gt;0,E125/E25,0)</f>
        <v>0.9393939393939394</v>
      </c>
      <c r="F825" s="8">
        <f>IF(F25&gt;0,F125/F25,0)</f>
        <v>0.9532163742690059</v>
      </c>
      <c r="G825" s="8">
        <f>IF(G25&gt;0,G125/G25,0)</f>
        <v>0.9382716049382716</v>
      </c>
      <c r="H825" s="8">
        <f>IF(H25&gt;0,H125/H25,0)</f>
        <v>0.9333333333333333</v>
      </c>
      <c r="I825" s="8">
        <f>IF(I25&gt;0,I125/I25,0)</f>
        <v>0.9551569506726457</v>
      </c>
      <c r="J825" s="8">
        <f>IF(J25&gt;0,J125/J25,0)</f>
        <v>0.9382716049382716</v>
      </c>
      <c r="K825" s="8">
        <f>IF(K25&gt;0,K125/K25,0)</f>
        <v>0.9481865284974094</v>
      </c>
      <c r="L825" s="8">
        <f>IF(L25&gt;0,L125/L25,0)</f>
        <v>0.9393939393939394</v>
      </c>
      <c r="M825" s="8">
        <f>IF(M25&gt;0,M125/M25,0)</f>
        <v>0.9285714285714286</v>
      </c>
      <c r="N825" s="8">
        <f>IF(N25&gt;0,N125/N25,0)</f>
        <v>0.9354838709677419</v>
      </c>
      <c r="O825" s="8">
        <f>IF(O25&gt;0,O125/O25,0)</f>
        <v>0.9428571428571428</v>
      </c>
      <c r="P825" s="8">
        <f>IF(P25&gt;0,P125/P25,0)</f>
        <v>0.9489795918367347</v>
      </c>
      <c r="Q825" s="8">
        <f>IF(Q25&gt;0,Q125/Q25,0)</f>
        <v>0.9493670886075949</v>
      </c>
      <c r="R825" s="8">
        <f>IF(R25&gt;0,R125/R25,0)</f>
        <v>0.9375</v>
      </c>
      <c r="S825" s="8">
        <f>IF(S25&gt;0,S125/S25,0)</f>
        <v>0.9375</v>
      </c>
    </row>
    <row r="826">
      <c r="A826" s="16" t="s">
        <v>337</v>
      </c>
      <c r="B826" s="2" t="s">
        <v>322</v>
      </c>
      <c r="C826" s="8">
        <f>IF(C26&gt;0,C126/C26,0)</f>
        <v>1</v>
      </c>
      <c r="D826" s="8">
        <f>IF(D26&gt;0,D126/D26,0)</f>
        <v>1</v>
      </c>
      <c r="E826" s="8">
        <f>IF(E26&gt;0,E126/E26,0)</f>
        <v>1</v>
      </c>
      <c r="F826" s="8">
        <f>IF(F26&gt;0,F126/F26,0)</f>
        <v>1</v>
      </c>
      <c r="G826" s="8">
        <f>IF(G26&gt;0,G126/G26,0)</f>
        <v>1</v>
      </c>
      <c r="H826" s="8">
        <f>IF(H26&gt;0,H126/H26,0)</f>
        <v>1</v>
      </c>
      <c r="I826" s="8">
        <f>IF(I26&gt;0,I126/I26,0)</f>
        <v>1</v>
      </c>
      <c r="J826" s="8">
        <f>IF(J26&gt;0,J126/J26,0)</f>
        <v>1</v>
      </c>
      <c r="K826" s="8">
        <f>IF(K26&gt;0,K126/K26,0)</f>
        <v>1</v>
      </c>
      <c r="L826" s="8">
        <f>IF(L26&gt;0,L126/L26,0)</f>
        <v>1</v>
      </c>
      <c r="M826" s="8">
        <f>IF(M26&gt;0,M126/M26,0)</f>
        <v>1</v>
      </c>
      <c r="N826" s="8">
        <f>IF(N26&gt;0,N126/N26,0)</f>
        <v>1</v>
      </c>
      <c r="O826" s="8">
        <f>IF(O26&gt;0,O126/O26,0)</f>
        <v>1</v>
      </c>
      <c r="P826" s="8">
        <f>IF(P26&gt;0,P126/P26,0)</f>
        <v>1</v>
      </c>
      <c r="Q826" s="8">
        <f>IF(Q26&gt;0,Q126/Q26,0)</f>
        <v>1</v>
      </c>
      <c r="R826" s="8">
        <f>IF(R26&gt;0,R126/R26,0)</f>
        <v>1</v>
      </c>
      <c r="S826" s="8">
        <f>IF(S26&gt;0,S126/S26,0)</f>
        <v>1</v>
      </c>
    </row>
    <row r="827">
      <c r="A827" s="16" t="s">
        <v>338</v>
      </c>
      <c r="B827" s="2" t="s">
        <v>322</v>
      </c>
      <c r="C827" s="8">
        <f>IF(C27&gt;0,C127/C27,0)</f>
        <v>0</v>
      </c>
      <c r="D827" s="8">
        <f>IF(D27&gt;0,D127/D27,0)</f>
        <v>0</v>
      </c>
      <c r="E827" s="8">
        <f>IF(E27&gt;0,E127/E27,0)</f>
        <v>0</v>
      </c>
      <c r="F827" s="8">
        <f>IF(F27&gt;0,F127/F27,0)</f>
        <v>0</v>
      </c>
      <c r="G827" s="8">
        <f>IF(G27&gt;0,G127/G27,0)</f>
        <v>0</v>
      </c>
      <c r="H827" s="8">
        <f>IF(H27&gt;0,H127/H27,0)</f>
        <v>0</v>
      </c>
      <c r="I827" s="8">
        <f>IF(I27&gt;0,I127/I27,0)</f>
        <v>0</v>
      </c>
      <c r="J827" s="8">
        <f>IF(J27&gt;0,J127/J27,0)</f>
        <v>0</v>
      </c>
      <c r="K827" s="8">
        <f>IF(K27&gt;0,K127/K27,0)</f>
        <v>0</v>
      </c>
      <c r="L827" s="8">
        <f>IF(L27&gt;0,L127/L27,0)</f>
        <v>0</v>
      </c>
      <c r="M827" s="8">
        <f>IF(M27&gt;0,M127/M27,0)</f>
        <v>0</v>
      </c>
      <c r="N827" s="8">
        <f>IF(N27&gt;0,N127/N27,0)</f>
        <v>0</v>
      </c>
      <c r="O827" s="8">
        <f>IF(O27&gt;0,O127/O27,0)</f>
        <v>0</v>
      </c>
      <c r="P827" s="8">
        <f>IF(P27&gt;0,P127/P27,0)</f>
        <v>0</v>
      </c>
      <c r="Q827" s="8">
        <f>IF(Q27&gt;0,Q127/Q27,0)</f>
        <v>0</v>
      </c>
      <c r="R827" s="8">
        <f>IF(R27&gt;0,R127/R27,0)</f>
        <v>0</v>
      </c>
      <c r="S827" s="8">
        <f>IF(S27&gt;0,S127/S27,0)</f>
        <v>0</v>
      </c>
    </row>
    <row r="828">
      <c r="A828" s="16" t="s">
        <v>339</v>
      </c>
      <c r="B828" s="2" t="s">
        <v>322</v>
      </c>
      <c r="C828" s="8">
        <f>IF(C28&gt;0,C128/C28,0)</f>
        <v>1</v>
      </c>
      <c r="D828" s="8">
        <f>IF(D28&gt;0,D128/D28,0)</f>
        <v>1</v>
      </c>
      <c r="E828" s="8">
        <f>IF(E28&gt;0,E128/E28,0)</f>
        <v>1</v>
      </c>
      <c r="F828" s="8">
        <f>IF(F28&gt;0,F128/F28,0)</f>
        <v>1</v>
      </c>
      <c r="G828" s="8">
        <f>IF(G28&gt;0,G128/G28,0)</f>
        <v>1</v>
      </c>
      <c r="H828" s="8">
        <f>IF(H28&gt;0,H128/H28,0)</f>
        <v>1</v>
      </c>
      <c r="I828" s="8">
        <f>IF(I28&gt;0,I128/I28,0)</f>
        <v>1</v>
      </c>
      <c r="J828" s="8">
        <f>IF(J28&gt;0,J128/J28,0)</f>
        <v>1</v>
      </c>
      <c r="K828" s="8">
        <f>IF(K28&gt;0,K128/K28,0)</f>
        <v>1</v>
      </c>
      <c r="L828" s="8">
        <f>IF(L28&gt;0,L128/L28,0)</f>
        <v>1</v>
      </c>
      <c r="M828" s="8">
        <f>IF(M28&gt;0,M128/M28,0)</f>
        <v>1</v>
      </c>
      <c r="N828" s="8">
        <f>IF(N28&gt;0,N128/N28,0)</f>
        <v>1</v>
      </c>
      <c r="O828" s="8">
        <f>IF(O28&gt;0,O128/O28,0)</f>
        <v>1</v>
      </c>
      <c r="P828" s="8">
        <f>IF(P28&gt;0,P128/P28,0)</f>
        <v>1</v>
      </c>
      <c r="Q828" s="8">
        <f>IF(Q28&gt;0,Q128/Q28,0)</f>
        <v>1</v>
      </c>
      <c r="R828" s="8">
        <f>IF(R28&gt;0,R128/R28,0)</f>
        <v>1</v>
      </c>
      <c r="S828" s="8">
        <f>IF(S28&gt;0,S128/S28,0)</f>
        <v>1</v>
      </c>
    </row>
    <row r="829">
      <c r="A829" s="16" t="s">
        <v>340</v>
      </c>
      <c r="B829" s="2" t="s">
        <v>322</v>
      </c>
      <c r="C829" s="8">
        <f>IF(C29&gt;0,C129/C29,0)</f>
        <v>0.07608695652173914</v>
      </c>
      <c r="D829" s="8">
        <f>IF(D29&gt;0,D129/D29,0)</f>
        <v>0.06593406593406594</v>
      </c>
      <c r="E829" s="8">
        <f>IF(E29&gt;0,E129/E29,0)</f>
        <v>0.06593406593406594</v>
      </c>
      <c r="F829" s="8">
        <f>IF(F29&gt;0,F129/F29,0)</f>
        <v>0.05555555555555555</v>
      </c>
      <c r="G829" s="8">
        <f>IF(G29&gt;0,G129/G29,0)</f>
        <v>0.05263157894736842</v>
      </c>
      <c r="H829" s="8">
        <f>IF(H29&gt;0,H129/H29,0)</f>
        <v>0.058823529411764705</v>
      </c>
      <c r="I829" s="8">
        <f>IF(I29&gt;0,I129/I29,0)</f>
        <v>0.05263157894736842</v>
      </c>
      <c r="J829" s="8">
        <f>IF(J29&gt;0,J129/J29,0)</f>
        <v>0.05555555555555555</v>
      </c>
      <c r="K829" s="8">
        <f>IF(K29&gt;0,K129/K29,0)</f>
        <v>0.058823529411764705</v>
      </c>
      <c r="L829" s="8">
        <f>IF(L29&gt;0,L129/L29,0)</f>
        <v>0.05555555555555555</v>
      </c>
      <c r="M829" s="8">
        <f>IF(M29&gt;0,M129/M29,0)</f>
        <v>0.058823529411764705</v>
      </c>
      <c r="N829" s="8">
        <f>IF(N29&gt;0,N129/N29,0)</f>
        <v>0.05555555555555555</v>
      </c>
      <c r="O829" s="8">
        <f>IF(O29&gt;0,O129/O29,0)</f>
        <v>0.05263157894736842</v>
      </c>
      <c r="P829" s="8">
        <f>IF(P29&gt;0,P129/P29,0)</f>
        <v>0.05555555555555555</v>
      </c>
      <c r="Q829" s="8">
        <f>IF(Q29&gt;0,Q129/Q29,0)</f>
        <v>0.05555555555555555</v>
      </c>
      <c r="R829" s="8">
        <f>IF(R29&gt;0,R129/R29,0)</f>
        <v>0.05555555555555555</v>
      </c>
      <c r="S829" s="8">
        <f>IF(S29&gt;0,S129/S29,0)</f>
        <v>0.05263157894736842</v>
      </c>
    </row>
    <row r="830">
      <c r="A830" s="16" t="s">
        <v>341</v>
      </c>
      <c r="B830" s="2" t="s">
        <v>322</v>
      </c>
      <c r="C830" s="8">
        <f>IF(C30&gt;0,C130/C30,0)</f>
        <v>0.6153846153846154</v>
      </c>
      <c r="D830" s="8">
        <f>IF(D30&gt;0,D130/D30,0)</f>
        <v>0.6349206349206349</v>
      </c>
      <c r="E830" s="8">
        <f>IF(E30&gt;0,E130/E30,0)</f>
        <v>0.6774193548387096</v>
      </c>
      <c r="F830" s="8">
        <f>IF(F30&gt;0,F130/F30,0)</f>
        <v>0.6136363636363636</v>
      </c>
      <c r="G830" s="8">
        <f>IF(G30&gt;0,G130/G30,0)</f>
        <v>0.47058823529411764</v>
      </c>
      <c r="H830" s="8">
        <f>IF(H30&gt;0,H130/H30,0)</f>
        <v>0.4444444444444444</v>
      </c>
      <c r="I830" s="8">
        <f>IF(I30&gt;0,I130/I30,0)</f>
        <v>0.4117647058823529</v>
      </c>
      <c r="J830" s="8">
        <f>IF(J30&gt;0,J130/J30,0)</f>
        <v>0.4634146341463415</v>
      </c>
      <c r="K830" s="8">
        <f>IF(K30&gt;0,K130/K30,0)</f>
        <v>0.5490196078431373</v>
      </c>
      <c r="L830" s="8">
        <f>IF(L30&gt;0,L130/L30,0)</f>
        <v>0.5636363636363636</v>
      </c>
      <c r="M830" s="8">
        <f>IF(M30&gt;0,M130/M30,0)</f>
        <v>0.34509803921568627</v>
      </c>
      <c r="N830" s="8">
        <f>IF(N30&gt;0,N130/N30,0)</f>
        <v>0.34615384615384615</v>
      </c>
      <c r="O830" s="8">
        <f>IF(O30&gt;0,O130/O30,0)</f>
        <v>0.3192090395480226</v>
      </c>
      <c r="P830" s="8">
        <f>IF(P30&gt;0,P130/P30,0)</f>
        <v>0.32432432432432434</v>
      </c>
      <c r="Q830" s="8">
        <f>IF(Q30&gt;0,Q130/Q30,0)</f>
        <v>0.29577464788732394</v>
      </c>
      <c r="R830" s="8">
        <f>IF(R30&gt;0,R130/R30,0)</f>
        <v>0.2857142857142857</v>
      </c>
      <c r="S830" s="8">
        <f>IF(S30&gt;0,S130/S30,0)</f>
        <v>0.2857142857142857</v>
      </c>
    </row>
    <row r="831">
      <c r="A831" s="16" t="s">
        <v>342</v>
      </c>
      <c r="B831" s="2" t="s">
        <v>322</v>
      </c>
      <c r="C831" s="8">
        <f>IF(C31&gt;0,C131/C31,0)</f>
        <v>1</v>
      </c>
      <c r="D831" s="8">
        <f>IF(D31&gt;0,D131/D31,0)</f>
        <v>1</v>
      </c>
      <c r="E831" s="8">
        <f>IF(E31&gt;0,E131/E31,0)</f>
        <v>1</v>
      </c>
      <c r="F831" s="8">
        <f>IF(F31&gt;0,F131/F31,0)</f>
        <v>1</v>
      </c>
      <c r="G831" s="8">
        <f>IF(G31&gt;0,G131/G31,0)</f>
        <v>1</v>
      </c>
      <c r="H831" s="8">
        <f>IF(H31&gt;0,H131/H31,0)</f>
        <v>1</v>
      </c>
      <c r="I831" s="8">
        <f>IF(I31&gt;0,I131/I31,0)</f>
        <v>1</v>
      </c>
      <c r="J831" s="8">
        <f>IF(J31&gt;0,J131/J31,0)</f>
        <v>1</v>
      </c>
      <c r="K831" s="8">
        <f>IF(K31&gt;0,K131/K31,0)</f>
        <v>1</v>
      </c>
      <c r="L831" s="8">
        <f>IF(L31&gt;0,L131/L31,0)</f>
        <v>1</v>
      </c>
      <c r="M831" s="8">
        <f>IF(M31&gt;0,M131/M31,0)</f>
        <v>1</v>
      </c>
      <c r="N831" s="8">
        <f>IF(N31&gt;0,N131/N31,0)</f>
        <v>1</v>
      </c>
      <c r="O831" s="8">
        <f>IF(O31&gt;0,O131/O31,0)</f>
        <v>1</v>
      </c>
      <c r="P831" s="8">
        <f>IF(P31&gt;0,P131/P31,0)</f>
        <v>1</v>
      </c>
      <c r="Q831" s="8">
        <f>IF(Q31&gt;0,Q131/Q31,0)</f>
        <v>1</v>
      </c>
      <c r="R831" s="8">
        <f>IF(R31&gt;0,R131/R31,0)</f>
        <v>1</v>
      </c>
      <c r="S831" s="8">
        <f>IF(S31&gt;0,S131/S31,0)</f>
        <v>1</v>
      </c>
    </row>
    <row r="832">
      <c r="A832" s="16" t="s">
        <v>343</v>
      </c>
      <c r="B832" s="2" t="s">
        <v>322</v>
      </c>
      <c r="C832" s="8">
        <f>IF(C32&gt;0,C132/C32,0)</f>
        <v>0.045454545454545456</v>
      </c>
      <c r="D832" s="8">
        <f>IF(D32&gt;0,D132/D32,0)</f>
        <v>0.045454545454545456</v>
      </c>
      <c r="E832" s="8">
        <f>IF(E32&gt;0,E132/E32,0)</f>
        <v>0.047619047619047616</v>
      </c>
      <c r="F832" s="8">
        <f>IF(F32&gt;0,F132/F32,0)</f>
        <v>0.045454545454545456</v>
      </c>
      <c r="G832" s="8">
        <f>IF(G32&gt;0,G132/G32,0)</f>
        <v>0.05</v>
      </c>
      <c r="H832" s="8">
        <f>IF(H32&gt;0,H132/H32,0)</f>
        <v>0.09803921568627451</v>
      </c>
      <c r="I832" s="8">
        <f>IF(I32&gt;0,I132/I32,0)</f>
        <v>0.0847457627118644</v>
      </c>
      <c r="J832" s="8">
        <f>IF(J32&gt;0,J132/J32,0)</f>
        <v>0.1</v>
      </c>
      <c r="K832" s="8">
        <f>IF(K32&gt;0,K132/K32,0)</f>
        <v>0.10714285714285714</v>
      </c>
      <c r="L832" s="8">
        <f>IF(L32&gt;0,L132/L32,0)</f>
        <v>0.07692307692307693</v>
      </c>
      <c r="M832" s="8">
        <f>IF(M32&gt;0,M132/M32,0)</f>
        <v>0.07692307692307693</v>
      </c>
      <c r="N832" s="8">
        <f>IF(N32&gt;0,N132/N32,0)</f>
        <v>0.08333333333333333</v>
      </c>
      <c r="O832" s="8">
        <f>IF(O32&gt;0,O132/O32,0)</f>
        <v>0.07692307692307693</v>
      </c>
      <c r="P832" s="8">
        <f>IF(P32&gt;0,P132/P32,0)</f>
        <v>0.08333333333333333</v>
      </c>
      <c r="Q832" s="8">
        <f>IF(Q32&gt;0,Q132/Q32,0)</f>
        <v>0.08333333333333333</v>
      </c>
      <c r="R832" s="8">
        <f>IF(R32&gt;0,R132/R32,0)</f>
        <v>0.08333333333333333</v>
      </c>
      <c r="S832" s="8">
        <f>IF(S32&gt;0,S132/S32,0)</f>
        <v>0.08333333333333333</v>
      </c>
    </row>
    <row r="833">
      <c r="A833" s="16" t="s">
        <v>344</v>
      </c>
      <c r="B833" s="2" t="s">
        <v>322</v>
      </c>
      <c r="C833" s="8">
        <f>IF(C33&gt;0,C133/C33,0)</f>
        <v>0.1258741258741259</v>
      </c>
      <c r="D833" s="8">
        <f>IF(D33&gt;0,D133/D33,0)</f>
        <v>0.12244897959183673</v>
      </c>
      <c r="E833" s="8">
        <f>IF(E33&gt;0,E133/E33,0)</f>
        <v>0.09345794392523364</v>
      </c>
      <c r="F833" s="8">
        <f>IF(F33&gt;0,F133/F33,0)</f>
        <v>0.11764705882352941</v>
      </c>
      <c r="G833" s="8">
        <f>IF(G33&gt;0,G133/G33,0)</f>
        <v>0.08695652173913043</v>
      </c>
      <c r="H833" s="8">
        <f>IF(H33&gt;0,H133/H33,0)</f>
        <v>0.08</v>
      </c>
      <c r="I833" s="8">
        <f>IF(I33&gt;0,I133/I33,0)</f>
        <v>0.1</v>
      </c>
      <c r="J833" s="8">
        <f>IF(J33&gt;0,J133/J33,0)</f>
        <v>0.11764705882352941</v>
      </c>
      <c r="K833" s="8">
        <f>IF(K33&gt;0,K133/K33,0)</f>
        <v>0.1111111111111111</v>
      </c>
      <c r="L833" s="8">
        <f>IF(L33&gt;0,L133/L33,0)</f>
        <v>0.10526315789473684</v>
      </c>
      <c r="M833" s="8">
        <f>IF(M33&gt;0,M133/M33,0)</f>
        <v>0.125</v>
      </c>
      <c r="N833" s="8">
        <f>IF(N33&gt;0,N133/N33,0)</f>
        <v>0.09090909090909091</v>
      </c>
      <c r="O833" s="8">
        <f>IF(O33&gt;0,O133/O33,0)</f>
        <v>0.18518518518518517</v>
      </c>
      <c r="P833" s="8">
        <f>IF(P33&gt;0,P133/P33,0)</f>
        <v>0.11627906976744186</v>
      </c>
      <c r="Q833" s="8">
        <f>IF(Q33&gt;0,Q133/Q33,0)</f>
        <v>0.12195121951219512</v>
      </c>
      <c r="R833" s="8">
        <f>IF(R33&gt;0,R133/R33,0)</f>
        <v>0.1111111111111111</v>
      </c>
      <c r="S833" s="8">
        <f>IF(S33&gt;0,S133/S33,0)</f>
        <v>0.11627906976744186</v>
      </c>
    </row>
    <row r="834">
      <c r="A834" s="16" t="s">
        <v>345</v>
      </c>
      <c r="B834" s="2" t="s">
        <v>322</v>
      </c>
      <c r="C834" s="8">
        <f>IF(C34&gt;0,C134/C34,0)</f>
        <v>0.37735849056603776</v>
      </c>
      <c r="D834" s="8">
        <f>IF(D34&gt;0,D134/D34,0)</f>
        <v>0.35294117647058826</v>
      </c>
      <c r="E834" s="8">
        <f>IF(E34&gt;0,E134/E34,0)</f>
        <v>0.34782608695652173</v>
      </c>
      <c r="F834" s="8">
        <f>IF(F34&gt;0,F134/F34,0)</f>
        <v>0.2916666666666667</v>
      </c>
      <c r="G834" s="8">
        <f>IF(G34&gt;0,G134/G34,0)</f>
        <v>0.3181818181818182</v>
      </c>
      <c r="H834" s="8">
        <f>IF(H34&gt;0,H134/H34,0)</f>
        <v>0.3181818181818182</v>
      </c>
      <c r="I834" s="8">
        <f>IF(I34&gt;0,I134/I34,0)</f>
        <v>0.30434782608695654</v>
      </c>
      <c r="J834" s="8">
        <f>IF(J34&gt;0,J134/J34,0)</f>
        <v>0.3</v>
      </c>
      <c r="K834" s="8">
        <f>IF(K34&gt;0,K134/K34,0)</f>
        <v>0.2857142857142857</v>
      </c>
      <c r="L834" s="8">
        <f>IF(L34&gt;0,L134/L34,0)</f>
        <v>0.29411764705882354</v>
      </c>
      <c r="M834" s="8">
        <f>IF(M34&gt;0,M134/M34,0)</f>
        <v>0.3</v>
      </c>
      <c r="N834" s="8">
        <f>IF(N34&gt;0,N134/N34,0)</f>
        <v>0.25925925925925924</v>
      </c>
      <c r="O834" s="8">
        <f>IF(O34&gt;0,O134/O34,0)</f>
        <v>0.29411764705882354</v>
      </c>
      <c r="P834" s="8">
        <f>IF(P34&gt;0,P134/P34,0)</f>
        <v>0.3333333333333333</v>
      </c>
      <c r="Q834" s="8">
        <f>IF(Q34&gt;0,Q134/Q34,0)</f>
        <v>0.29411764705882354</v>
      </c>
      <c r="R834" s="8">
        <f>IF(R34&gt;0,R134/R34,0)</f>
        <v>0.3125</v>
      </c>
      <c r="S834" s="8">
        <f>IF(S34&gt;0,S134/S34,0)</f>
        <v>0.3125</v>
      </c>
    </row>
    <row r="835">
      <c r="A835" s="16" t="s">
        <v>346</v>
      </c>
      <c r="B835" s="2" t="s">
        <v>322</v>
      </c>
      <c r="C835" s="8">
        <f>IF(C35&gt;0,C135/C35,0)</f>
        <v>1</v>
      </c>
      <c r="D835" s="8">
        <f>IF(D35&gt;0,D135/D35,0)</f>
        <v>1</v>
      </c>
      <c r="E835" s="8">
        <f>IF(E35&gt;0,E135/E35,0)</f>
        <v>1</v>
      </c>
      <c r="F835" s="8">
        <f>IF(F35&gt;0,F135/F35,0)</f>
        <v>1</v>
      </c>
      <c r="G835" s="8">
        <f>IF(G35&gt;0,G135/G35,0)</f>
        <v>1</v>
      </c>
      <c r="H835" s="8">
        <f>IF(H35&gt;0,H135/H35,0)</f>
        <v>1</v>
      </c>
      <c r="I835" s="8">
        <f>IF(I35&gt;0,I135/I35,0)</f>
        <v>1</v>
      </c>
      <c r="J835" s="8">
        <f>IF(J35&gt;0,J135/J35,0)</f>
        <v>1</v>
      </c>
      <c r="K835" s="8">
        <f>IF(K35&gt;0,K135/K35,0)</f>
        <v>1</v>
      </c>
      <c r="L835" s="8">
        <f>IF(L35&gt;0,L135/L35,0)</f>
        <v>1</v>
      </c>
      <c r="M835" s="8">
        <f>IF(M35&gt;0,M135/M35,0)</f>
        <v>1</v>
      </c>
      <c r="N835" s="8">
        <f>IF(N35&gt;0,N135/N35,0)</f>
        <v>1</v>
      </c>
      <c r="O835" s="8">
        <f>IF(O35&gt;0,O135/O35,0)</f>
        <v>1</v>
      </c>
      <c r="P835" s="8">
        <f>IF(P35&gt;0,P135/P35,0)</f>
        <v>1</v>
      </c>
      <c r="Q835" s="8">
        <f>IF(Q35&gt;0,Q135/Q35,0)</f>
        <v>1</v>
      </c>
      <c r="R835" s="8">
        <f>IF(R35&gt;0,R135/R35,0)</f>
        <v>1</v>
      </c>
      <c r="S835" s="8">
        <f>IF(S35&gt;0,S135/S35,0)</f>
        <v>1</v>
      </c>
    </row>
    <row r="836">
      <c r="A836" s="16" t="s">
        <v>347</v>
      </c>
      <c r="B836" s="2" t="s">
        <v>322</v>
      </c>
      <c r="C836" s="8">
        <f>IF(C36&gt;0,C136/C36,0)</f>
        <v>1</v>
      </c>
      <c r="D836" s="8">
        <f>IF(D36&gt;0,D136/D36,0)</f>
        <v>1</v>
      </c>
      <c r="E836" s="8">
        <f>IF(E36&gt;0,E136/E36,0)</f>
        <v>1</v>
      </c>
      <c r="F836" s="8">
        <f>IF(F36&gt;0,F136/F36,0)</f>
        <v>1</v>
      </c>
      <c r="G836" s="8">
        <f>IF(G36&gt;0,G136/G36,0)</f>
        <v>1</v>
      </c>
      <c r="H836" s="8">
        <f>IF(H36&gt;0,H136/H36,0)</f>
        <v>1</v>
      </c>
      <c r="I836" s="8">
        <f>IF(I36&gt;0,I136/I36,0)</f>
        <v>1</v>
      </c>
      <c r="J836" s="8">
        <f>IF(J36&gt;0,J136/J36,0)</f>
        <v>1</v>
      </c>
      <c r="K836" s="8">
        <f>IF(K36&gt;0,K136/K36,0)</f>
        <v>1</v>
      </c>
      <c r="L836" s="8">
        <f>IF(L36&gt;0,L136/L36,0)</f>
        <v>1</v>
      </c>
      <c r="M836" s="8">
        <f>IF(M36&gt;0,M136/M36,0)</f>
        <v>1</v>
      </c>
      <c r="N836" s="8">
        <f>IF(N36&gt;0,N136/N36,0)</f>
        <v>1</v>
      </c>
      <c r="O836" s="8">
        <f>IF(O36&gt;0,O136/O36,0)</f>
        <v>1</v>
      </c>
      <c r="P836" s="8">
        <f>IF(P36&gt;0,P136/P36,0)</f>
        <v>1</v>
      </c>
      <c r="Q836" s="8">
        <f>IF(Q36&gt;0,Q136/Q36,0)</f>
        <v>1</v>
      </c>
      <c r="R836" s="8">
        <f>IF(R36&gt;0,R136/R36,0)</f>
        <v>1</v>
      </c>
      <c r="S836" s="8">
        <f>IF(S36&gt;0,S136/S36,0)</f>
        <v>1</v>
      </c>
    </row>
    <row r="837">
      <c r="A837" s="16" t="s">
        <v>348</v>
      </c>
      <c r="B837" s="2" t="s">
        <v>322</v>
      </c>
      <c r="C837" s="8">
        <f>IF(C37&gt;0,C137/C37,0)</f>
        <v>0</v>
      </c>
      <c r="D837" s="8">
        <f>IF(D37&gt;0,D137/D37,0)</f>
        <v>0</v>
      </c>
      <c r="E837" s="8">
        <f>IF(E37&gt;0,E137/E37,0)</f>
        <v>0</v>
      </c>
      <c r="F837" s="8">
        <f>IF(F37&gt;0,F137/F37,0)</f>
        <v>0</v>
      </c>
      <c r="G837" s="8">
        <f>IF(G37&gt;0,G137/G37,0)</f>
        <v>0</v>
      </c>
      <c r="H837" s="8">
        <f>IF(H37&gt;0,H137/H37,0)</f>
        <v>0</v>
      </c>
      <c r="I837" s="8">
        <f>IF(I37&gt;0,I137/I37,0)</f>
        <v>0</v>
      </c>
      <c r="J837" s="8">
        <f>IF(J37&gt;0,J137/J37,0)</f>
        <v>0</v>
      </c>
      <c r="K837" s="8">
        <f>IF(K37&gt;0,K137/K37,0)</f>
        <v>0</v>
      </c>
      <c r="L837" s="8">
        <f>IF(L37&gt;0,L137/L37,0)</f>
        <v>0</v>
      </c>
      <c r="M837" s="8">
        <f>IF(M37&gt;0,M137/M37,0)</f>
        <v>0</v>
      </c>
      <c r="N837" s="8">
        <f>IF(N37&gt;0,N137/N37,0)</f>
        <v>0</v>
      </c>
      <c r="O837" s="8">
        <f>IF(O37&gt;0,O137/O37,0)</f>
        <v>0</v>
      </c>
      <c r="P837" s="8">
        <f>IF(P37&gt;0,P137/P37,0)</f>
        <v>0</v>
      </c>
      <c r="Q837" s="8">
        <f>IF(Q37&gt;0,Q137/Q37,0)</f>
        <v>0</v>
      </c>
      <c r="R837" s="8">
        <f>IF(R37&gt;0,R137/R37,0)</f>
        <v>0</v>
      </c>
      <c r="S837" s="8">
        <f>IF(S37&gt;0,S137/S37,0)</f>
        <v>0</v>
      </c>
    </row>
    <row r="838">
      <c r="A838" s="16" t="s">
        <v>349</v>
      </c>
      <c r="B838" s="2" t="s">
        <v>322</v>
      </c>
      <c r="C838" s="8">
        <f>IF(C38&gt;0,C138/C38,0)</f>
        <v>1</v>
      </c>
      <c r="D838" s="8">
        <f>IF(D38&gt;0,D138/D38,0)</f>
        <v>1</v>
      </c>
      <c r="E838" s="8">
        <f>IF(E38&gt;0,E138/E38,0)</f>
        <v>1</v>
      </c>
      <c r="F838" s="8">
        <f>IF(F38&gt;0,F138/F38,0)</f>
        <v>1</v>
      </c>
      <c r="G838" s="8">
        <f>IF(G38&gt;0,G138/G38,0)</f>
        <v>1</v>
      </c>
      <c r="H838" s="8">
        <f>IF(H38&gt;0,H138/H38,0)</f>
        <v>1</v>
      </c>
      <c r="I838" s="8">
        <f>IF(I38&gt;0,I138/I38,0)</f>
        <v>1</v>
      </c>
      <c r="J838" s="8">
        <f>IF(J38&gt;0,J138/J38,0)</f>
        <v>1</v>
      </c>
      <c r="K838" s="8">
        <f>IF(K38&gt;0,K138/K38,0)</f>
        <v>1</v>
      </c>
      <c r="L838" s="8">
        <f>IF(L38&gt;0,L138/L38,0)</f>
        <v>1</v>
      </c>
      <c r="M838" s="8">
        <f>IF(M38&gt;0,M138/M38,0)</f>
        <v>1</v>
      </c>
      <c r="N838" s="8">
        <f>IF(N38&gt;0,N138/N38,0)</f>
        <v>1</v>
      </c>
      <c r="O838" s="8">
        <f>IF(O38&gt;0,O138/O38,0)</f>
        <v>1</v>
      </c>
      <c r="P838" s="8">
        <f>IF(P38&gt;0,P138/P38,0)</f>
        <v>1</v>
      </c>
      <c r="Q838" s="8">
        <f>IF(Q38&gt;0,Q138/Q38,0)</f>
        <v>1</v>
      </c>
      <c r="R838" s="8">
        <f>IF(R38&gt;0,R138/R38,0)</f>
        <v>1</v>
      </c>
      <c r="S838" s="8">
        <f>IF(S38&gt;0,S138/S38,0)</f>
        <v>1</v>
      </c>
    </row>
    <row r="839">
      <c r="A839" s="16" t="s">
        <v>350</v>
      </c>
      <c r="B839" s="2" t="s">
        <v>322</v>
      </c>
      <c r="C839" s="8">
        <f>IF(C39&gt;0,C139/C39,0)</f>
        <v>1</v>
      </c>
      <c r="D839" s="8">
        <f>IF(D39&gt;0,D139/D39,0)</f>
        <v>1</v>
      </c>
      <c r="E839" s="8">
        <f>IF(E39&gt;0,E139/E39,0)</f>
        <v>1</v>
      </c>
      <c r="F839" s="8">
        <f>IF(F39&gt;0,F139/F39,0)</f>
        <v>1</v>
      </c>
      <c r="G839" s="8">
        <f>IF(G39&gt;0,G139/G39,0)</f>
        <v>1</v>
      </c>
      <c r="H839" s="8">
        <f>IF(H39&gt;0,H139/H39,0)</f>
        <v>1</v>
      </c>
      <c r="I839" s="8">
        <f>IF(I39&gt;0,I139/I39,0)</f>
        <v>1</v>
      </c>
      <c r="J839" s="8">
        <f>IF(J39&gt;0,J139/J39,0)</f>
        <v>1</v>
      </c>
      <c r="K839" s="8">
        <f>IF(K39&gt;0,K139/K39,0)</f>
        <v>1</v>
      </c>
      <c r="L839" s="8">
        <f>IF(L39&gt;0,L139/L39,0)</f>
        <v>1</v>
      </c>
      <c r="M839" s="8">
        <f>IF(M39&gt;0,M139/M39,0)</f>
        <v>1</v>
      </c>
      <c r="N839" s="8">
        <f>IF(N39&gt;0,N139/N39,0)</f>
        <v>1</v>
      </c>
      <c r="O839" s="8">
        <f>IF(O39&gt;0,O139/O39,0)</f>
        <v>1</v>
      </c>
      <c r="P839" s="8">
        <f>IF(P39&gt;0,P139/P39,0)</f>
        <v>1</v>
      </c>
      <c r="Q839" s="8">
        <f>IF(Q39&gt;0,Q139/Q39,0)</f>
        <v>1</v>
      </c>
      <c r="R839" s="8">
        <f>IF(R39&gt;0,R139/R39,0)</f>
        <v>1</v>
      </c>
      <c r="S839" s="8">
        <f>IF(S39&gt;0,S139/S39,0)</f>
        <v>1</v>
      </c>
    </row>
    <row r="840">
      <c r="A840" s="16" t="s">
        <v>351</v>
      </c>
      <c r="B840" s="2" t="s">
        <v>322</v>
      </c>
      <c r="C840" s="8">
        <f>IF(C40&gt;0,C140/C40,0)</f>
        <v>0</v>
      </c>
      <c r="D840" s="8">
        <f>IF(D40&gt;0,D140/D40,0)</f>
        <v>0</v>
      </c>
      <c r="E840" s="8">
        <f>IF(E40&gt;0,E140/E40,0)</f>
        <v>0</v>
      </c>
      <c r="F840" s="8">
        <f>IF(F40&gt;0,F140/F40,0)</f>
        <v>0</v>
      </c>
      <c r="G840" s="8">
        <f>IF(G40&gt;0,G140/G40,0)</f>
        <v>0</v>
      </c>
      <c r="H840" s="8">
        <f>IF(H40&gt;0,H140/H40,0)</f>
        <v>0</v>
      </c>
      <c r="I840" s="8">
        <f>IF(I40&gt;0,I140/I40,0)</f>
        <v>0</v>
      </c>
      <c r="J840" s="8">
        <f>IF(J40&gt;0,J140/J40,0)</f>
        <v>0</v>
      </c>
      <c r="K840" s="8">
        <f>IF(K40&gt;0,K140/K40,0)</f>
        <v>0</v>
      </c>
      <c r="L840" s="8">
        <f>IF(L40&gt;0,L140/L40,0)</f>
        <v>0</v>
      </c>
      <c r="M840" s="8">
        <f>IF(M40&gt;0,M140/M40,0)</f>
        <v>0</v>
      </c>
      <c r="N840" s="8">
        <f>IF(N40&gt;0,N140/N40,0)</f>
        <v>0</v>
      </c>
      <c r="O840" s="8">
        <f>IF(O40&gt;0,O140/O40,0)</f>
        <v>0</v>
      </c>
      <c r="P840" s="8">
        <f>IF(P40&gt;0,P140/P40,0)</f>
        <v>0</v>
      </c>
      <c r="Q840" s="8">
        <f>IF(Q40&gt;0,Q140/Q40,0)</f>
        <v>0</v>
      </c>
      <c r="R840" s="8">
        <f>IF(R40&gt;0,R140/R40,0)</f>
        <v>0</v>
      </c>
      <c r="S840" s="8">
        <f>IF(S40&gt;0,S140/S40,0)</f>
        <v>0</v>
      </c>
    </row>
    <row r="841">
      <c r="A841" s="16" t="s">
        <v>352</v>
      </c>
      <c r="B841" s="2" t="s">
        <v>322</v>
      </c>
      <c r="C841" s="8">
        <f>IF(C41&gt;0,C141/C41,0)</f>
        <v>1</v>
      </c>
      <c r="D841" s="8">
        <f>IF(D41&gt;0,D141/D41,0)</f>
        <v>1</v>
      </c>
      <c r="E841" s="8">
        <f>IF(E41&gt;0,E141/E41,0)</f>
        <v>1</v>
      </c>
      <c r="F841" s="8">
        <f>IF(F41&gt;0,F141/F41,0)</f>
        <v>1</v>
      </c>
      <c r="G841" s="8">
        <f>IF(G41&gt;0,G141/G41,0)</f>
        <v>1</v>
      </c>
      <c r="H841" s="8">
        <f>IF(H41&gt;0,H141/H41,0)</f>
        <v>1</v>
      </c>
      <c r="I841" s="8">
        <f>IF(I41&gt;0,I141/I41,0)</f>
        <v>1</v>
      </c>
      <c r="J841" s="8">
        <f>IF(J41&gt;0,J141/J41,0)</f>
        <v>1</v>
      </c>
      <c r="K841" s="8">
        <f>IF(K41&gt;0,K141/K41,0)</f>
        <v>1</v>
      </c>
      <c r="L841" s="8">
        <f>IF(L41&gt;0,L141/L41,0)</f>
        <v>1</v>
      </c>
      <c r="M841" s="8">
        <f>IF(M41&gt;0,M141/M41,0)</f>
        <v>1</v>
      </c>
      <c r="N841" s="8">
        <f>IF(N41&gt;0,N141/N41,0)</f>
        <v>1</v>
      </c>
      <c r="O841" s="8">
        <f>IF(O41&gt;0,O141/O41,0)</f>
        <v>1</v>
      </c>
      <c r="P841" s="8">
        <f>IF(P41&gt;0,P141/P41,0)</f>
        <v>1</v>
      </c>
      <c r="Q841" s="8">
        <f>IF(Q41&gt;0,Q141/Q41,0)</f>
        <v>1</v>
      </c>
      <c r="R841" s="8">
        <f>IF(R41&gt;0,R141/R41,0)</f>
        <v>1</v>
      </c>
      <c r="S841" s="8">
        <f>IF(S41&gt;0,S141/S41,0)</f>
        <v>1</v>
      </c>
    </row>
    <row r="842">
      <c r="A842" s="16" t="s">
        <v>353</v>
      </c>
      <c r="B842" s="2" t="s">
        <v>322</v>
      </c>
      <c r="C842" s="8">
        <f>IF(C42&gt;0,C142/C42,0)</f>
        <v>1</v>
      </c>
      <c r="D842" s="8">
        <f>IF(D42&gt;0,D142/D42,0)</f>
        <v>1</v>
      </c>
      <c r="E842" s="8">
        <f>IF(E42&gt;0,E142/E42,0)</f>
        <v>1</v>
      </c>
      <c r="F842" s="8">
        <f>IF(F42&gt;0,F142/F42,0)</f>
        <v>1</v>
      </c>
      <c r="G842" s="8">
        <f>IF(G42&gt;0,G142/G42,0)</f>
        <v>1</v>
      </c>
      <c r="H842" s="8">
        <f>IF(H42&gt;0,H142/H42,0)</f>
        <v>1</v>
      </c>
      <c r="I842" s="8">
        <f>IF(I42&gt;0,I142/I42,0)</f>
        <v>1</v>
      </c>
      <c r="J842" s="8">
        <f>IF(J42&gt;0,J142/J42,0)</f>
        <v>1</v>
      </c>
      <c r="K842" s="8">
        <f>IF(K42&gt;0,K142/K42,0)</f>
        <v>1</v>
      </c>
      <c r="L842" s="8">
        <f>IF(L42&gt;0,L142/L42,0)</f>
        <v>1</v>
      </c>
      <c r="M842" s="8">
        <f>IF(M42&gt;0,M142/M42,0)</f>
        <v>1</v>
      </c>
      <c r="N842" s="8">
        <f>IF(N42&gt;0,N142/N42,0)</f>
        <v>1</v>
      </c>
      <c r="O842" s="8">
        <f>IF(O42&gt;0,O142/O42,0)</f>
        <v>1</v>
      </c>
      <c r="P842" s="8">
        <f>IF(P42&gt;0,P142/P42,0)</f>
        <v>1</v>
      </c>
      <c r="Q842" s="8">
        <f>IF(Q42&gt;0,Q142/Q42,0)</f>
        <v>1</v>
      </c>
      <c r="R842" s="8">
        <f>IF(R42&gt;0,R142/R42,0)</f>
        <v>1</v>
      </c>
      <c r="S842" s="8">
        <f>IF(S42&gt;0,S142/S42,0)</f>
        <v>1</v>
      </c>
    </row>
    <row r="843">
      <c r="A843" s="16" t="s">
        <v>354</v>
      </c>
      <c r="B843" s="2" t="s">
        <v>322</v>
      </c>
      <c r="C843" s="8">
        <f>IF(C43&gt;0,C143/C43,0)</f>
        <v>0</v>
      </c>
      <c r="D843" s="8">
        <f>IF(D43&gt;0,D143/D43,0)</f>
        <v>0</v>
      </c>
      <c r="E843" s="8">
        <f>IF(E43&gt;0,E143/E43,0)</f>
        <v>0</v>
      </c>
      <c r="F843" s="8">
        <f>IF(F43&gt;0,F143/F43,0)</f>
        <v>0</v>
      </c>
      <c r="G843" s="8">
        <f>IF(G43&gt;0,G143/G43,0)</f>
        <v>0</v>
      </c>
      <c r="H843" s="8">
        <f>IF(H43&gt;0,H143/H43,0)</f>
        <v>0</v>
      </c>
      <c r="I843" s="8">
        <f>IF(I43&gt;0,I143/I43,0)</f>
        <v>0</v>
      </c>
      <c r="J843" s="8">
        <f>IF(J43&gt;0,J143/J43,0)</f>
        <v>0</v>
      </c>
      <c r="K843" s="8">
        <f>IF(K43&gt;0,K143/K43,0)</f>
        <v>0</v>
      </c>
      <c r="L843" s="8">
        <f>IF(L43&gt;0,L143/L43,0)</f>
        <v>0</v>
      </c>
      <c r="M843" s="8">
        <f>IF(M43&gt;0,M143/M43,0)</f>
        <v>0</v>
      </c>
      <c r="N843" s="8">
        <f>IF(N43&gt;0,N143/N43,0)</f>
        <v>0</v>
      </c>
      <c r="O843" s="8">
        <f>IF(O43&gt;0,O143/O43,0)</f>
        <v>0</v>
      </c>
      <c r="P843" s="8">
        <f>IF(P43&gt;0,P143/P43,0)</f>
        <v>0</v>
      </c>
      <c r="Q843" s="8">
        <f>IF(Q43&gt;0,Q143/Q43,0)</f>
        <v>0</v>
      </c>
      <c r="R843" s="8">
        <f>IF(R43&gt;0,R143/R43,0)</f>
        <v>0</v>
      </c>
      <c r="S843" s="8">
        <f>IF(S43&gt;0,S143/S43,0)</f>
        <v>0</v>
      </c>
    </row>
    <row r="844">
      <c r="A844" s="16" t="s">
        <v>355</v>
      </c>
      <c r="B844" s="2" t="s">
        <v>322</v>
      </c>
      <c r="C844" s="8">
        <f>IF(C44&gt;0,C144/C44,0)</f>
        <v>0</v>
      </c>
      <c r="D844" s="8">
        <f>IF(D44&gt;0,D144/D44,0)</f>
        <v>0</v>
      </c>
      <c r="E844" s="8">
        <f>IF(E44&gt;0,E144/E44,0)</f>
        <v>0</v>
      </c>
      <c r="F844" s="8">
        <f>IF(F44&gt;0,F144/F44,0)</f>
        <v>0</v>
      </c>
      <c r="G844" s="8">
        <f>IF(G44&gt;0,G144/G44,0)</f>
        <v>0</v>
      </c>
      <c r="H844" s="8">
        <f>IF(H44&gt;0,H144/H44,0)</f>
        <v>0</v>
      </c>
      <c r="I844" s="8">
        <f>IF(I44&gt;0,I144/I44,0)</f>
        <v>0</v>
      </c>
      <c r="J844" s="8">
        <f>IF(J44&gt;0,J144/J44,0)</f>
        <v>0</v>
      </c>
      <c r="K844" s="8">
        <f>IF(K44&gt;0,K144/K44,0)</f>
        <v>0</v>
      </c>
      <c r="L844" s="8">
        <f>IF(L44&gt;0,L144/L44,0)</f>
        <v>0</v>
      </c>
      <c r="M844" s="8">
        <f>IF(M44&gt;0,M144/M44,0)</f>
        <v>0</v>
      </c>
      <c r="N844" s="8">
        <f>IF(N44&gt;0,N144/N44,0)</f>
        <v>0</v>
      </c>
      <c r="O844" s="8">
        <f>IF(O44&gt;0,O144/O44,0)</f>
        <v>0</v>
      </c>
      <c r="P844" s="8">
        <f>IF(P44&gt;0,P144/P44,0)</f>
        <v>0</v>
      </c>
      <c r="Q844" s="8">
        <f>IF(Q44&gt;0,Q144/Q44,0)</f>
        <v>0</v>
      </c>
      <c r="R844" s="8">
        <f>IF(R44&gt;0,R144/R44,0)</f>
        <v>0</v>
      </c>
      <c r="S844" s="8">
        <f>IF(S44&gt;0,S144/S44,0)</f>
        <v>0</v>
      </c>
    </row>
    <row r="845">
      <c r="A845" s="16" t="s">
        <v>356</v>
      </c>
      <c r="B845" s="2" t="s">
        <v>322</v>
      </c>
      <c r="C845" s="8">
        <f>IF(C45&gt;0,C145/C45,0)</f>
        <v>1</v>
      </c>
      <c r="D845" s="8">
        <f>IF(D45&gt;0,D145/D45,0)</f>
        <v>1</v>
      </c>
      <c r="E845" s="8">
        <f>IF(E45&gt;0,E145/E45,0)</f>
        <v>1</v>
      </c>
      <c r="F845" s="8">
        <f>IF(F45&gt;0,F145/F45,0)</f>
        <v>1</v>
      </c>
      <c r="G845" s="8">
        <f>IF(G45&gt;0,G145/G45,0)</f>
        <v>1</v>
      </c>
      <c r="H845" s="8">
        <f>IF(H45&gt;0,H145/H45,0)</f>
        <v>1</v>
      </c>
      <c r="I845" s="8">
        <f>IF(I45&gt;0,I145/I45,0)</f>
        <v>1</v>
      </c>
      <c r="J845" s="8">
        <f>IF(J45&gt;0,J145/J45,0)</f>
        <v>1</v>
      </c>
      <c r="K845" s="8">
        <f>IF(K45&gt;0,K145/K45,0)</f>
        <v>1</v>
      </c>
      <c r="L845" s="8">
        <f>IF(L45&gt;0,L145/L45,0)</f>
        <v>1</v>
      </c>
      <c r="M845" s="8">
        <f>IF(M45&gt;0,M145/M45,0)</f>
        <v>1</v>
      </c>
      <c r="N845" s="8">
        <f>IF(N45&gt;0,N145/N45,0)</f>
        <v>1</v>
      </c>
      <c r="O845" s="8">
        <f>IF(O45&gt;0,O145/O45,0)</f>
        <v>1</v>
      </c>
      <c r="P845" s="8">
        <f>IF(P45&gt;0,P145/P45,0)</f>
        <v>1</v>
      </c>
      <c r="Q845" s="8">
        <f>IF(Q45&gt;0,Q145/Q45,0)</f>
        <v>1</v>
      </c>
      <c r="R845" s="8">
        <f>IF(R45&gt;0,R145/R45,0)</f>
        <v>1</v>
      </c>
      <c r="S845" s="8">
        <f>IF(S45&gt;0,S145/S45,0)</f>
        <v>1</v>
      </c>
    </row>
    <row r="846">
      <c r="A846" s="16" t="s">
        <v>357</v>
      </c>
      <c r="B846" s="2" t="s">
        <v>322</v>
      </c>
      <c r="C846" s="8">
        <f>IF(C46&gt;0,C146/C46,0)</f>
        <v>0</v>
      </c>
      <c r="D846" s="8">
        <f>IF(D46&gt;0,D146/D46,0)</f>
        <v>0</v>
      </c>
      <c r="E846" s="8">
        <f>IF(E46&gt;0,E146/E46,0)</f>
        <v>0</v>
      </c>
      <c r="F846" s="8">
        <f>IF(F46&gt;0,F146/F46,0)</f>
        <v>0</v>
      </c>
      <c r="G846" s="8">
        <f>IF(G46&gt;0,G146/G46,0)</f>
        <v>0</v>
      </c>
      <c r="H846" s="8">
        <f>IF(H46&gt;0,H146/H46,0)</f>
        <v>0</v>
      </c>
      <c r="I846" s="8">
        <f>IF(I46&gt;0,I146/I46,0)</f>
        <v>0</v>
      </c>
      <c r="J846" s="8">
        <f>IF(J46&gt;0,J146/J46,0)</f>
        <v>0</v>
      </c>
      <c r="K846" s="8">
        <f>IF(K46&gt;0,K146/K46,0)</f>
        <v>0</v>
      </c>
      <c r="L846" s="8">
        <f>IF(L46&gt;0,L146/L46,0)</f>
        <v>0</v>
      </c>
      <c r="M846" s="8">
        <f>IF(M46&gt;0,M146/M46,0)</f>
        <v>0</v>
      </c>
      <c r="N846" s="8">
        <f>IF(N46&gt;0,N146/N46,0)</f>
        <v>0</v>
      </c>
      <c r="O846" s="8">
        <f>IF(O46&gt;0,O146/O46,0)</f>
        <v>0</v>
      </c>
      <c r="P846" s="8">
        <f>IF(P46&gt;0,P146/P46,0)</f>
        <v>0</v>
      </c>
      <c r="Q846" s="8">
        <f>IF(Q46&gt;0,Q146/Q46,0)</f>
        <v>0</v>
      </c>
      <c r="R846" s="8">
        <f>IF(R46&gt;0,R146/R46,0)</f>
        <v>0</v>
      </c>
      <c r="S846" s="8">
        <f>IF(S46&gt;0,S146/S46,0)</f>
        <v>0</v>
      </c>
    </row>
    <row r="847">
      <c r="A847" s="16" t="s">
        <v>358</v>
      </c>
      <c r="B847" s="2" t="s">
        <v>322</v>
      </c>
      <c r="C847" s="8">
        <f>IF(C47&gt;0,C147/C47,0)</f>
        <v>0</v>
      </c>
      <c r="D847" s="8">
        <f>IF(D47&gt;0,D147/D47,0)</f>
        <v>0</v>
      </c>
      <c r="E847" s="8">
        <f>IF(E47&gt;0,E147/E47,0)</f>
        <v>0</v>
      </c>
      <c r="F847" s="8">
        <f>IF(F47&gt;0,F147/F47,0)</f>
        <v>0</v>
      </c>
      <c r="G847" s="8">
        <f>IF(G47&gt;0,G147/G47,0)</f>
        <v>0</v>
      </c>
      <c r="H847" s="8">
        <f>IF(H47&gt;0,H147/H47,0)</f>
        <v>0</v>
      </c>
      <c r="I847" s="8">
        <f>IF(I47&gt;0,I147/I47,0)</f>
        <v>0</v>
      </c>
      <c r="J847" s="8">
        <f>IF(J47&gt;0,J147/J47,0)</f>
        <v>0</v>
      </c>
      <c r="K847" s="8">
        <f>IF(K47&gt;0,K147/K47,0)</f>
        <v>0</v>
      </c>
      <c r="L847" s="8">
        <f>IF(L47&gt;0,L147/L47,0)</f>
        <v>0</v>
      </c>
      <c r="M847" s="8">
        <f>IF(M47&gt;0,M147/M47,0)</f>
        <v>0</v>
      </c>
      <c r="N847" s="8">
        <f>IF(N47&gt;0,N147/N47,0)</f>
        <v>0</v>
      </c>
      <c r="O847" s="8">
        <f>IF(O47&gt;0,O147/O47,0)</f>
        <v>0</v>
      </c>
      <c r="P847" s="8">
        <f>IF(P47&gt;0,P147/P47,0)</f>
        <v>0</v>
      </c>
      <c r="Q847" s="8">
        <f>IF(Q47&gt;0,Q147/Q47,0)</f>
        <v>0</v>
      </c>
      <c r="R847" s="8">
        <f>IF(R47&gt;0,R147/R47,0)</f>
        <v>0</v>
      </c>
      <c r="S847" s="8">
        <f>IF(S47&gt;0,S147/S47,0)</f>
        <v>0</v>
      </c>
    </row>
    <row r="848">
      <c r="A848" s="16" t="s">
        <v>359</v>
      </c>
      <c r="B848" s="2" t="s">
        <v>322</v>
      </c>
      <c r="C848" s="8">
        <f>IF(C48&gt;0,C148/C48,0)</f>
        <v>1</v>
      </c>
      <c r="D848" s="8">
        <f>IF(D48&gt;0,D148/D48,0)</f>
        <v>1</v>
      </c>
      <c r="E848" s="8">
        <f>IF(E48&gt;0,E148/E48,0)</f>
        <v>1</v>
      </c>
      <c r="F848" s="8">
        <f>IF(F48&gt;0,F148/F48,0)</f>
        <v>1</v>
      </c>
      <c r="G848" s="8">
        <f>IF(G48&gt;0,G148/G48,0)</f>
        <v>1</v>
      </c>
      <c r="H848" s="8">
        <f>IF(H48&gt;0,H148/H48,0)</f>
        <v>0</v>
      </c>
      <c r="I848" s="8">
        <f>IF(I48&gt;0,I148/I48,0)</f>
        <v>0</v>
      </c>
      <c r="J848" s="8">
        <f>IF(J48&gt;0,J148/J48,0)</f>
        <v>0</v>
      </c>
      <c r="K848" s="8">
        <f>IF(K48&gt;0,K148/K48,0)</f>
        <v>0</v>
      </c>
      <c r="L848" s="8">
        <f>IF(L48&gt;0,L148/L48,0)</f>
        <v>0</v>
      </c>
      <c r="M848" s="8">
        <f>IF(M48&gt;0,M148/M48,0)</f>
        <v>0</v>
      </c>
      <c r="N848" s="8">
        <f>IF(N48&gt;0,N148/N48,0)</f>
        <v>0</v>
      </c>
      <c r="O848" s="8">
        <f>IF(O48&gt;0,O148/O48,0)</f>
        <v>0</v>
      </c>
      <c r="P848" s="8">
        <f>IF(P48&gt;0,P148/P48,0)</f>
        <v>0</v>
      </c>
      <c r="Q848" s="8">
        <f>IF(Q48&gt;0,Q148/Q48,0)</f>
        <v>0</v>
      </c>
      <c r="R848" s="8">
        <f>IF(R48&gt;0,R148/R48,0)</f>
        <v>0</v>
      </c>
      <c r="S848" s="8">
        <f>IF(S48&gt;0,S148/S48,0)</f>
        <v>0</v>
      </c>
    </row>
    <row r="849">
      <c r="A849" s="16" t="s">
        <v>360</v>
      </c>
      <c r="B849" s="2" t="s">
        <v>322</v>
      </c>
      <c r="C849" s="8">
        <f>IF(C49&gt;0,C149/C49,0)</f>
        <v>0</v>
      </c>
      <c r="D849" s="8">
        <f>IF(D49&gt;0,D149/D49,0)</f>
        <v>0</v>
      </c>
      <c r="E849" s="8">
        <f>IF(E49&gt;0,E149/E49,0)</f>
        <v>0</v>
      </c>
      <c r="F849" s="8">
        <f>IF(F49&gt;0,F149/F49,0)</f>
        <v>0</v>
      </c>
      <c r="G849" s="8">
        <f>IF(G49&gt;0,G149/G49,0)</f>
        <v>0</v>
      </c>
      <c r="H849" s="8">
        <f>IF(H49&gt;0,H149/H49,0)</f>
        <v>0</v>
      </c>
      <c r="I849" s="8">
        <f>IF(I49&gt;0,I149/I49,0)</f>
        <v>0</v>
      </c>
      <c r="J849" s="8">
        <f>IF(J49&gt;0,J149/J49,0)</f>
        <v>0</v>
      </c>
      <c r="K849" s="8">
        <f>IF(K49&gt;0,K149/K49,0)</f>
        <v>0</v>
      </c>
      <c r="L849" s="8">
        <f>IF(L49&gt;0,L149/L49,0)</f>
        <v>0</v>
      </c>
      <c r="M849" s="8">
        <f>IF(M49&gt;0,M149/M49,0)</f>
        <v>0</v>
      </c>
      <c r="N849" s="8">
        <f>IF(N49&gt;0,N149/N49,0)</f>
        <v>0</v>
      </c>
      <c r="O849" s="8">
        <f>IF(O49&gt;0,O149/O49,0)</f>
        <v>0</v>
      </c>
      <c r="P849" s="8">
        <f>IF(P49&gt;0,P149/P49,0)</f>
        <v>0</v>
      </c>
      <c r="Q849" s="8">
        <f>IF(Q49&gt;0,Q149/Q49,0)</f>
        <v>0</v>
      </c>
      <c r="R849" s="8">
        <f>IF(R49&gt;0,R149/R49,0)</f>
        <v>0</v>
      </c>
      <c r="S849" s="8">
        <f>IF(S49&gt;0,S149/S49,0)</f>
        <v>0</v>
      </c>
    </row>
    <row r="850">
      <c r="A850" s="16" t="s">
        <v>361</v>
      </c>
      <c r="B850" s="2" t="s">
        <v>322</v>
      </c>
      <c r="C850" s="8">
        <f>IF(C50&gt;0,C150/C50,0)</f>
        <v>1</v>
      </c>
      <c r="D850" s="8">
        <f>IF(D50&gt;0,D150/D50,0)</f>
        <v>1</v>
      </c>
      <c r="E850" s="8">
        <f>IF(E50&gt;0,E150/E50,0)</f>
        <v>1</v>
      </c>
      <c r="F850" s="8">
        <f>IF(F50&gt;0,F150/F50,0)</f>
        <v>1</v>
      </c>
      <c r="G850" s="8">
        <f>IF(G50&gt;0,G150/G50,0)</f>
        <v>1</v>
      </c>
      <c r="H850" s="8">
        <f>IF(H50&gt;0,H150/H50,0)</f>
        <v>1</v>
      </c>
      <c r="I850" s="8">
        <f>IF(I50&gt;0,I150/I50,0)</f>
        <v>1</v>
      </c>
      <c r="J850" s="8">
        <f>IF(J50&gt;0,J150/J50,0)</f>
        <v>1</v>
      </c>
      <c r="K850" s="8">
        <f>IF(K50&gt;0,K150/K50,0)</f>
        <v>1</v>
      </c>
      <c r="L850" s="8">
        <f>IF(L50&gt;0,L150/L50,0)</f>
        <v>1</v>
      </c>
      <c r="M850" s="8">
        <f>IF(M50&gt;0,M150/M50,0)</f>
        <v>0</v>
      </c>
      <c r="N850" s="8">
        <f>IF(N50&gt;0,N150/N50,0)</f>
        <v>0</v>
      </c>
      <c r="O850" s="8">
        <f>IF(O50&gt;0,O150/O50,0)</f>
        <v>0</v>
      </c>
      <c r="P850" s="8">
        <f>IF(P50&gt;0,P150/P50,0)</f>
        <v>0</v>
      </c>
      <c r="Q850" s="8">
        <f>IF(Q50&gt;0,Q150/Q50,0)</f>
        <v>0</v>
      </c>
      <c r="R850" s="8">
        <f>IF(R50&gt;0,R150/R50,0)</f>
        <v>0</v>
      </c>
      <c r="S850" s="8">
        <f>IF(S50&gt;0,S150/S50,0)</f>
        <v>0</v>
      </c>
    </row>
    <row r="851">
      <c r="A851" s="16" t="s">
        <v>362</v>
      </c>
      <c r="B851" s="2" t="s">
        <v>322</v>
      </c>
      <c r="C851" s="8">
        <f>IF(C51&gt;0,C151/C51,0)</f>
        <v>0</v>
      </c>
      <c r="D851" s="8">
        <f>IF(D51&gt;0,D151/D51,0)</f>
        <v>0</v>
      </c>
      <c r="E851" s="8">
        <f>IF(E51&gt;0,E151/E51,0)</f>
        <v>0</v>
      </c>
      <c r="F851" s="8">
        <f>IF(F51&gt;0,F151/F51,0)</f>
        <v>0</v>
      </c>
      <c r="G851" s="8">
        <f>IF(G51&gt;0,G151/G51,0)</f>
        <v>0</v>
      </c>
      <c r="H851" s="8">
        <f>IF(H51&gt;0,H151/H51,0)</f>
        <v>0</v>
      </c>
      <c r="I851" s="8">
        <f>IF(I51&gt;0,I151/I51,0)</f>
        <v>0</v>
      </c>
      <c r="J851" s="8">
        <f>IF(J51&gt;0,J151/J51,0)</f>
        <v>0</v>
      </c>
      <c r="K851" s="8">
        <f>IF(K51&gt;0,K151/K51,0)</f>
        <v>0</v>
      </c>
      <c r="L851" s="8">
        <f>IF(L51&gt;0,L151/L51,0)</f>
        <v>0</v>
      </c>
      <c r="M851" s="8">
        <f>IF(M51&gt;0,M151/M51,0)</f>
        <v>0</v>
      </c>
      <c r="N851" s="8">
        <f>IF(N51&gt;0,N151/N51,0)</f>
        <v>0</v>
      </c>
      <c r="O851" s="8">
        <f>IF(O51&gt;0,O151/O51,0)</f>
        <v>0</v>
      </c>
      <c r="P851" s="8">
        <f>IF(P51&gt;0,P151/P51,0)</f>
        <v>0</v>
      </c>
      <c r="Q851" s="8">
        <f>IF(Q51&gt;0,Q151/Q51,0)</f>
        <v>0</v>
      </c>
      <c r="R851" s="8">
        <f>IF(R51&gt;0,R151/R51,0)</f>
        <v>0</v>
      </c>
      <c r="S851" s="8">
        <f>IF(S51&gt;0,S151/S51,0)</f>
        <v>0</v>
      </c>
    </row>
    <row r="852">
      <c r="A852" s="16" t="s">
        <v>363</v>
      </c>
      <c r="B852" s="2" t="s">
        <v>322</v>
      </c>
      <c r="C852" s="8">
        <f>IF(C52&gt;0,C152/C52,0)</f>
        <v>1</v>
      </c>
      <c r="D852" s="8">
        <f>IF(D52&gt;0,D152/D52,0)</f>
        <v>1</v>
      </c>
      <c r="E852" s="8">
        <f>IF(E52&gt;0,E152/E52,0)</f>
        <v>1</v>
      </c>
      <c r="F852" s="8">
        <f>IF(F52&gt;0,F152/F52,0)</f>
        <v>1</v>
      </c>
      <c r="G852" s="8">
        <f>IF(G52&gt;0,G152/G52,0)</f>
        <v>1</v>
      </c>
      <c r="H852" s="8">
        <f>IF(H52&gt;0,H152/H52,0)</f>
        <v>0</v>
      </c>
      <c r="I852" s="8">
        <f>IF(I52&gt;0,I152/I52,0)</f>
        <v>0</v>
      </c>
      <c r="J852" s="8">
        <f>IF(J52&gt;0,J152/J52,0)</f>
        <v>0</v>
      </c>
      <c r="K852" s="8">
        <f>IF(K52&gt;0,K152/K52,0)</f>
        <v>0</v>
      </c>
      <c r="L852" s="8">
        <f>IF(L52&gt;0,L152/L52,0)</f>
        <v>0</v>
      </c>
      <c r="M852" s="8">
        <f>IF(M52&gt;0,M152/M52,0)</f>
        <v>0</v>
      </c>
      <c r="N852" s="8">
        <f>IF(N52&gt;0,N152/N52,0)</f>
        <v>0</v>
      </c>
      <c r="O852" s="8">
        <f>IF(O52&gt;0,O152/O52,0)</f>
        <v>0</v>
      </c>
      <c r="P852" s="8">
        <f>IF(P52&gt;0,P152/P52,0)</f>
        <v>0</v>
      </c>
      <c r="Q852" s="8">
        <f>IF(Q52&gt;0,Q152/Q52,0)</f>
        <v>0</v>
      </c>
      <c r="R852" s="8">
        <f>IF(R52&gt;0,R152/R52,0)</f>
        <v>0</v>
      </c>
      <c r="S852" s="8">
        <f>IF(S52&gt;0,S152/S52,0)</f>
        <v>0</v>
      </c>
    </row>
    <row r="853">
      <c r="A853" s="16" t="s">
        <v>364</v>
      </c>
      <c r="B853" s="2" t="s">
        <v>365</v>
      </c>
      <c r="C853" s="8">
        <f>IF(C53&gt;0,C153/C53,0)</f>
        <v>0</v>
      </c>
      <c r="D853" s="8">
        <f>IF(D53&gt;0,D153/D53,0)</f>
        <v>0</v>
      </c>
      <c r="E853" s="8">
        <f>IF(E53&gt;0,E153/E53,0)</f>
        <v>0</v>
      </c>
      <c r="F853" s="8">
        <f>IF(F53&gt;0,F153/F53,0)</f>
        <v>0</v>
      </c>
      <c r="G853" s="8">
        <f>IF(G53&gt;0,G153/G53,0)</f>
        <v>0</v>
      </c>
      <c r="H853" s="8">
        <f>IF(H53&gt;0,H153/H53,0)</f>
        <v>0</v>
      </c>
      <c r="I853" s="8">
        <f>IF(I53&gt;0,I153/I53,0)</f>
        <v>0</v>
      </c>
      <c r="J853" s="8">
        <f>IF(J53&gt;0,J153/J53,0)</f>
        <v>0</v>
      </c>
      <c r="K853" s="8">
        <f>IF(K53&gt;0,K153/K53,0)</f>
        <v>0</v>
      </c>
      <c r="L853" s="8">
        <f>IF(L53&gt;0,L153/L53,0)</f>
        <v>0</v>
      </c>
      <c r="M853" s="8">
        <f>IF(M53&gt;0,M153/M53,0)</f>
        <v>0</v>
      </c>
      <c r="N853" s="8">
        <f>IF(N53&gt;0,N153/N53,0)</f>
        <v>0</v>
      </c>
      <c r="O853" s="8">
        <f>IF(O53&gt;0,O153/O53,0)</f>
        <v>0</v>
      </c>
      <c r="P853" s="8">
        <f>IF(P53&gt;0,P153/P53,0)</f>
        <v>0</v>
      </c>
      <c r="Q853" s="8">
        <f>IF(Q53&gt;0,Q153/Q53,0)</f>
        <v>0</v>
      </c>
      <c r="R853" s="8">
        <f>IF(R53&gt;0,R153/R53,0)</f>
        <v>0</v>
      </c>
      <c r="S853" s="8">
        <f>IF(S53&gt;0,S153/S53,0)</f>
        <v>0</v>
      </c>
    </row>
    <row r="854">
      <c r="A854" s="16" t="s">
        <v>366</v>
      </c>
      <c r="B854" s="2" t="s">
        <v>365</v>
      </c>
      <c r="C854" s="8">
        <f>IF(C54&gt;0,C154/C54,0)</f>
        <v>0</v>
      </c>
      <c r="D854" s="8">
        <f>IF(D54&gt;0,D154/D54,0)</f>
        <v>0</v>
      </c>
      <c r="E854" s="8">
        <f>IF(E54&gt;0,E154/E54,0)</f>
        <v>0</v>
      </c>
      <c r="F854" s="8">
        <f>IF(F54&gt;0,F154/F54,0)</f>
        <v>0</v>
      </c>
      <c r="G854" s="8">
        <f>IF(G54&gt;0,G154/G54,0)</f>
        <v>0</v>
      </c>
      <c r="H854" s="8">
        <f>IF(H54&gt;0,H154/H54,0)</f>
        <v>0</v>
      </c>
      <c r="I854" s="8">
        <f>IF(I54&gt;0,I154/I54,0)</f>
        <v>0</v>
      </c>
      <c r="J854" s="8">
        <f>IF(J54&gt;0,J154/J54,0)</f>
        <v>0</v>
      </c>
      <c r="K854" s="8">
        <f>IF(K54&gt;0,K154/K54,0)</f>
        <v>0</v>
      </c>
      <c r="L854" s="8">
        <f>IF(L54&gt;0,L154/L54,0)</f>
        <v>0</v>
      </c>
      <c r="M854" s="8">
        <f>IF(M54&gt;0,M154/M54,0)</f>
        <v>0</v>
      </c>
      <c r="N854" s="8">
        <f>IF(N54&gt;0,N154/N54,0)</f>
        <v>0</v>
      </c>
      <c r="O854" s="8">
        <f>IF(O54&gt;0,O154/O54,0)</f>
        <v>0</v>
      </c>
      <c r="P854" s="8">
        <f>IF(P54&gt;0,P154/P54,0)</f>
        <v>0</v>
      </c>
      <c r="Q854" s="8">
        <f>IF(Q54&gt;0,Q154/Q54,0)</f>
        <v>0</v>
      </c>
      <c r="R854" s="8">
        <f>IF(R54&gt;0,R154/R54,0)</f>
        <v>0</v>
      </c>
      <c r="S854" s="8">
        <f>IF(S54&gt;0,S154/S54,0)</f>
        <v>0</v>
      </c>
    </row>
    <row r="855">
      <c r="A855" s="16" t="s">
        <v>367</v>
      </c>
      <c r="B855" s="2" t="s">
        <v>365</v>
      </c>
      <c r="C855" s="8">
        <f>IF(C55&gt;0,C155/C55,0)</f>
        <v>0</v>
      </c>
      <c r="D855" s="8">
        <f>IF(D55&gt;0,D155/D55,0)</f>
        <v>0</v>
      </c>
      <c r="E855" s="8">
        <f>IF(E55&gt;0,E155/E55,0)</f>
        <v>0</v>
      </c>
      <c r="F855" s="8">
        <f>IF(F55&gt;0,F155/F55,0)</f>
        <v>0</v>
      </c>
      <c r="G855" s="8">
        <f>IF(G55&gt;0,G155/G55,0)</f>
        <v>0</v>
      </c>
      <c r="H855" s="8">
        <f>IF(H55&gt;0,H155/H55,0)</f>
        <v>0</v>
      </c>
      <c r="I855" s="8">
        <f>IF(I55&gt;0,I155/I55,0)</f>
        <v>0</v>
      </c>
      <c r="J855" s="8">
        <f>IF(J55&gt;0,J155/J55,0)</f>
        <v>0</v>
      </c>
      <c r="K855" s="8">
        <f>IF(K55&gt;0,K155/K55,0)</f>
        <v>0</v>
      </c>
      <c r="L855" s="8">
        <f>IF(L55&gt;0,L155/L55,0)</f>
        <v>0</v>
      </c>
      <c r="M855" s="8">
        <f>IF(M55&gt;0,M155/M55,0)</f>
        <v>0</v>
      </c>
      <c r="N855" s="8">
        <f>IF(N55&gt;0,N155/N55,0)</f>
        <v>0</v>
      </c>
      <c r="O855" s="8">
        <f>IF(O55&gt;0,O155/O55,0)</f>
        <v>0</v>
      </c>
      <c r="P855" s="8">
        <f>IF(P55&gt;0,P155/P55,0)</f>
        <v>0</v>
      </c>
      <c r="Q855" s="8">
        <f>IF(Q55&gt;0,Q155/Q55,0)</f>
        <v>0</v>
      </c>
      <c r="R855" s="8">
        <f>IF(R55&gt;0,R155/R55,0)</f>
        <v>0</v>
      </c>
      <c r="S855" s="8">
        <f>IF(S55&gt;0,S155/S55,0)</f>
        <v>0</v>
      </c>
    </row>
    <row r="856">
      <c r="A856" s="16" t="s">
        <v>368</v>
      </c>
      <c r="B856" s="2" t="s">
        <v>365</v>
      </c>
      <c r="C856" s="8">
        <f>IF(C56&gt;0,C156/C56,0)</f>
        <v>0</v>
      </c>
      <c r="D856" s="8">
        <f>IF(D56&gt;0,D156/D56,0)</f>
        <v>0</v>
      </c>
      <c r="E856" s="8">
        <f>IF(E56&gt;0,E156/E56,0)</f>
        <v>0</v>
      </c>
      <c r="F856" s="8">
        <f>IF(F56&gt;0,F156/F56,0)</f>
        <v>0</v>
      </c>
      <c r="G856" s="8">
        <f>IF(G56&gt;0,G156/G56,0)</f>
        <v>0</v>
      </c>
      <c r="H856" s="8">
        <f>IF(H56&gt;0,H156/H56,0)</f>
        <v>0</v>
      </c>
      <c r="I856" s="8">
        <f>IF(I56&gt;0,I156/I56,0)</f>
        <v>0</v>
      </c>
      <c r="J856" s="8">
        <f>IF(J56&gt;0,J156/J56,0)</f>
        <v>0</v>
      </c>
      <c r="K856" s="8">
        <f>IF(K56&gt;0,K156/K56,0)</f>
        <v>0</v>
      </c>
      <c r="L856" s="8">
        <f>IF(L56&gt;0,L156/L56,0)</f>
        <v>0</v>
      </c>
      <c r="M856" s="8">
        <f>IF(M56&gt;0,M156/M56,0)</f>
        <v>0</v>
      </c>
      <c r="N856" s="8">
        <f>IF(N56&gt;0,N156/N56,0)</f>
        <v>0</v>
      </c>
      <c r="O856" s="8">
        <f>IF(O56&gt;0,O156/O56,0)</f>
        <v>0</v>
      </c>
      <c r="P856" s="8">
        <f>IF(P56&gt;0,P156/P56,0)</f>
        <v>0</v>
      </c>
      <c r="Q856" s="8">
        <f>IF(Q56&gt;0,Q156/Q56,0)</f>
        <v>0</v>
      </c>
      <c r="R856" s="8">
        <f>IF(R56&gt;0,R156/R56,0)</f>
        <v>0</v>
      </c>
      <c r="S856" s="8">
        <f>IF(S56&gt;0,S156/S56,0)</f>
        <v>0</v>
      </c>
    </row>
    <row r="857">
      <c r="A857" s="16" t="s">
        <v>369</v>
      </c>
      <c r="B857" s="2" t="s">
        <v>365</v>
      </c>
      <c r="C857" s="8">
        <f>IF(C57&gt;0,C157/C57,0)</f>
        <v>0</v>
      </c>
      <c r="D857" s="8">
        <f>IF(D57&gt;0,D157/D57,0)</f>
        <v>0</v>
      </c>
      <c r="E857" s="8">
        <f>IF(E57&gt;0,E157/E57,0)</f>
        <v>0</v>
      </c>
      <c r="F857" s="8">
        <f>IF(F57&gt;0,F157/F57,0)</f>
        <v>0</v>
      </c>
      <c r="G857" s="8">
        <f>IF(G57&gt;0,G157/G57,0)</f>
        <v>0</v>
      </c>
      <c r="H857" s="8">
        <f>IF(H57&gt;0,H157/H57,0)</f>
        <v>0</v>
      </c>
      <c r="I857" s="8">
        <f>IF(I57&gt;0,I157/I57,0)</f>
        <v>0</v>
      </c>
      <c r="J857" s="8">
        <f>IF(J57&gt;0,J157/J57,0)</f>
        <v>0</v>
      </c>
      <c r="K857" s="8">
        <f>IF(K57&gt;0,K157/K57,0)</f>
        <v>0</v>
      </c>
      <c r="L857" s="8">
        <f>IF(L57&gt;0,L157/L57,0)</f>
        <v>0</v>
      </c>
      <c r="M857" s="8">
        <f>IF(M57&gt;0,M157/M57,0)</f>
        <v>0</v>
      </c>
      <c r="N857" s="8">
        <f>IF(N57&gt;0,N157/N57,0)</f>
        <v>0</v>
      </c>
      <c r="O857" s="8">
        <f>IF(O57&gt;0,O157/O57,0)</f>
        <v>0</v>
      </c>
      <c r="P857" s="8">
        <f>IF(P57&gt;0,P157/P57,0)</f>
        <v>0</v>
      </c>
      <c r="Q857" s="8">
        <f>IF(Q57&gt;0,Q157/Q57,0)</f>
        <v>0</v>
      </c>
      <c r="R857" s="8">
        <f>IF(R57&gt;0,R157/R57,0)</f>
        <v>0</v>
      </c>
      <c r="S857" s="8">
        <f>IF(S57&gt;0,S157/S57,0)</f>
        <v>0</v>
      </c>
    </row>
    <row r="858">
      <c r="A858" s="16" t="s">
        <v>370</v>
      </c>
      <c r="B858" s="2" t="s">
        <v>365</v>
      </c>
      <c r="C858" s="8">
        <f>IF(C58&gt;0,C158/C58,0)</f>
        <v>0</v>
      </c>
      <c r="D858" s="8">
        <f>IF(D58&gt;0,D158/D58,0)</f>
        <v>0</v>
      </c>
      <c r="E858" s="8">
        <f>IF(E58&gt;0,E158/E58,0)</f>
        <v>0</v>
      </c>
      <c r="F858" s="8">
        <f>IF(F58&gt;0,F158/F58,0)</f>
        <v>0</v>
      </c>
      <c r="G858" s="8">
        <f>IF(G58&gt;0,G158/G58,0)</f>
        <v>0</v>
      </c>
      <c r="H858" s="8">
        <f>IF(H58&gt;0,H158/H58,0)</f>
        <v>0</v>
      </c>
      <c r="I858" s="8">
        <f>IF(I58&gt;0,I158/I58,0)</f>
        <v>0</v>
      </c>
      <c r="J858" s="8">
        <f>IF(J58&gt;0,J158/J58,0)</f>
        <v>0</v>
      </c>
      <c r="K858" s="8">
        <f>IF(K58&gt;0,K158/K58,0)</f>
        <v>0</v>
      </c>
      <c r="L858" s="8">
        <f>IF(L58&gt;0,L158/L58,0)</f>
        <v>0</v>
      </c>
      <c r="M858" s="8">
        <f>IF(M58&gt;0,M158/M58,0)</f>
        <v>0</v>
      </c>
      <c r="N858" s="8">
        <f>IF(N58&gt;0,N158/N58,0)</f>
        <v>0</v>
      </c>
      <c r="O858" s="8">
        <f>IF(O58&gt;0,O158/O58,0)</f>
        <v>0</v>
      </c>
      <c r="P858" s="8">
        <f>IF(P58&gt;0,P158/P58,0)</f>
        <v>0</v>
      </c>
      <c r="Q858" s="8">
        <f>IF(Q58&gt;0,Q158/Q58,0)</f>
        <v>0</v>
      </c>
      <c r="R858" s="8">
        <f>IF(R58&gt;0,R158/R58,0)</f>
        <v>0</v>
      </c>
      <c r="S858" s="8">
        <f>IF(S58&gt;0,S158/S58,0)</f>
        <v>0</v>
      </c>
    </row>
    <row r="859">
      <c r="A859" s="16" t="s">
        <v>371</v>
      </c>
      <c r="B859" s="2" t="s">
        <v>365</v>
      </c>
      <c r="C859" s="8">
        <f>IF(C59&gt;0,C159/C59,0)</f>
        <v>0</v>
      </c>
      <c r="D859" s="8">
        <f>IF(D59&gt;0,D159/D59,0)</f>
        <v>0</v>
      </c>
      <c r="E859" s="8">
        <f>IF(E59&gt;0,E159/E59,0)</f>
        <v>0</v>
      </c>
      <c r="F859" s="8">
        <f>IF(F59&gt;0,F159/F59,0)</f>
        <v>0</v>
      </c>
      <c r="G859" s="8">
        <f>IF(G59&gt;0,G159/G59,0)</f>
        <v>0</v>
      </c>
      <c r="H859" s="8">
        <f>IF(H59&gt;0,H159/H59,0)</f>
        <v>0</v>
      </c>
      <c r="I859" s="8">
        <f>IF(I59&gt;0,I159/I59,0)</f>
        <v>0</v>
      </c>
      <c r="J859" s="8">
        <f>IF(J59&gt;0,J159/J59,0)</f>
        <v>0</v>
      </c>
      <c r="K859" s="8">
        <f>IF(K59&gt;0,K159/K59,0)</f>
        <v>0</v>
      </c>
      <c r="L859" s="8">
        <f>IF(L59&gt;0,L159/L59,0)</f>
        <v>0</v>
      </c>
      <c r="M859" s="8">
        <f>IF(M59&gt;0,M159/M59,0)</f>
        <v>0</v>
      </c>
      <c r="N859" s="8">
        <f>IF(N59&gt;0,N159/N59,0)</f>
        <v>0</v>
      </c>
      <c r="O859" s="8">
        <f>IF(O59&gt;0,O159/O59,0)</f>
        <v>0</v>
      </c>
      <c r="P859" s="8">
        <f>IF(P59&gt;0,P159/P59,0)</f>
        <v>0</v>
      </c>
      <c r="Q859" s="8">
        <f>IF(Q59&gt;0,Q159/Q59,0)</f>
        <v>0</v>
      </c>
      <c r="R859" s="8">
        <f>IF(R59&gt;0,R159/R59,0)</f>
        <v>0</v>
      </c>
      <c r="S859" s="8">
        <f>IF(S59&gt;0,S159/S59,0)</f>
        <v>0</v>
      </c>
    </row>
    <row r="860">
      <c r="A860" s="16" t="s">
        <v>372</v>
      </c>
      <c r="B860" s="2" t="s">
        <v>365</v>
      </c>
      <c r="C860" s="8">
        <f>IF(C60&gt;0,C160/C60,0)</f>
        <v>0</v>
      </c>
      <c r="D860" s="8">
        <f>IF(D60&gt;0,D160/D60,0)</f>
        <v>0</v>
      </c>
      <c r="E860" s="8">
        <f>IF(E60&gt;0,E160/E60,0)</f>
        <v>0</v>
      </c>
      <c r="F860" s="8">
        <f>IF(F60&gt;0,F160/F60,0)</f>
        <v>0</v>
      </c>
      <c r="G860" s="8">
        <f>IF(G60&gt;0,G160/G60,0)</f>
        <v>0</v>
      </c>
      <c r="H860" s="8">
        <f>IF(H60&gt;0,H160/H60,0)</f>
        <v>0</v>
      </c>
      <c r="I860" s="8">
        <f>IF(I60&gt;0,I160/I60,0)</f>
        <v>0</v>
      </c>
      <c r="J860" s="8">
        <f>IF(J60&gt;0,J160/J60,0)</f>
        <v>0</v>
      </c>
      <c r="K860" s="8">
        <f>IF(K60&gt;0,K160/K60,0)</f>
        <v>0</v>
      </c>
      <c r="L860" s="8">
        <f>IF(L60&gt;0,L160/L60,0)</f>
        <v>0</v>
      </c>
      <c r="M860" s="8">
        <f>IF(M60&gt;0,M160/M60,0)</f>
        <v>0</v>
      </c>
      <c r="N860" s="8">
        <f>IF(N60&gt;0,N160/N60,0)</f>
        <v>0</v>
      </c>
      <c r="O860" s="8">
        <f>IF(O60&gt;0,O160/O60,0)</f>
        <v>0</v>
      </c>
      <c r="P860" s="8">
        <f>IF(P60&gt;0,P160/P60,0)</f>
        <v>0</v>
      </c>
      <c r="Q860" s="8">
        <f>IF(Q60&gt;0,Q160/Q60,0)</f>
        <v>0</v>
      </c>
      <c r="R860" s="8">
        <f>IF(R60&gt;0,R160/R60,0)</f>
        <v>0</v>
      </c>
      <c r="S860" s="8">
        <f>IF(S60&gt;0,S160/S60,0)</f>
        <v>0</v>
      </c>
    </row>
    <row r="861">
      <c r="A861" s="16" t="s">
        <v>373</v>
      </c>
      <c r="B861" s="2" t="s">
        <v>365</v>
      </c>
      <c r="C861" s="8">
        <f>IF(C61&gt;0,C161/C61,0)</f>
        <v>0</v>
      </c>
      <c r="D861" s="8">
        <f>IF(D61&gt;0,D161/D61,0)</f>
        <v>0</v>
      </c>
      <c r="E861" s="8">
        <f>IF(E61&gt;0,E161/E61,0)</f>
        <v>0</v>
      </c>
      <c r="F861" s="8">
        <f>IF(F61&gt;0,F161/F61,0)</f>
        <v>0</v>
      </c>
      <c r="G861" s="8">
        <f>IF(G61&gt;0,G161/G61,0)</f>
        <v>0</v>
      </c>
      <c r="H861" s="8">
        <f>IF(H61&gt;0,H161/H61,0)</f>
        <v>0</v>
      </c>
      <c r="I861" s="8">
        <f>IF(I61&gt;0,I161/I61,0)</f>
        <v>0</v>
      </c>
      <c r="J861" s="8">
        <f>IF(J61&gt;0,J161/J61,0)</f>
        <v>0</v>
      </c>
      <c r="K861" s="8">
        <f>IF(K61&gt;0,K161/K61,0)</f>
        <v>0</v>
      </c>
      <c r="L861" s="8">
        <f>IF(L61&gt;0,L161/L61,0)</f>
        <v>0</v>
      </c>
      <c r="M861" s="8">
        <f>IF(M61&gt;0,M161/M61,0)</f>
        <v>0</v>
      </c>
      <c r="N861" s="8">
        <f>IF(N61&gt;0,N161/N61,0)</f>
        <v>0</v>
      </c>
      <c r="O861" s="8">
        <f>IF(O61&gt;0,O161/O61,0)</f>
        <v>0</v>
      </c>
      <c r="P861" s="8">
        <f>IF(P61&gt;0,P161/P61,0)</f>
        <v>0</v>
      </c>
      <c r="Q861" s="8">
        <f>IF(Q61&gt;0,Q161/Q61,0)</f>
        <v>0</v>
      </c>
      <c r="R861" s="8">
        <f>IF(R61&gt;0,R161/R61,0)</f>
        <v>0</v>
      </c>
      <c r="S861" s="8">
        <f>IF(S61&gt;0,S161/S61,0)</f>
        <v>0</v>
      </c>
    </row>
    <row r="862">
      <c r="A862" s="16" t="s">
        <v>374</v>
      </c>
      <c r="B862" s="2" t="s">
        <v>365</v>
      </c>
      <c r="C862" s="8">
        <f>IF(C62&gt;0,C162/C62,0)</f>
        <v>0</v>
      </c>
      <c r="D862" s="8">
        <f>IF(D62&gt;0,D162/D62,0)</f>
        <v>0</v>
      </c>
      <c r="E862" s="8">
        <f>IF(E62&gt;0,E162/E62,0)</f>
        <v>0</v>
      </c>
      <c r="F862" s="8">
        <f>IF(F62&gt;0,F162/F62,0)</f>
        <v>0</v>
      </c>
      <c r="G862" s="8">
        <f>IF(G62&gt;0,G162/G62,0)</f>
        <v>0</v>
      </c>
      <c r="H862" s="8">
        <f>IF(H62&gt;0,H162/H62,0)</f>
        <v>0</v>
      </c>
      <c r="I862" s="8">
        <f>IF(I62&gt;0,I162/I62,0)</f>
        <v>0</v>
      </c>
      <c r="J862" s="8">
        <f>IF(J62&gt;0,J162/J62,0)</f>
        <v>0</v>
      </c>
      <c r="K862" s="8">
        <f>IF(K62&gt;0,K162/K62,0)</f>
        <v>0</v>
      </c>
      <c r="L862" s="8">
        <f>IF(L62&gt;0,L162/L62,0)</f>
        <v>0</v>
      </c>
      <c r="M862" s="8">
        <f>IF(M62&gt;0,M162/M62,0)</f>
        <v>0</v>
      </c>
      <c r="N862" s="8">
        <f>IF(N62&gt;0,N162/N62,0)</f>
        <v>0</v>
      </c>
      <c r="O862" s="8">
        <f>IF(O62&gt;0,O162/O62,0)</f>
        <v>0</v>
      </c>
      <c r="P862" s="8">
        <f>IF(P62&gt;0,P162/P62,0)</f>
        <v>0</v>
      </c>
      <c r="Q862" s="8">
        <f>IF(Q62&gt;0,Q162/Q62,0)</f>
        <v>0</v>
      </c>
      <c r="R862" s="8">
        <f>IF(R62&gt;0,R162/R62,0)</f>
        <v>0</v>
      </c>
      <c r="S862" s="8">
        <f>IF(S62&gt;0,S162/S62,0)</f>
        <v>0</v>
      </c>
    </row>
    <row r="863">
      <c r="A863" s="16" t="s">
        <v>375</v>
      </c>
      <c r="B863" s="2" t="s">
        <v>365</v>
      </c>
      <c r="C863" s="8">
        <f>IF(C63&gt;0,C163/C63,0)</f>
        <v>0</v>
      </c>
      <c r="D863" s="8">
        <f>IF(D63&gt;0,D163/D63,0)</f>
        <v>0</v>
      </c>
      <c r="E863" s="8">
        <f>IF(E63&gt;0,E163/E63,0)</f>
        <v>0</v>
      </c>
      <c r="F863" s="8">
        <f>IF(F63&gt;0,F163/F63,0)</f>
        <v>0</v>
      </c>
      <c r="G863" s="8">
        <f>IF(G63&gt;0,G163/G63,0)</f>
        <v>0</v>
      </c>
      <c r="H863" s="8">
        <f>IF(H63&gt;0,H163/H63,0)</f>
        <v>0</v>
      </c>
      <c r="I863" s="8">
        <f>IF(I63&gt;0,I163/I63,0)</f>
        <v>0</v>
      </c>
      <c r="J863" s="8">
        <f>IF(J63&gt;0,J163/J63,0)</f>
        <v>0</v>
      </c>
      <c r="K863" s="8">
        <f>IF(K63&gt;0,K163/K63,0)</f>
        <v>0</v>
      </c>
      <c r="L863" s="8">
        <f>IF(L63&gt;0,L163/L63,0)</f>
        <v>0</v>
      </c>
      <c r="M863" s="8">
        <f>IF(M63&gt;0,M163/M63,0)</f>
        <v>0</v>
      </c>
      <c r="N863" s="8">
        <f>IF(N63&gt;0,N163/N63,0)</f>
        <v>0</v>
      </c>
      <c r="O863" s="8">
        <f>IF(O63&gt;0,O163/O63,0)</f>
        <v>0</v>
      </c>
      <c r="P863" s="8">
        <f>IF(P63&gt;0,P163/P63,0)</f>
        <v>0</v>
      </c>
      <c r="Q863" s="8">
        <f>IF(Q63&gt;0,Q163/Q63,0)</f>
        <v>0</v>
      </c>
      <c r="R863" s="8">
        <f>IF(R63&gt;0,R163/R63,0)</f>
        <v>0</v>
      </c>
      <c r="S863" s="8">
        <f>IF(S63&gt;0,S163/S63,0)</f>
        <v>0</v>
      </c>
    </row>
    <row r="864">
      <c r="A864" s="16" t="s">
        <v>376</v>
      </c>
      <c r="B864" s="2" t="s">
        <v>365</v>
      </c>
      <c r="C864" s="8">
        <f>IF(C64&gt;0,C164/C64,0)</f>
        <v>0</v>
      </c>
      <c r="D864" s="8">
        <f>IF(D64&gt;0,D164/D64,0)</f>
        <v>0</v>
      </c>
      <c r="E864" s="8">
        <f>IF(E64&gt;0,E164/E64,0)</f>
        <v>0</v>
      </c>
      <c r="F864" s="8">
        <f>IF(F64&gt;0,F164/F64,0)</f>
        <v>0</v>
      </c>
      <c r="G864" s="8">
        <f>IF(G64&gt;0,G164/G64,0)</f>
        <v>0</v>
      </c>
      <c r="H864" s="8">
        <f>IF(H64&gt;0,H164/H64,0)</f>
        <v>0</v>
      </c>
      <c r="I864" s="8">
        <f>IF(I64&gt;0,I164/I64,0)</f>
        <v>0</v>
      </c>
      <c r="J864" s="8">
        <f>IF(J64&gt;0,J164/J64,0)</f>
        <v>0</v>
      </c>
      <c r="K864" s="8">
        <f>IF(K64&gt;0,K164/K64,0)</f>
        <v>0</v>
      </c>
      <c r="L864" s="8">
        <f>IF(L64&gt;0,L164/L64,0)</f>
        <v>0</v>
      </c>
      <c r="M864" s="8">
        <f>IF(M64&gt;0,M164/M64,0)</f>
        <v>0</v>
      </c>
      <c r="N864" s="8">
        <f>IF(N64&gt;0,N164/N64,0)</f>
        <v>0</v>
      </c>
      <c r="O864" s="8">
        <f>IF(O64&gt;0,O164/O64,0)</f>
        <v>0</v>
      </c>
      <c r="P864" s="8">
        <f>IF(P64&gt;0,P164/P64,0)</f>
        <v>0</v>
      </c>
      <c r="Q864" s="8">
        <f>IF(Q64&gt;0,Q164/Q64,0)</f>
        <v>0</v>
      </c>
      <c r="R864" s="8">
        <f>IF(R64&gt;0,R164/R64,0)</f>
        <v>0</v>
      </c>
      <c r="S864" s="8">
        <f>IF(S64&gt;0,S164/S64,0)</f>
        <v>0</v>
      </c>
    </row>
    <row r="865">
      <c r="A865" s="16" t="s">
        <v>377</v>
      </c>
      <c r="B865" s="2" t="s">
        <v>365</v>
      </c>
      <c r="C865" s="8">
        <f>IF(C65&gt;0,C165/C65,0)</f>
        <v>0</v>
      </c>
      <c r="D865" s="8">
        <f>IF(D65&gt;0,D165/D65,0)</f>
        <v>0</v>
      </c>
      <c r="E865" s="8">
        <f>IF(E65&gt;0,E165/E65,0)</f>
        <v>0</v>
      </c>
      <c r="F865" s="8">
        <f>IF(F65&gt;0,F165/F65,0)</f>
        <v>0</v>
      </c>
      <c r="G865" s="8">
        <f>IF(G65&gt;0,G165/G65,0)</f>
        <v>0</v>
      </c>
      <c r="H865" s="8">
        <f>IF(H65&gt;0,H165/H65,0)</f>
        <v>0</v>
      </c>
      <c r="I865" s="8">
        <f>IF(I65&gt;0,I165/I65,0)</f>
        <v>0</v>
      </c>
      <c r="J865" s="8">
        <f>IF(J65&gt;0,J165/J65,0)</f>
        <v>0</v>
      </c>
      <c r="K865" s="8">
        <f>IF(K65&gt;0,K165/K65,0)</f>
        <v>0</v>
      </c>
      <c r="L865" s="8">
        <f>IF(L65&gt;0,L165/L65,0)</f>
        <v>0</v>
      </c>
      <c r="M865" s="8">
        <f>IF(M65&gt;0,M165/M65,0)</f>
        <v>0</v>
      </c>
      <c r="N865" s="8">
        <f>IF(N65&gt;0,N165/N65,0)</f>
        <v>0</v>
      </c>
      <c r="O865" s="8">
        <f>IF(O65&gt;0,O165/O65,0)</f>
        <v>0</v>
      </c>
      <c r="P865" s="8">
        <f>IF(P65&gt;0,P165/P65,0)</f>
        <v>0</v>
      </c>
      <c r="Q865" s="8">
        <f>IF(Q65&gt;0,Q165/Q65,0)</f>
        <v>0</v>
      </c>
      <c r="R865" s="8">
        <f>IF(R65&gt;0,R165/R65,0)</f>
        <v>0</v>
      </c>
      <c r="S865" s="8">
        <f>IF(S65&gt;0,S165/S65,0)</f>
        <v>0</v>
      </c>
    </row>
    <row r="866">
      <c r="A866" s="16" t="s">
        <v>378</v>
      </c>
      <c r="B866" s="2" t="s">
        <v>365</v>
      </c>
      <c r="C866" s="8">
        <f>IF(C66&gt;0,C166/C66,0)</f>
        <v>0</v>
      </c>
      <c r="D866" s="8">
        <f>IF(D66&gt;0,D166/D66,0)</f>
        <v>0</v>
      </c>
      <c r="E866" s="8">
        <f>IF(E66&gt;0,E166/E66,0)</f>
        <v>0</v>
      </c>
      <c r="F866" s="8">
        <f>IF(F66&gt;0,F166/F66,0)</f>
        <v>0</v>
      </c>
      <c r="G866" s="8">
        <f>IF(G66&gt;0,G166/G66,0)</f>
        <v>0</v>
      </c>
      <c r="H866" s="8">
        <f>IF(H66&gt;0,H166/H66,0)</f>
        <v>0</v>
      </c>
      <c r="I866" s="8">
        <f>IF(I66&gt;0,I166/I66,0)</f>
        <v>0</v>
      </c>
      <c r="J866" s="8">
        <f>IF(J66&gt;0,J166/J66,0)</f>
        <v>0</v>
      </c>
      <c r="K866" s="8">
        <f>IF(K66&gt;0,K166/K66,0)</f>
        <v>0</v>
      </c>
      <c r="L866" s="8">
        <f>IF(L66&gt;0,L166/L66,0)</f>
        <v>0</v>
      </c>
      <c r="M866" s="8">
        <f>IF(M66&gt;0,M166/M66,0)</f>
        <v>0</v>
      </c>
      <c r="N866" s="8">
        <f>IF(N66&gt;0,N166/N66,0)</f>
        <v>0</v>
      </c>
      <c r="O866" s="8">
        <f>IF(O66&gt;0,O166/O66,0)</f>
        <v>0</v>
      </c>
      <c r="P866" s="8">
        <f>IF(P66&gt;0,P166/P66,0)</f>
        <v>0</v>
      </c>
      <c r="Q866" s="8">
        <f>IF(Q66&gt;0,Q166/Q66,0)</f>
        <v>0</v>
      </c>
      <c r="R866" s="8">
        <f>IF(R66&gt;0,R166/R66,0)</f>
        <v>0</v>
      </c>
      <c r="S866" s="8">
        <f>IF(S66&gt;0,S166/S66,0)</f>
        <v>0</v>
      </c>
    </row>
    <row r="867">
      <c r="A867" s="16" t="s">
        <v>379</v>
      </c>
      <c r="B867" s="2" t="s">
        <v>365</v>
      </c>
      <c r="C867" s="8">
        <f>IF(C67&gt;0,C167/C67,0)</f>
        <v>0</v>
      </c>
      <c r="D867" s="8">
        <f>IF(D67&gt;0,D167/D67,0)</f>
        <v>0</v>
      </c>
      <c r="E867" s="8">
        <f>IF(E67&gt;0,E167/E67,0)</f>
        <v>0</v>
      </c>
      <c r="F867" s="8">
        <f>IF(F67&gt;0,F167/F67,0)</f>
        <v>0</v>
      </c>
      <c r="G867" s="8">
        <f>IF(G67&gt;0,G167/G67,0)</f>
        <v>0</v>
      </c>
      <c r="H867" s="8">
        <f>IF(H67&gt;0,H167/H67,0)</f>
        <v>0</v>
      </c>
      <c r="I867" s="8">
        <f>IF(I67&gt;0,I167/I67,0)</f>
        <v>0</v>
      </c>
      <c r="J867" s="8">
        <f>IF(J67&gt;0,J167/J67,0)</f>
        <v>0</v>
      </c>
      <c r="K867" s="8">
        <f>IF(K67&gt;0,K167/K67,0)</f>
        <v>0</v>
      </c>
      <c r="L867" s="8">
        <f>IF(L67&gt;0,L167/L67,0)</f>
        <v>0</v>
      </c>
      <c r="M867" s="8">
        <f>IF(M67&gt;0,M167/M67,0)</f>
        <v>0</v>
      </c>
      <c r="N867" s="8">
        <f>IF(N67&gt;0,N167/N67,0)</f>
        <v>0</v>
      </c>
      <c r="O867" s="8">
        <f>IF(O67&gt;0,O167/O67,0)</f>
        <v>0</v>
      </c>
      <c r="P867" s="8">
        <f>IF(P67&gt;0,P167/P67,0)</f>
        <v>0</v>
      </c>
      <c r="Q867" s="8">
        <f>IF(Q67&gt;0,Q167/Q67,0)</f>
        <v>0</v>
      </c>
      <c r="R867" s="8">
        <f>IF(R67&gt;0,R167/R67,0)</f>
        <v>0</v>
      </c>
      <c r="S867" s="8">
        <f>IF(S67&gt;0,S167/S67,0)</f>
        <v>0</v>
      </c>
    </row>
    <row r="868">
      <c r="A868" s="16" t="s">
        <v>380</v>
      </c>
      <c r="B868" s="2" t="s">
        <v>365</v>
      </c>
      <c r="C868" s="8">
        <f>IF(C68&gt;0,C168/C68,0)</f>
        <v>0</v>
      </c>
      <c r="D868" s="8">
        <f>IF(D68&gt;0,D168/D68,0)</f>
        <v>0</v>
      </c>
      <c r="E868" s="8">
        <f>IF(E68&gt;0,E168/E68,0)</f>
        <v>0</v>
      </c>
      <c r="F868" s="8">
        <f>IF(F68&gt;0,F168/F68,0)</f>
        <v>0</v>
      </c>
      <c r="G868" s="8">
        <f>IF(G68&gt;0,G168/G68,0)</f>
        <v>0</v>
      </c>
      <c r="H868" s="8">
        <f>IF(H68&gt;0,H168/H68,0)</f>
        <v>0</v>
      </c>
      <c r="I868" s="8">
        <f>IF(I68&gt;0,I168/I68,0)</f>
        <v>0</v>
      </c>
      <c r="J868" s="8">
        <f>IF(J68&gt;0,J168/J68,0)</f>
        <v>0</v>
      </c>
      <c r="K868" s="8">
        <f>IF(K68&gt;0,K168/K68,0)</f>
        <v>0</v>
      </c>
      <c r="L868" s="8">
        <f>IF(L68&gt;0,L168/L68,0)</f>
        <v>0</v>
      </c>
      <c r="M868" s="8">
        <f>IF(M68&gt;0,M168/M68,0)</f>
        <v>0</v>
      </c>
      <c r="N868" s="8">
        <f>IF(N68&gt;0,N168/N68,0)</f>
        <v>0</v>
      </c>
      <c r="O868" s="8">
        <f>IF(O68&gt;0,O168/O68,0)</f>
        <v>0</v>
      </c>
      <c r="P868" s="8">
        <f>IF(P68&gt;0,P168/P68,0)</f>
        <v>0</v>
      </c>
      <c r="Q868" s="8">
        <f>IF(Q68&gt;0,Q168/Q68,0)</f>
        <v>0</v>
      </c>
      <c r="R868" s="8">
        <f>IF(R68&gt;0,R168/R68,0)</f>
        <v>0</v>
      </c>
      <c r="S868" s="8">
        <f>IF(S68&gt;0,S168/S68,0)</f>
        <v>0</v>
      </c>
    </row>
    <row r="869">
      <c r="A869" s="16" t="s">
        <v>381</v>
      </c>
      <c r="B869" s="2" t="s">
        <v>365</v>
      </c>
      <c r="C869" s="8">
        <f>IF(C69&gt;0,C169/C69,0)</f>
        <v>0</v>
      </c>
      <c r="D869" s="8">
        <f>IF(D69&gt;0,D169/D69,0)</f>
        <v>0</v>
      </c>
      <c r="E869" s="8">
        <f>IF(E69&gt;0,E169/E69,0)</f>
        <v>0</v>
      </c>
      <c r="F869" s="8">
        <f>IF(F69&gt;0,F169/F69,0)</f>
        <v>0</v>
      </c>
      <c r="G869" s="8">
        <f>IF(G69&gt;0,G169/G69,0)</f>
        <v>0</v>
      </c>
      <c r="H869" s="8">
        <f>IF(H69&gt;0,H169/H69,0)</f>
        <v>0</v>
      </c>
      <c r="I869" s="8">
        <f>IF(I69&gt;0,I169/I69,0)</f>
        <v>0</v>
      </c>
      <c r="J869" s="8">
        <f>IF(J69&gt;0,J169/J69,0)</f>
        <v>0</v>
      </c>
      <c r="K869" s="8">
        <f>IF(K69&gt;0,K169/K69,0)</f>
        <v>0</v>
      </c>
      <c r="L869" s="8">
        <f>IF(L69&gt;0,L169/L69,0)</f>
        <v>0</v>
      </c>
      <c r="M869" s="8">
        <f>IF(M69&gt;0,M169/M69,0)</f>
        <v>0</v>
      </c>
      <c r="N869" s="8">
        <f>IF(N69&gt;0,N169/N69,0)</f>
        <v>0</v>
      </c>
      <c r="O869" s="8">
        <f>IF(O69&gt;0,O169/O69,0)</f>
        <v>0</v>
      </c>
      <c r="P869" s="8">
        <f>IF(P69&gt;0,P169/P69,0)</f>
        <v>0</v>
      </c>
      <c r="Q869" s="8">
        <f>IF(Q69&gt;0,Q169/Q69,0)</f>
        <v>0</v>
      </c>
      <c r="R869" s="8">
        <f>IF(R69&gt;0,R169/R69,0)</f>
        <v>0</v>
      </c>
      <c r="S869" s="8">
        <f>IF(S69&gt;0,S169/S69,0)</f>
        <v>0</v>
      </c>
    </row>
    <row r="870">
      <c r="A870" s="16" t="s">
        <v>382</v>
      </c>
      <c r="B870" s="2" t="s">
        <v>365</v>
      </c>
      <c r="C870" s="8">
        <f>IF(C70&gt;0,C170/C70,0)</f>
        <v>0</v>
      </c>
      <c r="D870" s="8">
        <f>IF(D70&gt;0,D170/D70,0)</f>
        <v>0</v>
      </c>
      <c r="E870" s="8">
        <f>IF(E70&gt;0,E170/E70,0)</f>
        <v>0</v>
      </c>
      <c r="F870" s="8">
        <f>IF(F70&gt;0,F170/F70,0)</f>
        <v>0</v>
      </c>
      <c r="G870" s="8">
        <f>IF(G70&gt;0,G170/G70,0)</f>
        <v>0</v>
      </c>
      <c r="H870" s="8">
        <f>IF(H70&gt;0,H170/H70,0)</f>
        <v>0</v>
      </c>
      <c r="I870" s="8">
        <f>IF(I70&gt;0,I170/I70,0)</f>
        <v>0</v>
      </c>
      <c r="J870" s="8">
        <f>IF(J70&gt;0,J170/J70,0)</f>
        <v>0</v>
      </c>
      <c r="K870" s="8">
        <f>IF(K70&gt;0,K170/K70,0)</f>
        <v>0</v>
      </c>
      <c r="L870" s="8">
        <f>IF(L70&gt;0,L170/L70,0)</f>
        <v>0</v>
      </c>
      <c r="M870" s="8">
        <f>IF(M70&gt;0,M170/M70,0)</f>
        <v>0</v>
      </c>
      <c r="N870" s="8">
        <f>IF(N70&gt;0,N170/N70,0)</f>
        <v>0</v>
      </c>
      <c r="O870" s="8">
        <f>IF(O70&gt;0,O170/O70,0)</f>
        <v>0</v>
      </c>
      <c r="P870" s="8">
        <f>IF(P70&gt;0,P170/P70,0)</f>
        <v>0</v>
      </c>
      <c r="Q870" s="8">
        <f>IF(Q70&gt;0,Q170/Q70,0)</f>
        <v>0</v>
      </c>
      <c r="R870" s="8">
        <f>IF(R70&gt;0,R170/R70,0)</f>
        <v>0</v>
      </c>
      <c r="S870" s="8">
        <f>IF(S70&gt;0,S170/S70,0)</f>
        <v>0</v>
      </c>
    </row>
    <row r="871">
      <c r="A871" s="16" t="s">
        <v>383</v>
      </c>
      <c r="B871" s="2" t="s">
        <v>365</v>
      </c>
      <c r="C871" s="8">
        <f>IF(C71&gt;0,C171/C71,0)</f>
        <v>0</v>
      </c>
      <c r="D871" s="8">
        <f>IF(D71&gt;0,D171/D71,0)</f>
        <v>0</v>
      </c>
      <c r="E871" s="8">
        <f>IF(E71&gt;0,E171/E71,0)</f>
        <v>0</v>
      </c>
      <c r="F871" s="8">
        <f>IF(F71&gt;0,F171/F71,0)</f>
        <v>0</v>
      </c>
      <c r="G871" s="8">
        <f>IF(G71&gt;0,G171/G71,0)</f>
        <v>0</v>
      </c>
      <c r="H871" s="8">
        <f>IF(H71&gt;0,H171/H71,0)</f>
        <v>0</v>
      </c>
      <c r="I871" s="8">
        <f>IF(I71&gt;0,I171/I71,0)</f>
        <v>0</v>
      </c>
      <c r="J871" s="8">
        <f>IF(J71&gt;0,J171/J71,0)</f>
        <v>0</v>
      </c>
      <c r="K871" s="8">
        <f>IF(K71&gt;0,K171/K71,0)</f>
        <v>0</v>
      </c>
      <c r="L871" s="8">
        <f>IF(L71&gt;0,L171/L71,0)</f>
        <v>0</v>
      </c>
      <c r="M871" s="8">
        <f>IF(M71&gt;0,M171/M71,0)</f>
        <v>0</v>
      </c>
      <c r="N871" s="8">
        <f>IF(N71&gt;0,N171/N71,0)</f>
        <v>0</v>
      </c>
      <c r="O871" s="8">
        <f>IF(O71&gt;0,O171/O71,0)</f>
        <v>0</v>
      </c>
      <c r="P871" s="8">
        <f>IF(P71&gt;0,P171/P71,0)</f>
        <v>0</v>
      </c>
      <c r="Q871" s="8">
        <f>IF(Q71&gt;0,Q171/Q71,0)</f>
        <v>0</v>
      </c>
      <c r="R871" s="8">
        <f>IF(R71&gt;0,R171/R71,0)</f>
        <v>0</v>
      </c>
      <c r="S871" s="8">
        <f>IF(S71&gt;0,S171/S71,0)</f>
        <v>0</v>
      </c>
    </row>
    <row r="872">
      <c r="A872" s="16" t="s">
        <v>384</v>
      </c>
      <c r="B872" s="2" t="s">
        <v>365</v>
      </c>
      <c r="C872" s="8">
        <f>IF(C72&gt;0,C172/C72,0)</f>
        <v>0</v>
      </c>
      <c r="D872" s="8">
        <f>IF(D72&gt;0,D172/D72,0)</f>
        <v>0</v>
      </c>
      <c r="E872" s="8">
        <f>IF(E72&gt;0,E172/E72,0)</f>
        <v>0</v>
      </c>
      <c r="F872" s="8">
        <f>IF(F72&gt;0,F172/F72,0)</f>
        <v>0</v>
      </c>
      <c r="G872" s="8">
        <f>IF(G72&gt;0,G172/G72,0)</f>
        <v>0</v>
      </c>
      <c r="H872" s="8">
        <f>IF(H72&gt;0,H172/H72,0)</f>
        <v>0</v>
      </c>
      <c r="I872" s="8">
        <f>IF(I72&gt;0,I172/I72,0)</f>
        <v>0</v>
      </c>
      <c r="J872" s="8">
        <f>IF(J72&gt;0,J172/J72,0)</f>
        <v>0</v>
      </c>
      <c r="K872" s="8">
        <f>IF(K72&gt;0,K172/K72,0)</f>
        <v>0</v>
      </c>
      <c r="L872" s="8">
        <f>IF(L72&gt;0,L172/L72,0)</f>
        <v>0</v>
      </c>
      <c r="M872" s="8">
        <f>IF(M72&gt;0,M172/M72,0)</f>
        <v>0</v>
      </c>
      <c r="N872" s="8">
        <f>IF(N72&gt;0,N172/N72,0)</f>
        <v>0</v>
      </c>
      <c r="O872" s="8">
        <f>IF(O72&gt;0,O172/O72,0)</f>
        <v>0</v>
      </c>
      <c r="P872" s="8">
        <f>IF(P72&gt;0,P172/P72,0)</f>
        <v>0</v>
      </c>
      <c r="Q872" s="8">
        <f>IF(Q72&gt;0,Q172/Q72,0)</f>
        <v>0</v>
      </c>
      <c r="R872" s="8">
        <f>IF(R72&gt;0,R172/R72,0)</f>
        <v>0</v>
      </c>
      <c r="S872" s="8">
        <f>IF(S72&gt;0,S172/S72,0)</f>
        <v>0</v>
      </c>
    </row>
    <row r="873">
      <c r="A873" s="16" t="s">
        <v>385</v>
      </c>
      <c r="B873" s="2" t="s">
        <v>365</v>
      </c>
      <c r="C873" s="8">
        <f>IF(C73&gt;0,C173/C73,0)</f>
        <v>0</v>
      </c>
      <c r="D873" s="8">
        <f>IF(D73&gt;0,D173/D73,0)</f>
        <v>0</v>
      </c>
      <c r="E873" s="8">
        <f>IF(E73&gt;0,E173/E73,0)</f>
        <v>0</v>
      </c>
      <c r="F873" s="8">
        <f>IF(F73&gt;0,F173/F73,0)</f>
        <v>0</v>
      </c>
      <c r="G873" s="8">
        <f>IF(G73&gt;0,G173/G73,0)</f>
        <v>0</v>
      </c>
      <c r="H873" s="8">
        <f>IF(H73&gt;0,H173/H73,0)</f>
        <v>0</v>
      </c>
      <c r="I873" s="8">
        <f>IF(I73&gt;0,I173/I73,0)</f>
        <v>0</v>
      </c>
      <c r="J873" s="8">
        <f>IF(J73&gt;0,J173/J73,0)</f>
        <v>0</v>
      </c>
      <c r="K873" s="8">
        <f>IF(K73&gt;0,K173/K73,0)</f>
        <v>0</v>
      </c>
      <c r="L873" s="8">
        <f>IF(L73&gt;0,L173/L73,0)</f>
        <v>0</v>
      </c>
      <c r="M873" s="8">
        <f>IF(M73&gt;0,M173/M73,0)</f>
        <v>0</v>
      </c>
      <c r="N873" s="8">
        <f>IF(N73&gt;0,N173/N73,0)</f>
        <v>0</v>
      </c>
      <c r="O873" s="8">
        <f>IF(O73&gt;0,O173/O73,0)</f>
        <v>0</v>
      </c>
      <c r="P873" s="8">
        <f>IF(P73&gt;0,P173/P73,0)</f>
        <v>0</v>
      </c>
      <c r="Q873" s="8">
        <f>IF(Q73&gt;0,Q173/Q73,0)</f>
        <v>0</v>
      </c>
      <c r="R873" s="8">
        <f>IF(R73&gt;0,R173/R73,0)</f>
        <v>0</v>
      </c>
      <c r="S873" s="8">
        <f>IF(S73&gt;0,S173/S73,0)</f>
        <v>0</v>
      </c>
    </row>
    <row r="874">
      <c r="A874" s="16" t="s">
        <v>386</v>
      </c>
      <c r="B874" s="2" t="s">
        <v>365</v>
      </c>
      <c r="C874" s="8">
        <f>IF(C74&gt;0,C174/C74,0)</f>
        <v>0</v>
      </c>
      <c r="D874" s="8">
        <f>IF(D74&gt;0,D174/D74,0)</f>
        <v>0</v>
      </c>
      <c r="E874" s="8">
        <f>IF(E74&gt;0,E174/E74,0)</f>
        <v>0</v>
      </c>
      <c r="F874" s="8">
        <f>IF(F74&gt;0,F174/F74,0)</f>
        <v>0</v>
      </c>
      <c r="G874" s="8">
        <f>IF(G74&gt;0,G174/G74,0)</f>
        <v>0</v>
      </c>
      <c r="H874" s="8">
        <f>IF(H74&gt;0,H174/H74,0)</f>
        <v>0</v>
      </c>
      <c r="I874" s="8">
        <f>IF(I74&gt;0,I174/I74,0)</f>
        <v>0</v>
      </c>
      <c r="J874" s="8">
        <f>IF(J74&gt;0,J174/J74,0)</f>
        <v>0</v>
      </c>
      <c r="K874" s="8">
        <f>IF(K74&gt;0,K174/K74,0)</f>
        <v>0</v>
      </c>
      <c r="L874" s="8">
        <f>IF(L74&gt;0,L174/L74,0)</f>
        <v>0</v>
      </c>
      <c r="M874" s="8">
        <f>IF(M74&gt;0,M174/M74,0)</f>
        <v>0</v>
      </c>
      <c r="N874" s="8">
        <f>IF(N74&gt;0,N174/N74,0)</f>
        <v>0</v>
      </c>
      <c r="O874" s="8">
        <f>IF(O74&gt;0,O174/O74,0)</f>
        <v>0</v>
      </c>
      <c r="P874" s="8">
        <f>IF(P74&gt;0,P174/P74,0)</f>
        <v>0</v>
      </c>
      <c r="Q874" s="8">
        <f>IF(Q74&gt;0,Q174/Q74,0)</f>
        <v>0</v>
      </c>
      <c r="R874" s="8">
        <f>IF(R74&gt;0,R174/R74,0)</f>
        <v>0</v>
      </c>
      <c r="S874" s="8">
        <f>IF(S74&gt;0,S174/S74,0)</f>
        <v>0</v>
      </c>
    </row>
    <row r="875">
      <c r="A875" s="16" t="s">
        <v>387</v>
      </c>
      <c r="B875" s="2" t="s">
        <v>365</v>
      </c>
      <c r="C875" s="8">
        <f>IF(C75&gt;0,C175/C75,0)</f>
        <v>0</v>
      </c>
      <c r="D875" s="8">
        <f>IF(D75&gt;0,D175/D75,0)</f>
        <v>0</v>
      </c>
      <c r="E875" s="8">
        <f>IF(E75&gt;0,E175/E75,0)</f>
        <v>0</v>
      </c>
      <c r="F875" s="8">
        <f>IF(F75&gt;0,F175/F75,0)</f>
        <v>0</v>
      </c>
      <c r="G875" s="8">
        <f>IF(G75&gt;0,G175/G75,0)</f>
        <v>0</v>
      </c>
      <c r="H875" s="8">
        <f>IF(H75&gt;0,H175/H75,0)</f>
        <v>0</v>
      </c>
      <c r="I875" s="8">
        <f>IF(I75&gt;0,I175/I75,0)</f>
        <v>0</v>
      </c>
      <c r="J875" s="8">
        <f>IF(J75&gt;0,J175/J75,0)</f>
        <v>0</v>
      </c>
      <c r="K875" s="8">
        <f>IF(K75&gt;0,K175/K75,0)</f>
        <v>0</v>
      </c>
      <c r="L875" s="8">
        <f>IF(L75&gt;0,L175/L75,0)</f>
        <v>0</v>
      </c>
      <c r="M875" s="8">
        <f>IF(M75&gt;0,M175/M75,0)</f>
        <v>0</v>
      </c>
      <c r="N875" s="8">
        <f>IF(N75&gt;0,N175/N75,0)</f>
        <v>0</v>
      </c>
      <c r="O875" s="8">
        <f>IF(O75&gt;0,O175/O75,0)</f>
        <v>0</v>
      </c>
      <c r="P875" s="8">
        <f>IF(P75&gt;0,P175/P75,0)</f>
        <v>0</v>
      </c>
      <c r="Q875" s="8">
        <f>IF(Q75&gt;0,Q175/Q75,0)</f>
        <v>0</v>
      </c>
      <c r="R875" s="8">
        <f>IF(R75&gt;0,R175/R75,0)</f>
        <v>0</v>
      </c>
      <c r="S875" s="8">
        <f>IF(S75&gt;0,S175/S75,0)</f>
        <v>0</v>
      </c>
    </row>
    <row r="876">
      <c r="A876" s="16" t="s">
        <v>388</v>
      </c>
      <c r="B876" s="2" t="s">
        <v>365</v>
      </c>
      <c r="C876" s="8">
        <f>IF(C76&gt;0,C176/C76,0)</f>
        <v>0</v>
      </c>
      <c r="D876" s="8">
        <f>IF(D76&gt;0,D176/D76,0)</f>
        <v>0</v>
      </c>
      <c r="E876" s="8">
        <f>IF(E76&gt;0,E176/E76,0)</f>
        <v>0</v>
      </c>
      <c r="F876" s="8">
        <f>IF(F76&gt;0,F176/F76,0)</f>
        <v>0</v>
      </c>
      <c r="G876" s="8">
        <f>IF(G76&gt;0,G176/G76,0)</f>
        <v>0</v>
      </c>
      <c r="H876" s="8">
        <f>IF(H76&gt;0,H176/H76,0)</f>
        <v>0</v>
      </c>
      <c r="I876" s="8">
        <f>IF(I76&gt;0,I176/I76,0)</f>
        <v>0</v>
      </c>
      <c r="J876" s="8">
        <f>IF(J76&gt;0,J176/J76,0)</f>
        <v>0</v>
      </c>
      <c r="K876" s="8">
        <f>IF(K76&gt;0,K176/K76,0)</f>
        <v>0</v>
      </c>
      <c r="L876" s="8">
        <f>IF(L76&gt;0,L176/L76,0)</f>
        <v>0</v>
      </c>
      <c r="M876" s="8">
        <f>IF(M76&gt;0,M176/M76,0)</f>
        <v>0</v>
      </c>
      <c r="N876" s="8">
        <f>IF(N76&gt;0,N176/N76,0)</f>
        <v>0</v>
      </c>
      <c r="O876" s="8">
        <f>IF(O76&gt;0,O176/O76,0)</f>
        <v>0</v>
      </c>
      <c r="P876" s="8">
        <f>IF(P76&gt;0,P176/P76,0)</f>
        <v>0</v>
      </c>
      <c r="Q876" s="8">
        <f>IF(Q76&gt;0,Q176/Q76,0)</f>
        <v>0</v>
      </c>
      <c r="R876" s="8">
        <f>IF(R76&gt;0,R176/R76,0)</f>
        <v>0</v>
      </c>
      <c r="S876" s="8">
        <f>IF(S76&gt;0,S176/S76,0)</f>
        <v>0</v>
      </c>
    </row>
    <row r="877">
      <c r="A877" s="16" t="s">
        <v>389</v>
      </c>
      <c r="B877" s="2" t="s">
        <v>365</v>
      </c>
      <c r="C877" s="8">
        <f>IF(C77&gt;0,C177/C77,0)</f>
        <v>0</v>
      </c>
      <c r="D877" s="8">
        <f>IF(D77&gt;0,D177/D77,0)</f>
        <v>0</v>
      </c>
      <c r="E877" s="8">
        <f>IF(E77&gt;0,E177/E77,0)</f>
        <v>0</v>
      </c>
      <c r="F877" s="8">
        <f>IF(F77&gt;0,F177/F77,0)</f>
        <v>0</v>
      </c>
      <c r="G877" s="8">
        <f>IF(G77&gt;0,G177/G77,0)</f>
        <v>0</v>
      </c>
      <c r="H877" s="8">
        <f>IF(H77&gt;0,H177/H77,0)</f>
        <v>0</v>
      </c>
      <c r="I877" s="8">
        <f>IF(I77&gt;0,I177/I77,0)</f>
        <v>0</v>
      </c>
      <c r="J877" s="8">
        <f>IF(J77&gt;0,J177/J77,0)</f>
        <v>0</v>
      </c>
      <c r="K877" s="8">
        <f>IF(K77&gt;0,K177/K77,0)</f>
        <v>0</v>
      </c>
      <c r="L877" s="8">
        <f>IF(L77&gt;0,L177/L77,0)</f>
        <v>0</v>
      </c>
      <c r="M877" s="8">
        <f>IF(M77&gt;0,M177/M77,0)</f>
        <v>0</v>
      </c>
      <c r="N877" s="8">
        <f>IF(N77&gt;0,N177/N77,0)</f>
        <v>0</v>
      </c>
      <c r="O877" s="8">
        <f>IF(O77&gt;0,O177/O77,0)</f>
        <v>0</v>
      </c>
      <c r="P877" s="8">
        <f>IF(P77&gt;0,P177/P77,0)</f>
        <v>0</v>
      </c>
      <c r="Q877" s="8">
        <f>IF(Q77&gt;0,Q177/Q77,0)</f>
        <v>0</v>
      </c>
      <c r="R877" s="8">
        <f>IF(R77&gt;0,R177/R77,0)</f>
        <v>0</v>
      </c>
      <c r="S877" s="8">
        <f>IF(S77&gt;0,S177/S77,0)</f>
        <v>0</v>
      </c>
    </row>
    <row r="878">
      <c r="A878" s="16" t="s">
        <v>390</v>
      </c>
      <c r="B878" s="2" t="s">
        <v>365</v>
      </c>
      <c r="C878" s="8">
        <f>IF(C78&gt;0,C178/C78,0)</f>
        <v>0</v>
      </c>
      <c r="D878" s="8">
        <f>IF(D78&gt;0,D178/D78,0)</f>
        <v>0</v>
      </c>
      <c r="E878" s="8">
        <f>IF(E78&gt;0,E178/E78,0)</f>
        <v>0</v>
      </c>
      <c r="F878" s="8">
        <f>IF(F78&gt;0,F178/F78,0)</f>
        <v>0</v>
      </c>
      <c r="G878" s="8">
        <f>IF(G78&gt;0,G178/G78,0)</f>
        <v>0</v>
      </c>
      <c r="H878" s="8">
        <f>IF(H78&gt;0,H178/H78,0)</f>
        <v>0</v>
      </c>
      <c r="I878" s="8">
        <f>IF(I78&gt;0,I178/I78,0)</f>
        <v>0</v>
      </c>
      <c r="J878" s="8">
        <f>IF(J78&gt;0,J178/J78,0)</f>
        <v>0</v>
      </c>
      <c r="K878" s="8">
        <f>IF(K78&gt;0,K178/K78,0)</f>
        <v>0</v>
      </c>
      <c r="L878" s="8">
        <f>IF(L78&gt;0,L178/L78,0)</f>
        <v>0</v>
      </c>
      <c r="M878" s="8">
        <f>IF(M78&gt;0,M178/M78,0)</f>
        <v>0</v>
      </c>
      <c r="N878" s="8">
        <f>IF(N78&gt;0,N178/N78,0)</f>
        <v>0</v>
      </c>
      <c r="O878" s="8">
        <f>IF(O78&gt;0,O178/O78,0)</f>
        <v>0</v>
      </c>
      <c r="P878" s="8">
        <f>IF(P78&gt;0,P178/P78,0)</f>
        <v>0</v>
      </c>
      <c r="Q878" s="8">
        <f>IF(Q78&gt;0,Q178/Q78,0)</f>
        <v>0</v>
      </c>
      <c r="R878" s="8">
        <f>IF(R78&gt;0,R178/R78,0)</f>
        <v>0</v>
      </c>
      <c r="S878" s="8">
        <f>IF(S78&gt;0,S178/S78,0)</f>
        <v>0</v>
      </c>
    </row>
    <row r="879">
      <c r="A879" s="16" t="s">
        <v>391</v>
      </c>
      <c r="B879" s="2" t="s">
        <v>365</v>
      </c>
      <c r="C879" s="8">
        <f>IF(C79&gt;0,C179/C79,0)</f>
        <v>0</v>
      </c>
      <c r="D879" s="8">
        <f>IF(D79&gt;0,D179/D79,0)</f>
        <v>0</v>
      </c>
      <c r="E879" s="8">
        <f>IF(E79&gt;0,E179/E79,0)</f>
        <v>0</v>
      </c>
      <c r="F879" s="8">
        <f>IF(F79&gt;0,F179/F79,0)</f>
        <v>0</v>
      </c>
      <c r="G879" s="8">
        <f>IF(G79&gt;0,G179/G79,0)</f>
        <v>0</v>
      </c>
      <c r="H879" s="8">
        <f>IF(H79&gt;0,H179/H79,0)</f>
        <v>0</v>
      </c>
      <c r="I879" s="8">
        <f>IF(I79&gt;0,I179/I79,0)</f>
        <v>0</v>
      </c>
      <c r="J879" s="8">
        <f>IF(J79&gt;0,J179/J79,0)</f>
        <v>0</v>
      </c>
      <c r="K879" s="8">
        <f>IF(K79&gt;0,K179/K79,0)</f>
        <v>0</v>
      </c>
      <c r="L879" s="8">
        <f>IF(L79&gt;0,L179/L79,0)</f>
        <v>0</v>
      </c>
      <c r="M879" s="8">
        <f>IF(M79&gt;0,M179/M79,0)</f>
        <v>0</v>
      </c>
      <c r="N879" s="8">
        <f>IF(N79&gt;0,N179/N79,0)</f>
        <v>0</v>
      </c>
      <c r="O879" s="8">
        <f>IF(O79&gt;0,O179/O79,0)</f>
        <v>0</v>
      </c>
      <c r="P879" s="8">
        <f>IF(P79&gt;0,P179/P79,0)</f>
        <v>0</v>
      </c>
      <c r="Q879" s="8">
        <f>IF(Q79&gt;0,Q179/Q79,0)</f>
        <v>0</v>
      </c>
      <c r="R879" s="8">
        <f>IF(R79&gt;0,R179/R79,0)</f>
        <v>0</v>
      </c>
      <c r="S879" s="8">
        <f>IF(S79&gt;0,S179/S79,0)</f>
        <v>0</v>
      </c>
    </row>
    <row r="880">
      <c r="A880" s="16" t="s">
        <v>392</v>
      </c>
      <c r="B880" s="2" t="s">
        <v>365</v>
      </c>
      <c r="C880" s="8">
        <f>IF(C80&gt;0,C180/C80,0)</f>
        <v>0</v>
      </c>
      <c r="D880" s="8">
        <f>IF(D80&gt;0,D180/D80,0)</f>
        <v>0</v>
      </c>
      <c r="E880" s="8">
        <f>IF(E80&gt;0,E180/E80,0)</f>
        <v>0</v>
      </c>
      <c r="F880" s="8">
        <f>IF(F80&gt;0,F180/F80,0)</f>
        <v>0</v>
      </c>
      <c r="G880" s="8">
        <f>IF(G80&gt;0,G180/G80,0)</f>
        <v>0</v>
      </c>
      <c r="H880" s="8">
        <f>IF(H80&gt;0,H180/H80,0)</f>
        <v>0</v>
      </c>
      <c r="I880" s="8">
        <f>IF(I80&gt;0,I180/I80,0)</f>
        <v>0</v>
      </c>
      <c r="J880" s="8">
        <f>IF(J80&gt;0,J180/J80,0)</f>
        <v>0</v>
      </c>
      <c r="K880" s="8">
        <f>IF(K80&gt;0,K180/K80,0)</f>
        <v>0</v>
      </c>
      <c r="L880" s="8">
        <f>IF(L80&gt;0,L180/L80,0)</f>
        <v>0</v>
      </c>
      <c r="M880" s="8">
        <f>IF(M80&gt;0,M180/M80,0)</f>
        <v>0</v>
      </c>
      <c r="N880" s="8">
        <f>IF(N80&gt;0,N180/N80,0)</f>
        <v>0</v>
      </c>
      <c r="O880" s="8">
        <f>IF(O80&gt;0,O180/O80,0)</f>
        <v>0</v>
      </c>
      <c r="P880" s="8">
        <f>IF(P80&gt;0,P180/P80,0)</f>
        <v>0</v>
      </c>
      <c r="Q880" s="8">
        <f>IF(Q80&gt;0,Q180/Q80,0)</f>
        <v>0</v>
      </c>
      <c r="R880" s="8">
        <f>IF(R80&gt;0,R180/R80,0)</f>
        <v>0</v>
      </c>
      <c r="S880" s="8">
        <f>IF(S80&gt;0,S180/S80,0)</f>
        <v>0</v>
      </c>
    </row>
    <row r="881">
      <c r="A881" s="16" t="s">
        <v>393</v>
      </c>
      <c r="B881" s="2" t="s">
        <v>365</v>
      </c>
      <c r="C881" s="8">
        <f>IF(C81&gt;0,C181/C81,0)</f>
        <v>0</v>
      </c>
      <c r="D881" s="8">
        <f>IF(D81&gt;0,D181/D81,0)</f>
        <v>0</v>
      </c>
      <c r="E881" s="8">
        <f>IF(E81&gt;0,E181/E81,0)</f>
        <v>0</v>
      </c>
      <c r="F881" s="8">
        <f>IF(F81&gt;0,F181/F81,0)</f>
        <v>0</v>
      </c>
      <c r="G881" s="8">
        <f>IF(G81&gt;0,G181/G81,0)</f>
        <v>0</v>
      </c>
      <c r="H881" s="8">
        <f>IF(H81&gt;0,H181/H81,0)</f>
        <v>0</v>
      </c>
      <c r="I881" s="8">
        <f>IF(I81&gt;0,I181/I81,0)</f>
        <v>0</v>
      </c>
      <c r="J881" s="8">
        <f>IF(J81&gt;0,J181/J81,0)</f>
        <v>0</v>
      </c>
      <c r="K881" s="8">
        <f>IF(K81&gt;0,K181/K81,0)</f>
        <v>0</v>
      </c>
      <c r="L881" s="8">
        <f>IF(L81&gt;0,L181/L81,0)</f>
        <v>0</v>
      </c>
      <c r="M881" s="8">
        <f>IF(M81&gt;0,M181/M81,0)</f>
        <v>0</v>
      </c>
      <c r="N881" s="8">
        <f>IF(N81&gt;0,N181/N81,0)</f>
        <v>0</v>
      </c>
      <c r="O881" s="8">
        <f>IF(O81&gt;0,O181/O81,0)</f>
        <v>0</v>
      </c>
      <c r="P881" s="8">
        <f>IF(P81&gt;0,P181/P81,0)</f>
        <v>0</v>
      </c>
      <c r="Q881" s="8">
        <f>IF(Q81&gt;0,Q181/Q81,0)</f>
        <v>0</v>
      </c>
      <c r="R881" s="8">
        <f>IF(R81&gt;0,R181/R81,0)</f>
        <v>0</v>
      </c>
      <c r="S881" s="8">
        <f>IF(S81&gt;0,S181/S81,0)</f>
        <v>0</v>
      </c>
    </row>
    <row r="882">
      <c r="A882" s="16" t="s">
        <v>394</v>
      </c>
      <c r="B882" s="2" t="s">
        <v>365</v>
      </c>
      <c r="C882" s="8">
        <f>IF(C82&gt;0,C182/C82,0)</f>
        <v>0</v>
      </c>
      <c r="D882" s="8">
        <f>IF(D82&gt;0,D182/D82,0)</f>
        <v>0</v>
      </c>
      <c r="E882" s="8">
        <f>IF(E82&gt;0,E182/E82,0)</f>
        <v>0</v>
      </c>
      <c r="F882" s="8">
        <f>IF(F82&gt;0,F182/F82,0)</f>
        <v>0</v>
      </c>
      <c r="G882" s="8">
        <f>IF(G82&gt;0,G182/G82,0)</f>
        <v>0</v>
      </c>
      <c r="H882" s="8">
        <f>IF(H82&gt;0,H182/H82,0)</f>
        <v>0</v>
      </c>
      <c r="I882" s="8">
        <f>IF(I82&gt;0,I182/I82,0)</f>
        <v>0</v>
      </c>
      <c r="J882" s="8">
        <f>IF(J82&gt;0,J182/J82,0)</f>
        <v>0</v>
      </c>
      <c r="K882" s="8">
        <f>IF(K82&gt;0,K182/K82,0)</f>
        <v>0</v>
      </c>
      <c r="L882" s="8">
        <f>IF(L82&gt;0,L182/L82,0)</f>
        <v>0</v>
      </c>
      <c r="M882" s="8">
        <f>IF(M82&gt;0,M182/M82,0)</f>
        <v>0</v>
      </c>
      <c r="N882" s="8">
        <f>IF(N82&gt;0,N182/N82,0)</f>
        <v>0</v>
      </c>
      <c r="O882" s="8">
        <f>IF(O82&gt;0,O182/O82,0)</f>
        <v>0</v>
      </c>
      <c r="P882" s="8">
        <f>IF(P82&gt;0,P182/P82,0)</f>
        <v>0</v>
      </c>
      <c r="Q882" s="8">
        <f>IF(Q82&gt;0,Q182/Q82,0)</f>
        <v>0</v>
      </c>
      <c r="R882" s="8">
        <f>IF(R82&gt;0,R182/R82,0)</f>
        <v>0</v>
      </c>
      <c r="S882" s="8">
        <f>IF(S82&gt;0,S182/S82,0)</f>
        <v>0</v>
      </c>
    </row>
    <row r="883">
      <c r="A883" s="16" t="s">
        <v>395</v>
      </c>
      <c r="B883" s="2" t="s">
        <v>365</v>
      </c>
      <c r="C883" s="8">
        <f>IF(C83&gt;0,C183/C83,0)</f>
        <v>0</v>
      </c>
      <c r="D883" s="8">
        <f>IF(D83&gt;0,D183/D83,0)</f>
        <v>0</v>
      </c>
      <c r="E883" s="8">
        <f>IF(E83&gt;0,E183/E83,0)</f>
        <v>0</v>
      </c>
      <c r="F883" s="8">
        <f>IF(F83&gt;0,F183/F83,0)</f>
        <v>0</v>
      </c>
      <c r="G883" s="8">
        <f>IF(G83&gt;0,G183/G83,0)</f>
        <v>0</v>
      </c>
      <c r="H883" s="8">
        <f>IF(H83&gt;0,H183/H83,0)</f>
        <v>0</v>
      </c>
      <c r="I883" s="8">
        <f>IF(I83&gt;0,I183/I83,0)</f>
        <v>0</v>
      </c>
      <c r="J883" s="8">
        <f>IF(J83&gt;0,J183/J83,0)</f>
        <v>0</v>
      </c>
      <c r="K883" s="8">
        <f>IF(K83&gt;0,K183/K83,0)</f>
        <v>0</v>
      </c>
      <c r="L883" s="8">
        <f>IF(L83&gt;0,L183/L83,0)</f>
        <v>0</v>
      </c>
      <c r="M883" s="8">
        <f>IF(M83&gt;0,M183/M83,0)</f>
        <v>0</v>
      </c>
      <c r="N883" s="8">
        <f>IF(N83&gt;0,N183/N83,0)</f>
        <v>0</v>
      </c>
      <c r="O883" s="8">
        <f>IF(O83&gt;0,O183/O83,0)</f>
        <v>0</v>
      </c>
      <c r="P883" s="8">
        <f>IF(P83&gt;0,P183/P83,0)</f>
        <v>0</v>
      </c>
      <c r="Q883" s="8">
        <f>IF(Q83&gt;0,Q183/Q83,0)</f>
        <v>0</v>
      </c>
      <c r="R883" s="8">
        <f>IF(R83&gt;0,R183/R83,0)</f>
        <v>0</v>
      </c>
      <c r="S883" s="8">
        <f>IF(S83&gt;0,S183/S83,0)</f>
        <v>0</v>
      </c>
    </row>
    <row r="884">
      <c r="A884" s="16" t="s">
        <v>396</v>
      </c>
      <c r="B884" s="2" t="s">
        <v>365</v>
      </c>
      <c r="C884" s="8">
        <f>IF(C84&gt;0,C184/C84,0)</f>
        <v>0</v>
      </c>
      <c r="D884" s="8">
        <f>IF(D84&gt;0,D184/D84,0)</f>
        <v>0</v>
      </c>
      <c r="E884" s="8">
        <f>IF(E84&gt;0,E184/E84,0)</f>
        <v>0</v>
      </c>
      <c r="F884" s="8">
        <f>IF(F84&gt;0,F184/F84,0)</f>
        <v>0</v>
      </c>
      <c r="G884" s="8">
        <f>IF(G84&gt;0,G184/G84,0)</f>
        <v>0</v>
      </c>
      <c r="H884" s="8">
        <f>IF(H84&gt;0,H184/H84,0)</f>
        <v>0</v>
      </c>
      <c r="I884" s="8">
        <f>IF(I84&gt;0,I184/I84,0)</f>
        <v>0</v>
      </c>
      <c r="J884" s="8">
        <f>IF(J84&gt;0,J184/J84,0)</f>
        <v>0</v>
      </c>
      <c r="K884" s="8">
        <f>IF(K84&gt;0,K184/K84,0)</f>
        <v>0</v>
      </c>
      <c r="L884" s="8">
        <f>IF(L84&gt;0,L184/L84,0)</f>
        <v>0</v>
      </c>
      <c r="M884" s="8">
        <f>IF(M84&gt;0,M184/M84,0)</f>
        <v>0</v>
      </c>
      <c r="N884" s="8">
        <f>IF(N84&gt;0,N184/N84,0)</f>
        <v>0</v>
      </c>
      <c r="O884" s="8">
        <f>IF(O84&gt;0,O184/O84,0)</f>
        <v>0</v>
      </c>
      <c r="P884" s="8">
        <f>IF(P84&gt;0,P184/P84,0)</f>
        <v>0</v>
      </c>
      <c r="Q884" s="8">
        <f>IF(Q84&gt;0,Q184/Q84,0)</f>
        <v>0</v>
      </c>
      <c r="R884" s="8">
        <f>IF(R84&gt;0,R184/R84,0)</f>
        <v>0</v>
      </c>
      <c r="S884" s="8">
        <f>IF(S84&gt;0,S184/S84,0)</f>
        <v>0</v>
      </c>
    </row>
    <row r="885">
      <c r="A885" s="16" t="s">
        <v>397</v>
      </c>
      <c r="B885" s="2" t="s">
        <v>365</v>
      </c>
      <c r="C885" s="8">
        <f>IF(C85&gt;0,C185/C85,0)</f>
        <v>0</v>
      </c>
      <c r="D885" s="8">
        <f>IF(D85&gt;0,D185/D85,0)</f>
        <v>0</v>
      </c>
      <c r="E885" s="8">
        <f>IF(E85&gt;0,E185/E85,0)</f>
        <v>0</v>
      </c>
      <c r="F885" s="8">
        <f>IF(F85&gt;0,F185/F85,0)</f>
        <v>0</v>
      </c>
      <c r="G885" s="8">
        <f>IF(G85&gt;0,G185/G85,0)</f>
        <v>0</v>
      </c>
      <c r="H885" s="8">
        <f>IF(H85&gt;0,H185/H85,0)</f>
        <v>0</v>
      </c>
      <c r="I885" s="8">
        <f>IF(I85&gt;0,I185/I85,0)</f>
        <v>0</v>
      </c>
      <c r="J885" s="8">
        <f>IF(J85&gt;0,J185/J85,0)</f>
        <v>0</v>
      </c>
      <c r="K885" s="8">
        <f>IF(K85&gt;0,K185/K85,0)</f>
        <v>0</v>
      </c>
      <c r="L885" s="8">
        <f>IF(L85&gt;0,L185/L85,0)</f>
        <v>0</v>
      </c>
      <c r="M885" s="8">
        <f>IF(M85&gt;0,M185/M85,0)</f>
        <v>0</v>
      </c>
      <c r="N885" s="8">
        <f>IF(N85&gt;0,N185/N85,0)</f>
        <v>0</v>
      </c>
      <c r="O885" s="8">
        <f>IF(O85&gt;0,O185/O85,0)</f>
        <v>0</v>
      </c>
      <c r="P885" s="8">
        <f>IF(P85&gt;0,P185/P85,0)</f>
        <v>0</v>
      </c>
      <c r="Q885" s="8">
        <f>IF(Q85&gt;0,Q185/Q85,0)</f>
        <v>0</v>
      </c>
      <c r="R885" s="8">
        <f>IF(R85&gt;0,R185/R85,0)</f>
        <v>0</v>
      </c>
      <c r="S885" s="8">
        <f>IF(S85&gt;0,S185/S85,0)</f>
        <v>0</v>
      </c>
    </row>
    <row r="886">
      <c r="A886" s="16" t="s">
        <v>398</v>
      </c>
      <c r="B886" s="2" t="s">
        <v>365</v>
      </c>
      <c r="C886" s="8">
        <f>IF(C86&gt;0,C186/C86,0)</f>
        <v>0</v>
      </c>
      <c r="D886" s="8">
        <f>IF(D86&gt;0,D186/D86,0)</f>
        <v>0</v>
      </c>
      <c r="E886" s="8">
        <f>IF(E86&gt;0,E186/E86,0)</f>
        <v>0</v>
      </c>
      <c r="F886" s="8">
        <f>IF(F86&gt;0,F186/F86,0)</f>
        <v>0</v>
      </c>
      <c r="G886" s="8">
        <f>IF(G86&gt;0,G186/G86,0)</f>
        <v>0</v>
      </c>
      <c r="H886" s="8">
        <f>IF(H86&gt;0,H186/H86,0)</f>
        <v>0</v>
      </c>
      <c r="I886" s="8">
        <f>IF(I86&gt;0,I186/I86,0)</f>
        <v>0</v>
      </c>
      <c r="J886" s="8">
        <f>IF(J86&gt;0,J186/J86,0)</f>
        <v>0</v>
      </c>
      <c r="K886" s="8">
        <f>IF(K86&gt;0,K186/K86,0)</f>
        <v>0</v>
      </c>
      <c r="L886" s="8">
        <f>IF(L86&gt;0,L186/L86,0)</f>
        <v>0</v>
      </c>
      <c r="M886" s="8">
        <f>IF(M86&gt;0,M186/M86,0)</f>
        <v>0</v>
      </c>
      <c r="N886" s="8">
        <f>IF(N86&gt;0,N186/N86,0)</f>
        <v>0</v>
      </c>
      <c r="O886" s="8">
        <f>IF(O86&gt;0,O186/O86,0)</f>
        <v>0</v>
      </c>
      <c r="P886" s="8">
        <f>IF(P86&gt;0,P186/P86,0)</f>
        <v>0</v>
      </c>
      <c r="Q886" s="8">
        <f>IF(Q86&gt;0,Q186/Q86,0)</f>
        <v>0</v>
      </c>
      <c r="R886" s="8">
        <f>IF(R86&gt;0,R186/R86,0)</f>
        <v>0</v>
      </c>
      <c r="S886" s="8">
        <f>IF(S86&gt;0,S186/S86,0)</f>
        <v>0</v>
      </c>
    </row>
    <row r="887">
      <c r="A887" s="16" t="s">
        <v>399</v>
      </c>
      <c r="B887" s="2" t="s">
        <v>365</v>
      </c>
      <c r="C887" s="8">
        <f>IF(C87&gt;0,C187/C87,0)</f>
        <v>0</v>
      </c>
      <c r="D887" s="8">
        <f>IF(D87&gt;0,D187/D87,0)</f>
        <v>0</v>
      </c>
      <c r="E887" s="8">
        <f>IF(E87&gt;0,E187/E87,0)</f>
        <v>0</v>
      </c>
      <c r="F887" s="8">
        <f>IF(F87&gt;0,F187/F87,0)</f>
        <v>0</v>
      </c>
      <c r="G887" s="8">
        <f>IF(G87&gt;0,G187/G87,0)</f>
        <v>0</v>
      </c>
      <c r="H887" s="8">
        <f>IF(H87&gt;0,H187/H87,0)</f>
        <v>0</v>
      </c>
      <c r="I887" s="8">
        <f>IF(I87&gt;0,I187/I87,0)</f>
        <v>0</v>
      </c>
      <c r="J887" s="8">
        <f>IF(J87&gt;0,J187/J87,0)</f>
        <v>0</v>
      </c>
      <c r="K887" s="8">
        <f>IF(K87&gt;0,K187/K87,0)</f>
        <v>0</v>
      </c>
      <c r="L887" s="8">
        <f>IF(L87&gt;0,L187/L87,0)</f>
        <v>0</v>
      </c>
      <c r="M887" s="8">
        <f>IF(M87&gt;0,M187/M87,0)</f>
        <v>0</v>
      </c>
      <c r="N887" s="8">
        <f>IF(N87&gt;0,N187/N87,0)</f>
        <v>0</v>
      </c>
      <c r="O887" s="8">
        <f>IF(O87&gt;0,O187/O87,0)</f>
        <v>0</v>
      </c>
      <c r="P887" s="8">
        <f>IF(P87&gt;0,P187/P87,0)</f>
        <v>0</v>
      </c>
      <c r="Q887" s="8">
        <f>IF(Q87&gt;0,Q187/Q87,0)</f>
        <v>0</v>
      </c>
      <c r="R887" s="8">
        <f>IF(R87&gt;0,R187/R87,0)</f>
        <v>0</v>
      </c>
      <c r="S887" s="8">
        <f>IF(S87&gt;0,S187/S87,0)</f>
        <v>0</v>
      </c>
    </row>
    <row r="888">
      <c r="A888" s="16" t="s">
        <v>400</v>
      </c>
      <c r="B888" s="2" t="s">
        <v>365</v>
      </c>
      <c r="C888" s="8">
        <f>IF(C88&gt;0,C188/C88,0)</f>
        <v>0</v>
      </c>
      <c r="D888" s="8">
        <f>IF(D88&gt;0,D188/D88,0)</f>
        <v>0</v>
      </c>
      <c r="E888" s="8">
        <f>IF(E88&gt;0,E188/E88,0)</f>
        <v>0</v>
      </c>
      <c r="F888" s="8">
        <f>IF(F88&gt;0,F188/F88,0)</f>
        <v>0</v>
      </c>
      <c r="G888" s="8">
        <f>IF(G88&gt;0,G188/G88,0)</f>
        <v>0</v>
      </c>
      <c r="H888" s="8">
        <f>IF(H88&gt;0,H188/H88,0)</f>
        <v>0</v>
      </c>
      <c r="I888" s="8">
        <f>IF(I88&gt;0,I188/I88,0)</f>
        <v>0</v>
      </c>
      <c r="J888" s="8">
        <f>IF(J88&gt;0,J188/J88,0)</f>
        <v>0</v>
      </c>
      <c r="K888" s="8">
        <f>IF(K88&gt;0,K188/K88,0)</f>
        <v>0</v>
      </c>
      <c r="L888" s="8">
        <f>IF(L88&gt;0,L188/L88,0)</f>
        <v>0</v>
      </c>
      <c r="M888" s="8">
        <f>IF(M88&gt;0,M188/M88,0)</f>
        <v>0</v>
      </c>
      <c r="N888" s="8">
        <f>IF(N88&gt;0,N188/N88,0)</f>
        <v>0</v>
      </c>
      <c r="O888" s="8">
        <f>IF(O88&gt;0,O188/O88,0)</f>
        <v>0</v>
      </c>
      <c r="P888" s="8">
        <f>IF(P88&gt;0,P188/P88,0)</f>
        <v>0</v>
      </c>
      <c r="Q888" s="8">
        <f>IF(Q88&gt;0,Q188/Q88,0)</f>
        <v>0</v>
      </c>
      <c r="R888" s="8">
        <f>IF(R88&gt;0,R188/R88,0)</f>
        <v>0</v>
      </c>
      <c r="S888" s="8">
        <f>IF(S88&gt;0,S188/S88,0)</f>
        <v>0</v>
      </c>
    </row>
    <row r="889">
      <c r="A889" s="16" t="s">
        <v>401</v>
      </c>
      <c r="B889" s="2" t="s">
        <v>365</v>
      </c>
      <c r="C889" s="8">
        <f>IF(C89&gt;0,C189/C89,0)</f>
        <v>0</v>
      </c>
      <c r="D889" s="8">
        <f>IF(D89&gt;0,D189/D89,0)</f>
        <v>0</v>
      </c>
      <c r="E889" s="8">
        <f>IF(E89&gt;0,E189/E89,0)</f>
        <v>0</v>
      </c>
      <c r="F889" s="8">
        <f>IF(F89&gt;0,F189/F89,0)</f>
        <v>0</v>
      </c>
      <c r="G889" s="8">
        <f>IF(G89&gt;0,G189/G89,0)</f>
        <v>0</v>
      </c>
      <c r="H889" s="8">
        <f>IF(H89&gt;0,H189/H89,0)</f>
        <v>0</v>
      </c>
      <c r="I889" s="8">
        <f>IF(I89&gt;0,I189/I89,0)</f>
        <v>0</v>
      </c>
      <c r="J889" s="8">
        <f>IF(J89&gt;0,J189/J89,0)</f>
        <v>0</v>
      </c>
      <c r="K889" s="8">
        <f>IF(K89&gt;0,K189/K89,0)</f>
        <v>0</v>
      </c>
      <c r="L889" s="8">
        <f>IF(L89&gt;0,L189/L89,0)</f>
        <v>0</v>
      </c>
      <c r="M889" s="8">
        <f>IF(M89&gt;0,M189/M89,0)</f>
        <v>0</v>
      </c>
      <c r="N889" s="8">
        <f>IF(N89&gt;0,N189/N89,0)</f>
        <v>0</v>
      </c>
      <c r="O889" s="8">
        <f>IF(O89&gt;0,O189/O89,0)</f>
        <v>0</v>
      </c>
      <c r="P889" s="8">
        <f>IF(P89&gt;0,P189/P89,0)</f>
        <v>0</v>
      </c>
      <c r="Q889" s="8">
        <f>IF(Q89&gt;0,Q189/Q89,0)</f>
        <v>0</v>
      </c>
      <c r="R889" s="8">
        <f>IF(R89&gt;0,R189/R89,0)</f>
        <v>0</v>
      </c>
      <c r="S889" s="8">
        <f>IF(S89&gt;0,S189/S89,0)</f>
        <v>0</v>
      </c>
    </row>
    <row r="890">
      <c r="A890" s="16" t="s">
        <v>402</v>
      </c>
      <c r="B890" s="2" t="s">
        <v>365</v>
      </c>
      <c r="C890" s="8">
        <f>IF(C90&gt;0,C190/C90,0)</f>
        <v>0</v>
      </c>
      <c r="D890" s="8">
        <f>IF(D90&gt;0,D190/D90,0)</f>
        <v>0</v>
      </c>
      <c r="E890" s="8">
        <f>IF(E90&gt;0,E190/E90,0)</f>
        <v>0</v>
      </c>
      <c r="F890" s="8">
        <f>IF(F90&gt;0,F190/F90,0)</f>
        <v>0</v>
      </c>
      <c r="G890" s="8">
        <f>IF(G90&gt;0,G190/G90,0)</f>
        <v>0</v>
      </c>
      <c r="H890" s="8">
        <f>IF(H90&gt;0,H190/H90,0)</f>
        <v>0</v>
      </c>
      <c r="I890" s="8">
        <f>IF(I90&gt;0,I190/I90,0)</f>
        <v>0</v>
      </c>
      <c r="J890" s="8">
        <f>IF(J90&gt;0,J190/J90,0)</f>
        <v>0</v>
      </c>
      <c r="K890" s="8">
        <f>IF(K90&gt;0,K190/K90,0)</f>
        <v>0</v>
      </c>
      <c r="L890" s="8">
        <f>IF(L90&gt;0,L190/L90,0)</f>
        <v>0</v>
      </c>
      <c r="M890" s="8">
        <f>IF(M90&gt;0,M190/M90,0)</f>
        <v>0</v>
      </c>
      <c r="N890" s="8">
        <f>IF(N90&gt;0,N190/N90,0)</f>
        <v>0</v>
      </c>
      <c r="O890" s="8">
        <f>IF(O90&gt;0,O190/O90,0)</f>
        <v>0</v>
      </c>
      <c r="P890" s="8">
        <f>IF(P90&gt;0,P190/P90,0)</f>
        <v>0</v>
      </c>
      <c r="Q890" s="8">
        <f>IF(Q90&gt;0,Q190/Q90,0)</f>
        <v>0</v>
      </c>
      <c r="R890" s="8">
        <f>IF(R90&gt;0,R190/R90,0)</f>
        <v>0</v>
      </c>
      <c r="S890" s="8">
        <f>IF(S90&gt;0,S190/S90,0)</f>
        <v>0</v>
      </c>
    </row>
    <row r="891">
      <c r="A891" s="16" t="s">
        <v>403</v>
      </c>
      <c r="B891" s="2" t="s">
        <v>365</v>
      </c>
      <c r="C891" s="8">
        <f>IF(C91&gt;0,C191/C91,0)</f>
        <v>0</v>
      </c>
      <c r="D891" s="8">
        <f>IF(D91&gt;0,D191/D91,0)</f>
        <v>0</v>
      </c>
      <c r="E891" s="8">
        <f>IF(E91&gt;0,E191/E91,0)</f>
        <v>0</v>
      </c>
      <c r="F891" s="8">
        <f>IF(F91&gt;0,F191/F91,0)</f>
        <v>0</v>
      </c>
      <c r="G891" s="8">
        <f>IF(G91&gt;0,G191/G91,0)</f>
        <v>0</v>
      </c>
      <c r="H891" s="8">
        <f>IF(H91&gt;0,H191/H91,0)</f>
        <v>0</v>
      </c>
      <c r="I891" s="8">
        <f>IF(I91&gt;0,I191/I91,0)</f>
        <v>0</v>
      </c>
      <c r="J891" s="8">
        <f>IF(J91&gt;0,J191/J91,0)</f>
        <v>0</v>
      </c>
      <c r="K891" s="8">
        <f>IF(K91&gt;0,K191/K91,0)</f>
        <v>0</v>
      </c>
      <c r="L891" s="8">
        <f>IF(L91&gt;0,L191/L91,0)</f>
        <v>0</v>
      </c>
      <c r="M891" s="8">
        <f>IF(M91&gt;0,M191/M91,0)</f>
        <v>0</v>
      </c>
      <c r="N891" s="8">
        <f>IF(N91&gt;0,N191/N91,0)</f>
        <v>0</v>
      </c>
      <c r="O891" s="8">
        <f>IF(O91&gt;0,O191/O91,0)</f>
        <v>0</v>
      </c>
      <c r="P891" s="8">
        <f>IF(P91&gt;0,P191/P91,0)</f>
        <v>0</v>
      </c>
      <c r="Q891" s="8">
        <f>IF(Q91&gt;0,Q191/Q91,0)</f>
        <v>0</v>
      </c>
      <c r="R891" s="8">
        <f>IF(R91&gt;0,R191/R91,0)</f>
        <v>0</v>
      </c>
      <c r="S891" s="8">
        <f>IF(S91&gt;0,S191/S91,0)</f>
        <v>0</v>
      </c>
    </row>
    <row r="892">
      <c r="A892" s="16" t="s">
        <v>404</v>
      </c>
      <c r="B892" s="2" t="s">
        <v>365</v>
      </c>
      <c r="C892" s="8">
        <f>IF(C92&gt;0,C192/C92,0)</f>
        <v>0</v>
      </c>
      <c r="D892" s="8">
        <f>IF(D92&gt;0,D192/D92,0)</f>
        <v>0</v>
      </c>
      <c r="E892" s="8">
        <f>IF(E92&gt;0,E192/E92,0)</f>
        <v>0</v>
      </c>
      <c r="F892" s="8">
        <f>IF(F92&gt;0,F192/F92,0)</f>
        <v>0</v>
      </c>
      <c r="G892" s="8">
        <f>IF(G92&gt;0,G192/G92,0)</f>
        <v>0</v>
      </c>
      <c r="H892" s="8">
        <f>IF(H92&gt;0,H192/H92,0)</f>
        <v>0</v>
      </c>
      <c r="I892" s="8">
        <f>IF(I92&gt;0,I192/I92,0)</f>
        <v>0</v>
      </c>
      <c r="J892" s="8">
        <f>IF(J92&gt;0,J192/J92,0)</f>
        <v>0</v>
      </c>
      <c r="K892" s="8">
        <f>IF(K92&gt;0,K192/K92,0)</f>
        <v>0</v>
      </c>
      <c r="L892" s="8">
        <f>IF(L92&gt;0,L192/L92,0)</f>
        <v>0</v>
      </c>
      <c r="M892" s="8">
        <f>IF(M92&gt;0,M192/M92,0)</f>
        <v>0</v>
      </c>
      <c r="N892" s="8">
        <f>IF(N92&gt;0,N192/N92,0)</f>
        <v>0</v>
      </c>
      <c r="O892" s="8">
        <f>IF(O92&gt;0,O192/O92,0)</f>
        <v>0</v>
      </c>
      <c r="P892" s="8">
        <f>IF(P92&gt;0,P192/P92,0)</f>
        <v>0</v>
      </c>
      <c r="Q892" s="8">
        <f>IF(Q92&gt;0,Q192/Q92,0)</f>
        <v>0</v>
      </c>
      <c r="R892" s="8">
        <f>IF(R92&gt;0,R192/R92,0)</f>
        <v>0</v>
      </c>
      <c r="S892" s="8">
        <f>IF(S92&gt;0,S192/S92,0)</f>
        <v>0</v>
      </c>
    </row>
    <row r="893">
      <c r="A893" s="16" t="s">
        <v>405</v>
      </c>
      <c r="B893" s="2" t="s">
        <v>365</v>
      </c>
      <c r="C893" s="8">
        <f>IF(C93&gt;0,C193/C93,0)</f>
        <v>0</v>
      </c>
      <c r="D893" s="8">
        <f>IF(D93&gt;0,D193/D93,0)</f>
        <v>0</v>
      </c>
      <c r="E893" s="8">
        <f>IF(E93&gt;0,E193/E93,0)</f>
        <v>0</v>
      </c>
      <c r="F893" s="8">
        <f>IF(F93&gt;0,F193/F93,0)</f>
        <v>0</v>
      </c>
      <c r="G893" s="8">
        <f>IF(G93&gt;0,G193/G93,0)</f>
        <v>0</v>
      </c>
      <c r="H893" s="8">
        <f>IF(H93&gt;0,H193/H93,0)</f>
        <v>0</v>
      </c>
      <c r="I893" s="8">
        <f>IF(I93&gt;0,I193/I93,0)</f>
        <v>0</v>
      </c>
      <c r="J893" s="8">
        <f>IF(J93&gt;0,J193/J93,0)</f>
        <v>0</v>
      </c>
      <c r="K893" s="8">
        <f>IF(K93&gt;0,K193/K93,0)</f>
        <v>0</v>
      </c>
      <c r="L893" s="8">
        <f>IF(L93&gt;0,L193/L93,0)</f>
        <v>0</v>
      </c>
      <c r="M893" s="8">
        <f>IF(M93&gt;0,M193/M93,0)</f>
        <v>0</v>
      </c>
      <c r="N893" s="8">
        <f>IF(N93&gt;0,N193/N93,0)</f>
        <v>0</v>
      </c>
      <c r="O893" s="8">
        <f>IF(O93&gt;0,O193/O93,0)</f>
        <v>0</v>
      </c>
      <c r="P893" s="8">
        <f>IF(P93&gt;0,P193/P93,0)</f>
        <v>0</v>
      </c>
      <c r="Q893" s="8">
        <f>IF(Q93&gt;0,Q193/Q93,0)</f>
        <v>0</v>
      </c>
      <c r="R893" s="8">
        <f>IF(R93&gt;0,R193/R93,0)</f>
        <v>0</v>
      </c>
      <c r="S893" s="8">
        <f>IF(S93&gt;0,S193/S93,0)</f>
        <v>0</v>
      </c>
    </row>
    <row r="894">
      <c r="A894" s="16" t="s">
        <v>406</v>
      </c>
      <c r="B894" s="2" t="s">
        <v>365</v>
      </c>
      <c r="C894" s="8">
        <f>IF(C94&gt;0,C194/C94,0)</f>
        <v>0</v>
      </c>
      <c r="D894" s="8">
        <f>IF(D94&gt;0,D194/D94,0)</f>
        <v>0</v>
      </c>
      <c r="E894" s="8">
        <f>IF(E94&gt;0,E194/E94,0)</f>
        <v>0</v>
      </c>
      <c r="F894" s="8">
        <f>IF(F94&gt;0,F194/F94,0)</f>
        <v>0</v>
      </c>
      <c r="G894" s="8">
        <f>IF(G94&gt;0,G194/G94,0)</f>
        <v>0</v>
      </c>
      <c r="H894" s="8">
        <f>IF(H94&gt;0,H194/H94,0)</f>
        <v>0</v>
      </c>
      <c r="I894" s="8">
        <f>IF(I94&gt;0,I194/I94,0)</f>
        <v>0</v>
      </c>
      <c r="J894" s="8">
        <f>IF(J94&gt;0,J194/J94,0)</f>
        <v>0</v>
      </c>
      <c r="K894" s="8">
        <f>IF(K94&gt;0,K194/K94,0)</f>
        <v>0</v>
      </c>
      <c r="L894" s="8">
        <f>IF(L94&gt;0,L194/L94,0)</f>
        <v>0</v>
      </c>
      <c r="M894" s="8">
        <f>IF(M94&gt;0,M194/M94,0)</f>
        <v>0</v>
      </c>
      <c r="N894" s="8">
        <f>IF(N94&gt;0,N194/N94,0)</f>
        <v>0</v>
      </c>
      <c r="O894" s="8">
        <f>IF(O94&gt;0,O194/O94,0)</f>
        <v>0</v>
      </c>
      <c r="P894" s="8">
        <f>IF(P94&gt;0,P194/P94,0)</f>
        <v>0</v>
      </c>
      <c r="Q894" s="8">
        <f>IF(Q94&gt;0,Q194/Q94,0)</f>
        <v>0</v>
      </c>
      <c r="R894" s="8">
        <f>IF(R94&gt;0,R194/R94,0)</f>
        <v>0</v>
      </c>
      <c r="S894" s="8">
        <f>IF(S94&gt;0,S194/S94,0)</f>
        <v>0</v>
      </c>
    </row>
    <row r="895">
      <c r="A895" s="16" t="s">
        <v>407</v>
      </c>
      <c r="B895" s="2" t="s">
        <v>365</v>
      </c>
      <c r="C895" s="8">
        <f>IF(C95&gt;0,C195/C95,0)</f>
        <v>0</v>
      </c>
      <c r="D895" s="8">
        <f>IF(D95&gt;0,D195/D95,0)</f>
        <v>0</v>
      </c>
      <c r="E895" s="8">
        <f>IF(E95&gt;0,E195/E95,0)</f>
        <v>0</v>
      </c>
      <c r="F895" s="8">
        <f>IF(F95&gt;0,F195/F95,0)</f>
        <v>0</v>
      </c>
      <c r="G895" s="8">
        <f>IF(G95&gt;0,G195/G95,0)</f>
        <v>0</v>
      </c>
      <c r="H895" s="8">
        <f>IF(H95&gt;0,H195/H95,0)</f>
        <v>0</v>
      </c>
      <c r="I895" s="8">
        <f>IF(I95&gt;0,I195/I95,0)</f>
        <v>0</v>
      </c>
      <c r="J895" s="8">
        <f>IF(J95&gt;0,J195/J95,0)</f>
        <v>0</v>
      </c>
      <c r="K895" s="8">
        <f>IF(K95&gt;0,K195/K95,0)</f>
        <v>0</v>
      </c>
      <c r="L895" s="8">
        <f>IF(L95&gt;0,L195/L95,0)</f>
        <v>0</v>
      </c>
      <c r="M895" s="8">
        <f>IF(M95&gt;0,M195/M95,0)</f>
        <v>0</v>
      </c>
      <c r="N895" s="8">
        <f>IF(N95&gt;0,N195/N95,0)</f>
        <v>0</v>
      </c>
      <c r="O895" s="8">
        <f>IF(O95&gt;0,O195/O95,0)</f>
        <v>0</v>
      </c>
      <c r="P895" s="8">
        <f>IF(P95&gt;0,P195/P95,0)</f>
        <v>0</v>
      </c>
      <c r="Q895" s="8">
        <f>IF(Q95&gt;0,Q195/Q95,0)</f>
        <v>0</v>
      </c>
      <c r="R895" s="8">
        <f>IF(R95&gt;0,R195/R95,0)</f>
        <v>0</v>
      </c>
      <c r="S895" s="8">
        <f>IF(S95&gt;0,S195/S95,0)</f>
        <v>0</v>
      </c>
    </row>
    <row r="896">
      <c r="A896" s="16" t="s">
        <v>408</v>
      </c>
      <c r="B896" s="2" t="s">
        <v>365</v>
      </c>
      <c r="C896" s="8">
        <f>IF(C96&gt;0,C196/C96,0)</f>
        <v>0</v>
      </c>
      <c r="D896" s="8">
        <f>IF(D96&gt;0,D196/D96,0)</f>
        <v>0</v>
      </c>
      <c r="E896" s="8">
        <f>IF(E96&gt;0,E196/E96,0)</f>
        <v>0</v>
      </c>
      <c r="F896" s="8">
        <f>IF(F96&gt;0,F196/F96,0)</f>
        <v>0</v>
      </c>
      <c r="G896" s="8">
        <f>IF(G96&gt;0,G196/G96,0)</f>
        <v>0</v>
      </c>
      <c r="H896" s="8">
        <f>IF(H96&gt;0,H196/H96,0)</f>
        <v>0</v>
      </c>
      <c r="I896" s="8">
        <f>IF(I96&gt;0,I196/I96,0)</f>
        <v>0</v>
      </c>
      <c r="J896" s="8">
        <f>IF(J96&gt;0,J196/J96,0)</f>
        <v>0</v>
      </c>
      <c r="K896" s="8">
        <f>IF(K96&gt;0,K196/K96,0)</f>
        <v>0</v>
      </c>
      <c r="L896" s="8">
        <f>IF(L96&gt;0,L196/L96,0)</f>
        <v>0</v>
      </c>
      <c r="M896" s="8">
        <f>IF(M96&gt;0,M196/M96,0)</f>
        <v>0</v>
      </c>
      <c r="N896" s="8">
        <f>IF(N96&gt;0,N196/N96,0)</f>
        <v>0</v>
      </c>
      <c r="O896" s="8">
        <f>IF(O96&gt;0,O196/O96,0)</f>
        <v>0</v>
      </c>
      <c r="P896" s="8">
        <f>IF(P96&gt;0,P196/P96,0)</f>
        <v>0</v>
      </c>
      <c r="Q896" s="8">
        <f>IF(Q96&gt;0,Q196/Q96,0)</f>
        <v>0</v>
      </c>
      <c r="R896" s="8">
        <f>IF(R96&gt;0,R196/R96,0)</f>
        <v>0</v>
      </c>
      <c r="S896" s="8">
        <f>IF(S96&gt;0,S196/S96,0)</f>
        <v>0</v>
      </c>
    </row>
    <row r="897">
      <c r="A897" s="16" t="s">
        <v>409</v>
      </c>
      <c r="B897" s="2" t="s">
        <v>365</v>
      </c>
      <c r="C897" s="8">
        <f>IF(C97&gt;0,C197/C97,0)</f>
        <v>0</v>
      </c>
      <c r="D897" s="8">
        <f>IF(D97&gt;0,D197/D97,0)</f>
        <v>0</v>
      </c>
      <c r="E897" s="8">
        <f>IF(E97&gt;0,E197/E97,0)</f>
        <v>0</v>
      </c>
      <c r="F897" s="8">
        <f>IF(F97&gt;0,F197/F97,0)</f>
        <v>0</v>
      </c>
      <c r="G897" s="8">
        <f>IF(G97&gt;0,G197/G97,0)</f>
        <v>0</v>
      </c>
      <c r="H897" s="8">
        <f>IF(H97&gt;0,H197/H97,0)</f>
        <v>0</v>
      </c>
      <c r="I897" s="8">
        <f>IF(I97&gt;0,I197/I97,0)</f>
        <v>0</v>
      </c>
      <c r="J897" s="8">
        <f>IF(J97&gt;0,J197/J97,0)</f>
        <v>0</v>
      </c>
      <c r="K897" s="8">
        <f>IF(K97&gt;0,K197/K97,0)</f>
        <v>0</v>
      </c>
      <c r="L897" s="8">
        <f>IF(L97&gt;0,L197/L97,0)</f>
        <v>0</v>
      </c>
      <c r="M897" s="8">
        <f>IF(M97&gt;0,M197/M97,0)</f>
        <v>0</v>
      </c>
      <c r="N897" s="8">
        <f>IF(N97&gt;0,N197/N97,0)</f>
        <v>0</v>
      </c>
      <c r="O897" s="8">
        <f>IF(O97&gt;0,O197/O97,0)</f>
        <v>0</v>
      </c>
      <c r="P897" s="8">
        <f>IF(P97&gt;0,P197/P97,0)</f>
        <v>0</v>
      </c>
      <c r="Q897" s="8">
        <f>IF(Q97&gt;0,Q197/Q97,0)</f>
        <v>0</v>
      </c>
      <c r="R897" s="8">
        <f>IF(R97&gt;0,R197/R97,0)</f>
        <v>0</v>
      </c>
      <c r="S897" s="8">
        <f>IF(S97&gt;0,S197/S97,0)</f>
        <v>0</v>
      </c>
    </row>
    <row r="898">
      <c r="A898" s="16" t="s">
        <v>410</v>
      </c>
      <c r="B898" s="2" t="s">
        <v>365</v>
      </c>
      <c r="C898" s="8">
        <f>IF(C98&gt;0,C198/C98,0)</f>
        <v>0</v>
      </c>
      <c r="D898" s="8">
        <f>IF(D98&gt;0,D198/D98,0)</f>
        <v>0</v>
      </c>
      <c r="E898" s="8">
        <f>IF(E98&gt;0,E198/E98,0)</f>
        <v>0</v>
      </c>
      <c r="F898" s="8">
        <f>IF(F98&gt;0,F198/F98,0)</f>
        <v>0</v>
      </c>
      <c r="G898" s="8">
        <f>IF(G98&gt;0,G198/G98,0)</f>
        <v>0</v>
      </c>
      <c r="H898" s="8">
        <f>IF(H98&gt;0,H198/H98,0)</f>
        <v>0</v>
      </c>
      <c r="I898" s="8">
        <f>IF(I98&gt;0,I198/I98,0)</f>
        <v>0</v>
      </c>
      <c r="J898" s="8">
        <f>IF(J98&gt;0,J198/J98,0)</f>
        <v>0</v>
      </c>
      <c r="K898" s="8">
        <f>IF(K98&gt;0,K198/K98,0)</f>
        <v>0</v>
      </c>
      <c r="L898" s="8">
        <f>IF(L98&gt;0,L198/L98,0)</f>
        <v>0</v>
      </c>
      <c r="M898" s="8">
        <f>IF(M98&gt;0,M198/M98,0)</f>
        <v>0</v>
      </c>
      <c r="N898" s="8">
        <f>IF(N98&gt;0,N198/N98,0)</f>
        <v>0</v>
      </c>
      <c r="O898" s="8">
        <f>IF(O98&gt;0,O198/O98,0)</f>
        <v>0</v>
      </c>
      <c r="P898" s="8">
        <f>IF(P98&gt;0,P198/P98,0)</f>
        <v>0</v>
      </c>
      <c r="Q898" s="8">
        <f>IF(Q98&gt;0,Q198/Q98,0)</f>
        <v>0</v>
      </c>
      <c r="R898" s="8">
        <f>IF(R98&gt;0,R198/R98,0)</f>
        <v>0</v>
      </c>
      <c r="S898" s="8">
        <f>IF(S98&gt;0,S198/S98,0)</f>
        <v>0</v>
      </c>
    </row>
    <row r="899">
      <c r="A899" s="17" t="s">
        <v>411</v>
      </c>
      <c r="C899" s="9">
        <f>IF(C99&gt;0,C199/C99,0)</f>
        <v>0.62190525355529</v>
      </c>
      <c r="D899" s="9">
        <f>IF(D99&gt;0,D199/D99,0)</f>
        <v>0.5837044401637703</v>
      </c>
      <c r="E899" s="9">
        <f>IF(E99&gt;0,E199/E99,0)</f>
        <v>0.5877305117138554</v>
      </c>
      <c r="F899" s="9">
        <f>IF(F99&gt;0,F199/F99,0)</f>
        <v>0.5777112724455497</v>
      </c>
      <c r="G899" s="9">
        <f>IF(G99&gt;0,G199/G99,0)</f>
        <v>0.5636557517750787</v>
      </c>
      <c r="H899" s="9">
        <f>IF(H99&gt;0,H199/H99,0)</f>
        <v>0.5650827598422872</v>
      </c>
      <c r="I899" s="9">
        <f>IF(I99&gt;0,I199/I99,0)</f>
        <v>0.6278658298102173</v>
      </c>
      <c r="J899" s="9">
        <f>IF(J99&gt;0,J199/J99,0)</f>
        <v>0.5958426671005044</v>
      </c>
      <c r="K899" s="9">
        <f>IF(K99&gt;0,K199/K99,0)</f>
        <v>0.5966586297880083</v>
      </c>
      <c r="L899" s="9">
        <f>IF(L99&gt;0,L199/L99,0)</f>
        <v>0.5615630361474294</v>
      </c>
      <c r="M899" s="9">
        <f>IF(M99&gt;0,M199/M99,0)</f>
        <v>0.5784737873313929</v>
      </c>
      <c r="N899" s="9">
        <f>IF(N99&gt;0,N199/N99,0)</f>
        <v>0.5276714088364315</v>
      </c>
      <c r="O899" s="9">
        <f>IF(O99&gt;0,O199/O99,0)</f>
        <v>0.5343009439065454</v>
      </c>
      <c r="P899" s="9">
        <f>IF(P99&gt;0,P199/P99,0)</f>
        <v>0.5737738801783447</v>
      </c>
      <c r="Q899" s="9">
        <f>IF(Q99&gt;0,Q199/Q99,0)</f>
        <v>0.5784318161252375</v>
      </c>
      <c r="R899" s="9">
        <f>IF(R99&gt;0,R199/R99,0)</f>
        <v>0.5280993121959403</v>
      </c>
      <c r="S899" s="9">
        <f>IF(S99&gt;0,S199/S99,0)</f>
        <v>0.5581730084832891</v>
      </c>
    </row>
    <row r="900">
      <c r="A900" s="17" t="s">
        <v>412</v>
      </c>
      <c r="C900" s="9">
        <f>IF(C100&gt;0,C200/C100,0)</f>
        <v>0</v>
      </c>
      <c r="D900" s="9">
        <f>IF(D100&gt;0,D200/D100,0)</f>
        <v>0</v>
      </c>
      <c r="E900" s="9">
        <f>IF(E100&gt;0,E200/E100,0)</f>
        <v>0</v>
      </c>
      <c r="F900" s="9">
        <f>IF(F100&gt;0,F200/F100,0)</f>
        <v>0</v>
      </c>
      <c r="G900" s="9">
        <f>IF(G100&gt;0,G200/G100,0)</f>
        <v>0</v>
      </c>
      <c r="H900" s="9">
        <f>IF(H100&gt;0,H200/H100,0)</f>
        <v>0</v>
      </c>
      <c r="I900" s="9">
        <f>IF(I100&gt;0,I200/I100,0)</f>
        <v>0</v>
      </c>
      <c r="J900" s="9">
        <f>IF(J100&gt;0,J200/J100,0)</f>
        <v>0</v>
      </c>
      <c r="K900" s="9">
        <f>IF(K100&gt;0,K200/K100,0)</f>
        <v>0</v>
      </c>
      <c r="L900" s="9">
        <f>IF(L100&gt;0,L200/L100,0)</f>
        <v>0</v>
      </c>
      <c r="M900" s="9">
        <f>IF(M100&gt;0,M200/M100,0)</f>
        <v>0</v>
      </c>
      <c r="N900" s="9">
        <f>IF(N100&gt;0,N200/N100,0)</f>
        <v>0</v>
      </c>
      <c r="O900" s="9">
        <f>IF(O100&gt;0,O200/O100,0)</f>
        <v>0</v>
      </c>
      <c r="P900" s="9">
        <f>IF(P100&gt;0,P200/P100,0)</f>
        <v>0</v>
      </c>
      <c r="Q900" s="9">
        <f>IF(Q100&gt;0,Q200/Q100,0)</f>
        <v>0</v>
      </c>
      <c r="R900" s="9">
        <f>IF(R100&gt;0,R200/R100,0)</f>
        <v>0</v>
      </c>
      <c r="S900" s="9">
        <f>IF(S100&gt;0,S200/S100,0)</f>
        <v>0</v>
      </c>
    </row>
    <row r="901">
      <c r="A901" s="17" t="s">
        <v>112</v>
      </c>
      <c r="C901" s="9">
        <f>IF(C101&gt;0,C201/C101,0)</f>
        <v>0.62190525355529</v>
      </c>
      <c r="D901" s="9">
        <f>IF(D101&gt;0,D201/D101,0)</f>
        <v>0.5837044401637703</v>
      </c>
      <c r="E901" s="9">
        <f>IF(E101&gt;0,E201/E101,0)</f>
        <v>0.5877305117138554</v>
      </c>
      <c r="F901" s="9">
        <f>IF(F101&gt;0,F201/F101,0)</f>
        <v>0.5777112724455497</v>
      </c>
      <c r="G901" s="9">
        <f>IF(G101&gt;0,G201/G101,0)</f>
        <v>0.5636557517750787</v>
      </c>
      <c r="H901" s="9">
        <f>IF(H101&gt;0,H201/H101,0)</f>
        <v>0.5650827598422872</v>
      </c>
      <c r="I901" s="9">
        <f>IF(I101&gt;0,I201/I101,0)</f>
        <v>0.6278658298102173</v>
      </c>
      <c r="J901" s="9">
        <f>IF(J101&gt;0,J201/J101,0)</f>
        <v>0.5958426671005044</v>
      </c>
      <c r="K901" s="9">
        <f>IF(K101&gt;0,K201/K101,0)</f>
        <v>0.5966586297880083</v>
      </c>
      <c r="L901" s="9">
        <f>IF(L101&gt;0,L201/L101,0)</f>
        <v>0.5615630361474294</v>
      </c>
      <c r="M901" s="9">
        <f>IF(M101&gt;0,M201/M101,0)</f>
        <v>0.5784737873313929</v>
      </c>
      <c r="N901" s="9">
        <f>IF(N101&gt;0,N201/N101,0)</f>
        <v>0.5276714088364315</v>
      </c>
      <c r="O901" s="9">
        <f>IF(O101&gt;0,O201/O101,0)</f>
        <v>0.5343009439065454</v>
      </c>
      <c r="P901" s="9">
        <f>IF(P101&gt;0,P201/P101,0)</f>
        <v>0.5737738801783447</v>
      </c>
      <c r="Q901" s="9">
        <f>IF(Q101&gt;0,Q201/Q101,0)</f>
        <v>0.5784318161252375</v>
      </c>
      <c r="R901" s="9">
        <f>IF(R101&gt;0,R201/R101,0)</f>
        <v>0.5280993121959403</v>
      </c>
      <c r="S901" s="9">
        <f>IF(S101&gt;0,S201/S101,0)</f>
        <v>0.5581730084832891</v>
      </c>
    </row>
    <row r="905">
      <c r="A905" s="4" t="s">
        <v>421</v>
      </c>
      <c r="B905" s="3" t="s">
        <v>320</v>
      </c>
      <c r="C905" s="3" t="s">
        <v>35</v>
      </c>
      <c r="D905" s="3" t="s">
        <v>36</v>
      </c>
      <c r="E905" s="3" t="s">
        <v>37</v>
      </c>
      <c r="F905" s="3" t="s">
        <v>38</v>
      </c>
      <c r="G905" s="3" t="s">
        <v>39</v>
      </c>
      <c r="H905" s="3" t="s">
        <v>40</v>
      </c>
      <c r="I905" s="3" t="s">
        <v>41</v>
      </c>
      <c r="J905" s="3" t="s">
        <v>42</v>
      </c>
      <c r="K905" s="3" t="s">
        <v>43</v>
      </c>
      <c r="L905" s="3" t="s">
        <v>44</v>
      </c>
      <c r="M905" s="3" t="s">
        <v>45</v>
      </c>
      <c r="N905" s="3" t="s">
        <v>46</v>
      </c>
      <c r="O905" s="3" t="s">
        <v>47</v>
      </c>
      <c r="P905" s="3" t="s">
        <v>48</v>
      </c>
      <c r="Q905" s="3" t="s">
        <v>49</v>
      </c>
      <c r="R905" s="3" t="s">
        <v>50</v>
      </c>
      <c r="S905" s="3" t="s">
        <v>110</v>
      </c>
    </row>
    <row r="906">
      <c r="A906" s="16" t="s">
        <v>321</v>
      </c>
      <c r="B906" s="2" t="s">
        <v>322</v>
      </c>
      <c r="C906" s="8">
        <f>IF(C6&gt;0,C206/C6,0)</f>
        <v>0.23302752293577983</v>
      </c>
      <c r="D906" s="8">
        <f>IF(D6&gt;0,D206/D6,0)</f>
        <v>0.29471544715447157</v>
      </c>
      <c r="E906" s="8">
        <f>IF(E6&gt;0,E206/E6,0)</f>
        <v>0.2690972222222222</v>
      </c>
      <c r="F906" s="8">
        <f>IF(F6&gt;0,F206/F6,0)</f>
        <v>0.2692307692307692</v>
      </c>
      <c r="G906" s="8">
        <f>IF(G6&gt;0,G206/G6,0)</f>
        <v>0.31307550644567217</v>
      </c>
      <c r="H906" s="8">
        <f>IF(H6&gt;0,H206/H6,0)</f>
        <v>0.2692307692307692</v>
      </c>
      <c r="I906" s="8">
        <f>IF(I6&gt;0,I206/I6,0)</f>
        <v>0.18716577540106952</v>
      </c>
      <c r="J906" s="8">
        <f>IF(J6&gt;0,J206/J6,0)</f>
        <v>0.2418426103646833</v>
      </c>
      <c r="K906" s="8">
        <f>IF(K6&gt;0,K206/K6,0)</f>
        <v>0.25263157894736843</v>
      </c>
      <c r="L906" s="8">
        <f>IF(L6&gt;0,L206/L6,0)</f>
        <v>0.30578512396694213</v>
      </c>
      <c r="M906" s="8">
        <f>IF(M6&gt;0,M206/M6,0)</f>
        <v>0.28898426323319026</v>
      </c>
      <c r="N906" s="8">
        <f>IF(N6&gt;0,N206/N6,0)</f>
        <v>0.37349397590361444</v>
      </c>
      <c r="O906" s="8">
        <f>IF(O6&gt;0,O206/O6,0)</f>
        <v>0.36421725239616615</v>
      </c>
      <c r="P906" s="8">
        <f>IF(P6&gt;0,P206/P6,0)</f>
        <v>0.32277526395173456</v>
      </c>
      <c r="Q906" s="8">
        <f>IF(Q6&gt;0,Q206/Q6,0)</f>
        <v>0.32061068702290074</v>
      </c>
      <c r="R906" s="8">
        <f>IF(R6&gt;0,R206/R6,0)</f>
        <v>0.3968253968253968</v>
      </c>
      <c r="S906" s="8">
        <f>IF(S6&gt;0,S206/S6,0)</f>
        <v>0.33936022253129344</v>
      </c>
    </row>
    <row r="907">
      <c r="A907" s="16" t="s">
        <v>125</v>
      </c>
      <c r="B907" s="2" t="s">
        <v>322</v>
      </c>
      <c r="C907" s="8">
        <f>IF(C7&gt;0,C207/C7,0)</f>
        <v>0.9665207313932527</v>
      </c>
      <c r="D907" s="8">
        <f>IF(D7&gt;0,D207/D7,0)</f>
        <v>0.9692307692307692</v>
      </c>
      <c r="E907" s="8">
        <f>IF(E7&gt;0,E207/E7,0)</f>
        <v>0.9660377358490566</v>
      </c>
      <c r="F907" s="8">
        <f>IF(F7&gt;0,F207/F7,0)</f>
        <v>0.9606140850735763</v>
      </c>
      <c r="G907" s="8">
        <f>IF(G7&gt;0,G207/G7,0)</f>
        <v>0.9616788321167883</v>
      </c>
      <c r="H907" s="8">
        <f>IF(H7&gt;0,H207/H7,0)</f>
        <v>0.9619771863117871</v>
      </c>
      <c r="I907" s="8">
        <f>IF(I7&gt;0,I207/I7,0)</f>
        <v>0.9588014981273408</v>
      </c>
      <c r="J907" s="8">
        <f>IF(J7&gt;0,J207/J7,0)</f>
        <v>0.9649829351535836</v>
      </c>
      <c r="K907" s="8">
        <f>IF(K7&gt;0,K207/K7,0)</f>
        <v>0.965</v>
      </c>
      <c r="L907" s="8">
        <f>IF(L7&gt;0,L207/L7,0)</f>
        <v>0.9648562300319489</v>
      </c>
      <c r="M907" s="8">
        <f>IF(M7&gt;0,M207/M7,0)</f>
        <v>0.9672413793103448</v>
      </c>
      <c r="N907" s="8">
        <f>IF(N7&gt;0,N207/N7,0)</f>
        <v>0.9651678277390754</v>
      </c>
      <c r="O907" s="8">
        <f>IF(O7&gt;0,O207/O7,0)</f>
        <v>0.9646643109540636</v>
      </c>
      <c r="P907" s="8">
        <f>IF(P7&gt;0,P207/P7,0)</f>
        <v>0.9637023593466425</v>
      </c>
      <c r="Q907" s="8">
        <f>IF(Q7&gt;0,Q207/Q7,0)</f>
        <v>0.9655172413793104</v>
      </c>
      <c r="R907" s="8">
        <f>IF(R7&gt;0,R207/R7,0)</f>
        <v>0.9621451104100947</v>
      </c>
      <c r="S907" s="8">
        <f>IF(S7&gt;0,S207/S7,0)</f>
        <v>0.9661538461538461</v>
      </c>
    </row>
    <row r="908">
      <c r="A908" s="16" t="s">
        <v>323</v>
      </c>
      <c r="B908" s="2" t="s">
        <v>322</v>
      </c>
      <c r="C908" s="8">
        <f>IF(C8&gt;0,C208/C8,0)</f>
        <v>0</v>
      </c>
      <c r="D908" s="8">
        <f>IF(D8&gt;0,D208/D8,0)</f>
        <v>0</v>
      </c>
      <c r="E908" s="8">
        <f>IF(E8&gt;0,E208/E8,0)</f>
        <v>0</v>
      </c>
      <c r="F908" s="8">
        <f>IF(F8&gt;0,F208/F8,0)</f>
        <v>0</v>
      </c>
      <c r="G908" s="8">
        <f>IF(G8&gt;0,G208/G8,0)</f>
        <v>0</v>
      </c>
      <c r="H908" s="8">
        <f>IF(H8&gt;0,H208/H8,0)</f>
        <v>0</v>
      </c>
      <c r="I908" s="8">
        <f>IF(I8&gt;0,I208/I8,0)</f>
        <v>0</v>
      </c>
      <c r="J908" s="8">
        <f>IF(J8&gt;0,J208/J8,0)</f>
        <v>0</v>
      </c>
      <c r="K908" s="8">
        <f>IF(K8&gt;0,K208/K8,0)</f>
        <v>0</v>
      </c>
      <c r="L908" s="8">
        <f>IF(L8&gt;0,L208/L8,0)</f>
        <v>0</v>
      </c>
      <c r="M908" s="8">
        <f>IF(M8&gt;0,M208/M8,0)</f>
        <v>0</v>
      </c>
      <c r="N908" s="8">
        <f>IF(N8&gt;0,N208/N8,0)</f>
        <v>0</v>
      </c>
      <c r="O908" s="8">
        <f>IF(O8&gt;0,O208/O8,0)</f>
        <v>0</v>
      </c>
      <c r="P908" s="8">
        <f>IF(P8&gt;0,P208/P8,0)</f>
        <v>0</v>
      </c>
      <c r="Q908" s="8">
        <f>IF(Q8&gt;0,Q208/Q8,0)</f>
        <v>0</v>
      </c>
      <c r="R908" s="8">
        <f>IF(R8&gt;0,R208/R8,0)</f>
        <v>0</v>
      </c>
      <c r="S908" s="8">
        <f>IF(S8&gt;0,S208/S8,0)</f>
        <v>0</v>
      </c>
    </row>
    <row r="909">
      <c r="A909" s="16" t="s">
        <v>324</v>
      </c>
      <c r="B909" s="2" t="s">
        <v>322</v>
      </c>
      <c r="C909" s="8">
        <f>IF(C9&gt;0,C209/C9,0)</f>
        <v>0</v>
      </c>
      <c r="D909" s="8">
        <f>IF(D9&gt;0,D209/D9,0)</f>
        <v>0</v>
      </c>
      <c r="E909" s="8">
        <f>IF(E9&gt;0,E209/E9,0)</f>
        <v>0</v>
      </c>
      <c r="F909" s="8">
        <f>IF(F9&gt;0,F209/F9,0)</f>
        <v>0</v>
      </c>
      <c r="G909" s="8">
        <f>IF(G9&gt;0,G209/G9,0)</f>
        <v>0</v>
      </c>
      <c r="H909" s="8">
        <f>IF(H9&gt;0,H209/H9,0)</f>
        <v>0</v>
      </c>
      <c r="I909" s="8">
        <f>IF(I9&gt;0,I209/I9,0)</f>
        <v>0</v>
      </c>
      <c r="J909" s="8">
        <f>IF(J9&gt;0,J209/J9,0)</f>
        <v>0</v>
      </c>
      <c r="K909" s="8">
        <f>IF(K9&gt;0,K209/K9,0)</f>
        <v>0</v>
      </c>
      <c r="L909" s="8">
        <f>IF(L9&gt;0,L209/L9,0)</f>
        <v>0</v>
      </c>
      <c r="M909" s="8">
        <f>IF(M9&gt;0,M209/M9,0)</f>
        <v>0</v>
      </c>
      <c r="N909" s="8">
        <f>IF(N9&gt;0,N209/N9,0)</f>
        <v>0</v>
      </c>
      <c r="O909" s="8">
        <f>IF(O9&gt;0,O209/O9,0)</f>
        <v>0</v>
      </c>
      <c r="P909" s="8">
        <f>IF(P9&gt;0,P209/P9,0)</f>
        <v>0</v>
      </c>
      <c r="Q909" s="8">
        <f>IF(Q9&gt;0,Q209/Q9,0)</f>
        <v>0</v>
      </c>
      <c r="R909" s="8">
        <f>IF(R9&gt;0,R209/R9,0)</f>
        <v>0</v>
      </c>
      <c r="S909" s="8">
        <f>IF(S9&gt;0,S209/S9,0)</f>
        <v>0</v>
      </c>
    </row>
    <row r="910">
      <c r="A910" s="16" t="s">
        <v>325</v>
      </c>
      <c r="B910" s="2" t="s">
        <v>322</v>
      </c>
      <c r="C910" s="8">
        <f>IF(C10&gt;0,C210/C10,0)</f>
        <v>0.8525469168900804</v>
      </c>
      <c r="D910" s="8">
        <f>IF(D10&gt;0,D210/D10,0)</f>
        <v>0.8368883312421581</v>
      </c>
      <c r="E910" s="8">
        <f>IF(E10&gt;0,E210/E10,0)</f>
        <v>0.8319327731092437</v>
      </c>
      <c r="F910" s="8">
        <f>IF(F10&gt;0,F210/F10,0)</f>
        <v>0.8403361344537815</v>
      </c>
      <c r="G910" s="8">
        <f>IF(G10&gt;0,G210/G10,0)</f>
        <v>0.8787010506208214</v>
      </c>
      <c r="H910" s="8">
        <f>IF(H10&gt;0,H210/H10,0)</f>
        <v>0.8760330578512396</v>
      </c>
      <c r="I910" s="8">
        <f>IF(I10&gt;0,I210/I10,0)</f>
        <v>0.8773584905660378</v>
      </c>
      <c r="J910" s="8">
        <f>IF(J10&gt;0,J210/J10,0)</f>
        <v>0.9038461538461539</v>
      </c>
      <c r="K910" s="8">
        <f>IF(K10&gt;0,K210/K10,0)</f>
        <v>0.8867924528301887</v>
      </c>
      <c r="L910" s="8">
        <f>IF(L10&gt;0,L210/L10,0)</f>
        <v>0.883177570093458</v>
      </c>
      <c r="M910" s="8">
        <f>IF(M10&gt;0,M210/M10,0)</f>
        <v>0.8785046728971962</v>
      </c>
      <c r="N910" s="8">
        <f>IF(N10&gt;0,N210/N10,0)</f>
        <v>0.8790170132325141</v>
      </c>
      <c r="O910" s="8">
        <f>IF(O10&gt;0,O210/O10,0)</f>
        <v>0.8878504672897196</v>
      </c>
      <c r="P910" s="8">
        <f>IF(P10&gt;0,P210/P10,0)</f>
        <v>0.8343558282208589</v>
      </c>
      <c r="Q910" s="8">
        <f>IF(Q10&gt;0,Q210/Q10,0)</f>
        <v>0.8691588785046729</v>
      </c>
      <c r="R910" s="8">
        <f>IF(R10&gt;0,R210/R10,0)</f>
        <v>0.889248181083266</v>
      </c>
      <c r="S910" s="8">
        <f>IF(S10&gt;0,S210/S10,0)</f>
        <v>0.8787346221441125</v>
      </c>
    </row>
    <row r="911">
      <c r="A911" s="16" t="s">
        <v>326</v>
      </c>
      <c r="B911" s="2" t="s">
        <v>322</v>
      </c>
      <c r="C911" s="8">
        <f>IF(C11&gt;0,C211/C11,0)</f>
        <v>0.7995018679950187</v>
      </c>
      <c r="D911" s="8">
        <f>IF(D11&gt;0,D211/D11,0)</f>
        <v>0.7154471544715447</v>
      </c>
      <c r="E911" s="8">
        <f>IF(E11&gt;0,E211/E11,0)</f>
        <v>0.7777777777777778</v>
      </c>
      <c r="F911" s="8">
        <f>IF(F11&gt;0,F211/F11,0)</f>
        <v>0.7792207792207793</v>
      </c>
      <c r="G911" s="8">
        <f>IF(G11&gt;0,G211/G11,0)</f>
        <v>0.7714285714285715</v>
      </c>
      <c r="H911" s="8">
        <f>IF(H11&gt;0,H211/H11,0)</f>
        <v>0.7323943661971831</v>
      </c>
      <c r="I911" s="8">
        <f>IF(I11&gt;0,I211/I11,0)</f>
        <v>0.7743589743589744</v>
      </c>
      <c r="J911" s="8">
        <f>IF(J11&gt;0,J211/J11,0)</f>
        <v>0.7391304347826086</v>
      </c>
      <c r="K911" s="8">
        <f>IF(K11&gt;0,K211/K11,0)</f>
        <v>0.7741935483870968</v>
      </c>
      <c r="L911" s="8">
        <f>IF(L11&gt;0,L211/L11,0)</f>
        <v>0.8127853881278538</v>
      </c>
      <c r="M911" s="8">
        <f>IF(M11&gt;0,M211/M11,0)</f>
        <v>0.889894419306184</v>
      </c>
      <c r="N911" s="8">
        <f>IF(N11&gt;0,N211/N11,0)</f>
        <v>0.8363636363636363</v>
      </c>
      <c r="O911" s="8">
        <f>IF(O11&gt;0,O211/O11,0)</f>
        <v>0.8492003046458492</v>
      </c>
      <c r="P911" s="8">
        <f>IF(P11&gt;0,P211/P11,0)</f>
        <v>0.84375</v>
      </c>
      <c r="Q911" s="8">
        <f>IF(Q11&gt;0,Q211/Q11,0)</f>
        <v>0.8462686567164179</v>
      </c>
      <c r="R911" s="8">
        <f>IF(R11&gt;0,R211/R11,0)</f>
        <v>0.8421423537702607</v>
      </c>
      <c r="S911" s="8">
        <f>IF(S11&gt;0,S211/S11,0)</f>
        <v>0.8414804469273743</v>
      </c>
    </row>
    <row r="912">
      <c r="A912" s="16" t="s">
        <v>327</v>
      </c>
      <c r="B912" s="2" t="s">
        <v>322</v>
      </c>
      <c r="C912" s="8">
        <f>IF(C12&gt;0,C212/C12,0)</f>
        <v>0.6881827209533267</v>
      </c>
      <c r="D912" s="8">
        <f>IF(D12&gt;0,D212/D12,0)</f>
        <v>0.6768642447418738</v>
      </c>
      <c r="E912" s="8">
        <f>IF(E12&gt;0,E212/E12,0)</f>
        <v>0.6901753724306996</v>
      </c>
      <c r="F912" s="8">
        <f>IF(F12&gt;0,F212/F12,0)</f>
        <v>0.6644334975369458</v>
      </c>
      <c r="G912" s="8">
        <f>IF(G12&gt;0,G212/G12,0)</f>
        <v>0.7003676470588235</v>
      </c>
      <c r="H912" s="8">
        <f>IF(H12&gt;0,H212/H12,0)</f>
        <v>0.7025862068965517</v>
      </c>
      <c r="I912" s="8">
        <f>IF(I12&gt;0,I212/I12,0)</f>
        <v>0.6955769230769231</v>
      </c>
      <c r="J912" s="8">
        <f>IF(J12&gt;0,J212/J12,0)</f>
        <v>0.6993923281428028</v>
      </c>
      <c r="K912" s="8">
        <f>IF(K12&gt;0,K212/K12,0)</f>
        <v>0.7027230046948357</v>
      </c>
      <c r="L912" s="8">
        <f>IF(L12&gt;0,L212/L12,0)</f>
        <v>0.7080732836722368</v>
      </c>
      <c r="M912" s="8">
        <f>IF(M12&gt;0,M212/M12,0)</f>
        <v>0.703610562241782</v>
      </c>
      <c r="N912" s="8">
        <f>IF(N12&gt;0,N212/N12,0)</f>
        <v>0.722280701754386</v>
      </c>
      <c r="O912" s="8">
        <f>IF(O12&gt;0,O212/O12,0)</f>
        <v>0.7158684165672405</v>
      </c>
      <c r="P912" s="8">
        <f>IF(P12&gt;0,P212/P12,0)</f>
        <v>0.774390243902439</v>
      </c>
      <c r="Q912" s="8">
        <f>IF(Q12&gt;0,Q212/Q12,0)</f>
        <v>0.709192936128074</v>
      </c>
      <c r="R912" s="8">
        <f>IF(R12&gt;0,R212/R12,0)</f>
        <v>0.7309486780715396</v>
      </c>
      <c r="S912" s="8">
        <f>IF(S12&gt;0,S212/S12,0)</f>
        <v>0.745928338762215</v>
      </c>
    </row>
    <row r="913">
      <c r="A913" s="16" t="s">
        <v>130</v>
      </c>
      <c r="B913" s="2" t="s">
        <v>322</v>
      </c>
      <c r="C913" s="8">
        <f>IF(C13&gt;0,C213/C13,0)</f>
        <v>0</v>
      </c>
      <c r="D913" s="8">
        <f>IF(D13&gt;0,D213/D13,0)</f>
        <v>0</v>
      </c>
      <c r="E913" s="8">
        <f>IF(E13&gt;0,E213/E13,0)</f>
        <v>0</v>
      </c>
      <c r="F913" s="8">
        <f>IF(F13&gt;0,F213/F13,0)</f>
        <v>0</v>
      </c>
      <c r="G913" s="8">
        <f>IF(G13&gt;0,G213/G13,0)</f>
        <v>0</v>
      </c>
      <c r="H913" s="8">
        <f>IF(H13&gt;0,H213/H13,0)</f>
        <v>0</v>
      </c>
      <c r="I913" s="8">
        <f>IF(I13&gt;0,I213/I13,0)</f>
        <v>0</v>
      </c>
      <c r="J913" s="8">
        <f>IF(J13&gt;0,J213/J13,0)</f>
        <v>0</v>
      </c>
      <c r="K913" s="8">
        <f>IF(K13&gt;0,K213/K13,0)</f>
        <v>0</v>
      </c>
      <c r="L913" s="8">
        <f>IF(L13&gt;0,L213/L13,0)</f>
        <v>0</v>
      </c>
      <c r="M913" s="8">
        <f>IF(M13&gt;0,M213/M13,0)</f>
        <v>0</v>
      </c>
      <c r="N913" s="8">
        <f>IF(N13&gt;0,N213/N13,0)</f>
        <v>0</v>
      </c>
      <c r="O913" s="8">
        <f>IF(O13&gt;0,O213/O13,0)</f>
        <v>0</v>
      </c>
      <c r="P913" s="8">
        <f>IF(P13&gt;0,P213/P13,0)</f>
        <v>0</v>
      </c>
      <c r="Q913" s="8">
        <f>IF(Q13&gt;0,Q213/Q13,0)</f>
        <v>0</v>
      </c>
      <c r="R913" s="8">
        <f>IF(R13&gt;0,R213/R13,0)</f>
        <v>0</v>
      </c>
      <c r="S913" s="8">
        <f>IF(S13&gt;0,S213/S13,0)</f>
        <v>0</v>
      </c>
    </row>
    <row r="914">
      <c r="A914" s="16" t="s">
        <v>328</v>
      </c>
      <c r="B914" s="2" t="s">
        <v>322</v>
      </c>
      <c r="C914" s="8">
        <f>IF(C14&gt;0,C214/C14,0)</f>
        <v>0</v>
      </c>
      <c r="D914" s="8">
        <f>IF(D14&gt;0,D214/D14,0)</f>
        <v>0</v>
      </c>
      <c r="E914" s="8">
        <f>IF(E14&gt;0,E214/E14,0)</f>
        <v>0</v>
      </c>
      <c r="F914" s="8">
        <f>IF(F14&gt;0,F214/F14,0)</f>
        <v>0</v>
      </c>
      <c r="G914" s="8">
        <f>IF(G14&gt;0,G214/G14,0)</f>
        <v>0</v>
      </c>
      <c r="H914" s="8">
        <f>IF(H14&gt;0,H214/H14,0)</f>
        <v>0</v>
      </c>
      <c r="I914" s="8">
        <f>IF(I14&gt;0,I214/I14,0)</f>
        <v>0</v>
      </c>
      <c r="J914" s="8">
        <f>IF(J14&gt;0,J214/J14,0)</f>
        <v>0</v>
      </c>
      <c r="K914" s="8">
        <f>IF(K14&gt;0,K214/K14,0)</f>
        <v>0</v>
      </c>
      <c r="L914" s="8">
        <f>IF(L14&gt;0,L214/L14,0)</f>
        <v>0</v>
      </c>
      <c r="M914" s="8">
        <f>IF(M14&gt;0,M214/M14,0)</f>
        <v>0</v>
      </c>
      <c r="N914" s="8">
        <f>IF(N14&gt;0,N214/N14,0)</f>
        <v>0</v>
      </c>
      <c r="O914" s="8">
        <f>IF(O14&gt;0,O214/O14,0)</f>
        <v>0</v>
      </c>
      <c r="P914" s="8">
        <f>IF(P14&gt;0,P214/P14,0)</f>
        <v>0</v>
      </c>
      <c r="Q914" s="8">
        <f>IF(Q14&gt;0,Q214/Q14,0)</f>
        <v>0</v>
      </c>
      <c r="R914" s="8">
        <f>IF(R14&gt;0,R214/R14,0)</f>
        <v>0</v>
      </c>
      <c r="S914" s="8">
        <f>IF(S14&gt;0,S214/S14,0)</f>
        <v>0</v>
      </c>
    </row>
    <row r="915">
      <c r="A915" s="16" t="s">
        <v>329</v>
      </c>
      <c r="B915" s="2" t="s">
        <v>322</v>
      </c>
      <c r="C915" s="8">
        <f>IF(C15&gt;0,C215/C15,0)</f>
        <v>0.05</v>
      </c>
      <c r="D915" s="8">
        <f>IF(D15&gt;0,D215/D15,0)</f>
        <v>0.046511627906976744</v>
      </c>
      <c r="E915" s="8">
        <f>IF(E15&gt;0,E215/E15,0)</f>
        <v>0.043010752688172046</v>
      </c>
      <c r="F915" s="8">
        <f>IF(F15&gt;0,F215/F15,0)</f>
        <v>0.05063291139240506</v>
      </c>
      <c r="G915" s="8">
        <f>IF(G15&gt;0,G215/G15,0)</f>
        <v>0.06289308176100629</v>
      </c>
      <c r="H915" s="8">
        <f>IF(H15&gt;0,H215/H15,0)</f>
        <v>0.07608695652173914</v>
      </c>
      <c r="I915" s="8">
        <f>IF(I15&gt;0,I215/I15,0)</f>
        <v>0.06060606060606061</v>
      </c>
      <c r="J915" s="8">
        <f>IF(J15&gt;0,J215/J15,0)</f>
        <v>0.05</v>
      </c>
      <c r="K915" s="8">
        <f>IF(K15&gt;0,K215/K15,0)</f>
        <v>0.1267605633802817</v>
      </c>
      <c r="L915" s="8">
        <f>IF(L15&gt;0,L215/L15,0)</f>
        <v>0.14864864864864866</v>
      </c>
      <c r="M915" s="8">
        <f>IF(M15&gt;0,M215/M15,0)</f>
        <v>0.1501416430594901</v>
      </c>
      <c r="N915" s="8">
        <f>IF(N15&gt;0,N215/N15,0)</f>
        <v>0.1443850267379679</v>
      </c>
      <c r="O915" s="8">
        <f>IF(O15&gt;0,O215/O15,0)</f>
        <v>0.153737658674189</v>
      </c>
      <c r="P915" s="8">
        <f>IF(P15&gt;0,P215/P15,0)</f>
        <v>0.12966804979253113</v>
      </c>
      <c r="Q915" s="8">
        <f>IF(Q15&gt;0,Q215/Q15,0)</f>
        <v>0.08655804480651731</v>
      </c>
      <c r="R915" s="8">
        <f>IF(R15&gt;0,R215/R15,0)</f>
        <v>0.12254901960784313</v>
      </c>
      <c r="S915" s="8">
        <f>IF(S15&gt;0,S215/S15,0)</f>
        <v>0.1354292623941959</v>
      </c>
    </row>
    <row r="916">
      <c r="A916" s="16" t="s">
        <v>134</v>
      </c>
      <c r="B916" s="2" t="s">
        <v>322</v>
      </c>
      <c r="C916" s="8">
        <f>IF(C16&gt;0,C216/C16,0)</f>
        <v>0.0025252525252525255</v>
      </c>
      <c r="D916" s="8">
        <f>IF(D16&gt;0,D216/D16,0)</f>
        <v>0.0022675736961451248</v>
      </c>
      <c r="E916" s="8">
        <f>IF(E16&gt;0,E216/E16,0)</f>
        <v>0.0024937655860349127</v>
      </c>
      <c r="F916" s="8">
        <f>IF(F16&gt;0,F216/F16,0)</f>
        <v>0.004267425320056899</v>
      </c>
      <c r="G916" s="8">
        <f>IF(G16&gt;0,G216/G16,0)</f>
        <v>0.018838304552590265</v>
      </c>
      <c r="H916" s="8">
        <f>IF(H16&gt;0,H216/H16,0)</f>
        <v>0.051593323216995446</v>
      </c>
      <c r="I916" s="8">
        <f>IF(I16&gt;0,I216/I16,0)</f>
        <v>0.047619047619047616</v>
      </c>
      <c r="J916" s="8">
        <f>IF(J16&gt;0,J216/J16,0)</f>
        <v>0.047619047619047616</v>
      </c>
      <c r="K916" s="8">
        <f>IF(K16&gt;0,K216/K16,0)</f>
        <v>0.06631299734748011</v>
      </c>
      <c r="L916" s="8">
        <f>IF(L16&gt;0,L216/L16,0)</f>
        <v>0.03566529492455418</v>
      </c>
      <c r="M916" s="8">
        <f>IF(M16&gt;0,M216/M16,0)</f>
        <v>0.030534351145038167</v>
      </c>
      <c r="N916" s="8">
        <f>IF(N16&gt;0,N216/N16,0)</f>
        <v>0.03672316384180791</v>
      </c>
      <c r="O916" s="8">
        <f>IF(O16&gt;0,O216/O16,0)</f>
        <v>0.03669724770642202</v>
      </c>
      <c r="P916" s="8">
        <f>IF(P16&gt;0,P216/P16,0)</f>
        <v>0.037474776592678005</v>
      </c>
      <c r="Q916" s="8">
        <f>IF(Q16&gt;0,Q216/Q16,0)</f>
        <v>0.039755351681957186</v>
      </c>
      <c r="R916" s="8">
        <f>IF(R16&gt;0,R216/R16,0)</f>
        <v>0.04120443740095087</v>
      </c>
      <c r="S916" s="8">
        <f>IF(S16&gt;0,S216/S16,0)</f>
        <v>0.03987730061349693</v>
      </c>
    </row>
    <row r="917">
      <c r="A917" s="16" t="s">
        <v>135</v>
      </c>
      <c r="B917" s="2" t="s">
        <v>322</v>
      </c>
      <c r="C917" s="8">
        <f>IF(C17&gt;0,C217/C17,0)</f>
        <v>0</v>
      </c>
      <c r="D917" s="8">
        <f>IF(D17&gt;0,D217/D17,0)</f>
        <v>0</v>
      </c>
      <c r="E917" s="8">
        <f>IF(E17&gt;0,E217/E17,0)</f>
        <v>0</v>
      </c>
      <c r="F917" s="8">
        <f>IF(F17&gt;0,F217/F17,0)</f>
        <v>0</v>
      </c>
      <c r="G917" s="8">
        <f>IF(G17&gt;0,G217/G17,0)</f>
        <v>0.011764705882352941</v>
      </c>
      <c r="H917" s="8">
        <f>IF(H17&gt;0,H217/H17,0)</f>
        <v>0.011764705882352941</v>
      </c>
      <c r="I917" s="8">
        <f>IF(I17&gt;0,I217/I17,0)</f>
        <v>0.009523809523809525</v>
      </c>
      <c r="J917" s="8">
        <f>IF(J17&gt;0,J217/J17,0)</f>
        <v>0.01098901098901099</v>
      </c>
      <c r="K917" s="8">
        <f>IF(K17&gt;0,K217/K17,0)</f>
        <v>0.01694915254237288</v>
      </c>
      <c r="L917" s="8">
        <f>IF(L17&gt;0,L217/L17,0)</f>
        <v>0.029038112522686024</v>
      </c>
      <c r="M917" s="8">
        <f>IF(M17&gt;0,M217/M17,0)</f>
        <v>0.03773584905660377</v>
      </c>
      <c r="N917" s="8">
        <f>IF(N17&gt;0,N217/N17,0)</f>
        <v>0.042283298097251586</v>
      </c>
      <c r="O917" s="8">
        <f>IF(O17&gt;0,O217/O17,0)</f>
        <v>0.06177606177606178</v>
      </c>
      <c r="P917" s="8">
        <f>IF(P17&gt;0,P217/P17,0)</f>
        <v>0.06817213463996591</v>
      </c>
      <c r="Q917" s="8">
        <f>IF(Q17&gt;0,Q217/Q17,0)</f>
        <v>0.06015037593984962</v>
      </c>
      <c r="R917" s="8">
        <f>IF(R17&gt;0,R217/R17,0)</f>
        <v>0.0625</v>
      </c>
      <c r="S917" s="8">
        <f>IF(S17&gt;0,S217/S17,0)</f>
        <v>0.05737704918032787</v>
      </c>
    </row>
    <row r="918">
      <c r="A918" s="16" t="s">
        <v>330</v>
      </c>
      <c r="B918" s="2" t="s">
        <v>322</v>
      </c>
      <c r="C918" s="8">
        <f>IF(C18&gt;0,C218/C18,0)</f>
        <v>0</v>
      </c>
      <c r="D918" s="8">
        <f>IF(D18&gt;0,D218/D18,0)</f>
        <v>0</v>
      </c>
      <c r="E918" s="8">
        <f>IF(E18&gt;0,E218/E18,0)</f>
        <v>0</v>
      </c>
      <c r="F918" s="8">
        <f>IF(F18&gt;0,F218/F18,0)</f>
        <v>0</v>
      </c>
      <c r="G918" s="8">
        <f>IF(G18&gt;0,G218/G18,0)</f>
        <v>0</v>
      </c>
      <c r="H918" s="8">
        <f>IF(H18&gt;0,H218/H18,0)</f>
        <v>0</v>
      </c>
      <c r="I918" s="8">
        <f>IF(I18&gt;0,I218/I18,0)</f>
        <v>0</v>
      </c>
      <c r="J918" s="8">
        <f>IF(J18&gt;0,J218/J18,0)</f>
        <v>0</v>
      </c>
      <c r="K918" s="8">
        <f>IF(K18&gt;0,K218/K18,0)</f>
        <v>0</v>
      </c>
      <c r="L918" s="8">
        <f>IF(L18&gt;0,L218/L18,0)</f>
        <v>0</v>
      </c>
      <c r="M918" s="8">
        <f>IF(M18&gt;0,M218/M18,0)</f>
        <v>0</v>
      </c>
      <c r="N918" s="8">
        <f>IF(N18&gt;0,N218/N18,0)</f>
        <v>0</v>
      </c>
      <c r="O918" s="8">
        <f>IF(O18&gt;0,O218/O18,0)</f>
        <v>0</v>
      </c>
      <c r="P918" s="8">
        <f>IF(P18&gt;0,P218/P18,0)</f>
        <v>0</v>
      </c>
      <c r="Q918" s="8">
        <f>IF(Q18&gt;0,Q218/Q18,0)</f>
        <v>0</v>
      </c>
      <c r="R918" s="8">
        <f>IF(R18&gt;0,R218/R18,0)</f>
        <v>0</v>
      </c>
      <c r="S918" s="8">
        <f>IF(S18&gt;0,S218/S18,0)</f>
        <v>0</v>
      </c>
    </row>
    <row r="919">
      <c r="A919" s="16" t="s">
        <v>331</v>
      </c>
      <c r="B919" s="2" t="s">
        <v>322</v>
      </c>
      <c r="C919" s="8">
        <f>IF(C19&gt;0,C219/C19,0)</f>
        <v>0.42857142857142855</v>
      </c>
      <c r="D919" s="8">
        <f>IF(D19&gt;0,D219/D19,0)</f>
        <v>0.35398230088495575</v>
      </c>
      <c r="E919" s="8">
        <f>IF(E19&gt;0,E219/E19,0)</f>
        <v>0.4830508474576271</v>
      </c>
      <c r="F919" s="8">
        <f>IF(F19&gt;0,F219/F19,0)</f>
        <v>0.4375</v>
      </c>
      <c r="G919" s="8">
        <f>IF(G19&gt;0,G219/G19,0)</f>
        <v>0.4782608695652174</v>
      </c>
      <c r="H919" s="8">
        <f>IF(H19&gt;0,H219/H19,0)</f>
        <v>0.45454545454545453</v>
      </c>
      <c r="I919" s="8">
        <f>IF(I19&gt;0,I219/I19,0)</f>
        <v>0.47619047619047616</v>
      </c>
      <c r="J919" s="8">
        <f>IF(J19&gt;0,J219/J19,0)</f>
        <v>0.4782608695652174</v>
      </c>
      <c r="K919" s="8">
        <f>IF(K19&gt;0,K219/K19,0)</f>
        <v>0.4583333333333333</v>
      </c>
      <c r="L919" s="8">
        <f>IF(L19&gt;0,L219/L19,0)</f>
        <v>0.4791666666666667</v>
      </c>
      <c r="M919" s="8">
        <f>IF(M19&gt;0,M219/M19,0)</f>
        <v>0.4666666666666667</v>
      </c>
      <c r="N919" s="8">
        <f>IF(N19&gt;0,N219/N19,0)</f>
        <v>0.4583333333333333</v>
      </c>
      <c r="O919" s="8">
        <f>IF(O19&gt;0,O219/O19,0)</f>
        <v>0.4583333333333333</v>
      </c>
      <c r="P919" s="8">
        <f>IF(P19&gt;0,P219/P19,0)</f>
        <v>0.4444444444444444</v>
      </c>
      <c r="Q919" s="8">
        <f>IF(Q19&gt;0,Q219/Q19,0)</f>
        <v>0.48148148148148145</v>
      </c>
      <c r="R919" s="8">
        <f>IF(R19&gt;0,R219/R19,0)</f>
        <v>0.4827586206896552</v>
      </c>
      <c r="S919" s="8">
        <f>IF(S19&gt;0,S219/S19,0)</f>
        <v>0.46875</v>
      </c>
    </row>
    <row r="920">
      <c r="A920" s="16" t="s">
        <v>332</v>
      </c>
      <c r="B920" s="2" t="s">
        <v>322</v>
      </c>
      <c r="C920" s="8">
        <f>IF(C20&gt;0,C220/C20,0)</f>
        <v>1</v>
      </c>
      <c r="D920" s="8">
        <f>IF(D20&gt;0,D220/D20,0)</f>
        <v>1</v>
      </c>
      <c r="E920" s="8">
        <f>IF(E20&gt;0,E220/E20,0)</f>
        <v>1</v>
      </c>
      <c r="F920" s="8">
        <f>IF(F20&gt;0,F220/F20,0)</f>
        <v>1</v>
      </c>
      <c r="G920" s="8">
        <f>IF(G20&gt;0,G220/G20,0)</f>
        <v>1</v>
      </c>
      <c r="H920" s="8">
        <f>IF(H20&gt;0,H220/H20,0)</f>
        <v>1</v>
      </c>
      <c r="I920" s="8">
        <f>IF(I20&gt;0,I220/I20,0)</f>
        <v>1</v>
      </c>
      <c r="J920" s="8">
        <f>IF(J20&gt;0,J220/J20,0)</f>
        <v>1</v>
      </c>
      <c r="K920" s="8">
        <f>IF(K20&gt;0,K220/K20,0)</f>
        <v>1</v>
      </c>
      <c r="L920" s="8">
        <f>IF(L20&gt;0,L220/L20,0)</f>
        <v>1</v>
      </c>
      <c r="M920" s="8">
        <f>IF(M20&gt;0,M220/M20,0)</f>
        <v>1</v>
      </c>
      <c r="N920" s="8">
        <f>IF(N20&gt;0,N220/N20,0)</f>
        <v>1</v>
      </c>
      <c r="O920" s="8">
        <f>IF(O20&gt;0,O220/O20,0)</f>
        <v>1</v>
      </c>
      <c r="P920" s="8">
        <f>IF(P20&gt;0,P220/P20,0)</f>
        <v>1</v>
      </c>
      <c r="Q920" s="8">
        <f>IF(Q20&gt;0,Q220/Q20,0)</f>
        <v>1</v>
      </c>
      <c r="R920" s="8">
        <f>IF(R20&gt;0,R220/R20,0)</f>
        <v>1</v>
      </c>
      <c r="S920" s="8">
        <f>IF(S20&gt;0,S220/S20,0)</f>
        <v>1</v>
      </c>
    </row>
    <row r="921">
      <c r="A921" s="16" t="s">
        <v>333</v>
      </c>
      <c r="B921" s="2" t="s">
        <v>322</v>
      </c>
      <c r="C921" s="8">
        <f>IF(C21&gt;0,C221/C21,0)</f>
        <v>1</v>
      </c>
      <c r="D921" s="8">
        <f>IF(D21&gt;0,D221/D21,0)</f>
        <v>1</v>
      </c>
      <c r="E921" s="8">
        <f>IF(E21&gt;0,E221/E21,0)</f>
        <v>1</v>
      </c>
      <c r="F921" s="8">
        <f>IF(F21&gt;0,F221/F21,0)</f>
        <v>1</v>
      </c>
      <c r="G921" s="8">
        <f>IF(G21&gt;0,G221/G21,0)</f>
        <v>1</v>
      </c>
      <c r="H921" s="8">
        <f>IF(H21&gt;0,H221/H21,0)</f>
        <v>1</v>
      </c>
      <c r="I921" s="8">
        <f>IF(I21&gt;0,I221/I21,0)</f>
        <v>1</v>
      </c>
      <c r="J921" s="8">
        <f>IF(J21&gt;0,J221/J21,0)</f>
        <v>1</v>
      </c>
      <c r="K921" s="8">
        <f>IF(K21&gt;0,K221/K21,0)</f>
        <v>1</v>
      </c>
      <c r="L921" s="8">
        <f>IF(L21&gt;0,L221/L21,0)</f>
        <v>1</v>
      </c>
      <c r="M921" s="8">
        <f>IF(M21&gt;0,M221/M21,0)</f>
        <v>1</v>
      </c>
      <c r="N921" s="8">
        <f>IF(N21&gt;0,N221/N21,0)</f>
        <v>1</v>
      </c>
      <c r="O921" s="8">
        <f>IF(O21&gt;0,O221/O21,0)</f>
        <v>1</v>
      </c>
      <c r="P921" s="8">
        <f>IF(P21&gt;0,P221/P21,0)</f>
        <v>1</v>
      </c>
      <c r="Q921" s="8">
        <f>IF(Q21&gt;0,Q221/Q21,0)</f>
        <v>1</v>
      </c>
      <c r="R921" s="8">
        <f>IF(R21&gt;0,R221/R21,0)</f>
        <v>1</v>
      </c>
      <c r="S921" s="8">
        <f>IF(S21&gt;0,S221/S21,0)</f>
        <v>1</v>
      </c>
    </row>
    <row r="922">
      <c r="A922" s="16" t="s">
        <v>136</v>
      </c>
      <c r="B922" s="2" t="s">
        <v>322</v>
      </c>
      <c r="C922" s="8">
        <f>IF(C22&gt;0,C222/C22,0)</f>
        <v>0</v>
      </c>
      <c r="D922" s="8">
        <f>IF(D22&gt;0,D222/D22,0)</f>
        <v>0</v>
      </c>
      <c r="E922" s="8">
        <f>IF(E22&gt;0,E222/E22,0)</f>
        <v>0</v>
      </c>
      <c r="F922" s="8">
        <f>IF(F22&gt;0,F222/F22,0)</f>
        <v>0</v>
      </c>
      <c r="G922" s="8">
        <f>IF(G22&gt;0,G222/G22,0)</f>
        <v>0</v>
      </c>
      <c r="H922" s="8">
        <f>IF(H22&gt;0,H222/H22,0)</f>
        <v>0</v>
      </c>
      <c r="I922" s="8">
        <f>IF(I22&gt;0,I222/I22,0)</f>
        <v>0</v>
      </c>
      <c r="J922" s="8">
        <f>IF(J22&gt;0,J222/J22,0)</f>
        <v>0</v>
      </c>
      <c r="K922" s="8">
        <f>IF(K22&gt;0,K222/K22,0)</f>
        <v>0</v>
      </c>
      <c r="L922" s="8">
        <f>IF(L22&gt;0,L222/L22,0)</f>
        <v>0</v>
      </c>
      <c r="M922" s="8">
        <f>IF(M22&gt;0,M222/M22,0)</f>
        <v>0</v>
      </c>
      <c r="N922" s="8">
        <f>IF(N22&gt;0,N222/N22,0)</f>
        <v>0</v>
      </c>
      <c r="O922" s="8">
        <f>IF(O22&gt;0,O222/O22,0)</f>
        <v>0</v>
      </c>
      <c r="P922" s="8">
        <f>IF(P22&gt;0,P222/P22,0)</f>
        <v>0</v>
      </c>
      <c r="Q922" s="8">
        <f>IF(Q22&gt;0,Q222/Q22,0)</f>
        <v>0</v>
      </c>
      <c r="R922" s="8">
        <f>IF(R22&gt;0,R222/R22,0)</f>
        <v>0</v>
      </c>
      <c r="S922" s="8">
        <f>IF(S22&gt;0,S222/S22,0)</f>
        <v>0</v>
      </c>
    </row>
    <row r="923">
      <c r="A923" s="16" t="s">
        <v>334</v>
      </c>
      <c r="B923" s="2" t="s">
        <v>322</v>
      </c>
      <c r="C923" s="8">
        <f>IF(C23&gt;0,C223/C23,0)</f>
        <v>0</v>
      </c>
      <c r="D923" s="8">
        <f>IF(D23&gt;0,D223/D23,0)</f>
        <v>0</v>
      </c>
      <c r="E923" s="8">
        <f>IF(E23&gt;0,E223/E23,0)</f>
        <v>0</v>
      </c>
      <c r="F923" s="8">
        <f>IF(F23&gt;0,F223/F23,0)</f>
        <v>0</v>
      </c>
      <c r="G923" s="8">
        <f>IF(G23&gt;0,G223/G23,0)</f>
        <v>0</v>
      </c>
      <c r="H923" s="8">
        <f>IF(H23&gt;0,H223/H23,0)</f>
        <v>0</v>
      </c>
      <c r="I923" s="8">
        <f>IF(I23&gt;0,I223/I23,0)</f>
        <v>0</v>
      </c>
      <c r="J923" s="8">
        <f>IF(J23&gt;0,J223/J23,0)</f>
        <v>0</v>
      </c>
      <c r="K923" s="8">
        <f>IF(K23&gt;0,K223/K23,0)</f>
        <v>0</v>
      </c>
      <c r="L923" s="8">
        <f>IF(L23&gt;0,L223/L23,0)</f>
        <v>0</v>
      </c>
      <c r="M923" s="8">
        <f>IF(M23&gt;0,M223/M23,0)</f>
        <v>0</v>
      </c>
      <c r="N923" s="8">
        <f>IF(N23&gt;0,N223/N23,0)</f>
        <v>0</v>
      </c>
      <c r="O923" s="8">
        <f>IF(O23&gt;0,O223/O23,0)</f>
        <v>0</v>
      </c>
      <c r="P923" s="8">
        <f>IF(P23&gt;0,P223/P23,0)</f>
        <v>0</v>
      </c>
      <c r="Q923" s="8">
        <f>IF(Q23&gt;0,Q223/Q23,0)</f>
        <v>0</v>
      </c>
      <c r="R923" s="8">
        <f>IF(R23&gt;0,R223/R23,0)</f>
        <v>0</v>
      </c>
      <c r="S923" s="8">
        <f>IF(S23&gt;0,S223/S23,0)</f>
        <v>0</v>
      </c>
    </row>
    <row r="924">
      <c r="A924" s="16" t="s">
        <v>335</v>
      </c>
      <c r="B924" s="2" t="s">
        <v>322</v>
      </c>
      <c r="C924" s="8">
        <f>IF(C24&gt;0,C224/C24,0)</f>
        <v>1</v>
      </c>
      <c r="D924" s="8">
        <f>IF(D24&gt;0,D224/D24,0)</f>
        <v>1</v>
      </c>
      <c r="E924" s="8">
        <f>IF(E24&gt;0,E224/E24,0)</f>
        <v>1</v>
      </c>
      <c r="F924" s="8">
        <f>IF(F24&gt;0,F224/F24,0)</f>
        <v>1</v>
      </c>
      <c r="G924" s="8">
        <f>IF(G24&gt;0,G224/G24,0)</f>
        <v>1</v>
      </c>
      <c r="H924" s="8">
        <f>IF(H24&gt;0,H224/H24,0)</f>
        <v>1</v>
      </c>
      <c r="I924" s="8">
        <f>IF(I24&gt;0,I224/I24,0)</f>
        <v>1</v>
      </c>
      <c r="J924" s="8">
        <f>IF(J24&gt;0,J224/J24,0)</f>
        <v>1</v>
      </c>
      <c r="K924" s="8">
        <f>IF(K24&gt;0,K224/K24,0)</f>
        <v>1</v>
      </c>
      <c r="L924" s="8">
        <f>IF(L24&gt;0,L224/L24,0)</f>
        <v>1</v>
      </c>
      <c r="M924" s="8">
        <f>IF(M24&gt;0,M224/M24,0)</f>
        <v>1</v>
      </c>
      <c r="N924" s="8">
        <f>IF(N24&gt;0,N224/N24,0)</f>
        <v>1</v>
      </c>
      <c r="O924" s="8">
        <f>IF(O24&gt;0,O224/O24,0)</f>
        <v>1</v>
      </c>
      <c r="P924" s="8">
        <f>IF(P24&gt;0,P224/P24,0)</f>
        <v>1</v>
      </c>
      <c r="Q924" s="8">
        <f>IF(Q24&gt;0,Q224/Q24,0)</f>
        <v>1</v>
      </c>
      <c r="R924" s="8">
        <f>IF(R24&gt;0,R224/R24,0)</f>
        <v>1</v>
      </c>
      <c r="S924" s="8">
        <f>IF(S24&gt;0,S224/S24,0)</f>
        <v>1</v>
      </c>
    </row>
    <row r="925">
      <c r="A925" s="16" t="s">
        <v>336</v>
      </c>
      <c r="B925" s="2" t="s">
        <v>322</v>
      </c>
      <c r="C925" s="8">
        <f>IF(C25&gt;0,C225/C25,0)</f>
        <v>0.046242774566473986</v>
      </c>
      <c r="D925" s="8">
        <f>IF(D25&gt;0,D225/D25,0)</f>
        <v>0.03571428571428571</v>
      </c>
      <c r="E925" s="8">
        <f>IF(E25&gt;0,E225/E25,0)</f>
        <v>0.06060606060606061</v>
      </c>
      <c r="F925" s="8">
        <f>IF(F25&gt;0,F225/F25,0)</f>
        <v>0.04678362573099415</v>
      </c>
      <c r="G925" s="8">
        <f>IF(G25&gt;0,G225/G25,0)</f>
        <v>0.06172839506172839</v>
      </c>
      <c r="H925" s="8">
        <f>IF(H25&gt;0,H225/H25,0)</f>
        <v>0.06666666666666667</v>
      </c>
      <c r="I925" s="8">
        <f>IF(I25&gt;0,I225/I25,0)</f>
        <v>0.04484304932735426</v>
      </c>
      <c r="J925" s="8">
        <f>IF(J25&gt;0,J225/J25,0)</f>
        <v>0.06172839506172839</v>
      </c>
      <c r="K925" s="8">
        <f>IF(K25&gt;0,K225/K25,0)</f>
        <v>0.05181347150259067</v>
      </c>
      <c r="L925" s="8">
        <f>IF(L25&gt;0,L225/L25,0)</f>
        <v>0.06060606060606061</v>
      </c>
      <c r="M925" s="8">
        <f>IF(M25&gt;0,M225/M25,0)</f>
        <v>0.07142857142857142</v>
      </c>
      <c r="N925" s="8">
        <f>IF(N25&gt;0,N225/N25,0)</f>
        <v>0.06451612903225806</v>
      </c>
      <c r="O925" s="8">
        <f>IF(O25&gt;0,O225/O25,0)</f>
        <v>0.05714285714285714</v>
      </c>
      <c r="P925" s="8">
        <f>IF(P25&gt;0,P225/P25,0)</f>
        <v>0.05102040816326531</v>
      </c>
      <c r="Q925" s="8">
        <f>IF(Q25&gt;0,Q225/Q25,0)</f>
        <v>0.05063291139240506</v>
      </c>
      <c r="R925" s="8">
        <f>IF(R25&gt;0,R225/R25,0)</f>
        <v>0.0625</v>
      </c>
      <c r="S925" s="8">
        <f>IF(S25&gt;0,S225/S25,0)</f>
        <v>0.0625</v>
      </c>
    </row>
    <row r="926">
      <c r="A926" s="16" t="s">
        <v>337</v>
      </c>
      <c r="B926" s="2" t="s">
        <v>322</v>
      </c>
      <c r="C926" s="8">
        <f>IF(C26&gt;0,C226/C26,0)</f>
        <v>0</v>
      </c>
      <c r="D926" s="8">
        <f>IF(D26&gt;0,D226/D26,0)</f>
        <v>0</v>
      </c>
      <c r="E926" s="8">
        <f>IF(E26&gt;0,E226/E26,0)</f>
        <v>0</v>
      </c>
      <c r="F926" s="8">
        <f>IF(F26&gt;0,F226/F26,0)</f>
        <v>0</v>
      </c>
      <c r="G926" s="8">
        <f>IF(G26&gt;0,G226/G26,0)</f>
        <v>0</v>
      </c>
      <c r="H926" s="8">
        <f>IF(H26&gt;0,H226/H26,0)</f>
        <v>0</v>
      </c>
      <c r="I926" s="8">
        <f>IF(I26&gt;0,I226/I26,0)</f>
        <v>0</v>
      </c>
      <c r="J926" s="8">
        <f>IF(J26&gt;0,J226/J26,0)</f>
        <v>0</v>
      </c>
      <c r="K926" s="8">
        <f>IF(K26&gt;0,K226/K26,0)</f>
        <v>0</v>
      </c>
      <c r="L926" s="8">
        <f>IF(L26&gt;0,L226/L26,0)</f>
        <v>0</v>
      </c>
      <c r="M926" s="8">
        <f>IF(M26&gt;0,M226/M26,0)</f>
        <v>0</v>
      </c>
      <c r="N926" s="8">
        <f>IF(N26&gt;0,N226/N26,0)</f>
        <v>0</v>
      </c>
      <c r="O926" s="8">
        <f>IF(O26&gt;0,O226/O26,0)</f>
        <v>0</v>
      </c>
      <c r="P926" s="8">
        <f>IF(P26&gt;0,P226/P26,0)</f>
        <v>0</v>
      </c>
      <c r="Q926" s="8">
        <f>IF(Q26&gt;0,Q226/Q26,0)</f>
        <v>0</v>
      </c>
      <c r="R926" s="8">
        <f>IF(R26&gt;0,R226/R26,0)</f>
        <v>0</v>
      </c>
      <c r="S926" s="8">
        <f>IF(S26&gt;0,S226/S26,0)</f>
        <v>0</v>
      </c>
    </row>
    <row r="927">
      <c r="A927" s="16" t="s">
        <v>338</v>
      </c>
      <c r="B927" s="2" t="s">
        <v>322</v>
      </c>
      <c r="C927" s="8">
        <f>IF(C27&gt;0,C227/C27,0)</f>
        <v>1</v>
      </c>
      <c r="D927" s="8">
        <f>IF(D27&gt;0,D227/D27,0)</f>
        <v>1</v>
      </c>
      <c r="E927" s="8">
        <f>IF(E27&gt;0,E227/E27,0)</f>
        <v>1</v>
      </c>
      <c r="F927" s="8">
        <f>IF(F27&gt;0,F227/F27,0)</f>
        <v>1</v>
      </c>
      <c r="G927" s="8">
        <f>IF(G27&gt;0,G227/G27,0)</f>
        <v>1</v>
      </c>
      <c r="H927" s="8">
        <f>IF(H27&gt;0,H227/H27,0)</f>
        <v>1</v>
      </c>
      <c r="I927" s="8">
        <f>IF(I27&gt;0,I227/I27,0)</f>
        <v>1</v>
      </c>
      <c r="J927" s="8">
        <f>IF(J27&gt;0,J227/J27,0)</f>
        <v>1</v>
      </c>
      <c r="K927" s="8">
        <f>IF(K27&gt;0,K227/K27,0)</f>
        <v>1</v>
      </c>
      <c r="L927" s="8">
        <f>IF(L27&gt;0,L227/L27,0)</f>
        <v>1</v>
      </c>
      <c r="M927" s="8">
        <f>IF(M27&gt;0,M227/M27,0)</f>
        <v>1</v>
      </c>
      <c r="N927" s="8">
        <f>IF(N27&gt;0,N227/N27,0)</f>
        <v>1</v>
      </c>
      <c r="O927" s="8">
        <f>IF(O27&gt;0,O227/O27,0)</f>
        <v>1</v>
      </c>
      <c r="P927" s="8">
        <f>IF(P27&gt;0,P227/P27,0)</f>
        <v>1</v>
      </c>
      <c r="Q927" s="8">
        <f>IF(Q27&gt;0,Q227/Q27,0)</f>
        <v>1</v>
      </c>
      <c r="R927" s="8">
        <f>IF(R27&gt;0,R227/R27,0)</f>
        <v>1</v>
      </c>
      <c r="S927" s="8">
        <f>IF(S27&gt;0,S227/S27,0)</f>
        <v>1</v>
      </c>
    </row>
    <row r="928">
      <c r="A928" s="16" t="s">
        <v>339</v>
      </c>
      <c r="B928" s="2" t="s">
        <v>322</v>
      </c>
      <c r="C928" s="8">
        <f>IF(C28&gt;0,C228/C28,0)</f>
        <v>0</v>
      </c>
      <c r="D928" s="8">
        <f>IF(D28&gt;0,D228/D28,0)</f>
        <v>0</v>
      </c>
      <c r="E928" s="8">
        <f>IF(E28&gt;0,E228/E28,0)</f>
        <v>0</v>
      </c>
      <c r="F928" s="8">
        <f>IF(F28&gt;0,F228/F28,0)</f>
        <v>0</v>
      </c>
      <c r="G928" s="8">
        <f>IF(G28&gt;0,G228/G28,0)</f>
        <v>0</v>
      </c>
      <c r="H928" s="8">
        <f>IF(H28&gt;0,H228/H28,0)</f>
        <v>0</v>
      </c>
      <c r="I928" s="8">
        <f>IF(I28&gt;0,I228/I28,0)</f>
        <v>0</v>
      </c>
      <c r="J928" s="8">
        <f>IF(J28&gt;0,J228/J28,0)</f>
        <v>0</v>
      </c>
      <c r="K928" s="8">
        <f>IF(K28&gt;0,K228/K28,0)</f>
        <v>0</v>
      </c>
      <c r="L928" s="8">
        <f>IF(L28&gt;0,L228/L28,0)</f>
        <v>0</v>
      </c>
      <c r="M928" s="8">
        <f>IF(M28&gt;0,M228/M28,0)</f>
        <v>0</v>
      </c>
      <c r="N928" s="8">
        <f>IF(N28&gt;0,N228/N28,0)</f>
        <v>0</v>
      </c>
      <c r="O928" s="8">
        <f>IF(O28&gt;0,O228/O28,0)</f>
        <v>0</v>
      </c>
      <c r="P928" s="8">
        <f>IF(P28&gt;0,P228/P28,0)</f>
        <v>0</v>
      </c>
      <c r="Q928" s="8">
        <f>IF(Q28&gt;0,Q228/Q28,0)</f>
        <v>0</v>
      </c>
      <c r="R928" s="8">
        <f>IF(R28&gt;0,R228/R28,0)</f>
        <v>0</v>
      </c>
      <c r="S928" s="8">
        <f>IF(S28&gt;0,S228/S28,0)</f>
        <v>0</v>
      </c>
    </row>
    <row r="929">
      <c r="A929" s="16" t="s">
        <v>340</v>
      </c>
      <c r="B929" s="2" t="s">
        <v>322</v>
      </c>
      <c r="C929" s="8">
        <f>IF(C29&gt;0,C229/C29,0)</f>
        <v>0.9239130434782609</v>
      </c>
      <c r="D929" s="8">
        <f>IF(D29&gt;0,D229/D29,0)</f>
        <v>0.9340659340659341</v>
      </c>
      <c r="E929" s="8">
        <f>IF(E29&gt;0,E229/E29,0)</f>
        <v>0.9340659340659341</v>
      </c>
      <c r="F929" s="8">
        <f>IF(F29&gt;0,F229/F29,0)</f>
        <v>0.9444444444444444</v>
      </c>
      <c r="G929" s="8">
        <f>IF(G29&gt;0,G229/G29,0)</f>
        <v>0.9473684210526315</v>
      </c>
      <c r="H929" s="8">
        <f>IF(H29&gt;0,H229/H29,0)</f>
        <v>0.9411764705882353</v>
      </c>
      <c r="I929" s="8">
        <f>IF(I29&gt;0,I229/I29,0)</f>
        <v>0.9473684210526315</v>
      </c>
      <c r="J929" s="8">
        <f>IF(J29&gt;0,J229/J29,0)</f>
        <v>0.9444444444444444</v>
      </c>
      <c r="K929" s="8">
        <f>IF(K29&gt;0,K229/K29,0)</f>
        <v>0.9411764705882353</v>
      </c>
      <c r="L929" s="8">
        <f>IF(L29&gt;0,L229/L29,0)</f>
        <v>0.9444444444444444</v>
      </c>
      <c r="M929" s="8">
        <f>IF(M29&gt;0,M229/M29,0)</f>
        <v>0.9411764705882353</v>
      </c>
      <c r="N929" s="8">
        <f>IF(N29&gt;0,N229/N29,0)</f>
        <v>0.9444444444444444</v>
      </c>
      <c r="O929" s="8">
        <f>IF(O29&gt;0,O229/O29,0)</f>
        <v>0.9473684210526315</v>
      </c>
      <c r="P929" s="8">
        <f>IF(P29&gt;0,P229/P29,0)</f>
        <v>0.9444444444444444</v>
      </c>
      <c r="Q929" s="8">
        <f>IF(Q29&gt;0,Q229/Q29,0)</f>
        <v>0.9444444444444444</v>
      </c>
      <c r="R929" s="8">
        <f>IF(R29&gt;0,R229/R29,0)</f>
        <v>0.9444444444444444</v>
      </c>
      <c r="S929" s="8">
        <f>IF(S29&gt;0,S229/S29,0)</f>
        <v>0.9473684210526315</v>
      </c>
    </row>
    <row r="930">
      <c r="A930" s="16" t="s">
        <v>341</v>
      </c>
      <c r="B930" s="2" t="s">
        <v>322</v>
      </c>
      <c r="C930" s="8">
        <f>IF(C30&gt;0,C230/C30,0)</f>
        <v>0.38461538461538464</v>
      </c>
      <c r="D930" s="8">
        <f>IF(D30&gt;0,D230/D30,0)</f>
        <v>0.36507936507936506</v>
      </c>
      <c r="E930" s="8">
        <f>IF(E30&gt;0,E230/E30,0)</f>
        <v>0.3225806451612903</v>
      </c>
      <c r="F930" s="8">
        <f>IF(F30&gt;0,F230/F30,0)</f>
        <v>0.38636363636363635</v>
      </c>
      <c r="G930" s="8">
        <f>IF(G30&gt;0,G230/G30,0)</f>
        <v>0.5294117647058824</v>
      </c>
      <c r="H930" s="8">
        <f>IF(H30&gt;0,H230/H30,0)</f>
        <v>0.5555555555555556</v>
      </c>
      <c r="I930" s="8">
        <f>IF(I30&gt;0,I230/I30,0)</f>
        <v>0.5882352941176471</v>
      </c>
      <c r="J930" s="8">
        <f>IF(J30&gt;0,J230/J30,0)</f>
        <v>0.5365853658536586</v>
      </c>
      <c r="K930" s="8">
        <f>IF(K30&gt;0,K230/K30,0)</f>
        <v>0.45098039215686275</v>
      </c>
      <c r="L930" s="8">
        <f>IF(L30&gt;0,L230/L30,0)</f>
        <v>0.43636363636363634</v>
      </c>
      <c r="M930" s="8">
        <f>IF(M30&gt;0,M230/M30,0)</f>
        <v>0.6549019607843137</v>
      </c>
      <c r="N930" s="8">
        <f>IF(N30&gt;0,N230/N30,0)</f>
        <v>0.6538461538461539</v>
      </c>
      <c r="O930" s="8">
        <f>IF(O30&gt;0,O230/O30,0)</f>
        <v>0.6807909604519774</v>
      </c>
      <c r="P930" s="8">
        <f>IF(P30&gt;0,P230/P30,0)</f>
        <v>0.6756756756756757</v>
      </c>
      <c r="Q930" s="8">
        <f>IF(Q30&gt;0,Q230/Q30,0)</f>
        <v>0.704225352112676</v>
      </c>
      <c r="R930" s="8">
        <f>IF(R30&gt;0,R230/R30,0)</f>
        <v>0.7142857142857143</v>
      </c>
      <c r="S930" s="8">
        <f>IF(S30&gt;0,S230/S30,0)</f>
        <v>0.7142857142857143</v>
      </c>
    </row>
    <row r="931">
      <c r="A931" s="16" t="s">
        <v>342</v>
      </c>
      <c r="B931" s="2" t="s">
        <v>322</v>
      </c>
      <c r="C931" s="8">
        <f>IF(C31&gt;0,C231/C31,0)</f>
        <v>0</v>
      </c>
      <c r="D931" s="8">
        <f>IF(D31&gt;0,D231/D31,0)</f>
        <v>0</v>
      </c>
      <c r="E931" s="8">
        <f>IF(E31&gt;0,E231/E31,0)</f>
        <v>0</v>
      </c>
      <c r="F931" s="8">
        <f>IF(F31&gt;0,F231/F31,0)</f>
        <v>0</v>
      </c>
      <c r="G931" s="8">
        <f>IF(G31&gt;0,G231/G31,0)</f>
        <v>0</v>
      </c>
      <c r="H931" s="8">
        <f>IF(H31&gt;0,H231/H31,0)</f>
        <v>0</v>
      </c>
      <c r="I931" s="8">
        <f>IF(I31&gt;0,I231/I31,0)</f>
        <v>0</v>
      </c>
      <c r="J931" s="8">
        <f>IF(J31&gt;0,J231/J31,0)</f>
        <v>0</v>
      </c>
      <c r="K931" s="8">
        <f>IF(K31&gt;0,K231/K31,0)</f>
        <v>0</v>
      </c>
      <c r="L931" s="8">
        <f>IF(L31&gt;0,L231/L31,0)</f>
        <v>0</v>
      </c>
      <c r="M931" s="8">
        <f>IF(M31&gt;0,M231/M31,0)</f>
        <v>0</v>
      </c>
      <c r="N931" s="8">
        <f>IF(N31&gt;0,N231/N31,0)</f>
        <v>0</v>
      </c>
      <c r="O931" s="8">
        <f>IF(O31&gt;0,O231/O31,0)</f>
        <v>0</v>
      </c>
      <c r="P931" s="8">
        <f>IF(P31&gt;0,P231/P31,0)</f>
        <v>0</v>
      </c>
      <c r="Q931" s="8">
        <f>IF(Q31&gt;0,Q231/Q31,0)</f>
        <v>0</v>
      </c>
      <c r="R931" s="8">
        <f>IF(R31&gt;0,R231/R31,0)</f>
        <v>0</v>
      </c>
      <c r="S931" s="8">
        <f>IF(S31&gt;0,S231/S31,0)</f>
        <v>0</v>
      </c>
    </row>
    <row r="932">
      <c r="A932" s="16" t="s">
        <v>343</v>
      </c>
      <c r="B932" s="2" t="s">
        <v>322</v>
      </c>
      <c r="C932" s="8">
        <f>IF(C32&gt;0,C232/C32,0)</f>
        <v>0.9545454545454546</v>
      </c>
      <c r="D932" s="8">
        <f>IF(D32&gt;0,D232/D32,0)</f>
        <v>0.9545454545454546</v>
      </c>
      <c r="E932" s="8">
        <f>IF(E32&gt;0,E232/E32,0)</f>
        <v>0.9523809523809523</v>
      </c>
      <c r="F932" s="8">
        <f>IF(F32&gt;0,F232/F32,0)</f>
        <v>0.9545454545454546</v>
      </c>
      <c r="G932" s="8">
        <f>IF(G32&gt;0,G232/G32,0)</f>
        <v>0.95</v>
      </c>
      <c r="H932" s="8">
        <f>IF(H32&gt;0,H232/H32,0)</f>
        <v>0.9019607843137255</v>
      </c>
      <c r="I932" s="8">
        <f>IF(I32&gt;0,I232/I32,0)</f>
        <v>0.9152542372881356</v>
      </c>
      <c r="J932" s="8">
        <f>IF(J32&gt;0,J232/J32,0)</f>
        <v>0.9</v>
      </c>
      <c r="K932" s="8">
        <f>IF(K32&gt;0,K232/K32,0)</f>
        <v>0.8928571428571429</v>
      </c>
      <c r="L932" s="8">
        <f>IF(L32&gt;0,L232/L32,0)</f>
        <v>0.9230769230769231</v>
      </c>
      <c r="M932" s="8">
        <f>IF(M32&gt;0,M232/M32,0)</f>
        <v>0.9230769230769231</v>
      </c>
      <c r="N932" s="8">
        <f>IF(N32&gt;0,N232/N32,0)</f>
        <v>0.9166666666666666</v>
      </c>
      <c r="O932" s="8">
        <f>IF(O32&gt;0,O232/O32,0)</f>
        <v>0.9230769230769231</v>
      </c>
      <c r="P932" s="8">
        <f>IF(P32&gt;0,P232/P32,0)</f>
        <v>0.9166666666666666</v>
      </c>
      <c r="Q932" s="8">
        <f>IF(Q32&gt;0,Q232/Q32,0)</f>
        <v>0.9166666666666666</v>
      </c>
      <c r="R932" s="8">
        <f>IF(R32&gt;0,R232/R32,0)</f>
        <v>0.9166666666666666</v>
      </c>
      <c r="S932" s="8">
        <f>IF(S32&gt;0,S232/S32,0)</f>
        <v>0.9166666666666666</v>
      </c>
    </row>
    <row r="933">
      <c r="A933" s="16" t="s">
        <v>344</v>
      </c>
      <c r="B933" s="2" t="s">
        <v>322</v>
      </c>
      <c r="C933" s="8">
        <f>IF(C33&gt;0,C233/C33,0)</f>
        <v>0.8741258741258742</v>
      </c>
      <c r="D933" s="8">
        <f>IF(D33&gt;0,D233/D33,0)</f>
        <v>0.8775510204081632</v>
      </c>
      <c r="E933" s="8">
        <f>IF(E33&gt;0,E233/E33,0)</f>
        <v>0.9065420560747663</v>
      </c>
      <c r="F933" s="8">
        <f>IF(F33&gt;0,F233/F33,0)</f>
        <v>0.8823529411764706</v>
      </c>
      <c r="G933" s="8">
        <f>IF(G33&gt;0,G233/G33,0)</f>
        <v>0.9130434782608695</v>
      </c>
      <c r="H933" s="8">
        <f>IF(H33&gt;0,H233/H33,0)</f>
        <v>0.92</v>
      </c>
      <c r="I933" s="8">
        <f>IF(I33&gt;0,I233/I33,0)</f>
        <v>0.9</v>
      </c>
      <c r="J933" s="8">
        <f>IF(J33&gt;0,J233/J33,0)</f>
        <v>0.8823529411764706</v>
      </c>
      <c r="K933" s="8">
        <f>IF(K33&gt;0,K233/K33,0)</f>
        <v>0.8888888888888888</v>
      </c>
      <c r="L933" s="8">
        <f>IF(L33&gt;0,L233/L33,0)</f>
        <v>0.8947368421052632</v>
      </c>
      <c r="M933" s="8">
        <f>IF(M33&gt;0,M233/M33,0)</f>
        <v>0.875</v>
      </c>
      <c r="N933" s="8">
        <f>IF(N33&gt;0,N233/N33,0)</f>
        <v>0.9090909090909091</v>
      </c>
      <c r="O933" s="8">
        <f>IF(O33&gt;0,O233/O33,0)</f>
        <v>0.8148148148148148</v>
      </c>
      <c r="P933" s="8">
        <f>IF(P33&gt;0,P233/P33,0)</f>
        <v>0.8837209302325582</v>
      </c>
      <c r="Q933" s="8">
        <f>IF(Q33&gt;0,Q233/Q33,0)</f>
        <v>0.8780487804878049</v>
      </c>
      <c r="R933" s="8">
        <f>IF(R33&gt;0,R233/R33,0)</f>
        <v>0.8888888888888888</v>
      </c>
      <c r="S933" s="8">
        <f>IF(S33&gt;0,S233/S33,0)</f>
        <v>0.8837209302325582</v>
      </c>
    </row>
    <row r="934">
      <c r="A934" s="16" t="s">
        <v>345</v>
      </c>
      <c r="B934" s="2" t="s">
        <v>322</v>
      </c>
      <c r="C934" s="8">
        <f>IF(C34&gt;0,C234/C34,0)</f>
        <v>0.6226415094339622</v>
      </c>
      <c r="D934" s="8">
        <f>IF(D34&gt;0,D234/D34,0)</f>
        <v>0.6470588235294118</v>
      </c>
      <c r="E934" s="8">
        <f>IF(E34&gt;0,E234/E34,0)</f>
        <v>0.6521739130434783</v>
      </c>
      <c r="F934" s="8">
        <f>IF(F34&gt;0,F234/F34,0)</f>
        <v>0.7083333333333334</v>
      </c>
      <c r="G934" s="8">
        <f>IF(G34&gt;0,G234/G34,0)</f>
        <v>0.6818181818181818</v>
      </c>
      <c r="H934" s="8">
        <f>IF(H34&gt;0,H234/H34,0)</f>
        <v>0.6818181818181818</v>
      </c>
      <c r="I934" s="8">
        <f>IF(I34&gt;0,I234/I34,0)</f>
        <v>0.6956521739130435</v>
      </c>
      <c r="J934" s="8">
        <f>IF(J34&gt;0,J234/J34,0)</f>
        <v>0.7</v>
      </c>
      <c r="K934" s="8">
        <f>IF(K34&gt;0,K234/K34,0)</f>
        <v>0.7142857142857143</v>
      </c>
      <c r="L934" s="8">
        <f>IF(L34&gt;0,L234/L34,0)</f>
        <v>0.7058823529411765</v>
      </c>
      <c r="M934" s="8">
        <f>IF(M34&gt;0,M234/M34,0)</f>
        <v>0.7</v>
      </c>
      <c r="N934" s="8">
        <f>IF(N34&gt;0,N234/N34,0)</f>
        <v>0.7407407407407407</v>
      </c>
      <c r="O934" s="8">
        <f>IF(O34&gt;0,O234/O34,0)</f>
        <v>0.7058823529411765</v>
      </c>
      <c r="P934" s="8">
        <f>IF(P34&gt;0,P234/P34,0)</f>
        <v>0.6666666666666666</v>
      </c>
      <c r="Q934" s="8">
        <f>IF(Q34&gt;0,Q234/Q34,0)</f>
        <v>0.7058823529411765</v>
      </c>
      <c r="R934" s="8">
        <f>IF(R34&gt;0,R234/R34,0)</f>
        <v>0.6875</v>
      </c>
      <c r="S934" s="8">
        <f>IF(S34&gt;0,S234/S34,0)</f>
        <v>0.6875</v>
      </c>
    </row>
    <row r="935">
      <c r="A935" s="16" t="s">
        <v>346</v>
      </c>
      <c r="B935" s="2" t="s">
        <v>322</v>
      </c>
      <c r="C935" s="8">
        <f>IF(C35&gt;0,C235/C35,0)</f>
        <v>0</v>
      </c>
      <c r="D935" s="8">
        <f>IF(D35&gt;0,D235/D35,0)</f>
        <v>0</v>
      </c>
      <c r="E935" s="8">
        <f>IF(E35&gt;0,E235/E35,0)</f>
        <v>0</v>
      </c>
      <c r="F935" s="8">
        <f>IF(F35&gt;0,F235/F35,0)</f>
        <v>0</v>
      </c>
      <c r="G935" s="8">
        <f>IF(G35&gt;0,G235/G35,0)</f>
        <v>0</v>
      </c>
      <c r="H935" s="8">
        <f>IF(H35&gt;0,H235/H35,0)</f>
        <v>0</v>
      </c>
      <c r="I935" s="8">
        <f>IF(I35&gt;0,I235/I35,0)</f>
        <v>0</v>
      </c>
      <c r="J935" s="8">
        <f>IF(J35&gt;0,J235/J35,0)</f>
        <v>0</v>
      </c>
      <c r="K935" s="8">
        <f>IF(K35&gt;0,K235/K35,0)</f>
        <v>0</v>
      </c>
      <c r="L935" s="8">
        <f>IF(L35&gt;0,L235/L35,0)</f>
        <v>0</v>
      </c>
      <c r="M935" s="8">
        <f>IF(M35&gt;0,M235/M35,0)</f>
        <v>0</v>
      </c>
      <c r="N935" s="8">
        <f>IF(N35&gt;0,N235/N35,0)</f>
        <v>0</v>
      </c>
      <c r="O935" s="8">
        <f>IF(O35&gt;0,O235/O35,0)</f>
        <v>0</v>
      </c>
      <c r="P935" s="8">
        <f>IF(P35&gt;0,P235/P35,0)</f>
        <v>0</v>
      </c>
      <c r="Q935" s="8">
        <f>IF(Q35&gt;0,Q235/Q35,0)</f>
        <v>0</v>
      </c>
      <c r="R935" s="8">
        <f>IF(R35&gt;0,R235/R35,0)</f>
        <v>0</v>
      </c>
      <c r="S935" s="8">
        <f>IF(S35&gt;0,S235/S35,0)</f>
        <v>0</v>
      </c>
    </row>
    <row r="936">
      <c r="A936" s="16" t="s">
        <v>347</v>
      </c>
      <c r="B936" s="2" t="s">
        <v>322</v>
      </c>
      <c r="C936" s="8">
        <f>IF(C36&gt;0,C236/C36,0)</f>
        <v>0</v>
      </c>
      <c r="D936" s="8">
        <f>IF(D36&gt;0,D236/D36,0)</f>
        <v>0</v>
      </c>
      <c r="E936" s="8">
        <f>IF(E36&gt;0,E236/E36,0)</f>
        <v>0</v>
      </c>
      <c r="F936" s="8">
        <f>IF(F36&gt;0,F236/F36,0)</f>
        <v>0</v>
      </c>
      <c r="G936" s="8">
        <f>IF(G36&gt;0,G236/G36,0)</f>
        <v>0</v>
      </c>
      <c r="H936" s="8">
        <f>IF(H36&gt;0,H236/H36,0)</f>
        <v>0</v>
      </c>
      <c r="I936" s="8">
        <f>IF(I36&gt;0,I236/I36,0)</f>
        <v>0</v>
      </c>
      <c r="J936" s="8">
        <f>IF(J36&gt;0,J236/J36,0)</f>
        <v>0</v>
      </c>
      <c r="K936" s="8">
        <f>IF(K36&gt;0,K236/K36,0)</f>
        <v>0</v>
      </c>
      <c r="L936" s="8">
        <f>IF(L36&gt;0,L236/L36,0)</f>
        <v>0</v>
      </c>
      <c r="M936" s="8">
        <f>IF(M36&gt;0,M236/M36,0)</f>
        <v>0</v>
      </c>
      <c r="N936" s="8">
        <f>IF(N36&gt;0,N236/N36,0)</f>
        <v>0</v>
      </c>
      <c r="O936" s="8">
        <f>IF(O36&gt;0,O236/O36,0)</f>
        <v>0</v>
      </c>
      <c r="P936" s="8">
        <f>IF(P36&gt;0,P236/P36,0)</f>
        <v>0</v>
      </c>
      <c r="Q936" s="8">
        <f>IF(Q36&gt;0,Q236/Q36,0)</f>
        <v>0</v>
      </c>
      <c r="R936" s="8">
        <f>IF(R36&gt;0,R236/R36,0)</f>
        <v>0</v>
      </c>
      <c r="S936" s="8">
        <f>IF(S36&gt;0,S236/S36,0)</f>
        <v>0</v>
      </c>
    </row>
    <row r="937">
      <c r="A937" s="16" t="s">
        <v>348</v>
      </c>
      <c r="B937" s="2" t="s">
        <v>322</v>
      </c>
      <c r="C937" s="8">
        <f>IF(C37&gt;0,C237/C37,0)</f>
        <v>1</v>
      </c>
      <c r="D937" s="8">
        <f>IF(D37&gt;0,D237/D37,0)</f>
        <v>1</v>
      </c>
      <c r="E937" s="8">
        <f>IF(E37&gt;0,E237/E37,0)</f>
        <v>1</v>
      </c>
      <c r="F937" s="8">
        <f>IF(F37&gt;0,F237/F37,0)</f>
        <v>1</v>
      </c>
      <c r="G937" s="8">
        <f>IF(G37&gt;0,G237/G37,0)</f>
        <v>1</v>
      </c>
      <c r="H937" s="8">
        <f>IF(H37&gt;0,H237/H37,0)</f>
        <v>1</v>
      </c>
      <c r="I937" s="8">
        <f>IF(I37&gt;0,I237/I37,0)</f>
        <v>1</v>
      </c>
      <c r="J937" s="8">
        <f>IF(J37&gt;0,J237/J37,0)</f>
        <v>1</v>
      </c>
      <c r="K937" s="8">
        <f>IF(K37&gt;0,K237/K37,0)</f>
        <v>1</v>
      </c>
      <c r="L937" s="8">
        <f>IF(L37&gt;0,L237/L37,0)</f>
        <v>1</v>
      </c>
      <c r="M937" s="8">
        <f>IF(M37&gt;0,M237/M37,0)</f>
        <v>1</v>
      </c>
      <c r="N937" s="8">
        <f>IF(N37&gt;0,N237/N37,0)</f>
        <v>1</v>
      </c>
      <c r="O937" s="8">
        <f>IF(O37&gt;0,O237/O37,0)</f>
        <v>1</v>
      </c>
      <c r="P937" s="8">
        <f>IF(P37&gt;0,P237/P37,0)</f>
        <v>1</v>
      </c>
      <c r="Q937" s="8">
        <f>IF(Q37&gt;0,Q237/Q37,0)</f>
        <v>1</v>
      </c>
      <c r="R937" s="8">
        <f>IF(R37&gt;0,R237/R37,0)</f>
        <v>1</v>
      </c>
      <c r="S937" s="8">
        <f>IF(S37&gt;0,S237/S37,0)</f>
        <v>1</v>
      </c>
    </row>
    <row r="938">
      <c r="A938" s="16" t="s">
        <v>349</v>
      </c>
      <c r="B938" s="2" t="s">
        <v>322</v>
      </c>
      <c r="C938" s="8">
        <f>IF(C38&gt;0,C238/C38,0)</f>
        <v>0</v>
      </c>
      <c r="D938" s="8">
        <f>IF(D38&gt;0,D238/D38,0)</f>
        <v>0</v>
      </c>
      <c r="E938" s="8">
        <f>IF(E38&gt;0,E238/E38,0)</f>
        <v>0</v>
      </c>
      <c r="F938" s="8">
        <f>IF(F38&gt;0,F238/F38,0)</f>
        <v>0</v>
      </c>
      <c r="G938" s="8">
        <f>IF(G38&gt;0,G238/G38,0)</f>
        <v>0</v>
      </c>
      <c r="H938" s="8">
        <f>IF(H38&gt;0,H238/H38,0)</f>
        <v>0</v>
      </c>
      <c r="I938" s="8">
        <f>IF(I38&gt;0,I238/I38,0)</f>
        <v>0</v>
      </c>
      <c r="J938" s="8">
        <f>IF(J38&gt;0,J238/J38,0)</f>
        <v>0</v>
      </c>
      <c r="K938" s="8">
        <f>IF(K38&gt;0,K238/K38,0)</f>
        <v>0</v>
      </c>
      <c r="L938" s="8">
        <f>IF(L38&gt;0,L238/L38,0)</f>
        <v>0</v>
      </c>
      <c r="M938" s="8">
        <f>IF(M38&gt;0,M238/M38,0)</f>
        <v>0</v>
      </c>
      <c r="N938" s="8">
        <f>IF(N38&gt;0,N238/N38,0)</f>
        <v>0</v>
      </c>
      <c r="O938" s="8">
        <f>IF(O38&gt;0,O238/O38,0)</f>
        <v>0</v>
      </c>
      <c r="P938" s="8">
        <f>IF(P38&gt;0,P238/P38,0)</f>
        <v>0</v>
      </c>
      <c r="Q938" s="8">
        <f>IF(Q38&gt;0,Q238/Q38,0)</f>
        <v>0</v>
      </c>
      <c r="R938" s="8">
        <f>IF(R38&gt;0,R238/R38,0)</f>
        <v>0</v>
      </c>
      <c r="S938" s="8">
        <f>IF(S38&gt;0,S238/S38,0)</f>
        <v>0</v>
      </c>
    </row>
    <row r="939">
      <c r="A939" s="16" t="s">
        <v>350</v>
      </c>
      <c r="B939" s="2" t="s">
        <v>322</v>
      </c>
      <c r="C939" s="8">
        <f>IF(C39&gt;0,C239/C39,0)</f>
        <v>0</v>
      </c>
      <c r="D939" s="8">
        <f>IF(D39&gt;0,D239/D39,0)</f>
        <v>0</v>
      </c>
      <c r="E939" s="8">
        <f>IF(E39&gt;0,E239/E39,0)</f>
        <v>0</v>
      </c>
      <c r="F939" s="8">
        <f>IF(F39&gt;0,F239/F39,0)</f>
        <v>0</v>
      </c>
      <c r="G939" s="8">
        <f>IF(G39&gt;0,G239/G39,0)</f>
        <v>0</v>
      </c>
      <c r="H939" s="8">
        <f>IF(H39&gt;0,H239/H39,0)</f>
        <v>0</v>
      </c>
      <c r="I939" s="8">
        <f>IF(I39&gt;0,I239/I39,0)</f>
        <v>0</v>
      </c>
      <c r="J939" s="8">
        <f>IF(J39&gt;0,J239/J39,0)</f>
        <v>0</v>
      </c>
      <c r="K939" s="8">
        <f>IF(K39&gt;0,K239/K39,0)</f>
        <v>0</v>
      </c>
      <c r="L939" s="8">
        <f>IF(L39&gt;0,L239/L39,0)</f>
        <v>0</v>
      </c>
      <c r="M939" s="8">
        <f>IF(M39&gt;0,M239/M39,0)</f>
        <v>0</v>
      </c>
      <c r="N939" s="8">
        <f>IF(N39&gt;0,N239/N39,0)</f>
        <v>0</v>
      </c>
      <c r="O939" s="8">
        <f>IF(O39&gt;0,O239/O39,0)</f>
        <v>0</v>
      </c>
      <c r="P939" s="8">
        <f>IF(P39&gt;0,P239/P39,0)</f>
        <v>0</v>
      </c>
      <c r="Q939" s="8">
        <f>IF(Q39&gt;0,Q239/Q39,0)</f>
        <v>0</v>
      </c>
      <c r="R939" s="8">
        <f>IF(R39&gt;0,R239/R39,0)</f>
        <v>0</v>
      </c>
      <c r="S939" s="8">
        <f>IF(S39&gt;0,S239/S39,0)</f>
        <v>0</v>
      </c>
    </row>
    <row r="940">
      <c r="A940" s="16" t="s">
        <v>351</v>
      </c>
      <c r="B940" s="2" t="s">
        <v>322</v>
      </c>
      <c r="C940" s="8">
        <f>IF(C40&gt;0,C240/C40,0)</f>
        <v>1</v>
      </c>
      <c r="D940" s="8">
        <f>IF(D40&gt;0,D240/D40,0)</f>
        <v>1</v>
      </c>
      <c r="E940" s="8">
        <f>IF(E40&gt;0,E240/E40,0)</f>
        <v>1</v>
      </c>
      <c r="F940" s="8">
        <f>IF(F40&gt;0,F240/F40,0)</f>
        <v>1</v>
      </c>
      <c r="G940" s="8">
        <f>IF(G40&gt;0,G240/G40,0)</f>
        <v>1</v>
      </c>
      <c r="H940" s="8">
        <f>IF(H40&gt;0,H240/H40,0)</f>
        <v>1</v>
      </c>
      <c r="I940" s="8">
        <f>IF(I40&gt;0,I240/I40,0)</f>
        <v>1</v>
      </c>
      <c r="J940" s="8">
        <f>IF(J40&gt;0,J240/J40,0)</f>
        <v>1</v>
      </c>
      <c r="K940" s="8">
        <f>IF(K40&gt;0,K240/K40,0)</f>
        <v>1</v>
      </c>
      <c r="L940" s="8">
        <f>IF(L40&gt;0,L240/L40,0)</f>
        <v>1</v>
      </c>
      <c r="M940" s="8">
        <f>IF(M40&gt;0,M240/M40,0)</f>
        <v>1</v>
      </c>
      <c r="N940" s="8">
        <f>IF(N40&gt;0,N240/N40,0)</f>
        <v>1</v>
      </c>
      <c r="O940" s="8">
        <f>IF(O40&gt;0,O240/O40,0)</f>
        <v>1</v>
      </c>
      <c r="P940" s="8">
        <f>IF(P40&gt;0,P240/P40,0)</f>
        <v>1</v>
      </c>
      <c r="Q940" s="8">
        <f>IF(Q40&gt;0,Q240/Q40,0)</f>
        <v>1</v>
      </c>
      <c r="R940" s="8">
        <f>IF(R40&gt;0,R240/R40,0)</f>
        <v>1</v>
      </c>
      <c r="S940" s="8">
        <f>IF(S40&gt;0,S240/S40,0)</f>
        <v>1</v>
      </c>
    </row>
    <row r="941">
      <c r="A941" s="16" t="s">
        <v>352</v>
      </c>
      <c r="B941" s="2" t="s">
        <v>322</v>
      </c>
      <c r="C941" s="8">
        <f>IF(C41&gt;0,C241/C41,0)</f>
        <v>0</v>
      </c>
      <c r="D941" s="8">
        <f>IF(D41&gt;0,D241/D41,0)</f>
        <v>0</v>
      </c>
      <c r="E941" s="8">
        <f>IF(E41&gt;0,E241/E41,0)</f>
        <v>0</v>
      </c>
      <c r="F941" s="8">
        <f>IF(F41&gt;0,F241/F41,0)</f>
        <v>0</v>
      </c>
      <c r="G941" s="8">
        <f>IF(G41&gt;0,G241/G41,0)</f>
        <v>0</v>
      </c>
      <c r="H941" s="8">
        <f>IF(H41&gt;0,H241/H41,0)</f>
        <v>0</v>
      </c>
      <c r="I941" s="8">
        <f>IF(I41&gt;0,I241/I41,0)</f>
        <v>0</v>
      </c>
      <c r="J941" s="8">
        <f>IF(J41&gt;0,J241/J41,0)</f>
        <v>0</v>
      </c>
      <c r="K941" s="8">
        <f>IF(K41&gt;0,K241/K41,0)</f>
        <v>0</v>
      </c>
      <c r="L941" s="8">
        <f>IF(L41&gt;0,L241/L41,0)</f>
        <v>0</v>
      </c>
      <c r="M941" s="8">
        <f>IF(M41&gt;0,M241/M41,0)</f>
        <v>0</v>
      </c>
      <c r="N941" s="8">
        <f>IF(N41&gt;0,N241/N41,0)</f>
        <v>0</v>
      </c>
      <c r="O941" s="8">
        <f>IF(O41&gt;0,O241/O41,0)</f>
        <v>0</v>
      </c>
      <c r="P941" s="8">
        <f>IF(P41&gt;0,P241/P41,0)</f>
        <v>0</v>
      </c>
      <c r="Q941" s="8">
        <f>IF(Q41&gt;0,Q241/Q41,0)</f>
        <v>0</v>
      </c>
      <c r="R941" s="8">
        <f>IF(R41&gt;0,R241/R41,0)</f>
        <v>0</v>
      </c>
      <c r="S941" s="8">
        <f>IF(S41&gt;0,S241/S41,0)</f>
        <v>0</v>
      </c>
    </row>
    <row r="942">
      <c r="A942" s="16" t="s">
        <v>353</v>
      </c>
      <c r="B942" s="2" t="s">
        <v>322</v>
      </c>
      <c r="C942" s="8">
        <f>IF(C42&gt;0,C242/C42,0)</f>
        <v>0</v>
      </c>
      <c r="D942" s="8">
        <f>IF(D42&gt;0,D242/D42,0)</f>
        <v>0</v>
      </c>
      <c r="E942" s="8">
        <f>IF(E42&gt;0,E242/E42,0)</f>
        <v>0</v>
      </c>
      <c r="F942" s="8">
        <f>IF(F42&gt;0,F242/F42,0)</f>
        <v>0</v>
      </c>
      <c r="G942" s="8">
        <f>IF(G42&gt;0,G242/G42,0)</f>
        <v>0</v>
      </c>
      <c r="H942" s="8">
        <f>IF(H42&gt;0,H242/H42,0)</f>
        <v>0</v>
      </c>
      <c r="I942" s="8">
        <f>IF(I42&gt;0,I242/I42,0)</f>
        <v>0</v>
      </c>
      <c r="J942" s="8">
        <f>IF(J42&gt;0,J242/J42,0)</f>
        <v>0</v>
      </c>
      <c r="K942" s="8">
        <f>IF(K42&gt;0,K242/K42,0)</f>
        <v>0</v>
      </c>
      <c r="L942" s="8">
        <f>IF(L42&gt;0,L242/L42,0)</f>
        <v>0</v>
      </c>
      <c r="M942" s="8">
        <f>IF(M42&gt;0,M242/M42,0)</f>
        <v>0</v>
      </c>
      <c r="N942" s="8">
        <f>IF(N42&gt;0,N242/N42,0)</f>
        <v>0</v>
      </c>
      <c r="O942" s="8">
        <f>IF(O42&gt;0,O242/O42,0)</f>
        <v>0</v>
      </c>
      <c r="P942" s="8">
        <f>IF(P42&gt;0,P242/P42,0)</f>
        <v>0</v>
      </c>
      <c r="Q942" s="8">
        <f>IF(Q42&gt;0,Q242/Q42,0)</f>
        <v>0</v>
      </c>
      <c r="R942" s="8">
        <f>IF(R42&gt;0,R242/R42,0)</f>
        <v>0</v>
      </c>
      <c r="S942" s="8">
        <f>IF(S42&gt;0,S242/S42,0)</f>
        <v>0</v>
      </c>
    </row>
    <row r="943">
      <c r="A943" s="16" t="s">
        <v>354</v>
      </c>
      <c r="B943" s="2" t="s">
        <v>322</v>
      </c>
      <c r="C943" s="8">
        <f>IF(C43&gt;0,C243/C43,0)</f>
        <v>1</v>
      </c>
      <c r="D943" s="8">
        <f>IF(D43&gt;0,D243/D43,0)</f>
        <v>1</v>
      </c>
      <c r="E943" s="8">
        <f>IF(E43&gt;0,E243/E43,0)</f>
        <v>1</v>
      </c>
      <c r="F943" s="8">
        <f>IF(F43&gt;0,F243/F43,0)</f>
        <v>1</v>
      </c>
      <c r="G943" s="8">
        <f>IF(G43&gt;0,G243/G43,0)</f>
        <v>1</v>
      </c>
      <c r="H943" s="8">
        <f>IF(H43&gt;0,H243/H43,0)</f>
        <v>1</v>
      </c>
      <c r="I943" s="8">
        <f>IF(I43&gt;0,I243/I43,0)</f>
        <v>1</v>
      </c>
      <c r="J943" s="8">
        <f>IF(J43&gt;0,J243/J43,0)</f>
        <v>1</v>
      </c>
      <c r="K943" s="8">
        <f>IF(K43&gt;0,K243/K43,0)</f>
        <v>1</v>
      </c>
      <c r="L943" s="8">
        <f>IF(L43&gt;0,L243/L43,0)</f>
        <v>1</v>
      </c>
      <c r="M943" s="8">
        <f>IF(M43&gt;0,M243/M43,0)</f>
        <v>1</v>
      </c>
      <c r="N943" s="8">
        <f>IF(N43&gt;0,N243/N43,0)</f>
        <v>1</v>
      </c>
      <c r="O943" s="8">
        <f>IF(O43&gt;0,O243/O43,0)</f>
        <v>1</v>
      </c>
      <c r="P943" s="8">
        <f>IF(P43&gt;0,P243/P43,0)</f>
        <v>1</v>
      </c>
      <c r="Q943" s="8">
        <f>IF(Q43&gt;0,Q243/Q43,0)</f>
        <v>1</v>
      </c>
      <c r="R943" s="8">
        <f>IF(R43&gt;0,R243/R43,0)</f>
        <v>1</v>
      </c>
      <c r="S943" s="8">
        <f>IF(S43&gt;0,S243/S43,0)</f>
        <v>1</v>
      </c>
    </row>
    <row r="944">
      <c r="A944" s="16" t="s">
        <v>355</v>
      </c>
      <c r="B944" s="2" t="s">
        <v>322</v>
      </c>
      <c r="C944" s="8">
        <f>IF(C44&gt;0,C244/C44,0)</f>
        <v>1</v>
      </c>
      <c r="D944" s="8">
        <f>IF(D44&gt;0,D244/D44,0)</f>
        <v>1</v>
      </c>
      <c r="E944" s="8">
        <f>IF(E44&gt;0,E244/E44,0)</f>
        <v>1</v>
      </c>
      <c r="F944" s="8">
        <f>IF(F44&gt;0,F244/F44,0)</f>
        <v>1</v>
      </c>
      <c r="G944" s="8">
        <f>IF(G44&gt;0,G244/G44,0)</f>
        <v>1</v>
      </c>
      <c r="H944" s="8">
        <f>IF(H44&gt;0,H244/H44,0)</f>
        <v>1</v>
      </c>
      <c r="I944" s="8">
        <f>IF(I44&gt;0,I244/I44,0)</f>
        <v>1</v>
      </c>
      <c r="J944" s="8">
        <f>IF(J44&gt;0,J244/J44,0)</f>
        <v>1</v>
      </c>
      <c r="K944" s="8">
        <f>IF(K44&gt;0,K244/K44,0)</f>
        <v>1</v>
      </c>
      <c r="L944" s="8">
        <f>IF(L44&gt;0,L244/L44,0)</f>
        <v>1</v>
      </c>
      <c r="M944" s="8">
        <f>IF(M44&gt;0,M244/M44,0)</f>
        <v>1</v>
      </c>
      <c r="N944" s="8">
        <f>IF(N44&gt;0,N244/N44,0)</f>
        <v>1</v>
      </c>
      <c r="O944" s="8">
        <f>IF(O44&gt;0,O244/O44,0)</f>
        <v>1</v>
      </c>
      <c r="P944" s="8">
        <f>IF(P44&gt;0,P244/P44,0)</f>
        <v>1</v>
      </c>
      <c r="Q944" s="8">
        <f>IF(Q44&gt;0,Q244/Q44,0)</f>
        <v>1</v>
      </c>
      <c r="R944" s="8">
        <f>IF(R44&gt;0,R244/R44,0)</f>
        <v>1</v>
      </c>
      <c r="S944" s="8">
        <f>IF(S44&gt;0,S244/S44,0)</f>
        <v>1</v>
      </c>
    </row>
    <row r="945">
      <c r="A945" s="16" t="s">
        <v>356</v>
      </c>
      <c r="B945" s="2" t="s">
        <v>322</v>
      </c>
      <c r="C945" s="8">
        <f>IF(C45&gt;0,C245/C45,0)</f>
        <v>0</v>
      </c>
      <c r="D945" s="8">
        <f>IF(D45&gt;0,D245/D45,0)</f>
        <v>0</v>
      </c>
      <c r="E945" s="8">
        <f>IF(E45&gt;0,E245/E45,0)</f>
        <v>0</v>
      </c>
      <c r="F945" s="8">
        <f>IF(F45&gt;0,F245/F45,0)</f>
        <v>0</v>
      </c>
      <c r="G945" s="8">
        <f>IF(G45&gt;0,G245/G45,0)</f>
        <v>0</v>
      </c>
      <c r="H945" s="8">
        <f>IF(H45&gt;0,H245/H45,0)</f>
        <v>0</v>
      </c>
      <c r="I945" s="8">
        <f>IF(I45&gt;0,I245/I45,0)</f>
        <v>0</v>
      </c>
      <c r="J945" s="8">
        <f>IF(J45&gt;0,J245/J45,0)</f>
        <v>0</v>
      </c>
      <c r="K945" s="8">
        <f>IF(K45&gt;0,K245/K45,0)</f>
        <v>0</v>
      </c>
      <c r="L945" s="8">
        <f>IF(L45&gt;0,L245/L45,0)</f>
        <v>0</v>
      </c>
      <c r="M945" s="8">
        <f>IF(M45&gt;0,M245/M45,0)</f>
        <v>0</v>
      </c>
      <c r="N945" s="8">
        <f>IF(N45&gt;0,N245/N45,0)</f>
        <v>0</v>
      </c>
      <c r="O945" s="8">
        <f>IF(O45&gt;0,O245/O45,0)</f>
        <v>0</v>
      </c>
      <c r="P945" s="8">
        <f>IF(P45&gt;0,P245/P45,0)</f>
        <v>0</v>
      </c>
      <c r="Q945" s="8">
        <f>IF(Q45&gt;0,Q245/Q45,0)</f>
        <v>0</v>
      </c>
      <c r="R945" s="8">
        <f>IF(R45&gt;0,R245/R45,0)</f>
        <v>0</v>
      </c>
      <c r="S945" s="8">
        <f>IF(S45&gt;0,S245/S45,0)</f>
        <v>0</v>
      </c>
    </row>
    <row r="946">
      <c r="A946" s="16" t="s">
        <v>357</v>
      </c>
      <c r="B946" s="2" t="s">
        <v>322</v>
      </c>
      <c r="C946" s="8">
        <f>IF(C46&gt;0,C246/C46,0)</f>
        <v>1</v>
      </c>
      <c r="D946" s="8">
        <f>IF(D46&gt;0,D246/D46,0)</f>
        <v>1</v>
      </c>
      <c r="E946" s="8">
        <f>IF(E46&gt;0,E246/E46,0)</f>
        <v>1</v>
      </c>
      <c r="F946" s="8">
        <f>IF(F46&gt;0,F246/F46,0)</f>
        <v>1</v>
      </c>
      <c r="G946" s="8">
        <f>IF(G46&gt;0,G246/G46,0)</f>
        <v>1</v>
      </c>
      <c r="H946" s="8">
        <f>IF(H46&gt;0,H246/H46,0)</f>
        <v>1</v>
      </c>
      <c r="I946" s="8">
        <f>IF(I46&gt;0,I246/I46,0)</f>
        <v>1</v>
      </c>
      <c r="J946" s="8">
        <f>IF(J46&gt;0,J246/J46,0)</f>
        <v>1</v>
      </c>
      <c r="K946" s="8">
        <f>IF(K46&gt;0,K246/K46,0)</f>
        <v>1</v>
      </c>
      <c r="L946" s="8">
        <f>IF(L46&gt;0,L246/L46,0)</f>
        <v>0</v>
      </c>
      <c r="M946" s="8">
        <f>IF(M46&gt;0,M246/M46,0)</f>
        <v>0</v>
      </c>
      <c r="N946" s="8">
        <f>IF(N46&gt;0,N246/N46,0)</f>
        <v>0</v>
      </c>
      <c r="O946" s="8">
        <f>IF(O46&gt;0,O246/O46,0)</f>
        <v>0</v>
      </c>
      <c r="P946" s="8">
        <f>IF(P46&gt;0,P246/P46,0)</f>
        <v>0</v>
      </c>
      <c r="Q946" s="8">
        <f>IF(Q46&gt;0,Q246/Q46,0)</f>
        <v>0</v>
      </c>
      <c r="R946" s="8">
        <f>IF(R46&gt;0,R246/R46,0)</f>
        <v>0</v>
      </c>
      <c r="S946" s="8">
        <f>IF(S46&gt;0,S246/S46,0)</f>
        <v>0</v>
      </c>
    </row>
    <row r="947">
      <c r="A947" s="16" t="s">
        <v>358</v>
      </c>
      <c r="B947" s="2" t="s">
        <v>322</v>
      </c>
      <c r="C947" s="8">
        <f>IF(C47&gt;0,C247/C47,0)</f>
        <v>1</v>
      </c>
      <c r="D947" s="8">
        <f>IF(D47&gt;0,D247/D47,0)</f>
        <v>1</v>
      </c>
      <c r="E947" s="8">
        <f>IF(E47&gt;0,E247/E47,0)</f>
        <v>1</v>
      </c>
      <c r="F947" s="8">
        <f>IF(F47&gt;0,F247/F47,0)</f>
        <v>1</v>
      </c>
      <c r="G947" s="8">
        <f>IF(G47&gt;0,G247/G47,0)</f>
        <v>1</v>
      </c>
      <c r="H947" s="8">
        <f>IF(H47&gt;0,H247/H47,0)</f>
        <v>1</v>
      </c>
      <c r="I947" s="8">
        <f>IF(I47&gt;0,I247/I47,0)</f>
        <v>1</v>
      </c>
      <c r="J947" s="8">
        <f>IF(J47&gt;0,J247/J47,0)</f>
        <v>1</v>
      </c>
      <c r="K947" s="8">
        <f>IF(K47&gt;0,K247/K47,0)</f>
        <v>0</v>
      </c>
      <c r="L947" s="8">
        <f>IF(L47&gt;0,L247/L47,0)</f>
        <v>0</v>
      </c>
      <c r="M947" s="8">
        <f>IF(M47&gt;0,M247/M47,0)</f>
        <v>0</v>
      </c>
      <c r="N947" s="8">
        <f>IF(N47&gt;0,N247/N47,0)</f>
        <v>0</v>
      </c>
      <c r="O947" s="8">
        <f>IF(O47&gt;0,O247/O47,0)</f>
        <v>0</v>
      </c>
      <c r="P947" s="8">
        <f>IF(P47&gt;0,P247/P47,0)</f>
        <v>0</v>
      </c>
      <c r="Q947" s="8">
        <f>IF(Q47&gt;0,Q247/Q47,0)</f>
        <v>0</v>
      </c>
      <c r="R947" s="8">
        <f>IF(R47&gt;0,R247/R47,0)</f>
        <v>0</v>
      </c>
      <c r="S947" s="8">
        <f>IF(S47&gt;0,S247/S47,0)</f>
        <v>0</v>
      </c>
    </row>
    <row r="948">
      <c r="A948" s="16" t="s">
        <v>359</v>
      </c>
      <c r="B948" s="2" t="s">
        <v>322</v>
      </c>
      <c r="C948" s="8">
        <f>IF(C48&gt;0,C248/C48,0)</f>
        <v>0</v>
      </c>
      <c r="D948" s="8">
        <f>IF(D48&gt;0,D248/D48,0)</f>
        <v>0</v>
      </c>
      <c r="E948" s="8">
        <f>IF(E48&gt;0,E248/E48,0)</f>
        <v>0</v>
      </c>
      <c r="F948" s="8">
        <f>IF(F48&gt;0,F248/F48,0)</f>
        <v>0</v>
      </c>
      <c r="G948" s="8">
        <f>IF(G48&gt;0,G248/G48,0)</f>
        <v>0</v>
      </c>
      <c r="H948" s="8">
        <f>IF(H48&gt;0,H248/H48,0)</f>
        <v>0</v>
      </c>
      <c r="I948" s="8">
        <f>IF(I48&gt;0,I248/I48,0)</f>
        <v>0</v>
      </c>
      <c r="J948" s="8">
        <f>IF(J48&gt;0,J248/J48,0)</f>
        <v>0</v>
      </c>
      <c r="K948" s="8">
        <f>IF(K48&gt;0,K248/K48,0)</f>
        <v>0</v>
      </c>
      <c r="L948" s="8">
        <f>IF(L48&gt;0,L248/L48,0)</f>
        <v>0</v>
      </c>
      <c r="M948" s="8">
        <f>IF(M48&gt;0,M248/M48,0)</f>
        <v>0</v>
      </c>
      <c r="N948" s="8">
        <f>IF(N48&gt;0,N248/N48,0)</f>
        <v>0</v>
      </c>
      <c r="O948" s="8">
        <f>IF(O48&gt;0,O248/O48,0)</f>
        <v>0</v>
      </c>
      <c r="P948" s="8">
        <f>IF(P48&gt;0,P248/P48,0)</f>
        <v>0</v>
      </c>
      <c r="Q948" s="8">
        <f>IF(Q48&gt;0,Q248/Q48,0)</f>
        <v>0</v>
      </c>
      <c r="R948" s="8">
        <f>IF(R48&gt;0,R248/R48,0)</f>
        <v>0</v>
      </c>
      <c r="S948" s="8">
        <f>IF(S48&gt;0,S248/S48,0)</f>
        <v>0</v>
      </c>
    </row>
    <row r="949">
      <c r="A949" s="16" t="s">
        <v>360</v>
      </c>
      <c r="B949" s="2" t="s">
        <v>322</v>
      </c>
      <c r="C949" s="8">
        <f>IF(C49&gt;0,C249/C49,0)</f>
        <v>1</v>
      </c>
      <c r="D949" s="8">
        <f>IF(D49&gt;0,D249/D49,0)</f>
        <v>1</v>
      </c>
      <c r="E949" s="8">
        <f>IF(E49&gt;0,E249/E49,0)</f>
        <v>1</v>
      </c>
      <c r="F949" s="8">
        <f>IF(F49&gt;0,F249/F49,0)</f>
        <v>1</v>
      </c>
      <c r="G949" s="8">
        <f>IF(G49&gt;0,G249/G49,0)</f>
        <v>1</v>
      </c>
      <c r="H949" s="8">
        <f>IF(H49&gt;0,H249/H49,0)</f>
        <v>0</v>
      </c>
      <c r="I949" s="8">
        <f>IF(I49&gt;0,I249/I49,0)</f>
        <v>0</v>
      </c>
      <c r="J949" s="8">
        <f>IF(J49&gt;0,J249/J49,0)</f>
        <v>0</v>
      </c>
      <c r="K949" s="8">
        <f>IF(K49&gt;0,K249/K49,0)</f>
        <v>0</v>
      </c>
      <c r="L949" s="8">
        <f>IF(L49&gt;0,L249/L49,0)</f>
        <v>0</v>
      </c>
      <c r="M949" s="8">
        <f>IF(M49&gt;0,M249/M49,0)</f>
        <v>0</v>
      </c>
      <c r="N949" s="8">
        <f>IF(N49&gt;0,N249/N49,0)</f>
        <v>0</v>
      </c>
      <c r="O949" s="8">
        <f>IF(O49&gt;0,O249/O49,0)</f>
        <v>0</v>
      </c>
      <c r="P949" s="8">
        <f>IF(P49&gt;0,P249/P49,0)</f>
        <v>0</v>
      </c>
      <c r="Q949" s="8">
        <f>IF(Q49&gt;0,Q249/Q49,0)</f>
        <v>0</v>
      </c>
      <c r="R949" s="8">
        <f>IF(R49&gt;0,R249/R49,0)</f>
        <v>0</v>
      </c>
      <c r="S949" s="8">
        <f>IF(S49&gt;0,S249/S49,0)</f>
        <v>0</v>
      </c>
    </row>
    <row r="950">
      <c r="A950" s="16" t="s">
        <v>361</v>
      </c>
      <c r="B950" s="2" t="s">
        <v>322</v>
      </c>
      <c r="C950" s="8">
        <f>IF(C50&gt;0,C250/C50,0)</f>
        <v>0</v>
      </c>
      <c r="D950" s="8">
        <f>IF(D50&gt;0,D250/D50,0)</f>
        <v>0</v>
      </c>
      <c r="E950" s="8">
        <f>IF(E50&gt;0,E250/E50,0)</f>
        <v>0</v>
      </c>
      <c r="F950" s="8">
        <f>IF(F50&gt;0,F250/F50,0)</f>
        <v>0</v>
      </c>
      <c r="G950" s="8">
        <f>IF(G50&gt;0,G250/G50,0)</f>
        <v>0</v>
      </c>
      <c r="H950" s="8">
        <f>IF(H50&gt;0,H250/H50,0)</f>
        <v>0</v>
      </c>
      <c r="I950" s="8">
        <f>IF(I50&gt;0,I250/I50,0)</f>
        <v>0</v>
      </c>
      <c r="J950" s="8">
        <f>IF(J50&gt;0,J250/J50,0)</f>
        <v>0</v>
      </c>
      <c r="K950" s="8">
        <f>IF(K50&gt;0,K250/K50,0)</f>
        <v>0</v>
      </c>
      <c r="L950" s="8">
        <f>IF(L50&gt;0,L250/L50,0)</f>
        <v>0</v>
      </c>
      <c r="M950" s="8">
        <f>IF(M50&gt;0,M250/M50,0)</f>
        <v>0</v>
      </c>
      <c r="N950" s="8">
        <f>IF(N50&gt;0,N250/N50,0)</f>
        <v>0</v>
      </c>
      <c r="O950" s="8">
        <f>IF(O50&gt;0,O250/O50,0)</f>
        <v>0</v>
      </c>
      <c r="P950" s="8">
        <f>IF(P50&gt;0,P250/P50,0)</f>
        <v>0</v>
      </c>
      <c r="Q950" s="8">
        <f>IF(Q50&gt;0,Q250/Q50,0)</f>
        <v>0</v>
      </c>
      <c r="R950" s="8">
        <f>IF(R50&gt;0,R250/R50,0)</f>
        <v>0</v>
      </c>
      <c r="S950" s="8">
        <f>IF(S50&gt;0,S250/S50,0)</f>
        <v>0</v>
      </c>
    </row>
    <row r="951">
      <c r="A951" s="16" t="s">
        <v>362</v>
      </c>
      <c r="B951" s="2" t="s">
        <v>322</v>
      </c>
      <c r="C951" s="8">
        <f>IF(C51&gt;0,C251/C51,0)</f>
        <v>1</v>
      </c>
      <c r="D951" s="8">
        <f>IF(D51&gt;0,D251/D51,0)</f>
        <v>1</v>
      </c>
      <c r="E951" s="8">
        <f>IF(E51&gt;0,E251/E51,0)</f>
        <v>1</v>
      </c>
      <c r="F951" s="8">
        <f>IF(F51&gt;0,F251/F51,0)</f>
        <v>1</v>
      </c>
      <c r="G951" s="8">
        <f>IF(G51&gt;0,G251/G51,0)</f>
        <v>1</v>
      </c>
      <c r="H951" s="8">
        <f>IF(H51&gt;0,H251/H51,0)</f>
        <v>1</v>
      </c>
      <c r="I951" s="8">
        <f>IF(I51&gt;0,I251/I51,0)</f>
        <v>1</v>
      </c>
      <c r="J951" s="8">
        <f>IF(J51&gt;0,J251/J51,0)</f>
        <v>1</v>
      </c>
      <c r="K951" s="8">
        <f>IF(K51&gt;0,K251/K51,0)</f>
        <v>0</v>
      </c>
      <c r="L951" s="8">
        <f>IF(L51&gt;0,L251/L51,0)</f>
        <v>0</v>
      </c>
      <c r="M951" s="8">
        <f>IF(M51&gt;0,M251/M51,0)</f>
        <v>0</v>
      </c>
      <c r="N951" s="8">
        <f>IF(N51&gt;0,N251/N51,0)</f>
        <v>0</v>
      </c>
      <c r="O951" s="8">
        <f>IF(O51&gt;0,O251/O51,0)</f>
        <v>0</v>
      </c>
      <c r="P951" s="8">
        <f>IF(P51&gt;0,P251/P51,0)</f>
        <v>0</v>
      </c>
      <c r="Q951" s="8">
        <f>IF(Q51&gt;0,Q251/Q51,0)</f>
        <v>0</v>
      </c>
      <c r="R951" s="8">
        <f>IF(R51&gt;0,R251/R51,0)</f>
        <v>0</v>
      </c>
      <c r="S951" s="8">
        <f>IF(S51&gt;0,S251/S51,0)</f>
        <v>0</v>
      </c>
    </row>
    <row r="952">
      <c r="A952" s="16" t="s">
        <v>363</v>
      </c>
      <c r="B952" s="2" t="s">
        <v>322</v>
      </c>
      <c r="C952" s="8">
        <f>IF(C52&gt;0,C252/C52,0)</f>
        <v>0</v>
      </c>
      <c r="D952" s="8">
        <f>IF(D52&gt;0,D252/D52,0)</f>
        <v>0</v>
      </c>
      <c r="E952" s="8">
        <f>IF(E52&gt;0,E252/E52,0)</f>
        <v>0</v>
      </c>
      <c r="F952" s="8">
        <f>IF(F52&gt;0,F252/F52,0)</f>
        <v>0</v>
      </c>
      <c r="G952" s="8">
        <f>IF(G52&gt;0,G252/G52,0)</f>
        <v>0</v>
      </c>
      <c r="H952" s="8">
        <f>IF(H52&gt;0,H252/H52,0)</f>
        <v>0</v>
      </c>
      <c r="I952" s="8">
        <f>IF(I52&gt;0,I252/I52,0)</f>
        <v>0</v>
      </c>
      <c r="J952" s="8">
        <f>IF(J52&gt;0,J252/J52,0)</f>
        <v>0</v>
      </c>
      <c r="K952" s="8">
        <f>IF(K52&gt;0,K252/K52,0)</f>
        <v>0</v>
      </c>
      <c r="L952" s="8">
        <f>IF(L52&gt;0,L252/L52,0)</f>
        <v>0</v>
      </c>
      <c r="M952" s="8">
        <f>IF(M52&gt;0,M252/M52,0)</f>
        <v>0</v>
      </c>
      <c r="N952" s="8">
        <f>IF(N52&gt;0,N252/N52,0)</f>
        <v>0</v>
      </c>
      <c r="O952" s="8">
        <f>IF(O52&gt;0,O252/O52,0)</f>
        <v>0</v>
      </c>
      <c r="P952" s="8">
        <f>IF(P52&gt;0,P252/P52,0)</f>
        <v>0</v>
      </c>
      <c r="Q952" s="8">
        <f>IF(Q52&gt;0,Q252/Q52,0)</f>
        <v>0</v>
      </c>
      <c r="R952" s="8">
        <f>IF(R52&gt;0,R252/R52,0)</f>
        <v>0</v>
      </c>
      <c r="S952" s="8">
        <f>IF(S52&gt;0,S252/S52,0)</f>
        <v>0</v>
      </c>
    </row>
    <row r="953">
      <c r="A953" s="16" t="s">
        <v>364</v>
      </c>
      <c r="B953" s="2" t="s">
        <v>365</v>
      </c>
      <c r="C953" s="8">
        <f>IF(C53&gt;0,C253/C53,0)</f>
        <v>0</v>
      </c>
      <c r="D953" s="8">
        <f>IF(D53&gt;0,D253/D53,0)</f>
        <v>0</v>
      </c>
      <c r="E953" s="8">
        <f>IF(E53&gt;0,E253/E53,0)</f>
        <v>0</v>
      </c>
      <c r="F953" s="8">
        <f>IF(F53&gt;0,F253/F53,0)</f>
        <v>0</v>
      </c>
      <c r="G953" s="8">
        <f>IF(G53&gt;0,G253/G53,0)</f>
        <v>0</v>
      </c>
      <c r="H953" s="8">
        <f>IF(H53&gt;0,H253/H53,0)</f>
        <v>0</v>
      </c>
      <c r="I953" s="8">
        <f>IF(I53&gt;0,I253/I53,0)</f>
        <v>0</v>
      </c>
      <c r="J953" s="8">
        <f>IF(J53&gt;0,J253/J53,0)</f>
        <v>0</v>
      </c>
      <c r="K953" s="8">
        <f>IF(K53&gt;0,K253/K53,0)</f>
        <v>0</v>
      </c>
      <c r="L953" s="8">
        <f>IF(L53&gt;0,L253/L53,0)</f>
        <v>0</v>
      </c>
      <c r="M953" s="8">
        <f>IF(M53&gt;0,M253/M53,0)</f>
        <v>0</v>
      </c>
      <c r="N953" s="8">
        <f>IF(N53&gt;0,N253/N53,0)</f>
        <v>0</v>
      </c>
      <c r="O953" s="8">
        <f>IF(O53&gt;0,O253/O53,0)</f>
        <v>0</v>
      </c>
      <c r="P953" s="8">
        <f>IF(P53&gt;0,P253/P53,0)</f>
        <v>0</v>
      </c>
      <c r="Q953" s="8">
        <f>IF(Q53&gt;0,Q253/Q53,0)</f>
        <v>0</v>
      </c>
      <c r="R953" s="8">
        <f>IF(R53&gt;0,R253/R53,0)</f>
        <v>0</v>
      </c>
      <c r="S953" s="8">
        <f>IF(S53&gt;0,S253/S53,0)</f>
        <v>0</v>
      </c>
    </row>
    <row r="954">
      <c r="A954" s="16" t="s">
        <v>366</v>
      </c>
      <c r="B954" s="2" t="s">
        <v>365</v>
      </c>
      <c r="C954" s="8">
        <f>IF(C54&gt;0,C254/C54,0)</f>
        <v>0</v>
      </c>
      <c r="D954" s="8">
        <f>IF(D54&gt;0,D254/D54,0)</f>
        <v>0</v>
      </c>
      <c r="E954" s="8">
        <f>IF(E54&gt;0,E254/E54,0)</f>
        <v>0</v>
      </c>
      <c r="F954" s="8">
        <f>IF(F54&gt;0,F254/F54,0)</f>
        <v>0</v>
      </c>
      <c r="G954" s="8">
        <f>IF(G54&gt;0,G254/G54,0)</f>
        <v>0</v>
      </c>
      <c r="H954" s="8">
        <f>IF(H54&gt;0,H254/H54,0)</f>
        <v>0</v>
      </c>
      <c r="I954" s="8">
        <f>IF(I54&gt;0,I254/I54,0)</f>
        <v>0</v>
      </c>
      <c r="J954" s="8">
        <f>IF(J54&gt;0,J254/J54,0)</f>
        <v>0</v>
      </c>
      <c r="K954" s="8">
        <f>IF(K54&gt;0,K254/K54,0)</f>
        <v>0</v>
      </c>
      <c r="L954" s="8">
        <f>IF(L54&gt;0,L254/L54,0)</f>
        <v>0</v>
      </c>
      <c r="M954" s="8">
        <f>IF(M54&gt;0,M254/M54,0)</f>
        <v>0</v>
      </c>
      <c r="N954" s="8">
        <f>IF(N54&gt;0,N254/N54,0)</f>
        <v>0</v>
      </c>
      <c r="O954" s="8">
        <f>IF(O54&gt;0,O254/O54,0)</f>
        <v>0</v>
      </c>
      <c r="P954" s="8">
        <f>IF(P54&gt;0,P254/P54,0)</f>
        <v>0</v>
      </c>
      <c r="Q954" s="8">
        <f>IF(Q54&gt;0,Q254/Q54,0)</f>
        <v>0</v>
      </c>
      <c r="R954" s="8">
        <f>IF(R54&gt;0,R254/R54,0)</f>
        <v>0</v>
      </c>
      <c r="S954" s="8">
        <f>IF(S54&gt;0,S254/S54,0)</f>
        <v>0</v>
      </c>
    </row>
    <row r="955">
      <c r="A955" s="16" t="s">
        <v>367</v>
      </c>
      <c r="B955" s="2" t="s">
        <v>365</v>
      </c>
      <c r="C955" s="8">
        <f>IF(C55&gt;0,C255/C55,0)</f>
        <v>0</v>
      </c>
      <c r="D955" s="8">
        <f>IF(D55&gt;0,D255/D55,0)</f>
        <v>0</v>
      </c>
      <c r="E955" s="8">
        <f>IF(E55&gt;0,E255/E55,0)</f>
        <v>0</v>
      </c>
      <c r="F955" s="8">
        <f>IF(F55&gt;0,F255/F55,0)</f>
        <v>0</v>
      </c>
      <c r="G955" s="8">
        <f>IF(G55&gt;0,G255/G55,0)</f>
        <v>0</v>
      </c>
      <c r="H955" s="8">
        <f>IF(H55&gt;0,H255/H55,0)</f>
        <v>0</v>
      </c>
      <c r="I955" s="8">
        <f>IF(I55&gt;0,I255/I55,0)</f>
        <v>0</v>
      </c>
      <c r="J955" s="8">
        <f>IF(J55&gt;0,J255/J55,0)</f>
        <v>0</v>
      </c>
      <c r="K955" s="8">
        <f>IF(K55&gt;0,K255/K55,0)</f>
        <v>0</v>
      </c>
      <c r="L955" s="8">
        <f>IF(L55&gt;0,L255/L55,0)</f>
        <v>0</v>
      </c>
      <c r="M955" s="8">
        <f>IF(M55&gt;0,M255/M55,0)</f>
        <v>0</v>
      </c>
      <c r="N955" s="8">
        <f>IF(N55&gt;0,N255/N55,0)</f>
        <v>0</v>
      </c>
      <c r="O955" s="8">
        <f>IF(O55&gt;0,O255/O55,0)</f>
        <v>0</v>
      </c>
      <c r="P955" s="8">
        <f>IF(P55&gt;0,P255/P55,0)</f>
        <v>0</v>
      </c>
      <c r="Q955" s="8">
        <f>IF(Q55&gt;0,Q255/Q55,0)</f>
        <v>0</v>
      </c>
      <c r="R955" s="8">
        <f>IF(R55&gt;0,R255/R55,0)</f>
        <v>0</v>
      </c>
      <c r="S955" s="8">
        <f>IF(S55&gt;0,S255/S55,0)</f>
        <v>0</v>
      </c>
    </row>
    <row r="956">
      <c r="A956" s="16" t="s">
        <v>368</v>
      </c>
      <c r="B956" s="2" t="s">
        <v>365</v>
      </c>
      <c r="C956" s="8">
        <f>IF(C56&gt;0,C256/C56,0)</f>
        <v>0</v>
      </c>
      <c r="D956" s="8">
        <f>IF(D56&gt;0,D256/D56,0)</f>
        <v>0</v>
      </c>
      <c r="E956" s="8">
        <f>IF(E56&gt;0,E256/E56,0)</f>
        <v>0</v>
      </c>
      <c r="F956" s="8">
        <f>IF(F56&gt;0,F256/F56,0)</f>
        <v>0</v>
      </c>
      <c r="G956" s="8">
        <f>IF(G56&gt;0,G256/G56,0)</f>
        <v>0</v>
      </c>
      <c r="H956" s="8">
        <f>IF(H56&gt;0,H256/H56,0)</f>
        <v>0</v>
      </c>
      <c r="I956" s="8">
        <f>IF(I56&gt;0,I256/I56,0)</f>
        <v>0</v>
      </c>
      <c r="J956" s="8">
        <f>IF(J56&gt;0,J256/J56,0)</f>
        <v>0</v>
      </c>
      <c r="K956" s="8">
        <f>IF(K56&gt;0,K256/K56,0)</f>
        <v>0</v>
      </c>
      <c r="L956" s="8">
        <f>IF(L56&gt;0,L256/L56,0)</f>
        <v>0</v>
      </c>
      <c r="M956" s="8">
        <f>IF(M56&gt;0,M256/M56,0)</f>
        <v>0</v>
      </c>
      <c r="N956" s="8">
        <f>IF(N56&gt;0,N256/N56,0)</f>
        <v>0</v>
      </c>
      <c r="O956" s="8">
        <f>IF(O56&gt;0,O256/O56,0)</f>
        <v>0</v>
      </c>
      <c r="P956" s="8">
        <f>IF(P56&gt;0,P256/P56,0)</f>
        <v>0</v>
      </c>
      <c r="Q956" s="8">
        <f>IF(Q56&gt;0,Q256/Q56,0)</f>
        <v>0</v>
      </c>
      <c r="R956" s="8">
        <f>IF(R56&gt;0,R256/R56,0)</f>
        <v>0</v>
      </c>
      <c r="S956" s="8">
        <f>IF(S56&gt;0,S256/S56,0)</f>
        <v>0</v>
      </c>
    </row>
    <row r="957">
      <c r="A957" s="16" t="s">
        <v>369</v>
      </c>
      <c r="B957" s="2" t="s">
        <v>365</v>
      </c>
      <c r="C957" s="8">
        <f>IF(C57&gt;0,C257/C57,0)</f>
        <v>0</v>
      </c>
      <c r="D957" s="8">
        <f>IF(D57&gt;0,D257/D57,0)</f>
        <v>0</v>
      </c>
      <c r="E957" s="8">
        <f>IF(E57&gt;0,E257/E57,0)</f>
        <v>0</v>
      </c>
      <c r="F957" s="8">
        <f>IF(F57&gt;0,F257/F57,0)</f>
        <v>0</v>
      </c>
      <c r="G957" s="8">
        <f>IF(G57&gt;0,G257/G57,0)</f>
        <v>0</v>
      </c>
      <c r="H957" s="8">
        <f>IF(H57&gt;0,H257/H57,0)</f>
        <v>0</v>
      </c>
      <c r="I957" s="8">
        <f>IF(I57&gt;0,I257/I57,0)</f>
        <v>0</v>
      </c>
      <c r="J957" s="8">
        <f>IF(J57&gt;0,J257/J57,0)</f>
        <v>0</v>
      </c>
      <c r="K957" s="8">
        <f>IF(K57&gt;0,K257/K57,0)</f>
        <v>0</v>
      </c>
      <c r="L957" s="8">
        <f>IF(L57&gt;0,L257/L57,0)</f>
        <v>0</v>
      </c>
      <c r="M957" s="8">
        <f>IF(M57&gt;0,M257/M57,0)</f>
        <v>0</v>
      </c>
      <c r="N957" s="8">
        <f>IF(N57&gt;0,N257/N57,0)</f>
        <v>0</v>
      </c>
      <c r="O957" s="8">
        <f>IF(O57&gt;0,O257/O57,0)</f>
        <v>0</v>
      </c>
      <c r="P957" s="8">
        <f>IF(P57&gt;0,P257/P57,0)</f>
        <v>0</v>
      </c>
      <c r="Q957" s="8">
        <f>IF(Q57&gt;0,Q257/Q57,0)</f>
        <v>0</v>
      </c>
      <c r="R957" s="8">
        <f>IF(R57&gt;0,R257/R57,0)</f>
        <v>0</v>
      </c>
      <c r="S957" s="8">
        <f>IF(S57&gt;0,S257/S57,0)</f>
        <v>0</v>
      </c>
    </row>
    <row r="958">
      <c r="A958" s="16" t="s">
        <v>370</v>
      </c>
      <c r="B958" s="2" t="s">
        <v>365</v>
      </c>
      <c r="C958" s="8">
        <f>IF(C58&gt;0,C258/C58,0)</f>
        <v>0</v>
      </c>
      <c r="D958" s="8">
        <f>IF(D58&gt;0,D258/D58,0)</f>
        <v>0</v>
      </c>
      <c r="E958" s="8">
        <f>IF(E58&gt;0,E258/E58,0)</f>
        <v>0</v>
      </c>
      <c r="F958" s="8">
        <f>IF(F58&gt;0,F258/F58,0)</f>
        <v>0</v>
      </c>
      <c r="G958" s="8">
        <f>IF(G58&gt;0,G258/G58,0)</f>
        <v>0</v>
      </c>
      <c r="H958" s="8">
        <f>IF(H58&gt;0,H258/H58,0)</f>
        <v>0</v>
      </c>
      <c r="I958" s="8">
        <f>IF(I58&gt;0,I258/I58,0)</f>
        <v>0</v>
      </c>
      <c r="J958" s="8">
        <f>IF(J58&gt;0,J258/J58,0)</f>
        <v>0</v>
      </c>
      <c r="K958" s="8">
        <f>IF(K58&gt;0,K258/K58,0)</f>
        <v>0</v>
      </c>
      <c r="L958" s="8">
        <f>IF(L58&gt;0,L258/L58,0)</f>
        <v>0</v>
      </c>
      <c r="M958" s="8">
        <f>IF(M58&gt;0,M258/M58,0)</f>
        <v>0</v>
      </c>
      <c r="N958" s="8">
        <f>IF(N58&gt;0,N258/N58,0)</f>
        <v>0</v>
      </c>
      <c r="O958" s="8">
        <f>IF(O58&gt;0,O258/O58,0)</f>
        <v>0</v>
      </c>
      <c r="P958" s="8">
        <f>IF(P58&gt;0,P258/P58,0)</f>
        <v>0</v>
      </c>
      <c r="Q958" s="8">
        <f>IF(Q58&gt;0,Q258/Q58,0)</f>
        <v>0</v>
      </c>
      <c r="R958" s="8">
        <f>IF(R58&gt;0,R258/R58,0)</f>
        <v>0</v>
      </c>
      <c r="S958" s="8">
        <f>IF(S58&gt;0,S258/S58,0)</f>
        <v>0</v>
      </c>
    </row>
    <row r="959">
      <c r="A959" s="16" t="s">
        <v>371</v>
      </c>
      <c r="B959" s="2" t="s">
        <v>365</v>
      </c>
      <c r="C959" s="8">
        <f>IF(C59&gt;0,C259/C59,0)</f>
        <v>0</v>
      </c>
      <c r="D959" s="8">
        <f>IF(D59&gt;0,D259/D59,0)</f>
        <v>0</v>
      </c>
      <c r="E959" s="8">
        <f>IF(E59&gt;0,E259/E59,0)</f>
        <v>0</v>
      </c>
      <c r="F959" s="8">
        <f>IF(F59&gt;0,F259/F59,0)</f>
        <v>0</v>
      </c>
      <c r="G959" s="8">
        <f>IF(G59&gt;0,G259/G59,0)</f>
        <v>0</v>
      </c>
      <c r="H959" s="8">
        <f>IF(H59&gt;0,H259/H59,0)</f>
        <v>0</v>
      </c>
      <c r="I959" s="8">
        <f>IF(I59&gt;0,I259/I59,0)</f>
        <v>0</v>
      </c>
      <c r="J959" s="8">
        <f>IF(J59&gt;0,J259/J59,0)</f>
        <v>0</v>
      </c>
      <c r="K959" s="8">
        <f>IF(K59&gt;0,K259/K59,0)</f>
        <v>0</v>
      </c>
      <c r="L959" s="8">
        <f>IF(L59&gt;0,L259/L59,0)</f>
        <v>0</v>
      </c>
      <c r="M959" s="8">
        <f>IF(M59&gt;0,M259/M59,0)</f>
        <v>0</v>
      </c>
      <c r="N959" s="8">
        <f>IF(N59&gt;0,N259/N59,0)</f>
        <v>0</v>
      </c>
      <c r="O959" s="8">
        <f>IF(O59&gt;0,O259/O59,0)</f>
        <v>0</v>
      </c>
      <c r="P959" s="8">
        <f>IF(P59&gt;0,P259/P59,0)</f>
        <v>0</v>
      </c>
      <c r="Q959" s="8">
        <f>IF(Q59&gt;0,Q259/Q59,0)</f>
        <v>0</v>
      </c>
      <c r="R959" s="8">
        <f>IF(R59&gt;0,R259/R59,0)</f>
        <v>0</v>
      </c>
      <c r="S959" s="8">
        <f>IF(S59&gt;0,S259/S59,0)</f>
        <v>0</v>
      </c>
    </row>
    <row r="960">
      <c r="A960" s="16" t="s">
        <v>372</v>
      </c>
      <c r="B960" s="2" t="s">
        <v>365</v>
      </c>
      <c r="C960" s="8">
        <f>IF(C60&gt;0,C260/C60,0)</f>
        <v>0</v>
      </c>
      <c r="D960" s="8">
        <f>IF(D60&gt;0,D260/D60,0)</f>
        <v>0</v>
      </c>
      <c r="E960" s="8">
        <f>IF(E60&gt;0,E260/E60,0)</f>
        <v>0</v>
      </c>
      <c r="F960" s="8">
        <f>IF(F60&gt;0,F260/F60,0)</f>
        <v>0</v>
      </c>
      <c r="G960" s="8">
        <f>IF(G60&gt;0,G260/G60,0)</f>
        <v>0</v>
      </c>
      <c r="H960" s="8">
        <f>IF(H60&gt;0,H260/H60,0)</f>
        <v>0</v>
      </c>
      <c r="I960" s="8">
        <f>IF(I60&gt;0,I260/I60,0)</f>
        <v>0</v>
      </c>
      <c r="J960" s="8">
        <f>IF(J60&gt;0,J260/J60,0)</f>
        <v>0</v>
      </c>
      <c r="K960" s="8">
        <f>IF(K60&gt;0,K260/K60,0)</f>
        <v>0</v>
      </c>
      <c r="L960" s="8">
        <f>IF(L60&gt;0,L260/L60,0)</f>
        <v>0</v>
      </c>
      <c r="M960" s="8">
        <f>IF(M60&gt;0,M260/M60,0)</f>
        <v>0</v>
      </c>
      <c r="N960" s="8">
        <f>IF(N60&gt;0,N260/N60,0)</f>
        <v>0</v>
      </c>
      <c r="O960" s="8">
        <f>IF(O60&gt;0,O260/O60,0)</f>
        <v>0</v>
      </c>
      <c r="P960" s="8">
        <f>IF(P60&gt;0,P260/P60,0)</f>
        <v>0</v>
      </c>
      <c r="Q960" s="8">
        <f>IF(Q60&gt;0,Q260/Q60,0)</f>
        <v>0</v>
      </c>
      <c r="R960" s="8">
        <f>IF(R60&gt;0,R260/R60,0)</f>
        <v>0</v>
      </c>
      <c r="S960" s="8">
        <f>IF(S60&gt;0,S260/S60,0)</f>
        <v>0</v>
      </c>
    </row>
    <row r="961">
      <c r="A961" s="16" t="s">
        <v>373</v>
      </c>
      <c r="B961" s="2" t="s">
        <v>365</v>
      </c>
      <c r="C961" s="8">
        <f>IF(C61&gt;0,C261/C61,0)</f>
        <v>0</v>
      </c>
      <c r="D961" s="8">
        <f>IF(D61&gt;0,D261/D61,0)</f>
        <v>0</v>
      </c>
      <c r="E961" s="8">
        <f>IF(E61&gt;0,E261/E61,0)</f>
        <v>0</v>
      </c>
      <c r="F961" s="8">
        <f>IF(F61&gt;0,F261/F61,0)</f>
        <v>0</v>
      </c>
      <c r="G961" s="8">
        <f>IF(G61&gt;0,G261/G61,0)</f>
        <v>0</v>
      </c>
      <c r="H961" s="8">
        <f>IF(H61&gt;0,H261/H61,0)</f>
        <v>0</v>
      </c>
      <c r="I961" s="8">
        <f>IF(I61&gt;0,I261/I61,0)</f>
        <v>0</v>
      </c>
      <c r="J961" s="8">
        <f>IF(J61&gt;0,J261/J61,0)</f>
        <v>0</v>
      </c>
      <c r="K961" s="8">
        <f>IF(K61&gt;0,K261/K61,0)</f>
        <v>0</v>
      </c>
      <c r="L961" s="8">
        <f>IF(L61&gt;0,L261/L61,0)</f>
        <v>0</v>
      </c>
      <c r="M961" s="8">
        <f>IF(M61&gt;0,M261/M61,0)</f>
        <v>0</v>
      </c>
      <c r="N961" s="8">
        <f>IF(N61&gt;0,N261/N61,0)</f>
        <v>0</v>
      </c>
      <c r="O961" s="8">
        <f>IF(O61&gt;0,O261/O61,0)</f>
        <v>0</v>
      </c>
      <c r="P961" s="8">
        <f>IF(P61&gt;0,P261/P61,0)</f>
        <v>0</v>
      </c>
      <c r="Q961" s="8">
        <f>IF(Q61&gt;0,Q261/Q61,0)</f>
        <v>0</v>
      </c>
      <c r="R961" s="8">
        <f>IF(R61&gt;0,R261/R61,0)</f>
        <v>0</v>
      </c>
      <c r="S961" s="8">
        <f>IF(S61&gt;0,S261/S61,0)</f>
        <v>0</v>
      </c>
    </row>
    <row r="962">
      <c r="A962" s="16" t="s">
        <v>374</v>
      </c>
      <c r="B962" s="2" t="s">
        <v>365</v>
      </c>
      <c r="C962" s="8">
        <f>IF(C62&gt;0,C262/C62,0)</f>
        <v>0</v>
      </c>
      <c r="D962" s="8">
        <f>IF(D62&gt;0,D262/D62,0)</f>
        <v>0</v>
      </c>
      <c r="E962" s="8">
        <f>IF(E62&gt;0,E262/E62,0)</f>
        <v>0</v>
      </c>
      <c r="F962" s="8">
        <f>IF(F62&gt;0,F262/F62,0)</f>
        <v>0</v>
      </c>
      <c r="G962" s="8">
        <f>IF(G62&gt;0,G262/G62,0)</f>
        <v>0</v>
      </c>
      <c r="H962" s="8">
        <f>IF(H62&gt;0,H262/H62,0)</f>
        <v>0</v>
      </c>
      <c r="I962" s="8">
        <f>IF(I62&gt;0,I262/I62,0)</f>
        <v>0</v>
      </c>
      <c r="J962" s="8">
        <f>IF(J62&gt;0,J262/J62,0)</f>
        <v>0</v>
      </c>
      <c r="K962" s="8">
        <f>IF(K62&gt;0,K262/K62,0)</f>
        <v>0</v>
      </c>
      <c r="L962" s="8">
        <f>IF(L62&gt;0,L262/L62,0)</f>
        <v>0</v>
      </c>
      <c r="M962" s="8">
        <f>IF(M62&gt;0,M262/M62,0)</f>
        <v>0</v>
      </c>
      <c r="N962" s="8">
        <f>IF(N62&gt;0,N262/N62,0)</f>
        <v>0</v>
      </c>
      <c r="O962" s="8">
        <f>IF(O62&gt;0,O262/O62,0)</f>
        <v>0</v>
      </c>
      <c r="P962" s="8">
        <f>IF(P62&gt;0,P262/P62,0)</f>
        <v>0</v>
      </c>
      <c r="Q962" s="8">
        <f>IF(Q62&gt;0,Q262/Q62,0)</f>
        <v>0</v>
      </c>
      <c r="R962" s="8">
        <f>IF(R62&gt;0,R262/R62,0)</f>
        <v>0</v>
      </c>
      <c r="S962" s="8">
        <f>IF(S62&gt;0,S262/S62,0)</f>
        <v>0</v>
      </c>
    </row>
    <row r="963">
      <c r="A963" s="16" t="s">
        <v>375</v>
      </c>
      <c r="B963" s="2" t="s">
        <v>365</v>
      </c>
      <c r="C963" s="8">
        <f>IF(C63&gt;0,C263/C63,0)</f>
        <v>0</v>
      </c>
      <c r="D963" s="8">
        <f>IF(D63&gt;0,D263/D63,0)</f>
        <v>0</v>
      </c>
      <c r="E963" s="8">
        <f>IF(E63&gt;0,E263/E63,0)</f>
        <v>0</v>
      </c>
      <c r="F963" s="8">
        <f>IF(F63&gt;0,F263/F63,0)</f>
        <v>0</v>
      </c>
      <c r="G963" s="8">
        <f>IF(G63&gt;0,G263/G63,0)</f>
        <v>0</v>
      </c>
      <c r="H963" s="8">
        <f>IF(H63&gt;0,H263/H63,0)</f>
        <v>0</v>
      </c>
      <c r="I963" s="8">
        <f>IF(I63&gt;0,I263/I63,0)</f>
        <v>0</v>
      </c>
      <c r="J963" s="8">
        <f>IF(J63&gt;0,J263/J63,0)</f>
        <v>0</v>
      </c>
      <c r="K963" s="8">
        <f>IF(K63&gt;0,K263/K63,0)</f>
        <v>0</v>
      </c>
      <c r="L963" s="8">
        <f>IF(L63&gt;0,L263/L63,0)</f>
        <v>0</v>
      </c>
      <c r="M963" s="8">
        <f>IF(M63&gt;0,M263/M63,0)</f>
        <v>0</v>
      </c>
      <c r="N963" s="8">
        <f>IF(N63&gt;0,N263/N63,0)</f>
        <v>0</v>
      </c>
      <c r="O963" s="8">
        <f>IF(O63&gt;0,O263/O63,0)</f>
        <v>0</v>
      </c>
      <c r="P963" s="8">
        <f>IF(P63&gt;0,P263/P63,0)</f>
        <v>0</v>
      </c>
      <c r="Q963" s="8">
        <f>IF(Q63&gt;0,Q263/Q63,0)</f>
        <v>0</v>
      </c>
      <c r="R963" s="8">
        <f>IF(R63&gt;0,R263/R63,0)</f>
        <v>0</v>
      </c>
      <c r="S963" s="8">
        <f>IF(S63&gt;0,S263/S63,0)</f>
        <v>0</v>
      </c>
    </row>
    <row r="964">
      <c r="A964" s="16" t="s">
        <v>376</v>
      </c>
      <c r="B964" s="2" t="s">
        <v>365</v>
      </c>
      <c r="C964" s="8">
        <f>IF(C64&gt;0,C264/C64,0)</f>
        <v>0</v>
      </c>
      <c r="D964" s="8">
        <f>IF(D64&gt;0,D264/D64,0)</f>
        <v>0</v>
      </c>
      <c r="E964" s="8">
        <f>IF(E64&gt;0,E264/E64,0)</f>
        <v>0</v>
      </c>
      <c r="F964" s="8">
        <f>IF(F64&gt;0,F264/F64,0)</f>
        <v>0</v>
      </c>
      <c r="G964" s="8">
        <f>IF(G64&gt;0,G264/G64,0)</f>
        <v>0</v>
      </c>
      <c r="H964" s="8">
        <f>IF(H64&gt;0,H264/H64,0)</f>
        <v>0</v>
      </c>
      <c r="I964" s="8">
        <f>IF(I64&gt;0,I264/I64,0)</f>
        <v>0</v>
      </c>
      <c r="J964" s="8">
        <f>IF(J64&gt;0,J264/J64,0)</f>
        <v>0</v>
      </c>
      <c r="K964" s="8">
        <f>IF(K64&gt;0,K264/K64,0)</f>
        <v>0</v>
      </c>
      <c r="L964" s="8">
        <f>IF(L64&gt;0,L264/L64,0)</f>
        <v>0</v>
      </c>
      <c r="M964" s="8">
        <f>IF(M64&gt;0,M264/M64,0)</f>
        <v>0</v>
      </c>
      <c r="N964" s="8">
        <f>IF(N64&gt;0,N264/N64,0)</f>
        <v>0</v>
      </c>
      <c r="O964" s="8">
        <f>IF(O64&gt;0,O264/O64,0)</f>
        <v>0</v>
      </c>
      <c r="P964" s="8">
        <f>IF(P64&gt;0,P264/P64,0)</f>
        <v>0</v>
      </c>
      <c r="Q964" s="8">
        <f>IF(Q64&gt;0,Q264/Q64,0)</f>
        <v>0</v>
      </c>
      <c r="R964" s="8">
        <f>IF(R64&gt;0,R264/R64,0)</f>
        <v>0</v>
      </c>
      <c r="S964" s="8">
        <f>IF(S64&gt;0,S264/S64,0)</f>
        <v>0</v>
      </c>
    </row>
    <row r="965">
      <c r="A965" s="16" t="s">
        <v>377</v>
      </c>
      <c r="B965" s="2" t="s">
        <v>365</v>
      </c>
      <c r="C965" s="8">
        <f>IF(C65&gt;0,C265/C65,0)</f>
        <v>0</v>
      </c>
      <c r="D965" s="8">
        <f>IF(D65&gt;0,D265/D65,0)</f>
        <v>0</v>
      </c>
      <c r="E965" s="8">
        <f>IF(E65&gt;0,E265/E65,0)</f>
        <v>0</v>
      </c>
      <c r="F965" s="8">
        <f>IF(F65&gt;0,F265/F65,0)</f>
        <v>0</v>
      </c>
      <c r="G965" s="8">
        <f>IF(G65&gt;0,G265/G65,0)</f>
        <v>0</v>
      </c>
      <c r="H965" s="8">
        <f>IF(H65&gt;0,H265/H65,0)</f>
        <v>0</v>
      </c>
      <c r="I965" s="8">
        <f>IF(I65&gt;0,I265/I65,0)</f>
        <v>0</v>
      </c>
      <c r="J965" s="8">
        <f>IF(J65&gt;0,J265/J65,0)</f>
        <v>0</v>
      </c>
      <c r="K965" s="8">
        <f>IF(K65&gt;0,K265/K65,0)</f>
        <v>0</v>
      </c>
      <c r="L965" s="8">
        <f>IF(L65&gt;0,L265/L65,0)</f>
        <v>0</v>
      </c>
      <c r="M965" s="8">
        <f>IF(M65&gt;0,M265/M65,0)</f>
        <v>0</v>
      </c>
      <c r="N965" s="8">
        <f>IF(N65&gt;0,N265/N65,0)</f>
        <v>0</v>
      </c>
      <c r="O965" s="8">
        <f>IF(O65&gt;0,O265/O65,0)</f>
        <v>0</v>
      </c>
      <c r="P965" s="8">
        <f>IF(P65&gt;0,P265/P65,0)</f>
        <v>0</v>
      </c>
      <c r="Q965" s="8">
        <f>IF(Q65&gt;0,Q265/Q65,0)</f>
        <v>0</v>
      </c>
      <c r="R965" s="8">
        <f>IF(R65&gt;0,R265/R65,0)</f>
        <v>0</v>
      </c>
      <c r="S965" s="8">
        <f>IF(S65&gt;0,S265/S65,0)</f>
        <v>0</v>
      </c>
    </row>
    <row r="966">
      <c r="A966" s="16" t="s">
        <v>378</v>
      </c>
      <c r="B966" s="2" t="s">
        <v>365</v>
      </c>
      <c r="C966" s="8">
        <f>IF(C66&gt;0,C266/C66,0)</f>
        <v>0</v>
      </c>
      <c r="D966" s="8">
        <f>IF(D66&gt;0,D266/D66,0)</f>
        <v>0</v>
      </c>
      <c r="E966" s="8">
        <f>IF(E66&gt;0,E266/E66,0)</f>
        <v>0</v>
      </c>
      <c r="F966" s="8">
        <f>IF(F66&gt;0,F266/F66,0)</f>
        <v>0</v>
      </c>
      <c r="G966" s="8">
        <f>IF(G66&gt;0,G266/G66,0)</f>
        <v>0</v>
      </c>
      <c r="H966" s="8">
        <f>IF(H66&gt;0,H266/H66,0)</f>
        <v>0</v>
      </c>
      <c r="I966" s="8">
        <f>IF(I66&gt;0,I266/I66,0)</f>
        <v>0</v>
      </c>
      <c r="J966" s="8">
        <f>IF(J66&gt;0,J266/J66,0)</f>
        <v>0</v>
      </c>
      <c r="K966" s="8">
        <f>IF(K66&gt;0,K266/K66,0)</f>
        <v>0</v>
      </c>
      <c r="L966" s="8">
        <f>IF(L66&gt;0,L266/L66,0)</f>
        <v>0</v>
      </c>
      <c r="M966" s="8">
        <f>IF(M66&gt;0,M266/M66,0)</f>
        <v>0</v>
      </c>
      <c r="N966" s="8">
        <f>IF(N66&gt;0,N266/N66,0)</f>
        <v>0</v>
      </c>
      <c r="O966" s="8">
        <f>IF(O66&gt;0,O266/O66,0)</f>
        <v>0</v>
      </c>
      <c r="P966" s="8">
        <f>IF(P66&gt;0,P266/P66,0)</f>
        <v>0</v>
      </c>
      <c r="Q966" s="8">
        <f>IF(Q66&gt;0,Q266/Q66,0)</f>
        <v>0</v>
      </c>
      <c r="R966" s="8">
        <f>IF(R66&gt;0,R266/R66,0)</f>
        <v>0</v>
      </c>
      <c r="S966" s="8">
        <f>IF(S66&gt;0,S266/S66,0)</f>
        <v>0</v>
      </c>
    </row>
    <row r="967">
      <c r="A967" s="16" t="s">
        <v>379</v>
      </c>
      <c r="B967" s="2" t="s">
        <v>365</v>
      </c>
      <c r="C967" s="8">
        <f>IF(C67&gt;0,C267/C67,0)</f>
        <v>0</v>
      </c>
      <c r="D967" s="8">
        <f>IF(D67&gt;0,D267/D67,0)</f>
        <v>0</v>
      </c>
      <c r="E967" s="8">
        <f>IF(E67&gt;0,E267/E67,0)</f>
        <v>0</v>
      </c>
      <c r="F967" s="8">
        <f>IF(F67&gt;0,F267/F67,0)</f>
        <v>0</v>
      </c>
      <c r="G967" s="8">
        <f>IF(G67&gt;0,G267/G67,0)</f>
        <v>0</v>
      </c>
      <c r="H967" s="8">
        <f>IF(H67&gt;0,H267/H67,0)</f>
        <v>0</v>
      </c>
      <c r="I967" s="8">
        <f>IF(I67&gt;0,I267/I67,0)</f>
        <v>0</v>
      </c>
      <c r="J967" s="8">
        <f>IF(J67&gt;0,J267/J67,0)</f>
        <v>0</v>
      </c>
      <c r="K967" s="8">
        <f>IF(K67&gt;0,K267/K67,0)</f>
        <v>0</v>
      </c>
      <c r="L967" s="8">
        <f>IF(L67&gt;0,L267/L67,0)</f>
        <v>0</v>
      </c>
      <c r="M967" s="8">
        <f>IF(M67&gt;0,M267/M67,0)</f>
        <v>0</v>
      </c>
      <c r="N967" s="8">
        <f>IF(N67&gt;0,N267/N67,0)</f>
        <v>0</v>
      </c>
      <c r="O967" s="8">
        <f>IF(O67&gt;0,O267/O67,0)</f>
        <v>0</v>
      </c>
      <c r="P967" s="8">
        <f>IF(P67&gt;0,P267/P67,0)</f>
        <v>0</v>
      </c>
      <c r="Q967" s="8">
        <f>IF(Q67&gt;0,Q267/Q67,0)</f>
        <v>0</v>
      </c>
      <c r="R967" s="8">
        <f>IF(R67&gt;0,R267/R67,0)</f>
        <v>0</v>
      </c>
      <c r="S967" s="8">
        <f>IF(S67&gt;0,S267/S67,0)</f>
        <v>0</v>
      </c>
    </row>
    <row r="968">
      <c r="A968" s="16" t="s">
        <v>380</v>
      </c>
      <c r="B968" s="2" t="s">
        <v>365</v>
      </c>
      <c r="C968" s="8">
        <f>IF(C68&gt;0,C268/C68,0)</f>
        <v>0</v>
      </c>
      <c r="D968" s="8">
        <f>IF(D68&gt;0,D268/D68,0)</f>
        <v>0</v>
      </c>
      <c r="E968" s="8">
        <f>IF(E68&gt;0,E268/E68,0)</f>
        <v>0</v>
      </c>
      <c r="F968" s="8">
        <f>IF(F68&gt;0,F268/F68,0)</f>
        <v>0</v>
      </c>
      <c r="G968" s="8">
        <f>IF(G68&gt;0,G268/G68,0)</f>
        <v>0</v>
      </c>
      <c r="H968" s="8">
        <f>IF(H68&gt;0,H268/H68,0)</f>
        <v>0</v>
      </c>
      <c r="I968" s="8">
        <f>IF(I68&gt;0,I268/I68,0)</f>
        <v>0</v>
      </c>
      <c r="J968" s="8">
        <f>IF(J68&gt;0,J268/J68,0)</f>
        <v>0</v>
      </c>
      <c r="K968" s="8">
        <f>IF(K68&gt;0,K268/K68,0)</f>
        <v>0</v>
      </c>
      <c r="L968" s="8">
        <f>IF(L68&gt;0,L268/L68,0)</f>
        <v>0</v>
      </c>
      <c r="M968" s="8">
        <f>IF(M68&gt;0,M268/M68,0)</f>
        <v>0</v>
      </c>
      <c r="N968" s="8">
        <f>IF(N68&gt;0,N268/N68,0)</f>
        <v>0</v>
      </c>
      <c r="O968" s="8">
        <f>IF(O68&gt;0,O268/O68,0)</f>
        <v>0</v>
      </c>
      <c r="P968" s="8">
        <f>IF(P68&gt;0,P268/P68,0)</f>
        <v>0</v>
      </c>
      <c r="Q968" s="8">
        <f>IF(Q68&gt;0,Q268/Q68,0)</f>
        <v>0</v>
      </c>
      <c r="R968" s="8">
        <f>IF(R68&gt;0,R268/R68,0)</f>
        <v>0</v>
      </c>
      <c r="S968" s="8">
        <f>IF(S68&gt;0,S268/S68,0)</f>
        <v>0</v>
      </c>
    </row>
    <row r="969">
      <c r="A969" s="16" t="s">
        <v>381</v>
      </c>
      <c r="B969" s="2" t="s">
        <v>365</v>
      </c>
      <c r="C969" s="8">
        <f>IF(C69&gt;0,C269/C69,0)</f>
        <v>0</v>
      </c>
      <c r="D969" s="8">
        <f>IF(D69&gt;0,D269/D69,0)</f>
        <v>0</v>
      </c>
      <c r="E969" s="8">
        <f>IF(E69&gt;0,E269/E69,0)</f>
        <v>0</v>
      </c>
      <c r="F969" s="8">
        <f>IF(F69&gt;0,F269/F69,0)</f>
        <v>0</v>
      </c>
      <c r="G969" s="8">
        <f>IF(G69&gt;0,G269/G69,0)</f>
        <v>0</v>
      </c>
      <c r="H969" s="8">
        <f>IF(H69&gt;0,H269/H69,0)</f>
        <v>0</v>
      </c>
      <c r="I969" s="8">
        <f>IF(I69&gt;0,I269/I69,0)</f>
        <v>0</v>
      </c>
      <c r="J969" s="8">
        <f>IF(J69&gt;0,J269/J69,0)</f>
        <v>0</v>
      </c>
      <c r="K969" s="8">
        <f>IF(K69&gt;0,K269/K69,0)</f>
        <v>0</v>
      </c>
      <c r="L969" s="8">
        <f>IF(L69&gt;0,L269/L69,0)</f>
        <v>0</v>
      </c>
      <c r="M969" s="8">
        <f>IF(M69&gt;0,M269/M69,0)</f>
        <v>0</v>
      </c>
      <c r="N969" s="8">
        <f>IF(N69&gt;0,N269/N69,0)</f>
        <v>0</v>
      </c>
      <c r="O969" s="8">
        <f>IF(O69&gt;0,O269/O69,0)</f>
        <v>0</v>
      </c>
      <c r="P969" s="8">
        <f>IF(P69&gt;0,P269/P69,0)</f>
        <v>0</v>
      </c>
      <c r="Q969" s="8">
        <f>IF(Q69&gt;0,Q269/Q69,0)</f>
        <v>0</v>
      </c>
      <c r="R969" s="8">
        <f>IF(R69&gt;0,R269/R69,0)</f>
        <v>0</v>
      </c>
      <c r="S969" s="8">
        <f>IF(S69&gt;0,S269/S69,0)</f>
        <v>0</v>
      </c>
    </row>
    <row r="970">
      <c r="A970" s="16" t="s">
        <v>382</v>
      </c>
      <c r="B970" s="2" t="s">
        <v>365</v>
      </c>
      <c r="C970" s="8">
        <f>IF(C70&gt;0,C270/C70,0)</f>
        <v>0</v>
      </c>
      <c r="D970" s="8">
        <f>IF(D70&gt;0,D270/D70,0)</f>
        <v>0</v>
      </c>
      <c r="E970" s="8">
        <f>IF(E70&gt;0,E270/E70,0)</f>
        <v>0</v>
      </c>
      <c r="F970" s="8">
        <f>IF(F70&gt;0,F270/F70,0)</f>
        <v>0</v>
      </c>
      <c r="G970" s="8">
        <f>IF(G70&gt;0,G270/G70,0)</f>
        <v>0</v>
      </c>
      <c r="H970" s="8">
        <f>IF(H70&gt;0,H270/H70,0)</f>
        <v>0</v>
      </c>
      <c r="I970" s="8">
        <f>IF(I70&gt;0,I270/I70,0)</f>
        <v>0</v>
      </c>
      <c r="J970" s="8">
        <f>IF(J70&gt;0,J270/J70,0)</f>
        <v>0</v>
      </c>
      <c r="K970" s="8">
        <f>IF(K70&gt;0,K270/K70,0)</f>
        <v>0</v>
      </c>
      <c r="L970" s="8">
        <f>IF(L70&gt;0,L270/L70,0)</f>
        <v>0</v>
      </c>
      <c r="M970" s="8">
        <f>IF(M70&gt;0,M270/M70,0)</f>
        <v>0</v>
      </c>
      <c r="N970" s="8">
        <f>IF(N70&gt;0,N270/N70,0)</f>
        <v>0</v>
      </c>
      <c r="O970" s="8">
        <f>IF(O70&gt;0,O270/O70,0)</f>
        <v>0</v>
      </c>
      <c r="P970" s="8">
        <f>IF(P70&gt;0,P270/P70,0)</f>
        <v>0</v>
      </c>
      <c r="Q970" s="8">
        <f>IF(Q70&gt;0,Q270/Q70,0)</f>
        <v>0</v>
      </c>
      <c r="R970" s="8">
        <f>IF(R70&gt;0,R270/R70,0)</f>
        <v>0</v>
      </c>
      <c r="S970" s="8">
        <f>IF(S70&gt;0,S270/S70,0)</f>
        <v>0</v>
      </c>
    </row>
    <row r="971">
      <c r="A971" s="16" t="s">
        <v>383</v>
      </c>
      <c r="B971" s="2" t="s">
        <v>365</v>
      </c>
      <c r="C971" s="8">
        <f>IF(C71&gt;0,C271/C71,0)</f>
        <v>0</v>
      </c>
      <c r="D971" s="8">
        <f>IF(D71&gt;0,D271/D71,0)</f>
        <v>0</v>
      </c>
      <c r="E971" s="8">
        <f>IF(E71&gt;0,E271/E71,0)</f>
        <v>0</v>
      </c>
      <c r="F971" s="8">
        <f>IF(F71&gt;0,F271/F71,0)</f>
        <v>0</v>
      </c>
      <c r="G971" s="8">
        <f>IF(G71&gt;0,G271/G71,0)</f>
        <v>0</v>
      </c>
      <c r="H971" s="8">
        <f>IF(H71&gt;0,H271/H71,0)</f>
        <v>0</v>
      </c>
      <c r="I971" s="8">
        <f>IF(I71&gt;0,I271/I71,0)</f>
        <v>0</v>
      </c>
      <c r="J971" s="8">
        <f>IF(J71&gt;0,J271/J71,0)</f>
        <v>0</v>
      </c>
      <c r="K971" s="8">
        <f>IF(K71&gt;0,K271/K71,0)</f>
        <v>0</v>
      </c>
      <c r="L971" s="8">
        <f>IF(L71&gt;0,L271/L71,0)</f>
        <v>0</v>
      </c>
      <c r="M971" s="8">
        <f>IF(M71&gt;0,M271/M71,0)</f>
        <v>0</v>
      </c>
      <c r="N971" s="8">
        <f>IF(N71&gt;0,N271/N71,0)</f>
        <v>0</v>
      </c>
      <c r="O971" s="8">
        <f>IF(O71&gt;0,O271/O71,0)</f>
        <v>0</v>
      </c>
      <c r="P971" s="8">
        <f>IF(P71&gt;0,P271/P71,0)</f>
        <v>0</v>
      </c>
      <c r="Q971" s="8">
        <f>IF(Q71&gt;0,Q271/Q71,0)</f>
        <v>0</v>
      </c>
      <c r="R971" s="8">
        <f>IF(R71&gt;0,R271/R71,0)</f>
        <v>0</v>
      </c>
      <c r="S971" s="8">
        <f>IF(S71&gt;0,S271/S71,0)</f>
        <v>0</v>
      </c>
    </row>
    <row r="972">
      <c r="A972" s="16" t="s">
        <v>384</v>
      </c>
      <c r="B972" s="2" t="s">
        <v>365</v>
      </c>
      <c r="C972" s="8">
        <f>IF(C72&gt;0,C272/C72,0)</f>
        <v>0</v>
      </c>
      <c r="D972" s="8">
        <f>IF(D72&gt;0,D272/D72,0)</f>
        <v>0</v>
      </c>
      <c r="E972" s="8">
        <f>IF(E72&gt;0,E272/E72,0)</f>
        <v>0</v>
      </c>
      <c r="F972" s="8">
        <f>IF(F72&gt;0,F272/F72,0)</f>
        <v>0</v>
      </c>
      <c r="G972" s="8">
        <f>IF(G72&gt;0,G272/G72,0)</f>
        <v>0</v>
      </c>
      <c r="H972" s="8">
        <f>IF(H72&gt;0,H272/H72,0)</f>
        <v>0</v>
      </c>
      <c r="I972" s="8">
        <f>IF(I72&gt;0,I272/I72,0)</f>
        <v>0</v>
      </c>
      <c r="J972" s="8">
        <f>IF(J72&gt;0,J272/J72,0)</f>
        <v>0</v>
      </c>
      <c r="K972" s="8">
        <f>IF(K72&gt;0,K272/K72,0)</f>
        <v>0</v>
      </c>
      <c r="L972" s="8">
        <f>IF(L72&gt;0,L272/L72,0)</f>
        <v>0</v>
      </c>
      <c r="M972" s="8">
        <f>IF(M72&gt;0,M272/M72,0)</f>
        <v>0</v>
      </c>
      <c r="N972" s="8">
        <f>IF(N72&gt;0,N272/N72,0)</f>
        <v>0</v>
      </c>
      <c r="O972" s="8">
        <f>IF(O72&gt;0,O272/O72,0)</f>
        <v>0</v>
      </c>
      <c r="P972" s="8">
        <f>IF(P72&gt;0,P272/P72,0)</f>
        <v>0</v>
      </c>
      <c r="Q972" s="8">
        <f>IF(Q72&gt;0,Q272/Q72,0)</f>
        <v>0</v>
      </c>
      <c r="R972" s="8">
        <f>IF(R72&gt;0,R272/R72,0)</f>
        <v>0</v>
      </c>
      <c r="S972" s="8">
        <f>IF(S72&gt;0,S272/S72,0)</f>
        <v>0</v>
      </c>
    </row>
    <row r="973">
      <c r="A973" s="16" t="s">
        <v>385</v>
      </c>
      <c r="B973" s="2" t="s">
        <v>365</v>
      </c>
      <c r="C973" s="8">
        <f>IF(C73&gt;0,C273/C73,0)</f>
        <v>0</v>
      </c>
      <c r="D973" s="8">
        <f>IF(D73&gt;0,D273/D73,0)</f>
        <v>0</v>
      </c>
      <c r="E973" s="8">
        <f>IF(E73&gt;0,E273/E73,0)</f>
        <v>0</v>
      </c>
      <c r="F973" s="8">
        <f>IF(F73&gt;0,F273/F73,0)</f>
        <v>0</v>
      </c>
      <c r="G973" s="8">
        <f>IF(G73&gt;0,G273/G73,0)</f>
        <v>0</v>
      </c>
      <c r="H973" s="8">
        <f>IF(H73&gt;0,H273/H73,0)</f>
        <v>0</v>
      </c>
      <c r="I973" s="8">
        <f>IF(I73&gt;0,I273/I73,0)</f>
        <v>0</v>
      </c>
      <c r="J973" s="8">
        <f>IF(J73&gt;0,J273/J73,0)</f>
        <v>0</v>
      </c>
      <c r="K973" s="8">
        <f>IF(K73&gt;0,K273/K73,0)</f>
        <v>0</v>
      </c>
      <c r="L973" s="8">
        <f>IF(L73&gt;0,L273/L73,0)</f>
        <v>0</v>
      </c>
      <c r="M973" s="8">
        <f>IF(M73&gt;0,M273/M73,0)</f>
        <v>0</v>
      </c>
      <c r="N973" s="8">
        <f>IF(N73&gt;0,N273/N73,0)</f>
        <v>0</v>
      </c>
      <c r="O973" s="8">
        <f>IF(O73&gt;0,O273/O73,0)</f>
        <v>0</v>
      </c>
      <c r="P973" s="8">
        <f>IF(P73&gt;0,P273/P73,0)</f>
        <v>0</v>
      </c>
      <c r="Q973" s="8">
        <f>IF(Q73&gt;0,Q273/Q73,0)</f>
        <v>0</v>
      </c>
      <c r="R973" s="8">
        <f>IF(R73&gt;0,R273/R73,0)</f>
        <v>0</v>
      </c>
      <c r="S973" s="8">
        <f>IF(S73&gt;0,S273/S73,0)</f>
        <v>0</v>
      </c>
    </row>
    <row r="974">
      <c r="A974" s="16" t="s">
        <v>386</v>
      </c>
      <c r="B974" s="2" t="s">
        <v>365</v>
      </c>
      <c r="C974" s="8">
        <f>IF(C74&gt;0,C274/C74,0)</f>
        <v>0</v>
      </c>
      <c r="D974" s="8">
        <f>IF(D74&gt;0,D274/D74,0)</f>
        <v>0</v>
      </c>
      <c r="E974" s="8">
        <f>IF(E74&gt;0,E274/E74,0)</f>
        <v>0</v>
      </c>
      <c r="F974" s="8">
        <f>IF(F74&gt;0,F274/F74,0)</f>
        <v>0</v>
      </c>
      <c r="G974" s="8">
        <f>IF(G74&gt;0,G274/G74,0)</f>
        <v>0</v>
      </c>
      <c r="H974" s="8">
        <f>IF(H74&gt;0,H274/H74,0)</f>
        <v>0</v>
      </c>
      <c r="I974" s="8">
        <f>IF(I74&gt;0,I274/I74,0)</f>
        <v>0</v>
      </c>
      <c r="J974" s="8">
        <f>IF(J74&gt;0,J274/J74,0)</f>
        <v>0</v>
      </c>
      <c r="K974" s="8">
        <f>IF(K74&gt;0,K274/K74,0)</f>
        <v>0</v>
      </c>
      <c r="L974" s="8">
        <f>IF(L74&gt;0,L274/L74,0)</f>
        <v>0</v>
      </c>
      <c r="M974" s="8">
        <f>IF(M74&gt;0,M274/M74,0)</f>
        <v>0</v>
      </c>
      <c r="N974" s="8">
        <f>IF(N74&gt;0,N274/N74,0)</f>
        <v>0</v>
      </c>
      <c r="O974" s="8">
        <f>IF(O74&gt;0,O274/O74,0)</f>
        <v>0</v>
      </c>
      <c r="P974" s="8">
        <f>IF(P74&gt;0,P274/P74,0)</f>
        <v>0</v>
      </c>
      <c r="Q974" s="8">
        <f>IF(Q74&gt;0,Q274/Q74,0)</f>
        <v>0</v>
      </c>
      <c r="R974" s="8">
        <f>IF(R74&gt;0,R274/R74,0)</f>
        <v>0</v>
      </c>
      <c r="S974" s="8">
        <f>IF(S74&gt;0,S274/S74,0)</f>
        <v>0</v>
      </c>
    </row>
    <row r="975">
      <c r="A975" s="16" t="s">
        <v>387</v>
      </c>
      <c r="B975" s="2" t="s">
        <v>365</v>
      </c>
      <c r="C975" s="8">
        <f>IF(C75&gt;0,C275/C75,0)</f>
        <v>0</v>
      </c>
      <c r="D975" s="8">
        <f>IF(D75&gt;0,D275/D75,0)</f>
        <v>0</v>
      </c>
      <c r="E975" s="8">
        <f>IF(E75&gt;0,E275/E75,0)</f>
        <v>0</v>
      </c>
      <c r="F975" s="8">
        <f>IF(F75&gt;0,F275/F75,0)</f>
        <v>0</v>
      </c>
      <c r="G975" s="8">
        <f>IF(G75&gt;0,G275/G75,0)</f>
        <v>0</v>
      </c>
      <c r="H975" s="8">
        <f>IF(H75&gt;0,H275/H75,0)</f>
        <v>0</v>
      </c>
      <c r="I975" s="8">
        <f>IF(I75&gt;0,I275/I75,0)</f>
        <v>0</v>
      </c>
      <c r="J975" s="8">
        <f>IF(J75&gt;0,J275/J75,0)</f>
        <v>0</v>
      </c>
      <c r="K975" s="8">
        <f>IF(K75&gt;0,K275/K75,0)</f>
        <v>0</v>
      </c>
      <c r="L975" s="8">
        <f>IF(L75&gt;0,L275/L75,0)</f>
        <v>0</v>
      </c>
      <c r="M975" s="8">
        <f>IF(M75&gt;0,M275/M75,0)</f>
        <v>0</v>
      </c>
      <c r="N975" s="8">
        <f>IF(N75&gt;0,N275/N75,0)</f>
        <v>0</v>
      </c>
      <c r="O975" s="8">
        <f>IF(O75&gt;0,O275/O75,0)</f>
        <v>0</v>
      </c>
      <c r="P975" s="8">
        <f>IF(P75&gt;0,P275/P75,0)</f>
        <v>0</v>
      </c>
      <c r="Q975" s="8">
        <f>IF(Q75&gt;0,Q275/Q75,0)</f>
        <v>0</v>
      </c>
      <c r="R975" s="8">
        <f>IF(R75&gt;0,R275/R75,0)</f>
        <v>0</v>
      </c>
      <c r="S975" s="8">
        <f>IF(S75&gt;0,S275/S75,0)</f>
        <v>0</v>
      </c>
    </row>
    <row r="976">
      <c r="A976" s="16" t="s">
        <v>388</v>
      </c>
      <c r="B976" s="2" t="s">
        <v>365</v>
      </c>
      <c r="C976" s="8">
        <f>IF(C76&gt;0,C276/C76,0)</f>
        <v>0</v>
      </c>
      <c r="D976" s="8">
        <f>IF(D76&gt;0,D276/D76,0)</f>
        <v>0</v>
      </c>
      <c r="E976" s="8">
        <f>IF(E76&gt;0,E276/E76,0)</f>
        <v>0</v>
      </c>
      <c r="F976" s="8">
        <f>IF(F76&gt;0,F276/F76,0)</f>
        <v>0</v>
      </c>
      <c r="G976" s="8">
        <f>IF(G76&gt;0,G276/G76,0)</f>
        <v>0</v>
      </c>
      <c r="H976" s="8">
        <f>IF(H76&gt;0,H276/H76,0)</f>
        <v>0</v>
      </c>
      <c r="I976" s="8">
        <f>IF(I76&gt;0,I276/I76,0)</f>
        <v>0</v>
      </c>
      <c r="J976" s="8">
        <f>IF(J76&gt;0,J276/J76,0)</f>
        <v>0</v>
      </c>
      <c r="K976" s="8">
        <f>IF(K76&gt;0,K276/K76,0)</f>
        <v>0</v>
      </c>
      <c r="L976" s="8">
        <f>IF(L76&gt;0,L276/L76,0)</f>
        <v>0</v>
      </c>
      <c r="M976" s="8">
        <f>IF(M76&gt;0,M276/M76,0)</f>
        <v>0</v>
      </c>
      <c r="N976" s="8">
        <f>IF(N76&gt;0,N276/N76,0)</f>
        <v>0</v>
      </c>
      <c r="O976" s="8">
        <f>IF(O76&gt;0,O276/O76,0)</f>
        <v>0</v>
      </c>
      <c r="P976" s="8">
        <f>IF(P76&gt;0,P276/P76,0)</f>
        <v>0</v>
      </c>
      <c r="Q976" s="8">
        <f>IF(Q76&gt;0,Q276/Q76,0)</f>
        <v>0</v>
      </c>
      <c r="R976" s="8">
        <f>IF(R76&gt;0,R276/R76,0)</f>
        <v>0</v>
      </c>
      <c r="S976" s="8">
        <f>IF(S76&gt;0,S276/S76,0)</f>
        <v>0</v>
      </c>
    </row>
    <row r="977">
      <c r="A977" s="16" t="s">
        <v>389</v>
      </c>
      <c r="B977" s="2" t="s">
        <v>365</v>
      </c>
      <c r="C977" s="8">
        <f>IF(C77&gt;0,C277/C77,0)</f>
        <v>0</v>
      </c>
      <c r="D977" s="8">
        <f>IF(D77&gt;0,D277/D77,0)</f>
        <v>0</v>
      </c>
      <c r="E977" s="8">
        <f>IF(E77&gt;0,E277/E77,0)</f>
        <v>0</v>
      </c>
      <c r="F977" s="8">
        <f>IF(F77&gt;0,F277/F77,0)</f>
        <v>0</v>
      </c>
      <c r="G977" s="8">
        <f>IF(G77&gt;0,G277/G77,0)</f>
        <v>0</v>
      </c>
      <c r="H977" s="8">
        <f>IF(H77&gt;0,H277/H77,0)</f>
        <v>0</v>
      </c>
      <c r="I977" s="8">
        <f>IF(I77&gt;0,I277/I77,0)</f>
        <v>0</v>
      </c>
      <c r="J977" s="8">
        <f>IF(J77&gt;0,J277/J77,0)</f>
        <v>0</v>
      </c>
      <c r="K977" s="8">
        <f>IF(K77&gt;0,K277/K77,0)</f>
        <v>0</v>
      </c>
      <c r="L977" s="8">
        <f>IF(L77&gt;0,L277/L77,0)</f>
        <v>0</v>
      </c>
      <c r="M977" s="8">
        <f>IF(M77&gt;0,M277/M77,0)</f>
        <v>0</v>
      </c>
      <c r="N977" s="8">
        <f>IF(N77&gt;0,N277/N77,0)</f>
        <v>0</v>
      </c>
      <c r="O977" s="8">
        <f>IF(O77&gt;0,O277/O77,0)</f>
        <v>0</v>
      </c>
      <c r="P977" s="8">
        <f>IF(P77&gt;0,P277/P77,0)</f>
        <v>0</v>
      </c>
      <c r="Q977" s="8">
        <f>IF(Q77&gt;0,Q277/Q77,0)</f>
        <v>0</v>
      </c>
      <c r="R977" s="8">
        <f>IF(R77&gt;0,R277/R77,0)</f>
        <v>0</v>
      </c>
      <c r="S977" s="8">
        <f>IF(S77&gt;0,S277/S77,0)</f>
        <v>0</v>
      </c>
    </row>
    <row r="978">
      <c r="A978" s="16" t="s">
        <v>390</v>
      </c>
      <c r="B978" s="2" t="s">
        <v>365</v>
      </c>
      <c r="C978" s="8">
        <f>IF(C78&gt;0,C278/C78,0)</f>
        <v>0</v>
      </c>
      <c r="D978" s="8">
        <f>IF(D78&gt;0,D278/D78,0)</f>
        <v>0</v>
      </c>
      <c r="E978" s="8">
        <f>IF(E78&gt;0,E278/E78,0)</f>
        <v>0</v>
      </c>
      <c r="F978" s="8">
        <f>IF(F78&gt;0,F278/F78,0)</f>
        <v>0</v>
      </c>
      <c r="G978" s="8">
        <f>IF(G78&gt;0,G278/G78,0)</f>
        <v>0</v>
      </c>
      <c r="H978" s="8">
        <f>IF(H78&gt;0,H278/H78,0)</f>
        <v>0</v>
      </c>
      <c r="I978" s="8">
        <f>IF(I78&gt;0,I278/I78,0)</f>
        <v>0</v>
      </c>
      <c r="J978" s="8">
        <f>IF(J78&gt;0,J278/J78,0)</f>
        <v>0</v>
      </c>
      <c r="K978" s="8">
        <f>IF(K78&gt;0,K278/K78,0)</f>
        <v>0</v>
      </c>
      <c r="L978" s="8">
        <f>IF(L78&gt;0,L278/L78,0)</f>
        <v>0</v>
      </c>
      <c r="M978" s="8">
        <f>IF(M78&gt;0,M278/M78,0)</f>
        <v>0</v>
      </c>
      <c r="N978" s="8">
        <f>IF(N78&gt;0,N278/N78,0)</f>
        <v>0</v>
      </c>
      <c r="O978" s="8">
        <f>IF(O78&gt;0,O278/O78,0)</f>
        <v>0</v>
      </c>
      <c r="P978" s="8">
        <f>IF(P78&gt;0,P278/P78,0)</f>
        <v>0</v>
      </c>
      <c r="Q978" s="8">
        <f>IF(Q78&gt;0,Q278/Q78,0)</f>
        <v>0</v>
      </c>
      <c r="R978" s="8">
        <f>IF(R78&gt;0,R278/R78,0)</f>
        <v>0</v>
      </c>
      <c r="S978" s="8">
        <f>IF(S78&gt;0,S278/S78,0)</f>
        <v>0</v>
      </c>
    </row>
    <row r="979">
      <c r="A979" s="16" t="s">
        <v>391</v>
      </c>
      <c r="B979" s="2" t="s">
        <v>365</v>
      </c>
      <c r="C979" s="8">
        <f>IF(C79&gt;0,C279/C79,0)</f>
        <v>0</v>
      </c>
      <c r="D979" s="8">
        <f>IF(D79&gt;0,D279/D79,0)</f>
        <v>0</v>
      </c>
      <c r="E979" s="8">
        <f>IF(E79&gt;0,E279/E79,0)</f>
        <v>0</v>
      </c>
      <c r="F979" s="8">
        <f>IF(F79&gt;0,F279/F79,0)</f>
        <v>0</v>
      </c>
      <c r="G979" s="8">
        <f>IF(G79&gt;0,G279/G79,0)</f>
        <v>0</v>
      </c>
      <c r="H979" s="8">
        <f>IF(H79&gt;0,H279/H79,0)</f>
        <v>0</v>
      </c>
      <c r="I979" s="8">
        <f>IF(I79&gt;0,I279/I79,0)</f>
        <v>0</v>
      </c>
      <c r="J979" s="8">
        <f>IF(J79&gt;0,J279/J79,0)</f>
        <v>0</v>
      </c>
      <c r="K979" s="8">
        <f>IF(K79&gt;0,K279/K79,0)</f>
        <v>0</v>
      </c>
      <c r="L979" s="8">
        <f>IF(L79&gt;0,L279/L79,0)</f>
        <v>0</v>
      </c>
      <c r="M979" s="8">
        <f>IF(M79&gt;0,M279/M79,0)</f>
        <v>0</v>
      </c>
      <c r="N979" s="8">
        <f>IF(N79&gt;0,N279/N79,0)</f>
        <v>0</v>
      </c>
      <c r="O979" s="8">
        <f>IF(O79&gt;0,O279/O79,0)</f>
        <v>0</v>
      </c>
      <c r="P979" s="8">
        <f>IF(P79&gt;0,P279/P79,0)</f>
        <v>0</v>
      </c>
      <c r="Q979" s="8">
        <f>IF(Q79&gt;0,Q279/Q79,0)</f>
        <v>0</v>
      </c>
      <c r="R979" s="8">
        <f>IF(R79&gt;0,R279/R79,0)</f>
        <v>0</v>
      </c>
      <c r="S979" s="8">
        <f>IF(S79&gt;0,S279/S79,0)</f>
        <v>0</v>
      </c>
    </row>
    <row r="980">
      <c r="A980" s="16" t="s">
        <v>392</v>
      </c>
      <c r="B980" s="2" t="s">
        <v>365</v>
      </c>
      <c r="C980" s="8">
        <f>IF(C80&gt;0,C280/C80,0)</f>
        <v>0</v>
      </c>
      <c r="D980" s="8">
        <f>IF(D80&gt;0,D280/D80,0)</f>
        <v>0</v>
      </c>
      <c r="E980" s="8">
        <f>IF(E80&gt;0,E280/E80,0)</f>
        <v>0</v>
      </c>
      <c r="F980" s="8">
        <f>IF(F80&gt;0,F280/F80,0)</f>
        <v>0</v>
      </c>
      <c r="G980" s="8">
        <f>IF(G80&gt;0,G280/G80,0)</f>
        <v>0</v>
      </c>
      <c r="H980" s="8">
        <f>IF(H80&gt;0,H280/H80,0)</f>
        <v>0</v>
      </c>
      <c r="I980" s="8">
        <f>IF(I80&gt;0,I280/I80,0)</f>
        <v>0</v>
      </c>
      <c r="J980" s="8">
        <f>IF(J80&gt;0,J280/J80,0)</f>
        <v>0</v>
      </c>
      <c r="K980" s="8">
        <f>IF(K80&gt;0,K280/K80,0)</f>
        <v>0</v>
      </c>
      <c r="L980" s="8">
        <f>IF(L80&gt;0,L280/L80,0)</f>
        <v>0</v>
      </c>
      <c r="M980" s="8">
        <f>IF(M80&gt;0,M280/M80,0)</f>
        <v>0</v>
      </c>
      <c r="N980" s="8">
        <f>IF(N80&gt;0,N280/N80,0)</f>
        <v>0</v>
      </c>
      <c r="O980" s="8">
        <f>IF(O80&gt;0,O280/O80,0)</f>
        <v>0</v>
      </c>
      <c r="P980" s="8">
        <f>IF(P80&gt;0,P280/P80,0)</f>
        <v>0</v>
      </c>
      <c r="Q980" s="8">
        <f>IF(Q80&gt;0,Q280/Q80,0)</f>
        <v>0</v>
      </c>
      <c r="R980" s="8">
        <f>IF(R80&gt;0,R280/R80,0)</f>
        <v>0</v>
      </c>
      <c r="S980" s="8">
        <f>IF(S80&gt;0,S280/S80,0)</f>
        <v>0</v>
      </c>
    </row>
    <row r="981">
      <c r="A981" s="16" t="s">
        <v>393</v>
      </c>
      <c r="B981" s="2" t="s">
        <v>365</v>
      </c>
      <c r="C981" s="8">
        <f>IF(C81&gt;0,C281/C81,0)</f>
        <v>0</v>
      </c>
      <c r="D981" s="8">
        <f>IF(D81&gt;0,D281/D81,0)</f>
        <v>0</v>
      </c>
      <c r="E981" s="8">
        <f>IF(E81&gt;0,E281/E81,0)</f>
        <v>0</v>
      </c>
      <c r="F981" s="8">
        <f>IF(F81&gt;0,F281/F81,0)</f>
        <v>0</v>
      </c>
      <c r="G981" s="8">
        <f>IF(G81&gt;0,G281/G81,0)</f>
        <v>0</v>
      </c>
      <c r="H981" s="8">
        <f>IF(H81&gt;0,H281/H81,0)</f>
        <v>0</v>
      </c>
      <c r="I981" s="8">
        <f>IF(I81&gt;0,I281/I81,0)</f>
        <v>0</v>
      </c>
      <c r="J981" s="8">
        <f>IF(J81&gt;0,J281/J81,0)</f>
        <v>0</v>
      </c>
      <c r="K981" s="8">
        <f>IF(K81&gt;0,K281/K81,0)</f>
        <v>0</v>
      </c>
      <c r="L981" s="8">
        <f>IF(L81&gt;0,L281/L81,0)</f>
        <v>0</v>
      </c>
      <c r="M981" s="8">
        <f>IF(M81&gt;0,M281/M81,0)</f>
        <v>0</v>
      </c>
      <c r="N981" s="8">
        <f>IF(N81&gt;0,N281/N81,0)</f>
        <v>0</v>
      </c>
      <c r="O981" s="8">
        <f>IF(O81&gt;0,O281/O81,0)</f>
        <v>0</v>
      </c>
      <c r="P981" s="8">
        <f>IF(P81&gt;0,P281/P81,0)</f>
        <v>0</v>
      </c>
      <c r="Q981" s="8">
        <f>IF(Q81&gt;0,Q281/Q81,0)</f>
        <v>0</v>
      </c>
      <c r="R981" s="8">
        <f>IF(R81&gt;0,R281/R81,0)</f>
        <v>0</v>
      </c>
      <c r="S981" s="8">
        <f>IF(S81&gt;0,S281/S81,0)</f>
        <v>0</v>
      </c>
    </row>
    <row r="982">
      <c r="A982" s="16" t="s">
        <v>394</v>
      </c>
      <c r="B982" s="2" t="s">
        <v>365</v>
      </c>
      <c r="C982" s="8">
        <f>IF(C82&gt;0,C282/C82,0)</f>
        <v>0</v>
      </c>
      <c r="D982" s="8">
        <f>IF(D82&gt;0,D282/D82,0)</f>
        <v>0</v>
      </c>
      <c r="E982" s="8">
        <f>IF(E82&gt;0,E282/E82,0)</f>
        <v>0</v>
      </c>
      <c r="F982" s="8">
        <f>IF(F82&gt;0,F282/F82,0)</f>
        <v>0</v>
      </c>
      <c r="G982" s="8">
        <f>IF(G82&gt;0,G282/G82,0)</f>
        <v>0</v>
      </c>
      <c r="H982" s="8">
        <f>IF(H82&gt;0,H282/H82,0)</f>
        <v>0</v>
      </c>
      <c r="I982" s="8">
        <f>IF(I82&gt;0,I282/I82,0)</f>
        <v>0</v>
      </c>
      <c r="J982" s="8">
        <f>IF(J82&gt;0,J282/J82,0)</f>
        <v>0</v>
      </c>
      <c r="K982" s="8">
        <f>IF(K82&gt;0,K282/K82,0)</f>
        <v>0</v>
      </c>
      <c r="L982" s="8">
        <f>IF(L82&gt;0,L282/L82,0)</f>
        <v>0</v>
      </c>
      <c r="M982" s="8">
        <f>IF(M82&gt;0,M282/M82,0)</f>
        <v>0</v>
      </c>
      <c r="N982" s="8">
        <f>IF(N82&gt;0,N282/N82,0)</f>
        <v>0</v>
      </c>
      <c r="O982" s="8">
        <f>IF(O82&gt;0,O282/O82,0)</f>
        <v>0</v>
      </c>
      <c r="P982" s="8">
        <f>IF(P82&gt;0,P282/P82,0)</f>
        <v>0</v>
      </c>
      <c r="Q982" s="8">
        <f>IF(Q82&gt;0,Q282/Q82,0)</f>
        <v>0</v>
      </c>
      <c r="R982" s="8">
        <f>IF(R82&gt;0,R282/R82,0)</f>
        <v>0</v>
      </c>
      <c r="S982" s="8">
        <f>IF(S82&gt;0,S282/S82,0)</f>
        <v>0</v>
      </c>
    </row>
    <row r="983">
      <c r="A983" s="16" t="s">
        <v>395</v>
      </c>
      <c r="B983" s="2" t="s">
        <v>365</v>
      </c>
      <c r="C983" s="8">
        <f>IF(C83&gt;0,C283/C83,0)</f>
        <v>0</v>
      </c>
      <c r="D983" s="8">
        <f>IF(D83&gt;0,D283/D83,0)</f>
        <v>0</v>
      </c>
      <c r="E983" s="8">
        <f>IF(E83&gt;0,E283/E83,0)</f>
        <v>0</v>
      </c>
      <c r="F983" s="8">
        <f>IF(F83&gt;0,F283/F83,0)</f>
        <v>0</v>
      </c>
      <c r="G983" s="8">
        <f>IF(G83&gt;0,G283/G83,0)</f>
        <v>0</v>
      </c>
      <c r="H983" s="8">
        <f>IF(H83&gt;0,H283/H83,0)</f>
        <v>0</v>
      </c>
      <c r="I983" s="8">
        <f>IF(I83&gt;0,I283/I83,0)</f>
        <v>0</v>
      </c>
      <c r="J983" s="8">
        <f>IF(J83&gt;0,J283/J83,0)</f>
        <v>0</v>
      </c>
      <c r="K983" s="8">
        <f>IF(K83&gt;0,K283/K83,0)</f>
        <v>0</v>
      </c>
      <c r="L983" s="8">
        <f>IF(L83&gt;0,L283/L83,0)</f>
        <v>0</v>
      </c>
      <c r="M983" s="8">
        <f>IF(M83&gt;0,M283/M83,0)</f>
        <v>0</v>
      </c>
      <c r="N983" s="8">
        <f>IF(N83&gt;0,N283/N83,0)</f>
        <v>0</v>
      </c>
      <c r="O983" s="8">
        <f>IF(O83&gt;0,O283/O83,0)</f>
        <v>0</v>
      </c>
      <c r="P983" s="8">
        <f>IF(P83&gt;0,P283/P83,0)</f>
        <v>0</v>
      </c>
      <c r="Q983" s="8">
        <f>IF(Q83&gt;0,Q283/Q83,0)</f>
        <v>0</v>
      </c>
      <c r="R983" s="8">
        <f>IF(R83&gt;0,R283/R83,0)</f>
        <v>0</v>
      </c>
      <c r="S983" s="8">
        <f>IF(S83&gt;0,S283/S83,0)</f>
        <v>0</v>
      </c>
    </row>
    <row r="984">
      <c r="A984" s="16" t="s">
        <v>396</v>
      </c>
      <c r="B984" s="2" t="s">
        <v>365</v>
      </c>
      <c r="C984" s="8">
        <f>IF(C84&gt;0,C284/C84,0)</f>
        <v>0</v>
      </c>
      <c r="D984" s="8">
        <f>IF(D84&gt;0,D284/D84,0)</f>
        <v>0</v>
      </c>
      <c r="E984" s="8">
        <f>IF(E84&gt;0,E284/E84,0)</f>
        <v>0</v>
      </c>
      <c r="F984" s="8">
        <f>IF(F84&gt;0,F284/F84,0)</f>
        <v>0</v>
      </c>
      <c r="G984" s="8">
        <f>IF(G84&gt;0,G284/G84,0)</f>
        <v>0</v>
      </c>
      <c r="H984" s="8">
        <f>IF(H84&gt;0,H284/H84,0)</f>
        <v>0</v>
      </c>
      <c r="I984" s="8">
        <f>IF(I84&gt;0,I284/I84,0)</f>
        <v>0</v>
      </c>
      <c r="J984" s="8">
        <f>IF(J84&gt;0,J284/J84,0)</f>
        <v>0</v>
      </c>
      <c r="K984" s="8">
        <f>IF(K84&gt;0,K284/K84,0)</f>
        <v>0</v>
      </c>
      <c r="L984" s="8">
        <f>IF(L84&gt;0,L284/L84,0)</f>
        <v>0</v>
      </c>
      <c r="M984" s="8">
        <f>IF(M84&gt;0,M284/M84,0)</f>
        <v>0</v>
      </c>
      <c r="N984" s="8">
        <f>IF(N84&gt;0,N284/N84,0)</f>
        <v>0</v>
      </c>
      <c r="O984" s="8">
        <f>IF(O84&gt;0,O284/O84,0)</f>
        <v>0</v>
      </c>
      <c r="P984" s="8">
        <f>IF(P84&gt;0,P284/P84,0)</f>
        <v>0</v>
      </c>
      <c r="Q984" s="8">
        <f>IF(Q84&gt;0,Q284/Q84,0)</f>
        <v>0</v>
      </c>
      <c r="R984" s="8">
        <f>IF(R84&gt;0,R284/R84,0)</f>
        <v>0</v>
      </c>
      <c r="S984" s="8">
        <f>IF(S84&gt;0,S284/S84,0)</f>
        <v>0</v>
      </c>
    </row>
    <row r="985">
      <c r="A985" s="16" t="s">
        <v>397</v>
      </c>
      <c r="B985" s="2" t="s">
        <v>365</v>
      </c>
      <c r="C985" s="8">
        <f>IF(C85&gt;0,C285/C85,0)</f>
        <v>0</v>
      </c>
      <c r="D985" s="8">
        <f>IF(D85&gt;0,D285/D85,0)</f>
        <v>0</v>
      </c>
      <c r="E985" s="8">
        <f>IF(E85&gt;0,E285/E85,0)</f>
        <v>0</v>
      </c>
      <c r="F985" s="8">
        <f>IF(F85&gt;0,F285/F85,0)</f>
        <v>0</v>
      </c>
      <c r="G985" s="8">
        <f>IF(G85&gt;0,G285/G85,0)</f>
        <v>0</v>
      </c>
      <c r="H985" s="8">
        <f>IF(H85&gt;0,H285/H85,0)</f>
        <v>0</v>
      </c>
      <c r="I985" s="8">
        <f>IF(I85&gt;0,I285/I85,0)</f>
        <v>0</v>
      </c>
      <c r="J985" s="8">
        <f>IF(J85&gt;0,J285/J85,0)</f>
        <v>0</v>
      </c>
      <c r="K985" s="8">
        <f>IF(K85&gt;0,K285/K85,0)</f>
        <v>0</v>
      </c>
      <c r="L985" s="8">
        <f>IF(L85&gt;0,L285/L85,0)</f>
        <v>0</v>
      </c>
      <c r="M985" s="8">
        <f>IF(M85&gt;0,M285/M85,0)</f>
        <v>0</v>
      </c>
      <c r="N985" s="8">
        <f>IF(N85&gt;0,N285/N85,0)</f>
        <v>0</v>
      </c>
      <c r="O985" s="8">
        <f>IF(O85&gt;0,O285/O85,0)</f>
        <v>0</v>
      </c>
      <c r="P985" s="8">
        <f>IF(P85&gt;0,P285/P85,0)</f>
        <v>0</v>
      </c>
      <c r="Q985" s="8">
        <f>IF(Q85&gt;0,Q285/Q85,0)</f>
        <v>0</v>
      </c>
      <c r="R985" s="8">
        <f>IF(R85&gt;0,R285/R85,0)</f>
        <v>0</v>
      </c>
      <c r="S985" s="8">
        <f>IF(S85&gt;0,S285/S85,0)</f>
        <v>0</v>
      </c>
    </row>
    <row r="986">
      <c r="A986" s="16" t="s">
        <v>398</v>
      </c>
      <c r="B986" s="2" t="s">
        <v>365</v>
      </c>
      <c r="C986" s="8">
        <f>IF(C86&gt;0,C286/C86,0)</f>
        <v>0</v>
      </c>
      <c r="D986" s="8">
        <f>IF(D86&gt;0,D286/D86,0)</f>
        <v>0</v>
      </c>
      <c r="E986" s="8">
        <f>IF(E86&gt;0,E286/E86,0)</f>
        <v>0</v>
      </c>
      <c r="F986" s="8">
        <f>IF(F86&gt;0,F286/F86,0)</f>
        <v>0</v>
      </c>
      <c r="G986" s="8">
        <f>IF(G86&gt;0,G286/G86,0)</f>
        <v>0</v>
      </c>
      <c r="H986" s="8">
        <f>IF(H86&gt;0,H286/H86,0)</f>
        <v>0</v>
      </c>
      <c r="I986" s="8">
        <f>IF(I86&gt;0,I286/I86,0)</f>
        <v>0</v>
      </c>
      <c r="J986" s="8">
        <f>IF(J86&gt;0,J286/J86,0)</f>
        <v>0</v>
      </c>
      <c r="K986" s="8">
        <f>IF(K86&gt;0,K286/K86,0)</f>
        <v>0</v>
      </c>
      <c r="L986" s="8">
        <f>IF(L86&gt;0,L286/L86,0)</f>
        <v>0</v>
      </c>
      <c r="M986" s="8">
        <f>IF(M86&gt;0,M286/M86,0)</f>
        <v>0</v>
      </c>
      <c r="N986" s="8">
        <f>IF(N86&gt;0,N286/N86,0)</f>
        <v>0</v>
      </c>
      <c r="O986" s="8">
        <f>IF(O86&gt;0,O286/O86,0)</f>
        <v>0</v>
      </c>
      <c r="P986" s="8">
        <f>IF(P86&gt;0,P286/P86,0)</f>
        <v>0</v>
      </c>
      <c r="Q986" s="8">
        <f>IF(Q86&gt;0,Q286/Q86,0)</f>
        <v>0</v>
      </c>
      <c r="R986" s="8">
        <f>IF(R86&gt;0,R286/R86,0)</f>
        <v>0</v>
      </c>
      <c r="S986" s="8">
        <f>IF(S86&gt;0,S286/S86,0)</f>
        <v>0</v>
      </c>
    </row>
    <row r="987">
      <c r="A987" s="16" t="s">
        <v>399</v>
      </c>
      <c r="B987" s="2" t="s">
        <v>365</v>
      </c>
      <c r="C987" s="8">
        <f>IF(C87&gt;0,C287/C87,0)</f>
        <v>0</v>
      </c>
      <c r="D987" s="8">
        <f>IF(D87&gt;0,D287/D87,0)</f>
        <v>0</v>
      </c>
      <c r="E987" s="8">
        <f>IF(E87&gt;0,E287/E87,0)</f>
        <v>0</v>
      </c>
      <c r="F987" s="8">
        <f>IF(F87&gt;0,F287/F87,0)</f>
        <v>0</v>
      </c>
      <c r="G987" s="8">
        <f>IF(G87&gt;0,G287/G87,0)</f>
        <v>0</v>
      </c>
      <c r="H987" s="8">
        <f>IF(H87&gt;0,H287/H87,0)</f>
        <v>0</v>
      </c>
      <c r="I987" s="8">
        <f>IF(I87&gt;0,I287/I87,0)</f>
        <v>0</v>
      </c>
      <c r="J987" s="8">
        <f>IF(J87&gt;0,J287/J87,0)</f>
        <v>0</v>
      </c>
      <c r="K987" s="8">
        <f>IF(K87&gt;0,K287/K87,0)</f>
        <v>0</v>
      </c>
      <c r="L987" s="8">
        <f>IF(L87&gt;0,L287/L87,0)</f>
        <v>0</v>
      </c>
      <c r="M987" s="8">
        <f>IF(M87&gt;0,M287/M87,0)</f>
        <v>0</v>
      </c>
      <c r="N987" s="8">
        <f>IF(N87&gt;0,N287/N87,0)</f>
        <v>0</v>
      </c>
      <c r="O987" s="8">
        <f>IF(O87&gt;0,O287/O87,0)</f>
        <v>0</v>
      </c>
      <c r="P987" s="8">
        <f>IF(P87&gt;0,P287/P87,0)</f>
        <v>0</v>
      </c>
      <c r="Q987" s="8">
        <f>IF(Q87&gt;0,Q287/Q87,0)</f>
        <v>0</v>
      </c>
      <c r="R987" s="8">
        <f>IF(R87&gt;0,R287/R87,0)</f>
        <v>0</v>
      </c>
      <c r="S987" s="8">
        <f>IF(S87&gt;0,S287/S87,0)</f>
        <v>0</v>
      </c>
    </row>
    <row r="988">
      <c r="A988" s="16" t="s">
        <v>400</v>
      </c>
      <c r="B988" s="2" t="s">
        <v>365</v>
      </c>
      <c r="C988" s="8">
        <f>IF(C88&gt;0,C288/C88,0)</f>
        <v>0</v>
      </c>
      <c r="D988" s="8">
        <f>IF(D88&gt;0,D288/D88,0)</f>
        <v>0</v>
      </c>
      <c r="E988" s="8">
        <f>IF(E88&gt;0,E288/E88,0)</f>
        <v>0</v>
      </c>
      <c r="F988" s="8">
        <f>IF(F88&gt;0,F288/F88,0)</f>
        <v>0</v>
      </c>
      <c r="G988" s="8">
        <f>IF(G88&gt;0,G288/G88,0)</f>
        <v>0</v>
      </c>
      <c r="H988" s="8">
        <f>IF(H88&gt;0,H288/H88,0)</f>
        <v>0</v>
      </c>
      <c r="I988" s="8">
        <f>IF(I88&gt;0,I288/I88,0)</f>
        <v>0</v>
      </c>
      <c r="J988" s="8">
        <f>IF(J88&gt;0,J288/J88,0)</f>
        <v>0</v>
      </c>
      <c r="K988" s="8">
        <f>IF(K88&gt;0,K288/K88,0)</f>
        <v>0</v>
      </c>
      <c r="L988" s="8">
        <f>IF(L88&gt;0,L288/L88,0)</f>
        <v>0</v>
      </c>
      <c r="M988" s="8">
        <f>IF(M88&gt;0,M288/M88,0)</f>
        <v>0</v>
      </c>
      <c r="N988" s="8">
        <f>IF(N88&gt;0,N288/N88,0)</f>
        <v>0</v>
      </c>
      <c r="O988" s="8">
        <f>IF(O88&gt;0,O288/O88,0)</f>
        <v>0</v>
      </c>
      <c r="P988" s="8">
        <f>IF(P88&gt;0,P288/P88,0)</f>
        <v>0</v>
      </c>
      <c r="Q988" s="8">
        <f>IF(Q88&gt;0,Q288/Q88,0)</f>
        <v>0</v>
      </c>
      <c r="R988" s="8">
        <f>IF(R88&gt;0,R288/R88,0)</f>
        <v>0</v>
      </c>
      <c r="S988" s="8">
        <f>IF(S88&gt;0,S288/S88,0)</f>
        <v>0</v>
      </c>
    </row>
    <row r="989">
      <c r="A989" s="16" t="s">
        <v>401</v>
      </c>
      <c r="B989" s="2" t="s">
        <v>365</v>
      </c>
      <c r="C989" s="8">
        <f>IF(C89&gt;0,C289/C89,0)</f>
        <v>0</v>
      </c>
      <c r="D989" s="8">
        <f>IF(D89&gt;0,D289/D89,0)</f>
        <v>0</v>
      </c>
      <c r="E989" s="8">
        <f>IF(E89&gt;0,E289/E89,0)</f>
        <v>0</v>
      </c>
      <c r="F989" s="8">
        <f>IF(F89&gt;0,F289/F89,0)</f>
        <v>0</v>
      </c>
      <c r="G989" s="8">
        <f>IF(G89&gt;0,G289/G89,0)</f>
        <v>0</v>
      </c>
      <c r="H989" s="8">
        <f>IF(H89&gt;0,H289/H89,0)</f>
        <v>0</v>
      </c>
      <c r="I989" s="8">
        <f>IF(I89&gt;0,I289/I89,0)</f>
        <v>0</v>
      </c>
      <c r="J989" s="8">
        <f>IF(J89&gt;0,J289/J89,0)</f>
        <v>0</v>
      </c>
      <c r="K989" s="8">
        <f>IF(K89&gt;0,K289/K89,0)</f>
        <v>0</v>
      </c>
      <c r="L989" s="8">
        <f>IF(L89&gt;0,L289/L89,0)</f>
        <v>0</v>
      </c>
      <c r="M989" s="8">
        <f>IF(M89&gt;0,M289/M89,0)</f>
        <v>0</v>
      </c>
      <c r="N989" s="8">
        <f>IF(N89&gt;0,N289/N89,0)</f>
        <v>0</v>
      </c>
      <c r="O989" s="8">
        <f>IF(O89&gt;0,O289/O89,0)</f>
        <v>0</v>
      </c>
      <c r="P989" s="8">
        <f>IF(P89&gt;0,P289/P89,0)</f>
        <v>0</v>
      </c>
      <c r="Q989" s="8">
        <f>IF(Q89&gt;0,Q289/Q89,0)</f>
        <v>0</v>
      </c>
      <c r="R989" s="8">
        <f>IF(R89&gt;0,R289/R89,0)</f>
        <v>0</v>
      </c>
      <c r="S989" s="8">
        <f>IF(S89&gt;0,S289/S89,0)</f>
        <v>0</v>
      </c>
    </row>
    <row r="990">
      <c r="A990" s="16" t="s">
        <v>402</v>
      </c>
      <c r="B990" s="2" t="s">
        <v>365</v>
      </c>
      <c r="C990" s="8">
        <f>IF(C90&gt;0,C290/C90,0)</f>
        <v>0</v>
      </c>
      <c r="D990" s="8">
        <f>IF(D90&gt;0,D290/D90,0)</f>
        <v>0</v>
      </c>
      <c r="E990" s="8">
        <f>IF(E90&gt;0,E290/E90,0)</f>
        <v>0</v>
      </c>
      <c r="F990" s="8">
        <f>IF(F90&gt;0,F290/F90,0)</f>
        <v>0</v>
      </c>
      <c r="G990" s="8">
        <f>IF(G90&gt;0,G290/G90,0)</f>
        <v>0</v>
      </c>
      <c r="H990" s="8">
        <f>IF(H90&gt;0,H290/H90,0)</f>
        <v>0</v>
      </c>
      <c r="I990" s="8">
        <f>IF(I90&gt;0,I290/I90,0)</f>
        <v>0</v>
      </c>
      <c r="J990" s="8">
        <f>IF(J90&gt;0,J290/J90,0)</f>
        <v>0</v>
      </c>
      <c r="K990" s="8">
        <f>IF(K90&gt;0,K290/K90,0)</f>
        <v>0</v>
      </c>
      <c r="L990" s="8">
        <f>IF(L90&gt;0,L290/L90,0)</f>
        <v>0</v>
      </c>
      <c r="M990" s="8">
        <f>IF(M90&gt;0,M290/M90,0)</f>
        <v>0</v>
      </c>
      <c r="N990" s="8">
        <f>IF(N90&gt;0,N290/N90,0)</f>
        <v>0</v>
      </c>
      <c r="O990" s="8">
        <f>IF(O90&gt;0,O290/O90,0)</f>
        <v>0</v>
      </c>
      <c r="P990" s="8">
        <f>IF(P90&gt;0,P290/P90,0)</f>
        <v>0</v>
      </c>
      <c r="Q990" s="8">
        <f>IF(Q90&gt;0,Q290/Q90,0)</f>
        <v>0</v>
      </c>
      <c r="R990" s="8">
        <f>IF(R90&gt;0,R290/R90,0)</f>
        <v>0</v>
      </c>
      <c r="S990" s="8">
        <f>IF(S90&gt;0,S290/S90,0)</f>
        <v>0</v>
      </c>
    </row>
    <row r="991">
      <c r="A991" s="16" t="s">
        <v>403</v>
      </c>
      <c r="B991" s="2" t="s">
        <v>365</v>
      </c>
      <c r="C991" s="8">
        <f>IF(C91&gt;0,C291/C91,0)</f>
        <v>0</v>
      </c>
      <c r="D991" s="8">
        <f>IF(D91&gt;0,D291/D91,0)</f>
        <v>0</v>
      </c>
      <c r="E991" s="8">
        <f>IF(E91&gt;0,E291/E91,0)</f>
        <v>0</v>
      </c>
      <c r="F991" s="8">
        <f>IF(F91&gt;0,F291/F91,0)</f>
        <v>0</v>
      </c>
      <c r="G991" s="8">
        <f>IF(G91&gt;0,G291/G91,0)</f>
        <v>0</v>
      </c>
      <c r="H991" s="8">
        <f>IF(H91&gt;0,H291/H91,0)</f>
        <v>0</v>
      </c>
      <c r="I991" s="8">
        <f>IF(I91&gt;0,I291/I91,0)</f>
        <v>0</v>
      </c>
      <c r="J991" s="8">
        <f>IF(J91&gt;0,J291/J91,0)</f>
        <v>0</v>
      </c>
      <c r="K991" s="8">
        <f>IF(K91&gt;0,K291/K91,0)</f>
        <v>0</v>
      </c>
      <c r="L991" s="8">
        <f>IF(L91&gt;0,L291/L91,0)</f>
        <v>0</v>
      </c>
      <c r="M991" s="8">
        <f>IF(M91&gt;0,M291/M91,0)</f>
        <v>0</v>
      </c>
      <c r="N991" s="8">
        <f>IF(N91&gt;0,N291/N91,0)</f>
        <v>0</v>
      </c>
      <c r="O991" s="8">
        <f>IF(O91&gt;0,O291/O91,0)</f>
        <v>0</v>
      </c>
      <c r="P991" s="8">
        <f>IF(P91&gt;0,P291/P91,0)</f>
        <v>0</v>
      </c>
      <c r="Q991" s="8">
        <f>IF(Q91&gt;0,Q291/Q91,0)</f>
        <v>0</v>
      </c>
      <c r="R991" s="8">
        <f>IF(R91&gt;0,R291/R91,0)</f>
        <v>0</v>
      </c>
      <c r="S991" s="8">
        <f>IF(S91&gt;0,S291/S91,0)</f>
        <v>0</v>
      </c>
    </row>
    <row r="992">
      <c r="A992" s="16" t="s">
        <v>404</v>
      </c>
      <c r="B992" s="2" t="s">
        <v>365</v>
      </c>
      <c r="C992" s="8">
        <f>IF(C92&gt;0,C292/C92,0)</f>
        <v>0</v>
      </c>
      <c r="D992" s="8">
        <f>IF(D92&gt;0,D292/D92,0)</f>
        <v>0</v>
      </c>
      <c r="E992" s="8">
        <f>IF(E92&gt;0,E292/E92,0)</f>
        <v>0</v>
      </c>
      <c r="F992" s="8">
        <f>IF(F92&gt;0,F292/F92,0)</f>
        <v>0</v>
      </c>
      <c r="G992" s="8">
        <f>IF(G92&gt;0,G292/G92,0)</f>
        <v>0</v>
      </c>
      <c r="H992" s="8">
        <f>IF(H92&gt;0,H292/H92,0)</f>
        <v>0</v>
      </c>
      <c r="I992" s="8">
        <f>IF(I92&gt;0,I292/I92,0)</f>
        <v>0</v>
      </c>
      <c r="J992" s="8">
        <f>IF(J92&gt;0,J292/J92,0)</f>
        <v>0</v>
      </c>
      <c r="K992" s="8">
        <f>IF(K92&gt;0,K292/K92,0)</f>
        <v>0</v>
      </c>
      <c r="L992" s="8">
        <f>IF(L92&gt;0,L292/L92,0)</f>
        <v>0</v>
      </c>
      <c r="M992" s="8">
        <f>IF(M92&gt;0,M292/M92,0)</f>
        <v>0</v>
      </c>
      <c r="N992" s="8">
        <f>IF(N92&gt;0,N292/N92,0)</f>
        <v>0</v>
      </c>
      <c r="O992" s="8">
        <f>IF(O92&gt;0,O292/O92,0)</f>
        <v>0</v>
      </c>
      <c r="P992" s="8">
        <f>IF(P92&gt;0,P292/P92,0)</f>
        <v>0</v>
      </c>
      <c r="Q992" s="8">
        <f>IF(Q92&gt;0,Q292/Q92,0)</f>
        <v>0</v>
      </c>
      <c r="R992" s="8">
        <f>IF(R92&gt;0,R292/R92,0)</f>
        <v>0</v>
      </c>
      <c r="S992" s="8">
        <f>IF(S92&gt;0,S292/S92,0)</f>
        <v>0</v>
      </c>
    </row>
    <row r="993">
      <c r="A993" s="16" t="s">
        <v>405</v>
      </c>
      <c r="B993" s="2" t="s">
        <v>365</v>
      </c>
      <c r="C993" s="8">
        <f>IF(C93&gt;0,C293/C93,0)</f>
        <v>0</v>
      </c>
      <c r="D993" s="8">
        <f>IF(D93&gt;0,D293/D93,0)</f>
        <v>0</v>
      </c>
      <c r="E993" s="8">
        <f>IF(E93&gt;0,E293/E93,0)</f>
        <v>0</v>
      </c>
      <c r="F993" s="8">
        <f>IF(F93&gt;0,F293/F93,0)</f>
        <v>0</v>
      </c>
      <c r="G993" s="8">
        <f>IF(G93&gt;0,G293/G93,0)</f>
        <v>0</v>
      </c>
      <c r="H993" s="8">
        <f>IF(H93&gt;0,H293/H93,0)</f>
        <v>0</v>
      </c>
      <c r="I993" s="8">
        <f>IF(I93&gt;0,I293/I93,0)</f>
        <v>0</v>
      </c>
      <c r="J993" s="8">
        <f>IF(J93&gt;0,J293/J93,0)</f>
        <v>0</v>
      </c>
      <c r="K993" s="8">
        <f>IF(K93&gt;0,K293/K93,0)</f>
        <v>0</v>
      </c>
      <c r="L993" s="8">
        <f>IF(L93&gt;0,L293/L93,0)</f>
        <v>0</v>
      </c>
      <c r="M993" s="8">
        <f>IF(M93&gt;0,M293/M93,0)</f>
        <v>0</v>
      </c>
      <c r="N993" s="8">
        <f>IF(N93&gt;0,N293/N93,0)</f>
        <v>0</v>
      </c>
      <c r="O993" s="8">
        <f>IF(O93&gt;0,O293/O93,0)</f>
        <v>0</v>
      </c>
      <c r="P993" s="8">
        <f>IF(P93&gt;0,P293/P93,0)</f>
        <v>0</v>
      </c>
      <c r="Q993" s="8">
        <f>IF(Q93&gt;0,Q293/Q93,0)</f>
        <v>0</v>
      </c>
      <c r="R993" s="8">
        <f>IF(R93&gt;0,R293/R93,0)</f>
        <v>0</v>
      </c>
      <c r="S993" s="8">
        <f>IF(S93&gt;0,S293/S93,0)</f>
        <v>0</v>
      </c>
    </row>
    <row r="994">
      <c r="A994" s="16" t="s">
        <v>406</v>
      </c>
      <c r="B994" s="2" t="s">
        <v>365</v>
      </c>
      <c r="C994" s="8">
        <f>IF(C94&gt;0,C294/C94,0)</f>
        <v>0</v>
      </c>
      <c r="D994" s="8">
        <f>IF(D94&gt;0,D294/D94,0)</f>
        <v>0</v>
      </c>
      <c r="E994" s="8">
        <f>IF(E94&gt;0,E294/E94,0)</f>
        <v>0</v>
      </c>
      <c r="F994" s="8">
        <f>IF(F94&gt;0,F294/F94,0)</f>
        <v>0</v>
      </c>
      <c r="G994" s="8">
        <f>IF(G94&gt;0,G294/G94,0)</f>
        <v>0</v>
      </c>
      <c r="H994" s="8">
        <f>IF(H94&gt;0,H294/H94,0)</f>
        <v>0</v>
      </c>
      <c r="I994" s="8">
        <f>IF(I94&gt;0,I294/I94,0)</f>
        <v>0</v>
      </c>
      <c r="J994" s="8">
        <f>IF(J94&gt;0,J294/J94,0)</f>
        <v>0</v>
      </c>
      <c r="K994" s="8">
        <f>IF(K94&gt;0,K294/K94,0)</f>
        <v>0</v>
      </c>
      <c r="L994" s="8">
        <f>IF(L94&gt;0,L294/L94,0)</f>
        <v>0</v>
      </c>
      <c r="M994" s="8">
        <f>IF(M94&gt;0,M294/M94,0)</f>
        <v>0</v>
      </c>
      <c r="N994" s="8">
        <f>IF(N94&gt;0,N294/N94,0)</f>
        <v>0</v>
      </c>
      <c r="O994" s="8">
        <f>IF(O94&gt;0,O294/O94,0)</f>
        <v>0</v>
      </c>
      <c r="P994" s="8">
        <f>IF(P94&gt;0,P294/P94,0)</f>
        <v>0</v>
      </c>
      <c r="Q994" s="8">
        <f>IF(Q94&gt;0,Q294/Q94,0)</f>
        <v>0</v>
      </c>
      <c r="R994" s="8">
        <f>IF(R94&gt;0,R294/R94,0)</f>
        <v>0</v>
      </c>
      <c r="S994" s="8">
        <f>IF(S94&gt;0,S294/S94,0)</f>
        <v>0</v>
      </c>
    </row>
    <row r="995">
      <c r="A995" s="16" t="s">
        <v>407</v>
      </c>
      <c r="B995" s="2" t="s">
        <v>365</v>
      </c>
      <c r="C995" s="8">
        <f>IF(C95&gt;0,C295/C95,0)</f>
        <v>0</v>
      </c>
      <c r="D995" s="8">
        <f>IF(D95&gt;0,D295/D95,0)</f>
        <v>0</v>
      </c>
      <c r="E995" s="8">
        <f>IF(E95&gt;0,E295/E95,0)</f>
        <v>0</v>
      </c>
      <c r="F995" s="8">
        <f>IF(F95&gt;0,F295/F95,0)</f>
        <v>0</v>
      </c>
      <c r="G995" s="8">
        <f>IF(G95&gt;0,G295/G95,0)</f>
        <v>0</v>
      </c>
      <c r="H995" s="8">
        <f>IF(H95&gt;0,H295/H95,0)</f>
        <v>0</v>
      </c>
      <c r="I995" s="8">
        <f>IF(I95&gt;0,I295/I95,0)</f>
        <v>0</v>
      </c>
      <c r="J995" s="8">
        <f>IF(J95&gt;0,J295/J95,0)</f>
        <v>0</v>
      </c>
      <c r="K995" s="8">
        <f>IF(K95&gt;0,K295/K95,0)</f>
        <v>0</v>
      </c>
      <c r="L995" s="8">
        <f>IF(L95&gt;0,L295/L95,0)</f>
        <v>0</v>
      </c>
      <c r="M995" s="8">
        <f>IF(M95&gt;0,M295/M95,0)</f>
        <v>0</v>
      </c>
      <c r="N995" s="8">
        <f>IF(N95&gt;0,N295/N95,0)</f>
        <v>0</v>
      </c>
      <c r="O995" s="8">
        <f>IF(O95&gt;0,O295/O95,0)</f>
        <v>0</v>
      </c>
      <c r="P995" s="8">
        <f>IF(P95&gt;0,P295/P95,0)</f>
        <v>0</v>
      </c>
      <c r="Q995" s="8">
        <f>IF(Q95&gt;0,Q295/Q95,0)</f>
        <v>0</v>
      </c>
      <c r="R995" s="8">
        <f>IF(R95&gt;0,R295/R95,0)</f>
        <v>0</v>
      </c>
      <c r="S995" s="8">
        <f>IF(S95&gt;0,S295/S95,0)</f>
        <v>0</v>
      </c>
    </row>
    <row r="996">
      <c r="A996" s="16" t="s">
        <v>408</v>
      </c>
      <c r="B996" s="2" t="s">
        <v>365</v>
      </c>
      <c r="C996" s="8">
        <f>IF(C96&gt;0,C296/C96,0)</f>
        <v>0</v>
      </c>
      <c r="D996" s="8">
        <f>IF(D96&gt;0,D296/D96,0)</f>
        <v>0</v>
      </c>
      <c r="E996" s="8">
        <f>IF(E96&gt;0,E296/E96,0)</f>
        <v>0</v>
      </c>
      <c r="F996" s="8">
        <f>IF(F96&gt;0,F296/F96,0)</f>
        <v>0</v>
      </c>
      <c r="G996" s="8">
        <f>IF(G96&gt;0,G296/G96,0)</f>
        <v>0</v>
      </c>
      <c r="H996" s="8">
        <f>IF(H96&gt;0,H296/H96,0)</f>
        <v>0</v>
      </c>
      <c r="I996" s="8">
        <f>IF(I96&gt;0,I296/I96,0)</f>
        <v>0</v>
      </c>
      <c r="J996" s="8">
        <f>IF(J96&gt;0,J296/J96,0)</f>
        <v>0</v>
      </c>
      <c r="K996" s="8">
        <f>IF(K96&gt;0,K296/K96,0)</f>
        <v>0</v>
      </c>
      <c r="L996" s="8">
        <f>IF(L96&gt;0,L296/L96,0)</f>
        <v>0</v>
      </c>
      <c r="M996" s="8">
        <f>IF(M96&gt;0,M296/M96,0)</f>
        <v>0</v>
      </c>
      <c r="N996" s="8">
        <f>IF(N96&gt;0,N296/N96,0)</f>
        <v>0</v>
      </c>
      <c r="O996" s="8">
        <f>IF(O96&gt;0,O296/O96,0)</f>
        <v>0</v>
      </c>
      <c r="P996" s="8">
        <f>IF(P96&gt;0,P296/P96,0)</f>
        <v>0</v>
      </c>
      <c r="Q996" s="8">
        <f>IF(Q96&gt;0,Q296/Q96,0)</f>
        <v>0</v>
      </c>
      <c r="R996" s="8">
        <f>IF(R96&gt;0,R296/R96,0)</f>
        <v>0</v>
      </c>
      <c r="S996" s="8">
        <f>IF(S96&gt;0,S296/S96,0)</f>
        <v>0</v>
      </c>
    </row>
    <row r="997">
      <c r="A997" s="16" t="s">
        <v>409</v>
      </c>
      <c r="B997" s="2" t="s">
        <v>365</v>
      </c>
      <c r="C997" s="8">
        <f>IF(C97&gt;0,C297/C97,0)</f>
        <v>0</v>
      </c>
      <c r="D997" s="8">
        <f>IF(D97&gt;0,D297/D97,0)</f>
        <v>0</v>
      </c>
      <c r="E997" s="8">
        <f>IF(E97&gt;0,E297/E97,0)</f>
        <v>0</v>
      </c>
      <c r="F997" s="8">
        <f>IF(F97&gt;0,F297/F97,0)</f>
        <v>0</v>
      </c>
      <c r="G997" s="8">
        <f>IF(G97&gt;0,G297/G97,0)</f>
        <v>0</v>
      </c>
      <c r="H997" s="8">
        <f>IF(H97&gt;0,H297/H97,0)</f>
        <v>0</v>
      </c>
      <c r="I997" s="8">
        <f>IF(I97&gt;0,I297/I97,0)</f>
        <v>0</v>
      </c>
      <c r="J997" s="8">
        <f>IF(J97&gt;0,J297/J97,0)</f>
        <v>0</v>
      </c>
      <c r="K997" s="8">
        <f>IF(K97&gt;0,K297/K97,0)</f>
        <v>0</v>
      </c>
      <c r="L997" s="8">
        <f>IF(L97&gt;0,L297/L97,0)</f>
        <v>0</v>
      </c>
      <c r="M997" s="8">
        <f>IF(M97&gt;0,M297/M97,0)</f>
        <v>0</v>
      </c>
      <c r="N997" s="8">
        <f>IF(N97&gt;0,N297/N97,0)</f>
        <v>0</v>
      </c>
      <c r="O997" s="8">
        <f>IF(O97&gt;0,O297/O97,0)</f>
        <v>0</v>
      </c>
      <c r="P997" s="8">
        <f>IF(P97&gt;0,P297/P97,0)</f>
        <v>0</v>
      </c>
      <c r="Q997" s="8">
        <f>IF(Q97&gt;0,Q297/Q97,0)</f>
        <v>0</v>
      </c>
      <c r="R997" s="8">
        <f>IF(R97&gt;0,R297/R97,0)</f>
        <v>0</v>
      </c>
      <c r="S997" s="8">
        <f>IF(S97&gt;0,S297/S97,0)</f>
        <v>0</v>
      </c>
    </row>
    <row r="998">
      <c r="A998" s="16" t="s">
        <v>410</v>
      </c>
      <c r="B998" s="2" t="s">
        <v>365</v>
      </c>
      <c r="C998" s="8">
        <f>IF(C98&gt;0,C298/C98,0)</f>
        <v>0</v>
      </c>
      <c r="D998" s="8">
        <f>IF(D98&gt;0,D298/D98,0)</f>
        <v>0</v>
      </c>
      <c r="E998" s="8">
        <f>IF(E98&gt;0,E298/E98,0)</f>
        <v>0</v>
      </c>
      <c r="F998" s="8">
        <f>IF(F98&gt;0,F298/F98,0)</f>
        <v>0</v>
      </c>
      <c r="G998" s="8">
        <f>IF(G98&gt;0,G298/G98,0)</f>
        <v>0</v>
      </c>
      <c r="H998" s="8">
        <f>IF(H98&gt;0,H298/H98,0)</f>
        <v>0</v>
      </c>
      <c r="I998" s="8">
        <f>IF(I98&gt;0,I298/I98,0)</f>
        <v>0</v>
      </c>
      <c r="J998" s="8">
        <f>IF(J98&gt;0,J298/J98,0)</f>
        <v>0</v>
      </c>
      <c r="K998" s="8">
        <f>IF(K98&gt;0,K298/K98,0)</f>
        <v>0</v>
      </c>
      <c r="L998" s="8">
        <f>IF(L98&gt;0,L298/L98,0)</f>
        <v>0</v>
      </c>
      <c r="M998" s="8">
        <f>IF(M98&gt;0,M298/M98,0)</f>
        <v>0</v>
      </c>
      <c r="N998" s="8">
        <f>IF(N98&gt;0,N298/N98,0)</f>
        <v>0</v>
      </c>
      <c r="O998" s="8">
        <f>IF(O98&gt;0,O298/O98,0)</f>
        <v>0</v>
      </c>
      <c r="P998" s="8">
        <f>IF(P98&gt;0,P298/P98,0)</f>
        <v>0</v>
      </c>
      <c r="Q998" s="8">
        <f>IF(Q98&gt;0,Q298/Q98,0)</f>
        <v>0</v>
      </c>
      <c r="R998" s="8">
        <f>IF(R98&gt;0,R298/R98,0)</f>
        <v>0</v>
      </c>
      <c r="S998" s="8">
        <f>IF(S98&gt;0,S298/S98,0)</f>
        <v>0</v>
      </c>
    </row>
    <row r="999">
      <c r="A999" s="17" t="s">
        <v>411</v>
      </c>
      <c r="C999" s="9">
        <f>IF(C99&gt;0,C299/C99,0)</f>
        <v>0.37809474644471003</v>
      </c>
      <c r="D999" s="9">
        <f>IF(D99&gt;0,D299/D99,0)</f>
        <v>0.4162955598362297</v>
      </c>
      <c r="E999" s="9">
        <f>IF(E99&gt;0,E299/E99,0)</f>
        <v>0.4122694882861446</v>
      </c>
      <c r="F999" s="9">
        <f>IF(F99&gt;0,F299/F99,0)</f>
        <v>0.42228872755445035</v>
      </c>
      <c r="G999" s="9">
        <f>IF(G99&gt;0,G299/G99,0)</f>
        <v>0.43634424822492135</v>
      </c>
      <c r="H999" s="9">
        <f>IF(H99&gt;0,H299/H99,0)</f>
        <v>0.43491724015771277</v>
      </c>
      <c r="I999" s="9">
        <f>IF(I99&gt;0,I299/I99,0)</f>
        <v>0.3721341701897827</v>
      </c>
      <c r="J999" s="9">
        <f>IF(J99&gt;0,J299/J99,0)</f>
        <v>0.4041573328994957</v>
      </c>
      <c r="K999" s="9">
        <f>IF(K99&gt;0,K299/K99,0)</f>
        <v>0.4033413702119916</v>
      </c>
      <c r="L999" s="9">
        <f>IF(L99&gt;0,L299/L99,0)</f>
        <v>0.4384369638525705</v>
      </c>
      <c r="M999" s="9">
        <f>IF(M99&gt;0,M299/M99,0)</f>
        <v>0.42152621266860707</v>
      </c>
      <c r="N999" s="9">
        <f>IF(N99&gt;0,N299/N99,0)</f>
        <v>0.4723285911635685</v>
      </c>
      <c r="O999" s="9">
        <f>IF(O99&gt;0,O299/O99,0)</f>
        <v>0.46569905609345463</v>
      </c>
      <c r="P999" s="9">
        <f>IF(P99&gt;0,P299/P99,0)</f>
        <v>0.4262261198216553</v>
      </c>
      <c r="Q999" s="9">
        <f>IF(Q99&gt;0,Q299/Q99,0)</f>
        <v>0.42156818387476247</v>
      </c>
      <c r="R999" s="9">
        <f>IF(R99&gt;0,R299/R99,0)</f>
        <v>0.47190068780405975</v>
      </c>
      <c r="S999" s="9">
        <f>IF(S99&gt;0,S299/S99,0)</f>
        <v>0.44182699151671084</v>
      </c>
    </row>
    <row r="1000">
      <c r="A1000" s="17" t="s">
        <v>412</v>
      </c>
      <c r="C1000" s="9">
        <f>IF(C100&gt;0,C300/C100,0)</f>
        <v>0</v>
      </c>
      <c r="D1000" s="9">
        <f>IF(D100&gt;0,D300/D100,0)</f>
        <v>0</v>
      </c>
      <c r="E1000" s="9">
        <f>IF(E100&gt;0,E300/E100,0)</f>
        <v>0</v>
      </c>
      <c r="F1000" s="9">
        <f>IF(F100&gt;0,F300/F100,0)</f>
        <v>0</v>
      </c>
      <c r="G1000" s="9">
        <f>IF(G100&gt;0,G300/G100,0)</f>
        <v>0</v>
      </c>
      <c r="H1000" s="9">
        <f>IF(H100&gt;0,H300/H100,0)</f>
        <v>0</v>
      </c>
      <c r="I1000" s="9">
        <f>IF(I100&gt;0,I300/I100,0)</f>
        <v>0</v>
      </c>
      <c r="J1000" s="9">
        <f>IF(J100&gt;0,J300/J100,0)</f>
        <v>0</v>
      </c>
      <c r="K1000" s="9">
        <f>IF(K100&gt;0,K300/K100,0)</f>
        <v>0</v>
      </c>
      <c r="L1000" s="9">
        <f>IF(L100&gt;0,L300/L100,0)</f>
        <v>0</v>
      </c>
      <c r="M1000" s="9">
        <f>IF(M100&gt;0,M300/M100,0)</f>
        <v>0</v>
      </c>
      <c r="N1000" s="9">
        <f>IF(N100&gt;0,N300/N100,0)</f>
        <v>0</v>
      </c>
      <c r="O1000" s="9">
        <f>IF(O100&gt;0,O300/O100,0)</f>
        <v>0</v>
      </c>
      <c r="P1000" s="9">
        <f>IF(P100&gt;0,P300/P100,0)</f>
        <v>0</v>
      </c>
      <c r="Q1000" s="9">
        <f>IF(Q100&gt;0,Q300/Q100,0)</f>
        <v>0</v>
      </c>
      <c r="R1000" s="9">
        <f>IF(R100&gt;0,R300/R100,0)</f>
        <v>0</v>
      </c>
      <c r="S1000" s="9">
        <f>IF(S100&gt;0,S300/S100,0)</f>
        <v>0</v>
      </c>
    </row>
    <row r="1001">
      <c r="A1001" s="17" t="s">
        <v>112</v>
      </c>
      <c r="C1001" s="9">
        <f>IF(C101&gt;0,C301/C101,0)</f>
        <v>0.37809474644471003</v>
      </c>
      <c r="D1001" s="9">
        <f>IF(D101&gt;0,D301/D101,0)</f>
        <v>0.4162955598362297</v>
      </c>
      <c r="E1001" s="9">
        <f>IF(E101&gt;0,E301/E101,0)</f>
        <v>0.4122694882861446</v>
      </c>
      <c r="F1001" s="9">
        <f>IF(F101&gt;0,F301/F101,0)</f>
        <v>0.42228872755445035</v>
      </c>
      <c r="G1001" s="9">
        <f>IF(G101&gt;0,G301/G101,0)</f>
        <v>0.43634424822492135</v>
      </c>
      <c r="H1001" s="9">
        <f>IF(H101&gt;0,H301/H101,0)</f>
        <v>0.43491724015771277</v>
      </c>
      <c r="I1001" s="9">
        <f>IF(I101&gt;0,I301/I101,0)</f>
        <v>0.3721341701897827</v>
      </c>
      <c r="J1001" s="9">
        <f>IF(J101&gt;0,J301/J101,0)</f>
        <v>0.4041573328994957</v>
      </c>
      <c r="K1001" s="9">
        <f>IF(K101&gt;0,K301/K101,0)</f>
        <v>0.4033413702119916</v>
      </c>
      <c r="L1001" s="9">
        <f>IF(L101&gt;0,L301/L101,0)</f>
        <v>0.4384369638525705</v>
      </c>
      <c r="M1001" s="9">
        <f>IF(M101&gt;0,M301/M101,0)</f>
        <v>0.42152621266860707</v>
      </c>
      <c r="N1001" s="9">
        <f>IF(N101&gt;0,N301/N101,0)</f>
        <v>0.4723285911635685</v>
      </c>
      <c r="O1001" s="9">
        <f>IF(O101&gt;0,O301/O101,0)</f>
        <v>0.46569905609345463</v>
      </c>
      <c r="P1001" s="9">
        <f>IF(P101&gt;0,P301/P101,0)</f>
        <v>0.4262261198216553</v>
      </c>
      <c r="Q1001" s="9">
        <f>IF(Q101&gt;0,Q301/Q101,0)</f>
        <v>0.42156818387476247</v>
      </c>
      <c r="R1001" s="9">
        <f>IF(R101&gt;0,R301/R101,0)</f>
        <v>0.47190068780405975</v>
      </c>
      <c r="S1001" s="9">
        <f>IF(S101&gt;0,S301/S101,0)</f>
        <v>0.44182699151671084</v>
      </c>
    </row>
  </sheetData>
  <pageMargins left="0.5" right="0.5"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11</vt:i4>
      </vt:variant>
    </vt:vector>
  </HeadingPairs>
  <TitlesOfParts>
    <vt:vector size="11" baseType="lpstr">
      <vt:lpstr>Lisez-moi</vt:lpstr>
      <vt:lpstr>1_Monde</vt:lpstr>
      <vt:lpstr>2_Arabica_Robusta</vt:lpstr>
      <vt:lpstr>3_Groupes_pays</vt:lpstr>
      <vt:lpstr>4_Deux_pays</vt:lpstr>
      <vt:lpstr>5_Bresil_Vietnam</vt:lpstr>
      <vt:lpstr>6_Surplus</vt:lpstr>
      <vt:lpstr>Tableau_STU</vt:lpstr>
      <vt:lpstr>Analyse</vt:lpstr>
      <vt:lpstr>Prix_ICE</vt:lpstr>
      <vt:lpstr>Donnees_USDA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Café — stock-to-use vs prix</dc:title>
  <dc:creator>Claude</dc:creator>
  <dcterms:created xsi:type="dcterms:W3CDTF">2026-09-30T15:54:25Z</dcterms:created>
  <dcterms:modified xsi:type="dcterms:W3CDTF">2026-09-30T15:54:25Z</dcterms:modified>
</cp:coreProperties>
</file>