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Lisez-moi" sheetId="1" r:id="rId1"/>
    <sheet name="1_Series" sheetId="2" r:id="rId2"/>
    <sheet name="2_Chocs" sheetId="3" r:id="rId3"/>
    <sheet name="3_Crise" sheetId="4" r:id="rId4"/>
    <sheet name="4_Long_terme" sheetId="5" r:id="rId5"/>
    <sheet name="5_Production_prix" sheetId="6" r:id="rId6"/>
    <sheet name="6_STU_prix" sheetId="7" r:id="rId7"/>
    <sheet name="7_Conso_prix" sheetId="8" r:id="rId8"/>
    <sheet name="8_KC_DF" sheetId="9" r:id="rId9"/>
    <sheet name="9_Quotidien" sheetId="10" r:id="rId10"/>
  </sheets>
  <calcPr calcId="191029" fullCalcOnLoad="1"/>
</workbook>
</file>

<file path=xl/sharedStrings.xml><?xml version="1.0" encoding="utf-8"?>
<sst xmlns="http://schemas.openxmlformats.org/spreadsheetml/2006/main" count="1992" uniqueCount="1793">
  <si>
    <t>Qu'est-ce qui définit le prix du café ? — données et calculs de la recherche</t>
  </si>
  <si>
    <t>Données : USDA PSD café (juillet 2026), 93 pays, milliers de sacs de 60 kg convertis en millions (M sacs). 2026/27 = prévision USDA. Prix : moyennes octobre-septembre ICE (proxy KC1 / DF1) publiées par l'ICO ; 2025/26 sur 11 mois.</t>
  </si>
  <si>
    <t>1_Series : séries mondiales (production, consommation, exportations, importations, écart, stocks, STU, solde), production par origine, consommation par région, prix. Deux graphiques.</t>
  </si>
  <si>
    <t>2_Chocs : taille d'un choc typique par origine / région (écart type autour de la tendance 2010/11-2025/26) et part de chaque source dans la variance des variations annuelles du STU mondial.</t>
  </si>
  <si>
    <t>3_Crise : comparaison de moyennes 2021/22-2024/25 contre 2017/18-2020/21 (crise) et 2025/26-2026/27 contre 2021/22-2024/25 (reprise), sans modèle.</t>
  </si>
  <si>
    <t>4_Long_terme : variation 2010/11 -&gt; 2025/26 et tendance annuelle de la production par origine et de la consommation par région.</t>
  </si>
  <si>
    <t>5_Production_prix : liens entre la croissance de la production de chaque origine et la variation du KC / DF, parts des écarts de production arabica / robusta, réponse de l'offre au prix, Vietnam contre conilon, KC contre DF au mois.</t>
  </si>
  <si>
    <t>6_STU_prix : quel stock-to-use colle le mieux au niveau du prix (corrélation, R² en validation croisée), parts du niveau et des variations du stock mondial.</t>
  </si>
  <si>
    <t>7_Conso_prix : croissance de la consommation par région et liens avec le prix.</t>
  </si>
  <si>
    <t>8_KC_DF : KC et DF au mois (même unité, c/lb), ratio KC/DF, corrélations de référence, statistiques du ratio, récoltes par espèce et ratio par campagne (graphique).</t>
  </si>
  <si>
    <t>9_Quotidien : cours quotidiens KC et DF (juin 2021 - mai 2026, copie publique de Yahoo Finance KC=F et Investing.com) avec les variations en formules, et les tests « qui bouge en premier » (décalages, Granger, gros chocs, heures de clôture, real brésilien).</t>
  </si>
  <si>
    <t>Après vérification : validation croisée sans 2023/24-2025/26 et réaction des stocks au prix (6_STU_prix), intervalles bootstrap (2_Chocs), crise année par année (3_Crise), tendances 2011/12-2025/26 sans le saut de niveau du Vietnam entre 2010/11 et 2011/12 (2_Chocs, 4_Long_terme, 5_Production_prix).</t>
  </si>
  <si>
    <t>Pièges : consommation UE apparente (miroir des stocks) ; UE regroupée avec le Royaume-Uni (passage UE-28 -&gt; UE-27 en 2016/17) ; stocks américains figés à 5,7 M sacs depuis 2022/23 ; bosse des stocks indonésiens 2017-2021 ; exportations mondiales &gt; importations de 1 à 13 M sacs par an. 16 campagnes : ordres de grandeur, pas des preuves.</t>
  </si>
  <si>
    <t>Séries mondiales, production par origine, consommation par région et prix (M sacs ; STU en %)</t>
  </si>
  <si>
    <t>Solde = production − consommation − (exportations − importations) = variation des stocks mondiaux (identité USDA). STU monde = stocks ÷ (conso + export).</t>
  </si>
  <si>
    <t>Campagne</t>
  </si>
  <si>
    <t>Production monde</t>
  </si>
  <si>
    <t>Consommation monde</t>
  </si>
  <si>
    <t>Écart export − import</t>
  </si>
  <si>
    <t>Stocks de fin monde</t>
  </si>
  <si>
    <t>Conso + export monde</t>
  </si>
  <si>
    <t>STU monde</t>
  </si>
  <si>
    <t>Solde mondial</t>
  </si>
  <si>
    <t>Prod. Brésil arabica</t>
  </si>
  <si>
    <t>Prod. Brésil conilon</t>
  </si>
  <si>
    <t>Prod. Vietnam</t>
  </si>
  <si>
    <t>Prod. Colombie</t>
  </si>
  <si>
    <t>Prod. Indonésie</t>
  </si>
  <si>
    <t>Prod. Éthiopie</t>
  </si>
  <si>
    <t>Prod. Ouganda</t>
  </si>
  <si>
    <t>Prod. Inde</t>
  </si>
  <si>
    <t>Prod. Amérique centrale + Mexique</t>
  </si>
  <si>
    <t>Prod. Pérou + Amérique du Sud</t>
  </si>
  <si>
    <t>Prod. Autres Afrique</t>
  </si>
  <si>
    <t>Prod. Autres Asie-Océanie</t>
  </si>
  <si>
    <t>Prod. Autres producteurs</t>
  </si>
  <si>
    <t>Conso UE + Royaume-Uni</t>
  </si>
  <si>
    <t>Conso États-Unis</t>
  </si>
  <si>
    <t>Conso Japon</t>
  </si>
  <si>
    <t>Conso Chine</t>
  </si>
  <si>
    <t>Conso Autres Asie importatrice</t>
  </si>
  <si>
    <t>Conso Brésil (conso intérieure)</t>
  </si>
  <si>
    <t>Conso Autres origines (conso intérieure)</t>
  </si>
  <si>
    <t>Conso Reste du monde importateur</t>
  </si>
  <si>
    <t>KC1 (c/lb)</t>
  </si>
  <si>
    <t>DF1 (US$/t)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</si>
  <si>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</si>
  <si>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</si>
  <si>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</si>
  <si>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</si>
  <si>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</si>
  <si>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</si>
  <si>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</si>
  <si>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</si>
  <si>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</si>
  <si>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</si>
  <si>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</si>
  <si>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</si>
  <si>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</si>
  <si>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</si>
  <si>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</si>
  <si>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</si>
  <si>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 (prév.)</t>
  </si>
  <si>
    <t>Ce qui fait bouger le STU mondial d'une année sur l'autre</t>
  </si>
  <si>
    <t>Choc typique = écart type de la série autour de sa tendance linéaire 2010/11-2025/26 ; en points de STU = rapporté à la moyenne de (conso + export) mondiale.</t>
  </si>
  <si>
    <t>Origine / région</t>
  </si>
  <si>
    <t>Choc typique (M sacs)</t>
  </si>
  <si>
    <t>Choc typique (points de STU)</t>
  </si>
  <si>
    <t>Tendance (M sacs par an)</t>
  </si>
  <si>
    <t>Niveau 2025/26 (M sacs)</t>
  </si>
  <si>
    <t>Part de chaque source dans la variance des variations annuelles du STU mondial (2011/12-2025/26)</t>
  </si>
  <si>
    <t>Source</t>
  </si>
  <si>
    <t>Part (tendance linéaire)</t>
  </si>
  <si>
    <t>Part (tendance log-linéaire)</t>
  </si>
  <si>
    <t>Bootstrap 90 % : bas</t>
  </si>
  <si>
    <t>Bootstrap 90 % : haut</t>
  </si>
  <si>
    <t>Prod. autres origines</t>
  </si>
  <si>
    <t>Conso UE + RU (apparente)</t>
  </si>
  <si>
    <t>Conso autres Asie importatrice</t>
  </si>
  <si>
    <t>Conso États-Unis + Japon</t>
  </si>
  <si>
    <t>Conso pays producteurs (Brésil + autres)</t>
  </si>
  <si>
    <t>Conso reste du monde</t>
  </si>
  <si>
    <t>Structurel : tendance production − tendance conso</t>
  </si>
  <si>
    <t>Écart statistique des échanges</t>
  </si>
  <si>
    <t>Arabica brésilien premier dans 90 % des 4000 tirages bootstrap ; P(conilon &gt; Vietnam) = 0.71.</t>
  </si>
  <si>
    <t>Fenêtre 2011/12-2025/26 (sans le saut de niveau du Vietnam entre 2010/11 et 2011/12) : taille des écarts à la tendance</t>
  </si>
  <si>
    <t>Origine</t>
  </si>
  <si>
    <t>Écart type 2010-2025 (M sacs)</t>
  </si>
  <si>
    <t>Écart type 2011-2025 (M sacs)</t>
  </si>
  <si>
    <t>Points de STU 2011-2025</t>
  </si>
  <si>
    <t>Tendance 2011-2025 (M sacs/an)</t>
  </si>
  <si>
    <t>Brésil arabica</t>
  </si>
  <si>
    <t>Brésil conilon</t>
  </si>
  <si>
    <t>Vietnam</t>
  </si>
  <si>
    <t>Colombie</t>
  </si>
  <si>
    <t>Indonésie</t>
  </si>
  <si>
    <t>Amérique centrale + Mexique</t>
  </si>
  <si>
    <t>Éthiopie</t>
  </si>
  <si>
    <t>Ouganda</t>
  </si>
  <si>
    <t>Inde</t>
  </si>
  <si>
    <t>Cycle biennal du Brésil arabica : la parité de l'année explique 32 % de ses écarts à la tendance (écart moyen 4.8 M sacs entre année haute et année basse).</t>
  </si>
  <si>
    <t>Une part négative veut dire que le poste a plutôt compensé les autres. La consommation UE est apparente (miroir des stocks européens).</t>
  </si>
  <si>
    <t>Crise et reprise : comparaison de moyennes, sans modèle (M sacs par an)</t>
  </si>
  <si>
    <t/>
  </si>
  <si>
    <t>Crise : 2021/22-2024/25 moins 2017/18-2020/21</t>
  </si>
  <si>
    <t>Reprise : 2025/26-2026/27 moins 2021/22-2024/25</t>
  </si>
  <si>
    <t>STU monde moyen (avant)</t>
  </si>
  <si>
    <t>STU monde moyen (après)</t>
  </si>
  <si>
    <t>KC1 moyen avant / après (c/lb)</t>
  </si>
  <si>
    <t>121 → 233</t>
  </si>
  <si>
    <t>233 → 312</t>
  </si>
  <si>
    <t>DF1 moyen avant / après ($/t)</t>
  </si>
  <si>
    <t>1515 → 3143</t>
  </si>
  <si>
    <t>3143 → 3788</t>
  </si>
  <si>
    <t>Solde mondial moyen avant (M sacs/an)</t>
  </si>
  <si>
    <t>Solde mondial moyen après (M sacs/an)</t>
  </si>
  <si>
    <t>Production totale : variation</t>
  </si>
  <si>
    <t>Consommation totale : variation</t>
  </si>
  <si>
    <t>Écart export − import : variation</t>
  </si>
  <si>
    <t>Production Brésil arabica</t>
  </si>
  <si>
    <t>Production Brésil conilon</t>
  </si>
  <si>
    <t>Production Vietnam</t>
  </si>
  <si>
    <t>Production Colombie</t>
  </si>
  <si>
    <t>Production Indonésie</t>
  </si>
  <si>
    <t>Production Éthiopie</t>
  </si>
  <si>
    <t>Production Ouganda</t>
  </si>
  <si>
    <t>Production Inde</t>
  </si>
  <si>
    <t>Production Amérique centrale + Mexique</t>
  </si>
  <si>
    <t>Production Pérou + Amérique du Sud</t>
  </si>
  <si>
    <t>Production Autres Afrique</t>
  </si>
  <si>
    <t>Production Autres Asie-Océanie</t>
  </si>
  <si>
    <t>Consommation UE + Royaume-Uni</t>
  </si>
  <si>
    <t>Consommation États-Unis</t>
  </si>
  <si>
    <t>Consommation Japon</t>
  </si>
  <si>
    <t>Consommation Chine</t>
  </si>
  <si>
    <t>Consommation Autres Asie importatrice</t>
  </si>
  <si>
    <t>Consommation Brésil (conso intérieure)</t>
  </si>
  <si>
    <t>Consommation Autres origines (conso intérieure)</t>
  </si>
  <si>
    <t>Consommation Reste du monde importateur</t>
  </si>
  <si>
    <t>Production : écart des moyennes annuelles. Consommation : écart des moyennes (une hausse vide les stocks). 2026/27 = prévision USDA.</t>
  </si>
  <si>
    <t>Année par année (M sacs) : variation des stocks mondiaux = (production − consommation) − écart export-import</t>
  </si>
  <si>
    <t>Production − consommation</t>
  </si>
  <si>
    <t>Variation des stocks mondiaux</t>
  </si>
  <si>
    <t>dont UE + Royaume-Uni</t>
  </si>
  <si>
    <t>dont pays producteurs</t>
  </si>
  <si>
    <t>dont Brésil</t>
  </si>
  <si>
    <t>La production n'a été inférieure à la consommation qu'en 2021/22 et 2022/23 ; la baisse de 2022/23 est surtout européenne ; celles de 2023/24 et 2024/25 viennent de l'écart export-import.</t>
  </si>
  <si>
    <t>Long terme : qui a fait la hausse de l'offre et de la consommation (2010/11 -&gt; 2025/26)</t>
  </si>
  <si>
    <t>2025/26 moins 2010/11 (M sacs)</t>
  </si>
  <si>
    <t>Tendance 2010/11-2025/26 (M sacs par an)</t>
  </si>
  <si>
    <t>Tendance 2011/12-2025/26 (M sacs par an)</t>
  </si>
  <si>
    <t>Les bornes 2010/11 et 2025/26 sont trompeuses pour le Brésil arabica (année haute puis année basse) et le Vietnam (saut de niveau : 19,4 M sacs en 2010/11, 26,0 M en 2011/12) : préférer la tendance 2011/12-2025/26.</t>
  </si>
  <si>
    <t>Production par origine et prix : corrélations des variations annuelles (n = 15)</t>
  </si>
  <si>
    <t>r entre la croissance de la production (campagne USDA) et la variation de ln(prix) de la campagne octobre-septembre. « Suivante » = campagne USDA t+1 (pour le Brésil, récolte d'avril-septembre tombant dans la campagne de prix).</t>
  </si>
  <si>
    <t>KC : même campagne</t>
  </si>
  <si>
    <t>p</t>
  </si>
  <si>
    <t>KC : campagne suivante</t>
  </si>
  <si>
    <t>DF : même campagne</t>
  </si>
  <si>
    <t>DF : campagne suivante</t>
  </si>
  <si>
    <t>Pérou + Amérique du Sud</t>
  </si>
  <si>
    <t>Autres Afrique</t>
  </si>
  <si>
    <t>Autres Asie-Océanie</t>
  </si>
  <si>
    <t>Autres producteurs</t>
  </si>
  <si>
    <t>Arabica monde</t>
  </si>
  <si>
    <t>Robusta monde</t>
  </si>
  <si>
    <t>Part de chaque origine dans la variance des écarts de production (autour de la tendance)</t>
  </si>
  <si>
    <t>Monde</t>
  </si>
  <si>
    <t>Arabica</t>
  </si>
  <si>
    <t>Robusta</t>
  </si>
  <si>
    <t>Réponse de l'offre : croissance de la production (t) contre prix détendancé (t − k) — KC pour l'arabica, DF pour le robusta</t>
  </si>
  <si>
    <t>k = 1 an</t>
  </si>
  <si>
    <t>k = 2 ans</t>
  </si>
  <si>
    <t>k = 3 ans</t>
  </si>
  <si>
    <t>Vietnam (t) contre conilon brésilien (t + k) : corrélation des croissances</t>
  </si>
  <si>
    <t>Décalage k (ans)</t>
  </si>
  <si>
    <t>-2</t>
  </si>
  <si>
    <t>-1</t>
  </si>
  <si>
    <t>0</t>
  </si>
  <si>
    <t>+1</t>
  </si>
  <si>
    <t>+2</t>
  </si>
  <si>
    <t>r</t>
  </si>
  <si>
    <t>KC (mois t) contre DF (mois t + k) : corrélation des variations mensuelles (191 mois, 2010-09 -&gt; 2026-08)</t>
  </si>
  <si>
    <t>Décalage k (mois)</t>
  </si>
  <si>
    <t>-3</t>
  </si>
  <si>
    <t>+3</t>
  </si>
  <si>
    <t>Les corrélations à ±1 mois (+0,19 et +0,14) ont la taille que produit le seul calcul de moyennes mensuelles (environ 0.17 dans les deux sens, simulation) : aucun meneur.</t>
  </si>
  <si>
    <t>Robusta sans le saut de niveau du Vietnam (croissances 2012/13-2025/26, n = 14)</t>
  </si>
  <si>
    <t>DF (t−1) → production (t)</t>
  </si>
  <si>
    <t>Vietnam (t) / conilon (t + k), 2012/13-2025/26</t>
  </si>
  <si>
    <t>Calage des campagnes et tests complémentaires (2011/12-2025/26)</t>
  </si>
  <si>
    <t>Test</t>
  </si>
  <si>
    <t>DF / récolte robusta mondiale, campagne USDA t</t>
  </si>
  <si>
    <t>DF / récolte robusta calée sur les dates de récolte</t>
  </si>
  <si>
    <t>DF / récolte robusta mondiale, campagne USDA t+1</t>
  </si>
  <si>
    <t>KC / écart à la tendance de la récolte brésilienne d'arabica suivante</t>
  </si>
  <si>
    <t>Tests multiples : 88 corrélations annuelles (production et consommation, KC et DF), 6 à p &lt; 0,05 pour 4.4 attendues par hasard ; 0 au seuil de Benjamini-Hochberg à 10 %.</t>
  </si>
  <si>
    <t>Quel stock-to-use colle le mieux au niveau du prix ? (2010/11-2025/26)</t>
  </si>
  <si>
    <t>r = corrélation avec ln(prix) ; p corrigé de l'autocorrélation ; R² validé = R² en validation croisée (une campagne retirée à la fois), formes linéaire et inverse (1/STU).</t>
  </si>
  <si>
    <t>STU</t>
  </si>
  <si>
    <t>KC : r</t>
  </si>
  <si>
    <t>KC : p corr.</t>
  </si>
  <si>
    <t>KC : R² validé (lin.)</t>
  </si>
  <si>
    <t>KC : R² validé (1/STU)</t>
  </si>
  <si>
    <t>KC : r sans 2023-26</t>
  </si>
  <si>
    <t>KC : r variations</t>
  </si>
  <si>
    <t>DF : r</t>
  </si>
  <si>
    <t>DF : p corr.</t>
  </si>
  <si>
    <t>DF : R² validé (lin.)</t>
  </si>
  <si>
    <t>DF : R² validé (1/STU)</t>
  </si>
  <si>
    <t>DF : r sans 2023-26</t>
  </si>
  <si>
    <t>DF : r variations</t>
  </si>
  <si>
    <t>KC : R² validé sans 2023-26</t>
  </si>
  <si>
    <t>DF : R² validé sans 2023-26</t>
  </si>
  <si>
    <t>Monde : stocks ÷ (conso + export)</t>
  </si>
  <si>
    <t>Monde : stocks ÷ conso</t>
  </si>
  <si>
    <t>Tous les producteurs (42 origines)</t>
  </si>
  <si>
    <t>Tous les importateurs (stocks ÷ conso)</t>
  </si>
  <si>
    <t>UE + Royaume-Uni</t>
  </si>
  <si>
    <t>États-Unis</t>
  </si>
  <si>
    <t>Japon</t>
  </si>
  <si>
    <t>Brésil</t>
  </si>
  <si>
    <t>Origines arabica (part de production)</t>
  </si>
  <si>
    <t>Origines robusta (part de production)</t>
  </si>
  <si>
    <t>Certifiés arabica (New York)</t>
  </si>
  <si>
    <t>Certifiés robusta (Londres)</t>
  </si>
  <si>
    <t>Part du niveau moyen du stock mondial (2010/11-2025/26)</t>
  </si>
  <si>
    <t>Producteurs (42 origines)</t>
  </si>
  <si>
    <t>UE + RU</t>
  </si>
  <si>
    <t>Part des variations du stock mondial (2011/12-2025/26)</t>
  </si>
  <si>
    <t>Importateurs</t>
  </si>
  <si>
    <t>Brazil</t>
  </si>
  <si>
    <t>European Union</t>
  </si>
  <si>
    <t>United States</t>
  </si>
  <si>
    <t>Japan</t>
  </si>
  <si>
    <t>Indonesia</t>
  </si>
  <si>
    <t>India</t>
  </si>
  <si>
    <t>Ecuador</t>
  </si>
  <si>
    <t>Guatemala</t>
  </si>
  <si>
    <t>China</t>
  </si>
  <si>
    <t>Qui réagit à qui ? Corrélations des variations annuelles du STU et du prix</t>
  </si>
  <si>
    <t>Même campagne : KC</t>
  </si>
  <si>
    <t>Même campagne : DF</t>
  </si>
  <si>
    <t>Prix (t) → STU (t+1) : KC</t>
  </si>
  <si>
    <t>Prix (t) → STU (t+1) : DF</t>
  </si>
  <si>
    <t>STU (t) → prix (t+1) : KC</t>
  </si>
  <si>
    <t>STU (t) → prix (t+1) : DF</t>
  </si>
  <si>
    <t>Le STU des importateurs baisse l'année qui suit une hausse du prix : il réagit au prix (déstockage), il ne le précède pas. Sans 2023/24-2025/26, les R² validés sont négatifs pour toutes les mesures sauf le STU américain pour le KC.</t>
  </si>
  <si>
    <t>Consommation par région : croissance et liens avec le prix (2011/12-2025/26)</t>
  </si>
  <si>
    <t>Région</t>
  </si>
  <si>
    <t>Croissance moyenne / an</t>
  </si>
  <si>
    <t>Écart type de la croissance</t>
  </si>
  <si>
    <t>r avec ΔKC (même campagne)</t>
  </si>
  <si>
    <t>r avec ΔDF (même campagne)</t>
  </si>
  <si>
    <t>r ΔKC (t) -&gt; croissance (t+1)</t>
  </si>
  <si>
    <t>Chine</t>
  </si>
  <si>
    <t>Autres Asie importatrice</t>
  </si>
  <si>
    <t>Brésil (conso intérieure)</t>
  </si>
  <si>
    <t>Autres origines (conso intérieure)</t>
  </si>
  <si>
    <t>Reste du monde importateur</t>
  </si>
  <si>
    <t>UE + Royaume-Uni : consommation apparente (elle monte quand les stocks européens baissent).</t>
  </si>
  <si>
    <t>KC1 et DF1 : pourquoi les deux prix bougent ensemble (septembre 2010 - août 2026)</t>
  </si>
  <si>
    <t>Moyennes mensuelles ICO de la 2e position ICE (KC New York ; DF Londres en c/lb = $/t ÷ 22,0462). Ratio = KC ÷ DF ; écart = KC − DF. Statistiques calculées par kcdf.py.</t>
  </si>
  <si>
    <t>Mois</t>
  </si>
  <si>
    <t>DF1 (c/lb)</t>
  </si>
  <si>
    <t>DF1 ($/t)</t>
  </si>
  <si>
    <t>Ratio KC/DF</t>
  </si>
  <si>
    <t>Écart KC − DF (c/lb)</t>
  </si>
  <si>
    <t>Corrélation des variations mensuelles KC / DF</t>
  </si>
  <si>
    <t>2010-09</t>
  </si>
  <si>
    <t>Toute la période (191 mois)</t>
  </si>
  <si>
    <t>2010-10</t>
  </si>
  <si>
    <t>2010-2015</t>
  </si>
  <si>
    <t>2010-11</t>
  </si>
  <si>
    <t>2016-2020</t>
  </si>
  <si>
    <t>2010-12</t>
  </si>
  <si>
    <t>2021-2026</t>
  </si>
  <si>
    <t>2011-01</t>
  </si>
  <si>
    <t>36 derniers mois</t>
  </si>
  <si>
    <t>2026-08</t>
  </si>
  <si>
    <t>2011-02</t>
  </si>
  <si>
    <t>Minimum sur 36 mois</t>
  </si>
  <si>
    <t>fin 2014-01</t>
  </si>
  <si>
    <t>2011-03</t>
  </si>
  <si>
    <t>R² (part commune)</t>
  </si>
  <si>
    <t>2011-04</t>
  </si>
  <si>
    <t>Niveaux : ln KC / ln DF</t>
  </si>
  <si>
    <t>2011-05</t>
  </si>
  <si>
    <t>2011-06</t>
  </si>
  <si>
    <t>Références (variations mensuelles)</t>
  </si>
  <si>
    <t>2011-07</t>
  </si>
  <si>
    <t>KC / Brazilian Naturals</t>
  </si>
  <si>
    <t>2011-08</t>
  </si>
  <si>
    <t>Colombian Milds / Other Milds</t>
  </si>
  <si>
    <t>2011-09</t>
  </si>
  <si>
    <t>Brazilian Naturals / Colombian Milds</t>
  </si>
  <si>
    <t>2011-10</t>
  </si>
  <si>
    <t>DF / Robustas (ICO)</t>
  </si>
  <si>
    <t>2011-11</t>
  </si>
  <si>
    <t>KC / DF</t>
  </si>
  <si>
    <t>2011-12</t>
  </si>
  <si>
    <t>Brazilian Naturals / Robustas</t>
  </si>
  <si>
    <t>2012-01</t>
  </si>
  <si>
    <t>Colombian Milds / Robustas</t>
  </si>
  <si>
    <t>2012-02</t>
  </si>
  <si>
    <t>Other Milds / Robustas</t>
  </si>
  <si>
    <t>2012-03</t>
  </si>
  <si>
    <t>2012-04</t>
  </si>
  <si>
    <t>2012-05</t>
  </si>
  <si>
    <t>Moyenne</t>
  </si>
  <si>
    <t>2012-06</t>
  </si>
  <si>
    <t>Médiane</t>
  </si>
  <si>
    <t>2012-07</t>
  </si>
  <si>
    <t>Minimum</t>
  </si>
  <si>
    <t>2024-09</t>
  </si>
  <si>
    <t>2012-08</t>
  </si>
  <si>
    <t>Maximum</t>
  </si>
  <si>
    <t>2012-09</t>
  </si>
  <si>
    <t>Dernier</t>
  </si>
  <si>
    <t>2012-10</t>
  </si>
  <si>
    <t>Centile du dernier</t>
  </si>
  <si>
    <t>2012-11</t>
  </si>
  <si>
    <t>10e centile</t>
  </si>
  <si>
    <t>2012-12</t>
  </si>
  <si>
    <t>90e centile</t>
  </si>
  <si>
    <t>2013-01</t>
  </si>
  <si>
    <t>Demi-vie (mois, AR(1))</t>
  </si>
  <si>
    <t>2013-02</t>
  </si>
  <si>
    <t>Test ADF (t)</t>
  </si>
  <si>
    <t>seuil 10 % : -2.57</t>
  </si>
  <si>
    <t>2013-03</t>
  </si>
  <si>
    <t>Cointégration ln DF / ln KC : ADF des résidus</t>
  </si>
  <si>
    <t>seuil 10 % : -3.04</t>
  </si>
  <si>
    <t>2013-04</t>
  </si>
  <si>
    <t>2013-05</t>
  </si>
  <si>
    <t>Avance / retard (moyennes mensuelles)</t>
  </si>
  <si>
    <t>2013-06</t>
  </si>
  <si>
    <t>DF (t−1) → KC (t)</t>
  </si>
  <si>
    <t>2013-07</t>
  </si>
  <si>
    <t>KC (t−1) → DF (t)</t>
  </si>
  <si>
    <t>2013-08</t>
  </si>
  <si>
    <t>Artefact attendu des moyennes (simulation)</t>
  </si>
  <si>
    <t>400 tirages</t>
  </si>
  <si>
    <t>2013-09</t>
  </si>
  <si>
    <t>2013-10</t>
  </si>
  <si>
    <t>Campagnes : récoltes et prix (n = 15)</t>
  </si>
  <si>
    <t>2013-11</t>
  </si>
  <si>
    <t>KC / DF : variations annuelles</t>
  </si>
  <si>
    <t>2013-12</t>
  </si>
  <si>
    <t>Récoltes arabica / robusta, même campagne</t>
  </si>
  <si>
    <t>2014-01</t>
  </si>
  <si>
    <t>Récoltes que chaque prix regarde</t>
  </si>
  <si>
    <t>2014-02</t>
  </si>
  <si>
    <t>Brésil : arabica / conilon</t>
  </si>
  <si>
    <t>2014-03</t>
  </si>
  <si>
    <t>KC / DF après effet des deux récoltes</t>
  </si>
  <si>
    <t>autres calages : 0.67 / 0.75</t>
  </si>
  <si>
    <t>2014-04</t>
  </si>
  <si>
    <t>Ratio / écart de croissance des récoltes</t>
  </si>
  <si>
    <t>2014-05</t>
  </si>
  <si>
    <t>2014-06</t>
  </si>
  <si>
    <t>Récoltes par espèce et ratio par campagne</t>
  </si>
  <si>
    <t>2014-07</t>
  </si>
  <si>
    <t>Arabica (variation)</t>
  </si>
  <si>
    <t>Robusta (variation)</t>
  </si>
  <si>
    <t>Part du robusta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</si>
  <si>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</si>
  <si>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</si>
  <si>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</si>
  <si>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</si>
  <si>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</si>
  <si>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</si>
  <si>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</si>
  <si>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</si>
  <si>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</si>
  <si>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</si>
  <si>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</si>
  <si>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</si>
  <si>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</si>
  <si>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</si>
  <si>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</si>
  <si>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</si>
  <si>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</si>
  <si>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</si>
  <si>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</si>
  <si>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</si>
  <si>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</si>
  <si>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</si>
  <si>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</si>
  <si>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</si>
  <si>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</si>
  <si>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</si>
  <si>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</si>
  <si>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</si>
  <si>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</si>
  <si>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</si>
  <si>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</si>
  <si>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</si>
  <si>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</si>
  <si>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</si>
  <si>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</si>
  <si>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</si>
  <si>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</si>
  <si>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</si>
  <si>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</si>
  <si>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</si>
  <si>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</si>
  <si>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</si>
  <si>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</si>
  <si>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</si>
  <si>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</si>
  <si>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</si>
  <si>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</si>
  <si>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</si>
  <si>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</si>
  <si>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</si>
  <si>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</si>
  <si>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</si>
  <si>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</si>
  <si>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</si>
  <si>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</si>
  <si>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</si>
  <si>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</si>
  <si>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</si>
  <si>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</si>
  <si>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</si>
  <si>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</si>
  <si>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</si>
  <si>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</si>
  <si>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</si>
  <si>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</si>
  <si>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</si>
  <si>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</si>
  <si>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</si>
  <si>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</si>
  <si>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</si>
  <si>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</si>
  <si>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</si>
  <si>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</si>
  <si>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</si>
  <si>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</si>
  <si>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</si>
  <si>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</si>
  <si>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</si>
  <si>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</si>
  <si>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</si>
  <si>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</si>
  <si>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</si>
  <si>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</si>
  <si>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</si>
  <si>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</si>
  <si>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</si>
  <si>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</si>
  <si>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</si>
  <si>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</si>
  <si>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</si>
  <si>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</si>
  <si>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</si>
  <si>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</si>
  <si>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</si>
  <si>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</si>
  <si>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</si>
  <si>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</si>
  <si>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</si>
  <si>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</si>
  <si>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</si>
  <si>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</si>
  <si>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</si>
  <si>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</si>
  <si>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</si>
  <si>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</si>
  <si>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</si>
  <si>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</si>
  <si>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</si>
  <si>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</si>
  <si>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</si>
  <si>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</si>
  <si>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</si>
  <si>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</si>
  <si>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</si>
  <si>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</si>
  <si>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</si>
  <si>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</si>
  <si>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</si>
  <si>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</si>
  <si>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</si>
  <si>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</si>
  <si>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</si>
  <si>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</si>
  <si>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</si>
  <si>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</si>
  <si>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</si>
  <si>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</si>
  <si>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</si>
  <si>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</si>
  <si>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</si>
  <si>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</si>
  <si>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</si>
  <si>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</si>
  <si>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</si>
  <si>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</si>
  <si>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</si>
  <si>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</si>
  <si>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</si>
  <si>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</si>
  <si>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</si>
  <si>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</si>
  <si>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</si>
  <si>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</si>
  <si>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Qui bouge en premier ? Cours quotidiens KC et DF, juin 2021 - mai 2026</t>
  </si>
  <si>
    <t>Source : copie publique (github.com/axelcohen75/coffee-dashboard, fichier du 2026-10-01) de Yahoo Finance KC=F et d'Investing.com (robusta de Londres), contrat le plus proche, non ajusté des changements de contrat. Variations = ln(prix du jour / prix de la veille), sur les jours communs.</t>
  </si>
  <si>
    <t>Date</t>
  </si>
  <si>
    <t>Variation KC</t>
  </si>
  <si>
    <t>Variation DF</t>
  </si>
  <si>
    <t>Corrélation des variations quotidiennes selon le décalage</t>
  </si>
  <si>
    <t>2021-06-01</t>
  </si>
  <si>
    <t>Décalage (k &gt; 0 : le KC précède le DF de k jours)</t>
  </si>
  <si>
    <t>Tous les jours</t>
  </si>
  <si>
    <t>Sans jours extrêmes</t>
  </si>
  <si>
    <t>Rangs (Spearman)</t>
  </si>
  <si>
    <t>2021-06-02</t>
  </si>
  <si>
    <t>k = -5</t>
  </si>
  <si>
    <t>2021-06-03</t>
  </si>
  <si>
    <t>k = -4</t>
  </si>
  <si>
    <t>2021-06-04</t>
  </si>
  <si>
    <t>k = -3</t>
  </si>
  <si>
    <t>2021-06-07</t>
  </si>
  <si>
    <t>k = -2</t>
  </si>
  <si>
    <t>2021-06-08</t>
  </si>
  <si>
    <t>k = -1</t>
  </si>
  <si>
    <t>2021-06-09</t>
  </si>
  <si>
    <t>k = +0</t>
  </si>
  <si>
    <t>2021-06-10</t>
  </si>
  <si>
    <t>k = +1</t>
  </si>
  <si>
    <t>2021-06-11</t>
  </si>
  <si>
    <t>k = +2</t>
  </si>
  <si>
    <t>2021-06-14</t>
  </si>
  <si>
    <t>k = +3</t>
  </si>
  <si>
    <t>2021-06-15</t>
  </si>
  <si>
    <t>k = +4</t>
  </si>
  <si>
    <t>2021-06-16</t>
  </si>
  <si>
    <t>k = +5</t>
  </si>
  <si>
    <t>2021-06-17</t>
  </si>
  <si>
    <t>Vérification : CORREL des colonnes E et F (même jour)</t>
  </si>
  <si>
    <t>2021-06-18</t>
  </si>
  <si>
    <t>2021-06-21</t>
  </si>
  <si>
    <t>Heures de clôture : corrélations à un jour</t>
  </si>
  <si>
    <t>2021-06-22</t>
  </si>
  <si>
    <t>Même jour</t>
  </si>
  <si>
    <t>KC (t) → DF (t+1)</t>
  </si>
  <si>
    <t>DF (t) → KC (t+1)</t>
  </si>
  <si>
    <t>2021-06-23</t>
  </si>
  <si>
    <t>KC clôture 1 h après le DF (1143 jours)</t>
  </si>
  <si>
    <t>2021-06-24</t>
  </si>
  <si>
    <t>Clôtures au même instant (89 jours)</t>
  </si>
  <si>
    <t>2021-06-25</t>
  </si>
  <si>
    <t>2021-06-28</t>
  </si>
  <si>
    <t>Pas hebdomadaire (blocs de 5 jours communs)</t>
  </si>
  <si>
    <t>2021-06-29</t>
  </si>
  <si>
    <t>k = -3 semaine(s)</t>
  </si>
  <si>
    <t>2021-06-30</t>
  </si>
  <si>
    <t>k = -2 semaine(s)</t>
  </si>
  <si>
    <t>2021-07-01</t>
  </si>
  <si>
    <t>k = -1 semaine(s)</t>
  </si>
  <si>
    <t>2021-07-02</t>
  </si>
  <si>
    <t>k = +0 semaine(s)</t>
  </si>
  <si>
    <t>2021-07-06</t>
  </si>
  <si>
    <t>k = +1 semaine(s)</t>
  </si>
  <si>
    <t>2021-07-07</t>
  </si>
  <si>
    <t>k = +2 semaine(s)</t>
  </si>
  <si>
    <t>2021-07-08</t>
  </si>
  <si>
    <t>k = +3 semaine(s)</t>
  </si>
  <si>
    <t>2021-07-09</t>
  </si>
  <si>
    <t>2021-07-12</t>
  </si>
  <si>
    <t>Causalité de Granger (5 jours de retard, Wald robuste)</t>
  </si>
  <si>
    <t>2021-07-13</t>
  </si>
  <si>
    <t>Wald</t>
  </si>
  <si>
    <t>p sans jours extrêmes</t>
  </si>
  <si>
    <t>2021-07-14</t>
  </si>
  <si>
    <t>Le KC passé prédit-il le DF ?</t>
  </si>
  <si>
    <t>2021-07-15</t>
  </si>
  <si>
    <t>Le DF passé prédit-il le KC ?</t>
  </si>
  <si>
    <t>2021-07-16</t>
  </si>
  <si>
    <t>2021-07-19</t>
  </si>
  <si>
    <t>Après un gros choc (plus de 2 écarts types) : mouvement de l'autre marché</t>
  </si>
  <si>
    <t>2021-07-20</t>
  </si>
  <si>
    <t>Jour même</t>
  </si>
  <si>
    <t>Lendemain</t>
  </si>
  <si>
    <t>Deux jours après</t>
  </si>
  <si>
    <t>2021-07-21</t>
  </si>
  <si>
    <t>DF après un gros mouvement du KC (48 chocs)</t>
  </si>
  <si>
    <t>2021-07-22</t>
  </si>
  <si>
    <t>KC après un gros mouvement du DF (49 chocs)</t>
  </si>
  <si>
    <t>2021-07-23</t>
  </si>
  <si>
    <t>2021-07-26</t>
  </si>
  <si>
    <t>Real brésilien, pas hebdomadaire (239 semaines)</t>
  </si>
  <si>
    <t>2021-07-27</t>
  </si>
  <si>
    <t>KC / USD-BRL</t>
  </si>
  <si>
    <t>2021-07-28</t>
  </si>
  <si>
    <t>DF / USD-BRL</t>
  </si>
  <si>
    <t>2021-07-29</t>
  </si>
  <si>
    <t>2021-07-30</t>
  </si>
  <si>
    <t>KC / DF, real retiré (partielle)</t>
  </si>
  <si>
    <t>2021-08-02</t>
  </si>
  <si>
    <t>2021-08-03</t>
  </si>
  <si>
    <t>Lecture : les deux marchés bougent le même jour ; ni le KC ni le DF ne prédit l'autre le lendemain. Jours extrêmes retirés (changements de contrat probables) : 2021-07-22, 2021-07-26, 2021-07-30, 2022-05-11, 2024-01-16, 2024-05-02, 2024-12-02, 2025-07-14, 2025-09-02, 2025-09-17, 2025-09-19, 2025-12-17.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</si>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</sst>
</file>

<file path=xl/styles.xml><?xml version="1.0" encoding="utf-8"?>
<styleSheet xmlns="http://schemas.openxmlformats.org/spreadsheetml/2006/main">
  <numFmts count="5">
    <numFmt numFmtId="164" formatCode="+#,##0.0;-#,##0.0;0.0"/>
    <numFmt numFmtId="165" formatCode="0.0%"/>
    <numFmt numFmtId="166" formatCode="+0%;-0%;0%"/>
    <numFmt numFmtId="167" formatCode="+0.00;-0.00;0.00"/>
    <numFmt numFmtId="168" formatCode="#,##0.0"/>
  </numFmts>
  <fonts count="7">
    <font>
      <sz val="10"/>
      <color rgb="FF00000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/>
    </xf>
    <xf numFmtId="4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166" fontId="4" fillId="0" borderId="0" xfId="0" applyNumberFormat="1" applyFont="1" applyFill="1" applyBorder="1" applyAlignment="1">
      <alignment vertical="center"/>
    </xf>
    <xf numFmtId="167" fontId="4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vertical="center"/>
    </xf>
    <xf numFmtId="168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top" wrapText="1"/>
    </xf>
    <xf numFmtId="10" fontId="4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c:chart>
    <c:title>
      <c:tx>
        <c:rich>
          <a:bodyPr/>
          <a:lstStyle/>
          <a:p>
            <a:pPr>
              <a:defRPr sz="1200" b="1">
                <a:solidFill>
                  <a:srgbClr val="262626"/>
                </a:solidFill>
              </a:defRPr>
            </a:pPr>
            <a:r>
              <a:rPr lang="fr-FR" sz="1200" b="1">
                <a:solidFill>
                  <a:srgbClr val="262626"/>
                </a:solidFill>
              </a:rPr>
              <a:t>Solde mondial (variation des stocks, M sacs) et prix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Solde mondial (M sacs)</c:v>
          </c:tx>
          <c:spPr>
            <a:solidFill>
              <a:srgbClr val="3B5B8C"/>
            </a:solidFill>
            <a:ln>
              <a:noFill/>
            </a:ln>
          </c:spPr>
          <c:invertIfNegative val="0"/>
          <c:dLbls>
            <c:numFmt formatCode="#,##0.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>
                    <a:solidFill>
                      <a:srgbClr val="404040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'1_Series'!$A$5:$A$21</c:f>
              <c:strCache>
                <c:ptCount val="17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  <c:pt idx="16">
                  <c:v>2026/27 (prév.)</c:v>
                </c:pt>
              </c:strCache>
            </c:strRef>
          </c:cat>
          <c:val>
            <c:numRef>
              <c:f>'1_Series'!$H$5:$H$21</c:f>
              <c:numCache>
                <c:formatCode>#,##0.0</c:formatCode>
                <c:ptCount val="17"/>
                <c:pt idx="0">
                  <c:v>-0.205</c:v>
                </c:pt>
                <c:pt idx="1">
                  <c:v>-2.892</c:v>
                </c:pt>
                <c:pt idx="2">
                  <c:v>9.617</c:v>
                </c:pt>
                <c:pt idx="3">
                  <c:v>5.819</c:v>
                </c:pt>
                <c:pt idx="4">
                  <c:v>1.948</c:v>
                </c:pt>
                <c:pt idx="5">
                  <c:v>-8.181</c:v>
                </c:pt>
                <c:pt idx="6">
                  <c:v>1.502</c:v>
                </c:pt>
                <c:pt idx="7">
                  <c:v>-4.502</c:v>
                </c:pt>
                <c:pt idx="8">
                  <c:v>4.995</c:v>
                </c:pt>
                <c:pt idx="9">
                  <c:v>-1.138</c:v>
                </c:pt>
                <c:pt idx="10">
                  <c:v>1.686</c:v>
                </c:pt>
                <c:pt idx="11">
                  <c:v>-5.554</c:v>
                </c:pt>
                <c:pt idx="12">
                  <c:v>-5.006</c:v>
                </c:pt>
                <c:pt idx="13">
                  <c:v>-3.813</c:v>
                </c:pt>
                <c:pt idx="14">
                  <c:v>-1.111</c:v>
                </c:pt>
                <c:pt idx="15">
                  <c:v>2.36</c:v>
                </c:pt>
                <c:pt idx="16">
                  <c:v>1.913</c:v>
                </c:pt>
              </c:numCache>
            </c:numRef>
          </c:val>
        </c:ser>
        <c:gapWidth val="40"/>
        <c:overlap val="0"/>
        <c:axId val="101"/>
        <c:axId val="102"/>
      </c:barChart>
      <c:lineChart>
        <c:grouping val="standard"/>
        <c:varyColors val="0"/>
        <c:ser>
          <c:idx val="1"/>
          <c:order val="1"/>
          <c:tx>
            <c:v>KC1 (c/lb)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'1_Series'!$A$5:$A$21</c:f>
              <c:strCache>
                <c:ptCount val="17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  <c:pt idx="16">
                  <c:v>2026/27 (prév.)</c:v>
                </c:pt>
              </c:strCache>
            </c:strRef>
          </c:cat>
          <c:val>
            <c:numRef>
              <c:f>'1_Series'!$AD$5:$AD$21</c:f>
              <c:numCache>
                <c:formatCode>#,##0</c:formatCode>
                <c:ptCount val="17"/>
                <c:pt idx="0">
                  <c:v>249.65999999999997</c:v>
                </c:pt>
                <c:pt idx="1">
                  <c:v>197.8416666666667</c:v>
                </c:pt>
                <c:pt idx="2">
                  <c:v>140.69833333333332</c:v>
                </c:pt>
                <c:pt idx="3">
                  <c:v>161.4675</c:v>
                </c:pt>
                <c:pt idx="4">
                  <c:v>154.02083333333334</c:v>
                </c:pt>
                <c:pt idx="5">
                  <c:v>131.83249999999998</c:v>
                </c:pt>
                <c:pt idx="6">
                  <c:v>143.7716666666667</c:v>
                </c:pt>
                <c:pt idx="7">
                  <c:v>120.60083333333334</c:v>
                </c:pt>
                <c:pt idx="8">
                  <c:v>104.98083333333334</c:v>
                </c:pt>
                <c:pt idx="9">
                  <c:v>113.23666666666666</c:v>
                </c:pt>
                <c:pt idx="10">
                  <c:v>143.75333333333336</c:v>
                </c:pt>
                <c:pt idx="11">
                  <c:v>224.0875</c:v>
                </c:pt>
                <c:pt idx="12">
                  <c:v>171.18999999999997</c:v>
                </c:pt>
                <c:pt idx="13">
                  <c:v>204.00166666666667</c:v>
                </c:pt>
                <c:pt idx="14">
                  <c:v>333.06</c:v>
                </c:pt>
                <c:pt idx="15">
                  <c:v>312.21</c:v>
                </c:pt>
              </c:numCache>
            </c:numRef>
          </c:val>
          <c:smooth val="0"/>
        </c:ser>
        <c:marker val="1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4E4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595959"/>
                    </a:solidFill>
                  </a:defRPr>
                </a:pPr>
                <a:r>
                  <a:rPr lang="fr-FR" sz="900" b="0">
                    <a:solidFill>
                      <a:srgbClr val="595959"/>
                    </a:solidFill>
                  </a:rPr>
                  <a:t>M sacs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majorTickMark val="none"/>
        <c:minorTickMark val="none"/>
        <c:tickLblPos val="nextTo"/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595959"/>
                    </a:solidFill>
                  </a:defRPr>
                </a:pPr>
                <a:r>
                  <a:rPr lang="fr-FR" sz="900" b="0">
                    <a:solidFill>
                      <a:srgbClr val="595959"/>
                    </a:solidFill>
                  </a:rPr>
                  <a:t>KC1 (US c/lb)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404040"/>
              </a:solidFill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900">
          <a:latin typeface="Arial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c:chart>
    <c:title>
      <c:tx>
        <c:rich>
          <a:bodyPr/>
          <a:lstStyle/>
          <a:p>
            <a:pPr>
              <a:defRPr sz="1200" b="1">
                <a:solidFill>
                  <a:srgbClr val="262626"/>
                </a:solidFill>
              </a:defRPr>
            </a:pPr>
            <a:r>
              <a:rPr lang="fr-FR" sz="1200" b="1">
                <a:solidFill>
                  <a:srgbClr val="262626"/>
                </a:solidFill>
              </a:rPr>
              <a:t>Récolte arabica contre récolte robusta, et ratio KC/DF de la campagne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Arabica (variation)</c:v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'8_KC_DF'!$H$52:$H$66</c:f>
              <c:strCache>
                <c:ptCount val="15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  <c:pt idx="14">
                  <c:v>2025/26</c:v>
                </c:pt>
              </c:strCache>
            </c:strRef>
          </c:cat>
          <c:val>
            <c:numRef>
              <c:f>'8_KC_DF'!$I$52:$I$66</c:f>
              <c:numCache>
                <c:formatCode>0%</c:formatCode>
                <c:ptCount val="15"/>
                <c:pt idx="0">
                  <c:v>-0.039440425040464515</c:v>
                </c:pt>
                <c:pt idx="1">
                  <c:v>0.09397374873665859</c:v>
                </c:pt>
                <c:pt idx="2">
                  <c:v>-0.0043920064988947965</c:v>
                </c:pt>
                <c:pt idx="3">
                  <c:v>-0.0645147286341553</c:v>
                </c:pt>
                <c:pt idx="4">
                  <c:v>-0.006399633004352107</c:v>
                </c:pt>
                <c:pt idx="5">
                  <c:v>0.16055031283161036</c:v>
                </c:pt>
                <c:pt idx="6">
                  <c:v>-0.0602341348643643</c:v>
                </c:pt>
                <c:pt idx="7">
                  <c:v>0.09702332892576736</c:v>
                </c:pt>
                <c:pt idx="8">
                  <c:v>-0.10021037309175154</c:v>
                </c:pt>
                <c:pt idx="9">
                  <c:v>0.07344630099218086</c:v>
                </c:pt>
                <c:pt idx="10">
                  <c:v>-0.15956068342760504</c:v>
                </c:pt>
                <c:pt idx="11">
                  <c:v>0.009360228799794163</c:v>
                </c:pt>
                <c:pt idx="12">
                  <c:v>0.10006829107000725</c:v>
                </c:pt>
                <c:pt idx="13">
                  <c:v>0.05131593719418916</c:v>
                </c:pt>
                <c:pt idx="14">
                  <c:v>-0.07971032911084874</c:v>
                </c:pt>
              </c:numCache>
            </c:numRef>
          </c:val>
        </c:ser>
        <c:ser>
          <c:idx val="1"/>
          <c:order val="1"/>
          <c:tx>
            <c:v>Robusta (variation)</c:v>
          </c:tx>
          <c:spPr>
            <a:solidFill>
              <a:srgbClr val="E07B1F"/>
            </a:solidFill>
            <a:ln>
              <a:noFill/>
            </a:ln>
          </c:spPr>
          <c:invertIfNegative val="0"/>
          <c:cat>
            <c:strRef>
              <c:f>'8_KC_DF'!$H$52:$H$66</c:f>
              <c:strCache>
                <c:ptCount val="15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  <c:pt idx="14">
                  <c:v>2025/26</c:v>
                </c:pt>
              </c:strCache>
            </c:strRef>
          </c:cat>
          <c:val>
            <c:numRef>
              <c:f>'8_KC_DF'!$J$52:$J$66</c:f>
              <c:numCache>
                <c:formatCode>0%</c:formatCode>
                <c:ptCount val="15"/>
                <c:pt idx="0">
                  <c:v>0.12020324369691818</c:v>
                </c:pt>
                <c:pt idx="1">
                  <c:v>0.07738172335376971</c:v>
                </c:pt>
                <c:pt idx="2">
                  <c:v>0.036814343005457884</c:v>
                </c:pt>
                <c:pt idx="3">
                  <c:v>-0.00714198600662955</c:v>
                </c:pt>
                <c:pt idx="4">
                  <c:v>-0.012203866549061151</c:v>
                </c:pt>
                <c:pt idx="5">
                  <c:v>-0.10070528467298769</c:v>
                </c:pt>
                <c:pt idx="6">
                  <c:v>0.07466548935827606</c:v>
                </c:pt>
                <c:pt idx="7">
                  <c:v>0.09363387516961397</c:v>
                </c:pt>
                <c:pt idx="8">
                  <c:v>0.04384350720256063</c:v>
                </c:pt>
                <c:pt idx="9">
                  <c:v>0.004443015629432726</c:v>
                </c:pt>
                <c:pt idx="10">
                  <c:v>0.046151739082526025</c:v>
                </c:pt>
                <c:pt idx="11">
                  <c:v>-0.017260546518575937</c:v>
                </c:pt>
                <c:pt idx="12">
                  <c:v>-0.05977746506094009</c:v>
                </c:pt>
                <c:pt idx="13">
                  <c:v>0.032242168502113526</c:v>
                </c:pt>
                <c:pt idx="14">
                  <c:v>0.12411301711876287</c:v>
                </c:pt>
              </c:numCache>
            </c:numRef>
          </c:val>
        </c:ser>
        <c:gapWidth val="40"/>
        <c:overlap val="-5"/>
        <c:axId val="101"/>
        <c:axId val="102"/>
      </c:barChart>
      <c:lineChart>
        <c:grouping val="standard"/>
        <c:varyColors val="0"/>
        <c:ser>
          <c:idx val="2"/>
          <c:order val="2"/>
          <c:tx>
            <c:v>Ratio KC/DF</c:v>
          </c:tx>
          <c:spPr>
            <a:ln w="28575" cap="rnd">
              <a:solidFill>
                <a:srgbClr val="0B0B0B"/>
              </a:solidFill>
              <a:round/>
            </a:ln>
          </c:spPr>
          <c:marker>
            <c:symbol val="circle"/>
            <c:size val="5"/>
            <c:spPr>
              <a:solidFill>
                <a:srgbClr val="0B0B0B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'8_KC_DF'!$H$52:$H$66</c:f>
              <c:strCache>
                <c:ptCount val="15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  <c:pt idx="14">
                  <c:v>2025/26</c:v>
                </c:pt>
              </c:strCache>
            </c:strRef>
          </c:cat>
          <c:val>
            <c:numRef>
              <c:f>'8_KC_DF'!$K$52:$K$66</c:f>
              <c:numCache>
                <c:formatCode>0.00</c:formatCode>
                <c:ptCount val="15"/>
                <c:pt idx="0">
                  <c:v>2.164944693190834</c:v>
                </c:pt>
                <c:pt idx="1">
                  <c:v>1.5901560601636888</c:v>
                </c:pt>
                <c:pt idx="2">
                  <c:v>1.8802802550243087</c:v>
                </c:pt>
                <c:pt idx="3">
                  <c:v>1.835529778634066</c:v>
                </c:pt>
                <c:pt idx="4">
                  <c:v>1.7798766904435088</c:v>
                </c:pt>
                <c:pt idx="5">
                  <c:v>1.5114237656375935</c:v>
                </c:pt>
                <c:pt idx="6">
                  <c:v>1.5405356496561706</c:v>
                </c:pt>
                <c:pt idx="7">
                  <c:v>1.5545231308382388</c:v>
                </c:pt>
                <c:pt idx="8">
                  <c:v>1.9121086329416732</c:v>
                </c:pt>
                <c:pt idx="9">
                  <c:v>2.0566795827123703</c:v>
                </c:pt>
                <c:pt idx="10">
                  <c:v>2.297646003332336</c:v>
                </c:pt>
                <c:pt idx="11">
                  <c:v>1.7022821061005318</c:v>
                </c:pt>
                <c:pt idx="12">
                  <c:v>1.2834329453706614</c:v>
                </c:pt>
                <c:pt idx="13">
                  <c:v>1.5617006810695486</c:v>
                </c:pt>
                <c:pt idx="14">
                  <c:v>1.816845301704527</c:v>
                </c:pt>
              </c:numCache>
            </c:numRef>
          </c:val>
          <c:smooth val="0"/>
        </c:ser>
        <c:marker val="1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4E4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595959"/>
                    </a:solidFill>
                  </a:defRPr>
                </a:pPr>
                <a:r>
                  <a:rPr lang="fr-FR" sz="900" b="0">
                    <a:solidFill>
                      <a:srgbClr val="595959"/>
                    </a:solidFill>
                  </a:rPr>
                  <a:t>Variation de la production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majorTickMark val="none"/>
        <c:minorTickMark val="none"/>
        <c:tickLblPos val="nextTo"/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  <c:min val="1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595959"/>
                    </a:solidFill>
                  </a:defRPr>
                </a:pPr>
                <a:r>
                  <a:rPr lang="fr-FR" sz="900" b="0">
                    <a:solidFill>
                      <a:srgbClr val="595959"/>
                    </a:solidFill>
                  </a:rPr>
                  <a:t>Ratio KC/DF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fr-FR"/>
          </a:p>
        </c:txPr>
        <c:crossAx val="1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404040"/>
              </a:solidFill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 sz="900">
          <a:latin typeface="Arial"/>
        </a:defRPr>
      </a:pPr>
      <a:endParaRPr lang="fr-FR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67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A14"/>
  <sheetViews>
    <sheetView tabSelected="1" showGridLines="0" workbookViewId="0"/>
  </sheetViews>
  <sheetFormatPr defaultRowHeight="12.75"/>
  <cols>
    <col min="1" max="1" width="150" customWidth="1"/>
  </cols>
  <sheetData>
    <row r="1">
      <c r="A1" s="1" t="s">
        <v>0</v>
      </c>
    </row>
    <row r="3">
      <c r="A3" s="17" t="s">
        <v>1</v>
      </c>
    </row>
    <row r="4">
      <c r="A4" s="17" t="s">
        <v>2</v>
      </c>
    </row>
    <row r="5">
      <c r="A5" s="17" t="s">
        <v>3</v>
      </c>
    </row>
    <row r="6">
      <c r="A6" s="17" t="s">
        <v>4</v>
      </c>
    </row>
    <row r="7">
      <c r="A7" s="17" t="s">
        <v>5</v>
      </c>
    </row>
    <row r="8">
      <c r="A8" s="17" t="s">
        <v>6</v>
      </c>
    </row>
    <row r="9">
      <c r="A9" s="17" t="s">
        <v>7</v>
      </c>
    </row>
    <row r="10">
      <c r="A10" s="17" t="s">
        <v>8</v>
      </c>
    </row>
    <row r="11">
      <c r="A11" s="17" t="s">
        <v>9</v>
      </c>
    </row>
    <row r="12">
      <c r="A12" s="17" t="s">
        <v>10</v>
      </c>
    </row>
    <row r="13">
      <c r="A13" s="17" t="s">
        <v>11</v>
      </c>
    </row>
    <row r="14">
      <c r="A14" s="17" t="s">
        <v>12</v>
      </c>
    </row>
  </sheetData>
  <pageMargins left="0.5" right="0.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5B8C"/>
  </sheetPr>
  <dimension ref="A1:AE2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2.75"/>
  <cols>
    <col min="1" max="1" width="12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  <col min="30" max="30" width="11" customWidth="1"/>
    <col min="31" max="31" width="11" customWidth="1"/>
  </cols>
  <sheetData>
    <row r="1">
      <c r="A1" s="1" t="s">
        <v>13</v>
      </c>
    </row>
    <row r="2">
      <c r="A2" s="2" t="s">
        <v>14</v>
      </c>
    </row>
    <row r="4" ht="64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  <c r="R4" s="3" t="s">
        <v>32</v>
      </c>
      <c r="S4" s="3" t="s">
        <v>33</v>
      </c>
      <c r="T4" s="3" t="s">
        <v>34</v>
      </c>
      <c r="U4" s="3" t="s">
        <v>35</v>
      </c>
      <c r="V4" s="3" t="s">
        <v>36</v>
      </c>
      <c r="W4" s="3" t="s">
        <v>37</v>
      </c>
      <c r="X4" s="3" t="s">
        <v>38</v>
      </c>
      <c r="Y4" s="3" t="s">
        <v>39</v>
      </c>
      <c r="Z4" s="3" t="s">
        <v>40</v>
      </c>
      <c r="AA4" s="3" t="s">
        <v>41</v>
      </c>
      <c r="AB4" s="3" t="s">
        <v>42</v>
      </c>
      <c r="AC4" s="3" t="s">
        <v>43</v>
      </c>
      <c r="AD4" s="3" t="s">
        <v>44</v>
      </c>
      <c r="AE4" s="3" t="s">
        <v>45</v>
      </c>
    </row>
    <row r="5">
      <c r="A5" s="6" t="s">
        <v>46</v>
      </c>
      <c r="B5" s="7">
        <v>141.409</v>
      </c>
      <c r="C5" s="7">
        <v>135.508</v>
      </c>
      <c r="D5" s="7">
        <v>6.106</v>
      </c>
      <c r="E5" s="7">
        <v>28.64</v>
      </c>
      <c r="F5" s="7">
        <v>252.48</v>
      </c>
      <c r="G5" s="10">
        <v>0.11343472750316856</v>
      </c>
      <c r="H5" s="8">
        <v>-0.205</v>
      </c>
      <c r="I5" s="7">
        <v>41.8</v>
      </c>
      <c r="J5" s="7">
        <v>12.7</v>
      </c>
      <c r="K5" s="7">
        <v>19.415</v>
      </c>
      <c r="L5" s="7">
        <v>8.525</v>
      </c>
      <c r="M5" s="7">
        <v>9.325</v>
      </c>
      <c r="N5" s="7">
        <v>6.125</v>
      </c>
      <c r="O5" s="7">
        <v>3.212</v>
      </c>
      <c r="P5" s="7">
        <v>5.035</v>
      </c>
      <c r="Q5" s="7">
        <v>18.228</v>
      </c>
      <c r="R5" s="7">
        <v>5.5</v>
      </c>
      <c r="S5" s="7">
        <v>6.594</v>
      </c>
      <c r="T5" s="7">
        <v>4.897</v>
      </c>
      <c r="U5" s="7">
        <v>0.053</v>
      </c>
      <c r="V5" s="7">
        <v>41.35</v>
      </c>
      <c r="W5" s="7">
        <v>22.383</v>
      </c>
      <c r="X5" s="7">
        <v>7.015</v>
      </c>
      <c r="Y5" s="7">
        <v>1.109</v>
      </c>
      <c r="Z5" s="7">
        <v>5.065</v>
      </c>
      <c r="AA5" s="7">
        <v>19.42</v>
      </c>
      <c r="AB5" s="7">
        <v>16.408</v>
      </c>
      <c r="AC5" s="7">
        <v>22.758</v>
      </c>
      <c r="AD5" s="14">
        <v>249.65999999999997</v>
      </c>
      <c r="AE5" s="15">
        <v>2219.0812700161664</v>
      </c>
    </row>
    <row r="6">
      <c r="A6" s="6" t="s">
        <v>47</v>
      </c>
      <c r="B6" s="7">
        <v>144.837</v>
      </c>
      <c r="C6" s="7">
        <v>142.831</v>
      </c>
      <c r="D6" s="7">
        <v>4.898</v>
      </c>
      <c r="E6" s="7">
        <v>25.748</v>
      </c>
      <c r="F6" s="7">
        <v>260.862</v>
      </c>
      <c r="G6" s="10">
        <v>0.09870352906900967</v>
      </c>
      <c r="H6" s="8">
        <v>-2.892</v>
      </c>
      <c r="I6" s="7">
        <v>34.7</v>
      </c>
      <c r="J6" s="7">
        <v>14.5</v>
      </c>
      <c r="K6" s="7">
        <v>26</v>
      </c>
      <c r="L6" s="7">
        <v>7.655</v>
      </c>
      <c r="M6" s="7">
        <v>7.97</v>
      </c>
      <c r="N6" s="7">
        <v>6.32</v>
      </c>
      <c r="O6" s="7">
        <v>3.075</v>
      </c>
      <c r="P6" s="7">
        <v>5.23</v>
      </c>
      <c r="Q6" s="7">
        <v>20.525</v>
      </c>
      <c r="R6" s="7">
        <v>6.67</v>
      </c>
      <c r="S6" s="7">
        <v>6.166</v>
      </c>
      <c r="T6" s="7">
        <v>5.98</v>
      </c>
      <c r="U6" s="7">
        <v>0.046</v>
      </c>
      <c r="V6" s="7">
        <v>45.25</v>
      </c>
      <c r="W6" s="7">
        <v>22.946</v>
      </c>
      <c r="X6" s="7">
        <v>7.05</v>
      </c>
      <c r="Y6" s="7">
        <v>1.106</v>
      </c>
      <c r="Z6" s="7">
        <v>5.9</v>
      </c>
      <c r="AA6" s="7">
        <v>20.025</v>
      </c>
      <c r="AB6" s="7">
        <v>17.424</v>
      </c>
      <c r="AC6" s="7">
        <v>23.13</v>
      </c>
      <c r="AD6" s="14">
        <v>197.8416666666667</v>
      </c>
      <c r="AE6" s="15">
        <v>2014.6760094318333</v>
      </c>
    </row>
    <row r="7">
      <c r="A7" s="6" t="s">
        <v>48</v>
      </c>
      <c r="B7" s="7">
        <v>158.018</v>
      </c>
      <c r="C7" s="7">
        <v>143.4</v>
      </c>
      <c r="D7" s="7">
        <v>5.001</v>
      </c>
      <c r="E7" s="7">
        <v>35.365</v>
      </c>
      <c r="F7" s="7">
        <v>266.639</v>
      </c>
      <c r="G7" s="10">
        <v>0.13263251062297712</v>
      </c>
      <c r="H7" s="8">
        <v>9.617</v>
      </c>
      <c r="I7" s="7">
        <v>42.1</v>
      </c>
      <c r="J7" s="7">
        <v>15.5</v>
      </c>
      <c r="K7" s="7">
        <v>26.5</v>
      </c>
      <c r="L7" s="7">
        <v>9.927</v>
      </c>
      <c r="M7" s="7">
        <v>11.9</v>
      </c>
      <c r="N7" s="7">
        <v>6.5</v>
      </c>
      <c r="O7" s="7">
        <v>3.6</v>
      </c>
      <c r="P7" s="7">
        <v>5.303</v>
      </c>
      <c r="Q7" s="7">
        <v>19.285</v>
      </c>
      <c r="R7" s="7">
        <v>5.61</v>
      </c>
      <c r="S7" s="7">
        <v>5.936</v>
      </c>
      <c r="T7" s="7">
        <v>5.815</v>
      </c>
      <c r="U7" s="7">
        <v>0.042</v>
      </c>
      <c r="V7" s="7">
        <v>43.275</v>
      </c>
      <c r="W7" s="7">
        <v>23.027</v>
      </c>
      <c r="X7" s="7">
        <v>7.565</v>
      </c>
      <c r="Y7" s="7">
        <v>1.694</v>
      </c>
      <c r="Z7" s="7">
        <v>6.71</v>
      </c>
      <c r="AA7" s="7">
        <v>20.11</v>
      </c>
      <c r="AB7" s="7">
        <v>17.731</v>
      </c>
      <c r="AC7" s="7">
        <v>23.288</v>
      </c>
      <c r="AD7" s="14">
        <v>140.69833333333332</v>
      </c>
      <c r="AE7" s="15">
        <v>1950.6684660311666</v>
      </c>
    </row>
    <row r="8">
      <c r="A8" s="6" t="s">
        <v>49</v>
      </c>
      <c r="B8" s="7">
        <v>160.054</v>
      </c>
      <c r="C8" s="7">
        <v>143.877</v>
      </c>
      <c r="D8" s="7">
        <v>10.358</v>
      </c>
      <c r="E8" s="7">
        <v>41.184</v>
      </c>
      <c r="F8" s="7">
        <v>273.137</v>
      </c>
      <c r="G8" s="10">
        <v>0.15078147596261218</v>
      </c>
      <c r="H8" s="8">
        <v>5.819</v>
      </c>
      <c r="I8" s="7">
        <v>41.8</v>
      </c>
      <c r="J8" s="7">
        <v>15.4</v>
      </c>
      <c r="K8" s="7">
        <v>29.833</v>
      </c>
      <c r="L8" s="7">
        <v>12.075</v>
      </c>
      <c r="M8" s="7">
        <v>11.9</v>
      </c>
      <c r="N8" s="7">
        <v>6.345</v>
      </c>
      <c r="O8" s="7">
        <v>3.85</v>
      </c>
      <c r="P8" s="7">
        <v>5.075</v>
      </c>
      <c r="Q8" s="7">
        <v>16.741</v>
      </c>
      <c r="R8" s="7">
        <v>5.298</v>
      </c>
      <c r="S8" s="7">
        <v>5.324</v>
      </c>
      <c r="T8" s="7">
        <v>6.362</v>
      </c>
      <c r="U8" s="7">
        <v>0.051</v>
      </c>
      <c r="V8" s="7">
        <v>41.475</v>
      </c>
      <c r="W8" s="7">
        <v>23.811</v>
      </c>
      <c r="X8" s="7">
        <v>7.75</v>
      </c>
      <c r="Y8" s="7">
        <v>2.299</v>
      </c>
      <c r="Z8" s="7">
        <v>6.25</v>
      </c>
      <c r="AA8" s="7">
        <v>20.21</v>
      </c>
      <c r="AB8" s="7">
        <v>18.36</v>
      </c>
      <c r="AC8" s="7">
        <v>23.722</v>
      </c>
      <c r="AD8" s="14">
        <v>161.4675</v>
      </c>
      <c r="AE8" s="15">
        <v>1893.2013030698333</v>
      </c>
    </row>
    <row r="9">
      <c r="A9" s="6" t="s">
        <v>50</v>
      </c>
      <c r="B9" s="7">
        <v>153.796</v>
      </c>
      <c r="C9" s="7">
        <v>147.163</v>
      </c>
      <c r="D9" s="7">
        <v>4.685</v>
      </c>
      <c r="E9" s="7">
        <v>43.132</v>
      </c>
      <c r="F9" s="7">
        <v>271.19</v>
      </c>
      <c r="G9" s="10">
        <v>0.1590471625059921</v>
      </c>
      <c r="H9" s="8">
        <v>1.948</v>
      </c>
      <c r="I9" s="7">
        <v>37.3</v>
      </c>
      <c r="J9" s="7">
        <v>17</v>
      </c>
      <c r="K9" s="7">
        <v>27.4</v>
      </c>
      <c r="L9" s="7">
        <v>13.3</v>
      </c>
      <c r="M9" s="7">
        <v>10.47</v>
      </c>
      <c r="N9" s="7">
        <v>6.475</v>
      </c>
      <c r="O9" s="7">
        <v>3.5</v>
      </c>
      <c r="P9" s="7">
        <v>5.44</v>
      </c>
      <c r="Q9" s="7">
        <v>16.537</v>
      </c>
      <c r="R9" s="7">
        <v>3.715</v>
      </c>
      <c r="S9" s="7">
        <v>5.499</v>
      </c>
      <c r="T9" s="7">
        <v>7.115</v>
      </c>
      <c r="U9" s="7">
        <v>0.045</v>
      </c>
      <c r="V9" s="7">
        <v>43.87</v>
      </c>
      <c r="W9" s="7">
        <v>23.568</v>
      </c>
      <c r="X9" s="7">
        <v>7.86</v>
      </c>
      <c r="Y9" s="7">
        <v>2.381</v>
      </c>
      <c r="Z9" s="7">
        <v>7.13</v>
      </c>
      <c r="AA9" s="7">
        <v>20.42</v>
      </c>
      <c r="AB9" s="7">
        <v>18.43</v>
      </c>
      <c r="AC9" s="7">
        <v>23.504</v>
      </c>
      <c r="AD9" s="14">
        <v>154.02083333333334</v>
      </c>
      <c r="AE9" s="15">
        <v>1849.9172122971665</v>
      </c>
    </row>
    <row r="10">
      <c r="A10" s="6" t="s">
        <v>51</v>
      </c>
      <c r="B10" s="7">
        <v>152.429</v>
      </c>
      <c r="C10" s="7">
        <v>153.186</v>
      </c>
      <c r="D10" s="7">
        <v>7.424</v>
      </c>
      <c r="E10" s="7">
        <v>34.951</v>
      </c>
      <c r="F10" s="7">
        <v>287.031</v>
      </c>
      <c r="G10" s="10">
        <v>0.12176733523556689</v>
      </c>
      <c r="H10" s="8">
        <v>-8.181</v>
      </c>
      <c r="I10" s="7">
        <v>36.1</v>
      </c>
      <c r="J10" s="7">
        <v>13.3</v>
      </c>
      <c r="K10" s="7">
        <v>28.93</v>
      </c>
      <c r="L10" s="7">
        <v>14</v>
      </c>
      <c r="M10" s="7">
        <v>12.1</v>
      </c>
      <c r="N10" s="7">
        <v>6.51</v>
      </c>
      <c r="O10" s="7">
        <v>3.55</v>
      </c>
      <c r="P10" s="7">
        <v>5.8</v>
      </c>
      <c r="Q10" s="7">
        <v>15.692</v>
      </c>
      <c r="R10" s="7">
        <v>4.305</v>
      </c>
      <c r="S10" s="7">
        <v>5.627</v>
      </c>
      <c r="T10" s="7">
        <v>6.475</v>
      </c>
      <c r="U10" s="7">
        <v>0.04</v>
      </c>
      <c r="V10" s="7">
        <v>44.095</v>
      </c>
      <c r="W10" s="7">
        <v>25.083</v>
      </c>
      <c r="X10" s="7">
        <v>8.06</v>
      </c>
      <c r="Y10" s="7">
        <v>2.487</v>
      </c>
      <c r="Z10" s="7">
        <v>9.35</v>
      </c>
      <c r="AA10" s="7">
        <v>20.855</v>
      </c>
      <c r="AB10" s="7">
        <v>18.656</v>
      </c>
      <c r="AC10" s="7">
        <v>24.6</v>
      </c>
      <c r="AD10" s="14">
        <v>131.83249999999998</v>
      </c>
      <c r="AE10" s="15">
        <v>1632.9272309236667</v>
      </c>
    </row>
    <row r="11">
      <c r="A11" s="6" t="s">
        <v>52</v>
      </c>
      <c r="B11" s="7">
        <v>161.079</v>
      </c>
      <c r="C11" s="7">
        <v>155.104</v>
      </c>
      <c r="D11" s="7">
        <v>4.473</v>
      </c>
      <c r="E11" s="7">
        <v>36.453</v>
      </c>
      <c r="F11" s="7">
        <v>288.71</v>
      </c>
      <c r="G11" s="10">
        <v>0.1262616466350317</v>
      </c>
      <c r="H11" s="8">
        <v>1.502</v>
      </c>
      <c r="I11" s="7">
        <v>45.6</v>
      </c>
      <c r="J11" s="7">
        <v>10.5</v>
      </c>
      <c r="K11" s="7">
        <v>26.7</v>
      </c>
      <c r="L11" s="7">
        <v>14.6</v>
      </c>
      <c r="M11" s="7">
        <v>10.6</v>
      </c>
      <c r="N11" s="7">
        <v>6.943</v>
      </c>
      <c r="O11" s="7">
        <v>4.875</v>
      </c>
      <c r="P11" s="7">
        <v>5.2</v>
      </c>
      <c r="Q11" s="7">
        <v>19.391</v>
      </c>
      <c r="R11" s="7">
        <v>5</v>
      </c>
      <c r="S11" s="7">
        <v>4.837</v>
      </c>
      <c r="T11" s="7">
        <v>6.8</v>
      </c>
      <c r="U11" s="7">
        <v>0.033</v>
      </c>
      <c r="V11" s="7">
        <v>43.305</v>
      </c>
      <c r="W11" s="7">
        <v>25.512</v>
      </c>
      <c r="X11" s="7">
        <v>8.21</v>
      </c>
      <c r="Y11" s="7">
        <v>2.345</v>
      </c>
      <c r="Z11" s="7">
        <v>10.395</v>
      </c>
      <c r="AA11" s="7">
        <v>21.625</v>
      </c>
      <c r="AB11" s="7">
        <v>18.537</v>
      </c>
      <c r="AC11" s="7">
        <v>25.175</v>
      </c>
      <c r="AD11" s="14">
        <v>143.7716666666667</v>
      </c>
      <c r="AE11" s="15">
        <v>2097.110523564667</v>
      </c>
    </row>
    <row r="12">
      <c r="A12" s="6" t="s">
        <v>53</v>
      </c>
      <c r="B12" s="7">
        <v>159.814</v>
      </c>
      <c r="C12" s="7">
        <v>160.627</v>
      </c>
      <c r="D12" s="7">
        <v>3.689</v>
      </c>
      <c r="E12" s="7">
        <v>31.951</v>
      </c>
      <c r="F12" s="7">
        <v>294.801</v>
      </c>
      <c r="G12" s="10">
        <v>0.10838158622257048</v>
      </c>
      <c r="H12" s="8">
        <v>-4.502</v>
      </c>
      <c r="I12" s="7">
        <v>39.5</v>
      </c>
      <c r="J12" s="7">
        <v>12.6</v>
      </c>
      <c r="K12" s="7">
        <v>29.3</v>
      </c>
      <c r="L12" s="7">
        <v>13.825</v>
      </c>
      <c r="M12" s="7">
        <v>10.4</v>
      </c>
      <c r="N12" s="7">
        <v>7.055</v>
      </c>
      <c r="O12" s="7">
        <v>4.6</v>
      </c>
      <c r="P12" s="7">
        <v>5.266</v>
      </c>
      <c r="Q12" s="7">
        <v>20.611</v>
      </c>
      <c r="R12" s="7">
        <v>5.24</v>
      </c>
      <c r="S12" s="7">
        <v>4.95</v>
      </c>
      <c r="T12" s="7">
        <v>6.435</v>
      </c>
      <c r="U12" s="7">
        <v>0.032</v>
      </c>
      <c r="V12" s="7">
        <v>45.675</v>
      </c>
      <c r="W12" s="7">
        <v>25.557</v>
      </c>
      <c r="X12" s="7">
        <v>8.231</v>
      </c>
      <c r="Y12" s="7">
        <v>2.715</v>
      </c>
      <c r="Z12" s="7">
        <v>9.88</v>
      </c>
      <c r="AA12" s="7">
        <v>22.42</v>
      </c>
      <c r="AB12" s="7">
        <v>19.458</v>
      </c>
      <c r="AC12" s="7">
        <v>26.691</v>
      </c>
      <c r="AD12" s="14">
        <v>120.60083333333334</v>
      </c>
      <c r="AE12" s="15">
        <v>1725.8888180669999</v>
      </c>
    </row>
    <row r="13">
      <c r="A13" s="6" t="s">
        <v>54</v>
      </c>
      <c r="B13" s="7">
        <v>175.856</v>
      </c>
      <c r="C13" s="7">
        <v>166.003</v>
      </c>
      <c r="D13" s="7">
        <v>4.858</v>
      </c>
      <c r="E13" s="7">
        <v>36.946</v>
      </c>
      <c r="F13" s="7">
        <v>309.367</v>
      </c>
      <c r="G13" s="10">
        <v>0.11942450229016023</v>
      </c>
      <c r="H13" s="8">
        <v>4.995</v>
      </c>
      <c r="I13" s="7">
        <v>49.7</v>
      </c>
      <c r="J13" s="7">
        <v>16.8</v>
      </c>
      <c r="K13" s="7">
        <v>30.4</v>
      </c>
      <c r="L13" s="7">
        <v>13.87</v>
      </c>
      <c r="M13" s="7">
        <v>10.6</v>
      </c>
      <c r="N13" s="7">
        <v>7.35</v>
      </c>
      <c r="O13" s="7">
        <v>4.65</v>
      </c>
      <c r="P13" s="7">
        <v>5.325</v>
      </c>
      <c r="Q13" s="7">
        <v>19.599</v>
      </c>
      <c r="R13" s="7">
        <v>5.315</v>
      </c>
      <c r="S13" s="7">
        <v>5.753</v>
      </c>
      <c r="T13" s="7">
        <v>6.44</v>
      </c>
      <c r="U13" s="7">
        <v>0.054</v>
      </c>
      <c r="V13" s="7">
        <v>45.967</v>
      </c>
      <c r="W13" s="7">
        <v>27.162</v>
      </c>
      <c r="X13" s="7">
        <v>7.897</v>
      </c>
      <c r="Y13" s="7">
        <v>2.915</v>
      </c>
      <c r="Z13" s="7">
        <v>9.695</v>
      </c>
      <c r="AA13" s="7">
        <v>23.2</v>
      </c>
      <c r="AB13" s="7">
        <v>21.28</v>
      </c>
      <c r="AC13" s="7">
        <v>27.887</v>
      </c>
      <c r="AD13" s="14">
        <v>104.98083333333334</v>
      </c>
      <c r="AE13" s="15">
        <v>1488.8367708514998</v>
      </c>
    </row>
    <row r="14">
      <c r="A14" s="6" t="s">
        <v>55</v>
      </c>
      <c r="B14" s="7">
        <v>169.03</v>
      </c>
      <c r="C14" s="7">
        <v>162.355</v>
      </c>
      <c r="D14" s="7">
        <v>7.813</v>
      </c>
      <c r="E14" s="7">
        <v>35.808</v>
      </c>
      <c r="F14" s="7">
        <v>301.356</v>
      </c>
      <c r="G14" s="10">
        <v>0.11882292039979293</v>
      </c>
      <c r="H14" s="8">
        <v>-1.138</v>
      </c>
      <c r="I14" s="7">
        <v>42</v>
      </c>
      <c r="J14" s="7">
        <v>18.5</v>
      </c>
      <c r="K14" s="7">
        <v>31.3</v>
      </c>
      <c r="L14" s="7">
        <v>14.1</v>
      </c>
      <c r="M14" s="7">
        <v>10.7</v>
      </c>
      <c r="N14" s="7">
        <v>7.475</v>
      </c>
      <c r="O14" s="7">
        <v>5.475</v>
      </c>
      <c r="P14" s="7">
        <v>4.967</v>
      </c>
      <c r="Q14" s="7">
        <v>17.577</v>
      </c>
      <c r="R14" s="7">
        <v>4.835</v>
      </c>
      <c r="S14" s="7">
        <v>5.747</v>
      </c>
      <c r="T14" s="7">
        <v>6.315</v>
      </c>
      <c r="U14" s="7">
        <v>0.039</v>
      </c>
      <c r="V14" s="7">
        <v>44.069</v>
      </c>
      <c r="W14" s="7">
        <v>26.049</v>
      </c>
      <c r="X14" s="7">
        <v>7.61</v>
      </c>
      <c r="Y14" s="7">
        <v>3.705</v>
      </c>
      <c r="Z14" s="7">
        <v>9.89</v>
      </c>
      <c r="AA14" s="7">
        <v>22.994</v>
      </c>
      <c r="AB14" s="7">
        <v>21.787</v>
      </c>
      <c r="AC14" s="7">
        <v>26.251</v>
      </c>
      <c r="AD14" s="14">
        <v>113.23666666666666</v>
      </c>
      <c r="AE14" s="15">
        <v>1305.5958874191667</v>
      </c>
    </row>
    <row r="15">
      <c r="A15" s="6" t="s">
        <v>56</v>
      </c>
      <c r="B15" s="7">
        <v>176.594</v>
      </c>
      <c r="C15" s="7">
        <v>162.093</v>
      </c>
      <c r="D15" s="7">
        <v>12.815</v>
      </c>
      <c r="E15" s="7">
        <v>37.494</v>
      </c>
      <c r="F15" s="7">
        <v>307.034</v>
      </c>
      <c r="G15" s="10">
        <v>0.12211676882690517</v>
      </c>
      <c r="H15" s="8">
        <v>1.686</v>
      </c>
      <c r="I15" s="7">
        <v>49.7</v>
      </c>
      <c r="J15" s="7">
        <v>20.2</v>
      </c>
      <c r="K15" s="7">
        <v>29</v>
      </c>
      <c r="L15" s="7">
        <v>13.4</v>
      </c>
      <c r="M15" s="7">
        <v>10.7</v>
      </c>
      <c r="N15" s="7">
        <v>7.6</v>
      </c>
      <c r="O15" s="7">
        <v>6.63</v>
      </c>
      <c r="P15" s="7">
        <v>5.567</v>
      </c>
      <c r="Q15" s="7">
        <v>18.932</v>
      </c>
      <c r="R15" s="7">
        <v>4.184</v>
      </c>
      <c r="S15" s="7">
        <v>4.538</v>
      </c>
      <c r="T15" s="7">
        <v>6.11</v>
      </c>
      <c r="U15" s="7">
        <v>0.033</v>
      </c>
      <c r="V15" s="7">
        <v>44.226</v>
      </c>
      <c r="W15" s="7">
        <v>25.922</v>
      </c>
      <c r="X15" s="7">
        <v>7.354</v>
      </c>
      <c r="Y15" s="7">
        <v>4.48</v>
      </c>
      <c r="Z15" s="7">
        <v>10.33</v>
      </c>
      <c r="AA15" s="7">
        <v>22.28</v>
      </c>
      <c r="AB15" s="7">
        <v>21.005</v>
      </c>
      <c r="AC15" s="7">
        <v>26.496</v>
      </c>
      <c r="AD15" s="14">
        <v>143.75333333333336</v>
      </c>
      <c r="AE15" s="15">
        <v>1540.9393521041666</v>
      </c>
    </row>
    <row r="16">
      <c r="A16" s="6" t="s">
        <v>57</v>
      </c>
      <c r="B16" s="7">
        <v>165.044</v>
      </c>
      <c r="C16" s="7">
        <v>167.876</v>
      </c>
      <c r="D16" s="7">
        <v>2.722</v>
      </c>
      <c r="E16" s="7">
        <v>31.94</v>
      </c>
      <c r="F16" s="7">
        <v>311.459</v>
      </c>
      <c r="G16" s="10">
        <v>0.10254961327173079</v>
      </c>
      <c r="H16" s="8">
        <v>-5.554</v>
      </c>
      <c r="I16" s="7">
        <v>36.4</v>
      </c>
      <c r="J16" s="7">
        <v>21.7</v>
      </c>
      <c r="K16" s="7">
        <v>31.58</v>
      </c>
      <c r="L16" s="7">
        <v>11.8</v>
      </c>
      <c r="M16" s="7">
        <v>10.58</v>
      </c>
      <c r="N16" s="7">
        <v>8.15</v>
      </c>
      <c r="O16" s="7">
        <v>6.05</v>
      </c>
      <c r="P16" s="7">
        <v>5.7</v>
      </c>
      <c r="Q16" s="7">
        <v>17.048</v>
      </c>
      <c r="R16" s="7">
        <v>5.045</v>
      </c>
      <c r="S16" s="7">
        <v>4.893</v>
      </c>
      <c r="T16" s="7">
        <v>6.06</v>
      </c>
      <c r="U16" s="7">
        <v>0.038</v>
      </c>
      <c r="V16" s="7">
        <v>45.875</v>
      </c>
      <c r="W16" s="7">
        <v>26.708</v>
      </c>
      <c r="X16" s="7">
        <v>7.21</v>
      </c>
      <c r="Y16" s="7">
        <v>4.92</v>
      </c>
      <c r="Z16" s="7">
        <v>11.39</v>
      </c>
      <c r="AA16" s="7">
        <v>22.34</v>
      </c>
      <c r="AB16" s="7">
        <v>22.04</v>
      </c>
      <c r="AC16" s="7">
        <v>27.393</v>
      </c>
      <c r="AD16" s="14">
        <v>224.0875</v>
      </c>
      <c r="AE16" s="15">
        <v>2150.1500694308334</v>
      </c>
    </row>
    <row r="17">
      <c r="A17" s="6" t="s">
        <v>58</v>
      </c>
      <c r="B17" s="7">
        <v>164.529</v>
      </c>
      <c r="C17" s="7">
        <v>168.754</v>
      </c>
      <c r="D17" s="7">
        <v>0.781</v>
      </c>
      <c r="E17" s="7">
        <v>26.934</v>
      </c>
      <c r="F17" s="7">
        <v>303.453</v>
      </c>
      <c r="G17" s="10">
        <v>0.08875839092050498</v>
      </c>
      <c r="H17" s="8">
        <v>-5.006</v>
      </c>
      <c r="I17" s="7">
        <v>39.8</v>
      </c>
      <c r="J17" s="7">
        <v>22.8</v>
      </c>
      <c r="K17" s="7">
        <v>28.3</v>
      </c>
      <c r="L17" s="7">
        <v>10.7</v>
      </c>
      <c r="M17" s="7">
        <v>10.7</v>
      </c>
      <c r="N17" s="7">
        <v>7.3</v>
      </c>
      <c r="O17" s="7">
        <v>6.565</v>
      </c>
      <c r="P17" s="7">
        <v>5.867</v>
      </c>
      <c r="Q17" s="7">
        <v>17.083</v>
      </c>
      <c r="R17" s="7">
        <v>4.419</v>
      </c>
      <c r="S17" s="7">
        <v>4.695</v>
      </c>
      <c r="T17" s="7">
        <v>6.26</v>
      </c>
      <c r="U17" s="7">
        <v>0.04</v>
      </c>
      <c r="V17" s="7">
        <v>48.477</v>
      </c>
      <c r="W17" s="7">
        <v>24.623</v>
      </c>
      <c r="X17" s="7">
        <v>6.886</v>
      </c>
      <c r="Y17" s="7">
        <v>5.28</v>
      </c>
      <c r="Z17" s="7">
        <v>10.44</v>
      </c>
      <c r="AA17" s="7">
        <v>22.45</v>
      </c>
      <c r="AB17" s="7">
        <v>22.682</v>
      </c>
      <c r="AC17" s="7">
        <v>27.916</v>
      </c>
      <c r="AD17" s="14">
        <v>171.18999999999997</v>
      </c>
      <c r="AE17" s="15">
        <v>2217.078737803</v>
      </c>
    </row>
    <row r="18">
      <c r="A18" s="6" t="s">
        <v>59</v>
      </c>
      <c r="B18" s="7">
        <v>169.335</v>
      </c>
      <c r="C18" s="7">
        <v>163.944</v>
      </c>
      <c r="D18" s="7">
        <v>9.204</v>
      </c>
      <c r="E18" s="7">
        <v>23.121</v>
      </c>
      <c r="F18" s="7">
        <v>307.418</v>
      </c>
      <c r="G18" s="10">
        <v>0.07521029998243434</v>
      </c>
      <c r="H18" s="8">
        <v>-3.813</v>
      </c>
      <c r="I18" s="7">
        <v>44.9</v>
      </c>
      <c r="J18" s="7">
        <v>21.4</v>
      </c>
      <c r="K18" s="7">
        <v>27.55</v>
      </c>
      <c r="L18" s="7">
        <v>12.76</v>
      </c>
      <c r="M18" s="7">
        <v>8.15</v>
      </c>
      <c r="N18" s="7">
        <v>9.13</v>
      </c>
      <c r="O18" s="7">
        <v>6.4</v>
      </c>
      <c r="P18" s="7">
        <v>6.56</v>
      </c>
      <c r="Q18" s="7">
        <v>16.803</v>
      </c>
      <c r="R18" s="7">
        <v>4.852</v>
      </c>
      <c r="S18" s="7">
        <v>5.06</v>
      </c>
      <c r="T18" s="7">
        <v>5.72</v>
      </c>
      <c r="U18" s="7">
        <v>0.05</v>
      </c>
      <c r="V18" s="7">
        <v>43.803</v>
      </c>
      <c r="W18" s="7">
        <v>23.545</v>
      </c>
      <c r="X18" s="7">
        <v>6.996</v>
      </c>
      <c r="Y18" s="7">
        <v>5.765</v>
      </c>
      <c r="Z18" s="7">
        <v>10.775</v>
      </c>
      <c r="AA18" s="7">
        <v>22.16</v>
      </c>
      <c r="AB18" s="7">
        <v>23.918</v>
      </c>
      <c r="AC18" s="7">
        <v>26.982</v>
      </c>
      <c r="AD18" s="14">
        <v>204.00166666666667</v>
      </c>
      <c r="AE18" s="15">
        <v>3504.24765449</v>
      </c>
    </row>
    <row r="19">
      <c r="A19" s="6" t="s">
        <v>60</v>
      </c>
      <c r="B19" s="7">
        <v>176.816</v>
      </c>
      <c r="C19" s="7">
        <v>171.761</v>
      </c>
      <c r="D19" s="7">
        <v>6.166</v>
      </c>
      <c r="E19" s="7">
        <v>22.01</v>
      </c>
      <c r="F19" s="7">
        <v>319.507</v>
      </c>
      <c r="G19" s="10">
        <v>0.06888737961922586</v>
      </c>
      <c r="H19" s="8">
        <v>-1.111</v>
      </c>
      <c r="I19" s="7">
        <v>44.5</v>
      </c>
      <c r="J19" s="7">
        <v>21</v>
      </c>
      <c r="K19" s="7">
        <v>29</v>
      </c>
      <c r="L19" s="7">
        <v>14.8</v>
      </c>
      <c r="M19" s="7">
        <v>10.7</v>
      </c>
      <c r="N19" s="7">
        <v>11.46</v>
      </c>
      <c r="O19" s="7">
        <v>6.7</v>
      </c>
      <c r="P19" s="7">
        <v>6.059</v>
      </c>
      <c r="Q19" s="7">
        <v>17.294</v>
      </c>
      <c r="R19" s="7">
        <v>5.06</v>
      </c>
      <c r="S19" s="7">
        <v>4.303</v>
      </c>
      <c r="T19" s="7">
        <v>5.89</v>
      </c>
      <c r="U19" s="7">
        <v>0.05</v>
      </c>
      <c r="V19" s="7">
        <v>45.731</v>
      </c>
      <c r="W19" s="7">
        <v>26.145</v>
      </c>
      <c r="X19" s="7">
        <v>6.528</v>
      </c>
      <c r="Y19" s="7">
        <v>5.893</v>
      </c>
      <c r="Z19" s="7">
        <v>10.475</v>
      </c>
      <c r="AA19" s="7">
        <v>21.97</v>
      </c>
      <c r="AB19" s="7">
        <v>25.37</v>
      </c>
      <c r="AC19" s="7">
        <v>29.649</v>
      </c>
      <c r="AD19" s="14">
        <v>333.06</v>
      </c>
      <c r="AE19" s="15">
        <v>4701.7435461085</v>
      </c>
    </row>
    <row r="20">
      <c r="A20" s="6" t="s">
        <v>61</v>
      </c>
      <c r="B20" s="7">
        <v>178.83</v>
      </c>
      <c r="C20" s="7">
        <v>173.459</v>
      </c>
      <c r="D20" s="7">
        <v>3.011</v>
      </c>
      <c r="E20" s="7">
        <v>24.37</v>
      </c>
      <c r="F20" s="7">
        <v>319.401</v>
      </c>
      <c r="G20" s="10">
        <v>0.07629907232601026</v>
      </c>
      <c r="H20" s="8">
        <v>2.36</v>
      </c>
      <c r="I20" s="7">
        <v>38</v>
      </c>
      <c r="J20" s="7">
        <v>25</v>
      </c>
      <c r="K20" s="7">
        <v>31.7</v>
      </c>
      <c r="L20" s="7">
        <v>12.5</v>
      </c>
      <c r="M20" s="7">
        <v>12.37</v>
      </c>
      <c r="N20" s="7">
        <v>11.56</v>
      </c>
      <c r="O20" s="7">
        <v>7.095</v>
      </c>
      <c r="P20" s="7">
        <v>6.43</v>
      </c>
      <c r="Q20" s="7">
        <v>17.391</v>
      </c>
      <c r="R20" s="7">
        <v>5.694</v>
      </c>
      <c r="S20" s="7">
        <v>5.015</v>
      </c>
      <c r="T20" s="7">
        <v>6.025</v>
      </c>
      <c r="U20" s="7">
        <v>0.05</v>
      </c>
      <c r="V20" s="7">
        <v>46.14</v>
      </c>
      <c r="W20" s="7">
        <v>25.55</v>
      </c>
      <c r="X20" s="7">
        <v>6.653</v>
      </c>
      <c r="Y20" s="7">
        <v>6.42</v>
      </c>
      <c r="Z20" s="7">
        <v>10.635</v>
      </c>
      <c r="AA20" s="7">
        <v>22.28</v>
      </c>
      <c r="AB20" s="7">
        <v>26.651</v>
      </c>
      <c r="AC20" s="7">
        <v>29.13</v>
      </c>
      <c r="AD20" s="14">
        <v>312.21</v>
      </c>
      <c r="AE20" s="15">
        <v>3788.463594255636</v>
      </c>
    </row>
    <row r="21">
      <c r="A21" s="6" t="s">
        <v>62</v>
      </c>
      <c r="B21" s="7">
        <v>189.667</v>
      </c>
      <c r="C21" s="7">
        <v>179.736</v>
      </c>
      <c r="D21" s="7">
        <v>8.018</v>
      </c>
      <c r="E21" s="7">
        <v>26.283</v>
      </c>
      <c r="F21" s="7">
        <v>338.61</v>
      </c>
      <c r="G21" s="10">
        <v>0.07762027110835475</v>
      </c>
      <c r="H21" s="8">
        <v>1.913</v>
      </c>
      <c r="I21" s="7">
        <v>47.5</v>
      </c>
      <c r="J21" s="7">
        <v>24.4</v>
      </c>
      <c r="K21" s="7">
        <v>32.5</v>
      </c>
      <c r="L21" s="7">
        <v>13.4</v>
      </c>
      <c r="M21" s="7">
        <v>11.38</v>
      </c>
      <c r="N21" s="7">
        <v>12.1</v>
      </c>
      <c r="O21" s="7">
        <v>7.16</v>
      </c>
      <c r="P21" s="7">
        <v>6.14</v>
      </c>
      <c r="Q21" s="7">
        <v>17.947</v>
      </c>
      <c r="R21" s="7">
        <v>5.71</v>
      </c>
      <c r="S21" s="7">
        <v>5.305</v>
      </c>
      <c r="T21" s="7">
        <v>6.075</v>
      </c>
      <c r="U21" s="7">
        <v>0.05</v>
      </c>
      <c r="V21" s="7">
        <v>47.35</v>
      </c>
      <c r="W21" s="7">
        <v>26.95</v>
      </c>
      <c r="X21" s="7">
        <v>6.9</v>
      </c>
      <c r="Y21" s="7">
        <v>6.75</v>
      </c>
      <c r="Z21" s="7">
        <v>11.095</v>
      </c>
      <c r="AA21" s="7">
        <v>22.39</v>
      </c>
      <c r="AB21" s="7">
        <v>27.756</v>
      </c>
      <c r="AC21" s="7">
        <v>30.545</v>
      </c>
      <c r="AD21" s="14"/>
      <c r="AE21" s="15"/>
    </row>
  </sheetData>
  <pageMargins left="0.5" right="0.5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5530"/>
  </sheetPr>
  <dimension ref="A1:E60"/>
  <sheetViews>
    <sheetView showGridLines="0" workbookViewId="0"/>
  </sheetViews>
  <sheetFormatPr defaultRowHeight="12.75"/>
  <cols>
    <col min="1" max="1" width="52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s">
        <v>63</v>
      </c>
    </row>
    <row r="2">
      <c r="A2" s="2" t="s">
        <v>64</v>
      </c>
    </row>
    <row r="4" ht="40" customHeight="1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</row>
    <row r="5">
      <c r="A5" s="4" t="s">
        <v>23</v>
      </c>
      <c r="B5" s="7">
        <v>4.2976644862954005</v>
      </c>
      <c r="C5" s="18">
        <v>0.014712219121671003</v>
      </c>
      <c r="D5" s="8">
        <v>0.2122058823529412</v>
      </c>
      <c r="E5" s="7">
        <v>38</v>
      </c>
    </row>
    <row r="6">
      <c r="A6" s="4" t="s">
        <v>24</v>
      </c>
      <c r="B6" s="7">
        <v>2.3522237991888844</v>
      </c>
      <c r="C6" s="18">
        <v>0.008052381023979645</v>
      </c>
      <c r="D6" s="8">
        <v>0.7295588235294117</v>
      </c>
      <c r="E6" s="7">
        <v>25</v>
      </c>
    </row>
    <row r="7">
      <c r="A7" s="4" t="s">
        <v>25</v>
      </c>
      <c r="B7" s="7">
        <v>2.2362703464286637</v>
      </c>
      <c r="C7" s="18">
        <v>0.007655436913902498</v>
      </c>
      <c r="D7" s="8">
        <v>0.3904970588235294</v>
      </c>
      <c r="E7" s="7">
        <v>31.7</v>
      </c>
    </row>
    <row r="8">
      <c r="A8" s="4" t="s">
        <v>26</v>
      </c>
      <c r="B8" s="7">
        <v>1.7888618247458599</v>
      </c>
      <c r="C8" s="18">
        <v>0.0061238207933583064</v>
      </c>
      <c r="D8" s="8">
        <v>0.22991617647058823</v>
      </c>
      <c r="E8" s="7">
        <v>12.5</v>
      </c>
    </row>
    <row r="9">
      <c r="A9" s="4" t="s">
        <v>27</v>
      </c>
      <c r="B9" s="7">
        <v>1.1987310165720715</v>
      </c>
      <c r="C9" s="18">
        <v>0.004103622662958045</v>
      </c>
      <c r="D9" s="8">
        <v>0.03438970588235294</v>
      </c>
      <c r="E9" s="7">
        <v>12.37</v>
      </c>
    </row>
    <row r="10">
      <c r="A10" s="4" t="s">
        <v>28</v>
      </c>
      <c r="B10" s="7">
        <v>0.8754384459288351</v>
      </c>
      <c r="C10" s="18">
        <v>0.0029968933789762736</v>
      </c>
      <c r="D10" s="8">
        <v>0.3013764705882353</v>
      </c>
      <c r="E10" s="7">
        <v>11.56</v>
      </c>
    </row>
    <row r="11">
      <c r="A11" s="4" t="s">
        <v>29</v>
      </c>
      <c r="B11" s="7">
        <v>0.38283523191811136</v>
      </c>
      <c r="C11" s="18">
        <v>0.0013105620127945583</v>
      </c>
      <c r="D11" s="8">
        <v>0.2878014705882353</v>
      </c>
      <c r="E11" s="7">
        <v>7.095</v>
      </c>
    </row>
    <row r="12">
      <c r="A12" s="4" t="s">
        <v>30</v>
      </c>
      <c r="B12" s="7">
        <v>0.30201370245501813</v>
      </c>
      <c r="C12" s="18">
        <v>0.0010338852142679723</v>
      </c>
      <c r="D12" s="8">
        <v>0.07745882352941176</v>
      </c>
      <c r="E12" s="7">
        <v>6.43</v>
      </c>
    </row>
    <row r="13">
      <c r="A13" s="4" t="s">
        <v>31</v>
      </c>
      <c r="B13" s="7">
        <v>1.377325927702417</v>
      </c>
      <c r="C13" s="18">
        <v>0.004715007631455188</v>
      </c>
      <c r="D13" s="8">
        <v>-0.09626323529411765</v>
      </c>
      <c r="E13" s="7">
        <v>17.391</v>
      </c>
    </row>
    <row r="14">
      <c r="A14" s="4" t="s">
        <v>32</v>
      </c>
      <c r="B14" s="7">
        <v>0.651912019703444</v>
      </c>
      <c r="C14" s="18">
        <v>0.0022316941009500966</v>
      </c>
      <c r="D14" s="8">
        <v>-0.038211764705882355</v>
      </c>
      <c r="E14" s="7">
        <v>5.694</v>
      </c>
    </row>
    <row r="15">
      <c r="A15" s="4" t="s">
        <v>33</v>
      </c>
      <c r="B15" s="7">
        <v>0.389311083768306</v>
      </c>
      <c r="C15" s="18">
        <v>0.0013327308330278167</v>
      </c>
      <c r="D15" s="8">
        <v>-0.10199264705882354</v>
      </c>
      <c r="E15" s="7">
        <v>5.015</v>
      </c>
    </row>
    <row r="16">
      <c r="A16" s="4" t="s">
        <v>34</v>
      </c>
      <c r="B16" s="7">
        <v>0.4799170264720706</v>
      </c>
      <c r="C16" s="18">
        <v>0.0016429026686920788</v>
      </c>
      <c r="D16" s="8">
        <v>0.004598529411764706</v>
      </c>
      <c r="E16" s="7">
        <v>6.025</v>
      </c>
    </row>
    <row r="17">
      <c r="A17" s="4" t="s">
        <v>36</v>
      </c>
      <c r="B17" s="7">
        <v>1.3571563152645691</v>
      </c>
      <c r="C17" s="18">
        <v>0.004645960883219941</v>
      </c>
      <c r="D17" s="8">
        <v>0.241475</v>
      </c>
      <c r="E17" s="7">
        <v>46.14</v>
      </c>
    </row>
    <row r="18">
      <c r="A18" s="4" t="s">
        <v>37</v>
      </c>
      <c r="B18" s="7">
        <v>1.0995216388425868</v>
      </c>
      <c r="C18" s="18">
        <v>0.0037639986395529563</v>
      </c>
      <c r="D18" s="8">
        <v>0.19336617647058824</v>
      </c>
      <c r="E18" s="7">
        <v>25.55</v>
      </c>
    </row>
    <row r="19">
      <c r="A19" s="4" t="s">
        <v>38</v>
      </c>
      <c r="B19" s="7">
        <v>0.4675482344769361</v>
      </c>
      <c r="C19" s="18">
        <v>0.001600560513160145</v>
      </c>
      <c r="D19" s="8">
        <v>-0.053625</v>
      </c>
      <c r="E19" s="7">
        <v>6.653</v>
      </c>
    </row>
    <row r="20">
      <c r="A20" s="4" t="s">
        <v>39</v>
      </c>
      <c r="B20" s="7">
        <v>0.3494165070577115</v>
      </c>
      <c r="C20" s="18">
        <v>0.0011961595031335834</v>
      </c>
      <c r="D20" s="8">
        <v>0.36106470588235295</v>
      </c>
      <c r="E20" s="7">
        <v>6.42</v>
      </c>
    </row>
    <row r="21">
      <c r="A21" s="4" t="s">
        <v>40</v>
      </c>
      <c r="B21" s="7">
        <v>0.9334492536775508</v>
      </c>
      <c r="C21" s="18">
        <v>0.003195482104956586</v>
      </c>
      <c r="D21" s="8">
        <v>0.3801029411764706</v>
      </c>
      <c r="E21" s="7">
        <v>10.635</v>
      </c>
    </row>
    <row r="22">
      <c r="A22" s="4" t="s">
        <v>41</v>
      </c>
      <c r="B22" s="7">
        <v>0.681937378057481</v>
      </c>
      <c r="C22" s="18">
        <v>0.0023344800798742143</v>
      </c>
      <c r="D22" s="8">
        <v>0.20051029411764704</v>
      </c>
      <c r="E22" s="7">
        <v>22.28</v>
      </c>
    </row>
    <row r="23">
      <c r="A23" s="4" t="s">
        <v>42</v>
      </c>
      <c r="B23" s="7">
        <v>0.7361279326177941</v>
      </c>
      <c r="C23" s="18">
        <v>0.0025199909115267414</v>
      </c>
      <c r="D23" s="8">
        <v>0.6065955882352941</v>
      </c>
      <c r="E23" s="7">
        <v>26.651</v>
      </c>
    </row>
    <row r="24">
      <c r="A24" s="4" t="s">
        <v>43</v>
      </c>
      <c r="B24" s="7">
        <v>0.70563913600179</v>
      </c>
      <c r="C24" s="18">
        <v>0.0024156184417815827</v>
      </c>
      <c r="D24" s="8">
        <v>0.4409323529411765</v>
      </c>
      <c r="E24" s="7">
        <v>29.13</v>
      </c>
    </row>
    <row r="26">
      <c r="A26" s="16" t="s">
        <v>70</v>
      </c>
      <c r="B26" s="16"/>
      <c r="C26" s="16"/>
      <c r="D26" s="16"/>
      <c r="E26" s="16"/>
    </row>
    <row r="27" ht="40" customHeight="1">
      <c r="A27" s="3" t="s">
        <v>71</v>
      </c>
      <c r="B27" s="3" t="s">
        <v>72</v>
      </c>
      <c r="C27" s="3" t="s">
        <v>73</v>
      </c>
      <c r="D27" s="3" t="s">
        <v>74</v>
      </c>
      <c r="E27" s="3" t="s">
        <v>75</v>
      </c>
    </row>
    <row r="28">
      <c r="A28" s="4" t="s">
        <v>23</v>
      </c>
      <c r="B28" s="11">
        <v>0.43545935887464277</v>
      </c>
      <c r="C28" s="11">
        <v>0.4357498807022429</v>
      </c>
      <c r="D28" s="11">
        <v>0.19114422336471423</v>
      </c>
      <c r="E28" s="11">
        <v>0.8102044420096998</v>
      </c>
    </row>
    <row r="29">
      <c r="A29" s="4" t="s">
        <v>24</v>
      </c>
      <c r="B29" s="11">
        <v>0.14418128690525478</v>
      </c>
      <c r="C29" s="11">
        <v>0.1312797282353207</v>
      </c>
      <c r="D29" s="11">
        <v>-0.0762727754053306</v>
      </c>
      <c r="E29" s="11">
        <v>0.2813203571964629</v>
      </c>
    </row>
    <row r="30">
      <c r="A30" s="4" t="s">
        <v>25</v>
      </c>
      <c r="B30" s="11">
        <v>0.04924294507012483</v>
      </c>
      <c r="C30" s="11">
        <v>0.055499251661565885</v>
      </c>
      <c r="D30" s="11">
        <v>-0.06596061503329219</v>
      </c>
      <c r="E30" s="11">
        <v>0.25526388368215486</v>
      </c>
    </row>
    <row r="31">
      <c r="A31" s="4" t="s">
        <v>27</v>
      </c>
      <c r="B31" s="11">
        <v>0.09061275031384686</v>
      </c>
      <c r="C31" s="11">
        <v>0.09158612633727843</v>
      </c>
      <c r="D31" s="11">
        <v>-0.029844944556021737</v>
      </c>
      <c r="E31" s="11">
        <v>0.26791745306766473</v>
      </c>
    </row>
    <row r="32">
      <c r="A32" s="4" t="s">
        <v>26</v>
      </c>
      <c r="B32" s="11">
        <v>0.012005607375130725</v>
      </c>
      <c r="C32" s="11">
        <v>0.018948182422446412</v>
      </c>
      <c r="D32" s="11">
        <v>-0.10464046216464284</v>
      </c>
      <c r="E32" s="11">
        <v>0.30730350293607184</v>
      </c>
    </row>
    <row r="33">
      <c r="A33" s="4" t="s">
        <v>31</v>
      </c>
      <c r="B33" s="11">
        <v>0.043746634329555736</v>
      </c>
      <c r="C33" s="11">
        <v>0.0448540982001616</v>
      </c>
      <c r="D33" s="11">
        <v>-0.1626654687799551</v>
      </c>
      <c r="E33" s="11">
        <v>0.16749153637416433</v>
      </c>
    </row>
    <row r="34">
      <c r="A34" s="4" t="s">
        <v>28</v>
      </c>
      <c r="B34" s="11">
        <v>0.044079812748975954</v>
      </c>
      <c r="C34" s="11">
        <v>0.036337618189548865</v>
      </c>
      <c r="D34" s="11">
        <v>-0.005943918534116996</v>
      </c>
      <c r="E34" s="11">
        <v>0.09274491522615388</v>
      </c>
    </row>
    <row r="35">
      <c r="A35" s="4" t="s">
        <v>29</v>
      </c>
      <c r="B35" s="11">
        <v>0.027015965288148407</v>
      </c>
      <c r="C35" s="11">
        <v>0.02330519358016084</v>
      </c>
      <c r="D35" s="11">
        <v>-0.008260894010749814</v>
      </c>
      <c r="E35" s="11">
        <v>0.052913519094148875</v>
      </c>
    </row>
    <row r="36">
      <c r="A36" s="4" t="s">
        <v>76</v>
      </c>
      <c r="B36" s="11">
        <v>-0.00021301916141036858</v>
      </c>
      <c r="C36" s="11">
        <v>0.0014156268363804622</v>
      </c>
      <c r="D36" s="11">
        <v>-0.06551023893180144</v>
      </c>
      <c r="E36" s="11">
        <v>0.04542125748345718</v>
      </c>
    </row>
    <row r="37">
      <c r="A37" s="4" t="s">
        <v>77</v>
      </c>
      <c r="B37" s="11">
        <v>0.10321549835809835</v>
      </c>
      <c r="C37" s="11">
        <v>0.10321736993587993</v>
      </c>
      <c r="D37" s="11">
        <v>0.004436920840142728</v>
      </c>
      <c r="E37" s="11">
        <v>0.27080499811052455</v>
      </c>
    </row>
    <row r="38">
      <c r="A38" s="4" t="s">
        <v>39</v>
      </c>
      <c r="B38" s="11">
        <v>-0.011527482096324397</v>
      </c>
      <c r="C38" s="11">
        <v>-0.002622178063661062</v>
      </c>
      <c r="D38" s="11">
        <v>-0.037429266076074566</v>
      </c>
      <c r="E38" s="11">
        <v>0.02686136684251956</v>
      </c>
    </row>
    <row r="39">
      <c r="A39" s="4" t="s">
        <v>78</v>
      </c>
      <c r="B39" s="11">
        <v>0.0747467997649628</v>
      </c>
      <c r="C39" s="11">
        <v>0.07126406687009969</v>
      </c>
      <c r="D39" s="11">
        <v>-0.007246539798471245</v>
      </c>
      <c r="E39" s="11">
        <v>0.141262441922438</v>
      </c>
    </row>
    <row r="40">
      <c r="A40" s="4" t="s">
        <v>79</v>
      </c>
      <c r="B40" s="11">
        <v>0.020931537961973213</v>
      </c>
      <c r="C40" s="11">
        <v>0.02082131948502015</v>
      </c>
      <c r="D40" s="11">
        <v>-0.16260462733201067</v>
      </c>
      <c r="E40" s="11">
        <v>0.10411143346345583</v>
      </c>
    </row>
    <row r="41">
      <c r="A41" s="4" t="s">
        <v>80</v>
      </c>
      <c r="B41" s="11">
        <v>-0.04180422897766683</v>
      </c>
      <c r="C41" s="11">
        <v>-0.035879947307829514</v>
      </c>
      <c r="D41" s="11">
        <v>-0.10970264746243164</v>
      </c>
      <c r="E41" s="11">
        <v>0.011261757146924367</v>
      </c>
    </row>
    <row r="42">
      <c r="A42" s="4" t="s">
        <v>81</v>
      </c>
      <c r="B42" s="11">
        <v>0.008235677956161393</v>
      </c>
      <c r="C42" s="11">
        <v>0.009695100367672956</v>
      </c>
      <c r="D42" s="11">
        <v>-0.05639574974644284</v>
      </c>
      <c r="E42" s="11">
        <v>0.06531341172453821</v>
      </c>
    </row>
    <row r="43">
      <c r="A43" s="4" t="s">
        <v>82</v>
      </c>
      <c r="B43" s="11">
        <v>0.05842101735650744</v>
      </c>
      <c r="C43" s="11">
        <v>0.031284840404864914</v>
      </c>
      <c r="D43" s="11">
        <v>-0.05582609880199605</v>
      </c>
      <c r="E43" s="11">
        <v>0.17872242988107356</v>
      </c>
    </row>
    <row r="44">
      <c r="A44" s="4" t="s">
        <v>83</v>
      </c>
      <c r="B44" s="11">
        <v>-0.05835016206798162</v>
      </c>
      <c r="C44" s="11">
        <v>-0.036756277857152894</v>
      </c>
      <c r="D44" s="11">
        <v>-0.44246058913359215</v>
      </c>
      <c r="E44" s="11">
        <v>0.17564355806454035</v>
      </c>
    </row>
    <row r="45">
      <c r="A45" s="2" t="s">
        <v>84</v>
      </c>
    </row>
    <row r="47">
      <c r="A47" s="16" t="s">
        <v>85</v>
      </c>
      <c r="B47" s="16"/>
      <c r="C47" s="16"/>
      <c r="D47" s="16"/>
      <c r="E47" s="16"/>
    </row>
    <row r="48" ht="40" customHeight="1">
      <c r="A48" s="3" t="s">
        <v>86</v>
      </c>
      <c r="B48" s="3" t="s">
        <v>87</v>
      </c>
      <c r="C48" s="3" t="s">
        <v>88</v>
      </c>
      <c r="D48" s="3" t="s">
        <v>89</v>
      </c>
      <c r="E48" s="3" t="s">
        <v>90</v>
      </c>
    </row>
    <row r="49">
      <c r="A49" s="4" t="s">
        <v>91</v>
      </c>
      <c r="B49" s="7">
        <v>4.2976644862954005</v>
      </c>
      <c r="C49" s="7">
        <v>4.4034362483917935</v>
      </c>
      <c r="D49" s="18">
        <v>0.014939174604647412</v>
      </c>
      <c r="E49" s="8">
        <v>0.26642857142857135</v>
      </c>
    </row>
    <row r="50">
      <c r="A50" s="4" t="s">
        <v>92</v>
      </c>
      <c r="B50" s="7">
        <v>2.3522237991888844</v>
      </c>
      <c r="C50" s="7">
        <v>2.4196031420626327</v>
      </c>
      <c r="D50" s="18">
        <v>0.0082087878134783</v>
      </c>
      <c r="E50" s="8">
        <v>0.7507142857142857</v>
      </c>
    </row>
    <row r="51">
      <c r="A51" s="4" t="s">
        <v>93</v>
      </c>
      <c r="B51" s="7">
        <v>2.2362703464286637</v>
      </c>
      <c r="C51" s="7">
        <v>1.504634647975677</v>
      </c>
      <c r="D51" s="18">
        <v>0.00510464974496228</v>
      </c>
      <c r="E51" s="8">
        <v>0.220125</v>
      </c>
    </row>
    <row r="52">
      <c r="A52" s="4" t="s">
        <v>94</v>
      </c>
      <c r="B52" s="7">
        <v>1.7888618247458599</v>
      </c>
      <c r="C52" s="7">
        <v>1.7398106645073002</v>
      </c>
      <c r="D52" s="18">
        <v>0.005902511999712645</v>
      </c>
      <c r="E52" s="8">
        <v>0.1694749999999999</v>
      </c>
    </row>
    <row r="53">
      <c r="A53" s="4" t="s">
        <v>95</v>
      </c>
      <c r="B53" s="7">
        <v>1.1987310165720715</v>
      </c>
      <c r="C53" s="7">
        <v>1.2033873520390759</v>
      </c>
      <c r="D53" s="18">
        <v>0.00408263291553313</v>
      </c>
      <c r="E53" s="8">
        <v>0.006107142857142857</v>
      </c>
    </row>
    <row r="54">
      <c r="A54" s="4" t="s">
        <v>96</v>
      </c>
      <c r="B54" s="7">
        <v>1.377325927702417</v>
      </c>
      <c r="C54" s="7">
        <v>1.4136167448321488</v>
      </c>
      <c r="D54" s="18">
        <v>0.004795860819561884</v>
      </c>
      <c r="E54" s="8">
        <v>-0.11169285714285714</v>
      </c>
    </row>
    <row r="55">
      <c r="A55" s="4" t="s">
        <v>97</v>
      </c>
      <c r="B55" s="7">
        <v>0.8754384459288351</v>
      </c>
      <c r="C55" s="7">
        <v>0.8774868448794592</v>
      </c>
      <c r="D55" s="18">
        <v>0.0029769771717991812</v>
      </c>
      <c r="E55" s="8">
        <v>0.32256785714285713</v>
      </c>
    </row>
    <row r="56">
      <c r="A56" s="4" t="s">
        <v>98</v>
      </c>
      <c r="B56" s="7">
        <v>0.38283523191811136</v>
      </c>
      <c r="C56" s="7">
        <v>0.37918047855534487</v>
      </c>
      <c r="D56" s="18">
        <v>0.0012864143038021454</v>
      </c>
      <c r="E56" s="8">
        <v>0.2986964285714285</v>
      </c>
    </row>
    <row r="57">
      <c r="A57" s="4" t="s">
        <v>99</v>
      </c>
      <c r="B57" s="7">
        <v>0.30201370245501813</v>
      </c>
      <c r="C57" s="7">
        <v>0.31134308335910654</v>
      </c>
      <c r="D57" s="18">
        <v>0.0010562679738919084</v>
      </c>
      <c r="E57" s="8">
        <v>0.0793</v>
      </c>
    </row>
    <row r="58">
      <c r="A58" s="2" t="s">
        <v>100</v>
      </c>
    </row>
    <row r="60">
      <c r="A60" s="2" t="s">
        <v>101</v>
      </c>
    </row>
  </sheetData>
  <pageMargins left="0.5" right="0.5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</sheetPr>
  <dimension ref="A1:G46"/>
  <sheetViews>
    <sheetView showGridLines="0" workbookViewId="0"/>
  </sheetViews>
  <sheetFormatPr defaultRowHeight="12.75"/>
  <cols>
    <col min="1" max="1" width="52" customWidth="1"/>
    <col min="2" max="2" width="30" customWidth="1"/>
    <col min="3" max="3" width="30" customWidth="1"/>
    <col min="4" max="4" width="20" customWidth="1"/>
    <col min="5" max="5" width="20" customWidth="1"/>
    <col min="6" max="6" width="20" customWidth="1"/>
    <col min="7" max="7" width="16" customWidth="1"/>
  </cols>
  <sheetData>
    <row r="1">
      <c r="A1" s="1" t="s">
        <v>102</v>
      </c>
    </row>
    <row r="3" ht="52" customHeight="1">
      <c r="A3" s="3" t="s">
        <v>103</v>
      </c>
      <c r="B3" s="3" t="s">
        <v>104</v>
      </c>
      <c r="C3" s="3" t="s">
        <v>105</v>
      </c>
    </row>
    <row r="4">
      <c r="A4" s="5" t="s">
        <v>106</v>
      </c>
      <c r="B4" s="9">
        <v>0.1171864444348572</v>
      </c>
      <c r="C4" s="9">
        <v>0.08385142094847399</v>
      </c>
    </row>
    <row r="5">
      <c r="A5" s="5" t="s">
        <v>107</v>
      </c>
      <c r="B5" s="9">
        <v>0.08385142094847399</v>
      </c>
      <c r="C5" s="9">
        <v>0.0769596717171825</v>
      </c>
    </row>
    <row r="6">
      <c r="A6" s="5" t="s">
        <v>108</v>
      </c>
      <c r="B6" s="4" t="s">
        <v>109</v>
      </c>
      <c r="C6" s="4" t="s">
        <v>110</v>
      </c>
    </row>
    <row r="7">
      <c r="A7" s="5" t="s">
        <v>111</v>
      </c>
      <c r="B7" s="4" t="s">
        <v>112</v>
      </c>
      <c r="C7" s="4" t="s">
        <v>113</v>
      </c>
    </row>
    <row r="8">
      <c r="A8" s="5" t="s">
        <v>114</v>
      </c>
      <c r="B8" s="8">
        <v>0.26025</v>
      </c>
      <c r="C8" s="8">
        <v>-3.871</v>
      </c>
    </row>
    <row r="9">
      <c r="A9" s="5" t="s">
        <v>115</v>
      </c>
      <c r="B9" s="8">
        <v>-3.871</v>
      </c>
      <c r="C9" s="8">
        <v>2.1365</v>
      </c>
    </row>
    <row r="10">
      <c r="A10" s="5" t="s">
        <v>116</v>
      </c>
      <c r="B10" s="8">
        <v>-1.392499999999984</v>
      </c>
      <c r="C10" s="8">
        <v>15.317499999999995</v>
      </c>
    </row>
    <row r="11">
      <c r="A11" s="5" t="s">
        <v>117</v>
      </c>
      <c r="B11" s="8">
        <v>5.3142500000000155</v>
      </c>
      <c r="C11" s="8">
        <v>8.513749999999987</v>
      </c>
    </row>
    <row r="12">
      <c r="A12" s="5" t="s">
        <v>118</v>
      </c>
      <c r="B12" s="8">
        <v>-2.5755</v>
      </c>
      <c r="C12" s="8">
        <v>0.7962499999999997</v>
      </c>
    </row>
    <row r="14">
      <c r="A14" s="4" t="s">
        <v>119</v>
      </c>
      <c r="B14" s="8">
        <v>-3.825000000000003</v>
      </c>
      <c r="C14" s="8">
        <v>1.3500000000000014</v>
      </c>
    </row>
    <row r="15">
      <c r="A15" s="4" t="s">
        <v>120</v>
      </c>
      <c r="B15" s="8">
        <v>4.700000000000003</v>
      </c>
      <c r="C15" s="8">
        <v>2.974999999999998</v>
      </c>
    </row>
    <row r="16">
      <c r="A16" s="4" t="s">
        <v>121</v>
      </c>
      <c r="B16" s="8">
        <v>-0.8924999999999983</v>
      </c>
      <c r="C16" s="8">
        <v>2.9924999999999997</v>
      </c>
    </row>
    <row r="17">
      <c r="A17" s="4" t="s">
        <v>122</v>
      </c>
      <c r="B17" s="8">
        <v>-1.2837499999999995</v>
      </c>
      <c r="C17" s="8">
        <v>0.4349999999999987</v>
      </c>
    </row>
    <row r="18">
      <c r="A18" s="4" t="s">
        <v>123</v>
      </c>
      <c r="B18" s="8">
        <v>-0.567499999999999</v>
      </c>
      <c r="C18" s="8">
        <v>1.8424999999999994</v>
      </c>
    </row>
    <row r="19">
      <c r="A19" s="4" t="s">
        <v>124</v>
      </c>
      <c r="B19" s="8">
        <v>1.6399999999999997</v>
      </c>
      <c r="C19" s="8">
        <v>2.8200000000000003</v>
      </c>
    </row>
    <row r="20">
      <c r="A20" s="4" t="s">
        <v>125</v>
      </c>
      <c r="B20" s="8">
        <v>1.0899999999999999</v>
      </c>
      <c r="C20" s="8">
        <v>0.6987500000000004</v>
      </c>
    </row>
    <row r="21">
      <c r="A21" s="4" t="s">
        <v>126</v>
      </c>
      <c r="B21" s="8">
        <v>0.76525</v>
      </c>
      <c r="C21" s="8">
        <v>0.23850000000000016</v>
      </c>
    </row>
    <row r="22">
      <c r="A22" s="4" t="s">
        <v>127</v>
      </c>
      <c r="B22" s="8">
        <v>-2.12275</v>
      </c>
      <c r="C22" s="8">
        <v>0.6120000000000019</v>
      </c>
    </row>
    <row r="23">
      <c r="A23" s="4" t="s">
        <v>128</v>
      </c>
      <c r="B23" s="8">
        <v>-0.0495000000000001</v>
      </c>
      <c r="C23" s="8">
        <v>0.8579999999999997</v>
      </c>
    </row>
    <row r="24">
      <c r="A24" s="4" t="s">
        <v>129</v>
      </c>
      <c r="B24" s="8">
        <v>-0.5092499999999998</v>
      </c>
      <c r="C24" s="8">
        <v>0.42225</v>
      </c>
    </row>
    <row r="25">
      <c r="A25" s="4" t="s">
        <v>130</v>
      </c>
      <c r="B25" s="8">
        <v>-0.34250000000000025</v>
      </c>
      <c r="C25" s="8">
        <v>0.0674999999999999</v>
      </c>
    </row>
    <row r="26">
      <c r="A26" s="4" t="s">
        <v>131</v>
      </c>
      <c r="B26" s="8">
        <v>0.987249999999996</v>
      </c>
      <c r="C26" s="8">
        <v>0.7734999999999985</v>
      </c>
    </row>
    <row r="27">
      <c r="A27" s="4" t="s">
        <v>132</v>
      </c>
      <c r="B27" s="8">
        <v>-0.9172499999999992</v>
      </c>
      <c r="C27" s="8">
        <v>0.9947499999999998</v>
      </c>
    </row>
    <row r="28">
      <c r="A28" s="4" t="s">
        <v>133</v>
      </c>
      <c r="B28" s="8">
        <v>-0.8679999999999994</v>
      </c>
      <c r="C28" s="8">
        <v>-0.12849999999999984</v>
      </c>
    </row>
    <row r="29">
      <c r="A29" s="4" t="s">
        <v>134</v>
      </c>
      <c r="B29" s="8">
        <v>2.0107500000000003</v>
      </c>
      <c r="C29" s="8">
        <v>1.1204999999999998</v>
      </c>
    </row>
    <row r="30">
      <c r="A30" s="4" t="s">
        <v>135</v>
      </c>
      <c r="B30" s="8">
        <v>0.8212499999999991</v>
      </c>
      <c r="C30" s="8">
        <v>0.09500000000000064</v>
      </c>
    </row>
    <row r="31">
      <c r="A31" s="4" t="s">
        <v>136</v>
      </c>
      <c r="B31" s="8">
        <v>-0.49350000000000094</v>
      </c>
      <c r="C31" s="8">
        <v>0.10500000000000043</v>
      </c>
    </row>
    <row r="32">
      <c r="A32" s="4" t="s">
        <v>137</v>
      </c>
      <c r="B32" s="8">
        <v>2.620000000000001</v>
      </c>
      <c r="C32" s="8">
        <v>3.700999999999997</v>
      </c>
    </row>
    <row r="33">
      <c r="A33" s="4" t="s">
        <v>138</v>
      </c>
      <c r="B33" s="8">
        <v>1.1537499999999987</v>
      </c>
      <c r="C33" s="8">
        <v>1.8524999999999991</v>
      </c>
    </row>
    <row r="35">
      <c r="A35" s="2" t="s">
        <v>139</v>
      </c>
    </row>
    <row r="37">
      <c r="A37" s="16" t="s">
        <v>140</v>
      </c>
      <c r="B37" s="16"/>
      <c r="C37" s="16"/>
      <c r="D37" s="16"/>
      <c r="E37" s="16"/>
      <c r="F37" s="16"/>
      <c r="G37" s="16"/>
    </row>
    <row r="38" ht="40" customHeight="1">
      <c r="A38" s="3" t="s">
        <v>15</v>
      </c>
      <c r="B38" s="3" t="s">
        <v>141</v>
      </c>
      <c r="C38" s="3" t="s">
        <v>18</v>
      </c>
      <c r="D38" s="3" t="s">
        <v>142</v>
      </c>
      <c r="E38" s="3" t="s">
        <v>143</v>
      </c>
      <c r="F38" s="3" t="s">
        <v>144</v>
      </c>
      <c r="G38" s="3" t="s">
        <v>145</v>
      </c>
    </row>
    <row r="39">
      <c r="A39" s="6" t="s">
        <v>57</v>
      </c>
      <c r="B39" s="8">
        <v>-2.832</v>
      </c>
      <c r="C39" s="8">
        <v>2.722</v>
      </c>
      <c r="D39" s="8">
        <v>-5.554</v>
      </c>
      <c r="E39" s="8">
        <v>0.233</v>
      </c>
      <c r="F39" s="8">
        <v>-6.017</v>
      </c>
      <c r="G39" s="8">
        <v>-3.85</v>
      </c>
    </row>
    <row r="40">
      <c r="A40" s="6" t="s">
        <v>58</v>
      </c>
      <c r="B40" s="8">
        <v>-4.225</v>
      </c>
      <c r="C40" s="8">
        <v>0.781</v>
      </c>
      <c r="D40" s="8">
        <v>-5.006</v>
      </c>
      <c r="E40" s="8">
        <v>-4.687</v>
      </c>
      <c r="F40" s="8">
        <v>0.895</v>
      </c>
      <c r="G40" s="8">
        <v>4.08</v>
      </c>
    </row>
    <row r="41">
      <c r="A41" s="6" t="s">
        <v>59</v>
      </c>
      <c r="B41" s="8">
        <v>5.391</v>
      </c>
      <c r="C41" s="8">
        <v>9.204</v>
      </c>
      <c r="D41" s="8">
        <v>-3.813</v>
      </c>
      <c r="E41" s="8">
        <v>-0.687</v>
      </c>
      <c r="F41" s="8">
        <v>-3.09</v>
      </c>
      <c r="G41" s="8">
        <v>-2.535</v>
      </c>
    </row>
    <row r="42">
      <c r="A42" s="6" t="s">
        <v>60</v>
      </c>
      <c r="B42" s="8">
        <v>5.055</v>
      </c>
      <c r="C42" s="8">
        <v>6.166</v>
      </c>
      <c r="D42" s="8">
        <v>-1.111</v>
      </c>
      <c r="E42" s="8">
        <v>-0.456</v>
      </c>
      <c r="F42" s="8">
        <v>-0.339</v>
      </c>
      <c r="G42" s="8">
        <v>-1.13</v>
      </c>
    </row>
    <row r="43">
      <c r="A43" s="6" t="s">
        <v>61</v>
      </c>
      <c r="B43" s="8">
        <v>5.371</v>
      </c>
      <c r="C43" s="8">
        <v>3.011</v>
      </c>
      <c r="D43" s="8">
        <v>2.36</v>
      </c>
      <c r="E43" s="8">
        <v>-0.67</v>
      </c>
      <c r="F43" s="8">
        <v>3.098</v>
      </c>
      <c r="G43" s="8">
        <v>2.94</v>
      </c>
    </row>
    <row r="44">
      <c r="A44" s="6" t="s">
        <v>62</v>
      </c>
      <c r="B44" s="8">
        <v>9.931</v>
      </c>
      <c r="C44" s="8">
        <v>8.018</v>
      </c>
      <c r="D44" s="8">
        <v>1.913</v>
      </c>
      <c r="E44" s="8">
        <v>1.8</v>
      </c>
      <c r="F44" s="8">
        <v>0.013</v>
      </c>
      <c r="G44" s="8">
        <v>0.53</v>
      </c>
    </row>
    <row r="46">
      <c r="A46" s="2" t="s">
        <v>146</v>
      </c>
    </row>
  </sheetData>
  <pageMargins left="0.5" right="0.5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7A55"/>
  </sheetPr>
  <dimension ref="A1:D28"/>
  <sheetViews>
    <sheetView showGridLines="0" workbookViewId="0"/>
  </sheetViews>
  <sheetFormatPr defaultRowHeight="12.75"/>
  <cols>
    <col min="1" max="1" width="52" customWidth="1"/>
    <col min="2" max="2" width="26" customWidth="1"/>
    <col min="3" max="3" width="26" customWidth="1"/>
    <col min="4" max="4" width="26" customWidth="1"/>
  </cols>
  <sheetData>
    <row r="1">
      <c r="A1" s="1" t="s">
        <v>147</v>
      </c>
    </row>
    <row r="3" ht="52" customHeight="1">
      <c r="A3" s="3" t="s">
        <v>65</v>
      </c>
      <c r="B3" s="3" t="s">
        <v>148</v>
      </c>
      <c r="C3" s="3" t="s">
        <v>149</v>
      </c>
      <c r="D3" s="3" t="s">
        <v>150</v>
      </c>
    </row>
    <row r="4">
      <c r="A4" s="4" t="s">
        <v>119</v>
      </c>
      <c r="B4" s="8">
        <v>-3.8</v>
      </c>
      <c r="C4" s="8">
        <v>0.2122058823529412</v>
      </c>
      <c r="D4" s="8">
        <v>0.26642857142857135</v>
      </c>
    </row>
    <row r="5">
      <c r="A5" s="4" t="s">
        <v>120</v>
      </c>
      <c r="B5" s="8">
        <v>12.3</v>
      </c>
      <c r="C5" s="8">
        <v>0.7295588235294117</v>
      </c>
      <c r="D5" s="8">
        <v>0.7507142857142857</v>
      </c>
    </row>
    <row r="6">
      <c r="A6" s="4" t="s">
        <v>121</v>
      </c>
      <c r="B6" s="8">
        <v>12.285</v>
      </c>
      <c r="C6" s="8">
        <v>0.3904970588235294</v>
      </c>
      <c r="D6" s="8">
        <v>0.220125</v>
      </c>
    </row>
    <row r="7">
      <c r="A7" s="4" t="s">
        <v>122</v>
      </c>
      <c r="B7" s="8">
        <v>3.975</v>
      </c>
      <c r="C7" s="8">
        <v>0.22991617647058823</v>
      </c>
      <c r="D7" s="8">
        <v>0.1694749999999999</v>
      </c>
    </row>
    <row r="8">
      <c r="A8" s="4" t="s">
        <v>123</v>
      </c>
      <c r="B8" s="8">
        <v>3.045</v>
      </c>
      <c r="C8" s="8">
        <v>0.03438970588235294</v>
      </c>
      <c r="D8" s="8">
        <v>0.006107142857142857</v>
      </c>
    </row>
    <row r="9">
      <c r="A9" s="4" t="s">
        <v>124</v>
      </c>
      <c r="B9" s="8">
        <v>5.435</v>
      </c>
      <c r="C9" s="8">
        <v>0.3013764705882353</v>
      </c>
      <c r="D9" s="8">
        <v>0.32256785714285713</v>
      </c>
    </row>
    <row r="10">
      <c r="A10" s="4" t="s">
        <v>125</v>
      </c>
      <c r="B10" s="8">
        <v>3.883</v>
      </c>
      <c r="C10" s="8">
        <v>0.2878014705882353</v>
      </c>
      <c r="D10" s="8">
        <v>0.2986964285714285</v>
      </c>
    </row>
    <row r="11">
      <c r="A11" s="4" t="s">
        <v>126</v>
      </c>
      <c r="B11" s="8">
        <v>1.395</v>
      </c>
      <c r="C11" s="8">
        <v>0.07745882352941176</v>
      </c>
      <c r="D11" s="8">
        <v>0.0793</v>
      </c>
    </row>
    <row r="12">
      <c r="A12" s="4" t="s">
        <v>127</v>
      </c>
      <c r="B12" s="8">
        <v>-0.837</v>
      </c>
      <c r="C12" s="8">
        <v>-0.09626323529411765</v>
      </c>
      <c r="D12" s="8">
        <v>-0.11169285714285714</v>
      </c>
    </row>
    <row r="13">
      <c r="A13" s="4" t="s">
        <v>128</v>
      </c>
      <c r="B13" s="8">
        <v>0.194</v>
      </c>
      <c r="C13" s="8">
        <v>-0.038211764705882355</v>
      </c>
      <c r="D13" s="8">
        <v>-0.03343928571428572</v>
      </c>
    </row>
    <row r="14">
      <c r="A14" s="4" t="s">
        <v>129</v>
      </c>
      <c r="B14" s="8">
        <v>-1.579</v>
      </c>
      <c r="C14" s="8">
        <v>-0.10199264705882354</v>
      </c>
      <c r="D14" s="8">
        <v>-0.08712142857142857</v>
      </c>
    </row>
    <row r="15">
      <c r="A15" s="4" t="s">
        <v>130</v>
      </c>
      <c r="B15" s="8">
        <v>1.128</v>
      </c>
      <c r="C15" s="8">
        <v>0.004598529411764706</v>
      </c>
      <c r="D15" s="8">
        <v>-0.03075</v>
      </c>
    </row>
    <row r="16">
      <c r="A16" s="5" t="s">
        <v>16</v>
      </c>
      <c r="B16" s="8">
        <v>37.42100000000001</v>
      </c>
      <c r="C16" s="8">
        <v>2.0312647058823528</v>
      </c>
      <c r="D16" s="8">
        <v>1.850596428571429</v>
      </c>
    </row>
    <row r="18">
      <c r="A18" s="4" t="s">
        <v>131</v>
      </c>
      <c r="B18" s="8">
        <v>4.79</v>
      </c>
      <c r="C18" s="8">
        <v>0.241475</v>
      </c>
      <c r="D18" s="8">
        <v>0.20217857142857143</v>
      </c>
    </row>
    <row r="19">
      <c r="A19" s="4" t="s">
        <v>132</v>
      </c>
      <c r="B19" s="8">
        <v>3.167</v>
      </c>
      <c r="C19" s="8">
        <v>0.19336617647058824</v>
      </c>
      <c r="D19" s="8">
        <v>0.1643321428571428</v>
      </c>
    </row>
    <row r="20">
      <c r="A20" s="4" t="s">
        <v>133</v>
      </c>
      <c r="B20" s="8">
        <v>-0.362</v>
      </c>
      <c r="C20" s="8">
        <v>-0.053625</v>
      </c>
      <c r="D20" s="8">
        <v>-0.07696428571428571</v>
      </c>
    </row>
    <row r="21">
      <c r="A21" s="4" t="s">
        <v>134</v>
      </c>
      <c r="B21" s="8">
        <v>5.311</v>
      </c>
      <c r="C21" s="8">
        <v>0.36106470588235295</v>
      </c>
      <c r="D21" s="8">
        <v>0.3709892857142857</v>
      </c>
    </row>
    <row r="22">
      <c r="A22" s="4" t="s">
        <v>135</v>
      </c>
      <c r="B22" s="8">
        <v>5.57</v>
      </c>
      <c r="C22" s="8">
        <v>0.3801029411764706</v>
      </c>
      <c r="D22" s="8">
        <v>0.34857142857142853</v>
      </c>
    </row>
    <row r="23">
      <c r="A23" s="4" t="s">
        <v>136</v>
      </c>
      <c r="B23" s="8">
        <v>2.86</v>
      </c>
      <c r="C23" s="8">
        <v>0.20051029411764704</v>
      </c>
      <c r="D23" s="8">
        <v>0.1826928571428572</v>
      </c>
    </row>
    <row r="24">
      <c r="A24" s="4" t="s">
        <v>137</v>
      </c>
      <c r="B24" s="8">
        <v>10.243</v>
      </c>
      <c r="C24" s="8">
        <v>0.6065955882352941</v>
      </c>
      <c r="D24" s="8">
        <v>0.6165642857142856</v>
      </c>
    </row>
    <row r="25">
      <c r="A25" s="4" t="s">
        <v>138</v>
      </c>
      <c r="B25" s="8">
        <v>6.372</v>
      </c>
      <c r="C25" s="8">
        <v>0.4409323529411765</v>
      </c>
      <c r="D25" s="8">
        <v>0.4453392857142857</v>
      </c>
    </row>
    <row r="26">
      <c r="A26" s="5" t="s">
        <v>17</v>
      </c>
      <c r="B26" s="8">
        <v>37.951</v>
      </c>
      <c r="C26" s="8">
        <v>2.370422058823529</v>
      </c>
      <c r="D26" s="8">
        <v>2.253703571428572</v>
      </c>
    </row>
    <row r="28">
      <c r="A28" s="2" t="s">
        <v>151</v>
      </c>
    </row>
  </sheetData>
  <pageMargins left="0.5" right="0.5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07B1F"/>
  </sheetPr>
  <dimension ref="A1:I80"/>
  <sheetViews>
    <sheetView showGridLines="0" workbookViewId="0"/>
  </sheetViews>
  <sheetFormatPr defaultRowHeight="12.75"/>
  <cols>
    <col min="1" max="1" width="5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s="1" t="s">
        <v>152</v>
      </c>
    </row>
    <row r="2">
      <c r="A2" s="2" t="s">
        <v>153</v>
      </c>
    </row>
    <row r="4" ht="40" customHeight="1">
      <c r="A4" s="3" t="s">
        <v>86</v>
      </c>
      <c r="B4" s="3" t="s">
        <v>154</v>
      </c>
      <c r="C4" s="3" t="s">
        <v>155</v>
      </c>
      <c r="D4" s="3" t="s">
        <v>156</v>
      </c>
      <c r="E4" s="3" t="s">
        <v>155</v>
      </c>
      <c r="F4" s="3" t="s">
        <v>157</v>
      </c>
      <c r="G4" s="3" t="s">
        <v>155</v>
      </c>
      <c r="H4" s="3" t="s">
        <v>158</v>
      </c>
      <c r="I4" s="3" t="s">
        <v>155</v>
      </c>
    </row>
    <row r="5">
      <c r="A5" s="4" t="s">
        <v>91</v>
      </c>
      <c r="B5" s="12">
        <v>-0.17567529931626305</v>
      </c>
      <c r="C5" s="13">
        <v>0.5311431378197906</v>
      </c>
      <c r="D5" s="12">
        <v>-0.4508612406785728</v>
      </c>
      <c r="E5" s="13">
        <v>0.09165906207076296</v>
      </c>
      <c r="F5" s="12">
        <v>0.2156548296561705</v>
      </c>
      <c r="G5" s="13">
        <v>0.44016246930121483</v>
      </c>
      <c r="H5" s="12">
        <v>-0.48271015845094206</v>
      </c>
      <c r="I5" s="13">
        <v>0.06837664782360663</v>
      </c>
    </row>
    <row r="6">
      <c r="A6" s="4" t="s">
        <v>92</v>
      </c>
      <c r="B6" s="12">
        <v>-0.21378414651431427</v>
      </c>
      <c r="C6" s="13">
        <v>0.4442346067023526</v>
      </c>
      <c r="D6" s="12">
        <v>0.2769143309094445</v>
      </c>
      <c r="E6" s="13">
        <v>0.3177166587104593</v>
      </c>
      <c r="F6" s="12">
        <v>-0.4486587652421204</v>
      </c>
      <c r="G6" s="13">
        <v>0.09345233424947434</v>
      </c>
      <c r="H6" s="12">
        <v>0.10668961354319939</v>
      </c>
      <c r="I6" s="13">
        <v>0.7051017112111138</v>
      </c>
    </row>
    <row r="7">
      <c r="A7" s="4" t="s">
        <v>93</v>
      </c>
      <c r="B7" s="12">
        <v>-0.08955679390751899</v>
      </c>
      <c r="C7" s="13">
        <v>0.7509405555804565</v>
      </c>
      <c r="D7" s="12">
        <v>-0.10981884576051765</v>
      </c>
      <c r="E7" s="13">
        <v>0.6968252127909742</v>
      </c>
      <c r="F7" s="12">
        <v>-0.34831300058554837</v>
      </c>
      <c r="G7" s="13">
        <v>0.20327423103861253</v>
      </c>
      <c r="H7" s="12">
        <v>0.18558622770141564</v>
      </c>
      <c r="I7" s="13">
        <v>0.5078389493415472</v>
      </c>
    </row>
    <row r="8">
      <c r="A8" s="4" t="s">
        <v>94</v>
      </c>
      <c r="B8" s="12">
        <v>0.0693009896174208</v>
      </c>
      <c r="C8" s="13">
        <v>0.8061384721758486</v>
      </c>
      <c r="D8" s="12">
        <v>-0.7456100209574128</v>
      </c>
      <c r="E8" s="13">
        <v>0.0014177920339265766</v>
      </c>
      <c r="F8" s="12">
        <v>0.25814435489471055</v>
      </c>
      <c r="G8" s="13">
        <v>0.35292325836979466</v>
      </c>
      <c r="H8" s="12">
        <v>-0.3133782467222551</v>
      </c>
      <c r="I8" s="13">
        <v>0.2553879073197909</v>
      </c>
    </row>
    <row r="9">
      <c r="A9" s="4" t="s">
        <v>95</v>
      </c>
      <c r="B9" s="12">
        <v>-0.10490116718373114</v>
      </c>
      <c r="C9" s="13">
        <v>0.7098458531905687</v>
      </c>
      <c r="D9" s="12">
        <v>0.15687991070110788</v>
      </c>
      <c r="E9" s="13">
        <v>0.5765994627946694</v>
      </c>
      <c r="F9" s="12">
        <v>-0.26863742661000184</v>
      </c>
      <c r="G9" s="13">
        <v>0.3329832867260545</v>
      </c>
      <c r="H9" s="12">
        <v>0.2733600229614706</v>
      </c>
      <c r="I9" s="13">
        <v>0.3242223353669942</v>
      </c>
    </row>
    <row r="10">
      <c r="A10" s="4" t="s">
        <v>97</v>
      </c>
      <c r="B10" s="12">
        <v>0.609132600439024</v>
      </c>
      <c r="C10" s="13">
        <v>0.0159383286104069</v>
      </c>
      <c r="D10" s="12">
        <v>-0.2471591981634393</v>
      </c>
      <c r="E10" s="13">
        <v>0.37449116293399554</v>
      </c>
      <c r="F10" s="12">
        <v>0.6638184816274532</v>
      </c>
      <c r="G10" s="13">
        <v>0.00696451187803437</v>
      </c>
      <c r="H10" s="12">
        <v>0.1425137412582453</v>
      </c>
      <c r="I10" s="13">
        <v>0.6123876714352312</v>
      </c>
    </row>
    <row r="11">
      <c r="A11" s="4" t="s">
        <v>98</v>
      </c>
      <c r="B11" s="12">
        <v>0.005007337882241093</v>
      </c>
      <c r="C11" s="13">
        <v>0.9858695811993153</v>
      </c>
      <c r="D11" s="12">
        <v>-0.23574549904280756</v>
      </c>
      <c r="E11" s="13">
        <v>0.39763862597871347</v>
      </c>
      <c r="F11" s="12">
        <v>0.08760072890126255</v>
      </c>
      <c r="G11" s="13">
        <v>0.7562266531891579</v>
      </c>
      <c r="H11" s="12">
        <v>-0.30738970661735554</v>
      </c>
      <c r="I11" s="13">
        <v>0.26506893115761665</v>
      </c>
    </row>
    <row r="12">
      <c r="A12" s="4" t="s">
        <v>99</v>
      </c>
      <c r="B12" s="12">
        <v>-0.20661487344772508</v>
      </c>
      <c r="C12" s="13">
        <v>0.46001420761682477</v>
      </c>
      <c r="D12" s="12">
        <v>0.23778139756375555</v>
      </c>
      <c r="E12" s="13">
        <v>0.3934552612359403</v>
      </c>
      <c r="F12" s="12">
        <v>-0.00422903480533456</v>
      </c>
      <c r="G12" s="13">
        <v>0.9880657503276566</v>
      </c>
      <c r="H12" s="12">
        <v>0.04310931698935482</v>
      </c>
      <c r="I12" s="13">
        <v>0.8787558609925915</v>
      </c>
    </row>
    <row r="13">
      <c r="A13" s="4" t="s">
        <v>96</v>
      </c>
      <c r="B13" s="12">
        <v>-0.0875109557200034</v>
      </c>
      <c r="C13" s="13">
        <v>0.75646950030305</v>
      </c>
      <c r="D13" s="12">
        <v>0.1746469667257547</v>
      </c>
      <c r="E13" s="13">
        <v>0.5335880738123374</v>
      </c>
      <c r="F13" s="12">
        <v>0.15638035576559964</v>
      </c>
      <c r="G13" s="13">
        <v>0.5778292232334334</v>
      </c>
      <c r="H13" s="12">
        <v>0.049241217283880215</v>
      </c>
      <c r="I13" s="13">
        <v>0.8616534443255817</v>
      </c>
    </row>
    <row r="14">
      <c r="A14" s="4" t="s">
        <v>159</v>
      </c>
      <c r="B14" s="12">
        <v>0.19627908326425247</v>
      </c>
      <c r="C14" s="13">
        <v>0.4832385847633016</v>
      </c>
      <c r="D14" s="12">
        <v>0.023796215834191583</v>
      </c>
      <c r="E14" s="13">
        <v>0.932915026907423</v>
      </c>
      <c r="F14" s="12">
        <v>0.17008569349642844</v>
      </c>
      <c r="G14" s="13">
        <v>0.5444926622111669</v>
      </c>
      <c r="H14" s="12">
        <v>0.22058192414993355</v>
      </c>
      <c r="I14" s="13">
        <v>0.42952780087249764</v>
      </c>
    </row>
    <row r="15">
      <c r="A15" s="4" t="s">
        <v>160</v>
      </c>
      <c r="B15" s="12">
        <v>-0.28662638149873193</v>
      </c>
      <c r="C15" s="13">
        <v>0.3003274831557816</v>
      </c>
      <c r="D15" s="12">
        <v>0.13901552364125186</v>
      </c>
      <c r="E15" s="13">
        <v>0.6212308409781634</v>
      </c>
      <c r="F15" s="12">
        <v>-0.3249158727331631</v>
      </c>
      <c r="G15" s="13">
        <v>0.23735394795671672</v>
      </c>
      <c r="H15" s="12">
        <v>-0.008026075488202646</v>
      </c>
      <c r="I15" s="13">
        <v>0.9773525113164729</v>
      </c>
    </row>
    <row r="16">
      <c r="A16" s="4" t="s">
        <v>161</v>
      </c>
      <c r="B16" s="12">
        <v>-0.10670076427664571</v>
      </c>
      <c r="C16" s="13">
        <v>0.7050721634991917</v>
      </c>
      <c r="D16" s="12">
        <v>0.17381818010377764</v>
      </c>
      <c r="E16" s="13">
        <v>0.5355622050575912</v>
      </c>
      <c r="F16" s="12">
        <v>-0.16713839327395086</v>
      </c>
      <c r="G16" s="13">
        <v>0.5515900517650902</v>
      </c>
      <c r="H16" s="12">
        <v>0.058822811238016526</v>
      </c>
      <c r="I16" s="13">
        <v>0.8350459276983793</v>
      </c>
    </row>
    <row r="17">
      <c r="A17" s="4" t="s">
        <v>162</v>
      </c>
      <c r="B17" s="12">
        <v>0.0755167268989454</v>
      </c>
      <c r="C17" s="13">
        <v>0.7890974043749254</v>
      </c>
      <c r="D17" s="12">
        <v>-0.1300232695512338</v>
      </c>
      <c r="E17" s="13">
        <v>0.6441819645560208</v>
      </c>
      <c r="F17" s="12">
        <v>0.12360219289322869</v>
      </c>
      <c r="G17" s="13">
        <v>0.6607566048263527</v>
      </c>
      <c r="H17" s="12">
        <v>0.061703796673858245</v>
      </c>
      <c r="I17" s="13">
        <v>0.8270766841326278</v>
      </c>
    </row>
    <row r="18">
      <c r="A18" s="4" t="s">
        <v>163</v>
      </c>
      <c r="B18" s="12">
        <v>-0.07935385060215794</v>
      </c>
      <c r="C18" s="13">
        <v>0.7786211677309204</v>
      </c>
      <c r="D18" s="12">
        <v>-0.4850896214354009</v>
      </c>
      <c r="E18" s="13">
        <v>0.06682850266329131</v>
      </c>
      <c r="F18" s="12">
        <v>0.3327163524617052</v>
      </c>
      <c r="G18" s="13">
        <v>0.225621844316646</v>
      </c>
      <c r="H18" s="12">
        <v>-0.39247314981612064</v>
      </c>
      <c r="I18" s="13">
        <v>0.14789807850681014</v>
      </c>
    </row>
    <row r="19">
      <c r="A19" s="4" t="s">
        <v>164</v>
      </c>
      <c r="B19" s="12">
        <v>-0.27667451615439187</v>
      </c>
      <c r="C19" s="13">
        <v>0.3181532238823601</v>
      </c>
      <c r="D19" s="12">
        <v>0.24279711931928302</v>
      </c>
      <c r="E19" s="13">
        <v>0.3832496029160477</v>
      </c>
      <c r="F19" s="12">
        <v>-0.624147056915663</v>
      </c>
      <c r="G19" s="13">
        <v>0.012886104481985365</v>
      </c>
      <c r="H19" s="12">
        <v>0.2206407209182002</v>
      </c>
      <c r="I19" s="13">
        <v>0.4294016922647319</v>
      </c>
    </row>
    <row r="20">
      <c r="A20" s="4" t="s">
        <v>16</v>
      </c>
      <c r="B20" s="12">
        <v>-0.23040060231292186</v>
      </c>
      <c r="C20" s="13">
        <v>0.40873267144892267</v>
      </c>
      <c r="D20" s="12">
        <v>-0.404655626783326</v>
      </c>
      <c r="E20" s="13">
        <v>0.1346204015712359</v>
      </c>
      <c r="F20" s="12">
        <v>0.019336177167369895</v>
      </c>
      <c r="G20" s="13">
        <v>0.9454692999947852</v>
      </c>
      <c r="H20" s="12">
        <v>-0.32387970897169277</v>
      </c>
      <c r="I20" s="13">
        <v>0.23894029721774213</v>
      </c>
    </row>
    <row r="22">
      <c r="A22" s="16" t="s">
        <v>165</v>
      </c>
      <c r="B22" s="16"/>
      <c r="C22" s="16"/>
      <c r="D22" s="16"/>
      <c r="E22" s="16"/>
      <c r="F22" s="16"/>
      <c r="G22" s="16"/>
      <c r="H22" s="16"/>
      <c r="I22" s="16"/>
    </row>
    <row r="23" ht="40" customHeight="1">
      <c r="A23" s="3" t="s">
        <v>86</v>
      </c>
      <c r="B23" s="3" t="s">
        <v>166</v>
      </c>
      <c r="C23" s="3" t="s">
        <v>167</v>
      </c>
      <c r="D23" s="3" t="s">
        <v>168</v>
      </c>
      <c r="E23" s="3" t="s">
        <v>103</v>
      </c>
      <c r="F23" s="3" t="s">
        <v>103</v>
      </c>
      <c r="G23" s="3" t="s">
        <v>103</v>
      </c>
      <c r="H23" s="3" t="s">
        <v>103</v>
      </c>
      <c r="I23" s="3" t="s">
        <v>103</v>
      </c>
    </row>
    <row r="24">
      <c r="A24" s="4" t="s">
        <v>91</v>
      </c>
      <c r="B24" s="11">
        <v>0.5381664030082557</v>
      </c>
      <c r="C24" s="11">
        <v>0.6992176578035006</v>
      </c>
    </row>
    <row r="25">
      <c r="A25" s="4" t="s">
        <v>92</v>
      </c>
      <c r="B25" s="11">
        <v>-0.01827009605470705</v>
      </c>
      <c r="D25" s="11">
        <v>0.40933881437260317</v>
      </c>
    </row>
    <row r="26">
      <c r="A26" s="4" t="s">
        <v>93</v>
      </c>
      <c r="B26" s="11">
        <v>0.17581515338264095</v>
      </c>
      <c r="D26" s="11">
        <v>0.4070451467092766</v>
      </c>
    </row>
    <row r="27">
      <c r="A27" s="4" t="s">
        <v>94</v>
      </c>
      <c r="B27" s="11">
        <v>0.12960052472840772</v>
      </c>
      <c r="C27" s="11">
        <v>0.14790180274054873</v>
      </c>
    </row>
    <row r="28">
      <c r="A28" s="4" t="s">
        <v>95</v>
      </c>
      <c r="B28" s="11">
        <v>0.08436619036136585</v>
      </c>
      <c r="D28" s="11">
        <v>0.1889589504871283</v>
      </c>
    </row>
    <row r="29">
      <c r="A29" s="4" t="s">
        <v>97</v>
      </c>
      <c r="B29" s="11">
        <v>0.0067217450258164856</v>
      </c>
      <c r="C29" s="11">
        <v>0.013913731436085628</v>
      </c>
    </row>
    <row r="30">
      <c r="A30" s="4" t="s">
        <v>98</v>
      </c>
      <c r="B30" s="11">
        <v>0.012494607199118732</v>
      </c>
      <c r="D30" s="11">
        <v>-0.0011317458590252847</v>
      </c>
    </row>
    <row r="31">
      <c r="A31" s="4" t="s">
        <v>99</v>
      </c>
      <c r="B31" s="11">
        <v>-0.023479483519818562</v>
      </c>
      <c r="D31" s="11">
        <v>-0.004211165709982494</v>
      </c>
    </row>
    <row r="32">
      <c r="A32" s="4" t="s">
        <v>96</v>
      </c>
      <c r="B32" s="11">
        <v>0.078686894293675</v>
      </c>
      <c r="C32" s="11">
        <v>0.13130378387560912</v>
      </c>
    </row>
    <row r="33">
      <c r="A33" s="4" t="s">
        <v>159</v>
      </c>
      <c r="B33" s="11">
        <v>0.003562697054392532</v>
      </c>
      <c r="C33" s="11">
        <v>0.0076630241442561505</v>
      </c>
    </row>
    <row r="34">
      <c r="A34" s="4" t="s">
        <v>160</v>
      </c>
      <c r="B34" s="11">
        <v>-0.006158048528703407</v>
      </c>
    </row>
    <row r="35">
      <c r="A35" s="4" t="s">
        <v>161</v>
      </c>
      <c r="B35" s="11">
        <v>0.01840347570106687</v>
      </c>
    </row>
    <row r="37">
      <c r="A37" s="16" t="s">
        <v>169</v>
      </c>
      <c r="B37" s="16"/>
      <c r="C37" s="16"/>
      <c r="D37" s="16"/>
      <c r="E37" s="16"/>
      <c r="F37" s="16"/>
      <c r="G37" s="16"/>
      <c r="H37" s="16"/>
      <c r="I37" s="16"/>
    </row>
    <row r="38" ht="40" customHeight="1">
      <c r="A38" s="3" t="s">
        <v>86</v>
      </c>
      <c r="B38" s="3" t="s">
        <v>170</v>
      </c>
      <c r="C38" s="3" t="s">
        <v>155</v>
      </c>
      <c r="D38" s="3" t="s">
        <v>171</v>
      </c>
      <c r="E38" s="3" t="s">
        <v>155</v>
      </c>
      <c r="F38" s="3" t="s">
        <v>172</v>
      </c>
      <c r="G38" s="3" t="s">
        <v>155</v>
      </c>
      <c r="H38" s="3" t="s">
        <v>103</v>
      </c>
      <c r="I38" s="3" t="s">
        <v>103</v>
      </c>
    </row>
    <row r="39">
      <c r="A39" s="4" t="s">
        <v>91</v>
      </c>
      <c r="B39" s="12">
        <v>-0.2007935214967466</v>
      </c>
      <c r="C39" s="13">
        <v>0.47302655859943776</v>
      </c>
      <c r="D39" s="12">
        <v>0.34023339276302006</v>
      </c>
      <c r="E39" s="13">
        <v>0.23393884951637955</v>
      </c>
      <c r="F39" s="12">
        <v>-0.00879823761283095</v>
      </c>
      <c r="G39" s="13">
        <v>0.9772424870105177</v>
      </c>
    </row>
    <row r="40">
      <c r="A40" s="4" t="s">
        <v>92</v>
      </c>
      <c r="B40" s="12">
        <v>0.08332945724442607</v>
      </c>
      <c r="C40" s="13">
        <v>0.7678040440160656</v>
      </c>
      <c r="D40" s="12">
        <v>-0.02462590157443988</v>
      </c>
      <c r="E40" s="13">
        <v>0.9334042439171757</v>
      </c>
      <c r="F40" s="12">
        <v>-0.19758925708877953</v>
      </c>
      <c r="G40" s="13">
        <v>0.5175912989193735</v>
      </c>
    </row>
    <row r="41">
      <c r="A41" s="4" t="s">
        <v>93</v>
      </c>
      <c r="B41" s="12">
        <v>0.48473427363844895</v>
      </c>
      <c r="C41" s="13">
        <v>0.06705807722527424</v>
      </c>
      <c r="D41" s="12">
        <v>0.25325865607402426</v>
      </c>
      <c r="E41" s="13">
        <v>0.38232044866961945</v>
      </c>
      <c r="F41" s="12">
        <v>0.29738286419661525</v>
      </c>
      <c r="G41" s="13">
        <v>0.3237615133730083</v>
      </c>
    </row>
    <row r="42">
      <c r="A42" s="4" t="s">
        <v>94</v>
      </c>
      <c r="B42" s="12">
        <v>-0.09123189214885452</v>
      </c>
      <c r="C42" s="13">
        <v>0.7464218926757649</v>
      </c>
      <c r="D42" s="12">
        <v>0.7312763845726801</v>
      </c>
      <c r="E42" s="13">
        <v>0.002959382222825737</v>
      </c>
      <c r="F42" s="12">
        <v>0.6799300142746133</v>
      </c>
      <c r="G42" s="13">
        <v>0.010558861774236289</v>
      </c>
    </row>
    <row r="43">
      <c r="A43" s="4" t="s">
        <v>95</v>
      </c>
      <c r="B43" s="12">
        <v>0.3321898320755482</v>
      </c>
      <c r="C43" s="13">
        <v>0.22640206730930534</v>
      </c>
      <c r="D43" s="12">
        <v>0.3411541459450332</v>
      </c>
      <c r="E43" s="13">
        <v>0.23259385547061862</v>
      </c>
      <c r="F43" s="12">
        <v>0.11023704245037216</v>
      </c>
      <c r="G43" s="13">
        <v>0.7199602174432896</v>
      </c>
    </row>
    <row r="44">
      <c r="A44" s="4" t="s">
        <v>97</v>
      </c>
      <c r="B44" s="12">
        <v>-0.12658666806579316</v>
      </c>
      <c r="C44" s="13">
        <v>0.653034060945243</v>
      </c>
      <c r="D44" s="12">
        <v>0.09896616073959333</v>
      </c>
      <c r="E44" s="13">
        <v>0.7364176978169208</v>
      </c>
      <c r="F44" s="12">
        <v>0.07056769187392391</v>
      </c>
      <c r="G44" s="13">
        <v>0.8188049767112368</v>
      </c>
    </row>
    <row r="45">
      <c r="A45" s="4" t="s">
        <v>98</v>
      </c>
      <c r="B45" s="12">
        <v>-0.22501334282476515</v>
      </c>
      <c r="C45" s="13">
        <v>0.4200763914853194</v>
      </c>
      <c r="D45" s="12">
        <v>0.11033865510291113</v>
      </c>
      <c r="E45" s="13">
        <v>0.7072827663479284</v>
      </c>
      <c r="F45" s="12">
        <v>0.11968130200397303</v>
      </c>
      <c r="G45" s="13">
        <v>0.6969492791292131</v>
      </c>
    </row>
    <row r="46">
      <c r="A46" s="4" t="s">
        <v>99</v>
      </c>
      <c r="B46" s="12">
        <v>-0.06609865938400226</v>
      </c>
      <c r="C46" s="13">
        <v>0.8149501661282531</v>
      </c>
      <c r="D46" s="12">
        <v>-0.08518419513781272</v>
      </c>
      <c r="E46" s="13">
        <v>0.7721683744284937</v>
      </c>
      <c r="F46" s="12">
        <v>-0.3545527217244613</v>
      </c>
      <c r="G46" s="13">
        <v>0.23457320063442821</v>
      </c>
    </row>
    <row r="47">
      <c r="A47" s="4" t="s">
        <v>96</v>
      </c>
      <c r="B47" s="12">
        <v>0.17986012158269796</v>
      </c>
      <c r="C47" s="13">
        <v>0.5212452958049036</v>
      </c>
      <c r="D47" s="12">
        <v>-0.17768585436584605</v>
      </c>
      <c r="E47" s="13">
        <v>0.5433717612300725</v>
      </c>
      <c r="F47" s="12">
        <v>-0.05327992953592995</v>
      </c>
      <c r="G47" s="13">
        <v>0.8627553330245838</v>
      </c>
    </row>
    <row r="49">
      <c r="A49" s="16" t="s">
        <v>173</v>
      </c>
      <c r="B49" s="16"/>
      <c r="C49" s="16"/>
      <c r="D49" s="16"/>
      <c r="E49" s="16"/>
      <c r="F49" s="16"/>
      <c r="G49" s="16"/>
      <c r="H49" s="16"/>
      <c r="I49" s="16"/>
    </row>
    <row r="50" ht="40" customHeight="1">
      <c r="A50" s="3" t="s">
        <v>174</v>
      </c>
      <c r="B50" s="3" t="s">
        <v>175</v>
      </c>
      <c r="C50" s="3" t="s">
        <v>176</v>
      </c>
      <c r="D50" s="3" t="s">
        <v>177</v>
      </c>
      <c r="E50" s="3" t="s">
        <v>178</v>
      </c>
      <c r="F50" s="3" t="s">
        <v>179</v>
      </c>
      <c r="G50" s="3" t="s">
        <v>103</v>
      </c>
      <c r="H50" s="3" t="s">
        <v>103</v>
      </c>
      <c r="I50" s="3" t="s">
        <v>103</v>
      </c>
    </row>
    <row r="51">
      <c r="A51" s="4" t="s">
        <v>180</v>
      </c>
      <c r="B51" s="12">
        <v>-0.4195656837380571</v>
      </c>
      <c r="C51" s="12">
        <v>0.05613842197980215</v>
      </c>
      <c r="D51" s="12">
        <v>0.26407188930204273</v>
      </c>
      <c r="E51" s="12">
        <v>0.2807682180825038</v>
      </c>
      <c r="F51" s="12">
        <v>-0.1611046225689505</v>
      </c>
    </row>
    <row r="52">
      <c r="A52" s="4" t="s">
        <v>155</v>
      </c>
      <c r="B52" s="13">
        <v>0.15351840083766977</v>
      </c>
      <c r="C52" s="13">
        <v>0.8488267454612017</v>
      </c>
      <c r="D52" s="13">
        <v>0.3415790993664758</v>
      </c>
      <c r="E52" s="13">
        <v>0.33087982553574735</v>
      </c>
      <c r="F52" s="13">
        <v>0.5990285257247829</v>
      </c>
    </row>
    <row r="54">
      <c r="A54" s="16" t="s">
        <v>181</v>
      </c>
      <c r="B54" s="16"/>
      <c r="C54" s="16"/>
      <c r="D54" s="16"/>
      <c r="E54" s="16"/>
      <c r="F54" s="16"/>
      <c r="G54" s="16"/>
      <c r="H54" s="16"/>
      <c r="I54" s="16"/>
    </row>
    <row r="55" ht="40" customHeight="1">
      <c r="A55" s="3" t="s">
        <v>182</v>
      </c>
      <c r="B55" s="3" t="s">
        <v>183</v>
      </c>
      <c r="C55" s="3" t="s">
        <v>175</v>
      </c>
      <c r="D55" s="3" t="s">
        <v>176</v>
      </c>
      <c r="E55" s="3" t="s">
        <v>177</v>
      </c>
      <c r="F55" s="3" t="s">
        <v>178</v>
      </c>
      <c r="G55" s="3" t="s">
        <v>179</v>
      </c>
      <c r="H55" s="3" t="s">
        <v>184</v>
      </c>
      <c r="I55" s="3" t="s">
        <v>103</v>
      </c>
    </row>
    <row r="56">
      <c r="A56" s="4" t="s">
        <v>180</v>
      </c>
      <c r="B56" s="12">
        <v>0.01499724419243326</v>
      </c>
      <c r="C56" s="12">
        <v>0.07340181697398113</v>
      </c>
      <c r="D56" s="12">
        <v>0.19191159514474795</v>
      </c>
      <c r="E56" s="12">
        <v>0.6981253050793718</v>
      </c>
      <c r="F56" s="12">
        <v>0.1400132660454998</v>
      </c>
      <c r="G56" s="12">
        <v>0.11701909222550418</v>
      </c>
      <c r="H56" s="12">
        <v>0.018833855270605868</v>
      </c>
    </row>
    <row r="57">
      <c r="A57" s="4" t="s">
        <v>155</v>
      </c>
      <c r="B57" s="13">
        <v>0.8381410225337077</v>
      </c>
      <c r="C57" s="13">
        <v>0.3154902089643583</v>
      </c>
      <c r="D57" s="13">
        <v>0.00798828488038644</v>
      </c>
      <c r="E57" s="13">
        <v>3.1088896433576245e-29</v>
      </c>
      <c r="F57" s="13">
        <v>0.05401509632050675</v>
      </c>
      <c r="G57" s="13">
        <v>0.1088048185775895</v>
      </c>
      <c r="H57" s="13">
        <v>0.7975359868911843</v>
      </c>
    </row>
    <row r="58">
      <c r="A58" s="2" t="s">
        <v>185</v>
      </c>
    </row>
    <row r="60">
      <c r="A60" s="16" t="s">
        <v>186</v>
      </c>
      <c r="B60" s="16"/>
      <c r="C60" s="16"/>
      <c r="D60" s="16"/>
      <c r="E60" s="16"/>
      <c r="F60" s="16"/>
      <c r="G60" s="16"/>
      <c r="H60" s="16"/>
      <c r="I60" s="16"/>
    </row>
    <row r="61" ht="40" customHeight="1">
      <c r="A61" s="3" t="s">
        <v>86</v>
      </c>
      <c r="B61" s="3" t="s">
        <v>157</v>
      </c>
      <c r="C61" s="3" t="s">
        <v>155</v>
      </c>
      <c r="D61" s="3" t="s">
        <v>187</v>
      </c>
      <c r="E61" s="3" t="s">
        <v>155</v>
      </c>
      <c r="F61" s="3" t="s">
        <v>103</v>
      </c>
      <c r="G61" s="3" t="s">
        <v>103</v>
      </c>
      <c r="H61" s="3" t="s">
        <v>103</v>
      </c>
      <c r="I61" s="3" t="s">
        <v>103</v>
      </c>
    </row>
    <row r="62">
      <c r="A62" s="4" t="s">
        <v>92</v>
      </c>
      <c r="B62" s="12">
        <v>-0.4322886715250256</v>
      </c>
      <c r="C62" s="13">
        <v>0.12266157663408328</v>
      </c>
      <c r="D62" s="12">
        <v>0.030377437738719697</v>
      </c>
      <c r="E62" s="13">
        <v>0.9178936590959484</v>
      </c>
    </row>
    <row r="63">
      <c r="A63" s="4" t="s">
        <v>93</v>
      </c>
      <c r="B63" s="12">
        <v>-0.32326871876387747</v>
      </c>
      <c r="C63" s="13">
        <v>0.2595745281168238</v>
      </c>
      <c r="D63" s="12">
        <v>0.3770268436190842</v>
      </c>
      <c r="E63" s="13">
        <v>0.18389352206028475</v>
      </c>
    </row>
    <row r="64">
      <c r="A64" s="4" t="s">
        <v>95</v>
      </c>
      <c r="B64" s="12">
        <v>-0.33688389872106633</v>
      </c>
      <c r="C64" s="13">
        <v>0.2388719083946217</v>
      </c>
      <c r="D64" s="12">
        <v>0.4711966253462295</v>
      </c>
      <c r="E64" s="13">
        <v>0.08898999781917692</v>
      </c>
    </row>
    <row r="65">
      <c r="A65" s="4" t="s">
        <v>98</v>
      </c>
      <c r="B65" s="12">
        <v>0.04986980930180323</v>
      </c>
      <c r="C65" s="13">
        <v>0.8655587716961382</v>
      </c>
      <c r="D65" s="12">
        <v>-0.1622308927178171</v>
      </c>
      <c r="E65" s="13">
        <v>0.5795026545016733</v>
      </c>
    </row>
    <row r="66">
      <c r="A66" s="4" t="s">
        <v>99</v>
      </c>
      <c r="B66" s="12">
        <v>0.01151550057417335</v>
      </c>
      <c r="C66" s="13">
        <v>0.9688340685341755</v>
      </c>
      <c r="D66" s="12">
        <v>-0.10179342108329435</v>
      </c>
      <c r="E66" s="13">
        <v>0.7291421320344753</v>
      </c>
    </row>
    <row r="67">
      <c r="A67" s="4" t="s">
        <v>164</v>
      </c>
      <c r="B67" s="12">
        <v>-0.6138907689547531</v>
      </c>
      <c r="C67" s="13">
        <v>0.019526665972815698</v>
      </c>
    </row>
    <row r="69" ht="40" customHeight="1">
      <c r="A69" s="3" t="s">
        <v>188</v>
      </c>
      <c r="B69" s="3" t="s">
        <v>175</v>
      </c>
      <c r="C69" s="3" t="s">
        <v>176</v>
      </c>
      <c r="D69" s="3" t="s">
        <v>177</v>
      </c>
      <c r="E69" s="3" t="s">
        <v>178</v>
      </c>
      <c r="F69" s="3" t="s">
        <v>179</v>
      </c>
      <c r="G69" s="3" t="s">
        <v>103</v>
      </c>
      <c r="H69" s="3" t="s">
        <v>103</v>
      </c>
      <c r="I69" s="3" t="s">
        <v>103</v>
      </c>
    </row>
    <row r="70">
      <c r="A70" s="4" t="s">
        <v>180</v>
      </c>
      <c r="B70" s="12">
        <v>-0.5462284089208574</v>
      </c>
      <c r="C70" s="12">
        <v>0.05360386619845319</v>
      </c>
      <c r="D70" s="12">
        <v>0.2087791852566248</v>
      </c>
      <c r="E70" s="12">
        <v>0.3490057657529966</v>
      </c>
      <c r="F70" s="12">
        <v>-0.14581206698128168</v>
      </c>
    </row>
    <row r="71">
      <c r="A71" s="4" t="s">
        <v>155</v>
      </c>
      <c r="B71" s="13">
        <v>0.0661492298689227</v>
      </c>
      <c r="C71" s="13">
        <v>0.8619280578048167</v>
      </c>
      <c r="D71" s="13">
        <v>0.473804883434222</v>
      </c>
      <c r="E71" s="13">
        <v>0.24249207354420887</v>
      </c>
      <c r="F71" s="13">
        <v>0.6511452444206298</v>
      </c>
    </row>
    <row r="73">
      <c r="A73" s="16" t="s">
        <v>189</v>
      </c>
      <c r="B73" s="16"/>
      <c r="C73" s="16"/>
      <c r="D73" s="16"/>
      <c r="E73" s="16"/>
      <c r="F73" s="16"/>
      <c r="G73" s="16"/>
      <c r="H73" s="16"/>
      <c r="I73" s="16"/>
    </row>
    <row r="74" ht="40" customHeight="1">
      <c r="A74" s="3" t="s">
        <v>190</v>
      </c>
      <c r="B74" s="3" t="s">
        <v>180</v>
      </c>
      <c r="C74" s="3" t="s">
        <v>155</v>
      </c>
      <c r="D74" s="3" t="s">
        <v>103</v>
      </c>
      <c r="E74" s="3" t="s">
        <v>103</v>
      </c>
      <c r="F74" s="3" t="s">
        <v>103</v>
      </c>
      <c r="G74" s="3" t="s">
        <v>103</v>
      </c>
      <c r="H74" s="3" t="s">
        <v>103</v>
      </c>
      <c r="I74" s="3" t="s">
        <v>103</v>
      </c>
    </row>
    <row r="75">
      <c r="A75" s="4" t="s">
        <v>191</v>
      </c>
      <c r="B75" s="12">
        <v>-0.624147056915663</v>
      </c>
      <c r="C75" s="13">
        <v>0.012886104481985365</v>
      </c>
    </row>
    <row r="76">
      <c r="A76" s="4" t="s">
        <v>192</v>
      </c>
      <c r="B76" s="12">
        <v>-0.127885053178045</v>
      </c>
      <c r="C76" s="13">
        <v>0.649684517380863</v>
      </c>
    </row>
    <row r="77">
      <c r="A77" s="4" t="s">
        <v>193</v>
      </c>
      <c r="B77" s="12">
        <v>0.2206407209182002</v>
      </c>
      <c r="C77" s="13">
        <v>0.4294016922647319</v>
      </c>
    </row>
    <row r="78">
      <c r="A78" s="4" t="s">
        <v>194</v>
      </c>
      <c r="B78" s="12">
        <v>-0.5506688904691684</v>
      </c>
      <c r="C78" s="13">
        <v>0.03339584663365953</v>
      </c>
    </row>
    <row r="80">
      <c r="A80" s="2" t="s">
        <v>195</v>
      </c>
    </row>
  </sheetData>
  <pageMargins left="0.5" right="0.5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E7497"/>
  </sheetPr>
  <dimension ref="A1:O47"/>
  <sheetViews>
    <sheetView showGridLines="0" workbookViewId="0"/>
  </sheetViews>
  <sheetFormatPr defaultRowHeight="12.75"/>
  <cols>
    <col min="1" max="1" width="44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</cols>
  <sheetData>
    <row r="1">
      <c r="A1" s="1" t="s">
        <v>196</v>
      </c>
    </row>
    <row r="2">
      <c r="A2" s="2" t="s">
        <v>197</v>
      </c>
    </row>
    <row r="4" ht="52" customHeight="1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  <c r="I4" s="3" t="s">
        <v>206</v>
      </c>
      <c r="J4" s="3" t="s">
        <v>207</v>
      </c>
      <c r="K4" s="3" t="s">
        <v>208</v>
      </c>
      <c r="L4" s="3" t="s">
        <v>209</v>
      </c>
      <c r="M4" s="3" t="s">
        <v>210</v>
      </c>
      <c r="N4" s="3" t="s">
        <v>211</v>
      </c>
      <c r="O4" s="3" t="s">
        <v>212</v>
      </c>
    </row>
    <row r="5">
      <c r="A5" s="4" t="s">
        <v>213</v>
      </c>
      <c r="B5" s="12">
        <v>-0.6287170498222363</v>
      </c>
      <c r="C5" s="13">
        <v>0.2852092850643801</v>
      </c>
      <c r="D5" s="12">
        <v>0.18785619429937883</v>
      </c>
      <c r="E5" s="12">
        <v>0.3698597396243031</v>
      </c>
      <c r="F5" s="12">
        <v>-0.25608827242131077</v>
      </c>
      <c r="G5" s="12">
        <v>-0.12672066397157244</v>
      </c>
      <c r="H5" s="12">
        <v>-0.7213847729578974</v>
      </c>
      <c r="I5" s="13">
        <v>0.32594274953617663</v>
      </c>
      <c r="J5" s="12">
        <v>0.31044705344776313</v>
      </c>
      <c r="K5" s="12">
        <v>0.6135010298995667</v>
      </c>
      <c r="L5" s="12">
        <v>-0.21297784463054542</v>
      </c>
      <c r="M5" s="12">
        <v>-0.1413557907267923</v>
      </c>
      <c r="N5" s="12">
        <v>-0.14638908996829136</v>
      </c>
      <c r="O5" s="12">
        <v>-0.17103119701922886</v>
      </c>
    </row>
    <row r="6">
      <c r="A6" s="4" t="s">
        <v>214</v>
      </c>
      <c r="B6" s="12">
        <v>-0.6218969826565213</v>
      </c>
      <c r="C6" s="13">
        <v>0.28644970255847324</v>
      </c>
      <c r="D6" s="12">
        <v>0.18141118775932252</v>
      </c>
      <c r="E6" s="12">
        <v>0.3625602324386864</v>
      </c>
      <c r="F6" s="12">
        <v>-0.254261048197137</v>
      </c>
      <c r="G6" s="12">
        <v>-0.11212774658670266</v>
      </c>
      <c r="H6" s="12">
        <v>-0.7138411940333647</v>
      </c>
      <c r="I6" s="13">
        <v>0.32377001816147966</v>
      </c>
      <c r="J6" s="12">
        <v>0.30212564972128153</v>
      </c>
      <c r="K6" s="12">
        <v>0.5927702660927442</v>
      </c>
      <c r="L6" s="12">
        <v>-0.22845074189124118</v>
      </c>
      <c r="M6" s="12">
        <v>-0.1200777605583649</v>
      </c>
      <c r="N6" s="12">
        <v>-0.14381427666993685</v>
      </c>
      <c r="O6" s="12">
        <v>-0.15230000705875124</v>
      </c>
    </row>
    <row r="7">
      <c r="A7" s="4" t="s">
        <v>215</v>
      </c>
      <c r="B7" s="12">
        <v>-0.4432490820567368</v>
      </c>
      <c r="C7" s="13">
        <v>0.39315225848541957</v>
      </c>
      <c r="D7" s="12">
        <v>-0.04844849749728675</v>
      </c>
      <c r="E7" s="12">
        <v>0.23444909128491453</v>
      </c>
      <c r="F7" s="12">
        <v>-0.16377139579379305</v>
      </c>
      <c r="G7" s="12">
        <v>-0.2585745740261197</v>
      </c>
      <c r="H7" s="12">
        <v>-0.4949366567835932</v>
      </c>
      <c r="I7" s="13">
        <v>0.41173267678421177</v>
      </c>
      <c r="J7" s="12">
        <v>-0.025478690103889257</v>
      </c>
      <c r="K7" s="12">
        <v>0.45140546589691677</v>
      </c>
      <c r="L7" s="12">
        <v>-0.07042603644392664</v>
      </c>
      <c r="M7" s="12">
        <v>-0.20781936640077467</v>
      </c>
      <c r="N7" s="12">
        <v>-0.21607536842229558</v>
      </c>
      <c r="O7" s="12">
        <v>-0.22548157082913822</v>
      </c>
    </row>
    <row r="8">
      <c r="A8" s="4" t="s">
        <v>216</v>
      </c>
      <c r="B8" s="12">
        <v>-0.7158760856024406</v>
      </c>
      <c r="C8" s="13">
        <v>0.19426086203315712</v>
      </c>
      <c r="D8" s="12">
        <v>0.3703504245800847</v>
      </c>
      <c r="E8" s="12">
        <v>0.4108305845656157</v>
      </c>
      <c r="F8" s="12">
        <v>-0.3344584455391984</v>
      </c>
      <c r="G8" s="12">
        <v>0.1952358468593408</v>
      </c>
      <c r="H8" s="12">
        <v>-0.8361617429777838</v>
      </c>
      <c r="I8" s="13">
        <v>0.1952750014460141</v>
      </c>
      <c r="J8" s="12">
        <v>0.5814067509474722</v>
      </c>
      <c r="K8" s="12">
        <v>0.636888159843257</v>
      </c>
      <c r="L8" s="12">
        <v>-0.45764555985588135</v>
      </c>
      <c r="M8" s="12">
        <v>0.08601880473594002</v>
      </c>
      <c r="N8" s="12">
        <v>-0.16851088974606676</v>
      </c>
      <c r="O8" s="12">
        <v>-0.017663688361157837</v>
      </c>
    </row>
    <row r="9">
      <c r="A9" s="4" t="s">
        <v>217</v>
      </c>
      <c r="B9" s="12">
        <v>-0.6558243134061086</v>
      </c>
      <c r="C9" s="13">
        <v>0.18973983195854016</v>
      </c>
      <c r="D9" s="12">
        <v>0.2510774608917282</v>
      </c>
      <c r="E9" s="12">
        <v>0.3254630971068686</v>
      </c>
      <c r="F9" s="12">
        <v>-0.25213430438729567</v>
      </c>
      <c r="G9" s="12">
        <v>0.29071854896416327</v>
      </c>
      <c r="H9" s="12">
        <v>-0.8118106575031512</v>
      </c>
      <c r="I9" s="13">
        <v>0.13017136287741685</v>
      </c>
      <c r="J9" s="12">
        <v>0.5327760315452768</v>
      </c>
      <c r="K9" s="12">
        <v>0.5947815143088213</v>
      </c>
      <c r="L9" s="12">
        <v>-0.4847792960199516</v>
      </c>
      <c r="M9" s="12">
        <v>0.09502492386956485</v>
      </c>
      <c r="N9" s="12">
        <v>-0.2109446563940809</v>
      </c>
      <c r="O9" s="12">
        <v>-0.015706322741581902</v>
      </c>
    </row>
    <row r="10">
      <c r="A10" s="4" t="s">
        <v>218</v>
      </c>
      <c r="B10" s="12">
        <v>-0.7022656903089601</v>
      </c>
      <c r="C10" s="13">
        <v>0.06327003445174074</v>
      </c>
      <c r="D10" s="12">
        <v>0.3107169155724041</v>
      </c>
      <c r="E10" s="12">
        <v>0.3606755184153946</v>
      </c>
      <c r="F10" s="12">
        <v>-0.6654328220648584</v>
      </c>
      <c r="G10" s="12">
        <v>-0.15498536126789147</v>
      </c>
      <c r="H10" s="12">
        <v>-0.4515560872146866</v>
      </c>
      <c r="I10" s="13">
        <v>0.32752663667547643</v>
      </c>
      <c r="J10" s="12">
        <v>-0.07451462243686757</v>
      </c>
      <c r="K10" s="12">
        <v>-0.06834905771238686</v>
      </c>
      <c r="L10" s="12">
        <v>-0.31147277325471306</v>
      </c>
      <c r="M10" s="12">
        <v>0.16833220943383284</v>
      </c>
      <c r="N10" s="12">
        <v>0.28443948781539397</v>
      </c>
      <c r="O10" s="12">
        <v>-0.24073047614750553</v>
      </c>
    </row>
    <row r="11">
      <c r="A11" s="4" t="s">
        <v>219</v>
      </c>
      <c r="B11" s="12">
        <v>-0.5001494831242802</v>
      </c>
      <c r="C11" s="13">
        <v>0.13788022126773855</v>
      </c>
      <c r="D11" s="12">
        <v>0.03367548917848173</v>
      </c>
      <c r="E11" s="12">
        <v>0.0031452293097931072</v>
      </c>
      <c r="F11" s="12">
        <v>-0.2963841159979995</v>
      </c>
      <c r="G11" s="12">
        <v>-0.011638001039676936</v>
      </c>
      <c r="H11" s="12">
        <v>-0.47008394494306416</v>
      </c>
      <c r="I11" s="13">
        <v>0.18680846793158934</v>
      </c>
      <c r="J11" s="12">
        <v>-0.04059909788568006</v>
      </c>
      <c r="K11" s="12">
        <v>-0.11758646030663833</v>
      </c>
      <c r="L11" s="12">
        <v>-0.17782126945648424</v>
      </c>
      <c r="M11" s="12">
        <v>0.02884403764867589</v>
      </c>
      <c r="N11" s="12">
        <v>-0.191900867786289</v>
      </c>
      <c r="O11" s="12">
        <v>-0.19455313620892145</v>
      </c>
    </row>
    <row r="12">
      <c r="A12" s="4" t="s">
        <v>220</v>
      </c>
      <c r="B12" s="12">
        <v>-0.29653620413356274</v>
      </c>
      <c r="C12" s="13">
        <v>0.48875928004693714</v>
      </c>
      <c r="D12" s="12">
        <v>-0.13285279078273593</v>
      </c>
      <c r="E12" s="12">
        <v>-0.29399198362374324</v>
      </c>
      <c r="F12" s="12">
        <v>-0.12434949136594069</v>
      </c>
      <c r="G12" s="12">
        <v>-0.34243851745281373</v>
      </c>
      <c r="H12" s="12">
        <v>-0.2592120525819405</v>
      </c>
      <c r="I12" s="13">
        <v>0.5817752150240405</v>
      </c>
      <c r="J12" s="12">
        <v>-0.1544299668925</v>
      </c>
      <c r="K12" s="12">
        <v>-0.9363252085547478</v>
      </c>
      <c r="L12" s="12">
        <v>0.10572270163360174</v>
      </c>
      <c r="M12" s="12">
        <v>-0.14519103922271984</v>
      </c>
      <c r="N12" s="12">
        <v>-0.3036779217925736</v>
      </c>
      <c r="O12" s="12">
        <v>-0.2586319711293992</v>
      </c>
    </row>
    <row r="13">
      <c r="A13" s="4" t="s">
        <v>93</v>
      </c>
      <c r="B13" s="12">
        <v>-0.20225457761346186</v>
      </c>
      <c r="C13" s="13">
        <v>0.5834408654867874</v>
      </c>
      <c r="D13" s="12">
        <v>-0.21330039880324914</v>
      </c>
      <c r="E13" s="12">
        <v>-0.6169093976715301</v>
      </c>
      <c r="F13" s="12">
        <v>0.04527127081476172</v>
      </c>
      <c r="G13" s="12">
        <v>0.17616843950047312</v>
      </c>
      <c r="H13" s="12">
        <v>-0.31546639091261114</v>
      </c>
      <c r="I13" s="13">
        <v>0.4091573025704398</v>
      </c>
      <c r="J13" s="12">
        <v>-0.23803520074737694</v>
      </c>
      <c r="K13" s="12">
        <v>-0.8116857675154572</v>
      </c>
      <c r="L13" s="12">
        <v>-0.05804266336977027</v>
      </c>
      <c r="M13" s="12">
        <v>0.0780969764332385</v>
      </c>
      <c r="N13" s="12">
        <v>-0.09700726062966814</v>
      </c>
      <c r="O13" s="12">
        <v>-0.210670940611569</v>
      </c>
    </row>
    <row r="14">
      <c r="A14" s="4" t="s">
        <v>221</v>
      </c>
      <c r="B14" s="12">
        <v>-0.3916790678785813</v>
      </c>
      <c r="C14" s="13">
        <v>0.4243295049904434</v>
      </c>
      <c r="D14" s="12">
        <v>-0.1004959908056986</v>
      </c>
      <c r="E14" s="12">
        <v>0.17867034413247662</v>
      </c>
      <c r="F14" s="12">
        <v>-0.17168064124215218</v>
      </c>
      <c r="G14" s="12">
        <v>-0.3648880587699572</v>
      </c>
      <c r="H14" s="12">
        <v>-0.3849659370762061</v>
      </c>
      <c r="I14" s="13">
        <v>0.4941041955662816</v>
      </c>
      <c r="J14" s="12">
        <v>-0.11222631768697333</v>
      </c>
      <c r="K14" s="12">
        <v>0.06066791857617959</v>
      </c>
      <c r="L14" s="12">
        <v>0.02629944842891252</v>
      </c>
      <c r="M14" s="12">
        <v>-0.2347334640233967</v>
      </c>
      <c r="N14" s="12">
        <v>-0.15999327931758223</v>
      </c>
      <c r="O14" s="12">
        <v>-0.2791050440957936</v>
      </c>
    </row>
    <row r="15">
      <c r="A15" s="4" t="s">
        <v>222</v>
      </c>
      <c r="B15" s="12">
        <v>-0.4337592086208451</v>
      </c>
      <c r="C15" s="13">
        <v>0.3317912084603295</v>
      </c>
      <c r="D15" s="12">
        <v>-0.21605355220023803</v>
      </c>
      <c r="E15" s="12">
        <v>0.12260523997098649</v>
      </c>
      <c r="F15" s="12">
        <v>-0.12469584103975988</v>
      </c>
      <c r="G15" s="12">
        <v>-0.07971619304367496</v>
      </c>
      <c r="H15" s="12">
        <v>-0.5392047186583346</v>
      </c>
      <c r="I15" s="13">
        <v>0.26343285320031273</v>
      </c>
      <c r="J15" s="12">
        <v>-0.23100878954810278</v>
      </c>
      <c r="K15" s="12">
        <v>0.4664093139000225</v>
      </c>
      <c r="L15" s="12">
        <v>-0.16419873372742627</v>
      </c>
      <c r="M15" s="12">
        <v>-0.11460181147931953</v>
      </c>
      <c r="N15" s="12">
        <v>-0.3147992958526824</v>
      </c>
      <c r="O15" s="12">
        <v>-0.25805952393038156</v>
      </c>
    </row>
    <row r="16">
      <c r="A16" s="4" t="s">
        <v>223</v>
      </c>
      <c r="B16" s="12">
        <v>-0.6084555643365539</v>
      </c>
      <c r="C16" s="13">
        <v>0.29605200162959777</v>
      </c>
      <c r="D16" s="12">
        <v>0.16002511597601443</v>
      </c>
      <c r="E16" s="12">
        <v>0.3837544979931373</v>
      </c>
      <c r="F16" s="12">
        <v>-0.28228758450096003</v>
      </c>
      <c r="G16" s="12">
        <v>-0.324345028806835</v>
      </c>
      <c r="H16" s="12">
        <v>-0.5725974016014428</v>
      </c>
      <c r="I16" s="13">
        <v>0.44376051921863024</v>
      </c>
      <c r="J16" s="12">
        <v>0.09919120362142397</v>
      </c>
      <c r="K16" s="12">
        <v>0.2579257870964471</v>
      </c>
      <c r="L16" s="12">
        <v>-0.10052507647910074</v>
      </c>
      <c r="M16" s="12">
        <v>0.0568609676837237</v>
      </c>
      <c r="N16" s="12">
        <v>-0.06563216747206346</v>
      </c>
      <c r="O16" s="12">
        <v>-0.07201220748966497</v>
      </c>
    </row>
    <row r="17">
      <c r="A17" s="4" t="s">
        <v>224</v>
      </c>
      <c r="B17" s="12">
        <v>-0.4921990805880433</v>
      </c>
      <c r="C17" s="13">
        <v>0.2046741592171507</v>
      </c>
      <c r="D17" s="12">
        <v>-0.03912591231374729</v>
      </c>
      <c r="E17" s="12">
        <v>0.07638413539280486</v>
      </c>
      <c r="F17" s="12">
        <v>-0.15068297054076493</v>
      </c>
      <c r="G17" s="12">
        <v>0.3149625974625596</v>
      </c>
      <c r="H17" s="12">
        <v>-0.5623676674428978</v>
      </c>
      <c r="I17" s="13">
        <v>0.16413197188231224</v>
      </c>
      <c r="J17" s="12">
        <v>0.047385835581974955</v>
      </c>
      <c r="K17" s="12">
        <v>0.25550487157357726</v>
      </c>
      <c r="L17" s="12">
        <v>-0.18602802751695027</v>
      </c>
      <c r="M17" s="12">
        <v>0.2044197427498643</v>
      </c>
      <c r="N17" s="12">
        <v>-0.17997979561628652</v>
      </c>
      <c r="O17" s="12">
        <v>-0.0910765550703545</v>
      </c>
    </row>
    <row r="19">
      <c r="A19" s="16" t="s">
        <v>225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>
      <c r="A20" s="4" t="s">
        <v>226</v>
      </c>
      <c r="B20" s="9">
        <v>0.3408662389278496</v>
      </c>
    </row>
    <row r="21">
      <c r="A21" s="4" t="s">
        <v>227</v>
      </c>
      <c r="B21" s="9">
        <v>0.36627671510540705</v>
      </c>
    </row>
    <row r="22">
      <c r="A22" s="4" t="s">
        <v>218</v>
      </c>
      <c r="B22" s="9">
        <v>0.1861380843217769</v>
      </c>
    </row>
    <row r="23">
      <c r="A23" s="4" t="s">
        <v>219</v>
      </c>
      <c r="B23" s="9">
        <v>0.08677504180820739</v>
      </c>
    </row>
    <row r="24">
      <c r="A24" s="4" t="s">
        <v>220</v>
      </c>
      <c r="B24" s="9">
        <v>0.13311190647363516</v>
      </c>
    </row>
    <row r="26">
      <c r="A26" s="16" t="s">
        <v>228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>
      <c r="A27" s="4" t="s">
        <v>226</v>
      </c>
      <c r="B27" s="11">
        <v>0.7515378436437596</v>
      </c>
    </row>
    <row r="28">
      <c r="A28" s="4" t="s">
        <v>229</v>
      </c>
      <c r="B28" s="11">
        <v>0.24846215635624067</v>
      </c>
    </row>
    <row r="29">
      <c r="A29" s="4" t="s">
        <v>230</v>
      </c>
      <c r="B29" s="11">
        <v>0.5301511395488178</v>
      </c>
    </row>
    <row r="30">
      <c r="A30" s="4" t="s">
        <v>93</v>
      </c>
      <c r="B30" s="11">
        <v>0.1736558258654421</v>
      </c>
    </row>
    <row r="31">
      <c r="A31" s="4" t="s">
        <v>231</v>
      </c>
      <c r="B31" s="11">
        <v>0.14750343556017842</v>
      </c>
    </row>
    <row r="32">
      <c r="A32" s="4" t="s">
        <v>232</v>
      </c>
      <c r="B32" s="11">
        <v>0.04899763981227436</v>
      </c>
    </row>
    <row r="33">
      <c r="A33" s="4" t="s">
        <v>233</v>
      </c>
      <c r="B33" s="11">
        <v>0.04333767787445685</v>
      </c>
    </row>
    <row r="34">
      <c r="A34" s="4" t="s">
        <v>234</v>
      </c>
      <c r="B34" s="11">
        <v>0.0359977300066686</v>
      </c>
    </row>
    <row r="35">
      <c r="A35" s="4" t="s">
        <v>235</v>
      </c>
      <c r="B35" s="11">
        <v>0.029627705629923756</v>
      </c>
    </row>
    <row r="36">
      <c r="A36" s="4" t="s">
        <v>236</v>
      </c>
      <c r="B36" s="11">
        <v>0.009406560976375263</v>
      </c>
    </row>
    <row r="37">
      <c r="A37" s="4" t="s">
        <v>237</v>
      </c>
      <c r="B37" s="11">
        <v>-0.008771948751194133</v>
      </c>
    </row>
    <row r="38">
      <c r="A38" s="4" t="s">
        <v>238</v>
      </c>
      <c r="B38" s="11">
        <v>0.008603388932620828</v>
      </c>
    </row>
    <row r="40">
      <c r="A40" s="16" t="s">
        <v>239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ht="52" customHeight="1">
      <c r="A41" s="3" t="s">
        <v>198</v>
      </c>
      <c r="B41" s="3" t="s">
        <v>240</v>
      </c>
      <c r="C41" s="3" t="s">
        <v>241</v>
      </c>
      <c r="D41" s="3" t="s">
        <v>242</v>
      </c>
      <c r="E41" s="3" t="s">
        <v>155</v>
      </c>
      <c r="F41" s="3" t="s">
        <v>243</v>
      </c>
      <c r="G41" s="3" t="s">
        <v>155</v>
      </c>
      <c r="H41" s="3" t="s">
        <v>244</v>
      </c>
      <c r="I41" s="3" t="s">
        <v>245</v>
      </c>
    </row>
    <row r="42">
      <c r="A42" s="4" t="s">
        <v>216</v>
      </c>
      <c r="B42" s="12">
        <v>0.1952358468593408</v>
      </c>
      <c r="C42" s="12">
        <v>0.08601880473594002</v>
      </c>
      <c r="D42" s="12">
        <v>-0.7545211361439629</v>
      </c>
      <c r="E42" s="13">
        <v>0.001817484691098309</v>
      </c>
      <c r="F42" s="12">
        <v>-0.6767680851182581</v>
      </c>
      <c r="G42" s="13">
        <v>0.007855771551725623</v>
      </c>
      <c r="H42" s="12">
        <v>0.05757211527622655</v>
      </c>
      <c r="I42" s="12">
        <v>-0.40546103412032486</v>
      </c>
    </row>
    <row r="43">
      <c r="A43" s="4" t="s">
        <v>217</v>
      </c>
      <c r="B43" s="12">
        <v>0.29071854896416327</v>
      </c>
      <c r="C43" s="12">
        <v>0.09502492386956485</v>
      </c>
      <c r="D43" s="12">
        <v>-0.7752844963446206</v>
      </c>
      <c r="E43" s="13">
        <v>0.0011231630802012458</v>
      </c>
      <c r="F43" s="12">
        <v>-0.6110002858131353</v>
      </c>
      <c r="G43" s="13">
        <v>0.020272362179727575</v>
      </c>
      <c r="H43" s="12">
        <v>0.07721299407401827</v>
      </c>
      <c r="I43" s="12">
        <v>-0.39717365424989276</v>
      </c>
    </row>
    <row r="44">
      <c r="A44" s="4" t="s">
        <v>213</v>
      </c>
      <c r="B44" s="12">
        <v>-0.12672066397157244</v>
      </c>
      <c r="C44" s="12">
        <v>-0.1413557907267923</v>
      </c>
      <c r="D44" s="12">
        <v>-0.31640208116667573</v>
      </c>
      <c r="E44" s="13">
        <v>0.27041144003378215</v>
      </c>
      <c r="F44" s="12">
        <v>-0.38045064432247205</v>
      </c>
      <c r="G44" s="13">
        <v>0.17962002077732397</v>
      </c>
      <c r="H44" s="12">
        <v>0.10568998888770727</v>
      </c>
      <c r="I44" s="12">
        <v>-0.3424882700416168</v>
      </c>
    </row>
    <row r="45">
      <c r="A45" s="4" t="s">
        <v>215</v>
      </c>
      <c r="B45" s="12">
        <v>-0.2585745740261197</v>
      </c>
      <c r="C45" s="12">
        <v>-0.20781936640077467</v>
      </c>
      <c r="D45" s="12">
        <v>-0.057707012462548044</v>
      </c>
      <c r="E45" s="13">
        <v>0.844648874803691</v>
      </c>
      <c r="F45" s="12">
        <v>-0.15600873097625303</v>
      </c>
      <c r="G45" s="13">
        <v>0.5943190007050878</v>
      </c>
      <c r="H45" s="12">
        <v>0.1499444090256048</v>
      </c>
      <c r="I45" s="12">
        <v>-0.1739802937711786</v>
      </c>
    </row>
    <row r="47">
      <c r="A47" s="2" t="s">
        <v>246</v>
      </c>
    </row>
  </sheetData>
  <pageMargins left="0.5" right="0.5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BAF7A"/>
  </sheetPr>
  <dimension ref="A1:F13"/>
  <sheetViews>
    <sheetView showGridLines="0" workbookViewId="0"/>
  </sheetViews>
  <sheetFormatPr defaultRowHeight="12.75"/>
  <cols>
    <col min="1" max="1" width="4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s">
        <v>247</v>
      </c>
    </row>
    <row r="3" ht="52" customHeight="1">
      <c r="A3" s="3" t="s">
        <v>248</v>
      </c>
      <c r="B3" s="3" t="s">
        <v>249</v>
      </c>
      <c r="C3" s="3" t="s">
        <v>250</v>
      </c>
      <c r="D3" s="3" t="s">
        <v>251</v>
      </c>
      <c r="E3" s="3" t="s">
        <v>252</v>
      </c>
      <c r="F3" s="3" t="s">
        <v>253</v>
      </c>
    </row>
    <row r="4">
      <c r="A4" s="4" t="s">
        <v>217</v>
      </c>
      <c r="B4" s="9">
        <v>0.007307188751727153</v>
      </c>
      <c r="C4" s="9">
        <v>0.04891619172809197</v>
      </c>
      <c r="D4" s="12">
        <v>-0.15038227284926986</v>
      </c>
      <c r="E4" s="12">
        <v>-0.2882896355983074</v>
      </c>
      <c r="F4" s="12">
        <v>0.7410684102263011</v>
      </c>
    </row>
    <row r="5">
      <c r="A5" s="4" t="s">
        <v>218</v>
      </c>
      <c r="B5" s="9">
        <v>0.008822371632815098</v>
      </c>
      <c r="C5" s="9">
        <v>0.04571576006556708</v>
      </c>
      <c r="D5" s="12">
        <v>0.3313714702248133</v>
      </c>
      <c r="E5" s="12">
        <v>0.046565441284240845</v>
      </c>
      <c r="F5" s="12">
        <v>-0.22113464353172693</v>
      </c>
    </row>
    <row r="6">
      <c r="A6" s="4" t="s">
        <v>219</v>
      </c>
      <c r="B6" s="9">
        <v>-0.003532188852978249</v>
      </c>
      <c r="C6" s="9">
        <v>0.03534223295423647</v>
      </c>
      <c r="D6" s="12">
        <v>-0.45628983771783194</v>
      </c>
      <c r="E6" s="12">
        <v>-0.19160928355756637</v>
      </c>
      <c r="F6" s="12">
        <v>-0.3746569356400851</v>
      </c>
    </row>
    <row r="7">
      <c r="A7" s="4" t="s">
        <v>254</v>
      </c>
      <c r="B7" s="9">
        <v>0.11706396062224268</v>
      </c>
      <c r="C7" s="9">
        <v>0.12260091275949667</v>
      </c>
      <c r="D7" s="12">
        <v>-0.16020361540961375</v>
      </c>
      <c r="E7" s="12">
        <v>-0.22209613121859995</v>
      </c>
      <c r="F7" s="12">
        <v>-0.39831416301099765</v>
      </c>
    </row>
    <row r="8">
      <c r="A8" s="4" t="s">
        <v>255</v>
      </c>
      <c r="B8" s="9">
        <v>0.04945308739677023</v>
      </c>
      <c r="C8" s="9">
        <v>0.09473884692128938</v>
      </c>
      <c r="D8" s="12">
        <v>-0.16992726212196765</v>
      </c>
      <c r="E8" s="12">
        <v>-0.012151129483908812</v>
      </c>
      <c r="F8" s="12">
        <v>-0.15546017055026426</v>
      </c>
    </row>
    <row r="9">
      <c r="A9" s="4" t="s">
        <v>256</v>
      </c>
      <c r="B9" s="9">
        <v>0.009159063479726984</v>
      </c>
      <c r="C9" s="9">
        <v>0.019338250044557404</v>
      </c>
      <c r="D9" s="12">
        <v>-0.5330135510827073</v>
      </c>
      <c r="E9" s="12">
        <v>-0.48031831503042266</v>
      </c>
      <c r="F9" s="12">
        <v>-0.03648101486476574</v>
      </c>
    </row>
    <row r="10">
      <c r="A10" s="4" t="s">
        <v>257</v>
      </c>
      <c r="B10" s="9">
        <v>0.03233717683932965</v>
      </c>
      <c r="C10" s="9">
        <v>0.030282269640740444</v>
      </c>
      <c r="D10" s="12">
        <v>-0.03855586172336045</v>
      </c>
      <c r="E10" s="12">
        <v>-0.12740627673407978</v>
      </c>
      <c r="F10" s="12">
        <v>0.02929184036336135</v>
      </c>
    </row>
    <row r="11">
      <c r="A11" s="4" t="s">
        <v>258</v>
      </c>
      <c r="B11" s="9">
        <v>0.016456789269101765</v>
      </c>
      <c r="C11" s="9">
        <v>0.03668495489381681</v>
      </c>
      <c r="D11" s="12">
        <v>0.1538107507362728</v>
      </c>
      <c r="E11" s="12">
        <v>0.07442776733789352</v>
      </c>
      <c r="F11" s="12">
        <v>0.1522734133990251</v>
      </c>
    </row>
    <row r="13">
      <c r="A13" s="2" t="s">
        <v>259</v>
      </c>
    </row>
  </sheetData>
  <pageMargins left="0.5" right="0.5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00000"/>
  </sheetPr>
  <dimension ref="A1:L19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2.75"/>
  <cols>
    <col min="1" max="1" width="10" customWidth="1"/>
    <col min="2" max="2" width="11" customWidth="1"/>
    <col min="3" max="3" width="11" customWidth="1"/>
    <col min="4" max="4" width="11" customWidth="1"/>
    <col min="5" max="5" width="11" customWidth="1"/>
    <col min="6" max="6" width="13" customWidth="1"/>
    <col min="7" max="7" width="3" customWidth="1"/>
    <col min="8" max="8" width="44" customWidth="1"/>
    <col min="9" max="9" width="14" customWidth="1"/>
    <col min="10" max="10" width="26" customWidth="1"/>
    <col min="11" max="11" width="12" customWidth="1"/>
    <col min="12" max="12" width="12" customWidth="1"/>
  </cols>
  <sheetData>
    <row r="1">
      <c r="A1" s="1" t="s">
        <v>260</v>
      </c>
    </row>
    <row r="2">
      <c r="A2" s="2" t="s">
        <v>261</v>
      </c>
    </row>
    <row r="4" ht="40" customHeight="1">
      <c r="A4" s="3" t="s">
        <v>262</v>
      </c>
      <c r="B4" s="3" t="s">
        <v>44</v>
      </c>
      <c r="C4" s="3" t="s">
        <v>263</v>
      </c>
      <c r="D4" s="3" t="s">
        <v>264</v>
      </c>
      <c r="E4" s="3" t="s">
        <v>265</v>
      </c>
      <c r="F4" s="3" t="s">
        <v>266</v>
      </c>
      <c r="H4" s="16" t="s">
        <v>267</v>
      </c>
      <c r="I4" s="16"/>
      <c r="J4" s="16"/>
    </row>
    <row r="5">
      <c r="A5" s="6" t="s">
        <v>268</v>
      </c>
      <c r="B5" s="14">
        <v>187.8</v>
      </c>
      <c r="C5" s="14">
        <v>75.87</v>
      </c>
      <c r="D5" s="15">
        <v>1672.647181794</v>
      </c>
      <c r="E5" s="13">
        <f>B5/C5</f>
        <v>2.4752866745749307</v>
      </c>
      <c r="F5" s="14">
        <f>B5-C5</f>
        <v>111.93</v>
      </c>
      <c r="H5" s="4" t="s">
        <v>269</v>
      </c>
      <c r="I5" s="13">
        <v>0.6981253050793714</v>
      </c>
    </row>
    <row r="6">
      <c r="A6" s="6" t="s">
        <v>270</v>
      </c>
      <c r="B6" s="14">
        <v>190.43</v>
      </c>
      <c r="C6" s="14">
        <v>80.08</v>
      </c>
      <c r="D6" s="15">
        <v>1765.461794096</v>
      </c>
      <c r="E6" s="13">
        <f>B6/C6</f>
        <v>2.3779970029970032</v>
      </c>
      <c r="F6" s="14">
        <f>B6-C6</f>
        <v>110.35000000000001</v>
      </c>
      <c r="H6" s="4" t="s">
        <v>271</v>
      </c>
      <c r="I6" s="13">
        <v>0.6139837811158703</v>
      </c>
    </row>
    <row r="7">
      <c r="A7" s="6" t="s">
        <v>272</v>
      </c>
      <c r="B7" s="14">
        <v>206.92</v>
      </c>
      <c r="C7" s="14">
        <v>86.4</v>
      </c>
      <c r="D7" s="15">
        <v>1904.79394368</v>
      </c>
      <c r="E7" s="13">
        <f>B7/C7</f>
        <v>2.3949074074074073</v>
      </c>
      <c r="F7" s="14">
        <f>B7-C7</f>
        <v>120.51999999999998</v>
      </c>
      <c r="H7" s="4" t="s">
        <v>273</v>
      </c>
      <c r="I7" s="13">
        <v>0.6610844718510543</v>
      </c>
    </row>
    <row r="8">
      <c r="A8" s="6" t="s">
        <v>274</v>
      </c>
      <c r="B8" s="14">
        <v>221.51</v>
      </c>
      <c r="C8" s="14">
        <v>88.7</v>
      </c>
      <c r="D8" s="15">
        <v>1955.50026394</v>
      </c>
      <c r="E8" s="13">
        <f>B8/C8</f>
        <v>2.4972942502818487</v>
      </c>
      <c r="F8" s="14">
        <f>B8-C8</f>
        <v>132.81</v>
      </c>
      <c r="H8" s="4" t="s">
        <v>275</v>
      </c>
      <c r="I8" s="13">
        <v>0.7803805266122227</v>
      </c>
    </row>
    <row r="9">
      <c r="A9" s="6" t="s">
        <v>276</v>
      </c>
      <c r="B9" s="14">
        <v>238.05</v>
      </c>
      <c r="C9" s="14">
        <v>96.02</v>
      </c>
      <c r="D9" s="15">
        <v>2116.878639724</v>
      </c>
      <c r="E9" s="13">
        <f>B9/C9</f>
        <v>2.4791710060404086</v>
      </c>
      <c r="F9" s="14">
        <f>B9-C9</f>
        <v>142.03000000000003</v>
      </c>
      <c r="H9" s="4" t="s">
        <v>277</v>
      </c>
      <c r="I9" s="13">
        <v>0.8095426248087457</v>
      </c>
      <c r="J9" s="4" t="s">
        <v>278</v>
      </c>
    </row>
    <row r="10">
      <c r="A10" s="6" t="s">
        <v>279</v>
      </c>
      <c r="B10" s="14">
        <v>261.41</v>
      </c>
      <c r="C10" s="14">
        <v>104.53</v>
      </c>
      <c r="D10" s="15">
        <v>2304.492024686</v>
      </c>
      <c r="E10" s="13">
        <f>B10/C10</f>
        <v>2.500813163685067</v>
      </c>
      <c r="F10" s="14">
        <f>B10-C10</f>
        <v>156.88000000000002</v>
      </c>
      <c r="H10" s="4" t="s">
        <v>280</v>
      </c>
      <c r="I10" s="13">
        <v>0.3912372967281855</v>
      </c>
      <c r="J10" s="4" t="s">
        <v>281</v>
      </c>
    </row>
    <row r="11">
      <c r="A11" s="6" t="s">
        <v>282</v>
      </c>
      <c r="B11" s="14">
        <v>274.1</v>
      </c>
      <c r="C11" s="14">
        <v>111.36</v>
      </c>
      <c r="D11" s="15">
        <v>2455.067749632</v>
      </c>
      <c r="E11" s="13">
        <f>B11/C11</f>
        <v>2.461386494252874</v>
      </c>
      <c r="F11" s="14">
        <f>B11-C11</f>
        <v>162.74</v>
      </c>
      <c r="H11" s="4" t="s">
        <v>283</v>
      </c>
      <c r="I11" s="13">
        <v>0.48737894159216477</v>
      </c>
    </row>
    <row r="12">
      <c r="A12" s="6" t="s">
        <v>284</v>
      </c>
      <c r="B12" s="14">
        <v>285.58</v>
      </c>
      <c r="C12" s="14">
        <v>111.34</v>
      </c>
      <c r="D12" s="15">
        <v>2454.626825108</v>
      </c>
      <c r="E12" s="13">
        <f>B12/C12</f>
        <v>2.564936231363391</v>
      </c>
      <c r="F12" s="14">
        <f>B12-C12</f>
        <v>174.23999999999998</v>
      </c>
      <c r="H12" s="4" t="s">
        <v>285</v>
      </c>
      <c r="I12" s="13">
        <v>0.8555434321708406</v>
      </c>
    </row>
    <row r="13">
      <c r="A13" s="6" t="s">
        <v>286</v>
      </c>
      <c r="B13" s="14">
        <v>277.72</v>
      </c>
      <c r="C13" s="14">
        <v>116.76</v>
      </c>
      <c r="D13" s="15">
        <v>2574.117371112</v>
      </c>
      <c r="E13" s="13">
        <f>B13/C13</f>
        <v>2.3785542994176088</v>
      </c>
      <c r="F13" s="14">
        <f>B13-C13</f>
        <v>160.96000000000004</v>
      </c>
    </row>
    <row r="14">
      <c r="A14" s="6" t="s">
        <v>287</v>
      </c>
      <c r="B14" s="14">
        <v>262.52</v>
      </c>
      <c r="C14" s="14">
        <v>110.51</v>
      </c>
      <c r="D14" s="15">
        <v>2436.328457362</v>
      </c>
      <c r="E14" s="13">
        <f>B14/C14</f>
        <v>2.3755316260971857</v>
      </c>
      <c r="F14" s="14">
        <f>B14-C14</f>
        <v>152.01</v>
      </c>
      <c r="H14" s="16" t="s">
        <v>288</v>
      </c>
      <c r="I14" s="16"/>
      <c r="J14" s="16"/>
    </row>
    <row r="15">
      <c r="A15" s="6" t="s">
        <v>289</v>
      </c>
      <c r="B15" s="14">
        <v>255.9</v>
      </c>
      <c r="C15" s="14">
        <v>103.36</v>
      </c>
      <c r="D15" s="15">
        <v>2278.697940032</v>
      </c>
      <c r="E15" s="13">
        <f>B15/C15</f>
        <v>2.475812693498452</v>
      </c>
      <c r="F15" s="14">
        <f>B15-C15</f>
        <v>152.54000000000002</v>
      </c>
      <c r="H15" s="4" t="s">
        <v>290</v>
      </c>
      <c r="I15" s="13">
        <v>0.9875971446057382</v>
      </c>
    </row>
    <row r="16">
      <c r="A16" s="6" t="s">
        <v>291</v>
      </c>
      <c r="B16" s="14">
        <v>260.39</v>
      </c>
      <c r="C16" s="14">
        <v>102.71</v>
      </c>
      <c r="D16" s="15">
        <v>2264.3678930019996</v>
      </c>
      <c r="E16" s="13">
        <f>B16/C16</f>
        <v>2.5351961834290724</v>
      </c>
      <c r="F16" s="14">
        <f>B16-C16</f>
        <v>157.68</v>
      </c>
      <c r="H16" s="4" t="s">
        <v>292</v>
      </c>
      <c r="I16" s="13">
        <v>0.978993956234661</v>
      </c>
    </row>
    <row r="17">
      <c r="A17" s="6" t="s">
        <v>293</v>
      </c>
      <c r="B17" s="14">
        <v>261.39</v>
      </c>
      <c r="C17" s="14">
        <v>96.1</v>
      </c>
      <c r="D17" s="15">
        <v>2118.6423378199997</v>
      </c>
      <c r="E17" s="13">
        <f>B17/C17</f>
        <v>2.7199791883454734</v>
      </c>
      <c r="F17" s="14">
        <f>B17-C17</f>
        <v>165.29</v>
      </c>
      <c r="H17" s="4" t="s">
        <v>294</v>
      </c>
      <c r="I17" s="13">
        <v>0.966890208343044</v>
      </c>
    </row>
    <row r="18">
      <c r="A18" s="6" t="s">
        <v>295</v>
      </c>
      <c r="B18" s="14">
        <v>236.74</v>
      </c>
      <c r="C18" s="14">
        <v>88.64</v>
      </c>
      <c r="D18" s="15">
        <v>1954.177490368</v>
      </c>
      <c r="E18" s="13">
        <f>B18/C18</f>
        <v>2.670803249097473</v>
      </c>
      <c r="F18" s="14">
        <f>B18-C18</f>
        <v>148.10000000000002</v>
      </c>
      <c r="H18" s="4" t="s">
        <v>296</v>
      </c>
      <c r="I18" s="13">
        <v>0.9884223059644592</v>
      </c>
    </row>
    <row r="19">
      <c r="A19" s="6" t="s">
        <v>297</v>
      </c>
      <c r="B19" s="14">
        <v>235.25</v>
      </c>
      <c r="C19" s="14">
        <v>85.78</v>
      </c>
      <c r="D19" s="15">
        <v>1891.125283436</v>
      </c>
      <c r="E19" s="13">
        <f>B19/C19</f>
        <v>2.742480764747027</v>
      </c>
      <c r="F19" s="14">
        <f>B19-C19</f>
        <v>149.47</v>
      </c>
      <c r="H19" s="4" t="s">
        <v>298</v>
      </c>
      <c r="I19" s="13">
        <v>0.6981253050793714</v>
      </c>
    </row>
    <row r="20">
      <c r="A20" s="6" t="s">
        <v>299</v>
      </c>
      <c r="B20" s="14">
        <v>227.23</v>
      </c>
      <c r="C20" s="14">
        <v>87.65</v>
      </c>
      <c r="D20" s="15">
        <v>1932.35172643</v>
      </c>
      <c r="E20" s="13">
        <f>B20/C20</f>
        <v>2.592470051340559</v>
      </c>
      <c r="F20" s="14">
        <f>B20-C20</f>
        <v>139.57999999999998</v>
      </c>
      <c r="H20" s="4" t="s">
        <v>300</v>
      </c>
      <c r="I20" s="13">
        <v>0.6624272335741285</v>
      </c>
    </row>
    <row r="21">
      <c r="A21" s="6" t="s">
        <v>301</v>
      </c>
      <c r="B21" s="14">
        <v>227.5</v>
      </c>
      <c r="C21" s="14">
        <v>84.19</v>
      </c>
      <c r="D21" s="15">
        <v>1856.0717837779998</v>
      </c>
      <c r="E21" s="13">
        <f>B21/C21</f>
        <v>2.7022211664093123</v>
      </c>
      <c r="F21" s="14">
        <f>B21-C21</f>
        <v>143.31</v>
      </c>
      <c r="H21" s="4" t="s">
        <v>302</v>
      </c>
      <c r="I21" s="13">
        <v>0.6513350549042456</v>
      </c>
    </row>
    <row r="22">
      <c r="A22" s="6" t="s">
        <v>303</v>
      </c>
      <c r="B22" s="14">
        <v>212.09</v>
      </c>
      <c r="C22" s="14">
        <v>88.69</v>
      </c>
      <c r="D22" s="15">
        <v>1955.279801678</v>
      </c>
      <c r="E22" s="13">
        <f>B22/C22</f>
        <v>2.391363175104296</v>
      </c>
      <c r="F22" s="14">
        <f>B22-C22</f>
        <v>123.4</v>
      </c>
      <c r="H22" s="4" t="s">
        <v>304</v>
      </c>
      <c r="I22" s="13">
        <v>0.6420458948037524</v>
      </c>
    </row>
    <row r="23">
      <c r="A23" s="6" t="s">
        <v>305</v>
      </c>
      <c r="B23" s="14">
        <v>188.78</v>
      </c>
      <c r="C23" s="14">
        <v>91.37</v>
      </c>
      <c r="D23" s="15">
        <v>2014.3636878940001</v>
      </c>
      <c r="E23" s="13">
        <f>B23/C23</f>
        <v>2.066104848418518</v>
      </c>
      <c r="F23" s="14">
        <f>B23-C23</f>
        <v>97.41</v>
      </c>
    </row>
    <row r="24">
      <c r="A24" s="6" t="s">
        <v>306</v>
      </c>
      <c r="B24" s="14">
        <v>181.75</v>
      </c>
      <c r="C24" s="14">
        <v>91.81</v>
      </c>
      <c r="D24" s="15">
        <v>2024.064027422</v>
      </c>
      <c r="E24" s="13">
        <f>B24/C24</f>
        <v>1.979631848382529</v>
      </c>
      <c r="F24" s="14">
        <f>B24-C24</f>
        <v>89.94</v>
      </c>
      <c r="H24" s="16" t="s">
        <v>265</v>
      </c>
      <c r="I24" s="16"/>
      <c r="J24" s="16"/>
    </row>
    <row r="25">
      <c r="A25" s="6" t="s">
        <v>307</v>
      </c>
      <c r="B25" s="14">
        <v>176.5</v>
      </c>
      <c r="C25" s="14">
        <v>96.82</v>
      </c>
      <c r="D25" s="15">
        <v>2134.5156206839997</v>
      </c>
      <c r="E25" s="13">
        <f>B25/C25</f>
        <v>1.8229704606486266</v>
      </c>
      <c r="F25" s="14">
        <f>B25-C25</f>
        <v>79.68</v>
      </c>
      <c r="H25" s="4" t="s">
        <v>308</v>
      </c>
      <c r="I25" s="13">
        <v>1.8171657704191624</v>
      </c>
    </row>
    <row r="26">
      <c r="A26" s="6" t="s">
        <v>309</v>
      </c>
      <c r="B26" s="14">
        <v>159.93</v>
      </c>
      <c r="C26" s="14">
        <v>94.75</v>
      </c>
      <c r="D26" s="15">
        <v>2088.87993245</v>
      </c>
      <c r="E26" s="13">
        <f>B26/C26</f>
        <v>1.687915567282322</v>
      </c>
      <c r="F26" s="14">
        <f>B26-C26</f>
        <v>65.18</v>
      </c>
      <c r="H26" s="4" t="s">
        <v>310</v>
      </c>
      <c r="I26" s="13">
        <v>1.7770260093077783</v>
      </c>
    </row>
    <row r="27">
      <c r="A27" s="6" t="s">
        <v>311</v>
      </c>
      <c r="B27" s="14">
        <v>183.2</v>
      </c>
      <c r="C27" s="14">
        <v>96.14</v>
      </c>
      <c r="D27" s="15">
        <v>2119.524186868</v>
      </c>
      <c r="E27" s="13">
        <f>B27/C27</f>
        <v>1.905554399833576</v>
      </c>
      <c r="F27" s="14">
        <f>B27-C27</f>
        <v>87.05999999999999</v>
      </c>
      <c r="H27" s="4" t="s">
        <v>312</v>
      </c>
      <c r="I27" s="13">
        <v>1.1301470261626616</v>
      </c>
      <c r="J27" s="4" t="s">
        <v>313</v>
      </c>
    </row>
    <row r="28">
      <c r="A28" s="6" t="s">
        <v>314</v>
      </c>
      <c r="B28" s="14">
        <v>169.77</v>
      </c>
      <c r="C28" s="14">
        <v>96.12</v>
      </c>
      <c r="D28" s="15">
        <v>2119.083262344</v>
      </c>
      <c r="E28" s="13">
        <f>B28/C28</f>
        <v>1.7662297128589264</v>
      </c>
      <c r="F28" s="14">
        <f>B28-C28</f>
        <v>73.65</v>
      </c>
      <c r="H28" s="4" t="s">
        <v>315</v>
      </c>
      <c r="I28" s="13">
        <v>2.742480764747027</v>
      </c>
      <c r="J28" s="4" t="s">
        <v>297</v>
      </c>
    </row>
    <row r="29">
      <c r="A29" s="6" t="s">
        <v>316</v>
      </c>
      <c r="B29" s="14">
        <v>175.36</v>
      </c>
      <c r="C29" s="14">
        <v>94.65</v>
      </c>
      <c r="D29" s="15">
        <v>2086.67530983</v>
      </c>
      <c r="E29" s="13">
        <f>B29/C29</f>
        <v>1.8527205493924988</v>
      </c>
      <c r="F29" s="14">
        <f>B29-C29</f>
        <v>80.71000000000001</v>
      </c>
      <c r="H29" s="4" t="s">
        <v>317</v>
      </c>
      <c r="I29" s="13">
        <v>1.8684006442760843</v>
      </c>
      <c r="J29" s="4" t="s">
        <v>278</v>
      </c>
    </row>
    <row r="30">
      <c r="A30" s="6" t="s">
        <v>318</v>
      </c>
      <c r="B30" s="14">
        <v>170.43</v>
      </c>
      <c r="C30" s="14">
        <v>94.66</v>
      </c>
      <c r="D30" s="15">
        <v>2086.895772092</v>
      </c>
      <c r="E30" s="13">
        <f>B30/C30</f>
        <v>1.8004436932178325</v>
      </c>
      <c r="F30" s="14">
        <f>B30-C30</f>
        <v>75.77000000000001</v>
      </c>
      <c r="H30" s="4" t="s">
        <v>319</v>
      </c>
      <c r="I30" s="9">
        <v>0.6354166666666666</v>
      </c>
    </row>
    <row r="31">
      <c r="A31" s="6" t="s">
        <v>320</v>
      </c>
      <c r="B31" s="14">
        <v>155.72</v>
      </c>
      <c r="C31" s="14">
        <v>87.32</v>
      </c>
      <c r="D31" s="15">
        <v>1925.0764717839998</v>
      </c>
      <c r="E31" s="13">
        <f>B31/C31</f>
        <v>1.783325698579936</v>
      </c>
      <c r="F31" s="14">
        <f>B31-C31</f>
        <v>68.4</v>
      </c>
      <c r="H31" s="4" t="s">
        <v>321</v>
      </c>
      <c r="I31" s="13">
        <v>1.448136551863448</v>
      </c>
    </row>
    <row r="32">
      <c r="A32" s="6" t="s">
        <v>322</v>
      </c>
      <c r="B32" s="14">
        <v>149.58</v>
      </c>
      <c r="C32" s="14">
        <v>85.94</v>
      </c>
      <c r="D32" s="15">
        <v>1894.652679628</v>
      </c>
      <c r="E32" s="13">
        <f>B32/C32</f>
        <v>1.7405166395159415</v>
      </c>
      <c r="F32" s="14">
        <f>B32-C32</f>
        <v>63.640000000000015</v>
      </c>
      <c r="H32" s="4" t="s">
        <v>323</v>
      </c>
      <c r="I32" s="13">
        <v>2.3755316260971857</v>
      </c>
    </row>
    <row r="33">
      <c r="A33" s="6" t="s">
        <v>324</v>
      </c>
      <c r="B33" s="14">
        <v>154.28</v>
      </c>
      <c r="C33" s="14">
        <v>88.85</v>
      </c>
      <c r="D33" s="15">
        <v>1958.8071978699998</v>
      </c>
      <c r="E33" s="13">
        <f>B33/C33</f>
        <v>1.7364096792346653</v>
      </c>
      <c r="F33" s="14">
        <f>B33-C33</f>
        <v>65.43</v>
      </c>
      <c r="H33" s="4" t="s">
        <v>325</v>
      </c>
      <c r="I33" s="14">
        <v>15.136512050975552</v>
      </c>
    </row>
    <row r="34">
      <c r="A34" s="6" t="s">
        <v>326</v>
      </c>
      <c r="B34" s="14">
        <v>144.89</v>
      </c>
      <c r="C34" s="14">
        <v>94.41</v>
      </c>
      <c r="D34" s="15">
        <v>2081.3842155419998</v>
      </c>
      <c r="E34" s="13">
        <f>B34/C34</f>
        <v>1.5346891219150514</v>
      </c>
      <c r="F34" s="14">
        <f>B34-C34</f>
        <v>50.47999999999999</v>
      </c>
      <c r="H34" s="4" t="s">
        <v>327</v>
      </c>
      <c r="I34" s="12">
        <v>-2.3878769093984036</v>
      </c>
      <c r="J34" s="4" t="s">
        <v>328</v>
      </c>
    </row>
    <row r="35">
      <c r="A35" s="6" t="s">
        <v>329</v>
      </c>
      <c r="B35" s="14">
        <v>141.43</v>
      </c>
      <c r="C35" s="14">
        <v>97.22</v>
      </c>
      <c r="D35" s="15">
        <v>2143.3341111639998</v>
      </c>
      <c r="E35" s="13">
        <f>B35/C35</f>
        <v>1.4547418226702324</v>
      </c>
      <c r="F35" s="14">
        <f>B35-C35</f>
        <v>44.21000000000001</v>
      </c>
      <c r="H35" s="4" t="s">
        <v>330</v>
      </c>
      <c r="I35" s="12">
        <v>-2.2654299795189865</v>
      </c>
      <c r="J35" s="4" t="s">
        <v>331</v>
      </c>
    </row>
    <row r="36">
      <c r="A36" s="6" t="s">
        <v>332</v>
      </c>
      <c r="B36" s="14">
        <v>139.91</v>
      </c>
      <c r="C36" s="14">
        <v>93.15</v>
      </c>
      <c r="D36" s="15">
        <v>2053.60597053</v>
      </c>
      <c r="E36" s="13">
        <f>B36/C36</f>
        <v>1.5019860440150294</v>
      </c>
      <c r="F36" s="14">
        <f>B36-C36</f>
        <v>46.75999999999999</v>
      </c>
    </row>
    <row r="37">
      <c r="A37" s="6" t="s">
        <v>333</v>
      </c>
      <c r="B37" s="14">
        <v>138.64</v>
      </c>
      <c r="C37" s="14">
        <v>91.07</v>
      </c>
      <c r="D37" s="15">
        <v>2007.7498200339999</v>
      </c>
      <c r="E37" s="13">
        <f>B37/C37</f>
        <v>1.5223454485560557</v>
      </c>
      <c r="F37" s="14">
        <f>B37-C37</f>
        <v>47.56999999999999</v>
      </c>
      <c r="H37" s="16" t="s">
        <v>334</v>
      </c>
      <c r="I37" s="16"/>
      <c r="J37" s="16"/>
    </row>
    <row r="38">
      <c r="A38" s="6" t="s">
        <v>335</v>
      </c>
      <c r="B38" s="14">
        <v>126.37</v>
      </c>
      <c r="C38" s="14">
        <v>81.82</v>
      </c>
      <c r="D38" s="15">
        <v>1803.8222276839997</v>
      </c>
      <c r="E38" s="13">
        <f>B38/C38</f>
        <v>1.5444879002688832</v>
      </c>
      <c r="F38" s="14">
        <f>B38-C38</f>
        <v>44.55000000000001</v>
      </c>
      <c r="H38" s="4" t="s">
        <v>336</v>
      </c>
      <c r="I38" s="12">
        <v>0.19191159514474743</v>
      </c>
    </row>
    <row r="39">
      <c r="A39" s="6" t="s">
        <v>337</v>
      </c>
      <c r="B39" s="14">
        <v>125.27</v>
      </c>
      <c r="C39" s="14">
        <v>85.34</v>
      </c>
      <c r="D39" s="15">
        <v>1881.424943908</v>
      </c>
      <c r="E39" s="13">
        <f>B39/C39</f>
        <v>1.467893133348957</v>
      </c>
      <c r="F39" s="14">
        <f>B39-C39</f>
        <v>39.92999999999999</v>
      </c>
      <c r="H39" s="4" t="s">
        <v>338</v>
      </c>
      <c r="I39" s="12">
        <v>0.1400132660455009</v>
      </c>
    </row>
    <row r="40">
      <c r="A40" s="6" t="s">
        <v>339</v>
      </c>
      <c r="B40" s="14">
        <v>122.31</v>
      </c>
      <c r="C40" s="14">
        <v>84.1</v>
      </c>
      <c r="D40" s="15">
        <v>1854.0876234199998</v>
      </c>
      <c r="E40" s="13">
        <f>B40/C40</f>
        <v>1.4543400713436387</v>
      </c>
      <c r="F40" s="14">
        <f>B40-C40</f>
        <v>38.21000000000001</v>
      </c>
      <c r="H40" s="4" t="s">
        <v>340</v>
      </c>
      <c r="I40" s="12">
        <v>0.16955285863260935</v>
      </c>
      <c r="J40" s="4" t="s">
        <v>341</v>
      </c>
    </row>
    <row r="41">
      <c r="A41" s="6" t="s">
        <v>342</v>
      </c>
      <c r="B41" s="14">
        <v>119.55</v>
      </c>
      <c r="C41" s="14">
        <v>77.89</v>
      </c>
      <c r="D41" s="15">
        <v>1717.180558718</v>
      </c>
      <c r="E41" s="13">
        <f>B41/C41</f>
        <v>1.5348568494030042</v>
      </c>
      <c r="F41" s="14">
        <f>B41-C41</f>
        <v>41.66</v>
      </c>
    </row>
    <row r="42">
      <c r="A42" s="6" t="s">
        <v>343</v>
      </c>
      <c r="B42" s="14">
        <v>117.05</v>
      </c>
      <c r="C42" s="14">
        <v>73.47</v>
      </c>
      <c r="D42" s="15">
        <v>1619.7362389139998</v>
      </c>
      <c r="E42" s="13">
        <f>B42/C42</f>
        <v>1.5931672791615625</v>
      </c>
      <c r="F42" s="14">
        <f>B42-C42</f>
        <v>43.58</v>
      </c>
      <c r="H42" s="16" t="s">
        <v>344</v>
      </c>
      <c r="I42" s="16"/>
      <c r="J42" s="16"/>
    </row>
    <row r="43">
      <c r="A43" s="6" t="s">
        <v>345</v>
      </c>
      <c r="B43" s="14">
        <v>109.1</v>
      </c>
      <c r="C43" s="14">
        <v>69.32</v>
      </c>
      <c r="D43" s="15">
        <v>1528.244400184</v>
      </c>
      <c r="E43" s="13">
        <f>B43/C43</f>
        <v>1.5738603577611079</v>
      </c>
      <c r="F43" s="14">
        <f>B43-C43</f>
        <v>39.78</v>
      </c>
      <c r="H43" s="4" t="s">
        <v>346</v>
      </c>
      <c r="I43" s="12">
        <v>0.7073510372097531</v>
      </c>
    </row>
    <row r="44">
      <c r="A44" s="6" t="s">
        <v>347</v>
      </c>
      <c r="B44" s="14">
        <v>114.12</v>
      </c>
      <c r="C44" s="14">
        <v>76.74</v>
      </c>
      <c r="D44" s="15">
        <v>1691.8273985879998</v>
      </c>
      <c r="E44" s="13">
        <f>B44/C44</f>
        <v>1.4870992963252543</v>
      </c>
      <c r="F44" s="14">
        <f>B44-C44</f>
        <v>37.38000000000001</v>
      </c>
      <c r="H44" s="4" t="s">
        <v>348</v>
      </c>
      <c r="I44" s="12">
        <v>-0.45667388295031874</v>
      </c>
    </row>
    <row r="45">
      <c r="A45" s="6" t="s">
        <v>349</v>
      </c>
      <c r="B45" s="14">
        <v>120.92</v>
      </c>
      <c r="C45" s="14">
        <v>77.25</v>
      </c>
      <c r="D45" s="15">
        <v>1703.07097395</v>
      </c>
      <c r="E45" s="13">
        <f>B45/C45</f>
        <v>1.5653074433656957</v>
      </c>
      <c r="F45" s="14">
        <f>B45-C45</f>
        <v>43.67</v>
      </c>
      <c r="H45" s="4" t="s">
        <v>350</v>
      </c>
      <c r="I45" s="12">
        <v>0.16229530359963357</v>
      </c>
    </row>
    <row r="46">
      <c r="A46" s="6" t="s">
        <v>351</v>
      </c>
      <c r="B46" s="14">
        <v>156.68</v>
      </c>
      <c r="C46" s="14">
        <v>85.12</v>
      </c>
      <c r="D46" s="15">
        <v>1876.574774144</v>
      </c>
      <c r="E46" s="13">
        <f>B46/C46</f>
        <v>1.8406954887218046</v>
      </c>
      <c r="F46" s="14">
        <f>B46-C46</f>
        <v>71.56</v>
      </c>
      <c r="H46" s="4" t="s">
        <v>352</v>
      </c>
      <c r="I46" s="12">
        <v>-0.23051125308081952</v>
      </c>
    </row>
    <row r="47">
      <c r="A47" s="6" t="s">
        <v>353</v>
      </c>
      <c r="B47" s="14">
        <v>190.66</v>
      </c>
      <c r="C47" s="14">
        <v>95.53</v>
      </c>
      <c r="D47" s="15">
        <v>2106.075988886</v>
      </c>
      <c r="E47" s="13">
        <f>B47/C47</f>
        <v>1.9958128336648173</v>
      </c>
      <c r="F47" s="14">
        <f>B47-C47</f>
        <v>95.13</v>
      </c>
      <c r="H47" s="4" t="s">
        <v>354</v>
      </c>
      <c r="I47" s="12">
        <v>0.6545287660629715</v>
      </c>
      <c r="J47" s="4" t="s">
        <v>355</v>
      </c>
    </row>
    <row r="48">
      <c r="A48" s="6" t="s">
        <v>356</v>
      </c>
      <c r="B48" s="14">
        <v>200.39</v>
      </c>
      <c r="C48" s="14">
        <v>96.12</v>
      </c>
      <c r="D48" s="15">
        <v>2119.083262344</v>
      </c>
      <c r="E48" s="13">
        <f>B48/C48</f>
        <v>2.0847898460258008</v>
      </c>
      <c r="F48" s="14">
        <f>B48-C48</f>
        <v>104.26999999999998</v>
      </c>
      <c r="H48" s="4" t="s">
        <v>357</v>
      </c>
      <c r="I48" s="12">
        <v>-0.5110676301683121</v>
      </c>
    </row>
    <row r="49">
      <c r="A49" s="6" t="s">
        <v>358</v>
      </c>
      <c r="B49" s="14">
        <v>191.07</v>
      </c>
      <c r="C49" s="14">
        <v>93.83</v>
      </c>
      <c r="D49" s="15">
        <v>2068.597404346</v>
      </c>
      <c r="E49" s="13">
        <f>B49/C49</f>
        <v>2.036342321219226</v>
      </c>
      <c r="F49" s="14">
        <f>B49-C49</f>
        <v>97.24</v>
      </c>
    </row>
    <row r="50">
      <c r="A50" s="6" t="s">
        <v>359</v>
      </c>
      <c r="B50" s="14">
        <v>175.81</v>
      </c>
      <c r="C50" s="14">
        <v>89.4</v>
      </c>
      <c r="D50" s="15">
        <v>1970.93262228</v>
      </c>
      <c r="E50" s="13">
        <f>B50/C50</f>
        <v>1.9665548098434003</v>
      </c>
      <c r="F50" s="14">
        <f>B50-C50</f>
        <v>86.41</v>
      </c>
      <c r="H50" s="16" t="s">
        <v>360</v>
      </c>
      <c r="I50" s="16"/>
      <c r="J50" s="16"/>
    </row>
    <row r="51" ht="30" customHeight="1">
      <c r="A51" s="6" t="s">
        <v>361</v>
      </c>
      <c r="B51" s="14">
        <v>175.74</v>
      </c>
      <c r="C51" s="14">
        <v>91.83</v>
      </c>
      <c r="D51" s="15">
        <v>2024.504951946</v>
      </c>
      <c r="E51" s="13">
        <f>B51/C51</f>
        <v>1.91375367526952</v>
      </c>
      <c r="F51" s="14">
        <f>B51-C51</f>
        <v>83.91000000000001</v>
      </c>
      <c r="H51" s="3" t="s">
        <v>15</v>
      </c>
      <c r="I51" s="3" t="s">
        <v>362</v>
      </c>
      <c r="J51" s="3" t="s">
        <v>363</v>
      </c>
      <c r="K51" s="3" t="s">
        <v>265</v>
      </c>
      <c r="L51" s="3" t="s">
        <v>364</v>
      </c>
    </row>
    <row r="52">
      <c r="A52" s="6" t="s">
        <v>365</v>
      </c>
      <c r="B52" s="14">
        <v>193.98</v>
      </c>
      <c r="C52" s="14">
        <v>90.64</v>
      </c>
      <c r="D52" s="15">
        <v>1998.269942768</v>
      </c>
      <c r="E52" s="13">
        <f>B52/C52</f>
        <v>2.1401147396293028</v>
      </c>
      <c r="F52" s="14">
        <f>B52-C52</f>
        <v>103.33999999999999</v>
      </c>
      <c r="H52" s="6" t="s">
        <v>47</v>
      </c>
      <c r="I52" s="9">
        <v>-0.039440425040464515</v>
      </c>
      <c r="J52" s="9">
        <v>0.12020324369691818</v>
      </c>
      <c r="K52" s="13">
        <v>2.164944693190834</v>
      </c>
      <c r="L52" s="9">
        <v>0.4162955598362297</v>
      </c>
    </row>
    <row r="53">
      <c r="A53" s="6" t="s">
        <v>366</v>
      </c>
      <c r="B53" s="14">
        <v>192.09</v>
      </c>
      <c r="C53" s="14">
        <v>91.24</v>
      </c>
      <c r="D53" s="15">
        <v>2011.4976784879998</v>
      </c>
      <c r="E53" s="13">
        <f>B53/C53</f>
        <v>2.105326611135467</v>
      </c>
      <c r="F53" s="14">
        <f>B53-C53</f>
        <v>100.85000000000001</v>
      </c>
      <c r="H53" s="6" t="s">
        <v>48</v>
      </c>
      <c r="I53" s="9">
        <v>0.09397374873665859</v>
      </c>
      <c r="J53" s="9">
        <v>0.07738172335376971</v>
      </c>
      <c r="K53" s="13">
        <v>1.5901560601636888</v>
      </c>
      <c r="L53" s="9">
        <v>0.4122694882861446</v>
      </c>
    </row>
    <row r="54">
      <c r="A54" s="6" t="s">
        <v>367</v>
      </c>
      <c r="B54" s="14">
        <v>210.12</v>
      </c>
      <c r="C54" s="14">
        <v>95.51</v>
      </c>
      <c r="D54" s="15">
        <v>2105.635064362</v>
      </c>
      <c r="E54" s="13">
        <f>B54/C54</f>
        <v>2.1999790597843156</v>
      </c>
      <c r="F54" s="14">
        <f>B54-C54</f>
        <v>114.61</v>
      </c>
      <c r="H54" s="6" t="s">
        <v>49</v>
      </c>
      <c r="I54" s="9">
        <v>-0.0043920064988947965</v>
      </c>
      <c r="J54" s="9">
        <v>0.036814343005457884</v>
      </c>
      <c r="K54" s="13">
        <v>1.8802802550243087</v>
      </c>
      <c r="L54" s="9">
        <v>0.42228872755445035</v>
      </c>
    </row>
    <row r="55">
      <c r="A55" s="6" t="s">
        <v>368</v>
      </c>
      <c r="B55" s="14">
        <v>192.33</v>
      </c>
      <c r="C55" s="14">
        <v>93.6</v>
      </c>
      <c r="D55" s="15">
        <v>2063.52677232</v>
      </c>
      <c r="E55" s="13">
        <f>B55/C55</f>
        <v>2.054807692307693</v>
      </c>
      <c r="F55" s="14">
        <f>B55-C55</f>
        <v>98.73000000000002</v>
      </c>
      <c r="H55" s="6" t="s">
        <v>50</v>
      </c>
      <c r="I55" s="9">
        <v>-0.0645147286341553</v>
      </c>
      <c r="J55" s="9">
        <v>-0.00714198600662955</v>
      </c>
      <c r="K55" s="13">
        <v>1.835529778634066</v>
      </c>
      <c r="L55" s="9">
        <v>0.43634424822492135</v>
      </c>
    </row>
    <row r="56">
      <c r="A56" s="6" t="s">
        <v>369</v>
      </c>
      <c r="B56" s="14">
        <v>177.82</v>
      </c>
      <c r="C56" s="14">
        <v>89.86</v>
      </c>
      <c r="D56" s="15">
        <v>1981.073886332</v>
      </c>
      <c r="E56" s="13">
        <f>B56/C56</f>
        <v>1.9788559982194525</v>
      </c>
      <c r="F56" s="14">
        <f>B56-C56</f>
        <v>87.96</v>
      </c>
      <c r="H56" s="6" t="s">
        <v>51</v>
      </c>
      <c r="I56" s="9">
        <v>-0.006399633004352107</v>
      </c>
      <c r="J56" s="9">
        <v>-0.012203866549061151</v>
      </c>
      <c r="K56" s="13">
        <v>1.7798766904435088</v>
      </c>
      <c r="L56" s="9">
        <v>0.43491724015771277</v>
      </c>
    </row>
    <row r="57">
      <c r="A57" s="6" t="s">
        <v>370</v>
      </c>
      <c r="B57" s="14">
        <v>173.19</v>
      </c>
      <c r="C57" s="14">
        <v>89.33</v>
      </c>
      <c r="D57" s="15">
        <v>1969.389386446</v>
      </c>
      <c r="E57" s="13">
        <f>B57/C57</f>
        <v>1.9387663718795478</v>
      </c>
      <c r="F57" s="14">
        <f>B57-C57</f>
        <v>83.86</v>
      </c>
      <c r="H57" s="6" t="s">
        <v>52</v>
      </c>
      <c r="I57" s="9">
        <v>0.16055031283161036</v>
      </c>
      <c r="J57" s="9">
        <v>-0.10070528467298769</v>
      </c>
      <c r="K57" s="13">
        <v>1.5114237656375935</v>
      </c>
      <c r="L57" s="9">
        <v>0.3721341701897827</v>
      </c>
    </row>
    <row r="58">
      <c r="A58" s="6" t="s">
        <v>371</v>
      </c>
      <c r="B58" s="14">
        <v>159.55</v>
      </c>
      <c r="C58" s="14">
        <v>89.76</v>
      </c>
      <c r="D58" s="15">
        <v>1978.869263712</v>
      </c>
      <c r="E58" s="13">
        <f>B58/C58</f>
        <v>1.777517825311943</v>
      </c>
      <c r="F58" s="14">
        <f>B58-C58</f>
        <v>69.79</v>
      </c>
      <c r="H58" s="6" t="s">
        <v>53</v>
      </c>
      <c r="I58" s="9">
        <v>-0.0602341348643643</v>
      </c>
      <c r="J58" s="9">
        <v>0.07466548935827606</v>
      </c>
      <c r="K58" s="13">
        <v>1.5405356496561706</v>
      </c>
      <c r="L58" s="9">
        <v>0.4041573328994957</v>
      </c>
    </row>
    <row r="59">
      <c r="A59" s="6" t="s">
        <v>372</v>
      </c>
      <c r="B59" s="14">
        <v>139.7</v>
      </c>
      <c r="C59" s="14">
        <v>82.94</v>
      </c>
      <c r="D59" s="15">
        <v>1828.514001028</v>
      </c>
      <c r="E59" s="13">
        <f>B59/C59</f>
        <v>1.6843501326259946</v>
      </c>
      <c r="F59" s="14">
        <f>B59-C59</f>
        <v>56.75999999999999</v>
      </c>
      <c r="H59" s="6" t="s">
        <v>54</v>
      </c>
      <c r="I59" s="9">
        <v>0.09702332892576736</v>
      </c>
      <c r="J59" s="9">
        <v>0.09363387516961397</v>
      </c>
      <c r="K59" s="13">
        <v>1.5545231308382388</v>
      </c>
      <c r="L59" s="9">
        <v>0.4033413702119916</v>
      </c>
    </row>
    <row r="60">
      <c r="A60" s="6" t="s">
        <v>373</v>
      </c>
      <c r="B60" s="14">
        <v>141.79</v>
      </c>
      <c r="C60" s="14">
        <v>82.71</v>
      </c>
      <c r="D60" s="15">
        <v>1823.4433690019998</v>
      </c>
      <c r="E60" s="13">
        <f>B60/C60</f>
        <v>1.7143029863378068</v>
      </c>
      <c r="F60" s="14">
        <f>B60-C60</f>
        <v>59.08</v>
      </c>
      <c r="H60" s="6" t="s">
        <v>55</v>
      </c>
      <c r="I60" s="9">
        <v>-0.10021037309175154</v>
      </c>
      <c r="J60" s="9">
        <v>0.04384350720256063</v>
      </c>
      <c r="K60" s="13">
        <v>1.9121086329416732</v>
      </c>
      <c r="L60" s="9">
        <v>0.4384369638525705</v>
      </c>
    </row>
    <row r="61">
      <c r="A61" s="6" t="s">
        <v>374</v>
      </c>
      <c r="B61" s="14">
        <v>135.22</v>
      </c>
      <c r="C61" s="14">
        <v>78.03</v>
      </c>
      <c r="D61" s="15">
        <v>1720.267030386</v>
      </c>
      <c r="E61" s="13">
        <f>B61/C61</f>
        <v>1.7329232346533385</v>
      </c>
      <c r="F61" s="14">
        <f>B61-C61</f>
        <v>57.19</v>
      </c>
      <c r="H61" s="6" t="s">
        <v>56</v>
      </c>
      <c r="I61" s="9">
        <v>0.07344630099218086</v>
      </c>
      <c r="J61" s="9">
        <v>0.004443015629432726</v>
      </c>
      <c r="K61" s="13">
        <v>2.0566795827123703</v>
      </c>
      <c r="L61" s="9">
        <v>0.42152621266860707</v>
      </c>
    </row>
    <row r="62">
      <c r="A62" s="6" t="s">
        <v>375</v>
      </c>
      <c r="B62" s="14">
        <v>135.86</v>
      </c>
      <c r="C62" s="14">
        <v>80.25</v>
      </c>
      <c r="D62" s="15">
        <v>1769.2096525499999</v>
      </c>
      <c r="E62" s="13">
        <f>B62/C62</f>
        <v>1.6929595015576326</v>
      </c>
      <c r="F62" s="14">
        <f>B62-C62</f>
        <v>55.610000000000014</v>
      </c>
      <c r="H62" s="6" t="s">
        <v>57</v>
      </c>
      <c r="I62" s="9">
        <v>-0.15956068342760504</v>
      </c>
      <c r="J62" s="9">
        <v>0.046151739082526025</v>
      </c>
      <c r="K62" s="13">
        <v>2.297646003332336</v>
      </c>
      <c r="L62" s="9">
        <v>0.4723285911635685</v>
      </c>
    </row>
    <row r="63">
      <c r="A63" s="6" t="s">
        <v>376</v>
      </c>
      <c r="B63" s="14">
        <v>128.59</v>
      </c>
      <c r="C63" s="14">
        <v>77.16</v>
      </c>
      <c r="D63" s="15">
        <v>1701.086813592</v>
      </c>
      <c r="E63" s="13">
        <f>B63/C63</f>
        <v>1.6665370658372214</v>
      </c>
      <c r="F63" s="14">
        <f>B63-C63</f>
        <v>51.43000000000001</v>
      </c>
      <c r="H63" s="6" t="s">
        <v>58</v>
      </c>
      <c r="I63" s="9">
        <v>0.009360228799794163</v>
      </c>
      <c r="J63" s="9">
        <v>-0.017260546518575937</v>
      </c>
      <c r="K63" s="13">
        <v>1.7022821061005318</v>
      </c>
      <c r="L63" s="9">
        <v>0.46569905609345463</v>
      </c>
    </row>
    <row r="64">
      <c r="A64" s="6" t="s">
        <v>377</v>
      </c>
      <c r="B64" s="14">
        <v>132.42</v>
      </c>
      <c r="C64" s="14">
        <v>76.25</v>
      </c>
      <c r="D64" s="15">
        <v>1681.02474775</v>
      </c>
      <c r="E64" s="13">
        <f>B64/C64</f>
        <v>1.7366557377049179</v>
      </c>
      <c r="F64" s="14">
        <f>B64-C64</f>
        <v>56.16999999999999</v>
      </c>
      <c r="H64" s="6" t="s">
        <v>59</v>
      </c>
      <c r="I64" s="9">
        <v>0.10006829107000725</v>
      </c>
      <c r="J64" s="9">
        <v>-0.05977746506094009</v>
      </c>
      <c r="K64" s="13">
        <v>1.2834329453706614</v>
      </c>
      <c r="L64" s="9">
        <v>0.4262261198216553</v>
      </c>
    </row>
    <row r="65">
      <c r="A65" s="6" t="s">
        <v>378</v>
      </c>
      <c r="B65" s="14">
        <v>121.66</v>
      </c>
      <c r="C65" s="14">
        <v>71.53</v>
      </c>
      <c r="D65" s="15">
        <v>1576.966560086</v>
      </c>
      <c r="E65" s="13">
        <f>B65/C65</f>
        <v>1.7008248287431846</v>
      </c>
      <c r="F65" s="14">
        <f>B65-C65</f>
        <v>50.129999999999995</v>
      </c>
      <c r="H65" s="6" t="s">
        <v>60</v>
      </c>
      <c r="I65" s="9">
        <v>0.05131593719418916</v>
      </c>
      <c r="J65" s="9">
        <v>0.032242168502113526</v>
      </c>
      <c r="K65" s="13">
        <v>1.5617006810695486</v>
      </c>
      <c r="L65" s="9">
        <v>0.42156818387476247</v>
      </c>
    </row>
    <row r="66">
      <c r="A66" s="6" t="s">
        <v>379</v>
      </c>
      <c r="B66" s="14">
        <v>129.45</v>
      </c>
      <c r="C66" s="14">
        <v>72.89</v>
      </c>
      <c r="D66" s="15">
        <v>1606.949427718</v>
      </c>
      <c r="E66" s="13">
        <f>B66/C66</f>
        <v>1.775963781039923</v>
      </c>
      <c r="F66" s="14">
        <f>B66-C66</f>
        <v>56.55999999999999</v>
      </c>
      <c r="H66" s="6" t="s">
        <v>61</v>
      </c>
      <c r="I66" s="9">
        <v>-0.07971032911084874</v>
      </c>
      <c r="J66" s="9">
        <v>0.12411301711876287</v>
      </c>
      <c r="K66" s="13">
        <v>1.816845301704527</v>
      </c>
      <c r="L66" s="9">
        <v>0.47190068780405975</v>
      </c>
    </row>
    <row r="67">
      <c r="A67" s="6" t="s">
        <v>380</v>
      </c>
      <c r="B67" s="14">
        <v>122.35</v>
      </c>
      <c r="C67" s="14">
        <v>72.04</v>
      </c>
      <c r="D67" s="15">
        <v>1588.210135448</v>
      </c>
      <c r="E67" s="13">
        <f>B67/C67</f>
        <v>1.698362021099389</v>
      </c>
      <c r="F67" s="14">
        <f>B67-C67</f>
        <v>50.30999999999999</v>
      </c>
    </row>
    <row r="68">
      <c r="A68" s="6" t="s">
        <v>381</v>
      </c>
      <c r="B68" s="14">
        <v>123.77</v>
      </c>
      <c r="C68" s="14">
        <v>70.02</v>
      </c>
      <c r="D68" s="15">
        <v>1543.676758524</v>
      </c>
      <c r="E68" s="13">
        <f>B68/C68</f>
        <v>1.7676378177663525</v>
      </c>
      <c r="F68" s="14">
        <f>B68-C68</f>
        <v>53.75</v>
      </c>
    </row>
    <row r="69">
      <c r="A69" s="6" t="s">
        <v>382</v>
      </c>
      <c r="B69" s="14">
        <v>120.2</v>
      </c>
      <c r="C69" s="14">
        <v>65.67</v>
      </c>
      <c r="D69" s="15">
        <v>1447.775674554</v>
      </c>
      <c r="E69" s="13">
        <f>B69/C69</f>
        <v>1.8303639409167047</v>
      </c>
      <c r="F69" s="14">
        <f>B69-C69</f>
        <v>54.53</v>
      </c>
    </row>
    <row r="70">
      <c r="A70" s="6" t="s">
        <v>383</v>
      </c>
      <c r="B70" s="14">
        <v>119.25</v>
      </c>
      <c r="C70" s="14">
        <v>64.96</v>
      </c>
      <c r="D70" s="15">
        <v>1432.1228539519998</v>
      </c>
      <c r="E70" s="13">
        <f>B70/C70</f>
        <v>1.835745073891626</v>
      </c>
      <c r="F70" s="14">
        <f>B70-C70</f>
        <v>54.290000000000006</v>
      </c>
    </row>
    <row r="71">
      <c r="A71" s="6" t="s">
        <v>384</v>
      </c>
      <c r="B71" s="14">
        <v>127.33</v>
      </c>
      <c r="C71" s="14">
        <v>66.17</v>
      </c>
      <c r="D71" s="15">
        <v>1458.798787654</v>
      </c>
      <c r="E71" s="13">
        <f>B71/C71</f>
        <v>1.9242859301798396</v>
      </c>
      <c r="F71" s="14">
        <f>B71-C71</f>
        <v>61.16</v>
      </c>
    </row>
    <row r="72">
      <c r="A72" s="6" t="s">
        <v>385</v>
      </c>
      <c r="B72" s="14">
        <v>125.34</v>
      </c>
      <c r="C72" s="14">
        <v>70.9</v>
      </c>
      <c r="D72" s="15">
        <v>1563.0774375800002</v>
      </c>
      <c r="E72" s="13">
        <f>B72/C72</f>
        <v>1.767842031029619</v>
      </c>
      <c r="F72" s="14">
        <f>B72-C72</f>
        <v>54.44</v>
      </c>
    </row>
    <row r="73">
      <c r="A73" s="6" t="s">
        <v>386</v>
      </c>
      <c r="B73" s="14">
        <v>126.8</v>
      </c>
      <c r="C73" s="14">
        <v>75.11</v>
      </c>
      <c r="D73" s="15">
        <v>1655.892049882</v>
      </c>
      <c r="E73" s="13">
        <f>B73/C73</f>
        <v>1.688190653707895</v>
      </c>
      <c r="F73" s="14">
        <f>B73-C73</f>
        <v>51.69</v>
      </c>
    </row>
    <row r="74">
      <c r="A74" s="6" t="s">
        <v>387</v>
      </c>
      <c r="B74" s="14">
        <v>139.1</v>
      </c>
      <c r="C74" s="14">
        <v>76.87</v>
      </c>
      <c r="D74" s="15">
        <v>1694.6934079940002</v>
      </c>
      <c r="E74" s="13">
        <f>B74/C74</f>
        <v>1.809548588526083</v>
      </c>
      <c r="F74" s="14">
        <f>B74-C74</f>
        <v>62.22999999999999</v>
      </c>
    </row>
    <row r="75">
      <c r="A75" s="6" t="s">
        <v>388</v>
      </c>
      <c r="B75" s="14">
        <v>148.16</v>
      </c>
      <c r="C75" s="14">
        <v>82.09</v>
      </c>
      <c r="D75" s="15">
        <v>1809.774708758</v>
      </c>
      <c r="E75" s="13">
        <f>B75/C75</f>
        <v>1.8048483371908879</v>
      </c>
      <c r="F75" s="14">
        <f>B75-C75</f>
        <v>66.07</v>
      </c>
    </row>
    <row r="76">
      <c r="A76" s="6" t="s">
        <v>389</v>
      </c>
      <c r="B76" s="14">
        <v>145.37</v>
      </c>
      <c r="C76" s="14">
        <v>83.47</v>
      </c>
      <c r="D76" s="15">
        <v>1840.1985009139999</v>
      </c>
      <c r="E76" s="13">
        <f>B76/C76</f>
        <v>1.7415838025637955</v>
      </c>
      <c r="F76" s="14">
        <f>B76-C76</f>
        <v>61.900000000000006</v>
      </c>
    </row>
    <row r="77">
      <c r="A77" s="6" t="s">
        <v>390</v>
      </c>
      <c r="B77" s="14">
        <v>154.87</v>
      </c>
      <c r="C77" s="14">
        <v>88.63</v>
      </c>
      <c r="D77" s="15">
        <v>1953.9570281059998</v>
      </c>
      <c r="E77" s="13">
        <f>B77/C77</f>
        <v>1.7473767347399303</v>
      </c>
      <c r="F77" s="14">
        <f>B77-C77</f>
        <v>66.24000000000001</v>
      </c>
    </row>
    <row r="78">
      <c r="A78" s="6" t="s">
        <v>391</v>
      </c>
      <c r="B78" s="14">
        <v>160.07</v>
      </c>
      <c r="C78" s="14">
        <v>95.3</v>
      </c>
      <c r="D78" s="15">
        <v>2101.00535686</v>
      </c>
      <c r="E78" s="13">
        <f>B78/C78</f>
        <v>1.6796432318992656</v>
      </c>
      <c r="F78" s="14">
        <f>B78-C78</f>
        <v>64.77</v>
      </c>
    </row>
    <row r="79">
      <c r="A79" s="6" t="s">
        <v>392</v>
      </c>
      <c r="B79" s="14">
        <v>165.24</v>
      </c>
      <c r="C79" s="14">
        <v>95.4</v>
      </c>
      <c r="D79" s="15">
        <v>2103.20997948</v>
      </c>
      <c r="E79" s="13">
        <f>B79/C79</f>
        <v>1.7320754716981133</v>
      </c>
      <c r="F79" s="14">
        <f>B79-C79</f>
        <v>69.84</v>
      </c>
    </row>
    <row r="80">
      <c r="A80" s="6" t="s">
        <v>393</v>
      </c>
      <c r="B80" s="14">
        <v>143.04</v>
      </c>
      <c r="C80" s="14">
        <v>93.66</v>
      </c>
      <c r="D80" s="15">
        <v>2064.8495458919997</v>
      </c>
      <c r="E80" s="13">
        <f>B80/C80</f>
        <v>1.5272261370916078</v>
      </c>
      <c r="F80" s="14">
        <f>B80-C80</f>
        <v>49.379999999999995</v>
      </c>
    </row>
    <row r="81">
      <c r="A81" s="6" t="s">
        <v>394</v>
      </c>
      <c r="B81" s="14">
        <v>152.24</v>
      </c>
      <c r="C81" s="14">
        <v>100.24</v>
      </c>
      <c r="D81" s="15">
        <v>2209.913714288</v>
      </c>
      <c r="E81" s="13">
        <f>B81/C81</f>
        <v>1.5187549880287312</v>
      </c>
      <c r="F81" s="14">
        <f>B81-C81</f>
        <v>52.000000000000014</v>
      </c>
    </row>
    <row r="82">
      <c r="A82" s="6" t="s">
        <v>395</v>
      </c>
      <c r="B82" s="14">
        <v>148.64</v>
      </c>
      <c r="C82" s="14">
        <v>98.46</v>
      </c>
      <c r="D82" s="15">
        <v>2170.6714316519997</v>
      </c>
      <c r="E82" s="13">
        <f>B82/C82</f>
        <v>1.5096485882591915</v>
      </c>
      <c r="F82" s="14">
        <f>B82-C82</f>
        <v>50.17999999999999</v>
      </c>
    </row>
    <row r="83">
      <c r="A83" s="6" t="s">
        <v>396</v>
      </c>
      <c r="B83" s="14">
        <v>143.38</v>
      </c>
      <c r="C83" s="14">
        <v>99.01</v>
      </c>
      <c r="D83" s="15">
        <v>2182.796856062</v>
      </c>
      <c r="E83" s="13">
        <f>B83/C83</f>
        <v>1.448136551863448</v>
      </c>
      <c r="F83" s="14">
        <f>B83-C83</f>
        <v>44.36999999999999</v>
      </c>
    </row>
    <row r="84">
      <c r="A84" s="6" t="s">
        <v>397</v>
      </c>
      <c r="B84" s="14">
        <v>139.25</v>
      </c>
      <c r="C84" s="14">
        <v>95.34</v>
      </c>
      <c r="D84" s="15">
        <v>2101.887205908</v>
      </c>
      <c r="E84" s="13">
        <f>B84/C84</f>
        <v>1.4605621984476609</v>
      </c>
      <c r="F84" s="14">
        <f>B84-C84</f>
        <v>43.91</v>
      </c>
    </row>
    <row r="85">
      <c r="A85" s="6" t="s">
        <v>398</v>
      </c>
      <c r="B85" s="14">
        <v>135.45</v>
      </c>
      <c r="C85" s="14">
        <v>90.35</v>
      </c>
      <c r="D85" s="15">
        <v>1991.87653717</v>
      </c>
      <c r="E85" s="13">
        <f>B85/C85</f>
        <v>1.499169894853348</v>
      </c>
      <c r="F85" s="14">
        <f>B85-C85</f>
        <v>45.099999999999994</v>
      </c>
    </row>
    <row r="86">
      <c r="A86" s="6" t="s">
        <v>399</v>
      </c>
      <c r="B86" s="14">
        <v>128.18</v>
      </c>
      <c r="C86" s="14">
        <v>93.11</v>
      </c>
      <c r="D86" s="15">
        <v>2052.724121482</v>
      </c>
      <c r="E86" s="13">
        <f>B86/C86</f>
        <v>1.3766512726882183</v>
      </c>
      <c r="F86" s="14">
        <f>B86-C86</f>
        <v>35.07000000000001</v>
      </c>
    </row>
    <row r="87">
      <c r="A87" s="6" t="s">
        <v>400</v>
      </c>
      <c r="B87" s="14">
        <v>135.71</v>
      </c>
      <c r="C87" s="14">
        <v>96.03</v>
      </c>
      <c r="D87" s="15">
        <v>2117.099101986</v>
      </c>
      <c r="E87" s="13">
        <f>B87/C87</f>
        <v>1.4132042070186401</v>
      </c>
      <c r="F87" s="14">
        <f>B87-C87</f>
        <v>39.68000000000001</v>
      </c>
    </row>
    <row r="88">
      <c r="A88" s="6" t="s">
        <v>401</v>
      </c>
      <c r="B88" s="14">
        <v>138.11</v>
      </c>
      <c r="C88" s="14">
        <v>94.89</v>
      </c>
      <c r="D88" s="15">
        <v>2091.966404118</v>
      </c>
      <c r="E88" s="13">
        <f>B88/C88</f>
        <v>1.4554747602487093</v>
      </c>
      <c r="F88" s="14">
        <f>B88-C88</f>
        <v>43.22000000000001</v>
      </c>
    </row>
    <row r="89">
      <c r="A89" s="6" t="s">
        <v>402</v>
      </c>
      <c r="B89" s="14">
        <v>135.95</v>
      </c>
      <c r="C89" s="14">
        <v>89.69</v>
      </c>
      <c r="D89" s="15">
        <v>1977.3260278779999</v>
      </c>
      <c r="E89" s="13">
        <f>B89/C89</f>
        <v>1.5157765637194782</v>
      </c>
      <c r="F89" s="14">
        <f>B89-C89</f>
        <v>46.25999999999999</v>
      </c>
    </row>
    <row r="90">
      <c r="A90" s="6" t="s">
        <v>403</v>
      </c>
      <c r="B90" s="14">
        <v>131</v>
      </c>
      <c r="C90" s="14">
        <v>88.38</v>
      </c>
      <c r="D90" s="15">
        <v>1948.4454715559998</v>
      </c>
      <c r="E90" s="13">
        <f>B90/C90</f>
        <v>1.4822357999547409</v>
      </c>
      <c r="F90" s="14">
        <f>B90-C90</f>
        <v>42.620000000000005</v>
      </c>
    </row>
    <row r="91">
      <c r="A91" s="6" t="s">
        <v>404</v>
      </c>
      <c r="B91" s="14">
        <v>129.96</v>
      </c>
      <c r="C91" s="14">
        <v>81.46</v>
      </c>
      <c r="D91" s="15">
        <v>1795.885586252</v>
      </c>
      <c r="E91" s="13">
        <f>B91/C91</f>
        <v>1.5953842376626568</v>
      </c>
      <c r="F91" s="14">
        <f>B91-C91</f>
        <v>48.500000000000014</v>
      </c>
    </row>
    <row r="92">
      <c r="A92" s="6" t="s">
        <v>405</v>
      </c>
      <c r="B92" s="14">
        <v>125.25</v>
      </c>
      <c r="C92" s="14">
        <v>78.3</v>
      </c>
      <c r="D92" s="15">
        <v>1726.21951146</v>
      </c>
      <c r="E92" s="13">
        <f>B92/C92</f>
        <v>1.5996168582375478</v>
      </c>
      <c r="F92" s="14">
        <f>B92-C92</f>
        <v>46.95</v>
      </c>
    </row>
    <row r="93">
      <c r="A93" s="6" t="s">
        <v>406</v>
      </c>
      <c r="B93" s="14">
        <v>127.65</v>
      </c>
      <c r="C93" s="14">
        <v>78.9</v>
      </c>
      <c r="D93" s="15">
        <v>1739.44724718</v>
      </c>
      <c r="E93" s="13">
        <f>B93/C93</f>
        <v>1.61787072243346</v>
      </c>
      <c r="F93" s="14">
        <f>B93-C93</f>
        <v>48.75</v>
      </c>
    </row>
    <row r="94">
      <c r="A94" s="6" t="s">
        <v>407</v>
      </c>
      <c r="B94" s="14">
        <v>123.82</v>
      </c>
      <c r="C94" s="14">
        <v>80.38</v>
      </c>
      <c r="D94" s="15">
        <v>1772.075661956</v>
      </c>
      <c r="E94" s="13">
        <f>B94/C94</f>
        <v>1.5404329435182882</v>
      </c>
      <c r="F94" s="14">
        <f>B94-C94</f>
        <v>43.44</v>
      </c>
    </row>
    <row r="95">
      <c r="A95" s="6" t="s">
        <v>408</v>
      </c>
      <c r="B95" s="14">
        <v>121.66</v>
      </c>
      <c r="C95" s="14">
        <v>79.86</v>
      </c>
      <c r="D95" s="15">
        <v>1760.611624332</v>
      </c>
      <c r="E95" s="13">
        <f>B95/C95</f>
        <v>1.5234159779614325</v>
      </c>
      <c r="F95" s="14">
        <f>B95-C95</f>
        <v>41.8</v>
      </c>
    </row>
    <row r="96">
      <c r="A96" s="6" t="s">
        <v>409</v>
      </c>
      <c r="B96" s="14">
        <v>120.17</v>
      </c>
      <c r="C96" s="14">
        <v>79.36</v>
      </c>
      <c r="D96" s="15">
        <v>1749.588511232</v>
      </c>
      <c r="E96" s="13">
        <f>B96/C96</f>
        <v>1.5142389112903225</v>
      </c>
      <c r="F96" s="14">
        <f>B96-C96</f>
        <v>40.81</v>
      </c>
    </row>
    <row r="97">
      <c r="A97" s="6" t="s">
        <v>410</v>
      </c>
      <c r="B97" s="14">
        <v>122.5</v>
      </c>
      <c r="C97" s="14">
        <v>79.85</v>
      </c>
      <c r="D97" s="15">
        <v>1760.3911620699998</v>
      </c>
      <c r="E97" s="13">
        <f>B97/C97</f>
        <v>1.5341264871634315</v>
      </c>
      <c r="F97" s="14">
        <f>B97-C97</f>
        <v>42.650000000000006</v>
      </c>
    </row>
    <row r="98">
      <c r="A98" s="6" t="s">
        <v>411</v>
      </c>
      <c r="B98" s="14">
        <v>120.19</v>
      </c>
      <c r="C98" s="14">
        <v>77.4</v>
      </c>
      <c r="D98" s="15">
        <v>1706.37790788</v>
      </c>
      <c r="E98" s="13">
        <f>B98/C98</f>
        <v>1.5528423772609818</v>
      </c>
      <c r="F98" s="14">
        <f>B98-C98</f>
        <v>42.78999999999999</v>
      </c>
    </row>
    <row r="99">
      <c r="A99" s="6" t="s">
        <v>412</v>
      </c>
      <c r="B99" s="14">
        <v>114.06</v>
      </c>
      <c r="C99" s="14">
        <v>75.56</v>
      </c>
      <c r="D99" s="15">
        <v>1665.812851672</v>
      </c>
      <c r="E99" s="13">
        <f>B99/C99</f>
        <v>1.5095288512440443</v>
      </c>
      <c r="F99" s="14">
        <f>B99-C99</f>
        <v>38.5</v>
      </c>
    </row>
    <row r="100">
      <c r="A100" s="6" t="s">
        <v>413</v>
      </c>
      <c r="B100" s="14">
        <v>108.12</v>
      </c>
      <c r="C100" s="14">
        <v>71.94</v>
      </c>
      <c r="D100" s="15">
        <v>1586.0055128279998</v>
      </c>
      <c r="E100" s="13">
        <f>B100/C100</f>
        <v>1.5029190992493746</v>
      </c>
      <c r="F100" s="14">
        <f>B100-C100</f>
        <v>36.18000000000001</v>
      </c>
    </row>
    <row r="101">
      <c r="A101" s="6" t="s">
        <v>414</v>
      </c>
      <c r="B101" s="14">
        <v>102.83</v>
      </c>
      <c r="C101" s="14">
        <v>68.03</v>
      </c>
      <c r="D101" s="15">
        <v>1499.804768386</v>
      </c>
      <c r="E101" s="13">
        <f>B101/C101</f>
        <v>1.5115390268998972</v>
      </c>
      <c r="F101" s="14">
        <f>B101-C101</f>
        <v>34.8</v>
      </c>
    </row>
    <row r="102">
      <c r="A102" s="6" t="s">
        <v>415</v>
      </c>
      <c r="B102" s="14">
        <v>119.73</v>
      </c>
      <c r="C102" s="14">
        <v>77.16</v>
      </c>
      <c r="D102" s="15">
        <v>1701.086813592</v>
      </c>
      <c r="E102" s="13">
        <f>B102/C102</f>
        <v>1.5517107309486782</v>
      </c>
      <c r="F102" s="14">
        <f>B102-C102</f>
        <v>42.57000000000001</v>
      </c>
    </row>
    <row r="103">
      <c r="A103" s="6" t="s">
        <v>416</v>
      </c>
      <c r="B103" s="14">
        <v>117.06</v>
      </c>
      <c r="C103" s="14">
        <v>75.23</v>
      </c>
      <c r="D103" s="15">
        <v>1658.537597026</v>
      </c>
      <c r="E103" s="13">
        <f>B103/C103</f>
        <v>1.5560281802472418</v>
      </c>
      <c r="F103" s="14">
        <f>B103-C103</f>
        <v>41.83</v>
      </c>
    </row>
    <row r="104">
      <c r="A104" s="6" t="s">
        <v>417</v>
      </c>
      <c r="B104" s="14">
        <v>105.79</v>
      </c>
      <c r="C104" s="14">
        <v>69.59</v>
      </c>
      <c r="D104" s="15">
        <v>1534.196881258</v>
      </c>
      <c r="E104" s="13">
        <f>B104/C104</f>
        <v>1.5201896824256358</v>
      </c>
      <c r="F104" s="14">
        <f>B104-C104</f>
        <v>36.2</v>
      </c>
    </row>
    <row r="105">
      <c r="A105" s="6" t="s">
        <v>418</v>
      </c>
      <c r="B105" s="14">
        <v>107.93</v>
      </c>
      <c r="C105" s="14">
        <v>70.32</v>
      </c>
      <c r="D105" s="15">
        <v>1550.2906263839998</v>
      </c>
      <c r="E105" s="13">
        <f>B105/C105</f>
        <v>1.534840728100114</v>
      </c>
      <c r="F105" s="14">
        <f>B105-C105</f>
        <v>37.610000000000014</v>
      </c>
    </row>
    <row r="106">
      <c r="A106" s="6" t="s">
        <v>419</v>
      </c>
      <c r="B106" s="14">
        <v>104.12</v>
      </c>
      <c r="C106" s="14">
        <v>70.52</v>
      </c>
      <c r="D106" s="15">
        <v>1554.6998716239998</v>
      </c>
      <c r="E106" s="13">
        <f>B106/C106</f>
        <v>1.4764605785592742</v>
      </c>
      <c r="F106" s="14">
        <f>B106-C106</f>
        <v>33.60000000000001</v>
      </c>
    </row>
    <row r="107">
      <c r="A107" s="6" t="s">
        <v>420</v>
      </c>
      <c r="B107" s="14">
        <v>98.84</v>
      </c>
      <c r="C107" s="14">
        <v>68.61</v>
      </c>
      <c r="D107" s="15">
        <v>1512.591579582</v>
      </c>
      <c r="E107" s="13">
        <f>B107/C107</f>
        <v>1.440606325608512</v>
      </c>
      <c r="F107" s="14">
        <f>B107-C107</f>
        <v>30.230000000000004</v>
      </c>
    </row>
    <row r="108">
      <c r="A108" s="6" t="s">
        <v>421</v>
      </c>
      <c r="B108" s="14">
        <v>95.31</v>
      </c>
      <c r="C108" s="14">
        <v>65.06</v>
      </c>
      <c r="D108" s="15">
        <v>1434.327476572</v>
      </c>
      <c r="E108" s="13">
        <f>B108/C108</f>
        <v>1.4649554257608361</v>
      </c>
      <c r="F108" s="14">
        <f>B108-C108</f>
        <v>30.25</v>
      </c>
    </row>
    <row r="109">
      <c r="A109" s="6" t="s">
        <v>422</v>
      </c>
      <c r="B109" s="14">
        <v>94.86</v>
      </c>
      <c r="C109" s="14">
        <v>62.45</v>
      </c>
      <c r="D109" s="15">
        <v>1376.78682619</v>
      </c>
      <c r="E109" s="13">
        <f>B109/C109</f>
        <v>1.5189751801441151</v>
      </c>
      <c r="F109" s="14">
        <f>B109-C109</f>
        <v>32.41</v>
      </c>
    </row>
    <row r="110">
      <c r="A110" s="6" t="s">
        <v>423</v>
      </c>
      <c r="B110" s="14">
        <v>104.44</v>
      </c>
      <c r="C110" s="14">
        <v>65.41</v>
      </c>
      <c r="D110" s="15">
        <v>1442.0436557419998</v>
      </c>
      <c r="E110" s="13">
        <f>B110/C110</f>
        <v>1.5966977526372115</v>
      </c>
      <c r="F110" s="14">
        <f>B110-C110</f>
        <v>39.03</v>
      </c>
    </row>
    <row r="111">
      <c r="A111" s="6" t="s">
        <v>424</v>
      </c>
      <c r="B111" s="14">
        <v>109.01</v>
      </c>
      <c r="C111" s="14">
        <v>64.83</v>
      </c>
      <c r="D111" s="15">
        <v>1429.256844546</v>
      </c>
      <c r="E111" s="13">
        <f>B111/C111</f>
        <v>1.6814746259447788</v>
      </c>
      <c r="F111" s="14">
        <f>B111-C111</f>
        <v>44.18000000000001</v>
      </c>
    </row>
    <row r="112">
      <c r="A112" s="6" t="s">
        <v>425</v>
      </c>
      <c r="B112" s="14">
        <v>99.87</v>
      </c>
      <c r="C112" s="14">
        <v>60.9</v>
      </c>
      <c r="D112" s="15">
        <v>1342.61517558</v>
      </c>
      <c r="E112" s="13">
        <f>B112/C112</f>
        <v>1.6399014778325125</v>
      </c>
      <c r="F112" s="14">
        <f>B112-C112</f>
        <v>38.970000000000006</v>
      </c>
    </row>
    <row r="113">
      <c r="A113" s="6" t="s">
        <v>426</v>
      </c>
      <c r="B113" s="14">
        <v>102.81</v>
      </c>
      <c r="C113" s="14">
        <v>60.31</v>
      </c>
      <c r="D113" s="15">
        <v>1329.607902122</v>
      </c>
      <c r="E113" s="13">
        <f>B113/C113</f>
        <v>1.7046924224838336</v>
      </c>
      <c r="F113" s="14">
        <f>B113-C113</f>
        <v>42.5</v>
      </c>
    </row>
    <row r="114">
      <c r="A114" s="6" t="s">
        <v>427</v>
      </c>
      <c r="B114" s="14">
        <v>102.41</v>
      </c>
      <c r="C114" s="14">
        <v>58.34</v>
      </c>
      <c r="D114" s="15">
        <v>1286.176836508</v>
      </c>
      <c r="E114" s="13">
        <f>B114/C114</f>
        <v>1.7553993829276653</v>
      </c>
      <c r="F114" s="14">
        <f>B114-C114</f>
        <v>44.06999999999999</v>
      </c>
    </row>
    <row r="115">
      <c r="A115" s="6" t="s">
        <v>428</v>
      </c>
      <c r="B115" s="14">
        <v>113.31</v>
      </c>
      <c r="C115" s="14">
        <v>63</v>
      </c>
      <c r="D115" s="15">
        <v>1388.9122505999999</v>
      </c>
      <c r="E115" s="13">
        <f>B115/C115</f>
        <v>1.7985714285714287</v>
      </c>
      <c r="F115" s="14">
        <f>B115-C115</f>
        <v>50.31</v>
      </c>
    </row>
    <row r="116">
      <c r="A116" s="6" t="s">
        <v>429</v>
      </c>
      <c r="B116" s="14">
        <v>131.44</v>
      </c>
      <c r="C116" s="14">
        <v>63.87</v>
      </c>
      <c r="D116" s="15">
        <v>1408.0924673939999</v>
      </c>
      <c r="E116" s="13">
        <f>B116/C116</f>
        <v>2.0579301706591515</v>
      </c>
      <c r="F116" s="14">
        <f>B116-C116</f>
        <v>67.57</v>
      </c>
    </row>
    <row r="117">
      <c r="A117" s="6" t="s">
        <v>430</v>
      </c>
      <c r="B117" s="14">
        <v>117.05</v>
      </c>
      <c r="C117" s="14">
        <v>61.03</v>
      </c>
      <c r="D117" s="15">
        <v>1345.481184986</v>
      </c>
      <c r="E117" s="13">
        <f>B117/C117</f>
        <v>1.9179092249713254</v>
      </c>
      <c r="F117" s="14">
        <f>B117-C117</f>
        <v>56.019999999999996</v>
      </c>
    </row>
    <row r="118">
      <c r="A118" s="6" t="s">
        <v>431</v>
      </c>
      <c r="B118" s="14">
        <v>106.69</v>
      </c>
      <c r="C118" s="14">
        <v>59.02</v>
      </c>
      <c r="D118" s="15">
        <v>1301.168270324</v>
      </c>
      <c r="E118" s="13">
        <f>B118/C118</f>
        <v>1.8076923076923075</v>
      </c>
      <c r="F118" s="14">
        <f>B118-C118</f>
        <v>47.669999999999995</v>
      </c>
    </row>
    <row r="119">
      <c r="A119" s="6" t="s">
        <v>432</v>
      </c>
      <c r="B119" s="14">
        <v>116.09</v>
      </c>
      <c r="C119" s="14">
        <v>57.39</v>
      </c>
      <c r="D119" s="15">
        <v>1265.232921618</v>
      </c>
      <c r="E119" s="13">
        <f>B119/C119</f>
        <v>2.0228262763547655</v>
      </c>
      <c r="F119" s="14">
        <f>B119-C119</f>
        <v>58.7</v>
      </c>
    </row>
    <row r="120">
      <c r="A120" s="6" t="s">
        <v>433</v>
      </c>
      <c r="B120" s="14">
        <v>115.55</v>
      </c>
      <c r="C120" s="14">
        <v>54.4</v>
      </c>
      <c r="D120" s="15">
        <v>1199.31470528</v>
      </c>
      <c r="E120" s="13">
        <f>B120/C120</f>
        <v>2.124080882352941</v>
      </c>
      <c r="F120" s="14">
        <f>B120-C120</f>
        <v>61.15</v>
      </c>
    </row>
    <row r="121">
      <c r="A121" s="6" t="s">
        <v>434</v>
      </c>
      <c r="B121" s="14">
        <v>107.54</v>
      </c>
      <c r="C121" s="14">
        <v>54.67</v>
      </c>
      <c r="D121" s="15">
        <v>1205.267186354</v>
      </c>
      <c r="E121" s="13">
        <f>B121/C121</f>
        <v>1.967075178342784</v>
      </c>
      <c r="F121" s="14">
        <f>B121-C121</f>
        <v>52.870000000000005</v>
      </c>
    </row>
    <row r="122">
      <c r="A122" s="6" t="s">
        <v>435</v>
      </c>
      <c r="B122" s="14">
        <v>99.5</v>
      </c>
      <c r="C122" s="14">
        <v>54.77</v>
      </c>
      <c r="D122" s="15">
        <v>1207.471808974</v>
      </c>
      <c r="E122" s="13">
        <f>B122/C122</f>
        <v>1.8166879678656198</v>
      </c>
      <c r="F122" s="14">
        <f>B122-C122</f>
        <v>44.73</v>
      </c>
    </row>
    <row r="123">
      <c r="A123" s="6" t="s">
        <v>436</v>
      </c>
      <c r="B123" s="14">
        <v>106.2</v>
      </c>
      <c r="C123" s="14">
        <v>57.92</v>
      </c>
      <c r="D123" s="15">
        <v>1276.917421504</v>
      </c>
      <c r="E123" s="13">
        <f>B123/C123</f>
        <v>1.8335635359116023</v>
      </c>
      <c r="F123" s="14">
        <f>B123-C123</f>
        <v>48.28</v>
      </c>
    </row>
    <row r="124">
      <c r="A124" s="6" t="s">
        <v>437</v>
      </c>
      <c r="B124" s="14">
        <v>120.98</v>
      </c>
      <c r="C124" s="14">
        <v>62.89</v>
      </c>
      <c r="D124" s="15">
        <v>1386.487165718</v>
      </c>
      <c r="E124" s="13">
        <f>B124/C124</f>
        <v>1.9236762601367468</v>
      </c>
      <c r="F124" s="14">
        <f>B124-C124</f>
        <v>58.09</v>
      </c>
    </row>
    <row r="125">
      <c r="A125" s="6" t="s">
        <v>438</v>
      </c>
      <c r="B125" s="14">
        <v>122.08</v>
      </c>
      <c r="C125" s="14">
        <v>63.35</v>
      </c>
      <c r="D125" s="15">
        <v>1396.62842977</v>
      </c>
      <c r="E125" s="13">
        <f>B125/C125</f>
        <v>1.9270718232044197</v>
      </c>
      <c r="F125" s="14">
        <f>B125-C125</f>
        <v>58.73</v>
      </c>
    </row>
    <row r="126">
      <c r="A126" s="6" t="s">
        <v>439</v>
      </c>
      <c r="B126" s="14">
        <v>110.7</v>
      </c>
      <c r="C126" s="14">
        <v>59.14</v>
      </c>
      <c r="D126" s="15">
        <v>1303.813817468</v>
      </c>
      <c r="E126" s="13">
        <f>B126/C126</f>
        <v>1.8718295569834291</v>
      </c>
      <c r="F126" s="14">
        <f>B126-C126</f>
        <v>51.56</v>
      </c>
    </row>
    <row r="127">
      <c r="A127" s="6" t="s">
        <v>440</v>
      </c>
      <c r="B127" s="14">
        <v>115.48</v>
      </c>
      <c r="C127" s="14">
        <v>62.82</v>
      </c>
      <c r="D127" s="15">
        <v>1384.943929884</v>
      </c>
      <c r="E127" s="13">
        <f>B127/C127</f>
        <v>1.8382680674944285</v>
      </c>
      <c r="F127" s="14">
        <f>B127-C127</f>
        <v>52.660000000000004</v>
      </c>
    </row>
    <row r="128">
      <c r="A128" s="6" t="s">
        <v>441</v>
      </c>
      <c r="B128" s="14">
        <v>124.46</v>
      </c>
      <c r="C128" s="14">
        <v>62.41</v>
      </c>
      <c r="D128" s="15">
        <v>1375.904977142</v>
      </c>
      <c r="E128" s="13">
        <f>B128/C128</f>
        <v>1.99423169363884</v>
      </c>
      <c r="F128" s="14">
        <f>B128-C128</f>
        <v>62.05</v>
      </c>
    </row>
    <row r="129">
      <c r="A129" s="6" t="s">
        <v>442</v>
      </c>
      <c r="B129" s="14">
        <v>127.59</v>
      </c>
      <c r="C129" s="14">
        <v>60.54</v>
      </c>
      <c r="D129" s="15">
        <v>1334.678534148</v>
      </c>
      <c r="E129" s="13">
        <f>B129/C129</f>
        <v>2.107532210109019</v>
      </c>
      <c r="F129" s="14">
        <f>B129-C129</f>
        <v>67.05000000000001</v>
      </c>
    </row>
    <row r="130">
      <c r="A130" s="6" t="s">
        <v>443</v>
      </c>
      <c r="B130" s="14">
        <v>129.69</v>
      </c>
      <c r="C130" s="14">
        <v>63.07</v>
      </c>
      <c r="D130" s="15">
        <v>1390.455486434</v>
      </c>
      <c r="E130" s="13">
        <f>B130/C130</f>
        <v>2.05628666560964</v>
      </c>
      <c r="F130" s="14">
        <f>B130-C130</f>
        <v>66.62</v>
      </c>
    </row>
    <row r="131">
      <c r="A131" s="6" t="s">
        <v>444</v>
      </c>
      <c r="B131" s="14">
        <v>131.72</v>
      </c>
      <c r="C131" s="14">
        <v>63.9</v>
      </c>
      <c r="D131" s="15">
        <v>1408.75385418</v>
      </c>
      <c r="E131" s="13">
        <f>B131/C131</f>
        <v>2.0613458528951485</v>
      </c>
      <c r="F131" s="14">
        <f>B131-C131</f>
        <v>67.82</v>
      </c>
    </row>
    <row r="132">
      <c r="A132" s="6" t="s">
        <v>445</v>
      </c>
      <c r="B132" s="14">
        <v>134.77</v>
      </c>
      <c r="C132" s="14">
        <v>63.76</v>
      </c>
      <c r="D132" s="15">
        <v>1405.667382512</v>
      </c>
      <c r="E132" s="13">
        <f>B132/C132</f>
        <v>2.1137076537013804</v>
      </c>
      <c r="F132" s="14">
        <f>B132-C132</f>
        <v>71.01000000000002</v>
      </c>
    </row>
    <row r="133">
      <c r="A133" s="6" t="s">
        <v>446</v>
      </c>
      <c r="B133" s="14">
        <v>152.42</v>
      </c>
      <c r="C133" s="14">
        <v>69.15</v>
      </c>
      <c r="D133" s="15">
        <v>1524.49654173</v>
      </c>
      <c r="E133" s="13">
        <f>B133/C133</f>
        <v>2.204193781634128</v>
      </c>
      <c r="F133" s="14">
        <f>B133-C133</f>
        <v>83.26999999999998</v>
      </c>
    </row>
    <row r="134">
      <c r="A134" s="6" t="s">
        <v>447</v>
      </c>
      <c r="B134" s="14">
        <v>156.43</v>
      </c>
      <c r="C134" s="14">
        <v>73.16</v>
      </c>
      <c r="D134" s="15">
        <v>1612.9019087919999</v>
      </c>
      <c r="E134" s="13">
        <f>B134/C134</f>
        <v>2.13819026790596</v>
      </c>
      <c r="F134" s="14">
        <f>B134-C134</f>
        <v>83.27000000000001</v>
      </c>
    </row>
    <row r="135">
      <c r="A135" s="6" t="s">
        <v>448</v>
      </c>
      <c r="B135" s="14">
        <v>168.55</v>
      </c>
      <c r="C135" s="14">
        <v>81.17</v>
      </c>
      <c r="D135" s="15">
        <v>1789.492180654</v>
      </c>
      <c r="E135" s="13">
        <f>B135/C135</f>
        <v>2.0765060983121844</v>
      </c>
      <c r="F135" s="14">
        <f>B135-C135</f>
        <v>87.38000000000001</v>
      </c>
    </row>
    <row r="136">
      <c r="A136" s="6" t="s">
        <v>449</v>
      </c>
      <c r="B136" s="14">
        <v>181.93</v>
      </c>
      <c r="C136" s="14">
        <v>84.72</v>
      </c>
      <c r="D136" s="15">
        <v>1867.756283664</v>
      </c>
      <c r="E136" s="13">
        <f>B136/C136</f>
        <v>2.147426817752597</v>
      </c>
      <c r="F136" s="14">
        <f>B136-C136</f>
        <v>97.21000000000001</v>
      </c>
    </row>
    <row r="137">
      <c r="A137" s="6" t="s">
        <v>450</v>
      </c>
      <c r="B137" s="14">
        <v>191.3</v>
      </c>
      <c r="C137" s="14">
        <v>94.91</v>
      </c>
      <c r="D137" s="15">
        <v>2092.407328642</v>
      </c>
      <c r="E137" s="13">
        <f>B137/C137</f>
        <v>2.015593720366663</v>
      </c>
      <c r="F137" s="14">
        <f>B137-C137</f>
        <v>96.39000000000001</v>
      </c>
    </row>
    <row r="138">
      <c r="A138" s="6" t="s">
        <v>451</v>
      </c>
      <c r="B138" s="14">
        <v>206.05</v>
      </c>
      <c r="C138" s="14">
        <v>96.36</v>
      </c>
      <c r="D138" s="15">
        <v>2124.374356632</v>
      </c>
      <c r="E138" s="13">
        <f>B138/C138</f>
        <v>2.1383354088833544</v>
      </c>
      <c r="F138" s="14">
        <f>B138-C138</f>
        <v>109.69000000000001</v>
      </c>
    </row>
    <row r="139">
      <c r="A139" s="6" t="s">
        <v>452</v>
      </c>
      <c r="B139" s="14">
        <v>223.94</v>
      </c>
      <c r="C139" s="14">
        <v>100.3</v>
      </c>
      <c r="D139" s="15">
        <v>2211.2364878599997</v>
      </c>
      <c r="E139" s="13">
        <f>B139/C139</f>
        <v>2.232701894317049</v>
      </c>
      <c r="F139" s="14">
        <f>B139-C139</f>
        <v>123.64</v>
      </c>
    </row>
    <row r="140">
      <c r="A140" s="6" t="s">
        <v>453</v>
      </c>
      <c r="B140" s="14">
        <v>234.14</v>
      </c>
      <c r="C140" s="14">
        <v>104.14</v>
      </c>
      <c r="D140" s="15">
        <v>2295.893996468</v>
      </c>
      <c r="E140" s="13">
        <f>B140/C140</f>
        <v>2.2483195698098712</v>
      </c>
      <c r="F140" s="14">
        <f>B140-C140</f>
        <v>130</v>
      </c>
    </row>
    <row r="141">
      <c r="A141" s="6" t="s">
        <v>454</v>
      </c>
      <c r="B141" s="14">
        <v>236.13</v>
      </c>
      <c r="C141" s="14">
        <v>101.06</v>
      </c>
      <c r="D141" s="15">
        <v>2227.991619772</v>
      </c>
      <c r="E141" s="13">
        <f>B141/C141</f>
        <v>2.3365327528201068</v>
      </c>
      <c r="F141" s="14">
        <f>B141-C141</f>
        <v>135.07</v>
      </c>
    </row>
    <row r="142">
      <c r="A142" s="6" t="s">
        <v>455</v>
      </c>
      <c r="B142" s="14">
        <v>245.38</v>
      </c>
      <c r="C142" s="14">
        <v>100.58</v>
      </c>
      <c r="D142" s="15">
        <v>2217.409431196</v>
      </c>
      <c r="E142" s="13">
        <f>B142/C142</f>
        <v>2.4396500298270034</v>
      </c>
      <c r="F142" s="14">
        <f>B142-C142</f>
        <v>144.8</v>
      </c>
    </row>
    <row r="143">
      <c r="A143" s="6" t="s">
        <v>456</v>
      </c>
      <c r="B143" s="14">
        <v>222.44</v>
      </c>
      <c r="C143" s="14">
        <v>95.21</v>
      </c>
      <c r="D143" s="15">
        <v>2099.021196502</v>
      </c>
      <c r="E143" s="13">
        <f>B143/C143</f>
        <v>2.3363092112173094</v>
      </c>
      <c r="F143" s="14">
        <f>B143-C143</f>
        <v>127.23</v>
      </c>
    </row>
    <row r="144">
      <c r="A144" s="6" t="s">
        <v>457</v>
      </c>
      <c r="B144" s="14">
        <v>225.37</v>
      </c>
      <c r="C144" s="14">
        <v>95.07</v>
      </c>
      <c r="D144" s="15">
        <v>2095.934724834</v>
      </c>
      <c r="E144" s="13">
        <f>B144/C144</f>
        <v>2.3705690543809825</v>
      </c>
      <c r="F144" s="14">
        <f>B144-C144</f>
        <v>130.3</v>
      </c>
    </row>
    <row r="145">
      <c r="A145" s="6" t="s">
        <v>458</v>
      </c>
      <c r="B145" s="14">
        <v>218.61</v>
      </c>
      <c r="C145" s="14">
        <v>94.31</v>
      </c>
      <c r="D145" s="15">
        <v>2079.179592922</v>
      </c>
      <c r="E145" s="13">
        <f>B145/C145</f>
        <v>2.317993850068922</v>
      </c>
      <c r="F145" s="14">
        <f>B145-C145</f>
        <v>124.30000000000001</v>
      </c>
    </row>
    <row r="146">
      <c r="A146" s="6" t="s">
        <v>459</v>
      </c>
      <c r="B146" s="14">
        <v>229.38</v>
      </c>
      <c r="C146" s="14">
        <v>94.48</v>
      </c>
      <c r="D146" s="15">
        <v>2082.927451376</v>
      </c>
      <c r="E146" s="13">
        <f>B146/C146</f>
        <v>2.4278154106689245</v>
      </c>
      <c r="F146" s="14">
        <f>B146-C146</f>
        <v>134.89999999999998</v>
      </c>
    </row>
    <row r="147">
      <c r="A147" s="6" t="s">
        <v>460</v>
      </c>
      <c r="B147" s="14">
        <v>210.84</v>
      </c>
      <c r="C147" s="14">
        <v>89.6</v>
      </c>
      <c r="D147" s="15">
        <v>1975.3418675199998</v>
      </c>
      <c r="E147" s="13">
        <f>B147/C147</f>
        <v>2.3531250000000004</v>
      </c>
      <c r="F147" s="14">
        <f>B147-C147</f>
        <v>121.24000000000001</v>
      </c>
    </row>
    <row r="148">
      <c r="A148" s="6" t="s">
        <v>461</v>
      </c>
      <c r="B148" s="14">
        <v>218.53</v>
      </c>
      <c r="C148" s="14">
        <v>98.75</v>
      </c>
      <c r="D148" s="15">
        <v>2177.06483725</v>
      </c>
      <c r="E148" s="13">
        <f>B148/C148</f>
        <v>2.2129620253164557</v>
      </c>
      <c r="F148" s="14">
        <f>B148-C148</f>
        <v>119.78</v>
      </c>
    </row>
    <row r="149">
      <c r="A149" s="6" t="s">
        <v>462</v>
      </c>
      <c r="B149" s="14">
        <v>218.24</v>
      </c>
      <c r="C149" s="14">
        <v>100.49</v>
      </c>
      <c r="D149" s="15">
        <v>2215.425270838</v>
      </c>
      <c r="E149" s="13">
        <f>B149/C149</f>
        <v>2.171758383918798</v>
      </c>
      <c r="F149" s="14">
        <f>B149-C149</f>
        <v>117.75000000000001</v>
      </c>
    </row>
    <row r="150">
      <c r="A150" s="6" t="s">
        <v>463</v>
      </c>
      <c r="B150" s="14">
        <v>191.72</v>
      </c>
      <c r="C150" s="14">
        <v>92.16</v>
      </c>
      <c r="D150" s="15">
        <v>2031.7802065919998</v>
      </c>
      <c r="E150" s="13">
        <f>B150/C150</f>
        <v>2.080295138888889</v>
      </c>
      <c r="F150" s="14">
        <f>B150-C150</f>
        <v>99.56</v>
      </c>
    </row>
    <row r="151">
      <c r="A151" s="6" t="s">
        <v>464</v>
      </c>
      <c r="B151" s="14">
        <v>164.8</v>
      </c>
      <c r="C151" s="14">
        <v>82.67</v>
      </c>
      <c r="D151" s="15">
        <v>1822.561519954</v>
      </c>
      <c r="E151" s="13">
        <f>B151/C151</f>
        <v>1.9934680053223661</v>
      </c>
      <c r="F151" s="14">
        <f>B151-C151</f>
        <v>82.13000000000001</v>
      </c>
    </row>
    <row r="152">
      <c r="A152" s="6" t="s">
        <v>465</v>
      </c>
      <c r="B152" s="14">
        <v>166.21</v>
      </c>
      <c r="C152" s="14">
        <v>83.95</v>
      </c>
      <c r="D152" s="15">
        <v>1850.78068949</v>
      </c>
      <c r="E152" s="13">
        <f>B152/C152</f>
        <v>1.9798689696247767</v>
      </c>
      <c r="F152" s="14">
        <f>B152-C152</f>
        <v>82.26</v>
      </c>
    </row>
    <row r="153">
      <c r="A153" s="6" t="s">
        <v>466</v>
      </c>
      <c r="B153" s="14">
        <v>159.8</v>
      </c>
      <c r="C153" s="14">
        <v>85.82</v>
      </c>
      <c r="D153" s="15">
        <v>1892.0071324839998</v>
      </c>
      <c r="E153" s="13">
        <f>B153/C153</f>
        <v>1.8620368212537872</v>
      </c>
      <c r="F153" s="14">
        <f>B153-C153</f>
        <v>73.98000000000002</v>
      </c>
    </row>
    <row r="154">
      <c r="A154" s="6" t="s">
        <v>467</v>
      </c>
      <c r="B154" s="14">
        <v>180.93</v>
      </c>
      <c r="C154" s="14">
        <v>94.26</v>
      </c>
      <c r="D154" s="15">
        <v>2078.077281612</v>
      </c>
      <c r="E154" s="13">
        <f>B154/C154</f>
        <v>1.9194780394653086</v>
      </c>
      <c r="F154" s="14">
        <f>B154-C154</f>
        <v>86.67</v>
      </c>
    </row>
    <row r="155">
      <c r="A155" s="6" t="s">
        <v>468</v>
      </c>
      <c r="B155" s="14">
        <v>176.17</v>
      </c>
      <c r="C155" s="14">
        <v>96.6</v>
      </c>
      <c r="D155" s="15">
        <v>2129.66545092</v>
      </c>
      <c r="E155" s="13">
        <f>B155/C155</f>
        <v>1.8237060041407867</v>
      </c>
      <c r="F155" s="14">
        <f>B155-C155</f>
        <v>79.57</v>
      </c>
    </row>
    <row r="156">
      <c r="A156" s="6" t="s">
        <v>469</v>
      </c>
      <c r="B156" s="14">
        <v>187.3</v>
      </c>
      <c r="C156" s="14">
        <v>105.43</v>
      </c>
      <c r="D156" s="15">
        <v>2324.3336282660002</v>
      </c>
      <c r="E156" s="13">
        <f>B156/C156</f>
        <v>1.7765341933036138</v>
      </c>
      <c r="F156" s="14">
        <f>B156-C156</f>
        <v>81.87</v>
      </c>
    </row>
    <row r="157">
      <c r="A157" s="6" t="s">
        <v>470</v>
      </c>
      <c r="B157" s="14">
        <v>183.13</v>
      </c>
      <c r="C157" s="14">
        <v>112.56</v>
      </c>
      <c r="D157" s="15">
        <v>2481.523221072</v>
      </c>
      <c r="E157" s="13">
        <f>B157/C157</f>
        <v>1.626954513148543</v>
      </c>
      <c r="F157" s="14">
        <f>B157-C157</f>
        <v>70.57</v>
      </c>
    </row>
    <row r="158">
      <c r="A158" s="6" t="s">
        <v>471</v>
      </c>
      <c r="B158" s="14">
        <v>174.54</v>
      </c>
      <c r="C158" s="14">
        <v>119.23</v>
      </c>
      <c r="D158" s="15">
        <v>2628.571549826</v>
      </c>
      <c r="E158" s="13">
        <f>B158/C158</f>
        <v>1.4638933154407447</v>
      </c>
      <c r="F158" s="14">
        <f>B158-C158</f>
        <v>55.30999999999999</v>
      </c>
    </row>
    <row r="159">
      <c r="A159" s="6" t="s">
        <v>472</v>
      </c>
      <c r="B159" s="14">
        <v>159.57</v>
      </c>
      <c r="C159" s="14">
        <v>113.62</v>
      </c>
      <c r="D159" s="15">
        <v>2504.892220844</v>
      </c>
      <c r="E159" s="13">
        <f>B159/C159</f>
        <v>1.4044182362260165</v>
      </c>
      <c r="F159" s="14">
        <f>B159-C159</f>
        <v>45.94999999999999</v>
      </c>
    </row>
    <row r="160">
      <c r="A160" s="6" t="s">
        <v>473</v>
      </c>
      <c r="B160" s="14">
        <v>156.56</v>
      </c>
      <c r="C160" s="14">
        <v>111.34</v>
      </c>
      <c r="D160" s="15">
        <v>2454.626825108</v>
      </c>
      <c r="E160" s="13">
        <f>B160/C160</f>
        <v>1.4061433447098977</v>
      </c>
      <c r="F160" s="14">
        <f>B160-C160</f>
        <v>45.22</v>
      </c>
    </row>
    <row r="161">
      <c r="A161" s="6" t="s">
        <v>474</v>
      </c>
      <c r="B161" s="14">
        <v>153.55</v>
      </c>
      <c r="C161" s="14">
        <v>109.14</v>
      </c>
      <c r="D161" s="15">
        <v>2406.125127468</v>
      </c>
      <c r="E161" s="13">
        <f>B161/C161</f>
        <v>1.4069085578156497</v>
      </c>
      <c r="F161" s="14">
        <f>B161-C161</f>
        <v>44.41000000000001</v>
      </c>
    </row>
    <row r="162">
      <c r="A162" s="6" t="s">
        <v>475</v>
      </c>
      <c r="B162" s="14">
        <v>155.91</v>
      </c>
      <c r="C162" s="14">
        <v>105.4</v>
      </c>
      <c r="D162" s="15">
        <v>2323.67224148</v>
      </c>
      <c r="E162" s="13">
        <f>B162/C162</f>
        <v>1.479222011385199</v>
      </c>
      <c r="F162" s="14">
        <f>B162-C162</f>
        <v>50.50999999999999</v>
      </c>
    </row>
    <row r="163">
      <c r="A163" s="6" t="s">
        <v>476</v>
      </c>
      <c r="B163" s="14">
        <v>170.25</v>
      </c>
      <c r="C163" s="14">
        <v>110.45</v>
      </c>
      <c r="D163" s="15">
        <v>2435.00568379</v>
      </c>
      <c r="E163" s="13">
        <f>B163/C163</f>
        <v>1.5414214576731553</v>
      </c>
      <c r="F163" s="14">
        <f>B163-C163</f>
        <v>59.8</v>
      </c>
    </row>
    <row r="164">
      <c r="A164" s="6" t="s">
        <v>477</v>
      </c>
      <c r="B164" s="14">
        <v>186.67</v>
      </c>
      <c r="C164" s="14">
        <v>123.91</v>
      </c>
      <c r="D164" s="15">
        <v>2731.7478884419997</v>
      </c>
      <c r="E164" s="13">
        <f>B164/C164</f>
        <v>1.5064966507949318</v>
      </c>
      <c r="F164" s="14">
        <f>B164-C164</f>
        <v>62.75999999999999</v>
      </c>
    </row>
    <row r="165">
      <c r="A165" s="6" t="s">
        <v>478</v>
      </c>
      <c r="B165" s="14">
        <v>183.06</v>
      </c>
      <c r="C165" s="14">
        <v>135.84</v>
      </c>
      <c r="D165" s="15">
        <v>2994.759367008</v>
      </c>
      <c r="E165" s="13">
        <f>B165/C165</f>
        <v>1.3476148409893993</v>
      </c>
      <c r="F165" s="14">
        <f>B165-C165</f>
        <v>47.22</v>
      </c>
    </row>
    <row r="166">
      <c r="A166" s="6" t="s">
        <v>479</v>
      </c>
      <c r="B166" s="14">
        <v>185.37</v>
      </c>
      <c r="C166" s="14">
        <v>142.43</v>
      </c>
      <c r="D166" s="15">
        <v>3140.043997666</v>
      </c>
      <c r="E166" s="13">
        <f>B166/C166</f>
        <v>1.3014814294741277</v>
      </c>
      <c r="F166" s="14">
        <f>B166-C166</f>
        <v>42.94</v>
      </c>
    </row>
    <row r="167">
      <c r="A167" s="6" t="s">
        <v>480</v>
      </c>
      <c r="B167" s="14">
        <v>184.59</v>
      </c>
      <c r="C167" s="14">
        <v>148.53</v>
      </c>
      <c r="D167" s="15">
        <v>3274.525977486</v>
      </c>
      <c r="E167" s="13">
        <f>B167/C167</f>
        <v>1.2427792365178751</v>
      </c>
      <c r="F167" s="14">
        <f>B167-C167</f>
        <v>36.06</v>
      </c>
    </row>
    <row r="168">
      <c r="A168" s="6" t="s">
        <v>481</v>
      </c>
      <c r="B168" s="14">
        <v>217.97</v>
      </c>
      <c r="C168" s="14">
        <v>176.04</v>
      </c>
      <c r="D168" s="15">
        <v>3881.0176602479996</v>
      </c>
      <c r="E168" s="13">
        <f>B168/C168</f>
        <v>1.238184503521927</v>
      </c>
      <c r="F168" s="14">
        <f>B168-C168</f>
        <v>41.93000000000001</v>
      </c>
    </row>
    <row r="169">
      <c r="A169" s="6" t="s">
        <v>482</v>
      </c>
      <c r="B169" s="14">
        <v>208.86</v>
      </c>
      <c r="C169" s="14">
        <v>165.11</v>
      </c>
      <c r="D169" s="15">
        <v>3640.0524078820004</v>
      </c>
      <c r="E169" s="13">
        <f>B169/C169</f>
        <v>1.2649748652413542</v>
      </c>
      <c r="F169" s="14">
        <f>B169-C169</f>
        <v>43.75</v>
      </c>
    </row>
    <row r="170">
      <c r="A170" s="6" t="s">
        <v>483</v>
      </c>
      <c r="B170" s="14">
        <v>226.47</v>
      </c>
      <c r="C170" s="14">
        <v>182.82</v>
      </c>
      <c r="D170" s="15">
        <v>4030.491073884</v>
      </c>
      <c r="E170" s="13">
        <f>B170/C170</f>
        <v>1.2387594355103382</v>
      </c>
      <c r="F170" s="14">
        <f>B170-C170</f>
        <v>43.650000000000006</v>
      </c>
    </row>
    <row r="171">
      <c r="A171" s="6" t="s">
        <v>484</v>
      </c>
      <c r="B171" s="14">
        <v>235.15</v>
      </c>
      <c r="C171" s="14">
        <v>193.93</v>
      </c>
      <c r="D171" s="15">
        <v>4275.424646966</v>
      </c>
      <c r="E171" s="13">
        <f>B171/C171</f>
        <v>1.2125509204352085</v>
      </c>
      <c r="F171" s="14">
        <f>B171-C171</f>
        <v>41.22</v>
      </c>
    </row>
    <row r="172">
      <c r="A172" s="6" t="s">
        <v>485</v>
      </c>
      <c r="B172" s="14">
        <v>239.29</v>
      </c>
      <c r="C172" s="14">
        <v>197.81</v>
      </c>
      <c r="D172" s="15">
        <v>4360.964004622</v>
      </c>
      <c r="E172" s="13">
        <f>B172/C172</f>
        <v>1.2096961730953946</v>
      </c>
      <c r="F172" s="14">
        <f>B172-C172</f>
        <v>41.47999999999999</v>
      </c>
    </row>
    <row r="173">
      <c r="A173" s="6" t="s">
        <v>313</v>
      </c>
      <c r="B173" s="14">
        <v>254.43</v>
      </c>
      <c r="C173" s="14">
        <v>225.13</v>
      </c>
      <c r="D173" s="15">
        <v>4963.266904405999</v>
      </c>
      <c r="E173" s="13">
        <f>B173/C173</f>
        <v>1.1301470261626616</v>
      </c>
      <c r="F173" s="14">
        <f>B173-C173</f>
        <v>29.30000000000001</v>
      </c>
    </row>
    <row r="174">
      <c r="A174" s="6" t="s">
        <v>486</v>
      </c>
      <c r="B174" s="14">
        <v>250.62</v>
      </c>
      <c r="C174" s="14">
        <v>207.11</v>
      </c>
      <c r="D174" s="15">
        <v>4565.993908282</v>
      </c>
      <c r="E174" s="13">
        <f>B174/C174</f>
        <v>1.21008159915021</v>
      </c>
      <c r="F174" s="14">
        <f>B174-C174</f>
        <v>43.50999999999999</v>
      </c>
    </row>
    <row r="175">
      <c r="A175" s="6" t="s">
        <v>487</v>
      </c>
      <c r="B175" s="14">
        <v>277.04</v>
      </c>
      <c r="C175" s="14">
        <v>214.43</v>
      </c>
      <c r="D175" s="15">
        <v>4727.372284066</v>
      </c>
      <c r="E175" s="13">
        <f>B175/C175</f>
        <v>1.2919833978454507</v>
      </c>
      <c r="F175" s="14">
        <f>B175-C175</f>
        <v>62.610000000000014</v>
      </c>
    </row>
    <row r="176">
      <c r="A176" s="6" t="s">
        <v>488</v>
      </c>
      <c r="B176" s="14">
        <v>317</v>
      </c>
      <c r="C176" s="14">
        <v>226.28</v>
      </c>
      <c r="D176" s="15">
        <v>4988.6200645359995</v>
      </c>
      <c r="E176" s="13">
        <f>B176/C176</f>
        <v>1.4009192151316952</v>
      </c>
      <c r="F176" s="14">
        <f>B176-C176</f>
        <v>90.72</v>
      </c>
    </row>
    <row r="177">
      <c r="A177" s="6" t="s">
        <v>489</v>
      </c>
      <c r="B177" s="14">
        <v>328.94</v>
      </c>
      <c r="C177" s="14">
        <v>234.33</v>
      </c>
      <c r="D177" s="15">
        <v>5166.092185446</v>
      </c>
      <c r="E177" s="13">
        <f>B177/C177</f>
        <v>1.4037468527290573</v>
      </c>
      <c r="F177" s="14">
        <f>B177-C177</f>
        <v>94.60999999999999</v>
      </c>
    </row>
    <row r="178">
      <c r="A178" s="6" t="s">
        <v>490</v>
      </c>
      <c r="B178" s="14">
        <v>388.18</v>
      </c>
      <c r="C178" s="14">
        <v>253.48</v>
      </c>
      <c r="D178" s="15">
        <v>5588.277417175999</v>
      </c>
      <c r="E178" s="13">
        <f>B178/C178</f>
        <v>1.5314028720214614</v>
      </c>
      <c r="F178" s="14">
        <f>B178-C178</f>
        <v>134.70000000000002</v>
      </c>
    </row>
    <row r="179">
      <c r="A179" s="6" t="s">
        <v>491</v>
      </c>
      <c r="B179" s="14">
        <v>382.75</v>
      </c>
      <c r="C179" s="14">
        <v>247.63</v>
      </c>
      <c r="D179" s="15">
        <v>5459.306993906</v>
      </c>
      <c r="E179" s="13">
        <f>B179/C179</f>
        <v>1.5456527884343578</v>
      </c>
      <c r="F179" s="14">
        <f>B179-C179</f>
        <v>135.12</v>
      </c>
    </row>
    <row r="180">
      <c r="A180" s="6" t="s">
        <v>492</v>
      </c>
      <c r="B180" s="14">
        <v>370.37</v>
      </c>
      <c r="C180" s="14">
        <v>235.69</v>
      </c>
      <c r="D180" s="15">
        <v>5196.075053078</v>
      </c>
      <c r="E180" s="13">
        <f>B180/C180</f>
        <v>1.5714285714285714</v>
      </c>
      <c r="F180" s="14">
        <f>B180-C180</f>
        <v>134.68</v>
      </c>
    </row>
    <row r="181">
      <c r="A181" s="6" t="s">
        <v>493</v>
      </c>
      <c r="B181" s="14">
        <v>368.21</v>
      </c>
      <c r="C181" s="14">
        <v>224.63</v>
      </c>
      <c r="D181" s="15">
        <v>4952.243791305999</v>
      </c>
      <c r="E181" s="13">
        <f>B181/C181</f>
        <v>1.6391844366291235</v>
      </c>
      <c r="F181" s="14">
        <f>B181-C181</f>
        <v>143.57999999999998</v>
      </c>
    </row>
    <row r="182">
      <c r="A182" s="6" t="s">
        <v>494</v>
      </c>
      <c r="B182" s="14">
        <v>329.56</v>
      </c>
      <c r="C182" s="14">
        <v>183.21</v>
      </c>
      <c r="D182" s="15">
        <v>4039.089102102</v>
      </c>
      <c r="E182" s="13">
        <f>B182/C182</f>
        <v>1.798810108618525</v>
      </c>
      <c r="F182" s="14">
        <f>B182-C182</f>
        <v>146.35</v>
      </c>
    </row>
    <row r="183">
      <c r="A183" s="6" t="s">
        <v>495</v>
      </c>
      <c r="B183" s="14">
        <v>289.17</v>
      </c>
      <c r="C183" s="14">
        <v>153.43</v>
      </c>
      <c r="D183" s="15">
        <v>3382.552485866</v>
      </c>
      <c r="E183" s="13">
        <f>B183/C183</f>
        <v>1.884703121944861</v>
      </c>
      <c r="F183" s="14">
        <f>B183-C183</f>
        <v>135.74</v>
      </c>
    </row>
    <row r="184">
      <c r="A184" s="6" t="s">
        <v>496</v>
      </c>
      <c r="B184" s="14">
        <v>328.57</v>
      </c>
      <c r="C184" s="14">
        <v>181.43</v>
      </c>
      <c r="D184" s="15">
        <v>3999.846819466</v>
      </c>
      <c r="E184" s="13">
        <f>B184/C184</f>
        <v>1.8110014881772583</v>
      </c>
      <c r="F184" s="14">
        <f>B184-C184</f>
        <v>147.14</v>
      </c>
    </row>
    <row r="185">
      <c r="A185" s="6" t="s">
        <v>497</v>
      </c>
      <c r="B185" s="14">
        <v>366.31</v>
      </c>
      <c r="C185" s="14">
        <v>197.56</v>
      </c>
      <c r="D185" s="15">
        <v>4355.452448072</v>
      </c>
      <c r="E185" s="13">
        <f>B185/C185</f>
        <v>1.8541708847944929</v>
      </c>
      <c r="F185" s="14">
        <f>B185-C185</f>
        <v>168.75</v>
      </c>
    </row>
    <row r="186">
      <c r="A186" s="6" t="s">
        <v>498</v>
      </c>
      <c r="B186" s="14">
        <v>366</v>
      </c>
      <c r="C186" s="14">
        <v>202.16</v>
      </c>
      <c r="D186" s="15">
        <v>4456.865088592</v>
      </c>
      <c r="E186" s="13">
        <f>B186/C186</f>
        <v>1.8104471705579739</v>
      </c>
      <c r="F186" s="14">
        <f>B186-C186</f>
        <v>163.84</v>
      </c>
    </row>
    <row r="187">
      <c r="A187" s="6" t="s">
        <v>499</v>
      </c>
      <c r="B187" s="14">
        <v>373.57</v>
      </c>
      <c r="C187" s="14">
        <v>202.33</v>
      </c>
      <c r="D187" s="15">
        <v>4460.612947046</v>
      </c>
      <c r="E187" s="13">
        <f>B187/C187</f>
        <v>1.846340137399298</v>
      </c>
      <c r="F187" s="14">
        <f>B187-C187</f>
        <v>171.23999999999998</v>
      </c>
    </row>
    <row r="188">
      <c r="A188" s="6" t="s">
        <v>500</v>
      </c>
      <c r="B188" s="14">
        <v>347.71</v>
      </c>
      <c r="C188" s="14">
        <v>178.87</v>
      </c>
      <c r="D188" s="15">
        <v>3943.408480394</v>
      </c>
      <c r="E188" s="13">
        <f>B188/C188</f>
        <v>1.9439257561357408</v>
      </c>
      <c r="F188" s="14">
        <f>B188-C188</f>
        <v>168.83999999999997</v>
      </c>
    </row>
    <row r="189">
      <c r="A189" s="6" t="s">
        <v>501</v>
      </c>
      <c r="B189" s="14">
        <v>334.99</v>
      </c>
      <c r="C189" s="14">
        <v>180.23</v>
      </c>
      <c r="D189" s="15">
        <v>3973.391348026</v>
      </c>
      <c r="E189" s="13">
        <f>B189/C189</f>
        <v>1.8586805748210622</v>
      </c>
      <c r="F189" s="14">
        <f>B189-C189</f>
        <v>154.76000000000002</v>
      </c>
    </row>
    <row r="190">
      <c r="A190" s="6" t="s">
        <v>502</v>
      </c>
      <c r="B190" s="14">
        <v>288.76</v>
      </c>
      <c r="C190" s="14">
        <v>166.06</v>
      </c>
      <c r="D190" s="15">
        <v>3660.996322772</v>
      </c>
      <c r="E190" s="13">
        <f>B190/C190</f>
        <v>1.7388895579910875</v>
      </c>
      <c r="F190" s="14">
        <f>B190-C190</f>
        <v>122.69999999999999</v>
      </c>
    </row>
    <row r="191">
      <c r="A191" s="6" t="s">
        <v>503</v>
      </c>
      <c r="B191" s="14">
        <v>290.18</v>
      </c>
      <c r="C191" s="14">
        <v>161.91</v>
      </c>
      <c r="D191" s="15">
        <v>3569.504484042</v>
      </c>
      <c r="E191" s="13">
        <f>B191/C191</f>
        <v>1.7922302513742203</v>
      </c>
      <c r="F191" s="14">
        <f>B191-C191</f>
        <v>128.27</v>
      </c>
    </row>
    <row r="192">
      <c r="A192" s="6" t="s">
        <v>504</v>
      </c>
      <c r="B192" s="14">
        <v>284.63</v>
      </c>
      <c r="C192" s="14">
        <v>150.65</v>
      </c>
      <c r="D192" s="15">
        <v>3321.26397703</v>
      </c>
      <c r="E192" s="13">
        <f>B192/C192</f>
        <v>1.8893461666113507</v>
      </c>
      <c r="F192" s="14">
        <f>B192-C192</f>
        <v>133.98</v>
      </c>
    </row>
    <row r="193">
      <c r="A193" s="6" t="s">
        <v>505</v>
      </c>
      <c r="B193" s="14">
        <v>268.18</v>
      </c>
      <c r="C193" s="14">
        <v>151.79</v>
      </c>
      <c r="D193" s="15">
        <v>3346.3966748979997</v>
      </c>
      <c r="E193" s="13">
        <f>B193/C193</f>
        <v>1.7667830555372555</v>
      </c>
      <c r="F193" s="14">
        <f>B193-C193</f>
        <v>116.39000000000001</v>
      </c>
    </row>
    <row r="194">
      <c r="A194" s="6" t="s">
        <v>506</v>
      </c>
      <c r="B194" s="14">
        <v>256.75</v>
      </c>
      <c r="C194" s="14">
        <v>155.9</v>
      </c>
      <c r="D194" s="15">
        <v>3437.0066645800002</v>
      </c>
      <c r="E194" s="13">
        <f>B194/C194</f>
        <v>1.646889031430404</v>
      </c>
      <c r="F194" s="14">
        <f>B194-C194</f>
        <v>100.85</v>
      </c>
    </row>
    <row r="195">
      <c r="A195" s="6" t="s">
        <v>507</v>
      </c>
      <c r="B195" s="14">
        <v>310.34</v>
      </c>
      <c r="C195" s="14">
        <v>172.73</v>
      </c>
      <c r="D195" s="15">
        <v>3808.0446515259996</v>
      </c>
      <c r="E195" s="13">
        <f>B195/C195</f>
        <v>1.7966768945753488</v>
      </c>
      <c r="F195" s="14">
        <f>B195-C195</f>
        <v>137.60999999999999</v>
      </c>
    </row>
    <row r="196">
      <c r="A196" s="6" t="s">
        <v>278</v>
      </c>
      <c r="B196" s="14">
        <v>313.2</v>
      </c>
      <c r="C196" s="14">
        <v>167.63</v>
      </c>
      <c r="D196" s="15">
        <v>3695.608897906</v>
      </c>
      <c r="E196" s="13">
        <f>B196/C196</f>
        <v>1.8684006442760843</v>
      </c>
      <c r="F196" s="14">
        <f>B196-C196</f>
        <v>145.57</v>
      </c>
    </row>
  </sheetData>
  <pageMargins left="0.5" right="0.5" top="0.75" bottom="0.75" header="0.3" footer="0.3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3D7A55"/>
  </sheetPr>
  <dimension ref="A1:L123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2.75"/>
  <cols>
    <col min="1" max="1" width="11" customWidth="1"/>
    <col min="2" max="2" width="10" customWidth="1"/>
    <col min="3" max="3" width="10" customWidth="1"/>
    <col min="4" max="4" width="10" customWidth="1"/>
    <col min="5" max="5" width="11" customWidth="1"/>
    <col min="6" max="6" width="11" customWidth="1"/>
    <col min="7" max="7" width="3" customWidth="1"/>
    <col min="8" max="8" width="52" customWidth="1"/>
    <col min="9" max="9" width="14" customWidth="1"/>
    <col min="10" max="10" width="16" customWidth="1"/>
    <col min="11" max="11" width="18" customWidth="1"/>
    <col min="12" max="12" width="16" customWidth="1"/>
  </cols>
  <sheetData>
    <row r="1">
      <c r="A1" s="1" t="s">
        <v>508</v>
      </c>
    </row>
    <row r="2">
      <c r="A2" s="2" t="s">
        <v>509</v>
      </c>
    </row>
    <row r="4" ht="40" customHeight="1">
      <c r="A4" s="3" t="s">
        <v>510</v>
      </c>
      <c r="B4" s="3" t="s">
        <v>44</v>
      </c>
      <c r="C4" s="3" t="s">
        <v>264</v>
      </c>
      <c r="D4" s="3" t="s">
        <v>263</v>
      </c>
      <c r="E4" s="3" t="s">
        <v>511</v>
      </c>
      <c r="F4" s="3" t="s">
        <v>512</v>
      </c>
      <c r="H4" s="16" t="s">
        <v>513</v>
      </c>
      <c r="I4" s="16"/>
      <c r="J4" s="16"/>
      <c r="K4" s="16"/>
    </row>
    <row r="5">
      <c r="A5" s="6" t="s">
        <v>514</v>
      </c>
      <c r="B5" s="14">
        <v>161.05</v>
      </c>
      <c r="C5" s="15">
        <v>1615</v>
      </c>
      <c r="D5" s="14">
        <f>C5/22.0462262</f>
        <v>73.2551678164311</v>
      </c>
      <c r="E5" s="18"/>
      <c r="F5" s="18"/>
      <c r="H5" s="4" t="s">
        <v>515</v>
      </c>
      <c r="I5" s="4" t="s">
        <v>516</v>
      </c>
      <c r="J5" s="4" t="s">
        <v>155</v>
      </c>
      <c r="K5" s="4" t="s">
        <v>517</v>
      </c>
      <c r="L5" s="4" t="s">
        <v>518</v>
      </c>
    </row>
    <row r="6">
      <c r="A6" s="6" t="s">
        <v>519</v>
      </c>
      <c r="B6" s="14">
        <v>161.15</v>
      </c>
      <c r="C6" s="15">
        <v>1627</v>
      </c>
      <c r="D6" s="14">
        <f>C6/22.0462262</f>
        <v>73.79947866088754</v>
      </c>
      <c r="E6" s="18">
        <f>LN(B6/B5)</f>
        <v>0.0006207324842388986</v>
      </c>
      <c r="F6" s="18">
        <f>LN(C6/C5)</f>
        <v>0.007402871562280881</v>
      </c>
      <c r="H6" s="4" t="s">
        <v>520</v>
      </c>
      <c r="I6" s="12">
        <v>-0.048015500061449945</v>
      </c>
      <c r="J6" s="13">
        <v>0.09273004124465112</v>
      </c>
      <c r="K6" s="12">
        <v>-0.01133841859050595</v>
      </c>
      <c r="L6" s="12">
        <v>-0.036245733001228526</v>
      </c>
    </row>
    <row r="7">
      <c r="A7" s="6" t="s">
        <v>521</v>
      </c>
      <c r="B7" s="14">
        <v>157.6</v>
      </c>
      <c r="C7" s="15">
        <v>1616</v>
      </c>
      <c r="D7" s="14">
        <f>C7/22.0462262</f>
        <v>73.30052705346914</v>
      </c>
      <c r="E7" s="18">
        <f>LN(B7/B6)</f>
        <v>-0.022275430837668173</v>
      </c>
      <c r="F7" s="18">
        <f>LN(C7/C6)</f>
        <v>-0.006783868137997072</v>
      </c>
      <c r="H7" s="4" t="s">
        <v>522</v>
      </c>
      <c r="I7" s="12">
        <v>0.00033838983157555557</v>
      </c>
      <c r="J7" s="13">
        <v>0.9905484312701831</v>
      </c>
      <c r="K7" s="12">
        <v>0.017635628636958497</v>
      </c>
      <c r="L7" s="12">
        <v>0.003453558284175929</v>
      </c>
    </row>
    <row r="8">
      <c r="A8" s="6" t="s">
        <v>523</v>
      </c>
      <c r="B8" s="14">
        <v>161.65</v>
      </c>
      <c r="C8" s="15">
        <v>1638</v>
      </c>
      <c r="D8" s="14">
        <f>C8/22.0462262</f>
        <v>74.29843026830596</v>
      </c>
      <c r="E8" s="18">
        <f>LN(B8/B7)</f>
        <v>0.02537332674766331</v>
      </c>
      <c r="F8" s="18">
        <f>LN(C8/C7)</f>
        <v>0.013522025331973947</v>
      </c>
      <c r="H8" s="4" t="s">
        <v>524</v>
      </c>
      <c r="I8" s="12">
        <v>-0.009759776479668535</v>
      </c>
      <c r="J8" s="13">
        <v>0.7324943309266969</v>
      </c>
      <c r="K8" s="12">
        <v>0.010938340247605653</v>
      </c>
      <c r="L8" s="12">
        <v>0.0021636638565784</v>
      </c>
    </row>
    <row r="9">
      <c r="A9" s="6" t="s">
        <v>525</v>
      </c>
      <c r="B9" s="14">
        <v>160.15</v>
      </c>
      <c r="C9" s="15">
        <v>1651</v>
      </c>
      <c r="D9" s="14">
        <f>C9/22.0462262</f>
        <v>74.88810034980045</v>
      </c>
      <c r="E9" s="18">
        <f>LN(B9/B8)</f>
        <v>-0.009322628116274967</v>
      </c>
      <c r="F9" s="18">
        <f>LN(C9/C8)</f>
        <v>0.007905179507113247</v>
      </c>
      <c r="H9" s="4" t="s">
        <v>526</v>
      </c>
      <c r="I9" s="12">
        <v>0.07622090094473723</v>
      </c>
      <c r="J9" s="13">
        <v>0.007487570749189117</v>
      </c>
      <c r="K9" s="12">
        <v>0.07344688369990378</v>
      </c>
      <c r="L9" s="12">
        <v>0.07223508329983978</v>
      </c>
    </row>
    <row r="10">
      <c r="A10" s="6" t="s">
        <v>527</v>
      </c>
      <c r="B10" s="14">
        <v>157.7</v>
      </c>
      <c r="C10" s="15">
        <v>1621</v>
      </c>
      <c r="D10" s="14">
        <f>C10/22.0462262</f>
        <v>73.52732323865932</v>
      </c>
      <c r="E10" s="18">
        <f>LN(B10/B9)</f>
        <v>-0.015416382086174614</v>
      </c>
      <c r="F10" s="18">
        <f>LN(C10/C9)</f>
        <v>-0.018337922184451908</v>
      </c>
      <c r="H10" s="4" t="s">
        <v>528</v>
      </c>
      <c r="I10" s="12">
        <v>-0.029391808081429955</v>
      </c>
      <c r="J10" s="13">
        <v>0.3028201734569339</v>
      </c>
      <c r="K10" s="12">
        <v>-0.0398999802085578</v>
      </c>
      <c r="L10" s="12">
        <v>-0.04505940112245934</v>
      </c>
    </row>
    <row r="11">
      <c r="A11" s="6" t="s">
        <v>529</v>
      </c>
      <c r="B11" s="14">
        <v>157.2</v>
      </c>
      <c r="C11" s="15">
        <v>1608</v>
      </c>
      <c r="D11" s="14">
        <f>C11/22.0462262</f>
        <v>72.93765315716483</v>
      </c>
      <c r="E11" s="18">
        <f>LN(B11/B10)</f>
        <v>-0.003175613973886551</v>
      </c>
      <c r="F11" s="18">
        <f>LN(C11/C10)</f>
        <v>-0.008052071996764415</v>
      </c>
      <c r="H11" s="4" t="s">
        <v>530</v>
      </c>
      <c r="I11" s="12">
        <v>0.6695612817211108</v>
      </c>
      <c r="J11" s="13">
        <v>4.69950044170225e-161</v>
      </c>
      <c r="K11" s="12">
        <v>0.650212097727993</v>
      </c>
      <c r="L11" s="12">
        <v>0.6770465943210411</v>
      </c>
    </row>
    <row r="12">
      <c r="A12" s="6" t="s">
        <v>531</v>
      </c>
      <c r="B12" s="14">
        <v>158.7</v>
      </c>
      <c r="C12" s="15">
        <v>1611</v>
      </c>
      <c r="D12" s="14">
        <f>C12/22.0462262</f>
        <v>73.07373086827894</v>
      </c>
      <c r="E12" s="18">
        <f>LN(B12/B11)</f>
        <v>0.009496747537257207</v>
      </c>
      <c r="F12" s="18">
        <f>LN(C12/C11)</f>
        <v>0.0018639334380627327</v>
      </c>
      <c r="H12" s="4" t="s">
        <v>532</v>
      </c>
      <c r="I12" s="12">
        <v>-0.03329460063016226</v>
      </c>
      <c r="J12" s="13">
        <v>0.2430899507838723</v>
      </c>
      <c r="K12" s="12">
        <v>-0.050941348679905275</v>
      </c>
      <c r="L12" s="12">
        <v>-0.07311544806378809</v>
      </c>
    </row>
    <row r="13">
      <c r="A13" s="6" t="s">
        <v>533</v>
      </c>
      <c r="B13" s="14">
        <v>157.45</v>
      </c>
      <c r="C13" s="15">
        <v>1619</v>
      </c>
      <c r="D13" s="14">
        <f>C13/22.0462262</f>
        <v>73.43660476458325</v>
      </c>
      <c r="E13" s="18">
        <f>LN(B13/B12)</f>
        <v>-0.007907679985329737</v>
      </c>
      <c r="F13" s="18">
        <f>LN(C13/C12)</f>
        <v>0.004953570500660746</v>
      </c>
      <c r="H13" s="4" t="s">
        <v>534</v>
      </c>
      <c r="I13" s="12">
        <v>0.09590336504915117</v>
      </c>
      <c r="J13" s="13">
        <v>0.0007576875241812551</v>
      </c>
      <c r="K13" s="12">
        <v>0.08195682126658856</v>
      </c>
      <c r="L13" s="12">
        <v>0.06905294537139194</v>
      </c>
    </row>
    <row r="14">
      <c r="A14" s="6" t="s">
        <v>535</v>
      </c>
      <c r="B14" s="14">
        <v>154.1</v>
      </c>
      <c r="C14" s="15">
        <v>1596</v>
      </c>
      <c r="D14" s="14">
        <f>C14/22.0462262</f>
        <v>72.39334231270838</v>
      </c>
      <c r="E14" s="18">
        <f>LN(B14/B13)</f>
        <v>-0.021506205220963505</v>
      </c>
      <c r="F14" s="18">
        <f>LN(C14/C13)</f>
        <v>-0.014308175667881045</v>
      </c>
      <c r="H14" s="4" t="s">
        <v>536</v>
      </c>
      <c r="I14" s="12">
        <v>-0.03612612060314387</v>
      </c>
      <c r="J14" s="13">
        <v>0.20565586533177072</v>
      </c>
      <c r="K14" s="12">
        <v>-0.009803347485568275</v>
      </c>
      <c r="L14" s="12">
        <v>-0.029731679834000234</v>
      </c>
    </row>
    <row r="15">
      <c r="A15" s="6" t="s">
        <v>537</v>
      </c>
      <c r="B15" s="14">
        <v>151.2</v>
      </c>
      <c r="C15" s="15">
        <v>1600</v>
      </c>
      <c r="D15" s="14">
        <f>C15/22.0462262</f>
        <v>72.57477926086052</v>
      </c>
      <c r="E15" s="18">
        <f>LN(B15/B14)</f>
        <v>-0.018998278580637518</v>
      </c>
      <c r="F15" s="18">
        <f>LN(C15/C14)</f>
        <v>0.0025031302181184748</v>
      </c>
      <c r="H15" s="4" t="s">
        <v>538</v>
      </c>
      <c r="I15" s="12">
        <v>0.014857561381731306</v>
      </c>
      <c r="J15" s="13">
        <v>0.6029593842079732</v>
      </c>
      <c r="K15" s="12">
        <v>0.016808998073497654</v>
      </c>
      <c r="L15" s="12">
        <v>0.005961901807222858</v>
      </c>
    </row>
    <row r="16">
      <c r="A16" s="6" t="s">
        <v>539</v>
      </c>
      <c r="B16" s="14">
        <v>153.35</v>
      </c>
      <c r="C16" s="15">
        <v>1629</v>
      </c>
      <c r="D16" s="14">
        <f>C16/22.0462262</f>
        <v>73.89019713496363</v>
      </c>
      <c r="E16" s="18">
        <f>LN(B16/B15)</f>
        <v>0.01411942681482794</v>
      </c>
      <c r="F16" s="18">
        <f>LN(C16/C15)</f>
        <v>0.017962700374172472</v>
      </c>
      <c r="H16" s="4" t="s">
        <v>540</v>
      </c>
      <c r="I16" s="12">
        <v>-0.04674709480577194</v>
      </c>
      <c r="J16" s="13">
        <v>0.10169123583327566</v>
      </c>
      <c r="K16" s="12">
        <v>-0.0005101720881889375</v>
      </c>
      <c r="L16" s="12">
        <v>-0.03572494599527155</v>
      </c>
    </row>
    <row r="17">
      <c r="A17" s="6" t="s">
        <v>541</v>
      </c>
      <c r="B17" s="14">
        <v>149.55</v>
      </c>
      <c r="C17" s="15">
        <v>1598</v>
      </c>
      <c r="D17" s="14">
        <f>C17/22.0462262</f>
        <v>72.48406078678445</v>
      </c>
      <c r="E17" s="18">
        <f>LN(B17/B16)</f>
        <v>-0.025092105484303427</v>
      </c>
      <c r="F17" s="18">
        <f>LN(C17/C16)</f>
        <v>-0.019213482275825103</v>
      </c>
      <c r="H17" s="4" t="s">
        <v>542</v>
      </c>
      <c r="I17" s="12">
        <f>CORREL(E6:E1237,F6:F1237)</f>
        <v>0.6695612817211108</v>
      </c>
    </row>
    <row r="18">
      <c r="A18" s="6" t="s">
        <v>543</v>
      </c>
      <c r="B18" s="14">
        <v>149.9</v>
      </c>
      <c r="C18" s="15">
        <v>1616</v>
      </c>
      <c r="D18" s="14">
        <f>C18/22.0462262</f>
        <v>73.30052705346914</v>
      </c>
      <c r="E18" s="18">
        <f>LN(B18/B17)</f>
        <v>0.0023376200325948937</v>
      </c>
      <c r="F18" s="18">
        <f>LN(C18/C17)</f>
        <v>0.011201112754820696</v>
      </c>
    </row>
    <row r="19">
      <c r="A19" s="6" t="s">
        <v>544</v>
      </c>
      <c r="B19" s="14">
        <v>152.35</v>
      </c>
      <c r="C19" s="15">
        <v>1617</v>
      </c>
      <c r="D19" s="14">
        <f>C19/22.0462262</f>
        <v>73.34588629050717</v>
      </c>
      <c r="E19" s="18">
        <f>LN(B19/B18)</f>
        <v>0.016212100323165897</v>
      </c>
      <c r="F19" s="18">
        <f>LN(C19/C18)</f>
        <v>0.0006186204960661022</v>
      </c>
      <c r="H19" s="16" t="s">
        <v>545</v>
      </c>
      <c r="I19" s="16"/>
      <c r="J19" s="16"/>
      <c r="K19" s="16"/>
    </row>
    <row r="20">
      <c r="A20" s="6" t="s">
        <v>546</v>
      </c>
      <c r="B20" s="14">
        <v>151.25</v>
      </c>
      <c r="C20" s="15">
        <v>1597</v>
      </c>
      <c r="D20" s="14">
        <f>C20/22.0462262</f>
        <v>72.43870154974641</v>
      </c>
      <c r="E20" s="18">
        <f>LN(B20/B19)</f>
        <v>-0.007246408520767198</v>
      </c>
      <c r="F20" s="18">
        <f>LN(C20/C19)</f>
        <v>-0.012445711362094405</v>
      </c>
      <c r="H20" s="4" t="s">
        <v>103</v>
      </c>
      <c r="I20" s="4" t="s">
        <v>547</v>
      </c>
      <c r="J20" s="4" t="s">
        <v>548</v>
      </c>
      <c r="K20" s="4" t="s">
        <v>549</v>
      </c>
    </row>
    <row r="21">
      <c r="A21" s="6" t="s">
        <v>550</v>
      </c>
      <c r="B21" s="14">
        <v>153.15</v>
      </c>
      <c r="C21" s="15">
        <v>1623</v>
      </c>
      <c r="D21" s="14">
        <f>C21/22.0462262</f>
        <v>73.6180417127354</v>
      </c>
      <c r="E21" s="18">
        <f>LN(B21/B20)</f>
        <v>0.012483736367833429</v>
      </c>
      <c r="F21" s="18">
        <f>LN(C21/C20)</f>
        <v>0.01614941929957881</v>
      </c>
      <c r="H21" s="4" t="s">
        <v>551</v>
      </c>
      <c r="I21" s="12">
        <v>0.6691148474771521</v>
      </c>
      <c r="J21" s="12">
        <v>-0.018345442488930795</v>
      </c>
      <c r="K21" s="12">
        <v>-0.011602199491034932</v>
      </c>
    </row>
    <row r="22">
      <c r="A22" s="6" t="s">
        <v>552</v>
      </c>
      <c r="B22" s="14">
        <v>152.4</v>
      </c>
      <c r="C22" s="15">
        <v>1650</v>
      </c>
      <c r="D22" s="14">
        <f>C22/22.0462262</f>
        <v>74.84274111276243</v>
      </c>
      <c r="E22" s="18">
        <f>LN(B22/B21)</f>
        <v>-0.004909190026238408</v>
      </c>
      <c r="F22" s="18">
        <f>LN(C22/C21)</f>
        <v>0.01649899938003507</v>
      </c>
      <c r="H22" s="4" t="s">
        <v>553</v>
      </c>
      <c r="I22" s="12">
        <v>0.6794270797213644</v>
      </c>
      <c r="J22" s="12">
        <v>-0.2624927358817147</v>
      </c>
      <c r="K22" s="12">
        <v>-0.3201811134209239</v>
      </c>
    </row>
    <row r="23">
      <c r="A23" s="6" t="s">
        <v>554</v>
      </c>
      <c r="B23" s="14">
        <v>157.25</v>
      </c>
      <c r="C23" s="15">
        <v>1679</v>
      </c>
      <c r="D23" s="14">
        <f>C23/22.0462262</f>
        <v>76.15815898686552</v>
      </c>
      <c r="E23" s="18">
        <f>LN(B23/B22)</f>
        <v>0.03132825232800388</v>
      </c>
      <c r="F23" s="18">
        <f>LN(C23/C22)</f>
        <v>0.01742309018291453</v>
      </c>
    </row>
    <row r="24">
      <c r="A24" s="6" t="s">
        <v>555</v>
      </c>
      <c r="B24" s="14">
        <v>162.25</v>
      </c>
      <c r="C24" s="15">
        <v>1711</v>
      </c>
      <c r="D24" s="14">
        <f>C24/22.0462262</f>
        <v>77.60965457208273</v>
      </c>
      <c r="E24" s="18">
        <f>LN(B24/B23)</f>
        <v>0.031301460003649535</v>
      </c>
      <c r="F24" s="18">
        <f>LN(C24/C23)</f>
        <v>0.018879616814652667</v>
      </c>
      <c r="H24" s="16" t="s">
        <v>556</v>
      </c>
      <c r="I24" s="16"/>
      <c r="J24" s="16"/>
      <c r="K24" s="16"/>
    </row>
    <row r="25">
      <c r="A25" s="6" t="s">
        <v>557</v>
      </c>
      <c r="B25" s="14">
        <v>159.7</v>
      </c>
      <c r="C25" s="15">
        <v>1675</v>
      </c>
      <c r="D25" s="14">
        <f>C25/22.0462262</f>
        <v>75.97672203871336</v>
      </c>
      <c r="E25" s="18">
        <f>LN(B25/B24)</f>
        <v>-0.01584130036323264</v>
      </c>
      <c r="F25" s="18">
        <f>LN(C25/C24)</f>
        <v>-0.021264829633026627</v>
      </c>
      <c r="H25" s="4" t="s">
        <v>558</v>
      </c>
      <c r="I25" s="12">
        <v>0.0055288593382676575</v>
      </c>
      <c r="J25" s="13">
        <v>0.9316710020344838</v>
      </c>
    </row>
    <row r="26">
      <c r="A26" s="6" t="s">
        <v>559</v>
      </c>
      <c r="B26" s="14">
        <v>159.35</v>
      </c>
      <c r="C26" s="15">
        <v>1705</v>
      </c>
      <c r="D26" s="14">
        <f>C26/22.0462262</f>
        <v>77.3374991498545</v>
      </c>
      <c r="E26" s="18">
        <f>LN(B26/B25)</f>
        <v>-0.002194014357621272</v>
      </c>
      <c r="F26" s="18">
        <f>LN(C26/C25)</f>
        <v>0.01775194545845032</v>
      </c>
      <c r="H26" s="4" t="s">
        <v>560</v>
      </c>
      <c r="I26" s="12">
        <v>0.11960975089296516</v>
      </c>
      <c r="J26" s="13">
        <v>0.06211523058087423</v>
      </c>
    </row>
    <row r="27">
      <c r="A27" s="6" t="s">
        <v>561</v>
      </c>
      <c r="B27" s="14">
        <v>156</v>
      </c>
      <c r="C27" s="15">
        <v>1701</v>
      </c>
      <c r="D27" s="14">
        <f>C27/22.0462262</f>
        <v>77.15606220170235</v>
      </c>
      <c r="E27" s="18">
        <f>LN(B27/B26)</f>
        <v>-0.021247033613808374</v>
      </c>
      <c r="F27" s="18">
        <f>LN(C27/C26)</f>
        <v>-0.002348797321755378</v>
      </c>
      <c r="H27" s="4" t="s">
        <v>562</v>
      </c>
      <c r="I27" s="12">
        <v>0.03905026724909306</v>
      </c>
      <c r="J27" s="13">
        <v>0.5429622765925672</v>
      </c>
    </row>
    <row r="28">
      <c r="A28" s="6" t="s">
        <v>563</v>
      </c>
      <c r="B28" s="14">
        <v>152.55</v>
      </c>
      <c r="C28" s="15">
        <v>1707</v>
      </c>
      <c r="D28" s="14">
        <f>C28/22.0462262</f>
        <v>77.42821762393058</v>
      </c>
      <c r="E28" s="18">
        <f>LN(B28/B27)</f>
        <v>-0.022363596086858315</v>
      </c>
      <c r="F28" s="18">
        <f>LN(C28/C27)</f>
        <v>0.0035211303985789606</v>
      </c>
      <c r="H28" s="4" t="s">
        <v>564</v>
      </c>
      <c r="I28" s="12">
        <v>0.6925867243910799</v>
      </c>
      <c r="J28" s="13">
        <v>1.781576221772339e-36</v>
      </c>
    </row>
    <row r="29">
      <c r="A29" s="6" t="s">
        <v>565</v>
      </c>
      <c r="B29" s="14">
        <v>147.9</v>
      </c>
      <c r="C29" s="15">
        <v>1679</v>
      </c>
      <c r="D29" s="14">
        <f>C29/22.0462262</f>
        <v>76.15815898686552</v>
      </c>
      <c r="E29" s="18">
        <f>LN(B29/B28)</f>
        <v>-0.030956041445924596</v>
      </c>
      <c r="F29" s="18">
        <f>LN(C29/C28)</f>
        <v>-0.016539065716899785</v>
      </c>
      <c r="H29" s="4" t="s">
        <v>566</v>
      </c>
      <c r="I29" s="12">
        <v>0.015141792867631369</v>
      </c>
      <c r="J29" s="13">
        <v>0.8135816587586533</v>
      </c>
    </row>
    <row r="30">
      <c r="A30" s="6" t="s">
        <v>567</v>
      </c>
      <c r="B30" s="14">
        <v>149.75</v>
      </c>
      <c r="C30" s="15">
        <v>1702</v>
      </c>
      <c r="D30" s="14">
        <f>C30/22.0462262</f>
        <v>77.20142143874038</v>
      </c>
      <c r="E30" s="18">
        <f>LN(B30/B29)</f>
        <v>0.012430867278804526</v>
      </c>
      <c r="F30" s="18">
        <f>LN(C30/C29)</f>
        <v>0.013605652055778678</v>
      </c>
      <c r="H30" s="4" t="s">
        <v>568</v>
      </c>
      <c r="I30" s="12">
        <v>-0.01526446013897201</v>
      </c>
      <c r="J30" s="13">
        <v>0.8124799815105624</v>
      </c>
    </row>
    <row r="31">
      <c r="A31" s="6" t="s">
        <v>569</v>
      </c>
      <c r="B31" s="14">
        <v>152.05</v>
      </c>
      <c r="C31" s="15">
        <v>1707</v>
      </c>
      <c r="D31" s="14">
        <f>C31/22.0462262</f>
        <v>77.42821762393058</v>
      </c>
      <c r="E31" s="18">
        <f>LN(B31/B30)</f>
        <v>0.015242177127814994</v>
      </c>
      <c r="F31" s="18">
        <f>LN(C31/C30)</f>
        <v>0.002933413661121109</v>
      </c>
      <c r="H31" s="4" t="s">
        <v>570</v>
      </c>
      <c r="I31" s="12">
        <v>-0.0426041626526811</v>
      </c>
      <c r="J31" s="13">
        <v>0.5086065788145804</v>
      </c>
    </row>
    <row r="32">
      <c r="A32" s="6" t="s">
        <v>571</v>
      </c>
      <c r="B32" s="14">
        <v>151.3</v>
      </c>
      <c r="C32" s="15">
        <v>1744</v>
      </c>
      <c r="D32" s="14">
        <f>C32/22.0462262</f>
        <v>79.10650939433798</v>
      </c>
      <c r="E32" s="18">
        <f>LN(B32/B31)</f>
        <v>-0.00494479332906342</v>
      </c>
      <c r="F32" s="18">
        <f>LN(C32/C31)</f>
        <v>0.021443881674484282</v>
      </c>
    </row>
    <row r="33">
      <c r="A33" s="6" t="s">
        <v>572</v>
      </c>
      <c r="B33" s="14">
        <v>153.85</v>
      </c>
      <c r="C33" s="15">
        <v>1744</v>
      </c>
      <c r="D33" s="14">
        <f>C33/22.0462262</f>
        <v>79.10650939433798</v>
      </c>
      <c r="E33" s="18">
        <f>LN(B33/B32)</f>
        <v>0.016713480973740532</v>
      </c>
      <c r="F33" s="18">
        <f>LN(C33/C32)</f>
        <v>0</v>
      </c>
      <c r="H33" s="16" t="s">
        <v>573</v>
      </c>
      <c r="I33" s="16"/>
      <c r="J33" s="16"/>
      <c r="K33" s="16"/>
    </row>
    <row r="34">
      <c r="A34" s="6" t="s">
        <v>574</v>
      </c>
      <c r="B34" s="14">
        <v>152.1</v>
      </c>
      <c r="C34" s="15">
        <v>1717</v>
      </c>
      <c r="D34" s="14">
        <f>C34/22.0462262</f>
        <v>77.88180999431096</v>
      </c>
      <c r="E34" s="18">
        <f>LN(B34/B33)</f>
        <v>-0.0114399025028037</v>
      </c>
      <c r="F34" s="18">
        <f>LN(C34/C33)</f>
        <v>-0.015602743571449383</v>
      </c>
      <c r="H34" s="4" t="s">
        <v>103</v>
      </c>
      <c r="I34" s="4" t="s">
        <v>575</v>
      </c>
      <c r="J34" s="4" t="s">
        <v>155</v>
      </c>
      <c r="K34" s="4" t="s">
        <v>576</v>
      </c>
    </row>
    <row r="35">
      <c r="A35" s="6" t="s">
        <v>577</v>
      </c>
      <c r="B35" s="14">
        <v>156.45</v>
      </c>
      <c r="C35" s="15">
        <v>1762</v>
      </c>
      <c r="D35" s="14">
        <f>C35/22.0462262</f>
        <v>79.92297566102266</v>
      </c>
      <c r="E35" s="18">
        <f>LN(B35/B34)</f>
        <v>0.02819827084964401</v>
      </c>
      <c r="F35" s="18">
        <f>LN(C35/C34)</f>
        <v>0.025870945598649296</v>
      </c>
      <c r="H35" s="4" t="s">
        <v>578</v>
      </c>
      <c r="I35" s="14">
        <v>9.474825976869583</v>
      </c>
      <c r="J35" s="13">
        <v>0.09155911542358619</v>
      </c>
      <c r="K35" s="13">
        <v>0.3497522923604034</v>
      </c>
    </row>
    <row r="36">
      <c r="A36" s="6" t="s">
        <v>579</v>
      </c>
      <c r="B36" s="14">
        <v>156.9</v>
      </c>
      <c r="C36" s="15">
        <v>1756</v>
      </c>
      <c r="D36" s="14">
        <f>C36/22.0462262</f>
        <v>79.65082023879442</v>
      </c>
      <c r="E36" s="18">
        <f>LN(B36/B35)</f>
        <v>0.0028721896240958074</v>
      </c>
      <c r="F36" s="18">
        <f>LN(C36/C35)</f>
        <v>-0.003411032301062821</v>
      </c>
      <c r="H36" s="4" t="s">
        <v>580</v>
      </c>
      <c r="I36" s="14">
        <v>3.919508359068299</v>
      </c>
      <c r="J36" s="13">
        <v>0.5610621110686741</v>
      </c>
      <c r="K36" s="13">
        <v>0.20966156804393254</v>
      </c>
    </row>
    <row r="37">
      <c r="A37" s="6" t="s">
        <v>581</v>
      </c>
      <c r="B37" s="14">
        <v>161.2</v>
      </c>
      <c r="C37" s="15">
        <v>1767</v>
      </c>
      <c r="D37" s="14">
        <f>C37/22.0462262</f>
        <v>80.14977184621284</v>
      </c>
      <c r="E37" s="18">
        <f>LN(B37/B36)</f>
        <v>0.02703717033354099</v>
      </c>
      <c r="F37" s="18">
        <f>LN(C37/C36)</f>
        <v>0.006244698124634339</v>
      </c>
    </row>
    <row r="38">
      <c r="A38" s="6" t="s">
        <v>582</v>
      </c>
      <c r="B38" s="14">
        <v>155.25</v>
      </c>
      <c r="C38" s="15">
        <v>1732</v>
      </c>
      <c r="D38" s="14">
        <f>C38/22.0462262</f>
        <v>78.56219854988153</v>
      </c>
      <c r="E38" s="18">
        <f>LN(B38/B37)</f>
        <v>-0.037609109258939656</v>
      </c>
      <c r="F38" s="18">
        <f>LN(C38/C37)</f>
        <v>-0.020006383197315895</v>
      </c>
      <c r="H38" s="16" t="s">
        <v>583</v>
      </c>
      <c r="I38" s="16"/>
      <c r="J38" s="16"/>
      <c r="K38" s="16"/>
    </row>
    <row r="39">
      <c r="A39" s="6" t="s">
        <v>584</v>
      </c>
      <c r="B39" s="14">
        <v>165.65</v>
      </c>
      <c r="C39" s="15">
        <v>1761</v>
      </c>
      <c r="D39" s="14">
        <f>C39/22.0462262</f>
        <v>79.87761642398462</v>
      </c>
      <c r="E39" s="18">
        <f>LN(B39/B38)</f>
        <v>0.06484040793231667</v>
      </c>
      <c r="F39" s="18">
        <f>LN(C39/C38)</f>
        <v>0.016605019373825743</v>
      </c>
      <c r="H39" s="4" t="s">
        <v>103</v>
      </c>
      <c r="I39" s="4" t="s">
        <v>585</v>
      </c>
      <c r="J39" s="4" t="s">
        <v>586</v>
      </c>
      <c r="K39" s="4" t="s">
        <v>587</v>
      </c>
    </row>
    <row r="40">
      <c r="A40" s="6" t="s">
        <v>588</v>
      </c>
      <c r="B40" s="14">
        <v>176</v>
      </c>
      <c r="C40" s="15">
        <v>1779</v>
      </c>
      <c r="D40" s="14">
        <f>C40/22.0462262</f>
        <v>80.6940826906693</v>
      </c>
      <c r="E40" s="18">
        <f>LN(B40/B39)</f>
        <v>0.06060686629224696</v>
      </c>
      <c r="F40" s="18">
        <f>LN(C40/C39)</f>
        <v>0.010169579169629012</v>
      </c>
      <c r="H40" s="4" t="s">
        <v>589</v>
      </c>
      <c r="I40" s="18">
        <v>0.029016910620767142</v>
      </c>
      <c r="J40" s="18">
        <v>-0.0031488298263994117</v>
      </c>
      <c r="K40" s="18">
        <v>0.0014511972569862645</v>
      </c>
    </row>
    <row r="41">
      <c r="A41" s="6" t="s">
        <v>590</v>
      </c>
      <c r="B41" s="14">
        <v>193.65</v>
      </c>
      <c r="C41" s="15">
        <v>1889</v>
      </c>
      <c r="D41" s="14">
        <f>C41/22.0462262</f>
        <v>85.68359876485346</v>
      </c>
      <c r="E41" s="18">
        <f>LN(B41/B40)</f>
        <v>0.09556841092260947</v>
      </c>
      <c r="F41" s="18">
        <f>LN(C41/C40)</f>
        <v>0.05999617983567443</v>
      </c>
      <c r="H41" s="4" t="s">
        <v>591</v>
      </c>
      <c r="I41" s="18">
        <v>0.027564211865967952</v>
      </c>
      <c r="J41" s="18">
        <v>-0.0031644461581495807</v>
      </c>
      <c r="K41" s="18">
        <v>-0.0036484426571715724</v>
      </c>
    </row>
    <row r="42">
      <c r="A42" s="6" t="s">
        <v>592</v>
      </c>
      <c r="B42" s="14">
        <v>189</v>
      </c>
      <c r="C42" s="15">
        <v>1899</v>
      </c>
      <c r="D42" s="14">
        <f>C42/22.0462262</f>
        <v>86.13719113523383</v>
      </c>
      <c r="E42" s="18">
        <f>LN(B42/B41)</f>
        <v>-0.02430539090111886</v>
      </c>
      <c r="F42" s="18">
        <f>LN(C42/C41)</f>
        <v>0.005279843310776356</v>
      </c>
    </row>
    <row r="43">
      <c r="A43" s="6" t="s">
        <v>593</v>
      </c>
      <c r="B43" s="14">
        <v>207.8</v>
      </c>
      <c r="C43" s="15">
        <v>1964</v>
      </c>
      <c r="D43" s="14">
        <f>C43/22.0462262</f>
        <v>89.0855415427063</v>
      </c>
      <c r="E43" s="18">
        <f>LN(B43/B42)</f>
        <v>0.09482906360548465</v>
      </c>
      <c r="F43" s="18">
        <f>LN(C43/C42)</f>
        <v>0.03365577810212529</v>
      </c>
      <c r="H43" s="16" t="s">
        <v>594</v>
      </c>
      <c r="I43" s="16"/>
      <c r="J43" s="16"/>
      <c r="K43" s="16"/>
    </row>
    <row r="44">
      <c r="A44" s="6" t="s">
        <v>595</v>
      </c>
      <c r="B44" s="14">
        <v>201.75</v>
      </c>
      <c r="C44" s="15">
        <v>1940</v>
      </c>
      <c r="D44" s="14">
        <f>C44/22.0462262</f>
        <v>87.99691985379339</v>
      </c>
      <c r="E44" s="18">
        <f>LN(B44/B43)</f>
        <v>-0.029546771515068928</v>
      </c>
      <c r="F44" s="18">
        <f>LN(C44/C43)</f>
        <v>-0.012295236857037354</v>
      </c>
      <c r="H44" s="4" t="s">
        <v>596</v>
      </c>
      <c r="I44" s="12">
        <v>-0.19863095433246966</v>
      </c>
    </row>
    <row r="45">
      <c r="A45" s="6" t="s">
        <v>597</v>
      </c>
      <c r="B45" s="14">
        <v>200.45</v>
      </c>
      <c r="C45" s="15">
        <v>1943</v>
      </c>
      <c r="D45" s="14">
        <f>C45/22.0462262</f>
        <v>88.1329975649075</v>
      </c>
      <c r="E45" s="18">
        <f>LN(B45/B44)</f>
        <v>-0.006464468061542319</v>
      </c>
      <c r="F45" s="18">
        <f>LN(C45/C44)</f>
        <v>0.001545197320066266</v>
      </c>
      <c r="H45" s="4" t="s">
        <v>598</v>
      </c>
      <c r="I45" s="12">
        <v>-0.2307030984378768</v>
      </c>
    </row>
    <row r="46">
      <c r="A46" s="6" t="s">
        <v>599</v>
      </c>
      <c r="B46" s="14">
        <v>196.5</v>
      </c>
      <c r="C46" s="15">
        <v>1900</v>
      </c>
      <c r="D46" s="14">
        <f>C46/22.0462262</f>
        <v>86.18255037227188</v>
      </c>
      <c r="E46" s="18">
        <f>LN(B46/B45)</f>
        <v>-0.019902407779199945</v>
      </c>
      <c r="F46" s="18">
        <f>LN(C46/C45)</f>
        <v>-0.022379284222908302</v>
      </c>
      <c r="H46" s="4" t="s">
        <v>298</v>
      </c>
      <c r="I46" s="12">
        <v>0.7276073479992313</v>
      </c>
    </row>
    <row r="47">
      <c r="A47" s="6" t="s">
        <v>600</v>
      </c>
      <c r="B47" s="14">
        <v>179.55</v>
      </c>
      <c r="C47" s="15">
        <v>1801</v>
      </c>
      <c r="D47" s="14">
        <f>C47/22.0462262</f>
        <v>81.69198590550613</v>
      </c>
      <c r="E47" s="18">
        <f>LN(B47/B46)</f>
        <v>-0.09020871063722398</v>
      </c>
      <c r="F47" s="18">
        <f>LN(C47/C46)</f>
        <v>-0.05351181997857578</v>
      </c>
      <c r="H47" s="4" t="s">
        <v>601</v>
      </c>
      <c r="I47" s="12">
        <v>0.7149295209640009</v>
      </c>
    </row>
    <row r="48">
      <c r="A48" s="6" t="s">
        <v>602</v>
      </c>
      <c r="B48" s="14">
        <v>172.8</v>
      </c>
      <c r="C48" s="15">
        <v>1766</v>
      </c>
      <c r="D48" s="14">
        <f>C48/22.0462262</f>
        <v>80.10441260917482</v>
      </c>
      <c r="E48" s="18">
        <f>LN(B48/B47)</f>
        <v>-0.03831886430213654</v>
      </c>
      <c r="F48" s="18">
        <f>LN(C48/C47)</f>
        <v>-0.019624964012050737</v>
      </c>
    </row>
    <row r="49">
      <c r="A49" s="6" t="s">
        <v>603</v>
      </c>
      <c r="B49" s="14">
        <v>174.85</v>
      </c>
      <c r="C49" s="15">
        <v>1787</v>
      </c>
      <c r="D49" s="14">
        <f>C49/22.0462262</f>
        <v>81.0569565869736</v>
      </c>
      <c r="E49" s="18">
        <f>LN(B49/B48)</f>
        <v>0.011793607139429497</v>
      </c>
      <c r="F49" s="18">
        <f>LN(C49/C48)</f>
        <v>0.011821133995522762</v>
      </c>
      <c r="H49" s="2" t="s">
        <v>604</v>
      </c>
    </row>
    <row r="50">
      <c r="A50" s="6" t="s">
        <v>605</v>
      </c>
      <c r="B50" s="14">
        <v>175.65</v>
      </c>
      <c r="C50" s="15">
        <v>1787</v>
      </c>
      <c r="D50" s="14">
        <f>C50/22.0462262</f>
        <v>81.0569565869736</v>
      </c>
      <c r="E50" s="18">
        <f>LN(B50/B49)</f>
        <v>0.00456491520245129</v>
      </c>
      <c r="F50" s="18">
        <f>LN(C50/C49)</f>
        <v>0</v>
      </c>
    </row>
    <row r="51">
      <c r="A51" s="6" t="s">
        <v>606</v>
      </c>
      <c r="B51" s="14">
        <v>176.9</v>
      </c>
      <c r="C51" s="15">
        <v>1782</v>
      </c>
      <c r="D51" s="14">
        <f>C51/22.0462262</f>
        <v>80.83016040178342</v>
      </c>
      <c r="E51" s="18">
        <f>LN(B51/B50)</f>
        <v>0.007091222453903453</v>
      </c>
      <c r="F51" s="18">
        <f>LN(C51/C50)</f>
        <v>-0.002801907128673368</v>
      </c>
    </row>
    <row r="52">
      <c r="A52" s="6" t="s">
        <v>607</v>
      </c>
      <c r="B52" s="14">
        <v>176</v>
      </c>
      <c r="C52" s="15">
        <v>1754</v>
      </c>
      <c r="D52" s="14">
        <f>C52/22.0462262</f>
        <v>79.56010176471835</v>
      </c>
      <c r="E52" s="18">
        <f>LN(B52/B51)</f>
        <v>-0.005100606127587797</v>
      </c>
      <c r="F52" s="18">
        <f>LN(C52/C51)</f>
        <v>-0.01583743509862631</v>
      </c>
    </row>
    <row r="53">
      <c r="A53" s="6" t="s">
        <v>608</v>
      </c>
      <c r="B53" s="14">
        <v>179.35</v>
      </c>
      <c r="C53" s="15">
        <v>1797</v>
      </c>
      <c r="D53" s="14">
        <f>C53/22.0462262</f>
        <v>81.51054895735398</v>
      </c>
      <c r="E53" s="18">
        <f>LN(B53/B52)</f>
        <v>0.018855208940139808</v>
      </c>
      <c r="F53" s="18">
        <f>LN(C53/C52)</f>
        <v>0.02421971385143061</v>
      </c>
    </row>
    <row r="54">
      <c r="A54" s="6" t="s">
        <v>609</v>
      </c>
      <c r="B54" s="14">
        <v>182</v>
      </c>
      <c r="C54" s="15">
        <v>1863</v>
      </c>
      <c r="D54" s="14">
        <f>C54/22.0462262</f>
        <v>84.50425860186448</v>
      </c>
      <c r="E54" s="18">
        <f>LN(B54/B53)</f>
        <v>0.01466748309850386</v>
      </c>
      <c r="F54" s="18">
        <f>LN(C54/C53)</f>
        <v>0.03606948381802949</v>
      </c>
    </row>
    <row r="55">
      <c r="A55" s="6" t="s">
        <v>610</v>
      </c>
      <c r="B55" s="14">
        <v>183.85</v>
      </c>
      <c r="C55" s="15">
        <v>1864</v>
      </c>
      <c r="D55" s="14">
        <f>C55/22.0462262</f>
        <v>84.54961783890252</v>
      </c>
      <c r="E55" s="18">
        <f>LN(B55/B54)</f>
        <v>0.010113520670485626</v>
      </c>
      <c r="F55" s="18">
        <f>LN(C55/C54)</f>
        <v>0.0005366246439480395</v>
      </c>
    </row>
    <row r="56">
      <c r="A56" s="6" t="s">
        <v>611</v>
      </c>
      <c r="B56" s="14">
        <v>186.55</v>
      </c>
      <c r="C56" s="15">
        <v>1854</v>
      </c>
      <c r="D56" s="14">
        <f>C56/22.0462262</f>
        <v>84.09602546852214</v>
      </c>
      <c r="E56" s="18">
        <f>LN(B56/B55)</f>
        <v>0.014579091919885994</v>
      </c>
      <c r="F56" s="18">
        <f>LN(C56/C55)</f>
        <v>-0.005379249119736084</v>
      </c>
    </row>
    <row r="57">
      <c r="A57" s="6" t="s">
        <v>612</v>
      </c>
      <c r="B57" s="14">
        <v>182.75</v>
      </c>
      <c r="C57" s="15">
        <v>1836</v>
      </c>
      <c r="D57" s="14">
        <f>C57/22.0462262</f>
        <v>83.27955920183746</v>
      </c>
      <c r="E57" s="18">
        <f>LN(B57/B56)</f>
        <v>-0.020580201037279082</v>
      </c>
      <c r="F57" s="18">
        <f>LN(C57/C56)</f>
        <v>-0.009756174945364685</v>
      </c>
    </row>
    <row r="58">
      <c r="A58" s="6" t="s">
        <v>613</v>
      </c>
      <c r="B58" s="14">
        <v>183.2</v>
      </c>
      <c r="C58" s="15">
        <v>1853</v>
      </c>
      <c r="D58" s="14">
        <f>C58/22.0462262</f>
        <v>84.0506662314841</v>
      </c>
      <c r="E58" s="18">
        <f>LN(B58/B57)</f>
        <v>0.002459353610141994</v>
      </c>
      <c r="F58" s="18">
        <f>LN(C58/C57)</f>
        <v>0.009216655104924048</v>
      </c>
    </row>
    <row r="59">
      <c r="A59" s="6" t="s">
        <v>614</v>
      </c>
      <c r="B59" s="14">
        <v>178.95</v>
      </c>
      <c r="C59" s="15">
        <v>1845</v>
      </c>
      <c r="D59" s="14">
        <f>C59/22.0462262</f>
        <v>83.6877923351798</v>
      </c>
      <c r="E59" s="18">
        <f>LN(B59/B58)</f>
        <v>-0.0234720150279951</v>
      </c>
      <c r="F59" s="18">
        <f>LN(C59/C58)</f>
        <v>-0.004326669810732167</v>
      </c>
    </row>
    <row r="60">
      <c r="A60" s="6" t="s">
        <v>615</v>
      </c>
      <c r="B60" s="14">
        <v>179.7</v>
      </c>
      <c r="C60" s="15">
        <v>1877</v>
      </c>
      <c r="D60" s="14">
        <f>C60/22.0462262</f>
        <v>85.13928792039701</v>
      </c>
      <c r="E60" s="18">
        <f>LN(B60/B59)</f>
        <v>0.0041823565774785736</v>
      </c>
      <c r="F60" s="18">
        <f>LN(C60/C59)</f>
        <v>0.017195480111881177</v>
      </c>
    </row>
    <row r="61">
      <c r="A61" s="6" t="s">
        <v>616</v>
      </c>
      <c r="B61" s="14">
        <v>178.2</v>
      </c>
      <c r="C61" s="15">
        <v>1863</v>
      </c>
      <c r="D61" s="14">
        <f>C61/22.0462262</f>
        <v>84.50425860186448</v>
      </c>
      <c r="E61" s="18">
        <f>LN(B61/B60)</f>
        <v>-0.008382278752804388</v>
      </c>
      <c r="F61" s="18">
        <f>LN(C61/C60)</f>
        <v>-0.0074866659849203545</v>
      </c>
    </row>
    <row r="62">
      <c r="A62" s="6" t="s">
        <v>617</v>
      </c>
      <c r="B62" s="14">
        <v>178.25</v>
      </c>
      <c r="C62" s="15">
        <v>1882</v>
      </c>
      <c r="D62" s="14">
        <f>C62/22.0462262</f>
        <v>85.36608410558719</v>
      </c>
      <c r="E62" s="18">
        <f>LN(B62/B61)</f>
        <v>0.00028054425769646484</v>
      </c>
      <c r="F62" s="18">
        <f>LN(C62/C61)</f>
        <v>0.010146949543736532</v>
      </c>
    </row>
    <row r="63">
      <c r="A63" s="6" t="s">
        <v>618</v>
      </c>
      <c r="B63" s="14">
        <v>179.95</v>
      </c>
      <c r="C63" s="15">
        <v>1912</v>
      </c>
      <c r="D63" s="14">
        <f>C63/22.0462262</f>
        <v>86.72686121672834</v>
      </c>
      <c r="E63" s="18">
        <f>LN(B63/B62)</f>
        <v>0.009491975230634355</v>
      </c>
      <c r="F63" s="18">
        <f>LN(C63/C62)</f>
        <v>0.015814773466021725</v>
      </c>
    </row>
    <row r="64">
      <c r="A64" s="6" t="s">
        <v>619</v>
      </c>
      <c r="B64" s="14">
        <v>183.3</v>
      </c>
      <c r="C64" s="15">
        <v>1971</v>
      </c>
      <c r="D64" s="14">
        <f>C64/22.0462262</f>
        <v>89.40305620197256</v>
      </c>
      <c r="E64" s="18">
        <f>LN(B64/B63)</f>
        <v>0.018445120320619828</v>
      </c>
      <c r="F64" s="18">
        <f>LN(C64/C63)</f>
        <v>0.030391213541373505</v>
      </c>
    </row>
    <row r="65">
      <c r="A65" s="6" t="s">
        <v>620</v>
      </c>
      <c r="B65" s="14">
        <v>184.05</v>
      </c>
      <c r="C65" s="15">
        <v>1973</v>
      </c>
      <c r="D65" s="14">
        <f>C65/22.0462262</f>
        <v>89.49377467604864</v>
      </c>
      <c r="E65" s="18">
        <f>LN(B65/B64)</f>
        <v>0.004083304979370781</v>
      </c>
      <c r="F65" s="18">
        <f>LN(C65/C64)</f>
        <v>0.0010141988698952537</v>
      </c>
    </row>
    <row r="66">
      <c r="A66" s="6" t="s">
        <v>621</v>
      </c>
      <c r="B66" s="14">
        <v>185.65</v>
      </c>
      <c r="C66" s="15">
        <v>1994</v>
      </c>
      <c r="D66" s="14">
        <f>C66/22.0462262</f>
        <v>90.44631865384743</v>
      </c>
      <c r="E66" s="18">
        <f>LN(B66/B65)</f>
        <v>0.008655720798058845</v>
      </c>
      <c r="F66" s="18">
        <f>LN(C66/C65)</f>
        <v>0.010587444499168187</v>
      </c>
    </row>
    <row r="67">
      <c r="A67" s="6" t="s">
        <v>622</v>
      </c>
      <c r="B67" s="14">
        <v>189.5</v>
      </c>
      <c r="C67" s="15">
        <v>2018</v>
      </c>
      <c r="D67" s="14">
        <f>C67/22.0462262</f>
        <v>91.53494034276034</v>
      </c>
      <c r="E67" s="18">
        <f>LN(B67/B66)</f>
        <v>0.020525843899392004</v>
      </c>
      <c r="F67" s="18">
        <f>LN(C67/C66)</f>
        <v>0.011964250391770627</v>
      </c>
    </row>
    <row r="68">
      <c r="A68" s="6" t="s">
        <v>623</v>
      </c>
      <c r="B68" s="14">
        <v>193.45</v>
      </c>
      <c r="C68" s="15">
        <v>2026</v>
      </c>
      <c r="D68" s="14">
        <f>C68/22.0462262</f>
        <v>91.89781423906464</v>
      </c>
      <c r="E68" s="18">
        <f>LN(B68/B67)</f>
        <v>0.020630056624040796</v>
      </c>
      <c r="F68" s="18">
        <f>LN(C68/C67)</f>
        <v>0.003956483895074507</v>
      </c>
    </row>
    <row r="69">
      <c r="A69" s="6" t="s">
        <v>624</v>
      </c>
      <c r="B69" s="14">
        <v>193.2</v>
      </c>
      <c r="C69" s="15">
        <v>2066</v>
      </c>
      <c r="D69" s="14">
        <f>C69/22.0462262</f>
        <v>93.71218372058615</v>
      </c>
      <c r="E69" s="18">
        <f>LN(B69/B68)</f>
        <v>-0.0012931593681043884</v>
      </c>
      <c r="F69" s="18">
        <f>LN(C69/C68)</f>
        <v>0.019550964870955225</v>
      </c>
    </row>
    <row r="70">
      <c r="A70" s="6" t="s">
        <v>625</v>
      </c>
      <c r="B70" s="14">
        <v>191.9</v>
      </c>
      <c r="C70" s="15">
        <v>2056</v>
      </c>
      <c r="D70" s="14">
        <f>C70/22.0462262</f>
        <v>93.25859135020578</v>
      </c>
      <c r="E70" s="18">
        <f>LN(B70/B69)</f>
        <v>-0.006751518764763362</v>
      </c>
      <c r="F70" s="18">
        <f>LN(C70/C69)</f>
        <v>-0.004852023104528074</v>
      </c>
    </row>
    <row r="71">
      <c r="A71" s="6" t="s">
        <v>626</v>
      </c>
      <c r="B71" s="14">
        <v>190.55</v>
      </c>
      <c r="C71" s="15">
        <v>2059</v>
      </c>
      <c r="D71" s="14">
        <f>C71/22.0462262</f>
        <v>93.39466906131989</v>
      </c>
      <c r="E71" s="18">
        <f>LN(B71/B70)</f>
        <v>-0.007059775693784941</v>
      </c>
      <c r="F71" s="18">
        <f>LN(C71/C70)</f>
        <v>0.0014580804527337167</v>
      </c>
    </row>
    <row r="72">
      <c r="A72" s="6" t="s">
        <v>627</v>
      </c>
      <c r="B72" s="14">
        <v>191.5</v>
      </c>
      <c r="C72" s="15">
        <v>2102</v>
      </c>
      <c r="D72" s="14">
        <f>C72/22.0462262</f>
        <v>95.34511625395552</v>
      </c>
      <c r="E72" s="18">
        <f>LN(B72/B71)</f>
        <v>0.004973181300831307</v>
      </c>
      <c r="F72" s="18">
        <f>LN(C72/C71)</f>
        <v>0.020668844409106997</v>
      </c>
    </row>
    <row r="73">
      <c r="A73" s="6" t="s">
        <v>628</v>
      </c>
      <c r="B73" s="14">
        <v>187.75</v>
      </c>
      <c r="C73" s="15">
        <v>2078</v>
      </c>
      <c r="D73" s="14">
        <f>C73/22.0462262</f>
        <v>94.25649456504262</v>
      </c>
      <c r="E73" s="18">
        <f>LN(B73/B72)</f>
        <v>-0.0197765179764566</v>
      </c>
      <c r="F73" s="18">
        <f>LN(C73/C72)</f>
        <v>-0.011483379777723714</v>
      </c>
    </row>
    <row r="74">
      <c r="A74" s="6" t="s">
        <v>629</v>
      </c>
      <c r="B74" s="14">
        <v>185</v>
      </c>
      <c r="C74" s="15">
        <v>2050</v>
      </c>
      <c r="D74" s="14">
        <f>C74/22.0462262</f>
        <v>92.98643592797755</v>
      </c>
      <c r="E74" s="18">
        <f>LN(B74/B73)</f>
        <v>-0.014755465565919322</v>
      </c>
      <c r="F74" s="18">
        <f>LN(C74/C73)</f>
        <v>-0.01356609952671879</v>
      </c>
    </row>
    <row r="75">
      <c r="A75" s="6" t="s">
        <v>630</v>
      </c>
      <c r="B75" s="14">
        <v>185.6</v>
      </c>
      <c r="C75" s="15">
        <v>2048</v>
      </c>
      <c r="D75" s="14">
        <f>C75/22.0462262</f>
        <v>92.89571745390148</v>
      </c>
      <c r="E75" s="18">
        <f>LN(B75/B74)</f>
        <v>0.0032379952737753475</v>
      </c>
      <c r="F75" s="18">
        <f>LN(C75/C74)</f>
        <v>-0.0009760859730554598</v>
      </c>
    </row>
    <row r="76">
      <c r="A76" s="6" t="s">
        <v>631</v>
      </c>
      <c r="B76" s="14">
        <v>184.35</v>
      </c>
      <c r="C76" s="15">
        <v>2057</v>
      </c>
      <c r="D76" s="14">
        <f>C76/22.0462262</f>
        <v>93.30395058724382</v>
      </c>
      <c r="E76" s="18">
        <f>LN(B76/B75)</f>
        <v>-0.006757695671946657</v>
      </c>
      <c r="F76" s="18">
        <f>LN(C76/C75)</f>
        <v>0.004384903493558765</v>
      </c>
    </row>
    <row r="77">
      <c r="A77" s="6" t="s">
        <v>632</v>
      </c>
      <c r="B77" s="14">
        <v>183</v>
      </c>
      <c r="C77" s="15">
        <v>2063</v>
      </c>
      <c r="D77" s="14">
        <f>C77/22.0462262</f>
        <v>93.57610600947204</v>
      </c>
      <c r="E77" s="18">
        <f>LN(B77/B76)</f>
        <v>-0.007349971838732549</v>
      </c>
      <c r="F77" s="18">
        <f>LN(C77/C76)</f>
        <v>0.002912623418294606</v>
      </c>
    </row>
    <row r="78">
      <c r="A78" s="6" t="s">
        <v>633</v>
      </c>
      <c r="B78" s="14">
        <v>187</v>
      </c>
      <c r="C78" s="15">
        <v>2082</v>
      </c>
      <c r="D78" s="14">
        <f>C78/22.0462262</f>
        <v>94.43793151319477</v>
      </c>
      <c r="E78" s="18">
        <f>LN(B78/B77)</f>
        <v>0.02162246401316571</v>
      </c>
      <c r="F78" s="18">
        <f>LN(C78/C77)</f>
        <v>0.009167736103662337</v>
      </c>
    </row>
    <row r="79">
      <c r="A79" s="6" t="s">
        <v>634</v>
      </c>
      <c r="B79" s="14">
        <v>187.8</v>
      </c>
      <c r="C79" s="15">
        <v>2107</v>
      </c>
      <c r="D79" s="14">
        <f>C79/22.0462262</f>
        <v>95.5719124391457</v>
      </c>
      <c r="E79" s="18">
        <f>LN(B79/B78)</f>
        <v>0.0042689499195760145</v>
      </c>
      <c r="F79" s="18">
        <f>LN(C79/C78)</f>
        <v>0.011936164629274793</v>
      </c>
    </row>
    <row r="80">
      <c r="A80" s="6" t="s">
        <v>635</v>
      </c>
      <c r="B80" s="14">
        <v>187.3</v>
      </c>
      <c r="C80" s="15">
        <v>2151</v>
      </c>
      <c r="D80" s="14">
        <f>C80/22.0462262</f>
        <v>97.56771886881937</v>
      </c>
      <c r="E80" s="18">
        <f>LN(B80/B79)</f>
        <v>-0.0026659573241197203</v>
      </c>
      <c r="F80" s="18">
        <f>LN(C80/C79)</f>
        <v>0.02066771546354093</v>
      </c>
    </row>
    <row r="81">
      <c r="A81" s="6" t="s">
        <v>636</v>
      </c>
      <c r="B81" s="14">
        <v>183.5</v>
      </c>
      <c r="C81" s="15">
        <v>2152</v>
      </c>
      <c r="D81" s="14">
        <f>C81/22.0462262</f>
        <v>97.61307810585741</v>
      </c>
      <c r="E81" s="18">
        <f>LN(B81/B80)</f>
        <v>-0.02049694195541787</v>
      </c>
      <c r="F81" s="18">
        <f>LN(C81/C80)</f>
        <v>0.00046479201394500444</v>
      </c>
    </row>
    <row r="82">
      <c r="A82" s="6" t="s">
        <v>637</v>
      </c>
      <c r="B82" s="14">
        <v>183.35</v>
      </c>
      <c r="C82" s="15">
        <v>2160</v>
      </c>
      <c r="D82" s="14">
        <f>C82/22.0462262</f>
        <v>97.97595200216172</v>
      </c>
      <c r="E82" s="18">
        <f>LN(B82/B81)</f>
        <v>-0.0008177729772900114</v>
      </c>
      <c r="F82" s="18">
        <f>LN(C82/C81)</f>
        <v>0.0037105793965355534</v>
      </c>
    </row>
    <row r="83">
      <c r="A83" s="6" t="s">
        <v>638</v>
      </c>
      <c r="B83" s="14">
        <v>184.85</v>
      </c>
      <c r="C83" s="15">
        <v>2142</v>
      </c>
      <c r="D83" s="14">
        <f>C83/22.0462262</f>
        <v>97.15948573547703</v>
      </c>
      <c r="E83" s="18">
        <f>LN(B83/B82)</f>
        <v>0.00814779086530592</v>
      </c>
      <c r="F83" s="18">
        <f>LN(C83/C82)</f>
        <v>-0.00836824967051658</v>
      </c>
    </row>
    <row r="84">
      <c r="A84" s="6" t="s">
        <v>639</v>
      </c>
      <c r="B84" s="14">
        <v>190.6</v>
      </c>
      <c r="C84" s="15">
        <v>2146</v>
      </c>
      <c r="D84" s="14">
        <f>C84/22.0462262</f>
        <v>97.34092268362919</v>
      </c>
      <c r="E84" s="18">
        <f>LN(B84/B83)</f>
        <v>0.030632305837460738</v>
      </c>
      <c r="F84" s="18">
        <f>LN(C84/C83)</f>
        <v>0.0018656721829496967</v>
      </c>
    </row>
    <row r="85">
      <c r="A85" s="6" t="s">
        <v>640</v>
      </c>
      <c r="B85" s="14">
        <v>194.35</v>
      </c>
      <c r="C85" s="15">
        <v>2148</v>
      </c>
      <c r="D85" s="14">
        <f>C85/22.0462262</f>
        <v>97.43164115770526</v>
      </c>
      <c r="E85" s="18">
        <f>LN(B85/B84)</f>
        <v>0.019483666078130346</v>
      </c>
      <c r="F85" s="18">
        <f>LN(C85/C84)</f>
        <v>0.0009315324381114853</v>
      </c>
    </row>
    <row r="86">
      <c r="A86" s="6" t="s">
        <v>641</v>
      </c>
      <c r="B86" s="14">
        <v>193.65</v>
      </c>
      <c r="C86" s="15">
        <v>2115</v>
      </c>
      <c r="D86" s="14">
        <f>C86/22.0462262</f>
        <v>95.93478633545001</v>
      </c>
      <c r="E86" s="18">
        <f>LN(B86/B85)</f>
        <v>-0.0036082513374708835</v>
      </c>
      <c r="F86" s="18">
        <f>LN(C86/C85)</f>
        <v>-0.015482364148376988</v>
      </c>
    </row>
    <row r="87">
      <c r="A87" s="6" t="s">
        <v>642</v>
      </c>
      <c r="B87" s="14">
        <v>198.6</v>
      </c>
      <c r="C87" s="15">
        <v>2145</v>
      </c>
      <c r="D87" s="14">
        <f>C87/22.0462262</f>
        <v>97.29556344659115</v>
      </c>
      <c r="E87" s="18">
        <f>LN(B87/B86)</f>
        <v>0.02524034565031103</v>
      </c>
      <c r="F87" s="18">
        <f>LN(C87/C86)</f>
        <v>0.014084739881739023</v>
      </c>
    </row>
    <row r="88">
      <c r="A88" s="6" t="s">
        <v>643</v>
      </c>
      <c r="B88" s="14">
        <v>193.4</v>
      </c>
      <c r="C88" s="15">
        <v>2110</v>
      </c>
      <c r="D88" s="14">
        <f>C88/22.0462262</f>
        <v>95.70799015025982</v>
      </c>
      <c r="E88" s="18">
        <f>LN(B88/B87)</f>
        <v>-0.026532168591878232</v>
      </c>
      <c r="F88" s="18">
        <f>LN(C88/C87)</f>
        <v>-0.01645160489200517</v>
      </c>
    </row>
    <row r="89">
      <c r="A89" s="6" t="s">
        <v>644</v>
      </c>
      <c r="B89" s="14">
        <v>194</v>
      </c>
      <c r="C89" s="15">
        <v>2119</v>
      </c>
      <c r="D89" s="14">
        <f>C89/22.0462262</f>
        <v>96.11622328360217</v>
      </c>
      <c r="E89" s="18">
        <f>LN(B89/B88)</f>
        <v>0.0030975760441341845</v>
      </c>
      <c r="F89" s="18">
        <f>LN(C89/C88)</f>
        <v>0.004256331798186989</v>
      </c>
    </row>
    <row r="90">
      <c r="A90" s="6" t="s">
        <v>645</v>
      </c>
      <c r="B90" s="14">
        <v>204.05</v>
      </c>
      <c r="C90" s="15">
        <v>2161</v>
      </c>
      <c r="D90" s="14">
        <f>C90/22.0462262</f>
        <v>98.02131123919975</v>
      </c>
      <c r="E90" s="18">
        <f>LN(B90/B89)</f>
        <v>0.050506902788486595</v>
      </c>
      <c r="F90" s="18">
        <f>LN(C90/C89)</f>
        <v>0.019626798238586925</v>
      </c>
    </row>
    <row r="91">
      <c r="A91" s="6" t="s">
        <v>646</v>
      </c>
      <c r="B91" s="14">
        <v>200.35</v>
      </c>
      <c r="C91" s="15">
        <v>2140</v>
      </c>
      <c r="D91" s="14">
        <f>C91/22.0462262</f>
        <v>97.06876726140096</v>
      </c>
      <c r="E91" s="18">
        <f>LN(B91/B90)</f>
        <v>-0.018299224769661223</v>
      </c>
      <c r="F91" s="18">
        <f>LN(C91/C90)</f>
        <v>-0.009765248490988787</v>
      </c>
    </row>
    <row r="92">
      <c r="A92" s="6" t="s">
        <v>647</v>
      </c>
      <c r="B92" s="14">
        <v>191.9</v>
      </c>
      <c r="C92" s="15">
        <v>2109</v>
      </c>
      <c r="D92" s="14">
        <f>C92/22.0462262</f>
        <v>95.66263091322179</v>
      </c>
      <c r="E92" s="18">
        <f>LN(B92/B91)</f>
        <v>-0.043091434068499336</v>
      </c>
      <c r="F92" s="18">
        <f>LN(C92/C91)</f>
        <v>-0.014591927537122521</v>
      </c>
    </row>
    <row r="93">
      <c r="A93" s="6" t="s">
        <v>648</v>
      </c>
      <c r="B93" s="14">
        <v>193.45</v>
      </c>
      <c r="C93" s="15">
        <v>2116</v>
      </c>
      <c r="D93" s="14">
        <f>C93/22.0462262</f>
        <v>95.98014557248806</v>
      </c>
      <c r="E93" s="18">
        <f>LN(B93/B92)</f>
        <v>0.008044678132867645</v>
      </c>
      <c r="F93" s="18">
        <f>LN(C93/C92)</f>
        <v>0.0033136124994155108</v>
      </c>
    </row>
    <row r="94">
      <c r="A94" s="6" t="s">
        <v>649</v>
      </c>
      <c r="B94" s="14">
        <v>197.9</v>
      </c>
      <c r="C94" s="15">
        <v>2116</v>
      </c>
      <c r="D94" s="14">
        <f>C94/22.0462262</f>
        <v>95.98014557248806</v>
      </c>
      <c r="E94" s="18">
        <f>LN(B94/B93)</f>
        <v>0.02274277146199811</v>
      </c>
      <c r="F94" s="18">
        <f>LN(C94/C93)</f>
        <v>0</v>
      </c>
    </row>
    <row r="95">
      <c r="A95" s="6" t="s">
        <v>650</v>
      </c>
      <c r="B95" s="14">
        <v>201.35</v>
      </c>
      <c r="C95" s="15">
        <v>2116</v>
      </c>
      <c r="D95" s="14">
        <f>C95/22.0462262</f>
        <v>95.98014557248806</v>
      </c>
      <c r="E95" s="18">
        <f>LN(B95/B94)</f>
        <v>0.017282834688943063</v>
      </c>
      <c r="F95" s="18">
        <f>LN(C95/C94)</f>
        <v>0</v>
      </c>
    </row>
    <row r="96">
      <c r="A96" s="6" t="s">
        <v>651</v>
      </c>
      <c r="B96" s="14">
        <v>204.25</v>
      </c>
      <c r="C96" s="15">
        <v>2104</v>
      </c>
      <c r="D96" s="14">
        <f>C96/22.0462262</f>
        <v>95.4358347280316</v>
      </c>
      <c r="E96" s="18">
        <f>LN(B96/B95)</f>
        <v>0.014300046442649013</v>
      </c>
      <c r="F96" s="18">
        <f>LN(C96/C95)</f>
        <v>-0.005687219120589576</v>
      </c>
    </row>
    <row r="97">
      <c r="A97" s="6" t="s">
        <v>652</v>
      </c>
      <c r="B97" s="14">
        <v>213.15</v>
      </c>
      <c r="C97" s="15">
        <v>2151</v>
      </c>
      <c r="D97" s="14">
        <f>C97/22.0462262</f>
        <v>97.56771886881937</v>
      </c>
      <c r="E97" s="18">
        <f>LN(B97/B96)</f>
        <v>0.04265140947110718</v>
      </c>
      <c r="F97" s="18">
        <f>LN(C97/C96)</f>
        <v>0.022092555410129472</v>
      </c>
    </row>
    <row r="98">
      <c r="A98" s="6" t="s">
        <v>653</v>
      </c>
      <c r="B98" s="14">
        <v>208.65</v>
      </c>
      <c r="C98" s="15">
        <v>2143</v>
      </c>
      <c r="D98" s="14">
        <f>C98/22.0462262</f>
        <v>97.20484497251508</v>
      </c>
      <c r="E98" s="18">
        <f>LN(B98/B97)</f>
        <v>-0.021337936173657684</v>
      </c>
      <c r="F98" s="18">
        <f>LN(C98/C97)</f>
        <v>-0.0037261337941530788</v>
      </c>
    </row>
    <row r="99">
      <c r="A99" s="6" t="s">
        <v>654</v>
      </c>
      <c r="B99" s="14">
        <v>209.25</v>
      </c>
      <c r="C99" s="15">
        <v>2145</v>
      </c>
      <c r="D99" s="14">
        <f>C99/22.0462262</f>
        <v>97.29556344659115</v>
      </c>
      <c r="E99" s="18">
        <f>LN(B99/B98)</f>
        <v>0.0028715023320231626</v>
      </c>
      <c r="F99" s="18">
        <f>LN(C99/C98)</f>
        <v>0.0009328358885403278</v>
      </c>
    </row>
    <row r="100">
      <c r="A100" s="6" t="s">
        <v>655</v>
      </c>
      <c r="B100" s="14">
        <v>203.4</v>
      </c>
      <c r="C100" s="15">
        <v>2121</v>
      </c>
      <c r="D100" s="14">
        <f>C100/22.0462262</f>
        <v>96.20694175767824</v>
      </c>
      <c r="E100" s="18">
        <f>LN(B100/B99)</f>
        <v>-0.028355225755125123</v>
      </c>
      <c r="F100" s="18">
        <f>LN(C100/C99)</f>
        <v>-0.01125187679743492</v>
      </c>
    </row>
    <row r="101">
      <c r="A101" s="6" t="s">
        <v>656</v>
      </c>
      <c r="B101" s="14">
        <v>201.6</v>
      </c>
      <c r="C101" s="15">
        <v>2115</v>
      </c>
      <c r="D101" s="14">
        <f>C101/22.0462262</f>
        <v>95.93478633545001</v>
      </c>
      <c r="E101" s="18">
        <f>LN(B101/B100)</f>
        <v>-0.00888894741724604</v>
      </c>
      <c r="F101" s="18">
        <f>LN(C101/C100)</f>
        <v>-0.00283286308430409</v>
      </c>
    </row>
    <row r="102">
      <c r="A102" s="6" t="s">
        <v>657</v>
      </c>
      <c r="B102" s="14">
        <v>204.25</v>
      </c>
      <c r="C102" s="15">
        <v>2120</v>
      </c>
      <c r="D102" s="14">
        <f>C102/22.0462262</f>
        <v>96.1615825206402</v>
      </c>
      <c r="E102" s="18">
        <f>LN(B102/B101)</f>
        <v>0.013059197542898832</v>
      </c>
      <c r="F102" s="18">
        <f>LN(C102/C101)</f>
        <v>0.0023612761856796854</v>
      </c>
    </row>
    <row r="103">
      <c r="A103" s="6" t="s">
        <v>658</v>
      </c>
      <c r="B103" s="14">
        <v>205.55</v>
      </c>
      <c r="C103" s="15">
        <v>2131</v>
      </c>
      <c r="D103" s="14">
        <f>C103/22.0462262</f>
        <v>96.66053412805861</v>
      </c>
      <c r="E103" s="18">
        <f>LN(B103/B102)</f>
        <v>0.006344579603775157</v>
      </c>
      <c r="F103" s="18">
        <f>LN(C103/C102)</f>
        <v>0.005175264432559084</v>
      </c>
    </row>
    <row r="104">
      <c r="A104" s="6" t="s">
        <v>659</v>
      </c>
      <c r="B104" s="14">
        <v>203.3</v>
      </c>
      <c r="C104" s="15">
        <v>2135</v>
      </c>
      <c r="D104" s="14">
        <f>C104/22.0462262</f>
        <v>96.84197107621077</v>
      </c>
      <c r="E104" s="18">
        <f>LN(B104/B103)</f>
        <v>-0.011006592709586477</v>
      </c>
      <c r="F104" s="18">
        <f>LN(C104/C103)</f>
        <v>0.001875293564107794</v>
      </c>
    </row>
    <row r="105">
      <c r="A105" s="6" t="s">
        <v>660</v>
      </c>
      <c r="B105" s="14">
        <v>199.85</v>
      </c>
      <c r="C105" s="15">
        <v>2141</v>
      </c>
      <c r="D105" s="14">
        <f>C105/22.0462262</f>
        <v>97.11412649843899</v>
      </c>
      <c r="E105" s="18">
        <f>LN(B105/B104)</f>
        <v>-0.017115635476968503</v>
      </c>
      <c r="F105" s="18">
        <f>LN(C105/C104)</f>
        <v>0.00280636292695796</v>
      </c>
    </row>
    <row r="106">
      <c r="A106" s="6" t="s">
        <v>661</v>
      </c>
      <c r="B106" s="14">
        <v>202.55</v>
      </c>
      <c r="C106" s="15">
        <v>2195</v>
      </c>
      <c r="D106" s="14">
        <f>C106/22.0462262</f>
        <v>99.56352529849303</v>
      </c>
      <c r="E106" s="18">
        <f>LN(B106/B105)</f>
        <v>0.01341968449136722</v>
      </c>
      <c r="F106" s="18">
        <f>LN(C106/C105)</f>
        <v>0.024909036919588852</v>
      </c>
    </row>
    <row r="107">
      <c r="A107" s="6" t="s">
        <v>662</v>
      </c>
      <c r="B107" s="14">
        <v>208.1</v>
      </c>
      <c r="C107" s="15">
        <v>2270</v>
      </c>
      <c r="D107" s="14">
        <f>C107/22.0462262</f>
        <v>102.96546807634587</v>
      </c>
      <c r="E107" s="18">
        <f>LN(B107/B106)</f>
        <v>0.027031963750889152</v>
      </c>
      <c r="F107" s="18">
        <f>LN(C107/C106)</f>
        <v>0.03359778496617671</v>
      </c>
    </row>
    <row r="108">
      <c r="A108" s="6" t="s">
        <v>663</v>
      </c>
      <c r="B108" s="14">
        <v>201.35</v>
      </c>
      <c r="C108" s="15">
        <v>2197</v>
      </c>
      <c r="D108" s="14">
        <f>C108/22.0462262</f>
        <v>99.65424377256912</v>
      </c>
      <c r="E108" s="18">
        <f>LN(B108/B107)</f>
        <v>-0.03297404610212559</v>
      </c>
      <c r="F108" s="18">
        <f>LN(C108/C107)</f>
        <v>-0.0326870380908382</v>
      </c>
    </row>
    <row r="109">
      <c r="A109" s="6" t="s">
        <v>664</v>
      </c>
      <c r="B109" s="14">
        <v>199.95</v>
      </c>
      <c r="C109" s="15">
        <v>2177</v>
      </c>
      <c r="D109" s="14">
        <f>C109/22.0462262</f>
        <v>98.74705903180836</v>
      </c>
      <c r="E109" s="18">
        <f>LN(B109/B108)</f>
        <v>-0.006977352004635783</v>
      </c>
      <c r="F109" s="18">
        <f>LN(C109/C108)</f>
        <v>-0.00914501115006273</v>
      </c>
    </row>
    <row r="110">
      <c r="A110" s="6" t="s">
        <v>665</v>
      </c>
      <c r="B110" s="14">
        <v>203.95</v>
      </c>
      <c r="C110" s="15">
        <v>2214</v>
      </c>
      <c r="D110" s="14">
        <f>C110/22.0462262</f>
        <v>100.42535080221576</v>
      </c>
      <c r="E110" s="18">
        <f>LN(B110/B109)</f>
        <v>0.019807530470740086</v>
      </c>
      <c r="F110" s="18">
        <f>LN(C110/C109)</f>
        <v>0.016853052034034675</v>
      </c>
    </row>
    <row r="111">
      <c r="A111" s="6" t="s">
        <v>666</v>
      </c>
      <c r="B111" s="14">
        <v>208.7</v>
      </c>
      <c r="C111" s="15">
        <v>2269</v>
      </c>
      <c r="D111" s="14">
        <f>C111/22.0462262</f>
        <v>102.92010883930784</v>
      </c>
      <c r="E111" s="18">
        <f>LN(B111/B110)</f>
        <v>0.023022948319587542</v>
      </c>
      <c r="F111" s="18">
        <f>LN(C111/C110)</f>
        <v>0.024538371511259472</v>
      </c>
    </row>
    <row r="112">
      <c r="A112" s="6" t="s">
        <v>667</v>
      </c>
      <c r="B112" s="14">
        <v>208.05</v>
      </c>
      <c r="C112" s="15">
        <v>2234</v>
      </c>
      <c r="D112" s="14">
        <f>C112/22.0462262</f>
        <v>101.33253554297652</v>
      </c>
      <c r="E112" s="18">
        <f>LN(B112/B111)</f>
        <v>-0.0031193786542046227</v>
      </c>
      <c r="F112" s="18">
        <f>LN(C112/C111)</f>
        <v>-0.015545505150695716</v>
      </c>
    </row>
    <row r="113">
      <c r="A113" s="6" t="s">
        <v>668</v>
      </c>
      <c r="B113" s="14">
        <v>209.3</v>
      </c>
      <c r="C113" s="15">
        <v>2232</v>
      </c>
      <c r="D113" s="14">
        <f>C113/22.0462262</f>
        <v>101.24181706890043</v>
      </c>
      <c r="E113" s="18">
        <f>LN(B113/B112)</f>
        <v>0.005990194023003816</v>
      </c>
      <c r="F113" s="18">
        <f>LN(C113/C112)</f>
        <v>-0.0008956561279444061</v>
      </c>
    </row>
    <row r="114">
      <c r="A114" s="6" t="s">
        <v>669</v>
      </c>
      <c r="B114" s="14">
        <v>208.6</v>
      </c>
      <c r="C114" s="15">
        <v>2204</v>
      </c>
      <c r="D114" s="14">
        <f>C114/22.0462262</f>
        <v>99.97175843183538</v>
      </c>
      <c r="E114" s="18">
        <f>LN(B114/B113)</f>
        <v>-0.0033500868852820854</v>
      </c>
      <c r="F114" s="18">
        <f>LN(C114/C113)</f>
        <v>-0.012624153228396402</v>
      </c>
    </row>
    <row r="115">
      <c r="A115" s="6" t="s">
        <v>670</v>
      </c>
      <c r="B115" s="14">
        <v>203.55</v>
      </c>
      <c r="C115" s="15">
        <v>2181</v>
      </c>
      <c r="D115" s="14">
        <f>C115/22.0462262</f>
        <v>98.9284959799605</v>
      </c>
      <c r="E115" s="18">
        <f>LN(B115/B114)</f>
        <v>-0.024506867617684152</v>
      </c>
      <c r="F115" s="18">
        <f>LN(C115/C114)</f>
        <v>-0.01049040407117602</v>
      </c>
    </row>
    <row r="116">
      <c r="A116" s="6" t="s">
        <v>671</v>
      </c>
      <c r="B116" s="14">
        <v>199.65</v>
      </c>
      <c r="C116" s="15">
        <v>2166</v>
      </c>
      <c r="D116" s="14">
        <f>C116/22.0462262</f>
        <v>98.24810742438994</v>
      </c>
      <c r="E116" s="18">
        <f>LN(B116/B115)</f>
        <v>-0.01934584143975752</v>
      </c>
      <c r="F116" s="18">
        <f>LN(C116/C115)</f>
        <v>-0.006901338640693157</v>
      </c>
    </row>
    <row r="117">
      <c r="A117" s="6" t="s">
        <v>672</v>
      </c>
      <c r="B117" s="14">
        <v>205.9</v>
      </c>
      <c r="C117" s="15">
        <v>2226</v>
      </c>
      <c r="D117" s="14">
        <f>C117/22.0462262</f>
        <v>100.96966164667221</v>
      </c>
      <c r="E117" s="18">
        <f>LN(B117/B116)</f>
        <v>0.030824780524513398</v>
      </c>
      <c r="F117" s="18">
        <f>LN(C117/C116)</f>
        <v>0.027324104274554176</v>
      </c>
    </row>
    <row r="118">
      <c r="A118" s="6" t="s">
        <v>673</v>
      </c>
      <c r="B118" s="14">
        <v>204</v>
      </c>
      <c r="C118" s="15">
        <v>2215</v>
      </c>
      <c r="D118" s="14">
        <f>C118/22.0462262</f>
        <v>100.47071003925379</v>
      </c>
      <c r="E118" s="18">
        <f>LN(B118/B117)</f>
        <v>-0.00927062018952735</v>
      </c>
      <c r="F118" s="18">
        <f>LN(C118/C117)</f>
        <v>-0.004953849356254158</v>
      </c>
    </row>
    <row r="119">
      <c r="A119" s="6" t="s">
        <v>674</v>
      </c>
      <c r="B119" s="14">
        <v>210.9</v>
      </c>
      <c r="C119" s="15">
        <v>2292</v>
      </c>
      <c r="D119" s="14">
        <f>C119/22.0462262</f>
        <v>103.96337129118271</v>
      </c>
      <c r="E119" s="18">
        <f>LN(B119/B118)</f>
        <v>0.03326409364051262</v>
      </c>
      <c r="F119" s="18">
        <f>LN(C119/C118)</f>
        <v>0.03417239535539427</v>
      </c>
    </row>
    <row r="120">
      <c r="A120" s="6" t="s">
        <v>675</v>
      </c>
      <c r="B120" s="14">
        <v>219.7</v>
      </c>
      <c r="C120" s="15">
        <v>2277</v>
      </c>
      <c r="D120" s="14">
        <f>C120/22.0462262</f>
        <v>103.28298273561214</v>
      </c>
      <c r="E120" s="18">
        <f>LN(B120/B119)</f>
        <v>0.0408788919058355</v>
      </c>
      <c r="F120" s="18">
        <f>LN(C120/C119)</f>
        <v>-0.006566011770890558</v>
      </c>
    </row>
    <row r="121">
      <c r="A121" s="6" t="s">
        <v>676</v>
      </c>
      <c r="B121" s="14">
        <v>222.75</v>
      </c>
      <c r="C121" s="15">
        <v>2264</v>
      </c>
      <c r="D121" s="14">
        <f>C121/22.0462262</f>
        <v>102.69331265411765</v>
      </c>
      <c r="E121" s="18">
        <f>LN(B121/B120)</f>
        <v>0.013787086960354245</v>
      </c>
      <c r="F121" s="18">
        <f>LN(C121/C120)</f>
        <v>-0.005725626740666019</v>
      </c>
    </row>
    <row r="122">
      <c r="A122" s="6" t="s">
        <v>677</v>
      </c>
      <c r="B122" s="14">
        <v>222.05</v>
      </c>
      <c r="C122" s="15">
        <v>2237</v>
      </c>
      <c r="D122" s="14">
        <f>C122/22.0462262</f>
        <v>101.46861325409063</v>
      </c>
      <c r="E122" s="18">
        <f>LN(B122/B121)</f>
        <v>-0.0031474846128073104</v>
      </c>
      <c r="F122" s="18">
        <f>LN(C122/C121)</f>
        <v>-0.011997477832943918</v>
      </c>
    </row>
    <row r="123">
      <c r="A123" s="6" t="s">
        <v>678</v>
      </c>
      <c r="B123" s="14">
        <v>232.6</v>
      </c>
      <c r="C123" s="15">
        <v>2256</v>
      </c>
      <c r="D123" s="14">
        <f>C123/22.0462262</f>
        <v>102.33043875781334</v>
      </c>
      <c r="E123" s="18">
        <f>LN(B123/B122)</f>
        <v>0.04641765834645269</v>
      </c>
      <c r="F123" s="18">
        <f>LN(C123/C122)</f>
        <v>0.00845765112781994</v>
      </c>
    </row>
    <row r="124">
      <c r="A124" s="6" t="s">
        <v>679</v>
      </c>
      <c r="B124" s="14">
        <v>228.95</v>
      </c>
      <c r="C124" s="15">
        <v>2212</v>
      </c>
      <c r="D124" s="14">
        <f>C124/22.0462262</f>
        <v>100.33463232813968</v>
      </c>
      <c r="E124" s="18">
        <f>LN(B124/B123)</f>
        <v>-0.015816600981459594</v>
      </c>
      <c r="F124" s="18">
        <f>LN(C124/C123)</f>
        <v>-0.019696249975724042</v>
      </c>
    </row>
    <row r="125">
      <c r="A125" s="6" t="s">
        <v>680</v>
      </c>
      <c r="B125" s="14">
        <v>233.3</v>
      </c>
      <c r="C125" s="15">
        <v>2245</v>
      </c>
      <c r="D125" s="14">
        <f>C125/22.0462262</f>
        <v>101.83148715039493</v>
      </c>
      <c r="E125" s="18">
        <f>LN(B125/B124)</f>
        <v>0.018821539924279998</v>
      </c>
      <c r="F125" s="18">
        <f>LN(C125/C124)</f>
        <v>0.014808437534129203</v>
      </c>
    </row>
    <row r="126">
      <c r="A126" s="6" t="s">
        <v>681</v>
      </c>
      <c r="B126" s="14">
        <v>231.35</v>
      </c>
      <c r="C126" s="15">
        <v>2251</v>
      </c>
      <c r="D126" s="14">
        <f>C126/22.0462262</f>
        <v>102.10364257262316</v>
      </c>
      <c r="E126" s="18">
        <f>LN(B126/B125)</f>
        <v>-0.008393463674375719</v>
      </c>
      <c r="F126" s="18">
        <f>LN(C126/C125)</f>
        <v>0.0026690407303775715</v>
      </c>
    </row>
    <row r="127">
      <c r="A127" s="6" t="s">
        <v>682</v>
      </c>
      <c r="B127" s="14">
        <v>242.55</v>
      </c>
      <c r="C127" s="15">
        <v>2297</v>
      </c>
      <c r="D127" s="14">
        <f>C127/22.0462262</f>
        <v>104.19016747637289</v>
      </c>
      <c r="E127" s="18">
        <f>LN(B127/B126)</f>
        <v>0.04727615933821697</v>
      </c>
      <c r="F127" s="18">
        <f>LN(C127/C126)</f>
        <v>0.02022936178236595</v>
      </c>
    </row>
    <row r="128">
      <c r="A128" s="6" t="s">
        <v>683</v>
      </c>
      <c r="B128" s="14">
        <v>246.3</v>
      </c>
      <c r="C128" s="15">
        <v>2281</v>
      </c>
      <c r="D128" s="14">
        <f>C128/22.0462262</f>
        <v>103.46441968376429</v>
      </c>
      <c r="E128" s="18">
        <f>LN(B128/B127)</f>
        <v>0.015342430435266622</v>
      </c>
      <c r="F128" s="18">
        <f>LN(C128/C127)</f>
        <v>-0.006989980404710275</v>
      </c>
    </row>
    <row r="129">
      <c r="A129" s="6" t="s">
        <v>684</v>
      </c>
      <c r="B129" s="14">
        <v>243.85</v>
      </c>
      <c r="C129" s="15">
        <v>2237</v>
      </c>
      <c r="D129" s="14">
        <f>C129/22.0462262</f>
        <v>101.46861325409063</v>
      </c>
      <c r="E129" s="18">
        <f>LN(B129/B128)</f>
        <v>-0.009997022970430723</v>
      </c>
      <c r="F129" s="18">
        <f>LN(C129/C128)</f>
        <v>-0.01947826079425848</v>
      </c>
    </row>
    <row r="130">
      <c r="A130" s="6" t="s">
        <v>685</v>
      </c>
      <c r="B130" s="14">
        <v>233.85</v>
      </c>
      <c r="C130" s="15">
        <v>2197</v>
      </c>
      <c r="D130" s="14">
        <f>C130/22.0462262</f>
        <v>99.65424377256912</v>
      </c>
      <c r="E130" s="18">
        <f>LN(B130/B129)</f>
        <v>-0.041873397984166345</v>
      </c>
      <c r="F130" s="18">
        <f>LN(C130/C129)</f>
        <v>-0.018042889105519405</v>
      </c>
    </row>
    <row r="131">
      <c r="A131" s="6" t="s">
        <v>686</v>
      </c>
      <c r="B131" s="14">
        <v>233.25</v>
      </c>
      <c r="C131" s="15">
        <v>2200</v>
      </c>
      <c r="D131" s="14">
        <f>C131/22.0462262</f>
        <v>99.79032148368323</v>
      </c>
      <c r="E131" s="18">
        <f>LN(B131/B130)</f>
        <v>-0.0025690444444419597</v>
      </c>
      <c r="F131" s="18">
        <f>LN(C131/C130)</f>
        <v>0.0013645669617969522</v>
      </c>
    </row>
    <row r="132">
      <c r="A132" s="6" t="s">
        <v>687</v>
      </c>
      <c r="B132" s="14">
        <v>234.2</v>
      </c>
      <c r="C132" s="15">
        <v>2253</v>
      </c>
      <c r="D132" s="14">
        <f>C132/22.0462262</f>
        <v>102.19436104669923</v>
      </c>
      <c r="E132" s="18">
        <f>LN(B132/B131)</f>
        <v>0.0040646114361637346</v>
      </c>
      <c r="F132" s="18">
        <f>LN(C132/C131)</f>
        <v>0.023805301085837283</v>
      </c>
    </row>
    <row r="133">
      <c r="A133" s="6" t="s">
        <v>688</v>
      </c>
      <c r="B133" s="14">
        <v>237.45</v>
      </c>
      <c r="C133" s="15">
        <v>2265</v>
      </c>
      <c r="D133" s="14">
        <f>C133/22.0462262</f>
        <v>102.73867189115569</v>
      </c>
      <c r="E133" s="18">
        <f>LN(B133/B132)</f>
        <v>0.013781623831513896</v>
      </c>
      <c r="F133" s="18">
        <f>LN(C133/C132)</f>
        <v>0.005312097484889884</v>
      </c>
    </row>
    <row r="134">
      <c r="A134" s="6" t="s">
        <v>689</v>
      </c>
      <c r="B134" s="14">
        <v>244.05</v>
      </c>
      <c r="C134" s="15">
        <v>2298</v>
      </c>
      <c r="D134" s="14">
        <f>C134/22.0462262</f>
        <v>104.23552671341093</v>
      </c>
      <c r="E134" s="18">
        <f>LN(B134/B133)</f>
        <v>0.027416047338025846</v>
      </c>
      <c r="F134" s="18">
        <f>LN(C134/C133)</f>
        <v>0.014464420491566495</v>
      </c>
    </row>
    <row r="135">
      <c r="A135" s="6" t="s">
        <v>690</v>
      </c>
      <c r="B135" s="14">
        <v>250.2</v>
      </c>
      <c r="C135" s="15">
        <v>2315</v>
      </c>
      <c r="D135" s="14">
        <f>C135/22.0462262</f>
        <v>105.00663374305758</v>
      </c>
      <c r="E135" s="18">
        <f>LN(B135/B134)</f>
        <v>0.024887475699654132</v>
      </c>
      <c r="F135" s="18">
        <f>LN(C135/C134)</f>
        <v>0.007370508111633513</v>
      </c>
    </row>
    <row r="136">
      <c r="A136" s="6" t="s">
        <v>691</v>
      </c>
      <c r="B136" s="14">
        <v>243.9</v>
      </c>
      <c r="C136" s="15">
        <v>2273</v>
      </c>
      <c r="D136" s="14">
        <f>C136/22.0462262</f>
        <v>103.10154578745998</v>
      </c>
      <c r="E136" s="18">
        <f>LN(B136/B135)</f>
        <v>-0.02550229281093612</v>
      </c>
      <c r="F136" s="18">
        <f>LN(C136/C135)</f>
        <v>-0.01830914266779124</v>
      </c>
    </row>
    <row r="137">
      <c r="A137" s="6" t="s">
        <v>692</v>
      </c>
      <c r="B137" s="14">
        <v>244.75</v>
      </c>
      <c r="C137" s="15">
        <v>2295</v>
      </c>
      <c r="D137" s="14">
        <f>C137/22.0462262</f>
        <v>104.09944900229682</v>
      </c>
      <c r="E137" s="18">
        <f>LN(B137/B136)</f>
        <v>0.003478976188745228</v>
      </c>
      <c r="F137" s="18">
        <f>LN(C137/C136)</f>
        <v>0.009632298642102393</v>
      </c>
    </row>
    <row r="138">
      <c r="A138" s="6" t="s">
        <v>693</v>
      </c>
      <c r="B138" s="14">
        <v>240.35</v>
      </c>
      <c r="C138" s="15">
        <v>2306</v>
      </c>
      <c r="D138" s="14">
        <f>C138/22.0462262</f>
        <v>104.59840060971524</v>
      </c>
      <c r="E138" s="18">
        <f>LN(B138/B137)</f>
        <v>-0.018141087070650038</v>
      </c>
      <c r="F138" s="18">
        <f>LN(C138/C137)</f>
        <v>0.004781578334358716</v>
      </c>
    </row>
    <row r="139">
      <c r="A139" s="6" t="s">
        <v>694</v>
      </c>
      <c r="B139" s="14">
        <v>232.7</v>
      </c>
      <c r="C139" s="15">
        <v>2291</v>
      </c>
      <c r="D139" s="14">
        <f>C139/22.0462262</f>
        <v>103.91801205414467</v>
      </c>
      <c r="E139" s="18">
        <f>LN(B139/B138)</f>
        <v>-0.03234612403172373</v>
      </c>
      <c r="F139" s="18">
        <f>LN(C139/C138)</f>
        <v>-0.006526018375508869</v>
      </c>
    </row>
    <row r="140">
      <c r="A140" s="6" t="s">
        <v>695</v>
      </c>
      <c r="B140" s="14">
        <v>236.7</v>
      </c>
      <c r="C140" s="15">
        <v>2287</v>
      </c>
      <c r="D140" s="14">
        <f>C140/22.0462262</f>
        <v>103.73657510599251</v>
      </c>
      <c r="E140" s="18">
        <f>LN(B140/B139)</f>
        <v>0.017043446211692303</v>
      </c>
      <c r="F140" s="18">
        <f>LN(C140/C139)</f>
        <v>-0.0017474884307143374</v>
      </c>
    </row>
    <row r="141">
      <c r="A141" s="6" t="s">
        <v>696</v>
      </c>
      <c r="B141" s="14">
        <v>237.15</v>
      </c>
      <c r="C141" s="15">
        <v>2297</v>
      </c>
      <c r="D141" s="14">
        <f>C141/22.0462262</f>
        <v>104.19016747637289</v>
      </c>
      <c r="E141" s="18">
        <f>LN(B141/B140)</f>
        <v>0.0018993358036525374</v>
      </c>
      <c r="F141" s="18">
        <f>LN(C141/C140)</f>
        <v>0.0043630086663170925</v>
      </c>
    </row>
    <row r="142">
      <c r="A142" s="6" t="s">
        <v>697</v>
      </c>
      <c r="B142" s="14">
        <v>237.4</v>
      </c>
      <c r="C142" s="15">
        <v>2303</v>
      </c>
      <c r="D142" s="14">
        <f>C142/22.0462262</f>
        <v>104.46232289860113</v>
      </c>
      <c r="E142" s="18">
        <f>LN(B142/B141)</f>
        <v>0.0010536298519769503</v>
      </c>
      <c r="F142" s="18">
        <f>LN(C142/C141)</f>
        <v>0.0026086971315870218</v>
      </c>
    </row>
    <row r="143">
      <c r="A143" s="6" t="s">
        <v>698</v>
      </c>
      <c r="B143" s="14">
        <v>236.95</v>
      </c>
      <c r="C143" s="15">
        <v>2299</v>
      </c>
      <c r="D143" s="14">
        <f>C143/22.0462262</f>
        <v>104.28088595044898</v>
      </c>
      <c r="E143" s="18">
        <f>LN(B143/B142)</f>
        <v>-0.0018973337619704416</v>
      </c>
      <c r="F143" s="18">
        <f>LN(C143/C142)</f>
        <v>-0.001738375057503665</v>
      </c>
    </row>
    <row r="144">
      <c r="A144" s="6" t="s">
        <v>699</v>
      </c>
      <c r="B144" s="14">
        <v>235.9</v>
      </c>
      <c r="C144" s="15">
        <v>2333</v>
      </c>
      <c r="D144" s="14">
        <f>C144/22.0462262</f>
        <v>105.82310000974226</v>
      </c>
      <c r="E144" s="18">
        <f>LN(B144/B143)</f>
        <v>-0.0044411619999679365</v>
      </c>
      <c r="F144" s="18">
        <f>LN(C144/C143)</f>
        <v>0.014680747258248337</v>
      </c>
    </row>
    <row r="145">
      <c r="A145" s="6" t="s">
        <v>700</v>
      </c>
      <c r="B145" s="14">
        <v>224.4</v>
      </c>
      <c r="C145" s="15">
        <v>2308</v>
      </c>
      <c r="D145" s="14">
        <f>C145/22.0462262</f>
        <v>104.68911908379131</v>
      </c>
      <c r="E145" s="18">
        <f>LN(B145/B144)</f>
        <v>-0.049977812765088114</v>
      </c>
      <c r="F145" s="18">
        <f>LN(C145/C144)</f>
        <v>-0.010773644393439733</v>
      </c>
    </row>
    <row r="146">
      <c r="A146" s="6" t="s">
        <v>701</v>
      </c>
      <c r="B146" s="14">
        <v>228.25</v>
      </c>
      <c r="C146" s="15">
        <v>2317</v>
      </c>
      <c r="D146" s="14">
        <f>C146/22.0462262</f>
        <v>105.09735221713365</v>
      </c>
      <c r="E146" s="18">
        <f>LN(B146/B145)</f>
        <v>0.017011345826536538</v>
      </c>
      <c r="F146" s="18">
        <f>LN(C146/C145)</f>
        <v>0.0038918968043861035</v>
      </c>
    </row>
    <row r="147">
      <c r="A147" s="6" t="s">
        <v>702</v>
      </c>
      <c r="B147" s="14">
        <v>233.55</v>
      </c>
      <c r="C147" s="15">
        <v>2339</v>
      </c>
      <c r="D147" s="14">
        <f>C147/22.0462262</f>
        <v>106.09525543197049</v>
      </c>
      <c r="E147" s="18">
        <f>LN(B147/B146)</f>
        <v>0.022954667473039227</v>
      </c>
      <c r="F147" s="18">
        <f>LN(C147/C146)</f>
        <v>0.009450242151802804</v>
      </c>
    </row>
    <row r="148">
      <c r="A148" s="6" t="s">
        <v>703</v>
      </c>
      <c r="B148" s="14">
        <v>231.2</v>
      </c>
      <c r="C148" s="15">
        <v>2353</v>
      </c>
      <c r="D148" s="14">
        <f>C148/22.0462262</f>
        <v>106.73028475050302</v>
      </c>
      <c r="E148" s="18">
        <f>LN(B148/B147)</f>
        <v>-0.010113050149894765</v>
      </c>
      <c r="F148" s="18">
        <f>LN(C148/C147)</f>
        <v>0.00596762214318349</v>
      </c>
    </row>
    <row r="149">
      <c r="A149" s="6" t="s">
        <v>704</v>
      </c>
      <c r="B149" s="14">
        <v>225.6</v>
      </c>
      <c r="C149" s="15">
        <v>2343</v>
      </c>
      <c r="D149" s="14">
        <f>C149/22.0462262</f>
        <v>106.27669238012264</v>
      </c>
      <c r="E149" s="18">
        <f>LN(B149/B148)</f>
        <v>-0.024519617174318498</v>
      </c>
      <c r="F149" s="18">
        <f>LN(C149/C148)</f>
        <v>-0.004258950219566807</v>
      </c>
    </row>
    <row r="150">
      <c r="A150" s="6" t="s">
        <v>705</v>
      </c>
      <c r="B150" s="14">
        <v>228.9</v>
      </c>
      <c r="C150" s="15">
        <v>2364</v>
      </c>
      <c r="D150" s="14">
        <f>C150/22.0462262</f>
        <v>107.22923635792144</v>
      </c>
      <c r="E150" s="18">
        <f>LN(B150/B149)</f>
        <v>0.014521707334617195</v>
      </c>
      <c r="F150" s="18">
        <f>LN(C150/C149)</f>
        <v>0.008922940018193248</v>
      </c>
    </row>
    <row r="151">
      <c r="A151" s="6" t="s">
        <v>706</v>
      </c>
      <c r="B151" s="14">
        <v>228.85</v>
      </c>
      <c r="C151" s="15">
        <v>2373</v>
      </c>
      <c r="D151" s="14">
        <f>C151/22.0462262</f>
        <v>107.63746949126377</v>
      </c>
      <c r="E151" s="18">
        <f>LN(B151/B150)</f>
        <v>-0.00021845985886996108</v>
      </c>
      <c r="F151" s="18">
        <f>LN(C151/C150)</f>
        <v>0.0037998779097748424</v>
      </c>
    </row>
    <row r="152">
      <c r="A152" s="6" t="s">
        <v>707</v>
      </c>
      <c r="B152" s="14">
        <v>226.1</v>
      </c>
      <c r="C152" s="15">
        <v>2370</v>
      </c>
      <c r="D152" s="14">
        <f>C152/22.0462262</f>
        <v>107.50139178014966</v>
      </c>
      <c r="E152" s="18">
        <f>LN(B152/B151)</f>
        <v>-0.012089387815726965</v>
      </c>
      <c r="F152" s="18">
        <f>LN(C152/C151)</f>
        <v>-0.0012650223065867451</v>
      </c>
    </row>
    <row r="153">
      <c r="A153" s="6" t="s">
        <v>708</v>
      </c>
      <c r="B153" s="14">
        <v>231.75</v>
      </c>
      <c r="C153" s="15">
        <v>2349</v>
      </c>
      <c r="D153" s="14">
        <f>C153/22.0462262</f>
        <v>106.54884780235086</v>
      </c>
      <c r="E153" s="18">
        <f>LN(B153/B152)</f>
        <v>0.02468182516204047</v>
      </c>
      <c r="F153" s="18">
        <f>LN(C153/C152)</f>
        <v>-0.008900249470264125</v>
      </c>
    </row>
    <row r="154">
      <c r="A154" s="6" t="s">
        <v>709</v>
      </c>
      <c r="B154" s="14">
        <v>231.75</v>
      </c>
      <c r="C154" s="15">
        <v>2321</v>
      </c>
      <c r="D154" s="14">
        <f>C154/22.0462262</f>
        <v>105.2787891652858</v>
      </c>
      <c r="E154" s="18">
        <f>LN(B154/B153)</f>
        <v>0</v>
      </c>
      <c r="F154" s="18">
        <f>LN(C154/C153)</f>
        <v>-0.011991578384475718</v>
      </c>
    </row>
    <row r="155">
      <c r="A155" s="6" t="s">
        <v>710</v>
      </c>
      <c r="B155" s="14">
        <v>231.7</v>
      </c>
      <c r="C155" s="15">
        <v>2307</v>
      </c>
      <c r="D155" s="14">
        <f>C155/22.0462262</f>
        <v>104.64375984675327</v>
      </c>
      <c r="E155" s="18">
        <f>LN(B155/B154)</f>
        <v>-0.00021577300763408433</v>
      </c>
      <c r="F155" s="18">
        <f>LN(C155/C154)</f>
        <v>-0.006050148100683406</v>
      </c>
    </row>
    <row r="156">
      <c r="A156" s="6" t="s">
        <v>711</v>
      </c>
      <c r="B156" s="14">
        <v>238.45</v>
      </c>
      <c r="C156" s="15">
        <v>2316</v>
      </c>
      <c r="D156" s="14">
        <f>C156/22.0462262</f>
        <v>105.05199298009562</v>
      </c>
      <c r="E156" s="18">
        <f>LN(B156/B155)</f>
        <v>0.028716213305902925</v>
      </c>
      <c r="F156" s="18">
        <f>LN(C156/C155)</f>
        <v>0.003893580519132241</v>
      </c>
    </row>
    <row r="157">
      <c r="A157" s="6" t="s">
        <v>712</v>
      </c>
      <c r="B157" s="14">
        <v>234.9</v>
      </c>
      <c r="C157" s="15">
        <v>2260</v>
      </c>
      <c r="D157" s="14">
        <f>C157/22.0462262</f>
        <v>102.5118757059655</v>
      </c>
      <c r="E157" s="18">
        <f>LN(B157/B156)</f>
        <v>-0.014999753079366188</v>
      </c>
      <c r="F157" s="18">
        <f>LN(C157/C156)</f>
        <v>-0.024476746426554313</v>
      </c>
    </row>
    <row r="158">
      <c r="A158" s="6" t="s">
        <v>713</v>
      </c>
      <c r="B158" s="14">
        <v>237.05</v>
      </c>
      <c r="C158" s="15">
        <v>2268</v>
      </c>
      <c r="D158" s="14">
        <f>C158/22.0462262</f>
        <v>102.8747496022698</v>
      </c>
      <c r="E158" s="18">
        <f>LN(B158/B157)</f>
        <v>0.00911119768326033</v>
      </c>
      <c r="F158" s="18">
        <f>LN(C158/C157)</f>
        <v>0.0035335725813110445</v>
      </c>
    </row>
    <row r="159">
      <c r="A159" s="6" t="s">
        <v>714</v>
      </c>
      <c r="B159" s="14">
        <v>240.85</v>
      </c>
      <c r="C159" s="15">
        <v>2282</v>
      </c>
      <c r="D159" s="14">
        <f>C159/22.0462262</f>
        <v>103.50977892080233</v>
      </c>
      <c r="E159" s="18">
        <f>LN(B159/B158)</f>
        <v>0.015903243728102392</v>
      </c>
      <c r="F159" s="18">
        <f>LN(C159/C158)</f>
        <v>0.006153865574378286</v>
      </c>
    </row>
    <row r="160">
      <c r="A160" s="6" t="s">
        <v>715</v>
      </c>
      <c r="B160" s="14">
        <v>237</v>
      </c>
      <c r="C160" s="15">
        <v>2237</v>
      </c>
      <c r="D160" s="14">
        <f>C160/22.0462262</f>
        <v>101.46861325409063</v>
      </c>
      <c r="E160" s="18">
        <f>LN(B160/B159)</f>
        <v>-0.01611419194109859</v>
      </c>
      <c r="F160" s="18">
        <f>LN(C160/C159)</f>
        <v>-0.019916568931891355</v>
      </c>
    </row>
    <row r="161">
      <c r="A161" s="6" t="s">
        <v>716</v>
      </c>
      <c r="B161" s="14">
        <v>239.65</v>
      </c>
      <c r="C161" s="15">
        <v>2228</v>
      </c>
      <c r="D161" s="14">
        <f>C161/22.0462262</f>
        <v>101.06038012074829</v>
      </c>
      <c r="E161" s="18">
        <f>LN(B161/B160)</f>
        <v>0.011119384470509088</v>
      </c>
      <c r="F161" s="18">
        <f>LN(C161/C160)</f>
        <v>-0.004031360442954971</v>
      </c>
    </row>
    <row r="162">
      <c r="A162" s="6" t="s">
        <v>717</v>
      </c>
      <c r="B162" s="14">
        <v>239.6</v>
      </c>
      <c r="C162" s="15">
        <v>2195</v>
      </c>
      <c r="D162" s="14">
        <f>C162/22.0462262</f>
        <v>99.56352529849303</v>
      </c>
      <c r="E162" s="18">
        <f>LN(B162/B161)</f>
        <v>-0.00020865936434603686</v>
      </c>
      <c r="F162" s="18">
        <f>LN(C162/C161)</f>
        <v>-0.014922275537902955</v>
      </c>
    </row>
    <row r="163">
      <c r="A163" s="6" t="s">
        <v>718</v>
      </c>
      <c r="B163" s="14">
        <v>244.45</v>
      </c>
      <c r="C163" s="15">
        <v>2225</v>
      </c>
      <c r="D163" s="14">
        <f>C163/22.0462262</f>
        <v>100.92430240963418</v>
      </c>
      <c r="E163" s="18">
        <f>LN(B163/B162)</f>
        <v>0.02003992278336036</v>
      </c>
      <c r="F163" s="18">
        <f>LN(C163/C162)</f>
        <v>0.01357486909106885</v>
      </c>
    </row>
    <row r="164">
      <c r="A164" s="6" t="s">
        <v>719</v>
      </c>
      <c r="B164" s="14">
        <v>243.65</v>
      </c>
      <c r="C164" s="15">
        <v>2227</v>
      </c>
      <c r="D164" s="14">
        <f>C164/22.0462262</f>
        <v>101.01502088371025</v>
      </c>
      <c r="E164" s="18">
        <f>LN(B164/B163)</f>
        <v>-0.003278019735139351</v>
      </c>
      <c r="F164" s="18">
        <f>LN(C164/C163)</f>
        <v>0.0008984726570270302</v>
      </c>
    </row>
    <row r="165">
      <c r="A165" s="6" t="s">
        <v>720</v>
      </c>
      <c r="B165" s="14">
        <v>237.9</v>
      </c>
      <c r="C165" s="15">
        <v>2213</v>
      </c>
      <c r="D165" s="14">
        <f>C165/22.0462262</f>
        <v>100.37999156517772</v>
      </c>
      <c r="E165" s="18">
        <f>LN(B165/B164)</f>
        <v>-0.02388235198060319</v>
      </c>
      <c r="F165" s="18">
        <f>LN(C165/C164)</f>
        <v>-0.00630632720631797</v>
      </c>
    </row>
    <row r="166">
      <c r="A166" s="6" t="s">
        <v>721</v>
      </c>
      <c r="B166" s="14">
        <v>232.95</v>
      </c>
      <c r="C166" s="15">
        <v>2197</v>
      </c>
      <c r="D166" s="14">
        <f>C166/22.0462262</f>
        <v>99.65424377256912</v>
      </c>
      <c r="E166" s="18">
        <f>LN(B166/B165)</f>
        <v>-0.021026579046106258</v>
      </c>
      <c r="F166" s="18">
        <f>LN(C166/C165)</f>
        <v>-0.0072562676664394005</v>
      </c>
    </row>
    <row r="167">
      <c r="A167" s="6" t="s">
        <v>722</v>
      </c>
      <c r="B167" s="14">
        <v>237.9</v>
      </c>
      <c r="C167" s="15">
        <v>2237</v>
      </c>
      <c r="D167" s="14">
        <f>C167/22.0462262</f>
        <v>101.46861325409063</v>
      </c>
      <c r="E167" s="18">
        <f>LN(B167/B166)</f>
        <v>0.02102657904610637</v>
      </c>
      <c r="F167" s="18">
        <f>LN(C167/C166)</f>
        <v>0.018042889105519322</v>
      </c>
    </row>
    <row r="168">
      <c r="A168" s="6" t="s">
        <v>723</v>
      </c>
      <c r="B168" s="14">
        <v>238.9</v>
      </c>
      <c r="C168" s="15">
        <v>2191</v>
      </c>
      <c r="D168" s="14">
        <f>C168/22.0462262</f>
        <v>99.3820883503409</v>
      </c>
      <c r="E168" s="18">
        <f>LN(B168/B167)</f>
        <v>0.004194637022851828</v>
      </c>
      <c r="F168" s="18">
        <f>LN(C168/C167)</f>
        <v>-0.02077762189466313</v>
      </c>
    </row>
    <row r="169">
      <c r="A169" s="6" t="s">
        <v>724</v>
      </c>
      <c r="B169" s="14">
        <v>232.05</v>
      </c>
      <c r="C169" s="15">
        <v>2174</v>
      </c>
      <c r="D169" s="14">
        <f>C169/22.0462262</f>
        <v>98.61098132069425</v>
      </c>
      <c r="E169" s="18">
        <f>LN(B169/B168)</f>
        <v>-0.02909218864457904</v>
      </c>
      <c r="F169" s="18">
        <f>LN(C169/C168)</f>
        <v>-0.007789271914311807</v>
      </c>
    </row>
    <row r="170">
      <c r="A170" s="6" t="s">
        <v>725</v>
      </c>
      <c r="B170" s="14">
        <v>235.9</v>
      </c>
      <c r="C170" s="15">
        <v>2184</v>
      </c>
      <c r="D170" s="14">
        <f>C170/22.0462262</f>
        <v>99.06457369107463</v>
      </c>
      <c r="E170" s="18">
        <f>LN(B170/B169)</f>
        <v>0.016455120726444467</v>
      </c>
      <c r="F170" s="18">
        <f>LN(C170/C169)</f>
        <v>0.004589269183640905</v>
      </c>
    </row>
    <row r="171">
      <c r="A171" s="6" t="s">
        <v>726</v>
      </c>
      <c r="B171" s="14">
        <v>235.1</v>
      </c>
      <c r="C171" s="15">
        <v>2172</v>
      </c>
      <c r="D171" s="14">
        <f>C171/22.0462262</f>
        <v>98.52026284661817</v>
      </c>
      <c r="E171" s="18">
        <f>LN(B171/B170)</f>
        <v>-0.0033970308676055253</v>
      </c>
      <c r="F171" s="18">
        <f>LN(C171/C170)</f>
        <v>-0.0055096558109695845</v>
      </c>
    </row>
    <row r="172">
      <c r="A172" s="6" t="s">
        <v>727</v>
      </c>
      <c r="B172" s="14">
        <v>236.7</v>
      </c>
      <c r="C172" s="15">
        <v>2176</v>
      </c>
      <c r="D172" s="14">
        <f>C172/22.0462262</f>
        <v>98.70169979477032</v>
      </c>
      <c r="E172" s="18">
        <f>LN(B172/B171)</f>
        <v>0.006782560973914375</v>
      </c>
      <c r="F172" s="18">
        <f>LN(C172/C171)</f>
        <v>0.0018399269220072951</v>
      </c>
    </row>
    <row r="173">
      <c r="A173" s="6" t="s">
        <v>728</v>
      </c>
      <c r="B173" s="14">
        <v>238.8</v>
      </c>
      <c r="C173" s="15">
        <v>2198</v>
      </c>
      <c r="D173" s="14">
        <f>C173/22.0462262</f>
        <v>99.69960300960715</v>
      </c>
      <c r="E173" s="18">
        <f>LN(B173/B172)</f>
        <v>0.008832864998508884</v>
      </c>
      <c r="F173" s="18">
        <f>LN(C173/C172)</f>
        <v>0.010059526987733335</v>
      </c>
    </row>
    <row r="174">
      <c r="A174" s="6" t="s">
        <v>729</v>
      </c>
      <c r="B174" s="14">
        <v>243.9</v>
      </c>
      <c r="C174" s="15">
        <v>2220</v>
      </c>
      <c r="D174" s="14">
        <f>C174/22.0462262</f>
        <v>100.69750622444398</v>
      </c>
      <c r="E174" s="18">
        <f>LN(B174/B173)</f>
        <v>0.02113192370342764</v>
      </c>
      <c r="F174" s="18">
        <f>LN(C174/C173)</f>
        <v>0.009959339902758487</v>
      </c>
    </row>
    <row r="175">
      <c r="A175" s="6" t="s">
        <v>730</v>
      </c>
      <c r="B175" s="14">
        <v>241.85</v>
      </c>
      <c r="C175" s="15">
        <v>2213</v>
      </c>
      <c r="D175" s="14">
        <f>C175/22.0462262</f>
        <v>100.37999156517772</v>
      </c>
      <c r="E175" s="18">
        <f>LN(B175/B174)</f>
        <v>-0.008440605952882388</v>
      </c>
      <c r="F175" s="18">
        <f>LN(C175/C174)</f>
        <v>-0.0031581348152754387</v>
      </c>
    </row>
    <row r="176">
      <c r="A176" s="6" t="s">
        <v>731</v>
      </c>
      <c r="B176" s="14">
        <v>241.65</v>
      </c>
      <c r="C176" s="15">
        <v>2218</v>
      </c>
      <c r="D176" s="14">
        <f>C176/22.0462262</f>
        <v>100.60678775036791</v>
      </c>
      <c r="E176" s="18">
        <f>LN(B176/B175)</f>
        <v>-0.0008273009778990456</v>
      </c>
      <c r="F176" s="18">
        <f>LN(C176/C175)</f>
        <v>0.0022568278592625876</v>
      </c>
    </row>
    <row r="177">
      <c r="A177" s="6" t="s">
        <v>732</v>
      </c>
      <c r="B177" s="14">
        <v>248.95</v>
      </c>
      <c r="C177" s="15">
        <v>2234</v>
      </c>
      <c r="D177" s="14">
        <f>C177/22.0462262</f>
        <v>101.33253554297652</v>
      </c>
      <c r="E177" s="18">
        <f>LN(B177/B176)</f>
        <v>0.02976167479709866</v>
      </c>
      <c r="F177" s="18">
        <f>LN(C177/C176)</f>
        <v>0.007187811718833616</v>
      </c>
    </row>
    <row r="178">
      <c r="A178" s="6" t="s">
        <v>733</v>
      </c>
      <c r="B178" s="14">
        <v>258.35</v>
      </c>
      <c r="C178" s="15">
        <v>2259</v>
      </c>
      <c r="D178" s="14">
        <f>C178/22.0462262</f>
        <v>102.46651646892747</v>
      </c>
      <c r="E178" s="18">
        <f>LN(B178/B177)</f>
        <v>0.03706318164500197</v>
      </c>
      <c r="F178" s="18">
        <f>LN(C178/C177)</f>
        <v>0.011128536838857232</v>
      </c>
    </row>
    <row r="179">
      <c r="A179" s="6" t="s">
        <v>734</v>
      </c>
      <c r="B179" s="14">
        <v>255.2</v>
      </c>
      <c r="C179" s="15">
        <v>2263</v>
      </c>
      <c r="D179" s="14">
        <f>C179/22.0462262</f>
        <v>102.6479534170796</v>
      </c>
      <c r="E179" s="18">
        <f>LN(B179/B178)</f>
        <v>-0.012267703262558926</v>
      </c>
      <c r="F179" s="18">
        <f>LN(C179/C178)</f>
        <v>0.0017691291655341783</v>
      </c>
    </row>
    <row r="180">
      <c r="A180" s="6" t="s">
        <v>735</v>
      </c>
      <c r="B180" s="14">
        <v>251.65</v>
      </c>
      <c r="C180" s="15">
        <v>2270</v>
      </c>
      <c r="D180" s="14">
        <f>C180/22.0462262</f>
        <v>102.96546807634587</v>
      </c>
      <c r="E180" s="18">
        <f>LN(B180/B179)</f>
        <v>-0.014008318248265726</v>
      </c>
      <c r="F180" s="18">
        <f>LN(C180/C179)</f>
        <v>0.0030884648419108964</v>
      </c>
    </row>
    <row r="181">
      <c r="A181" s="6" t="s">
        <v>736</v>
      </c>
      <c r="B181" s="14">
        <v>247.55</v>
      </c>
      <c r="C181" s="15">
        <v>2243</v>
      </c>
      <c r="D181" s="14">
        <f>C181/22.0462262</f>
        <v>101.74076867631885</v>
      </c>
      <c r="E181" s="18">
        <f>LN(B181/B180)</f>
        <v>-0.016426651414936915</v>
      </c>
      <c r="F181" s="18">
        <f>LN(C181/C180)</f>
        <v>-0.01196557595524</v>
      </c>
    </row>
    <row r="182">
      <c r="A182" s="6" t="s">
        <v>737</v>
      </c>
      <c r="B182" s="14">
        <v>251.85</v>
      </c>
      <c r="C182" s="15">
        <v>2265</v>
      </c>
      <c r="D182" s="14">
        <f>C182/22.0462262</f>
        <v>102.73867189115569</v>
      </c>
      <c r="E182" s="18">
        <f>LN(B182/B181)</f>
        <v>0.017221090384227457</v>
      </c>
      <c r="F182" s="18">
        <f>LN(C182/C181)</f>
        <v>0.009760503396926136</v>
      </c>
    </row>
    <row r="183">
      <c r="A183" s="6" t="s">
        <v>738</v>
      </c>
      <c r="B183" s="14">
        <v>252.25</v>
      </c>
      <c r="C183" s="15">
        <v>2274</v>
      </c>
      <c r="D183" s="14">
        <f>C183/22.0462262</f>
        <v>103.14690502449803</v>
      </c>
      <c r="E183" s="18">
        <f>LN(B183/B182)</f>
        <v>0.001586987042058839</v>
      </c>
      <c r="F183" s="18">
        <f>LN(C183/C182)</f>
        <v>0.003965636393346885</v>
      </c>
    </row>
    <row r="184">
      <c r="A184" s="6" t="s">
        <v>739</v>
      </c>
      <c r="B184" s="14">
        <v>251.5</v>
      </c>
      <c r="C184" s="15">
        <v>2274</v>
      </c>
      <c r="D184" s="14">
        <f>C184/22.0462262</f>
        <v>103.14690502449803</v>
      </c>
      <c r="E184" s="18">
        <f>LN(B184/B183)</f>
        <v>-0.002977669693924392</v>
      </c>
      <c r="F184" s="18">
        <f>LN(C184/C183)</f>
        <v>0</v>
      </c>
    </row>
    <row r="185">
      <c r="A185" s="6" t="s">
        <v>740</v>
      </c>
      <c r="B185" s="14">
        <v>246.85</v>
      </c>
      <c r="C185" s="15">
        <v>2255</v>
      </c>
      <c r="D185" s="14">
        <f>C185/22.0462262</f>
        <v>102.28507952077531</v>
      </c>
      <c r="E185" s="18">
        <f>LN(B185/B184)</f>
        <v>-0.01866212483492205</v>
      </c>
      <c r="F185" s="18">
        <f>LN(C185/C184)</f>
        <v>-0.008390422373702577</v>
      </c>
    </row>
    <row r="186">
      <c r="A186" s="6" t="s">
        <v>741</v>
      </c>
      <c r="B186" s="14">
        <v>248.45</v>
      </c>
      <c r="C186" s="15">
        <v>2260</v>
      </c>
      <c r="D186" s="14">
        <f>C186/22.0462262</f>
        <v>102.5118757059655</v>
      </c>
      <c r="E186" s="18">
        <f>LN(B186/B185)</f>
        <v>0.006460753343457617</v>
      </c>
      <c r="F186" s="18">
        <f>LN(C186/C185)</f>
        <v>0.0022148403295528213</v>
      </c>
    </row>
    <row r="187">
      <c r="A187" s="6" t="s">
        <v>742</v>
      </c>
      <c r="B187" s="14">
        <v>248.6</v>
      </c>
      <c r="C187" s="15">
        <v>2234</v>
      </c>
      <c r="D187" s="14">
        <f>C187/22.0462262</f>
        <v>101.33253554297652</v>
      </c>
      <c r="E187" s="18">
        <f>LN(B187/B186)</f>
        <v>0.0006035610282811614</v>
      </c>
      <c r="F187" s="18">
        <f>LN(C187/C186)</f>
        <v>-0.011571112637185495</v>
      </c>
    </row>
    <row r="188">
      <c r="A188" s="6" t="s">
        <v>743</v>
      </c>
      <c r="B188" s="14">
        <v>239.35</v>
      </c>
      <c r="C188" s="15">
        <v>2179</v>
      </c>
      <c r="D188" s="14">
        <f>C188/22.0462262</f>
        <v>98.83777750588443</v>
      </c>
      <c r="E188" s="18">
        <f>LN(B188/B187)</f>
        <v>-0.037918263238092706</v>
      </c>
      <c r="F188" s="18">
        <f>LN(C188/C187)</f>
        <v>-0.024927644684526188</v>
      </c>
    </row>
    <row r="189">
      <c r="A189" s="6" t="s">
        <v>744</v>
      </c>
      <c r="B189" s="14">
        <v>240.05</v>
      </c>
      <c r="C189" s="15">
        <v>2178</v>
      </c>
      <c r="D189" s="14">
        <f>C189/22.0462262</f>
        <v>98.79241826884639</v>
      </c>
      <c r="E189" s="18">
        <f>LN(B189/B188)</f>
        <v>0.0029203191384312875</v>
      </c>
      <c r="F189" s="18">
        <f>LN(C189/C188)</f>
        <v>-0.0004590314517140457</v>
      </c>
    </row>
    <row r="190">
      <c r="A190" s="6" t="s">
        <v>745</v>
      </c>
      <c r="B190" s="14">
        <v>234.25</v>
      </c>
      <c r="C190" s="15">
        <v>2090</v>
      </c>
      <c r="D190" s="14">
        <f>C190/22.0462262</f>
        <v>94.80080540949906</v>
      </c>
      <c r="E190" s="18">
        <f>LN(B190/B189)</f>
        <v>-0.02445831385841782</v>
      </c>
      <c r="F190" s="18">
        <f>LN(C190/C189)</f>
        <v>-0.041242958534049134</v>
      </c>
    </row>
    <row r="191">
      <c r="A191" s="6" t="s">
        <v>746</v>
      </c>
      <c r="B191" s="14">
        <v>237.25</v>
      </c>
      <c r="C191" s="15">
        <v>2084</v>
      </c>
      <c r="D191" s="14">
        <f>C191/22.0462262</f>
        <v>94.52864998727084</v>
      </c>
      <c r="E191" s="18">
        <f>LN(B191/B190)</f>
        <v>0.012725516371505641</v>
      </c>
      <c r="F191" s="18">
        <f>LN(C191/C190)</f>
        <v>-0.0028749420855990995</v>
      </c>
    </row>
    <row r="192">
      <c r="A192" s="6" t="s">
        <v>747</v>
      </c>
      <c r="B192" s="14">
        <v>230.45</v>
      </c>
      <c r="C192" s="15">
        <v>2030</v>
      </c>
      <c r="D192" s="14">
        <f>C192/22.0462262</f>
        <v>92.0792511872168</v>
      </c>
      <c r="E192" s="18">
        <f>LN(B192/B191)</f>
        <v>-0.02908051832351999</v>
      </c>
      <c r="F192" s="18">
        <f>LN(C192/C191)</f>
        <v>-0.026253330837424576</v>
      </c>
    </row>
    <row r="193">
      <c r="A193" s="6" t="s">
        <v>748</v>
      </c>
      <c r="B193" s="14">
        <v>224.15</v>
      </c>
      <c r="C193" s="15">
        <v>2013</v>
      </c>
      <c r="D193" s="14">
        <f>C193/22.0462262</f>
        <v>91.30814415757015</v>
      </c>
      <c r="E193" s="18">
        <f>LN(B193/B192)</f>
        <v>-0.02771844856506872</v>
      </c>
      <c r="F193" s="18">
        <f>LN(C193/C192)</f>
        <v>-0.008409646396041533</v>
      </c>
    </row>
    <row r="194">
      <c r="A194" s="6" t="s">
        <v>749</v>
      </c>
      <c r="B194" s="14">
        <v>224.15</v>
      </c>
      <c r="C194" s="15">
        <v>2038</v>
      </c>
      <c r="D194" s="14">
        <f>C194/22.0462262</f>
        <v>92.4421250835211</v>
      </c>
      <c r="E194" s="18">
        <f>LN(B194/B193)</f>
        <v>0</v>
      </c>
      <c r="F194" s="18">
        <f>LN(C194/C193)</f>
        <v>0.012342788142878732</v>
      </c>
    </row>
    <row r="195">
      <c r="A195" s="6" t="s">
        <v>750</v>
      </c>
      <c r="B195" s="14">
        <v>225.5</v>
      </c>
      <c r="C195" s="15">
        <v>2035</v>
      </c>
      <c r="D195" s="14">
        <f>C195/22.0462262</f>
        <v>92.30604737240698</v>
      </c>
      <c r="E195" s="18">
        <f>LN(B195/B194)</f>
        <v>0.006004688341284418</v>
      </c>
      <c r="F195" s="18">
        <f>LN(C195/C194)</f>
        <v>-0.001473115905974782</v>
      </c>
    </row>
    <row r="196">
      <c r="A196" s="6" t="s">
        <v>751</v>
      </c>
      <c r="B196" s="14">
        <v>234.05</v>
      </c>
      <c r="C196" s="15">
        <v>2094</v>
      </c>
      <c r="D196" s="14">
        <f>C196/22.0462262</f>
        <v>94.98224235765122</v>
      </c>
      <c r="E196" s="18">
        <f>LN(B196/B195)</f>
        <v>0.03721460880334669</v>
      </c>
      <c r="F196" s="18">
        <f>LN(C196/C195)</f>
        <v>0.028580293553786808</v>
      </c>
    </row>
    <row r="197">
      <c r="A197" s="6" t="s">
        <v>752</v>
      </c>
      <c r="B197" s="14">
        <v>230.45</v>
      </c>
      <c r="C197" s="15">
        <v>2117</v>
      </c>
      <c r="D197" s="14">
        <f>C197/22.0462262</f>
        <v>96.02550480952608</v>
      </c>
      <c r="E197" s="18">
        <f>LN(B197/B196)</f>
        <v>-0.01550084857956242</v>
      </c>
      <c r="F197" s="18">
        <f>LN(C197/C196)</f>
        <v>0.010923879704383008</v>
      </c>
    </row>
    <row r="198">
      <c r="A198" s="6" t="s">
        <v>753</v>
      </c>
      <c r="B198" s="14">
        <v>225.2</v>
      </c>
      <c r="C198" s="15">
        <v>2093</v>
      </c>
      <c r="D198" s="14">
        <f>C198/22.0462262</f>
        <v>94.93688312061317</v>
      </c>
      <c r="E198" s="18">
        <f>LN(B198/B197)</f>
        <v>-0.023045022900981954</v>
      </c>
      <c r="F198" s="18">
        <f>LN(C198/C197)</f>
        <v>-0.01140154868886538</v>
      </c>
    </row>
    <row r="199">
      <c r="A199" s="6" t="s">
        <v>754</v>
      </c>
      <c r="B199" s="14">
        <v>222.95</v>
      </c>
      <c r="C199" s="15">
        <v>2095</v>
      </c>
      <c r="D199" s="14">
        <f>C199/22.0462262</f>
        <v>95.02760159468926</v>
      </c>
      <c r="E199" s="18">
        <f>LN(B199/B198)</f>
        <v>-0.010041365192049626</v>
      </c>
      <c r="F199" s="18">
        <f>LN(C199/C198)</f>
        <v>0.0009551099102383413</v>
      </c>
    </row>
    <row r="200">
      <c r="A200" s="6" t="s">
        <v>755</v>
      </c>
      <c r="B200" s="14">
        <v>219.65</v>
      </c>
      <c r="C200" s="15">
        <v>2115</v>
      </c>
      <c r="D200" s="14">
        <f>C200/22.0462262</f>
        <v>95.93478633545001</v>
      </c>
      <c r="E200" s="18">
        <f>LN(B200/B199)</f>
        <v>-0.014912160651697058</v>
      </c>
      <c r="F200" s="18">
        <f>LN(C200/C199)</f>
        <v>0.009501259124140215</v>
      </c>
    </row>
    <row r="201">
      <c r="A201" s="6" t="s">
        <v>756</v>
      </c>
      <c r="B201" s="14">
        <v>212.3</v>
      </c>
      <c r="C201" s="15">
        <v>2081</v>
      </c>
      <c r="D201" s="14">
        <f>C201/22.0462262</f>
        <v>94.39257227615673</v>
      </c>
      <c r="E201" s="18">
        <f>LN(B201/B200)</f>
        <v>-0.03403500171257818</v>
      </c>
      <c r="F201" s="18">
        <f>LN(C201/C200)</f>
        <v>-0.016206265086743943</v>
      </c>
    </row>
    <row r="202">
      <c r="A202" s="6" t="s">
        <v>757</v>
      </c>
      <c r="B202" s="14">
        <v>218.6</v>
      </c>
      <c r="C202" s="15">
        <v>2148</v>
      </c>
      <c r="D202" s="14">
        <f>C202/22.0462262</f>
        <v>97.43164115770526</v>
      </c>
      <c r="E202" s="18">
        <f>LN(B202/B201)</f>
        <v>0.02924320703322764</v>
      </c>
      <c r="F202" s="18">
        <f>LN(C202/C201)</f>
        <v>0.031688629235120946</v>
      </c>
    </row>
    <row r="203">
      <c r="A203" s="6" t="s">
        <v>758</v>
      </c>
      <c r="B203" s="14">
        <v>217.3</v>
      </c>
      <c r="C203" s="15">
        <v>2139</v>
      </c>
      <c r="D203" s="14">
        <f>C203/22.0462262</f>
        <v>97.02340802436292</v>
      </c>
      <c r="E203" s="18">
        <f>LN(B203/B202)</f>
        <v>-0.005964688480054196</v>
      </c>
      <c r="F203" s="18">
        <f>LN(C203/C202)</f>
        <v>-0.004198746546349716</v>
      </c>
    </row>
    <row r="204">
      <c r="A204" s="6" t="s">
        <v>759</v>
      </c>
      <c r="B204" s="14">
        <v>220.3</v>
      </c>
      <c r="C204" s="15">
        <v>2167</v>
      </c>
      <c r="D204" s="14">
        <f>C204/22.0462262</f>
        <v>98.29346666142798</v>
      </c>
      <c r="E204" s="18">
        <f>LN(B204/B203)</f>
        <v>0.01371136654591344</v>
      </c>
      <c r="F204" s="18">
        <f>LN(C204/C203)</f>
        <v>0.013005292453953458</v>
      </c>
    </row>
    <row r="205">
      <c r="A205" s="6" t="s">
        <v>760</v>
      </c>
      <c r="B205" s="14">
        <v>225.85</v>
      </c>
      <c r="C205" s="15">
        <v>2175</v>
      </c>
      <c r="D205" s="14">
        <f>C205/22.0462262</f>
        <v>98.65634055773228</v>
      </c>
      <c r="E205" s="18">
        <f>LN(B205/B204)</f>
        <v>0.024880808292315666</v>
      </c>
      <c r="F205" s="18">
        <f>LN(C205/C204)</f>
        <v>0.0036849419864253678</v>
      </c>
    </row>
    <row r="206">
      <c r="A206" s="6" t="s">
        <v>761</v>
      </c>
      <c r="B206" s="14">
        <v>225.05</v>
      </c>
      <c r="C206" s="15">
        <v>2170</v>
      </c>
      <c r="D206" s="14">
        <f>C206/22.0462262</f>
        <v>98.4295443725421</v>
      </c>
      <c r="E206" s="18">
        <f>LN(B206/B205)</f>
        <v>-0.0035484623616713886</v>
      </c>
      <c r="F206" s="18">
        <f>LN(C206/C205)</f>
        <v>-0.0023014969882792745</v>
      </c>
    </row>
    <row r="207">
      <c r="A207" s="6" t="s">
        <v>762</v>
      </c>
      <c r="B207" s="14">
        <v>225.3</v>
      </c>
      <c r="C207" s="15">
        <v>2139</v>
      </c>
      <c r="D207" s="14">
        <f>C207/22.0462262</f>
        <v>97.02340802436292</v>
      </c>
      <c r="E207" s="18">
        <f>LN(B207/B206)</f>
        <v>0.001110247699256961</v>
      </c>
      <c r="F207" s="18">
        <f>LN(C207/C206)</f>
        <v>-0.014388737452099556</v>
      </c>
    </row>
    <row r="208">
      <c r="A208" s="6" t="s">
        <v>763</v>
      </c>
      <c r="B208" s="14">
        <v>221.85</v>
      </c>
      <c r="C208" s="15">
        <v>2136</v>
      </c>
      <c r="D208" s="14">
        <f>C208/22.0462262</f>
        <v>96.88733031324881</v>
      </c>
      <c r="E208" s="18">
        <f>LN(B208/B207)</f>
        <v>-0.015431369613280317</v>
      </c>
      <c r="F208" s="18">
        <f>LN(C208/C207)</f>
        <v>-0.001403509002320198</v>
      </c>
    </row>
    <row r="209">
      <c r="A209" s="6" t="s">
        <v>764</v>
      </c>
      <c r="B209" s="14">
        <v>221.85</v>
      </c>
      <c r="C209" s="15">
        <v>2148</v>
      </c>
      <c r="D209" s="14">
        <f>C209/22.0462262</f>
        <v>97.43164115770526</v>
      </c>
      <c r="E209" s="18">
        <f>LN(B209/B208)</f>
        <v>0</v>
      </c>
      <c r="F209" s="18">
        <f>LN(C209/C208)</f>
        <v>0.0056022555486697516</v>
      </c>
    </row>
    <row r="210">
      <c r="A210" s="6" t="s">
        <v>765</v>
      </c>
      <c r="B210" s="14">
        <v>214.55</v>
      </c>
      <c r="C210" s="15">
        <v>2124</v>
      </c>
      <c r="D210" s="14">
        <f>C210/22.0462262</f>
        <v>96.34301946879235</v>
      </c>
      <c r="E210" s="18">
        <f>LN(B210/B209)</f>
        <v>-0.033458666387384664</v>
      </c>
      <c r="F210" s="18">
        <f>LN(C210/C209)</f>
        <v>-0.011236073266925842</v>
      </c>
    </row>
    <row r="211">
      <c r="A211" s="6" t="s">
        <v>766</v>
      </c>
      <c r="B211" s="14">
        <v>215.7</v>
      </c>
      <c r="C211" s="15">
        <v>2115</v>
      </c>
      <c r="D211" s="14">
        <f>C211/22.0462262</f>
        <v>95.93478633545001</v>
      </c>
      <c r="E211" s="18">
        <f>LN(B211/B210)</f>
        <v>0.005345741957576868</v>
      </c>
      <c r="F211" s="18">
        <f>LN(C211/C210)</f>
        <v>-0.004246290881451097</v>
      </c>
    </row>
    <row r="212">
      <c r="A212" s="6" t="s">
        <v>767</v>
      </c>
      <c r="B212" s="14">
        <v>221.85</v>
      </c>
      <c r="C212" s="15">
        <v>2140</v>
      </c>
      <c r="D212" s="14">
        <f>C212/22.0462262</f>
        <v>97.06876726140096</v>
      </c>
      <c r="E212" s="18">
        <f>LN(B212/B211)</f>
        <v>0.028112924429807732</v>
      </c>
      <c r="F212" s="18">
        <f>LN(C212/C211)</f>
        <v>0.01175101653551873</v>
      </c>
    </row>
    <row r="213">
      <c r="A213" s="6" t="s">
        <v>768</v>
      </c>
      <c r="B213" s="14">
        <v>226.4</v>
      </c>
      <c r="C213" s="15">
        <v>2152</v>
      </c>
      <c r="D213" s="14">
        <f>C213/22.0462262</f>
        <v>97.61307810585741</v>
      </c>
      <c r="E213" s="18">
        <f>LN(B213/B212)</f>
        <v>0.020301868504109505</v>
      </c>
      <c r="F213" s="18">
        <f>LN(C213/C212)</f>
        <v>0.0055918132657779345</v>
      </c>
    </row>
    <row r="214">
      <c r="A214" s="6" t="s">
        <v>769</v>
      </c>
      <c r="B214" s="14">
        <v>228.4</v>
      </c>
      <c r="C214" s="15">
        <v>2130</v>
      </c>
      <c r="D214" s="14">
        <f>C214/22.0462262</f>
        <v>96.61517489102057</v>
      </c>
      <c r="E214" s="18">
        <f>LN(B214/B213)</f>
        <v>0.008795131452827345</v>
      </c>
      <c r="F214" s="18">
        <f>LN(C214/C213)</f>
        <v>-0.010275662578204187</v>
      </c>
    </row>
    <row r="215">
      <c r="A215" s="6" t="s">
        <v>770</v>
      </c>
      <c r="B215" s="14">
        <v>230.6</v>
      </c>
      <c r="C215" s="15">
        <v>2122</v>
      </c>
      <c r="D215" s="14">
        <f>C215/22.0462262</f>
        <v>96.25230099471628</v>
      </c>
      <c r="E215" s="18">
        <f>LN(B215/B214)</f>
        <v>0.009586130053103551</v>
      </c>
      <c r="F215" s="18">
        <f>LN(C215/C214)</f>
        <v>-0.003762939529542384</v>
      </c>
    </row>
    <row r="216">
      <c r="A216" s="6" t="s">
        <v>771</v>
      </c>
      <c r="B216" s="14">
        <v>231.3</v>
      </c>
      <c r="C216" s="15">
        <v>2110</v>
      </c>
      <c r="D216" s="14">
        <f>C216/22.0462262</f>
        <v>95.70799015025982</v>
      </c>
      <c r="E216" s="18">
        <f>LN(B216/B215)</f>
        <v>0.0030309614024349304</v>
      </c>
      <c r="F216" s="18">
        <f>LN(C216/C215)</f>
        <v>-0.00567109270381628</v>
      </c>
    </row>
    <row r="217">
      <c r="A217" s="6" t="s">
        <v>772</v>
      </c>
      <c r="B217" s="14">
        <v>227.6</v>
      </c>
      <c r="C217" s="15">
        <v>2090</v>
      </c>
      <c r="D217" s="14">
        <f>C217/22.0462262</f>
        <v>94.80080540949906</v>
      </c>
      <c r="E217" s="18">
        <f>LN(B217/B216)</f>
        <v>-0.016125866985217695</v>
      </c>
      <c r="F217" s="18">
        <f>LN(C217/C216)</f>
        <v>-0.009523881511255479</v>
      </c>
    </row>
    <row r="218">
      <c r="A218" s="6" t="s">
        <v>773</v>
      </c>
      <c r="B218" s="14">
        <v>226.15</v>
      </c>
      <c r="C218" s="15">
        <v>2066</v>
      </c>
      <c r="D218" s="14">
        <f>C218/22.0462262</f>
        <v>93.71218372058615</v>
      </c>
      <c r="E218" s="18">
        <f>LN(B218/B217)</f>
        <v>-0.006391206328323606</v>
      </c>
      <c r="F218" s="18">
        <f>LN(C218/C217)</f>
        <v>-0.011549695279272848</v>
      </c>
    </row>
    <row r="219">
      <c r="A219" s="6" t="s">
        <v>774</v>
      </c>
      <c r="B219" s="14">
        <v>231.65</v>
      </c>
      <c r="C219" s="15">
        <v>2096</v>
      </c>
      <c r="D219" s="14">
        <f>C219/22.0462262</f>
        <v>95.07296083172729</v>
      </c>
      <c r="E219" s="18">
        <f>LN(B219/B218)</f>
        <v>0.02402911593880521</v>
      </c>
      <c r="F219" s="18">
        <f>LN(C219/C218)</f>
        <v>0.014416395761348873</v>
      </c>
    </row>
    <row r="220">
      <c r="A220" s="6" t="s">
        <v>775</v>
      </c>
      <c r="B220" s="14">
        <v>236.6</v>
      </c>
      <c r="C220" s="15">
        <v>2117</v>
      </c>
      <c r="D220" s="14">
        <f>C220/22.0462262</f>
        <v>96.02550480952608</v>
      </c>
      <c r="E220" s="18">
        <f>LN(B220/B219)</f>
        <v>0.021143339681629063</v>
      </c>
      <c r="F220" s="18">
        <f>LN(C220/C219)</f>
        <v>0.00996922569393233</v>
      </c>
    </row>
    <row r="221">
      <c r="A221" s="6" t="s">
        <v>776</v>
      </c>
      <c r="B221" s="14">
        <v>233.6</v>
      </c>
      <c r="C221" s="15">
        <v>2111</v>
      </c>
      <c r="D221" s="14">
        <f>C221/22.0462262</f>
        <v>95.75334938729786</v>
      </c>
      <c r="E221" s="18">
        <f>LN(B221/B220)</f>
        <v>-0.01276070059021446</v>
      </c>
      <c r="F221" s="18">
        <f>LN(C221/C220)</f>
        <v>-0.002838223286544508</v>
      </c>
    </row>
    <row r="222">
      <c r="A222" s="6" t="s">
        <v>777</v>
      </c>
      <c r="B222" s="14">
        <v>225.05</v>
      </c>
      <c r="C222" s="15">
        <v>2105</v>
      </c>
      <c r="D222" s="14">
        <f>C222/22.0462262</f>
        <v>95.48119396506964</v>
      </c>
      <c r="E222" s="18">
        <f>LN(B222/B221)</f>
        <v>-0.03728765121513025</v>
      </c>
      <c r="F222" s="18">
        <f>LN(C222/C221)</f>
        <v>-0.002846301731838806</v>
      </c>
    </row>
    <row r="223">
      <c r="A223" s="6" t="s">
        <v>778</v>
      </c>
      <c r="B223" s="14">
        <v>223.6</v>
      </c>
      <c r="C223" s="15">
        <v>2099</v>
      </c>
      <c r="D223" s="14">
        <f>C223/22.0462262</f>
        <v>95.20903854284141</v>
      </c>
      <c r="E223" s="18">
        <f>LN(B223/B222)</f>
        <v>-0.006463858457997626</v>
      </c>
      <c r="F223" s="18">
        <f>LN(C223/C222)</f>
        <v>-0.002854426295848769</v>
      </c>
    </row>
    <row r="224">
      <c r="A224" s="6" t="s">
        <v>779</v>
      </c>
      <c r="B224" s="14">
        <v>221.3</v>
      </c>
      <c r="C224" s="15">
        <v>2088</v>
      </c>
      <c r="D224" s="14">
        <f>C224/22.0462262</f>
        <v>94.71008693542299</v>
      </c>
      <c r="E224" s="18">
        <f>LN(B224/B223)</f>
        <v>-0.010339494223939991</v>
      </c>
      <c r="F224" s="18">
        <f>LN(C224/C223)</f>
        <v>-0.0052543708181036815</v>
      </c>
    </row>
    <row r="225">
      <c r="A225" s="6" t="s">
        <v>780</v>
      </c>
      <c r="B225" s="14">
        <v>218.8</v>
      </c>
      <c r="C225" s="15">
        <v>2092</v>
      </c>
      <c r="D225" s="14">
        <f>C225/22.0462262</f>
        <v>94.89152388357515</v>
      </c>
      <c r="E225" s="18">
        <f>LN(B225/B224)</f>
        <v>-0.011361176509177784</v>
      </c>
      <c r="F225" s="18">
        <f>LN(C225/C224)</f>
        <v>0.0019138761822841976</v>
      </c>
    </row>
    <row r="226">
      <c r="A226" s="6" t="s">
        <v>781</v>
      </c>
      <c r="B226" s="14">
        <v>228.15</v>
      </c>
      <c r="C226" s="15">
        <v>2114</v>
      </c>
      <c r="D226" s="14">
        <f>C226/22.0462262</f>
        <v>95.88942709841197</v>
      </c>
      <c r="E226" s="18">
        <f>LN(B226/B225)</f>
        <v>0.04184523682558533</v>
      </c>
      <c r="F226" s="18">
        <f>LN(C226/C225)</f>
        <v>0.010461341245369331</v>
      </c>
    </row>
    <row r="227">
      <c r="A227" s="6" t="s">
        <v>782</v>
      </c>
      <c r="B227" s="14">
        <v>227.3</v>
      </c>
      <c r="C227" s="15">
        <v>2116</v>
      </c>
      <c r="D227" s="14">
        <f>C227/22.0462262</f>
        <v>95.98014557248806</v>
      </c>
      <c r="E227" s="18">
        <f>LN(B227/B226)</f>
        <v>-0.003732576514914038</v>
      </c>
      <c r="F227" s="18">
        <f>LN(C227/C226)</f>
        <v>0.0009456265480070302</v>
      </c>
    </row>
    <row r="228">
      <c r="A228" s="6" t="s">
        <v>783</v>
      </c>
      <c r="B228" s="14">
        <v>220.8</v>
      </c>
      <c r="C228" s="15">
        <v>2066</v>
      </c>
      <c r="D228" s="14">
        <f>C228/22.0462262</f>
        <v>93.71218372058615</v>
      </c>
      <c r="E228" s="18">
        <f>LN(B228/B227)</f>
        <v>-0.029013416455557283</v>
      </c>
      <c r="F228" s="18">
        <f>LN(C228/C227)</f>
        <v>-0.023913143298606148</v>
      </c>
    </row>
    <row r="229">
      <c r="A229" s="6" t="s">
        <v>784</v>
      </c>
      <c r="B229" s="14">
        <v>221.4</v>
      </c>
      <c r="C229" s="15">
        <v>2054</v>
      </c>
      <c r="D229" s="14">
        <f>C229/22.0462262</f>
        <v>93.1678728761297</v>
      </c>
      <c r="E229" s="18">
        <f>LN(B229/B228)</f>
        <v>0.0027137058715963258</v>
      </c>
      <c r="F229" s="18">
        <f>LN(C229/C228)</f>
        <v>-0.005825259191080295</v>
      </c>
    </row>
    <row r="230">
      <c r="A230" s="6" t="s">
        <v>785</v>
      </c>
      <c r="B230" s="14">
        <v>215.95</v>
      </c>
      <c r="C230" s="15">
        <v>2032</v>
      </c>
      <c r="D230" s="14">
        <f>C230/22.0462262</f>
        <v>92.16996966129287</v>
      </c>
      <c r="E230" s="18">
        <f>LN(B230/B229)</f>
        <v>-0.024924120867826468</v>
      </c>
      <c r="F230" s="18">
        <f>LN(C230/C229)</f>
        <v>-0.010768581790131009</v>
      </c>
    </row>
    <row r="231">
      <c r="A231" s="6" t="s">
        <v>786</v>
      </c>
      <c r="B231" s="14">
        <v>217.9</v>
      </c>
      <c r="C231" s="15">
        <v>2089</v>
      </c>
      <c r="D231" s="14">
        <f>C231/22.0462262</f>
        <v>94.75544617246103</v>
      </c>
      <c r="E231" s="18">
        <f>LN(B231/B230)</f>
        <v>0.008989342543864104</v>
      </c>
      <c r="F231" s="18">
        <f>LN(C231/C230)</f>
        <v>0.027664952858193335</v>
      </c>
    </row>
    <row r="232">
      <c r="A232" s="6" t="s">
        <v>787</v>
      </c>
      <c r="B232" s="14">
        <v>222.55</v>
      </c>
      <c r="C232" s="15">
        <v>2107</v>
      </c>
      <c r="D232" s="14">
        <f>C232/22.0462262</f>
        <v>95.5719124391457</v>
      </c>
      <c r="E232" s="18">
        <f>LN(B232/B231)</f>
        <v>0.021115553511289065</v>
      </c>
      <c r="F232" s="18">
        <f>LN(C232/C231)</f>
        <v>0.008579652247623254</v>
      </c>
    </row>
    <row r="233">
      <c r="A233" s="6" t="s">
        <v>788</v>
      </c>
      <c r="B233" s="14">
        <v>218.2</v>
      </c>
      <c r="C233" s="15">
        <v>2115</v>
      </c>
      <c r="D233" s="14">
        <f>C233/22.0462262</f>
        <v>95.93478633545001</v>
      </c>
      <c r="E233" s="18">
        <f>LN(B233/B232)</f>
        <v>-0.019739722062892956</v>
      </c>
      <c r="F233" s="18">
        <f>LN(C233/C232)</f>
        <v>0.0037896776761893354</v>
      </c>
    </row>
    <row r="234">
      <c r="A234" s="6" t="s">
        <v>789</v>
      </c>
      <c r="B234" s="14">
        <v>221.2</v>
      </c>
      <c r="C234" s="15">
        <v>2137</v>
      </c>
      <c r="D234" s="14">
        <f>C234/22.0462262</f>
        <v>96.93268955028684</v>
      </c>
      <c r="E234" s="18">
        <f>LN(B234/B233)</f>
        <v>0.013655196249209361</v>
      </c>
      <c r="F234" s="18">
        <f>LN(C234/C233)</f>
        <v>0.01034816383876929</v>
      </c>
    </row>
    <row r="235">
      <c r="A235" s="6" t="s">
        <v>790</v>
      </c>
      <c r="B235" s="14">
        <v>218.4</v>
      </c>
      <c r="C235" s="15">
        <v>2136</v>
      </c>
      <c r="D235" s="14">
        <f>C235/22.0462262</f>
        <v>96.88733031324881</v>
      </c>
      <c r="E235" s="18">
        <f>LN(B235/B234)</f>
        <v>-0.012739025777429714</v>
      </c>
      <c r="F235" s="18">
        <f>LN(C235/C234)</f>
        <v>-0.0004680552390621538</v>
      </c>
    </row>
    <row r="236">
      <c r="A236" s="6" t="s">
        <v>791</v>
      </c>
      <c r="B236" s="14">
        <v>211.6</v>
      </c>
      <c r="C236" s="15">
        <v>2083</v>
      </c>
      <c r="D236" s="14">
        <f>C236/22.0462262</f>
        <v>94.4832907502328</v>
      </c>
      <c r="E236" s="18">
        <f>LN(B236/B235)</f>
        <v>-0.03163054388660566</v>
      </c>
      <c r="F236" s="18">
        <f>LN(C236/C235)</f>
        <v>-0.025125758819113497</v>
      </c>
    </row>
    <row r="237">
      <c r="A237" s="6" t="s">
        <v>792</v>
      </c>
      <c r="B237" s="14">
        <v>206.3</v>
      </c>
      <c r="C237" s="15">
        <v>2020</v>
      </c>
      <c r="D237" s="14">
        <f>C237/22.0462262</f>
        <v>91.62565881683642</v>
      </c>
      <c r="E237" s="18">
        <f>LN(B237/B236)</f>
        <v>-0.025366279906938138</v>
      </c>
      <c r="F237" s="18">
        <f>LN(C237/C236)</f>
        <v>-0.030711650865721567</v>
      </c>
    </row>
    <row r="238">
      <c r="A238" s="6" t="s">
        <v>793</v>
      </c>
      <c r="B238" s="14">
        <v>204</v>
      </c>
      <c r="C238" s="15">
        <v>2009</v>
      </c>
      <c r="D238" s="14">
        <f>C238/22.0462262</f>
        <v>91.126707209418</v>
      </c>
      <c r="E238" s="18">
        <f>LN(B238/B237)</f>
        <v>-0.011211426232989836</v>
      </c>
      <c r="F238" s="18">
        <f>LN(C238/C237)</f>
        <v>-0.005460425580316035</v>
      </c>
    </row>
    <row r="239">
      <c r="A239" s="6" t="s">
        <v>794</v>
      </c>
      <c r="B239" s="14">
        <v>220.1</v>
      </c>
      <c r="C239" s="15">
        <v>2078</v>
      </c>
      <c r="D239" s="14">
        <f>C239/22.0462262</f>
        <v>94.25649456504262</v>
      </c>
      <c r="E239" s="18">
        <f>LN(B239/B238)</f>
        <v>0.07596199468819954</v>
      </c>
      <c r="F239" s="18">
        <f>LN(C239/C238)</f>
        <v>0.0337688068442382</v>
      </c>
    </row>
    <row r="240">
      <c r="A240" s="6" t="s">
        <v>795</v>
      </c>
      <c r="B240" s="14">
        <v>215</v>
      </c>
      <c r="C240" s="15">
        <v>2058</v>
      </c>
      <c r="D240" s="14">
        <f>C240/22.0462262</f>
        <v>93.34930982428186</v>
      </c>
      <c r="E240" s="18">
        <f>LN(B240/B239)</f>
        <v>-0.02344396040475316</v>
      </c>
      <c r="F240" s="18">
        <f>LN(C240/C239)</f>
        <v>-0.00967125526517775</v>
      </c>
    </row>
    <row r="241">
      <c r="A241" s="6" t="s">
        <v>796</v>
      </c>
      <c r="B241" s="14">
        <v>212.9</v>
      </c>
      <c r="C241" s="15">
        <v>2040</v>
      </c>
      <c r="D241" s="14">
        <f>C241/22.0462262</f>
        <v>92.53284355759718</v>
      </c>
      <c r="E241" s="18">
        <f>LN(B241/B240)</f>
        <v>-0.00981545622822897</v>
      </c>
      <c r="F241" s="18">
        <f>LN(C241/C240)</f>
        <v>-0.008784829555732803</v>
      </c>
    </row>
    <row r="242">
      <c r="A242" s="6" t="s">
        <v>797</v>
      </c>
      <c r="B242" s="14">
        <v>225.8</v>
      </c>
      <c r="C242" s="15">
        <v>2087</v>
      </c>
      <c r="D242" s="14">
        <f>C242/22.0462262</f>
        <v>94.66472769838495</v>
      </c>
      <c r="E242" s="18">
        <f>LN(B242/B241)</f>
        <v>0.05882707981612798</v>
      </c>
      <c r="F242" s="18">
        <f>LN(C242/C241)</f>
        <v>0.022777820238938595</v>
      </c>
    </row>
    <row r="243">
      <c r="A243" s="6" t="s">
        <v>798</v>
      </c>
      <c r="B243" s="14">
        <v>228.2</v>
      </c>
      <c r="C243" s="15">
        <v>2104</v>
      </c>
      <c r="D243" s="14">
        <f>C243/22.0462262</f>
        <v>95.4358347280316</v>
      </c>
      <c r="E243" s="18">
        <f>LN(B243/B242)</f>
        <v>0.01057278571241348</v>
      </c>
      <c r="F243" s="18">
        <f>LN(C243/C242)</f>
        <v>0.008112666780399702</v>
      </c>
    </row>
    <row r="244">
      <c r="A244" s="6" t="s">
        <v>799</v>
      </c>
      <c r="B244" s="14">
        <v>218.6</v>
      </c>
      <c r="C244" s="15">
        <v>2063</v>
      </c>
      <c r="D244" s="14">
        <f>C244/22.0462262</f>
        <v>93.57610600947204</v>
      </c>
      <c r="E244" s="18">
        <f>LN(B244/B243)</f>
        <v>-0.04297886168553701</v>
      </c>
      <c r="F244" s="18">
        <f>LN(C244/C243)</f>
        <v>-0.019679060786348672</v>
      </c>
    </row>
    <row r="245">
      <c r="A245" s="6" t="s">
        <v>800</v>
      </c>
      <c r="B245" s="14">
        <v>218.7</v>
      </c>
      <c r="C245" s="15">
        <v>2080</v>
      </c>
      <c r="D245" s="14">
        <f>C245/22.0462262</f>
        <v>94.34721303911869</v>
      </c>
      <c r="E245" s="18">
        <f>LN(B245/B244)</f>
        <v>0.000457351940283856</v>
      </c>
      <c r="F245" s="18">
        <f>LN(C245/C244)</f>
        <v>0.00820665962411185</v>
      </c>
    </row>
    <row r="246">
      <c r="A246" s="6" t="s">
        <v>801</v>
      </c>
      <c r="B246" s="14">
        <v>215.85</v>
      </c>
      <c r="C246" s="15">
        <v>2056</v>
      </c>
      <c r="D246" s="14">
        <f>C246/22.0462262</f>
        <v>93.25859135020578</v>
      </c>
      <c r="E246" s="18">
        <f>LN(B246/B245)</f>
        <v>-0.013117205681235563</v>
      </c>
      <c r="F246" s="18">
        <f>LN(C246/C245)</f>
        <v>-0.01160554612030789</v>
      </c>
    </row>
    <row r="247">
      <c r="A247" s="6" t="s">
        <v>802</v>
      </c>
      <c r="B247" s="14">
        <v>215.75</v>
      </c>
      <c r="C247" s="15">
        <v>2041</v>
      </c>
      <c r="D247" s="14">
        <f>C247/22.0462262</f>
        <v>92.57820279463522</v>
      </c>
      <c r="E247" s="18">
        <f>LN(B247/B246)</f>
        <v>-0.00046339203794917594</v>
      </c>
      <c r="F247" s="18">
        <f>LN(C247/C246)</f>
        <v>-0.007322463765210907</v>
      </c>
    </row>
    <row r="248">
      <c r="A248" s="6" t="s">
        <v>803</v>
      </c>
      <c r="B248" s="14">
        <v>213.65</v>
      </c>
      <c r="C248" s="15">
        <v>2043</v>
      </c>
      <c r="D248" s="14">
        <f>C248/22.0462262</f>
        <v>92.66892126871129</v>
      </c>
      <c r="E248" s="18">
        <f>LN(B248/B247)</f>
        <v>-0.00978116787350337</v>
      </c>
      <c r="F248" s="18">
        <f>LN(C248/C247)</f>
        <v>0.000979432007777196</v>
      </c>
    </row>
    <row r="249">
      <c r="A249" s="6" t="s">
        <v>804</v>
      </c>
      <c r="B249" s="14">
        <v>217.05</v>
      </c>
      <c r="C249" s="15">
        <v>2088</v>
      </c>
      <c r="D249" s="14">
        <f>C249/22.0462262</f>
        <v>94.71008693542299</v>
      </c>
      <c r="E249" s="18">
        <f>LN(B249/B248)</f>
        <v>0.015788579655568676</v>
      </c>
      <c r="F249" s="18">
        <f>LN(C249/C248)</f>
        <v>0.02178735418490723</v>
      </c>
    </row>
    <row r="250">
      <c r="A250" s="6" t="s">
        <v>805</v>
      </c>
      <c r="B250" s="14">
        <v>226.6</v>
      </c>
      <c r="C250" s="15">
        <v>2109</v>
      </c>
      <c r="D250" s="14">
        <f>C250/22.0462262</f>
        <v>95.66263091322179</v>
      </c>
      <c r="E250" s="18">
        <f>LN(B250/B249)</f>
        <v>0.04305860684830329</v>
      </c>
      <c r="F250" s="18">
        <f>LN(C250/C249)</f>
        <v>0.010007231476245177</v>
      </c>
    </row>
    <row r="251">
      <c r="A251" s="6" t="s">
        <v>806</v>
      </c>
      <c r="B251" s="14">
        <v>229.45</v>
      </c>
      <c r="C251" s="15">
        <v>2096</v>
      </c>
      <c r="D251" s="14">
        <f>C251/22.0462262</f>
        <v>95.07296083172729</v>
      </c>
      <c r="E251" s="18">
        <f>LN(B251/B250)</f>
        <v>0.012498792246936613</v>
      </c>
      <c r="F251" s="18">
        <f>LN(C251/C250)</f>
        <v>-0.006183135037841821</v>
      </c>
    </row>
    <row r="252">
      <c r="A252" s="6" t="s">
        <v>807</v>
      </c>
      <c r="B252" s="14">
        <v>231.25</v>
      </c>
      <c r="C252" s="15">
        <v>2110</v>
      </c>
      <c r="D252" s="14">
        <f>C252/22.0462262</f>
        <v>95.70799015025982</v>
      </c>
      <c r="E252" s="18">
        <f>LN(B252/B251)</f>
        <v>0.007814235551692151</v>
      </c>
      <c r="F252" s="18">
        <f>LN(C252/C251)</f>
        <v>0.006657181029179368</v>
      </c>
    </row>
    <row r="253">
      <c r="A253" s="6" t="s">
        <v>808</v>
      </c>
      <c r="B253" s="14">
        <v>239.45</v>
      </c>
      <c r="C253" s="15">
        <v>2139</v>
      </c>
      <c r="D253" s="14">
        <f>C253/22.0462262</f>
        <v>97.02340802436292</v>
      </c>
      <c r="E253" s="18">
        <f>LN(B253/B252)</f>
        <v>0.034845250396083834</v>
      </c>
      <c r="F253" s="18">
        <f>LN(C253/C252)</f>
        <v>0.013650482612293425</v>
      </c>
    </row>
    <row r="254">
      <c r="A254" s="6" t="s">
        <v>809</v>
      </c>
      <c r="B254" s="14">
        <v>237.55</v>
      </c>
      <c r="C254" s="15">
        <v>2140</v>
      </c>
      <c r="D254" s="14">
        <f>C254/22.0462262</f>
        <v>97.06876726140096</v>
      </c>
      <c r="E254" s="18">
        <f>LN(B254/B253)</f>
        <v>-0.007966499155687907</v>
      </c>
      <c r="F254" s="18">
        <f>LN(C254/C253)</f>
        <v>0.00046739893349154784</v>
      </c>
    </row>
    <row r="255">
      <c r="A255" s="6" t="s">
        <v>810</v>
      </c>
      <c r="B255" s="14">
        <v>232.15</v>
      </c>
      <c r="C255" s="15">
        <v>2121</v>
      </c>
      <c r="D255" s="14">
        <f>C255/22.0462262</f>
        <v>96.20694175767824</v>
      </c>
      <c r="E255" s="18">
        <f>LN(B255/B254)</f>
        <v>-0.022994413166999683</v>
      </c>
      <c r="F255" s="18">
        <f>LN(C255/C254)</f>
        <v>-0.008918153451214715</v>
      </c>
    </row>
    <row r="256">
      <c r="A256" s="6" t="s">
        <v>811</v>
      </c>
      <c r="B256" s="14">
        <v>231.85</v>
      </c>
      <c r="C256" s="15">
        <v>2117</v>
      </c>
      <c r="D256" s="14">
        <f>C256/22.0462262</f>
        <v>96.02550480952608</v>
      </c>
      <c r="E256" s="18">
        <f>LN(B256/B255)</f>
        <v>-0.001293103628460874</v>
      </c>
      <c r="F256" s="18">
        <f>LN(C256/C255)</f>
        <v>-0.0018876834298172823</v>
      </c>
    </row>
    <row r="257">
      <c r="A257" s="6" t="s">
        <v>812</v>
      </c>
      <c r="B257" s="14">
        <v>234.65</v>
      </c>
      <c r="C257" s="15">
        <v>2108</v>
      </c>
      <c r="D257" s="14">
        <f>C257/22.0462262</f>
        <v>95.61727167618375</v>
      </c>
      <c r="E257" s="18">
        <f>LN(B257/B256)</f>
        <v>0.012004431402956917</v>
      </c>
      <c r="F257" s="18">
        <f>LN(C257/C256)</f>
        <v>-0.004260361473612209</v>
      </c>
    </row>
    <row r="258">
      <c r="A258" s="6" t="s">
        <v>813</v>
      </c>
      <c r="B258" s="14">
        <v>228.9</v>
      </c>
      <c r="C258" s="15">
        <v>2095</v>
      </c>
      <c r="D258" s="14">
        <f>C258/22.0462262</f>
        <v>95.02760159468926</v>
      </c>
      <c r="E258" s="18">
        <f>LN(B258/B257)</f>
        <v>-0.024809815281905612</v>
      </c>
      <c r="F258" s="18">
        <f>LN(C258/C257)</f>
        <v>-0.006186077305014893</v>
      </c>
    </row>
    <row r="259">
      <c r="A259" s="6" t="s">
        <v>814</v>
      </c>
      <c r="B259" s="14">
        <v>223.35</v>
      </c>
      <c r="C259" s="15">
        <v>2055</v>
      </c>
      <c r="D259" s="14">
        <f>C259/22.0462262</f>
        <v>93.21323211316775</v>
      </c>
      <c r="E259" s="18">
        <f>LN(B259/B258)</f>
        <v>-0.024545179160393327</v>
      </c>
      <c r="F259" s="18">
        <f>LN(C259/C258)</f>
        <v>-0.019277705425903076</v>
      </c>
    </row>
    <row r="260">
      <c r="A260" s="6" t="s">
        <v>815</v>
      </c>
      <c r="B260" s="14">
        <v>226.95</v>
      </c>
      <c r="C260" s="15">
        <v>2053</v>
      </c>
      <c r="D260" s="14">
        <f>C260/22.0462262</f>
        <v>93.12251363909166</v>
      </c>
      <c r="E260" s="18">
        <f>LN(B260/B259)</f>
        <v>0.015989681104346905</v>
      </c>
      <c r="F260" s="18">
        <f>LN(C260/C259)</f>
        <v>-0.0009737099114013643</v>
      </c>
    </row>
    <row r="261">
      <c r="A261" s="6" t="s">
        <v>816</v>
      </c>
      <c r="B261" s="14">
        <v>228.5</v>
      </c>
      <c r="C261" s="15">
        <v>2055</v>
      </c>
      <c r="D261" s="14">
        <f>C261/22.0462262</f>
        <v>93.21323211316775</v>
      </c>
      <c r="E261" s="18">
        <f>LN(B261/B260)</f>
        <v>0.006806481431784932</v>
      </c>
      <c r="F261" s="18">
        <f>LN(C261/C260)</f>
        <v>0.0009737099114014389</v>
      </c>
    </row>
    <row r="262">
      <c r="A262" s="6" t="s">
        <v>817</v>
      </c>
      <c r="B262" s="14">
        <v>231.95</v>
      </c>
      <c r="C262" s="15">
        <v>2104</v>
      </c>
      <c r="D262" s="14">
        <f>C262/22.0462262</f>
        <v>95.4358347280316</v>
      </c>
      <c r="E262" s="18">
        <f>LN(B262/B261)</f>
        <v>0.014985620863493154</v>
      </c>
      <c r="F262" s="18">
        <f>LN(C262/C261)</f>
        <v>0.023564446927265493</v>
      </c>
    </row>
    <row r="263">
      <c r="A263" s="6" t="s">
        <v>818</v>
      </c>
      <c r="B263" s="14">
        <v>227.65</v>
      </c>
      <c r="C263" s="15">
        <v>2079</v>
      </c>
      <c r="D263" s="14">
        <f>C263/22.0462262</f>
        <v>94.30185380208064</v>
      </c>
      <c r="E263" s="18">
        <f>LN(B263/B262)</f>
        <v>-0.01871246941696146</v>
      </c>
      <c r="F263" s="18">
        <f>LN(C263/C262)</f>
        <v>-0.011953285999587504</v>
      </c>
    </row>
    <row r="264">
      <c r="A264" s="6" t="s">
        <v>819</v>
      </c>
      <c r="B264" s="14">
        <v>233.1</v>
      </c>
      <c r="C264" s="15">
        <v>2101</v>
      </c>
      <c r="D264" s="14">
        <f>C264/22.0462262</f>
        <v>95.29975701691748</v>
      </c>
      <c r="E264" s="18">
        <f>LN(B264/B263)</f>
        <v>0.023658184260920343</v>
      </c>
      <c r="F264" s="18">
        <f>LN(C264/C263)</f>
        <v>0.010526412986987603</v>
      </c>
    </row>
    <row r="265">
      <c r="A265" s="6" t="s">
        <v>820</v>
      </c>
      <c r="B265" s="14">
        <v>238.6</v>
      </c>
      <c r="C265" s="15">
        <v>2113</v>
      </c>
      <c r="D265" s="14">
        <f>C265/22.0462262</f>
        <v>95.84406786137393</v>
      </c>
      <c r="E265" s="18">
        <f>LN(B265/B264)</f>
        <v>0.02332096362210422</v>
      </c>
      <c r="F265" s="18">
        <f>LN(C265/C264)</f>
        <v>0.005695316771056369</v>
      </c>
    </row>
    <row r="266">
      <c r="A266" s="6" t="s">
        <v>821</v>
      </c>
      <c r="B266" s="14">
        <v>232.45</v>
      </c>
      <c r="C266" s="15">
        <v>2086</v>
      </c>
      <c r="D266" s="14">
        <f>C266/22.0462262</f>
        <v>94.61936846134691</v>
      </c>
      <c r="E266" s="18">
        <f>LN(B266/B265)</f>
        <v>-0.026113361527222014</v>
      </c>
      <c r="F266" s="18">
        <f>LN(C266/C265)</f>
        <v>-0.012860382055338996</v>
      </c>
    </row>
    <row r="267">
      <c r="A267" s="6" t="s">
        <v>822</v>
      </c>
      <c r="B267" s="14">
        <v>226.6</v>
      </c>
      <c r="C267" s="15">
        <v>2044</v>
      </c>
      <c r="D267" s="14">
        <f>C267/22.0462262</f>
        <v>92.71428050574933</v>
      </c>
      <c r="E267" s="18">
        <f>LN(B267/B266)</f>
        <v>-0.025488799542687745</v>
      </c>
      <c r="F267" s="18">
        <f>LN(C267/C266)</f>
        <v>-0.020339684237122672</v>
      </c>
    </row>
    <row r="268">
      <c r="A268" s="6" t="s">
        <v>823</v>
      </c>
      <c r="B268" s="14">
        <v>226</v>
      </c>
      <c r="C268" s="15">
        <v>2040</v>
      </c>
      <c r="D268" s="14">
        <f>C268/22.0462262</f>
        <v>92.53284355759718</v>
      </c>
      <c r="E268" s="18">
        <f>LN(B268/B267)</f>
        <v>-0.002651349321620031</v>
      </c>
      <c r="F268" s="18">
        <f>LN(C268/C267)</f>
        <v>-0.001958864485333034</v>
      </c>
    </row>
    <row r="269">
      <c r="A269" s="6" t="s">
        <v>824</v>
      </c>
      <c r="B269" s="14">
        <v>221.9</v>
      </c>
      <c r="C269" s="15">
        <v>2017</v>
      </c>
      <c r="D269" s="14">
        <f>C269/22.0462262</f>
        <v>91.48958110572231</v>
      </c>
      <c r="E269" s="18">
        <f>LN(B269/B268)</f>
        <v>-0.01830816933373766</v>
      </c>
      <c r="F269" s="18">
        <f>LN(C269/C268)</f>
        <v>-0.011338548884050262</v>
      </c>
    </row>
    <row r="270">
      <c r="A270" s="6" t="s">
        <v>825</v>
      </c>
      <c r="B270" s="14">
        <v>232.65</v>
      </c>
      <c r="C270" s="15">
        <v>2049</v>
      </c>
      <c r="D270" s="14">
        <f>C270/22.0462262</f>
        <v>92.94107669093951</v>
      </c>
      <c r="E270" s="18">
        <f>LN(B270/B269)</f>
        <v>0.04730834835210924</v>
      </c>
      <c r="F270" s="18">
        <f>LN(C270/C269)</f>
        <v>0.015740610284688046</v>
      </c>
    </row>
    <row r="271">
      <c r="A271" s="6" t="s">
        <v>826</v>
      </c>
      <c r="B271" s="14">
        <v>233.6</v>
      </c>
      <c r="C271" s="15">
        <v>2033</v>
      </c>
      <c r="D271" s="14">
        <f>C271/22.0462262</f>
        <v>92.21532889833091</v>
      </c>
      <c r="E271" s="18">
        <f>LN(B271/B270)</f>
        <v>0.0040750726634144275</v>
      </c>
      <c r="F271" s="18">
        <f>LN(C271/C270)</f>
        <v>-0.007839334610553122</v>
      </c>
    </row>
    <row r="272">
      <c r="A272" s="6" t="s">
        <v>827</v>
      </c>
      <c r="B272" s="14">
        <v>228.45</v>
      </c>
      <c r="C272" s="15">
        <v>2006</v>
      </c>
      <c r="D272" s="14">
        <f>C272/22.0462262</f>
        <v>90.99062949830389</v>
      </c>
      <c r="E272" s="18">
        <f>LN(B272/B271)</f>
        <v>-0.022292882944791523</v>
      </c>
      <c r="F272" s="18">
        <f>LN(C272/C271)</f>
        <v>-0.01336984510646579</v>
      </c>
    </row>
    <row r="273">
      <c r="A273" s="6" t="s">
        <v>828</v>
      </c>
      <c r="B273" s="14">
        <v>224.65</v>
      </c>
      <c r="C273" s="15">
        <v>1961</v>
      </c>
      <c r="D273" s="14">
        <f>C273/22.0462262</f>
        <v>88.94946383159218</v>
      </c>
      <c r="E273" s="18">
        <f>LN(B273/B272)</f>
        <v>-0.016773732493111457</v>
      </c>
      <c r="F273" s="18">
        <f>LN(C273/C272)</f>
        <v>-0.02268814232553452</v>
      </c>
    </row>
    <row r="274">
      <c r="A274" s="6" t="s">
        <v>829</v>
      </c>
      <c r="B274" s="14">
        <v>222.5</v>
      </c>
      <c r="C274" s="15">
        <v>1955</v>
      </c>
      <c r="D274" s="14">
        <f>C274/22.0462262</f>
        <v>88.67730840936396</v>
      </c>
      <c r="E274" s="18">
        <f>LN(B274/B273)</f>
        <v>-0.009616533909874103</v>
      </c>
      <c r="F274" s="18">
        <f>LN(C274/C273)</f>
        <v>-0.003064353776880114</v>
      </c>
    </row>
    <row r="275">
      <c r="A275" s="6" t="s">
        <v>830</v>
      </c>
      <c r="B275" s="14">
        <v>222.2</v>
      </c>
      <c r="C275" s="15">
        <v>1944</v>
      </c>
      <c r="D275" s="14">
        <f>C275/22.0462262</f>
        <v>88.17835680194554</v>
      </c>
      <c r="E275" s="18">
        <f>LN(B275/B274)</f>
        <v>-0.0013492244007653842</v>
      </c>
      <c r="F275" s="18">
        <f>LN(C275/C274)</f>
        <v>-0.0056424873990818135</v>
      </c>
    </row>
    <row r="276">
      <c r="A276" s="6" t="s">
        <v>831</v>
      </c>
      <c r="B276" s="14">
        <v>222.9</v>
      </c>
      <c r="C276" s="15">
        <v>1981</v>
      </c>
      <c r="D276" s="14">
        <f>C276/22.0462262</f>
        <v>89.85664857235294</v>
      </c>
      <c r="E276" s="18">
        <f>LN(B276/B275)</f>
        <v>0.0031453631862937157</v>
      </c>
      <c r="F276" s="18">
        <f>LN(C276/C275)</f>
        <v>0.018854061678166445</v>
      </c>
    </row>
    <row r="277">
      <c r="A277" s="6" t="s">
        <v>832</v>
      </c>
      <c r="B277" s="14">
        <v>216.9</v>
      </c>
      <c r="C277" s="15">
        <v>1966</v>
      </c>
      <c r="D277" s="14">
        <f>C277/22.0462262</f>
        <v>89.17626001678238</v>
      </c>
      <c r="E277" s="18">
        <f>LN(B277/B276)</f>
        <v>-0.027286822558994485</v>
      </c>
      <c r="F277" s="18">
        <f>LN(C277/C276)</f>
        <v>-0.007600745991439058</v>
      </c>
    </row>
    <row r="278">
      <c r="A278" s="6" t="s">
        <v>833</v>
      </c>
      <c r="B278" s="14">
        <v>209.25</v>
      </c>
      <c r="C278" s="15">
        <v>1954</v>
      </c>
      <c r="D278" s="14">
        <f>C278/22.0462262</f>
        <v>88.63194917232592</v>
      </c>
      <c r="E278" s="18">
        <f>LN(B278/B277)</f>
        <v>-0.03590670846324398</v>
      </c>
      <c r="F278" s="18">
        <f>LN(C278/C277)</f>
        <v>-0.006122468104383783</v>
      </c>
    </row>
    <row r="279">
      <c r="A279" s="6" t="s">
        <v>834</v>
      </c>
      <c r="B279" s="14">
        <v>211.25</v>
      </c>
      <c r="C279" s="15">
        <v>1981</v>
      </c>
      <c r="D279" s="14">
        <f>C279/22.0462262</f>
        <v>89.85664857235294</v>
      </c>
      <c r="E279" s="18">
        <f>LN(B279/B278)</f>
        <v>0.009512556867698469</v>
      </c>
      <c r="F279" s="18">
        <f>LN(C279/C278)</f>
        <v>0.013723214095822972</v>
      </c>
    </row>
    <row r="280">
      <c r="A280" s="6" t="s">
        <v>835</v>
      </c>
      <c r="B280" s="14">
        <v>199.2</v>
      </c>
      <c r="C280" s="15">
        <v>1930</v>
      </c>
      <c r="D280" s="14">
        <f>C280/22.0462262</f>
        <v>87.54332748341301</v>
      </c>
      <c r="E280" s="18">
        <f>LN(B280/B279)</f>
        <v>-0.05873292108678541</v>
      </c>
      <c r="F280" s="18">
        <f>LN(C280/C279)</f>
        <v>-0.026081764799619638</v>
      </c>
    </row>
    <row r="281">
      <c r="A281" s="6" t="s">
        <v>836</v>
      </c>
      <c r="B281" s="14">
        <v>203.7</v>
      </c>
      <c r="C281" s="15">
        <v>1923</v>
      </c>
      <c r="D281" s="14">
        <f>C281/22.0462262</f>
        <v>87.22581282414674</v>
      </c>
      <c r="E281" s="18">
        <f>LN(B281/B280)</f>
        <v>0.022338978082262335</v>
      </c>
      <c r="F281" s="18">
        <f>LN(C281/C280)</f>
        <v>-0.0036335363101514507</v>
      </c>
    </row>
    <row r="282">
      <c r="A282" s="6" t="s">
        <v>837</v>
      </c>
      <c r="B282" s="14">
        <v>219.1</v>
      </c>
      <c r="C282" s="15">
        <v>1992</v>
      </c>
      <c r="D282" s="14">
        <f>C282/22.0462262</f>
        <v>90.35560017977136</v>
      </c>
      <c r="E282" s="18">
        <f>LN(B282/B281)</f>
        <v>0.07287992336866066</v>
      </c>
      <c r="F282" s="18">
        <f>LN(C282/C281)</f>
        <v>0.0352526925557639</v>
      </c>
    </row>
    <row r="283">
      <c r="A283" s="6" t="s">
        <v>838</v>
      </c>
      <c r="B283" s="14">
        <v>220.4</v>
      </c>
      <c r="C283" s="15">
        <v>1998</v>
      </c>
      <c r="D283" s="14">
        <f>C283/22.0462262</f>
        <v>90.62775560199958</v>
      </c>
      <c r="E283" s="18">
        <f>LN(B283/B282)</f>
        <v>0.005915830677338645</v>
      </c>
      <c r="F283" s="18">
        <f>LN(C283/C282)</f>
        <v>0.0030075210639553224</v>
      </c>
    </row>
    <row r="284">
      <c r="A284" s="6" t="s">
        <v>839</v>
      </c>
      <c r="B284" s="14">
        <v>218.15</v>
      </c>
      <c r="C284" s="15">
        <v>1998</v>
      </c>
      <c r="D284" s="14">
        <f>C284/22.0462262</f>
        <v>90.62775560199958</v>
      </c>
      <c r="E284" s="18">
        <f>LN(B284/B283)</f>
        <v>-0.010261177709140794</v>
      </c>
      <c r="F284" s="18">
        <f>LN(C284/C283)</f>
        <v>0</v>
      </c>
    </row>
    <row r="285">
      <c r="A285" s="6" t="s">
        <v>840</v>
      </c>
      <c r="B285" s="14">
        <v>215.85</v>
      </c>
      <c r="C285" s="15">
        <v>1987</v>
      </c>
      <c r="D285" s="14">
        <f>C285/22.0462262</f>
        <v>90.12880399458118</v>
      </c>
      <c r="E285" s="18">
        <f>LN(B285/B284)</f>
        <v>-0.010599177568132131</v>
      </c>
      <c r="F285" s="18">
        <f>LN(C285/C284)</f>
        <v>-0.005520716656682022</v>
      </c>
    </row>
    <row r="286">
      <c r="A286" s="6" t="s">
        <v>841</v>
      </c>
      <c r="B286" s="14">
        <v>206.7</v>
      </c>
      <c r="C286" s="15">
        <v>1962</v>
      </c>
      <c r="D286" s="14">
        <f>C286/22.0462262</f>
        <v>88.99482306863023</v>
      </c>
      <c r="E286" s="18">
        <f>LN(B286/B285)</f>
        <v>-0.04331525531376397</v>
      </c>
      <c r="F286" s="18">
        <f>LN(C286/C285)</f>
        <v>-0.012661602426508479</v>
      </c>
    </row>
    <row r="287">
      <c r="A287" s="6" t="s">
        <v>842</v>
      </c>
      <c r="B287" s="14">
        <v>210.05</v>
      </c>
      <c r="C287" s="15">
        <v>1973</v>
      </c>
      <c r="D287" s="14">
        <f>C287/22.0462262</f>
        <v>89.49377467604864</v>
      </c>
      <c r="E287" s="18">
        <f>LN(B287/B286)</f>
        <v>0.016077130927668513</v>
      </c>
      <c r="F287" s="18">
        <f>LN(C287/C286)</f>
        <v>0.005590865897306859</v>
      </c>
    </row>
    <row r="288">
      <c r="A288" s="6" t="s">
        <v>843</v>
      </c>
      <c r="B288" s="14">
        <v>213.2</v>
      </c>
      <c r="C288" s="15">
        <v>1974</v>
      </c>
      <c r="D288" s="14">
        <f>C288/22.0462262</f>
        <v>89.53913391308667</v>
      </c>
      <c r="E288" s="18">
        <f>LN(B288/B287)</f>
        <v>0.01488509467629821</v>
      </c>
      <c r="F288" s="18">
        <f>LN(C288/C287)</f>
        <v>0.0005067139708114992</v>
      </c>
    </row>
    <row r="289">
      <c r="A289" s="6" t="s">
        <v>844</v>
      </c>
      <c r="B289" s="14">
        <v>219.1</v>
      </c>
      <c r="C289" s="15">
        <v>2007</v>
      </c>
      <c r="D289" s="14">
        <f>C289/22.0462262</f>
        <v>91.03598873534193</v>
      </c>
      <c r="E289" s="18">
        <f>LN(B289/B288)</f>
        <v>0.02729755430973142</v>
      </c>
      <c r="F289" s="18">
        <f>LN(C289/C288)</f>
        <v>0.016579128802911264</v>
      </c>
    </row>
    <row r="290">
      <c r="A290" s="6" t="s">
        <v>845</v>
      </c>
      <c r="B290" s="14">
        <v>218.4</v>
      </c>
      <c r="C290" s="15">
        <v>2014</v>
      </c>
      <c r="D290" s="14">
        <f>C290/22.0462262</f>
        <v>91.3535033946082</v>
      </c>
      <c r="E290" s="18">
        <f>LN(B290/B289)</f>
        <v>-0.003200002730670791</v>
      </c>
      <c r="F290" s="18">
        <f>LN(C290/C289)</f>
        <v>0.003481724482169423</v>
      </c>
    </row>
    <row r="291">
      <c r="A291" s="6" t="s">
        <v>846</v>
      </c>
      <c r="B291" s="14">
        <v>217.2</v>
      </c>
      <c r="C291" s="15">
        <v>2028</v>
      </c>
      <c r="D291" s="14">
        <f>C291/22.0462262</f>
        <v>91.98853271314071</v>
      </c>
      <c r="E291" s="18">
        <f>LN(B291/B290)</f>
        <v>-0.0055096558109696955</v>
      </c>
      <c r="F291" s="18">
        <f>LN(C291/C290)</f>
        <v>0.006927291432566258</v>
      </c>
    </row>
    <row r="292">
      <c r="A292" s="6" t="s">
        <v>847</v>
      </c>
      <c r="B292" s="14">
        <v>213.2</v>
      </c>
      <c r="C292" s="15">
        <v>2028</v>
      </c>
      <c r="D292" s="14">
        <f>C292/22.0462262</f>
        <v>91.98853271314071</v>
      </c>
      <c r="E292" s="18">
        <f>LN(B292/B291)</f>
        <v>-0.01858789576809085</v>
      </c>
      <c r="F292" s="18">
        <f>LN(C292/C291)</f>
        <v>0</v>
      </c>
    </row>
    <row r="293">
      <c r="A293" s="6" t="s">
        <v>848</v>
      </c>
      <c r="B293" s="14">
        <v>209.9</v>
      </c>
      <c r="C293" s="15">
        <v>2020</v>
      </c>
      <c r="D293" s="14">
        <f>C293/22.0462262</f>
        <v>91.62565881683642</v>
      </c>
      <c r="E293" s="18">
        <f>LN(B293/B292)</f>
        <v>-0.015599465465102106</v>
      </c>
      <c r="F293" s="18">
        <f>LN(C293/C292)</f>
        <v>-0.003952574315823358</v>
      </c>
    </row>
    <row r="294">
      <c r="A294" s="6" t="s">
        <v>849</v>
      </c>
      <c r="B294" s="14">
        <v>214.65</v>
      </c>
      <c r="C294" s="15">
        <v>2023</v>
      </c>
      <c r="D294" s="14">
        <f>C294/22.0462262</f>
        <v>91.76173652795053</v>
      </c>
      <c r="E294" s="18">
        <f>LN(B294/B293)</f>
        <v>0.022377567843982225</v>
      </c>
      <c r="F294" s="18">
        <f>LN(C294/C293)</f>
        <v>0.0014840467724950225</v>
      </c>
    </row>
    <row r="295">
      <c r="A295" s="6" t="s">
        <v>850</v>
      </c>
      <c r="B295" s="14">
        <v>219.3</v>
      </c>
      <c r="C295" s="15">
        <v>2041</v>
      </c>
      <c r="D295" s="14">
        <f>C295/22.0462262</f>
        <v>92.57820279463522</v>
      </c>
      <c r="E295" s="18">
        <f>LN(B295/B294)</f>
        <v>0.021431860753272875</v>
      </c>
      <c r="F295" s="18">
        <f>LN(C295/C294)</f>
        <v>0.0088583256420994</v>
      </c>
    </row>
    <row r="296">
      <c r="A296" s="6" t="s">
        <v>851</v>
      </c>
      <c r="B296" s="14">
        <v>209.45</v>
      </c>
      <c r="C296" s="15">
        <v>2042</v>
      </c>
      <c r="D296" s="14">
        <f>C296/22.0462262</f>
        <v>92.62356203167325</v>
      </c>
      <c r="E296" s="18">
        <f>LN(B296/B295)</f>
        <v>-0.04595560803079878</v>
      </c>
      <c r="F296" s="18">
        <f>LN(C296/C295)</f>
        <v>0.0004898359147660373</v>
      </c>
    </row>
    <row r="297">
      <c r="A297" s="6" t="s">
        <v>852</v>
      </c>
      <c r="B297" s="14">
        <v>211.85</v>
      </c>
      <c r="C297" s="15">
        <v>2074</v>
      </c>
      <c r="D297" s="14">
        <f>C297/22.0462262</f>
        <v>94.07505761689046</v>
      </c>
      <c r="E297" s="18">
        <f>LN(B297/B296)</f>
        <v>0.011393429679524461</v>
      </c>
      <c r="F297" s="18">
        <f>LN(C297/C296)</f>
        <v>0.015549390064861723</v>
      </c>
    </row>
    <row r="298">
      <c r="A298" s="6" t="s">
        <v>853</v>
      </c>
      <c r="B298" s="14">
        <v>212.75</v>
      </c>
      <c r="C298" s="15">
        <v>2100</v>
      </c>
      <c r="D298" s="14">
        <f>C298/22.0462262</f>
        <v>95.25439777987944</v>
      </c>
      <c r="E298" s="18">
        <f>LN(B298/B297)</f>
        <v>0.00423929038091535</v>
      </c>
      <c r="F298" s="18">
        <f>LN(C298/C297)</f>
        <v>0.012458234922041804</v>
      </c>
    </row>
    <row r="299">
      <c r="A299" s="6" t="s">
        <v>854</v>
      </c>
      <c r="B299" s="14">
        <v>220.45</v>
      </c>
      <c r="C299" s="15">
        <v>2149</v>
      </c>
      <c r="D299" s="14">
        <f>C299/22.0462262</f>
        <v>97.4770003947433</v>
      </c>
      <c r="E299" s="18">
        <f>LN(B299/B298)</f>
        <v>0.035553144350463174</v>
      </c>
      <c r="F299" s="18">
        <f>LN(C299/C298)</f>
        <v>0.023065272930996188</v>
      </c>
    </row>
    <row r="300">
      <c r="A300" s="6" t="s">
        <v>855</v>
      </c>
      <c r="B300" s="14">
        <v>223.95</v>
      </c>
      <c r="C300" s="15">
        <v>2223</v>
      </c>
      <c r="D300" s="14">
        <f>C300/22.0462262</f>
        <v>100.8335839355581</v>
      </c>
      <c r="E300" s="18">
        <f>LN(B300/B299)</f>
        <v>0.01575190084936245</v>
      </c>
      <c r="F300" s="18">
        <f>LN(C300/C299)</f>
        <v>0.0338550173216862</v>
      </c>
    </row>
    <row r="301">
      <c r="A301" s="6" t="s">
        <v>856</v>
      </c>
      <c r="B301" s="14">
        <v>226.6</v>
      </c>
      <c r="C301" s="15">
        <v>2261</v>
      </c>
      <c r="D301" s="14">
        <f>C301/22.0462262</f>
        <v>102.55723494300354</v>
      </c>
      <c r="E301" s="18">
        <f>LN(B301/B300)</f>
        <v>0.01176353594059695</v>
      </c>
      <c r="F301" s="18">
        <f>LN(C301/C300)</f>
        <v>0.016949558313773205</v>
      </c>
    </row>
    <row r="302">
      <c r="A302" s="6" t="s">
        <v>857</v>
      </c>
      <c r="B302" s="14">
        <v>225.5</v>
      </c>
      <c r="C302" s="15">
        <v>2265</v>
      </c>
      <c r="D302" s="14">
        <f>C302/22.0462262</f>
        <v>102.73867189115569</v>
      </c>
      <c r="E302" s="18">
        <f>LN(B302/B301)</f>
        <v>-0.004866189651172899</v>
      </c>
      <c r="F302" s="18">
        <f>LN(C302/C301)</f>
        <v>0.0017675656391646015</v>
      </c>
    </row>
    <row r="303">
      <c r="A303" s="6" t="s">
        <v>858</v>
      </c>
      <c r="B303" s="14">
        <v>219.35</v>
      </c>
      <c r="C303" s="15">
        <v>2228</v>
      </c>
      <c r="D303" s="14">
        <f>C303/22.0462262</f>
        <v>101.06038012074829</v>
      </c>
      <c r="E303" s="18">
        <f>LN(B303/B302)</f>
        <v>-0.027651531330510123</v>
      </c>
      <c r="F303" s="18">
        <f>LN(C303/C302)</f>
        <v>-0.016470436869959793</v>
      </c>
    </row>
    <row r="304">
      <c r="A304" s="6" t="s">
        <v>859</v>
      </c>
      <c r="B304" s="14">
        <v>217.45</v>
      </c>
      <c r="C304" s="15">
        <v>2224</v>
      </c>
      <c r="D304" s="14">
        <f>C304/22.0462262</f>
        <v>100.87894317259614</v>
      </c>
      <c r="E304" s="18">
        <f>LN(B304/B303)</f>
        <v>-0.008699688568575602</v>
      </c>
      <c r="F304" s="18">
        <f>LN(C304/C303)</f>
        <v>-0.0017969456767016304</v>
      </c>
    </row>
    <row r="305">
      <c r="A305" s="6" t="s">
        <v>860</v>
      </c>
      <c r="B305" s="14">
        <v>214.7</v>
      </c>
      <c r="C305" s="15">
        <v>2218</v>
      </c>
      <c r="D305" s="14">
        <f>C305/22.0462262</f>
        <v>100.60678775036791</v>
      </c>
      <c r="E305" s="18">
        <f>LN(B305/B304)</f>
        <v>-0.012727234158912071</v>
      </c>
      <c r="F305" s="18">
        <f>LN(C305/C304)</f>
        <v>-0.002701487460160634</v>
      </c>
    </row>
    <row r="306">
      <c r="A306" s="6" t="s">
        <v>861</v>
      </c>
      <c r="B306" s="14">
        <v>215.95</v>
      </c>
      <c r="C306" s="15">
        <v>2226</v>
      </c>
      <c r="D306" s="14">
        <f>C306/22.0462262</f>
        <v>100.96966164667221</v>
      </c>
      <c r="E306" s="18">
        <f>LN(B306/B305)</f>
        <v>0.005805194521974877</v>
      </c>
      <c r="F306" s="18">
        <f>LN(C306/C305)</f>
        <v>0.0036003639251777665</v>
      </c>
    </row>
    <row r="307">
      <c r="A307" s="6" t="s">
        <v>862</v>
      </c>
      <c r="B307" s="14">
        <v>224.3</v>
      </c>
      <c r="C307" s="15">
        <v>2243</v>
      </c>
      <c r="D307" s="14">
        <f>C307/22.0462262</f>
        <v>101.74076867631885</v>
      </c>
      <c r="E307" s="18">
        <f>LN(B307/B306)</f>
        <v>0.037937542119452626</v>
      </c>
      <c r="F307" s="18">
        <f>LN(C307/C306)</f>
        <v>0.007608002684718254</v>
      </c>
    </row>
    <row r="308">
      <c r="A308" s="6" t="s">
        <v>863</v>
      </c>
      <c r="B308" s="14">
        <v>230.65</v>
      </c>
      <c r="C308" s="15">
        <v>2258</v>
      </c>
      <c r="D308" s="14">
        <f>C308/22.0462262</f>
        <v>102.42115723188942</v>
      </c>
      <c r="E308" s="18">
        <f>LN(B308/B307)</f>
        <v>0.027916968477666854</v>
      </c>
      <c r="F308" s="18">
        <f>LN(C308/C307)</f>
        <v>0.0066652101893990194</v>
      </c>
    </row>
    <row r="309">
      <c r="A309" s="6" t="s">
        <v>864</v>
      </c>
      <c r="B309" s="14">
        <v>242.95</v>
      </c>
      <c r="C309" s="15">
        <v>2348</v>
      </c>
      <c r="D309" s="14">
        <f>C309/22.0462262</f>
        <v>106.50348856531282</v>
      </c>
      <c r="E309" s="18">
        <f>LN(B309/B308)</f>
        <v>0.05195425084808229</v>
      </c>
      <c r="F309" s="18">
        <f>LN(C309/C308)</f>
        <v>0.03908443623837976</v>
      </c>
    </row>
    <row r="310">
      <c r="A310" s="6" t="s">
        <v>865</v>
      </c>
      <c r="B310" s="14">
        <v>243.4</v>
      </c>
      <c r="C310" s="15">
        <v>2312</v>
      </c>
      <c r="D310" s="14">
        <f>C310/22.0462262</f>
        <v>104.87055603194347</v>
      </c>
      <c r="E310" s="18">
        <f>LN(B310/B309)</f>
        <v>0.001850519701514952</v>
      </c>
      <c r="F310" s="18">
        <f>LN(C310/C309)</f>
        <v>-0.01545095115571899</v>
      </c>
    </row>
    <row r="311">
      <c r="A311" s="6" t="s">
        <v>866</v>
      </c>
      <c r="B311" s="14">
        <v>242</v>
      </c>
      <c r="C311" s="15">
        <v>2279</v>
      </c>
      <c r="D311" s="14">
        <f>C311/22.0462262</f>
        <v>103.37370120968822</v>
      </c>
      <c r="E311" s="18">
        <f>LN(B311/B310)</f>
        <v>-0.00576845439674042</v>
      </c>
      <c r="F311" s="18">
        <f>LN(C311/C310)</f>
        <v>-0.0143762005465838</v>
      </c>
    </row>
    <row r="312">
      <c r="A312" s="6" t="s">
        <v>867</v>
      </c>
      <c r="B312" s="14">
        <v>239.15</v>
      </c>
      <c r="C312" s="15">
        <v>2261</v>
      </c>
      <c r="D312" s="14">
        <f>C312/22.0462262</f>
        <v>102.55723494300354</v>
      </c>
      <c r="E312" s="18">
        <f>LN(B312/B311)</f>
        <v>-0.011846756030380476</v>
      </c>
      <c r="F312" s="18">
        <f>LN(C312/C311)</f>
        <v>-0.007929556967714406</v>
      </c>
    </row>
    <row r="313">
      <c r="A313" s="6" t="s">
        <v>868</v>
      </c>
      <c r="B313" s="14">
        <v>239.1</v>
      </c>
      <c r="C313" s="15">
        <v>2250</v>
      </c>
      <c r="D313" s="14">
        <f>C313/22.0462262</f>
        <v>102.05828333558512</v>
      </c>
      <c r="E313" s="18">
        <f>LN(B313/B312)</f>
        <v>-0.00020909566202694673</v>
      </c>
      <c r="F313" s="18">
        <f>LN(C313/C312)</f>
        <v>-0.004876977079504006</v>
      </c>
    </row>
    <row r="314">
      <c r="A314" s="6" t="s">
        <v>869</v>
      </c>
      <c r="B314" s="14">
        <v>236.35</v>
      </c>
      <c r="C314" s="15">
        <v>2228</v>
      </c>
      <c r="D314" s="14">
        <f>C314/22.0462262</f>
        <v>101.06038012074829</v>
      </c>
      <c r="E314" s="18">
        <f>LN(B314/B313)</f>
        <v>-0.011568117225033706</v>
      </c>
      <c r="F314" s="18">
        <f>LN(C314/C313)</f>
        <v>-0.009825894151291172</v>
      </c>
    </row>
    <row r="315">
      <c r="A315" s="6" t="s">
        <v>870</v>
      </c>
      <c r="B315" s="14">
        <v>232.65</v>
      </c>
      <c r="C315" s="15">
        <v>2223</v>
      </c>
      <c r="D315" s="14">
        <f>C315/22.0462262</f>
        <v>100.8335839355581</v>
      </c>
      <c r="E315" s="18">
        <f>LN(B315/B314)</f>
        <v>-0.01577857894858776</v>
      </c>
      <c r="F315" s="18">
        <f>LN(C315/C314)</f>
        <v>-0.002246687082978098</v>
      </c>
    </row>
    <row r="316">
      <c r="A316" s="6" t="s">
        <v>871</v>
      </c>
      <c r="B316" s="14">
        <v>233.9</v>
      </c>
      <c r="C316" s="15">
        <v>2262</v>
      </c>
      <c r="D316" s="14">
        <f>C316/22.0462262</f>
        <v>102.60259418004158</v>
      </c>
      <c r="E316" s="18">
        <f>LN(B316/B315)</f>
        <v>0.0053584952994758794</v>
      </c>
      <c r="F316" s="18">
        <f>LN(C316/C315)</f>
        <v>0.01739174271186924</v>
      </c>
    </row>
    <row r="317">
      <c r="A317" s="6" t="s">
        <v>872</v>
      </c>
      <c r="B317" s="14">
        <v>226.9</v>
      </c>
      <c r="C317" s="15">
        <v>2238</v>
      </c>
      <c r="D317" s="14">
        <f>C317/22.0462262</f>
        <v>101.51397249112867</v>
      </c>
      <c r="E317" s="18">
        <f>LN(B317/B316)</f>
        <v>-0.030384281804337353</v>
      </c>
      <c r="F317" s="18">
        <f>LN(C317/C316)</f>
        <v>-0.010666767804195192</v>
      </c>
    </row>
    <row r="318">
      <c r="A318" s="6" t="s">
        <v>873</v>
      </c>
      <c r="B318" s="14">
        <v>225.85</v>
      </c>
      <c r="C318" s="15">
        <v>2276</v>
      </c>
      <c r="D318" s="14">
        <f>C318/22.0462262</f>
        <v>103.23762349857411</v>
      </c>
      <c r="E318" s="18">
        <f>LN(B318/B317)</f>
        <v>-0.004638329685182923</v>
      </c>
      <c r="F318" s="18">
        <f>LN(C318/C317)</f>
        <v>0.016836906374350934</v>
      </c>
    </row>
    <row r="319">
      <c r="A319" s="6" t="s">
        <v>874</v>
      </c>
      <c r="B319" s="14">
        <v>231.5</v>
      </c>
      <c r="C319" s="15">
        <v>2264</v>
      </c>
      <c r="D319" s="14">
        <f>C319/22.0462262</f>
        <v>102.69331265411765</v>
      </c>
      <c r="E319" s="18">
        <f>LN(B319/B318)</f>
        <v>0.024708811425675527</v>
      </c>
      <c r="F319" s="18">
        <f>LN(C319/C318)</f>
        <v>-0.005286355923147949</v>
      </c>
    </row>
    <row r="320">
      <c r="A320" s="6" t="s">
        <v>875</v>
      </c>
      <c r="B320" s="14">
        <v>227.75</v>
      </c>
      <c r="C320" s="15">
        <v>2263</v>
      </c>
      <c r="D320" s="14">
        <f>C320/22.0462262</f>
        <v>102.6479534170796</v>
      </c>
      <c r="E320" s="18">
        <f>LN(B320/B319)</f>
        <v>-0.0163313373862211</v>
      </c>
      <c r="F320" s="18">
        <f>LN(C320/C319)</f>
        <v>-0.00044179368953618103</v>
      </c>
    </row>
    <row r="321">
      <c r="A321" s="6" t="s">
        <v>876</v>
      </c>
      <c r="B321" s="14">
        <v>223.95</v>
      </c>
      <c r="C321" s="15">
        <v>2239</v>
      </c>
      <c r="D321" s="14">
        <f>C321/22.0462262</f>
        <v>101.5593317281667</v>
      </c>
      <c r="E321" s="18">
        <f>LN(B321/B320)</f>
        <v>-0.016825723486758717</v>
      </c>
      <c r="F321" s="18">
        <f>LN(C321/C320)</f>
        <v>-0.01066202903478258</v>
      </c>
    </row>
    <row r="322">
      <c r="A322" s="6" t="s">
        <v>877</v>
      </c>
      <c r="B322" s="14">
        <v>217.6</v>
      </c>
      <c r="C322" s="15">
        <v>2230</v>
      </c>
      <c r="D322" s="14">
        <f>C322/22.0462262</f>
        <v>101.15109859482436</v>
      </c>
      <c r="E322" s="18">
        <f>LN(B322/B321)</f>
        <v>-0.028764297671521548</v>
      </c>
      <c r="F322" s="18">
        <f>LN(C322/C321)</f>
        <v>-0.004027752144590357</v>
      </c>
    </row>
    <row r="323">
      <c r="A323" s="6" t="s">
        <v>878</v>
      </c>
      <c r="B323" s="14">
        <v>219.15</v>
      </c>
      <c r="C323" s="15">
        <v>2226</v>
      </c>
      <c r="D323" s="14">
        <f>C323/22.0462262</f>
        <v>100.96966164667221</v>
      </c>
      <c r="E323" s="18">
        <f>LN(B323/B322)</f>
        <v>0.007097911883030579</v>
      </c>
      <c r="F323" s="18">
        <f>LN(C323/C322)</f>
        <v>-0.0017953326186742633</v>
      </c>
    </row>
    <row r="324">
      <c r="A324" s="6" t="s">
        <v>879</v>
      </c>
      <c r="B324" s="14">
        <v>218.05</v>
      </c>
      <c r="C324" s="15">
        <v>2202</v>
      </c>
      <c r="D324" s="14">
        <f>C324/22.0462262</f>
        <v>99.8810399577593</v>
      </c>
      <c r="E324" s="18">
        <f>LN(B324/B323)</f>
        <v>-0.0050320325760427375</v>
      </c>
      <c r="F324" s="18">
        <f>LN(C324/C323)</f>
        <v>-0.010840214552864833</v>
      </c>
    </row>
    <row r="325">
      <c r="A325" s="6" t="s">
        <v>880</v>
      </c>
      <c r="B325" s="14">
        <v>228.1</v>
      </c>
      <c r="C325" s="15">
        <v>2236</v>
      </c>
      <c r="D325" s="14">
        <f>C325/22.0462262</f>
        <v>101.42325401705259</v>
      </c>
      <c r="E325" s="18">
        <f>LN(B325/B324)</f>
        <v>0.04505973500156673</v>
      </c>
      <c r="F325" s="18">
        <f>LN(C325/C324)</f>
        <v>0.015322516992364402</v>
      </c>
    </row>
    <row r="326">
      <c r="A326" s="6" t="s">
        <v>881</v>
      </c>
      <c r="B326" s="14">
        <v>221.3</v>
      </c>
      <c r="C326" s="15">
        <v>2226</v>
      </c>
      <c r="D326" s="14">
        <f>C326/22.0462262</f>
        <v>100.96966164667221</v>
      </c>
      <c r="E326" s="18">
        <f>LN(B326/B325)</f>
        <v>-0.03026488223333824</v>
      </c>
      <c r="F326" s="18">
        <f>LN(C326/C325)</f>
        <v>-0.004482302439499612</v>
      </c>
    </row>
    <row r="327">
      <c r="A327" s="6" t="s">
        <v>882</v>
      </c>
      <c r="B327" s="14">
        <v>223.55</v>
      </c>
      <c r="C327" s="15">
        <v>2238</v>
      </c>
      <c r="D327" s="14">
        <f>C327/22.0462262</f>
        <v>101.51397249112867</v>
      </c>
      <c r="E327" s="18">
        <f>LN(B327/B326)</f>
        <v>0.010115855622985554</v>
      </c>
      <c r="F327" s="18">
        <f>LN(C327/C326)</f>
        <v>0.005376357036380496</v>
      </c>
    </row>
    <row r="328">
      <c r="A328" s="6" t="s">
        <v>883</v>
      </c>
      <c r="B328" s="14">
        <v>220.45</v>
      </c>
      <c r="C328" s="15">
        <v>2232</v>
      </c>
      <c r="D328" s="14">
        <f>C328/22.0462262</f>
        <v>101.24181706890043</v>
      </c>
      <c r="E328" s="18">
        <f>LN(B328/B327)</f>
        <v>-0.01396419087604313</v>
      </c>
      <c r="F328" s="18">
        <f>LN(C328/C327)</f>
        <v>-0.002684565370668987</v>
      </c>
    </row>
    <row r="329">
      <c r="A329" s="6" t="s">
        <v>884</v>
      </c>
      <c r="B329" s="14">
        <v>223.8</v>
      </c>
      <c r="C329" s="15">
        <v>2204</v>
      </c>
      <c r="D329" s="14">
        <f>C329/22.0462262</f>
        <v>99.97175843183538</v>
      </c>
      <c r="E329" s="18">
        <f>LN(B329/B328)</f>
        <v>0.015081884073878345</v>
      </c>
      <c r="F329" s="18">
        <f>LN(C329/C328)</f>
        <v>-0.012624153228396402</v>
      </c>
    </row>
    <row r="330">
      <c r="A330" s="6" t="s">
        <v>885</v>
      </c>
      <c r="B330" s="14">
        <v>224.35</v>
      </c>
      <c r="C330" s="15">
        <v>2178</v>
      </c>
      <c r="D330" s="14">
        <f>C330/22.0462262</f>
        <v>98.79241826884639</v>
      </c>
      <c r="E330" s="18">
        <f>LN(B330/B329)</f>
        <v>0.0024545365441674028</v>
      </c>
      <c r="F330" s="18">
        <f>LN(C330/C329)</f>
        <v>-0.011866866779899331</v>
      </c>
    </row>
    <row r="331">
      <c r="A331" s="6" t="s">
        <v>886</v>
      </c>
      <c r="B331" s="14">
        <v>228.7</v>
      </c>
      <c r="C331" s="15">
        <v>2198</v>
      </c>
      <c r="D331" s="14">
        <f>C331/22.0462262</f>
        <v>99.69960300960715</v>
      </c>
      <c r="E331" s="18">
        <f>LN(B331/B330)</f>
        <v>0.019203768606743117</v>
      </c>
      <c r="F331" s="18">
        <f>LN(C331/C330)</f>
        <v>0.00914083147066091</v>
      </c>
    </row>
    <row r="332">
      <c r="A332" s="6" t="s">
        <v>887</v>
      </c>
      <c r="B332" s="14">
        <v>225.7</v>
      </c>
      <c r="C332" s="15">
        <v>2175</v>
      </c>
      <c r="D332" s="14">
        <f>C332/22.0462262</f>
        <v>98.65634055773228</v>
      </c>
      <c r="E332" s="18">
        <f>LN(B332/B331)</f>
        <v>-0.013204417205245502</v>
      </c>
      <c r="F332" s="18">
        <f>LN(C332/C331)</f>
        <v>-0.010519191440782154</v>
      </c>
    </row>
    <row r="333">
      <c r="A333" s="6" t="s">
        <v>888</v>
      </c>
      <c r="B333" s="14">
        <v>221.55</v>
      </c>
      <c r="C333" s="15">
        <v>2146</v>
      </c>
      <c r="D333" s="14">
        <f>C333/22.0462262</f>
        <v>97.34092268362919</v>
      </c>
      <c r="E333" s="18">
        <f>LN(B333/B332)</f>
        <v>-0.01855838617799143</v>
      </c>
      <c r="F333" s="18">
        <f>LN(C333/C332)</f>
        <v>-0.013423020332140661</v>
      </c>
    </row>
    <row r="334">
      <c r="A334" s="6" t="s">
        <v>889</v>
      </c>
      <c r="B334" s="14">
        <v>215.75</v>
      </c>
      <c r="C334" s="15">
        <v>2163</v>
      </c>
      <c r="D334" s="14">
        <f>C334/22.0462262</f>
        <v>98.11202971327583</v>
      </c>
      <c r="E334" s="18">
        <f>LN(B334/B333)</f>
        <v>-0.026527967681961168</v>
      </c>
      <c r="F334" s="18">
        <f>LN(C334/C333)</f>
        <v>0.007890502762415088</v>
      </c>
    </row>
    <row r="335">
      <c r="A335" s="6" t="s">
        <v>890</v>
      </c>
      <c r="B335" s="14">
        <v>219.3</v>
      </c>
      <c r="C335" s="15">
        <v>2163</v>
      </c>
      <c r="D335" s="14">
        <f>C335/22.0462262</f>
        <v>98.11202971327583</v>
      </c>
      <c r="E335" s="18">
        <f>LN(B335/B334)</f>
        <v>0.016320325460305173</v>
      </c>
      <c r="F335" s="18">
        <f>LN(C335/C334)</f>
        <v>0</v>
      </c>
    </row>
    <row r="336">
      <c r="A336" s="6" t="s">
        <v>891</v>
      </c>
      <c r="B336" s="14">
        <v>224.65</v>
      </c>
      <c r="C336" s="15">
        <v>2167</v>
      </c>
      <c r="D336" s="14">
        <f>C336/22.0462262</f>
        <v>98.29346666142798</v>
      </c>
      <c r="E336" s="18">
        <f>LN(B336/B335)</f>
        <v>0.02410298009232641</v>
      </c>
      <c r="F336" s="18">
        <f>LN(C336/C335)</f>
        <v>0.0018475755833003565</v>
      </c>
    </row>
    <row r="337">
      <c r="A337" s="6" t="s">
        <v>892</v>
      </c>
      <c r="B337" s="14">
        <v>217.7</v>
      </c>
      <c r="C337" s="15">
        <v>2139</v>
      </c>
      <c r="D337" s="14">
        <f>C337/22.0462262</f>
        <v>97.02340802436292</v>
      </c>
      <c r="E337" s="18">
        <f>LN(B337/B336)</f>
        <v>-0.03142566727566733</v>
      </c>
      <c r="F337" s="18">
        <f>LN(C337/C336)</f>
        <v>-0.013005292453953472</v>
      </c>
    </row>
    <row r="338">
      <c r="A338" s="6" t="s">
        <v>893</v>
      </c>
      <c r="B338" s="14">
        <v>218.1</v>
      </c>
      <c r="C338" s="15">
        <v>2154</v>
      </c>
      <c r="D338" s="14">
        <f>C338/22.0462262</f>
        <v>97.70379657993348</v>
      </c>
      <c r="E338" s="18">
        <f>LN(B338/B337)</f>
        <v>0.001835704967081568</v>
      </c>
      <c r="F338" s="18">
        <f>LN(C338/C337)</f>
        <v>0.006988148633928163</v>
      </c>
    </row>
    <row r="339">
      <c r="A339" s="6" t="s">
        <v>894</v>
      </c>
      <c r="B339" s="14">
        <v>217.45</v>
      </c>
      <c r="C339" s="15">
        <v>2154</v>
      </c>
      <c r="D339" s="14">
        <f>C339/22.0462262</f>
        <v>97.70379657993348</v>
      </c>
      <c r="E339" s="18">
        <f>LN(B339/B338)</f>
        <v>-0.0029847341639359522</v>
      </c>
      <c r="F339" s="18">
        <f>LN(C339/C338)</f>
        <v>0</v>
      </c>
    </row>
    <row r="340">
      <c r="A340" s="6" t="s">
        <v>895</v>
      </c>
      <c r="B340" s="14">
        <v>217.85</v>
      </c>
      <c r="C340" s="15">
        <v>2160</v>
      </c>
      <c r="D340" s="14">
        <f>C340/22.0462262</f>
        <v>97.97595200216172</v>
      </c>
      <c r="E340" s="18">
        <f>LN(B340/B339)</f>
        <v>0.0018378135198037987</v>
      </c>
      <c r="F340" s="18">
        <f>LN(C340/C339)</f>
        <v>0.0027816429618767705</v>
      </c>
    </row>
    <row r="341">
      <c r="A341" s="6" t="s">
        <v>896</v>
      </c>
      <c r="B341" s="14">
        <v>209.75</v>
      </c>
      <c r="C341" s="15">
        <v>2141</v>
      </c>
      <c r="D341" s="14">
        <f>C341/22.0462262</f>
        <v>97.11412649843899</v>
      </c>
      <c r="E341" s="18">
        <f>LN(B341/B340)</f>
        <v>-0.03789040721613554</v>
      </c>
      <c r="F341" s="18">
        <f>LN(C341/C340)</f>
        <v>-0.008835212088527895</v>
      </c>
    </row>
    <row r="342">
      <c r="A342" s="6" t="s">
        <v>897</v>
      </c>
      <c r="B342" s="14">
        <v>202.15</v>
      </c>
      <c r="C342" s="15">
        <v>2097</v>
      </c>
      <c r="D342" s="14">
        <f>C342/22.0462262</f>
        <v>95.11832006876533</v>
      </c>
      <c r="E342" s="18">
        <f>LN(B342/B341)</f>
        <v>-0.036906349260535654</v>
      </c>
      <c r="F342" s="18">
        <f>LN(C342/C341)</f>
        <v>-0.020765257687762873</v>
      </c>
    </row>
    <row r="343">
      <c r="A343" s="6" t="s">
        <v>898</v>
      </c>
      <c r="B343" s="14">
        <v>196.7</v>
      </c>
      <c r="C343" s="15">
        <v>2051</v>
      </c>
      <c r="D343" s="14">
        <f>C343/22.0462262</f>
        <v>93.0317951650156</v>
      </c>
      <c r="E343" s="18">
        <f>LN(B343/B342)</f>
        <v>-0.02733027069176652</v>
      </c>
      <c r="F343" s="18">
        <f>LN(C343/C342)</f>
        <v>-0.02218027282953931</v>
      </c>
    </row>
    <row r="344">
      <c r="A344" s="6" t="s">
        <v>899</v>
      </c>
      <c r="B344" s="14">
        <v>195.55</v>
      </c>
      <c r="C344" s="15">
        <v>2045</v>
      </c>
      <c r="D344" s="14">
        <f>C344/22.0462262</f>
        <v>92.75963974278736</v>
      </c>
      <c r="E344" s="18">
        <f>LN(B344/B343)</f>
        <v>-0.0058636241934901375</v>
      </c>
      <c r="F344" s="18">
        <f>LN(C344/C343)</f>
        <v>-0.002929689595478455</v>
      </c>
    </row>
    <row r="345">
      <c r="A345" s="6" t="s">
        <v>900</v>
      </c>
      <c r="B345" s="14">
        <v>195.1</v>
      </c>
      <c r="C345" s="15">
        <v>2034</v>
      </c>
      <c r="D345" s="14">
        <f>C345/22.0462262</f>
        <v>92.26068813536895</v>
      </c>
      <c r="E345" s="18">
        <f>LN(B345/B344)</f>
        <v>-0.0023038535724577065</v>
      </c>
      <c r="F345" s="18">
        <f>LN(C345/C344)</f>
        <v>-0.005393491868396851</v>
      </c>
    </row>
    <row r="346">
      <c r="A346" s="6" t="s">
        <v>901</v>
      </c>
      <c r="B346" s="14">
        <v>192.3</v>
      </c>
      <c r="C346" s="15">
        <v>2000</v>
      </c>
      <c r="D346" s="14">
        <f>C346/22.0462262</f>
        <v>90.71847407607567</v>
      </c>
      <c r="E346" s="18">
        <f>LN(B346/B345)</f>
        <v>-0.014455595034331439</v>
      </c>
      <c r="F346" s="18">
        <f>LN(C346/C345)</f>
        <v>-0.016857117066422952</v>
      </c>
    </row>
    <row r="347">
      <c r="A347" s="6" t="s">
        <v>902</v>
      </c>
      <c r="B347" s="14">
        <v>191.05</v>
      </c>
      <c r="C347" s="15">
        <v>2041</v>
      </c>
      <c r="D347" s="14">
        <f>C347/22.0462262</f>
        <v>92.57820279463522</v>
      </c>
      <c r="E347" s="18">
        <f>LN(B347/B346)</f>
        <v>-0.006521478701825057</v>
      </c>
      <c r="F347" s="18">
        <f>LN(C347/C346)</f>
        <v>0.020292703267762394</v>
      </c>
    </row>
    <row r="348">
      <c r="A348" s="6" t="s">
        <v>903</v>
      </c>
      <c r="B348" s="14">
        <v>190.9</v>
      </c>
      <c r="C348" s="15">
        <v>1996</v>
      </c>
      <c r="D348" s="14">
        <f>C348/22.0462262</f>
        <v>90.53703712792351</v>
      </c>
      <c r="E348" s="18">
        <f>LN(B348/B347)</f>
        <v>-0.0007854431612070051</v>
      </c>
      <c r="F348" s="18">
        <f>LN(C348/C347)</f>
        <v>-0.02229470593843552</v>
      </c>
    </row>
    <row r="349">
      <c r="A349" s="6" t="s">
        <v>904</v>
      </c>
      <c r="B349" s="14">
        <v>190.4</v>
      </c>
      <c r="C349" s="15">
        <v>1953</v>
      </c>
      <c r="D349" s="14">
        <f>C349/22.0462262</f>
        <v>88.58658993528789</v>
      </c>
      <c r="E349" s="18">
        <f>LN(B349/B348)</f>
        <v>-0.0026226083744369947</v>
      </c>
      <c r="F349" s="18">
        <f>LN(C349/C348)</f>
        <v>-0.021778525994730343</v>
      </c>
    </row>
    <row r="350">
      <c r="A350" s="6" t="s">
        <v>905</v>
      </c>
      <c r="B350" s="14">
        <v>185.8</v>
      </c>
      <c r="C350" s="15">
        <v>1948</v>
      </c>
      <c r="D350" s="14">
        <f>C350/22.0462262</f>
        <v>88.3597937500977</v>
      </c>
      <c r="E350" s="18">
        <f>LN(B350/B349)</f>
        <v>-0.02445629597752671</v>
      </c>
      <c r="F350" s="18">
        <f>LN(C350/C349)</f>
        <v>-0.002563446674198501</v>
      </c>
    </row>
    <row r="351">
      <c r="A351" s="6" t="s">
        <v>906</v>
      </c>
      <c r="B351" s="14">
        <v>179.75</v>
      </c>
      <c r="C351" s="15">
        <v>1875</v>
      </c>
      <c r="D351" s="14">
        <f>C351/22.0462262</f>
        <v>85.04856944632093</v>
      </c>
      <c r="E351" s="18">
        <f>LN(B351/B350)</f>
        <v>-0.03310382977858209</v>
      </c>
      <c r="F351" s="18">
        <f>LN(C351/C350)</f>
        <v>-0.03819454579796926</v>
      </c>
    </row>
    <row r="352">
      <c r="A352" s="6" t="s">
        <v>907</v>
      </c>
      <c r="B352" s="14">
        <v>178.85</v>
      </c>
      <c r="C352" s="15">
        <v>1878</v>
      </c>
      <c r="D352" s="14">
        <f>C352/22.0462262</f>
        <v>85.18464715743505</v>
      </c>
      <c r="E352" s="18">
        <f>LN(B352/B351)</f>
        <v>-0.005019530896129336</v>
      </c>
      <c r="F352" s="18">
        <f>LN(C352/C351)</f>
        <v>0.0015987213636970735</v>
      </c>
    </row>
    <row r="353">
      <c r="A353" s="6" t="s">
        <v>908</v>
      </c>
      <c r="B353" s="14">
        <v>169.8</v>
      </c>
      <c r="C353" s="15">
        <v>1849</v>
      </c>
      <c r="D353" s="14">
        <f>C353/22.0462262</f>
        <v>83.86922928333195</v>
      </c>
      <c r="E353" s="18">
        <f>LN(B353/B352)</f>
        <v>-0.051926191827779675</v>
      </c>
      <c r="F353" s="18">
        <f>LN(C353/C352)</f>
        <v>-0.01556242838108333</v>
      </c>
    </row>
    <row r="354">
      <c r="A354" s="6" t="s">
        <v>909</v>
      </c>
      <c r="B354" s="14">
        <v>177.7</v>
      </c>
      <c r="C354" s="15">
        <v>1853</v>
      </c>
      <c r="D354" s="14">
        <f>C354/22.0462262</f>
        <v>84.0506662314841</v>
      </c>
      <c r="E354" s="18">
        <f>LN(B354/B353)</f>
        <v>0.0454754612833586</v>
      </c>
      <c r="F354" s="18">
        <f>LN(C354/C353)</f>
        <v>0.00216099489823502</v>
      </c>
    </row>
    <row r="355">
      <c r="A355" s="6" t="s">
        <v>910</v>
      </c>
      <c r="B355" s="14">
        <v>174.6</v>
      </c>
      <c r="C355" s="15">
        <v>1839</v>
      </c>
      <c r="D355" s="14">
        <f>C355/22.0462262</f>
        <v>83.41563691295157</v>
      </c>
      <c r="E355" s="18">
        <f>LN(B355/B354)</f>
        <v>-0.017599091755103737</v>
      </c>
      <c r="F355" s="18">
        <f>LN(C355/C354)</f>
        <v>-0.00758400168103871</v>
      </c>
    </row>
    <row r="356">
      <c r="A356" s="6" t="s">
        <v>911</v>
      </c>
      <c r="B356" s="14">
        <v>182.15</v>
      </c>
      <c r="C356" s="15">
        <v>1882</v>
      </c>
      <c r="D356" s="14">
        <f>C356/22.0462262</f>
        <v>85.36608410558719</v>
      </c>
      <c r="E356" s="18">
        <f>LN(B356/B355)</f>
        <v>0.042332880049071035</v>
      </c>
      <c r="F356" s="18">
        <f>LN(C356/C355)</f>
        <v>0.023113095541003843</v>
      </c>
    </row>
    <row r="357">
      <c r="A357" s="6" t="s">
        <v>912</v>
      </c>
      <c r="B357" s="14">
        <v>172.2</v>
      </c>
      <c r="C357" s="15">
        <v>1842</v>
      </c>
      <c r="D357" s="14">
        <f>C357/22.0462262</f>
        <v>83.55171462406568</v>
      </c>
      <c r="E357" s="18">
        <f>LN(B357/B356)</f>
        <v>-0.05617393146094247</v>
      </c>
      <c r="F357" s="18">
        <f>LN(C357/C356)</f>
        <v>-0.021483103330072816</v>
      </c>
    </row>
    <row r="358">
      <c r="A358" s="6" t="s">
        <v>913</v>
      </c>
      <c r="B358" s="14">
        <v>175.75</v>
      </c>
      <c r="C358" s="15">
        <v>1869</v>
      </c>
      <c r="D358" s="14">
        <f>C358/22.0462262</f>
        <v>84.7764140240927</v>
      </c>
      <c r="E358" s="18">
        <f>LN(B358/B357)</f>
        <v>0.02040593869714386</v>
      </c>
      <c r="F358" s="18">
        <f>LN(C358/C357)</f>
        <v>0.014551590640310686</v>
      </c>
    </row>
    <row r="359">
      <c r="A359" s="6" t="s">
        <v>914</v>
      </c>
      <c r="B359" s="14">
        <v>170.55</v>
      </c>
      <c r="C359" s="15">
        <v>1851</v>
      </c>
      <c r="D359" s="14">
        <f>C359/22.0462262</f>
        <v>83.95994775740803</v>
      </c>
      <c r="E359" s="18">
        <f>LN(B359/B358)</f>
        <v>-0.03003402182611954</v>
      </c>
      <c r="F359" s="18">
        <f>LN(C359/C358)</f>
        <v>-0.009677494882065369</v>
      </c>
    </row>
    <row r="360">
      <c r="A360" s="6" t="s">
        <v>915</v>
      </c>
      <c r="B360" s="14">
        <v>166.45</v>
      </c>
      <c r="C360" s="15">
        <v>1831</v>
      </c>
      <c r="D360" s="14">
        <f>C360/22.0462262</f>
        <v>83.05276301664726</v>
      </c>
      <c r="E360" s="18">
        <f>LN(B360/B359)</f>
        <v>-0.024333544843620946</v>
      </c>
      <c r="F360" s="18">
        <f>LN(C360/C359)</f>
        <v>-0.010863767898986843</v>
      </c>
    </row>
    <row r="361">
      <c r="A361" s="6" t="s">
        <v>916</v>
      </c>
      <c r="B361" s="14">
        <v>165.15</v>
      </c>
      <c r="C361" s="15">
        <v>1819</v>
      </c>
      <c r="D361" s="14">
        <f>C361/22.0462262</f>
        <v>82.50845217219081</v>
      </c>
      <c r="E361" s="18">
        <f>LN(B361/B360)</f>
        <v>-0.007840812184235168</v>
      </c>
      <c r="F361" s="18">
        <f>LN(C361/C360)</f>
        <v>-0.006575366156388475</v>
      </c>
    </row>
    <row r="362">
      <c r="A362" s="6" t="s">
        <v>917</v>
      </c>
      <c r="B362" s="14">
        <v>171</v>
      </c>
      <c r="C362" s="15">
        <v>1827</v>
      </c>
      <c r="D362" s="14">
        <f>C362/22.0462262</f>
        <v>82.87132606849512</v>
      </c>
      <c r="E362" s="18">
        <f>LN(B362/B361)</f>
        <v>0.03480940466586115</v>
      </c>
      <c r="F362" s="18">
        <f>LN(C362/C361)</f>
        <v>0.004388377859884384</v>
      </c>
    </row>
    <row r="363">
      <c r="A363" s="6" t="s">
        <v>918</v>
      </c>
      <c r="B363" s="14">
        <v>170.1</v>
      </c>
      <c r="C363" s="15">
        <v>1836</v>
      </c>
      <c r="D363" s="14">
        <f>C363/22.0462262</f>
        <v>83.27955920183746</v>
      </c>
      <c r="E363" s="18">
        <f>LN(B363/B362)</f>
        <v>-0.005277057100843781</v>
      </c>
      <c r="F363" s="18">
        <f>LN(C363/C362)</f>
        <v>0.004914014802429163</v>
      </c>
    </row>
    <row r="364">
      <c r="A364" s="6" t="s">
        <v>919</v>
      </c>
      <c r="B364" s="14">
        <v>166.2</v>
      </c>
      <c r="C364" s="15">
        <v>1824</v>
      </c>
      <c r="D364" s="14">
        <f>C364/22.0462262</f>
        <v>82.735248357381</v>
      </c>
      <c r="E364" s="18">
        <f>LN(B364/B363)</f>
        <v>-0.023194616980468315</v>
      </c>
      <c r="F364" s="18">
        <f>LN(C364/C363)</f>
        <v>-0.006557400546159052</v>
      </c>
    </row>
    <row r="365">
      <c r="A365" s="6" t="s">
        <v>920</v>
      </c>
      <c r="B365" s="14">
        <v>156.75</v>
      </c>
      <c r="C365" s="15">
        <v>1802</v>
      </c>
      <c r="D365" s="14">
        <f>C365/22.0462262</f>
        <v>81.73734514254417</v>
      </c>
      <c r="E365" s="18">
        <f>LN(B365/B364)</f>
        <v>-0.058539702908317656</v>
      </c>
      <c r="F365" s="18">
        <f>LN(C365/C364)</f>
        <v>-0.012134732465993484</v>
      </c>
    </row>
    <row r="366">
      <c r="A366" s="6" t="s">
        <v>921</v>
      </c>
      <c r="B366" s="14">
        <v>155.45</v>
      </c>
      <c r="C366" s="15">
        <v>1792</v>
      </c>
      <c r="D366" s="14">
        <f>C366/22.0462262</f>
        <v>81.2837527721638</v>
      </c>
      <c r="E366" s="18">
        <f>LN(B366/B365)</f>
        <v>-0.008328043008267295</v>
      </c>
      <c r="F366" s="18">
        <f>LN(C366/C365)</f>
        <v>-0.005564844633407396</v>
      </c>
    </row>
    <row r="367">
      <c r="A367" s="6" t="s">
        <v>922</v>
      </c>
      <c r="B367" s="14">
        <v>152.7</v>
      </c>
      <c r="C367" s="15">
        <v>1818</v>
      </c>
      <c r="D367" s="14">
        <f>C367/22.0462262</f>
        <v>82.46309293515277</v>
      </c>
      <c r="E367" s="18">
        <f>LN(B367/B366)</f>
        <v>-0.017848924280176023</v>
      </c>
      <c r="F367" s="18">
        <f>LN(C367/C366)</f>
        <v>0.014404681202548394</v>
      </c>
    </row>
    <row r="368">
      <c r="A368" s="6" t="s">
        <v>923</v>
      </c>
      <c r="B368" s="14">
        <v>151.3</v>
      </c>
      <c r="C368" s="15">
        <v>1811</v>
      </c>
      <c r="D368" s="14">
        <f>C368/22.0462262</f>
        <v>82.1455782758865</v>
      </c>
      <c r="E368" s="18">
        <f>LN(B368/B367)</f>
        <v>-0.009210591430276402</v>
      </c>
      <c r="F368" s="18">
        <f>LN(C368/C367)</f>
        <v>-0.003857816854010789</v>
      </c>
    </row>
    <row r="369">
      <c r="A369" s="6" t="s">
        <v>924</v>
      </c>
      <c r="B369" s="14">
        <v>157.5</v>
      </c>
      <c r="C369" s="15">
        <v>1812</v>
      </c>
      <c r="D369" s="14">
        <f>C369/22.0462262</f>
        <v>82.19093751292455</v>
      </c>
      <c r="E369" s="18">
        <f>LN(B369/B368)</f>
        <v>0.04016083747137738</v>
      </c>
      <c r="F369" s="18">
        <f>LN(C369/C368)</f>
        <v>0.0005520287195112959</v>
      </c>
    </row>
    <row r="370">
      <c r="A370" s="6" t="s">
        <v>925</v>
      </c>
      <c r="B370" s="14">
        <v>161.8</v>
      </c>
      <c r="C370" s="15">
        <v>1834</v>
      </c>
      <c r="D370" s="14">
        <f>C370/22.0462262</f>
        <v>83.18884072776139</v>
      </c>
      <c r="E370" s="18">
        <f>LN(B370/B369)</f>
        <v>0.02693554635870364</v>
      </c>
      <c r="F370" s="18">
        <f>LN(C370/C369)</f>
        <v>0.01206816621348547</v>
      </c>
    </row>
    <row r="371">
      <c r="A371" s="6" t="s">
        <v>926</v>
      </c>
      <c r="B371" s="14">
        <v>160.1</v>
      </c>
      <c r="C371" s="15">
        <v>1814</v>
      </c>
      <c r="D371" s="14">
        <f>C371/22.0462262</f>
        <v>82.28165598700062</v>
      </c>
      <c r="E371" s="18">
        <f>LN(B371/B370)</f>
        <v>-0.010562384621722388</v>
      </c>
      <c r="F371" s="18">
        <f>LN(C371/C370)</f>
        <v>-0.010965022141328216</v>
      </c>
    </row>
    <row r="372">
      <c r="A372" s="6" t="s">
        <v>927</v>
      </c>
      <c r="B372" s="14">
        <v>163.55</v>
      </c>
      <c r="C372" s="15">
        <v>1821</v>
      </c>
      <c r="D372" s="14">
        <f>C372/22.0462262</f>
        <v>82.59917064626688</v>
      </c>
      <c r="E372" s="18">
        <f>LN(B372/B371)</f>
        <v>0.02132013398172395</v>
      </c>
      <c r="F372" s="18">
        <f>LN(C372/C371)</f>
        <v>0.0038514490525260836</v>
      </c>
    </row>
    <row r="373">
      <c r="A373" s="6" t="s">
        <v>928</v>
      </c>
      <c r="B373" s="14">
        <v>160.65</v>
      </c>
      <c r="C373" s="15">
        <v>1826</v>
      </c>
      <c r="D373" s="14">
        <f>C373/22.0462262</f>
        <v>82.82596683145708</v>
      </c>
      <c r="E373" s="18">
        <f>LN(B373/B372)</f>
        <v>-0.01789066842252546</v>
      </c>
      <c r="F373" s="18">
        <f>LN(C373/C372)</f>
        <v>0.0027419814273059243</v>
      </c>
    </row>
    <row r="374">
      <c r="A374" s="6" t="s">
        <v>929</v>
      </c>
      <c r="B374" s="14">
        <v>166.7</v>
      </c>
      <c r="C374" s="15">
        <v>1833</v>
      </c>
      <c r="D374" s="14">
        <f>C374/22.0462262</f>
        <v>83.14348149072335</v>
      </c>
      <c r="E374" s="18">
        <f>LN(B374/B373)</f>
        <v>0.03696770419488065</v>
      </c>
      <c r="F374" s="18">
        <f>LN(C374/C373)</f>
        <v>0.0038261866847912446</v>
      </c>
    </row>
    <row r="375">
      <c r="A375" s="6" t="s">
        <v>930</v>
      </c>
      <c r="B375" s="14">
        <v>167.7</v>
      </c>
      <c r="C375" s="15">
        <v>1849</v>
      </c>
      <c r="D375" s="14">
        <f>C375/22.0462262</f>
        <v>83.86922928333195</v>
      </c>
      <c r="E375" s="18">
        <f>LN(B375/B374)</f>
        <v>0.005980879072414868</v>
      </c>
      <c r="F375" s="18">
        <f>LN(C375/C374)</f>
        <v>0.008690983547419812</v>
      </c>
    </row>
    <row r="376">
      <c r="A376" s="6" t="s">
        <v>931</v>
      </c>
      <c r="B376" s="14">
        <v>163.35</v>
      </c>
      <c r="C376" s="15">
        <v>1855</v>
      </c>
      <c r="D376" s="14">
        <f>C376/22.0462262</f>
        <v>84.14138470556017</v>
      </c>
      <c r="E376" s="18">
        <f>LN(B376/B375)</f>
        <v>-0.026281530782084003</v>
      </c>
      <c r="F376" s="18">
        <f>LN(C376/C375)</f>
        <v>0.003239743654410575</v>
      </c>
    </row>
    <row r="377">
      <c r="A377" s="6" t="s">
        <v>932</v>
      </c>
      <c r="B377" s="14">
        <v>160.15</v>
      </c>
      <c r="C377" s="15">
        <v>1846</v>
      </c>
      <c r="D377" s="14">
        <f>C377/22.0462262</f>
        <v>83.73315157221784</v>
      </c>
      <c r="E377" s="18">
        <f>LN(B377/B376)</f>
        <v>-0.01978426199191197</v>
      </c>
      <c r="F377" s="18">
        <f>LN(C377/C376)</f>
        <v>-0.004863559978737999</v>
      </c>
    </row>
    <row r="378">
      <c r="A378" s="6" t="s">
        <v>933</v>
      </c>
      <c r="B378" s="14">
        <v>160.15</v>
      </c>
      <c r="C378" s="15">
        <v>1856</v>
      </c>
      <c r="D378" s="14">
        <f>C378/22.0462262</f>
        <v>84.18674394259821</v>
      </c>
      <c r="E378" s="18">
        <f>LN(B378/B377)</f>
        <v>0</v>
      </c>
      <c r="F378" s="18">
        <f>LN(C378/C377)</f>
        <v>0.005402498283348342</v>
      </c>
    </row>
    <row r="379">
      <c r="A379" s="6" t="s">
        <v>934</v>
      </c>
      <c r="B379" s="14">
        <v>161.05</v>
      </c>
      <c r="C379" s="15">
        <v>1877</v>
      </c>
      <c r="D379" s="14">
        <f>C379/22.0462262</f>
        <v>85.13928792039701</v>
      </c>
      <c r="E379" s="18">
        <f>LN(B379/B378)</f>
        <v>0.0056039997220407815</v>
      </c>
      <c r="F379" s="18">
        <f>LN(C379/C378)</f>
        <v>0.011251123240362844</v>
      </c>
    </row>
    <row r="380">
      <c r="A380" s="6" t="s">
        <v>935</v>
      </c>
      <c r="B380" s="14">
        <v>157.7</v>
      </c>
      <c r="C380" s="15">
        <v>1868</v>
      </c>
      <c r="D380" s="14">
        <f>C380/22.0462262</f>
        <v>84.73105478705467</v>
      </c>
      <c r="E380" s="18">
        <f>LN(B380/B379)</f>
        <v>-0.021020381808215256</v>
      </c>
      <c r="F380" s="18">
        <f>LN(C380/C379)</f>
        <v>-0.004806417797720867</v>
      </c>
    </row>
    <row r="381">
      <c r="A381" s="6" t="s">
        <v>936</v>
      </c>
      <c r="B381" s="14">
        <v>156.9</v>
      </c>
      <c r="C381" s="15">
        <v>1876</v>
      </c>
      <c r="D381" s="14">
        <f>C381/22.0462262</f>
        <v>85.09392868335897</v>
      </c>
      <c r="E381" s="18">
        <f>LN(B381/B380)</f>
        <v>-0.0050858342300057376</v>
      </c>
      <c r="F381" s="18">
        <f>LN(C381/C380)</f>
        <v>0.004273510777382085</v>
      </c>
    </row>
    <row r="382">
      <c r="A382" s="6" t="s">
        <v>937</v>
      </c>
      <c r="B382" s="14">
        <v>157.75</v>
      </c>
      <c r="C382" s="15">
        <v>1864</v>
      </c>
      <c r="D382" s="14">
        <f>C382/22.0462262</f>
        <v>84.54961783890252</v>
      </c>
      <c r="E382" s="18">
        <f>LN(B382/B381)</f>
        <v>0.005402841682335582</v>
      </c>
      <c r="F382" s="18">
        <f>LN(C382/C381)</f>
        <v>-0.00641713432063354</v>
      </c>
    </row>
    <row r="383">
      <c r="A383" s="6" t="s">
        <v>938</v>
      </c>
      <c r="B383" s="14">
        <v>166.35</v>
      </c>
      <c r="C383" s="15">
        <v>1884</v>
      </c>
      <c r="D383" s="14">
        <f>C383/22.0462262</f>
        <v>85.45680257966328</v>
      </c>
      <c r="E383" s="18">
        <f>LN(B383/B382)</f>
        <v>0.05308250104316316</v>
      </c>
      <c r="F383" s="18">
        <f>LN(C383/C382)</f>
        <v>0.01067245989077198</v>
      </c>
    </row>
    <row r="384">
      <c r="A384" s="6" t="s">
        <v>939</v>
      </c>
      <c r="B384" s="14">
        <v>167.15</v>
      </c>
      <c r="C384" s="15">
        <v>1872</v>
      </c>
      <c r="D384" s="14">
        <f>C384/22.0462262</f>
        <v>84.91249173520681</v>
      </c>
      <c r="E384" s="18">
        <f>LN(B384/B383)</f>
        <v>0.004797610401621992</v>
      </c>
      <c r="F384" s="18">
        <f>LN(C384/C383)</f>
        <v>-0.00638979809877101</v>
      </c>
    </row>
    <row r="385">
      <c r="A385" s="6" t="s">
        <v>940</v>
      </c>
      <c r="B385" s="14">
        <v>168.3</v>
      </c>
      <c r="C385" s="15">
        <v>1877</v>
      </c>
      <c r="D385" s="14">
        <f>C385/22.0462262</f>
        <v>85.13928792039701</v>
      </c>
      <c r="E385" s="18">
        <f>LN(B385/B384)</f>
        <v>0.006856488330652747</v>
      </c>
      <c r="F385" s="18">
        <f>LN(C385/C384)</f>
        <v>0.002667379548971453</v>
      </c>
    </row>
    <row r="386">
      <c r="A386" s="6" t="s">
        <v>941</v>
      </c>
      <c r="B386" s="14">
        <v>171.5</v>
      </c>
      <c r="C386" s="15">
        <v>1878</v>
      </c>
      <c r="D386" s="14">
        <f>C386/22.0462262</f>
        <v>85.18464715743505</v>
      </c>
      <c r="E386" s="18">
        <f>LN(B386/B385)</f>
        <v>0.018835165409234238</v>
      </c>
      <c r="F386" s="18">
        <f>LN(C386/C385)</f>
        <v>0.0005326231816993347</v>
      </c>
    </row>
    <row r="387">
      <c r="A387" s="6" t="s">
        <v>942</v>
      </c>
      <c r="B387" s="14">
        <v>164.15</v>
      </c>
      <c r="C387" s="15">
        <v>1866</v>
      </c>
      <c r="D387" s="14">
        <f>C387/22.0462262</f>
        <v>84.64033631297859</v>
      </c>
      <c r="E387" s="18">
        <f>LN(B387/B386)</f>
        <v>-0.04380262265839289</v>
      </c>
      <c r="F387" s="18">
        <f>LN(C387/C386)</f>
        <v>-0.006410278360919054</v>
      </c>
    </row>
    <row r="388">
      <c r="A388" s="6" t="s">
        <v>943</v>
      </c>
      <c r="B388" s="14">
        <v>164.05</v>
      </c>
      <c r="C388" s="15">
        <v>1858</v>
      </c>
      <c r="D388" s="14">
        <f>C388/22.0462262</f>
        <v>84.27746241667428</v>
      </c>
      <c r="E388" s="18">
        <f>LN(B388/B387)</f>
        <v>-0.0006093845404909738</v>
      </c>
      <c r="F388" s="18">
        <f>LN(C388/C387)</f>
        <v>-0.00429646203350534</v>
      </c>
    </row>
    <row r="389">
      <c r="A389" s="6" t="s">
        <v>944</v>
      </c>
      <c r="B389" s="14">
        <v>167.8</v>
      </c>
      <c r="C389" s="15">
        <v>1868</v>
      </c>
      <c r="D389" s="14">
        <f>C389/22.0462262</f>
        <v>84.73105478705467</v>
      </c>
      <c r="E389" s="18">
        <f>LN(B389/B388)</f>
        <v>0.022601534625995127</v>
      </c>
      <c r="F389" s="18">
        <f>LN(C389/C388)</f>
        <v>0.005367699415004134</v>
      </c>
    </row>
    <row r="390">
      <c r="A390" s="6" t="s">
        <v>945</v>
      </c>
      <c r="B390" s="14">
        <v>169.35</v>
      </c>
      <c r="C390" s="15">
        <v>1879</v>
      </c>
      <c r="D390" s="14">
        <f>C390/22.0462262</f>
        <v>85.23000639447308</v>
      </c>
      <c r="E390" s="18">
        <f>LN(B390/B389)</f>
        <v>0.009194785230674877</v>
      </c>
      <c r="F390" s="18">
        <f>LN(C390/C389)</f>
        <v>0.005871380624677318</v>
      </c>
    </row>
    <row r="391">
      <c r="A391" s="6" t="s">
        <v>946</v>
      </c>
      <c r="B391" s="14">
        <v>168.9</v>
      </c>
      <c r="C391" s="15">
        <v>1878</v>
      </c>
      <c r="D391" s="14">
        <f>C391/22.0462262</f>
        <v>85.18464715743505</v>
      </c>
      <c r="E391" s="18">
        <f>LN(B391/B390)</f>
        <v>-0.00266075545002629</v>
      </c>
      <c r="F391" s="18">
        <f>LN(C391/C390)</f>
        <v>-0.0005323396452571098</v>
      </c>
    </row>
    <row r="392">
      <c r="A392" s="6" t="s">
        <v>947</v>
      </c>
      <c r="B392" s="14">
        <v>172</v>
      </c>
      <c r="C392" s="15">
        <v>1875</v>
      </c>
      <c r="D392" s="14">
        <f>C392/22.0462262</f>
        <v>85.04856944632093</v>
      </c>
      <c r="E392" s="18">
        <f>LN(B392/B391)</f>
        <v>0.018187652999698583</v>
      </c>
      <c r="F392" s="18">
        <f>LN(C392/C391)</f>
        <v>-0.0015987213636969929</v>
      </c>
    </row>
    <row r="393">
      <c r="A393" s="6" t="s">
        <v>948</v>
      </c>
      <c r="B393" s="14">
        <v>173.55</v>
      </c>
      <c r="C393" s="15">
        <v>1869</v>
      </c>
      <c r="D393" s="14">
        <f>C393/22.0462262</f>
        <v>84.7764140240927</v>
      </c>
      <c r="E393" s="18">
        <f>LN(B393/B392)</f>
        <v>0.008971265494342224</v>
      </c>
      <c r="F393" s="18">
        <f>LN(C393/C392)</f>
        <v>-0.0032051309489483358</v>
      </c>
    </row>
    <row r="394">
      <c r="A394" s="6" t="s">
        <v>949</v>
      </c>
      <c r="B394" s="14">
        <v>170.05</v>
      </c>
      <c r="C394" s="15">
        <v>1824</v>
      </c>
      <c r="D394" s="14">
        <f>C394/22.0462262</f>
        <v>82.735248357381</v>
      </c>
      <c r="E394" s="18">
        <f>LN(B394/B393)</f>
        <v>-0.0203732308545908</v>
      </c>
      <c r="F394" s="18">
        <f>LN(C394/C393)</f>
        <v>-0.02437163682128618</v>
      </c>
    </row>
    <row r="395">
      <c r="A395" s="6" t="s">
        <v>950</v>
      </c>
      <c r="B395" s="14">
        <v>167.3</v>
      </c>
      <c r="C395" s="15">
        <v>1799</v>
      </c>
      <c r="D395" s="14">
        <f>C395/22.0462262</f>
        <v>81.60126743143006</v>
      </c>
      <c r="E395" s="18">
        <f>LN(B395/B394)</f>
        <v>-0.01630390346042617</v>
      </c>
      <c r="F395" s="18">
        <f>LN(C395/C394)</f>
        <v>-0.013800936683743539</v>
      </c>
    </row>
    <row r="396">
      <c r="A396" s="6" t="s">
        <v>951</v>
      </c>
      <c r="B396" s="14">
        <v>166.3</v>
      </c>
      <c r="C396" s="15">
        <v>1852</v>
      </c>
      <c r="D396" s="14">
        <f>C396/22.0462262</f>
        <v>84.00530699444606</v>
      </c>
      <c r="E396" s="18">
        <f>LN(B396/B395)</f>
        <v>-0.0059952217938962805</v>
      </c>
      <c r="F396" s="18">
        <f>LN(C396/C395)</f>
        <v>0.02903518125559149</v>
      </c>
    </row>
    <row r="397">
      <c r="A397" s="6" t="s">
        <v>952</v>
      </c>
      <c r="B397" s="14">
        <v>161.3</v>
      </c>
      <c r="C397" s="15">
        <v>1873</v>
      </c>
      <c r="D397" s="14">
        <f>C397/22.0462262</f>
        <v>84.95785097224486</v>
      </c>
      <c r="E397" s="18">
        <f>LN(B397/B396)</f>
        <v>-0.030527401067718802</v>
      </c>
      <c r="F397" s="18">
        <f>LN(C397/C396)</f>
        <v>0.011275287237963914</v>
      </c>
    </row>
    <row r="398">
      <c r="A398" s="6" t="s">
        <v>953</v>
      </c>
      <c r="B398" s="14">
        <v>160.55</v>
      </c>
      <c r="C398" s="15">
        <v>1832</v>
      </c>
      <c r="D398" s="14">
        <f>C398/22.0462262</f>
        <v>83.0981222536853</v>
      </c>
      <c r="E398" s="18">
        <f>LN(B398/B397)</f>
        <v>-0.0046605645956402375</v>
      </c>
      <c r="F398" s="18">
        <f>LN(C398/C397)</f>
        <v>-0.02213315721001289</v>
      </c>
    </row>
    <row r="399">
      <c r="A399" s="6" t="s">
        <v>954</v>
      </c>
      <c r="B399" s="14">
        <v>158.3</v>
      </c>
      <c r="C399" s="15">
        <v>1825</v>
      </c>
      <c r="D399" s="14">
        <f>C399/22.0462262</f>
        <v>82.78060759441904</v>
      </c>
      <c r="E399" s="18">
        <f>LN(B399/B398)</f>
        <v>-0.01411345364855647</v>
      </c>
      <c r="F399" s="18">
        <f>LN(C399/C398)</f>
        <v>-0.003828279217483721</v>
      </c>
    </row>
    <row r="400">
      <c r="A400" s="6" t="s">
        <v>955</v>
      </c>
      <c r="B400" s="14">
        <v>158.05</v>
      </c>
      <c r="C400" s="15">
        <v>1860</v>
      </c>
      <c r="D400" s="14">
        <f>C400/22.0462262</f>
        <v>84.36818089075037</v>
      </c>
      <c r="E400" s="18">
        <f>LN(B400/B399)</f>
        <v>-0.0015805282253397214</v>
      </c>
      <c r="F400" s="18">
        <f>LN(C400/C399)</f>
        <v>0.018996500690655085</v>
      </c>
    </row>
    <row r="401">
      <c r="A401" s="6" t="s">
        <v>956</v>
      </c>
      <c r="B401" s="14">
        <v>150.9</v>
      </c>
      <c r="C401" s="15">
        <v>1840</v>
      </c>
      <c r="D401" s="14">
        <f>C401/22.0462262</f>
        <v>83.46099614998961</v>
      </c>
      <c r="E401" s="18">
        <f>LN(B401/B400)</f>
        <v>-0.0462940728878236</v>
      </c>
      <c r="F401" s="18">
        <f>LN(C401/C400)</f>
        <v>-0.010810916104215617</v>
      </c>
    </row>
    <row r="402">
      <c r="A402" s="6" t="s">
        <v>957</v>
      </c>
      <c r="B402" s="14">
        <v>143.9</v>
      </c>
      <c r="C402" s="15">
        <v>1811</v>
      </c>
      <c r="D402" s="14">
        <f>C402/22.0462262</f>
        <v>82.1455782758865</v>
      </c>
      <c r="E402" s="18">
        <f>LN(B402/B401)</f>
        <v>-0.04749875188048112</v>
      </c>
      <c r="F402" s="18">
        <f>LN(C402/C401)</f>
        <v>-0.015886392719617913</v>
      </c>
    </row>
    <row r="403">
      <c r="A403" s="6" t="s">
        <v>958</v>
      </c>
      <c r="B403" s="14">
        <v>149.4</v>
      </c>
      <c r="C403" s="15">
        <v>1881</v>
      </c>
      <c r="D403" s="14">
        <f>C403/22.0462262</f>
        <v>85.32072486854916</v>
      </c>
      <c r="E403" s="18">
        <f>LN(B403/B402)</f>
        <v>0.03750865880539472</v>
      </c>
      <c r="F403" s="18">
        <f>LN(C403/C402)</f>
        <v>0.03792437141761706</v>
      </c>
    </row>
    <row r="404">
      <c r="A404" s="6" t="s">
        <v>959</v>
      </c>
      <c r="B404" s="14">
        <v>151.7</v>
      </c>
      <c r="C404" s="15">
        <v>1916</v>
      </c>
      <c r="D404" s="14">
        <f>C404/22.0462262</f>
        <v>86.90829816488048</v>
      </c>
      <c r="E404" s="18">
        <f>LN(B404/B403)</f>
        <v>0.015277613655769602</v>
      </c>
      <c r="F404" s="18">
        <f>LN(C404/C403)</f>
        <v>0.018436129229775552</v>
      </c>
    </row>
    <row r="405">
      <c r="A405" s="6" t="s">
        <v>960</v>
      </c>
      <c r="B405" s="14">
        <v>151.1</v>
      </c>
      <c r="C405" s="15">
        <v>1895</v>
      </c>
      <c r="D405" s="14">
        <f>C405/22.0462262</f>
        <v>85.9557541870817</v>
      </c>
      <c r="E405" s="18">
        <f>LN(B405/B404)</f>
        <v>-0.003963017075792677</v>
      </c>
      <c r="F405" s="18">
        <f>LN(C405/C404)</f>
        <v>-0.011020841014279156</v>
      </c>
    </row>
    <row r="406">
      <c r="A406" s="6" t="s">
        <v>961</v>
      </c>
      <c r="B406" s="14">
        <v>155</v>
      </c>
      <c r="C406" s="15">
        <v>1902</v>
      </c>
      <c r="D406" s="14">
        <f>C406/22.0462262</f>
        <v>86.27326884634796</v>
      </c>
      <c r="E406" s="18">
        <f>LN(B406/B405)</f>
        <v>0.025483247640552847</v>
      </c>
      <c r="F406" s="18">
        <f>LN(C406/C405)</f>
        <v>0.00368712558880879</v>
      </c>
    </row>
    <row r="407">
      <c r="A407" s="6" t="s">
        <v>962</v>
      </c>
      <c r="B407" s="14">
        <v>154.6</v>
      </c>
      <c r="C407" s="15">
        <v>1918</v>
      </c>
      <c r="D407" s="14">
        <f>C407/22.0462262</f>
        <v>86.99901663895656</v>
      </c>
      <c r="E407" s="18">
        <f>LN(B407/B406)</f>
        <v>-0.002583980765925018</v>
      </c>
      <c r="F407" s="18">
        <f>LN(C407/C406)</f>
        <v>0.008377012338047864</v>
      </c>
    </row>
    <row r="408">
      <c r="A408" s="6" t="s">
        <v>963</v>
      </c>
      <c r="B408" s="14">
        <v>154.8</v>
      </c>
      <c r="C408" s="15">
        <v>1944</v>
      </c>
      <c r="D408" s="14">
        <f>C408/22.0462262</f>
        <v>88.17835680194554</v>
      </c>
      <c r="E408" s="18">
        <f>LN(B408/B407)</f>
        <v>0.0012928250023051713</v>
      </c>
      <c r="F408" s="18">
        <f>LN(C408/C407)</f>
        <v>0.013464729577000949</v>
      </c>
    </row>
    <row r="409">
      <c r="A409" s="6" t="s">
        <v>964</v>
      </c>
      <c r="B409" s="14">
        <v>158.55</v>
      </c>
      <c r="C409" s="15">
        <v>1941</v>
      </c>
      <c r="D409" s="14">
        <f>C409/22.0462262</f>
        <v>88.04227909083143</v>
      </c>
      <c r="E409" s="18">
        <f>LN(B409/B408)</f>
        <v>0.023936039828729633</v>
      </c>
      <c r="F409" s="18">
        <f>LN(C409/C408)</f>
        <v>-0.001544401851374136</v>
      </c>
    </row>
    <row r="410">
      <c r="A410" s="6" t="s">
        <v>965</v>
      </c>
      <c r="B410" s="14">
        <v>159.85</v>
      </c>
      <c r="C410" s="15">
        <v>1943</v>
      </c>
      <c r="D410" s="14">
        <f>C410/22.0462262</f>
        <v>88.1329975649075</v>
      </c>
      <c r="E410" s="18">
        <f>LN(B410/B409)</f>
        <v>0.008165874521494039</v>
      </c>
      <c r="F410" s="18">
        <f>LN(C410/C409)</f>
        <v>0.001029866208429809</v>
      </c>
    </row>
    <row r="411">
      <c r="A411" s="6" t="s">
        <v>966</v>
      </c>
      <c r="B411" s="14">
        <v>162.45</v>
      </c>
      <c r="C411" s="15">
        <v>1970</v>
      </c>
      <c r="D411" s="14">
        <f>C411/22.0462262</f>
        <v>89.35769696493453</v>
      </c>
      <c r="E411" s="18">
        <f>LN(B411/B410)</f>
        <v>0.01613438660925887</v>
      </c>
      <c r="F411" s="18">
        <f>LN(C411/C410)</f>
        <v>0.013800372354594052</v>
      </c>
    </row>
    <row r="412">
      <c r="A412" s="6" t="s">
        <v>967</v>
      </c>
      <c r="B412" s="14">
        <v>167.15</v>
      </c>
      <c r="C412" s="15">
        <v>1962</v>
      </c>
      <c r="D412" s="14">
        <f>C412/22.0462262</f>
        <v>88.99482306863023</v>
      </c>
      <c r="E412" s="18">
        <f>LN(B412/B411)</f>
        <v>0.02852135075099847</v>
      </c>
      <c r="F412" s="18">
        <f>LN(C412/C411)</f>
        <v>-0.004069181606725743</v>
      </c>
    </row>
    <row r="413">
      <c r="A413" s="6" t="s">
        <v>968</v>
      </c>
      <c r="B413" s="14">
        <v>169.9</v>
      </c>
      <c r="C413" s="15">
        <v>2016</v>
      </c>
      <c r="D413" s="14">
        <f>C413/22.0462262</f>
        <v>91.44422186868427</v>
      </c>
      <c r="E413" s="18">
        <f>LN(B413/B412)</f>
        <v>0.01631841581177882</v>
      </c>
      <c r="F413" s="18">
        <f>LN(C413/C412)</f>
        <v>0.027150989065950898</v>
      </c>
    </row>
    <row r="414">
      <c r="A414" s="6" t="s">
        <v>969</v>
      </c>
      <c r="B414" s="14">
        <v>170.4</v>
      </c>
      <c r="C414" s="15">
        <v>2010</v>
      </c>
      <c r="D414" s="14">
        <f>C414/22.0462262</f>
        <v>91.17206644645604</v>
      </c>
      <c r="E414" s="18">
        <f>LN(B414/B413)</f>
        <v>0.002938585717329088</v>
      </c>
      <c r="F414" s="18">
        <f>LN(C414/C413)</f>
        <v>-0.0029806281381377893</v>
      </c>
    </row>
    <row r="415">
      <c r="A415" s="6" t="s">
        <v>970</v>
      </c>
      <c r="B415" s="14">
        <v>181.75</v>
      </c>
      <c r="C415" s="15">
        <v>2078</v>
      </c>
      <c r="D415" s="14">
        <f>C415/22.0462262</f>
        <v>94.25649456504262</v>
      </c>
      <c r="E415" s="18">
        <f>LN(B415/B414)</f>
        <v>0.06448350201841337</v>
      </c>
      <c r="F415" s="18">
        <f>LN(C415/C414)</f>
        <v>0.03327117060605125</v>
      </c>
    </row>
    <row r="416">
      <c r="A416" s="6" t="s">
        <v>971</v>
      </c>
      <c r="B416" s="14">
        <v>175.9</v>
      </c>
      <c r="C416" s="15">
        <v>2042</v>
      </c>
      <c r="D416" s="14">
        <f>C416/22.0462262</f>
        <v>92.62356203167325</v>
      </c>
      <c r="E416" s="18">
        <f>LN(B416/B415)</f>
        <v>-0.03271646467011625</v>
      </c>
      <c r="F416" s="18">
        <f>LN(C416/C415)</f>
        <v>-0.017476172934561884</v>
      </c>
    </row>
    <row r="417">
      <c r="A417" s="6" t="s">
        <v>972</v>
      </c>
      <c r="B417" s="14">
        <v>177.9</v>
      </c>
      <c r="C417" s="15">
        <v>2044</v>
      </c>
      <c r="D417" s="14">
        <f>C417/22.0462262</f>
        <v>92.71428050574933</v>
      </c>
      <c r="E417" s="18">
        <f>LN(B417/B416)</f>
        <v>0.011305942928276934</v>
      </c>
      <c r="F417" s="18">
        <f>LN(C417/C416)</f>
        <v>0.0009789525989841986</v>
      </c>
    </row>
    <row r="418">
      <c r="A418" s="6" t="s">
        <v>973</v>
      </c>
      <c r="B418" s="14">
        <v>172.8</v>
      </c>
      <c r="C418" s="15">
        <v>2030</v>
      </c>
      <c r="D418" s="14">
        <f>C418/22.0462262</f>
        <v>92.0792511872168</v>
      </c>
      <c r="E418" s="18">
        <f>LN(B418/B417)</f>
        <v>-0.029086738301834152</v>
      </c>
      <c r="F418" s="18">
        <f>LN(C418/C417)</f>
        <v>-0.006872879287762064</v>
      </c>
    </row>
    <row r="419">
      <c r="A419" s="6" t="s">
        <v>974</v>
      </c>
      <c r="B419" s="14">
        <v>175.7</v>
      </c>
      <c r="C419" s="15">
        <v>2040</v>
      </c>
      <c r="D419" s="14">
        <f>C419/22.0462262</f>
        <v>92.53284355759718</v>
      </c>
      <c r="E419" s="18">
        <f>LN(B419/B418)</f>
        <v>0.016643138823096076</v>
      </c>
      <c r="F419" s="18">
        <f>LN(C419/C418)</f>
        <v>0.004914014802429163</v>
      </c>
    </row>
    <row r="420">
      <c r="A420" s="6" t="s">
        <v>975</v>
      </c>
      <c r="B420" s="14">
        <v>177.05</v>
      </c>
      <c r="C420" s="15">
        <v>2075</v>
      </c>
      <c r="D420" s="14">
        <f>C420/22.0462262</f>
        <v>94.1204168539285</v>
      </c>
      <c r="E420" s="18">
        <f>LN(B420/B419)</f>
        <v>0.007654183364861257</v>
      </c>
      <c r="F420" s="18">
        <f>LN(C420/C419)</f>
        <v>0.017011345826536538</v>
      </c>
    </row>
    <row r="421">
      <c r="A421" s="6" t="s">
        <v>976</v>
      </c>
      <c r="B421" s="14">
        <v>175.6</v>
      </c>
      <c r="C421" s="15">
        <v>2057</v>
      </c>
      <c r="D421" s="14">
        <f>C421/22.0462262</f>
        <v>93.30395058724382</v>
      </c>
      <c r="E421" s="18">
        <f>LN(B421/B420)</f>
        <v>-0.008223497356896533</v>
      </c>
      <c r="F421" s="18">
        <f>LN(C421/C420)</f>
        <v>-0.008712543011841462</v>
      </c>
    </row>
    <row r="422">
      <c r="A422" s="6" t="s">
        <v>977</v>
      </c>
      <c r="B422" s="14">
        <v>173.65</v>
      </c>
      <c r="C422" s="15">
        <v>2032</v>
      </c>
      <c r="D422" s="14">
        <f>C422/22.0462262</f>
        <v>92.16996966129287</v>
      </c>
      <c r="E422" s="18">
        <f>LN(B422/B421)</f>
        <v>-0.01116690201093315</v>
      </c>
      <c r="F422" s="18">
        <f>LN(C422/C421)</f>
        <v>-0.012228080954584676</v>
      </c>
    </row>
    <row r="423">
      <c r="A423" s="6" t="s">
        <v>978</v>
      </c>
      <c r="B423" s="14">
        <v>174.75</v>
      </c>
      <c r="C423" s="15">
        <v>2039</v>
      </c>
      <c r="D423" s="14">
        <f>C423/22.0462262</f>
        <v>92.48748432055913</v>
      </c>
      <c r="E423" s="18">
        <f>LN(B423/B422)</f>
        <v>0.006314601923836663</v>
      </c>
      <c r="F423" s="18">
        <f>LN(C423/C422)</f>
        <v>0.0034389618760827696</v>
      </c>
    </row>
    <row r="424">
      <c r="A424" s="6" t="s">
        <v>979</v>
      </c>
      <c r="B424" s="14">
        <v>177.05</v>
      </c>
      <c r="C424" s="15">
        <v>2044</v>
      </c>
      <c r="D424" s="14">
        <f>C424/22.0462262</f>
        <v>92.71428050574933</v>
      </c>
      <c r="E424" s="18">
        <f>LN(B424/B423)</f>
        <v>0.013075797443993087</v>
      </c>
      <c r="F424" s="18">
        <f>LN(C424/C423)</f>
        <v>0.002449180749139938</v>
      </c>
    </row>
    <row r="425">
      <c r="A425" s="6" t="s">
        <v>980</v>
      </c>
      <c r="B425" s="14">
        <v>183.55</v>
      </c>
      <c r="C425" s="15">
        <v>2070</v>
      </c>
      <c r="D425" s="14">
        <f>C425/22.0462262</f>
        <v>93.89362066873831</v>
      </c>
      <c r="E425" s="18">
        <f>LN(B425/B424)</f>
        <v>0.03605493138493052</v>
      </c>
      <c r="F425" s="18">
        <f>LN(C425/C424)</f>
        <v>0.012639934935819786</v>
      </c>
    </row>
    <row r="426">
      <c r="A426" s="6" t="s">
        <v>981</v>
      </c>
      <c r="B426" s="14">
        <v>176.85</v>
      </c>
      <c r="C426" s="15">
        <v>2049</v>
      </c>
      <c r="D426" s="14">
        <f>C426/22.0462262</f>
        <v>92.94107669093951</v>
      </c>
      <c r="E426" s="18">
        <f>LN(B426/B425)</f>
        <v>-0.0371851942913538</v>
      </c>
      <c r="F426" s="18">
        <f>LN(C426/C425)</f>
        <v>-0.01019673802051498</v>
      </c>
    </row>
    <row r="427">
      <c r="A427" s="6" t="s">
        <v>982</v>
      </c>
      <c r="B427" s="14">
        <v>180.7</v>
      </c>
      <c r="C427" s="15">
        <v>2072</v>
      </c>
      <c r="D427" s="14">
        <f>C427/22.0462262</f>
        <v>93.98433914281439</v>
      </c>
      <c r="E427" s="18">
        <f>LN(B427/B426)</f>
        <v>0.021536281946693103</v>
      </c>
      <c r="F427" s="18">
        <f>LN(C427/C426)</f>
        <v>0.01116245514047395</v>
      </c>
    </row>
    <row r="428">
      <c r="A428" s="6" t="s">
        <v>983</v>
      </c>
      <c r="B428" s="14">
        <v>188.7</v>
      </c>
      <c r="C428" s="15">
        <v>2098</v>
      </c>
      <c r="D428" s="14">
        <f>C428/22.0462262</f>
        <v>95.16367930580337</v>
      </c>
      <c r="E428" s="18">
        <f>LN(B428/B427)</f>
        <v>0.04332025477632179</v>
      </c>
      <c r="F428" s="18">
        <f>LN(C428/C427)</f>
        <v>0.012470185576868726</v>
      </c>
    </row>
    <row r="429">
      <c r="A429" s="6" t="s">
        <v>984</v>
      </c>
      <c r="B429" s="14">
        <v>194.45</v>
      </c>
      <c r="C429" s="15">
        <v>2133</v>
      </c>
      <c r="D429" s="14">
        <f>C429/22.0462262</f>
        <v>96.7512526021347</v>
      </c>
      <c r="E429" s="18">
        <f>LN(B429/B428)</f>
        <v>0.030016608227251662</v>
      </c>
      <c r="F429" s="18">
        <f>LN(C429/C428)</f>
        <v>0.01654492951510815</v>
      </c>
    </row>
    <row r="430">
      <c r="A430" s="6" t="s">
        <v>985</v>
      </c>
      <c r="B430" s="14">
        <v>199.5</v>
      </c>
      <c r="C430" s="15">
        <v>2205</v>
      </c>
      <c r="D430" s="14">
        <f>C430/22.0462262</f>
        <v>100.01711766887341</v>
      </c>
      <c r="E430" s="18">
        <f>LN(B430/B429)</f>
        <v>0.025639175728161833</v>
      </c>
      <c r="F430" s="18">
        <f>LN(C430/C429)</f>
        <v>0.03319806940959583</v>
      </c>
    </row>
    <row r="431">
      <c r="A431" s="6" t="s">
        <v>986</v>
      </c>
      <c r="B431" s="14">
        <v>193.65</v>
      </c>
      <c r="C431" s="15">
        <v>2161</v>
      </c>
      <c r="D431" s="14">
        <f>C431/22.0462262</f>
        <v>98.02131123919975</v>
      </c>
      <c r="E431" s="18">
        <f>LN(B431/B430)</f>
        <v>-0.029761830369156896</v>
      </c>
      <c r="F431" s="18">
        <f>LN(C431/C430)</f>
        <v>-0.020156431374060386</v>
      </c>
    </row>
    <row r="432">
      <c r="A432" s="6" t="s">
        <v>987</v>
      </c>
      <c r="B432" s="14">
        <v>191.2</v>
      </c>
      <c r="C432" s="15">
        <v>2151</v>
      </c>
      <c r="D432" s="14">
        <f>C432/22.0462262</f>
        <v>97.56771886881937</v>
      </c>
      <c r="E432" s="18">
        <f>LN(B432/B431)</f>
        <v>-0.012732405343460408</v>
      </c>
      <c r="F432" s="18">
        <f>LN(C432/C431)</f>
        <v>-0.0046382272391559095</v>
      </c>
    </row>
    <row r="433">
      <c r="A433" s="6" t="s">
        <v>988</v>
      </c>
      <c r="B433" s="14">
        <v>190.7</v>
      </c>
      <c r="C433" s="15">
        <v>2133</v>
      </c>
      <c r="D433" s="14">
        <f>C433/22.0462262</f>
        <v>96.7512526021347</v>
      </c>
      <c r="E433" s="18">
        <f>LN(B433/B432)</f>
        <v>-0.002618488010927501</v>
      </c>
      <c r="F433" s="18">
        <f>LN(C433/C432)</f>
        <v>-0.008403410796379504</v>
      </c>
    </row>
    <row r="434">
      <c r="A434" s="6" t="s">
        <v>989</v>
      </c>
      <c r="B434" s="14">
        <v>190.4</v>
      </c>
      <c r="C434" s="15">
        <v>2140</v>
      </c>
      <c r="D434" s="14">
        <f>C434/22.0462262</f>
        <v>97.06876726140096</v>
      </c>
      <c r="E434" s="18">
        <f>LN(B434/B433)</f>
        <v>-0.0015743902491083606</v>
      </c>
      <c r="F434" s="18">
        <f>LN(C434/C433)</f>
        <v>0.0032763895445465092</v>
      </c>
    </row>
    <row r="435">
      <c r="A435" s="6" t="s">
        <v>990</v>
      </c>
      <c r="B435" s="14">
        <v>185.3</v>
      </c>
      <c r="C435" s="15">
        <v>2177</v>
      </c>
      <c r="D435" s="14">
        <f>C435/22.0462262</f>
        <v>98.74705903180836</v>
      </c>
      <c r="E435" s="18">
        <f>LN(B435/B434)</f>
        <v>-0.02715098906595086</v>
      </c>
      <c r="F435" s="18">
        <f>LN(C435/C434)</f>
        <v>0.017141953218650367</v>
      </c>
    </row>
    <row r="436">
      <c r="A436" s="6" t="s">
        <v>991</v>
      </c>
      <c r="B436" s="14">
        <v>183.95</v>
      </c>
      <c r="C436" s="15">
        <v>2180</v>
      </c>
      <c r="D436" s="14">
        <f>C436/22.0462262</f>
        <v>98.88313674292247</v>
      </c>
      <c r="E436" s="18">
        <f>LN(B436/B435)</f>
        <v>-0.0073121517405308365</v>
      </c>
      <c r="F436" s="18">
        <f>LN(C436/C435)</f>
        <v>0.0013770945485872725</v>
      </c>
    </row>
    <row r="437">
      <c r="A437" s="6" t="s">
        <v>992</v>
      </c>
      <c r="B437" s="14">
        <v>180.8</v>
      </c>
      <c r="C437" s="15">
        <v>2162</v>
      </c>
      <c r="D437" s="14">
        <f>C437/22.0462262</f>
        <v>98.06667047623779</v>
      </c>
      <c r="E437" s="18">
        <f>LN(B437/B436)</f>
        <v>-0.01727253359270715</v>
      </c>
      <c r="F437" s="18">
        <f>LN(C437/C436)</f>
        <v>-0.00829115758398108</v>
      </c>
    </row>
    <row r="438">
      <c r="A438" s="6" t="s">
        <v>993</v>
      </c>
      <c r="B438" s="14">
        <v>182.45</v>
      </c>
      <c r="C438" s="15">
        <v>2153</v>
      </c>
      <c r="D438" s="14">
        <f>C438/22.0462262</f>
        <v>97.65843734289545</v>
      </c>
      <c r="E438" s="18">
        <f>LN(B438/B437)</f>
        <v>0.009084714924380382</v>
      </c>
      <c r="F438" s="18">
        <f>LN(C438/C437)</f>
        <v>-0.004171500834790594</v>
      </c>
    </row>
    <row r="439">
      <c r="A439" s="6" t="s">
        <v>994</v>
      </c>
      <c r="B439" s="14">
        <v>184.55</v>
      </c>
      <c r="C439" s="15">
        <v>2152</v>
      </c>
      <c r="D439" s="14">
        <f>C439/22.0462262</f>
        <v>97.61307810585741</v>
      </c>
      <c r="E439" s="18">
        <f>LN(B439/B438)</f>
        <v>0.011444266593550951</v>
      </c>
      <c r="F439" s="18">
        <f>LN(C439/C438)</f>
        <v>-0.00046457608268801807</v>
      </c>
    </row>
    <row r="440">
      <c r="A440" s="6" t="s">
        <v>995</v>
      </c>
      <c r="B440" s="14">
        <v>179.55</v>
      </c>
      <c r="C440" s="15">
        <v>2159</v>
      </c>
      <c r="D440" s="14">
        <f>C440/22.0462262</f>
        <v>97.93059276512368</v>
      </c>
      <c r="E440" s="18">
        <f>LN(B440/B439)</f>
        <v>-0.027466708803915767</v>
      </c>
      <c r="F440" s="18">
        <f>LN(C440/C439)</f>
        <v>0.0032475092331322323</v>
      </c>
    </row>
    <row r="441">
      <c r="A441" s="6" t="s">
        <v>996</v>
      </c>
      <c r="B441" s="14">
        <v>178</v>
      </c>
      <c r="C441" s="15">
        <v>2168</v>
      </c>
      <c r="D441" s="14">
        <f>C441/22.0462262</f>
        <v>98.33882589846601</v>
      </c>
      <c r="E441" s="18">
        <f>LN(B441/B440)</f>
        <v>-0.008670170380006753</v>
      </c>
      <c r="F441" s="18">
        <f>LN(C441/C440)</f>
        <v>0.0041599320447295715</v>
      </c>
    </row>
    <row r="442">
      <c r="A442" s="6" t="s">
        <v>997</v>
      </c>
      <c r="B442" s="14">
        <v>182.25</v>
      </c>
      <c r="C442" s="15">
        <v>2140</v>
      </c>
      <c r="D442" s="14">
        <f>C442/22.0462262</f>
        <v>97.06876726140096</v>
      </c>
      <c r="E442" s="18">
        <f>LN(B442/B441)</f>
        <v>0.023595820596682356</v>
      </c>
      <c r="F442" s="18">
        <f>LN(C442/C441)</f>
        <v>-0.01299925454363971</v>
      </c>
    </row>
    <row r="443">
      <c r="A443" s="6" t="s">
        <v>998</v>
      </c>
      <c r="B443" s="14">
        <v>183.2</v>
      </c>
      <c r="C443" s="15">
        <v>2113</v>
      </c>
      <c r="D443" s="14">
        <f>C443/22.0462262</f>
        <v>95.84406786137393</v>
      </c>
      <c r="E443" s="18">
        <f>LN(B443/B442)</f>
        <v>0.005199081351262244</v>
      </c>
      <c r="F443" s="18">
        <f>LN(C443/C442)</f>
        <v>-0.012697090399840507</v>
      </c>
    </row>
    <row r="444">
      <c r="A444" s="6" t="s">
        <v>999</v>
      </c>
      <c r="B444" s="14">
        <v>180.9</v>
      </c>
      <c r="C444" s="15">
        <v>2080</v>
      </c>
      <c r="D444" s="14">
        <f>C444/22.0462262</f>
        <v>94.34721303911869</v>
      </c>
      <c r="E444" s="18">
        <f>LN(B444/B443)</f>
        <v>-0.012634059838780375</v>
      </c>
      <c r="F444" s="18">
        <f>LN(C444/C443)</f>
        <v>-0.015740844920693043</v>
      </c>
    </row>
    <row r="445">
      <c r="A445" s="6" t="s">
        <v>1000</v>
      </c>
      <c r="B445" s="14">
        <v>178.05</v>
      </c>
      <c r="C445" s="15">
        <v>2069</v>
      </c>
      <c r="D445" s="14">
        <f>C445/22.0462262</f>
        <v>93.84826143170027</v>
      </c>
      <c r="E445" s="18">
        <f>LN(B445/B444)</f>
        <v>-0.015879982677462698</v>
      </c>
      <c r="F445" s="18">
        <f>LN(C445/C444)</f>
        <v>-0.005302494949820608</v>
      </c>
    </row>
    <row r="446">
      <c r="A446" s="6" t="s">
        <v>1001</v>
      </c>
      <c r="B446" s="14">
        <v>185.5</v>
      </c>
      <c r="C446" s="15">
        <v>2104</v>
      </c>
      <c r="D446" s="14">
        <f>C446/22.0462262</f>
        <v>95.4358347280316</v>
      </c>
      <c r="E446" s="18">
        <f>LN(B446/B445)</f>
        <v>0.04099047232370293</v>
      </c>
      <c r="F446" s="18">
        <f>LN(C446/C445)</f>
        <v>0.01677489611205737</v>
      </c>
    </row>
    <row r="447">
      <c r="A447" s="6" t="s">
        <v>1002</v>
      </c>
      <c r="B447" s="14">
        <v>183</v>
      </c>
      <c r="C447" s="15">
        <v>2064</v>
      </c>
      <c r="D447" s="14">
        <f>C447/22.0462262</f>
        <v>93.62146524651008</v>
      </c>
      <c r="E447" s="18">
        <f>LN(B447/B446)</f>
        <v>-0.013568729206068903</v>
      </c>
      <c r="F447" s="18">
        <f>LN(C447/C446)</f>
        <v>-0.01919444725614718</v>
      </c>
    </row>
    <row r="448">
      <c r="A448" s="6" t="s">
        <v>1003</v>
      </c>
      <c r="B448" s="14">
        <v>184.9</v>
      </c>
      <c r="C448" s="15">
        <v>2087</v>
      </c>
      <c r="D448" s="14">
        <f>C448/22.0462262</f>
        <v>94.66472769838495</v>
      </c>
      <c r="E448" s="18">
        <f>LN(B448/B447)</f>
        <v>0.010328985551658168</v>
      </c>
      <c r="F448" s="18">
        <f>LN(C448/C447)</f>
        <v>0.011081780475747306</v>
      </c>
    </row>
    <row r="449">
      <c r="A449" s="6" t="s">
        <v>1004</v>
      </c>
      <c r="B449" s="14">
        <v>186.7</v>
      </c>
      <c r="C449" s="15">
        <v>2130</v>
      </c>
      <c r="D449" s="14">
        <f>C449/22.0462262</f>
        <v>96.61517489102057</v>
      </c>
      <c r="E449" s="18">
        <f>LN(B449/B448)</f>
        <v>0.009687912154597713</v>
      </c>
      <c r="F449" s="18">
        <f>LN(C449/C448)</f>
        <v>0.02039435162627007</v>
      </c>
    </row>
    <row r="450">
      <c r="A450" s="6" t="s">
        <v>1005</v>
      </c>
      <c r="B450" s="14">
        <v>178</v>
      </c>
      <c r="C450" s="15">
        <v>2112</v>
      </c>
      <c r="D450" s="14">
        <f>C450/22.0462262</f>
        <v>95.7987086243359</v>
      </c>
      <c r="E450" s="18">
        <f>LN(B450/B449)</f>
        <v>-0.047719500255591726</v>
      </c>
      <c r="F450" s="18">
        <f>LN(C450/C449)</f>
        <v>-0.008486613877318694</v>
      </c>
    </row>
    <row r="451">
      <c r="A451" s="6" t="s">
        <v>1006</v>
      </c>
      <c r="B451" s="14">
        <v>174.3</v>
      </c>
      <c r="C451" s="15">
        <v>2124</v>
      </c>
      <c r="D451" s="14">
        <f>C451/22.0462262</f>
        <v>96.34301946879235</v>
      </c>
      <c r="E451" s="18">
        <f>LN(B451/B450)</f>
        <v>-0.02100559776610984</v>
      </c>
      <c r="F451" s="18">
        <f>LN(C451/C450)</f>
        <v>0.0056657375356773</v>
      </c>
    </row>
    <row r="452">
      <c r="A452" s="6" t="s">
        <v>1007</v>
      </c>
      <c r="B452" s="14">
        <v>179.25</v>
      </c>
      <c r="C452" s="15">
        <v>2189</v>
      </c>
      <c r="D452" s="14">
        <f>C452/22.0462262</f>
        <v>99.29136987626481</v>
      </c>
      <c r="E452" s="18">
        <f>LN(B452/B451)</f>
        <v>0.028003526953754354</v>
      </c>
      <c r="F452" s="18">
        <f>LN(C452/C451)</f>
        <v>0.03014371516103353</v>
      </c>
    </row>
    <row r="453">
      <c r="A453" s="6" t="s">
        <v>1008</v>
      </c>
      <c r="B453" s="14">
        <v>176.9</v>
      </c>
      <c r="C453" s="15">
        <v>2214</v>
      </c>
      <c r="D453" s="14">
        <f>C453/22.0462262</f>
        <v>100.42535080221576</v>
      </c>
      <c r="E453" s="18">
        <f>LN(B453/B452)</f>
        <v>-0.013196878313990171</v>
      </c>
      <c r="F453" s="18">
        <f>LN(C453/C452)</f>
        <v>0.011356015745719207</v>
      </c>
    </row>
    <row r="454">
      <c r="A454" s="6" t="s">
        <v>1009</v>
      </c>
      <c r="B454" s="14">
        <v>173.75</v>
      </c>
      <c r="C454" s="15">
        <v>2142</v>
      </c>
      <c r="D454" s="14">
        <f>C454/22.0462262</f>
        <v>97.15948573547703</v>
      </c>
      <c r="E454" s="18">
        <f>LN(B454/B453)</f>
        <v>-0.01796711672083809</v>
      </c>
      <c r="F454" s="18">
        <f>LN(C454/C453)</f>
        <v>-0.033060862260888065</v>
      </c>
    </row>
    <row r="455">
      <c r="A455" s="6" t="s">
        <v>1010</v>
      </c>
      <c r="B455" s="14">
        <v>169.7</v>
      </c>
      <c r="C455" s="15">
        <v>2133</v>
      </c>
      <c r="D455" s="14">
        <f>C455/22.0462262</f>
        <v>96.7512526021347</v>
      </c>
      <c r="E455" s="18">
        <f>LN(B455/B454)</f>
        <v>-0.023585312204720987</v>
      </c>
      <c r="F455" s="18">
        <f>LN(C455/C454)</f>
        <v>-0.004210532536343494</v>
      </c>
    </row>
    <row r="456">
      <c r="A456" s="6" t="s">
        <v>1011</v>
      </c>
      <c r="B456" s="14">
        <v>169.8</v>
      </c>
      <c r="C456" s="15">
        <v>2171</v>
      </c>
      <c r="D456" s="14">
        <f>C456/22.0462262</f>
        <v>98.47490360958012</v>
      </c>
      <c r="E456" s="18">
        <f>LN(B456/B455)</f>
        <v>0.0005891016370665104</v>
      </c>
      <c r="F456" s="18">
        <f>LN(C456/C455)</f>
        <v>0.017658451406941326</v>
      </c>
    </row>
    <row r="457">
      <c r="A457" s="6" t="s">
        <v>1012</v>
      </c>
      <c r="B457" s="14">
        <v>170.5</v>
      </c>
      <c r="C457" s="15">
        <v>2173</v>
      </c>
      <c r="D457" s="14">
        <f>C457/22.0462262</f>
        <v>98.56562208365621</v>
      </c>
      <c r="E457" s="18">
        <f>LN(B457/B456)</f>
        <v>0.004114022846324568</v>
      </c>
      <c r="F457" s="18">
        <f>LN(C457/C456)</f>
        <v>0.0009208103781379043</v>
      </c>
    </row>
    <row r="458">
      <c r="A458" s="6" t="s">
        <v>1013</v>
      </c>
      <c r="B458" s="14">
        <v>176.25</v>
      </c>
      <c r="C458" s="15">
        <v>2195</v>
      </c>
      <c r="D458" s="14">
        <f>C458/22.0462262</f>
        <v>99.56352529849303</v>
      </c>
      <c r="E458" s="18">
        <f>LN(B458/B457)</f>
        <v>0.033168144968806525</v>
      </c>
      <c r="F458" s="18">
        <f>LN(C458/C457)</f>
        <v>0.01007334525284217</v>
      </c>
    </row>
    <row r="459">
      <c r="A459" s="6" t="s">
        <v>1014</v>
      </c>
      <c r="B459" s="14">
        <v>174.85</v>
      </c>
      <c r="C459" s="15">
        <v>2219</v>
      </c>
      <c r="D459" s="14">
        <f>C459/22.0462262</f>
        <v>100.65214698740594</v>
      </c>
      <c r="E459" s="18">
        <f>LN(B459/B458)</f>
        <v>-0.007974978182993241</v>
      </c>
      <c r="F459" s="18">
        <f>LN(C459/C458)</f>
        <v>0.010874597423322228</v>
      </c>
    </row>
    <row r="460">
      <c r="A460" s="6" t="s">
        <v>1015</v>
      </c>
      <c r="B460" s="14">
        <v>180.15</v>
      </c>
      <c r="C460" s="15">
        <v>2274</v>
      </c>
      <c r="D460" s="14">
        <f>C460/22.0462262</f>
        <v>103.14690502449803</v>
      </c>
      <c r="E460" s="18">
        <f>LN(B460/B459)</f>
        <v>0.029861373684717467</v>
      </c>
      <c r="F460" s="18">
        <f>LN(C460/C459)</f>
        <v>0.024483751377887525</v>
      </c>
    </row>
    <row r="461">
      <c r="A461" s="6" t="s">
        <v>1016</v>
      </c>
      <c r="B461" s="14">
        <v>183.6</v>
      </c>
      <c r="C461" s="15">
        <v>2256</v>
      </c>
      <c r="D461" s="14">
        <f>C461/22.0462262</f>
        <v>102.33043875781334</v>
      </c>
      <c r="E461" s="18">
        <f>LN(B461/B460)</f>
        <v>0.01896964099228769</v>
      </c>
      <c r="F461" s="18">
        <f>LN(C461/C460)</f>
        <v>-0.007947061692531834</v>
      </c>
    </row>
    <row r="462">
      <c r="A462" s="6" t="s">
        <v>1017</v>
      </c>
      <c r="B462" s="14">
        <v>190.5</v>
      </c>
      <c r="C462" s="15">
        <v>2323</v>
      </c>
      <c r="D462" s="14">
        <f>C462/22.0462262</f>
        <v>105.36950763936188</v>
      </c>
      <c r="E462" s="18">
        <f>LN(B462/B461)</f>
        <v>0.03689271638036565</v>
      </c>
      <c r="F462" s="18">
        <f>LN(C462/C461)</f>
        <v>0.02926612015245965</v>
      </c>
    </row>
    <row r="463">
      <c r="A463" s="6" t="s">
        <v>1018</v>
      </c>
      <c r="B463" s="14">
        <v>190.25</v>
      </c>
      <c r="C463" s="15">
        <v>2332</v>
      </c>
      <c r="D463" s="14">
        <f>C463/22.0462262</f>
        <v>105.77774077270422</v>
      </c>
      <c r="E463" s="18">
        <f>LN(B463/B462)</f>
        <v>-0.0013131978249604722</v>
      </c>
      <c r="F463" s="18">
        <f>LN(C463/C462)</f>
        <v>0.0038668146999737913</v>
      </c>
    </row>
    <row r="464">
      <c r="A464" s="6" t="s">
        <v>1019</v>
      </c>
      <c r="B464" s="14">
        <v>196.1</v>
      </c>
      <c r="C464" s="15">
        <v>2382</v>
      </c>
      <c r="D464" s="14">
        <f>C464/22.0462262</f>
        <v>108.04570262460611</v>
      </c>
      <c r="E464" s="18">
        <f>LN(B464/B463)</f>
        <v>0.0302857364605054</v>
      </c>
      <c r="F464" s="18">
        <f>LN(C464/C463)</f>
        <v>0.021214202444862402</v>
      </c>
    </row>
    <row r="465">
      <c r="A465" s="6" t="s">
        <v>1020</v>
      </c>
      <c r="B465" s="14">
        <v>193.4</v>
      </c>
      <c r="C465" s="15">
        <v>2344</v>
      </c>
      <c r="D465" s="14">
        <f>C465/22.0462262</f>
        <v>106.32205161716068</v>
      </c>
      <c r="E465" s="18">
        <f>LN(B465/B464)</f>
        <v>-0.013864150183106558</v>
      </c>
      <c r="F465" s="18">
        <f>LN(C465/C464)</f>
        <v>-0.016081599218342162</v>
      </c>
    </row>
    <row r="466">
      <c r="A466" s="6" t="s">
        <v>1021</v>
      </c>
      <c r="B466" s="14">
        <v>201</v>
      </c>
      <c r="C466" s="15">
        <v>2370</v>
      </c>
      <c r="D466" s="14">
        <f>C466/22.0462262</f>
        <v>107.50139178014966</v>
      </c>
      <c r="E466" s="18">
        <f>LN(B466/B465)</f>
        <v>0.03854432503988185</v>
      </c>
      <c r="F466" s="18">
        <f>LN(C466/C465)</f>
        <v>0.011031083432273634</v>
      </c>
    </row>
    <row r="467">
      <c r="A467" s="6" t="s">
        <v>1022</v>
      </c>
      <c r="B467" s="14">
        <v>205.25</v>
      </c>
      <c r="C467" s="15">
        <v>2379</v>
      </c>
      <c r="D467" s="14">
        <f>C467/22.0462262</f>
        <v>107.909624913492</v>
      </c>
      <c r="E467" s="18">
        <f>LN(B467/B466)</f>
        <v>0.020923840273461784</v>
      </c>
      <c r="F467" s="18">
        <f>LN(C467/C466)</f>
        <v>0.003790276173780827</v>
      </c>
    </row>
    <row r="468">
      <c r="A468" s="6" t="s">
        <v>1023</v>
      </c>
      <c r="B468" s="14">
        <v>202.55</v>
      </c>
      <c r="C468" s="15">
        <v>2386</v>
      </c>
      <c r="D468" s="14">
        <f>C468/22.0462262</f>
        <v>108.22713957275826</v>
      </c>
      <c r="E468" s="18">
        <f>LN(B468/B467)</f>
        <v>-0.013241978683837943</v>
      </c>
      <c r="F468" s="18">
        <f>LN(C468/C467)</f>
        <v>0.0029380923549036813</v>
      </c>
    </row>
    <row r="469">
      <c r="A469" s="6" t="s">
        <v>1024</v>
      </c>
      <c r="B469" s="14">
        <v>195.9</v>
      </c>
      <c r="C469" s="15">
        <v>2374</v>
      </c>
      <c r="D469" s="14">
        <f>C469/22.0462262</f>
        <v>107.68282872830181</v>
      </c>
      <c r="E469" s="18">
        <f>LN(B469/B468)</f>
        <v>-0.033382444698204464</v>
      </c>
      <c r="F469" s="18">
        <f>LN(C469/C468)</f>
        <v>-0.005042027488248088</v>
      </c>
    </row>
    <row r="470">
      <c r="A470" s="6" t="s">
        <v>1025</v>
      </c>
      <c r="B470" s="14">
        <v>194.2</v>
      </c>
      <c r="C470" s="15">
        <v>2382</v>
      </c>
      <c r="D470" s="14">
        <f>C470/22.0462262</f>
        <v>108.04570262460611</v>
      </c>
      <c r="E470" s="18">
        <f>LN(B470/B469)</f>
        <v>-0.008715769093270613</v>
      </c>
      <c r="F470" s="18">
        <f>LN(C470/C469)</f>
        <v>0.0033641747456320684</v>
      </c>
    </row>
    <row r="471">
      <c r="A471" s="6" t="s">
        <v>1026</v>
      </c>
      <c r="B471" s="14">
        <v>196.75</v>
      </c>
      <c r="C471" s="15">
        <v>2444</v>
      </c>
      <c r="D471" s="14">
        <f>C471/22.0462262</f>
        <v>110.85797532096446</v>
      </c>
      <c r="E471" s="18">
        <f>LN(B471/B470)</f>
        <v>0.013045331440288115</v>
      </c>
      <c r="F471" s="18">
        <f>LN(C471/C470)</f>
        <v>0.025695570376240602</v>
      </c>
    </row>
    <row r="472">
      <c r="A472" s="6" t="s">
        <v>1027</v>
      </c>
      <c r="B472" s="14">
        <v>192.45</v>
      </c>
      <c r="C472" s="15">
        <v>2419</v>
      </c>
      <c r="D472" s="14">
        <f>C472/22.0462262</f>
        <v>109.7239943950135</v>
      </c>
      <c r="E472" s="18">
        <f>LN(B472/B471)</f>
        <v>-0.022097507567757527</v>
      </c>
      <c r="F472" s="18">
        <f>LN(C472/C471)</f>
        <v>-0.01028180968145874</v>
      </c>
    </row>
    <row r="473">
      <c r="A473" s="6" t="s">
        <v>1028</v>
      </c>
      <c r="B473" s="14">
        <v>195.85</v>
      </c>
      <c r="C473" s="15">
        <v>2413</v>
      </c>
      <c r="D473" s="14">
        <f>C473/22.0462262</f>
        <v>109.45183897278528</v>
      </c>
      <c r="E473" s="18">
        <f>LN(B473/B472)</f>
        <v>0.017512680382085175</v>
      </c>
      <c r="F473" s="18">
        <f>LN(C473/C472)</f>
        <v>-0.0024834449849955066</v>
      </c>
    </row>
    <row r="474">
      <c r="A474" s="6" t="s">
        <v>1029</v>
      </c>
      <c r="B474" s="14">
        <v>192.1</v>
      </c>
      <c r="C474" s="15">
        <v>2405</v>
      </c>
      <c r="D474" s="14">
        <f>C474/22.0462262</f>
        <v>109.08896507648099</v>
      </c>
      <c r="E474" s="18">
        <f>LN(B474/B473)</f>
        <v>-0.019332990337329336</v>
      </c>
      <c r="F474" s="18">
        <f>LN(C474/C473)</f>
        <v>-0.003320883085170125</v>
      </c>
    </row>
    <row r="475">
      <c r="A475" s="6" t="s">
        <v>1030</v>
      </c>
      <c r="B475" s="14">
        <v>189.85</v>
      </c>
      <c r="C475" s="15">
        <v>2409</v>
      </c>
      <c r="D475" s="14">
        <f>C475/22.0462262</f>
        <v>109.27040202463313</v>
      </c>
      <c r="E475" s="18">
        <f>LN(B475/B474)</f>
        <v>-0.011781783096699612</v>
      </c>
      <c r="F475" s="18">
        <f>LN(C475/C474)</f>
        <v>0.0016618200750098096</v>
      </c>
    </row>
    <row r="476">
      <c r="A476" s="6" t="s">
        <v>1031</v>
      </c>
      <c r="B476" s="14">
        <v>190.65</v>
      </c>
      <c r="C476" s="15">
        <v>2424</v>
      </c>
      <c r="D476" s="14">
        <f>C476/22.0462262</f>
        <v>109.9507905802037</v>
      </c>
      <c r="E476" s="18">
        <f>LN(B476/B475)</f>
        <v>0.0042049996257614115</v>
      </c>
      <c r="F476" s="18">
        <f>LN(C476/C475)</f>
        <v>0.006207344574333731</v>
      </c>
    </row>
    <row r="477">
      <c r="A477" s="6" t="s">
        <v>1032</v>
      </c>
      <c r="B477" s="14">
        <v>189.2</v>
      </c>
      <c r="C477" s="15">
        <v>2424</v>
      </c>
      <c r="D477" s="14">
        <f>C477/22.0462262</f>
        <v>109.9507905802037</v>
      </c>
      <c r="E477" s="18">
        <f>LN(B477/B476)</f>
        <v>-0.007634629685794923</v>
      </c>
      <c r="F477" s="18">
        <f>LN(C477/C476)</f>
        <v>0</v>
      </c>
    </row>
    <row r="478">
      <c r="A478" s="6" t="s">
        <v>1033</v>
      </c>
      <c r="B478" s="14">
        <v>186.4</v>
      </c>
      <c r="C478" s="15">
        <v>2412</v>
      </c>
      <c r="D478" s="14">
        <f>C478/22.0462262</f>
        <v>109.40647973574725</v>
      </c>
      <c r="E478" s="18">
        <f>LN(B478/B477)</f>
        <v>-0.014909754366287038</v>
      </c>
      <c r="F478" s="18">
        <f>LN(C478/C477)</f>
        <v>-0.004962789342129014</v>
      </c>
    </row>
    <row r="479">
      <c r="A479" s="6" t="s">
        <v>1034</v>
      </c>
      <c r="B479" s="14">
        <v>191</v>
      </c>
      <c r="C479" s="15">
        <v>2471</v>
      </c>
      <c r="D479" s="14">
        <f>C479/22.0462262</f>
        <v>112.08267472099148</v>
      </c>
      <c r="E479" s="18">
        <f>LN(B479/B478)</f>
        <v>0.024378525795139064</v>
      </c>
      <c r="F479" s="18">
        <f>LN(C479/C478)</f>
        <v>0.02416664814153393</v>
      </c>
    </row>
    <row r="480">
      <c r="A480" s="6" t="s">
        <v>1035</v>
      </c>
      <c r="B480" s="14">
        <v>188</v>
      </c>
      <c r="C480" s="15">
        <v>2465</v>
      </c>
      <c r="D480" s="14">
        <f>C480/22.0462262</f>
        <v>111.81051929876325</v>
      </c>
      <c r="E480" s="18">
        <f>LN(B480/B479)</f>
        <v>-0.015831465216680628</v>
      </c>
      <c r="F480" s="18">
        <f>LN(C480/C479)</f>
        <v>-0.00243111951181957</v>
      </c>
    </row>
    <row r="481">
      <c r="A481" s="6" t="s">
        <v>1036</v>
      </c>
      <c r="B481" s="14">
        <v>187.45</v>
      </c>
      <c r="C481" s="15">
        <v>2481</v>
      </c>
      <c r="D481" s="14">
        <f>C481/22.0462262</f>
        <v>112.53626709137185</v>
      </c>
      <c r="E481" s="18">
        <f>LN(B481/B480)</f>
        <v>-0.0029298196480281994</v>
      </c>
      <c r="F481" s="18">
        <f>LN(C481/C480)</f>
        <v>0.006469897215010524</v>
      </c>
    </row>
    <row r="482">
      <c r="A482" s="6" t="s">
        <v>1037</v>
      </c>
      <c r="B482" s="14">
        <v>185.8</v>
      </c>
      <c r="C482" s="15">
        <v>2393</v>
      </c>
      <c r="D482" s="14">
        <f>C482/22.0462262</f>
        <v>108.54465423202453</v>
      </c>
      <c r="E482" s="18">
        <f>LN(B482/B481)</f>
        <v>-0.008841316802182725</v>
      </c>
      <c r="F482" s="18">
        <f>LN(C482/C481)</f>
        <v>-0.03611389578342763</v>
      </c>
    </row>
    <row r="483">
      <c r="A483" s="6" t="s">
        <v>1038</v>
      </c>
      <c r="B483" s="14">
        <v>186</v>
      </c>
      <c r="C483" s="15">
        <v>2432</v>
      </c>
      <c r="D483" s="14">
        <f>C483/22.0462262</f>
        <v>110.31366447650801</v>
      </c>
      <c r="E483" s="18">
        <f>LN(B483/B482)</f>
        <v>0.00107584733346311</v>
      </c>
      <c r="F483" s="18">
        <f>LN(C483/C482)</f>
        <v>0.016166155177684206</v>
      </c>
    </row>
    <row r="484">
      <c r="A484" s="6" t="s">
        <v>1039</v>
      </c>
      <c r="B484" s="14">
        <v>193.05</v>
      </c>
      <c r="C484" s="15">
        <v>2488</v>
      </c>
      <c r="D484" s="14">
        <f>C484/22.0462262</f>
        <v>112.85378175063812</v>
      </c>
      <c r="E484" s="18">
        <f>LN(B484/B483)</f>
        <v>0.037202548997044275</v>
      </c>
      <c r="F484" s="18">
        <f>LN(C484/C483)</f>
        <v>0.022765210773012426</v>
      </c>
    </row>
    <row r="485">
      <c r="A485" s="6" t="s">
        <v>1040</v>
      </c>
      <c r="B485" s="14">
        <v>190.35</v>
      </c>
      <c r="C485" s="15">
        <v>2511</v>
      </c>
      <c r="D485" s="14">
        <f>C485/22.0462262</f>
        <v>113.89704420251299</v>
      </c>
      <c r="E485" s="18">
        <f>LN(B485/B484)</f>
        <v>-0.014084739881739085</v>
      </c>
      <c r="F485" s="18">
        <f>LN(C485/C484)</f>
        <v>0.009201905298514996</v>
      </c>
    </row>
    <row r="486">
      <c r="A486" s="6" t="s">
        <v>1041</v>
      </c>
      <c r="B486" s="14">
        <v>189.85</v>
      </c>
      <c r="C486" s="15">
        <v>2582</v>
      </c>
      <c r="D486" s="14">
        <f>C486/22.0462262</f>
        <v>117.11755003221369</v>
      </c>
      <c r="E486" s="18">
        <f>LN(B486/B485)</f>
        <v>-0.0026301961506949943</v>
      </c>
      <c r="F486" s="18">
        <f>LN(C486/C485)</f>
        <v>0.02788321224900283</v>
      </c>
    </row>
    <row r="487">
      <c r="A487" s="6" t="s">
        <v>1042</v>
      </c>
      <c r="B487" s="14">
        <v>190.45</v>
      </c>
      <c r="C487" s="15">
        <v>2540</v>
      </c>
      <c r="D487" s="14">
        <f>C487/22.0462262</f>
        <v>115.21246207661609</v>
      </c>
      <c r="E487" s="18">
        <f>LN(B487/B486)</f>
        <v>0.003155406246801658</v>
      </c>
      <c r="F487" s="18">
        <f>LN(C487/C486)</f>
        <v>-0.01640021139400549</v>
      </c>
    </row>
    <row r="488">
      <c r="A488" s="6" t="s">
        <v>1043</v>
      </c>
      <c r="B488" s="14">
        <v>192</v>
      </c>
      <c r="C488" s="15">
        <v>2588</v>
      </c>
      <c r="D488" s="14">
        <f>C488/22.0462262</f>
        <v>117.38970545444191</v>
      </c>
      <c r="E488" s="18">
        <f>LN(B488/B487)</f>
        <v>0.008105679103168653</v>
      </c>
      <c r="F488" s="18">
        <f>LN(C488/C487)</f>
        <v>0.01872129560820897</v>
      </c>
    </row>
    <row r="489">
      <c r="A489" s="6" t="s">
        <v>1044</v>
      </c>
      <c r="B489" s="14">
        <v>189.2</v>
      </c>
      <c r="C489" s="15">
        <v>2629</v>
      </c>
      <c r="D489" s="14">
        <f>C489/22.0462262</f>
        <v>119.24943417300146</v>
      </c>
      <c r="E489" s="18">
        <f>LN(B489/B488)</f>
        <v>-0.014690715410003706</v>
      </c>
      <c r="F489" s="18">
        <f>LN(C489/C488)</f>
        <v>0.015718169109089943</v>
      </c>
    </row>
    <row r="490">
      <c r="A490" s="6" t="s">
        <v>1045</v>
      </c>
      <c r="B490" s="14">
        <v>187.45</v>
      </c>
      <c r="C490" s="15">
        <v>2557</v>
      </c>
      <c r="D490" s="14">
        <f>C490/22.0462262</f>
        <v>115.98356910626273</v>
      </c>
      <c r="E490" s="18">
        <f>LN(B490/B489)</f>
        <v>-0.009292513435856837</v>
      </c>
      <c r="F490" s="18">
        <f>LN(C490/C489)</f>
        <v>-0.027768849438694634</v>
      </c>
    </row>
    <row r="491">
      <c r="A491" s="6" t="s">
        <v>1046</v>
      </c>
      <c r="B491" s="14">
        <v>188</v>
      </c>
      <c r="C491" s="15">
        <v>2573</v>
      </c>
      <c r="D491" s="14">
        <f>C491/22.0462262</f>
        <v>116.70931689887134</v>
      </c>
      <c r="E491" s="18">
        <f>LN(B491/B490)</f>
        <v>0.0029298196480281574</v>
      </c>
      <c r="F491" s="18">
        <f>LN(C491/C490)</f>
        <v>0.006237836990557512</v>
      </c>
    </row>
    <row r="492">
      <c r="A492" s="6" t="s">
        <v>1047</v>
      </c>
      <c r="B492" s="14">
        <v>182.7</v>
      </c>
      <c r="C492" s="15">
        <v>2508</v>
      </c>
      <c r="D492" s="14">
        <f>C492/22.0462262</f>
        <v>113.76096649139888</v>
      </c>
      <c r="E492" s="18">
        <f>LN(B492/B491)</f>
        <v>-0.02859649944598829</v>
      </c>
      <c r="F492" s="18">
        <f>LN(C492/C491)</f>
        <v>-0.025586910528932853</v>
      </c>
    </row>
    <row r="493">
      <c r="A493" s="6" t="s">
        <v>1048</v>
      </c>
      <c r="B493" s="14">
        <v>181.6</v>
      </c>
      <c r="C493" s="15">
        <v>2528</v>
      </c>
      <c r="D493" s="14">
        <f>C493/22.0462262</f>
        <v>114.66815123215963</v>
      </c>
      <c r="E493" s="18">
        <f>LN(B493/B492)</f>
        <v>-0.006038997216768067</v>
      </c>
      <c r="F493" s="18">
        <f>LN(C493/C492)</f>
        <v>0.007942853513936731</v>
      </c>
    </row>
    <row r="494">
      <c r="A494" s="6" t="s">
        <v>1049</v>
      </c>
      <c r="B494" s="14">
        <v>177.1</v>
      </c>
      <c r="C494" s="15">
        <v>2520</v>
      </c>
      <c r="D494" s="14">
        <f>C494/22.0462262</f>
        <v>114.30527733585534</v>
      </c>
      <c r="E494" s="18">
        <f>LN(B494/B493)</f>
        <v>-0.02509192137840512</v>
      </c>
      <c r="F494" s="18">
        <f>LN(C494/C493)</f>
        <v>-0.0031695747612790672</v>
      </c>
    </row>
    <row r="495">
      <c r="A495" s="6" t="s">
        <v>1050</v>
      </c>
      <c r="B495" s="14">
        <v>178.65</v>
      </c>
      <c r="C495" s="15">
        <v>2520</v>
      </c>
      <c r="D495" s="14">
        <f>C495/22.0462262</f>
        <v>114.30527733585534</v>
      </c>
      <c r="E495" s="18">
        <f>LN(B495/B494)</f>
        <v>0.008714039680630928</v>
      </c>
      <c r="F495" s="18">
        <f>LN(C495/C494)</f>
        <v>0</v>
      </c>
    </row>
    <row r="496">
      <c r="A496" s="6" t="s">
        <v>1051</v>
      </c>
      <c r="B496" s="14">
        <v>183.05</v>
      </c>
      <c r="C496" s="15">
        <v>2567</v>
      </c>
      <c r="D496" s="14">
        <f>C496/22.0462262</f>
        <v>116.43716147664311</v>
      </c>
      <c r="E496" s="18">
        <f>LN(B496/B495)</f>
        <v>0.024330755096826487</v>
      </c>
      <c r="F496" s="18">
        <f>LN(C496/C495)</f>
        <v>0.018479000365671353</v>
      </c>
    </row>
    <row r="497">
      <c r="A497" s="6" t="s">
        <v>1052</v>
      </c>
      <c r="B497" s="14">
        <v>180.3</v>
      </c>
      <c r="C497" s="15">
        <v>2542</v>
      </c>
      <c r="D497" s="14">
        <f>C497/22.0462262</f>
        <v>115.30318055069216</v>
      </c>
      <c r="E497" s="18">
        <f>LN(B497/B496)</f>
        <v>-0.01513720935697365</v>
      </c>
      <c r="F497" s="18">
        <f>LN(C497/C496)</f>
        <v>-0.009786729121741028</v>
      </c>
    </row>
    <row r="498">
      <c r="A498" s="6" t="s">
        <v>1053</v>
      </c>
      <c r="B498" s="14">
        <v>183.1</v>
      </c>
      <c r="C498" s="15">
        <v>2574</v>
      </c>
      <c r="D498" s="14">
        <f>C498/22.0462262</f>
        <v>116.75467613590938</v>
      </c>
      <c r="E498" s="18">
        <f>LN(B498/B497)</f>
        <v>0.015410321471193427</v>
      </c>
      <c r="F498" s="18">
        <f>LN(C498/C497)</f>
        <v>0.012509936406672709</v>
      </c>
    </row>
    <row r="499">
      <c r="A499" s="6" t="s">
        <v>1054</v>
      </c>
      <c r="B499" s="14">
        <v>182.6</v>
      </c>
      <c r="C499" s="15">
        <v>2583</v>
      </c>
      <c r="D499" s="14">
        <f>C499/22.0462262</f>
        <v>117.16290926925171</v>
      </c>
      <c r="E499" s="18">
        <f>LN(B499/B498)</f>
        <v>-0.0027344835195969044</v>
      </c>
      <c r="F499" s="18">
        <f>LN(C499/C498)</f>
        <v>0.0034904049397685676</v>
      </c>
    </row>
    <row r="500">
      <c r="A500" s="6" t="s">
        <v>1055</v>
      </c>
      <c r="B500" s="14">
        <v>185.4</v>
      </c>
      <c r="C500" s="15">
        <v>2636</v>
      </c>
      <c r="D500" s="14">
        <f>C500/22.0462262</f>
        <v>119.56694883226773</v>
      </c>
      <c r="E500" s="18">
        <f>LN(B500/B499)</f>
        <v>0.015217684970886715</v>
      </c>
      <c r="F500" s="18">
        <f>LN(C500/C499)</f>
        <v>0.020311102526557254</v>
      </c>
    </row>
    <row r="501">
      <c r="A501" s="6" t="s">
        <v>1056</v>
      </c>
      <c r="B501" s="14">
        <v>194.85</v>
      </c>
      <c r="C501" s="15">
        <v>2726</v>
      </c>
      <c r="D501" s="14">
        <f>C501/22.0462262</f>
        <v>123.64928016569112</v>
      </c>
      <c r="E501" s="18">
        <f>LN(B501/B500)</f>
        <v>0.04971437865296333</v>
      </c>
      <c r="F501" s="18">
        <f>LN(C501/C500)</f>
        <v>0.03357271663408016</v>
      </c>
    </row>
    <row r="502">
      <c r="A502" s="6" t="s">
        <v>1057</v>
      </c>
      <c r="B502" s="14">
        <v>190.65</v>
      </c>
      <c r="C502" s="15">
        <v>2702</v>
      </c>
      <c r="D502" s="14">
        <f>C502/22.0462262</f>
        <v>122.56065847677822</v>
      </c>
      <c r="E502" s="18">
        <f>LN(B502/B501)</f>
        <v>-0.02179074548114548</v>
      </c>
      <c r="F502" s="18">
        <f>LN(C502/C501)</f>
        <v>-0.008843093736333707</v>
      </c>
    </row>
    <row r="503">
      <c r="A503" s="6" t="s">
        <v>1058</v>
      </c>
      <c r="B503" s="14">
        <v>185.55</v>
      </c>
      <c r="C503" s="15">
        <v>2681</v>
      </c>
      <c r="D503" s="14">
        <f>C503/22.0462262</f>
        <v>121.60811449897942</v>
      </c>
      <c r="E503" s="18">
        <f>LN(B503/B502)</f>
        <v>-0.027114898796966134</v>
      </c>
      <c r="F503" s="18">
        <f>LN(C503/C502)</f>
        <v>-0.007802380284184899</v>
      </c>
    </row>
    <row r="504">
      <c r="A504" s="6" t="s">
        <v>1059</v>
      </c>
      <c r="B504" s="14">
        <v>182.75</v>
      </c>
      <c r="C504" s="15">
        <v>2689</v>
      </c>
      <c r="D504" s="14">
        <f>C504/22.0462262</f>
        <v>121.97098839528373</v>
      </c>
      <c r="E504" s="18">
        <f>LN(B504/B503)</f>
        <v>-0.015205288876718766</v>
      </c>
      <c r="F504" s="18">
        <f>LN(C504/C503)</f>
        <v>0.002979518032905389</v>
      </c>
    </row>
    <row r="505">
      <c r="A505" s="6" t="s">
        <v>1060</v>
      </c>
      <c r="B505" s="14">
        <v>184.4</v>
      </c>
      <c r="C505" s="15">
        <v>2694</v>
      </c>
      <c r="D505" s="14">
        <f>C505/22.0462262</f>
        <v>122.19778458047392</v>
      </c>
      <c r="E505" s="18">
        <f>LN(B505/B504)</f>
        <v>0.008988212492605665</v>
      </c>
      <c r="F505" s="18">
        <f>LN(C505/C504)</f>
        <v>0.0018577007014446817</v>
      </c>
    </row>
    <row r="506">
      <c r="A506" s="6" t="s">
        <v>1061</v>
      </c>
      <c r="B506" s="14">
        <v>187</v>
      </c>
      <c r="C506" s="15">
        <v>2757</v>
      </c>
      <c r="D506" s="14">
        <f>C506/22.0462262</f>
        <v>125.0554165138703</v>
      </c>
      <c r="E506" s="18">
        <f>LN(B506/B505)</f>
        <v>0.014001305732093143</v>
      </c>
      <c r="F506" s="18">
        <f>LN(C506/C505)</f>
        <v>0.023116054053487475</v>
      </c>
    </row>
    <row r="507">
      <c r="A507" s="6" t="s">
        <v>1062</v>
      </c>
      <c r="B507" s="14">
        <v>184.9</v>
      </c>
      <c r="C507" s="15">
        <v>2747</v>
      </c>
      <c r="D507" s="14">
        <f>C507/22.0462262</f>
        <v>124.60182414348992</v>
      </c>
      <c r="E507" s="18">
        <f>LN(B507/B506)</f>
        <v>-0.011293478461507462</v>
      </c>
      <c r="F507" s="18">
        <f>LN(C507/C506)</f>
        <v>-0.0036337249285228676</v>
      </c>
    </row>
    <row r="508">
      <c r="A508" s="6" t="s">
        <v>1063</v>
      </c>
      <c r="B508" s="14">
        <v>177.45</v>
      </c>
      <c r="C508" s="15">
        <v>2770</v>
      </c>
      <c r="D508" s="14">
        <f>C508/22.0462262</f>
        <v>125.64508659536479</v>
      </c>
      <c r="E508" s="18">
        <f>LN(B508/B507)</f>
        <v>-0.041126259300573745</v>
      </c>
      <c r="F508" s="18">
        <f>LN(C508/C507)</f>
        <v>0.008337913086110243</v>
      </c>
    </row>
    <row r="509">
      <c r="A509" s="6" t="s">
        <v>1064</v>
      </c>
      <c r="B509" s="14">
        <v>172</v>
      </c>
      <c r="C509" s="15">
        <v>2726</v>
      </c>
      <c r="D509" s="14">
        <f>C509/22.0462262</f>
        <v>123.64928016569112</v>
      </c>
      <c r="E509" s="18">
        <f>LN(B509/B508)</f>
        <v>-0.03119440227905238</v>
      </c>
      <c r="F509" s="18">
        <f>LN(C509/C508)</f>
        <v>-0.016011986924906265</v>
      </c>
    </row>
    <row r="510">
      <c r="A510" s="6" t="s">
        <v>1065</v>
      </c>
      <c r="B510" s="14">
        <v>171.7</v>
      </c>
      <c r="C510" s="15">
        <v>2749</v>
      </c>
      <c r="D510" s="14">
        <f>C510/22.0462262</f>
        <v>124.69254261756599</v>
      </c>
      <c r="E510" s="18">
        <f>LN(B510/B509)</f>
        <v>-0.0017457089100232873</v>
      </c>
      <c r="F510" s="18">
        <f>LN(C510/C509)</f>
        <v>0.008401875908767762</v>
      </c>
    </row>
    <row r="511">
      <c r="A511" s="6" t="s">
        <v>1066</v>
      </c>
      <c r="B511" s="14">
        <v>168.05</v>
      </c>
      <c r="C511" s="15">
        <v>2676</v>
      </c>
      <c r="D511" s="14">
        <f>C511/22.0462262</f>
        <v>121.38131831378924</v>
      </c>
      <c r="E511" s="18">
        <f>LN(B511/B510)</f>
        <v>-0.02148721373231507</v>
      </c>
      <c r="F511" s="18">
        <f>LN(C511/C510)</f>
        <v>-0.026914066917126674</v>
      </c>
    </row>
    <row r="512">
      <c r="A512" s="6" t="s">
        <v>1067</v>
      </c>
      <c r="B512" s="14">
        <v>167.95</v>
      </c>
      <c r="C512" s="15">
        <v>2710</v>
      </c>
      <c r="D512" s="14">
        <f>C512/22.0462262</f>
        <v>122.92353237308252</v>
      </c>
      <c r="E512" s="18">
        <f>LN(B512/B511)</f>
        <v>-0.0005952381128130078</v>
      </c>
      <c r="F512" s="18">
        <f>LN(C512/C511)</f>
        <v>0.012625492625627515</v>
      </c>
    </row>
    <row r="513">
      <c r="A513" s="6" t="s">
        <v>1068</v>
      </c>
      <c r="B513" s="14">
        <v>169.45</v>
      </c>
      <c r="C513" s="15">
        <v>2715</v>
      </c>
      <c r="D513" s="14">
        <f>C513/22.0462262</f>
        <v>123.1503285582727</v>
      </c>
      <c r="E513" s="18">
        <f>LN(B513/B512)</f>
        <v>0.008891581994758554</v>
      </c>
      <c r="F513" s="18">
        <f>LN(C513/C512)</f>
        <v>0.0018433184942893146</v>
      </c>
    </row>
    <row r="514">
      <c r="A514" s="6" t="s">
        <v>1069</v>
      </c>
      <c r="B514" s="14">
        <v>165.65</v>
      </c>
      <c r="C514" s="15">
        <v>2616</v>
      </c>
      <c r="D514" s="14">
        <f>C514/22.0462262</f>
        <v>118.65976409150697</v>
      </c>
      <c r="E514" s="18">
        <f>LN(B514/B513)</f>
        <v>-0.022680769307155374</v>
      </c>
      <c r="F514" s="18">
        <f>LN(C514/C513)</f>
        <v>-0.03714551979094646</v>
      </c>
    </row>
    <row r="515">
      <c r="A515" s="6" t="s">
        <v>1070</v>
      </c>
      <c r="B515" s="14">
        <v>163.6</v>
      </c>
      <c r="C515" s="15">
        <v>2570</v>
      </c>
      <c r="D515" s="14">
        <f>C515/22.0462262</f>
        <v>116.57323918775722</v>
      </c>
      <c r="E515" s="18">
        <f>LN(B515/B514)</f>
        <v>-0.012452704577258243</v>
      </c>
      <c r="F515" s="18">
        <f>LN(C515/C514)</f>
        <v>-0.017740534687823863</v>
      </c>
    </row>
    <row r="516">
      <c r="A516" s="6" t="s">
        <v>1071</v>
      </c>
      <c r="B516" s="14">
        <v>161</v>
      </c>
      <c r="C516" s="15">
        <v>2491</v>
      </c>
      <c r="D516" s="14">
        <f>C516/22.0462262</f>
        <v>112.98985946175223</v>
      </c>
      <c r="E516" s="18">
        <f>LN(B516/B515)</f>
        <v>-0.016020059184183675</v>
      </c>
      <c r="F516" s="18">
        <f>LN(C516/C515)</f>
        <v>-0.03122166262708506</v>
      </c>
    </row>
    <row r="517">
      <c r="A517" s="6" t="s">
        <v>1072</v>
      </c>
      <c r="B517" s="14">
        <v>162.5</v>
      </c>
      <c r="C517" s="15">
        <v>2538</v>
      </c>
      <c r="D517" s="14">
        <f>C517/22.0462262</f>
        <v>115.12174360254001</v>
      </c>
      <c r="E517" s="18">
        <f>LN(B517/B516)</f>
        <v>0.009273636785329253</v>
      </c>
      <c r="F517" s="18">
        <f>LN(C517/C516)</f>
        <v>0.018692133012152546</v>
      </c>
    </row>
    <row r="518">
      <c r="A518" s="6" t="s">
        <v>1073</v>
      </c>
      <c r="B518" s="14">
        <v>161.05</v>
      </c>
      <c r="C518" s="15">
        <v>2512</v>
      </c>
      <c r="D518" s="14">
        <f>C518/22.0462262</f>
        <v>113.94240343955103</v>
      </c>
      <c r="E518" s="18">
        <f>LN(B518/B517)</f>
        <v>-0.00896312599258423</v>
      </c>
      <c r="F518" s="18">
        <f>LN(C518/C517)</f>
        <v>-0.01029712068624369</v>
      </c>
    </row>
    <row r="519">
      <c r="A519" s="6" t="s">
        <v>1074</v>
      </c>
      <c r="B519" s="14">
        <v>162.35</v>
      </c>
      <c r="C519" s="15">
        <v>2510</v>
      </c>
      <c r="D519" s="14">
        <f>C519/22.0462262</f>
        <v>113.85168496547496</v>
      </c>
      <c r="E519" s="18">
        <f>LN(B519/B518)</f>
        <v>0.008039622771647048</v>
      </c>
      <c r="F519" s="18">
        <f>LN(C519/C518)</f>
        <v>-0.0007964954622597524</v>
      </c>
    </row>
    <row r="520">
      <c r="A520" s="6" t="s">
        <v>1075</v>
      </c>
      <c r="B520" s="14">
        <v>162.8</v>
      </c>
      <c r="C520" s="15">
        <v>2621</v>
      </c>
      <c r="D520" s="14">
        <f>C520/22.0462262</f>
        <v>118.88656027669715</v>
      </c>
      <c r="E520" s="18">
        <f>LN(B520/B519)</f>
        <v>0.0027679550195851194</v>
      </c>
      <c r="F520" s="18">
        <f>LN(C520/C519)</f>
        <v>0.04327317119757669</v>
      </c>
    </row>
    <row r="521">
      <c r="A521" s="6" t="s">
        <v>1076</v>
      </c>
      <c r="B521" s="14">
        <v>161.75</v>
      </c>
      <c r="C521" s="15">
        <v>2576</v>
      </c>
      <c r="D521" s="14">
        <f>C521/22.0462262</f>
        <v>116.84539460998545</v>
      </c>
      <c r="E521" s="18">
        <f>LN(B521/B520)</f>
        <v>-0.006470520187430038</v>
      </c>
      <c r="F521" s="18">
        <f>LN(C521/C520)</f>
        <v>-0.01731811609916208</v>
      </c>
    </row>
    <row r="522">
      <c r="A522" s="6" t="s">
        <v>1077</v>
      </c>
      <c r="B522" s="14">
        <v>159.3</v>
      </c>
      <c r="C522" s="15">
        <v>2570</v>
      </c>
      <c r="D522" s="14">
        <f>C522/22.0462262</f>
        <v>116.57323918775722</v>
      </c>
      <c r="E522" s="18">
        <f>LN(B522/B521)</f>
        <v>-0.015262716465007072</v>
      </c>
      <c r="F522" s="18">
        <f>LN(C522/C521)</f>
        <v>-0.002331909334978714</v>
      </c>
    </row>
    <row r="523">
      <c r="A523" s="6" t="s">
        <v>1078</v>
      </c>
      <c r="B523" s="14">
        <v>158.75</v>
      </c>
      <c r="C523" s="15">
        <v>2534</v>
      </c>
      <c r="D523" s="14">
        <f>C523/22.0462262</f>
        <v>114.94030665438787</v>
      </c>
      <c r="E523" s="18">
        <f>LN(B523/B522)</f>
        <v>-0.003458579143201848</v>
      </c>
      <c r="F523" s="18">
        <f>LN(C523/C522)</f>
        <v>-0.014106817008181071</v>
      </c>
    </row>
    <row r="524">
      <c r="A524" s="6" t="s">
        <v>1079</v>
      </c>
      <c r="B524" s="14">
        <v>159.35</v>
      </c>
      <c r="C524" s="15">
        <v>2525</v>
      </c>
      <c r="D524" s="14">
        <f>C524/22.0462262</f>
        <v>114.53207352104552</v>
      </c>
      <c r="E524" s="18">
        <f>LN(B524/B523)</f>
        <v>0.003772403090544356</v>
      </c>
      <c r="F524" s="18">
        <f>LN(C524/C523)</f>
        <v>-0.0035580191716241285</v>
      </c>
    </row>
    <row r="525">
      <c r="A525" s="6" t="s">
        <v>1080</v>
      </c>
      <c r="B525" s="14">
        <v>161.95</v>
      </c>
      <c r="C525" s="15">
        <v>2540</v>
      </c>
      <c r="D525" s="14">
        <f>C525/22.0462262</f>
        <v>115.21246207661609</v>
      </c>
      <c r="E525" s="18">
        <f>LN(B525/B524)</f>
        <v>0.016184604753992953</v>
      </c>
      <c r="F525" s="18">
        <f>LN(C525/C524)</f>
        <v>0.005923018303122071</v>
      </c>
    </row>
    <row r="526">
      <c r="A526" s="6" t="s">
        <v>1081</v>
      </c>
      <c r="B526" s="14">
        <v>154.75</v>
      </c>
      <c r="C526" s="15">
        <v>2552</v>
      </c>
      <c r="D526" s="14">
        <f>C526/22.0462262</f>
        <v>115.75677292107254</v>
      </c>
      <c r="E526" s="18">
        <f>LN(B526/B525)</f>
        <v>-0.0454767340526327</v>
      </c>
      <c r="F526" s="18">
        <f>LN(C526/C525)</f>
        <v>0.004713284452098137</v>
      </c>
    </row>
    <row r="527">
      <c r="A527" s="6" t="s">
        <v>1082</v>
      </c>
      <c r="B527" s="14">
        <v>155.25</v>
      </c>
      <c r="C527" s="15">
        <v>2532</v>
      </c>
      <c r="D527" s="14">
        <f>C527/22.0462262</f>
        <v>114.84958818031178</v>
      </c>
      <c r="E527" s="18">
        <f>LN(B527/B526)</f>
        <v>0.0032258092488825687</v>
      </c>
      <c r="F527" s="18">
        <f>LN(C527/C526)</f>
        <v>-0.007867861200613679</v>
      </c>
    </row>
    <row r="528">
      <c r="A528" s="6" t="s">
        <v>1083</v>
      </c>
      <c r="B528" s="14">
        <v>152.45</v>
      </c>
      <c r="C528" s="15">
        <v>2604</v>
      </c>
      <c r="D528" s="14">
        <f>C528/22.0462262</f>
        <v>118.11545324705051</v>
      </c>
      <c r="E528" s="18">
        <f>LN(B528/B527)</f>
        <v>-0.018200047379324395</v>
      </c>
      <c r="F528" s="18">
        <f>LN(C528/C527)</f>
        <v>0.028039220064393126</v>
      </c>
    </row>
    <row r="529">
      <c r="A529" s="6" t="s">
        <v>1084</v>
      </c>
      <c r="B529" s="14">
        <v>158.05</v>
      </c>
      <c r="C529" s="15">
        <v>2536</v>
      </c>
      <c r="D529" s="14">
        <f>C529/22.0462262</f>
        <v>115.03102512846394</v>
      </c>
      <c r="E529" s="18">
        <f>LN(B529/B528)</f>
        <v>0.03607476522736314</v>
      </c>
      <c r="F529" s="18">
        <f>LN(C529/C528)</f>
        <v>-0.026460687771343278</v>
      </c>
    </row>
    <row r="530">
      <c r="A530" s="6" t="s">
        <v>1085</v>
      </c>
      <c r="B530" s="14">
        <v>161.85</v>
      </c>
      <c r="C530" s="15">
        <v>2602</v>
      </c>
      <c r="D530" s="14">
        <f>C530/22.0462262</f>
        <v>118.02473477297444</v>
      </c>
      <c r="E530" s="18">
        <f>LN(B530/B529)</f>
        <v>0.023758541710626566</v>
      </c>
      <c r="F530" s="18">
        <f>LN(C530/C529)</f>
        <v>0.0256923435153341</v>
      </c>
    </row>
    <row r="531">
      <c r="A531" s="6" t="s">
        <v>1086</v>
      </c>
      <c r="B531" s="14">
        <v>163</v>
      </c>
      <c r="C531" s="15">
        <v>2649</v>
      </c>
      <c r="D531" s="14">
        <f>C531/22.0462262</f>
        <v>120.15661891376222</v>
      </c>
      <c r="E531" s="18">
        <f>LN(B531/B530)</f>
        <v>0.007080220434508911</v>
      </c>
      <c r="F531" s="18">
        <f>LN(C531/C530)</f>
        <v>0.01790183019961922</v>
      </c>
    </row>
    <row r="532">
      <c r="A532" s="6" t="s">
        <v>1087</v>
      </c>
      <c r="B532" s="14">
        <v>161.85</v>
      </c>
      <c r="C532" s="15">
        <v>2628</v>
      </c>
      <c r="D532" s="14">
        <f>C532/22.0462262</f>
        <v>119.20407493596342</v>
      </c>
      <c r="E532" s="18">
        <f>LN(B532/B531)</f>
        <v>-0.007080220434509048</v>
      </c>
      <c r="F532" s="18">
        <f>LN(C532/C531)</f>
        <v>-0.007959109667568605</v>
      </c>
    </row>
    <row r="533">
      <c r="A533" s="6" t="s">
        <v>1088</v>
      </c>
      <c r="B533" s="14">
        <v>163.15</v>
      </c>
      <c r="C533" s="15">
        <v>2480</v>
      </c>
      <c r="D533" s="14">
        <f>C533/22.0462262</f>
        <v>112.49090785433383</v>
      </c>
      <c r="E533" s="18">
        <f>LN(B533/B532)</f>
        <v>0.00800004266707637</v>
      </c>
      <c r="F533" s="18">
        <f>LN(C533/C532)</f>
        <v>-0.05796454044547333</v>
      </c>
    </row>
    <row r="534">
      <c r="A534" s="6" t="s">
        <v>1089</v>
      </c>
      <c r="B534" s="14">
        <v>161.45</v>
      </c>
      <c r="C534" s="15">
        <v>2499</v>
      </c>
      <c r="D534" s="14">
        <f>C534/22.0462262</f>
        <v>113.35273335805654</v>
      </c>
      <c r="E534" s="18">
        <f>LN(B534/B533)</f>
        <v>-0.010474525835045545</v>
      </c>
      <c r="F534" s="18">
        <f>LN(C534/C533)</f>
        <v>0.007632091675924439</v>
      </c>
    </row>
    <row r="535">
      <c r="A535" s="6" t="s">
        <v>1090</v>
      </c>
      <c r="B535" s="14">
        <v>157.9</v>
      </c>
      <c r="C535" s="15">
        <v>2437</v>
      </c>
      <c r="D535" s="14">
        <f>C535/22.0462262</f>
        <v>110.54046066169819</v>
      </c>
      <c r="E535" s="18">
        <f>LN(B535/B534)</f>
        <v>-0.022233575942687742</v>
      </c>
      <c r="F535" s="18">
        <f>LN(C535/C534)</f>
        <v>-0.025122877209746132</v>
      </c>
    </row>
    <row r="536">
      <c r="A536" s="6" t="s">
        <v>1091</v>
      </c>
      <c r="B536" s="14">
        <v>164.65</v>
      </c>
      <c r="C536" s="15">
        <v>2476</v>
      </c>
      <c r="D536" s="14">
        <f>C536/22.0462262</f>
        <v>112.30947090618167</v>
      </c>
      <c r="E536" s="18">
        <f>LN(B536/B535)</f>
        <v>0.04186008756077698</v>
      </c>
      <c r="F536" s="18">
        <f>LN(C536/C535)</f>
        <v>0.015876580179280477</v>
      </c>
    </row>
    <row r="537">
      <c r="A537" s="6" t="s">
        <v>1092</v>
      </c>
      <c r="B537" s="14">
        <v>164.55</v>
      </c>
      <c r="C537" s="15">
        <v>2494</v>
      </c>
      <c r="D537" s="14">
        <f>C537/22.0462262</f>
        <v>113.12593717286634</v>
      </c>
      <c r="E537" s="18">
        <f>LN(B537/B536)</f>
        <v>-0.0006075334330242568</v>
      </c>
      <c r="F537" s="18">
        <f>LN(C537/C536)</f>
        <v>0.007243492435495104</v>
      </c>
    </row>
    <row r="538">
      <c r="A538" s="6" t="s">
        <v>1093</v>
      </c>
      <c r="B538" s="14">
        <v>166.95</v>
      </c>
      <c r="C538" s="15">
        <v>2532</v>
      </c>
      <c r="D538" s="14">
        <f>C538/22.0462262</f>
        <v>114.84958818031178</v>
      </c>
      <c r="E538" s="18">
        <f>LN(B538/B537)</f>
        <v>0.01447989100031443</v>
      </c>
      <c r="F538" s="18">
        <f>LN(C538/C537)</f>
        <v>0.015121657024085005</v>
      </c>
    </row>
    <row r="539">
      <c r="A539" s="6" t="s">
        <v>1094</v>
      </c>
      <c r="B539" s="14">
        <v>164.75</v>
      </c>
      <c r="C539" s="15">
        <v>2516</v>
      </c>
      <c r="D539" s="14">
        <f>C539/22.0462262</f>
        <v>114.12384038770318</v>
      </c>
      <c r="E539" s="18">
        <f>LN(B539/B538)</f>
        <v>-0.013265193007046823</v>
      </c>
      <c r="F539" s="18">
        <f>LN(C539/C538)</f>
        <v>-0.006339165443735654</v>
      </c>
    </row>
    <row r="540">
      <c r="A540" s="6" t="s">
        <v>1095</v>
      </c>
      <c r="B540" s="14">
        <v>161.35</v>
      </c>
      <c r="C540" s="15">
        <v>2488</v>
      </c>
      <c r="D540" s="14">
        <f>C540/22.0462262</f>
        <v>112.85378175063812</v>
      </c>
      <c r="E540" s="18">
        <f>LN(B540/B539)</f>
        <v>-0.020853254884645768</v>
      </c>
      <c r="F540" s="18">
        <f>LN(C540/C539)</f>
        <v>-0.011191163961261104</v>
      </c>
    </row>
    <row r="541">
      <c r="A541" s="6" t="s">
        <v>1096</v>
      </c>
      <c r="B541" s="14">
        <v>163.95</v>
      </c>
      <c r="C541" s="15">
        <v>2554</v>
      </c>
      <c r="D541" s="14">
        <f>C541/22.0462262</f>
        <v>115.84749139514862</v>
      </c>
      <c r="E541" s="18">
        <f>LN(B541/B540)</f>
        <v>0.01598558479268649</v>
      </c>
      <c r="F541" s="18">
        <f>LN(C541/C540)</f>
        <v>0.026181582733414442</v>
      </c>
    </row>
    <row r="542">
      <c r="A542" s="6" t="s">
        <v>1097</v>
      </c>
      <c r="B542" s="14">
        <v>161.35</v>
      </c>
      <c r="C542" s="15">
        <v>2559</v>
      </c>
      <c r="D542" s="14">
        <f>C542/22.0462262</f>
        <v>116.0742875803388</v>
      </c>
      <c r="E542" s="18">
        <f>LN(B542/B541)</f>
        <v>-0.01598558479268637</v>
      </c>
      <c r="F542" s="18">
        <f>LN(C542/C541)</f>
        <v>0.0019557995673041796</v>
      </c>
    </row>
    <row r="543">
      <c r="A543" s="6" t="s">
        <v>1098</v>
      </c>
      <c r="B543" s="14">
        <v>160.75</v>
      </c>
      <c r="C543" s="15">
        <v>2543</v>
      </c>
      <c r="D543" s="14">
        <f>C543/22.0462262</f>
        <v>115.3485397877302</v>
      </c>
      <c r="E543" s="18">
        <f>LN(B543/B542)</f>
        <v>-0.003725555380242059</v>
      </c>
      <c r="F543" s="18">
        <f>LN(C543/C542)</f>
        <v>-0.006272070737669166</v>
      </c>
    </row>
    <row r="544">
      <c r="A544" s="6" t="s">
        <v>1099</v>
      </c>
      <c r="B544" s="14">
        <v>159.9</v>
      </c>
      <c r="C544" s="15">
        <v>2534</v>
      </c>
      <c r="D544" s="14">
        <f>C544/22.0462262</f>
        <v>114.94030665438787</v>
      </c>
      <c r="E544" s="18">
        <f>LN(B544/B543)</f>
        <v>-0.005301743277820138</v>
      </c>
      <c r="F544" s="18">
        <f>LN(C544/C543)</f>
        <v>-0.003545404541035265</v>
      </c>
    </row>
    <row r="545">
      <c r="A545" s="6" t="s">
        <v>1100</v>
      </c>
      <c r="B545" s="14">
        <v>157.8</v>
      </c>
      <c r="C545" s="15">
        <v>2517</v>
      </c>
      <c r="D545" s="14">
        <f>C545/22.0462262</f>
        <v>114.16919962474122</v>
      </c>
      <c r="E545" s="18">
        <f>LN(B545/B544)</f>
        <v>-0.013220211428134605</v>
      </c>
      <c r="F545" s="18">
        <f>LN(C545/C544)</f>
        <v>-0.006731365745768467</v>
      </c>
    </row>
    <row r="546">
      <c r="A546" s="6" t="s">
        <v>1101</v>
      </c>
      <c r="B546" s="14">
        <v>151.1</v>
      </c>
      <c r="C546" s="15">
        <v>2435</v>
      </c>
      <c r="D546" s="14">
        <f>C546/22.0462262</f>
        <v>110.44974218762212</v>
      </c>
      <c r="E546" s="18">
        <f>LN(B546/B545)</f>
        <v>-0.043386539133080146</v>
      </c>
      <c r="F546" s="18">
        <f>LN(C546/C545)</f>
        <v>-0.03312095961862572</v>
      </c>
    </row>
    <row r="547">
      <c r="A547" s="6" t="s">
        <v>1102</v>
      </c>
      <c r="B547" s="14">
        <v>149.25</v>
      </c>
      <c r="C547" s="15">
        <v>2433</v>
      </c>
      <c r="D547" s="14">
        <f>C547/22.0462262</f>
        <v>110.35902371354604</v>
      </c>
      <c r="E547" s="18">
        <f>LN(B547/B546)</f>
        <v>-0.012319117005982382</v>
      </c>
      <c r="F547" s="18">
        <f>LN(C547/C546)</f>
        <v>-0.0008216927331674982</v>
      </c>
    </row>
    <row r="548">
      <c r="A548" s="6" t="s">
        <v>1103</v>
      </c>
      <c r="B548" s="14">
        <v>148.9</v>
      </c>
      <c r="C548" s="15">
        <v>2378</v>
      </c>
      <c r="D548" s="14">
        <f>C548/22.0462262</f>
        <v>107.86426567645397</v>
      </c>
      <c r="E548" s="18">
        <f>LN(B548/B547)</f>
        <v>-0.002347812582748118</v>
      </c>
      <c r="F548" s="18">
        <f>LN(C548/C547)</f>
        <v>-0.02286526553279546</v>
      </c>
    </row>
    <row r="549">
      <c r="A549" s="6" t="s">
        <v>1104</v>
      </c>
      <c r="B549" s="14">
        <v>147</v>
      </c>
      <c r="C549" s="15">
        <v>2391</v>
      </c>
      <c r="D549" s="14">
        <f>C549/22.0462262</f>
        <v>108.45393575794846</v>
      </c>
      <c r="E549" s="18">
        <f>LN(B549/B548)</f>
        <v>-0.012842352911227041</v>
      </c>
      <c r="F549" s="18">
        <f>LN(C549/C548)</f>
        <v>0.005451890207597496</v>
      </c>
    </row>
    <row r="550">
      <c r="A550" s="6" t="s">
        <v>1105</v>
      </c>
      <c r="B550" s="14">
        <v>147.45</v>
      </c>
      <c r="C550" s="15">
        <v>2363</v>
      </c>
      <c r="D550" s="14">
        <f>C550/22.0462262</f>
        <v>107.1838771208834</v>
      </c>
      <c r="E550" s="18">
        <f>LN(B550/B549)</f>
        <v>0.003056548482548874</v>
      </c>
      <c r="F550" s="18">
        <f>LN(C550/C549)</f>
        <v>-0.011779690271416914</v>
      </c>
    </row>
    <row r="551">
      <c r="A551" s="6" t="s">
        <v>1106</v>
      </c>
      <c r="B551" s="14">
        <v>147.55</v>
      </c>
      <c r="C551" s="15">
        <v>2366</v>
      </c>
      <c r="D551" s="14">
        <f>C551/22.0462262</f>
        <v>107.3199548319975</v>
      </c>
      <c r="E551" s="18">
        <f>LN(B551/B550)</f>
        <v>0.0006779661276632754</v>
      </c>
      <c r="F551" s="18">
        <f>LN(C551/C550)</f>
        <v>0.001268767351424176</v>
      </c>
    </row>
    <row r="552">
      <c r="A552" s="6" t="s">
        <v>1107</v>
      </c>
      <c r="B552" s="14">
        <v>146.6</v>
      </c>
      <c r="C552" s="15">
        <v>2374</v>
      </c>
      <c r="D552" s="14">
        <f>C552/22.0462262</f>
        <v>107.68282872830181</v>
      </c>
      <c r="E552" s="18">
        <f>LN(B552/B551)</f>
        <v>-0.006459311936397367</v>
      </c>
      <c r="F552" s="18">
        <f>LN(C552/C551)</f>
        <v>0.003375530631281214</v>
      </c>
    </row>
    <row r="553">
      <c r="A553" s="6" t="s">
        <v>1108</v>
      </c>
      <c r="B553" s="14">
        <v>152.95</v>
      </c>
      <c r="C553" s="15">
        <v>2402</v>
      </c>
      <c r="D553" s="14">
        <f>C553/22.0462262</f>
        <v>108.95288736536686</v>
      </c>
      <c r="E553" s="18">
        <f>LN(B553/B552)</f>
        <v>0.04240328114436124</v>
      </c>
      <c r="F553" s="18">
        <f>LN(C553/C552)</f>
        <v>0.011725427470315507</v>
      </c>
    </row>
    <row r="554">
      <c r="A554" s="6" t="s">
        <v>1109</v>
      </c>
      <c r="B554" s="14">
        <v>153</v>
      </c>
      <c r="C554" s="15">
        <v>2406</v>
      </c>
      <c r="D554" s="14">
        <f>C554/22.0462262</f>
        <v>109.13432431351902</v>
      </c>
      <c r="E554" s="18">
        <f>LN(B554/B553)</f>
        <v>0.00032685079552298365</v>
      </c>
      <c r="F554" s="18">
        <f>LN(C554/C553)</f>
        <v>0.00166389389469538</v>
      </c>
    </row>
    <row r="555">
      <c r="A555" s="6" t="s">
        <v>1110</v>
      </c>
      <c r="B555" s="14">
        <v>151.75</v>
      </c>
      <c r="C555" s="15">
        <v>2437</v>
      </c>
      <c r="D555" s="14">
        <f>C555/22.0462262</f>
        <v>110.54046066169819</v>
      </c>
      <c r="E555" s="18">
        <f>LN(B555/B554)</f>
        <v>-0.008203491452827791</v>
      </c>
      <c r="F555" s="18">
        <f>LN(C555/C554)</f>
        <v>0.012802157090582104</v>
      </c>
    </row>
    <row r="556">
      <c r="A556" s="6" t="s">
        <v>1111</v>
      </c>
      <c r="B556" s="14">
        <v>151.35</v>
      </c>
      <c r="C556" s="15">
        <v>2449</v>
      </c>
      <c r="D556" s="14">
        <f>C556/22.0462262</f>
        <v>111.08477150615465</v>
      </c>
      <c r="E556" s="18">
        <f>LN(B556/B555)</f>
        <v>-0.0026393944718800105</v>
      </c>
      <c r="F556" s="18">
        <f>LN(C556/C555)</f>
        <v>0.0049120033269615775</v>
      </c>
    </row>
    <row r="557">
      <c r="A557" s="6" t="s">
        <v>1112</v>
      </c>
      <c r="B557" s="14">
        <v>153.35</v>
      </c>
      <c r="C557" s="15">
        <v>2496</v>
      </c>
      <c r="D557" s="14">
        <f>C557/22.0462262</f>
        <v>113.21665564694243</v>
      </c>
      <c r="E557" s="18">
        <f>LN(B557/B556)</f>
        <v>0.013127855092532868</v>
      </c>
      <c r="F557" s="18">
        <f>LN(C557/C556)</f>
        <v>0.019009672537150652</v>
      </c>
    </row>
    <row r="558">
      <c r="A558" s="6" t="s">
        <v>1113</v>
      </c>
      <c r="B558" s="14">
        <v>152.7</v>
      </c>
      <c r="C558" s="15">
        <v>2489</v>
      </c>
      <c r="D558" s="14">
        <f>C558/22.0462262</f>
        <v>112.89914098767616</v>
      </c>
      <c r="E558" s="18">
        <f>LN(B558/B557)</f>
        <v>-0.004247678335673876</v>
      </c>
      <c r="F558" s="18">
        <f>LN(C558/C557)</f>
        <v>-0.0028084271217263253</v>
      </c>
    </row>
    <row r="559">
      <c r="A559" s="6" t="s">
        <v>1114</v>
      </c>
      <c r="B559" s="14">
        <v>150.95</v>
      </c>
      <c r="C559" s="15">
        <v>2482</v>
      </c>
      <c r="D559" s="14">
        <f>C559/22.0462262</f>
        <v>112.5816263284099</v>
      </c>
      <c r="E559" s="18">
        <f>LN(B559/B558)</f>
        <v>-0.011526556071738912</v>
      </c>
      <c r="F559" s="18">
        <f>LN(C559/C558)</f>
        <v>-0.002816336603039502</v>
      </c>
    </row>
    <row r="560">
      <c r="A560" s="6" t="s">
        <v>1115</v>
      </c>
      <c r="B560" s="14">
        <v>151.4</v>
      </c>
      <c r="C560" s="15">
        <v>2453</v>
      </c>
      <c r="D560" s="14">
        <f>C560/22.0462262</f>
        <v>111.26620845430679</v>
      </c>
      <c r="E560" s="18">
        <f>LN(B560/B559)</f>
        <v>0.002976684850500808</v>
      </c>
      <c r="F560" s="18">
        <f>LN(C560/C559)</f>
        <v>-0.011752921506063264</v>
      </c>
    </row>
    <row r="561">
      <c r="A561" s="6" t="s">
        <v>1116</v>
      </c>
      <c r="B561" s="14">
        <v>151.75</v>
      </c>
      <c r="C561" s="15">
        <v>2456</v>
      </c>
      <c r="D561" s="14">
        <f>C561/22.0462262</f>
        <v>111.40228616542092</v>
      </c>
      <c r="E561" s="18">
        <f>LN(B561/B560)</f>
        <v>0.0023090889362592944</v>
      </c>
      <c r="F561" s="18">
        <f>LN(C561/C560)</f>
        <v>0.0012222450085438835</v>
      </c>
    </row>
    <row r="562">
      <c r="A562" s="6" t="s">
        <v>1117</v>
      </c>
      <c r="B562" s="14">
        <v>147.4</v>
      </c>
      <c r="C562" s="15">
        <v>2407</v>
      </c>
      <c r="D562" s="14">
        <f>C562/22.0462262</f>
        <v>109.17968355055706</v>
      </c>
      <c r="E562" s="18">
        <f>LN(B562/B561)</f>
        <v>-0.029084450184371412</v>
      </c>
      <c r="F562" s="18">
        <f>LN(C562/C561)</f>
        <v>-0.020152851483961082</v>
      </c>
    </row>
    <row r="563">
      <c r="A563" s="6" t="s">
        <v>1118</v>
      </c>
      <c r="B563" s="14">
        <v>146.25</v>
      </c>
      <c r="C563" s="15">
        <v>2407</v>
      </c>
      <c r="D563" s="14">
        <f>C563/22.0462262</f>
        <v>109.17968355055706</v>
      </c>
      <c r="E563" s="18">
        <f>LN(B563/B562)</f>
        <v>-0.007832493643270403</v>
      </c>
      <c r="F563" s="18">
        <f>LN(C563/C562)</f>
        <v>0</v>
      </c>
    </row>
    <row r="564">
      <c r="A564" s="6" t="s">
        <v>1119</v>
      </c>
      <c r="B564" s="14">
        <v>151.55</v>
      </c>
      <c r="C564" s="15">
        <v>2439</v>
      </c>
      <c r="D564" s="14">
        <f>C564/22.0462262</f>
        <v>110.63117913577427</v>
      </c>
      <c r="E564" s="18">
        <f>LN(B564/B563)</f>
        <v>0.03559811739184646</v>
      </c>
      <c r="F564" s="18">
        <f>LN(C564/C563)</f>
        <v>0.013206960432848268</v>
      </c>
    </row>
    <row r="565">
      <c r="A565" s="6" t="s">
        <v>1120</v>
      </c>
      <c r="B565" s="14">
        <v>150.7</v>
      </c>
      <c r="C565" s="15">
        <v>2430</v>
      </c>
      <c r="D565" s="14">
        <f>C565/22.0462262</f>
        <v>110.22294600243193</v>
      </c>
      <c r="E565" s="18">
        <f>LN(B565/B564)</f>
        <v>-0.0056244978713625585</v>
      </c>
      <c r="F565" s="18">
        <f>LN(C565/C564)</f>
        <v>-0.0036968618813260916</v>
      </c>
    </row>
    <row r="566">
      <c r="A566" s="6" t="s">
        <v>1121</v>
      </c>
      <c r="B566" s="14">
        <v>151.05</v>
      </c>
      <c r="C566" s="15">
        <v>2479</v>
      </c>
      <c r="D566" s="14">
        <f>C566/22.0462262</f>
        <v>112.44554861729578</v>
      </c>
      <c r="E566" s="18">
        <f>LN(B566/B565)</f>
        <v>0.002319802200231279</v>
      </c>
      <c r="F566" s="18">
        <f>LN(C566/C565)</f>
        <v>0.01996399570059635</v>
      </c>
    </row>
    <row r="567">
      <c r="A567" s="6" t="s">
        <v>1122</v>
      </c>
      <c r="B567" s="14">
        <v>153.1</v>
      </c>
      <c r="C567" s="15">
        <v>2495</v>
      </c>
      <c r="D567" s="14">
        <f>C567/22.0462262</f>
        <v>113.17129640990439</v>
      </c>
      <c r="E567" s="18">
        <f>LN(B567/B566)</f>
        <v>0.013480394830956867</v>
      </c>
      <c r="F567" s="18">
        <f>LN(C567/C566)</f>
        <v>0.006433476150428602</v>
      </c>
    </row>
    <row r="568">
      <c r="A568" s="6" t="s">
        <v>1123</v>
      </c>
      <c r="B568" s="14">
        <v>158.25</v>
      </c>
      <c r="C568" s="15">
        <v>2556</v>
      </c>
      <c r="D568" s="14">
        <f>C568/22.0462262</f>
        <v>115.93820986922469</v>
      </c>
      <c r="E568" s="18">
        <f>LN(B568/B567)</f>
        <v>0.03308475836064755</v>
      </c>
      <c r="F568" s="18">
        <f>LN(C568/C567)</f>
        <v>0.024154807311806428</v>
      </c>
    </row>
    <row r="569">
      <c r="A569" s="6" t="s">
        <v>1124</v>
      </c>
      <c r="B569" s="14">
        <v>158.7</v>
      </c>
      <c r="C569" s="15">
        <v>2566</v>
      </c>
      <c r="D569" s="14">
        <f>C569/22.0462262</f>
        <v>116.39180223960507</v>
      </c>
      <c r="E569" s="18">
        <f>LN(B569/B568)</f>
        <v>0.002839566508077739</v>
      </c>
      <c r="F569" s="18">
        <f>LN(C569/C568)</f>
        <v>0.00390472967815626</v>
      </c>
    </row>
    <row r="570">
      <c r="A570" s="6" t="s">
        <v>1125</v>
      </c>
      <c r="B570" s="14">
        <v>167.5</v>
      </c>
      <c r="C570" s="15">
        <v>2540</v>
      </c>
      <c r="D570" s="14">
        <f>C570/22.0462262</f>
        <v>115.21246207661609</v>
      </c>
      <c r="E570" s="18">
        <f>LN(B570/B569)</f>
        <v>0.053967723732757884</v>
      </c>
      <c r="F570" s="18">
        <f>LN(C570/C569)</f>
        <v>-0.010184185162999486</v>
      </c>
    </row>
    <row r="571">
      <c r="A571" s="6" t="s">
        <v>1126</v>
      </c>
      <c r="B571" s="14">
        <v>158.2</v>
      </c>
      <c r="C571" s="15">
        <v>2508</v>
      </c>
      <c r="D571" s="14">
        <f>C571/22.0462262</f>
        <v>113.76096649139888</v>
      </c>
      <c r="E571" s="18">
        <f>LN(B571/B570)</f>
        <v>-0.05712329593156769</v>
      </c>
      <c r="F571" s="18">
        <f>LN(C571/C570)</f>
        <v>-0.012678458259770951</v>
      </c>
    </row>
    <row r="572">
      <c r="A572" s="6" t="s">
        <v>1127</v>
      </c>
      <c r="B572" s="14">
        <v>154.85</v>
      </c>
      <c r="C572" s="15">
        <v>2464</v>
      </c>
      <c r="D572" s="14">
        <f>C572/22.0462262</f>
        <v>111.76516006172521</v>
      </c>
      <c r="E572" s="18">
        <f>LN(B572/B571)</f>
        <v>-0.02140314891434161</v>
      </c>
      <c r="F572" s="18">
        <f>LN(C572/C571)</f>
        <v>-0.017699577099400975</v>
      </c>
    </row>
    <row r="573">
      <c r="A573" s="6" t="s">
        <v>1128</v>
      </c>
      <c r="B573" s="14">
        <v>151.15</v>
      </c>
      <c r="C573" s="15">
        <v>2461</v>
      </c>
      <c r="D573" s="14">
        <f>C573/22.0462262</f>
        <v>111.6290823506111</v>
      </c>
      <c r="E573" s="18">
        <f>LN(B573/B572)</f>
        <v>-0.02418418519374472</v>
      </c>
      <c r="F573" s="18">
        <f>LN(C573/C572)</f>
        <v>-0.0012182742623544874</v>
      </c>
    </row>
    <row r="574">
      <c r="A574" s="6" t="s">
        <v>1129</v>
      </c>
      <c r="B574" s="14">
        <v>148.8</v>
      </c>
      <c r="C574" s="15">
        <v>2443</v>
      </c>
      <c r="D574" s="14">
        <f>C574/22.0462262</f>
        <v>110.81261608392641</v>
      </c>
      <c r="E574" s="18">
        <f>LN(B574/B573)</f>
        <v>-0.01566959882647549</v>
      </c>
      <c r="F574" s="18">
        <f>LN(C574/C573)</f>
        <v>-0.007340979133315446</v>
      </c>
    </row>
    <row r="575">
      <c r="A575" s="6" t="s">
        <v>1130</v>
      </c>
      <c r="B575" s="14">
        <v>150.85</v>
      </c>
      <c r="C575" s="15">
        <v>2352</v>
      </c>
      <c r="D575" s="14">
        <f>C575/22.0462262</f>
        <v>106.68492551346498</v>
      </c>
      <c r="E575" s="18">
        <f>LN(B575/B574)</f>
        <v>0.013682843206078514</v>
      </c>
      <c r="F575" s="18">
        <f>LN(C575/C574)</f>
        <v>-0.03796076223922297</v>
      </c>
    </row>
    <row r="576">
      <c r="A576" s="6" t="s">
        <v>1131</v>
      </c>
      <c r="B576" s="14">
        <v>149.25</v>
      </c>
      <c r="C576" s="15">
        <v>2346</v>
      </c>
      <c r="D576" s="14">
        <f>C576/22.0462262</f>
        <v>106.41277009123675</v>
      </c>
      <c r="E576" s="18">
        <f>LN(B576/B575)</f>
        <v>-0.010663213332358616</v>
      </c>
      <c r="F576" s="18">
        <f>LN(C576/C575)</f>
        <v>-0.0025542798050967423</v>
      </c>
    </row>
    <row r="577">
      <c r="A577" s="6" t="s">
        <v>1132</v>
      </c>
      <c r="B577" s="14">
        <v>147.2</v>
      </c>
      <c r="C577" s="15">
        <v>2372</v>
      </c>
      <c r="D577" s="14">
        <f>C577/22.0462262</f>
        <v>107.59211025422573</v>
      </c>
      <c r="E577" s="18">
        <f>LN(B577/B576)</f>
        <v>-0.013830545977935635</v>
      </c>
      <c r="F577" s="18">
        <f>LN(C577/C576)</f>
        <v>0.011021730904195231</v>
      </c>
    </row>
    <row r="578">
      <c r="A578" s="6" t="s">
        <v>1133</v>
      </c>
      <c r="B578" s="14">
        <v>146.15</v>
      </c>
      <c r="C578" s="15">
        <v>2369</v>
      </c>
      <c r="D578" s="14">
        <f>C578/22.0462262</f>
        <v>107.45603254311162</v>
      </c>
      <c r="E578" s="18">
        <f>LN(B578/B577)</f>
        <v>-0.007158714737520846</v>
      </c>
      <c r="F578" s="18">
        <f>LN(C578/C577)</f>
        <v>-0.0012655559588306432</v>
      </c>
    </row>
    <row r="579">
      <c r="A579" s="6" t="s">
        <v>1134</v>
      </c>
      <c r="B579" s="14">
        <v>149.1</v>
      </c>
      <c r="C579" s="15">
        <v>2374</v>
      </c>
      <c r="D579" s="14">
        <f>C579/22.0462262</f>
        <v>107.68282872830181</v>
      </c>
      <c r="E579" s="18">
        <f>LN(B579/B578)</f>
        <v>0.019983730213437606</v>
      </c>
      <c r="F579" s="18">
        <f>LN(C579/C578)</f>
        <v>0.0021083710108279804</v>
      </c>
    </row>
    <row r="580">
      <c r="A580" s="6" t="s">
        <v>1135</v>
      </c>
      <c r="B580" s="14">
        <v>148.75</v>
      </c>
      <c r="C580" s="15">
        <v>2332</v>
      </c>
      <c r="D580" s="14">
        <f>C580/22.0462262</f>
        <v>105.77774077270422</v>
      </c>
      <c r="E580" s="18">
        <f>LN(B580/B579)</f>
        <v>-0.0023501773449535156</v>
      </c>
      <c r="F580" s="18">
        <f>LN(C580/C579)</f>
        <v>-0.017850027699230355</v>
      </c>
    </row>
    <row r="581">
      <c r="A581" s="6" t="s">
        <v>1136</v>
      </c>
      <c r="B581" s="14">
        <v>146.35</v>
      </c>
      <c r="C581" s="15">
        <v>2315</v>
      </c>
      <c r="D581" s="14">
        <f>C581/22.0462262</f>
        <v>105.00663374305758</v>
      </c>
      <c r="E581" s="18">
        <f>LN(B581/B580)</f>
        <v>-0.016266031287844363</v>
      </c>
      <c r="F581" s="18">
        <f>LN(C581/C580)</f>
        <v>-0.007316580950048592</v>
      </c>
    </row>
    <row r="582">
      <c r="A582" s="6" t="s">
        <v>1137</v>
      </c>
      <c r="B582" s="14">
        <v>145.4</v>
      </c>
      <c r="C582" s="15">
        <v>2302</v>
      </c>
      <c r="D582" s="14">
        <f>C582/22.0462262</f>
        <v>104.41696366156309</v>
      </c>
      <c r="E582" s="18">
        <f>LN(B582/B581)</f>
        <v>-0.006512448038475767</v>
      </c>
      <c r="F582" s="18">
        <f>LN(C582/C581)</f>
        <v>-0.005631377238506529</v>
      </c>
    </row>
    <row r="583">
      <c r="A583" s="6" t="s">
        <v>1138</v>
      </c>
      <c r="B583" s="14">
        <v>146.05</v>
      </c>
      <c r="C583" s="15">
        <v>2280</v>
      </c>
      <c r="D583" s="14">
        <f>C583/22.0462262</f>
        <v>103.41906044672625</v>
      </c>
      <c r="E583" s="18">
        <f>LN(B583/B582)</f>
        <v>0.0044604637343310695</v>
      </c>
      <c r="F583" s="18">
        <f>LN(C583/C582)</f>
        <v>-0.009602867333341467</v>
      </c>
    </row>
    <row r="584">
      <c r="A584" s="6" t="s">
        <v>1139</v>
      </c>
      <c r="B584" s="14">
        <v>146.05</v>
      </c>
      <c r="C584" s="15">
        <v>2243</v>
      </c>
      <c r="D584" s="14">
        <f>C584/22.0462262</f>
        <v>101.74076867631885</v>
      </c>
      <c r="E584" s="18">
        <f>LN(B584/B583)</f>
        <v>0</v>
      </c>
      <c r="F584" s="18">
        <f>LN(C584/C583)</f>
        <v>-0.01636118742827813</v>
      </c>
    </row>
    <row r="585">
      <c r="A585" s="6" t="s">
        <v>1140</v>
      </c>
      <c r="B585" s="14">
        <v>147.5</v>
      </c>
      <c r="C585" s="15">
        <v>2245</v>
      </c>
      <c r="D585" s="14">
        <f>C585/22.0462262</f>
        <v>101.83148715039493</v>
      </c>
      <c r="E585" s="18">
        <f>LN(B585/B584)</f>
        <v>0.009879146946124441</v>
      </c>
      <c r="F585" s="18">
        <f>LN(C585/C584)</f>
        <v>0.000891265656146396</v>
      </c>
    </row>
    <row r="586">
      <c r="A586" s="6" t="s">
        <v>1141</v>
      </c>
      <c r="B586" s="14">
        <v>147.7</v>
      </c>
      <c r="C586" s="15">
        <v>2235</v>
      </c>
      <c r="D586" s="14">
        <f>C586/22.0462262</f>
        <v>101.37789478001456</v>
      </c>
      <c r="E586" s="18">
        <f>LN(B586/B585)</f>
        <v>0.0013550137574595796</v>
      </c>
      <c r="F586" s="18">
        <f>LN(C586/C585)</f>
        <v>-0.004464293128685493</v>
      </c>
    </row>
    <row r="587">
      <c r="A587" s="6" t="s">
        <v>1142</v>
      </c>
      <c r="B587" s="14">
        <v>149.3</v>
      </c>
      <c r="C587" s="15">
        <v>2255</v>
      </c>
      <c r="D587" s="14">
        <f>C587/22.0462262</f>
        <v>102.28507952077531</v>
      </c>
      <c r="E587" s="18">
        <f>LN(B587/B586)</f>
        <v>0.010774515007810726</v>
      </c>
      <c r="F587" s="18">
        <f>LN(C587/C586)</f>
        <v>0.00890874488910943</v>
      </c>
    </row>
    <row r="588">
      <c r="A588" s="6" t="s">
        <v>1143</v>
      </c>
      <c r="B588" s="14">
        <v>154.9</v>
      </c>
      <c r="C588" s="15">
        <v>2284</v>
      </c>
      <c r="D588" s="14">
        <f>C588/22.0462262</f>
        <v>103.6004973948784</v>
      </c>
      <c r="E588" s="18">
        <f>LN(B588/B587)</f>
        <v>0.036822042877678283</v>
      </c>
      <c r="F588" s="18">
        <f>LN(C588/C587)</f>
        <v>0.012778318839122184</v>
      </c>
    </row>
    <row r="589">
      <c r="A589" s="6" t="s">
        <v>1144</v>
      </c>
      <c r="B589" s="14">
        <v>154.15</v>
      </c>
      <c r="C589" s="15">
        <v>2296</v>
      </c>
      <c r="D589" s="14">
        <f>C589/22.0462262</f>
        <v>104.14480823933486</v>
      </c>
      <c r="E589" s="18">
        <f>LN(B589/B588)</f>
        <v>-0.004853593090663538</v>
      </c>
      <c r="F589" s="18">
        <f>LN(C589/C588)</f>
        <v>0.00524018666355625</v>
      </c>
    </row>
    <row r="590">
      <c r="A590" s="6" t="s">
        <v>1145</v>
      </c>
      <c r="B590" s="14">
        <v>157.05</v>
      </c>
      <c r="C590" s="15">
        <v>2320</v>
      </c>
      <c r="D590" s="14">
        <f>C590/22.0462262</f>
        <v>105.23342992824777</v>
      </c>
      <c r="E590" s="18">
        <f>LN(B590/B589)</f>
        <v>0.01863807165249616</v>
      </c>
      <c r="F590" s="18">
        <f>LN(C590/C589)</f>
        <v>0.010398707220898517</v>
      </c>
    </row>
    <row r="591">
      <c r="A591" s="6" t="s">
        <v>1146</v>
      </c>
      <c r="B591" s="14">
        <v>158.05</v>
      </c>
      <c r="C591" s="15">
        <v>2335</v>
      </c>
      <c r="D591" s="14">
        <f>C591/22.0462262</f>
        <v>105.91381848381833</v>
      </c>
      <c r="E591" s="18">
        <f>LN(B591/B590)</f>
        <v>0.00634721267697112</v>
      </c>
      <c r="F591" s="18">
        <f>LN(C591/C590)</f>
        <v>0.006444705442641963</v>
      </c>
    </row>
    <row r="592">
      <c r="A592" s="6" t="s">
        <v>1147</v>
      </c>
      <c r="B592" s="14">
        <v>163.95</v>
      </c>
      <c r="C592" s="15">
        <v>2402</v>
      </c>
      <c r="D592" s="14">
        <f>C592/22.0462262</f>
        <v>108.95288736536686</v>
      </c>
      <c r="E592" s="18">
        <f>LN(B592/B591)</f>
        <v>0.036650064629030296</v>
      </c>
      <c r="F592" s="18">
        <f>LN(C592/C591)</f>
        <v>0.02828983253693116</v>
      </c>
    </row>
    <row r="593">
      <c r="A593" s="6" t="s">
        <v>1148</v>
      </c>
      <c r="B593" s="14">
        <v>165.25</v>
      </c>
      <c r="C593" s="15">
        <v>2479</v>
      </c>
      <c r="D593" s="14">
        <f>C593/22.0462262</f>
        <v>112.44554861729578</v>
      </c>
      <c r="E593" s="18">
        <f>LN(B593/B592)</f>
        <v>0.007897975441138435</v>
      </c>
      <c r="F593" s="18">
        <f>LN(C593/C592)</f>
        <v>0.031553529395261605</v>
      </c>
    </row>
    <row r="594">
      <c r="A594" s="6" t="s">
        <v>1149</v>
      </c>
      <c r="B594" s="14">
        <v>165.85</v>
      </c>
      <c r="C594" s="15">
        <v>2526</v>
      </c>
      <c r="D594" s="14">
        <f>C594/22.0462262</f>
        <v>114.57743275808356</v>
      </c>
      <c r="E594" s="18">
        <f>LN(B594/B593)</f>
        <v>0.0036242866612657943</v>
      </c>
      <c r="F594" s="18">
        <f>LN(C594/C593)</f>
        <v>0.018781770875245997</v>
      </c>
    </row>
    <row r="595">
      <c r="A595" s="6" t="s">
        <v>1150</v>
      </c>
      <c r="B595" s="14">
        <v>168.15</v>
      </c>
      <c r="C595" s="15">
        <v>2493</v>
      </c>
      <c r="D595" s="14">
        <f>C595/22.0462262</f>
        <v>113.08057793582832</v>
      </c>
      <c r="E595" s="18">
        <f>LN(B595/B594)</f>
        <v>0.013772672793217283</v>
      </c>
      <c r="F595" s="18">
        <f>LN(C595/C594)</f>
        <v>-0.013150219386878579</v>
      </c>
    </row>
    <row r="596">
      <c r="A596" s="6" t="s">
        <v>1151</v>
      </c>
      <c r="B596" s="14">
        <v>162.3</v>
      </c>
      <c r="C596" s="15">
        <v>2467</v>
      </c>
      <c r="D596" s="14">
        <f>C596/22.0462262</f>
        <v>111.90123777283932</v>
      </c>
      <c r="E596" s="18">
        <f>LN(B596/B595)</f>
        <v>-0.03540996366573303</v>
      </c>
      <c r="F596" s="18">
        <f>LN(C596/C595)</f>
        <v>-0.010483966994201234</v>
      </c>
    </row>
    <row r="597">
      <c r="A597" s="6" t="s">
        <v>1152</v>
      </c>
      <c r="B597" s="14">
        <v>161.2</v>
      </c>
      <c r="C597" s="15">
        <v>2420</v>
      </c>
      <c r="D597" s="14">
        <f>C597/22.0462262</f>
        <v>109.76935363205155</v>
      </c>
      <c r="E597" s="18">
        <f>LN(B597/B596)</f>
        <v>-0.006800644448017773</v>
      </c>
      <c r="F597" s="18">
        <f>LN(C597/C596)</f>
        <v>-0.019235297378624592</v>
      </c>
    </row>
    <row r="598">
      <c r="A598" s="6" t="s">
        <v>1153</v>
      </c>
      <c r="B598" s="14">
        <v>160.95</v>
      </c>
      <c r="C598" s="15">
        <v>2383</v>
      </c>
      <c r="D598" s="14">
        <f>C598/22.0462262</f>
        <v>108.09106186164415</v>
      </c>
      <c r="E598" s="18">
        <f>LN(B598/B597)</f>
        <v>-0.0015520723277107201</v>
      </c>
      <c r="F598" s="18">
        <f>LN(C598/C597)</f>
        <v>-0.015407342051989941</v>
      </c>
    </row>
    <row r="599">
      <c r="A599" s="6" t="s">
        <v>1154</v>
      </c>
      <c r="B599" s="14">
        <v>159.1</v>
      </c>
      <c r="C599" s="15">
        <v>2314</v>
      </c>
      <c r="D599" s="14">
        <f>C599/22.0462262</f>
        <v>104.96127450601954</v>
      </c>
      <c r="E599" s="18">
        <f>LN(B599/B598)</f>
        <v>-0.011560822401075971</v>
      </c>
      <c r="F599" s="18">
        <f>LN(C599/C598)</f>
        <v>-0.02938256934512027</v>
      </c>
    </row>
    <row r="600">
      <c r="A600" s="6" t="s">
        <v>1155</v>
      </c>
      <c r="B600" s="14">
        <v>167.3</v>
      </c>
      <c r="C600" s="15">
        <v>2366</v>
      </c>
      <c r="D600" s="14">
        <f>C600/22.0462262</f>
        <v>107.3199548319975</v>
      </c>
      <c r="E600" s="18">
        <f>LN(B600/B599)</f>
        <v>0.0502556726490372</v>
      </c>
      <c r="F600" s="18">
        <f>LN(C600/C599)</f>
        <v>0.022223136784710256</v>
      </c>
    </row>
    <row r="601">
      <c r="A601" s="6" t="s">
        <v>1156</v>
      </c>
      <c r="B601" s="14">
        <v>159.8</v>
      </c>
      <c r="C601" s="15">
        <v>2312</v>
      </c>
      <c r="D601" s="14">
        <f>C601/22.0462262</f>
        <v>104.87055603194347</v>
      </c>
      <c r="E601" s="18">
        <f>LN(B601/B600)</f>
        <v>-0.04586557466060404</v>
      </c>
      <c r="F601" s="18">
        <f>LN(C601/C600)</f>
        <v>-0.02308781474606402</v>
      </c>
    </row>
    <row r="602">
      <c r="A602" s="6" t="s">
        <v>1157</v>
      </c>
      <c r="B602" s="14">
        <v>165.35</v>
      </c>
      <c r="C602" s="15">
        <v>2328</v>
      </c>
      <c r="D602" s="14">
        <f>C602/22.0462262</f>
        <v>105.59630382455207</v>
      </c>
      <c r="E602" s="18">
        <f>LN(B602/B601)</f>
        <v>0.034141406095627325</v>
      </c>
      <c r="F602" s="18">
        <f>LN(C602/C601)</f>
        <v>0.006896579059060459</v>
      </c>
    </row>
    <row r="603">
      <c r="A603" s="6" t="s">
        <v>1158</v>
      </c>
      <c r="B603" s="14">
        <v>170.9</v>
      </c>
      <c r="C603" s="15">
        <v>2372</v>
      </c>
      <c r="D603" s="14">
        <f>C603/22.0462262</f>
        <v>107.59211025422573</v>
      </c>
      <c r="E603" s="18">
        <f>LN(B603/B602)</f>
        <v>0.0330141506937434</v>
      </c>
      <c r="F603" s="18">
        <f>LN(C603/C602)</f>
        <v>0.018723951266287564</v>
      </c>
    </row>
    <row r="604">
      <c r="A604" s="6" t="s">
        <v>1159</v>
      </c>
      <c r="B604" s="14">
        <v>173.7</v>
      </c>
      <c r="C604" s="15">
        <v>2422</v>
      </c>
      <c r="D604" s="14">
        <f>C604/22.0462262</f>
        <v>109.86007210612763</v>
      </c>
      <c r="E604" s="18">
        <f>LN(B604/B603)</f>
        <v>0.016251083125513856</v>
      </c>
      <c r="F604" s="18">
        <f>LN(C604/C603)</f>
        <v>0.020860163995421455</v>
      </c>
    </row>
    <row r="605">
      <c r="A605" s="6" t="s">
        <v>1160</v>
      </c>
      <c r="B605" s="14">
        <v>170.75</v>
      </c>
      <c r="C605" s="15">
        <v>2358</v>
      </c>
      <c r="D605" s="14">
        <f>C605/22.0462262</f>
        <v>106.9570809356932</v>
      </c>
      <c r="E605" s="18">
        <f>LN(B605/B604)</f>
        <v>-0.017129174796159705</v>
      </c>
      <c r="F605" s="18">
        <f>LN(C605/C604)</f>
        <v>-0.026779843015721297</v>
      </c>
    </row>
    <row r="606">
      <c r="A606" s="6" t="s">
        <v>1161</v>
      </c>
      <c r="B606" s="14">
        <v>174.35</v>
      </c>
      <c r="C606" s="15">
        <v>2406</v>
      </c>
      <c r="D606" s="14">
        <f>C606/22.0462262</f>
        <v>109.13432431351902</v>
      </c>
      <c r="E606" s="18">
        <f>LN(B606/B605)</f>
        <v>0.020864274670760633</v>
      </c>
      <c r="F606" s="18">
        <f>LN(C606/C605)</f>
        <v>0.020151815437307912</v>
      </c>
    </row>
    <row r="607">
      <c r="A607" s="6" t="s">
        <v>1162</v>
      </c>
      <c r="B607" s="14">
        <v>178.8</v>
      </c>
      <c r="C607" s="15">
        <v>2430</v>
      </c>
      <c r="D607" s="14">
        <f>C607/22.0462262</f>
        <v>110.22294600243193</v>
      </c>
      <c r="E607" s="18">
        <f>LN(B607/B606)</f>
        <v>0.025203089617753645</v>
      </c>
      <c r="F607" s="18">
        <f>LN(C607/C606)</f>
        <v>0.009925639799969998</v>
      </c>
    </row>
    <row r="608">
      <c r="A608" s="6" t="s">
        <v>1163</v>
      </c>
      <c r="B608" s="14">
        <v>174.5</v>
      </c>
      <c r="C608" s="15">
        <v>2421</v>
      </c>
      <c r="D608" s="14">
        <f>C608/22.0462262</f>
        <v>109.81471286908959</v>
      </c>
      <c r="E608" s="18">
        <f>LN(B608/B607)</f>
        <v>-0.024343121096931944</v>
      </c>
      <c r="F608" s="18">
        <f>LN(C608/C607)</f>
        <v>-0.0037105793965356015</v>
      </c>
    </row>
    <row r="609">
      <c r="A609" s="6" t="s">
        <v>1164</v>
      </c>
      <c r="B609" s="14">
        <v>178.65</v>
      </c>
      <c r="C609" s="15">
        <v>2503</v>
      </c>
      <c r="D609" s="14">
        <f>C609/22.0462262</f>
        <v>113.5341703062087</v>
      </c>
      <c r="E609" s="18">
        <f>LN(B609/B608)</f>
        <v>0.023503842826936922</v>
      </c>
      <c r="F609" s="18">
        <f>LN(C609/C608)</f>
        <v>0.03330933449371581</v>
      </c>
    </row>
    <row r="610">
      <c r="A610" s="6" t="s">
        <v>1165</v>
      </c>
      <c r="B610" s="14">
        <v>176.45</v>
      </c>
      <c r="C610" s="15">
        <v>2474</v>
      </c>
      <c r="D610" s="14">
        <f>C610/22.0462262</f>
        <v>112.21875243210559</v>
      </c>
      <c r="E610" s="18">
        <f>LN(B610/B609)</f>
        <v>-0.01239103434813977</v>
      </c>
      <c r="F610" s="18">
        <f>LN(C610/C609)</f>
        <v>-0.011653738479341032</v>
      </c>
    </row>
    <row r="611">
      <c r="A611" s="6" t="s">
        <v>1166</v>
      </c>
      <c r="B611" s="14">
        <v>180.8</v>
      </c>
      <c r="C611" s="15">
        <v>2549</v>
      </c>
      <c r="D611" s="14">
        <f>C611/22.0462262</f>
        <v>115.62069520995843</v>
      </c>
      <c r="E611" s="18">
        <f>LN(B611/B610)</f>
        <v>0.024353897836797127</v>
      </c>
      <c r="F611" s="18">
        <f>LN(C611/C610)</f>
        <v>0.029864851423682195</v>
      </c>
    </row>
    <row r="612">
      <c r="A612" s="6" t="s">
        <v>1167</v>
      </c>
      <c r="B612" s="14">
        <v>176.1</v>
      </c>
      <c r="C612" s="15">
        <v>2566</v>
      </c>
      <c r="D612" s="14">
        <f>C612/22.0462262</f>
        <v>116.39180223960507</v>
      </c>
      <c r="E612" s="18">
        <f>LN(B612/B611)</f>
        <v>-0.026339432455915808</v>
      </c>
      <c r="F612" s="18">
        <f>LN(C612/C611)</f>
        <v>0.006647140799466242</v>
      </c>
    </row>
    <row r="613">
      <c r="A613" s="6" t="s">
        <v>1168</v>
      </c>
      <c r="B613" s="14">
        <v>170.95</v>
      </c>
      <c r="C613" s="15">
        <v>2521</v>
      </c>
      <c r="D613" s="14">
        <f>C613/22.0462262</f>
        <v>114.35063657289336</v>
      </c>
      <c r="E613" s="18">
        <f>LN(B613/B612)</f>
        <v>-0.029680899416850242</v>
      </c>
      <c r="F613" s="18">
        <f>LN(C613/C612)</f>
        <v>-0.017692617987661946</v>
      </c>
    </row>
    <row r="614">
      <c r="A614" s="6" t="s">
        <v>1169</v>
      </c>
      <c r="B614" s="14">
        <v>177.9</v>
      </c>
      <c r="C614" s="15">
        <v>2505</v>
      </c>
      <c r="D614" s="14">
        <f>C614/22.0462262</f>
        <v>113.62488878028476</v>
      </c>
      <c r="E614" s="18">
        <f>LN(B614/B613)</f>
        <v>0.039850478586479166</v>
      </c>
      <c r="F614" s="18">
        <f>LN(C614/C613)</f>
        <v>-0.006366913668954662</v>
      </c>
    </row>
    <row r="615">
      <c r="A615" s="6" t="s">
        <v>1170</v>
      </c>
      <c r="B615" s="14">
        <v>176.55</v>
      </c>
      <c r="C615" s="15">
        <v>2482</v>
      </c>
      <c r="D615" s="14">
        <f>C615/22.0462262</f>
        <v>112.5816263284099</v>
      </c>
      <c r="E615" s="18">
        <f>LN(B615/B614)</f>
        <v>-0.007617472297394023</v>
      </c>
      <c r="F615" s="18">
        <f>LN(C615/C614)</f>
        <v>-0.009224047754412676</v>
      </c>
    </row>
    <row r="616">
      <c r="A616" s="6" t="s">
        <v>1171</v>
      </c>
      <c r="B616" s="14">
        <v>178.65</v>
      </c>
      <c r="C616" s="15">
        <v>2515</v>
      </c>
      <c r="D616" s="14">
        <f>C616/22.0462262</f>
        <v>114.07848115066514</v>
      </c>
      <c r="E616" s="18">
        <f>LN(B616/B615)</f>
        <v>0.011824462095023369</v>
      </c>
      <c r="F616" s="18">
        <f>LN(C616/C615)</f>
        <v>0.013208116769287116</v>
      </c>
    </row>
    <row r="617">
      <c r="A617" s="6" t="s">
        <v>1172</v>
      </c>
      <c r="B617" s="14">
        <v>178.65</v>
      </c>
      <c r="C617" s="15">
        <v>2491</v>
      </c>
      <c r="D617" s="14">
        <f>C617/22.0462262</f>
        <v>112.98985946175223</v>
      </c>
      <c r="E617" s="18">
        <f>LN(B617/B616)</f>
        <v>0</v>
      </c>
      <c r="F617" s="18">
        <f>LN(C617/C616)</f>
        <v>-0.00958856727165915</v>
      </c>
    </row>
    <row r="618">
      <c r="A618" s="6" t="s">
        <v>1173</v>
      </c>
      <c r="B618" s="14">
        <v>178.65</v>
      </c>
      <c r="C618" s="15">
        <v>2545</v>
      </c>
      <c r="D618" s="14">
        <f>C618/22.0462262</f>
        <v>115.43925826180627</v>
      </c>
      <c r="E618" s="18">
        <f>LN(B618/B617)</f>
        <v>0</v>
      </c>
      <c r="F618" s="18">
        <f>LN(C618/C617)</f>
        <v>0.02144641372244268</v>
      </c>
    </row>
    <row r="619">
      <c r="A619" s="6" t="s">
        <v>1174</v>
      </c>
      <c r="B619" s="14">
        <v>179.7</v>
      </c>
      <c r="C619" s="15">
        <v>2478</v>
      </c>
      <c r="D619" s="14">
        <f>C619/22.0462262</f>
        <v>112.40018938025774</v>
      </c>
      <c r="E619" s="18">
        <f>LN(B619/B618)</f>
        <v>0.005860209320094442</v>
      </c>
      <c r="F619" s="18">
        <f>LN(C619/C618)</f>
        <v>-0.02667886679553535</v>
      </c>
    </row>
    <row r="620">
      <c r="A620" s="6" t="s">
        <v>1175</v>
      </c>
      <c r="B620" s="14">
        <v>183.65</v>
      </c>
      <c r="C620" s="15">
        <v>2481</v>
      </c>
      <c r="D620" s="14">
        <f>C620/22.0462262</f>
        <v>112.53626709137185</v>
      </c>
      <c r="E620" s="18">
        <f>LN(B620/B619)</f>
        <v>0.02174297847616302</v>
      </c>
      <c r="F620" s="18">
        <f>LN(C620/C619)</f>
        <v>0.0012099215027131511</v>
      </c>
    </row>
    <row r="621">
      <c r="A621" s="6" t="s">
        <v>1176</v>
      </c>
      <c r="B621" s="14">
        <v>182.1</v>
      </c>
      <c r="C621" s="15">
        <v>2468</v>
      </c>
      <c r="D621" s="14">
        <f>C621/22.0462262</f>
        <v>111.94659700987737</v>
      </c>
      <c r="E621" s="18">
        <f>LN(B621/B620)</f>
        <v>-0.008475785532114071</v>
      </c>
      <c r="F621" s="18">
        <f>LN(C621/C620)</f>
        <v>-0.005253598666522574</v>
      </c>
    </row>
    <row r="622">
      <c r="A622" s="6" t="s">
        <v>1177</v>
      </c>
      <c r="B622" s="14">
        <v>195</v>
      </c>
      <c r="C622" s="15">
        <v>2546</v>
      </c>
      <c r="D622" s="14">
        <f>C622/22.0462262</f>
        <v>115.48461749884432</v>
      </c>
      <c r="E622" s="18">
        <f>LN(B622/B621)</f>
        <v>0.06844357183018465</v>
      </c>
      <c r="F622" s="18">
        <f>LN(C622/C621)</f>
        <v>0.03111539409207342</v>
      </c>
    </row>
    <row r="623">
      <c r="A623" s="6" t="s">
        <v>1178</v>
      </c>
      <c r="B623" s="14">
        <v>193.9</v>
      </c>
      <c r="C623" s="15">
        <v>2528</v>
      </c>
      <c r="D623" s="14">
        <f>C623/22.0462262</f>
        <v>114.66815123215963</v>
      </c>
      <c r="E623" s="18">
        <f>LN(B623/B622)</f>
        <v>-0.005656996315140684</v>
      </c>
      <c r="F623" s="18">
        <f>LN(C623/C622)</f>
        <v>-0.007095023850603796</v>
      </c>
    </row>
    <row r="624">
      <c r="A624" s="6" t="s">
        <v>1179</v>
      </c>
      <c r="B624" s="14">
        <v>188.9</v>
      </c>
      <c r="C624" s="15">
        <v>2513</v>
      </c>
      <c r="D624" s="14">
        <f>C624/22.0462262</f>
        <v>113.98776267658907</v>
      </c>
      <c r="E624" s="18">
        <f>LN(B624/B623)</f>
        <v>-0.026124787741142207</v>
      </c>
      <c r="F624" s="18">
        <f>LN(C624/C623)</f>
        <v>-0.005951217723155839</v>
      </c>
    </row>
    <row r="625">
      <c r="A625" s="6" t="s">
        <v>1180</v>
      </c>
      <c r="B625" s="14">
        <v>193.85</v>
      </c>
      <c r="C625" s="15">
        <v>2553</v>
      </c>
      <c r="D625" s="14">
        <f>C625/22.0462262</f>
        <v>115.80213215811058</v>
      </c>
      <c r="E625" s="18">
        <f>LN(B625/B624)</f>
        <v>0.0258668896094741</v>
      </c>
      <c r="F625" s="18">
        <f>LN(C625/C624)</f>
        <v>0.015791879697891757</v>
      </c>
    </row>
    <row r="626">
      <c r="A626" s="6" t="s">
        <v>1181</v>
      </c>
      <c r="B626" s="14">
        <v>185.25</v>
      </c>
      <c r="C626" s="15">
        <v>2512</v>
      </c>
      <c r="D626" s="14">
        <f>C626/22.0462262</f>
        <v>113.94240343955103</v>
      </c>
      <c r="E626" s="18">
        <f>LN(B626/B625)</f>
        <v>-0.04537839994074183</v>
      </c>
      <c r="F626" s="18">
        <f>LN(C626/C625)</f>
        <v>-0.016189889653394497</v>
      </c>
    </row>
    <row r="627">
      <c r="A627" s="6" t="s">
        <v>1182</v>
      </c>
      <c r="B627" s="14">
        <v>185.5</v>
      </c>
      <c r="C627" s="15">
        <v>2541</v>
      </c>
      <c r="D627" s="14">
        <f>C627/22.0462262</f>
        <v>115.25782131365413</v>
      </c>
      <c r="E627" s="18">
        <f>LN(B627/B626)</f>
        <v>0.001348617871293463</v>
      </c>
      <c r="F627" s="18">
        <f>LN(C627/C626)</f>
        <v>0.0114784557320748</v>
      </c>
    </row>
    <row r="628">
      <c r="A628" s="6" t="s">
        <v>1183</v>
      </c>
      <c r="B628" s="14">
        <v>185.15</v>
      </c>
      <c r="C628" s="15">
        <v>2526</v>
      </c>
      <c r="D628" s="14">
        <f>C628/22.0462262</f>
        <v>114.57743275808356</v>
      </c>
      <c r="E628" s="18">
        <f>LN(B628/B627)</f>
        <v>-0.0018885746878681362</v>
      </c>
      <c r="F628" s="18">
        <f>LN(C628/C627)</f>
        <v>-0.005920680409727678</v>
      </c>
    </row>
    <row r="629">
      <c r="A629" s="6" t="s">
        <v>1184</v>
      </c>
      <c r="B629" s="14">
        <v>194</v>
      </c>
      <c r="C629" s="15">
        <v>2622</v>
      </c>
      <c r="D629" s="14">
        <f>C629/22.0462262</f>
        <v>118.9319195137352</v>
      </c>
      <c r="E629" s="18">
        <f>LN(B629/B628)</f>
        <v>0.04669185170370651</v>
      </c>
      <c r="F629" s="18">
        <f>LN(C629/C628)</f>
        <v>0.03730036141320864</v>
      </c>
    </row>
    <row r="630">
      <c r="A630" s="6" t="s">
        <v>1185</v>
      </c>
      <c r="B630" s="14">
        <v>191.15</v>
      </c>
      <c r="C630" s="15">
        <v>2724</v>
      </c>
      <c r="D630" s="14">
        <f>C630/22.0462262</f>
        <v>123.55856169161505</v>
      </c>
      <c r="E630" s="18">
        <f>LN(B630/B629)</f>
        <v>-0.01479969892090628</v>
      </c>
      <c r="F630" s="18">
        <f>LN(C630/C629)</f>
        <v>0.03816400294575782</v>
      </c>
    </row>
    <row r="631">
      <c r="A631" s="6" t="s">
        <v>1186</v>
      </c>
      <c r="B631" s="14">
        <v>194.65</v>
      </c>
      <c r="C631" s="15">
        <v>2769</v>
      </c>
      <c r="D631" s="14">
        <f>C631/22.0462262</f>
        <v>125.59972735832676</v>
      </c>
      <c r="E631" s="18">
        <f>LN(B631/B630)</f>
        <v>0.01814461391404285</v>
      </c>
      <c r="F631" s="18">
        <f>LN(C631/C630)</f>
        <v>0.016384855901558824</v>
      </c>
    </row>
    <row r="632">
      <c r="A632" s="6" t="s">
        <v>1187</v>
      </c>
      <c r="B632" s="14">
        <v>200.1</v>
      </c>
      <c r="C632" s="15">
        <v>2797</v>
      </c>
      <c r="D632" s="14">
        <f>C632/22.0462262</f>
        <v>126.86978599539181</v>
      </c>
      <c r="E632" s="18">
        <f>LN(B632/B631)</f>
        <v>0.02761416753322291</v>
      </c>
      <c r="F632" s="18">
        <f>LN(C632/C631)</f>
        <v>0.010061170030997869</v>
      </c>
    </row>
    <row r="633">
      <c r="A633" s="6" t="s">
        <v>1188</v>
      </c>
      <c r="B633" s="14">
        <v>201.8</v>
      </c>
      <c r="C633" s="15">
        <v>2825</v>
      </c>
      <c r="D633" s="14">
        <f>C633/22.0462262</f>
        <v>128.13984463245689</v>
      </c>
      <c r="E633" s="18">
        <f>LN(B633/B632)</f>
        <v>0.008459866329820985</v>
      </c>
      <c r="F633" s="18">
        <f>LN(C633/C632)</f>
        <v>0.009960950378581681</v>
      </c>
    </row>
    <row r="634">
      <c r="A634" s="6" t="s">
        <v>1189</v>
      </c>
      <c r="B634" s="14">
        <v>209.55</v>
      </c>
      <c r="C634" s="15">
        <v>2796</v>
      </c>
      <c r="D634" s="14">
        <f>C634/22.0462262</f>
        <v>126.82442675835378</v>
      </c>
      <c r="E634" s="18">
        <f>LN(B634/B633)</f>
        <v>0.03768526645157188</v>
      </c>
      <c r="F634" s="18">
        <f>LN(C634/C633)</f>
        <v>-0.010318540226840468</v>
      </c>
    </row>
    <row r="635">
      <c r="A635" s="6" t="s">
        <v>1190</v>
      </c>
      <c r="B635" s="14">
        <v>202.4</v>
      </c>
      <c r="C635" s="15">
        <v>2932</v>
      </c>
      <c r="D635" s="14">
        <f>C635/22.0462262</f>
        <v>132.99328299552693</v>
      </c>
      <c r="E635" s="18">
        <f>LN(B635/B634)</f>
        <v>-0.03471643695777005</v>
      </c>
      <c r="F635" s="18">
        <f>LN(C635/C634)</f>
        <v>0.04749495965284126</v>
      </c>
    </row>
    <row r="636">
      <c r="A636" s="6" t="s">
        <v>1191</v>
      </c>
      <c r="B636" s="14">
        <v>190.6</v>
      </c>
      <c r="C636" s="15">
        <v>2870</v>
      </c>
      <c r="D636" s="14">
        <f>C636/22.0462262</f>
        <v>130.18101029916858</v>
      </c>
      <c r="E636" s="18">
        <f>LN(B636/B635)</f>
        <v>-0.06006894619320886</v>
      </c>
      <c r="F636" s="18">
        <f>LN(C636/C635)</f>
        <v>-0.021372754252875333</v>
      </c>
    </row>
    <row r="637">
      <c r="A637" s="6" t="s">
        <v>1192</v>
      </c>
      <c r="B637" s="14">
        <v>193.6</v>
      </c>
      <c r="C637" s="15">
        <v>2964</v>
      </c>
      <c r="D637" s="14">
        <f>C637/22.0462262</f>
        <v>134.44477858074413</v>
      </c>
      <c r="E637" s="18">
        <f>LN(B637/B636)</f>
        <v>0.015617183622374922</v>
      </c>
      <c r="F637" s="18">
        <f>LN(C637/C636)</f>
        <v>0.03222767766231071</v>
      </c>
    </row>
    <row r="638">
      <c r="A638" s="6" t="s">
        <v>1193</v>
      </c>
      <c r="B638" s="14">
        <v>192.8</v>
      </c>
      <c r="C638" s="15">
        <v>2837</v>
      </c>
      <c r="D638" s="14">
        <f>C638/22.0462262</f>
        <v>128.68415547691333</v>
      </c>
      <c r="E638" s="18">
        <f>LN(B638/B637)</f>
        <v>-0.004140792666031277</v>
      </c>
      <c r="F638" s="18">
        <f>LN(C638/C637)</f>
        <v>-0.04379255160712615</v>
      </c>
    </row>
    <row r="639">
      <c r="A639" s="6" t="s">
        <v>1194</v>
      </c>
      <c r="B639" s="14">
        <v>197.75</v>
      </c>
      <c r="C639" s="15">
        <v>2869</v>
      </c>
      <c r="D639" s="14">
        <f>C639/22.0462262</f>
        <v>130.13565106213053</v>
      </c>
      <c r="E639" s="18">
        <f>LN(B639/B638)</f>
        <v>0.025350224471317927</v>
      </c>
      <c r="F639" s="18">
        <f>LN(C639/C638)</f>
        <v>0.011216381172513544</v>
      </c>
    </row>
    <row r="640">
      <c r="A640" s="6" t="s">
        <v>1195</v>
      </c>
      <c r="B640" s="14">
        <v>198</v>
      </c>
      <c r="C640" s="15">
        <v>2936</v>
      </c>
      <c r="D640" s="14">
        <f>C640/22.0462262</f>
        <v>133.17471994367907</v>
      </c>
      <c r="E640" s="18">
        <f>LN(B640/B639)</f>
        <v>0.00126342404677192</v>
      </c>
      <c r="F640" s="18">
        <f>LN(C640/C639)</f>
        <v>0.02308457375304147</v>
      </c>
    </row>
    <row r="641">
      <c r="A641" s="6" t="s">
        <v>1196</v>
      </c>
      <c r="B641" s="14">
        <v>188.3</v>
      </c>
      <c r="C641" s="15">
        <v>2841</v>
      </c>
      <c r="D641" s="14">
        <f>C641/22.0462262</f>
        <v>128.86559242506547</v>
      </c>
      <c r="E641" s="18">
        <f>LN(B641/B640)</f>
        <v>-0.05023059503142843</v>
      </c>
      <c r="F641" s="18">
        <f>LN(C641/C640)</f>
        <v>-0.032892007880218226</v>
      </c>
    </row>
    <row r="642">
      <c r="A642" s="6" t="s">
        <v>1197</v>
      </c>
      <c r="B642" s="14">
        <v>190.15</v>
      </c>
      <c r="C642" s="15">
        <v>2804</v>
      </c>
      <c r="D642" s="14">
        <f>C642/22.0462262</f>
        <v>127.18730065465807</v>
      </c>
      <c r="E642" s="18">
        <f>LN(B642/B641)</f>
        <v>0.00977679871116196</v>
      </c>
      <c r="F642" s="18">
        <f>LN(C642/C641)</f>
        <v>-0.013109133699707223</v>
      </c>
    </row>
    <row r="643">
      <c r="A643" s="6" t="s">
        <v>1198</v>
      </c>
      <c r="B643" s="14">
        <v>186.25</v>
      </c>
      <c r="C643" s="15">
        <v>2755</v>
      </c>
      <c r="D643" s="14">
        <f>C643/22.0462262</f>
        <v>124.96469803979423</v>
      </c>
      <c r="E643" s="18">
        <f>LN(B643/B642)</f>
        <v>-0.020723377114599813</v>
      </c>
      <c r="F643" s="18">
        <f>LN(C643/C642)</f>
        <v>-0.017629526567465838</v>
      </c>
    </row>
    <row r="644">
      <c r="A644" s="6" t="s">
        <v>1199</v>
      </c>
      <c r="B644" s="14">
        <v>185.55</v>
      </c>
      <c r="C644" s="15">
        <v>2786</v>
      </c>
      <c r="D644" s="14">
        <f>C644/22.0462262</f>
        <v>126.3708343879734</v>
      </c>
      <c r="E644" s="18">
        <f>LN(B644/B643)</f>
        <v>-0.0037654697530622094</v>
      </c>
      <c r="F644" s="18">
        <f>LN(C644/C643)</f>
        <v>0.011189432752736228</v>
      </c>
    </row>
    <row r="645">
      <c r="A645" s="6" t="s">
        <v>1200</v>
      </c>
      <c r="B645" s="14">
        <v>182.8</v>
      </c>
      <c r="C645" s="15">
        <v>2795</v>
      </c>
      <c r="D645" s="14">
        <f>C645/22.0462262</f>
        <v>126.77906752131574</v>
      </c>
      <c r="E645" s="18">
        <f>LN(B645/B644)</f>
        <v>-0.014931728486556972</v>
      </c>
      <c r="F645" s="18">
        <f>LN(C645/C644)</f>
        <v>0.0032252312494486252</v>
      </c>
    </row>
    <row r="646">
      <c r="A646" s="6" t="s">
        <v>1201</v>
      </c>
      <c r="B646" s="14">
        <v>181.4</v>
      </c>
      <c r="C646" s="15">
        <v>2885</v>
      </c>
      <c r="D646" s="14">
        <f>C646/22.0462262</f>
        <v>130.86139885473915</v>
      </c>
      <c r="E646" s="18">
        <f>LN(B646/B645)</f>
        <v>-0.007688121339013401</v>
      </c>
      <c r="F646" s="18">
        <f>LN(C646/C645)</f>
        <v>0.03169279335300039</v>
      </c>
    </row>
    <row r="647">
      <c r="A647" s="6" t="s">
        <v>1202</v>
      </c>
      <c r="B647" s="14">
        <v>184.1</v>
      </c>
      <c r="C647" s="15">
        <v>2932</v>
      </c>
      <c r="D647" s="14">
        <f>C647/22.0462262</f>
        <v>132.99328299552693</v>
      </c>
      <c r="E647" s="18">
        <f>LN(B647/B646)</f>
        <v>0.01477455055799598</v>
      </c>
      <c r="F647" s="18">
        <f>LN(C647/C646)</f>
        <v>0.016159884064342128</v>
      </c>
    </row>
    <row r="648">
      <c r="A648" s="6" t="s">
        <v>1203</v>
      </c>
      <c r="B648" s="14">
        <v>181.15</v>
      </c>
      <c r="C648" s="15">
        <v>2950</v>
      </c>
      <c r="D648" s="14">
        <f>C648/22.0462262</f>
        <v>133.8097492622116</v>
      </c>
      <c r="E648" s="18">
        <f>LN(B648/B647)</f>
        <v>-0.016153670897945824</v>
      </c>
      <c r="F648" s="18">
        <f>LN(C648/C647)</f>
        <v>0.0061203863273234516</v>
      </c>
    </row>
    <row r="649">
      <c r="A649" s="6" t="s">
        <v>1204</v>
      </c>
      <c r="B649" s="14">
        <v>184.05</v>
      </c>
      <c r="C649" s="15">
        <v>2938</v>
      </c>
      <c r="D649" s="14">
        <f>C649/22.0462262</f>
        <v>133.26543841775515</v>
      </c>
      <c r="E649" s="18">
        <f>LN(B649/B648)</f>
        <v>0.01588204248394398</v>
      </c>
      <c r="F649" s="18">
        <f>LN(C649/C648)</f>
        <v>-0.004076092600042942</v>
      </c>
    </row>
    <row r="650">
      <c r="A650" s="6" t="s">
        <v>1205</v>
      </c>
      <c r="B650" s="14">
        <v>180</v>
      </c>
      <c r="C650" s="15">
        <v>2939</v>
      </c>
      <c r="D650" s="14">
        <f>C650/22.0462262</f>
        <v>133.3107976547932</v>
      </c>
      <c r="E650" s="18">
        <f>LN(B650/B649)</f>
        <v>-0.022250608934819806</v>
      </c>
      <c r="F650" s="18">
        <f>LN(C650/C649)</f>
        <v>0.00034030968509481623</v>
      </c>
    </row>
    <row r="651">
      <c r="A651" s="6" t="s">
        <v>1206</v>
      </c>
      <c r="B651" s="14">
        <v>185.25</v>
      </c>
      <c r="C651" s="15">
        <v>3170</v>
      </c>
      <c r="D651" s="14">
        <f>C651/22.0462262</f>
        <v>143.78878141057993</v>
      </c>
      <c r="E651" s="18">
        <f>LN(B651/B650)</f>
        <v>0.028749413285985792</v>
      </c>
      <c r="F651" s="18">
        <f>LN(C651/C650)</f>
        <v>0.07566220045240889</v>
      </c>
    </row>
    <row r="652">
      <c r="A652" s="6" t="s">
        <v>1207</v>
      </c>
      <c r="B652" s="14">
        <v>179.2</v>
      </c>
      <c r="C652" s="15">
        <v>3156</v>
      </c>
      <c r="D652" s="14">
        <f>C652/22.0462262</f>
        <v>143.1537520920474</v>
      </c>
      <c r="E652" s="18">
        <f>LN(B652/B651)</f>
        <v>-0.033203763635366215</v>
      </c>
      <c r="F652" s="18">
        <f>LN(C652/C651)</f>
        <v>-0.004426184905561387</v>
      </c>
    </row>
    <row r="653">
      <c r="A653" s="6" t="s">
        <v>1208</v>
      </c>
      <c r="B653" s="14">
        <v>179.95</v>
      </c>
      <c r="C653" s="15">
        <v>3063</v>
      </c>
      <c r="D653" s="14">
        <f>C653/22.0462262</f>
        <v>138.9353430475099</v>
      </c>
      <c r="E653" s="18">
        <f>LN(B653/B652)</f>
        <v>0.004176533984209546</v>
      </c>
      <c r="F653" s="18">
        <f>LN(C653/C652)</f>
        <v>-0.029910575132989618</v>
      </c>
    </row>
    <row r="654">
      <c r="A654" s="6" t="s">
        <v>1209</v>
      </c>
      <c r="B654" s="14">
        <v>185.15</v>
      </c>
      <c r="C654" s="15">
        <v>3128</v>
      </c>
      <c r="D654" s="14">
        <f>C654/22.0462262</f>
        <v>141.88369345498234</v>
      </c>
      <c r="E654" s="18">
        <f>LN(B654/B653)</f>
        <v>0.028487272834582023</v>
      </c>
      <c r="F654" s="18">
        <f>LN(C654/C653)</f>
        <v>0.020998994832426388</v>
      </c>
    </row>
    <row r="655">
      <c r="A655" s="6" t="s">
        <v>1210</v>
      </c>
      <c r="B655" s="14">
        <v>192.25</v>
      </c>
      <c r="C655" s="15">
        <v>3220</v>
      </c>
      <c r="D655" s="14">
        <f>C655/22.0462262</f>
        <v>146.0567432624818</v>
      </c>
      <c r="E655" s="18">
        <f>LN(B655/B654)</f>
        <v>0.03763030102613165</v>
      </c>
      <c r="F655" s="18">
        <f>LN(C655/C654)</f>
        <v>0.028987536873252187</v>
      </c>
    </row>
    <row r="656">
      <c r="A656" s="6" t="s">
        <v>1211</v>
      </c>
      <c r="B656" s="14">
        <v>192.95</v>
      </c>
      <c r="C656" s="15">
        <v>3182</v>
      </c>
      <c r="D656" s="14">
        <f>C656/22.0462262</f>
        <v>144.33309225503638</v>
      </c>
      <c r="E656" s="18">
        <f>LN(B656/B655)</f>
        <v>0.003634479597874256</v>
      </c>
      <c r="F656" s="18">
        <f>LN(C656/C655)</f>
        <v>-0.011871429640721824</v>
      </c>
    </row>
    <row r="657">
      <c r="A657" s="6" t="s">
        <v>1212</v>
      </c>
      <c r="B657" s="14">
        <v>189.45</v>
      </c>
      <c r="C657" s="15">
        <v>3207</v>
      </c>
      <c r="D657" s="14">
        <f>C657/22.0462262</f>
        <v>145.4670731809873</v>
      </c>
      <c r="E657" s="18">
        <f>LN(B657/B656)</f>
        <v>-0.018305950519017986</v>
      </c>
      <c r="F657" s="18">
        <f>LN(C657/C656)</f>
        <v>0.007825990795422634</v>
      </c>
    </row>
    <row r="658">
      <c r="A658" s="6" t="s">
        <v>1213</v>
      </c>
      <c r="B658" s="14">
        <v>186.95</v>
      </c>
      <c r="C658" s="15">
        <v>3251</v>
      </c>
      <c r="D658" s="14">
        <f>C658/22.0462262</f>
        <v>147.462879610661</v>
      </c>
      <c r="E658" s="18">
        <f>LN(B658/B657)</f>
        <v>-0.01328393604148704</v>
      </c>
      <c r="F658" s="18">
        <f>LN(C658/C657)</f>
        <v>0.013626720610750343</v>
      </c>
    </row>
    <row r="659">
      <c r="A659" s="6" t="s">
        <v>1214</v>
      </c>
      <c r="B659" s="14">
        <v>193.85</v>
      </c>
      <c r="C659" s="15">
        <v>3112</v>
      </c>
      <c r="D659" s="14">
        <f>C659/22.0462262</f>
        <v>141.15794566237372</v>
      </c>
      <c r="E659" s="18">
        <f>LN(B659/B658)</f>
        <v>0.03624346269381549</v>
      </c>
      <c r="F659" s="18">
        <f>LN(C659/C658)</f>
        <v>-0.04369703500562314</v>
      </c>
    </row>
    <row r="660">
      <c r="A660" s="6" t="s">
        <v>1215</v>
      </c>
      <c r="B660" s="14">
        <v>189.25</v>
      </c>
      <c r="C660" s="15">
        <v>3122</v>
      </c>
      <c r="D660" s="14">
        <f>C660/22.0462262</f>
        <v>141.6115380327541</v>
      </c>
      <c r="E660" s="18">
        <f>LN(B660/B659)</f>
        <v>-0.02401577179937995</v>
      </c>
      <c r="F660" s="18">
        <f>LN(C660/C659)</f>
        <v>0.003208215777095156</v>
      </c>
    </row>
    <row r="661">
      <c r="A661" s="6" t="s">
        <v>1216</v>
      </c>
      <c r="B661" s="14">
        <v>194</v>
      </c>
      <c r="C661" s="15">
        <v>3181</v>
      </c>
      <c r="D661" s="14">
        <f>C661/22.0462262</f>
        <v>144.28773301799833</v>
      </c>
      <c r="E661" s="18">
        <f>LN(B661/B660)</f>
        <v>0.02478926674577007</v>
      </c>
      <c r="F661" s="18">
        <f>LN(C661/C660)</f>
        <v>0.018721790673766836</v>
      </c>
    </row>
    <row r="662">
      <c r="A662" s="6" t="s">
        <v>1217</v>
      </c>
      <c r="B662" s="14">
        <v>194.05</v>
      </c>
      <c r="C662" s="15">
        <v>3168</v>
      </c>
      <c r="D662" s="14">
        <f>C662/22.0462262</f>
        <v>143.69806293650385</v>
      </c>
      <c r="E662" s="18">
        <f>LN(B662/B661)</f>
        <v>0.0002576987515871796</v>
      </c>
      <c r="F662" s="18">
        <f>LN(C662/C661)</f>
        <v>-0.0040951388148275985</v>
      </c>
    </row>
    <row r="663">
      <c r="A663" s="6" t="s">
        <v>1218</v>
      </c>
      <c r="B663" s="14">
        <v>194.2</v>
      </c>
      <c r="C663" s="15">
        <v>3151</v>
      </c>
      <c r="D663" s="14">
        <f>C663/22.0462262</f>
        <v>142.92695590685722</v>
      </c>
      <c r="E663" s="18">
        <f>LN(B663/B662)</f>
        <v>0.0007726980423091776</v>
      </c>
      <c r="F663" s="18">
        <f>LN(C663/C662)</f>
        <v>-0.005380611177041909</v>
      </c>
    </row>
    <row r="664">
      <c r="A664" s="6" t="s">
        <v>1219</v>
      </c>
      <c r="B664" s="14">
        <v>191.95</v>
      </c>
      <c r="C664" s="15">
        <v>3116</v>
      </c>
      <c r="D664" s="14">
        <f>C664/22.0462262</f>
        <v>141.3393826105259</v>
      </c>
      <c r="E664" s="18">
        <f>LN(B664/B663)</f>
        <v>-0.011653634410417802</v>
      </c>
      <c r="F664" s="18">
        <f>LN(C664/C663)</f>
        <v>-0.011169734766635754</v>
      </c>
    </row>
    <row r="665">
      <c r="A665" s="6" t="s">
        <v>1220</v>
      </c>
      <c r="B665" s="14">
        <v>189.5</v>
      </c>
      <c r="C665" s="15">
        <v>3068</v>
      </c>
      <c r="D665" s="14">
        <f>C665/22.0462262</f>
        <v>139.16213923270007</v>
      </c>
      <c r="E665" s="18">
        <f>LN(B665/B664)</f>
        <v>-0.012845896924325629</v>
      </c>
      <c r="F665" s="18">
        <f>LN(C665/C664)</f>
        <v>-0.015524244503492116</v>
      </c>
    </row>
    <row r="666">
      <c r="A666" s="6" t="s">
        <v>1221</v>
      </c>
      <c r="B666" s="14">
        <v>188.2</v>
      </c>
      <c r="C666" s="15">
        <v>3096</v>
      </c>
      <c r="D666" s="14">
        <f>C666/22.0462262</f>
        <v>140.43219786976513</v>
      </c>
      <c r="E666" s="18">
        <f>LN(B666/B665)</f>
        <v>-0.0068837973712018085</v>
      </c>
      <c r="F666" s="18">
        <f>LN(C666/C665)</f>
        <v>0.009085072222470836</v>
      </c>
    </row>
    <row r="667">
      <c r="A667" s="6" t="s">
        <v>1222</v>
      </c>
      <c r="B667" s="14">
        <v>190.7</v>
      </c>
      <c r="C667" s="15">
        <v>3115</v>
      </c>
      <c r="D667" s="14">
        <f>C667/22.0462262</f>
        <v>141.29402337348785</v>
      </c>
      <c r="E667" s="18">
        <f>LN(B667/B666)</f>
        <v>0.01319628545509411</v>
      </c>
      <c r="F667" s="18">
        <f>LN(C667/C666)</f>
        <v>0.006118196511935721</v>
      </c>
    </row>
    <row r="668">
      <c r="A668" s="6" t="s">
        <v>1223</v>
      </c>
      <c r="B668" s="14">
        <v>188.8</v>
      </c>
      <c r="C668" s="15">
        <v>3109</v>
      </c>
      <c r="D668" s="14">
        <f>C668/22.0462262</f>
        <v>141.02186795125962</v>
      </c>
      <c r="E668" s="18">
        <f>LN(B668/B667)</f>
        <v>-0.010013258894972916</v>
      </c>
      <c r="F668" s="18">
        <f>LN(C668/C667)</f>
        <v>-0.0019280211627996922</v>
      </c>
    </row>
    <row r="669">
      <c r="A669" s="6" t="s">
        <v>1224</v>
      </c>
      <c r="B669" s="14">
        <v>196.3</v>
      </c>
      <c r="C669" s="15">
        <v>3217</v>
      </c>
      <c r="D669" s="14">
        <f>C669/22.0462262</f>
        <v>145.9206655513677</v>
      </c>
      <c r="E669" s="18">
        <f>LN(B669/B668)</f>
        <v>0.03895584757101504</v>
      </c>
      <c r="F669" s="18">
        <f>LN(C669/C668)</f>
        <v>0.03414811718027245</v>
      </c>
    </row>
    <row r="670">
      <c r="A670" s="6" t="s">
        <v>1225</v>
      </c>
      <c r="B670" s="14">
        <v>195.6</v>
      </c>
      <c r="C670" s="15">
        <v>3192</v>
      </c>
      <c r="D670" s="14">
        <f>C670/22.0462262</f>
        <v>144.78668462541677</v>
      </c>
      <c r="E670" s="18">
        <f>LN(B670/B669)</f>
        <v>-0.0035723436816985504</v>
      </c>
      <c r="F670" s="18">
        <f>LN(C670/C669)</f>
        <v>-0.00780156866932691</v>
      </c>
    </row>
    <row r="671">
      <c r="A671" s="6" t="s">
        <v>1226</v>
      </c>
      <c r="B671" s="14">
        <v>193</v>
      </c>
      <c r="C671" s="15">
        <v>3163</v>
      </c>
      <c r="D671" s="14">
        <f>C671/22.0462262</f>
        <v>143.47126675131366</v>
      </c>
      <c r="E671" s="18">
        <f>LN(B671/B670)</f>
        <v>-0.013381568695831368</v>
      </c>
      <c r="F671" s="18">
        <f>LN(C671/C670)</f>
        <v>-0.009126735264050565</v>
      </c>
    </row>
    <row r="672">
      <c r="A672" s="6" t="s">
        <v>1227</v>
      </c>
      <c r="B672" s="14">
        <v>187.05</v>
      </c>
      <c r="C672" s="15">
        <v>3090</v>
      </c>
      <c r="D672" s="14">
        <f>C672/22.0462262</f>
        <v>140.1600424475369</v>
      </c>
      <c r="E672" s="18">
        <f>LN(B672/B671)</f>
        <v>-0.031314228110730334</v>
      </c>
      <c r="F672" s="18">
        <f>LN(C672/C671)</f>
        <v>-0.023349853413857688</v>
      </c>
    </row>
    <row r="673">
      <c r="A673" s="6" t="s">
        <v>1228</v>
      </c>
      <c r="B673" s="14">
        <v>189.3</v>
      </c>
      <c r="C673" s="15">
        <v>3108</v>
      </c>
      <c r="D673" s="14">
        <f>C673/22.0462262</f>
        <v>140.97650871422158</v>
      </c>
      <c r="E673" s="18">
        <f>LN(B673/B672)</f>
        <v>0.01195709742112203</v>
      </c>
      <c r="F673" s="18">
        <f>LN(C673/C672)</f>
        <v>0.005808341595746955</v>
      </c>
    </row>
    <row r="674">
      <c r="A674" s="6" t="s">
        <v>1229</v>
      </c>
      <c r="B674" s="14">
        <v>190.85</v>
      </c>
      <c r="C674" s="15">
        <v>3141</v>
      </c>
      <c r="D674" s="14">
        <f>C674/22.0462262</f>
        <v>142.47336353647682</v>
      </c>
      <c r="E674" s="18">
        <f>LN(B674/B673)</f>
        <v>0.008154720975961495</v>
      </c>
      <c r="F674" s="18">
        <f>LN(C674/C673)</f>
        <v>0.010561788051108521</v>
      </c>
    </row>
    <row r="675">
      <c r="A675" s="6" t="s">
        <v>1230</v>
      </c>
      <c r="B675" s="14">
        <v>191.6</v>
      </c>
      <c r="C675" s="15">
        <v>3146</v>
      </c>
      <c r="D675" s="14">
        <f>C675/22.0462262</f>
        <v>142.700159721667</v>
      </c>
      <c r="E675" s="18">
        <f>LN(B675/B674)</f>
        <v>0.003922086345521415</v>
      </c>
      <c r="F675" s="18">
        <f>LN(C675/C674)</f>
        <v>0.001590584079576683</v>
      </c>
    </row>
    <row r="676">
      <c r="A676" s="6" t="s">
        <v>1231</v>
      </c>
      <c r="B676" s="14">
        <v>198.35</v>
      </c>
      <c r="C676" s="15">
        <v>3177</v>
      </c>
      <c r="D676" s="14">
        <f>C676/22.0462262</f>
        <v>144.1062960698462</v>
      </c>
      <c r="E676" s="18">
        <f>LN(B676/B675)</f>
        <v>0.034623281423579025</v>
      </c>
      <c r="F676" s="18">
        <f>LN(C676/C675)</f>
        <v>0.009805550651293111</v>
      </c>
    </row>
    <row r="677">
      <c r="A677" s="6" t="s">
        <v>1232</v>
      </c>
      <c r="B677" s="14">
        <v>193.85</v>
      </c>
      <c r="C677" s="15">
        <v>3113</v>
      </c>
      <c r="D677" s="14">
        <f>C677/22.0462262</f>
        <v>141.20330489941176</v>
      </c>
      <c r="E677" s="18">
        <f>LN(B677/B676)</f>
        <v>-0.022948482843401043</v>
      </c>
      <c r="F677" s="18">
        <f>LN(C677/C676)</f>
        <v>-0.02035046382790799</v>
      </c>
    </row>
    <row r="678">
      <c r="A678" s="6" t="s">
        <v>1233</v>
      </c>
      <c r="B678" s="14">
        <v>191</v>
      </c>
      <c r="C678" s="15">
        <v>3030</v>
      </c>
      <c r="D678" s="14">
        <f>C678/22.0462262</f>
        <v>137.43848822525462</v>
      </c>
      <c r="E678" s="18">
        <f>LN(B678/B677)</f>
        <v>-0.014811236070308207</v>
      </c>
      <c r="F678" s="18">
        <f>LN(C678/C677)</f>
        <v>-0.02702427193819332</v>
      </c>
    </row>
    <row r="679">
      <c r="A679" s="6" t="s">
        <v>1234</v>
      </c>
      <c r="B679" s="14">
        <v>190.1</v>
      </c>
      <c r="C679" s="15">
        <v>3020</v>
      </c>
      <c r="D679" s="14">
        <f>C679/22.0462262</f>
        <v>136.98489585487425</v>
      </c>
      <c r="E679" s="18">
        <f>LN(B679/B678)</f>
        <v>-0.004723178552246417</v>
      </c>
      <c r="F679" s="18">
        <f>LN(C679/C678)</f>
        <v>-0.003305788134499544</v>
      </c>
    </row>
    <row r="680">
      <c r="A680" s="6" t="s">
        <v>1235</v>
      </c>
      <c r="B680" s="14">
        <v>194.05</v>
      </c>
      <c r="C680" s="15">
        <v>3077</v>
      </c>
      <c r="D680" s="14">
        <f>C680/22.0462262</f>
        <v>139.5703723660424</v>
      </c>
      <c r="E680" s="18">
        <f>LN(B680/B679)</f>
        <v>0.02056560832053184</v>
      </c>
      <c r="F680" s="18">
        <f>LN(C680/C679)</f>
        <v>0.01869826495312646</v>
      </c>
    </row>
    <row r="681">
      <c r="A681" s="6" t="s">
        <v>1236</v>
      </c>
      <c r="B681" s="14">
        <v>193.35</v>
      </c>
      <c r="C681" s="15">
        <v>3044</v>
      </c>
      <c r="D681" s="14">
        <f>C681/22.0462262</f>
        <v>138.07351754378715</v>
      </c>
      <c r="E681" s="18">
        <f>LN(B681/B680)</f>
        <v>-0.003613839761609303</v>
      </c>
      <c r="F681" s="18">
        <f>LN(C681/C680)</f>
        <v>-0.01078265634046539</v>
      </c>
    </row>
    <row r="682">
      <c r="A682" s="6" t="s">
        <v>1237</v>
      </c>
      <c r="B682" s="14">
        <v>195.85</v>
      </c>
      <c r="C682" s="15">
        <v>3095</v>
      </c>
      <c r="D682" s="14">
        <f>C682/22.0462262</f>
        <v>140.3868386327271</v>
      </c>
      <c r="E682" s="18">
        <f>LN(B682/B681)</f>
        <v>0.012847042058534184</v>
      </c>
      <c r="F682" s="18">
        <f>LN(C682/C681)</f>
        <v>0.01661546613712006</v>
      </c>
    </row>
    <row r="683">
      <c r="A683" s="6" t="s">
        <v>1238</v>
      </c>
      <c r="B683" s="14">
        <v>193.8</v>
      </c>
      <c r="C683" s="15">
        <v>3143</v>
      </c>
      <c r="D683" s="14">
        <f>C683/22.0462262</f>
        <v>142.5640820105529</v>
      </c>
      <c r="E683" s="18">
        <f>LN(B683/B682)</f>
        <v>-0.010522360655174383</v>
      </c>
      <c r="F683" s="18">
        <f>LN(C683/C682)</f>
        <v>0.015389851678871157</v>
      </c>
    </row>
    <row r="684">
      <c r="A684" s="6" t="s">
        <v>1239</v>
      </c>
      <c r="B684" s="14">
        <v>197.4</v>
      </c>
      <c r="C684" s="15">
        <v>3189</v>
      </c>
      <c r="D684" s="14">
        <f>C684/22.0462262</f>
        <v>144.65060691430264</v>
      </c>
      <c r="E684" s="18">
        <f>LN(B684/B683)</f>
        <v>0.018405427542715343</v>
      </c>
      <c r="F684" s="18">
        <f>LN(C684/C683)</f>
        <v>0.014529630212490109</v>
      </c>
    </row>
    <row r="685">
      <c r="A685" s="6" t="s">
        <v>1240</v>
      </c>
      <c r="B685" s="14">
        <v>195</v>
      </c>
      <c r="C685" s="15">
        <v>3180</v>
      </c>
      <c r="D685" s="14">
        <f>C685/22.0462262</f>
        <v>144.2423737809603</v>
      </c>
      <c r="E685" s="18">
        <f>LN(B685/B684)</f>
        <v>-0.012232568435634408</v>
      </c>
      <c r="F685" s="18">
        <f>LN(C685/C684)</f>
        <v>-0.0028261912358350815</v>
      </c>
    </row>
    <row r="686">
      <c r="A686" s="6" t="s">
        <v>1241</v>
      </c>
      <c r="B686" s="14">
        <v>194.45</v>
      </c>
      <c r="C686" s="15">
        <v>3309</v>
      </c>
      <c r="D686" s="14">
        <f>C686/22.0462262</f>
        <v>150.09371535886717</v>
      </c>
      <c r="E686" s="18">
        <f>LN(B686/B685)</f>
        <v>-0.002824497961990566</v>
      </c>
      <c r="F686" s="18">
        <f>LN(C686/C685)</f>
        <v>0.03976483214738958</v>
      </c>
    </row>
    <row r="687">
      <c r="A687" s="6" t="s">
        <v>1242</v>
      </c>
      <c r="B687" s="14">
        <v>198.35</v>
      </c>
      <c r="C687" s="15">
        <v>3381</v>
      </c>
      <c r="D687" s="14">
        <f>C687/22.0462262</f>
        <v>153.3595804256059</v>
      </c>
      <c r="E687" s="18">
        <f>LN(B687/B686)</f>
        <v>0.019858086358582976</v>
      </c>
      <c r="F687" s="18">
        <f>LN(C687/C686)</f>
        <v>0.02152549478627375</v>
      </c>
    </row>
    <row r="688">
      <c r="A688" s="6" t="s">
        <v>1243</v>
      </c>
      <c r="B688" s="14">
        <v>191.4</v>
      </c>
      <c r="C688" s="15">
        <v>3297</v>
      </c>
      <c r="D688" s="14">
        <f>C688/22.0462262</f>
        <v>149.54940451441072</v>
      </c>
      <c r="E688" s="18">
        <f>LN(B688/B687)</f>
        <v>-0.03566766794148519</v>
      </c>
      <c r="F688" s="18">
        <f>LN(C688/C687)</f>
        <v>-0.025158559636154987</v>
      </c>
    </row>
    <row r="689">
      <c r="A689" s="6" t="s">
        <v>1244</v>
      </c>
      <c r="B689" s="14">
        <v>194.35</v>
      </c>
      <c r="C689" s="15">
        <v>3279</v>
      </c>
      <c r="D689" s="14">
        <f>C689/22.0462262</f>
        <v>148.73293824772605</v>
      </c>
      <c r="E689" s="18">
        <f>LN(B689/B688)</f>
        <v>0.01529517827937826</v>
      </c>
      <c r="F689" s="18">
        <f>LN(C689/C688)</f>
        <v>-0.005474466227082848</v>
      </c>
    </row>
    <row r="690">
      <c r="A690" s="6" t="s">
        <v>1245</v>
      </c>
      <c r="B690" s="14">
        <v>195.4</v>
      </c>
      <c r="C690" s="15">
        <v>3307</v>
      </c>
      <c r="D690" s="14">
        <f>C690/22.0462262</f>
        <v>150.00299688479112</v>
      </c>
      <c r="E690" s="18">
        <f>LN(B690/B689)</f>
        <v>0.005388082310450176</v>
      </c>
      <c r="F690" s="18">
        <f>LN(C690/C689)</f>
        <v>0.008502936137144626</v>
      </c>
    </row>
    <row r="691">
      <c r="A691" s="6" t="s">
        <v>1246</v>
      </c>
      <c r="B691" s="14">
        <v>191.65</v>
      </c>
      <c r="C691" s="15">
        <v>3260</v>
      </c>
      <c r="D691" s="14">
        <f>C691/22.0462262</f>
        <v>147.87111274400334</v>
      </c>
      <c r="E691" s="18">
        <f>LN(B691/B690)</f>
        <v>-0.01937794778211824</v>
      </c>
      <c r="F691" s="18">
        <f>LN(C691/C690)</f>
        <v>-0.014314238621039439</v>
      </c>
    </row>
    <row r="692">
      <c r="A692" s="6" t="s">
        <v>1247</v>
      </c>
      <c r="B692" s="14">
        <v>191.35</v>
      </c>
      <c r="C692" s="15">
        <v>3277</v>
      </c>
      <c r="D692" s="14">
        <f>C692/22.0462262</f>
        <v>148.64221977364997</v>
      </c>
      <c r="E692" s="18">
        <f>LN(B692/B691)</f>
        <v>-0.001566579954852933</v>
      </c>
      <c r="F692" s="18">
        <f>LN(C692/C691)</f>
        <v>0.005201174338061349</v>
      </c>
    </row>
    <row r="693">
      <c r="A693" s="6" t="s">
        <v>1248</v>
      </c>
      <c r="B693" s="14">
        <v>182.85</v>
      </c>
      <c r="C693" s="15">
        <v>3308</v>
      </c>
      <c r="D693" s="14">
        <f>C693/22.0462262</f>
        <v>150.04835612182913</v>
      </c>
      <c r="E693" s="18">
        <f>LN(B693/B692)</f>
        <v>-0.045438067276321055</v>
      </c>
      <c r="F693" s="18">
        <f>LN(C693/C692)</f>
        <v>0.009415407444767269</v>
      </c>
    </row>
    <row r="694">
      <c r="A694" s="6" t="s">
        <v>1249</v>
      </c>
      <c r="B694" s="14">
        <v>181.85</v>
      </c>
      <c r="C694" s="15">
        <v>3343</v>
      </c>
      <c r="D694" s="14">
        <f>C694/22.0462262</f>
        <v>151.63592941816046</v>
      </c>
      <c r="E694" s="18">
        <f>LN(B694/B693)</f>
        <v>-0.0054839731623921514</v>
      </c>
      <c r="F694" s="18">
        <f>LN(C694/C693)</f>
        <v>0.010524830276516784</v>
      </c>
    </row>
    <row r="695">
      <c r="A695" s="6" t="s">
        <v>1250</v>
      </c>
      <c r="B695" s="14">
        <v>183.05</v>
      </c>
      <c r="C695" s="15">
        <v>3354</v>
      </c>
      <c r="D695" s="14">
        <f>C695/22.0462262</f>
        <v>152.1348810255789</v>
      </c>
      <c r="E695" s="18">
        <f>LN(B695/B694)</f>
        <v>0.0065771681332472895</v>
      </c>
      <c r="F695" s="18">
        <f>LN(C695/C694)</f>
        <v>0.0032850559630555705</v>
      </c>
    </row>
    <row r="696">
      <c r="A696" s="6" t="s">
        <v>1251</v>
      </c>
      <c r="B696" s="14">
        <v>182.4</v>
      </c>
      <c r="C696" s="15">
        <v>3315</v>
      </c>
      <c r="D696" s="14">
        <f>C696/22.0462262</f>
        <v>150.3658707810954</v>
      </c>
      <c r="E696" s="18">
        <f>LN(B696/B695)</f>
        <v>-0.003557261926014214</v>
      </c>
      <c r="F696" s="18">
        <f>LN(C696/C695)</f>
        <v>-0.011696039763191298</v>
      </c>
    </row>
    <row r="697">
      <c r="A697" s="6" t="s">
        <v>1252</v>
      </c>
      <c r="B697" s="14">
        <v>185.7</v>
      </c>
      <c r="C697" s="15">
        <v>3385</v>
      </c>
      <c r="D697" s="14">
        <f>C697/22.0462262</f>
        <v>153.54101737375805</v>
      </c>
      <c r="E697" s="18">
        <f>LN(B697/B696)</f>
        <v>0.017930390718428946</v>
      </c>
      <c r="F697" s="18">
        <f>LN(C697/C696)</f>
        <v>0.02089628272641241</v>
      </c>
    </row>
    <row r="698">
      <c r="A698" s="6" t="s">
        <v>1253</v>
      </c>
      <c r="B698" s="14">
        <v>184.85</v>
      </c>
      <c r="C698" s="15">
        <v>3358</v>
      </c>
      <c r="D698" s="14">
        <f>C698/22.0462262</f>
        <v>152.31631797373103</v>
      </c>
      <c r="E698" s="18">
        <f>LN(B698/B697)</f>
        <v>-0.004587782976019111</v>
      </c>
      <c r="F698" s="18">
        <f>LN(C698/C697)</f>
        <v>-0.008008347708889196</v>
      </c>
    </row>
    <row r="699">
      <c r="A699" s="6" t="s">
        <v>1254</v>
      </c>
      <c r="B699" s="14">
        <v>185.65</v>
      </c>
      <c r="C699" s="15">
        <v>3326</v>
      </c>
      <c r="D699" s="14">
        <f>C699/22.0462262</f>
        <v>150.86482238851383</v>
      </c>
      <c r="E699" s="18">
        <f>LN(B699/B698)</f>
        <v>0.00431849524044815</v>
      </c>
      <c r="F699" s="18">
        <f>LN(C699/C698)</f>
        <v>-0.009575177884613149</v>
      </c>
    </row>
    <row r="700">
      <c r="A700" s="6" t="s">
        <v>1255</v>
      </c>
      <c r="B700" s="14">
        <v>188.05</v>
      </c>
      <c r="C700" s="15">
        <v>3375</v>
      </c>
      <c r="D700" s="14">
        <f>C700/22.0462262</f>
        <v>153.0874250033777</v>
      </c>
      <c r="E700" s="18">
        <f>LN(B700/B699)</f>
        <v>0.01284470429325642</v>
      </c>
      <c r="F700" s="18">
        <f>LN(C700/C699)</f>
        <v>0.014624943553757291</v>
      </c>
    </row>
    <row r="701">
      <c r="A701" s="6" t="s">
        <v>1256</v>
      </c>
      <c r="B701" s="14">
        <v>190.65</v>
      </c>
      <c r="C701" s="15">
        <v>3467</v>
      </c>
      <c r="D701" s="14">
        <f>C701/22.0462262</f>
        <v>157.26047481087716</v>
      </c>
      <c r="E701" s="18">
        <f>LN(B701/B700)</f>
        <v>0.0137314013872273</v>
      </c>
      <c r="F701" s="18">
        <f>LN(C701/C700)</f>
        <v>0.02689434237839329</v>
      </c>
    </row>
    <row r="702">
      <c r="A702" s="6" t="s">
        <v>1257</v>
      </c>
      <c r="B702" s="14">
        <v>188.85</v>
      </c>
      <c r="C702" s="15">
        <v>3396</v>
      </c>
      <c r="D702" s="14">
        <f>C702/22.0462262</f>
        <v>154.0399689811765</v>
      </c>
      <c r="E702" s="18">
        <f>LN(B702/B701)</f>
        <v>-0.009486237145106957</v>
      </c>
      <c r="F702" s="18">
        <f>LN(C702/C701)</f>
        <v>-0.020691398253785482</v>
      </c>
    </row>
    <row r="703">
      <c r="A703" s="6" t="s">
        <v>1258</v>
      </c>
      <c r="B703" s="14">
        <v>197.75</v>
      </c>
      <c r="C703" s="15">
        <v>3580</v>
      </c>
      <c r="D703" s="14">
        <f>C703/22.0462262</f>
        <v>162.38606859617542</v>
      </c>
      <c r="E703" s="18">
        <f>LN(B703/B702)</f>
        <v>0.046050557489297414</v>
      </c>
      <c r="F703" s="18">
        <f>LN(C703/C702)</f>
        <v>0.052764531963508</v>
      </c>
    </row>
    <row r="704">
      <c r="A704" s="6" t="s">
        <v>1259</v>
      </c>
      <c r="B704" s="14">
        <v>203.6</v>
      </c>
      <c r="C704" s="15">
        <v>3727</v>
      </c>
      <c r="D704" s="14">
        <f>C704/22.0462262</f>
        <v>169.053876440767</v>
      </c>
      <c r="E704" s="18">
        <f>LN(B704/B703)</f>
        <v>0.029153678028604364</v>
      </c>
      <c r="F704" s="18">
        <f>LN(C704/C703)</f>
        <v>0.04024082008451248</v>
      </c>
    </row>
    <row r="705">
      <c r="A705" s="6" t="s">
        <v>1260</v>
      </c>
      <c r="B705" s="14">
        <v>206.75</v>
      </c>
      <c r="C705" s="15">
        <v>3698</v>
      </c>
      <c r="D705" s="14">
        <f>C705/22.0462262</f>
        <v>167.7384585666639</v>
      </c>
      <c r="E705" s="18">
        <f>LN(B705/B704)</f>
        <v>0.015353049227432969</v>
      </c>
      <c r="F705" s="18">
        <f>LN(C705/C704)</f>
        <v>-0.00781148753218829</v>
      </c>
    </row>
    <row r="706">
      <c r="A706" s="6" t="s">
        <v>1261</v>
      </c>
      <c r="B706" s="14">
        <v>212.5</v>
      </c>
      <c r="C706" s="15">
        <v>3679</v>
      </c>
      <c r="D706" s="14">
        <f>C706/22.0462262</f>
        <v>166.87663306294118</v>
      </c>
      <c r="E706" s="18">
        <f>LN(B706/B705)</f>
        <v>0.02743165446067076</v>
      </c>
      <c r="F706" s="18">
        <f>LN(C706/C705)</f>
        <v>-0.005151156842295779</v>
      </c>
    </row>
    <row r="707">
      <c r="A707" s="6" t="s">
        <v>1262</v>
      </c>
      <c r="B707" s="14">
        <v>211.1</v>
      </c>
      <c r="C707" s="15">
        <v>3683</v>
      </c>
      <c r="D707" s="14">
        <f>C707/22.0462262</f>
        <v>167.05807001109332</v>
      </c>
      <c r="E707" s="18">
        <f>LN(B707/B706)</f>
        <v>-0.00661003351019662</v>
      </c>
      <c r="F707" s="18">
        <f>LN(C707/C706)</f>
        <v>0.0010866613402909303</v>
      </c>
    </row>
    <row r="708">
      <c r="A708" s="6" t="s">
        <v>1263</v>
      </c>
      <c r="B708" s="14">
        <v>213.55</v>
      </c>
      <c r="C708" s="15">
        <v>3673</v>
      </c>
      <c r="D708" s="14">
        <f>C708/22.0462262</f>
        <v>166.60447764071296</v>
      </c>
      <c r="E708" s="18">
        <f>LN(B708/B707)</f>
        <v>0.011539042433200714</v>
      </c>
      <c r="F708" s="18">
        <f>LN(C708/C707)</f>
        <v>-0.0027188706253979617</v>
      </c>
    </row>
    <row r="709">
      <c r="A709" s="6" t="s">
        <v>1264</v>
      </c>
      <c r="B709" s="14">
        <v>214.65</v>
      </c>
      <c r="C709" s="15">
        <v>3715</v>
      </c>
      <c r="D709" s="14">
        <f>C709/22.0462262</f>
        <v>168.50956559631055</v>
      </c>
      <c r="E709" s="18">
        <f>LN(B709/B708)</f>
        <v>0.0051377973830940326</v>
      </c>
      <c r="F709" s="18">
        <f>LN(C709/C708)</f>
        <v>0.01136991133219221</v>
      </c>
    </row>
    <row r="710">
      <c r="A710" s="6" t="s">
        <v>1265</v>
      </c>
      <c r="B710" s="14">
        <v>220.35</v>
      </c>
      <c r="C710" s="15">
        <v>3790</v>
      </c>
      <c r="D710" s="14">
        <f>C710/22.0462262</f>
        <v>171.9115083741634</v>
      </c>
      <c r="E710" s="18">
        <f>LN(B710/B709)</f>
        <v>0.02620839661742627</v>
      </c>
      <c r="F710" s="18">
        <f>LN(C710/C709)</f>
        <v>0.019987340924612497</v>
      </c>
    </row>
    <row r="711">
      <c r="A711" s="6" t="s">
        <v>1266</v>
      </c>
      <c r="B711" s="14">
        <v>224.65</v>
      </c>
      <c r="C711" s="15">
        <v>3852</v>
      </c>
      <c r="D711" s="14">
        <f>C711/22.0462262</f>
        <v>174.7237810705217</v>
      </c>
      <c r="E711" s="18">
        <f>LN(B711/B710)</f>
        <v>0.01932644422817302</v>
      </c>
      <c r="F711" s="18">
        <f>LN(C711/C710)</f>
        <v>0.01622647484154413</v>
      </c>
    </row>
    <row r="712">
      <c r="A712" s="6" t="s">
        <v>1267</v>
      </c>
      <c r="B712" s="14">
        <v>231.55</v>
      </c>
      <c r="C712" s="15">
        <v>3949</v>
      </c>
      <c r="D712" s="14">
        <f>C712/22.0462262</f>
        <v>179.1236270632114</v>
      </c>
      <c r="E712" s="18">
        <f>LN(B712/B711)</f>
        <v>0.03025219741059197</v>
      </c>
      <c r="F712" s="18">
        <f>LN(C712/C711)</f>
        <v>0.024869888368633235</v>
      </c>
    </row>
    <row r="713">
      <c r="A713" s="6" t="s">
        <v>1268</v>
      </c>
      <c r="B713" s="14">
        <v>236.75</v>
      </c>
      <c r="C713" s="15">
        <v>3977</v>
      </c>
      <c r="D713" s="14">
        <f>C713/22.0462262</f>
        <v>180.39368570027645</v>
      </c>
      <c r="E713" s="18">
        <f>LN(B713/B712)</f>
        <v>0.022208899139426613</v>
      </c>
      <c r="F713" s="18">
        <f>LN(C713/C712)</f>
        <v>0.007065383921041162</v>
      </c>
    </row>
    <row r="714">
      <c r="A714" s="6" t="s">
        <v>1269</v>
      </c>
      <c r="B714" s="14">
        <v>247.95</v>
      </c>
      <c r="C714" s="15">
        <v>4195</v>
      </c>
      <c r="D714" s="14">
        <f>C714/22.0462262</f>
        <v>190.2819993745687</v>
      </c>
      <c r="E714" s="18">
        <f>LN(B714/B713)</f>
        <v>0.04622238086895525</v>
      </c>
      <c r="F714" s="18">
        <f>LN(C714/C713)</f>
        <v>0.0533655736936159</v>
      </c>
    </row>
    <row r="715">
      <c r="A715" s="6" t="s">
        <v>1270</v>
      </c>
      <c r="B715" s="14">
        <v>239.85</v>
      </c>
      <c r="C715" s="15">
        <v>4062</v>
      </c>
      <c r="D715" s="14">
        <f>C715/22.0462262</f>
        <v>184.24922084850968</v>
      </c>
      <c r="E715" s="18">
        <f>LN(B715/B714)</f>
        <v>-0.0332133849870699</v>
      </c>
      <c r="F715" s="18">
        <f>LN(C715/C714)</f>
        <v>-0.03221787676097653</v>
      </c>
    </row>
    <row r="716">
      <c r="A716" s="6" t="s">
        <v>1271</v>
      </c>
      <c r="B716" s="14">
        <v>241.4</v>
      </c>
      <c r="C716" s="15">
        <v>4080</v>
      </c>
      <c r="D716" s="14">
        <f>C716/22.0462262</f>
        <v>185.06568711519435</v>
      </c>
      <c r="E716" s="18">
        <f>LN(B716/B715)</f>
        <v>0.006441580715358207</v>
      </c>
      <c r="F716" s="18">
        <f>LN(C716/C715)</f>
        <v>0.004421525257877477</v>
      </c>
    </row>
    <row r="717">
      <c r="A717" s="6" t="s">
        <v>1272</v>
      </c>
      <c r="B717" s="14">
        <v>231.65</v>
      </c>
      <c r="C717" s="15">
        <v>4133</v>
      </c>
      <c r="D717" s="14">
        <f>C717/22.0462262</f>
        <v>187.46972667821035</v>
      </c>
      <c r="E717" s="18">
        <f>LN(B717/B716)</f>
        <v>-0.041227696800773796</v>
      </c>
      <c r="F717" s="18">
        <f>LN(C717/C716)</f>
        <v>0.01290654711352493</v>
      </c>
    </row>
    <row r="718">
      <c r="A718" s="6" t="s">
        <v>1273</v>
      </c>
      <c r="B718" s="14">
        <v>224.5</v>
      </c>
      <c r="C718" s="15">
        <v>4117</v>
      </c>
      <c r="D718" s="14">
        <f>C718/22.0462262</f>
        <v>186.74397888560176</v>
      </c>
      <c r="E718" s="18">
        <f>LN(B718/B717)</f>
        <v>-0.03135190468034836</v>
      </c>
      <c r="F718" s="18">
        <f>LN(C718/C717)</f>
        <v>-0.003878792741827688</v>
      </c>
    </row>
    <row r="719">
      <c r="A719" s="6" t="s">
        <v>1274</v>
      </c>
      <c r="B719" s="14">
        <v>228.45</v>
      </c>
      <c r="C719" s="15">
        <v>4266</v>
      </c>
      <c r="D719" s="14">
        <f>C719/22.0462262</f>
        <v>193.5025052042694</v>
      </c>
      <c r="E719" s="18">
        <f>LN(B719/B718)</f>
        <v>0.017441660826971524</v>
      </c>
      <c r="F719" s="18">
        <f>LN(C719/C718)</f>
        <v>0.035551877261391265</v>
      </c>
    </row>
    <row r="720">
      <c r="A720" s="6" t="s">
        <v>1275</v>
      </c>
      <c r="B720" s="14">
        <v>231.95</v>
      </c>
      <c r="C720" s="15">
        <v>4304</v>
      </c>
      <c r="D720" s="14">
        <f>C720/22.0462262</f>
        <v>195.22615621171482</v>
      </c>
      <c r="E720" s="18">
        <f>LN(B720/B719)</f>
        <v>0.015204463188472066</v>
      </c>
      <c r="F720" s="18">
        <f>LN(C720/C719)</f>
        <v>0.008868202810324383</v>
      </c>
    </row>
    <row r="721">
      <c r="A721" s="6" t="s">
        <v>1276</v>
      </c>
      <c r="B721" s="14">
        <v>230.6</v>
      </c>
      <c r="C721" s="15">
        <v>4151</v>
      </c>
      <c r="D721" s="14">
        <f>C721/22.0462262</f>
        <v>188.28619294489505</v>
      </c>
      <c r="E721" s="18">
        <f>LN(B721/B720)</f>
        <v>-0.005837223362794029</v>
      </c>
      <c r="F721" s="18">
        <f>LN(C721/C720)</f>
        <v>-0.03619555378858164</v>
      </c>
    </row>
    <row r="722">
      <c r="A722" s="6" t="s">
        <v>1277</v>
      </c>
      <c r="B722" s="14">
        <v>233.55</v>
      </c>
      <c r="C722" s="15">
        <v>4164</v>
      </c>
      <c r="D722" s="14">
        <f>C722/22.0462262</f>
        <v>188.87586302638954</v>
      </c>
      <c r="E722" s="18">
        <f>LN(B722/B721)</f>
        <v>0.01271157911315854</v>
      </c>
      <c r="F722" s="18">
        <f>LN(C722/C721)</f>
        <v>0.0031268816818206904</v>
      </c>
    </row>
    <row r="723">
      <c r="A723" s="6" t="s">
        <v>1278</v>
      </c>
      <c r="B723" s="14">
        <v>220.65</v>
      </c>
      <c r="C723" s="15">
        <v>4021</v>
      </c>
      <c r="D723" s="14">
        <f>C723/22.0462262</f>
        <v>182.38949212995013</v>
      </c>
      <c r="E723" s="18">
        <f>LN(B723/B722)</f>
        <v>-0.056818451232560796</v>
      </c>
      <c r="F723" s="18">
        <f>LN(C723/C722)</f>
        <v>-0.03494552283758543</v>
      </c>
    </row>
    <row r="724">
      <c r="A724" s="6" t="s">
        <v>1279</v>
      </c>
      <c r="B724" s="14">
        <v>219.05</v>
      </c>
      <c r="C724" s="15">
        <v>3978</v>
      </c>
      <c r="D724" s="14">
        <f>C724/22.0462262</f>
        <v>180.4390449373145</v>
      </c>
      <c r="E724" s="18">
        <f>LN(B724/B723)</f>
        <v>-0.007277721455648667</v>
      </c>
      <c r="F724" s="18">
        <f>LN(C724/C723)</f>
        <v>-0.01075144748335646</v>
      </c>
    </row>
    <row r="725">
      <c r="A725" s="6" t="s">
        <v>1280</v>
      </c>
      <c r="B725" s="14">
        <v>208.65</v>
      </c>
      <c r="C725" s="15">
        <v>3680</v>
      </c>
      <c r="D725" s="14">
        <f>C725/22.0462262</f>
        <v>166.92199229997922</v>
      </c>
      <c r="E725" s="18">
        <f>LN(B725/B724)</f>
        <v>-0.04864180722234583</v>
      </c>
      <c r="F725" s="18">
        <f>LN(C725/C724)</f>
        <v>-0.07786642825094085</v>
      </c>
    </row>
    <row r="726">
      <c r="A726" s="6" t="s">
        <v>1281</v>
      </c>
      <c r="B726" s="14">
        <v>205.9</v>
      </c>
      <c r="C726" s="15">
        <v>3541</v>
      </c>
      <c r="D726" s="14">
        <f>C726/22.0462262</f>
        <v>160.61705835169195</v>
      </c>
      <c r="E726" s="18">
        <f>LN(B726/B725)</f>
        <v>-0.013267593003817862</v>
      </c>
      <c r="F726" s="18">
        <f>LN(C726/C725)</f>
        <v>-0.03850357905107284</v>
      </c>
    </row>
    <row r="727">
      <c r="A727" s="6" t="s">
        <v>1282</v>
      </c>
      <c r="B727" s="14">
        <v>199</v>
      </c>
      <c r="C727" s="15">
        <v>3378</v>
      </c>
      <c r="D727" s="14">
        <f>C727/22.0462262</f>
        <v>153.2235027144918</v>
      </c>
      <c r="E727" s="18">
        <f>LN(B727/B726)</f>
        <v>-0.03408578930925137</v>
      </c>
      <c r="F727" s="18">
        <f>LN(C727/C726)</f>
        <v>-0.0471253547441583</v>
      </c>
    </row>
    <row r="728">
      <c r="A728" s="6" t="s">
        <v>1283</v>
      </c>
      <c r="B728" s="14">
        <v>200.25</v>
      </c>
      <c r="C728" s="15">
        <v>3414</v>
      </c>
      <c r="D728" s="14">
        <f>C728/22.0462262</f>
        <v>154.85643524786116</v>
      </c>
      <c r="E728" s="18">
        <f>LN(B728/B727)</f>
        <v>0.006261761223976317</v>
      </c>
      <c r="F728" s="18">
        <f>LN(C728/C727)</f>
        <v>0.010600805986640548</v>
      </c>
    </row>
    <row r="729">
      <c r="A729" s="6" t="s">
        <v>1284</v>
      </c>
      <c r="B729" s="14">
        <v>203.7</v>
      </c>
      <c r="C729" s="15">
        <v>3439</v>
      </c>
      <c r="D729" s="14">
        <f>C729/22.0462262</f>
        <v>155.9904161738121</v>
      </c>
      <c r="E729" s="18">
        <f>LN(B729/B728)</f>
        <v>0.017081737284291444</v>
      </c>
      <c r="F729" s="18">
        <f>LN(C729/C728)</f>
        <v>0.007296107077880178</v>
      </c>
    </row>
    <row r="730">
      <c r="A730" s="6" t="s">
        <v>1285</v>
      </c>
      <c r="B730" s="14">
        <v>204.4</v>
      </c>
      <c r="C730" s="15">
        <v>3440</v>
      </c>
      <c r="D730" s="14">
        <f>C730/22.0462262</f>
        <v>156.03577541085014</v>
      </c>
      <c r="E730" s="18">
        <f>LN(B730/B729)</f>
        <v>0.0034305350967892222</v>
      </c>
      <c r="F730" s="18">
        <f>LN(C730/C729)</f>
        <v>0.00029073993517786905</v>
      </c>
    </row>
    <row r="731">
      <c r="A731" s="6" t="s">
        <v>1286</v>
      </c>
      <c r="B731" s="14">
        <v>200.4</v>
      </c>
      <c r="C731" s="15">
        <v>3399</v>
      </c>
      <c r="D731" s="14">
        <f>C731/22.0462262</f>
        <v>154.17604669229058</v>
      </c>
      <c r="E731" s="18">
        <f>LN(B731/B730)</f>
        <v>-0.019763489118839635</v>
      </c>
      <c r="F731" s="18">
        <f>LN(C731/C730)</f>
        <v>-0.011990200671328029</v>
      </c>
    </row>
    <row r="732">
      <c r="A732" s="6" t="s">
        <v>1287</v>
      </c>
      <c r="B732" s="14">
        <v>202.85</v>
      </c>
      <c r="C732" s="15">
        <v>3433</v>
      </c>
      <c r="D732" s="14">
        <f>C732/22.0462262</f>
        <v>155.71826075158387</v>
      </c>
      <c r="E732" s="18">
        <f>LN(B732/B731)</f>
        <v>0.012151420441746524</v>
      </c>
      <c r="F732" s="18">
        <f>LN(C732/C731)</f>
        <v>0.009953243761576152</v>
      </c>
    </row>
    <row r="733">
      <c r="A733" s="6" t="s">
        <v>1288</v>
      </c>
      <c r="B733" s="14">
        <v>201.25</v>
      </c>
      <c r="C733" s="15">
        <v>3402</v>
      </c>
      <c r="D733" s="14">
        <f>C733/22.0462262</f>
        <v>154.3121244034047</v>
      </c>
      <c r="E733" s="18">
        <f>LN(B733/B732)</f>
        <v>-0.007918873353783485</v>
      </c>
      <c r="F733" s="18">
        <f>LN(C733/C732)</f>
        <v>-0.00907102050188494</v>
      </c>
    </row>
    <row r="734">
      <c r="A734" s="6" t="s">
        <v>1289</v>
      </c>
      <c r="B734" s="14">
        <v>199.55</v>
      </c>
      <c r="C734" s="15">
        <v>3420</v>
      </c>
      <c r="D734" s="14">
        <f>C734/22.0462262</f>
        <v>155.12859067008938</v>
      </c>
      <c r="E734" s="18">
        <f>LN(B734/B733)</f>
        <v>-0.008483084803929777</v>
      </c>
      <c r="F734" s="18">
        <f>LN(C734/C733)</f>
        <v>0.005277057100843819</v>
      </c>
    </row>
    <row r="735">
      <c r="A735" s="6" t="s">
        <v>1290</v>
      </c>
      <c r="B735" s="14">
        <v>208.15</v>
      </c>
      <c r="C735" s="15">
        <v>3518</v>
      </c>
      <c r="D735" s="14">
        <f>C735/22.0462262</f>
        <v>159.5737958998171</v>
      </c>
      <c r="E735" s="18">
        <f>LN(B735/B734)</f>
        <v>0.04219414214624161</v>
      </c>
      <c r="F735" s="18">
        <f>LN(C735/C734)</f>
        <v>0.02825209524085266</v>
      </c>
    </row>
    <row r="736">
      <c r="A736" s="6" t="s">
        <v>1291</v>
      </c>
      <c r="B736" s="14">
        <v>209.3</v>
      </c>
      <c r="C736" s="15">
        <v>3499</v>
      </c>
      <c r="D736" s="14">
        <f>C736/22.0462262</f>
        <v>158.71197039609436</v>
      </c>
      <c r="E736" s="18">
        <f>LN(B736/B735)</f>
        <v>0.0055096558109697</v>
      </c>
      <c r="F736" s="18">
        <f>LN(C736/C735)</f>
        <v>-0.005415432929815478</v>
      </c>
    </row>
    <row r="737">
      <c r="A737" s="6" t="s">
        <v>1292</v>
      </c>
      <c r="B737" s="14">
        <v>217.2</v>
      </c>
      <c r="C737" s="15">
        <v>3734</v>
      </c>
      <c r="D737" s="14">
        <f>C737/22.0462262</f>
        <v>169.37139110003326</v>
      </c>
      <c r="E737" s="18">
        <f>LN(B737/B736)</f>
        <v>0.03704995860782627</v>
      </c>
      <c r="F737" s="18">
        <f>LN(C737/C736)</f>
        <v>0.06500283173397996</v>
      </c>
    </row>
    <row r="738">
      <c r="A738" s="6" t="s">
        <v>1293</v>
      </c>
      <c r="B738" s="14">
        <v>220.45</v>
      </c>
      <c r="C738" s="15">
        <v>3917</v>
      </c>
      <c r="D738" s="14">
        <f>C738/22.0462262</f>
        <v>177.67213147799418</v>
      </c>
      <c r="E738" s="18">
        <f>LN(B738/B737)</f>
        <v>0.014852323744166347</v>
      </c>
      <c r="F738" s="18">
        <f>LN(C738/C737)</f>
        <v>0.047846009564163385</v>
      </c>
    </row>
    <row r="739">
      <c r="A739" s="6" t="s">
        <v>1294</v>
      </c>
      <c r="B739" s="14">
        <v>215.65</v>
      </c>
      <c r="C739" s="15">
        <v>3819</v>
      </c>
      <c r="D739" s="14">
        <f>C739/22.0462262</f>
        <v>173.22692624826647</v>
      </c>
      <c r="E739" s="18">
        <f>LN(B739/B738)</f>
        <v>-0.02201418871009441</v>
      </c>
      <c r="F739" s="18">
        <f>LN(C739/C738)</f>
        <v>-0.02533744644031515</v>
      </c>
    </row>
    <row r="740">
      <c r="A740" s="6" t="s">
        <v>1295</v>
      </c>
      <c r="B740" s="14">
        <v>218.25</v>
      </c>
      <c r="C740" s="15">
        <v>3892</v>
      </c>
      <c r="D740" s="14">
        <f>C740/22.0462262</f>
        <v>176.53815055204325</v>
      </c>
      <c r="E740" s="18">
        <f>LN(B740/B739)</f>
        <v>0.011984471625859422</v>
      </c>
      <c r="F740" s="18">
        <f>LN(C740/C739)</f>
        <v>0.018934556080379573</v>
      </c>
    </row>
    <row r="741">
      <c r="A741" s="6" t="s">
        <v>1296</v>
      </c>
      <c r="B741" s="14">
        <v>230.95</v>
      </c>
      <c r="C741" s="15">
        <v>4025</v>
      </c>
      <c r="D741" s="14">
        <f>C741/22.0462262</f>
        <v>182.57092907810227</v>
      </c>
      <c r="E741" s="18">
        <f>LN(B741/B740)</f>
        <v>0.05656004215690282</v>
      </c>
      <c r="F741" s="18">
        <f>LN(C741/C740)</f>
        <v>0.03360174654676807</v>
      </c>
    </row>
    <row r="742">
      <c r="A742" s="6" t="s">
        <v>1297</v>
      </c>
      <c r="B742" s="14">
        <v>229.45</v>
      </c>
      <c r="C742" s="15">
        <v>4042</v>
      </c>
      <c r="D742" s="14">
        <f>C742/22.0462262</f>
        <v>183.34203610774892</v>
      </c>
      <c r="E742" s="18">
        <f>LN(B742/B741)</f>
        <v>-0.006516096035771896</v>
      </c>
      <c r="F742" s="18">
        <f>LN(C742/C741)</f>
        <v>0.004214708110902481</v>
      </c>
    </row>
    <row r="743">
      <c r="A743" s="6" t="s">
        <v>1298</v>
      </c>
      <c r="B743" s="14">
        <v>233</v>
      </c>
      <c r="C743" s="15">
        <v>4131</v>
      </c>
      <c r="D743" s="14">
        <f>C743/22.0462262</f>
        <v>187.37900820413427</v>
      </c>
      <c r="E743" s="18">
        <f>LN(B743/B742)</f>
        <v>0.015353312724858096</v>
      </c>
      <c r="F743" s="18">
        <f>LN(C743/C742)</f>
        <v>0.021779889433198266</v>
      </c>
    </row>
    <row r="744">
      <c r="A744" s="6" t="s">
        <v>1299</v>
      </c>
      <c r="B744" s="14">
        <v>222.35</v>
      </c>
      <c r="C744" s="15">
        <v>3987</v>
      </c>
      <c r="D744" s="14">
        <f>C744/22.0462262</f>
        <v>180.84727807065684</v>
      </c>
      <c r="E744" s="18">
        <f>LN(B744/B743)</f>
        <v>-0.04678573660899518</v>
      </c>
      <c r="F744" s="18">
        <f>LN(C744/C743)</f>
        <v>-0.035480440015409544</v>
      </c>
    </row>
    <row r="745">
      <c r="A745" s="6" t="s">
        <v>1300</v>
      </c>
      <c r="B745" s="14">
        <v>226.55</v>
      </c>
      <c r="C745" s="15">
        <v>4110</v>
      </c>
      <c r="D745" s="14">
        <f>C745/22.0462262</f>
        <v>186.4264642263355</v>
      </c>
      <c r="E745" s="18">
        <f>LN(B745/B744)</f>
        <v>0.01871295415644172</v>
      </c>
      <c r="F745" s="18">
        <f>LN(C745/C744)</f>
        <v>0.030383960108925256</v>
      </c>
    </row>
    <row r="746">
      <c r="A746" s="6" t="s">
        <v>1301</v>
      </c>
      <c r="B746" s="14">
        <v>233.9</v>
      </c>
      <c r="C746" s="15">
        <v>4189</v>
      </c>
      <c r="D746" s="14">
        <f>C746/22.0462262</f>
        <v>190.00984395234047</v>
      </c>
      <c r="E746" s="18">
        <f>LN(B746/B745)</f>
        <v>0.03192800247698606</v>
      </c>
      <c r="F746" s="18">
        <f>LN(C746/C745)</f>
        <v>0.01903901345675468</v>
      </c>
    </row>
    <row r="747">
      <c r="A747" s="6" t="s">
        <v>1302</v>
      </c>
      <c r="B747" s="14">
        <v>231.95</v>
      </c>
      <c r="C747" s="15">
        <v>4322</v>
      </c>
      <c r="D747" s="14">
        <f>C747/22.0462262</f>
        <v>196.0426224783995</v>
      </c>
      <c r="E747" s="18">
        <f>LN(B747/B746)</f>
        <v>-0.008371842392380723</v>
      </c>
      <c r="F747" s="18">
        <f>LN(C747/C746)</f>
        <v>0.031256216119796454</v>
      </c>
    </row>
    <row r="748">
      <c r="A748" s="6" t="s">
        <v>1303</v>
      </c>
      <c r="B748" s="14">
        <v>234.2</v>
      </c>
      <c r="C748" s="15">
        <v>4294</v>
      </c>
      <c r="D748" s="14">
        <f>C748/22.0462262</f>
        <v>194.77256384133443</v>
      </c>
      <c r="E748" s="18">
        <f>LN(B748/B747)</f>
        <v>0.009653619965864285</v>
      </c>
      <c r="F748" s="18">
        <f>LN(C748/C747)</f>
        <v>-0.00649955862810497</v>
      </c>
    </row>
    <row r="749">
      <c r="A749" s="6" t="s">
        <v>1304</v>
      </c>
      <c r="B749" s="14">
        <v>224.8</v>
      </c>
      <c r="C749" s="15">
        <v>4128</v>
      </c>
      <c r="D749" s="14">
        <f>C749/22.0462262</f>
        <v>187.24293049302017</v>
      </c>
      <c r="E749" s="18">
        <f>LN(B749/B748)</f>
        <v>-0.04096433314408082</v>
      </c>
      <c r="F749" s="18">
        <f>LN(C749/C748)</f>
        <v>-0.03942567127732772</v>
      </c>
    </row>
    <row r="750">
      <c r="A750" s="6" t="s">
        <v>1305</v>
      </c>
      <c r="B750" s="14">
        <v>221.4</v>
      </c>
      <c r="C750" s="15">
        <v>4082</v>
      </c>
      <c r="D750" s="14">
        <f>C750/22.0462262</f>
        <v>185.15640558927043</v>
      </c>
      <c r="E750" s="18">
        <f>LN(B750/B749)</f>
        <v>-0.015240097744999485</v>
      </c>
      <c r="F750" s="18">
        <f>LN(C750/C749)</f>
        <v>-0.011205963791608578</v>
      </c>
    </row>
    <row r="751">
      <c r="A751" s="6" t="s">
        <v>1306</v>
      </c>
      <c r="B751" s="14">
        <v>220.55</v>
      </c>
      <c r="C751" s="15">
        <v>4053</v>
      </c>
      <c r="D751" s="14">
        <f>C751/22.0462262</f>
        <v>183.84098771516733</v>
      </c>
      <c r="E751" s="18">
        <f>LN(B751/B750)</f>
        <v>-0.003846593723587779</v>
      </c>
      <c r="F751" s="18">
        <f>LN(C751/C750)</f>
        <v>-0.0071297167414815016</v>
      </c>
    </row>
    <row r="752">
      <c r="A752" s="6" t="s">
        <v>1307</v>
      </c>
      <c r="B752" s="14">
        <v>224.35</v>
      </c>
      <c r="C752" s="15">
        <v>4086</v>
      </c>
      <c r="D752" s="14">
        <f>C752/22.0462262</f>
        <v>185.33784253742257</v>
      </c>
      <c r="E752" s="18">
        <f>LN(B752/B751)</f>
        <v>0.017082905871043493</v>
      </c>
      <c r="F752" s="18">
        <f>LN(C752/C751)</f>
        <v>0.008109148749258721</v>
      </c>
    </row>
    <row r="753">
      <c r="A753" s="6" t="s">
        <v>1308</v>
      </c>
      <c r="B753" s="14">
        <v>226.05</v>
      </c>
      <c r="C753" s="15">
        <v>4093</v>
      </c>
      <c r="D753" s="14">
        <f>C753/22.0462262</f>
        <v>185.65535719668884</v>
      </c>
      <c r="E753" s="18">
        <f>LN(B753/B752)</f>
        <v>0.007548881318621859</v>
      </c>
      <c r="F753" s="18">
        <f>LN(C753/C752)</f>
        <v>0.0017117011148356112</v>
      </c>
    </row>
    <row r="754">
      <c r="A754" s="6" t="s">
        <v>1309</v>
      </c>
      <c r="B754" s="14">
        <v>224.15</v>
      </c>
      <c r="C754" s="15">
        <v>4009</v>
      </c>
      <c r="D754" s="14">
        <f>C754/22.0462262</f>
        <v>181.84518128549365</v>
      </c>
      <c r="E754" s="18">
        <f>LN(B754/B753)</f>
        <v>-0.008440743139165655</v>
      </c>
      <c r="F754" s="18">
        <f>LN(C754/C753)</f>
        <v>-0.020736363849896026</v>
      </c>
    </row>
    <row r="755">
      <c r="A755" s="6" t="s">
        <v>1310</v>
      </c>
      <c r="B755" s="14">
        <v>227.15</v>
      </c>
      <c r="C755" s="15">
        <v>4057</v>
      </c>
      <c r="D755" s="14">
        <f>C755/22.0462262</f>
        <v>184.02242466331947</v>
      </c>
      <c r="E755" s="18">
        <f>LN(B755/B754)</f>
        <v>0.013295121603963761</v>
      </c>
      <c r="F755" s="18">
        <f>LN(C755/C754)</f>
        <v>0.011901950563940169</v>
      </c>
    </row>
    <row r="756">
      <c r="A756" s="6" t="s">
        <v>1311</v>
      </c>
      <c r="B756" s="14">
        <v>226.3</v>
      </c>
      <c r="C756" s="15">
        <v>3994</v>
      </c>
      <c r="D756" s="14">
        <f>C756/22.0462262</f>
        <v>181.1647927299231</v>
      </c>
      <c r="E756" s="18">
        <f>LN(B756/B755)</f>
        <v>-0.003749039565920624</v>
      </c>
      <c r="F756" s="18">
        <f>LN(C756/C755)</f>
        <v>-0.015650549230686758</v>
      </c>
    </row>
    <row r="757">
      <c r="A757" s="6" t="s">
        <v>1312</v>
      </c>
      <c r="B757" s="14">
        <v>230.25</v>
      </c>
      <c r="C757" s="15">
        <v>4176</v>
      </c>
      <c r="D757" s="14">
        <f>C757/22.0462262</f>
        <v>189.42017387084599</v>
      </c>
      <c r="E757" s="18">
        <f>LN(B757/B756)</f>
        <v>0.017304122495924484</v>
      </c>
      <c r="F757" s="18">
        <f>LN(C757/C756)</f>
        <v>0.044560615586714036</v>
      </c>
    </row>
    <row r="758">
      <c r="A758" s="6" t="s">
        <v>1313</v>
      </c>
      <c r="B758" s="14">
        <v>226.55</v>
      </c>
      <c r="C758" s="15">
        <v>4104</v>
      </c>
      <c r="D758" s="14">
        <f>C758/22.0462262</f>
        <v>186.15430880410725</v>
      </c>
      <c r="E758" s="18">
        <f>LN(B758/B757)</f>
        <v>-0.01620000402226894</v>
      </c>
      <c r="F758" s="18">
        <f>LN(C758/C757)</f>
        <v>-0.01739174271186922</v>
      </c>
    </row>
    <row r="759">
      <c r="A759" s="6" t="s">
        <v>1314</v>
      </c>
      <c r="B759" s="14">
        <v>238</v>
      </c>
      <c r="C759" s="15">
        <v>4252</v>
      </c>
      <c r="D759" s="14">
        <f>C759/22.0462262</f>
        <v>192.86747588573687</v>
      </c>
      <c r="E759" s="18">
        <f>LN(B759/B758)</f>
        <v>0.04930500255832742</v>
      </c>
      <c r="F759" s="18">
        <f>LN(C759/C758)</f>
        <v>0.035427352611233004</v>
      </c>
    </row>
    <row r="760">
      <c r="A760" s="6" t="s">
        <v>1315</v>
      </c>
      <c r="B760" s="14">
        <v>231.2</v>
      </c>
      <c r="C760" s="15">
        <v>4117</v>
      </c>
      <c r="D760" s="14">
        <f>C760/22.0462262</f>
        <v>186.74397888560176</v>
      </c>
      <c r="E760" s="18">
        <f>LN(B760/B759)</f>
        <v>-0.028987536873252298</v>
      </c>
      <c r="F760" s="18">
        <f>LN(C760/C759)</f>
        <v>-0.032264717691933835</v>
      </c>
    </row>
    <row r="761">
      <c r="A761" s="6" t="s">
        <v>1316</v>
      </c>
      <c r="B761" s="14">
        <v>226.35</v>
      </c>
      <c r="C761" s="15">
        <v>4059</v>
      </c>
      <c r="D761" s="14">
        <f>C761/22.0462262</f>
        <v>184.11314313739555</v>
      </c>
      <c r="E761" s="18">
        <f>LN(B761/B760)</f>
        <v>-0.021200662916254838</v>
      </c>
      <c r="F761" s="18">
        <f>LN(C761/C760)</f>
        <v>-0.01418810493100699</v>
      </c>
    </row>
    <row r="762">
      <c r="A762" s="6" t="s">
        <v>1317</v>
      </c>
      <c r="B762" s="14">
        <v>228.25</v>
      </c>
      <c r="C762" s="15">
        <v>4047</v>
      </c>
      <c r="D762" s="14">
        <f>C762/22.0462262</f>
        <v>183.5688322929391</v>
      </c>
      <c r="E762" s="18">
        <f>LN(B762/B761)</f>
        <v>0.008359045593110213</v>
      </c>
      <c r="F762" s="18">
        <f>LN(C762/C761)</f>
        <v>-0.0029607719630321337</v>
      </c>
    </row>
    <row r="763">
      <c r="A763" s="6" t="s">
        <v>1318</v>
      </c>
      <c r="B763" s="14">
        <v>228.95</v>
      </c>
      <c r="C763" s="15">
        <v>4011</v>
      </c>
      <c r="D763" s="14">
        <f>C763/22.0462262</f>
        <v>181.93589975956974</v>
      </c>
      <c r="E763" s="18">
        <f>LN(B763/B762)</f>
        <v>0.003062119628026486</v>
      </c>
      <c r="F763" s="18">
        <f>LN(C763/C762)</f>
        <v>-0.008935279105812686</v>
      </c>
    </row>
    <row r="764">
      <c r="A764" s="6" t="s">
        <v>1319</v>
      </c>
      <c r="B764" s="14">
        <v>226.7</v>
      </c>
      <c r="C764" s="15">
        <v>4067</v>
      </c>
      <c r="D764" s="14">
        <f>C764/22.0462262</f>
        <v>184.47601703369986</v>
      </c>
      <c r="E764" s="18">
        <f>LN(B764/B763)</f>
        <v>-0.009876081589621152</v>
      </c>
      <c r="F764" s="18">
        <f>LN(C764/C763)</f>
        <v>0.013865040137171752</v>
      </c>
    </row>
    <row r="765">
      <c r="A765" s="6" t="s">
        <v>1320</v>
      </c>
      <c r="B765" s="14">
        <v>229.1</v>
      </c>
      <c r="C765" s="15">
        <v>4092</v>
      </c>
      <c r="D765" s="14">
        <f>C765/22.0462262</f>
        <v>185.6099979596508</v>
      </c>
      <c r="E765" s="18">
        <f>LN(B765/B764)</f>
        <v>0.0105310319459665</v>
      </c>
      <c r="F765" s="18">
        <f>LN(C765/C764)</f>
        <v>0.0061282211642925835</v>
      </c>
    </row>
    <row r="766">
      <c r="A766" s="6" t="s">
        <v>1321</v>
      </c>
      <c r="B766" s="14">
        <v>225.95</v>
      </c>
      <c r="C766" s="15">
        <v>4058</v>
      </c>
      <c r="D766" s="14">
        <f>C766/22.0462262</f>
        <v>184.0677839003575</v>
      </c>
      <c r="E766" s="18">
        <f>LN(B766/B765)</f>
        <v>-0.01384485360216116</v>
      </c>
      <c r="F766" s="18">
        <f>LN(C766/C765)</f>
        <v>-0.00834360668575704</v>
      </c>
    </row>
    <row r="767">
      <c r="A767" s="6" t="s">
        <v>1322</v>
      </c>
      <c r="B767" s="14">
        <v>230.3</v>
      </c>
      <c r="C767" s="15">
        <v>4185</v>
      </c>
      <c r="D767" s="14">
        <f>C767/22.0462262</f>
        <v>189.82840700418834</v>
      </c>
      <c r="E767" s="18">
        <f>LN(B767/B766)</f>
        <v>0.019069070969350913</v>
      </c>
      <c r="F767" s="18">
        <f>LN(C767/C766)</f>
        <v>0.03081646253781575</v>
      </c>
    </row>
    <row r="768">
      <c r="A768" s="6" t="s">
        <v>1323</v>
      </c>
      <c r="B768" s="14">
        <v>236.2</v>
      </c>
      <c r="C768" s="15">
        <v>4348</v>
      </c>
      <c r="D768" s="14">
        <f>C768/22.0462262</f>
        <v>197.2219626413885</v>
      </c>
      <c r="E768" s="18">
        <f>LN(B768/B767)</f>
        <v>0.02529609693662227</v>
      </c>
      <c r="F768" s="18">
        <f>LN(C768/C767)</f>
        <v>0.0382092653175243</v>
      </c>
    </row>
    <row r="769">
      <c r="A769" s="6" t="s">
        <v>1324</v>
      </c>
      <c r="B769" s="14">
        <v>252</v>
      </c>
      <c r="C769" s="15">
        <v>4634</v>
      </c>
      <c r="D769" s="14">
        <f>C769/22.0462262</f>
        <v>210.1947044342673</v>
      </c>
      <c r="E769" s="18">
        <f>LN(B769/B768)</f>
        <v>0.06475018374816151</v>
      </c>
      <c r="F769" s="18">
        <f>LN(C769/C768)</f>
        <v>0.06370445675122154</v>
      </c>
    </row>
    <row r="770">
      <c r="A770" s="6" t="s">
        <v>1325</v>
      </c>
      <c r="B770" s="14">
        <v>245.7</v>
      </c>
      <c r="C770" s="15">
        <v>4477</v>
      </c>
      <c r="D770" s="14">
        <f>C770/22.0462262</f>
        <v>203.07330421929538</v>
      </c>
      <c r="E770" s="18">
        <f>LN(B770/B769)</f>
        <v>-0.025317807984289897</v>
      </c>
      <c r="F770" s="18">
        <f>LN(C770/C769)</f>
        <v>-0.034467246751355964</v>
      </c>
    </row>
    <row r="771">
      <c r="A771" s="6" t="s">
        <v>1326</v>
      </c>
      <c r="B771" s="14">
        <v>246.75</v>
      </c>
      <c r="C771" s="15">
        <v>4576</v>
      </c>
      <c r="D771" s="14">
        <f>C771/22.0462262</f>
        <v>207.5638686860611</v>
      </c>
      <c r="E771" s="18">
        <f>LN(B771/B770)</f>
        <v>0.004264398786457518</v>
      </c>
      <c r="F771" s="18">
        <f>LN(C771/C770)</f>
        <v>0.021872074818668312</v>
      </c>
    </row>
    <row r="772">
      <c r="A772" s="6" t="s">
        <v>1327</v>
      </c>
      <c r="B772" s="14">
        <v>250.45</v>
      </c>
      <c r="C772" s="15">
        <v>4617</v>
      </c>
      <c r="D772" s="14">
        <f>C772/22.0462262</f>
        <v>209.42359740462066</v>
      </c>
      <c r="E772" s="18">
        <f>LN(B772/B771)</f>
        <v>0.014883621490034738</v>
      </c>
      <c r="F772" s="18">
        <f>LN(C772/C771)</f>
        <v>0.008919889447355089</v>
      </c>
    </row>
    <row r="773">
      <c r="A773" s="6" t="s">
        <v>1328</v>
      </c>
      <c r="B773" s="14">
        <v>244.15</v>
      </c>
      <c r="C773" s="15">
        <v>4583</v>
      </c>
      <c r="D773" s="14">
        <f>C773/22.0462262</f>
        <v>207.88138334532738</v>
      </c>
      <c r="E773" s="18">
        <f>LN(B773/B772)</f>
        <v>-0.025476509295956483</v>
      </c>
      <c r="F773" s="18">
        <f>LN(C773/C772)</f>
        <v>-0.007391337997864897</v>
      </c>
    </row>
    <row r="774">
      <c r="A774" s="6" t="s">
        <v>1329</v>
      </c>
      <c r="B774" s="14">
        <v>245.4</v>
      </c>
      <c r="C774" s="15">
        <v>4572</v>
      </c>
      <c r="D774" s="14">
        <f>C774/22.0462262</f>
        <v>207.38243173790897</v>
      </c>
      <c r="E774" s="18">
        <f>LN(B774/B773)</f>
        <v>0.005106741769141768</v>
      </c>
      <c r="F774" s="18">
        <f>LN(C774/C773)</f>
        <v>-0.002403059594422769</v>
      </c>
    </row>
    <row r="775">
      <c r="A775" s="6" t="s">
        <v>1330</v>
      </c>
      <c r="B775" s="14">
        <v>247.35</v>
      </c>
      <c r="C775" s="15">
        <v>4570</v>
      </c>
      <c r="D775" s="14">
        <f>C775/22.0462262</f>
        <v>207.2917132638329</v>
      </c>
      <c r="E775" s="18">
        <f>LN(B775/B774)</f>
        <v>0.007914805396906588</v>
      </c>
      <c r="F775" s="18">
        <f>LN(C775/C774)</f>
        <v>-0.00043754102645090305</v>
      </c>
    </row>
    <row r="776">
      <c r="A776" s="6" t="s">
        <v>1331</v>
      </c>
      <c r="B776" s="14">
        <v>243.4</v>
      </c>
      <c r="C776" s="15">
        <v>4479</v>
      </c>
      <c r="D776" s="14">
        <f>C776/22.0462262</f>
        <v>203.16402269337144</v>
      </c>
      <c r="E776" s="18">
        <f>LN(B776/B775)</f>
        <v>-0.016098157120290744</v>
      </c>
      <c r="F776" s="18">
        <f>LN(C776/C775)</f>
        <v>-0.020113397680950364</v>
      </c>
    </row>
    <row r="777">
      <c r="A777" s="6" t="s">
        <v>1332</v>
      </c>
      <c r="B777" s="14">
        <v>238.2</v>
      </c>
      <c r="C777" s="15">
        <v>4530</v>
      </c>
      <c r="D777" s="14">
        <f>C777/22.0462262</f>
        <v>205.47734378231138</v>
      </c>
      <c r="E777" s="18">
        <f>LN(B777/B776)</f>
        <v>-0.02159552363222711</v>
      </c>
      <c r="F777" s="18">
        <f>LN(C777/C776)</f>
        <v>0.011322132269779725</v>
      </c>
    </row>
    <row r="778">
      <c r="A778" s="6" t="s">
        <v>1333</v>
      </c>
      <c r="B778" s="14">
        <v>243.05</v>
      </c>
      <c r="C778" s="15">
        <v>4581</v>
      </c>
      <c r="D778" s="14">
        <f>C778/22.0462262</f>
        <v>207.7906648712513</v>
      </c>
      <c r="E778" s="18">
        <f>LN(B778/B777)</f>
        <v>0.02015652657026494</v>
      </c>
      <c r="F778" s="18">
        <f>LN(C778/C777)</f>
        <v>0.011195375409662412</v>
      </c>
    </row>
    <row r="779">
      <c r="A779" s="6" t="s">
        <v>1334</v>
      </c>
      <c r="B779" s="14">
        <v>239.1</v>
      </c>
      <c r="C779" s="15">
        <v>4481</v>
      </c>
      <c r="D779" s="14">
        <f>C779/22.0462262</f>
        <v>203.25474116744752</v>
      </c>
      <c r="E779" s="18">
        <f>LN(B779/B778)</f>
        <v>-0.01638530902718556</v>
      </c>
      <c r="F779" s="18">
        <f>LN(C779/C778)</f>
        <v>-0.022071079100599092</v>
      </c>
    </row>
    <row r="780">
      <c r="A780" s="6" t="s">
        <v>1335</v>
      </c>
      <c r="B780" s="14">
        <v>231.15</v>
      </c>
      <c r="C780" s="15">
        <v>4327</v>
      </c>
      <c r="D780" s="14">
        <f>C780/22.0462262</f>
        <v>196.2694186635897</v>
      </c>
      <c r="E780" s="18">
        <f>LN(B780/B779)</f>
        <v>-0.0338150240300445</v>
      </c>
      <c r="F780" s="18">
        <f>LN(C780/C779)</f>
        <v>-0.03497177456125824</v>
      </c>
    </row>
    <row r="781">
      <c r="A781" s="6" t="s">
        <v>1336</v>
      </c>
      <c r="B781" s="14">
        <v>234.7</v>
      </c>
      <c r="C781" s="15">
        <v>4395</v>
      </c>
      <c r="D781" s="14">
        <f>C781/22.0462262</f>
        <v>199.35384678217628</v>
      </c>
      <c r="E781" s="18">
        <f>LN(B781/B780)</f>
        <v>0.015241252422743403</v>
      </c>
      <c r="F781" s="18">
        <f>LN(C781/C780)</f>
        <v>0.0155930698943926</v>
      </c>
    </row>
    <row r="782">
      <c r="A782" s="6" t="s">
        <v>1337</v>
      </c>
      <c r="B782" s="14">
        <v>230.25</v>
      </c>
      <c r="C782" s="15">
        <v>4150</v>
      </c>
      <c r="D782" s="14">
        <f>C782/22.0462262</f>
        <v>188.240833707857</v>
      </c>
      <c r="E782" s="18">
        <f>LN(B782/B781)</f>
        <v>-0.019142427721561606</v>
      </c>
      <c r="F782" s="18">
        <f>LN(C782/C781)</f>
        <v>-0.057359196894533365</v>
      </c>
    </row>
    <row r="783">
      <c r="A783" s="6" t="s">
        <v>1338</v>
      </c>
      <c r="B783" s="14">
        <v>230.4</v>
      </c>
      <c r="C783" s="15">
        <v>4122</v>
      </c>
      <c r="D783" s="14">
        <f>C783/22.0462262</f>
        <v>186.97077507079194</v>
      </c>
      <c r="E783" s="18">
        <f>LN(B783/B782)</f>
        <v>0.0006512536863199927</v>
      </c>
      <c r="F783" s="18">
        <f>LN(C783/C782)</f>
        <v>-0.006769851774339694</v>
      </c>
    </row>
    <row r="784">
      <c r="A784" s="6" t="s">
        <v>1339</v>
      </c>
      <c r="B784" s="14">
        <v>230.8</v>
      </c>
      <c r="C784" s="15">
        <v>4118</v>
      </c>
      <c r="D784" s="14">
        <f>C784/22.0462262</f>
        <v>186.78933812263978</v>
      </c>
      <c r="E784" s="18">
        <f>LN(B784/B783)</f>
        <v>0.0017346058122083715</v>
      </c>
      <c r="F784" s="18">
        <f>LN(C784/C783)</f>
        <v>-0.0009708738626695356</v>
      </c>
    </row>
    <row r="785">
      <c r="A785" s="6" t="s">
        <v>1340</v>
      </c>
      <c r="B785" s="14">
        <v>229.2</v>
      </c>
      <c r="C785" s="15">
        <v>4116</v>
      </c>
      <c r="D785" s="14">
        <f>C785/22.0462262</f>
        <v>186.69861964856372</v>
      </c>
      <c r="E785" s="18">
        <f>LN(B785/B784)</f>
        <v>-0.00695654979336005</v>
      </c>
      <c r="F785" s="18">
        <f>LN(C785/C784)</f>
        <v>-0.0004857906337945662</v>
      </c>
    </row>
    <row r="786">
      <c r="A786" s="6" t="s">
        <v>1341</v>
      </c>
      <c r="B786" s="14">
        <v>227.25</v>
      </c>
      <c r="C786" s="15">
        <v>4083</v>
      </c>
      <c r="D786" s="14">
        <f>C786/22.0462262</f>
        <v>185.20176482630848</v>
      </c>
      <c r="E786" s="18">
        <f>LN(B786/B785)</f>
        <v>-0.00854425178299623</v>
      </c>
      <c r="F786" s="18">
        <f>LN(C786/C785)</f>
        <v>-0.00804980563436451</v>
      </c>
    </row>
    <row r="787">
      <c r="A787" s="6" t="s">
        <v>1342</v>
      </c>
      <c r="B787" s="14">
        <v>230.5</v>
      </c>
      <c r="C787" s="15">
        <v>4088</v>
      </c>
      <c r="D787" s="14">
        <f>C787/22.0462262</f>
        <v>185.42856101149866</v>
      </c>
      <c r="E787" s="18">
        <f>LN(B787/B786)</f>
        <v>0.01420012937911491</v>
      </c>
      <c r="F787" s="18">
        <f>LN(C787/C786)</f>
        <v>0.001223840563964686</v>
      </c>
    </row>
    <row r="788">
      <c r="A788" s="6" t="s">
        <v>1343</v>
      </c>
      <c r="B788" s="14">
        <v>225.7</v>
      </c>
      <c r="C788" s="15">
        <v>4029</v>
      </c>
      <c r="D788" s="14">
        <f>C788/22.0462262</f>
        <v>182.7523660262544</v>
      </c>
      <c r="E788" s="18">
        <f>LN(B788/B787)</f>
        <v>-0.02104417861321325</v>
      </c>
      <c r="F788" s="18">
        <f>LN(C788/C787)</f>
        <v>-0.01453764669219313</v>
      </c>
    </row>
    <row r="789">
      <c r="A789" s="6" t="s">
        <v>1344</v>
      </c>
      <c r="B789" s="14">
        <v>235.95</v>
      </c>
      <c r="C789" s="15">
        <v>4190</v>
      </c>
      <c r="D789" s="14">
        <f>C789/22.0462262</f>
        <v>190.05520318937852</v>
      </c>
      <c r="E789" s="18">
        <f>LN(B789/B788)</f>
        <v>0.0444132343489066</v>
      </c>
      <c r="F789" s="18">
        <f>LN(C789/C788)</f>
        <v>0.03918252772483625</v>
      </c>
    </row>
    <row r="790">
      <c r="A790" s="6" t="s">
        <v>1345</v>
      </c>
      <c r="B790" s="14">
        <v>246.3</v>
      </c>
      <c r="C790" s="15">
        <v>4286</v>
      </c>
      <c r="D790" s="14">
        <f>C790/22.0462262</f>
        <v>194.40968994503015</v>
      </c>
      <c r="E790" s="18">
        <f>LN(B790/B789)</f>
        <v>0.04293038695409576</v>
      </c>
      <c r="F790" s="18">
        <f>LN(C790/C789)</f>
        <v>0.022653163117338986</v>
      </c>
    </row>
    <row r="791">
      <c r="A791" s="6" t="s">
        <v>1346</v>
      </c>
      <c r="B791" s="14">
        <v>245.3</v>
      </c>
      <c r="C791" s="15">
        <v>4253</v>
      </c>
      <c r="D791" s="14">
        <f>C791/22.0462262</f>
        <v>192.9128351227749</v>
      </c>
      <c r="E791" s="18">
        <f>LN(B791/B790)</f>
        <v>-0.004068353862048638</v>
      </c>
      <c r="F791" s="18">
        <f>LN(C791/C790)</f>
        <v>-0.007729280779888789</v>
      </c>
    </row>
    <row r="792">
      <c r="A792" s="6" t="s">
        <v>1347</v>
      </c>
      <c r="B792" s="14">
        <v>234.05</v>
      </c>
      <c r="C792" s="15">
        <v>4162</v>
      </c>
      <c r="D792" s="14">
        <f>C792/22.0462262</f>
        <v>188.78514455231345</v>
      </c>
      <c r="E792" s="18">
        <f>LN(B792/B791)</f>
        <v>-0.04694718351836407</v>
      </c>
      <c r="F792" s="18">
        <f>LN(C792/C791)</f>
        <v>-0.02162888830005385</v>
      </c>
    </row>
    <row r="793">
      <c r="A793" s="6" t="s">
        <v>1348</v>
      </c>
      <c r="B793" s="14">
        <v>240.85</v>
      </c>
      <c r="C793" s="15">
        <v>4359</v>
      </c>
      <c r="D793" s="14">
        <f>C793/22.0462262</f>
        <v>197.7209142488069</v>
      </c>
      <c r="E793" s="18">
        <f>LN(B793/B792)</f>
        <v>0.028639565330150062</v>
      </c>
      <c r="F793" s="18">
        <f>LN(C793/C792)</f>
        <v>0.0462469452848129</v>
      </c>
    </row>
    <row r="794">
      <c r="A794" s="6" t="s">
        <v>1349</v>
      </c>
      <c r="B794" s="14">
        <v>232.7</v>
      </c>
      <c r="C794" s="15">
        <v>4187</v>
      </c>
      <c r="D794" s="14">
        <f>C794/22.0462262</f>
        <v>189.9191254782644</v>
      </c>
      <c r="E794" s="18">
        <f>LN(B794/B793)</f>
        <v>-0.03442426276798377</v>
      </c>
      <c r="F794" s="18">
        <f>LN(C794/C793)</f>
        <v>-0.04025818621924928</v>
      </c>
    </row>
    <row r="795">
      <c r="A795" s="6" t="s">
        <v>1350</v>
      </c>
      <c r="B795" s="14">
        <v>237</v>
      </c>
      <c r="C795" s="15">
        <v>4292</v>
      </c>
      <c r="D795" s="14">
        <f>C795/22.0462262</f>
        <v>194.68184536725838</v>
      </c>
      <c r="E795" s="18">
        <f>LN(B795/B794)</f>
        <v>0.018310070826885096</v>
      </c>
      <c r="F795" s="18">
        <f>LN(C795/C794)</f>
        <v>0.024768337731445687</v>
      </c>
    </row>
    <row r="796">
      <c r="A796" s="6" t="s">
        <v>1351</v>
      </c>
      <c r="B796" s="14">
        <v>239.9</v>
      </c>
      <c r="C796" s="15">
        <v>4378</v>
      </c>
      <c r="D796" s="14">
        <f>C796/22.0462262</f>
        <v>198.58273975252962</v>
      </c>
      <c r="E796" s="18">
        <f>LN(B796/B795)</f>
        <v>0.012162028710517622</v>
      </c>
      <c r="F796" s="18">
        <f>LN(C796/C795)</f>
        <v>0.019839174332219184</v>
      </c>
    </row>
    <row r="797">
      <c r="A797" s="6" t="s">
        <v>1352</v>
      </c>
      <c r="B797" s="14">
        <v>245.45</v>
      </c>
      <c r="C797" s="15">
        <v>4452</v>
      </c>
      <c r="D797" s="14">
        <f>C797/22.0462262</f>
        <v>201.93932329334442</v>
      </c>
      <c r="E797" s="18">
        <f>LN(B797/B796)</f>
        <v>0.022871090658412613</v>
      </c>
      <c r="F797" s="18">
        <f>LN(C797/C796)</f>
        <v>0.016761434312627263</v>
      </c>
    </row>
    <row r="798">
      <c r="A798" s="6" t="s">
        <v>1353</v>
      </c>
      <c r="B798" s="14">
        <v>245.9</v>
      </c>
      <c r="C798" s="15">
        <v>4476</v>
      </c>
      <c r="D798" s="14">
        <f>C798/22.0462262</f>
        <v>203.02794498225734</v>
      </c>
      <c r="E798" s="18">
        <f>LN(B798/B797)</f>
        <v>0.0018316887180854292</v>
      </c>
      <c r="F798" s="18">
        <f>LN(C798/C797)</f>
        <v>0.005376357036380496</v>
      </c>
    </row>
    <row r="799">
      <c r="A799" s="6" t="s">
        <v>1354</v>
      </c>
      <c r="B799" s="14">
        <v>249.45</v>
      </c>
      <c r="C799" s="15">
        <v>4619</v>
      </c>
      <c r="D799" s="14">
        <f>C799/22.0462262</f>
        <v>209.51431587869675</v>
      </c>
      <c r="E799" s="18">
        <f>LN(B799/B798)</f>
        <v>0.014333545084899523</v>
      </c>
      <c r="F799" s="18">
        <f>LN(C799/C798)</f>
        <v>0.03144844099878947</v>
      </c>
    </row>
    <row r="800">
      <c r="A800" s="6" t="s">
        <v>1355</v>
      </c>
      <c r="B800" s="14">
        <v>249.45</v>
      </c>
      <c r="C800" s="15">
        <v>4632</v>
      </c>
      <c r="D800" s="14">
        <f>C800/22.0462262</f>
        <v>210.10398596019124</v>
      </c>
      <c r="E800" s="18">
        <f>LN(B800/B799)</f>
        <v>0</v>
      </c>
      <c r="F800" s="18">
        <f>LN(C800/C799)</f>
        <v>0.002810508822225834</v>
      </c>
    </row>
    <row r="801">
      <c r="A801" s="6" t="s">
        <v>1356</v>
      </c>
      <c r="B801" s="14">
        <v>246.8</v>
      </c>
      <c r="C801" s="15">
        <v>4574</v>
      </c>
      <c r="D801" s="14">
        <f>C801/22.0462262</f>
        <v>207.47315021198503</v>
      </c>
      <c r="E801" s="18">
        <f>LN(B801/B800)</f>
        <v>-0.01068020227581352</v>
      </c>
      <c r="F801" s="18">
        <f>LN(C801/C800)</f>
        <v>-0.012600644670104693</v>
      </c>
    </row>
    <row r="802">
      <c r="A802" s="6" t="s">
        <v>1357</v>
      </c>
      <c r="B802" s="14">
        <v>251.2</v>
      </c>
      <c r="C802" s="15">
        <v>4715</v>
      </c>
      <c r="D802" s="14">
        <f>C802/22.0462262</f>
        <v>213.86880263434838</v>
      </c>
      <c r="E802" s="18">
        <f>LN(B802/B801)</f>
        <v>0.017671142562810844</v>
      </c>
      <c r="F802" s="18">
        <f>LN(C802/C801)</f>
        <v>0.030360820484831467</v>
      </c>
    </row>
    <row r="803">
      <c r="A803" s="6" t="s">
        <v>1358</v>
      </c>
      <c r="B803" s="14">
        <v>259.4</v>
      </c>
      <c r="C803" s="15">
        <v>4846</v>
      </c>
      <c r="D803" s="14">
        <f>C803/22.0462262</f>
        <v>219.81086268633132</v>
      </c>
      <c r="E803" s="18">
        <f>LN(B803/B802)</f>
        <v>0.03212183728829981</v>
      </c>
      <c r="F803" s="18">
        <f>LN(C803/C802)</f>
        <v>0.027404706308913073</v>
      </c>
    </row>
    <row r="804">
      <c r="A804" s="6" t="s">
        <v>1359</v>
      </c>
      <c r="B804" s="14">
        <v>260.45</v>
      </c>
      <c r="C804" s="15">
        <v>4926</v>
      </c>
      <c r="D804" s="14">
        <f>C804/22.0462262</f>
        <v>223.43960164937437</v>
      </c>
      <c r="E804" s="18">
        <f>LN(B804/B803)</f>
        <v>0.004039632308857076</v>
      </c>
      <c r="F804" s="18">
        <f>LN(C804/C803)</f>
        <v>0.016373677304012207</v>
      </c>
    </row>
    <row r="805">
      <c r="A805" s="6" t="s">
        <v>1360</v>
      </c>
      <c r="B805" s="14">
        <v>251.8</v>
      </c>
      <c r="C805" s="15">
        <v>4901</v>
      </c>
      <c r="D805" s="14">
        <f>C805/22.0462262</f>
        <v>222.3056207234234</v>
      </c>
      <c r="E805" s="18">
        <f>LN(B805/B804)</f>
        <v>-0.03377578258095366</v>
      </c>
      <c r="F805" s="18">
        <f>LN(C805/C804)</f>
        <v>-0.005088033770935701</v>
      </c>
    </row>
    <row r="806">
      <c r="A806" s="6" t="s">
        <v>1361</v>
      </c>
      <c r="B806" s="14">
        <v>248.2</v>
      </c>
      <c r="C806" s="15">
        <v>4948</v>
      </c>
      <c r="D806" s="14">
        <f>C806/22.0462262</f>
        <v>224.43750486421118</v>
      </c>
      <c r="E806" s="18">
        <f>LN(B806/B805)</f>
        <v>-0.014400248839740013</v>
      </c>
      <c r="F806" s="18">
        <f>LN(C806/C805)</f>
        <v>0.009544188602831098</v>
      </c>
    </row>
    <row r="807">
      <c r="A807" s="6" t="s">
        <v>1362</v>
      </c>
      <c r="B807" s="14">
        <v>246.75</v>
      </c>
      <c r="C807" s="15">
        <v>4710</v>
      </c>
      <c r="D807" s="14">
        <f>C807/22.0462262</f>
        <v>213.64200644915817</v>
      </c>
      <c r="E807" s="18">
        <f>LN(B807/B806)</f>
        <v>-0.005859194456915782</v>
      </c>
      <c r="F807" s="18">
        <f>LN(C807/C806)</f>
        <v>-0.0492955465019151</v>
      </c>
    </row>
    <row r="808">
      <c r="A808" s="6" t="s">
        <v>1363</v>
      </c>
      <c r="B808" s="14">
        <v>245.55</v>
      </c>
      <c r="C808" s="15">
        <v>4912</v>
      </c>
      <c r="D808" s="14">
        <f>C808/22.0462262</f>
        <v>222.80457233084184</v>
      </c>
      <c r="E808" s="18">
        <f>LN(B808/B807)</f>
        <v>-0.004875085828337275</v>
      </c>
      <c r="F808" s="18">
        <f>LN(C808/C807)</f>
        <v>0.04199328281651495</v>
      </c>
    </row>
    <row r="809">
      <c r="A809" s="6" t="s">
        <v>1364</v>
      </c>
      <c r="B809" s="14">
        <v>246.6</v>
      </c>
      <c r="C809" s="15">
        <v>4911</v>
      </c>
      <c r="D809" s="14">
        <f>C809/22.0462262</f>
        <v>222.7592130938038</v>
      </c>
      <c r="E809" s="18">
        <f>LN(B809/B808)</f>
        <v>0.0042669982449902635</v>
      </c>
      <c r="F809" s="18">
        <f>LN(C809/C808)</f>
        <v>-0.00020360378773382441</v>
      </c>
    </row>
    <row r="810">
      <c r="A810" s="6" t="s">
        <v>1365</v>
      </c>
      <c r="B810" s="14">
        <v>240.05</v>
      </c>
      <c r="C810" s="15">
        <v>4770</v>
      </c>
      <c r="D810" s="14">
        <f>C810/22.0462262</f>
        <v>216.36356067144044</v>
      </c>
      <c r="E810" s="18">
        <f>LN(B810/B809)</f>
        <v>-0.02692035575329452</v>
      </c>
      <c r="F810" s="18">
        <f>LN(C810/C809)</f>
        <v>-0.02913128215685771</v>
      </c>
    </row>
    <row r="811">
      <c r="A811" s="6" t="s">
        <v>1366</v>
      </c>
      <c r="B811" s="14">
        <v>249.45</v>
      </c>
      <c r="C811" s="15">
        <v>4891</v>
      </c>
      <c r="D811" s="14">
        <f>C811/22.0462262</f>
        <v>221.85202835304304</v>
      </c>
      <c r="E811" s="18">
        <f>LN(B811/B810)</f>
        <v>0.038411259330096995</v>
      </c>
      <c r="F811" s="18">
        <f>LN(C811/C810)</f>
        <v>0.025050476656970317</v>
      </c>
    </row>
    <row r="812">
      <c r="A812" s="6" t="s">
        <v>1367</v>
      </c>
      <c r="B812" s="14">
        <v>248</v>
      </c>
      <c r="C812" s="15">
        <v>4897</v>
      </c>
      <c r="D812" s="14">
        <f>C812/22.0462262</f>
        <v>222.12418377527126</v>
      </c>
      <c r="E812" s="18">
        <f>LN(B812/B811)</f>
        <v>-0.005829748142064151</v>
      </c>
      <c r="F812" s="18">
        <f>LN(C812/C811)</f>
        <v>0.0012259911629601736</v>
      </c>
    </row>
    <row r="813">
      <c r="A813" s="6" t="s">
        <v>1368</v>
      </c>
      <c r="B813" s="14">
        <v>249.45</v>
      </c>
      <c r="C813" s="15">
        <v>5008</v>
      </c>
      <c r="D813" s="14">
        <f>C813/22.0462262</f>
        <v>227.15905908649344</v>
      </c>
      <c r="E813" s="18">
        <f>LN(B813/B812)</f>
        <v>0.005829748142064211</v>
      </c>
      <c r="F813" s="18">
        <f>LN(C813/C812)</f>
        <v>0.022413861077617177</v>
      </c>
    </row>
    <row r="814">
      <c r="A814" s="6" t="s">
        <v>1369</v>
      </c>
      <c r="B814" s="14">
        <v>252</v>
      </c>
      <c r="C814" s="15">
        <v>5077</v>
      </c>
      <c r="D814" s="14">
        <f>C814/22.0462262</f>
        <v>230.28884644211806</v>
      </c>
      <c r="E814" s="18">
        <f>LN(B814/B813)</f>
        <v>0.010170593204376872</v>
      </c>
      <c r="F814" s="18">
        <f>LN(C814/C813)</f>
        <v>0.013683902167459936</v>
      </c>
    </row>
    <row r="815">
      <c r="A815" s="6" t="s">
        <v>1370</v>
      </c>
      <c r="B815" s="14">
        <v>262.05</v>
      </c>
      <c r="C815" s="15">
        <v>5267</v>
      </c>
      <c r="D815" s="14">
        <f>C815/22.0462262</f>
        <v>238.90710147934524</v>
      </c>
      <c r="E815" s="18">
        <f>LN(B815/B814)</f>
        <v>0.039106237736752036</v>
      </c>
      <c r="F815" s="18">
        <f>LN(C815/C814)</f>
        <v>0.03674040453599491</v>
      </c>
    </row>
    <row r="816">
      <c r="A816" s="6" t="s">
        <v>1371</v>
      </c>
      <c r="B816" s="14">
        <v>259.05</v>
      </c>
      <c r="C816" s="15">
        <v>5246</v>
      </c>
      <c r="D816" s="14">
        <f>C816/22.0462262</f>
        <v>237.95455750154645</v>
      </c>
      <c r="E816" s="18">
        <f>LN(B816/B815)</f>
        <v>-0.011514231987377924</v>
      </c>
      <c r="F816" s="18">
        <f>LN(C816/C815)</f>
        <v>-0.003995059056570328</v>
      </c>
    </row>
    <row r="817">
      <c r="A817" s="6" t="s">
        <v>1372</v>
      </c>
      <c r="B817" s="14">
        <v>265</v>
      </c>
      <c r="C817" s="15">
        <v>5303</v>
      </c>
      <c r="D817" s="14">
        <f>C817/22.0462262</f>
        <v>240.5400340127146</v>
      </c>
      <c r="E817" s="18">
        <f>LN(B817/B816)</f>
        <v>0.022708732725424844</v>
      </c>
      <c r="F817" s="18">
        <f>LN(C817/C816)</f>
        <v>0.010806816710311102</v>
      </c>
    </row>
    <row r="818">
      <c r="A818" s="6" t="s">
        <v>1373</v>
      </c>
      <c r="B818" s="14">
        <v>263.15</v>
      </c>
      <c r="C818" s="15">
        <v>5334</v>
      </c>
      <c r="D818" s="14">
        <f>C818/22.0462262</f>
        <v>241.9461703608938</v>
      </c>
      <c r="E818" s="18">
        <f>LN(B818/B817)</f>
        <v>-0.007005614186434341</v>
      </c>
      <c r="F818" s="18">
        <f>LN(C818/C817)</f>
        <v>0.005828727604829479</v>
      </c>
    </row>
    <row r="819">
      <c r="A819" s="6" t="s">
        <v>1374</v>
      </c>
      <c r="B819" s="14">
        <v>261.65</v>
      </c>
      <c r="C819" s="15">
        <v>5248</v>
      </c>
      <c r="D819" s="14">
        <f>C819/22.0462262</f>
        <v>238.04527597562253</v>
      </c>
      <c r="E819" s="18">
        <f>LN(B819/B818)</f>
        <v>-0.005716478981571198</v>
      </c>
      <c r="F819" s="18">
        <f>LN(C819/C818)</f>
        <v>-0.01625437411803461</v>
      </c>
    </row>
    <row r="820">
      <c r="A820" s="6" t="s">
        <v>1375</v>
      </c>
      <c r="B820" s="14">
        <v>250.75</v>
      </c>
      <c r="C820" s="15">
        <v>5059</v>
      </c>
      <c r="D820" s="14">
        <f>C820/22.0462262</f>
        <v>229.4723801754334</v>
      </c>
      <c r="E820" s="18">
        <f>LN(B820/B819)</f>
        <v>-0.042551305976171766</v>
      </c>
      <c r="F820" s="18">
        <f>LN(C820/C819)</f>
        <v>-0.036678216331988873</v>
      </c>
    </row>
    <row r="821">
      <c r="A821" s="6" t="s">
        <v>1376</v>
      </c>
      <c r="B821" s="14">
        <v>263.65</v>
      </c>
      <c r="C821" s="15">
        <v>5276</v>
      </c>
      <c r="D821" s="14">
        <f>C821/22.0462262</f>
        <v>239.3153346126876</v>
      </c>
      <c r="E821" s="18">
        <f>LN(B821/B820)</f>
        <v>0.050166039134433765</v>
      </c>
      <c r="F821" s="18">
        <f>LN(C821/C820)</f>
        <v>0.041999399545269205</v>
      </c>
    </row>
    <row r="822">
      <c r="A822" s="6" t="s">
        <v>1377</v>
      </c>
      <c r="B822" s="14">
        <v>267.8</v>
      </c>
      <c r="C822" s="15">
        <v>5312</v>
      </c>
      <c r="D822" s="14">
        <f>C822/22.0462262</f>
        <v>240.94826714605696</v>
      </c>
      <c r="E822" s="18">
        <f>LN(B822/B821)</f>
        <v>0.015617967280593432</v>
      </c>
      <c r="F822" s="18">
        <f>LN(C822/C821)</f>
        <v>0.006800177319064641</v>
      </c>
    </row>
    <row r="823">
      <c r="A823" s="6" t="s">
        <v>1378</v>
      </c>
      <c r="B823" s="14">
        <v>269.1</v>
      </c>
      <c r="C823" s="15">
        <v>5152</v>
      </c>
      <c r="D823" s="14">
        <f>C823/22.0462262</f>
        <v>233.6907892199709</v>
      </c>
      <c r="E823" s="18">
        <f>LN(B823/B822)</f>
        <v>0.004842624475787991</v>
      </c>
      <c r="F823" s="18">
        <f>LN(C823/C822)</f>
        <v>-0.030583423372080278</v>
      </c>
    </row>
    <row r="824">
      <c r="A824" s="6" t="s">
        <v>1379</v>
      </c>
      <c r="B824" s="14">
        <v>273.9</v>
      </c>
      <c r="C824" s="15">
        <v>5242</v>
      </c>
      <c r="D824" s="14">
        <f>C824/22.0462262</f>
        <v>237.7731205533943</v>
      </c>
      <c r="E824" s="18">
        <f>LN(B824/B823)</f>
        <v>0.017680018536172192</v>
      </c>
      <c r="F824" s="18">
        <f>LN(C824/C823)</f>
        <v>0.01731811609916216</v>
      </c>
    </row>
    <row r="825">
      <c r="A825" s="6" t="s">
        <v>1380</v>
      </c>
      <c r="B825" s="14">
        <v>269.15</v>
      </c>
      <c r="C825" s="15">
        <v>5203</v>
      </c>
      <c r="D825" s="14">
        <f>C825/22.0462262</f>
        <v>236.00411030891084</v>
      </c>
      <c r="E825" s="18">
        <f>LN(B825/B824)</f>
        <v>-0.017494231262066243</v>
      </c>
      <c r="F825" s="18">
        <f>LN(C825/C824)</f>
        <v>-0.007467722593048153</v>
      </c>
    </row>
    <row r="826">
      <c r="A826" s="6" t="s">
        <v>1381</v>
      </c>
      <c r="B826" s="14">
        <v>270.25</v>
      </c>
      <c r="C826" s="15">
        <v>5225</v>
      </c>
      <c r="D826" s="14">
        <f>C826/22.0462262</f>
        <v>237.00201352374768</v>
      </c>
      <c r="E826" s="18">
        <f>LN(B826/B825)</f>
        <v>0.004078611512351493</v>
      </c>
      <c r="F826" s="18">
        <f>LN(C826/C825)</f>
        <v>0.0042194155427082896</v>
      </c>
    </row>
    <row r="827">
      <c r="A827" s="6" t="s">
        <v>1382</v>
      </c>
      <c r="B827" s="14">
        <v>264.15</v>
      </c>
      <c r="C827" s="15">
        <v>5179</v>
      </c>
      <c r="D827" s="14">
        <f>C827/22.0462262</f>
        <v>234.91548861999792</v>
      </c>
      <c r="E827" s="18">
        <f>LN(B827/B826)</f>
        <v>-0.02283033290899286</v>
      </c>
      <c r="F827" s="18">
        <f>LN(C827/C826)</f>
        <v>-0.008842810409120267</v>
      </c>
    </row>
    <row r="828">
      <c r="A828" s="6" t="s">
        <v>1383</v>
      </c>
      <c r="B828" s="14">
        <v>256.5</v>
      </c>
      <c r="C828" s="15">
        <v>4862</v>
      </c>
      <c r="D828" s="14">
        <f>C828/22.0462262</f>
        <v>220.53661047893993</v>
      </c>
      <c r="E828" s="18">
        <f>LN(B828/B827)</f>
        <v>-0.029388458999500523</v>
      </c>
      <c r="F828" s="18">
        <f>LN(C828/C827)</f>
        <v>-0.06316211154782277</v>
      </c>
    </row>
    <row r="829">
      <c r="A829" s="6" t="s">
        <v>1384</v>
      </c>
      <c r="B829" s="14">
        <v>252.05</v>
      </c>
      <c r="C829" s="15">
        <v>4720</v>
      </c>
      <c r="D829" s="14">
        <f>C829/22.0462262</f>
        <v>214.09559881953857</v>
      </c>
      <c r="E829" s="18">
        <f>LN(B829/B828)</f>
        <v>-0.01750118408218438</v>
      </c>
      <c r="F829" s="18">
        <f>LN(C829/C828)</f>
        <v>-0.029641076296467603</v>
      </c>
    </row>
    <row r="830">
      <c r="A830" s="6" t="s">
        <v>1385</v>
      </c>
      <c r="B830" s="14">
        <v>257.35</v>
      </c>
      <c r="C830" s="15">
        <v>4859</v>
      </c>
      <c r="D830" s="14">
        <f>C830/22.0462262</f>
        <v>220.4005327678258</v>
      </c>
      <c r="E830" s="18">
        <f>LN(B830/B829)</f>
        <v>0.020809545570123666</v>
      </c>
      <c r="F830" s="18">
        <f>LN(C830/C829)</f>
        <v>0.02902385582630184</v>
      </c>
    </row>
    <row r="831">
      <c r="A831" s="6" t="s">
        <v>1386</v>
      </c>
      <c r="B831" s="14">
        <v>244.65</v>
      </c>
      <c r="C831" s="15">
        <v>4660</v>
      </c>
      <c r="D831" s="14">
        <f>C831/22.0462262</f>
        <v>211.3740445972563</v>
      </c>
      <c r="E831" s="18">
        <f>LN(B831/B830)</f>
        <v>-0.050608408363631036</v>
      </c>
      <c r="F831" s="18">
        <f>LN(C831/C830)</f>
        <v>-0.04181720728621139</v>
      </c>
    </row>
    <row r="832">
      <c r="A832" s="6" t="s">
        <v>1387</v>
      </c>
      <c r="B832" s="14">
        <v>248.2</v>
      </c>
      <c r="C832" s="15">
        <v>4684</v>
      </c>
      <c r="D832" s="14">
        <f>C832/22.0462262</f>
        <v>212.4626662861692</v>
      </c>
      <c r="E832" s="18">
        <f>LN(B832/B831)</f>
        <v>0.014406255035374254</v>
      </c>
      <c r="F832" s="18">
        <f>LN(C832/C831)</f>
        <v>0.005136997597916328</v>
      </c>
    </row>
    <row r="833">
      <c r="A833" s="6" t="s">
        <v>1388</v>
      </c>
      <c r="B833" s="14">
        <v>250.05</v>
      </c>
      <c r="C833" s="15">
        <v>4701</v>
      </c>
      <c r="D833" s="14">
        <f>C833/22.0462262</f>
        <v>213.23377331581585</v>
      </c>
      <c r="E833" s="18">
        <f>LN(B833/B832)</f>
        <v>0.007426025094406005</v>
      </c>
      <c r="F833" s="18">
        <f>LN(C833/C832)</f>
        <v>0.0036228063065226654</v>
      </c>
    </row>
    <row r="834">
      <c r="A834" s="6" t="s">
        <v>1389</v>
      </c>
      <c r="B834" s="14">
        <v>254.75</v>
      </c>
      <c r="C834" s="15">
        <v>4742</v>
      </c>
      <c r="D834" s="14">
        <f>C834/22.0462262</f>
        <v>215.0935020343754</v>
      </c>
      <c r="E834" s="18">
        <f>LN(B834/B833)</f>
        <v>0.018621774237921468</v>
      </c>
      <c r="F834" s="18">
        <f>LN(C834/C833)</f>
        <v>0.008683735601220237</v>
      </c>
    </row>
    <row r="835">
      <c r="A835" s="6" t="s">
        <v>1390</v>
      </c>
      <c r="B835" s="14">
        <v>252.05</v>
      </c>
      <c r="C835" s="15">
        <v>4678</v>
      </c>
      <c r="D835" s="14">
        <f>C835/22.0462262</f>
        <v>212.19051086394097</v>
      </c>
      <c r="E835" s="18">
        <f>LN(B835/B834)</f>
        <v>-0.010655191574194305</v>
      </c>
      <c r="F835" s="18">
        <f>LN(C835/C834)</f>
        <v>-0.013588319481226482</v>
      </c>
    </row>
    <row r="836">
      <c r="A836" s="6" t="s">
        <v>1391</v>
      </c>
      <c r="B836" s="14">
        <v>262.05</v>
      </c>
      <c r="C836" s="15">
        <v>4843</v>
      </c>
      <c r="D836" s="14">
        <f>C836/22.0462262</f>
        <v>219.67478497521722</v>
      </c>
      <c r="E836" s="18">
        <f>LN(B836/B835)</f>
        <v>0.03890784471953539</v>
      </c>
      <c r="F836" s="18">
        <f>LN(C836/C835)</f>
        <v>0.03466369525910479</v>
      </c>
    </row>
    <row r="837">
      <c r="A837" s="6" t="s">
        <v>1392</v>
      </c>
      <c r="B837" s="14">
        <v>256.7</v>
      </c>
      <c r="C837" s="15">
        <v>4778</v>
      </c>
      <c r="D837" s="14">
        <f>C837/22.0462262</f>
        <v>216.72643456774475</v>
      </c>
      <c r="E837" s="18">
        <f>LN(B837/B836)</f>
        <v>-0.020627237371080586</v>
      </c>
      <c r="F837" s="18">
        <f>LN(C837/C836)</f>
        <v>-0.013512314517474268</v>
      </c>
    </row>
    <row r="838">
      <c r="A838" s="6" t="s">
        <v>1393</v>
      </c>
      <c r="B838" s="14">
        <v>258</v>
      </c>
      <c r="C838" s="15">
        <v>4752</v>
      </c>
      <c r="D838" s="14">
        <f>C838/22.0462262</f>
        <v>215.54709440475577</v>
      </c>
      <c r="E838" s="18">
        <f>LN(B838/B837)</f>
        <v>0.005051497044522816</v>
      </c>
      <c r="F838" s="18">
        <f>LN(C838/C837)</f>
        <v>-0.005456466843273982</v>
      </c>
    </row>
    <row r="839">
      <c r="A839" s="6" t="s">
        <v>1394</v>
      </c>
      <c r="B839" s="14">
        <v>255.15</v>
      </c>
      <c r="C839" s="15">
        <v>4598</v>
      </c>
      <c r="D839" s="14">
        <f>C839/22.0462262</f>
        <v>208.56177190089795</v>
      </c>
      <c r="E839" s="18">
        <f>LN(B839/B838)</f>
        <v>-0.011107977411636917</v>
      </c>
      <c r="F839" s="18">
        <f>LN(C839/C838)</f>
        <v>-0.03294415571935403</v>
      </c>
    </row>
    <row r="840">
      <c r="A840" s="6" t="s">
        <v>1395</v>
      </c>
      <c r="B840" s="14">
        <v>257.3</v>
      </c>
      <c r="C840" s="15">
        <v>4615</v>
      </c>
      <c r="D840" s="14">
        <f>C840/22.0462262</f>
        <v>209.33287893054458</v>
      </c>
      <c r="E840" s="18">
        <f>LN(B840/B839)</f>
        <v>0.008391111777717982</v>
      </c>
      <c r="F840" s="18">
        <f>LN(C840/C839)</f>
        <v>0.003690441613825598</v>
      </c>
    </row>
    <row r="841">
      <c r="A841" s="6" t="s">
        <v>1396</v>
      </c>
      <c r="B841" s="14">
        <v>251.7</v>
      </c>
      <c r="C841" s="15">
        <v>4503</v>
      </c>
      <c r="D841" s="14">
        <f>C841/22.0462262</f>
        <v>204.25264438228436</v>
      </c>
      <c r="E841" s="18">
        <f>LN(B841/B840)</f>
        <v>-0.022004817146428428</v>
      </c>
      <c r="F841" s="18">
        <f>LN(C841/C840)</f>
        <v>-0.024568026635380845</v>
      </c>
    </row>
    <row r="842">
      <c r="A842" s="6" t="s">
        <v>1397</v>
      </c>
      <c r="B842" s="14">
        <v>249.85</v>
      </c>
      <c r="C842" s="15">
        <v>4425</v>
      </c>
      <c r="D842" s="14">
        <f>C842/22.0462262</f>
        <v>200.7146238933174</v>
      </c>
      <c r="E842" s="18">
        <f>LN(B842/B841)</f>
        <v>-0.00737716435105618</v>
      </c>
      <c r="F842" s="18">
        <f>LN(C842/C841)</f>
        <v>-0.01747356285954176</v>
      </c>
    </row>
    <row r="843">
      <c r="A843" s="6" t="s">
        <v>1398</v>
      </c>
      <c r="B843" s="14">
        <v>252.35</v>
      </c>
      <c r="C843" s="15">
        <v>4443</v>
      </c>
      <c r="D843" s="14">
        <f>C843/22.0462262</f>
        <v>201.5310901600021</v>
      </c>
      <c r="E843" s="18">
        <f>LN(B843/B842)</f>
        <v>0.009956274996057269</v>
      </c>
      <c r="F843" s="18">
        <f>LN(C843/C842)</f>
        <v>0.004059545493878519</v>
      </c>
    </row>
    <row r="844">
      <c r="A844" s="6" t="s">
        <v>1399</v>
      </c>
      <c r="B844" s="14">
        <v>245.45</v>
      </c>
      <c r="C844" s="15">
        <v>4337</v>
      </c>
      <c r="D844" s="14">
        <f>C844/22.0462262</f>
        <v>196.72301103397007</v>
      </c>
      <c r="E844" s="18">
        <f>LN(B844/B843)</f>
        <v>-0.02772375228220991</v>
      </c>
      <c r="F844" s="18">
        <f>LN(C844/C843)</f>
        <v>-0.024146959100542226</v>
      </c>
    </row>
    <row r="845">
      <c r="A845" s="6" t="s">
        <v>1400</v>
      </c>
      <c r="B845" s="14">
        <v>248.4</v>
      </c>
      <c r="C845" s="15">
        <v>4411</v>
      </c>
      <c r="D845" s="14">
        <f>C845/22.0462262</f>
        <v>200.07959457478486</v>
      </c>
      <c r="E845" s="18">
        <f>LN(B845/B844)</f>
        <v>0.011947089555262379</v>
      </c>
      <c r="F845" s="18">
        <f>LN(C845/C844)</f>
        <v>0.01691855626957342</v>
      </c>
    </row>
    <row r="846">
      <c r="A846" s="6" t="s">
        <v>1401</v>
      </c>
      <c r="B846" s="14">
        <v>252.35</v>
      </c>
      <c r="C846" s="15">
        <v>4502</v>
      </c>
      <c r="D846" s="14">
        <f>C846/22.0462262</f>
        <v>204.20728514524632</v>
      </c>
      <c r="E846" s="18">
        <f>LN(B846/B845)</f>
        <v>0.015776662726947648</v>
      </c>
      <c r="F846" s="18">
        <f>LN(C846/C845)</f>
        <v>0.020420321361737798</v>
      </c>
    </row>
    <row r="847">
      <c r="A847" s="6" t="s">
        <v>1402</v>
      </c>
      <c r="B847" s="14">
        <v>248.1</v>
      </c>
      <c r="C847" s="15">
        <v>4398</v>
      </c>
      <c r="D847" s="14">
        <f>C847/22.0462262</f>
        <v>199.48992449329037</v>
      </c>
      <c r="E847" s="18">
        <f>LN(B847/B846)</f>
        <v>-0.016985122088516044</v>
      </c>
      <c r="F847" s="18">
        <f>LN(C847/C846)</f>
        <v>-0.0233718503519711</v>
      </c>
    </row>
    <row r="848">
      <c r="A848" s="6" t="s">
        <v>1403</v>
      </c>
      <c r="B848" s="14">
        <v>249.6</v>
      </c>
      <c r="C848" s="15">
        <v>4453</v>
      </c>
      <c r="D848" s="14">
        <f>C848/22.0462262</f>
        <v>201.98468253038246</v>
      </c>
      <c r="E848" s="18">
        <f>LN(B848/B847)</f>
        <v>0.006027745797517245</v>
      </c>
      <c r="F848" s="18">
        <f>LN(C848/C847)</f>
        <v>0.012428134206995815</v>
      </c>
    </row>
    <row r="849">
      <c r="A849" s="6" t="s">
        <v>1404</v>
      </c>
      <c r="B849" s="14">
        <v>245.9</v>
      </c>
      <c r="C849" s="15">
        <v>4369</v>
      </c>
      <c r="D849" s="14">
        <f>C849/22.0462262</f>
        <v>198.17450661918727</v>
      </c>
      <c r="E849" s="18">
        <f>LN(B849/B848)</f>
        <v>-0.014934687273125722</v>
      </c>
      <c r="F849" s="18">
        <f>LN(C849/C848)</f>
        <v>-0.019043876370266465</v>
      </c>
    </row>
    <row r="850">
      <c r="A850" s="6" t="s">
        <v>1405</v>
      </c>
      <c r="B850" s="14">
        <v>242.95</v>
      </c>
      <c r="C850" s="15">
        <v>4279</v>
      </c>
      <c r="D850" s="14">
        <f>C850/22.0462262</f>
        <v>194.0921752857639</v>
      </c>
      <c r="E850" s="18">
        <f>LN(B850/B849)</f>
        <v>-0.012069288370234991</v>
      </c>
      <c r="F850" s="18">
        <f>LN(C850/C849)</f>
        <v>-0.02081481253461908</v>
      </c>
    </row>
    <row r="851">
      <c r="A851" s="6" t="s">
        <v>1406</v>
      </c>
      <c r="B851" s="14">
        <v>245.95</v>
      </c>
      <c r="C851" s="15">
        <v>4318</v>
      </c>
      <c r="D851" s="14">
        <f>C851/22.0462262</f>
        <v>195.86118553024735</v>
      </c>
      <c r="E851" s="18">
        <f>LN(B851/B850)</f>
        <v>0.012272602389436872</v>
      </c>
      <c r="F851" s="18">
        <f>LN(C851/C850)</f>
        <v>0.009072994657935724</v>
      </c>
    </row>
    <row r="852">
      <c r="A852" s="6" t="s">
        <v>1407</v>
      </c>
      <c r="B852" s="14">
        <v>250.15</v>
      </c>
      <c r="C852" s="15">
        <v>4372</v>
      </c>
      <c r="D852" s="14">
        <f>C852/22.0462262</f>
        <v>198.3105843303014</v>
      </c>
      <c r="E852" s="18">
        <f>LN(B852/B851)</f>
        <v>0.01693247469286529</v>
      </c>
      <c r="F852" s="18">
        <f>LN(C852/C851)</f>
        <v>0.012428238221676585</v>
      </c>
    </row>
    <row r="853">
      <c r="A853" s="6" t="s">
        <v>1408</v>
      </c>
      <c r="B853" s="14">
        <v>248.75</v>
      </c>
      <c r="C853" s="15">
        <v>4307</v>
      </c>
      <c r="D853" s="14">
        <f>C853/22.0462262</f>
        <v>195.36223392282895</v>
      </c>
      <c r="E853" s="18">
        <f>LN(B853/B852)</f>
        <v>-0.005612361895511926</v>
      </c>
      <c r="F853" s="18">
        <f>LN(C853/C852)</f>
        <v>-0.014978964242318565</v>
      </c>
    </row>
    <row r="854">
      <c r="A854" s="6" t="s">
        <v>1409</v>
      </c>
      <c r="B854" s="14">
        <v>260.4</v>
      </c>
      <c r="C854" s="15">
        <v>4486</v>
      </c>
      <c r="D854" s="14">
        <f>C854/22.0462262</f>
        <v>203.4815373526377</v>
      </c>
      <c r="E854" s="18">
        <f>LN(B854/B853)</f>
        <v>0.045770534295711894</v>
      </c>
      <c r="F854" s="18">
        <f>LN(C854/C853)</f>
        <v>0.04071983002604307</v>
      </c>
    </row>
    <row r="855">
      <c r="A855" s="6" t="s">
        <v>1410</v>
      </c>
      <c r="B855" s="14">
        <v>253.35</v>
      </c>
      <c r="C855" s="15">
        <v>4376</v>
      </c>
      <c r="D855" s="14">
        <f>C855/22.0462262</f>
        <v>198.49202127845354</v>
      </c>
      <c r="E855" s="18">
        <f>LN(B855/B854)</f>
        <v>-0.0274469784124953</v>
      </c>
      <c r="F855" s="18">
        <f>LN(C855/C854)</f>
        <v>-0.024826370978336534</v>
      </c>
    </row>
    <row r="856">
      <c r="A856" s="6" t="s">
        <v>1411</v>
      </c>
      <c r="B856" s="14">
        <v>256.2</v>
      </c>
      <c r="C856" s="15">
        <v>4476</v>
      </c>
      <c r="D856" s="14">
        <f>C856/22.0462262</f>
        <v>203.02794498225734</v>
      </c>
      <c r="E856" s="18">
        <f>LN(B856/B855)</f>
        <v>0.01118645754071517</v>
      </c>
      <c r="F856" s="18">
        <f>LN(C856/C855)</f>
        <v>0.02259472532999868</v>
      </c>
    </row>
    <row r="857">
      <c r="A857" s="6" t="s">
        <v>1412</v>
      </c>
      <c r="B857" s="14">
        <v>263.55</v>
      </c>
      <c r="C857" s="15">
        <v>4537</v>
      </c>
      <c r="D857" s="14">
        <f>C857/22.0462262</f>
        <v>205.79485844157765</v>
      </c>
      <c r="E857" s="18">
        <f>LN(B857/B856)</f>
        <v>0.028284713838582103</v>
      </c>
      <c r="F857" s="18">
        <f>LN(C857/C856)</f>
        <v>0.013536210232148148</v>
      </c>
    </row>
    <row r="858">
      <c r="A858" s="6" t="s">
        <v>1413</v>
      </c>
      <c r="B858" s="14">
        <v>271.65</v>
      </c>
      <c r="C858" s="15">
        <v>4632</v>
      </c>
      <c r="D858" s="14">
        <f>C858/22.0462262</f>
        <v>210.10398596019124</v>
      </c>
      <c r="E858" s="18">
        <f>LN(B858/B857)</f>
        <v>0.03027136969631607</v>
      </c>
      <c r="F858" s="18">
        <f>LN(C858/C857)</f>
        <v>0.020722739588867247</v>
      </c>
    </row>
    <row r="859">
      <c r="A859" s="6" t="s">
        <v>1414</v>
      </c>
      <c r="B859" s="14">
        <v>278.95</v>
      </c>
      <c r="C859" s="15">
        <v>4777</v>
      </c>
      <c r="D859" s="14">
        <f>C859/22.0462262</f>
        <v>216.6810753307067</v>
      </c>
      <c r="E859" s="18">
        <f>LN(B859/B858)</f>
        <v>0.026518081294005385</v>
      </c>
      <c r="F859" s="18">
        <f>LN(C859/C858)</f>
        <v>0.03082399413713071</v>
      </c>
    </row>
    <row r="860">
      <c r="A860" s="6" t="s">
        <v>1415</v>
      </c>
      <c r="B860" s="14">
        <v>281.8</v>
      </c>
      <c r="C860" s="15">
        <v>4773</v>
      </c>
      <c r="D860" s="14">
        <f>C860/22.0462262</f>
        <v>216.49963838255456</v>
      </c>
      <c r="E860" s="18">
        <f>LN(B860/B859)</f>
        <v>0.010165045173042566</v>
      </c>
      <c r="F860" s="18">
        <f>LN(C860/C859)</f>
        <v>-0.0008376963840652377</v>
      </c>
    </row>
    <row r="861">
      <c r="A861" s="6" t="s">
        <v>1416</v>
      </c>
      <c r="B861" s="14">
        <v>280.75</v>
      </c>
      <c r="C861" s="15">
        <v>4735</v>
      </c>
      <c r="D861" s="14">
        <f>C861/22.0462262</f>
        <v>214.77598737510914</v>
      </c>
      <c r="E861" s="18">
        <f>LN(B861/B860)</f>
        <v>-0.003733005846027279</v>
      </c>
      <c r="F861" s="18">
        <f>LN(C861/C860)</f>
        <v>-0.007993311385717936</v>
      </c>
    </row>
    <row r="862">
      <c r="A862" s="6" t="s">
        <v>1417</v>
      </c>
      <c r="B862" s="14">
        <v>279.75</v>
      </c>
      <c r="C862" s="15">
        <v>4656</v>
      </c>
      <c r="D862" s="14">
        <f>C862/22.0462262</f>
        <v>211.19260764910413</v>
      </c>
      <c r="E862" s="18">
        <f>LN(B862/B861)</f>
        <v>-0.0035682464265179</v>
      </c>
      <c r="F862" s="18">
        <f>LN(C862/C861)</f>
        <v>-0.016825016208904902</v>
      </c>
    </row>
    <row r="863">
      <c r="A863" s="6" t="s">
        <v>1418</v>
      </c>
      <c r="B863" s="14">
        <v>295.3</v>
      </c>
      <c r="C863" s="15">
        <v>4798</v>
      </c>
      <c r="D863" s="14">
        <f>C863/22.0462262</f>
        <v>217.6336193085055</v>
      </c>
      <c r="E863" s="18">
        <f>LN(B863/B862)</f>
        <v>0.0540954415578425</v>
      </c>
      <c r="F863" s="18">
        <f>LN(C863/C862)</f>
        <v>0.030042453988366028</v>
      </c>
    </row>
    <row r="864">
      <c r="A864" s="6" t="s">
        <v>1419</v>
      </c>
      <c r="B864" s="14">
        <v>298.65</v>
      </c>
      <c r="C864" s="15">
        <v>4787</v>
      </c>
      <c r="D864" s="14">
        <f>C864/22.0462262</f>
        <v>217.1346677010871</v>
      </c>
      <c r="E864" s="18">
        <f>LN(B864/B863)</f>
        <v>0.011280530428437947</v>
      </c>
      <c r="F864" s="18">
        <f>LN(C864/C863)</f>
        <v>-0.0022952540071308107</v>
      </c>
    </row>
    <row r="865">
      <c r="A865" s="6" t="s">
        <v>1420</v>
      </c>
      <c r="B865" s="14">
        <v>305.25</v>
      </c>
      <c r="C865" s="15">
        <v>4985</v>
      </c>
      <c r="D865" s="14">
        <f>C865/22.0462262</f>
        <v>226.1157966346186</v>
      </c>
      <c r="E865" s="18">
        <f>LN(B865/B864)</f>
        <v>0.021858793812499232</v>
      </c>
      <c r="F865" s="18">
        <f>LN(C865/C864)</f>
        <v>0.040529493003429756</v>
      </c>
    </row>
    <row r="866">
      <c r="A866" s="6" t="s">
        <v>1421</v>
      </c>
      <c r="B866" s="14">
        <v>308.35</v>
      </c>
      <c r="C866" s="15">
        <v>5110</v>
      </c>
      <c r="D866" s="14">
        <f>C866/22.0462262</f>
        <v>231.7857012643733</v>
      </c>
      <c r="E866" s="18">
        <f>LN(B866/B865)</f>
        <v>0.010104388446687776</v>
      </c>
      <c r="F866" s="18">
        <f>LN(C866/C865)</f>
        <v>0.024766000801811343</v>
      </c>
    </row>
    <row r="867">
      <c r="A867" s="6" t="s">
        <v>1422</v>
      </c>
      <c r="B867" s="14">
        <v>312.15</v>
      </c>
      <c r="C867" s="15">
        <v>5114</v>
      </c>
      <c r="D867" s="14">
        <f>C867/22.0462262</f>
        <v>231.96713821252547</v>
      </c>
      <c r="E867" s="18">
        <f>LN(B867/B866)</f>
        <v>0.012248340070251162</v>
      </c>
      <c r="F867" s="18">
        <f>LN(C867/C866)</f>
        <v>0.000782472653381744</v>
      </c>
    </row>
    <row r="868">
      <c r="A868" s="6" t="s">
        <v>1423</v>
      </c>
      <c r="B868" s="14">
        <v>326.15</v>
      </c>
      <c r="C868" s="15">
        <v>5496</v>
      </c>
      <c r="D868" s="14">
        <f>C868/22.0462262</f>
        <v>249.29436676105593</v>
      </c>
      <c r="E868" s="18">
        <f>LN(B868/B867)</f>
        <v>0.043873556734351934</v>
      </c>
      <c r="F868" s="18">
        <f>LN(C868/C867)</f>
        <v>0.07203867805105338</v>
      </c>
    </row>
    <row r="869">
      <c r="A869" s="6" t="s">
        <v>1424</v>
      </c>
      <c r="B869" s="14">
        <v>321.65</v>
      </c>
      <c r="C869" s="15">
        <v>5377</v>
      </c>
      <c r="D869" s="14">
        <f>C869/22.0462262</f>
        <v>243.8966175535294</v>
      </c>
      <c r="E869" s="18">
        <f>LN(B869/B868)</f>
        <v>-0.013893400385095591</v>
      </c>
      <c r="F869" s="18">
        <f>LN(C869/C868)</f>
        <v>-0.0218899570925072</v>
      </c>
    </row>
    <row r="870">
      <c r="A870" s="6" t="s">
        <v>1425</v>
      </c>
      <c r="B870" s="14">
        <v>299.2</v>
      </c>
      <c r="C870" s="15">
        <v>4806</v>
      </c>
      <c r="D870" s="14">
        <f>C870/22.0462262</f>
        <v>217.9964932048098</v>
      </c>
      <c r="E870" s="18">
        <f>LN(B870/B869)</f>
        <v>-0.07235175175668719</v>
      </c>
      <c r="F870" s="18">
        <f>LN(C870/C869)</f>
        <v>-0.11226546051326383</v>
      </c>
    </row>
    <row r="871">
      <c r="A871" s="6" t="s">
        <v>1426</v>
      </c>
      <c r="B871" s="14">
        <v>297.7</v>
      </c>
      <c r="C871" s="15">
        <v>4604</v>
      </c>
      <c r="D871" s="14">
        <f>C871/22.0462262</f>
        <v>208.83392732312618</v>
      </c>
      <c r="E871" s="18">
        <f>LN(B871/B870)</f>
        <v>-0.00502597807859147</v>
      </c>
      <c r="F871" s="18">
        <f>LN(C871/C870)</f>
        <v>-0.04293964645464091</v>
      </c>
    </row>
    <row r="872">
      <c r="A872" s="6" t="s">
        <v>1427</v>
      </c>
      <c r="B872" s="14">
        <v>305.95</v>
      </c>
      <c r="C872" s="15">
        <v>4751</v>
      </c>
      <c r="D872" s="14">
        <f>C872/22.0462262</f>
        <v>215.50173516771773</v>
      </c>
      <c r="E872" s="18">
        <f>LN(B872/B871)</f>
        <v>0.027335421886818922</v>
      </c>
      <c r="F872" s="18">
        <f>LN(C872/C871)</f>
        <v>0.03142963134514816</v>
      </c>
    </row>
    <row r="873">
      <c r="A873" s="6" t="s">
        <v>1428</v>
      </c>
      <c r="B873" s="14">
        <v>315.75</v>
      </c>
      <c r="C873" s="15">
        <v>4873</v>
      </c>
      <c r="D873" s="14">
        <f>C873/22.0462262</f>
        <v>221.03556208635834</v>
      </c>
      <c r="E873" s="18">
        <f>LN(B873/B872)</f>
        <v>0.03152907132205108</v>
      </c>
      <c r="F873" s="18">
        <f>LN(C873/C872)</f>
        <v>0.025354641656584864</v>
      </c>
    </row>
    <row r="874">
      <c r="A874" s="6" t="s">
        <v>1429</v>
      </c>
      <c r="B874" s="14">
        <v>332.5</v>
      </c>
      <c r="C874" s="15">
        <v>5116</v>
      </c>
      <c r="D874" s="14">
        <f>C874/22.0462262</f>
        <v>232.05785668660155</v>
      </c>
      <c r="E874" s="18">
        <f>LN(B874/B873)</f>
        <v>0.05168909886530844</v>
      </c>
      <c r="F874" s="18">
        <f>LN(C874/C873)</f>
        <v>0.04866311985522703</v>
      </c>
    </row>
    <row r="875">
      <c r="A875" s="6" t="s">
        <v>1430</v>
      </c>
      <c r="B875" s="14">
        <v>332.3</v>
      </c>
      <c r="C875" s="15">
        <v>5200</v>
      </c>
      <c r="D875" s="14">
        <f>C875/22.0462262</f>
        <v>235.8680325977967</v>
      </c>
      <c r="E875" s="18">
        <f>LN(B875/B874)</f>
        <v>-0.0006016847353602301</v>
      </c>
      <c r="F875" s="18">
        <f>LN(C875/C874)</f>
        <v>0.016285741870785467</v>
      </c>
    </row>
    <row r="876">
      <c r="A876" s="6" t="s">
        <v>1431</v>
      </c>
      <c r="B876" s="14">
        <v>335.65</v>
      </c>
      <c r="C876" s="15">
        <v>5232</v>
      </c>
      <c r="D876" s="14">
        <f>C876/22.0462262</f>
        <v>237.31952818301394</v>
      </c>
      <c r="E876" s="18">
        <f>LN(B876/B875)</f>
        <v>0.010030775024211786</v>
      </c>
      <c r="F876" s="18">
        <f>LN(C876/C875)</f>
        <v>0.006134988567515929</v>
      </c>
    </row>
    <row r="877">
      <c r="A877" s="6" t="s">
        <v>1432</v>
      </c>
      <c r="B877" s="14">
        <v>321.7</v>
      </c>
      <c r="C877" s="15">
        <v>5101</v>
      </c>
      <c r="D877" s="14">
        <f>C877/22.0462262</f>
        <v>231.37746813103098</v>
      </c>
      <c r="E877" s="18">
        <f>LN(B877/B876)</f>
        <v>-0.04244951613977983</v>
      </c>
      <c r="F877" s="18">
        <f>LN(C877/C876)</f>
        <v>-0.025357015214108096</v>
      </c>
    </row>
    <row r="878">
      <c r="A878" s="6" t="s">
        <v>1433</v>
      </c>
      <c r="B878" s="14">
        <v>322.6</v>
      </c>
      <c r="C878" s="15">
        <v>5152</v>
      </c>
      <c r="D878" s="14">
        <f>C878/22.0462262</f>
        <v>233.6907892199709</v>
      </c>
      <c r="E878" s="18">
        <f>LN(B878/B877)</f>
        <v>0.002793731446127911</v>
      </c>
      <c r="F878" s="18">
        <f>LN(C878/C877)</f>
        <v>0.009948389861263073</v>
      </c>
    </row>
    <row r="879">
      <c r="A879" s="6" t="s">
        <v>1434</v>
      </c>
      <c r="B879" s="14">
        <v>320.85</v>
      </c>
      <c r="C879" s="15">
        <v>5184</v>
      </c>
      <c r="D879" s="14">
        <f>C879/22.0462262</f>
        <v>235.14228480518813</v>
      </c>
      <c r="E879" s="18">
        <f>LN(B879/B878)</f>
        <v>-0.005439441494584215</v>
      </c>
      <c r="F879" s="18">
        <f>LN(C879/C878)</f>
        <v>0.00619197024792098</v>
      </c>
    </row>
    <row r="880">
      <c r="A880" s="6" t="s">
        <v>1435</v>
      </c>
      <c r="B880" s="14">
        <v>328.75</v>
      </c>
      <c r="C880" s="15">
        <v>5203</v>
      </c>
      <c r="D880" s="14">
        <f>C880/22.0462262</f>
        <v>236.00411030891084</v>
      </c>
      <c r="E880" s="18">
        <f>LN(B880/B879)</f>
        <v>0.024323859295449876</v>
      </c>
      <c r="F880" s="18">
        <f>LN(C880/C879)</f>
        <v>0.0036584232581929194</v>
      </c>
    </row>
    <row r="881">
      <c r="A881" s="6" t="s">
        <v>1436</v>
      </c>
      <c r="B881" s="14">
        <v>325.45</v>
      </c>
      <c r="C881" s="15">
        <v>5168</v>
      </c>
      <c r="D881" s="14">
        <f>C881/22.0462262</f>
        <v>234.4165370125795</v>
      </c>
      <c r="E881" s="18">
        <f>LN(B881/B880)</f>
        <v>-0.010088743473578035</v>
      </c>
      <c r="F881" s="18">
        <f>LN(C881/C880)</f>
        <v>-0.006749615827865719</v>
      </c>
    </row>
    <row r="882">
      <c r="A882" s="6" t="s">
        <v>1437</v>
      </c>
      <c r="B882" s="14">
        <v>333.15</v>
      </c>
      <c r="C882" s="15">
        <v>5139</v>
      </c>
      <c r="D882" s="14">
        <f>C882/22.0462262</f>
        <v>233.1011191384764</v>
      </c>
      <c r="E882" s="18">
        <f>LN(B882/B881)</f>
        <v>0.02338399899014988</v>
      </c>
      <c r="F882" s="18">
        <f>LN(C882/C881)</f>
        <v>-0.005627258470208188</v>
      </c>
    </row>
    <row r="883">
      <c r="A883" s="6" t="s">
        <v>1438</v>
      </c>
      <c r="B883" s="14">
        <v>323.75</v>
      </c>
      <c r="C883" s="15">
        <v>5046</v>
      </c>
      <c r="D883" s="14">
        <f>C883/22.0462262</f>
        <v>228.8827100939389</v>
      </c>
      <c r="E883" s="18">
        <f>LN(B883/B882)</f>
        <v>-0.028621225994798605</v>
      </c>
      <c r="F883" s="18">
        <f>LN(C883/C882)</f>
        <v>-0.01826265779122655</v>
      </c>
    </row>
    <row r="884">
      <c r="A884" s="6" t="s">
        <v>1439</v>
      </c>
      <c r="B884" s="14">
        <v>325</v>
      </c>
      <c r="C884" s="15">
        <v>5002</v>
      </c>
      <c r="D884" s="14">
        <f>C884/22.0462262</f>
        <v>226.88690366426522</v>
      </c>
      <c r="E884" s="18">
        <f>LN(B884/B883)</f>
        <v>0.0038535693159899723</v>
      </c>
      <c r="F884" s="18">
        <f>LN(C884/C883)</f>
        <v>-0.008758017763438732</v>
      </c>
    </row>
    <row r="885">
      <c r="A885" s="6" t="s">
        <v>1440</v>
      </c>
      <c r="B885" s="14">
        <v>327.25</v>
      </c>
      <c r="C885" s="15">
        <v>5008</v>
      </c>
      <c r="D885" s="14">
        <f>C885/22.0462262</f>
        <v>227.15905908649344</v>
      </c>
      <c r="E885" s="18">
        <f>LN(B885/B884)</f>
        <v>0.006899222460271933</v>
      </c>
      <c r="F885" s="18">
        <f>LN(C885/C884)</f>
        <v>0.0011988013423701262</v>
      </c>
    </row>
    <row r="886">
      <c r="A886" s="6" t="s">
        <v>1441</v>
      </c>
      <c r="B886" s="14">
        <v>328.6</v>
      </c>
      <c r="C886" s="15">
        <v>5041</v>
      </c>
      <c r="D886" s="14">
        <f>C886/22.0462262</f>
        <v>228.65591390874872</v>
      </c>
      <c r="E886" s="18">
        <f>LN(B886/B885)</f>
        <v>0.004116800813158481</v>
      </c>
      <c r="F886" s="18">
        <f>LN(C886/C885)</f>
        <v>0.006567841302696494</v>
      </c>
    </row>
    <row r="887">
      <c r="A887" s="6" t="s">
        <v>1442</v>
      </c>
      <c r="B887" s="14">
        <v>322.65</v>
      </c>
      <c r="C887" s="15">
        <v>4953</v>
      </c>
      <c r="D887" s="14">
        <f>C887/22.0462262</f>
        <v>224.6643010494014</v>
      </c>
      <c r="E887" s="18">
        <f>LN(B887/B886)</f>
        <v>-0.018273061221319102</v>
      </c>
      <c r="F887" s="18">
        <f>LN(C887/C886)</f>
        <v>-0.01761102149439313</v>
      </c>
    </row>
    <row r="888">
      <c r="A888" s="6" t="s">
        <v>1443</v>
      </c>
      <c r="B888" s="14">
        <v>321</v>
      </c>
      <c r="C888" s="15">
        <v>4921</v>
      </c>
      <c r="D888" s="14">
        <f>C888/22.0462262</f>
        <v>223.21280546418416</v>
      </c>
      <c r="E888" s="18">
        <f>LN(B888/B887)</f>
        <v>-0.005127021251832766</v>
      </c>
      <c r="F888" s="18">
        <f>LN(C888/C887)</f>
        <v>-0.006481691722259534</v>
      </c>
    </row>
    <row r="889">
      <c r="A889" s="6" t="s">
        <v>1444</v>
      </c>
      <c r="B889" s="14">
        <v>319.75</v>
      </c>
      <c r="C889" s="15">
        <v>4875</v>
      </c>
      <c r="D889" s="14">
        <f>C889/22.0462262</f>
        <v>221.12628056043442</v>
      </c>
      <c r="E889" s="18">
        <f>LN(B889/B888)</f>
        <v>-0.0039016826710637663</v>
      </c>
      <c r="F889" s="18">
        <f>LN(C889/C888)</f>
        <v>-0.009391657434030634</v>
      </c>
    </row>
    <row r="890">
      <c r="A890" s="6" t="s">
        <v>1445</v>
      </c>
      <c r="B890" s="14">
        <v>326.85</v>
      </c>
      <c r="C890" s="15">
        <v>5056</v>
      </c>
      <c r="D890" s="14">
        <f>C890/22.0462262</f>
        <v>229.33630246431926</v>
      </c>
      <c r="E890" s="18">
        <f>LN(B890/B889)</f>
        <v>0.021961909599786476</v>
      </c>
      <c r="F890" s="18">
        <f>LN(C890/C889)</f>
        <v>0.03645555239474581</v>
      </c>
    </row>
    <row r="891">
      <c r="A891" s="6" t="s">
        <v>1446</v>
      </c>
      <c r="B891" s="14">
        <v>318.65</v>
      </c>
      <c r="C891" s="15">
        <v>4968</v>
      </c>
      <c r="D891" s="14">
        <f>C891/22.0462262</f>
        <v>225.34468960497193</v>
      </c>
      <c r="E891" s="18">
        <f>LN(B891/B890)</f>
        <v>-0.02540802829843564</v>
      </c>
      <c r="F891" s="18">
        <f>LN(C891/C890)</f>
        <v>-0.017558312213378637</v>
      </c>
    </row>
    <row r="892">
      <c r="A892" s="6" t="s">
        <v>1447</v>
      </c>
      <c r="B892" s="14">
        <v>318.6</v>
      </c>
      <c r="C892" s="15">
        <v>4984</v>
      </c>
      <c r="D892" s="14">
        <f>C892/22.0462262</f>
        <v>226.07043739758055</v>
      </c>
      <c r="E892" s="18">
        <f>LN(B892/B891)</f>
        <v>-0.00015692428435480827</v>
      </c>
      <c r="F892" s="18">
        <f>LN(C892/C891)</f>
        <v>0.003215436853974393</v>
      </c>
    </row>
    <row r="893">
      <c r="A893" s="6" t="s">
        <v>1448</v>
      </c>
      <c r="B893" s="14">
        <v>320.5</v>
      </c>
      <c r="C893" s="15">
        <v>5019</v>
      </c>
      <c r="D893" s="14">
        <f>C893/22.0462262</f>
        <v>227.65801069391188</v>
      </c>
      <c r="E893" s="18">
        <f>LN(B893/B892)</f>
        <v>0.0059458788847765315</v>
      </c>
      <c r="F893" s="18">
        <f>LN(C893/C892)</f>
        <v>0.006997929187644637</v>
      </c>
    </row>
    <row r="894">
      <c r="A894" s="6" t="s">
        <v>1449</v>
      </c>
      <c r="B894" s="14">
        <v>316.45</v>
      </c>
      <c r="C894" s="15">
        <v>4956</v>
      </c>
      <c r="D894" s="14">
        <f>C894/22.0462262</f>
        <v>224.80037876051549</v>
      </c>
      <c r="E894" s="18">
        <f>LN(B894/B893)</f>
        <v>-0.012717025139410398</v>
      </c>
      <c r="F894" s="18">
        <f>LN(C894/C893)</f>
        <v>-0.012631746905900574</v>
      </c>
    </row>
    <row r="895">
      <c r="A895" s="6" t="s">
        <v>1450</v>
      </c>
      <c r="B895" s="14">
        <v>318.5</v>
      </c>
      <c r="C895" s="15">
        <v>4979</v>
      </c>
      <c r="D895" s="14">
        <f>C895/22.0462262</f>
        <v>225.84364121239037</v>
      </c>
      <c r="E895" s="18">
        <f>LN(B895/B894)</f>
        <v>0.006457223790903746</v>
      </c>
      <c r="F895" s="18">
        <f>LN(C895/C894)</f>
        <v>0.004630103893149763</v>
      </c>
    </row>
    <row r="896">
      <c r="A896" s="6" t="s">
        <v>1451</v>
      </c>
      <c r="B896" s="14">
        <v>323.85</v>
      </c>
      <c r="C896" s="15">
        <v>4966</v>
      </c>
      <c r="D896" s="14">
        <f>C896/22.0462262</f>
        <v>225.25397113089588</v>
      </c>
      <c r="E896" s="18">
        <f>LN(B896/B895)</f>
        <v>0.016657970616708113</v>
      </c>
      <c r="F896" s="18">
        <f>LN(C896/C895)</f>
        <v>-0.0026143805740708207</v>
      </c>
    </row>
    <row r="897">
      <c r="A897" s="6" t="s">
        <v>1452</v>
      </c>
      <c r="B897" s="14">
        <v>325.95</v>
      </c>
      <c r="C897" s="15">
        <v>4902</v>
      </c>
      <c r="D897" s="14">
        <f>C897/22.0462262</f>
        <v>222.35097996046144</v>
      </c>
      <c r="E897" s="18">
        <f>LN(B897/B896)</f>
        <v>0.006463549741622092</v>
      </c>
      <c r="F897" s="18">
        <f>LN(C897/C896)</f>
        <v>-0.012971401980053997</v>
      </c>
    </row>
    <row r="898">
      <c r="A898" s="6" t="s">
        <v>1453</v>
      </c>
      <c r="B898" s="14">
        <v>321.95</v>
      </c>
      <c r="C898" s="15">
        <v>4863</v>
      </c>
      <c r="D898" s="14">
        <f>C898/22.0462262</f>
        <v>220.58196971597798</v>
      </c>
      <c r="E898" s="18">
        <f>LN(B898/B897)</f>
        <v>-0.012347741386355835</v>
      </c>
      <c r="F898" s="18">
        <f>LN(C898/C897)</f>
        <v>-0.00798775368427204</v>
      </c>
    </row>
    <row r="899">
      <c r="A899" s="6" t="s">
        <v>1454</v>
      </c>
      <c r="B899" s="14">
        <v>330.45</v>
      </c>
      <c r="C899" s="15">
        <v>4912</v>
      </c>
      <c r="D899" s="14">
        <f>C899/22.0462262</f>
        <v>222.80457233084184</v>
      </c>
      <c r="E899" s="18">
        <f>LN(B899/B898)</f>
        <v>0.026059107932269312</v>
      </c>
      <c r="F899" s="18">
        <f>LN(C899/C898)</f>
        <v>0.010025659423192636</v>
      </c>
    </row>
    <row r="900">
      <c r="A900" s="6" t="s">
        <v>1455</v>
      </c>
      <c r="B900" s="14">
        <v>327.15</v>
      </c>
      <c r="C900" s="15">
        <v>4889</v>
      </c>
      <c r="D900" s="14">
        <f>C900/22.0462262</f>
        <v>221.76130987896696</v>
      </c>
      <c r="E900" s="18">
        <f>LN(B900/B899)</f>
        <v>-0.010036580600714063</v>
      </c>
      <c r="F900" s="18">
        <f>LN(C900/C899)</f>
        <v>-0.00469340724833281</v>
      </c>
    </row>
    <row r="901">
      <c r="A901" s="6" t="s">
        <v>1456</v>
      </c>
      <c r="B901" s="14">
        <v>328.35</v>
      </c>
      <c r="C901" s="15">
        <v>5006</v>
      </c>
      <c r="D901" s="14">
        <f>C901/22.0462262</f>
        <v>227.0683406124174</v>
      </c>
      <c r="E901" s="18">
        <f>LN(B901/B900)</f>
        <v>0.00366133132123407</v>
      </c>
      <c r="F901" s="18">
        <f>LN(C901/C900)</f>
        <v>0.023649409413073866</v>
      </c>
    </row>
    <row r="902">
      <c r="A902" s="6" t="s">
        <v>1457</v>
      </c>
      <c r="B902" s="14">
        <v>327.8</v>
      </c>
      <c r="C902" s="15">
        <v>5263</v>
      </c>
      <c r="D902" s="14">
        <f>C902/22.0462262</f>
        <v>238.7256645311931</v>
      </c>
      <c r="E902" s="18">
        <f>LN(B902/B901)</f>
        <v>-0.0016764463272523713</v>
      </c>
      <c r="F902" s="18">
        <f>LN(C902/C901)</f>
        <v>0.05006401336205952</v>
      </c>
    </row>
    <row r="903">
      <c r="A903" s="6" t="s">
        <v>1458</v>
      </c>
      <c r="B903" s="14">
        <v>341.85</v>
      </c>
      <c r="C903" s="15">
        <v>5452</v>
      </c>
      <c r="D903" s="14">
        <f>C903/22.0462262</f>
        <v>247.29856033138225</v>
      </c>
      <c r="E903" s="18">
        <f>LN(B903/B902)</f>
        <v>0.0419683780500737</v>
      </c>
      <c r="F903" s="18">
        <f>LN(C903/C902)</f>
        <v>0.03528130746264421</v>
      </c>
    </row>
    <row r="904">
      <c r="A904" s="6" t="s">
        <v>1459</v>
      </c>
      <c r="B904" s="14">
        <v>343.95</v>
      </c>
      <c r="C904" s="15">
        <v>5482</v>
      </c>
      <c r="D904" s="14">
        <f>C904/22.0462262</f>
        <v>248.6593374425234</v>
      </c>
      <c r="E904" s="18">
        <f>LN(B904/B903)</f>
        <v>0.006124253612219981</v>
      </c>
      <c r="F904" s="18">
        <f>LN(C904/C903)</f>
        <v>0.005487484046307783</v>
      </c>
    </row>
    <row r="905">
      <c r="A905" s="6" t="s">
        <v>1460</v>
      </c>
      <c r="B905" s="14">
        <v>347.55</v>
      </c>
      <c r="C905" s="15">
        <v>5544</v>
      </c>
      <c r="D905" s="14">
        <f>C905/22.0462262</f>
        <v>251.47161013888174</v>
      </c>
      <c r="E905" s="18">
        <f>LN(B905/B904)</f>
        <v>0.010412241574471822</v>
      </c>
      <c r="F905" s="18">
        <f>LN(C905/C904)</f>
        <v>0.011246264007008107</v>
      </c>
    </row>
    <row r="906">
      <c r="A906" s="6" t="s">
        <v>1461</v>
      </c>
      <c r="B906" s="14">
        <v>349.2</v>
      </c>
      <c r="C906" s="15">
        <v>5420</v>
      </c>
      <c r="D906" s="14">
        <f>C906/22.0462262</f>
        <v>245.84706474616505</v>
      </c>
      <c r="E906" s="18">
        <f>LN(B906/B905)</f>
        <v>0.004736284418952117</v>
      </c>
      <c r="F906" s="18">
        <f>LN(C906/C905)</f>
        <v>-0.022620446436047267</v>
      </c>
    </row>
    <row r="907">
      <c r="A907" s="6" t="s">
        <v>1462</v>
      </c>
      <c r="B907" s="14">
        <v>357.5</v>
      </c>
      <c r="C907" s="15">
        <v>5443</v>
      </c>
      <c r="D907" s="14">
        <f>C907/22.0462262</f>
        <v>246.89032719803993</v>
      </c>
      <c r="E907" s="18">
        <f>LN(B907/B906)</f>
        <v>0.02349053816861534</v>
      </c>
      <c r="F907" s="18">
        <f>LN(C907/C906)</f>
        <v>0.0042345640005081306</v>
      </c>
    </row>
    <row r="908">
      <c r="A908" s="6" t="s">
        <v>1463</v>
      </c>
      <c r="B908" s="14">
        <v>366.55</v>
      </c>
      <c r="C908" s="15">
        <v>5511</v>
      </c>
      <c r="D908" s="14">
        <f>C908/22.0462262</f>
        <v>249.9747553166265</v>
      </c>
      <c r="E908" s="18">
        <f>LN(B908/B907)</f>
        <v>0.02499957553553321</v>
      </c>
      <c r="F908" s="18">
        <f>LN(C908/C907)</f>
        <v>0.012415715449035265</v>
      </c>
    </row>
    <row r="909">
      <c r="A909" s="6" t="s">
        <v>1464</v>
      </c>
      <c r="B909" s="14">
        <v>373.4</v>
      </c>
      <c r="C909" s="15">
        <v>5625</v>
      </c>
      <c r="D909" s="14">
        <f>C909/22.0462262</f>
        <v>255.1457083389628</v>
      </c>
      <c r="E909" s="18">
        <f>LN(B909/B908)</f>
        <v>0.018515293438026527</v>
      </c>
      <c r="F909" s="18">
        <f>LN(C909/C908)</f>
        <v>0.02047485318938554</v>
      </c>
    </row>
    <row r="910">
      <c r="A910" s="6" t="s">
        <v>1465</v>
      </c>
      <c r="B910" s="14">
        <v>377.85</v>
      </c>
      <c r="C910" s="15">
        <v>5618</v>
      </c>
      <c r="D910" s="14">
        <f>C910/22.0462262</f>
        <v>254.82819367969654</v>
      </c>
      <c r="E910" s="18">
        <f>LN(B910/B909)</f>
        <v>0.011847060359106808</v>
      </c>
      <c r="F910" s="18">
        <f>LN(C910/C909)</f>
        <v>-0.0012452194084319516</v>
      </c>
    </row>
    <row r="911">
      <c r="A911" s="6" t="s">
        <v>1466</v>
      </c>
      <c r="B911" s="14">
        <v>380.9</v>
      </c>
      <c r="C911" s="15">
        <v>5453</v>
      </c>
      <c r="D911" s="14">
        <f>C911/22.0462262</f>
        <v>247.3439195684203</v>
      </c>
      <c r="E911" s="18">
        <f>LN(B911/B910)</f>
        <v>0.00803958201782941</v>
      </c>
      <c r="F911" s="18">
        <f>LN(C911/C910)</f>
        <v>-0.029809812738127394</v>
      </c>
    </row>
    <row r="912">
      <c r="A912" s="6" t="s">
        <v>1467</v>
      </c>
      <c r="B912" s="14">
        <v>383.35</v>
      </c>
      <c r="C912" s="15">
        <v>5481</v>
      </c>
      <c r="D912" s="14">
        <f>C912/22.0462262</f>
        <v>248.61397820548535</v>
      </c>
      <c r="E912" s="18">
        <f>LN(B912/B911)</f>
        <v>0.006411536520345096</v>
      </c>
      <c r="F912" s="18">
        <f>LN(C912/C911)</f>
        <v>0.005121650120054924</v>
      </c>
    </row>
    <row r="913">
      <c r="A913" s="6" t="s">
        <v>1468</v>
      </c>
      <c r="B913" s="14">
        <v>397.75</v>
      </c>
      <c r="C913" s="15">
        <v>5580</v>
      </c>
      <c r="D913" s="14">
        <f>C913/22.0462262</f>
        <v>253.10454267225109</v>
      </c>
      <c r="E913" s="18">
        <f>LN(B913/B912)</f>
        <v>0.03687525721299285</v>
      </c>
      <c r="F913" s="18">
        <f>LN(C913/C912)</f>
        <v>0.017901210329240302</v>
      </c>
    </row>
    <row r="914">
      <c r="A914" s="6" t="s">
        <v>1469</v>
      </c>
      <c r="B914" s="14">
        <v>403.95</v>
      </c>
      <c r="C914" s="15">
        <v>5601</v>
      </c>
      <c r="D914" s="14">
        <f>C914/22.0462262</f>
        <v>254.05708665004988</v>
      </c>
      <c r="E914" s="18">
        <f>LN(B914/B913)</f>
        <v>0.015467440707821247</v>
      </c>
      <c r="F914" s="18">
        <f>LN(C914/C913)</f>
        <v>0.0037563768344755916</v>
      </c>
    </row>
    <row r="915">
      <c r="A915" s="6" t="s">
        <v>1470</v>
      </c>
      <c r="B915" s="14">
        <v>404.35</v>
      </c>
      <c r="C915" s="15">
        <v>5517</v>
      </c>
      <c r="D915" s="14">
        <f>C915/22.0462262</f>
        <v>250.24691073885472</v>
      </c>
      <c r="E915" s="18">
        <f>LN(B915/B914)</f>
        <v>0.0009897316161135406</v>
      </c>
      <c r="F915" s="18">
        <f>LN(C915/C914)</f>
        <v>-0.01511091893740153</v>
      </c>
    </row>
    <row r="916">
      <c r="A916" s="6" t="s">
        <v>1471</v>
      </c>
      <c r="B916" s="14">
        <v>429.05</v>
      </c>
      <c r="C916" s="15">
        <v>5646</v>
      </c>
      <c r="D916" s="14">
        <f>C916/22.0462262</f>
        <v>256.0982523167616</v>
      </c>
      <c r="E916" s="18">
        <f>LN(B916/B915)</f>
        <v>0.05929262271129876</v>
      </c>
      <c r="F916" s="18">
        <f>LN(C916/C915)</f>
        <v>0.023113095541003843</v>
      </c>
    </row>
    <row r="917">
      <c r="A917" s="6" t="s">
        <v>1472</v>
      </c>
      <c r="B917" s="14">
        <v>413.45</v>
      </c>
      <c r="C917" s="15">
        <v>5611</v>
      </c>
      <c r="D917" s="14">
        <f>C917/22.0462262</f>
        <v>254.51067902043027</v>
      </c>
      <c r="E917" s="18">
        <f>LN(B917/B916)</f>
        <v>-0.03703687408495425</v>
      </c>
      <c r="F917" s="18">
        <f>LN(C917/C916)</f>
        <v>-0.006218373062462697</v>
      </c>
    </row>
    <row r="918">
      <c r="A918" s="6" t="s">
        <v>1473</v>
      </c>
      <c r="B918" s="14">
        <v>431.8</v>
      </c>
      <c r="C918" s="15">
        <v>5765</v>
      </c>
      <c r="D918" s="14">
        <f>C918/22.0462262</f>
        <v>261.4960015242881</v>
      </c>
      <c r="E918" s="18">
        <f>LN(B918/B917)</f>
        <v>0.04342592991253137</v>
      </c>
      <c r="F918" s="18">
        <f>LN(C918/C917)</f>
        <v>0.027076196952187458</v>
      </c>
    </row>
    <row r="919">
      <c r="A919" s="6" t="s">
        <v>1474</v>
      </c>
      <c r="B919" s="14">
        <v>438.9</v>
      </c>
      <c r="C919" s="15">
        <v>5740</v>
      </c>
      <c r="D919" s="14">
        <f>C919/22.0462262</f>
        <v>260.36202059833715</v>
      </c>
      <c r="E919" s="18">
        <f>LN(B919/B918)</f>
        <v>0.01630907861348118</v>
      </c>
      <c r="F919" s="18">
        <f>LN(C919/C918)</f>
        <v>-0.0043459433895472604</v>
      </c>
    </row>
    <row r="920">
      <c r="A920" s="6" t="s">
        <v>1475</v>
      </c>
      <c r="B920" s="14">
        <v>419.75</v>
      </c>
      <c r="C920" s="15">
        <v>5674</v>
      </c>
      <c r="D920" s="14">
        <f>C920/22.0462262</f>
        <v>257.36831095382666</v>
      </c>
      <c r="E920" s="18">
        <f>LN(B920/B919)</f>
        <v>-0.04461230073653805</v>
      </c>
      <c r="F920" s="18">
        <f>LN(C920/C919)</f>
        <v>-0.01156487394481544</v>
      </c>
    </row>
    <row r="921">
      <c r="A921" s="6" t="s">
        <v>1476</v>
      </c>
      <c r="B921" s="14">
        <v>419</v>
      </c>
      <c r="C921" s="15">
        <v>5678</v>
      </c>
      <c r="D921" s="14">
        <f>C921/22.0462262</f>
        <v>257.5497479019788</v>
      </c>
      <c r="E921" s="18">
        <f>LN(B921/B920)</f>
        <v>-0.0017883760355124918</v>
      </c>
      <c r="F921" s="18">
        <f>LN(C921/C920)</f>
        <v>0.0007047216641198318</v>
      </c>
    </row>
    <row r="922">
      <c r="A922" s="6" t="s">
        <v>1477</v>
      </c>
      <c r="B922" s="14">
        <v>417.9</v>
      </c>
      <c r="C922" s="15">
        <v>5701</v>
      </c>
      <c r="D922" s="14">
        <f>C922/22.0462262</f>
        <v>258.5930103538537</v>
      </c>
      <c r="E922" s="18">
        <f>LN(B922/B921)</f>
        <v>-0.0026287504682680667</v>
      </c>
      <c r="F922" s="18">
        <f>LN(C922/C921)</f>
        <v>0.004042539998665351</v>
      </c>
    </row>
    <row r="923">
      <c r="A923" s="6" t="s">
        <v>1478</v>
      </c>
      <c r="B923" s="14">
        <v>395.75</v>
      </c>
      <c r="C923" s="15">
        <v>5610</v>
      </c>
      <c r="D923" s="14">
        <f>C923/22.0462262</f>
        <v>254.46531978339223</v>
      </c>
      <c r="E923" s="18">
        <f>LN(B923/B922)</f>
        <v>-0.0544594706927481</v>
      </c>
      <c r="F923" s="18">
        <f>LN(C923/C922)</f>
        <v>-0.016090878514839816</v>
      </c>
    </row>
    <row r="924">
      <c r="A924" s="6" t="s">
        <v>1479</v>
      </c>
      <c r="B924" s="14">
        <v>400</v>
      </c>
      <c r="C924" s="15">
        <v>5670</v>
      </c>
      <c r="D924" s="14">
        <f>C924/22.0462262</f>
        <v>257.1868740056745</v>
      </c>
      <c r="E924" s="18">
        <f>LN(B924/B923)</f>
        <v>0.010681848346860354</v>
      </c>
      <c r="F924" s="18">
        <f>LN(C924/C923)</f>
        <v>0.010638398205055797</v>
      </c>
    </row>
    <row r="925">
      <c r="A925" s="6" t="s">
        <v>1480</v>
      </c>
      <c r="B925" s="14">
        <v>393.8</v>
      </c>
      <c r="C925" s="15">
        <v>5506</v>
      </c>
      <c r="D925" s="14">
        <f>C925/22.0462262</f>
        <v>249.7479591314363</v>
      </c>
      <c r="E925" s="18">
        <f>LN(B925/B924)</f>
        <v>-0.01562138090295678</v>
      </c>
      <c r="F925" s="18">
        <f>LN(C925/C924)</f>
        <v>-0.029350711019245152</v>
      </c>
    </row>
    <row r="926">
      <c r="A926" s="6" t="s">
        <v>1481</v>
      </c>
      <c r="B926" s="14">
        <v>380.5</v>
      </c>
      <c r="C926" s="15">
        <v>5369</v>
      </c>
      <c r="D926" s="14">
        <f>C926/22.0462262</f>
        <v>243.5337436572251</v>
      </c>
      <c r="E926" s="18">
        <f>LN(B926/B925)</f>
        <v>-0.034356988903284716</v>
      </c>
      <c r="F926" s="18">
        <f>LN(C926/C925)</f>
        <v>-0.025196735279983104</v>
      </c>
    </row>
    <row r="927">
      <c r="A927" s="6" t="s">
        <v>1482</v>
      </c>
      <c r="B927" s="14">
        <v>379.45</v>
      </c>
      <c r="C927" s="15">
        <v>5373</v>
      </c>
      <c r="D927" s="14">
        <f>C927/22.0462262</f>
        <v>243.71518060537727</v>
      </c>
      <c r="E927" s="18">
        <f>LN(B927/B926)</f>
        <v>-0.002763341451818769</v>
      </c>
      <c r="F927" s="18">
        <f>LN(C927/C926)</f>
        <v>0.000744740306252088</v>
      </c>
    </row>
    <row r="928">
      <c r="A928" s="6" t="s">
        <v>1483</v>
      </c>
      <c r="B928" s="14">
        <v>378.75</v>
      </c>
      <c r="C928" s="15">
        <v>5337</v>
      </c>
      <c r="D928" s="14">
        <f>C928/22.0462262</f>
        <v>242.0822480720079</v>
      </c>
      <c r="E928" s="18">
        <f>LN(B928/B927)</f>
        <v>-0.0018464790263429428</v>
      </c>
      <c r="F928" s="18">
        <f>LN(C928/C927)</f>
        <v>-0.006722714394876589</v>
      </c>
    </row>
    <row r="929">
      <c r="A929" s="6" t="s">
        <v>1484</v>
      </c>
      <c r="B929" s="14">
        <v>379.05</v>
      </c>
      <c r="C929" s="15">
        <v>5290</v>
      </c>
      <c r="D929" s="14">
        <f>C929/22.0462262</f>
        <v>239.95036393122012</v>
      </c>
      <c r="E929" s="18">
        <f>LN(B929/B928)</f>
        <v>0.0007917656787340257</v>
      </c>
      <c r="F929" s="18">
        <f>LN(C929/C928)</f>
        <v>-0.008845451481599726</v>
      </c>
    </row>
    <row r="930">
      <c r="A930" s="6" t="s">
        <v>1485</v>
      </c>
      <c r="B930" s="14">
        <v>392.7</v>
      </c>
      <c r="C930" s="15">
        <v>5444</v>
      </c>
      <c r="D930" s="14">
        <f>C930/22.0462262</f>
        <v>246.93568643507794</v>
      </c>
      <c r="E930" s="18">
        <f>LN(B930/B929)</f>
        <v>0.035377839081650896</v>
      </c>
      <c r="F930" s="18">
        <f>LN(C930/C929)</f>
        <v>0.028695838919011594</v>
      </c>
    </row>
    <row r="931">
      <c r="A931" s="6" t="s">
        <v>1486</v>
      </c>
      <c r="B931" s="14">
        <v>403.75</v>
      </c>
      <c r="C931" s="15">
        <v>5599</v>
      </c>
      <c r="D931" s="14">
        <f>C931/22.0462262</f>
        <v>253.96636817597383</v>
      </c>
      <c r="E931" s="18">
        <f>LN(B931/B930)</f>
        <v>0.02774991295290246</v>
      </c>
      <c r="F931" s="18">
        <f>LN(C931/C930)</f>
        <v>0.02807392557753662</v>
      </c>
    </row>
    <row r="932">
      <c r="A932" s="6" t="s">
        <v>1487</v>
      </c>
      <c r="B932" s="14">
        <v>415.5</v>
      </c>
      <c r="C932" s="15">
        <v>5603</v>
      </c>
      <c r="D932" s="14">
        <f>C932/22.0462262</f>
        <v>254.14780512412597</v>
      </c>
      <c r="E932" s="18">
        <f>LN(B932/B931)</f>
        <v>0.02868673975863661</v>
      </c>
      <c r="F932" s="18">
        <f>LN(C932/C931)</f>
        <v>0.0007141582163912685</v>
      </c>
    </row>
    <row r="933">
      <c r="A933" s="6" t="s">
        <v>1488</v>
      </c>
      <c r="B933" s="14">
        <v>393</v>
      </c>
      <c r="C933" s="15">
        <v>5386</v>
      </c>
      <c r="D933" s="14">
        <f>C933/22.0462262</f>
        <v>244.30485068687176</v>
      </c>
      <c r="E933" s="18">
        <f>LN(B933/B932)</f>
        <v>-0.05567300242624164</v>
      </c>
      <c r="F933" s="18">
        <f>LN(C933/C932)</f>
        <v>-0.03949917419374027</v>
      </c>
    </row>
    <row r="934">
      <c r="A934" s="6" t="s">
        <v>1489</v>
      </c>
      <c r="B934" s="14">
        <v>390.2</v>
      </c>
      <c r="C934" s="15">
        <v>5318</v>
      </c>
      <c r="D934" s="14">
        <f>C934/22.0462262</f>
        <v>241.2204225682852</v>
      </c>
      <c r="E934" s="18">
        <f>LN(B934/B933)</f>
        <v>-0.007150183680250464</v>
      </c>
      <c r="F934" s="18">
        <f>LN(C934/C933)</f>
        <v>-0.012705701568579116</v>
      </c>
    </row>
    <row r="935">
      <c r="A935" s="6" t="s">
        <v>1490</v>
      </c>
      <c r="B935" s="14">
        <v>389.35</v>
      </c>
      <c r="C935" s="15">
        <v>5342</v>
      </c>
      <c r="D935" s="14">
        <f>C935/22.0462262</f>
        <v>242.30904425719808</v>
      </c>
      <c r="E935" s="18">
        <f>LN(B935/B934)</f>
        <v>-0.002180746166015711</v>
      </c>
      <c r="F935" s="18">
        <f>LN(C935/C934)</f>
        <v>0.004502821866941116</v>
      </c>
    </row>
    <row r="936">
      <c r="A936" s="6" t="s">
        <v>1491</v>
      </c>
      <c r="B936" s="14">
        <v>399.45</v>
      </c>
      <c r="C936" s="15">
        <v>5513</v>
      </c>
      <c r="D936" s="14">
        <f>C936/22.0462262</f>
        <v>250.06547379070255</v>
      </c>
      <c r="E936" s="18">
        <f>LN(B936/B935)</f>
        <v>0.02560991890505575</v>
      </c>
      <c r="F936" s="18">
        <f>LN(C936/C935)</f>
        <v>0.03150882491977733</v>
      </c>
    </row>
    <row r="937">
      <c r="A937" s="6" t="s">
        <v>1492</v>
      </c>
      <c r="B937" s="14">
        <v>392.2</v>
      </c>
      <c r="C937" s="15">
        <v>5484</v>
      </c>
      <c r="D937" s="14">
        <f>C937/22.0462262</f>
        <v>248.75005591659945</v>
      </c>
      <c r="E937" s="18">
        <f>LN(B937/B936)</f>
        <v>-0.018316687165805</v>
      </c>
      <c r="F937" s="18">
        <f>LN(C937/C936)</f>
        <v>-0.005274177907478577</v>
      </c>
    </row>
    <row r="938">
      <c r="A938" s="6" t="s">
        <v>1493</v>
      </c>
      <c r="B938" s="14">
        <v>390.6</v>
      </c>
      <c r="C938" s="15">
        <v>5506</v>
      </c>
      <c r="D938" s="14">
        <f>C938/22.0462262</f>
        <v>249.7479591314363</v>
      </c>
      <c r="E938" s="18">
        <f>LN(B938/B937)</f>
        <v>-0.004087895319667208</v>
      </c>
      <c r="F938" s="18">
        <f>LN(C938/C937)</f>
        <v>0.004003645020347627</v>
      </c>
    </row>
    <row r="939">
      <c r="A939" s="6" t="s">
        <v>1494</v>
      </c>
      <c r="B939" s="14">
        <v>382.1</v>
      </c>
      <c r="C939" s="15">
        <v>5377</v>
      </c>
      <c r="D939" s="14">
        <f>C939/22.0462262</f>
        <v>243.8966175535294</v>
      </c>
      <c r="E939" s="18">
        <f>LN(B939/B938)</f>
        <v>-0.022001663989724318</v>
      </c>
      <c r="F939" s="18">
        <f>LN(C939/C938)</f>
        <v>-0.023707808892874573</v>
      </c>
    </row>
    <row r="940">
      <c r="A940" s="6" t="s">
        <v>1495</v>
      </c>
      <c r="B940" s="14">
        <v>389.35</v>
      </c>
      <c r="C940" s="15">
        <v>5451</v>
      </c>
      <c r="D940" s="14">
        <f>C940/22.0462262</f>
        <v>247.2532010943442</v>
      </c>
      <c r="E940" s="18">
        <f>LN(B940/B939)</f>
        <v>0.018796327570140915</v>
      </c>
      <c r="F940" s="18">
        <f>LN(C940/C939)</f>
        <v>0.0136684802546029</v>
      </c>
    </row>
    <row r="941">
      <c r="A941" s="6" t="s">
        <v>1496</v>
      </c>
      <c r="B941" s="14">
        <v>387.15</v>
      </c>
      <c r="C941" s="15">
        <v>5452</v>
      </c>
      <c r="D941" s="14">
        <f>C941/22.0462262</f>
        <v>247.29856033138225</v>
      </c>
      <c r="E941" s="18">
        <f>LN(B941/B940)</f>
        <v>-0.005666467190262677</v>
      </c>
      <c r="F941" s="18">
        <f>LN(C941/C940)</f>
        <v>0.00018343575214226735</v>
      </c>
    </row>
    <row r="942">
      <c r="A942" s="6" t="s">
        <v>1497</v>
      </c>
      <c r="B942" s="14">
        <v>394.6</v>
      </c>
      <c r="C942" s="15">
        <v>5509</v>
      </c>
      <c r="D942" s="14">
        <f>C942/22.0462262</f>
        <v>249.88403684255042</v>
      </c>
      <c r="E942" s="18">
        <f>LN(B942/B941)</f>
        <v>0.01906037875578259</v>
      </c>
      <c r="F942" s="18">
        <f>LN(C942/C941)</f>
        <v>0.01040060465629338</v>
      </c>
    </row>
    <row r="943">
      <c r="A943" s="6" t="s">
        <v>1498</v>
      </c>
      <c r="B943" s="14">
        <v>392.15</v>
      </c>
      <c r="C943" s="15">
        <v>5482</v>
      </c>
      <c r="D943" s="14">
        <f>C943/22.0462262</f>
        <v>248.6593374425234</v>
      </c>
      <c r="E943" s="18">
        <f>LN(B943/B942)</f>
        <v>-0.006228173929839626</v>
      </c>
      <c r="F943" s="18">
        <f>LN(C943/C942)</f>
        <v>-0.0049131206099854215</v>
      </c>
    </row>
    <row r="944">
      <c r="A944" s="6" t="s">
        <v>1499</v>
      </c>
      <c r="B944" s="14">
        <v>391.4</v>
      </c>
      <c r="C944" s="15">
        <v>5504</v>
      </c>
      <c r="D944" s="14">
        <f>C944/22.0462262</f>
        <v>249.65724065736023</v>
      </c>
      <c r="E944" s="18">
        <f>LN(B944/B943)</f>
        <v>-0.001914364696699649</v>
      </c>
      <c r="F944" s="18">
        <f>LN(C944/C943)</f>
        <v>0.004005102750448441</v>
      </c>
    </row>
    <row r="945">
      <c r="A945" s="6" t="s">
        <v>1500</v>
      </c>
      <c r="B945" s="14">
        <v>393.4</v>
      </c>
      <c r="C945" s="15">
        <v>5492</v>
      </c>
      <c r="D945" s="14">
        <f>C945/22.0462262</f>
        <v>249.11292981290376</v>
      </c>
      <c r="E945" s="18">
        <f>LN(B945/B944)</f>
        <v>0.005096850992982849</v>
      </c>
      <c r="F945" s="18">
        <f>LN(C945/C944)</f>
        <v>-0.0021826127253178696</v>
      </c>
    </row>
    <row r="946">
      <c r="A946" s="6" t="s">
        <v>1501</v>
      </c>
      <c r="B946" s="14">
        <v>398.55</v>
      </c>
      <c r="C946" s="15">
        <v>5579</v>
      </c>
      <c r="D946" s="14">
        <f>C946/22.0462262</f>
        <v>253.05918343521307</v>
      </c>
      <c r="E946" s="18">
        <f>LN(B946/B945)</f>
        <v>0.01300605491897357</v>
      </c>
      <c r="F946" s="18">
        <f>LN(C946/C945)</f>
        <v>0.015717060957666593</v>
      </c>
    </row>
    <row r="947">
      <c r="A947" s="6" t="s">
        <v>1502</v>
      </c>
      <c r="B947" s="14">
        <v>392</v>
      </c>
      <c r="C947" s="15">
        <v>5407</v>
      </c>
      <c r="D947" s="14">
        <f>C947/22.0462262</f>
        <v>245.25739466467056</v>
      </c>
      <c r="E947" s="18">
        <f>LN(B947/B946)</f>
        <v>-0.016571121083469708</v>
      </c>
      <c r="F947" s="18">
        <f>LN(C947/C946)</f>
        <v>-0.03131513846352349</v>
      </c>
    </row>
    <row r="948">
      <c r="A948" s="6" t="s">
        <v>1503</v>
      </c>
      <c r="B948" s="14">
        <v>378.8</v>
      </c>
      <c r="C948" s="15">
        <v>5327</v>
      </c>
      <c r="D948" s="14">
        <f>C948/22.0462262</f>
        <v>241.62865570162754</v>
      </c>
      <c r="E948" s="18">
        <f>LN(B948/B947)</f>
        <v>-0.034253478478539316</v>
      </c>
      <c r="F948" s="18">
        <f>LN(C948/C947)</f>
        <v>-0.014906182465005751</v>
      </c>
    </row>
    <row r="949">
      <c r="A949" s="6" t="s">
        <v>1504</v>
      </c>
      <c r="B949" s="14">
        <v>379.95</v>
      </c>
      <c r="C949" s="15">
        <v>5314</v>
      </c>
      <c r="D949" s="14">
        <f>C949/22.0462262</f>
        <v>241.03898562013302</v>
      </c>
      <c r="E949" s="18">
        <f>LN(B949/B948)</f>
        <v>0.003031303803870639</v>
      </c>
      <c r="F949" s="18">
        <f>LN(C949/C948)</f>
        <v>-0.0024433805972403078</v>
      </c>
    </row>
    <row r="950">
      <c r="A950" s="6" t="s">
        <v>1505</v>
      </c>
      <c r="B950" s="14">
        <v>379.75</v>
      </c>
      <c r="C950" s="15">
        <v>5263</v>
      </c>
      <c r="D950" s="14">
        <f>C950/22.0462262</f>
        <v>238.7256645311931</v>
      </c>
      <c r="E950" s="18">
        <f>LN(B950/B949)</f>
        <v>-0.0005265236399116114</v>
      </c>
      <c r="F950" s="18">
        <f>LN(C950/C949)</f>
        <v>-0.009643640965979883</v>
      </c>
    </row>
    <row r="951">
      <c r="A951" s="6" t="s">
        <v>1506</v>
      </c>
      <c r="B951" s="14">
        <v>389.05</v>
      </c>
      <c r="C951" s="15">
        <v>5374</v>
      </c>
      <c r="D951" s="14">
        <f>C951/22.0462262</f>
        <v>243.7605398424153</v>
      </c>
      <c r="E951" s="18">
        <f>LN(B951/B950)</f>
        <v>0.02419472858705697</v>
      </c>
      <c r="F951" s="18">
        <f>LN(C951/C950)</f>
        <v>0.02087130382165749</v>
      </c>
    </row>
    <row r="952">
      <c r="A952" s="6" t="s">
        <v>1507</v>
      </c>
      <c r="B952" s="14">
        <v>388.85</v>
      </c>
      <c r="C952" s="15">
        <v>5370</v>
      </c>
      <c r="D952" s="14">
        <f>C952/22.0462262</f>
        <v>243.57910289426314</v>
      </c>
      <c r="E952" s="18">
        <f>LN(B952/B951)</f>
        <v>-0.0005142049219868316</v>
      </c>
      <c r="F952" s="18">
        <f>LN(C952/C951)</f>
        <v>-0.0007446016725261601</v>
      </c>
    </row>
    <row r="953">
      <c r="A953" s="6" t="s">
        <v>1508</v>
      </c>
      <c r="B953" s="14">
        <v>385.25</v>
      </c>
      <c r="C953" s="15">
        <v>5327</v>
      </c>
      <c r="D953" s="14">
        <f>C953/22.0462262</f>
        <v>241.62865570162754</v>
      </c>
      <c r="E953" s="18">
        <f>LN(B953/B952)</f>
        <v>-0.009301190940727273</v>
      </c>
      <c r="F953" s="18">
        <f>LN(C953/C952)</f>
        <v>-0.008039680585911249</v>
      </c>
    </row>
    <row r="954">
      <c r="A954" s="6" t="s">
        <v>1509</v>
      </c>
      <c r="B954" s="14">
        <v>365.7</v>
      </c>
      <c r="C954" s="15">
        <v>5082</v>
      </c>
      <c r="D954" s="14">
        <f>C954/22.0462262</f>
        <v>230.51564262730827</v>
      </c>
      <c r="E954" s="18">
        <f>LN(B954/B953)</f>
        <v>-0.05207914904488968</v>
      </c>
      <c r="F954" s="18">
        <f>LN(C954/C953)</f>
        <v>-0.04708334303688974</v>
      </c>
    </row>
    <row r="955">
      <c r="A955" s="6" t="s">
        <v>1510</v>
      </c>
      <c r="B955" s="14">
        <v>344.8</v>
      </c>
      <c r="C955" s="15">
        <v>4766</v>
      </c>
      <c r="D955" s="14">
        <f>C955/22.0462262</f>
        <v>216.1821237232883</v>
      </c>
      <c r="E955" s="18">
        <f>LN(B955/B954)</f>
        <v>-0.05884878636579739</v>
      </c>
      <c r="F955" s="18">
        <f>LN(C955/C954)</f>
        <v>-0.06419750622142195</v>
      </c>
    </row>
    <row r="956">
      <c r="A956" s="6" t="s">
        <v>1511</v>
      </c>
      <c r="B956" s="14">
        <v>342.9</v>
      </c>
      <c r="C956" s="15">
        <v>4803</v>
      </c>
      <c r="D956" s="14">
        <f>C956/22.0462262</f>
        <v>217.8604154936957</v>
      </c>
      <c r="E956" s="18">
        <f>LN(B956/B955)</f>
        <v>-0.00552567932066352</v>
      </c>
      <c r="F956" s="18">
        <f>LN(C956/C955)</f>
        <v>0.007733344006136874</v>
      </c>
    </row>
    <row r="957">
      <c r="A957" s="6" t="s">
        <v>1512</v>
      </c>
      <c r="B957" s="14">
        <v>341.7</v>
      </c>
      <c r="C957" s="15">
        <v>4785</v>
      </c>
      <c r="D957" s="14">
        <f>C957/22.0462262</f>
        <v>217.043949227011</v>
      </c>
      <c r="E957" s="18">
        <f>LN(B957/B956)</f>
        <v>-0.0035057003476284972</v>
      </c>
      <c r="F957" s="18">
        <f>LN(C957/C956)</f>
        <v>-0.003754697777769766</v>
      </c>
    </row>
    <row r="958">
      <c r="A958" s="6" t="s">
        <v>1513</v>
      </c>
      <c r="B958" s="14">
        <v>342.85</v>
      </c>
      <c r="C958" s="15">
        <v>4896</v>
      </c>
      <c r="D958" s="14">
        <f>C958/22.0462262</f>
        <v>222.07882453823322</v>
      </c>
      <c r="E958" s="18">
        <f>LN(B958/B957)</f>
        <v>0.0033598746091275016</v>
      </c>
      <c r="F958" s="18">
        <f>LN(C958/C957)</f>
        <v>0.02293252030510734</v>
      </c>
    </row>
    <row r="959">
      <c r="A959" s="6" t="s">
        <v>1514</v>
      </c>
      <c r="B959" s="14">
        <v>357.7</v>
      </c>
      <c r="C959" s="15">
        <v>5049</v>
      </c>
      <c r="D959" s="14">
        <f>C959/22.0462262</f>
        <v>229.018787805053</v>
      </c>
      <c r="E959" s="18">
        <f>LN(B959/B958)</f>
        <v>0.04240161253459861</v>
      </c>
      <c r="F959" s="18">
        <f>LN(C959/C958)</f>
        <v>0.030771658666753687</v>
      </c>
    </row>
    <row r="960">
      <c r="A960" s="6" t="s">
        <v>1515</v>
      </c>
      <c r="B960" s="14">
        <v>360.4</v>
      </c>
      <c r="C960" s="15">
        <v>5239</v>
      </c>
      <c r="D960" s="14">
        <f>C960/22.0462262</f>
        <v>237.6370428422802</v>
      </c>
      <c r="E960" s="18">
        <f>LN(B960/B959)</f>
        <v>0.007519879469210676</v>
      </c>
      <c r="F960" s="18">
        <f>LN(C960/C959)</f>
        <v>0.03694043654930394</v>
      </c>
    </row>
    <row r="961">
      <c r="A961" s="6" t="s">
        <v>1516</v>
      </c>
      <c r="B961" s="14">
        <v>369.4</v>
      </c>
      <c r="C961" s="15">
        <v>5340</v>
      </c>
      <c r="D961" s="14">
        <f>C961/22.0462262</f>
        <v>242.21832578312203</v>
      </c>
      <c r="E961" s="18">
        <f>LN(B961/B960)</f>
        <v>0.0246655420309568</v>
      </c>
      <c r="F961" s="18">
        <f>LN(C961/C960)</f>
        <v>0.019095012546020824</v>
      </c>
    </row>
    <row r="962">
      <c r="A962" s="6" t="s">
        <v>1517</v>
      </c>
      <c r="B962" s="14">
        <v>376.05</v>
      </c>
      <c r="C962" s="15">
        <v>5379</v>
      </c>
      <c r="D962" s="14">
        <f>C962/22.0462262</f>
        <v>243.9873360276055</v>
      </c>
      <c r="E962" s="18">
        <f>LN(B962/B961)</f>
        <v>0.017842045507272544</v>
      </c>
      <c r="F962" s="18">
        <f>LN(C962/C961)</f>
        <v>0.007276830319002075</v>
      </c>
    </row>
    <row r="963">
      <c r="A963" s="6" t="s">
        <v>1518</v>
      </c>
      <c r="B963" s="14">
        <v>375.5</v>
      </c>
      <c r="C963" s="15">
        <v>5277</v>
      </c>
      <c r="D963" s="14">
        <f>C963/22.0462262</f>
        <v>239.36069384972564</v>
      </c>
      <c r="E963" s="18">
        <f>LN(B963/B962)</f>
        <v>-0.001463642068222726</v>
      </c>
      <c r="F963" s="18">
        <f>LN(C963/C962)</f>
        <v>-0.01914472886757471</v>
      </c>
    </row>
    <row r="964">
      <c r="A964" s="6" t="s">
        <v>1519</v>
      </c>
      <c r="B964" s="14">
        <v>377.65</v>
      </c>
      <c r="C964" s="15">
        <v>5257</v>
      </c>
      <c r="D964" s="14">
        <f>C964/22.0462262</f>
        <v>238.45350910896488</v>
      </c>
      <c r="E964" s="18">
        <f>LN(B964/B963)</f>
        <v>0.005709369555267401</v>
      </c>
      <c r="F964" s="18">
        <f>LN(C964/C963)</f>
        <v>-0.003797232586219835</v>
      </c>
    </row>
    <row r="965">
      <c r="A965" s="6" t="s">
        <v>1520</v>
      </c>
      <c r="B965" s="14">
        <v>392.4</v>
      </c>
      <c r="C965" s="15">
        <v>5362</v>
      </c>
      <c r="D965" s="14">
        <f>C965/22.0462262</f>
        <v>243.21622899795884</v>
      </c>
      <c r="E965" s="18">
        <f>LN(B965/B964)</f>
        <v>0.038313886931751126</v>
      </c>
      <c r="F965" s="18">
        <f>LN(C965/C964)</f>
        <v>0.019776517976456607</v>
      </c>
    </row>
    <row r="966">
      <c r="A966" s="6" t="s">
        <v>1521</v>
      </c>
      <c r="B966" s="14">
        <v>408</v>
      </c>
      <c r="C966" s="15">
        <v>5427</v>
      </c>
      <c r="D966" s="14">
        <f>C966/22.0462262</f>
        <v>246.1645794054313</v>
      </c>
      <c r="E966" s="18">
        <f>LN(B966/B965)</f>
        <v>0.03898544671295381</v>
      </c>
      <c r="F966" s="18">
        <f>LN(C966/C965)</f>
        <v>0.012049455267500226</v>
      </c>
    </row>
    <row r="967">
      <c r="A967" s="6" t="s">
        <v>1522</v>
      </c>
      <c r="B967" s="14">
        <v>408.25</v>
      </c>
      <c r="C967" s="15">
        <v>5415</v>
      </c>
      <c r="D967" s="14">
        <f>C967/22.0462262</f>
        <v>245.62026856097486</v>
      </c>
      <c r="E967" s="18">
        <f>LN(B967/B966)</f>
        <v>0.0006125574464129022</v>
      </c>
      <c r="F967" s="18">
        <f>LN(C967/C966)</f>
        <v>-0.002213614628313829</v>
      </c>
    </row>
    <row r="968">
      <c r="A968" s="6" t="s">
        <v>1523</v>
      </c>
      <c r="B968" s="14">
        <v>421.55</v>
      </c>
      <c r="C968" s="15">
        <v>5413</v>
      </c>
      <c r="D968" s="14">
        <f>C968/22.0462262</f>
        <v>245.52955008689878</v>
      </c>
      <c r="E968" s="18">
        <f>LN(B968/B967)</f>
        <v>0.03205866251811009</v>
      </c>
      <c r="F968" s="18">
        <f>LN(C968/C967)</f>
        <v>-0.0003694126381131112</v>
      </c>
    </row>
    <row r="969">
      <c r="A969" s="6" t="s">
        <v>1524</v>
      </c>
      <c r="B969" s="14">
        <v>412.65</v>
      </c>
      <c r="C969" s="15">
        <v>5298</v>
      </c>
      <c r="D969" s="14">
        <f>C969/22.0462262</f>
        <v>240.31323782752443</v>
      </c>
      <c r="E969" s="18">
        <f>LN(B969/B968)</f>
        <v>-0.02133861832999147</v>
      </c>
      <c r="F969" s="18">
        <f>LN(C969/C968)</f>
        <v>-0.021474076964962865</v>
      </c>
    </row>
    <row r="970">
      <c r="A970" s="6" t="s">
        <v>1525</v>
      </c>
      <c r="B970" s="14">
        <v>413.6</v>
      </c>
      <c r="C970" s="15">
        <v>5369</v>
      </c>
      <c r="D970" s="14">
        <f>C970/22.0462262</f>
        <v>243.5337436572251</v>
      </c>
      <c r="E970" s="18">
        <f>LN(B970/B969)</f>
        <v>0.002299547155526181</v>
      </c>
      <c r="F970" s="18">
        <f>LN(C970/C969)</f>
        <v>0.013312280590554403</v>
      </c>
    </row>
    <row r="971">
      <c r="A971" s="6" t="s">
        <v>1526</v>
      </c>
      <c r="B971" s="14">
        <v>395.7</v>
      </c>
      <c r="C971" s="15">
        <v>5126</v>
      </c>
      <c r="D971" s="14">
        <f>C971/22.0462262</f>
        <v>232.51144905698192</v>
      </c>
      <c r="E971" s="18">
        <f>LN(B971/B970)</f>
        <v>-0.04424297480284087</v>
      </c>
      <c r="F971" s="18">
        <f>LN(C971/C970)</f>
        <v>-0.04631604349855311</v>
      </c>
    </row>
    <row r="972">
      <c r="A972" s="6" t="s">
        <v>1527</v>
      </c>
      <c r="B972" s="14">
        <v>395.4</v>
      </c>
      <c r="C972" s="15">
        <v>5291</v>
      </c>
      <c r="D972" s="14">
        <f>C972/22.0462262</f>
        <v>239.99572316825817</v>
      </c>
      <c r="E972" s="18">
        <f>LN(B972/B971)</f>
        <v>-0.0007584376548621528</v>
      </c>
      <c r="F972" s="18">
        <f>LN(C972/C971)</f>
        <v>0.0316816359801154</v>
      </c>
    </row>
    <row r="973">
      <c r="A973" s="6" t="s">
        <v>1528</v>
      </c>
      <c r="B973" s="14">
        <v>401.1</v>
      </c>
      <c r="C973" s="15">
        <v>5256</v>
      </c>
      <c r="D973" s="14">
        <f>C973/22.0462262</f>
        <v>238.40814987192684</v>
      </c>
      <c r="E973" s="18">
        <f>LN(B973/B972)</f>
        <v>0.014312862039490743</v>
      </c>
      <c r="F973" s="18">
        <f>LN(C973/C972)</f>
        <v>-0.006636982739685249</v>
      </c>
    </row>
    <row r="974">
      <c r="A974" s="6" t="s">
        <v>1529</v>
      </c>
      <c r="B974" s="14">
        <v>396.2</v>
      </c>
      <c r="C974" s="15">
        <v>5239</v>
      </c>
      <c r="D974" s="14">
        <f>C974/22.0462262</f>
        <v>237.6370428422802</v>
      </c>
      <c r="E974" s="18">
        <f>LN(B974/B973)</f>
        <v>-0.012291638511556737</v>
      </c>
      <c r="F974" s="18">
        <f>LN(C974/C973)</f>
        <v>-0.003239640756226729</v>
      </c>
    </row>
    <row r="975">
      <c r="A975" s="6" t="s">
        <v>1530</v>
      </c>
      <c r="B975" s="14">
        <v>397.8</v>
      </c>
      <c r="C975" s="15">
        <v>5265</v>
      </c>
      <c r="D975" s="14">
        <f>C975/22.0462262</f>
        <v>238.8163830052692</v>
      </c>
      <c r="E975" s="18">
        <f>LN(B975/B974)</f>
        <v>0.004030232155421235</v>
      </c>
      <c r="F975" s="18">
        <f>LN(C975/C974)</f>
        <v>0.004950505159856205</v>
      </c>
    </row>
    <row r="976">
      <c r="A976" s="6" t="s">
        <v>1531</v>
      </c>
      <c r="B976" s="14">
        <v>397.15</v>
      </c>
      <c r="C976" s="15">
        <v>5226</v>
      </c>
      <c r="D976" s="14">
        <f>C976/22.0462262</f>
        <v>237.0473727607857</v>
      </c>
      <c r="E976" s="18">
        <f>LN(B976/B975)</f>
        <v>-0.0016353233407308645</v>
      </c>
      <c r="F976" s="18">
        <f>LN(C976/C975)</f>
        <v>-0.00743497848751809</v>
      </c>
    </row>
    <row r="977">
      <c r="A977" s="6" t="s">
        <v>1532</v>
      </c>
      <c r="B977" s="14">
        <v>382.45</v>
      </c>
      <c r="C977" s="15">
        <v>5052</v>
      </c>
      <c r="D977" s="14">
        <f>C977/22.0462262</f>
        <v>229.15486551616712</v>
      </c>
      <c r="E977" s="18">
        <f>LN(B977/B976)</f>
        <v>-0.037716117311266006</v>
      </c>
      <c r="F977" s="18">
        <f>LN(C977/C976)</f>
        <v>-0.033861962610176086</v>
      </c>
    </row>
    <row r="978">
      <c r="A978" s="6" t="s">
        <v>1533</v>
      </c>
      <c r="B978" s="14">
        <v>384.85</v>
      </c>
      <c r="C978" s="15">
        <v>5129</v>
      </c>
      <c r="D978" s="14">
        <f>C978/22.0462262</f>
        <v>232.64752676809604</v>
      </c>
      <c r="E978" s="18">
        <f>LN(B978/B977)</f>
        <v>0.006255722212451472</v>
      </c>
      <c r="F978" s="18">
        <f>LN(C978/C977)</f>
        <v>0.015126503918886789</v>
      </c>
    </row>
    <row r="979">
      <c r="A979" s="6" t="s">
        <v>1534</v>
      </c>
      <c r="B979" s="14">
        <v>373.95</v>
      </c>
      <c r="C979" s="15">
        <v>5010</v>
      </c>
      <c r="D979" s="14">
        <f>C979/22.0462262</f>
        <v>227.24977756056953</v>
      </c>
      <c r="E979" s="18">
        <f>LN(B979/B978)</f>
        <v>-0.028731549342649966</v>
      </c>
      <c r="F979" s="18">
        <f>LN(C979/C978)</f>
        <v>-0.023474793310357997</v>
      </c>
    </row>
    <row r="980">
      <c r="A980" s="6" t="s">
        <v>1535</v>
      </c>
      <c r="B980" s="14">
        <v>384.95</v>
      </c>
      <c r="C980" s="15">
        <v>4971</v>
      </c>
      <c r="D980" s="14">
        <f>C980/22.0462262</f>
        <v>225.48076731608606</v>
      </c>
      <c r="E980" s="18">
        <f>LN(B980/B979)</f>
        <v>0.028991357086381946</v>
      </c>
      <c r="F980" s="18">
        <f>LN(C980/C979)</f>
        <v>-0.007814887984237863</v>
      </c>
    </row>
    <row r="981">
      <c r="A981" s="6" t="s">
        <v>1536</v>
      </c>
      <c r="B981" s="14">
        <v>376.25</v>
      </c>
      <c r="C981" s="15">
        <v>4865</v>
      </c>
      <c r="D981" s="14">
        <f>C981/22.0462262</f>
        <v>220.67268819005406</v>
      </c>
      <c r="E981" s="18">
        <f>LN(B981/B980)</f>
        <v>-0.0228596396609731</v>
      </c>
      <c r="F981" s="18">
        <f>LN(C981/C980)</f>
        <v>-0.02155431147456721</v>
      </c>
    </row>
    <row r="982">
      <c r="A982" s="6" t="s">
        <v>1537</v>
      </c>
      <c r="B982" s="14">
        <v>376.15</v>
      </c>
      <c r="C982" s="15">
        <v>4973</v>
      </c>
      <c r="D982" s="14">
        <f>C982/22.0462262</f>
        <v>225.57148579016214</v>
      </c>
      <c r="E982" s="18">
        <f>LN(B982/B981)</f>
        <v>-0.00026581605685501656</v>
      </c>
      <c r="F982" s="18">
        <f>LN(C982/C981)</f>
        <v>0.021956564094633185</v>
      </c>
    </row>
    <row r="983">
      <c r="A983" s="6" t="s">
        <v>1538</v>
      </c>
      <c r="B983" s="14">
        <v>369.3</v>
      </c>
      <c r="C983" s="15">
        <v>4903</v>
      </c>
      <c r="D983" s="14">
        <f>C983/22.0462262</f>
        <v>222.3963391974995</v>
      </c>
      <c r="E983" s="18">
        <f>LN(B983/B982)</f>
        <v>-0.01837867814771295</v>
      </c>
      <c r="F983" s="18">
        <f>LN(C983/C982)</f>
        <v>-0.014176017063505277</v>
      </c>
    </row>
    <row r="984">
      <c r="A984" s="6" t="s">
        <v>1539</v>
      </c>
      <c r="B984" s="14">
        <v>370.3</v>
      </c>
      <c r="C984" s="15">
        <v>4903</v>
      </c>
      <c r="D984" s="14">
        <f>C984/22.0462262</f>
        <v>222.3963391974995</v>
      </c>
      <c r="E984" s="18">
        <f>LN(B984/B983)</f>
        <v>0.0027041660610493813</v>
      </c>
      <c r="F984" s="18">
        <f>LN(C984/C983)</f>
        <v>0</v>
      </c>
    </row>
    <row r="985">
      <c r="A985" s="6" t="s">
        <v>1540</v>
      </c>
      <c r="B985" s="14">
        <v>360.75</v>
      </c>
      <c r="C985" s="15">
        <v>4787</v>
      </c>
      <c r="D985" s="14">
        <f>C985/22.0462262</f>
        <v>217.1346677010871</v>
      </c>
      <c r="E985" s="18">
        <f>LN(B985/B984)</f>
        <v>-0.026128290265586808</v>
      </c>
      <c r="F985" s="18">
        <f>LN(C985/C984)</f>
        <v>-0.023943352258724255</v>
      </c>
    </row>
    <row r="986">
      <c r="A986" s="6" t="s">
        <v>1541</v>
      </c>
      <c r="B986" s="14">
        <v>361</v>
      </c>
      <c r="C986" s="15">
        <v>4790</v>
      </c>
      <c r="D986" s="14">
        <f>C986/22.0462262</f>
        <v>217.27074541220122</v>
      </c>
      <c r="E986" s="18">
        <f>LN(B986/B985)</f>
        <v>0.0006927606789005746</v>
      </c>
      <c r="F986" s="18">
        <f>LN(C986/C985)</f>
        <v>0.0006265010124518988</v>
      </c>
    </row>
    <row r="987">
      <c r="A987" s="6" t="s">
        <v>1542</v>
      </c>
      <c r="B987" s="14">
        <v>361.7</v>
      </c>
      <c r="C987" s="15">
        <v>4692</v>
      </c>
      <c r="D987" s="14">
        <f>C987/22.0462262</f>
        <v>212.8255401824735</v>
      </c>
      <c r="E987" s="18">
        <f>LN(B987/B986)</f>
        <v>0.0019371806251713025</v>
      </c>
      <c r="F987" s="18">
        <f>LN(C987/C986)</f>
        <v>-0.020671480631594786</v>
      </c>
    </row>
    <row r="988">
      <c r="A988" s="6" t="s">
        <v>1543</v>
      </c>
      <c r="B988" s="14">
        <v>351.95</v>
      </c>
      <c r="C988" s="15">
        <v>4566</v>
      </c>
      <c r="D988" s="14">
        <f>C988/22.0462262</f>
        <v>207.11027631568072</v>
      </c>
      <c r="E988" s="18">
        <f>LN(B988/B987)</f>
        <v>-0.027326018903911623</v>
      </c>
      <c r="F988" s="18">
        <f>LN(C988/C987)</f>
        <v>-0.027221382683625204</v>
      </c>
    </row>
    <row r="989">
      <c r="A989" s="6" t="s">
        <v>1544</v>
      </c>
      <c r="B989" s="14">
        <v>348.4</v>
      </c>
      <c r="C989" s="15">
        <v>4530</v>
      </c>
      <c r="D989" s="14">
        <f>C989/22.0462262</f>
        <v>205.47734378231138</v>
      </c>
      <c r="E989" s="18">
        <f>LN(B989/B988)</f>
        <v>-0.01013787507579296</v>
      </c>
      <c r="F989" s="18">
        <f>LN(C989/C988)</f>
        <v>-0.007915608612661086</v>
      </c>
    </row>
    <row r="990">
      <c r="A990" s="6" t="s">
        <v>1545</v>
      </c>
      <c r="B990" s="14">
        <v>342.45</v>
      </c>
      <c r="C990" s="15">
        <v>4463</v>
      </c>
      <c r="D990" s="14">
        <f>C990/22.0462262</f>
        <v>202.43827490076285</v>
      </c>
      <c r="E990" s="18">
        <f>LN(B990/B989)</f>
        <v>-0.01722558333443349</v>
      </c>
      <c r="F990" s="18">
        <f>LN(C990/C989)</f>
        <v>-0.014900753847809851</v>
      </c>
    </row>
    <row r="991">
      <c r="A991" s="6" t="s">
        <v>1546</v>
      </c>
      <c r="B991" s="14">
        <v>344.45</v>
      </c>
      <c r="C991" s="15">
        <v>4405</v>
      </c>
      <c r="D991" s="14">
        <f>C991/22.0462262</f>
        <v>199.80743915255664</v>
      </c>
      <c r="E991" s="18">
        <f>LN(B991/B990)</f>
        <v>0.0058232803952906025</v>
      </c>
      <c r="F991" s="18">
        <f>LN(C991/C990)</f>
        <v>-0.013080926258990043</v>
      </c>
    </row>
    <row r="992">
      <c r="A992" s="6" t="s">
        <v>1547</v>
      </c>
      <c r="B992" s="14">
        <v>340.85</v>
      </c>
      <c r="C992" s="15">
        <v>4337</v>
      </c>
      <c r="D992" s="14">
        <f>C992/22.0462262</f>
        <v>196.72301103397007</v>
      </c>
      <c r="E992" s="18">
        <f>LN(B992/B991)</f>
        <v>-0.010506444230410533</v>
      </c>
      <c r="F992" s="18">
        <f>LN(C992/C991)</f>
        <v>-0.01555739453491367</v>
      </c>
    </row>
    <row r="993">
      <c r="A993" s="6" t="s">
        <v>1548</v>
      </c>
      <c r="B993" s="14">
        <v>346.15</v>
      </c>
      <c r="C993" s="15">
        <v>4345</v>
      </c>
      <c r="D993" s="14">
        <f>C993/22.0462262</f>
        <v>197.08588493027437</v>
      </c>
      <c r="E993" s="18">
        <f>LN(B993/B992)</f>
        <v>0.015429709315240035</v>
      </c>
      <c r="F993" s="18">
        <f>LN(C993/C992)</f>
        <v>0.0018428938641261812</v>
      </c>
    </row>
    <row r="994">
      <c r="A994" s="6" t="s">
        <v>1549</v>
      </c>
      <c r="B994" s="14">
        <v>359.75</v>
      </c>
      <c r="C994" s="15">
        <v>4445</v>
      </c>
      <c r="D994" s="14">
        <f>C994/22.0462262</f>
        <v>201.62180863407815</v>
      </c>
      <c r="E994" s="18">
        <f>LN(B994/B993)</f>
        <v>0.03853713864344277</v>
      </c>
      <c r="F994" s="18">
        <f>LN(C994/C993)</f>
        <v>0.022754110248512562</v>
      </c>
    </row>
    <row r="995">
      <c r="A995" s="6" t="s">
        <v>1550</v>
      </c>
      <c r="B995" s="14">
        <v>358.05</v>
      </c>
      <c r="C995" s="15">
        <v>4339</v>
      </c>
      <c r="D995" s="14">
        <f>C995/22.0462262</f>
        <v>196.81372950804615</v>
      </c>
      <c r="E995" s="18">
        <f>LN(B995/B994)</f>
        <v>-0.004736704314528412</v>
      </c>
      <c r="F995" s="18">
        <f>LN(C995/C994)</f>
        <v>-0.024135962149654248</v>
      </c>
    </row>
    <row r="996">
      <c r="A996" s="6" t="s">
        <v>1551</v>
      </c>
      <c r="B996" s="14">
        <v>361.55</v>
      </c>
      <c r="C996" s="15">
        <v>4384</v>
      </c>
      <c r="D996" s="14">
        <f>C996/22.0462262</f>
        <v>198.85489517475784</v>
      </c>
      <c r="E996" s="18">
        <f>LN(B996/B995)</f>
        <v>0.009727703168012056</v>
      </c>
      <c r="F996" s="18">
        <f>LN(C996/C995)</f>
        <v>0.010317642829500664</v>
      </c>
    </row>
    <row r="997">
      <c r="A997" s="6" t="s">
        <v>1552</v>
      </c>
      <c r="B997" s="14">
        <v>355.05</v>
      </c>
      <c r="C997" s="15">
        <v>4253</v>
      </c>
      <c r="D997" s="14">
        <f>C997/22.0462262</f>
        <v>192.9128351227749</v>
      </c>
      <c r="E997" s="18">
        <f>LN(B997/B996)</f>
        <v>-0.01814171999285818</v>
      </c>
      <c r="F997" s="18">
        <f>LN(C997/C996)</f>
        <v>-0.03033693337421798</v>
      </c>
    </row>
    <row r="998">
      <c r="A998" s="6" t="s">
        <v>1553</v>
      </c>
      <c r="B998" s="14">
        <v>350.65</v>
      </c>
      <c r="C998" s="15">
        <v>4227</v>
      </c>
      <c r="D998" s="14">
        <f>C998/22.0462262</f>
        <v>191.7334949597859</v>
      </c>
      <c r="E998" s="18">
        <f>LN(B998/B997)</f>
        <v>-0.012470049645183327</v>
      </c>
      <c r="F998" s="18">
        <f>LN(C998/C997)</f>
        <v>-0.0061320946868436725</v>
      </c>
    </row>
    <row r="999">
      <c r="A999" s="6" t="s">
        <v>1554</v>
      </c>
      <c r="B999" s="14">
        <v>347.8</v>
      </c>
      <c r="C999" s="15">
        <v>4246</v>
      </c>
      <c r="D999" s="14">
        <f>C999/22.0462262</f>
        <v>192.59532046350864</v>
      </c>
      <c r="E999" s="18">
        <f>LN(B999/B998)</f>
        <v>-0.008160973062736648</v>
      </c>
      <c r="F999" s="18">
        <f>LN(C999/C998)</f>
        <v>0.0044848416964114</v>
      </c>
    </row>
    <row r="1000">
      <c r="A1000" s="6" t="s">
        <v>1555</v>
      </c>
      <c r="B1000" s="14">
        <v>349.7</v>
      </c>
      <c r="C1000" s="15">
        <v>4212</v>
      </c>
      <c r="D1000" s="14">
        <f>C1000/22.0462262</f>
        <v>191.05310640421536</v>
      </c>
      <c r="E1000" s="18">
        <f>LN(B1000/B999)</f>
        <v>0.00544804214914746</v>
      </c>
      <c r="F1000" s="18">
        <f>LN(C1000/C999)</f>
        <v>-0.008039769009335243</v>
      </c>
    </row>
    <row r="1001">
      <c r="A1001" s="6" t="s">
        <v>1556</v>
      </c>
      <c r="B1001" s="14">
        <v>343.95</v>
      </c>
      <c r="C1001" s="15">
        <v>4121</v>
      </c>
      <c r="D1001" s="14">
        <f>C1001/22.0462262</f>
        <v>186.9254158337539</v>
      </c>
      <c r="E1001" s="18">
        <f>LN(B1001/B1000)</f>
        <v>-0.016579346097307025</v>
      </c>
      <c r="F1001" s="18">
        <f>LN(C1001/C1000)</f>
        <v>-0.021841741915048753</v>
      </c>
    </row>
    <row r="1002">
      <c r="A1002" s="6" t="s">
        <v>1557</v>
      </c>
      <c r="B1002" s="14">
        <v>335.85</v>
      </c>
      <c r="C1002" s="15">
        <v>4082</v>
      </c>
      <c r="D1002" s="14">
        <f>C1002/22.0462262</f>
        <v>185.15640558927043</v>
      </c>
      <c r="E1002" s="18">
        <f>LN(B1002/B1001)</f>
        <v>-0.02383166625914952</v>
      </c>
      <c r="F1002" s="18">
        <f>LN(C1002/C1001)</f>
        <v>-0.0095087879690273</v>
      </c>
    </row>
    <row r="1003">
      <c r="A1003" s="6" t="s">
        <v>1558</v>
      </c>
      <c r="B1003" s="14">
        <v>324.9</v>
      </c>
      <c r="C1003" s="15">
        <v>3826</v>
      </c>
      <c r="D1003" s="14">
        <f>C1003/22.0462262</f>
        <v>173.54444090753273</v>
      </c>
      <c r="E1003" s="18">
        <f>LN(B1003/B1002)</f>
        <v>-0.03314718903781906</v>
      </c>
      <c r="F1003" s="18">
        <f>LN(C1003/C1002)</f>
        <v>-0.06476719336959198</v>
      </c>
    </row>
    <row r="1004">
      <c r="A1004" s="6" t="s">
        <v>1559</v>
      </c>
      <c r="B1004" s="14">
        <v>319.05</v>
      </c>
      <c r="C1004" s="15">
        <v>3678</v>
      </c>
      <c r="D1004" s="14">
        <f>C1004/22.0462262</f>
        <v>166.83127382590314</v>
      </c>
      <c r="E1004" s="18">
        <f>LN(B1004/B1003)</f>
        <v>-0.018169612360698667</v>
      </c>
      <c r="F1004" s="18">
        <f>LN(C1004/C1003)</f>
        <v>-0.03945074483593176</v>
      </c>
    </row>
    <row r="1005">
      <c r="A1005" s="6" t="s">
        <v>1560</v>
      </c>
      <c r="B1005" s="14">
        <v>330.3</v>
      </c>
      <c r="C1005" s="15">
        <v>3851</v>
      </c>
      <c r="D1005" s="14">
        <f>C1005/22.0462262</f>
        <v>174.6784218334837</v>
      </c>
      <c r="E1005" s="18">
        <f>LN(B1005/B1004)</f>
        <v>0.03465350208238803</v>
      </c>
      <c r="F1005" s="18">
        <f>LN(C1005/C1004)</f>
        <v>0.045963728650642556</v>
      </c>
    </row>
    <row r="1006">
      <c r="A1006" s="6" t="s">
        <v>1561</v>
      </c>
      <c r="B1006" s="14">
        <v>315.35</v>
      </c>
      <c r="C1006" s="15">
        <v>3634</v>
      </c>
      <c r="D1006" s="14">
        <f>C1006/22.0462262</f>
        <v>164.8354673962295</v>
      </c>
      <c r="E1006" s="18">
        <f>LN(B1006/B1005)</f>
        <v>-0.04631819928708365</v>
      </c>
      <c r="F1006" s="18">
        <f>LN(C1006/C1005)</f>
        <v>-0.057998884858792406</v>
      </c>
    </row>
    <row r="1007">
      <c r="A1007" s="6" t="s">
        <v>1562</v>
      </c>
      <c r="B1007" s="14">
        <v>308.65</v>
      </c>
      <c r="C1007" s="15">
        <v>3474</v>
      </c>
      <c r="D1007" s="14">
        <f>C1007/22.0462262</f>
        <v>157.57798947014342</v>
      </c>
      <c r="E1007" s="18">
        <f>LN(B1007/B1006)</f>
        <v>-0.021475184269755438</v>
      </c>
      <c r="F1007" s="18">
        <f>LN(C1007/C1006)</f>
        <v>-0.04502730215506629</v>
      </c>
    </row>
    <row r="1008">
      <c r="A1008" s="6" t="s">
        <v>1563</v>
      </c>
      <c r="B1008" s="14">
        <v>309.5</v>
      </c>
      <c r="C1008" s="15">
        <v>3595</v>
      </c>
      <c r="D1008" s="14">
        <f>C1008/22.0462262</f>
        <v>163.066457151746</v>
      </c>
      <c r="E1008" s="18">
        <f>LN(B1008/B1007)</f>
        <v>0.0027501432847459473</v>
      </c>
      <c r="F1008" s="18">
        <f>LN(C1008/C1007)</f>
        <v>0.03423732335409677</v>
      </c>
    </row>
    <row r="1009">
      <c r="A1009" s="6" t="s">
        <v>1564</v>
      </c>
      <c r="B1009" s="14">
        <v>309.9</v>
      </c>
      <c r="C1009" s="15">
        <v>3593</v>
      </c>
      <c r="D1009" s="14">
        <f>C1009/22.0462262</f>
        <v>162.97573867766994</v>
      </c>
      <c r="E1009" s="18">
        <f>LN(B1009/B1008)</f>
        <v>0.0012915726690516348</v>
      </c>
      <c r="F1009" s="18">
        <f>LN(C1009/C1008)</f>
        <v>-0.000556483041628285</v>
      </c>
    </row>
    <row r="1010">
      <c r="A1010" s="6" t="s">
        <v>1565</v>
      </c>
      <c r="B1010" s="14">
        <v>306.75</v>
      </c>
      <c r="C1010" s="15">
        <v>3566</v>
      </c>
      <c r="D1010" s="14">
        <f>C1010/22.0462262</f>
        <v>161.75103927764292</v>
      </c>
      <c r="E1010" s="18">
        <f>LN(B1010/B1009)</f>
        <v>-0.010216581202681698</v>
      </c>
      <c r="F1010" s="18">
        <f>LN(C1010/C1009)</f>
        <v>-0.0075429886904330255</v>
      </c>
    </row>
    <row r="1011">
      <c r="A1011" s="6" t="s">
        <v>1566</v>
      </c>
      <c r="B1011" s="14">
        <v>298.85</v>
      </c>
      <c r="C1011" s="15">
        <v>3602</v>
      </c>
      <c r="D1011" s="14">
        <f>C1011/22.0462262</f>
        <v>163.38397181101226</v>
      </c>
      <c r="E1011" s="18">
        <f>LN(B1011/B1010)</f>
        <v>-0.026091308320757546</v>
      </c>
      <c r="F1011" s="18">
        <f>LN(C1011/C1010)</f>
        <v>0.010044727312815634</v>
      </c>
    </row>
    <row r="1012">
      <c r="A1012" s="6" t="s">
        <v>1567</v>
      </c>
      <c r="B1012" s="14">
        <v>297.95</v>
      </c>
      <c r="C1012" s="15">
        <v>3551</v>
      </c>
      <c r="D1012" s="14">
        <f>C1012/22.0462262</f>
        <v>161.07065072207234</v>
      </c>
      <c r="E1012" s="18">
        <f>LN(B1012/B1011)</f>
        <v>-0.003016088077275351</v>
      </c>
      <c r="F1012" s="18">
        <f>LN(C1012/C1011)</f>
        <v>-0.01425999279281348</v>
      </c>
    </row>
    <row r="1013">
      <c r="A1013" s="6" t="s">
        <v>1568</v>
      </c>
      <c r="B1013" s="14">
        <v>292.65</v>
      </c>
      <c r="C1013" s="15">
        <v>3569</v>
      </c>
      <c r="D1013" s="14">
        <f>C1013/22.0462262</f>
        <v>161.88711698875701</v>
      </c>
      <c r="E1013" s="18">
        <f>LN(B1013/B1012)</f>
        <v>-0.017948331455758065</v>
      </c>
      <c r="F1013" s="18">
        <f>LN(C1013/C1012)</f>
        <v>0.005056190547072393</v>
      </c>
    </row>
    <row r="1014">
      <c r="A1014" s="6" t="s">
        <v>1569</v>
      </c>
      <c r="B1014" s="14">
        <v>292.65</v>
      </c>
      <c r="C1014" s="15">
        <v>3615</v>
      </c>
      <c r="D1014" s="14">
        <f>C1014/22.0462262</f>
        <v>163.97364189250675</v>
      </c>
      <c r="E1014" s="18">
        <f>LN(B1014/B1013)</f>
        <v>0</v>
      </c>
      <c r="F1014" s="18">
        <f>LN(C1014/C1013)</f>
        <v>0.012806411102704678</v>
      </c>
    </row>
    <row r="1015">
      <c r="A1015" s="6" t="s">
        <v>1570</v>
      </c>
      <c r="B1015" s="14">
        <v>280.05</v>
      </c>
      <c r="C1015" s="15">
        <v>3463</v>
      </c>
      <c r="D1015" s="14">
        <f>C1015/22.0462262</f>
        <v>157.07903786272502</v>
      </c>
      <c r="E1015" s="18">
        <f>LN(B1015/B1014)</f>
        <v>-0.04400919708138847</v>
      </c>
      <c r="F1015" s="18">
        <f>LN(C1015/C1014)</f>
        <v>-0.04295659019044306</v>
      </c>
    </row>
    <row r="1016">
      <c r="A1016" s="6" t="s">
        <v>1571</v>
      </c>
      <c r="B1016" s="14">
        <v>287.4</v>
      </c>
      <c r="C1016" s="15">
        <v>3508</v>
      </c>
      <c r="D1016" s="14">
        <f>C1016/22.0462262</f>
        <v>159.1202035294367</v>
      </c>
      <c r="E1016" s="18">
        <f>LN(B1016/B1015)</f>
        <v>0.02590681498908317</v>
      </c>
      <c r="F1016" s="18">
        <f>LN(C1016/C1015)</f>
        <v>0.012910809089651712</v>
      </c>
    </row>
    <row r="1017">
      <c r="A1017" s="6" t="s">
        <v>1572</v>
      </c>
      <c r="B1017" s="14">
        <v>285.85</v>
      </c>
      <c r="C1017" s="15">
        <v>3410</v>
      </c>
      <c r="D1017" s="14">
        <f>C1017/22.0462262</f>
        <v>154.674998299709</v>
      </c>
      <c r="E1017" s="18">
        <f>LN(B1017/B1016)</f>
        <v>-0.005407775934944067</v>
      </c>
      <c r="F1017" s="18">
        <f>LN(C1017/C1016)</f>
        <v>-0.02833378321451119</v>
      </c>
    </row>
    <row r="1018">
      <c r="A1018" s="6" t="s">
        <v>1573</v>
      </c>
      <c r="B1018" s="14">
        <v>289.9</v>
      </c>
      <c r="C1018" s="15">
        <v>3274</v>
      </c>
      <c r="D1018" s="14">
        <f>C1018/22.0462262</f>
        <v>148.50614206253584</v>
      </c>
      <c r="E1018" s="18">
        <f>LN(B1018/B1017)</f>
        <v>0.014068838217629423</v>
      </c>
      <c r="F1018" s="18">
        <f>LN(C1018/C1017)</f>
        <v>-0.040699812346482296</v>
      </c>
    </row>
    <row r="1019">
      <c r="A1019" s="6" t="s">
        <v>1574</v>
      </c>
      <c r="B1019" s="14">
        <v>288.6</v>
      </c>
      <c r="C1019" s="15">
        <v>3170</v>
      </c>
      <c r="D1019" s="14">
        <f>C1019/22.0462262</f>
        <v>143.78878141057993</v>
      </c>
      <c r="E1019" s="18">
        <f>LN(B1019/B1018)</f>
        <v>-0.0044943895878391035</v>
      </c>
      <c r="F1019" s="18">
        <f>LN(C1019/C1018)</f>
        <v>-0.032280891059753965</v>
      </c>
    </row>
    <row r="1020">
      <c r="A1020" s="6" t="s">
        <v>1575</v>
      </c>
      <c r="B1020" s="14">
        <v>305.7</v>
      </c>
      <c r="C1020" s="15">
        <v>3465</v>
      </c>
      <c r="D1020" s="14">
        <f>C1020/22.0462262</f>
        <v>157.16975633680107</v>
      </c>
      <c r="E1020" s="18">
        <f>LN(B1020/B1019)</f>
        <v>0.0575625825570183</v>
      </c>
      <c r="F1020" s="18">
        <f>LN(C1020/C1019)</f>
        <v>0.08898104475267739</v>
      </c>
    </row>
    <row r="1021">
      <c r="A1021" s="6" t="s">
        <v>1576</v>
      </c>
      <c r="B1021" s="14">
        <v>301.6</v>
      </c>
      <c r="C1021" s="15">
        <v>3359</v>
      </c>
      <c r="D1021" s="14">
        <f>C1021/22.0462262</f>
        <v>152.36167721076907</v>
      </c>
      <c r="E1021" s="18">
        <f>LN(B1021/B1020)</f>
        <v>-0.013502592762987743</v>
      </c>
      <c r="F1021" s="18">
        <f>LN(C1021/C1020)</f>
        <v>-0.031069322011710886</v>
      </c>
    </row>
    <row r="1022">
      <c r="A1022" s="6" t="s">
        <v>1577</v>
      </c>
      <c r="B1022" s="14">
        <v>314.55</v>
      </c>
      <c r="C1022" s="15">
        <v>3396</v>
      </c>
      <c r="D1022" s="14">
        <f>C1022/22.0462262</f>
        <v>154.0399689811765</v>
      </c>
      <c r="E1022" s="18">
        <f>LN(B1022/B1021)</f>
        <v>0.04204140988223763</v>
      </c>
      <c r="F1022" s="18">
        <f>LN(C1022/C1021)</f>
        <v>0.01095495781894521</v>
      </c>
    </row>
    <row r="1023">
      <c r="A1023" s="6" t="s">
        <v>1578</v>
      </c>
      <c r="B1023" s="14">
        <v>312.5</v>
      </c>
      <c r="C1023" s="15">
        <v>3288</v>
      </c>
      <c r="D1023" s="14">
        <f>C1023/22.0462262</f>
        <v>149.14117138106838</v>
      </c>
      <c r="E1023" s="18">
        <f>LN(B1023/B1022)</f>
        <v>-0.006538576839582474</v>
      </c>
      <c r="F1023" s="18">
        <f>LN(C1023/C1022)</f>
        <v>-0.0323187912551674</v>
      </c>
    </row>
    <row r="1024">
      <c r="A1024" s="6" t="s">
        <v>1579</v>
      </c>
      <c r="B1024" s="14">
        <v>308.9</v>
      </c>
      <c r="C1024" s="15">
        <v>3322</v>
      </c>
      <c r="D1024" s="14">
        <f>C1024/22.0462262</f>
        <v>150.68338544036166</v>
      </c>
      <c r="E1024" s="18">
        <f>LN(B1024/B1023)</f>
        <v>-0.011586869251920253</v>
      </c>
      <c r="F1024" s="18">
        <f>LN(C1024/C1023)</f>
        <v>0.010287533997169663</v>
      </c>
    </row>
    <row r="1025">
      <c r="A1025" s="6" t="s">
        <v>1580</v>
      </c>
      <c r="B1025" s="14">
        <v>297.25</v>
      </c>
      <c r="C1025" s="15">
        <v>3164</v>
      </c>
      <c r="D1025" s="14">
        <f>C1025/22.0462262</f>
        <v>143.5166259883517</v>
      </c>
      <c r="E1025" s="18">
        <f>LN(B1025/B1024)</f>
        <v>-0.038444064353644766</v>
      </c>
      <c r="F1025" s="18">
        <f>LN(C1025/C1024)</f>
        <v>-0.04872996128569574</v>
      </c>
    </row>
    <row r="1026">
      <c r="A1026" s="6" t="s">
        <v>1581</v>
      </c>
      <c r="B1026" s="14">
        <v>296.35</v>
      </c>
      <c r="C1026" s="15">
        <v>3262</v>
      </c>
      <c r="D1026" s="14">
        <f>C1026/22.0462262</f>
        <v>147.9618312180794</v>
      </c>
      <c r="E1026" s="18">
        <f>LN(B1026/B1025)</f>
        <v>-0.003032347337043947</v>
      </c>
      <c r="F1026" s="18">
        <f>LN(C1026/C1025)</f>
        <v>0.030503454293414625</v>
      </c>
    </row>
    <row r="1027">
      <c r="A1027" s="6" t="s">
        <v>1582</v>
      </c>
      <c r="B1027" s="14">
        <v>301.35</v>
      </c>
      <c r="C1027" s="15">
        <v>3259</v>
      </c>
      <c r="D1027" s="14">
        <f>C1027/22.0462262</f>
        <v>147.8257535069653</v>
      </c>
      <c r="E1027" s="18">
        <f>LN(B1027/B1026)</f>
        <v>0.016731191695205955</v>
      </c>
      <c r="F1027" s="18">
        <f>LN(C1027/C1026)</f>
        <v>-0.0009201043433976087</v>
      </c>
    </row>
    <row r="1028">
      <c r="A1028" s="6" t="s">
        <v>1583</v>
      </c>
      <c r="B1028" s="14">
        <v>304.85</v>
      </c>
      <c r="C1028" s="15">
        <v>3304</v>
      </c>
      <c r="D1028" s="14">
        <f>C1028/22.0462262</f>
        <v>149.866919173677</v>
      </c>
      <c r="E1028" s="18">
        <f>LN(B1028/B1027)</f>
        <v>0.011547472424771901</v>
      </c>
      <c r="F1028" s="18">
        <f>LN(C1028/C1027)</f>
        <v>0.013713455803307188</v>
      </c>
    </row>
    <row r="1029">
      <c r="A1029" s="6" t="s">
        <v>1584</v>
      </c>
      <c r="B1029" s="14">
        <v>297.55</v>
      </c>
      <c r="C1029" s="15">
        <v>3196</v>
      </c>
      <c r="D1029" s="14">
        <f>C1029/22.0462262</f>
        <v>144.9681215735689</v>
      </c>
      <c r="E1029" s="18">
        <f>LN(B1029/B1028)</f>
        <v>-0.02423757426296411</v>
      </c>
      <c r="F1029" s="18">
        <f>LN(C1029/C1028)</f>
        <v>-0.033233827754703404</v>
      </c>
    </row>
    <row r="1030">
      <c r="A1030" s="6" t="s">
        <v>1585</v>
      </c>
      <c r="B1030" s="14">
        <v>301.7</v>
      </c>
      <c r="C1030" s="15">
        <v>3277</v>
      </c>
      <c r="D1030" s="14">
        <f>C1030/22.0462262</f>
        <v>148.64221977364997</v>
      </c>
      <c r="E1030" s="18">
        <f>LN(B1030/B1029)</f>
        <v>0.013850868074154152</v>
      </c>
      <c r="F1030" s="18">
        <f>LN(C1030/C1029)</f>
        <v>0.02502834181264933</v>
      </c>
    </row>
    <row r="1031">
      <c r="A1031" s="6" t="s">
        <v>1586</v>
      </c>
      <c r="B1031" s="14">
        <v>296.5</v>
      </c>
      <c r="C1031" s="15">
        <v>3251</v>
      </c>
      <c r="D1031" s="14">
        <f>C1031/22.0462262</f>
        <v>147.462879610661</v>
      </c>
      <c r="E1031" s="18">
        <f>LN(B1031/B1030)</f>
        <v>-0.017385927727235226</v>
      </c>
      <c r="F1031" s="18">
        <f>LN(C1031/C1030)</f>
        <v>-0.007965728394909282</v>
      </c>
    </row>
    <row r="1032">
      <c r="A1032" s="6" t="s">
        <v>1587</v>
      </c>
      <c r="B1032" s="14">
        <v>293.4</v>
      </c>
      <c r="C1032" s="15">
        <v>3294</v>
      </c>
      <c r="D1032" s="14">
        <f>C1032/22.0462262</f>
        <v>149.41332680329663</v>
      </c>
      <c r="E1032" s="18">
        <f>LN(B1032/B1031)</f>
        <v>-0.010510352728898885</v>
      </c>
      <c r="F1032" s="18">
        <f>LN(C1032/C1031)</f>
        <v>0.01313999043368031</v>
      </c>
    </row>
    <row r="1033">
      <c r="A1033" s="6" t="s">
        <v>1588</v>
      </c>
      <c r="B1033" s="14">
        <v>295.8</v>
      </c>
      <c r="C1033" s="15">
        <v>3293</v>
      </c>
      <c r="D1033" s="14">
        <f>C1033/22.0462262</f>
        <v>149.36796756625859</v>
      </c>
      <c r="E1033" s="18">
        <f>LN(B1033/B1032)</f>
        <v>0.008146684567818108</v>
      </c>
      <c r="F1033" s="18">
        <f>LN(C1033/C1032)</f>
        <v>-0.0003036283612213747</v>
      </c>
    </row>
    <row r="1034">
      <c r="A1034" s="6" t="s">
        <v>1589</v>
      </c>
      <c r="B1034" s="14">
        <v>284.2</v>
      </c>
      <c r="C1034" s="15">
        <v>3216</v>
      </c>
      <c r="D1034" s="14">
        <f>C1034/22.0462262</f>
        <v>145.87530631432966</v>
      </c>
      <c r="E1034" s="18">
        <f>LN(B1034/B1033)</f>
        <v>-0.04000533461369925</v>
      </c>
      <c r="F1034" s="18">
        <f>LN(C1034/C1033)</f>
        <v>-0.023660652077507328</v>
      </c>
    </row>
    <row r="1035">
      <c r="A1035" s="6" t="s">
        <v>1590</v>
      </c>
      <c r="B1035" s="14">
        <v>288.55</v>
      </c>
      <c r="C1035" s="15">
        <v>3287</v>
      </c>
      <c r="D1035" s="14">
        <f>C1035/22.0462262</f>
        <v>149.09581214403036</v>
      </c>
      <c r="E1035" s="18">
        <f>LN(B1035/B1034)</f>
        <v>0.015190165493975238</v>
      </c>
      <c r="F1035" s="18">
        <f>LN(C1035/C1034)</f>
        <v>0.021836943365362366</v>
      </c>
    </row>
    <row r="1036">
      <c r="A1036" s="6" t="s">
        <v>1591</v>
      </c>
      <c r="B1036" s="14">
        <v>298.7</v>
      </c>
      <c r="C1036" s="15">
        <v>3311</v>
      </c>
      <c r="D1036" s="14">
        <f>C1036/22.0462262</f>
        <v>150.18443383294326</v>
      </c>
      <c r="E1036" s="18">
        <f>LN(B1036/B1035)</f>
        <v>0.03457134406508851</v>
      </c>
      <c r="F1036" s="18">
        <f>LN(C1036/C1035)</f>
        <v>0.00727496388302692</v>
      </c>
    </row>
    <row r="1037">
      <c r="A1037" s="6" t="s">
        <v>1592</v>
      </c>
      <c r="B1037" s="14">
        <v>293.4</v>
      </c>
      <c r="C1037" s="15">
        <v>3277</v>
      </c>
      <c r="D1037" s="14">
        <f>C1037/22.0462262</f>
        <v>148.64221977364997</v>
      </c>
      <c r="E1037" s="18">
        <f>LN(B1037/B1036)</f>
        <v>-0.017902859513182778</v>
      </c>
      <c r="F1037" s="18">
        <f>LN(C1037/C1036)</f>
        <v>-0.010321888848431715</v>
      </c>
    </row>
    <row r="1038">
      <c r="A1038" s="6" t="s">
        <v>1593</v>
      </c>
      <c r="B1038" s="14">
        <v>297.8</v>
      </c>
      <c r="C1038" s="15">
        <v>3320</v>
      </c>
      <c r="D1038" s="14">
        <f>C1038/22.0462262</f>
        <v>150.5926669662856</v>
      </c>
      <c r="E1038" s="18">
        <f>LN(B1038/B1037)</f>
        <v>0.01488525454102728</v>
      </c>
      <c r="F1038" s="18">
        <f>LN(C1038/C1037)</f>
        <v>0.013036413211719727</v>
      </c>
    </row>
    <row r="1039">
      <c r="A1039" s="6" t="s">
        <v>1594</v>
      </c>
      <c r="B1039" s="14">
        <v>309.35</v>
      </c>
      <c r="C1039" s="15">
        <v>3444</v>
      </c>
      <c r="D1039" s="14">
        <f>C1039/22.0462262</f>
        <v>156.21721235900227</v>
      </c>
      <c r="E1039" s="18">
        <f>LN(B1039/B1038)</f>
        <v>0.03805120172708932</v>
      </c>
      <c r="F1039" s="18">
        <f>LN(C1039/C1038)</f>
        <v>0.036668803637087126</v>
      </c>
    </row>
    <row r="1040">
      <c r="A1040" s="6" t="s">
        <v>1595</v>
      </c>
      <c r="B1040" s="14">
        <v>320.7</v>
      </c>
      <c r="C1040" s="15">
        <v>3605</v>
      </c>
      <c r="D1040" s="14">
        <f>C1040/22.0462262</f>
        <v>163.52004952212638</v>
      </c>
      <c r="E1040" s="18">
        <f>LN(B1040/B1039)</f>
        <v>0.03603278472211126</v>
      </c>
      <c r="F1040" s="18">
        <f>LN(C1040/C1039)</f>
        <v>0.04568818417142793</v>
      </c>
    </row>
    <row r="1041">
      <c r="A1041" s="6" t="s">
        <v>1596</v>
      </c>
      <c r="B1041" s="14">
        <v>315.15</v>
      </c>
      <c r="C1041" s="15">
        <v>3556</v>
      </c>
      <c r="D1041" s="14">
        <f>C1041/22.0462262</f>
        <v>161.29744690726253</v>
      </c>
      <c r="E1041" s="18">
        <f>LN(B1041/B1040)</f>
        <v>-0.017457390739990166</v>
      </c>
      <c r="F1041" s="18">
        <f>LN(C1041/C1040)</f>
        <v>-0.013685453085254203</v>
      </c>
    </row>
    <row r="1042">
      <c r="A1042" s="6" t="s">
        <v>1597</v>
      </c>
      <c r="B1042" s="14">
        <v>319.6</v>
      </c>
      <c r="C1042" s="15">
        <v>3694</v>
      </c>
      <c r="D1042" s="14">
        <f>C1042/22.0462262</f>
        <v>167.55702161851175</v>
      </c>
      <c r="E1042" s="18">
        <f>LN(B1042/B1041)</f>
        <v>0.014021497933000693</v>
      </c>
      <c r="F1042" s="18">
        <f>LN(C1042/C1041)</f>
        <v>0.03807356412539013</v>
      </c>
    </row>
    <row r="1043">
      <c r="A1043" s="6" t="s">
        <v>1598</v>
      </c>
      <c r="B1043" s="14">
        <v>326.5</v>
      </c>
      <c r="C1043" s="15">
        <v>3814</v>
      </c>
      <c r="D1043" s="14">
        <f>C1043/22.0462262</f>
        <v>173.00013006307628</v>
      </c>
      <c r="E1043" s="18">
        <f>LN(B1043/B1042)</f>
        <v>0.02135973482436603</v>
      </c>
      <c r="F1043" s="18">
        <f>LN(C1043/C1042)</f>
        <v>0.0319686254011792</v>
      </c>
    </row>
    <row r="1044">
      <c r="A1044" s="6" t="s">
        <v>1599</v>
      </c>
      <c r="B1044" s="14">
        <v>341.65</v>
      </c>
      <c r="C1044" s="15">
        <v>3943</v>
      </c>
      <c r="D1044" s="14">
        <f>C1044/22.0462262</f>
        <v>178.85147164098316</v>
      </c>
      <c r="E1044" s="18">
        <f>LN(B1044/B1043)</f>
        <v>0.04535687251030148</v>
      </c>
      <c r="F1044" s="18">
        <f>LN(C1044/C1043)</f>
        <v>0.033263347717262755</v>
      </c>
    </row>
    <row r="1045">
      <c r="A1045" s="6" t="s">
        <v>1600</v>
      </c>
      <c r="B1045" s="14">
        <v>343.6</v>
      </c>
      <c r="C1045" s="15">
        <v>3895</v>
      </c>
      <c r="D1045" s="14">
        <f>C1045/22.0462262</f>
        <v>176.67422826315735</v>
      </c>
      <c r="E1045" s="18">
        <f>LN(B1045/B1044)</f>
        <v>0.0056913688833132095</v>
      </c>
      <c r="F1045" s="18">
        <f>LN(C1045/C1044)</f>
        <v>-0.012248175572778588</v>
      </c>
    </row>
    <row r="1046">
      <c r="A1046" s="6" t="s">
        <v>1601</v>
      </c>
      <c r="B1046" s="14">
        <v>356.2</v>
      </c>
      <c r="C1046" s="15">
        <v>4134</v>
      </c>
      <c r="D1046" s="14">
        <f>C1046/22.0462262</f>
        <v>187.5150859152484</v>
      </c>
      <c r="E1046" s="18">
        <f>LN(B1046/B1045)</f>
        <v>0.03601418074546077</v>
      </c>
      <c r="F1046" s="18">
        <f>LN(C1046/C1045)</f>
        <v>0.05955178193686499</v>
      </c>
    </row>
    <row r="1047">
      <c r="A1047" s="6" t="s">
        <v>1602</v>
      </c>
      <c r="B1047" s="14">
        <v>360.25</v>
      </c>
      <c r="C1047" s="15">
        <v>4401</v>
      </c>
      <c r="D1047" s="14">
        <f>C1047/22.0462262</f>
        <v>199.6260022044045</v>
      </c>
      <c r="E1047" s="18">
        <f>LN(B1047/B1046)</f>
        <v>0.011305864024070269</v>
      </c>
      <c r="F1047" s="18">
        <f>LN(C1047/C1046)</f>
        <v>0.06258632656937775</v>
      </c>
    </row>
    <row r="1048">
      <c r="A1048" s="6" t="s">
        <v>1603</v>
      </c>
      <c r="B1048" s="14">
        <v>375.25</v>
      </c>
      <c r="C1048" s="15">
        <v>4520</v>
      </c>
      <c r="D1048" s="14">
        <f>C1048/22.0462262</f>
        <v>205.023751411931</v>
      </c>
      <c r="E1048" s="18">
        <f>LN(B1048/B1047)</f>
        <v>0.04079423563393987</v>
      </c>
      <c r="F1048" s="18">
        <f>LN(C1048/C1047)</f>
        <v>0.026680206015185472</v>
      </c>
    </row>
    <row r="1049">
      <c r="A1049" s="6" t="s">
        <v>1604</v>
      </c>
      <c r="B1049" s="14">
        <v>390.65</v>
      </c>
      <c r="C1049" s="15">
        <v>4650</v>
      </c>
      <c r="D1049" s="14">
        <f>C1049/22.0462262</f>
        <v>210.9204522268759</v>
      </c>
      <c r="E1049" s="18">
        <f>LN(B1049/B1048)</f>
        <v>0.040219547929181886</v>
      </c>
      <c r="F1049" s="18">
        <f>LN(C1049/C1048)</f>
        <v>0.02835522575512522</v>
      </c>
    </row>
    <row r="1050">
      <c r="A1050" s="6" t="s">
        <v>1605</v>
      </c>
      <c r="B1050" s="14">
        <v>384.05</v>
      </c>
      <c r="C1050" s="15">
        <v>4690</v>
      </c>
      <c r="D1050" s="14">
        <f>C1050/22.0462262</f>
        <v>212.73482170839742</v>
      </c>
      <c r="E1050" s="18">
        <f>LN(B1050/B1049)</f>
        <v>-0.017039265998062336</v>
      </c>
      <c r="F1050" s="18">
        <f>LN(C1050/C1049)</f>
        <v>0.008565362858923</v>
      </c>
    </row>
    <row r="1051">
      <c r="A1051" s="6" t="s">
        <v>1606</v>
      </c>
      <c r="B1051" s="14">
        <v>393.8</v>
      </c>
      <c r="C1051" s="15">
        <v>4878</v>
      </c>
      <c r="D1051" s="14">
        <f>C1051/22.0462262</f>
        <v>221.26235827154855</v>
      </c>
      <c r="E1051" s="18">
        <f>LN(B1051/B1050)</f>
        <v>0.0250704137603343</v>
      </c>
      <c r="F1051" s="18">
        <f>LN(C1051/C1050)</f>
        <v>0.039302717335540575</v>
      </c>
    </row>
    <row r="1052">
      <c r="A1052" s="6" t="s">
        <v>1607</v>
      </c>
      <c r="B1052" s="14">
        <v>387.75</v>
      </c>
      <c r="C1052" s="15">
        <v>4808</v>
      </c>
      <c r="D1052" s="14">
        <f>C1052/22.0462262</f>
        <v>218.0872116788859</v>
      </c>
      <c r="E1052" s="18">
        <f>LN(B1052/B1051)</f>
        <v>-0.015482364148376988</v>
      </c>
      <c r="F1052" s="18">
        <f>LN(C1052/C1051)</f>
        <v>-0.014454102560822113</v>
      </c>
    </row>
    <row r="1053">
      <c r="A1053" s="6" t="s">
        <v>1608</v>
      </c>
      <c r="B1053" s="14">
        <v>396.85</v>
      </c>
      <c r="C1053" s="15">
        <v>4815</v>
      </c>
      <c r="D1053" s="14">
        <f>C1053/22.0462262</f>
        <v>218.40472633815216</v>
      </c>
      <c r="E1053" s="18">
        <f>LN(B1053/B1052)</f>
        <v>0.02319757348023644</v>
      </c>
      <c r="F1053" s="18">
        <f>LN(C1053/C1052)</f>
        <v>0.0014548480171825326</v>
      </c>
    </row>
    <row r="1054">
      <c r="A1054" s="6" t="s">
        <v>1609</v>
      </c>
      <c r="B1054" s="14">
        <v>382.2</v>
      </c>
      <c r="C1054" s="15">
        <v>4399</v>
      </c>
      <c r="D1054" s="14">
        <f>C1054/22.0462262</f>
        <v>199.53528373032842</v>
      </c>
      <c r="E1054" s="18">
        <f>LN(B1054/B1053)</f>
        <v>-0.03761434373071199</v>
      </c>
      <c r="F1054" s="18">
        <f>LN(C1054/C1053)</f>
        <v>-0.09035880288350612</v>
      </c>
    </row>
    <row r="1055">
      <c r="A1055" s="6" t="s">
        <v>1610</v>
      </c>
      <c r="B1055" s="14">
        <v>385.25</v>
      </c>
      <c r="C1055" s="15">
        <v>4454</v>
      </c>
      <c r="D1055" s="14">
        <f>C1055/22.0462262</f>
        <v>202.0300417674205</v>
      </c>
      <c r="E1055" s="18">
        <f>LN(B1055/B1054)</f>
        <v>0.007948442394052567</v>
      </c>
      <c r="F1055" s="18">
        <f>LN(C1055/C1054)</f>
        <v>0.012425326468593227</v>
      </c>
    </row>
    <row r="1056">
      <c r="A1056" s="6" t="s">
        <v>1611</v>
      </c>
      <c r="B1056" s="14">
        <v>385.75</v>
      </c>
      <c r="C1056" s="15">
        <v>4414</v>
      </c>
      <c r="D1056" s="14">
        <f>C1056/22.0462262</f>
        <v>200.215672285899</v>
      </c>
      <c r="E1056" s="18">
        <f>LN(B1056/B1055)</f>
        <v>0.0012970170430450251</v>
      </c>
      <c r="F1056" s="18">
        <f>LN(C1056/C1055)</f>
        <v>-0.009021261000631246</v>
      </c>
    </row>
    <row r="1057">
      <c r="A1057" s="6" t="s">
        <v>1612</v>
      </c>
      <c r="B1057" s="14">
        <v>385.6</v>
      </c>
      <c r="C1057" s="15">
        <v>4309</v>
      </c>
      <c r="D1057" s="14">
        <f>C1057/22.0462262</f>
        <v>195.452952396905</v>
      </c>
      <c r="E1057" s="18">
        <f>LN(B1057/B1056)</f>
        <v>-0.0003889285068796008</v>
      </c>
      <c r="F1057" s="18">
        <f>LN(C1057/C1056)</f>
        <v>-0.02407544920084366</v>
      </c>
    </row>
    <row r="1058">
      <c r="A1058" s="6" t="s">
        <v>1613</v>
      </c>
      <c r="B1058" s="14">
        <v>397.8</v>
      </c>
      <c r="C1058" s="15">
        <v>4430</v>
      </c>
      <c r="D1058" s="14">
        <f>C1058/22.0462262</f>
        <v>200.94142007850758</v>
      </c>
      <c r="E1058" s="18">
        <f>LN(B1058/B1057)</f>
        <v>0.031148803683481167</v>
      </c>
      <c r="F1058" s="18">
        <f>LN(C1058/C1057)</f>
        <v>0.02769372542334329</v>
      </c>
    </row>
    <row r="1059">
      <c r="A1059" s="6" t="s">
        <v>1614</v>
      </c>
      <c r="B1059" s="14">
        <v>393</v>
      </c>
      <c r="C1059" s="15">
        <v>4371</v>
      </c>
      <c r="D1059" s="14">
        <f>C1059/22.0462262</f>
        <v>198.26522509326335</v>
      </c>
      <c r="E1059" s="18">
        <f>LN(B1059/B1058)</f>
        <v>-0.012139754550610659</v>
      </c>
      <c r="F1059" s="18">
        <f>LN(C1059/C1058)</f>
        <v>-0.013407768175866776</v>
      </c>
    </row>
    <row r="1060">
      <c r="A1060" s="6" t="s">
        <v>1615</v>
      </c>
      <c r="B1060" s="14">
        <v>401</v>
      </c>
      <c r="C1060" s="15">
        <v>4477</v>
      </c>
      <c r="D1060" s="14">
        <f>C1060/22.0462262</f>
        <v>203.07330421929538</v>
      </c>
      <c r="E1060" s="18">
        <f>LN(B1060/B1059)</f>
        <v>0.020151815437307912</v>
      </c>
      <c r="F1060" s="18">
        <f>LN(C1060/C1059)</f>
        <v>0.023961363377651056</v>
      </c>
    </row>
    <row r="1061">
      <c r="A1061" s="6" t="s">
        <v>1616</v>
      </c>
      <c r="B1061" s="14">
        <v>400.05</v>
      </c>
      <c r="C1061" s="15">
        <v>4521</v>
      </c>
      <c r="D1061" s="14">
        <f>C1061/22.0462262</f>
        <v>205.06911064896903</v>
      </c>
      <c r="E1061" s="18">
        <f>LN(B1061/B1060)</f>
        <v>-0.002371888010436243</v>
      </c>
      <c r="F1061" s="18">
        <f>LN(C1061/C1060)</f>
        <v>0.0097800290536397</v>
      </c>
    </row>
    <row r="1062">
      <c r="A1062" s="6" t="s">
        <v>1617</v>
      </c>
      <c r="B1062" s="14">
        <v>410.65</v>
      </c>
      <c r="C1062" s="15">
        <v>4601</v>
      </c>
      <c r="D1062" s="14">
        <f>C1062/22.0462262</f>
        <v>208.69784961201205</v>
      </c>
      <c r="E1062" s="18">
        <f>LN(B1062/B1061)</f>
        <v>0.026151730890068305</v>
      </c>
      <c r="F1062" s="18">
        <f>LN(C1062/C1061)</f>
        <v>0.017540462860863366</v>
      </c>
    </row>
    <row r="1063">
      <c r="A1063" s="6" t="s">
        <v>1618</v>
      </c>
      <c r="B1063" s="14">
        <v>432.35</v>
      </c>
      <c r="C1063" s="15">
        <v>4842</v>
      </c>
      <c r="D1063" s="14">
        <f>C1063/22.0462262</f>
        <v>219.62942573817918</v>
      </c>
      <c r="E1063" s="18">
        <f>LN(B1063/B1062)</f>
        <v>0.051494175220237935</v>
      </c>
      <c r="F1063" s="18">
        <f>LN(C1063/C1062)</f>
        <v>0.0510541873425353</v>
      </c>
    </row>
    <row r="1064">
      <c r="A1064" s="6" t="s">
        <v>1619</v>
      </c>
      <c r="B1064" s="14">
        <v>422.25</v>
      </c>
      <c r="C1064" s="15">
        <v>4781</v>
      </c>
      <c r="D1064" s="14">
        <f>C1064/22.0462262</f>
        <v>216.86251227885887</v>
      </c>
      <c r="E1064" s="18">
        <f>LN(B1064/B1063)</f>
        <v>-0.023637889718529786</v>
      </c>
      <c r="F1064" s="18">
        <f>LN(C1064/C1063)</f>
        <v>-0.01267812887190044</v>
      </c>
    </row>
    <row r="1065">
      <c r="A1065" s="6" t="s">
        <v>1620</v>
      </c>
      <c r="B1065" s="14">
        <v>388.55</v>
      </c>
      <c r="C1065" s="15">
        <v>4450</v>
      </c>
      <c r="D1065" s="14">
        <f>C1065/22.0462262</f>
        <v>201.84860481926836</v>
      </c>
      <c r="E1065" s="18">
        <f>LN(B1065/B1064)</f>
        <v>-0.08317569403265823</v>
      </c>
      <c r="F1065" s="18">
        <f>LN(C1065/C1064)</f>
        <v>-0.07174563346581746</v>
      </c>
    </row>
    <row r="1066">
      <c r="A1066" s="6" t="s">
        <v>1621</v>
      </c>
      <c r="B1066" s="14">
        <v>385.85</v>
      </c>
      <c r="C1066" s="15">
        <v>4447</v>
      </c>
      <c r="D1066" s="14">
        <f>C1066/22.0462262</f>
        <v>201.71252710815423</v>
      </c>
      <c r="E1066" s="18">
        <f>LN(B1066/B1065)</f>
        <v>-0.006973168751639109</v>
      </c>
      <c r="F1066" s="18">
        <f>LN(C1066/C1065)</f>
        <v>-0.0006743846495894994</v>
      </c>
    </row>
    <row r="1067">
      <c r="A1067" s="6" t="s">
        <v>1622</v>
      </c>
      <c r="B1067" s="14">
        <v>366.5</v>
      </c>
      <c r="C1067" s="15">
        <v>4135</v>
      </c>
      <c r="D1067" s="14">
        <f>C1067/22.0462262</f>
        <v>187.56044515228643</v>
      </c>
      <c r="E1067" s="18">
        <f>LN(B1067/B1066)</f>
        <v>-0.05145017157690591</v>
      </c>
      <c r="F1067" s="18">
        <f>LN(C1067/C1066)</f>
        <v>-0.0727423830529048</v>
      </c>
    </row>
    <row r="1068">
      <c r="A1068" s="6" t="s">
        <v>1623</v>
      </c>
      <c r="B1068" s="14">
        <v>367.35</v>
      </c>
      <c r="C1068" s="15">
        <v>4280</v>
      </c>
      <c r="D1068" s="14">
        <f>C1068/22.0462262</f>
        <v>194.13753452280193</v>
      </c>
      <c r="E1068" s="18">
        <f>LN(B1068/B1067)</f>
        <v>0.002316550739580251</v>
      </c>
      <c r="F1068" s="18">
        <f>LN(C1068/C1067)</f>
        <v>0.03446568111805086</v>
      </c>
    </row>
    <row r="1069">
      <c r="A1069" s="6" t="s">
        <v>1624</v>
      </c>
      <c r="B1069" s="14">
        <v>350.15</v>
      </c>
      <c r="C1069" s="15">
        <v>4118</v>
      </c>
      <c r="D1069" s="14">
        <f>C1069/22.0462262</f>
        <v>186.78933812263978</v>
      </c>
      <c r="E1069" s="18">
        <f>LN(B1069/B1068)</f>
        <v>-0.04795343796475982</v>
      </c>
      <c r="F1069" s="18">
        <f>LN(C1069/C1068)</f>
        <v>-0.038585400988107726</v>
      </c>
    </row>
    <row r="1070">
      <c r="A1070" s="6" t="s">
        <v>1625</v>
      </c>
      <c r="B1070" s="14">
        <v>367.75</v>
      </c>
      <c r="C1070" s="15">
        <v>4219</v>
      </c>
      <c r="D1070" s="14">
        <f>C1070/22.0462262</f>
        <v>191.37062106348162</v>
      </c>
      <c r="E1070" s="18">
        <f>LN(B1070/B1069)</f>
        <v>0.049041725380020135</v>
      </c>
      <c r="F1070" s="18">
        <f>LN(C1070/C1069)</f>
        <v>0.024230524536604008</v>
      </c>
    </row>
    <row r="1071">
      <c r="A1071" s="6" t="s">
        <v>1626</v>
      </c>
      <c r="B1071" s="14">
        <v>371.35</v>
      </c>
      <c r="C1071" s="15">
        <v>4082</v>
      </c>
      <c r="D1071" s="14">
        <f>C1071/22.0462262</f>
        <v>185.15640558927043</v>
      </c>
      <c r="E1071" s="18">
        <f>LN(B1071/B1070)</f>
        <v>0.009741654633758598</v>
      </c>
      <c r="F1071" s="18">
        <f>LN(C1071/C1070)</f>
        <v>-0.033011068754548525</v>
      </c>
    </row>
    <row r="1072">
      <c r="A1072" s="6" t="s">
        <v>1627</v>
      </c>
      <c r="B1072" s="14">
        <v>378.05</v>
      </c>
      <c r="C1072" s="15">
        <v>4182</v>
      </c>
      <c r="D1072" s="14">
        <f>C1072/22.0462262</f>
        <v>189.6923292930742</v>
      </c>
      <c r="E1072" s="18">
        <f>LN(B1072/B1071)</f>
        <v>0.017881447888973383</v>
      </c>
      <c r="F1072" s="18">
        <f>LN(C1072/C1071)</f>
        <v>0.024202536618788843</v>
      </c>
    </row>
    <row r="1073">
      <c r="A1073" s="6" t="s">
        <v>1628</v>
      </c>
      <c r="B1073" s="14">
        <v>372.2</v>
      </c>
      <c r="C1073" s="15">
        <v>4174</v>
      </c>
      <c r="D1073" s="14">
        <f>C1073/22.0462262</f>
        <v>189.3294553967699</v>
      </c>
      <c r="E1073" s="18">
        <f>LN(B1073/B1072)</f>
        <v>-0.015595117796128556</v>
      </c>
      <c r="F1073" s="18">
        <f>LN(C1073/C1072)</f>
        <v>-0.0019147923514328633</v>
      </c>
    </row>
    <row r="1074">
      <c r="A1074" s="6" t="s">
        <v>1629</v>
      </c>
      <c r="B1074" s="14">
        <v>374.85</v>
      </c>
      <c r="C1074" s="15">
        <v>4186</v>
      </c>
      <c r="D1074" s="14">
        <f>C1074/22.0462262</f>
        <v>189.87376624122635</v>
      </c>
      <c r="E1074" s="18">
        <f>LN(B1074/B1073)</f>
        <v>0.007094601740920694</v>
      </c>
      <c r="F1074" s="18">
        <f>LN(C1074/C1073)</f>
        <v>0.00287081536879896</v>
      </c>
    </row>
    <row r="1075">
      <c r="A1075" s="6" t="s">
        <v>1630</v>
      </c>
      <c r="B1075" s="14">
        <v>383.9</v>
      </c>
      <c r="C1075" s="15">
        <v>4388</v>
      </c>
      <c r="D1075" s="14">
        <f>C1075/22.0462262</f>
        <v>199.03633212291</v>
      </c>
      <c r="E1075" s="18">
        <f>LN(B1075/B1074)</f>
        <v>0.023856156057680735</v>
      </c>
      <c r="F1075" s="18">
        <f>LN(C1075/C1074)</f>
        <v>0.047127918389175856</v>
      </c>
    </row>
    <row r="1076">
      <c r="A1076" s="6" t="s">
        <v>1631</v>
      </c>
      <c r="B1076" s="14">
        <v>378.1</v>
      </c>
      <c r="C1076" s="15">
        <v>4325</v>
      </c>
      <c r="D1076" s="14">
        <f>C1076/22.0462262</f>
        <v>196.17870018951362</v>
      </c>
      <c r="E1076" s="18">
        <f>LN(B1076/B1075)</f>
        <v>-0.015223391109864719</v>
      </c>
      <c r="F1076" s="18">
        <f>LN(C1076/C1075)</f>
        <v>-0.014461402029141136</v>
      </c>
    </row>
    <row r="1077">
      <c r="A1077" s="6" t="s">
        <v>1632</v>
      </c>
      <c r="B1077" s="14">
        <v>390.75</v>
      </c>
      <c r="C1077" s="15">
        <v>4522</v>
      </c>
      <c r="D1077" s="14">
        <f>C1077/22.0462262</f>
        <v>205.11446988600707</v>
      </c>
      <c r="E1077" s="18">
        <f>LN(B1077/B1076)</f>
        <v>0.032909258404698744</v>
      </c>
      <c r="F1077" s="18">
        <f>LN(C1077/C1076)</f>
        <v>0.04454223347193549</v>
      </c>
    </row>
    <row r="1078">
      <c r="A1078" s="6" t="s">
        <v>1633</v>
      </c>
      <c r="B1078" s="14">
        <v>381.35</v>
      </c>
      <c r="C1078" s="15">
        <v>4464</v>
      </c>
      <c r="D1078" s="14">
        <f>C1078/22.0462262</f>
        <v>202.48363413780086</v>
      </c>
      <c r="E1078" s="18">
        <f>LN(B1078/B1077)</f>
        <v>-0.024350380691338363</v>
      </c>
      <c r="F1078" s="18">
        <f>LN(C1078/C1077)</f>
        <v>-0.012909148776768277</v>
      </c>
    </row>
    <row r="1079">
      <c r="A1079" s="6" t="s">
        <v>1634</v>
      </c>
      <c r="B1079" s="14">
        <v>375.4</v>
      </c>
      <c r="C1079" s="15">
        <v>4388</v>
      </c>
      <c r="D1079" s="14">
        <f>C1079/22.0462262</f>
        <v>199.03633212291</v>
      </c>
      <c r="E1079" s="18">
        <f>LN(B1079/B1078)</f>
        <v>-0.015725464457839212</v>
      </c>
      <c r="F1079" s="18">
        <f>LN(C1079/C1078)</f>
        <v>-0.017171682666026023</v>
      </c>
    </row>
    <row r="1080">
      <c r="A1080" s="6" t="s">
        <v>1635</v>
      </c>
      <c r="B1080" s="14">
        <v>385.1</v>
      </c>
      <c r="C1080" s="15">
        <v>4484</v>
      </c>
      <c r="D1080" s="14">
        <f>C1080/22.0462262</f>
        <v>203.39081887856165</v>
      </c>
      <c r="E1080" s="18">
        <f>LN(B1080/B1079)</f>
        <v>0.025510916668454876</v>
      </c>
      <c r="F1080" s="18">
        <f>LN(C1080/C1079)</f>
        <v>0.021641962796929762</v>
      </c>
    </row>
    <row r="1081">
      <c r="A1081" s="6" t="s">
        <v>1636</v>
      </c>
      <c r="B1081" s="14">
        <v>377.25</v>
      </c>
      <c r="C1081" s="15">
        <v>4472</v>
      </c>
      <c r="D1081" s="14">
        <f>C1081/22.0462262</f>
        <v>202.84650803410517</v>
      </c>
      <c r="E1081" s="18">
        <f>LN(B1081/B1080)</f>
        <v>-0.020594943172904952</v>
      </c>
      <c r="F1081" s="18">
        <f>LN(C1081/C1080)</f>
        <v>-0.0026797693571154464</v>
      </c>
    </row>
    <row r="1082">
      <c r="A1082" s="6" t="s">
        <v>1637</v>
      </c>
      <c r="B1082" s="14">
        <v>373.05</v>
      </c>
      <c r="C1082" s="15">
        <v>4391</v>
      </c>
      <c r="D1082" s="14">
        <f>C1082/22.0462262</f>
        <v>199.1724098340241</v>
      </c>
      <c r="E1082" s="18">
        <f>LN(B1082/B1081)</f>
        <v>-0.011195638730434901</v>
      </c>
      <c r="F1082" s="18">
        <f>LN(C1082/C1081)</f>
        <v>-0.01827874427321769</v>
      </c>
    </row>
    <row r="1083">
      <c r="A1083" s="6" t="s">
        <v>1638</v>
      </c>
      <c r="B1083" s="14">
        <v>385.2</v>
      </c>
      <c r="C1083" s="15">
        <v>4467</v>
      </c>
      <c r="D1083" s="14">
        <f>C1083/22.0462262</f>
        <v>202.619711848915</v>
      </c>
      <c r="E1083" s="18">
        <f>LN(B1083/B1082)</f>
        <v>0.0320502210064471</v>
      </c>
      <c r="F1083" s="18">
        <f>LN(C1083/C1082)</f>
        <v>0.01716005079040129</v>
      </c>
    </row>
    <row r="1084">
      <c r="A1084" s="6" t="s">
        <v>1639</v>
      </c>
      <c r="B1084" s="14">
        <v>399.65</v>
      </c>
      <c r="C1084" s="15">
        <v>4420</v>
      </c>
      <c r="D1084" s="14">
        <f>C1084/22.0462262</f>
        <v>200.4878277081272</v>
      </c>
      <c r="E1084" s="18">
        <f>LN(B1084/B1083)</f>
        <v>0.03682648414805756</v>
      </c>
      <c r="F1084" s="18">
        <f>LN(C1084/C1083)</f>
        <v>-0.010577346280374844</v>
      </c>
    </row>
    <row r="1085">
      <c r="A1085" s="6" t="s">
        <v>1640</v>
      </c>
      <c r="B1085" s="14">
        <v>394.9</v>
      </c>
      <c r="C1085" s="15">
        <v>4453</v>
      </c>
      <c r="D1085" s="14">
        <f>C1085/22.0462262</f>
        <v>201.98468253038246</v>
      </c>
      <c r="E1085" s="18">
        <f>LN(B1085/B1084)</f>
        <v>-0.011956595779424366</v>
      </c>
      <c r="F1085" s="18">
        <f>LN(C1085/C1084)</f>
        <v>0.007438330249958542</v>
      </c>
    </row>
    <row r="1086">
      <c r="A1086" s="6" t="s">
        <v>1641</v>
      </c>
      <c r="B1086" s="14">
        <v>393.8</v>
      </c>
      <c r="C1086" s="15">
        <v>4524</v>
      </c>
      <c r="D1086" s="14">
        <f>C1086/22.0462262</f>
        <v>205.20518836008316</v>
      </c>
      <c r="E1086" s="18">
        <f>LN(B1086/B1085)</f>
        <v>-0.0027894020875785254</v>
      </c>
      <c r="F1086" s="18">
        <f>LN(C1086/C1085)</f>
        <v>0.015818531914308685</v>
      </c>
    </row>
    <row r="1087">
      <c r="A1087" s="6" t="s">
        <v>1642</v>
      </c>
      <c r="B1087" s="14">
        <v>397.45</v>
      </c>
      <c r="C1087" s="15">
        <v>4478</v>
      </c>
      <c r="D1087" s="14">
        <f>C1087/22.0462262</f>
        <v>203.1186634563334</v>
      </c>
      <c r="E1087" s="18">
        <f>LN(B1087/B1086)</f>
        <v>0.009225973814096343</v>
      </c>
      <c r="F1087" s="18">
        <f>LN(C1087/C1086)</f>
        <v>-0.010220040077310954</v>
      </c>
    </row>
    <row r="1088">
      <c r="A1088" s="6" t="s">
        <v>1643</v>
      </c>
      <c r="B1088" s="14">
        <v>406.05</v>
      </c>
      <c r="C1088" s="15">
        <v>4464</v>
      </c>
      <c r="D1088" s="14">
        <f>C1088/22.0462262</f>
        <v>202.48363413780086</v>
      </c>
      <c r="E1088" s="18">
        <f>LN(B1088/B1087)</f>
        <v>0.02140716470929819</v>
      </c>
      <c r="F1088" s="18">
        <f>LN(C1088/C1087)</f>
        <v>-0.003131293097553286</v>
      </c>
    </row>
    <row r="1089">
      <c r="A1089" s="6" t="s">
        <v>1644</v>
      </c>
      <c r="B1089" s="14">
        <v>413.55</v>
      </c>
      <c r="C1089" s="15">
        <v>4574</v>
      </c>
      <c r="D1089" s="14">
        <f>C1089/22.0462262</f>
        <v>207.47315021198503</v>
      </c>
      <c r="E1089" s="18">
        <f>LN(B1089/B1088)</f>
        <v>0.0183021214094956</v>
      </c>
      <c r="F1089" s="18">
        <f>LN(C1089/C1088)</f>
        <v>0.024342870521579525</v>
      </c>
    </row>
    <row r="1090">
      <c r="A1090" s="6" t="s">
        <v>1645</v>
      </c>
      <c r="B1090" s="14">
        <v>420.85</v>
      </c>
      <c r="C1090" s="15">
        <v>4694</v>
      </c>
      <c r="D1090" s="14">
        <f>C1090/22.0462262</f>
        <v>212.9162586565496</v>
      </c>
      <c r="E1090" s="18">
        <f>LN(B1090/B1089)</f>
        <v>0.017498049519669604</v>
      </c>
      <c r="F1090" s="18">
        <f>LN(C1090/C1089)</f>
        <v>0.02589700182824248</v>
      </c>
    </row>
    <row r="1091">
      <c r="A1091" s="6" t="s">
        <v>1646</v>
      </c>
      <c r="B1091" s="14">
        <v>410.15</v>
      </c>
      <c r="C1091" s="15">
        <v>4521</v>
      </c>
      <c r="D1091" s="14">
        <f>C1091/22.0462262</f>
        <v>205.06911064896903</v>
      </c>
      <c r="E1091" s="18">
        <f>LN(B1091/B1090)</f>
        <v>-0.025753529208826283</v>
      </c>
      <c r="F1091" s="18">
        <f>LN(C1091/C1090)</f>
        <v>-0.03755188911636368</v>
      </c>
    </row>
    <row r="1092">
      <c r="A1092" s="6" t="s">
        <v>1647</v>
      </c>
      <c r="B1092" s="14">
        <v>403</v>
      </c>
      <c r="C1092" s="15">
        <v>4557</v>
      </c>
      <c r="D1092" s="14">
        <f>C1092/22.0462262</f>
        <v>206.7020431823384</v>
      </c>
      <c r="E1092" s="18">
        <f>LN(B1092/B1091)</f>
        <v>-0.017586384502075867</v>
      </c>
      <c r="F1092" s="18">
        <f>LN(C1092/C1091)</f>
        <v>0.007931303969277327</v>
      </c>
    </row>
    <row r="1093">
      <c r="A1093" s="6" t="s">
        <v>1648</v>
      </c>
      <c r="B1093" s="14">
        <v>390.1</v>
      </c>
      <c r="C1093" s="15">
        <v>4450</v>
      </c>
      <c r="D1093" s="14">
        <f>C1093/22.0462262</f>
        <v>201.84860481926836</v>
      </c>
      <c r="E1093" s="18">
        <f>LN(B1093/B1092)</f>
        <v>-0.03253344543407211</v>
      </c>
      <c r="F1093" s="18">
        <f>LN(C1093/C1092)</f>
        <v>-0.023760416103596624</v>
      </c>
    </row>
    <row r="1094">
      <c r="A1094" s="6" t="s">
        <v>1649</v>
      </c>
      <c r="B1094" s="14">
        <v>387.9</v>
      </c>
      <c r="C1094" s="15">
        <v>4465</v>
      </c>
      <c r="D1094" s="14">
        <f>C1094/22.0462262</f>
        <v>202.5289933748389</v>
      </c>
      <c r="E1094" s="18">
        <f>LN(B1094/B1093)</f>
        <v>-0.005655542066689434</v>
      </c>
      <c r="F1094" s="18">
        <f>LN(C1094/C1093)</f>
        <v>0.003365118150313555</v>
      </c>
    </row>
    <row r="1095">
      <c r="A1095" s="6" t="s">
        <v>1650</v>
      </c>
      <c r="B1095" s="14">
        <v>390.7</v>
      </c>
      <c r="C1095" s="15">
        <v>4610</v>
      </c>
      <c r="D1095" s="14">
        <f>C1095/22.0462262</f>
        <v>209.1060827453544</v>
      </c>
      <c r="E1095" s="18">
        <f>LN(B1095/B1094)</f>
        <v>0.007192427615103457</v>
      </c>
      <c r="F1095" s="18">
        <f>LN(C1095/C1094)</f>
        <v>0.03195864268009474</v>
      </c>
    </row>
    <row r="1096">
      <c r="A1096" s="6" t="s">
        <v>1651</v>
      </c>
      <c r="B1096" s="14">
        <v>392</v>
      </c>
      <c r="C1096" s="15">
        <v>4641</v>
      </c>
      <c r="D1096" s="14">
        <f>C1096/22.0462262</f>
        <v>210.51221909353356</v>
      </c>
      <c r="E1096" s="18">
        <f>LN(B1096/B1095)</f>
        <v>0.003321837729437565</v>
      </c>
      <c r="F1096" s="18">
        <f>LN(C1096/C1095)</f>
        <v>0.00670200325048158</v>
      </c>
    </row>
    <row r="1097">
      <c r="A1097" s="6" t="s">
        <v>1652</v>
      </c>
      <c r="B1097" s="14">
        <v>392.05</v>
      </c>
      <c r="C1097" s="15">
        <v>4540</v>
      </c>
      <c r="D1097" s="14">
        <f>C1097/22.0462262</f>
        <v>205.93093615269174</v>
      </c>
      <c r="E1097" s="18">
        <f>LN(B1097/B1096)</f>
        <v>0.00012754288646842928</v>
      </c>
      <c r="F1097" s="18">
        <f>LN(C1097/C1096)</f>
        <v>-0.022002848205782178</v>
      </c>
    </row>
    <row r="1098">
      <c r="A1098" s="6" t="s">
        <v>1653</v>
      </c>
      <c r="B1098" s="14">
        <v>406.65</v>
      </c>
      <c r="C1098" s="15">
        <v>4693</v>
      </c>
      <c r="D1098" s="14">
        <f>C1098/22.0462262</f>
        <v>212.87089941951155</v>
      </c>
      <c r="E1098" s="18">
        <f>LN(B1098/B1097)</f>
        <v>0.03656348193585325</v>
      </c>
      <c r="F1098" s="18">
        <f>LN(C1098/C1097)</f>
        <v>0.03314502475902393</v>
      </c>
    </row>
    <row r="1099">
      <c r="A1099" s="6" t="s">
        <v>1654</v>
      </c>
      <c r="B1099" s="14">
        <v>405.25</v>
      </c>
      <c r="C1099" s="15">
        <v>4681</v>
      </c>
      <c r="D1099" s="14">
        <f>C1099/22.0462262</f>
        <v>212.3265885750551</v>
      </c>
      <c r="E1099" s="18">
        <f>LN(B1099/B1098)</f>
        <v>-0.003448703996998692</v>
      </c>
      <c r="F1099" s="18">
        <f>LN(C1099/C1098)</f>
        <v>-0.0025602744943470997</v>
      </c>
    </row>
    <row r="1100">
      <c r="A1100" s="6" t="s">
        <v>1655</v>
      </c>
      <c r="B1100" s="14">
        <v>413.6</v>
      </c>
      <c r="C1100" s="15">
        <v>4686</v>
      </c>
      <c r="D1100" s="14">
        <f>C1100/22.0462262</f>
        <v>212.55338476024528</v>
      </c>
      <c r="E1100" s="18">
        <f>LN(B1100/B1099)</f>
        <v>0.020395162578433976</v>
      </c>
      <c r="F1100" s="18">
        <f>LN(C1100/C1099)</f>
        <v>0.0010675777676703612</v>
      </c>
    </row>
    <row r="1101">
      <c r="A1101" s="6" t="s">
        <v>1656</v>
      </c>
      <c r="B1101" s="14">
        <v>396.75</v>
      </c>
      <c r="C1101" s="15">
        <v>4530</v>
      </c>
      <c r="D1101" s="14">
        <f>C1101/22.0462262</f>
        <v>205.47734378231138</v>
      </c>
      <c r="E1101" s="18">
        <f>LN(B1101/B1100)</f>
        <v>-0.04159296378770102</v>
      </c>
      <c r="F1101" s="18">
        <f>LN(C1101/C1100)</f>
        <v>-0.033857400590661224</v>
      </c>
    </row>
    <row r="1102">
      <c r="A1102" s="6" t="s">
        <v>1657</v>
      </c>
      <c r="B1102" s="14">
        <v>407.8</v>
      </c>
      <c r="C1102" s="15">
        <v>4648</v>
      </c>
      <c r="D1102" s="14">
        <f>C1102/22.0462262</f>
        <v>210.82973375279983</v>
      </c>
      <c r="E1102" s="18">
        <f>LN(B1102/B1101)</f>
        <v>0.027470498733836377</v>
      </c>
      <c r="F1102" s="18">
        <f>LN(C1102/C1101)</f>
        <v>0.025715080054667494</v>
      </c>
    </row>
    <row r="1103">
      <c r="A1103" s="6" t="s">
        <v>1658</v>
      </c>
      <c r="B1103" s="14">
        <v>414.75</v>
      </c>
      <c r="C1103" s="15">
        <v>4623</v>
      </c>
      <c r="D1103" s="14">
        <f>C1103/22.0462262</f>
        <v>209.6957528268489</v>
      </c>
      <c r="E1103" s="18">
        <f>LN(B1103/B1102)</f>
        <v>0.01689907093019904</v>
      </c>
      <c r="F1103" s="18">
        <f>LN(C1103/C1102)</f>
        <v>-0.005393174543521702</v>
      </c>
    </row>
    <row r="1104">
      <c r="A1104" s="6" t="s">
        <v>1659</v>
      </c>
      <c r="B1104" s="14">
        <v>422.7</v>
      </c>
      <c r="C1104" s="15">
        <v>4618</v>
      </c>
      <c r="D1104" s="14">
        <f>C1104/22.0462262</f>
        <v>209.4689566416587</v>
      </c>
      <c r="E1104" s="18">
        <f>LN(B1104/B1103)</f>
        <v>0.01898677850219039</v>
      </c>
      <c r="F1104" s="18">
        <f>LN(C1104/C1103)</f>
        <v>-0.001082134073784722</v>
      </c>
    </row>
    <row r="1105">
      <c r="A1105" s="6" t="s">
        <v>1660</v>
      </c>
      <c r="B1105" s="14">
        <v>403.65</v>
      </c>
      <c r="C1105" s="15">
        <v>4366</v>
      </c>
      <c r="D1105" s="14">
        <f>C1105/22.0462262</f>
        <v>198.03842890807317</v>
      </c>
      <c r="E1105" s="18">
        <f>LN(B1105/B1104)</f>
        <v>-0.04611454173171971</v>
      </c>
      <c r="F1105" s="18">
        <f>LN(C1105/C1104)</f>
        <v>-0.05611445280455144</v>
      </c>
    </row>
    <row r="1106">
      <c r="A1106" s="6" t="s">
        <v>1661</v>
      </c>
      <c r="B1106" s="14">
        <v>401.7</v>
      </c>
      <c r="C1106" s="15">
        <v>4343</v>
      </c>
      <c r="D1106" s="14">
        <f>C1106/22.0462262</f>
        <v>196.9951664561983</v>
      </c>
      <c r="E1106" s="18">
        <f>LN(B1106/B1105)</f>
        <v>-0.004842624475788015</v>
      </c>
      <c r="F1106" s="18">
        <f>LN(C1106/C1105)</f>
        <v>-0.00528190457506728</v>
      </c>
    </row>
    <row r="1107">
      <c r="A1107" s="6" t="s">
        <v>1662</v>
      </c>
      <c r="B1107" s="14">
        <v>399.8</v>
      </c>
      <c r="C1107" s="15">
        <v>4223</v>
      </c>
      <c r="D1107" s="14">
        <f>C1107/22.0462262</f>
        <v>191.55205801163376</v>
      </c>
      <c r="E1107" s="18">
        <f>LN(B1107/B1106)</f>
        <v>-0.00474111929893682</v>
      </c>
      <c r="F1107" s="18">
        <f>LN(C1107/C1106)</f>
        <v>-0.028019577600878268</v>
      </c>
    </row>
    <row r="1108">
      <c r="A1108" s="6" t="s">
        <v>1663</v>
      </c>
      <c r="B1108" s="14">
        <v>402.55</v>
      </c>
      <c r="C1108" s="15">
        <v>4483</v>
      </c>
      <c r="D1108" s="14">
        <f>C1108/22.0462262</f>
        <v>203.3454596415236</v>
      </c>
      <c r="E1108" s="18">
        <f>LN(B1108/B1107)</f>
        <v>0.006854890679689992</v>
      </c>
      <c r="F1108" s="18">
        <f>LN(C1108/C1107)</f>
        <v>0.05974668922149592</v>
      </c>
    </row>
    <row r="1109">
      <c r="A1109" s="6" t="s">
        <v>1664</v>
      </c>
      <c r="B1109" s="14">
        <v>415.35</v>
      </c>
      <c r="C1109" s="15">
        <v>4573</v>
      </c>
      <c r="D1109" s="14">
        <f>C1109/22.0462262</f>
        <v>207.427790974947</v>
      </c>
      <c r="E1109" s="18">
        <f>LN(B1109/B1108)</f>
        <v>0.031302225539090775</v>
      </c>
      <c r="F1109" s="18">
        <f>LN(C1109/C1108)</f>
        <v>0.019876979502615733</v>
      </c>
    </row>
    <row r="1110">
      <c r="A1110" s="6" t="s">
        <v>1665</v>
      </c>
      <c r="B1110" s="14">
        <v>404.5</v>
      </c>
      <c r="C1110" s="15">
        <v>4516</v>
      </c>
      <c r="D1110" s="14">
        <f>C1110/22.0462262</f>
        <v>204.84231446377885</v>
      </c>
      <c r="E1110" s="18">
        <f>LN(B1110/B1109)</f>
        <v>-0.026469801786534203</v>
      </c>
      <c r="F1110" s="18">
        <f>LN(C1110/C1109)</f>
        <v>-0.012542798388502498</v>
      </c>
    </row>
    <row r="1111">
      <c r="A1111" s="6" t="s">
        <v>1666</v>
      </c>
      <c r="B1111" s="14">
        <v>406.5</v>
      </c>
      <c r="C1111" s="15">
        <v>4631</v>
      </c>
      <c r="D1111" s="14">
        <f>C1111/22.0462262</f>
        <v>210.0586267231532</v>
      </c>
      <c r="E1111" s="18">
        <f>LN(B1111/B1110)</f>
        <v>0.004932192489318872</v>
      </c>
      <c r="F1111" s="18">
        <f>LN(C1111/C1110)</f>
        <v>0.02514618121119929</v>
      </c>
    </row>
    <row r="1112">
      <c r="A1112" s="6" t="s">
        <v>1667</v>
      </c>
      <c r="B1112" s="14">
        <v>400</v>
      </c>
      <c r="C1112" s="15">
        <v>4506</v>
      </c>
      <c r="D1112" s="14">
        <f>C1112/22.0462262</f>
        <v>204.38872209339846</v>
      </c>
      <c r="E1112" s="18">
        <f>LN(B1112/B1111)</f>
        <v>-0.0161193818798833</v>
      </c>
      <c r="F1112" s="18">
        <f>LN(C1112/C1111)</f>
        <v>-0.027362985488562162</v>
      </c>
    </row>
    <row r="1113">
      <c r="A1113" s="6" t="s">
        <v>1668</v>
      </c>
      <c r="B1113" s="14">
        <v>407.45</v>
      </c>
      <c r="C1113" s="15">
        <v>4453</v>
      </c>
      <c r="D1113" s="14">
        <f>C1113/22.0462262</f>
        <v>201.98468253038246</v>
      </c>
      <c r="E1113" s="18">
        <f>LN(B1113/B1112)</f>
        <v>0.018453678658246705</v>
      </c>
      <c r="F1113" s="18">
        <f>LN(C1113/C1112)</f>
        <v>-0.011831815670487331</v>
      </c>
    </row>
    <row r="1114">
      <c r="A1114" s="6" t="s">
        <v>1669</v>
      </c>
      <c r="B1114" s="14">
        <v>414.2</v>
      </c>
      <c r="C1114" s="15">
        <v>4414</v>
      </c>
      <c r="D1114" s="14">
        <f>C1114/22.0462262</f>
        <v>200.215672285899</v>
      </c>
      <c r="E1114" s="18">
        <f>LN(B1114/B1113)</f>
        <v>0.0164307231952549</v>
      </c>
      <c r="F1114" s="18">
        <f>LN(C1114/C1113)</f>
        <v>-0.008796718505020716</v>
      </c>
    </row>
    <row r="1115">
      <c r="A1115" s="6" t="s">
        <v>1670</v>
      </c>
      <c r="B1115" s="14">
        <v>411.5</v>
      </c>
      <c r="C1115" s="15">
        <v>4377</v>
      </c>
      <c r="D1115" s="14">
        <f>C1115/22.0462262</f>
        <v>198.53738051549158</v>
      </c>
      <c r="E1115" s="18">
        <f>LN(B1115/B1114)</f>
        <v>-0.006539928844359238</v>
      </c>
      <c r="F1115" s="18">
        <f>LN(C1115/C1114)</f>
        <v>-0.008417749625786385</v>
      </c>
    </row>
    <row r="1116">
      <c r="A1116" s="6" t="s">
        <v>1671</v>
      </c>
      <c r="B1116" s="14">
        <v>413</v>
      </c>
      <c r="C1116" s="15">
        <v>4413</v>
      </c>
      <c r="D1116" s="14">
        <f>C1116/22.0462262</f>
        <v>200.17031304886095</v>
      </c>
      <c r="E1116" s="18">
        <f>LN(B1116/B1115)</f>
        <v>0.003638572843908311</v>
      </c>
      <c r="F1116" s="18">
        <f>LN(C1116/C1115)</f>
        <v>0.008191172078651837</v>
      </c>
    </row>
    <row r="1117">
      <c r="A1117" s="6" t="s">
        <v>1672</v>
      </c>
      <c r="B1117" s="14">
        <v>411.5</v>
      </c>
      <c r="C1117" s="15">
        <v>4263</v>
      </c>
      <c r="D1117" s="14">
        <f>C1117/22.0462262</f>
        <v>193.36642749315527</v>
      </c>
      <c r="E1117" s="18">
        <f>LN(B1117/B1116)</f>
        <v>-0.0036385728439082914</v>
      </c>
      <c r="F1117" s="18">
        <f>LN(C1117/C1116)</f>
        <v>-0.034581592504336865</v>
      </c>
    </row>
    <row r="1118">
      <c r="A1118" s="6" t="s">
        <v>1673</v>
      </c>
      <c r="B1118" s="14">
        <v>405.55</v>
      </c>
      <c r="C1118" s="15">
        <v>4143</v>
      </c>
      <c r="D1118" s="14">
        <f>C1118/22.0462262</f>
        <v>187.92331904859074</v>
      </c>
      <c r="E1118" s="18">
        <f>LN(B1118/B1117)</f>
        <v>-0.014564849600770752</v>
      </c>
      <c r="F1118" s="18">
        <f>LN(C1118/C1117)</f>
        <v>-0.0285529746878085</v>
      </c>
    </row>
    <row r="1119">
      <c r="A1119" s="6" t="s">
        <v>1674</v>
      </c>
      <c r="B1119" s="14">
        <v>403.75</v>
      </c>
      <c r="C1119" s="15">
        <v>4135</v>
      </c>
      <c r="D1119" s="14">
        <f>C1119/22.0462262</f>
        <v>187.56044515228643</v>
      </c>
      <c r="E1119" s="18">
        <f>LN(B1119/B1118)</f>
        <v>-0.004448295979487477</v>
      </c>
      <c r="F1119" s="18">
        <f>LN(C1119/C1118)</f>
        <v>-0.0019328346196100944</v>
      </c>
    </row>
    <row r="1120">
      <c r="A1120" s="6" t="s">
        <v>1675</v>
      </c>
      <c r="B1120" s="14">
        <v>411.95</v>
      </c>
      <c r="C1120" s="15">
        <v>4154</v>
      </c>
      <c r="D1120" s="14">
        <f>C1120/22.0462262</f>
        <v>188.42227065600915</v>
      </c>
      <c r="E1120" s="18">
        <f>LN(B1120/B1119)</f>
        <v>0.020106108224732622</v>
      </c>
      <c r="F1120" s="18">
        <f>LN(C1120/C1119)</f>
        <v>0.004584396978265866</v>
      </c>
    </row>
    <row r="1121">
      <c r="A1121" s="6" t="s">
        <v>1676</v>
      </c>
      <c r="B1121" s="14">
        <v>406.25</v>
      </c>
      <c r="C1121" s="15">
        <v>4098</v>
      </c>
      <c r="D1121" s="14">
        <f>C1121/22.0462262</f>
        <v>185.88215338187902</v>
      </c>
      <c r="E1121" s="18">
        <f>LN(B1121/B1120)</f>
        <v>-0.013933249117651711</v>
      </c>
      <c r="F1121" s="18">
        <f>LN(C1121/C1120)</f>
        <v>-0.013572675637212506</v>
      </c>
    </row>
    <row r="1122">
      <c r="A1122" s="6" t="s">
        <v>1677</v>
      </c>
      <c r="B1122" s="14">
        <v>396.05</v>
      </c>
      <c r="C1122" s="15">
        <v>4018</v>
      </c>
      <c r="D1122" s="14">
        <f>C1122/22.0462262</f>
        <v>182.253414418836</v>
      </c>
      <c r="E1122" s="18">
        <f>LN(B1122/B1121)</f>
        <v>-0.025428267733658524</v>
      </c>
      <c r="F1122" s="18">
        <f>LN(C1122/C1121)</f>
        <v>-0.01971478342396534</v>
      </c>
    </row>
    <row r="1123">
      <c r="A1123" s="6" t="s">
        <v>1678</v>
      </c>
      <c r="B1123" s="14">
        <v>394.2</v>
      </c>
      <c r="C1123" s="15">
        <v>4034</v>
      </c>
      <c r="D1123" s="14">
        <f>C1123/22.0462262</f>
        <v>182.97916221144462</v>
      </c>
      <c r="E1123" s="18">
        <f>LN(B1123/B1122)</f>
        <v>-0.00468207119166886</v>
      </c>
      <c r="F1123" s="18">
        <f>LN(C1123/C1122)</f>
        <v>0.003974173139277357</v>
      </c>
    </row>
    <row r="1124">
      <c r="A1124" s="6" t="s">
        <v>1679</v>
      </c>
      <c r="B1124" s="14">
        <v>400.8</v>
      </c>
      <c r="C1124" s="15">
        <v>4065</v>
      </c>
      <c r="D1124" s="14">
        <f>C1124/22.0462262</f>
        <v>184.38529855962378</v>
      </c>
      <c r="E1124" s="18">
        <f>LN(B1124/B1123)</f>
        <v>0.01660415505203538</v>
      </c>
      <c r="F1124" s="18">
        <f>LN(C1124/C1123)</f>
        <v>0.007655303467753957</v>
      </c>
    </row>
    <row r="1125">
      <c r="A1125" s="6" t="s">
        <v>1680</v>
      </c>
      <c r="B1125" s="14">
        <v>405.45</v>
      </c>
      <c r="C1125" s="15">
        <v>4038</v>
      </c>
      <c r="D1125" s="14">
        <f>C1125/22.0462262</f>
        <v>183.16059915959676</v>
      </c>
      <c r="E1125" s="18">
        <f>LN(B1125/B1124)</f>
        <v>0.01153501161991114</v>
      </c>
      <c r="F1125" s="18">
        <f>LN(C1125/C1124)</f>
        <v>-0.006664223109128182</v>
      </c>
    </row>
    <row r="1126">
      <c r="A1126" s="6" t="s">
        <v>1681</v>
      </c>
      <c r="B1126" s="14">
        <v>397.2</v>
      </c>
      <c r="C1126" s="15">
        <v>3936</v>
      </c>
      <c r="D1126" s="14">
        <f>C1126/22.0462262</f>
        <v>178.5339569817169</v>
      </c>
      <c r="E1126" s="18">
        <f>LN(B1126/B1125)</f>
        <v>-0.02055762921954875</v>
      </c>
      <c r="F1126" s="18">
        <f>LN(C1126/C1125)</f>
        <v>-0.025584540700638786</v>
      </c>
    </row>
    <row r="1127">
      <c r="A1127" s="6" t="s">
        <v>1682</v>
      </c>
      <c r="B1127" s="14">
        <v>387.7</v>
      </c>
      <c r="C1127" s="15">
        <v>3854</v>
      </c>
      <c r="D1127" s="14">
        <f>C1127/22.0462262</f>
        <v>174.8144995445978</v>
      </c>
      <c r="E1127" s="18">
        <f>LN(B1127/B1126)</f>
        <v>-0.024208087494134098</v>
      </c>
      <c r="F1127" s="18">
        <f>LN(C1127/C1126)</f>
        <v>-0.02105340919783238</v>
      </c>
    </row>
    <row r="1128">
      <c r="A1128" s="6" t="s">
        <v>1683</v>
      </c>
      <c r="B1128" s="14">
        <v>379.3</v>
      </c>
      <c r="C1128" s="15">
        <v>3763</v>
      </c>
      <c r="D1128" s="14">
        <f>C1128/22.0462262</f>
        <v>170.68680897413637</v>
      </c>
      <c r="E1128" s="18">
        <f>LN(B1128/B1127)</f>
        <v>-0.02190439598203014</v>
      </c>
      <c r="F1128" s="18">
        <f>LN(C1128/C1127)</f>
        <v>-0.0238950583808745</v>
      </c>
    </row>
    <row r="1129">
      <c r="A1129" s="6" t="s">
        <v>1684</v>
      </c>
      <c r="B1129" s="14">
        <v>351.9</v>
      </c>
      <c r="C1129" s="15">
        <v>3656</v>
      </c>
      <c r="D1129" s="14">
        <f>C1129/22.0462262</f>
        <v>165.8333706110663</v>
      </c>
      <c r="E1129" s="18">
        <f>LN(B1129/B1128)</f>
        <v>-0.0749804043673139</v>
      </c>
      <c r="F1129" s="18">
        <f>LN(C1129/C1128)</f>
        <v>-0.028846858019396654</v>
      </c>
    </row>
    <row r="1130">
      <c r="A1130" s="6" t="s">
        <v>1685</v>
      </c>
      <c r="B1130" s="14">
        <v>345.45</v>
      </c>
      <c r="C1130" s="15">
        <v>3618</v>
      </c>
      <c r="D1130" s="14">
        <f>C1130/22.0462262</f>
        <v>164.10971960362087</v>
      </c>
      <c r="E1130" s="18">
        <f>LN(B1130/B1129)</f>
        <v>-0.018499129392735538</v>
      </c>
      <c r="F1130" s="18">
        <f>LN(C1130/C1129)</f>
        <v>-0.010448266618800137</v>
      </c>
    </row>
    <row r="1131">
      <c r="A1131" s="6" t="s">
        <v>1686</v>
      </c>
      <c r="B1131" s="14">
        <v>340.65</v>
      </c>
      <c r="C1131" s="15">
        <v>3613</v>
      </c>
      <c r="D1131" s="14">
        <f>C1131/22.0462262</f>
        <v>163.8829234184307</v>
      </c>
      <c r="E1131" s="18">
        <f>LN(B1131/B1130)</f>
        <v>-0.013992357715126748</v>
      </c>
      <c r="F1131" s="18">
        <f>LN(C1131/C1130)</f>
        <v>-0.0013829348076002683</v>
      </c>
    </row>
    <row r="1132">
      <c r="A1132" s="6" t="s">
        <v>1687</v>
      </c>
      <c r="B1132" s="14">
        <v>347.35</v>
      </c>
      <c r="C1132" s="15">
        <v>3708</v>
      </c>
      <c r="D1132" s="14">
        <f>C1132/22.0462262</f>
        <v>168.19205093704429</v>
      </c>
      <c r="E1132" s="18">
        <f>LN(B1132/B1131)</f>
        <v>0.01947735991921294</v>
      </c>
      <c r="F1132" s="18">
        <f>LN(C1132/C1131)</f>
        <v>0.0259541955381055</v>
      </c>
    </row>
    <row r="1133">
      <c r="A1133" s="6" t="s">
        <v>1688</v>
      </c>
      <c r="B1133" s="14">
        <v>346.95</v>
      </c>
      <c r="C1133" s="15">
        <v>3762</v>
      </c>
      <c r="D1133" s="14">
        <f>C1133/22.0462262</f>
        <v>170.64144973709833</v>
      </c>
      <c r="E1133" s="18">
        <f>LN(B1133/B1132)</f>
        <v>-0.0011522397933321918</v>
      </c>
      <c r="F1133" s="18">
        <f>LN(C1133/C1132)</f>
        <v>0.014458083175229917</v>
      </c>
    </row>
    <row r="1134">
      <c r="A1134" s="6" t="s">
        <v>1689</v>
      </c>
      <c r="B1134" s="14">
        <v>345.15</v>
      </c>
      <c r="C1134" s="15">
        <v>3793</v>
      </c>
      <c r="D1134" s="14">
        <f>C1134/22.0462262</f>
        <v>172.0475860852775</v>
      </c>
      <c r="E1134" s="18">
        <f>LN(B1134/B1133)</f>
        <v>-0.005201572196073284</v>
      </c>
      <c r="F1134" s="18">
        <f>LN(C1134/C1133)</f>
        <v>0.008206531827923254</v>
      </c>
    </row>
    <row r="1135">
      <c r="A1135" s="6" t="s">
        <v>1690</v>
      </c>
      <c r="B1135" s="14">
        <v>352.15</v>
      </c>
      <c r="C1135" s="15">
        <v>3812</v>
      </c>
      <c r="D1135" s="14">
        <f>C1135/22.0462262</f>
        <v>172.9094115890002</v>
      </c>
      <c r="E1135" s="18">
        <f>LN(B1135/B1134)</f>
        <v>0.020078116041934817</v>
      </c>
      <c r="F1135" s="18">
        <f>LN(C1135/C1134)</f>
        <v>0.004996723085193693</v>
      </c>
    </row>
    <row r="1136">
      <c r="A1136" s="6" t="s">
        <v>1691</v>
      </c>
      <c r="B1136" s="14">
        <v>350.2</v>
      </c>
      <c r="C1136" s="15">
        <v>3863</v>
      </c>
      <c r="D1136" s="14">
        <f>C1136/22.0462262</f>
        <v>175.22273267794014</v>
      </c>
      <c r="E1136" s="18">
        <f>LN(B1136/B1135)</f>
        <v>-0.00555280133966779</v>
      </c>
      <c r="F1136" s="18">
        <f>LN(C1136/C1135)</f>
        <v>0.013290097892188612</v>
      </c>
    </row>
    <row r="1137">
      <c r="A1137" s="6" t="s">
        <v>1692</v>
      </c>
      <c r="B1137" s="14">
        <v>348.75</v>
      </c>
      <c r="C1137" s="15">
        <v>3872</v>
      </c>
      <c r="D1137" s="14">
        <f>C1137/22.0462262</f>
        <v>175.6309658112825</v>
      </c>
      <c r="E1137" s="18">
        <f>LN(B1137/B1136)</f>
        <v>-0.0041490867161760965</v>
      </c>
      <c r="F1137" s="18">
        <f>LN(C1137/C1136)</f>
        <v>0.00232708573018627</v>
      </c>
    </row>
    <row r="1138">
      <c r="A1138" s="6" t="s">
        <v>1693</v>
      </c>
      <c r="B1138" s="14">
        <v>357.3</v>
      </c>
      <c r="C1138" s="15">
        <v>3878</v>
      </c>
      <c r="D1138" s="14">
        <f>C1138/22.0462262</f>
        <v>175.90312123351072</v>
      </c>
      <c r="E1138" s="18">
        <f>LN(B1138/B1137)</f>
        <v>0.024220431893788853</v>
      </c>
      <c r="F1138" s="18">
        <f>LN(C1138/C1137)</f>
        <v>0.0015483874061295432</v>
      </c>
    </row>
    <row r="1139">
      <c r="A1139" s="6" t="s">
        <v>1694</v>
      </c>
      <c r="B1139" s="14">
        <v>359.35</v>
      </c>
      <c r="C1139" s="15">
        <v>3844</v>
      </c>
      <c r="D1139" s="14">
        <f>C1139/22.0462262</f>
        <v>174.36090717421743</v>
      </c>
      <c r="E1139" s="18">
        <f>LN(B1139/B1138)</f>
        <v>0.005721078885087556</v>
      </c>
      <c r="F1139" s="18">
        <f>LN(C1139/C1138)</f>
        <v>-0.008806065712414001</v>
      </c>
    </row>
    <row r="1140">
      <c r="A1140" s="6" t="s">
        <v>1695</v>
      </c>
      <c r="B1140" s="14">
        <v>373.85</v>
      </c>
      <c r="C1140" s="15">
        <v>3930</v>
      </c>
      <c r="D1140" s="14">
        <f>C1140/22.0462262</f>
        <v>178.26180155948867</v>
      </c>
      <c r="E1140" s="18">
        <f>LN(B1140/B1139)</f>
        <v>0.03955780353147297</v>
      </c>
      <c r="F1140" s="18">
        <f>LN(C1140/C1139)</f>
        <v>0.022125934773123846</v>
      </c>
    </row>
    <row r="1141">
      <c r="A1141" s="6" t="s">
        <v>1696</v>
      </c>
      <c r="B1141" s="14">
        <v>375.45</v>
      </c>
      <c r="C1141" s="15">
        <v>3876</v>
      </c>
      <c r="D1141" s="14">
        <f>C1141/22.0462262</f>
        <v>175.81240275943463</v>
      </c>
      <c r="E1141" s="18">
        <f>LN(B1141/B1140)</f>
        <v>0.004270659099968264</v>
      </c>
      <c r="F1141" s="18">
        <f>LN(C1141/C1140)</f>
        <v>-0.013835731852650024</v>
      </c>
    </row>
    <row r="1142">
      <c r="A1142" s="6" t="s">
        <v>1697</v>
      </c>
      <c r="B1142" s="14">
        <v>372.35</v>
      </c>
      <c r="C1142" s="15">
        <v>3866</v>
      </c>
      <c r="D1142" s="14">
        <f>C1142/22.0462262</f>
        <v>175.35881038905424</v>
      </c>
      <c r="E1142" s="18">
        <f>LN(B1142/B1141)</f>
        <v>-0.008291034389238226</v>
      </c>
      <c r="F1142" s="18">
        <f>LN(C1142/C1141)</f>
        <v>-0.0025833132423805994</v>
      </c>
    </row>
    <row r="1143">
      <c r="A1143" s="6" t="s">
        <v>1698</v>
      </c>
      <c r="B1143" s="14">
        <v>357.65</v>
      </c>
      <c r="C1143" s="15">
        <v>3837</v>
      </c>
      <c r="D1143" s="14">
        <f>C1143/22.0462262</f>
        <v>174.04339251495117</v>
      </c>
      <c r="E1143" s="18">
        <f>LN(B1143/B1142)</f>
        <v>-0.040279417602261815</v>
      </c>
      <c r="F1143" s="18">
        <f>LN(C1143/C1142)</f>
        <v>-0.007529569521323798</v>
      </c>
    </row>
    <row r="1144">
      <c r="A1144" s="6" t="s">
        <v>1699</v>
      </c>
      <c r="B1144" s="14">
        <v>356.05</v>
      </c>
      <c r="C1144" s="15">
        <v>3845</v>
      </c>
      <c r="D1144" s="14">
        <f>C1144/22.0462262</f>
        <v>174.40626641125547</v>
      </c>
      <c r="E1144" s="18">
        <f>LN(B1144/B1143)</f>
        <v>-0.004483684126258992</v>
      </c>
      <c r="F1144" s="18">
        <f>LN(C1144/C1143)</f>
        <v>0.0020827916927920733</v>
      </c>
    </row>
    <row r="1145">
      <c r="A1145" s="6" t="s">
        <v>1700</v>
      </c>
      <c r="B1145" s="14">
        <v>360.25</v>
      </c>
      <c r="C1145" s="15">
        <v>3882</v>
      </c>
      <c r="D1145" s="14">
        <f>C1145/22.0462262</f>
        <v>176.08455818166286</v>
      </c>
      <c r="E1145" s="18">
        <f>LN(B1145/B1144)</f>
        <v>0.011727064451497647</v>
      </c>
      <c r="F1145" s="18">
        <f>LN(C1145/C1144)</f>
        <v>0.00957688178921112</v>
      </c>
    </row>
    <row r="1146">
      <c r="A1146" s="6" t="s">
        <v>1701</v>
      </c>
      <c r="B1146" s="14">
        <v>356</v>
      </c>
      <c r="C1146" s="15">
        <v>3879</v>
      </c>
      <c r="D1146" s="14">
        <f>C1146/22.0462262</f>
        <v>175.94848047054876</v>
      </c>
      <c r="E1146" s="18">
        <f>LN(B1146/B1145)</f>
        <v>-0.011867504027600981</v>
      </c>
      <c r="F1146" s="18">
        <f>LN(C1146/C1145)</f>
        <v>-0.0007730962889884341</v>
      </c>
    </row>
    <row r="1147">
      <c r="A1147" s="6" t="s">
        <v>1702</v>
      </c>
      <c r="B1147" s="14">
        <v>358.1</v>
      </c>
      <c r="C1147" s="15">
        <v>3923</v>
      </c>
      <c r="D1147" s="14">
        <f>C1147/22.0462262</f>
        <v>177.9442869002224</v>
      </c>
      <c r="E1147" s="18">
        <f>LN(B1147/B1146)</f>
        <v>0.005881546152356668</v>
      </c>
      <c r="F1147" s="18">
        <f>LN(C1147/C1146)</f>
        <v>0.01127927876958546</v>
      </c>
    </row>
    <row r="1148">
      <c r="A1148" s="6" t="s">
        <v>1703</v>
      </c>
      <c r="B1148" s="14">
        <v>355.3</v>
      </c>
      <c r="C1148" s="15">
        <v>3925</v>
      </c>
      <c r="D1148" s="14">
        <f>C1148/22.0462262</f>
        <v>178.0350053742985</v>
      </c>
      <c r="E1148" s="18">
        <f>LN(B1148/B1147)</f>
        <v>-0.007849773977405682</v>
      </c>
      <c r="F1148" s="18">
        <f>LN(C1148/C1147)</f>
        <v>0.0005096840069563272</v>
      </c>
    </row>
    <row r="1149">
      <c r="A1149" s="6" t="s">
        <v>1704</v>
      </c>
      <c r="B1149" s="14">
        <v>346.5</v>
      </c>
      <c r="C1149" s="15">
        <v>3864</v>
      </c>
      <c r="D1149" s="14">
        <f>C1149/22.0462262</f>
        <v>175.26809191497819</v>
      </c>
      <c r="E1149" s="18">
        <f>LN(B1149/B1148)</f>
        <v>-0.025079684397023544</v>
      </c>
      <c r="F1149" s="18">
        <f>LN(C1149/C1148)</f>
        <v>-0.01566343488410021</v>
      </c>
    </row>
    <row r="1150">
      <c r="A1150" s="6" t="s">
        <v>1705</v>
      </c>
      <c r="B1150" s="14">
        <v>347.5</v>
      </c>
      <c r="C1150" s="15">
        <v>3984</v>
      </c>
      <c r="D1150" s="14">
        <f>C1150/22.0462262</f>
        <v>180.71120035954272</v>
      </c>
      <c r="E1150" s="18">
        <f>LN(B1150/B1149)</f>
        <v>0.00288184637488895</v>
      </c>
      <c r="F1150" s="18">
        <f>LN(C1150/C1149)</f>
        <v>0.030583423372080185</v>
      </c>
    </row>
    <row r="1151">
      <c r="A1151" s="6" t="s">
        <v>1706</v>
      </c>
      <c r="B1151" s="14">
        <v>347.7</v>
      </c>
      <c r="C1151" s="15">
        <v>3943</v>
      </c>
      <c r="D1151" s="14">
        <f>C1151/22.0462262</f>
        <v>178.85147164098316</v>
      </c>
      <c r="E1151" s="18">
        <f>LN(B1151/B1150)</f>
        <v>0.0005753740089688991</v>
      </c>
      <c r="F1151" s="18">
        <f>LN(C1151/C1150)</f>
        <v>-0.010344484826861691</v>
      </c>
    </row>
    <row r="1152">
      <c r="A1152" s="6" t="s">
        <v>1707</v>
      </c>
      <c r="B1152" s="14">
        <v>350.9</v>
      </c>
      <c r="C1152" s="15">
        <v>4051</v>
      </c>
      <c r="D1152" s="14">
        <f>C1152/22.0462262</f>
        <v>183.75026924109125</v>
      </c>
      <c r="E1152" s="18">
        <f>LN(B1152/B1151)</f>
        <v>0.009161243575353783</v>
      </c>
      <c r="F1152" s="18">
        <f>LN(C1152/C1151)</f>
        <v>0.02702190932506346</v>
      </c>
    </row>
    <row r="1153">
      <c r="A1153" s="6" t="s">
        <v>1708</v>
      </c>
      <c r="B1153" s="14">
        <v>356.25</v>
      </c>
      <c r="C1153" s="15">
        <v>4113</v>
      </c>
      <c r="D1153" s="14">
        <f>C1153/22.0462262</f>
        <v>186.5625419374496</v>
      </c>
      <c r="E1153" s="18">
        <f>LN(B1153/B1152)</f>
        <v>0.015131448993690835</v>
      </c>
      <c r="F1153" s="18">
        <f>LN(C1153/C1152)</f>
        <v>0.01518892502773351</v>
      </c>
    </row>
    <row r="1154">
      <c r="A1154" s="6" t="s">
        <v>1709</v>
      </c>
      <c r="B1154" s="14">
        <v>367.25</v>
      </c>
      <c r="C1154" s="15">
        <v>4100</v>
      </c>
      <c r="D1154" s="14">
        <f>C1154/22.0462262</f>
        <v>185.9728718559551</v>
      </c>
      <c r="E1154" s="18">
        <f>LN(B1154/B1153)</f>
        <v>0.030410083471126326</v>
      </c>
      <c r="F1154" s="18">
        <f>LN(C1154/C1153)</f>
        <v>-0.0031657155380249613</v>
      </c>
    </row>
    <row r="1155">
      <c r="A1155" s="6" t="s">
        <v>1710</v>
      </c>
      <c r="B1155" s="14">
        <v>351</v>
      </c>
      <c r="C1155" s="15">
        <v>3984</v>
      </c>
      <c r="D1155" s="14">
        <f>C1155/22.0462262</f>
        <v>180.71120035954272</v>
      </c>
      <c r="E1155" s="18">
        <f>LN(B1155/B1154)</f>
        <v>-0.04525659158812083</v>
      </c>
      <c r="F1155" s="18">
        <f>LN(C1155/C1154)</f>
        <v>-0.028700633987910344</v>
      </c>
    </row>
    <row r="1156">
      <c r="A1156" s="6" t="s">
        <v>1711</v>
      </c>
      <c r="B1156" s="14">
        <v>345.5</v>
      </c>
      <c r="C1156" s="15">
        <v>3996</v>
      </c>
      <c r="D1156" s="14">
        <f>C1156/22.0462262</f>
        <v>181.25551120399916</v>
      </c>
      <c r="E1156" s="18">
        <f>LN(B1156/B1155)</f>
        <v>-0.015793580258141243</v>
      </c>
      <c r="F1156" s="18">
        <f>LN(C1156/C1155)</f>
        <v>0.0030075210639553224</v>
      </c>
    </row>
    <row r="1157">
      <c r="A1157" s="6" t="s">
        <v>1712</v>
      </c>
      <c r="B1157" s="14">
        <v>332.25</v>
      </c>
      <c r="C1157" s="15">
        <v>3937</v>
      </c>
      <c r="D1157" s="14">
        <f>C1157/22.0462262</f>
        <v>178.57931621875494</v>
      </c>
      <c r="E1157" s="18">
        <f>LN(B1157/B1156)</f>
        <v>-0.03910494561436983</v>
      </c>
      <c r="F1157" s="18">
        <f>LN(C1157/C1156)</f>
        <v>-0.01487484882470659</v>
      </c>
    </row>
    <row r="1158">
      <c r="A1158" s="6" t="s">
        <v>1713</v>
      </c>
      <c r="B1158" s="14">
        <v>333.25</v>
      </c>
      <c r="C1158" s="15">
        <v>3952</v>
      </c>
      <c r="D1158" s="14">
        <f>C1158/22.0462262</f>
        <v>179.2597047743255</v>
      </c>
      <c r="E1158" s="18">
        <f>LN(B1158/B1157)</f>
        <v>0.0030052614654632955</v>
      </c>
      <c r="F1158" s="18">
        <f>LN(C1158/C1157)</f>
        <v>0.0038027679240208293</v>
      </c>
    </row>
    <row r="1159">
      <c r="A1159" s="6" t="s">
        <v>1714</v>
      </c>
      <c r="B1159" s="14">
        <v>317.1</v>
      </c>
      <c r="C1159" s="15">
        <v>3719</v>
      </c>
      <c r="D1159" s="14">
        <f>C1159/22.0462262</f>
        <v>168.6910025444627</v>
      </c>
      <c r="E1159" s="18">
        <f>LN(B1159/B1158)</f>
        <v>-0.049675777514516316</v>
      </c>
      <c r="F1159" s="18">
        <f>LN(C1159/C1158)</f>
        <v>-0.06076696494268843</v>
      </c>
    </row>
    <row r="1160">
      <c r="A1160" s="6" t="s">
        <v>1715</v>
      </c>
      <c r="B1160" s="14">
        <v>308.65</v>
      </c>
      <c r="C1160" s="15">
        <v>3689</v>
      </c>
      <c r="D1160" s="14">
        <f>C1160/22.0462262</f>
        <v>167.33022543332154</v>
      </c>
      <c r="E1160" s="18">
        <f>LN(B1160/B1159)</f>
        <v>-0.02700923270439692</v>
      </c>
      <c r="F1160" s="18">
        <f>LN(C1160/C1159)</f>
        <v>-0.008099396328394362</v>
      </c>
    </row>
    <row r="1161">
      <c r="A1161" s="6" t="s">
        <v>1716</v>
      </c>
      <c r="B1161" s="14">
        <v>308.4</v>
      </c>
      <c r="C1161" s="15">
        <v>3749</v>
      </c>
      <c r="D1161" s="14">
        <f>C1161/22.0462262</f>
        <v>170.05177965560384</v>
      </c>
      <c r="E1161" s="18">
        <f>LN(B1161/B1160)</f>
        <v>-0.0008103071507304971</v>
      </c>
      <c r="F1161" s="18">
        <f>LN(C1161/C1160)</f>
        <v>0.016133719139236415</v>
      </c>
    </row>
    <row r="1162">
      <c r="A1162" s="6" t="s">
        <v>1717</v>
      </c>
      <c r="B1162" s="14">
        <v>296.55</v>
      </c>
      <c r="C1162" s="15">
        <v>3668</v>
      </c>
      <c r="D1162" s="14">
        <f>C1162/22.0462262</f>
        <v>166.37768145552278</v>
      </c>
      <c r="E1162" s="18">
        <f>LN(B1162/B1161)</f>
        <v>-0.03918180340443867</v>
      </c>
      <c r="F1162" s="18">
        <f>LN(C1162/C1161)</f>
        <v>-0.021842583359556543</v>
      </c>
    </row>
    <row r="1163">
      <c r="A1163" s="6" t="s">
        <v>1718</v>
      </c>
      <c r="B1163" s="14">
        <v>299.85</v>
      </c>
      <c r="C1163" s="15">
        <v>3770</v>
      </c>
      <c r="D1163" s="14">
        <f>C1163/22.0462262</f>
        <v>171.00432363340263</v>
      </c>
      <c r="E1163" s="18">
        <f>LN(B1163/B1162)</f>
        <v>0.011066511329783287</v>
      </c>
      <c r="F1163" s="18">
        <f>LN(C1163/C1162)</f>
        <v>0.027428447065701064</v>
      </c>
    </row>
    <row r="1164">
      <c r="A1164" s="6" t="s">
        <v>1719</v>
      </c>
      <c r="B1164" s="14">
        <v>294.2</v>
      </c>
      <c r="C1164" s="15">
        <v>3683</v>
      </c>
      <c r="D1164" s="14">
        <f>C1164/22.0462262</f>
        <v>167.05807001109332</v>
      </c>
      <c r="E1164" s="18">
        <f>LN(B1164/B1163)</f>
        <v>-0.019022541447181688</v>
      </c>
      <c r="F1164" s="18">
        <f>LN(C1164/C1163)</f>
        <v>-0.023347363996991177</v>
      </c>
    </row>
    <row r="1165">
      <c r="A1165" s="6" t="s">
        <v>1720</v>
      </c>
      <c r="B1165" s="14">
        <v>294.8</v>
      </c>
      <c r="C1165" s="15">
        <v>3692</v>
      </c>
      <c r="D1165" s="14">
        <f>C1165/22.0462262</f>
        <v>167.46630314443567</v>
      </c>
      <c r="E1165" s="18">
        <f>LN(B1165/B1164)</f>
        <v>0.002037352147844452</v>
      </c>
      <c r="F1165" s="18">
        <f>LN(C1165/C1164)</f>
        <v>0.0024406791776775175</v>
      </c>
    </row>
    <row r="1166">
      <c r="A1166" s="6" t="s">
        <v>1721</v>
      </c>
      <c r="B1166" s="14">
        <v>299.65</v>
      </c>
      <c r="C1166" s="15">
        <v>3765</v>
      </c>
      <c r="D1166" s="14">
        <f>C1166/22.0462262</f>
        <v>170.77752744821242</v>
      </c>
      <c r="E1166" s="18">
        <f>LN(B1166/B1165)</f>
        <v>0.016317966589012554</v>
      </c>
      <c r="F1166" s="18">
        <f>LN(C1166/C1165)</f>
        <v>0.019579544611251276</v>
      </c>
    </row>
    <row r="1167">
      <c r="A1167" s="6" t="s">
        <v>1722</v>
      </c>
      <c r="B1167" s="14">
        <v>300.05</v>
      </c>
      <c r="C1167" s="15">
        <v>3800</v>
      </c>
      <c r="D1167" s="14">
        <f>C1167/22.0462262</f>
        <v>172.36510074454375</v>
      </c>
      <c r="E1167" s="18">
        <f>LN(B1167/B1166)</f>
        <v>0.0013340005313276207</v>
      </c>
      <c r="F1167" s="18">
        <f>LN(C1167/C1166)</f>
        <v>0.009253205480483176</v>
      </c>
    </row>
    <row r="1168">
      <c r="A1168" s="6" t="s">
        <v>1723</v>
      </c>
      <c r="B1168" s="14">
        <v>284.6</v>
      </c>
      <c r="C1168" s="15">
        <v>3619</v>
      </c>
      <c r="D1168" s="14">
        <f>C1168/22.0462262</f>
        <v>164.15507884065892</v>
      </c>
      <c r="E1168" s="18">
        <f>LN(B1168/B1167)</f>
        <v>-0.05286444177976979</v>
      </c>
      <c r="F1168" s="18">
        <f>LN(C1168/C1167)</f>
        <v>-0.048803322150734754</v>
      </c>
    </row>
    <row r="1169">
      <c r="A1169" s="6" t="s">
        <v>1724</v>
      </c>
      <c r="B1169" s="14">
        <v>287.55</v>
      </c>
      <c r="C1169" s="15">
        <v>3683</v>
      </c>
      <c r="D1169" s="14">
        <f>C1169/22.0462262</f>
        <v>167.05807001109332</v>
      </c>
      <c r="E1169" s="18">
        <f>LN(B1169/B1168)</f>
        <v>0.010312072504011213</v>
      </c>
      <c r="F1169" s="18">
        <f>LN(C1169/C1168)</f>
        <v>0.017529892881322846</v>
      </c>
    </row>
    <row r="1170">
      <c r="A1170" s="6" t="s">
        <v>1725</v>
      </c>
      <c r="B1170" s="14">
        <v>287.4</v>
      </c>
      <c r="C1170" s="15">
        <v>3620</v>
      </c>
      <c r="D1170" s="14">
        <f>C1170/22.0462262</f>
        <v>164.20043807769696</v>
      </c>
      <c r="E1170" s="18">
        <f>LN(B1170/B1169)</f>
        <v>-0.0005217845148387972</v>
      </c>
      <c r="F1170" s="18">
        <f>LN(C1170/C1169)</f>
        <v>-0.017253611625248518</v>
      </c>
    </row>
    <row r="1171">
      <c r="A1171" s="6" t="s">
        <v>1726</v>
      </c>
      <c r="B1171" s="14">
        <v>288.3</v>
      </c>
      <c r="C1171" s="15">
        <v>3591</v>
      </c>
      <c r="D1171" s="14">
        <f>C1171/22.0462262</f>
        <v>162.88502020359385</v>
      </c>
      <c r="E1171" s="18">
        <f>LN(B1171/B1170)</f>
        <v>0.003126630999432144</v>
      </c>
      <c r="F1171" s="18">
        <f>LN(C1171/C1170)</f>
        <v>-0.008043310593733874</v>
      </c>
    </row>
    <row r="1172">
      <c r="A1172" s="6" t="s">
        <v>1727</v>
      </c>
      <c r="B1172" s="14">
        <v>281.15</v>
      </c>
      <c r="C1172" s="15">
        <v>3560</v>
      </c>
      <c r="D1172" s="14">
        <f>C1172/22.0462262</f>
        <v>161.47888385541467</v>
      </c>
      <c r="E1172" s="18">
        <f>LN(B1172/B1171)</f>
        <v>-0.0251132699061459</v>
      </c>
      <c r="F1172" s="18">
        <f>LN(C1172/C1171)</f>
        <v>-0.008670170380006753</v>
      </c>
    </row>
    <row r="1173">
      <c r="A1173" s="6" t="s">
        <v>1728</v>
      </c>
      <c r="B1173" s="14">
        <v>288.25</v>
      </c>
      <c r="C1173" s="15">
        <v>3640</v>
      </c>
      <c r="D1173" s="14">
        <f>C1173/22.0462262</f>
        <v>165.1076228184577</v>
      </c>
      <c r="E1173" s="18">
        <f>LN(B1173/B1172)</f>
        <v>0.024939824410957812</v>
      </c>
      <c r="F1173" s="18">
        <f>LN(C1173/C1172)</f>
        <v>0.022223136784710256</v>
      </c>
    </row>
    <row r="1174">
      <c r="A1174" s="6" t="s">
        <v>1729</v>
      </c>
      <c r="B1174" s="14">
        <v>288.3</v>
      </c>
      <c r="C1174" s="15">
        <v>3703</v>
      </c>
      <c r="D1174" s="14">
        <f>C1174/22.0462262</f>
        <v>167.96525475185408</v>
      </c>
      <c r="E1174" s="18">
        <f>LN(B1174/B1173)</f>
        <v>0.000173445495188135</v>
      </c>
      <c r="F1174" s="18">
        <f>LN(C1174/C1173)</f>
        <v>0.017159620282826284</v>
      </c>
    </row>
    <row r="1175">
      <c r="A1175" s="6" t="s">
        <v>1730</v>
      </c>
      <c r="B1175" s="14">
        <v>286</v>
      </c>
      <c r="C1175" s="15">
        <v>3639</v>
      </c>
      <c r="D1175" s="14">
        <f>C1175/22.0462262</f>
        <v>165.06226358141967</v>
      </c>
      <c r="E1175" s="18">
        <f>LN(B1175/B1174)</f>
        <v>-0.008009793824503965</v>
      </c>
      <c r="F1175" s="18">
        <f>LN(C1175/C1174)</f>
        <v>-0.01743438330145284</v>
      </c>
    </row>
    <row r="1176">
      <c r="A1176" s="6" t="s">
        <v>1731</v>
      </c>
      <c r="B1176" s="14">
        <v>284.6</v>
      </c>
      <c r="C1176" s="15">
        <v>3624</v>
      </c>
      <c r="D1176" s="14">
        <f>C1176/22.0462262</f>
        <v>164.3818750258491</v>
      </c>
      <c r="E1176" s="18">
        <f>LN(B1176/B1175)</f>
        <v>-0.004907125164100507</v>
      </c>
      <c r="F1176" s="18">
        <f>LN(C1176/C1175)</f>
        <v>-0.004130530449289832</v>
      </c>
    </row>
    <row r="1177">
      <c r="A1177" s="6" t="s">
        <v>1732</v>
      </c>
      <c r="B1177" s="14">
        <v>288.35</v>
      </c>
      <c r="C1177" s="15">
        <v>3772</v>
      </c>
      <c r="D1177" s="14">
        <f>C1177/22.0462262</f>
        <v>171.0950421074787</v>
      </c>
      <c r="E1177" s="18">
        <f>LN(B1177/B1176)</f>
        <v>0.013090334405669613</v>
      </c>
      <c r="F1177" s="18">
        <f>LN(C1177/C1176)</f>
        <v>0.040026976590478255</v>
      </c>
    </row>
    <row r="1178">
      <c r="A1178" s="6" t="s">
        <v>1733</v>
      </c>
      <c r="B1178" s="14">
        <v>286.95</v>
      </c>
      <c r="C1178" s="15">
        <v>3705</v>
      </c>
      <c r="D1178" s="14">
        <f>C1178/22.0462262</f>
        <v>168.05597322593016</v>
      </c>
      <c r="E1178" s="18">
        <f>LN(B1178/B1177)</f>
        <v>-0.00486703550705022</v>
      </c>
      <c r="F1178" s="18">
        <f>LN(C1178/C1177)</f>
        <v>-0.017922106023160838</v>
      </c>
    </row>
    <row r="1179">
      <c r="A1179" s="6" t="s">
        <v>1734</v>
      </c>
      <c r="B1179" s="14">
        <v>290.7</v>
      </c>
      <c r="C1179" s="15">
        <v>3734</v>
      </c>
      <c r="D1179" s="14">
        <f>C1179/22.0462262</f>
        <v>169.37139110003326</v>
      </c>
      <c r="E1179" s="18">
        <f>LN(B1179/B1178)</f>
        <v>0.012983823010458626</v>
      </c>
      <c r="F1179" s="18">
        <f>LN(C1179/C1178)</f>
        <v>0.007796786371480668</v>
      </c>
    </row>
    <row r="1180">
      <c r="A1180" s="6" t="s">
        <v>1735</v>
      </c>
      <c r="B1180" s="14">
        <v>293</v>
      </c>
      <c r="C1180" s="15">
        <v>3751</v>
      </c>
      <c r="D1180" s="14">
        <f>C1180/22.0462262</f>
        <v>170.1424981296799</v>
      </c>
      <c r="E1180" s="18">
        <f>LN(B1180/B1179)</f>
        <v>0.007880801452237109</v>
      </c>
      <c r="F1180" s="18">
        <f>LN(C1180/C1179)</f>
        <v>0.004542425980219513</v>
      </c>
    </row>
    <row r="1181">
      <c r="A1181" s="6" t="s">
        <v>1736</v>
      </c>
      <c r="B1181" s="14">
        <v>297.6</v>
      </c>
      <c r="C1181" s="15">
        <v>3772</v>
      </c>
      <c r="D1181" s="14">
        <f>C1181/22.0462262</f>
        <v>171.0950421074787</v>
      </c>
      <c r="E1181" s="18">
        <f>LN(B1181/B1180)</f>
        <v>0.015577693941869593</v>
      </c>
      <c r="F1181" s="18">
        <f>LN(C1181/C1180)</f>
        <v>0.005582893671460875</v>
      </c>
    </row>
    <row r="1182">
      <c r="A1182" s="6" t="s">
        <v>1737</v>
      </c>
      <c r="B1182" s="14">
        <v>301.75</v>
      </c>
      <c r="C1182" s="15">
        <v>3771</v>
      </c>
      <c r="D1182" s="14">
        <f>C1182/22.0462262</f>
        <v>171.04968287044065</v>
      </c>
      <c r="E1182" s="18">
        <f>LN(B1182/B1181)</f>
        <v>0.013848557018704057</v>
      </c>
      <c r="F1182" s="18">
        <f>LN(C1182/C1181)</f>
        <v>-0.0002651464949910144</v>
      </c>
    </row>
    <row r="1183">
      <c r="A1183" s="6" t="s">
        <v>1738</v>
      </c>
      <c r="B1183" s="14">
        <v>300.55</v>
      </c>
      <c r="C1183" s="15">
        <v>3692</v>
      </c>
      <c r="D1183" s="14">
        <f>C1183/22.0462262</f>
        <v>167.46630314443567</v>
      </c>
      <c r="E1183" s="18">
        <f>LN(B1183/B1182)</f>
        <v>-0.003984730492469839</v>
      </c>
      <c r="F1183" s="18">
        <f>LN(C1183/C1182)</f>
        <v>-0.021171901635614367</v>
      </c>
    </row>
    <row r="1184">
      <c r="A1184" s="6" t="s">
        <v>1739</v>
      </c>
      <c r="B1184" s="14">
        <v>292</v>
      </c>
      <c r="C1184" s="15">
        <v>3553</v>
      </c>
      <c r="D1184" s="14">
        <f>C1184/22.0462262</f>
        <v>161.1613691961484</v>
      </c>
      <c r="E1184" s="18">
        <f>LN(B1184/B1183)</f>
        <v>-0.028860327216889355</v>
      </c>
      <c r="F1184" s="18">
        <f>LN(C1184/C1183)</f>
        <v>-0.03837599960171575</v>
      </c>
    </row>
    <row r="1185">
      <c r="A1185" s="6" t="s">
        <v>1740</v>
      </c>
      <c r="B1185" s="14">
        <v>296.5</v>
      </c>
      <c r="C1185" s="15">
        <v>3625</v>
      </c>
      <c r="D1185" s="14">
        <f>C1185/22.0462262</f>
        <v>164.42723426288714</v>
      </c>
      <c r="E1185" s="18">
        <f>LN(B1185/B1184)</f>
        <v>0.0152934161694984</v>
      </c>
      <c r="F1185" s="18">
        <f>LN(C1185/C1184)</f>
        <v>0.02006197126774816</v>
      </c>
    </row>
    <row r="1186">
      <c r="A1186" s="6" t="s">
        <v>1741</v>
      </c>
      <c r="B1186" s="14">
        <v>290.35</v>
      </c>
      <c r="C1186" s="15">
        <v>3455</v>
      </c>
      <c r="D1186" s="14">
        <f>C1186/22.0462262</f>
        <v>156.7161639664207</v>
      </c>
      <c r="E1186" s="18">
        <f>LN(B1186/B1185)</f>
        <v>-0.02096012661972119</v>
      </c>
      <c r="F1186" s="18">
        <f>LN(C1186/C1185)</f>
        <v>-0.04803183108700493</v>
      </c>
    </row>
    <row r="1187">
      <c r="A1187" s="6" t="s">
        <v>1742</v>
      </c>
      <c r="B1187" s="14">
        <v>297.75</v>
      </c>
      <c r="C1187" s="15">
        <v>3475</v>
      </c>
      <c r="D1187" s="14">
        <f>C1187/22.0462262</f>
        <v>157.62334870718146</v>
      </c>
      <c r="E1187" s="18">
        <f>LN(B1187/B1186)</f>
        <v>0.025167116417350525</v>
      </c>
      <c r="F1187" s="18">
        <f>LN(C1187/C1186)</f>
        <v>0.005772021797122191</v>
      </c>
    </row>
    <row r="1188">
      <c r="A1188" s="6" t="s">
        <v>1743</v>
      </c>
      <c r="B1188" s="14">
        <v>302.05</v>
      </c>
      <c r="C1188" s="15">
        <v>3527</v>
      </c>
      <c r="D1188" s="14">
        <f>C1188/22.0462262</f>
        <v>159.98202903315942</v>
      </c>
      <c r="E1188" s="18">
        <f>LN(B1188/B1187)</f>
        <v>0.014338358349340838</v>
      </c>
      <c r="F1188" s="18">
        <f>LN(C1188/C1187)</f>
        <v>0.014853172237159405</v>
      </c>
    </row>
    <row r="1189">
      <c r="A1189" s="6" t="s">
        <v>1744</v>
      </c>
      <c r="B1189" s="14">
        <v>299.7</v>
      </c>
      <c r="C1189" s="15">
        <v>3579</v>
      </c>
      <c r="D1189" s="14">
        <f>C1189/22.0462262</f>
        <v>162.3407093591374</v>
      </c>
      <c r="E1189" s="18">
        <f>LN(B1189/B1188)</f>
        <v>-0.00781059226213279</v>
      </c>
      <c r="F1189" s="18">
        <f>LN(C1189/C1188)</f>
        <v>0.01463578052997383</v>
      </c>
    </row>
    <row r="1190">
      <c r="A1190" s="6" t="s">
        <v>1745</v>
      </c>
      <c r="B1190" s="14">
        <v>306.2</v>
      </c>
      <c r="C1190" s="15">
        <v>3669</v>
      </c>
      <c r="D1190" s="14">
        <f>C1190/22.0462262</f>
        <v>166.4230406925608</v>
      </c>
      <c r="E1190" s="18">
        <f>LN(B1190/B1189)</f>
        <v>0.02145650890096592</v>
      </c>
      <c r="F1190" s="18">
        <f>LN(C1190/C1189)</f>
        <v>0.024835713589256195</v>
      </c>
    </row>
    <row r="1191">
      <c r="A1191" s="6" t="s">
        <v>1746</v>
      </c>
      <c r="B1191" s="14">
        <v>309.75</v>
      </c>
      <c r="C1191" s="15">
        <v>3664</v>
      </c>
      <c r="D1191" s="14">
        <f>C1191/22.0462262</f>
        <v>166.1962445073706</v>
      </c>
      <c r="E1191" s="18">
        <f>LN(B1191/B1190)</f>
        <v>0.011527037285668446</v>
      </c>
      <c r="F1191" s="18">
        <f>LN(C1191/C1190)</f>
        <v>-0.0013636985612611194</v>
      </c>
    </row>
    <row r="1192">
      <c r="A1192" s="6" t="s">
        <v>1747</v>
      </c>
      <c r="B1192" s="14">
        <v>307</v>
      </c>
      <c r="C1192" s="15">
        <v>3637</v>
      </c>
      <c r="D1192" s="14">
        <f>C1192/22.0462262</f>
        <v>164.9715451073436</v>
      </c>
      <c r="E1192" s="18">
        <f>LN(B1192/B1191)</f>
        <v>-0.008917772922054656</v>
      </c>
      <c r="F1192" s="18">
        <f>LN(C1192/C1191)</f>
        <v>-0.007396280807031904</v>
      </c>
    </row>
    <row r="1193">
      <c r="A1193" s="6" t="s">
        <v>1748</v>
      </c>
      <c r="B1193" s="14">
        <v>317.85</v>
      </c>
      <c r="C1193" s="15">
        <v>3662</v>
      </c>
      <c r="D1193" s="14">
        <f>C1193/22.0462262</f>
        <v>166.10552603329452</v>
      </c>
      <c r="E1193" s="18">
        <f>LN(B1193/B1192)</f>
        <v>0.034731825795220654</v>
      </c>
      <c r="F1193" s="18">
        <f>LN(C1193/C1192)</f>
        <v>0.006850280247466898</v>
      </c>
    </row>
    <row r="1194">
      <c r="A1194" s="6" t="s">
        <v>1749</v>
      </c>
      <c r="B1194" s="14">
        <v>316.1</v>
      </c>
      <c r="C1194" s="15">
        <v>3629</v>
      </c>
      <c r="D1194" s="14">
        <f>C1194/22.0462262</f>
        <v>164.60867121103928</v>
      </c>
      <c r="E1194" s="18">
        <f>LN(B1194/B1193)</f>
        <v>-0.005520954160845756</v>
      </c>
      <c r="F1194" s="18">
        <f>LN(C1194/C1193)</f>
        <v>-0.009052318021385656</v>
      </c>
    </row>
    <row r="1195">
      <c r="A1195" s="6" t="s">
        <v>1750</v>
      </c>
      <c r="B1195" s="14">
        <v>307.65</v>
      </c>
      <c r="C1195" s="15">
        <v>3522</v>
      </c>
      <c r="D1195" s="14">
        <f>C1195/22.0462262</f>
        <v>159.75523284796924</v>
      </c>
      <c r="E1195" s="18">
        <f>LN(B1195/B1194)</f>
        <v>-0.02709584603507293</v>
      </c>
      <c r="F1195" s="18">
        <f>LN(C1195/C1194)</f>
        <v>-0.029928118156918936</v>
      </c>
    </row>
    <row r="1196">
      <c r="A1196" s="6" t="s">
        <v>1751</v>
      </c>
      <c r="B1196" s="14">
        <v>301.7</v>
      </c>
      <c r="C1196" s="15">
        <v>3516</v>
      </c>
      <c r="D1196" s="14">
        <f>C1196/22.0462262</f>
        <v>159.48307742574102</v>
      </c>
      <c r="E1196" s="18">
        <f>LN(B1196/B1195)</f>
        <v>-0.019529627021483816</v>
      </c>
      <c r="F1196" s="18">
        <f>LN(C1196/C1195)</f>
        <v>-0.0017050302510838342</v>
      </c>
    </row>
    <row r="1197">
      <c r="A1197" s="6" t="s">
        <v>1752</v>
      </c>
      <c r="B1197" s="14">
        <v>292.55</v>
      </c>
      <c r="C1197" s="15">
        <v>3348</v>
      </c>
      <c r="D1197" s="14">
        <f>C1197/22.0462262</f>
        <v>151.86272560335067</v>
      </c>
      <c r="E1197" s="18">
        <f>LN(B1197/B1196)</f>
        <v>-0.03079755393077026</v>
      </c>
      <c r="F1197" s="18">
        <f>LN(C1197/C1196)</f>
        <v>-0.048960827195701724</v>
      </c>
    </row>
    <row r="1198">
      <c r="A1198" s="6" t="s">
        <v>1753</v>
      </c>
      <c r="B1198" s="14">
        <v>298.35</v>
      </c>
      <c r="C1198" s="15">
        <v>3405</v>
      </c>
      <c r="D1198" s="14">
        <f>C1198/22.0462262</f>
        <v>154.4482021145188</v>
      </c>
      <c r="E1198" s="18">
        <f>LN(B1198/B1197)</f>
        <v>0.01963170173384589</v>
      </c>
      <c r="F1198" s="18">
        <f>LN(C1198/C1197)</f>
        <v>0.016881786974246714</v>
      </c>
    </row>
    <row r="1199">
      <c r="A1199" s="6" t="s">
        <v>1754</v>
      </c>
      <c r="B1199" s="14">
        <v>297.8</v>
      </c>
      <c r="C1199" s="15">
        <v>3428</v>
      </c>
      <c r="D1199" s="14">
        <f>C1199/22.0462262</f>
        <v>155.4914645663937</v>
      </c>
      <c r="E1199" s="18">
        <f>LN(B1199/B1198)</f>
        <v>-0.0018451737181823544</v>
      </c>
      <c r="F1199" s="18">
        <f>LN(C1199/C1198)</f>
        <v>0.006732061134057587</v>
      </c>
    </row>
    <row r="1200">
      <c r="A1200" s="6" t="s">
        <v>1755</v>
      </c>
      <c r="B1200" s="14">
        <v>295.4</v>
      </c>
      <c r="C1200" s="15">
        <v>3346</v>
      </c>
      <c r="D1200" s="14">
        <f>C1200/22.0462262</f>
        <v>151.77200712927458</v>
      </c>
      <c r="E1200" s="18">
        <f>LN(B1200/B1199)</f>
        <v>-0.00809175015262928</v>
      </c>
      <c r="F1200" s="18">
        <f>LN(C1200/C1199)</f>
        <v>-0.02421139817090112</v>
      </c>
    </row>
    <row r="1201">
      <c r="A1201" s="6" t="s">
        <v>1756</v>
      </c>
      <c r="B1201" s="14">
        <v>286.1</v>
      </c>
      <c r="C1201" s="15">
        <v>3231</v>
      </c>
      <c r="D1201" s="14">
        <f>C1201/22.0462262</f>
        <v>146.55569486990024</v>
      </c>
      <c r="E1201" s="18">
        <f>LN(B1201/B1200)</f>
        <v>-0.03198897004121469</v>
      </c>
      <c r="F1201" s="18">
        <f>LN(C1201/C1200)</f>
        <v>-0.03497391572227107</v>
      </c>
    </row>
    <row r="1202">
      <c r="A1202" s="6" t="s">
        <v>1757</v>
      </c>
      <c r="B1202" s="14">
        <v>294.05</v>
      </c>
      <c r="C1202" s="15">
        <v>3256</v>
      </c>
      <c r="D1202" s="14">
        <f>C1202/22.0462262</f>
        <v>147.68967579585117</v>
      </c>
      <c r="E1202" s="18">
        <f>LN(B1202/B1201)</f>
        <v>0.02740842084990038</v>
      </c>
      <c r="F1202" s="18">
        <f>LN(C1202/C1201)</f>
        <v>0.007707761297932668</v>
      </c>
    </row>
    <row r="1203">
      <c r="A1203" s="6" t="s">
        <v>1758</v>
      </c>
      <c r="B1203" s="14">
        <v>293.7</v>
      </c>
      <c r="C1203" s="15">
        <v>3239</v>
      </c>
      <c r="D1203" s="14">
        <f>C1203/22.0462262</f>
        <v>146.91856876620454</v>
      </c>
      <c r="E1203" s="18">
        <f>LN(B1203/B1202)</f>
        <v>-0.0011909827013906519</v>
      </c>
      <c r="F1203" s="18">
        <f>LN(C1203/C1202)</f>
        <v>-0.005234807951101641</v>
      </c>
    </row>
    <row r="1204">
      <c r="A1204" s="6" t="s">
        <v>1759</v>
      </c>
      <c r="B1204" s="14">
        <v>300.1</v>
      </c>
      <c r="C1204" s="15">
        <v>3239</v>
      </c>
      <c r="D1204" s="14">
        <f>C1204/22.0462262</f>
        <v>146.91856876620454</v>
      </c>
      <c r="E1204" s="18">
        <f>LN(B1204/B1203)</f>
        <v>0.021556914241747074</v>
      </c>
      <c r="F1204" s="18">
        <f>LN(C1204/C1203)</f>
        <v>0</v>
      </c>
    </row>
    <row r="1205">
      <c r="A1205" s="6" t="s">
        <v>1760</v>
      </c>
      <c r="B1205" s="14">
        <v>300.85</v>
      </c>
      <c r="C1205" s="15">
        <v>3254</v>
      </c>
      <c r="D1205" s="14">
        <f>C1205/22.0462262</f>
        <v>147.5989573217751</v>
      </c>
      <c r="E1205" s="18">
        <f>LN(B1205/B1204)</f>
        <v>0.0024960492200393697</v>
      </c>
      <c r="F1205" s="18">
        <f>LN(C1205/C1204)</f>
        <v>0.004620368607653711</v>
      </c>
    </row>
    <row r="1206">
      <c r="A1206" s="6" t="s">
        <v>1761</v>
      </c>
      <c r="B1206" s="14">
        <v>302.65</v>
      </c>
      <c r="C1206" s="15">
        <v>3351</v>
      </c>
      <c r="D1206" s="14">
        <f>C1206/22.0462262</f>
        <v>151.99880331446477</v>
      </c>
      <c r="E1206" s="18">
        <f>LN(B1206/B1205)</f>
        <v>0.005965220671335272</v>
      </c>
      <c r="F1206" s="18">
        <f>LN(C1206/C1205)</f>
        <v>0.02937379995832724</v>
      </c>
    </row>
    <row r="1207">
      <c r="A1207" s="6" t="s">
        <v>1762</v>
      </c>
      <c r="B1207" s="14">
        <v>304.25</v>
      </c>
      <c r="C1207" s="15">
        <v>3394</v>
      </c>
      <c r="D1207" s="14">
        <f>C1207/22.0462262</f>
        <v>153.9492505071004</v>
      </c>
      <c r="E1207" s="18">
        <f>LN(B1207/B1206)</f>
        <v>0.005272709529940313</v>
      </c>
      <c r="F1207" s="18">
        <f>LN(C1207/C1206)</f>
        <v>0.012750358056861252</v>
      </c>
    </row>
    <row r="1208">
      <c r="A1208" s="6" t="s">
        <v>1763</v>
      </c>
      <c r="B1208" s="14">
        <v>296.45</v>
      </c>
      <c r="C1208" s="15">
        <v>3347</v>
      </c>
      <c r="D1208" s="14">
        <f>C1208/22.0462262</f>
        <v>151.81736636631263</v>
      </c>
      <c r="E1208" s="18">
        <f>LN(B1208/B1207)</f>
        <v>-0.02597116171425992</v>
      </c>
      <c r="F1208" s="18">
        <f>LN(C1208/C1207)</f>
        <v>-0.013944744582845064</v>
      </c>
    </row>
    <row r="1209">
      <c r="A1209" s="6" t="s">
        <v>1764</v>
      </c>
      <c r="B1209" s="14">
        <v>289.3</v>
      </c>
      <c r="C1209" s="15">
        <v>3263</v>
      </c>
      <c r="D1209" s="14">
        <f>C1209/22.0462262</f>
        <v>148.00719045511744</v>
      </c>
      <c r="E1209" s="18">
        <f>LN(B1209/B1208)</f>
        <v>-0.02441435817128727</v>
      </c>
      <c r="F1209" s="18">
        <f>LN(C1209/C1208)</f>
        <v>-0.02541740461800599</v>
      </c>
    </row>
    <row r="1210">
      <c r="A1210" s="6" t="s">
        <v>1765</v>
      </c>
      <c r="B1210" s="14">
        <v>292.2</v>
      </c>
      <c r="C1210" s="15">
        <v>3376</v>
      </c>
      <c r="D1210" s="14">
        <f>C1210/22.0462262</f>
        <v>153.1327842404157</v>
      </c>
      <c r="E1210" s="18">
        <f>LN(B1210/B1209)</f>
        <v>0.009974287334509571</v>
      </c>
      <c r="F1210" s="18">
        <f>LN(C1210/C1209)</f>
        <v>0.03404455912252707</v>
      </c>
    </row>
    <row r="1211">
      <c r="A1211" s="6" t="s">
        <v>1766</v>
      </c>
      <c r="B1211" s="14">
        <v>289</v>
      </c>
      <c r="C1211" s="15">
        <v>3339</v>
      </c>
      <c r="D1211" s="14">
        <f>C1211/22.0462262</f>
        <v>151.45449247000832</v>
      </c>
      <c r="E1211" s="18">
        <f>LN(B1211/B1210)</f>
        <v>-0.011011811204166925</v>
      </c>
      <c r="F1211" s="18">
        <f>LN(C1211/C1210)</f>
        <v>-0.011020215772193248</v>
      </c>
    </row>
    <row r="1212">
      <c r="A1212" s="6" t="s">
        <v>1767</v>
      </c>
      <c r="B1212" s="14">
        <v>302.4</v>
      </c>
      <c r="C1212" s="15">
        <v>3404</v>
      </c>
      <c r="D1212" s="14">
        <f>C1212/22.0462262</f>
        <v>154.40284287748077</v>
      </c>
      <c r="E1212" s="18">
        <f>LN(B1212/B1211)</f>
        <v>0.0453239561929456</v>
      </c>
      <c r="F1212" s="18">
        <f>LN(C1212/C1211)</f>
        <v>0.019279849749610237</v>
      </c>
    </row>
    <row r="1213">
      <c r="A1213" s="6" t="s">
        <v>1768</v>
      </c>
      <c r="B1213" s="14">
        <v>316.35</v>
      </c>
      <c r="C1213" s="15">
        <v>3507</v>
      </c>
      <c r="D1213" s="14">
        <f>C1213/22.0462262</f>
        <v>159.07484429239867</v>
      </c>
      <c r="E1213" s="18">
        <f>LN(B1213/B1212)</f>
        <v>0.045098551287515526</v>
      </c>
      <c r="F1213" s="18">
        <f>LN(C1213/C1212)</f>
        <v>0.029809760446913365</v>
      </c>
    </row>
    <row r="1214">
      <c r="A1214" s="6" t="s">
        <v>1769</v>
      </c>
      <c r="B1214" s="14">
        <v>309.8</v>
      </c>
      <c r="C1214" s="15">
        <v>3483</v>
      </c>
      <c r="D1214" s="14">
        <f>C1214/22.0462262</f>
        <v>157.98622260348577</v>
      </c>
      <c r="E1214" s="18">
        <f>LN(B1214/B1213)</f>
        <v>-0.020922267610125056</v>
      </c>
      <c r="F1214" s="18">
        <f>LN(C1214/C1213)</f>
        <v>-0.0068669797741769375</v>
      </c>
    </row>
    <row r="1215">
      <c r="A1215" s="6" t="s">
        <v>1770</v>
      </c>
      <c r="B1215" s="14">
        <v>304.1</v>
      </c>
      <c r="C1215" s="15">
        <v>3428</v>
      </c>
      <c r="D1215" s="14">
        <f>C1215/22.0462262</f>
        <v>155.4914645663937</v>
      </c>
      <c r="E1215" s="18">
        <f>LN(B1215/B1214)</f>
        <v>-0.018570333299449262</v>
      </c>
      <c r="F1215" s="18">
        <f>LN(C1215/C1214)</f>
        <v>-0.015916990648330756</v>
      </c>
    </row>
    <row r="1216">
      <c r="A1216" s="6" t="s">
        <v>1771</v>
      </c>
      <c r="B1216" s="14">
        <v>306.4</v>
      </c>
      <c r="C1216" s="15">
        <v>3481</v>
      </c>
      <c r="D1216" s="14">
        <f>C1216/22.0462262</f>
        <v>157.8955041294097</v>
      </c>
      <c r="E1216" s="18">
        <f>LN(B1216/B1215)</f>
        <v>0.007534843183117121</v>
      </c>
      <c r="F1216" s="18">
        <f>LN(C1216/C1215)</f>
        <v>0.015342608093768586</v>
      </c>
    </row>
    <row r="1217">
      <c r="A1217" s="6" t="s">
        <v>1772</v>
      </c>
      <c r="B1217" s="14">
        <v>305.25</v>
      </c>
      <c r="C1217" s="15">
        <v>3442</v>
      </c>
      <c r="D1217" s="14">
        <f>C1217/22.0462262</f>
        <v>156.12649388492622</v>
      </c>
      <c r="E1217" s="18">
        <f>LN(B1217/B1216)</f>
        <v>-0.0037603248756220456</v>
      </c>
      <c r="F1217" s="18">
        <f>LN(C1217/C1216)</f>
        <v>-0.01126691103995418</v>
      </c>
    </row>
    <row r="1218">
      <c r="A1218" s="6" t="s">
        <v>1773</v>
      </c>
      <c r="B1218" s="14">
        <v>300.9</v>
      </c>
      <c r="C1218" s="15">
        <v>3361</v>
      </c>
      <c r="D1218" s="14">
        <f>C1218/22.0462262</f>
        <v>152.45239568484516</v>
      </c>
      <c r="E1218" s="18">
        <f>LN(B1218/B1217)</f>
        <v>-0.014353129354814632</v>
      </c>
      <c r="F1218" s="18">
        <f>LN(C1218/C1217)</f>
        <v>-0.023814149046379057</v>
      </c>
    </row>
    <row r="1219">
      <c r="A1219" s="6" t="s">
        <v>1774</v>
      </c>
      <c r="B1219" s="14">
        <v>302</v>
      </c>
      <c r="C1219" s="15">
        <v>3364</v>
      </c>
      <c r="D1219" s="14">
        <f>C1219/22.0462262</f>
        <v>152.58847339595926</v>
      </c>
      <c r="E1219" s="18">
        <f>LN(B1219/B1218)</f>
        <v>0.003649033738870177</v>
      </c>
      <c r="F1219" s="18">
        <f>LN(C1219/C1218)</f>
        <v>0.0008921933677329247</v>
      </c>
    </row>
    <row r="1220">
      <c r="A1220" s="6" t="s">
        <v>1775</v>
      </c>
      <c r="B1220" s="14">
        <v>305.85</v>
      </c>
      <c r="C1220" s="15">
        <v>3378</v>
      </c>
      <c r="D1220" s="14">
        <f>C1220/22.0462262</f>
        <v>153.2235027144918</v>
      </c>
      <c r="E1220" s="18">
        <f>LN(B1220/B1219)</f>
        <v>0.012667768313704229</v>
      </c>
      <c r="F1220" s="18">
        <f>LN(C1220/C1219)</f>
        <v>0.00415307627490663</v>
      </c>
    </row>
    <row r="1221">
      <c r="A1221" s="6" t="s">
        <v>1776</v>
      </c>
      <c r="B1221" s="14">
        <v>299.45</v>
      </c>
      <c r="C1221" s="15">
        <v>3413</v>
      </c>
      <c r="D1221" s="14">
        <f>C1221/22.0462262</f>
        <v>154.81107601082311</v>
      </c>
      <c r="E1221" s="18">
        <f>LN(B1221/B1220)</f>
        <v>-0.021147326978102628</v>
      </c>
      <c r="F1221" s="18">
        <f>LN(C1221/C1220)</f>
        <v>0.010307851538961747</v>
      </c>
    </row>
    <row r="1222">
      <c r="A1222" s="6" t="s">
        <v>1777</v>
      </c>
      <c r="B1222" s="14">
        <v>291.05</v>
      </c>
      <c r="C1222" s="15">
        <v>3432</v>
      </c>
      <c r="D1222" s="14">
        <f>C1222/22.0462262</f>
        <v>155.67290151454583</v>
      </c>
      <c r="E1222" s="18">
        <f>LN(B1222/B1221)</f>
        <v>-0.028452384992726794</v>
      </c>
      <c r="F1222" s="18">
        <f>LN(C1222/C1221)</f>
        <v>0.005551511701145815</v>
      </c>
    </row>
    <row r="1223">
      <c r="A1223" s="6" t="s">
        <v>1778</v>
      </c>
      <c r="B1223" s="14">
        <v>289.7</v>
      </c>
      <c r="C1223" s="15">
        <v>3414</v>
      </c>
      <c r="D1223" s="14">
        <f>C1223/22.0462262</f>
        <v>154.85643524786116</v>
      </c>
      <c r="E1223" s="18">
        <f>LN(B1223/B1222)</f>
        <v>-0.004649168942439903</v>
      </c>
      <c r="F1223" s="18">
        <f>LN(C1223/C1222)</f>
        <v>-0.005258557253466939</v>
      </c>
    </row>
    <row r="1224">
      <c r="A1224" s="6" t="s">
        <v>1779</v>
      </c>
      <c r="B1224" s="14">
        <v>298.6</v>
      </c>
      <c r="C1224" s="15">
        <v>3504</v>
      </c>
      <c r="D1224" s="14">
        <f>C1224/22.0462262</f>
        <v>158.93876658128457</v>
      </c>
      <c r="E1224" s="18">
        <f>LN(B1224/B1223)</f>
        <v>0.030258980329785346</v>
      </c>
      <c r="F1224" s="18">
        <f>LN(C1224/C1223)</f>
        <v>0.02602054870189606</v>
      </c>
    </row>
    <row r="1225">
      <c r="A1225" s="6" t="s">
        <v>1780</v>
      </c>
      <c r="B1225" s="14">
        <v>294.8</v>
      </c>
      <c r="C1225" s="15">
        <v>3482</v>
      </c>
      <c r="D1225" s="14">
        <f>C1225/22.0462262</f>
        <v>157.94086336644773</v>
      </c>
      <c r="E1225" s="18">
        <f>LN(B1225/B1224)</f>
        <v>-0.012807724789908556</v>
      </c>
      <c r="F1225" s="18">
        <f>LN(C1225/C1224)</f>
        <v>-0.006298331728147713</v>
      </c>
    </row>
    <row r="1226">
      <c r="A1226" s="6" t="s">
        <v>1781</v>
      </c>
      <c r="B1226" s="14">
        <v>296.25</v>
      </c>
      <c r="C1226" s="15">
        <v>3560</v>
      </c>
      <c r="D1226" s="14">
        <f>C1226/22.0462262</f>
        <v>161.47888385541467</v>
      </c>
      <c r="E1226" s="18">
        <f>LN(B1226/B1225)</f>
        <v>0.00490653213415945</v>
      </c>
      <c r="F1226" s="18">
        <f>LN(C1226/C1225)</f>
        <v>0.02215370351794174</v>
      </c>
    </row>
    <row r="1227">
      <c r="A1227" s="6" t="s">
        <v>1782</v>
      </c>
      <c r="B1227" s="14">
        <v>294.45</v>
      </c>
      <c r="C1227" s="15">
        <v>3487</v>
      </c>
      <c r="D1227" s="14">
        <f>C1227/22.0462262</f>
        <v>158.1676595516379</v>
      </c>
      <c r="E1227" s="18">
        <f>LN(B1227/B1226)</f>
        <v>-0.006094483058761233</v>
      </c>
      <c r="F1227" s="18">
        <f>LN(C1227/C1226)</f>
        <v>-0.020718777170424925</v>
      </c>
    </row>
    <row r="1228">
      <c r="A1228" s="6" t="s">
        <v>1783</v>
      </c>
      <c r="B1228" s="14">
        <v>284.6</v>
      </c>
      <c r="C1228" s="15">
        <v>3365</v>
      </c>
      <c r="D1228" s="14">
        <f>C1228/22.0462262</f>
        <v>152.6338326329973</v>
      </c>
      <c r="E1228" s="18">
        <f>LN(B1228/B1227)</f>
        <v>-0.0340245237348276</v>
      </c>
      <c r="F1228" s="18">
        <f>LN(C1228/C1227)</f>
        <v>-0.035613804596822965</v>
      </c>
    </row>
    <row r="1229">
      <c r="A1229" s="6" t="s">
        <v>1784</v>
      </c>
      <c r="B1229" s="14">
        <v>276.2</v>
      </c>
      <c r="C1229" s="15">
        <v>3306</v>
      </c>
      <c r="D1229" s="14">
        <f>C1229/22.0462262</f>
        <v>149.95763764775307</v>
      </c>
      <c r="E1229" s="18">
        <f>LN(B1229/B1228)</f>
        <v>-0.02995944468056042</v>
      </c>
      <c r="F1229" s="18">
        <f>LN(C1229/C1228)</f>
        <v>-0.01768896369785874</v>
      </c>
    </row>
    <row r="1230">
      <c r="A1230" s="6" t="s">
        <v>1785</v>
      </c>
      <c r="B1230" s="14">
        <v>270.15</v>
      </c>
      <c r="C1230" s="15">
        <v>3345</v>
      </c>
      <c r="D1230" s="14">
        <f>C1230/22.0462262</f>
        <v>151.72664789223654</v>
      </c>
      <c r="E1230" s="18">
        <f>LN(B1230/B1229)</f>
        <v>-0.022147880685117062</v>
      </c>
      <c r="F1230" s="18">
        <f>LN(C1230/C1229)</f>
        <v>0.011727694181359343</v>
      </c>
    </row>
    <row r="1231">
      <c r="A1231" s="6" t="s">
        <v>1786</v>
      </c>
      <c r="B1231" s="14">
        <v>268.3</v>
      </c>
      <c r="C1231" s="15">
        <v>3328</v>
      </c>
      <c r="D1231" s="14">
        <f>C1231/22.0462262</f>
        <v>150.9555408625899</v>
      </c>
      <c r="E1231" s="18">
        <f>LN(B1231/B1230)</f>
        <v>-0.006871602858496204</v>
      </c>
      <c r="F1231" s="18">
        <f>LN(C1231/C1230)</f>
        <v>-0.005095170621229613</v>
      </c>
    </row>
    <row r="1232">
      <c r="A1232" s="6" t="s">
        <v>1787</v>
      </c>
      <c r="B1232" s="14">
        <v>273.4</v>
      </c>
      <c r="C1232" s="15">
        <v>3399</v>
      </c>
      <c r="D1232" s="14">
        <f>C1232/22.0462262</f>
        <v>154.17604669229058</v>
      </c>
      <c r="E1232" s="18">
        <f>LN(B1232/B1231)</f>
        <v>0.018830166858270707</v>
      </c>
      <c r="F1232" s="18">
        <f>LN(C1232/C1231)</f>
        <v>0.021109747755016763</v>
      </c>
    </row>
    <row r="1233">
      <c r="A1233" s="6" t="s">
        <v>1788</v>
      </c>
      <c r="B1233" s="14">
        <v>272.35</v>
      </c>
      <c r="C1233" s="15">
        <v>3456</v>
      </c>
      <c r="D1233" s="14">
        <f>C1233/22.0462262</f>
        <v>156.76152320345875</v>
      </c>
      <c r="E1233" s="18">
        <f>LN(B1233/B1232)</f>
        <v>-0.00384792046016551</v>
      </c>
      <c r="F1233" s="18">
        <f>LN(C1233/C1232)</f>
        <v>0.016630580227830146</v>
      </c>
    </row>
    <row r="1234">
      <c r="A1234" s="6" t="s">
        <v>1789</v>
      </c>
      <c r="B1234" s="14">
        <v>274</v>
      </c>
      <c r="C1234" s="15">
        <v>3377</v>
      </c>
      <c r="D1234" s="14">
        <f>C1234/22.0462262</f>
        <v>153.17814347745374</v>
      </c>
      <c r="E1234" s="18">
        <f>LN(B1234/B1233)</f>
        <v>0.006040102558386732</v>
      </c>
      <c r="F1234" s="18">
        <f>LN(C1234/C1233)</f>
        <v>-0.023124109538378526</v>
      </c>
    </row>
    <row r="1235">
      <c r="A1235" s="6" t="s">
        <v>1790</v>
      </c>
      <c r="B1235" s="14">
        <v>269.85</v>
      </c>
      <c r="C1235" s="15">
        <v>3339</v>
      </c>
      <c r="D1235" s="14">
        <f>C1235/22.0462262</f>
        <v>151.45449247000832</v>
      </c>
      <c r="E1235" s="18">
        <f>LN(B1235/B1234)</f>
        <v>-0.015261857323418294</v>
      </c>
      <c r="F1235" s="18">
        <f>LN(C1235/C1234)</f>
        <v>-0.01131638044191323</v>
      </c>
    </row>
    <row r="1236">
      <c r="A1236" s="6" t="s">
        <v>1791</v>
      </c>
      <c r="B1236" s="14">
        <v>274.25</v>
      </c>
      <c r="C1236" s="15">
        <v>3415</v>
      </c>
      <c r="D1236" s="14">
        <f>C1236/22.0462262</f>
        <v>154.9017944848992</v>
      </c>
      <c r="E1236" s="18">
        <f>LN(B1236/B1235)</f>
        <v>0.01617385009068777</v>
      </c>
      <c r="F1236" s="18">
        <f>LN(C1236/C1235)</f>
        <v>0.02250613206123587</v>
      </c>
    </row>
    <row r="1237">
      <c r="A1237" s="6" t="s">
        <v>1792</v>
      </c>
      <c r="B1237" s="14">
        <v>265.6</v>
      </c>
      <c r="C1237" s="15">
        <v>3476</v>
      </c>
      <c r="D1237" s="14">
        <f>C1237/22.0462262</f>
        <v>157.6687079442195</v>
      </c>
      <c r="E1237" s="18">
        <f>LN(B1237/B1236)</f>
        <v>-0.0320486815530607</v>
      </c>
      <c r="F1237" s="18">
        <f>LN(C1237/C1236)</f>
        <v>0.01770471438039231</v>
      </c>
    </row>
  </sheetData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Lisez-moi</vt:lpstr>
      <vt:lpstr>1_Series</vt:lpstr>
      <vt:lpstr>2_Chocs</vt:lpstr>
      <vt:lpstr>3_Crise</vt:lpstr>
      <vt:lpstr>4_Long_terme</vt:lpstr>
      <vt:lpstr>5_Production_prix</vt:lpstr>
      <vt:lpstr>6_STU_prix</vt:lpstr>
      <vt:lpstr>7_Conso_prix</vt:lpstr>
      <vt:lpstr>8_KC_DF</vt:lpstr>
      <vt:lpstr>9_Quotidien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Qu'est-ce qui définit le prix du café ?</dc:title>
  <dc:creator>Claude</dc:creator>
  <dcterms:created xsi:type="dcterms:W3CDTF">2026-10-01T19:31:53Z</dcterms:created>
  <dcterms:modified xsi:type="dcterms:W3CDTF">2026-10-01T19:31:53Z</dcterms:modified>
</cp:coreProperties>
</file>