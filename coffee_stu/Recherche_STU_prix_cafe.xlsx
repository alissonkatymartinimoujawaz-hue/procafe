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8800" windowHeight="15000" activeTab="0"/>
  </bookViews>
  <sheets>
    <sheet name="Lisez-moi" sheetId="1" r:id="rId1"/>
    <sheet name="1_Series" sheetId="2" r:id="rId2"/>
    <sheet name="2_Chocs" sheetId="3" r:id="rId3"/>
    <sheet name="3_Crise" sheetId="4" r:id="rId4"/>
    <sheet name="4_Long_terme" sheetId="5" r:id="rId5"/>
    <sheet name="5_Production_prix" sheetId="6" r:id="rId6"/>
    <sheet name="6_STU_prix" sheetId="7" r:id="rId7"/>
    <sheet name="7_Conso_prix" sheetId="8" r:id="rId8"/>
    <sheet name="8_KC_DF" sheetId="9" r:id="rId9"/>
  </sheets>
  <calcPr calcId="191029" fullCalcOnLoad="1"/>
</workbook>
</file>

<file path=xl/sharedStrings.xml><?xml version="1.0" encoding="utf-8"?>
<sst xmlns="http://schemas.openxmlformats.org/spreadsheetml/2006/main" count="697" uniqueCount="507">
  <si>
    <t>Qu'est-ce qui définit le prix du café ? — données et calculs de la recherche</t>
  </si>
  <si>
    <t>Données : USDA PSD café (juillet 2026), 93 pays, milliers de sacs de 60 kg convertis en millions (M sacs). 2026/27 = prévision USDA. Prix : moyennes octobre-septembre ICE (proxy KC1 / DF1) publiées par l'ICO ; 2025/26 sur 11 mois.</t>
  </si>
  <si>
    <t>1_Series : séries mondiales (production, consommation, exportations, importations, écart, stocks, STU, solde), production par origine, consommation par région, prix. Deux graphiques.</t>
  </si>
  <si>
    <t>2_Chocs : taille d'un choc typique par origine / région (écart type autour de la tendance 2010/11-2025/26) et part de chaque source dans la variance des variations annuelles du STU mondial.</t>
  </si>
  <si>
    <t>3_Crise : comparaison de moyennes 2021/22-2024/25 contre 2017/18-2020/21 (crise) et 2025/26-2026/27 contre 2021/22-2024/25 (reprise), sans modèle.</t>
  </si>
  <si>
    <t>4_Long_terme : variation 2010/11 -&gt; 2025/26 et tendance annuelle de la production par origine et de la consommation par région.</t>
  </si>
  <si>
    <t>5_Production_prix : liens entre la croissance de la production de chaque origine et la variation du KC / DF, parts des écarts de production arabica / robusta, réponse de l'offre au prix, Vietnam contre conilon, KC contre DF au mois.</t>
  </si>
  <si>
    <t>6_STU_prix : quel stock-to-use colle le mieux au niveau du prix (corrélation, R² en validation croisée), parts du niveau et des variations du stock mondial.</t>
  </si>
  <si>
    <t>7_Conso_prix : croissance de la consommation par région et liens avec le prix.</t>
  </si>
  <si>
    <t>8_KC_DF : KC et DF au mois (même unité, c/lb), ratio KC/DF, corrélations de référence, statistiques du ratio, récoltes par espèce et ratio par campagne (graphique).</t>
  </si>
  <si>
    <t>Après vérification : validation croisée sans 2023/24-2025/26 et réaction des stocks au prix (6_STU_prix), intervalles bootstrap (2_Chocs), crise année par année (3_Crise), tendances 2011/12-2025/26 sans la rupture de série du Vietnam en 2010/11 (2_Chocs, 4_Long_terme, 5_Production_prix).</t>
  </si>
  <si>
    <t>Pièges : consommation UE apparente (miroir des stocks) ; UE regroupée avec le Royaume-Uni (passage UE-28 -&gt; UE-27 en 2016/17) ; stocks américains figés à 5,7 M sacs depuis 2022/23 ; bosse des stocks indonésiens 2017-2021 ; exportations mondiales &gt; importations de 1 à 13 M sacs par an. 16 campagnes : ordres de grandeur, pas des preuves.</t>
  </si>
  <si>
    <t>Séries mondiales, production par origine, consommation par région et prix (M sacs ; STU en %)</t>
  </si>
  <si>
    <t>Solde = production − consommation − (exportations − importations) = variation des stocks mondiaux (identité USDA). STU monde = stocks ÷ (conso + export).</t>
  </si>
  <si>
    <t>Campagne</t>
  </si>
  <si>
    <t>Production monde</t>
  </si>
  <si>
    <t>Consommation monde</t>
  </si>
  <si>
    <t>Écart export − import</t>
  </si>
  <si>
    <t>Stocks de fin monde</t>
  </si>
  <si>
    <t>Conso + export monde</t>
  </si>
  <si>
    <t>STU monde</t>
  </si>
  <si>
    <t>Solde mondial</t>
  </si>
  <si>
    <t>Prod. Brésil arabica</t>
  </si>
  <si>
    <t>Prod. Brésil conilon</t>
  </si>
  <si>
    <t>Prod. Vietnam</t>
  </si>
  <si>
    <t>Prod. Colombie</t>
  </si>
  <si>
    <t>Prod. Indonésie</t>
  </si>
  <si>
    <t>Prod. Éthiopie</t>
  </si>
  <si>
    <t>Prod. Ouganda</t>
  </si>
  <si>
    <t>Prod. Inde</t>
  </si>
  <si>
    <t>Prod. Amérique centrale + Mexique</t>
  </si>
  <si>
    <t>Prod. Pérou + Amérique du Sud</t>
  </si>
  <si>
    <t>Prod. Autres Afrique</t>
  </si>
  <si>
    <t>Prod. Autres Asie-Océanie</t>
  </si>
  <si>
    <t>Prod. Autres producteurs</t>
  </si>
  <si>
    <t>Conso UE + Royaume-Uni</t>
  </si>
  <si>
    <t>Conso États-Unis</t>
  </si>
  <si>
    <t>Conso Japon</t>
  </si>
  <si>
    <t>Conso Chine</t>
  </si>
  <si>
    <t>Conso Autres Asie importatrice</t>
  </si>
  <si>
    <t>Conso Brésil (conso intérieure)</t>
  </si>
  <si>
    <t>Conso Autres origines (conso intérieure)</t>
  </si>
  <si>
    <t>Conso Reste du monde importateur</t>
  </si>
  <si>
    <t>KC1 (c/lb)</t>
  </si>
  <si>
    <t>DF1 (US$/t)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</si>
  <si>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</si>
  <si>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</si>
  <si>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</si>
  <si>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</si>
  <si>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</si>
  <si>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</si>
  <si>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</si>
  <si>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</si>
  <si>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</si>
  <si>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</si>
  <si>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</si>
  <si>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</si>
  <si>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</si>
  <si>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</si>
  <si>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</si>
  <si>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</si>
  <si>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2026/27 (prév.)</t>
  </si>
  <si>
    <t>Ce qui fait bouger le STU mondial d'une année sur l'autre</t>
  </si>
  <si>
    <t>Choc typique = écart type de la série autour de sa tendance linéaire 2010/11-2025/26 ; en points de STU = rapporté à la moyenne de (conso + export) mondiale.</t>
  </si>
  <si>
    <t>Origine / région</t>
  </si>
  <si>
    <t>Choc typique (M sacs)</t>
  </si>
  <si>
    <t>Choc typique (points de STU)</t>
  </si>
  <si>
    <t>Tendance (M sacs par an)</t>
  </si>
  <si>
    <t>Niveau 2025/26 (M sacs)</t>
  </si>
  <si>
    <t>Part de chaque source dans la variance des variations annuelles du STU mondial (2011/12-2025/26)</t>
  </si>
  <si>
    <t>Source</t>
  </si>
  <si>
    <t>Part (tendance linéaire)</t>
  </si>
  <si>
    <t>Part (tendance log-linéaire)</t>
  </si>
  <si>
    <t>Bootstrap 90 % : bas</t>
  </si>
  <si>
    <t>Bootstrap 90 % : haut</t>
  </si>
  <si>
    <t>Prod. autres origines</t>
  </si>
  <si>
    <t>Conso UE + RU (apparente)</t>
  </si>
  <si>
    <t>Conso autres Asie importatrice</t>
  </si>
  <si>
    <t>Conso États-Unis + Japon</t>
  </si>
  <si>
    <t>Conso pays producteurs (Brésil + autres)</t>
  </si>
  <si>
    <t>Conso reste du monde</t>
  </si>
  <si>
    <t>Structurel : tendance production − tendance conso</t>
  </si>
  <si>
    <t>Écart statistique des échanges</t>
  </si>
  <si>
    <t>Arabica brésilien premier dans 90 % des 4000 tirages bootstrap ; P(conilon &gt; Vietnam) = 0.71.</t>
  </si>
  <si>
    <t>Fenêtre 2011/12-2025/26 (sans la rupture de série du Vietnam en 2010/11) : taille des écarts à la tendance</t>
  </si>
  <si>
    <t>Origine</t>
  </si>
  <si>
    <t>Écart type 2010-2025 (M sacs)</t>
  </si>
  <si>
    <t>Écart type 2011-2025 (M sacs)</t>
  </si>
  <si>
    <t>Points de STU 2011-2025</t>
  </si>
  <si>
    <t>Tendance 2011-2025 (M sacs/an)</t>
  </si>
  <si>
    <t>Brésil arabica</t>
  </si>
  <si>
    <t>Brésil conilon</t>
  </si>
  <si>
    <t>Vietnam</t>
  </si>
  <si>
    <t>Colombie</t>
  </si>
  <si>
    <t>Indonésie</t>
  </si>
  <si>
    <t>Amérique centrale + Mexique</t>
  </si>
  <si>
    <t>Éthiopie</t>
  </si>
  <si>
    <t>Ouganda</t>
  </si>
  <si>
    <t>Inde</t>
  </si>
  <si>
    <t>Cycle biennal du Brésil arabica : la parité de l'année explique 32 % de ses écarts à la tendance (écart moyen 4.8 M sacs entre année haute et année basse).</t>
  </si>
  <si>
    <t>Une part négative veut dire que le poste a plutôt compensé les autres. La consommation UE est apparente (miroir des stocks européens).</t>
  </si>
  <si>
    <t>Crise et reprise : comparaison de moyennes, sans modèle (M sacs par an)</t>
  </si>
  <si>
    <t/>
  </si>
  <si>
    <t>Crise : 2021/22-2024/25 moins 2017/18-2020/21</t>
  </si>
  <si>
    <t>Reprise : 2025/26-2026/27 moins 2021/22-2024/25</t>
  </si>
  <si>
    <t>STU monde moyen (avant)</t>
  </si>
  <si>
    <t>STU monde moyen (après)</t>
  </si>
  <si>
    <t>KC1 moyen avant / après (c/lb)</t>
  </si>
  <si>
    <t>121 → 233</t>
  </si>
  <si>
    <t>233 → 312</t>
  </si>
  <si>
    <t>DF1 moyen avant / après ($/t)</t>
  </si>
  <si>
    <t>1515 → 3143</t>
  </si>
  <si>
    <t>3143 → 3788</t>
  </si>
  <si>
    <t>Solde mondial moyen avant (M sacs/an)</t>
  </si>
  <si>
    <t>Solde mondial moyen après (M sacs/an)</t>
  </si>
  <si>
    <t>Production totale : variation</t>
  </si>
  <si>
    <t>Consommation totale : variation</t>
  </si>
  <si>
    <t>Écart export − import : variation</t>
  </si>
  <si>
    <t>Production Brésil arabica</t>
  </si>
  <si>
    <t>Production Brésil conilon</t>
  </si>
  <si>
    <t>Production Vietnam</t>
  </si>
  <si>
    <t>Production Colombie</t>
  </si>
  <si>
    <t>Production Indonésie</t>
  </si>
  <si>
    <t>Production Éthiopie</t>
  </si>
  <si>
    <t>Production Ouganda</t>
  </si>
  <si>
    <t>Production Inde</t>
  </si>
  <si>
    <t>Production Amérique centrale + Mexique</t>
  </si>
  <si>
    <t>Production Pérou + Amérique du Sud</t>
  </si>
  <si>
    <t>Production Autres Afrique</t>
  </si>
  <si>
    <t>Production Autres Asie-Océanie</t>
  </si>
  <si>
    <t>Consommation UE + Royaume-Uni</t>
  </si>
  <si>
    <t>Consommation États-Unis</t>
  </si>
  <si>
    <t>Consommation Japon</t>
  </si>
  <si>
    <t>Consommation Chine</t>
  </si>
  <si>
    <t>Consommation Autres Asie importatrice</t>
  </si>
  <si>
    <t>Consommation Brésil (conso intérieure)</t>
  </si>
  <si>
    <t>Consommation Autres origines (conso intérieure)</t>
  </si>
  <si>
    <t>Consommation Reste du monde importateur</t>
  </si>
  <si>
    <t>Production : écart des moyennes annuelles. Consommation : écart des moyennes (une hausse vide les stocks). 2026/27 = prévision USDA.</t>
  </si>
  <si>
    <t>Année par année (M sacs) : variation des stocks mondiaux = (production − consommation) − écart export-import</t>
  </si>
  <si>
    <t>Production − consommation</t>
  </si>
  <si>
    <t>Variation des stocks mondiaux</t>
  </si>
  <si>
    <t>dont UE + Royaume-Uni</t>
  </si>
  <si>
    <t>dont pays producteurs</t>
  </si>
  <si>
    <t>dont Brésil</t>
  </si>
  <si>
    <t>La production n'a été inférieure à la consommation qu'en 2021/22 et 2022/23 ; la baisse de 2022/23 est surtout européenne ; celles de 2023/24 et 2024/25 viennent de l'écart export-import.</t>
  </si>
  <si>
    <t>Long terme : qui a fait la hausse de l'offre et de la consommation (2010/11 -&gt; 2025/26)</t>
  </si>
  <si>
    <t>2025/26 moins 2010/11 (M sacs)</t>
  </si>
  <si>
    <t>Tendance 2010/11-2025/26 (M sacs par an)</t>
  </si>
  <si>
    <t>Tendance 2011/12-2025/26 (M sacs par an)</t>
  </si>
  <si>
    <t>Les bornes 2010/11 et 2025/26 sont trompeuses pour le Brésil arabica (année haute puis année basse) et le Vietnam (2010/11 = rupture de série, 19,4 M sacs) : préférer la tendance 2011/12-2025/26.</t>
  </si>
  <si>
    <t>Production par origine et prix : corrélations des variations annuelles (n = 15)</t>
  </si>
  <si>
    <t>r entre la croissance de la production (campagne USDA) et la variation de ln(prix) de la campagne octobre-septembre. « Suivante » = campagne USDA t+1 (pour le Brésil, récolte d'avril-septembre tombant dans la campagne de prix).</t>
  </si>
  <si>
    <t>KC : même campagne</t>
  </si>
  <si>
    <t>p</t>
  </si>
  <si>
    <t>KC : campagne suivante</t>
  </si>
  <si>
    <t>DF : même campagne</t>
  </si>
  <si>
    <t>DF : campagne suivante</t>
  </si>
  <si>
    <t>Pérou + Amérique du Sud</t>
  </si>
  <si>
    <t>Autres Afrique</t>
  </si>
  <si>
    <t>Autres Asie-Océanie</t>
  </si>
  <si>
    <t>Autres producteurs</t>
  </si>
  <si>
    <t>Arabica monde</t>
  </si>
  <si>
    <t>Robusta monde</t>
  </si>
  <si>
    <t>Part de chaque origine dans la variance des écarts de production (autour de la tendance)</t>
  </si>
  <si>
    <t>Monde</t>
  </si>
  <si>
    <t>Arabica</t>
  </si>
  <si>
    <t>Robusta</t>
  </si>
  <si>
    <t>Réponse de l'offre : croissance de la production (t) contre prix détendancé (t − k) — KC pour l'arabica, DF pour le robusta</t>
  </si>
  <si>
    <t>k = 1 an</t>
  </si>
  <si>
    <t>k = 2 ans</t>
  </si>
  <si>
    <t>k = 3 ans</t>
  </si>
  <si>
    <t>Vietnam (t) contre conilon brésilien (t + k) : corrélation des croissances</t>
  </si>
  <si>
    <t>Décalage k (ans)</t>
  </si>
  <si>
    <t>-2</t>
  </si>
  <si>
    <t>-1</t>
  </si>
  <si>
    <t>0</t>
  </si>
  <si>
    <t>+1</t>
  </si>
  <si>
    <t>+2</t>
  </si>
  <si>
    <t>r</t>
  </si>
  <si>
    <t>KC (mois t) contre DF (mois t + k) : corrélation des variations mensuelles (191 mois, 2010-09 -&gt; 2026-08)</t>
  </si>
  <si>
    <t>Décalage k (mois)</t>
  </si>
  <si>
    <t>-3</t>
  </si>
  <si>
    <t>+3</t>
  </si>
  <si>
    <t>Les corrélations à ±1 mois (+0,19 et +0,14) ont la taille que produit le seul calcul de moyennes mensuelles (environ 0.17 dans les deux sens, simulation) : aucun meneur.</t>
  </si>
  <si>
    <t>Robusta sans la rupture de série du Vietnam (croissances 2012/13-2025/26, n = 14)</t>
  </si>
  <si>
    <t>DF (t−1) → production (t)</t>
  </si>
  <si>
    <t>Vietnam (t) / conilon (t + k), 2012/13-2025/26</t>
  </si>
  <si>
    <t>Calage des campagnes et tests complémentaires (2011/12-2025/26)</t>
  </si>
  <si>
    <t>Test</t>
  </si>
  <si>
    <t>DF / récolte robusta mondiale, campagne USDA t</t>
  </si>
  <si>
    <t>DF / récolte robusta calée sur les dates de récolte</t>
  </si>
  <si>
    <t>DF / récolte robusta mondiale, campagne USDA t+1</t>
  </si>
  <si>
    <t>KC / écart à la tendance de la récolte brésilienne d'arabica suivante</t>
  </si>
  <si>
    <t>Tests multiples : 88 corrélations annuelles (production et consommation, KC et DF), 6 à p &lt; 0,05 pour 4.4 attendues par hasard ; 0 au seuil de Benjamini-Hochberg à 10 %.</t>
  </si>
  <si>
    <t>Quel stock-to-use colle le mieux au niveau du prix ? (2010/11-2025/26)</t>
  </si>
  <si>
    <t>r = corrélation avec ln(prix) ; p corrigé de l'autocorrélation ; R² validé = R² en validation croisée (une campagne retirée à la fois), formes linéaire et inverse (1/STU).</t>
  </si>
  <si>
    <t>STU</t>
  </si>
  <si>
    <t>KC : r</t>
  </si>
  <si>
    <t>KC : p corr.</t>
  </si>
  <si>
    <t>KC : R² validé (lin.)</t>
  </si>
  <si>
    <t>KC : R² validé (1/STU)</t>
  </si>
  <si>
    <t>KC : r sans 2023-26</t>
  </si>
  <si>
    <t>KC : r variations</t>
  </si>
  <si>
    <t>DF : r</t>
  </si>
  <si>
    <t>DF : p corr.</t>
  </si>
  <si>
    <t>DF : R² validé (lin.)</t>
  </si>
  <si>
    <t>DF : R² validé (1/STU)</t>
  </si>
  <si>
    <t>DF : r sans 2023-26</t>
  </si>
  <si>
    <t>DF : r variations</t>
  </si>
  <si>
    <t>KC : R² validé sans 2023-26</t>
  </si>
  <si>
    <t>DF : R² validé sans 2023-26</t>
  </si>
  <si>
    <t>Monde : stocks ÷ (conso + export)</t>
  </si>
  <si>
    <t>Monde : stocks ÷ conso</t>
  </si>
  <si>
    <t>Tous les producteurs (42 origines)</t>
  </si>
  <si>
    <t>Tous les importateurs (stocks ÷ conso)</t>
  </si>
  <si>
    <t>UE + Royaume-Uni</t>
  </si>
  <si>
    <t>États-Unis</t>
  </si>
  <si>
    <t>Japon</t>
  </si>
  <si>
    <t>Brésil</t>
  </si>
  <si>
    <t>Origines arabica (part de production)</t>
  </si>
  <si>
    <t>Origines robusta (part de production)</t>
  </si>
  <si>
    <t>Certifiés arabica (New York)</t>
  </si>
  <si>
    <t>Certifiés robusta (Londres)</t>
  </si>
  <si>
    <t>Part du niveau moyen du stock mondial (2010/11-2025/26)</t>
  </si>
  <si>
    <t>Producteurs (42 origines)</t>
  </si>
  <si>
    <t>UE + RU</t>
  </si>
  <si>
    <t>Part des variations du stock mondial (2011/12-2025/26)</t>
  </si>
  <si>
    <t>Importateurs</t>
  </si>
  <si>
    <t>Brazil</t>
  </si>
  <si>
    <t>European Union</t>
  </si>
  <si>
    <t>United States</t>
  </si>
  <si>
    <t>Japan</t>
  </si>
  <si>
    <t>Indonesia</t>
  </si>
  <si>
    <t>India</t>
  </si>
  <si>
    <t>Ecuador</t>
  </si>
  <si>
    <t>Guatemala</t>
  </si>
  <si>
    <t>China</t>
  </si>
  <si>
    <t>Qui réagit à qui ? Corrélations des variations annuelles du STU et du prix</t>
  </si>
  <si>
    <t>Même campagne : KC</t>
  </si>
  <si>
    <t>Même campagne : DF</t>
  </si>
  <si>
    <t>Prix (t) → STU (t+1) : KC</t>
  </si>
  <si>
    <t>Prix (t) → STU (t+1) : DF</t>
  </si>
  <si>
    <t>STU (t) → prix (t+1) : KC</t>
  </si>
  <si>
    <t>STU (t) → prix (t+1) : DF</t>
  </si>
  <si>
    <t>Le STU des importateurs baisse l'année qui suit une hausse du prix : il réagit au prix (déstockage), il ne le précède pas. Sans 2023/24-2025/26, les R² validés sont négatifs pour toutes les mesures sauf le STU américain pour le KC.</t>
  </si>
  <si>
    <t>Consommation par région : croissance et liens avec le prix (2011/12-2025/26)</t>
  </si>
  <si>
    <t>Région</t>
  </si>
  <si>
    <t>Croissance moyenne / an</t>
  </si>
  <si>
    <t>Écart type de la croissance</t>
  </si>
  <si>
    <t>r avec ΔKC (même campagne)</t>
  </si>
  <si>
    <t>r avec ΔDF (même campagne)</t>
  </si>
  <si>
    <t>r ΔKC (t) -&gt; croissance (t+1)</t>
  </si>
  <si>
    <t>Chine</t>
  </si>
  <si>
    <t>Autres Asie importatrice</t>
  </si>
  <si>
    <t>Brésil (conso intérieure)</t>
  </si>
  <si>
    <t>Autres origines (conso intérieure)</t>
  </si>
  <si>
    <t>Reste du monde importateur</t>
  </si>
  <si>
    <t>UE + Royaume-Uni : consommation apparente (elle monte quand les stocks européens baissent).</t>
  </si>
  <si>
    <t>KC1 et DF1 : pourquoi les deux prix bougent ensemble (septembre 2010 - août 2026)</t>
  </si>
  <si>
    <t>Moyennes mensuelles ICO de la 2e position ICE (KC New York ; DF Londres en c/lb = $/t ÷ 22,0462). Ratio = KC ÷ DF ; écart = KC − DF. Statistiques calculées par kcdf.py.</t>
  </si>
  <si>
    <t>Mois</t>
  </si>
  <si>
    <t>DF1 (c/lb)</t>
  </si>
  <si>
    <t>DF1 ($/t)</t>
  </si>
  <si>
    <t>Ratio KC/DF</t>
  </si>
  <si>
    <t>Écart KC − DF (c/lb)</t>
  </si>
  <si>
    <t>Corrélation des variations mensuelles KC / DF</t>
  </si>
  <si>
    <t>2010-09</t>
  </si>
  <si>
    <t>Toute la période (191 mois)</t>
  </si>
  <si>
    <t>2010-10</t>
  </si>
  <si>
    <t>2010-2015</t>
  </si>
  <si>
    <t>2010-11</t>
  </si>
  <si>
    <t>2016-2020</t>
  </si>
  <si>
    <t>2010-12</t>
  </si>
  <si>
    <t>2021-2026</t>
  </si>
  <si>
    <t>2011-01</t>
  </si>
  <si>
    <t>36 derniers mois</t>
  </si>
  <si>
    <t>2026-08</t>
  </si>
  <si>
    <t>2011-02</t>
  </si>
  <si>
    <t>Minimum sur 36 mois</t>
  </si>
  <si>
    <t>fin 2014-01</t>
  </si>
  <si>
    <t>2011-03</t>
  </si>
  <si>
    <t>R² (part commune)</t>
  </si>
  <si>
    <t>2011-04</t>
  </si>
  <si>
    <t>Niveaux : ln KC / ln DF</t>
  </si>
  <si>
    <t>2011-05</t>
  </si>
  <si>
    <t>2011-06</t>
  </si>
  <si>
    <t>Références (variations mensuelles)</t>
  </si>
  <si>
    <t>2011-07</t>
  </si>
  <si>
    <t>KC / Brazilian Naturals</t>
  </si>
  <si>
    <t>2011-08</t>
  </si>
  <si>
    <t>Colombian Milds / Other Milds</t>
  </si>
  <si>
    <t>2011-09</t>
  </si>
  <si>
    <t>Brazilian Naturals / Colombian Milds</t>
  </si>
  <si>
    <t>2011-10</t>
  </si>
  <si>
    <t>DF / Robustas (ICO)</t>
  </si>
  <si>
    <t>2011-11</t>
  </si>
  <si>
    <t>KC / DF</t>
  </si>
  <si>
    <t>2011-12</t>
  </si>
  <si>
    <t>Brazilian Naturals / Robustas</t>
  </si>
  <si>
    <t>2012-01</t>
  </si>
  <si>
    <t>Colombian Milds / Robustas</t>
  </si>
  <si>
    <t>2012-02</t>
  </si>
  <si>
    <t>Other Milds / Robustas</t>
  </si>
  <si>
    <t>2012-03</t>
  </si>
  <si>
    <t>2012-04</t>
  </si>
  <si>
    <t>2012-05</t>
  </si>
  <si>
    <t>Moyenne</t>
  </si>
  <si>
    <t>2012-06</t>
  </si>
  <si>
    <t>Médiane</t>
  </si>
  <si>
    <t>2012-07</t>
  </si>
  <si>
    <t>Minimum</t>
  </si>
  <si>
    <t>2024-09</t>
  </si>
  <si>
    <t>2012-08</t>
  </si>
  <si>
    <t>Maximum</t>
  </si>
  <si>
    <t>2012-09</t>
  </si>
  <si>
    <t>Dernier</t>
  </si>
  <si>
    <t>2012-10</t>
  </si>
  <si>
    <t>Centile du dernier</t>
  </si>
  <si>
    <t>2012-11</t>
  </si>
  <si>
    <t>10e centile</t>
  </si>
  <si>
    <t>2012-12</t>
  </si>
  <si>
    <t>90e centile</t>
  </si>
  <si>
    <t>2013-01</t>
  </si>
  <si>
    <t>Demi-vie (mois, AR(1))</t>
  </si>
  <si>
    <t>2013-02</t>
  </si>
  <si>
    <t>Test ADF (t)</t>
  </si>
  <si>
    <t>seuil 10 % : -2.57</t>
  </si>
  <si>
    <t>2013-03</t>
  </si>
  <si>
    <t>Cointégration ln DF / ln KC : ADF des résidus</t>
  </si>
  <si>
    <t>seuil 10 % : -3.04</t>
  </si>
  <si>
    <t>2013-04</t>
  </si>
  <si>
    <t>2013-05</t>
  </si>
  <si>
    <t>Avance / retard (moyennes mensuelles)</t>
  </si>
  <si>
    <t>2013-06</t>
  </si>
  <si>
    <t>DF (t−1) → KC (t)</t>
  </si>
  <si>
    <t>2013-07</t>
  </si>
  <si>
    <t>KC (t−1) → DF (t)</t>
  </si>
  <si>
    <t>2013-08</t>
  </si>
  <si>
    <t>Artefact attendu des moyennes (simulation)</t>
  </si>
  <si>
    <t>400 tirages</t>
  </si>
  <si>
    <t>2013-09</t>
  </si>
  <si>
    <t>2013-10</t>
  </si>
  <si>
    <t>Campagnes : récoltes et prix (n = 15)</t>
  </si>
  <si>
    <t>2013-11</t>
  </si>
  <si>
    <t>KC / DF : variations annuelles</t>
  </si>
  <si>
    <t>2013-12</t>
  </si>
  <si>
    <t>Récoltes arabica / robusta, même campagne</t>
  </si>
  <si>
    <t>2014-01</t>
  </si>
  <si>
    <t>Récoltes que chaque prix regarde</t>
  </si>
  <si>
    <t>2014-02</t>
  </si>
  <si>
    <t>Brésil : arabica / conilon</t>
  </si>
  <si>
    <t>2014-03</t>
  </si>
  <si>
    <t>KC / DF après effet des deux récoltes</t>
  </si>
  <si>
    <t>autres calages : 0.67 / 0.75</t>
  </si>
  <si>
    <t>2014-04</t>
  </si>
  <si>
    <t>Ratio / écart de croissance des récoltes</t>
  </si>
  <si>
    <t>2014-05</t>
  </si>
  <si>
    <t>2014-06</t>
  </si>
  <si>
    <t>Récoltes par espèce et ratio par campagne</t>
  </si>
  <si>
    <t>2014-07</t>
  </si>
  <si>
    <t>Arabica (variation)</t>
  </si>
  <si>
    <t>Robusta (variation)</t>
  </si>
  <si>
    <t>Part du robusta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</si>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</sst>
</file>

<file path=xl/styles.xml><?xml version="1.0" encoding="utf-8"?>
<styleSheet xmlns="http://schemas.openxmlformats.org/spreadsheetml/2006/main">
  <numFmts count="5">
    <numFmt numFmtId="164" formatCode="+#,##0.0;-#,##0.0;0.0"/>
    <numFmt numFmtId="165" formatCode="0.0%"/>
    <numFmt numFmtId="166" formatCode="+0%;-0%;0%"/>
    <numFmt numFmtId="167" formatCode="+0.00;-0.00;0.00"/>
    <numFmt numFmtId="168" formatCode="#,##0.0"/>
  </numFmts>
  <fonts count="7">
    <font>
      <sz val="10"/>
      <color rgb="FF00000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horizontal="center" vertical="center"/>
    </xf>
    <xf numFmtId="4" fontId="4" fillId="0" borderId="0" xfId="0" applyNumberFormat="1" applyFont="1" applyFill="1" applyBorder="1" applyAlignment="1">
      <alignment vertical="center"/>
    </xf>
    <xf numFmtId="164" fontId="4" fillId="0" borderId="0" xfId="0" applyNumberFormat="1" applyFont="1" applyFill="1" applyBorder="1" applyAlignment="1">
      <alignment vertical="center"/>
    </xf>
    <xf numFmtId="165" fontId="4" fillId="0" borderId="0" xfId="0" applyNumberFormat="1" applyFont="1" applyFill="1" applyBorder="1" applyAlignment="1">
      <alignment vertical="center"/>
    </xf>
    <xf numFmtId="165" fontId="5" fillId="0" borderId="0" xfId="0" applyNumberFormat="1" applyFont="1" applyFill="1" applyBorder="1" applyAlignment="1">
      <alignment vertical="center"/>
    </xf>
    <xf numFmtId="166" fontId="4" fillId="0" borderId="0" xfId="0" applyNumberFormat="1" applyFont="1" applyFill="1" applyBorder="1" applyAlignment="1">
      <alignment vertical="center"/>
    </xf>
    <xf numFmtId="167" fontId="4" fillId="0" borderId="0" xfId="0" applyNumberFormat="1" applyFont="1" applyFill="1" applyBorder="1" applyAlignment="1">
      <alignment vertical="center"/>
    </xf>
    <xf numFmtId="2" fontId="4" fillId="0" borderId="0" xfId="0" applyNumberFormat="1" applyFont="1" applyFill="1" applyBorder="1" applyAlignment="1">
      <alignment vertical="center"/>
    </xf>
    <xf numFmtId="168" fontId="4" fillId="0" borderId="0" xfId="0" applyNumberFormat="1" applyFont="1" applyFill="1" applyBorder="1" applyAlignment="1">
      <alignment vertical="center"/>
    </xf>
    <xf numFmtId="3" fontId="4" fillId="0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top" wrapText="1"/>
    </xf>
    <xf numFmtId="10" fontId="4" fillId="0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c:chart>
    <c:title>
      <c:tx>
        <c:rich>
          <a:bodyPr/>
          <a:lstStyle/>
          <a:p>
            <a:pPr>
              <a:defRPr sz="1200" b="1">
                <a:solidFill>
                  <a:srgbClr val="262626"/>
                </a:solidFill>
              </a:defRPr>
            </a:pPr>
            <a:r>
              <a:rPr lang="fr-FR" sz="1200" b="1">
                <a:solidFill>
                  <a:srgbClr val="262626"/>
                </a:solidFill>
              </a:rPr>
              <a:t>Solde mondial (variation des stocks, M sacs) et prix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Solde mondial (M sacs)</c:v>
          </c:tx>
          <c:spPr>
            <a:solidFill>
              <a:srgbClr val="3B5B8C"/>
            </a:solidFill>
            <a:ln>
              <a:noFill/>
            </a:ln>
          </c:spPr>
          <c:invertIfNegative val="0"/>
          <c:dLbls>
            <c:numFmt formatCode="#,##0.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>
                    <a:solidFill>
                      <a:srgbClr val="404040"/>
                    </a:solidFill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'1_Series'!$A$5:$A$21</c:f>
              <c:strCache>
                <c:ptCount val="17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  <c:pt idx="15">
                  <c:v>2025/26</c:v>
                </c:pt>
                <c:pt idx="16">
                  <c:v>2026/27 (prév.)</c:v>
                </c:pt>
              </c:strCache>
            </c:strRef>
          </c:cat>
          <c:val>
            <c:numRef>
              <c:f>'1_Series'!$H$5:$H$21</c:f>
              <c:numCache>
                <c:formatCode>#,##0.0</c:formatCode>
                <c:ptCount val="17"/>
                <c:pt idx="0">
                  <c:v>-0.205</c:v>
                </c:pt>
                <c:pt idx="1">
                  <c:v>-2.892</c:v>
                </c:pt>
                <c:pt idx="2">
                  <c:v>9.617</c:v>
                </c:pt>
                <c:pt idx="3">
                  <c:v>5.819</c:v>
                </c:pt>
                <c:pt idx="4">
                  <c:v>1.948</c:v>
                </c:pt>
                <c:pt idx="5">
                  <c:v>-8.181</c:v>
                </c:pt>
                <c:pt idx="6">
                  <c:v>1.502</c:v>
                </c:pt>
                <c:pt idx="7">
                  <c:v>-4.502</c:v>
                </c:pt>
                <c:pt idx="8">
                  <c:v>4.995</c:v>
                </c:pt>
                <c:pt idx="9">
                  <c:v>-1.138</c:v>
                </c:pt>
                <c:pt idx="10">
                  <c:v>1.686</c:v>
                </c:pt>
                <c:pt idx="11">
                  <c:v>-5.554</c:v>
                </c:pt>
                <c:pt idx="12">
                  <c:v>-5.006</c:v>
                </c:pt>
                <c:pt idx="13">
                  <c:v>-3.813</c:v>
                </c:pt>
                <c:pt idx="14">
                  <c:v>-1.111</c:v>
                </c:pt>
                <c:pt idx="15">
                  <c:v>2.36</c:v>
                </c:pt>
                <c:pt idx="16">
                  <c:v>1.913</c:v>
                </c:pt>
              </c:numCache>
            </c:numRef>
          </c:val>
        </c:ser>
        <c:gapWidth val="40"/>
        <c:overlap val="0"/>
        <c:axId val="101"/>
        <c:axId val="102"/>
      </c:barChart>
      <c:lineChart>
        <c:grouping val="standard"/>
        <c:varyColors val="0"/>
        <c:ser>
          <c:idx val="1"/>
          <c:order val="1"/>
          <c:tx>
            <c:v>KC1 (c/lb)</c:v>
          </c:tx>
          <c:spPr>
            <a:ln w="28575" cap="rnd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'1_Series'!$A$5:$A$21</c:f>
              <c:strCache>
                <c:ptCount val="17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  <c:pt idx="15">
                  <c:v>2025/26</c:v>
                </c:pt>
                <c:pt idx="16">
                  <c:v>2026/27 (prév.)</c:v>
                </c:pt>
              </c:strCache>
            </c:strRef>
          </c:cat>
          <c:val>
            <c:numRef>
              <c:f>'1_Series'!$AD$5:$AD$21</c:f>
              <c:numCache>
                <c:formatCode>#,##0</c:formatCode>
                <c:ptCount val="17"/>
                <c:pt idx="0">
                  <c:v>249.65999999999997</c:v>
                </c:pt>
                <c:pt idx="1">
                  <c:v>197.8416666666667</c:v>
                </c:pt>
                <c:pt idx="2">
                  <c:v>140.69833333333332</c:v>
                </c:pt>
                <c:pt idx="3">
                  <c:v>161.4675</c:v>
                </c:pt>
                <c:pt idx="4">
                  <c:v>154.02083333333334</c:v>
                </c:pt>
                <c:pt idx="5">
                  <c:v>131.83249999999998</c:v>
                </c:pt>
                <c:pt idx="6">
                  <c:v>143.7716666666667</c:v>
                </c:pt>
                <c:pt idx="7">
                  <c:v>120.60083333333334</c:v>
                </c:pt>
                <c:pt idx="8">
                  <c:v>104.98083333333334</c:v>
                </c:pt>
                <c:pt idx="9">
                  <c:v>113.23666666666666</c:v>
                </c:pt>
                <c:pt idx="10">
                  <c:v>143.75333333333336</c:v>
                </c:pt>
                <c:pt idx="11">
                  <c:v>224.0875</c:v>
                </c:pt>
                <c:pt idx="12">
                  <c:v>171.18999999999997</c:v>
                </c:pt>
                <c:pt idx="13">
                  <c:v>204.00166666666667</c:v>
                </c:pt>
                <c:pt idx="14">
                  <c:v>333.06</c:v>
                </c:pt>
                <c:pt idx="15">
                  <c:v>312.21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BFBFBF"/>
            </a:solidFill>
          </a:ln>
        </c:spPr>
        <c:txPr>
          <a:bodyPr rot="-2700000" vert="horz"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4E4E4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M sacs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majorTickMark val="none"/>
        <c:minorTickMark val="none"/>
        <c:tickLblPos val="nextTo"/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KC1 (US c/lb)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900">
              <a:solidFill>
                <a:srgbClr val="404040"/>
              </a:solidFill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 sz="900">
          <a:latin typeface="Arial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c:chart>
    <c:title>
      <c:tx>
        <c:rich>
          <a:bodyPr/>
          <a:lstStyle/>
          <a:p>
            <a:pPr>
              <a:defRPr sz="1200" b="1">
                <a:solidFill>
                  <a:srgbClr val="262626"/>
                </a:solidFill>
              </a:defRPr>
            </a:pPr>
            <a:r>
              <a:rPr lang="fr-FR" sz="1200" b="1">
                <a:solidFill>
                  <a:srgbClr val="262626"/>
                </a:solidFill>
              </a:rPr>
              <a:t>Récolte arabica contre récolte robusta, et ratio KC/DF de la campagne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Arabica (variation)</c:v>
          </c:tx>
          <c:spPr>
            <a:solidFill>
              <a:srgbClr val="C00000"/>
            </a:solidFill>
            <a:ln>
              <a:noFill/>
            </a:ln>
          </c:spPr>
          <c:invertIfNegative val="0"/>
          <c:cat>
            <c:strRef>
              <c:f>'8_KC_DF'!$H$52:$H$66</c:f>
              <c:strCache>
                <c:ptCount val="15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  <c:pt idx="14">
                  <c:v>2025/26</c:v>
                </c:pt>
              </c:strCache>
            </c:strRef>
          </c:cat>
          <c:val>
            <c:numRef>
              <c:f>'8_KC_DF'!$I$52:$I$66</c:f>
              <c:numCache>
                <c:formatCode>0%</c:formatCode>
                <c:ptCount val="15"/>
                <c:pt idx="0">
                  <c:v>-0.039440425040464515</c:v>
                </c:pt>
                <c:pt idx="1">
                  <c:v>0.09397374873665859</c:v>
                </c:pt>
                <c:pt idx="2">
                  <c:v>-0.0043920064988947965</c:v>
                </c:pt>
                <c:pt idx="3">
                  <c:v>-0.0645147286341553</c:v>
                </c:pt>
                <c:pt idx="4">
                  <c:v>-0.006399633004352107</c:v>
                </c:pt>
                <c:pt idx="5">
                  <c:v>0.16055031283161036</c:v>
                </c:pt>
                <c:pt idx="6">
                  <c:v>-0.0602341348643643</c:v>
                </c:pt>
                <c:pt idx="7">
                  <c:v>0.09702332892576736</c:v>
                </c:pt>
                <c:pt idx="8">
                  <c:v>-0.10021037309175154</c:v>
                </c:pt>
                <c:pt idx="9">
                  <c:v>0.07344630099218086</c:v>
                </c:pt>
                <c:pt idx="10">
                  <c:v>-0.15956068342760504</c:v>
                </c:pt>
                <c:pt idx="11">
                  <c:v>0.009360228799794163</c:v>
                </c:pt>
                <c:pt idx="12">
                  <c:v>0.10006829107000725</c:v>
                </c:pt>
                <c:pt idx="13">
                  <c:v>0.05131593719418916</c:v>
                </c:pt>
                <c:pt idx="14">
                  <c:v>-0.07971032911084874</c:v>
                </c:pt>
              </c:numCache>
            </c:numRef>
          </c:val>
        </c:ser>
        <c:ser>
          <c:idx val="1"/>
          <c:order val="1"/>
          <c:tx>
            <c:v>Robusta (variation)</c:v>
          </c:tx>
          <c:spPr>
            <a:solidFill>
              <a:srgbClr val="E07B1F"/>
            </a:solidFill>
            <a:ln>
              <a:noFill/>
            </a:ln>
          </c:spPr>
          <c:invertIfNegative val="0"/>
          <c:cat>
            <c:strRef>
              <c:f>'8_KC_DF'!$H$52:$H$66</c:f>
              <c:strCache>
                <c:ptCount val="15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  <c:pt idx="14">
                  <c:v>2025/26</c:v>
                </c:pt>
              </c:strCache>
            </c:strRef>
          </c:cat>
          <c:val>
            <c:numRef>
              <c:f>'8_KC_DF'!$J$52:$J$66</c:f>
              <c:numCache>
                <c:formatCode>0%</c:formatCode>
                <c:ptCount val="15"/>
                <c:pt idx="0">
                  <c:v>0.12020324369691818</c:v>
                </c:pt>
                <c:pt idx="1">
                  <c:v>0.07738172335376971</c:v>
                </c:pt>
                <c:pt idx="2">
                  <c:v>0.036814343005457884</c:v>
                </c:pt>
                <c:pt idx="3">
                  <c:v>-0.00714198600662955</c:v>
                </c:pt>
                <c:pt idx="4">
                  <c:v>-0.012203866549061151</c:v>
                </c:pt>
                <c:pt idx="5">
                  <c:v>-0.10070528467298769</c:v>
                </c:pt>
                <c:pt idx="6">
                  <c:v>0.07466548935827606</c:v>
                </c:pt>
                <c:pt idx="7">
                  <c:v>0.09363387516961397</c:v>
                </c:pt>
                <c:pt idx="8">
                  <c:v>0.04384350720256063</c:v>
                </c:pt>
                <c:pt idx="9">
                  <c:v>0.004443015629432726</c:v>
                </c:pt>
                <c:pt idx="10">
                  <c:v>0.046151739082526025</c:v>
                </c:pt>
                <c:pt idx="11">
                  <c:v>-0.017260546518575937</c:v>
                </c:pt>
                <c:pt idx="12">
                  <c:v>-0.05977746506094009</c:v>
                </c:pt>
                <c:pt idx="13">
                  <c:v>0.032242168502113526</c:v>
                </c:pt>
                <c:pt idx="14">
                  <c:v>0.12411301711876287</c:v>
                </c:pt>
              </c:numCache>
            </c:numRef>
          </c:val>
        </c:ser>
        <c:gapWidth val="40"/>
        <c:overlap val="-5"/>
        <c:axId val="101"/>
        <c:axId val="102"/>
      </c:barChart>
      <c:lineChart>
        <c:grouping val="standard"/>
        <c:varyColors val="0"/>
        <c:ser>
          <c:idx val="2"/>
          <c:order val="2"/>
          <c:tx>
            <c:v>Ratio KC/DF</c:v>
          </c:tx>
          <c:spPr>
            <a:ln w="28575" cap="rnd">
              <a:solidFill>
                <a:srgbClr val="0B0B0B"/>
              </a:solidFill>
              <a:round/>
            </a:ln>
          </c:spPr>
          <c:marker>
            <c:symbol val="circle"/>
            <c:size val="5"/>
            <c:spPr>
              <a:solidFill>
                <a:srgbClr val="0B0B0B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'8_KC_DF'!$H$52:$H$66</c:f>
              <c:strCache>
                <c:ptCount val="15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  <c:pt idx="14">
                  <c:v>2025/26</c:v>
                </c:pt>
              </c:strCache>
            </c:strRef>
          </c:cat>
          <c:val>
            <c:numRef>
              <c:f>'8_KC_DF'!$K$52:$K$66</c:f>
              <c:numCache>
                <c:formatCode>0.00</c:formatCode>
                <c:ptCount val="15"/>
                <c:pt idx="0">
                  <c:v>2.164944693190834</c:v>
                </c:pt>
                <c:pt idx="1">
                  <c:v>1.5901560601636888</c:v>
                </c:pt>
                <c:pt idx="2">
                  <c:v>1.8802802550243087</c:v>
                </c:pt>
                <c:pt idx="3">
                  <c:v>1.835529778634066</c:v>
                </c:pt>
                <c:pt idx="4">
                  <c:v>1.7798766904435088</c:v>
                </c:pt>
                <c:pt idx="5">
                  <c:v>1.5114237656375935</c:v>
                </c:pt>
                <c:pt idx="6">
                  <c:v>1.5405356496561706</c:v>
                </c:pt>
                <c:pt idx="7">
                  <c:v>1.5545231308382388</c:v>
                </c:pt>
                <c:pt idx="8">
                  <c:v>1.9121086329416732</c:v>
                </c:pt>
                <c:pt idx="9">
                  <c:v>2.0566795827123703</c:v>
                </c:pt>
                <c:pt idx="10">
                  <c:v>2.297646003332336</c:v>
                </c:pt>
                <c:pt idx="11">
                  <c:v>1.7022821061005318</c:v>
                </c:pt>
                <c:pt idx="12">
                  <c:v>1.2834329453706614</c:v>
                </c:pt>
                <c:pt idx="13">
                  <c:v>1.5617006810695486</c:v>
                </c:pt>
                <c:pt idx="14">
                  <c:v>1.816845301704527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BFBFBF"/>
            </a:solidFill>
          </a:ln>
        </c:spPr>
        <c:txPr>
          <a:bodyPr rot="-2700000" vert="horz"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4E4E4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Variation de la production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majorTickMark val="none"/>
        <c:minorTickMark val="none"/>
        <c:tickLblPos val="nextTo"/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  <c:min val="1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Ratio KC/DF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900">
              <a:solidFill>
                <a:srgbClr val="404040"/>
              </a:solidFill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 sz="900">
          <a:latin typeface="Arial"/>
        </a:defRPr>
      </a:pPr>
      <a:endParaRPr lang="fr-FR"/>
    </a:p>
  </c:tx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13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67</xdr:row>
      <xdr:rowOff>0</xdr:rowOff>
    </xdr:from>
    <xdr:to>
      <xdr:col>16</xdr:col>
      <xdr:colOff>0</xdr:colOff>
      <xdr:row>90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A13"/>
  <sheetViews>
    <sheetView tabSelected="1" showGridLines="0" workbookViewId="0"/>
  </sheetViews>
  <sheetFormatPr defaultRowHeight="12.75"/>
  <cols>
    <col min="1" max="1" width="150" customWidth="1"/>
  </cols>
  <sheetData>
    <row r="1">
      <c r="A1" s="1" t="s">
        <v>0</v>
      </c>
    </row>
    <row r="3">
      <c r="A3" s="17" t="s">
        <v>1</v>
      </c>
    </row>
    <row r="4">
      <c r="A4" s="17" t="s">
        <v>2</v>
      </c>
    </row>
    <row r="5">
      <c r="A5" s="17" t="s">
        <v>3</v>
      </c>
    </row>
    <row r="6">
      <c r="A6" s="17" t="s">
        <v>4</v>
      </c>
    </row>
    <row r="7">
      <c r="A7" s="17" t="s">
        <v>5</v>
      </c>
    </row>
    <row r="8">
      <c r="A8" s="17" t="s">
        <v>6</v>
      </c>
    </row>
    <row r="9">
      <c r="A9" s="17" t="s">
        <v>7</v>
      </c>
    </row>
    <row r="10">
      <c r="A10" s="17" t="s">
        <v>8</v>
      </c>
    </row>
    <row r="11">
      <c r="A11" s="17" t="s">
        <v>9</v>
      </c>
    </row>
    <row r="12">
      <c r="A12" s="17" t="s">
        <v>10</v>
      </c>
    </row>
    <row r="13">
      <c r="A13" s="17" t="s">
        <v>11</v>
      </c>
    </row>
  </sheetData>
  <pageMargins left="0.5" right="0.5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5B8C"/>
  </sheetPr>
  <dimension ref="A1:AE21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2.75"/>
  <cols>
    <col min="1" max="1" width="12" customWidth="1"/>
    <col min="2" max="2" width="11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11" customWidth="1"/>
    <col min="15" max="15" width="11" customWidth="1"/>
    <col min="16" max="16" width="11" customWidth="1"/>
    <col min="17" max="17" width="11" customWidth="1"/>
    <col min="18" max="18" width="11" customWidth="1"/>
    <col min="19" max="19" width="11" customWidth="1"/>
    <col min="20" max="20" width="11" customWidth="1"/>
    <col min="21" max="21" width="11" customWidth="1"/>
    <col min="22" max="22" width="11" customWidth="1"/>
    <col min="23" max="23" width="11" customWidth="1"/>
    <col min="24" max="24" width="11" customWidth="1"/>
    <col min="25" max="25" width="11" customWidth="1"/>
    <col min="26" max="26" width="11" customWidth="1"/>
    <col min="27" max="27" width="11" customWidth="1"/>
    <col min="28" max="28" width="11" customWidth="1"/>
    <col min="29" max="29" width="11" customWidth="1"/>
    <col min="30" max="30" width="11" customWidth="1"/>
    <col min="31" max="31" width="11" customWidth="1"/>
  </cols>
  <sheetData>
    <row r="1">
      <c r="A1" s="1" t="s">
        <v>12</v>
      </c>
    </row>
    <row r="2">
      <c r="A2" s="2" t="s">
        <v>13</v>
      </c>
    </row>
    <row r="4" ht="64" customHeight="1">
      <c r="A4" s="3" t="s">
        <v>14</v>
      </c>
      <c r="B4" s="3" t="s">
        <v>15</v>
      </c>
      <c r="C4" s="3" t="s">
        <v>16</v>
      </c>
      <c r="D4" s="3" t="s">
        <v>17</v>
      </c>
      <c r="E4" s="3" t="s">
        <v>18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23</v>
      </c>
      <c r="K4" s="3" t="s">
        <v>24</v>
      </c>
      <c r="L4" s="3" t="s">
        <v>25</v>
      </c>
      <c r="M4" s="3" t="s">
        <v>26</v>
      </c>
      <c r="N4" s="3" t="s">
        <v>27</v>
      </c>
      <c r="O4" s="3" t="s">
        <v>28</v>
      </c>
      <c r="P4" s="3" t="s">
        <v>29</v>
      </c>
      <c r="Q4" s="3" t="s">
        <v>30</v>
      </c>
      <c r="R4" s="3" t="s">
        <v>31</v>
      </c>
      <c r="S4" s="3" t="s">
        <v>32</v>
      </c>
      <c r="T4" s="3" t="s">
        <v>33</v>
      </c>
      <c r="U4" s="3" t="s">
        <v>34</v>
      </c>
      <c r="V4" s="3" t="s">
        <v>35</v>
      </c>
      <c r="W4" s="3" t="s">
        <v>36</v>
      </c>
      <c r="X4" s="3" t="s">
        <v>37</v>
      </c>
      <c r="Y4" s="3" t="s">
        <v>38</v>
      </c>
      <c r="Z4" s="3" t="s">
        <v>39</v>
      </c>
      <c r="AA4" s="3" t="s">
        <v>40</v>
      </c>
      <c r="AB4" s="3" t="s">
        <v>41</v>
      </c>
      <c r="AC4" s="3" t="s">
        <v>42</v>
      </c>
      <c r="AD4" s="3" t="s">
        <v>43</v>
      </c>
      <c r="AE4" s="3" t="s">
        <v>44</v>
      </c>
    </row>
    <row r="5">
      <c r="A5" s="6" t="s">
        <v>45</v>
      </c>
      <c r="B5" s="7">
        <v>141.409</v>
      </c>
      <c r="C5" s="7">
        <v>135.508</v>
      </c>
      <c r="D5" s="7">
        <v>6.106</v>
      </c>
      <c r="E5" s="7">
        <v>28.64</v>
      </c>
      <c r="F5" s="7">
        <v>252.48</v>
      </c>
      <c r="G5" s="10">
        <v>0.11343472750316856</v>
      </c>
      <c r="H5" s="8">
        <v>-0.205</v>
      </c>
      <c r="I5" s="7">
        <v>41.8</v>
      </c>
      <c r="J5" s="7">
        <v>12.7</v>
      </c>
      <c r="K5" s="7">
        <v>19.415</v>
      </c>
      <c r="L5" s="7">
        <v>8.525</v>
      </c>
      <c r="M5" s="7">
        <v>9.325</v>
      </c>
      <c r="N5" s="7">
        <v>6.125</v>
      </c>
      <c r="O5" s="7">
        <v>3.212</v>
      </c>
      <c r="P5" s="7">
        <v>5.035</v>
      </c>
      <c r="Q5" s="7">
        <v>18.228</v>
      </c>
      <c r="R5" s="7">
        <v>5.5</v>
      </c>
      <c r="S5" s="7">
        <v>6.594</v>
      </c>
      <c r="T5" s="7">
        <v>4.897</v>
      </c>
      <c r="U5" s="7">
        <v>0.053</v>
      </c>
      <c r="V5" s="7">
        <v>41.35</v>
      </c>
      <c r="W5" s="7">
        <v>22.383</v>
      </c>
      <c r="X5" s="7">
        <v>7.015</v>
      </c>
      <c r="Y5" s="7">
        <v>1.109</v>
      </c>
      <c r="Z5" s="7">
        <v>5.065</v>
      </c>
      <c r="AA5" s="7">
        <v>19.42</v>
      </c>
      <c r="AB5" s="7">
        <v>16.408</v>
      </c>
      <c r="AC5" s="7">
        <v>22.758</v>
      </c>
      <c r="AD5" s="14">
        <v>249.65999999999997</v>
      </c>
      <c r="AE5" s="15">
        <v>2219.0812700161664</v>
      </c>
    </row>
    <row r="6">
      <c r="A6" s="6" t="s">
        <v>46</v>
      </c>
      <c r="B6" s="7">
        <v>144.837</v>
      </c>
      <c r="C6" s="7">
        <v>142.831</v>
      </c>
      <c r="D6" s="7">
        <v>4.898</v>
      </c>
      <c r="E6" s="7">
        <v>25.748</v>
      </c>
      <c r="F6" s="7">
        <v>260.862</v>
      </c>
      <c r="G6" s="10">
        <v>0.09870352906900967</v>
      </c>
      <c r="H6" s="8">
        <v>-2.892</v>
      </c>
      <c r="I6" s="7">
        <v>34.7</v>
      </c>
      <c r="J6" s="7">
        <v>14.5</v>
      </c>
      <c r="K6" s="7">
        <v>26</v>
      </c>
      <c r="L6" s="7">
        <v>7.655</v>
      </c>
      <c r="M6" s="7">
        <v>7.97</v>
      </c>
      <c r="N6" s="7">
        <v>6.32</v>
      </c>
      <c r="O6" s="7">
        <v>3.075</v>
      </c>
      <c r="P6" s="7">
        <v>5.23</v>
      </c>
      <c r="Q6" s="7">
        <v>20.525</v>
      </c>
      <c r="R6" s="7">
        <v>6.67</v>
      </c>
      <c r="S6" s="7">
        <v>6.166</v>
      </c>
      <c r="T6" s="7">
        <v>5.98</v>
      </c>
      <c r="U6" s="7">
        <v>0.046</v>
      </c>
      <c r="V6" s="7">
        <v>45.25</v>
      </c>
      <c r="W6" s="7">
        <v>22.946</v>
      </c>
      <c r="X6" s="7">
        <v>7.05</v>
      </c>
      <c r="Y6" s="7">
        <v>1.106</v>
      </c>
      <c r="Z6" s="7">
        <v>5.9</v>
      </c>
      <c r="AA6" s="7">
        <v>20.025</v>
      </c>
      <c r="AB6" s="7">
        <v>17.424</v>
      </c>
      <c r="AC6" s="7">
        <v>23.13</v>
      </c>
      <c r="AD6" s="14">
        <v>197.8416666666667</v>
      </c>
      <c r="AE6" s="15">
        <v>2014.6760094318333</v>
      </c>
    </row>
    <row r="7">
      <c r="A7" s="6" t="s">
        <v>47</v>
      </c>
      <c r="B7" s="7">
        <v>158.018</v>
      </c>
      <c r="C7" s="7">
        <v>143.4</v>
      </c>
      <c r="D7" s="7">
        <v>5.001</v>
      </c>
      <c r="E7" s="7">
        <v>35.365</v>
      </c>
      <c r="F7" s="7">
        <v>266.639</v>
      </c>
      <c r="G7" s="10">
        <v>0.13263251062297712</v>
      </c>
      <c r="H7" s="8">
        <v>9.617</v>
      </c>
      <c r="I7" s="7">
        <v>42.1</v>
      </c>
      <c r="J7" s="7">
        <v>15.5</v>
      </c>
      <c r="K7" s="7">
        <v>26.5</v>
      </c>
      <c r="L7" s="7">
        <v>9.927</v>
      </c>
      <c r="M7" s="7">
        <v>11.9</v>
      </c>
      <c r="N7" s="7">
        <v>6.5</v>
      </c>
      <c r="O7" s="7">
        <v>3.6</v>
      </c>
      <c r="P7" s="7">
        <v>5.303</v>
      </c>
      <c r="Q7" s="7">
        <v>19.285</v>
      </c>
      <c r="R7" s="7">
        <v>5.61</v>
      </c>
      <c r="S7" s="7">
        <v>5.936</v>
      </c>
      <c r="T7" s="7">
        <v>5.815</v>
      </c>
      <c r="U7" s="7">
        <v>0.042</v>
      </c>
      <c r="V7" s="7">
        <v>43.275</v>
      </c>
      <c r="W7" s="7">
        <v>23.027</v>
      </c>
      <c r="X7" s="7">
        <v>7.565</v>
      </c>
      <c r="Y7" s="7">
        <v>1.694</v>
      </c>
      <c r="Z7" s="7">
        <v>6.71</v>
      </c>
      <c r="AA7" s="7">
        <v>20.11</v>
      </c>
      <c r="AB7" s="7">
        <v>17.731</v>
      </c>
      <c r="AC7" s="7">
        <v>23.288</v>
      </c>
      <c r="AD7" s="14">
        <v>140.69833333333332</v>
      </c>
      <c r="AE7" s="15">
        <v>1950.6684660311666</v>
      </c>
    </row>
    <row r="8">
      <c r="A8" s="6" t="s">
        <v>48</v>
      </c>
      <c r="B8" s="7">
        <v>160.054</v>
      </c>
      <c r="C8" s="7">
        <v>143.877</v>
      </c>
      <c r="D8" s="7">
        <v>10.358</v>
      </c>
      <c r="E8" s="7">
        <v>41.184</v>
      </c>
      <c r="F8" s="7">
        <v>273.137</v>
      </c>
      <c r="G8" s="10">
        <v>0.15078147596261218</v>
      </c>
      <c r="H8" s="8">
        <v>5.819</v>
      </c>
      <c r="I8" s="7">
        <v>41.8</v>
      </c>
      <c r="J8" s="7">
        <v>15.4</v>
      </c>
      <c r="K8" s="7">
        <v>29.833</v>
      </c>
      <c r="L8" s="7">
        <v>12.075</v>
      </c>
      <c r="M8" s="7">
        <v>11.9</v>
      </c>
      <c r="N8" s="7">
        <v>6.345</v>
      </c>
      <c r="O8" s="7">
        <v>3.85</v>
      </c>
      <c r="P8" s="7">
        <v>5.075</v>
      </c>
      <c r="Q8" s="7">
        <v>16.741</v>
      </c>
      <c r="R8" s="7">
        <v>5.298</v>
      </c>
      <c r="S8" s="7">
        <v>5.324</v>
      </c>
      <c r="T8" s="7">
        <v>6.362</v>
      </c>
      <c r="U8" s="7">
        <v>0.051</v>
      </c>
      <c r="V8" s="7">
        <v>41.475</v>
      </c>
      <c r="W8" s="7">
        <v>23.811</v>
      </c>
      <c r="X8" s="7">
        <v>7.75</v>
      </c>
      <c r="Y8" s="7">
        <v>2.299</v>
      </c>
      <c r="Z8" s="7">
        <v>6.25</v>
      </c>
      <c r="AA8" s="7">
        <v>20.21</v>
      </c>
      <c r="AB8" s="7">
        <v>18.36</v>
      </c>
      <c r="AC8" s="7">
        <v>23.722</v>
      </c>
      <c r="AD8" s="14">
        <v>161.4675</v>
      </c>
      <c r="AE8" s="15">
        <v>1893.2013030698333</v>
      </c>
    </row>
    <row r="9">
      <c r="A9" s="6" t="s">
        <v>49</v>
      </c>
      <c r="B9" s="7">
        <v>153.796</v>
      </c>
      <c r="C9" s="7">
        <v>147.163</v>
      </c>
      <c r="D9" s="7">
        <v>4.685</v>
      </c>
      <c r="E9" s="7">
        <v>43.132</v>
      </c>
      <c r="F9" s="7">
        <v>271.19</v>
      </c>
      <c r="G9" s="10">
        <v>0.1590471625059921</v>
      </c>
      <c r="H9" s="8">
        <v>1.948</v>
      </c>
      <c r="I9" s="7">
        <v>37.3</v>
      </c>
      <c r="J9" s="7">
        <v>17</v>
      </c>
      <c r="K9" s="7">
        <v>27.4</v>
      </c>
      <c r="L9" s="7">
        <v>13.3</v>
      </c>
      <c r="M9" s="7">
        <v>10.47</v>
      </c>
      <c r="N9" s="7">
        <v>6.475</v>
      </c>
      <c r="O9" s="7">
        <v>3.5</v>
      </c>
      <c r="P9" s="7">
        <v>5.44</v>
      </c>
      <c r="Q9" s="7">
        <v>16.537</v>
      </c>
      <c r="R9" s="7">
        <v>3.715</v>
      </c>
      <c r="S9" s="7">
        <v>5.499</v>
      </c>
      <c r="T9" s="7">
        <v>7.115</v>
      </c>
      <c r="U9" s="7">
        <v>0.045</v>
      </c>
      <c r="V9" s="7">
        <v>43.87</v>
      </c>
      <c r="W9" s="7">
        <v>23.568</v>
      </c>
      <c r="X9" s="7">
        <v>7.86</v>
      </c>
      <c r="Y9" s="7">
        <v>2.381</v>
      </c>
      <c r="Z9" s="7">
        <v>7.13</v>
      </c>
      <c r="AA9" s="7">
        <v>20.42</v>
      </c>
      <c r="AB9" s="7">
        <v>18.43</v>
      </c>
      <c r="AC9" s="7">
        <v>23.504</v>
      </c>
      <c r="AD9" s="14">
        <v>154.02083333333334</v>
      </c>
      <c r="AE9" s="15">
        <v>1849.9172122971665</v>
      </c>
    </row>
    <row r="10">
      <c r="A10" s="6" t="s">
        <v>50</v>
      </c>
      <c r="B10" s="7">
        <v>152.429</v>
      </c>
      <c r="C10" s="7">
        <v>153.186</v>
      </c>
      <c r="D10" s="7">
        <v>7.424</v>
      </c>
      <c r="E10" s="7">
        <v>34.951</v>
      </c>
      <c r="F10" s="7">
        <v>287.031</v>
      </c>
      <c r="G10" s="10">
        <v>0.12176733523556689</v>
      </c>
      <c r="H10" s="8">
        <v>-8.181</v>
      </c>
      <c r="I10" s="7">
        <v>36.1</v>
      </c>
      <c r="J10" s="7">
        <v>13.3</v>
      </c>
      <c r="K10" s="7">
        <v>28.93</v>
      </c>
      <c r="L10" s="7">
        <v>14</v>
      </c>
      <c r="M10" s="7">
        <v>12.1</v>
      </c>
      <c r="N10" s="7">
        <v>6.51</v>
      </c>
      <c r="O10" s="7">
        <v>3.55</v>
      </c>
      <c r="P10" s="7">
        <v>5.8</v>
      </c>
      <c r="Q10" s="7">
        <v>15.692</v>
      </c>
      <c r="R10" s="7">
        <v>4.305</v>
      </c>
      <c r="S10" s="7">
        <v>5.627</v>
      </c>
      <c r="T10" s="7">
        <v>6.475</v>
      </c>
      <c r="U10" s="7">
        <v>0.04</v>
      </c>
      <c r="V10" s="7">
        <v>44.095</v>
      </c>
      <c r="W10" s="7">
        <v>25.083</v>
      </c>
      <c r="X10" s="7">
        <v>8.06</v>
      </c>
      <c r="Y10" s="7">
        <v>2.487</v>
      </c>
      <c r="Z10" s="7">
        <v>9.35</v>
      </c>
      <c r="AA10" s="7">
        <v>20.855</v>
      </c>
      <c r="AB10" s="7">
        <v>18.656</v>
      </c>
      <c r="AC10" s="7">
        <v>24.6</v>
      </c>
      <c r="AD10" s="14">
        <v>131.83249999999998</v>
      </c>
      <c r="AE10" s="15">
        <v>1632.9272309236667</v>
      </c>
    </row>
    <row r="11">
      <c r="A11" s="6" t="s">
        <v>51</v>
      </c>
      <c r="B11" s="7">
        <v>161.079</v>
      </c>
      <c r="C11" s="7">
        <v>155.104</v>
      </c>
      <c r="D11" s="7">
        <v>4.473</v>
      </c>
      <c r="E11" s="7">
        <v>36.453</v>
      </c>
      <c r="F11" s="7">
        <v>288.71</v>
      </c>
      <c r="G11" s="10">
        <v>0.1262616466350317</v>
      </c>
      <c r="H11" s="8">
        <v>1.502</v>
      </c>
      <c r="I11" s="7">
        <v>45.6</v>
      </c>
      <c r="J11" s="7">
        <v>10.5</v>
      </c>
      <c r="K11" s="7">
        <v>26.7</v>
      </c>
      <c r="L11" s="7">
        <v>14.6</v>
      </c>
      <c r="M11" s="7">
        <v>10.6</v>
      </c>
      <c r="N11" s="7">
        <v>6.943</v>
      </c>
      <c r="O11" s="7">
        <v>4.875</v>
      </c>
      <c r="P11" s="7">
        <v>5.2</v>
      </c>
      <c r="Q11" s="7">
        <v>19.391</v>
      </c>
      <c r="R11" s="7">
        <v>5</v>
      </c>
      <c r="S11" s="7">
        <v>4.837</v>
      </c>
      <c r="T11" s="7">
        <v>6.8</v>
      </c>
      <c r="U11" s="7">
        <v>0.033</v>
      </c>
      <c r="V11" s="7">
        <v>43.305</v>
      </c>
      <c r="W11" s="7">
        <v>25.512</v>
      </c>
      <c r="X11" s="7">
        <v>8.21</v>
      </c>
      <c r="Y11" s="7">
        <v>2.345</v>
      </c>
      <c r="Z11" s="7">
        <v>10.395</v>
      </c>
      <c r="AA11" s="7">
        <v>21.625</v>
      </c>
      <c r="AB11" s="7">
        <v>18.537</v>
      </c>
      <c r="AC11" s="7">
        <v>25.175</v>
      </c>
      <c r="AD11" s="14">
        <v>143.7716666666667</v>
      </c>
      <c r="AE11" s="15">
        <v>2097.110523564667</v>
      </c>
    </row>
    <row r="12">
      <c r="A12" s="6" t="s">
        <v>52</v>
      </c>
      <c r="B12" s="7">
        <v>159.814</v>
      </c>
      <c r="C12" s="7">
        <v>160.627</v>
      </c>
      <c r="D12" s="7">
        <v>3.689</v>
      </c>
      <c r="E12" s="7">
        <v>31.951</v>
      </c>
      <c r="F12" s="7">
        <v>294.801</v>
      </c>
      <c r="G12" s="10">
        <v>0.10838158622257048</v>
      </c>
      <c r="H12" s="8">
        <v>-4.502</v>
      </c>
      <c r="I12" s="7">
        <v>39.5</v>
      </c>
      <c r="J12" s="7">
        <v>12.6</v>
      </c>
      <c r="K12" s="7">
        <v>29.3</v>
      </c>
      <c r="L12" s="7">
        <v>13.825</v>
      </c>
      <c r="M12" s="7">
        <v>10.4</v>
      </c>
      <c r="N12" s="7">
        <v>7.055</v>
      </c>
      <c r="O12" s="7">
        <v>4.6</v>
      </c>
      <c r="P12" s="7">
        <v>5.266</v>
      </c>
      <c r="Q12" s="7">
        <v>20.611</v>
      </c>
      <c r="R12" s="7">
        <v>5.24</v>
      </c>
      <c r="S12" s="7">
        <v>4.95</v>
      </c>
      <c r="T12" s="7">
        <v>6.435</v>
      </c>
      <c r="U12" s="7">
        <v>0.032</v>
      </c>
      <c r="V12" s="7">
        <v>45.675</v>
      </c>
      <c r="W12" s="7">
        <v>25.557</v>
      </c>
      <c r="X12" s="7">
        <v>8.231</v>
      </c>
      <c r="Y12" s="7">
        <v>2.715</v>
      </c>
      <c r="Z12" s="7">
        <v>9.88</v>
      </c>
      <c r="AA12" s="7">
        <v>22.42</v>
      </c>
      <c r="AB12" s="7">
        <v>19.458</v>
      </c>
      <c r="AC12" s="7">
        <v>26.691</v>
      </c>
      <c r="AD12" s="14">
        <v>120.60083333333334</v>
      </c>
      <c r="AE12" s="15">
        <v>1725.8888180669999</v>
      </c>
    </row>
    <row r="13">
      <c r="A13" s="6" t="s">
        <v>53</v>
      </c>
      <c r="B13" s="7">
        <v>175.856</v>
      </c>
      <c r="C13" s="7">
        <v>166.003</v>
      </c>
      <c r="D13" s="7">
        <v>4.858</v>
      </c>
      <c r="E13" s="7">
        <v>36.946</v>
      </c>
      <c r="F13" s="7">
        <v>309.367</v>
      </c>
      <c r="G13" s="10">
        <v>0.11942450229016023</v>
      </c>
      <c r="H13" s="8">
        <v>4.995</v>
      </c>
      <c r="I13" s="7">
        <v>49.7</v>
      </c>
      <c r="J13" s="7">
        <v>16.8</v>
      </c>
      <c r="K13" s="7">
        <v>30.4</v>
      </c>
      <c r="L13" s="7">
        <v>13.87</v>
      </c>
      <c r="M13" s="7">
        <v>10.6</v>
      </c>
      <c r="N13" s="7">
        <v>7.35</v>
      </c>
      <c r="O13" s="7">
        <v>4.65</v>
      </c>
      <c r="P13" s="7">
        <v>5.325</v>
      </c>
      <c r="Q13" s="7">
        <v>19.599</v>
      </c>
      <c r="R13" s="7">
        <v>5.315</v>
      </c>
      <c r="S13" s="7">
        <v>5.753</v>
      </c>
      <c r="T13" s="7">
        <v>6.44</v>
      </c>
      <c r="U13" s="7">
        <v>0.054</v>
      </c>
      <c r="V13" s="7">
        <v>45.967</v>
      </c>
      <c r="W13" s="7">
        <v>27.162</v>
      </c>
      <c r="X13" s="7">
        <v>7.897</v>
      </c>
      <c r="Y13" s="7">
        <v>2.915</v>
      </c>
      <c r="Z13" s="7">
        <v>9.695</v>
      </c>
      <c r="AA13" s="7">
        <v>23.2</v>
      </c>
      <c r="AB13" s="7">
        <v>21.28</v>
      </c>
      <c r="AC13" s="7">
        <v>27.887</v>
      </c>
      <c r="AD13" s="14">
        <v>104.98083333333334</v>
      </c>
      <c r="AE13" s="15">
        <v>1488.8367708514998</v>
      </c>
    </row>
    <row r="14">
      <c r="A14" s="6" t="s">
        <v>54</v>
      </c>
      <c r="B14" s="7">
        <v>169.03</v>
      </c>
      <c r="C14" s="7">
        <v>162.355</v>
      </c>
      <c r="D14" s="7">
        <v>7.813</v>
      </c>
      <c r="E14" s="7">
        <v>35.808</v>
      </c>
      <c r="F14" s="7">
        <v>301.356</v>
      </c>
      <c r="G14" s="10">
        <v>0.11882292039979293</v>
      </c>
      <c r="H14" s="8">
        <v>-1.138</v>
      </c>
      <c r="I14" s="7">
        <v>42</v>
      </c>
      <c r="J14" s="7">
        <v>18.5</v>
      </c>
      <c r="K14" s="7">
        <v>31.3</v>
      </c>
      <c r="L14" s="7">
        <v>14.1</v>
      </c>
      <c r="M14" s="7">
        <v>10.7</v>
      </c>
      <c r="N14" s="7">
        <v>7.475</v>
      </c>
      <c r="O14" s="7">
        <v>5.475</v>
      </c>
      <c r="P14" s="7">
        <v>4.967</v>
      </c>
      <c r="Q14" s="7">
        <v>17.577</v>
      </c>
      <c r="R14" s="7">
        <v>4.835</v>
      </c>
      <c r="S14" s="7">
        <v>5.747</v>
      </c>
      <c r="T14" s="7">
        <v>6.315</v>
      </c>
      <c r="U14" s="7">
        <v>0.039</v>
      </c>
      <c r="V14" s="7">
        <v>44.069</v>
      </c>
      <c r="W14" s="7">
        <v>26.049</v>
      </c>
      <c r="X14" s="7">
        <v>7.61</v>
      </c>
      <c r="Y14" s="7">
        <v>3.705</v>
      </c>
      <c r="Z14" s="7">
        <v>9.89</v>
      </c>
      <c r="AA14" s="7">
        <v>22.994</v>
      </c>
      <c r="AB14" s="7">
        <v>21.787</v>
      </c>
      <c r="AC14" s="7">
        <v>26.251</v>
      </c>
      <c r="AD14" s="14">
        <v>113.23666666666666</v>
      </c>
      <c r="AE14" s="15">
        <v>1305.5958874191667</v>
      </c>
    </row>
    <row r="15">
      <c r="A15" s="6" t="s">
        <v>55</v>
      </c>
      <c r="B15" s="7">
        <v>176.594</v>
      </c>
      <c r="C15" s="7">
        <v>162.093</v>
      </c>
      <c r="D15" s="7">
        <v>12.815</v>
      </c>
      <c r="E15" s="7">
        <v>37.494</v>
      </c>
      <c r="F15" s="7">
        <v>307.034</v>
      </c>
      <c r="G15" s="10">
        <v>0.12211676882690517</v>
      </c>
      <c r="H15" s="8">
        <v>1.686</v>
      </c>
      <c r="I15" s="7">
        <v>49.7</v>
      </c>
      <c r="J15" s="7">
        <v>20.2</v>
      </c>
      <c r="K15" s="7">
        <v>29</v>
      </c>
      <c r="L15" s="7">
        <v>13.4</v>
      </c>
      <c r="M15" s="7">
        <v>10.7</v>
      </c>
      <c r="N15" s="7">
        <v>7.6</v>
      </c>
      <c r="O15" s="7">
        <v>6.63</v>
      </c>
      <c r="P15" s="7">
        <v>5.567</v>
      </c>
      <c r="Q15" s="7">
        <v>18.932</v>
      </c>
      <c r="R15" s="7">
        <v>4.184</v>
      </c>
      <c r="S15" s="7">
        <v>4.538</v>
      </c>
      <c r="T15" s="7">
        <v>6.11</v>
      </c>
      <c r="U15" s="7">
        <v>0.033</v>
      </c>
      <c r="V15" s="7">
        <v>44.226</v>
      </c>
      <c r="W15" s="7">
        <v>25.922</v>
      </c>
      <c r="X15" s="7">
        <v>7.354</v>
      </c>
      <c r="Y15" s="7">
        <v>4.48</v>
      </c>
      <c r="Z15" s="7">
        <v>10.33</v>
      </c>
      <c r="AA15" s="7">
        <v>22.28</v>
      </c>
      <c r="AB15" s="7">
        <v>21.005</v>
      </c>
      <c r="AC15" s="7">
        <v>26.496</v>
      </c>
      <c r="AD15" s="14">
        <v>143.75333333333336</v>
      </c>
      <c r="AE15" s="15">
        <v>1540.9393521041666</v>
      </c>
    </row>
    <row r="16">
      <c r="A16" s="6" t="s">
        <v>56</v>
      </c>
      <c r="B16" s="7">
        <v>165.044</v>
      </c>
      <c r="C16" s="7">
        <v>167.876</v>
      </c>
      <c r="D16" s="7">
        <v>2.722</v>
      </c>
      <c r="E16" s="7">
        <v>31.94</v>
      </c>
      <c r="F16" s="7">
        <v>311.459</v>
      </c>
      <c r="G16" s="10">
        <v>0.10254961327173079</v>
      </c>
      <c r="H16" s="8">
        <v>-5.554</v>
      </c>
      <c r="I16" s="7">
        <v>36.4</v>
      </c>
      <c r="J16" s="7">
        <v>21.7</v>
      </c>
      <c r="K16" s="7">
        <v>31.58</v>
      </c>
      <c r="L16" s="7">
        <v>11.8</v>
      </c>
      <c r="M16" s="7">
        <v>10.58</v>
      </c>
      <c r="N16" s="7">
        <v>8.15</v>
      </c>
      <c r="O16" s="7">
        <v>6.05</v>
      </c>
      <c r="P16" s="7">
        <v>5.7</v>
      </c>
      <c r="Q16" s="7">
        <v>17.048</v>
      </c>
      <c r="R16" s="7">
        <v>5.045</v>
      </c>
      <c r="S16" s="7">
        <v>4.893</v>
      </c>
      <c r="T16" s="7">
        <v>6.06</v>
      </c>
      <c r="U16" s="7">
        <v>0.038</v>
      </c>
      <c r="V16" s="7">
        <v>45.875</v>
      </c>
      <c r="W16" s="7">
        <v>26.708</v>
      </c>
      <c r="X16" s="7">
        <v>7.21</v>
      </c>
      <c r="Y16" s="7">
        <v>4.92</v>
      </c>
      <c r="Z16" s="7">
        <v>11.39</v>
      </c>
      <c r="AA16" s="7">
        <v>22.34</v>
      </c>
      <c r="AB16" s="7">
        <v>22.04</v>
      </c>
      <c r="AC16" s="7">
        <v>27.393</v>
      </c>
      <c r="AD16" s="14">
        <v>224.0875</v>
      </c>
      <c r="AE16" s="15">
        <v>2150.1500694308334</v>
      </c>
    </row>
    <row r="17">
      <c r="A17" s="6" t="s">
        <v>57</v>
      </c>
      <c r="B17" s="7">
        <v>164.529</v>
      </c>
      <c r="C17" s="7">
        <v>168.754</v>
      </c>
      <c r="D17" s="7">
        <v>0.781</v>
      </c>
      <c r="E17" s="7">
        <v>26.934</v>
      </c>
      <c r="F17" s="7">
        <v>303.453</v>
      </c>
      <c r="G17" s="10">
        <v>0.08875839092050498</v>
      </c>
      <c r="H17" s="8">
        <v>-5.006</v>
      </c>
      <c r="I17" s="7">
        <v>39.8</v>
      </c>
      <c r="J17" s="7">
        <v>22.8</v>
      </c>
      <c r="K17" s="7">
        <v>28.3</v>
      </c>
      <c r="L17" s="7">
        <v>10.7</v>
      </c>
      <c r="M17" s="7">
        <v>10.7</v>
      </c>
      <c r="N17" s="7">
        <v>7.3</v>
      </c>
      <c r="O17" s="7">
        <v>6.565</v>
      </c>
      <c r="P17" s="7">
        <v>5.867</v>
      </c>
      <c r="Q17" s="7">
        <v>17.083</v>
      </c>
      <c r="R17" s="7">
        <v>4.419</v>
      </c>
      <c r="S17" s="7">
        <v>4.695</v>
      </c>
      <c r="T17" s="7">
        <v>6.26</v>
      </c>
      <c r="U17" s="7">
        <v>0.04</v>
      </c>
      <c r="V17" s="7">
        <v>48.477</v>
      </c>
      <c r="W17" s="7">
        <v>24.623</v>
      </c>
      <c r="X17" s="7">
        <v>6.886</v>
      </c>
      <c r="Y17" s="7">
        <v>5.28</v>
      </c>
      <c r="Z17" s="7">
        <v>10.44</v>
      </c>
      <c r="AA17" s="7">
        <v>22.45</v>
      </c>
      <c r="AB17" s="7">
        <v>22.682</v>
      </c>
      <c r="AC17" s="7">
        <v>27.916</v>
      </c>
      <c r="AD17" s="14">
        <v>171.18999999999997</v>
      </c>
      <c r="AE17" s="15">
        <v>2217.078737803</v>
      </c>
    </row>
    <row r="18">
      <c r="A18" s="6" t="s">
        <v>58</v>
      </c>
      <c r="B18" s="7">
        <v>169.335</v>
      </c>
      <c r="C18" s="7">
        <v>163.944</v>
      </c>
      <c r="D18" s="7">
        <v>9.204</v>
      </c>
      <c r="E18" s="7">
        <v>23.121</v>
      </c>
      <c r="F18" s="7">
        <v>307.418</v>
      </c>
      <c r="G18" s="10">
        <v>0.07521029998243434</v>
      </c>
      <c r="H18" s="8">
        <v>-3.813</v>
      </c>
      <c r="I18" s="7">
        <v>44.9</v>
      </c>
      <c r="J18" s="7">
        <v>21.4</v>
      </c>
      <c r="K18" s="7">
        <v>27.55</v>
      </c>
      <c r="L18" s="7">
        <v>12.76</v>
      </c>
      <c r="M18" s="7">
        <v>8.15</v>
      </c>
      <c r="N18" s="7">
        <v>9.13</v>
      </c>
      <c r="O18" s="7">
        <v>6.4</v>
      </c>
      <c r="P18" s="7">
        <v>6.56</v>
      </c>
      <c r="Q18" s="7">
        <v>16.803</v>
      </c>
      <c r="R18" s="7">
        <v>4.852</v>
      </c>
      <c r="S18" s="7">
        <v>5.06</v>
      </c>
      <c r="T18" s="7">
        <v>5.72</v>
      </c>
      <c r="U18" s="7">
        <v>0.05</v>
      </c>
      <c r="V18" s="7">
        <v>43.803</v>
      </c>
      <c r="W18" s="7">
        <v>23.545</v>
      </c>
      <c r="X18" s="7">
        <v>6.996</v>
      </c>
      <c r="Y18" s="7">
        <v>5.765</v>
      </c>
      <c r="Z18" s="7">
        <v>10.775</v>
      </c>
      <c r="AA18" s="7">
        <v>22.16</v>
      </c>
      <c r="AB18" s="7">
        <v>23.918</v>
      </c>
      <c r="AC18" s="7">
        <v>26.982</v>
      </c>
      <c r="AD18" s="14">
        <v>204.00166666666667</v>
      </c>
      <c r="AE18" s="15">
        <v>3504.24765449</v>
      </c>
    </row>
    <row r="19">
      <c r="A19" s="6" t="s">
        <v>59</v>
      </c>
      <c r="B19" s="7">
        <v>176.816</v>
      </c>
      <c r="C19" s="7">
        <v>171.761</v>
      </c>
      <c r="D19" s="7">
        <v>6.166</v>
      </c>
      <c r="E19" s="7">
        <v>22.01</v>
      </c>
      <c r="F19" s="7">
        <v>319.507</v>
      </c>
      <c r="G19" s="10">
        <v>0.06888737961922586</v>
      </c>
      <c r="H19" s="8">
        <v>-1.111</v>
      </c>
      <c r="I19" s="7">
        <v>44.5</v>
      </c>
      <c r="J19" s="7">
        <v>21</v>
      </c>
      <c r="K19" s="7">
        <v>29</v>
      </c>
      <c r="L19" s="7">
        <v>14.8</v>
      </c>
      <c r="M19" s="7">
        <v>10.7</v>
      </c>
      <c r="N19" s="7">
        <v>11.46</v>
      </c>
      <c r="O19" s="7">
        <v>6.7</v>
      </c>
      <c r="P19" s="7">
        <v>6.059</v>
      </c>
      <c r="Q19" s="7">
        <v>17.294</v>
      </c>
      <c r="R19" s="7">
        <v>5.06</v>
      </c>
      <c r="S19" s="7">
        <v>4.303</v>
      </c>
      <c r="T19" s="7">
        <v>5.89</v>
      </c>
      <c r="U19" s="7">
        <v>0.05</v>
      </c>
      <c r="V19" s="7">
        <v>45.731</v>
      </c>
      <c r="W19" s="7">
        <v>26.145</v>
      </c>
      <c r="X19" s="7">
        <v>6.528</v>
      </c>
      <c r="Y19" s="7">
        <v>5.893</v>
      </c>
      <c r="Z19" s="7">
        <v>10.475</v>
      </c>
      <c r="AA19" s="7">
        <v>21.97</v>
      </c>
      <c r="AB19" s="7">
        <v>25.37</v>
      </c>
      <c r="AC19" s="7">
        <v>29.649</v>
      </c>
      <c r="AD19" s="14">
        <v>333.06</v>
      </c>
      <c r="AE19" s="15">
        <v>4701.7435461085</v>
      </c>
    </row>
    <row r="20">
      <c r="A20" s="6" t="s">
        <v>60</v>
      </c>
      <c r="B20" s="7">
        <v>178.83</v>
      </c>
      <c r="C20" s="7">
        <v>173.459</v>
      </c>
      <c r="D20" s="7">
        <v>3.011</v>
      </c>
      <c r="E20" s="7">
        <v>24.37</v>
      </c>
      <c r="F20" s="7">
        <v>319.401</v>
      </c>
      <c r="G20" s="10">
        <v>0.07629907232601026</v>
      </c>
      <c r="H20" s="8">
        <v>2.36</v>
      </c>
      <c r="I20" s="7">
        <v>38</v>
      </c>
      <c r="J20" s="7">
        <v>25</v>
      </c>
      <c r="K20" s="7">
        <v>31.7</v>
      </c>
      <c r="L20" s="7">
        <v>12.5</v>
      </c>
      <c r="M20" s="7">
        <v>12.37</v>
      </c>
      <c r="N20" s="7">
        <v>11.56</v>
      </c>
      <c r="O20" s="7">
        <v>7.095</v>
      </c>
      <c r="P20" s="7">
        <v>6.43</v>
      </c>
      <c r="Q20" s="7">
        <v>17.391</v>
      </c>
      <c r="R20" s="7">
        <v>5.694</v>
      </c>
      <c r="S20" s="7">
        <v>5.015</v>
      </c>
      <c r="T20" s="7">
        <v>6.025</v>
      </c>
      <c r="U20" s="7">
        <v>0.05</v>
      </c>
      <c r="V20" s="7">
        <v>46.14</v>
      </c>
      <c r="W20" s="7">
        <v>25.55</v>
      </c>
      <c r="X20" s="7">
        <v>6.653</v>
      </c>
      <c r="Y20" s="7">
        <v>6.42</v>
      </c>
      <c r="Z20" s="7">
        <v>10.635</v>
      </c>
      <c r="AA20" s="7">
        <v>22.28</v>
      </c>
      <c r="AB20" s="7">
        <v>26.651</v>
      </c>
      <c r="AC20" s="7">
        <v>29.13</v>
      </c>
      <c r="AD20" s="14">
        <v>312.21</v>
      </c>
      <c r="AE20" s="15">
        <v>3788.463594255636</v>
      </c>
    </row>
    <row r="21">
      <c r="A21" s="6" t="s">
        <v>61</v>
      </c>
      <c r="B21" s="7">
        <v>189.667</v>
      </c>
      <c r="C21" s="7">
        <v>179.736</v>
      </c>
      <c r="D21" s="7">
        <v>8.018</v>
      </c>
      <c r="E21" s="7">
        <v>26.283</v>
      </c>
      <c r="F21" s="7">
        <v>338.61</v>
      </c>
      <c r="G21" s="10">
        <v>0.07762027110835475</v>
      </c>
      <c r="H21" s="8">
        <v>1.913</v>
      </c>
      <c r="I21" s="7">
        <v>47.5</v>
      </c>
      <c r="J21" s="7">
        <v>24.4</v>
      </c>
      <c r="K21" s="7">
        <v>32.5</v>
      </c>
      <c r="L21" s="7">
        <v>13.4</v>
      </c>
      <c r="M21" s="7">
        <v>11.38</v>
      </c>
      <c r="N21" s="7">
        <v>12.1</v>
      </c>
      <c r="O21" s="7">
        <v>7.16</v>
      </c>
      <c r="P21" s="7">
        <v>6.14</v>
      </c>
      <c r="Q21" s="7">
        <v>17.947</v>
      </c>
      <c r="R21" s="7">
        <v>5.71</v>
      </c>
      <c r="S21" s="7">
        <v>5.305</v>
      </c>
      <c r="T21" s="7">
        <v>6.075</v>
      </c>
      <c r="U21" s="7">
        <v>0.05</v>
      </c>
      <c r="V21" s="7">
        <v>47.35</v>
      </c>
      <c r="W21" s="7">
        <v>26.95</v>
      </c>
      <c r="X21" s="7">
        <v>6.9</v>
      </c>
      <c r="Y21" s="7">
        <v>6.75</v>
      </c>
      <c r="Z21" s="7">
        <v>11.095</v>
      </c>
      <c r="AA21" s="7">
        <v>22.39</v>
      </c>
      <c r="AB21" s="7">
        <v>27.756</v>
      </c>
      <c r="AC21" s="7">
        <v>30.545</v>
      </c>
      <c r="AD21" s="14"/>
      <c r="AE21" s="15"/>
    </row>
  </sheetData>
  <pageMargins left="0.5" right="0.5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B5530"/>
  </sheetPr>
  <dimension ref="A1:E60"/>
  <sheetViews>
    <sheetView showGridLines="0" workbookViewId="0"/>
  </sheetViews>
  <sheetFormatPr defaultRowHeight="12.75"/>
  <cols>
    <col min="1" max="1" width="52" customWidth="1"/>
    <col min="2" max="2" width="18" customWidth="1"/>
    <col min="3" max="3" width="18" customWidth="1"/>
    <col min="4" max="4" width="18" customWidth="1"/>
    <col min="5" max="5" width="18" customWidth="1"/>
  </cols>
  <sheetData>
    <row r="1">
      <c r="A1" s="1" t="s">
        <v>62</v>
      </c>
    </row>
    <row r="2">
      <c r="A2" s="2" t="s">
        <v>63</v>
      </c>
    </row>
    <row r="4" ht="40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</row>
    <row r="5">
      <c r="A5" s="4" t="s">
        <v>22</v>
      </c>
      <c r="B5" s="7">
        <v>4.2976644862954005</v>
      </c>
      <c r="C5" s="18">
        <v>0.014712219121671003</v>
      </c>
      <c r="D5" s="8">
        <v>0.2122058823529412</v>
      </c>
      <c r="E5" s="7">
        <v>38</v>
      </c>
    </row>
    <row r="6">
      <c r="A6" s="4" t="s">
        <v>23</v>
      </c>
      <c r="B6" s="7">
        <v>2.3522237991888844</v>
      </c>
      <c r="C6" s="18">
        <v>0.008052381023979645</v>
      </c>
      <c r="D6" s="8">
        <v>0.7295588235294117</v>
      </c>
      <c r="E6" s="7">
        <v>25</v>
      </c>
    </row>
    <row r="7">
      <c r="A7" s="4" t="s">
        <v>24</v>
      </c>
      <c r="B7" s="7">
        <v>2.2362703464286637</v>
      </c>
      <c r="C7" s="18">
        <v>0.007655436913902498</v>
      </c>
      <c r="D7" s="8">
        <v>0.3904970588235294</v>
      </c>
      <c r="E7" s="7">
        <v>31.7</v>
      </c>
    </row>
    <row r="8">
      <c r="A8" s="4" t="s">
        <v>25</v>
      </c>
      <c r="B8" s="7">
        <v>1.7888618247458599</v>
      </c>
      <c r="C8" s="18">
        <v>0.0061238207933583064</v>
      </c>
      <c r="D8" s="8">
        <v>0.22991617647058823</v>
      </c>
      <c r="E8" s="7">
        <v>12.5</v>
      </c>
    </row>
    <row r="9">
      <c r="A9" s="4" t="s">
        <v>26</v>
      </c>
      <c r="B9" s="7">
        <v>1.1987310165720715</v>
      </c>
      <c r="C9" s="18">
        <v>0.004103622662958045</v>
      </c>
      <c r="D9" s="8">
        <v>0.03438970588235294</v>
      </c>
      <c r="E9" s="7">
        <v>12.37</v>
      </c>
    </row>
    <row r="10">
      <c r="A10" s="4" t="s">
        <v>27</v>
      </c>
      <c r="B10" s="7">
        <v>0.8754384459288351</v>
      </c>
      <c r="C10" s="18">
        <v>0.0029968933789762736</v>
      </c>
      <c r="D10" s="8">
        <v>0.3013764705882353</v>
      </c>
      <c r="E10" s="7">
        <v>11.56</v>
      </c>
    </row>
    <row r="11">
      <c r="A11" s="4" t="s">
        <v>28</v>
      </c>
      <c r="B11" s="7">
        <v>0.38283523191811136</v>
      </c>
      <c r="C11" s="18">
        <v>0.0013105620127945583</v>
      </c>
      <c r="D11" s="8">
        <v>0.2878014705882353</v>
      </c>
      <c r="E11" s="7">
        <v>7.095</v>
      </c>
    </row>
    <row r="12">
      <c r="A12" s="4" t="s">
        <v>29</v>
      </c>
      <c r="B12" s="7">
        <v>0.30201370245501813</v>
      </c>
      <c r="C12" s="18">
        <v>0.0010338852142679723</v>
      </c>
      <c r="D12" s="8">
        <v>0.07745882352941176</v>
      </c>
      <c r="E12" s="7">
        <v>6.43</v>
      </c>
    </row>
    <row r="13">
      <c r="A13" s="4" t="s">
        <v>30</v>
      </c>
      <c r="B13" s="7">
        <v>1.377325927702417</v>
      </c>
      <c r="C13" s="18">
        <v>0.004715007631455188</v>
      </c>
      <c r="D13" s="8">
        <v>-0.09626323529411765</v>
      </c>
      <c r="E13" s="7">
        <v>17.391</v>
      </c>
    </row>
    <row r="14">
      <c r="A14" s="4" t="s">
        <v>31</v>
      </c>
      <c r="B14" s="7">
        <v>0.651912019703444</v>
      </c>
      <c r="C14" s="18">
        <v>0.0022316941009500966</v>
      </c>
      <c r="D14" s="8">
        <v>-0.038211764705882355</v>
      </c>
      <c r="E14" s="7">
        <v>5.694</v>
      </c>
    </row>
    <row r="15">
      <c r="A15" s="4" t="s">
        <v>32</v>
      </c>
      <c r="B15" s="7">
        <v>0.389311083768306</v>
      </c>
      <c r="C15" s="18">
        <v>0.0013327308330278167</v>
      </c>
      <c r="D15" s="8">
        <v>-0.10199264705882354</v>
      </c>
      <c r="E15" s="7">
        <v>5.015</v>
      </c>
    </row>
    <row r="16">
      <c r="A16" s="4" t="s">
        <v>33</v>
      </c>
      <c r="B16" s="7">
        <v>0.4799170264720706</v>
      </c>
      <c r="C16" s="18">
        <v>0.0016429026686920788</v>
      </c>
      <c r="D16" s="8">
        <v>0.004598529411764706</v>
      </c>
      <c r="E16" s="7">
        <v>6.025</v>
      </c>
    </row>
    <row r="17">
      <c r="A17" s="4" t="s">
        <v>35</v>
      </c>
      <c r="B17" s="7">
        <v>1.3571563152645691</v>
      </c>
      <c r="C17" s="18">
        <v>0.004645960883219941</v>
      </c>
      <c r="D17" s="8">
        <v>0.241475</v>
      </c>
      <c r="E17" s="7">
        <v>46.14</v>
      </c>
    </row>
    <row r="18">
      <c r="A18" s="4" t="s">
        <v>36</v>
      </c>
      <c r="B18" s="7">
        <v>1.0995216388425868</v>
      </c>
      <c r="C18" s="18">
        <v>0.0037639986395529563</v>
      </c>
      <c r="D18" s="8">
        <v>0.19336617647058824</v>
      </c>
      <c r="E18" s="7">
        <v>25.55</v>
      </c>
    </row>
    <row r="19">
      <c r="A19" s="4" t="s">
        <v>37</v>
      </c>
      <c r="B19" s="7">
        <v>0.4675482344769361</v>
      </c>
      <c r="C19" s="18">
        <v>0.001600560513160145</v>
      </c>
      <c r="D19" s="8">
        <v>-0.053625</v>
      </c>
      <c r="E19" s="7">
        <v>6.653</v>
      </c>
    </row>
    <row r="20">
      <c r="A20" s="4" t="s">
        <v>38</v>
      </c>
      <c r="B20" s="7">
        <v>0.3494165070577115</v>
      </c>
      <c r="C20" s="18">
        <v>0.0011961595031335834</v>
      </c>
      <c r="D20" s="8">
        <v>0.36106470588235295</v>
      </c>
      <c r="E20" s="7">
        <v>6.42</v>
      </c>
    </row>
    <row r="21">
      <c r="A21" s="4" t="s">
        <v>39</v>
      </c>
      <c r="B21" s="7">
        <v>0.9334492536775508</v>
      </c>
      <c r="C21" s="18">
        <v>0.003195482104956586</v>
      </c>
      <c r="D21" s="8">
        <v>0.3801029411764706</v>
      </c>
      <c r="E21" s="7">
        <v>10.635</v>
      </c>
    </row>
    <row r="22">
      <c r="A22" s="4" t="s">
        <v>40</v>
      </c>
      <c r="B22" s="7">
        <v>0.681937378057481</v>
      </c>
      <c r="C22" s="18">
        <v>0.0023344800798742143</v>
      </c>
      <c r="D22" s="8">
        <v>0.20051029411764704</v>
      </c>
      <c r="E22" s="7">
        <v>22.28</v>
      </c>
    </row>
    <row r="23">
      <c r="A23" s="4" t="s">
        <v>41</v>
      </c>
      <c r="B23" s="7">
        <v>0.7361279326177941</v>
      </c>
      <c r="C23" s="18">
        <v>0.0025199909115267414</v>
      </c>
      <c r="D23" s="8">
        <v>0.6065955882352941</v>
      </c>
      <c r="E23" s="7">
        <v>26.651</v>
      </c>
    </row>
    <row r="24">
      <c r="A24" s="4" t="s">
        <v>42</v>
      </c>
      <c r="B24" s="7">
        <v>0.70563913600179</v>
      </c>
      <c r="C24" s="18">
        <v>0.0024156184417815827</v>
      </c>
      <c r="D24" s="8">
        <v>0.4409323529411765</v>
      </c>
      <c r="E24" s="7">
        <v>29.13</v>
      </c>
    </row>
    <row r="26">
      <c r="A26" s="16" t="s">
        <v>69</v>
      </c>
      <c r="B26" s="16"/>
      <c r="C26" s="16"/>
      <c r="D26" s="16"/>
      <c r="E26" s="16"/>
    </row>
    <row r="27" ht="40" customHeight="1">
      <c r="A27" s="3" t="s">
        <v>70</v>
      </c>
      <c r="B27" s="3" t="s">
        <v>71</v>
      </c>
      <c r="C27" s="3" t="s">
        <v>72</v>
      </c>
      <c r="D27" s="3" t="s">
        <v>73</v>
      </c>
      <c r="E27" s="3" t="s">
        <v>74</v>
      </c>
    </row>
    <row r="28">
      <c r="A28" s="4" t="s">
        <v>22</v>
      </c>
      <c r="B28" s="11">
        <v>0.43545935887464277</v>
      </c>
      <c r="C28" s="11">
        <v>0.4357498807022429</v>
      </c>
      <c r="D28" s="11">
        <v>0.19114422336471423</v>
      </c>
      <c r="E28" s="11">
        <v>0.8102044420096998</v>
      </c>
    </row>
    <row r="29">
      <c r="A29" s="4" t="s">
        <v>23</v>
      </c>
      <c r="B29" s="11">
        <v>0.14418128690525478</v>
      </c>
      <c r="C29" s="11">
        <v>0.1312797282353207</v>
      </c>
      <c r="D29" s="11">
        <v>-0.0762727754053306</v>
      </c>
      <c r="E29" s="11">
        <v>0.2813203571964629</v>
      </c>
    </row>
    <row r="30">
      <c r="A30" s="4" t="s">
        <v>24</v>
      </c>
      <c r="B30" s="11">
        <v>0.04924294507012483</v>
      </c>
      <c r="C30" s="11">
        <v>0.055499251661565885</v>
      </c>
      <c r="D30" s="11">
        <v>-0.06596061503329219</v>
      </c>
      <c r="E30" s="11">
        <v>0.25526388368215486</v>
      </c>
    </row>
    <row r="31">
      <c r="A31" s="4" t="s">
        <v>26</v>
      </c>
      <c r="B31" s="11">
        <v>0.09061275031384686</v>
      </c>
      <c r="C31" s="11">
        <v>0.09158612633727843</v>
      </c>
      <c r="D31" s="11">
        <v>-0.029844944556021737</v>
      </c>
      <c r="E31" s="11">
        <v>0.26791745306766473</v>
      </c>
    </row>
    <row r="32">
      <c r="A32" s="4" t="s">
        <v>25</v>
      </c>
      <c r="B32" s="11">
        <v>0.012005607375130725</v>
      </c>
      <c r="C32" s="11">
        <v>0.018948182422446412</v>
      </c>
      <c r="D32" s="11">
        <v>-0.10464046216464284</v>
      </c>
      <c r="E32" s="11">
        <v>0.30730350293607184</v>
      </c>
    </row>
    <row r="33">
      <c r="A33" s="4" t="s">
        <v>30</v>
      </c>
      <c r="B33" s="11">
        <v>0.043746634329555736</v>
      </c>
      <c r="C33" s="11">
        <v>0.0448540982001616</v>
      </c>
      <c r="D33" s="11">
        <v>-0.1626654687799551</v>
      </c>
      <c r="E33" s="11">
        <v>0.16749153637416433</v>
      </c>
    </row>
    <row r="34">
      <c r="A34" s="4" t="s">
        <v>27</v>
      </c>
      <c r="B34" s="11">
        <v>0.044079812748975954</v>
      </c>
      <c r="C34" s="11">
        <v>0.036337618189548865</v>
      </c>
      <c r="D34" s="11">
        <v>-0.005943918534116996</v>
      </c>
      <c r="E34" s="11">
        <v>0.09274491522615388</v>
      </c>
    </row>
    <row r="35">
      <c r="A35" s="4" t="s">
        <v>28</v>
      </c>
      <c r="B35" s="11">
        <v>0.027015965288148407</v>
      </c>
      <c r="C35" s="11">
        <v>0.02330519358016084</v>
      </c>
      <c r="D35" s="11">
        <v>-0.008260894010749814</v>
      </c>
      <c r="E35" s="11">
        <v>0.052913519094148875</v>
      </c>
    </row>
    <row r="36">
      <c r="A36" s="4" t="s">
        <v>75</v>
      </c>
      <c r="B36" s="11">
        <v>-0.00021301916141036858</v>
      </c>
      <c r="C36" s="11">
        <v>0.0014156268363804622</v>
      </c>
      <c r="D36" s="11">
        <v>-0.06551023893180144</v>
      </c>
      <c r="E36" s="11">
        <v>0.04542125748345718</v>
      </c>
    </row>
    <row r="37">
      <c r="A37" s="4" t="s">
        <v>76</v>
      </c>
      <c r="B37" s="11">
        <v>0.10321549835809835</v>
      </c>
      <c r="C37" s="11">
        <v>0.10321736993587993</v>
      </c>
      <c r="D37" s="11">
        <v>0.004436920840142728</v>
      </c>
      <c r="E37" s="11">
        <v>0.27080499811052455</v>
      </c>
    </row>
    <row r="38">
      <c r="A38" s="4" t="s">
        <v>38</v>
      </c>
      <c r="B38" s="11">
        <v>-0.011527482096324397</v>
      </c>
      <c r="C38" s="11">
        <v>-0.002622178063661062</v>
      </c>
      <c r="D38" s="11">
        <v>-0.037429266076074566</v>
      </c>
      <c r="E38" s="11">
        <v>0.02686136684251956</v>
      </c>
    </row>
    <row r="39">
      <c r="A39" s="4" t="s">
        <v>77</v>
      </c>
      <c r="B39" s="11">
        <v>0.0747467997649628</v>
      </c>
      <c r="C39" s="11">
        <v>0.07126406687009969</v>
      </c>
      <c r="D39" s="11">
        <v>-0.007246539798471245</v>
      </c>
      <c r="E39" s="11">
        <v>0.141262441922438</v>
      </c>
    </row>
    <row r="40">
      <c r="A40" s="4" t="s">
        <v>78</v>
      </c>
      <c r="B40" s="11">
        <v>0.020931537961973213</v>
      </c>
      <c r="C40" s="11">
        <v>0.02082131948502015</v>
      </c>
      <c r="D40" s="11">
        <v>-0.16260462733201067</v>
      </c>
      <c r="E40" s="11">
        <v>0.10411143346345583</v>
      </c>
    </row>
    <row r="41">
      <c r="A41" s="4" t="s">
        <v>79</v>
      </c>
      <c r="B41" s="11">
        <v>-0.04180422897766683</v>
      </c>
      <c r="C41" s="11">
        <v>-0.035879947307829514</v>
      </c>
      <c r="D41" s="11">
        <v>-0.10970264746243164</v>
      </c>
      <c r="E41" s="11">
        <v>0.011261757146924367</v>
      </c>
    </row>
    <row r="42">
      <c r="A42" s="4" t="s">
        <v>80</v>
      </c>
      <c r="B42" s="11">
        <v>0.008235677956161393</v>
      </c>
      <c r="C42" s="11">
        <v>0.009695100367672956</v>
      </c>
      <c r="D42" s="11">
        <v>-0.05639574974644284</v>
      </c>
      <c r="E42" s="11">
        <v>0.06531341172453821</v>
      </c>
    </row>
    <row r="43">
      <c r="A43" s="4" t="s">
        <v>81</v>
      </c>
      <c r="B43" s="11">
        <v>0.05842101735650744</v>
      </c>
      <c r="C43" s="11">
        <v>0.031284840404864914</v>
      </c>
      <c r="D43" s="11">
        <v>-0.05582609880199605</v>
      </c>
      <c r="E43" s="11">
        <v>0.17872242988107356</v>
      </c>
    </row>
    <row r="44">
      <c r="A44" s="4" t="s">
        <v>82</v>
      </c>
      <c r="B44" s="11">
        <v>-0.05835016206798162</v>
      </c>
      <c r="C44" s="11">
        <v>-0.036756277857152894</v>
      </c>
      <c r="D44" s="11">
        <v>-0.44246058913359215</v>
      </c>
      <c r="E44" s="11">
        <v>0.17564355806454035</v>
      </c>
    </row>
    <row r="45">
      <c r="A45" s="2" t="s">
        <v>83</v>
      </c>
    </row>
    <row r="47">
      <c r="A47" s="16" t="s">
        <v>84</v>
      </c>
      <c r="B47" s="16"/>
      <c r="C47" s="16"/>
      <c r="D47" s="16"/>
      <c r="E47" s="16"/>
    </row>
    <row r="48" ht="40" customHeight="1">
      <c r="A48" s="3" t="s">
        <v>85</v>
      </c>
      <c r="B48" s="3" t="s">
        <v>86</v>
      </c>
      <c r="C48" s="3" t="s">
        <v>87</v>
      </c>
      <c r="D48" s="3" t="s">
        <v>88</v>
      </c>
      <c r="E48" s="3" t="s">
        <v>89</v>
      </c>
    </row>
    <row r="49">
      <c r="A49" s="4" t="s">
        <v>90</v>
      </c>
      <c r="B49" s="7">
        <v>4.2976644862954005</v>
      </c>
      <c r="C49" s="7">
        <v>4.4034362483917935</v>
      </c>
      <c r="D49" s="18">
        <v>0.014939174604647412</v>
      </c>
      <c r="E49" s="8">
        <v>0.26642857142857135</v>
      </c>
    </row>
    <row r="50">
      <c r="A50" s="4" t="s">
        <v>91</v>
      </c>
      <c r="B50" s="7">
        <v>2.3522237991888844</v>
      </c>
      <c r="C50" s="7">
        <v>2.4196031420626327</v>
      </c>
      <c r="D50" s="18">
        <v>0.0082087878134783</v>
      </c>
      <c r="E50" s="8">
        <v>0.7507142857142857</v>
      </c>
    </row>
    <row r="51">
      <c r="A51" s="4" t="s">
        <v>92</v>
      </c>
      <c r="B51" s="7">
        <v>2.2362703464286637</v>
      </c>
      <c r="C51" s="7">
        <v>1.504634647975677</v>
      </c>
      <c r="D51" s="18">
        <v>0.00510464974496228</v>
      </c>
      <c r="E51" s="8">
        <v>0.220125</v>
      </c>
    </row>
    <row r="52">
      <c r="A52" s="4" t="s">
        <v>93</v>
      </c>
      <c r="B52" s="7">
        <v>1.7888618247458599</v>
      </c>
      <c r="C52" s="7">
        <v>1.7398106645073002</v>
      </c>
      <c r="D52" s="18">
        <v>0.005902511999712645</v>
      </c>
      <c r="E52" s="8">
        <v>0.1694749999999999</v>
      </c>
    </row>
    <row r="53">
      <c r="A53" s="4" t="s">
        <v>94</v>
      </c>
      <c r="B53" s="7">
        <v>1.1987310165720715</v>
      </c>
      <c r="C53" s="7">
        <v>1.2033873520390759</v>
      </c>
      <c r="D53" s="18">
        <v>0.00408263291553313</v>
      </c>
      <c r="E53" s="8">
        <v>0.006107142857142857</v>
      </c>
    </row>
    <row r="54">
      <c r="A54" s="4" t="s">
        <v>95</v>
      </c>
      <c r="B54" s="7">
        <v>1.377325927702417</v>
      </c>
      <c r="C54" s="7">
        <v>1.4136167448321488</v>
      </c>
      <c r="D54" s="18">
        <v>0.004795860819561884</v>
      </c>
      <c r="E54" s="8">
        <v>-0.11169285714285714</v>
      </c>
    </row>
    <row r="55">
      <c r="A55" s="4" t="s">
        <v>96</v>
      </c>
      <c r="B55" s="7">
        <v>0.8754384459288351</v>
      </c>
      <c r="C55" s="7">
        <v>0.8774868448794592</v>
      </c>
      <c r="D55" s="18">
        <v>0.0029769771717991812</v>
      </c>
      <c r="E55" s="8">
        <v>0.32256785714285713</v>
      </c>
    </row>
    <row r="56">
      <c r="A56" s="4" t="s">
        <v>97</v>
      </c>
      <c r="B56" s="7">
        <v>0.38283523191811136</v>
      </c>
      <c r="C56" s="7">
        <v>0.37918047855534487</v>
      </c>
      <c r="D56" s="18">
        <v>0.0012864143038021454</v>
      </c>
      <c r="E56" s="8">
        <v>0.2986964285714285</v>
      </c>
    </row>
    <row r="57">
      <c r="A57" s="4" t="s">
        <v>98</v>
      </c>
      <c r="B57" s="7">
        <v>0.30201370245501813</v>
      </c>
      <c r="C57" s="7">
        <v>0.31134308335910654</v>
      </c>
      <c r="D57" s="18">
        <v>0.0010562679738919084</v>
      </c>
      <c r="E57" s="8">
        <v>0.0793</v>
      </c>
    </row>
    <row r="58">
      <c r="A58" s="2" t="s">
        <v>99</v>
      </c>
    </row>
    <row r="60">
      <c r="A60" s="2" t="s">
        <v>100</v>
      </c>
    </row>
  </sheetData>
  <pageMargins left="0.5" right="0.5" top="0.75" bottom="0.75" header="0.3" footer="0.3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00000"/>
  </sheetPr>
  <dimension ref="A1:G46"/>
  <sheetViews>
    <sheetView showGridLines="0" workbookViewId="0"/>
  </sheetViews>
  <sheetFormatPr defaultRowHeight="12.75"/>
  <cols>
    <col min="1" max="1" width="52" customWidth="1"/>
    <col min="2" max="2" width="30" customWidth="1"/>
    <col min="3" max="3" width="30" customWidth="1"/>
    <col min="4" max="4" width="20" customWidth="1"/>
    <col min="5" max="5" width="20" customWidth="1"/>
    <col min="6" max="6" width="20" customWidth="1"/>
    <col min="7" max="7" width="16" customWidth="1"/>
  </cols>
  <sheetData>
    <row r="1">
      <c r="A1" s="1" t="s">
        <v>101</v>
      </c>
    </row>
    <row r="3" ht="52" customHeight="1">
      <c r="A3" s="3" t="s">
        <v>102</v>
      </c>
      <c r="B3" s="3" t="s">
        <v>103</v>
      </c>
      <c r="C3" s="3" t="s">
        <v>104</v>
      </c>
    </row>
    <row r="4">
      <c r="A4" s="5" t="s">
        <v>105</v>
      </c>
      <c r="B4" s="9">
        <v>0.1171864444348572</v>
      </c>
      <c r="C4" s="9">
        <v>0.08385142094847399</v>
      </c>
    </row>
    <row r="5">
      <c r="A5" s="5" t="s">
        <v>106</v>
      </c>
      <c r="B5" s="9">
        <v>0.08385142094847399</v>
      </c>
      <c r="C5" s="9">
        <v>0.0769596717171825</v>
      </c>
    </row>
    <row r="6">
      <c r="A6" s="5" t="s">
        <v>107</v>
      </c>
      <c r="B6" s="4" t="s">
        <v>108</v>
      </c>
      <c r="C6" s="4" t="s">
        <v>109</v>
      </c>
    </row>
    <row r="7">
      <c r="A7" s="5" t="s">
        <v>110</v>
      </c>
      <c r="B7" s="4" t="s">
        <v>111</v>
      </c>
      <c r="C7" s="4" t="s">
        <v>112</v>
      </c>
    </row>
    <row r="8">
      <c r="A8" s="5" t="s">
        <v>113</v>
      </c>
      <c r="B8" s="8">
        <v>0.26025</v>
      </c>
      <c r="C8" s="8">
        <v>-3.871</v>
      </c>
    </row>
    <row r="9">
      <c r="A9" s="5" t="s">
        <v>114</v>
      </c>
      <c r="B9" s="8">
        <v>-3.871</v>
      </c>
      <c r="C9" s="8">
        <v>2.1365</v>
      </c>
    </row>
    <row r="10">
      <c r="A10" s="5" t="s">
        <v>115</v>
      </c>
      <c r="B10" s="8">
        <v>-1.392499999999984</v>
      </c>
      <c r="C10" s="8">
        <v>15.317499999999995</v>
      </c>
    </row>
    <row r="11">
      <c r="A11" s="5" t="s">
        <v>116</v>
      </c>
      <c r="B11" s="8">
        <v>5.3142500000000155</v>
      </c>
      <c r="C11" s="8">
        <v>8.513749999999987</v>
      </c>
    </row>
    <row r="12">
      <c r="A12" s="5" t="s">
        <v>117</v>
      </c>
      <c r="B12" s="8">
        <v>-2.5755</v>
      </c>
      <c r="C12" s="8">
        <v>0.7962499999999997</v>
      </c>
    </row>
    <row r="14">
      <c r="A14" s="4" t="s">
        <v>118</v>
      </c>
      <c r="B14" s="8">
        <v>-3.825000000000003</v>
      </c>
      <c r="C14" s="8">
        <v>1.3500000000000014</v>
      </c>
    </row>
    <row r="15">
      <c r="A15" s="4" t="s">
        <v>119</v>
      </c>
      <c r="B15" s="8">
        <v>4.700000000000003</v>
      </c>
      <c r="C15" s="8">
        <v>2.974999999999998</v>
      </c>
    </row>
    <row r="16">
      <c r="A16" s="4" t="s">
        <v>120</v>
      </c>
      <c r="B16" s="8">
        <v>-0.8924999999999983</v>
      </c>
      <c r="C16" s="8">
        <v>2.9924999999999997</v>
      </c>
    </row>
    <row r="17">
      <c r="A17" s="4" t="s">
        <v>121</v>
      </c>
      <c r="B17" s="8">
        <v>-1.2837499999999995</v>
      </c>
      <c r="C17" s="8">
        <v>0.4349999999999987</v>
      </c>
    </row>
    <row r="18">
      <c r="A18" s="4" t="s">
        <v>122</v>
      </c>
      <c r="B18" s="8">
        <v>-0.567499999999999</v>
      </c>
      <c r="C18" s="8">
        <v>1.8424999999999994</v>
      </c>
    </row>
    <row r="19">
      <c r="A19" s="4" t="s">
        <v>123</v>
      </c>
      <c r="B19" s="8">
        <v>1.6399999999999997</v>
      </c>
      <c r="C19" s="8">
        <v>2.8200000000000003</v>
      </c>
    </row>
    <row r="20">
      <c r="A20" s="4" t="s">
        <v>124</v>
      </c>
      <c r="B20" s="8">
        <v>1.0899999999999999</v>
      </c>
      <c r="C20" s="8">
        <v>0.6987500000000004</v>
      </c>
    </row>
    <row r="21">
      <c r="A21" s="4" t="s">
        <v>125</v>
      </c>
      <c r="B21" s="8">
        <v>0.76525</v>
      </c>
      <c r="C21" s="8">
        <v>0.23850000000000016</v>
      </c>
    </row>
    <row r="22">
      <c r="A22" s="4" t="s">
        <v>126</v>
      </c>
      <c r="B22" s="8">
        <v>-2.12275</v>
      </c>
      <c r="C22" s="8">
        <v>0.6120000000000019</v>
      </c>
    </row>
    <row r="23">
      <c r="A23" s="4" t="s">
        <v>127</v>
      </c>
      <c r="B23" s="8">
        <v>-0.0495000000000001</v>
      </c>
      <c r="C23" s="8">
        <v>0.8579999999999997</v>
      </c>
    </row>
    <row r="24">
      <c r="A24" s="4" t="s">
        <v>128</v>
      </c>
      <c r="B24" s="8">
        <v>-0.5092499999999998</v>
      </c>
      <c r="C24" s="8">
        <v>0.42225</v>
      </c>
    </row>
    <row r="25">
      <c r="A25" s="4" t="s">
        <v>129</v>
      </c>
      <c r="B25" s="8">
        <v>-0.34250000000000025</v>
      </c>
      <c r="C25" s="8">
        <v>0.0674999999999999</v>
      </c>
    </row>
    <row r="26">
      <c r="A26" s="4" t="s">
        <v>130</v>
      </c>
      <c r="B26" s="8">
        <v>0.987249999999996</v>
      </c>
      <c r="C26" s="8">
        <v>0.7734999999999985</v>
      </c>
    </row>
    <row r="27">
      <c r="A27" s="4" t="s">
        <v>131</v>
      </c>
      <c r="B27" s="8">
        <v>-0.9172499999999992</v>
      </c>
      <c r="C27" s="8">
        <v>0.9947499999999998</v>
      </c>
    </row>
    <row r="28">
      <c r="A28" s="4" t="s">
        <v>132</v>
      </c>
      <c r="B28" s="8">
        <v>-0.8679999999999994</v>
      </c>
      <c r="C28" s="8">
        <v>-0.12849999999999984</v>
      </c>
    </row>
    <row r="29">
      <c r="A29" s="4" t="s">
        <v>133</v>
      </c>
      <c r="B29" s="8">
        <v>2.0107500000000003</v>
      </c>
      <c r="C29" s="8">
        <v>1.1204999999999998</v>
      </c>
    </row>
    <row r="30">
      <c r="A30" s="4" t="s">
        <v>134</v>
      </c>
      <c r="B30" s="8">
        <v>0.8212499999999991</v>
      </c>
      <c r="C30" s="8">
        <v>0.09500000000000064</v>
      </c>
    </row>
    <row r="31">
      <c r="A31" s="4" t="s">
        <v>135</v>
      </c>
      <c r="B31" s="8">
        <v>-0.49350000000000094</v>
      </c>
      <c r="C31" s="8">
        <v>0.10500000000000043</v>
      </c>
    </row>
    <row r="32">
      <c r="A32" s="4" t="s">
        <v>136</v>
      </c>
      <c r="B32" s="8">
        <v>2.620000000000001</v>
      </c>
      <c r="C32" s="8">
        <v>3.700999999999997</v>
      </c>
    </row>
    <row r="33">
      <c r="A33" s="4" t="s">
        <v>137</v>
      </c>
      <c r="B33" s="8">
        <v>1.1537499999999987</v>
      </c>
      <c r="C33" s="8">
        <v>1.8524999999999991</v>
      </c>
    </row>
    <row r="35">
      <c r="A35" s="2" t="s">
        <v>138</v>
      </c>
    </row>
    <row r="37">
      <c r="A37" s="16" t="s">
        <v>139</v>
      </c>
      <c r="B37" s="16"/>
      <c r="C37" s="16"/>
      <c r="D37" s="16"/>
      <c r="E37" s="16"/>
      <c r="F37" s="16"/>
      <c r="G37" s="16"/>
    </row>
    <row r="38" ht="40" customHeight="1">
      <c r="A38" s="3" t="s">
        <v>14</v>
      </c>
      <c r="B38" s="3" t="s">
        <v>140</v>
      </c>
      <c r="C38" s="3" t="s">
        <v>17</v>
      </c>
      <c r="D38" s="3" t="s">
        <v>141</v>
      </c>
      <c r="E38" s="3" t="s">
        <v>142</v>
      </c>
      <c r="F38" s="3" t="s">
        <v>143</v>
      </c>
      <c r="G38" s="3" t="s">
        <v>144</v>
      </c>
    </row>
    <row r="39">
      <c r="A39" s="6" t="s">
        <v>56</v>
      </c>
      <c r="B39" s="8">
        <v>-2.832</v>
      </c>
      <c r="C39" s="8">
        <v>2.722</v>
      </c>
      <c r="D39" s="8">
        <v>-5.554</v>
      </c>
      <c r="E39" s="8">
        <v>0.233</v>
      </c>
      <c r="F39" s="8">
        <v>-6.017</v>
      </c>
      <c r="G39" s="8">
        <v>-3.85</v>
      </c>
    </row>
    <row r="40">
      <c r="A40" s="6" t="s">
        <v>57</v>
      </c>
      <c r="B40" s="8">
        <v>-4.225</v>
      </c>
      <c r="C40" s="8">
        <v>0.781</v>
      </c>
      <c r="D40" s="8">
        <v>-5.006</v>
      </c>
      <c r="E40" s="8">
        <v>-4.687</v>
      </c>
      <c r="F40" s="8">
        <v>0.895</v>
      </c>
      <c r="G40" s="8">
        <v>4.08</v>
      </c>
    </row>
    <row r="41">
      <c r="A41" s="6" t="s">
        <v>58</v>
      </c>
      <c r="B41" s="8">
        <v>5.391</v>
      </c>
      <c r="C41" s="8">
        <v>9.204</v>
      </c>
      <c r="D41" s="8">
        <v>-3.813</v>
      </c>
      <c r="E41" s="8">
        <v>-0.687</v>
      </c>
      <c r="F41" s="8">
        <v>-3.09</v>
      </c>
      <c r="G41" s="8">
        <v>-2.535</v>
      </c>
    </row>
    <row r="42">
      <c r="A42" s="6" t="s">
        <v>59</v>
      </c>
      <c r="B42" s="8">
        <v>5.055</v>
      </c>
      <c r="C42" s="8">
        <v>6.166</v>
      </c>
      <c r="D42" s="8">
        <v>-1.111</v>
      </c>
      <c r="E42" s="8">
        <v>-0.456</v>
      </c>
      <c r="F42" s="8">
        <v>-0.339</v>
      </c>
      <c r="G42" s="8">
        <v>-1.13</v>
      </c>
    </row>
    <row r="43">
      <c r="A43" s="6" t="s">
        <v>60</v>
      </c>
      <c r="B43" s="8">
        <v>5.371</v>
      </c>
      <c r="C43" s="8">
        <v>3.011</v>
      </c>
      <c r="D43" s="8">
        <v>2.36</v>
      </c>
      <c r="E43" s="8">
        <v>-0.67</v>
      </c>
      <c r="F43" s="8">
        <v>3.098</v>
      </c>
      <c r="G43" s="8">
        <v>2.94</v>
      </c>
    </row>
    <row r="44">
      <c r="A44" s="6" t="s">
        <v>61</v>
      </c>
      <c r="B44" s="8">
        <v>9.931</v>
      </c>
      <c r="C44" s="8">
        <v>8.018</v>
      </c>
      <c r="D44" s="8">
        <v>1.913</v>
      </c>
      <c r="E44" s="8">
        <v>1.8</v>
      </c>
      <c r="F44" s="8">
        <v>0.013</v>
      </c>
      <c r="G44" s="8">
        <v>0.53</v>
      </c>
    </row>
    <row r="46">
      <c r="A46" s="2" t="s">
        <v>145</v>
      </c>
    </row>
  </sheetData>
  <pageMargins left="0.5" right="0.5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D7A55"/>
  </sheetPr>
  <dimension ref="A1:D28"/>
  <sheetViews>
    <sheetView showGridLines="0" workbookViewId="0"/>
  </sheetViews>
  <sheetFormatPr defaultRowHeight="12.75"/>
  <cols>
    <col min="1" max="1" width="52" customWidth="1"/>
    <col min="2" max="2" width="26" customWidth="1"/>
    <col min="3" max="3" width="26" customWidth="1"/>
    <col min="4" max="4" width="26" customWidth="1"/>
  </cols>
  <sheetData>
    <row r="1">
      <c r="A1" s="1" t="s">
        <v>146</v>
      </c>
    </row>
    <row r="3" ht="52" customHeight="1">
      <c r="A3" s="3" t="s">
        <v>64</v>
      </c>
      <c r="B3" s="3" t="s">
        <v>147</v>
      </c>
      <c r="C3" s="3" t="s">
        <v>148</v>
      </c>
      <c r="D3" s="3" t="s">
        <v>149</v>
      </c>
    </row>
    <row r="4">
      <c r="A4" s="4" t="s">
        <v>118</v>
      </c>
      <c r="B4" s="8">
        <v>-3.8</v>
      </c>
      <c r="C4" s="8">
        <v>0.2122058823529412</v>
      </c>
      <c r="D4" s="8">
        <v>0.26642857142857135</v>
      </c>
    </row>
    <row r="5">
      <c r="A5" s="4" t="s">
        <v>119</v>
      </c>
      <c r="B5" s="8">
        <v>12.3</v>
      </c>
      <c r="C5" s="8">
        <v>0.7295588235294117</v>
      </c>
      <c r="D5" s="8">
        <v>0.7507142857142857</v>
      </c>
    </row>
    <row r="6">
      <c r="A6" s="4" t="s">
        <v>120</v>
      </c>
      <c r="B6" s="8">
        <v>12.285</v>
      </c>
      <c r="C6" s="8">
        <v>0.3904970588235294</v>
      </c>
      <c r="D6" s="8">
        <v>0.220125</v>
      </c>
    </row>
    <row r="7">
      <c r="A7" s="4" t="s">
        <v>121</v>
      </c>
      <c r="B7" s="8">
        <v>3.975</v>
      </c>
      <c r="C7" s="8">
        <v>0.22991617647058823</v>
      </c>
      <c r="D7" s="8">
        <v>0.1694749999999999</v>
      </c>
    </row>
    <row r="8">
      <c r="A8" s="4" t="s">
        <v>122</v>
      </c>
      <c r="B8" s="8">
        <v>3.045</v>
      </c>
      <c r="C8" s="8">
        <v>0.03438970588235294</v>
      </c>
      <c r="D8" s="8">
        <v>0.006107142857142857</v>
      </c>
    </row>
    <row r="9">
      <c r="A9" s="4" t="s">
        <v>123</v>
      </c>
      <c r="B9" s="8">
        <v>5.435</v>
      </c>
      <c r="C9" s="8">
        <v>0.3013764705882353</v>
      </c>
      <c r="D9" s="8">
        <v>0.32256785714285713</v>
      </c>
    </row>
    <row r="10">
      <c r="A10" s="4" t="s">
        <v>124</v>
      </c>
      <c r="B10" s="8">
        <v>3.883</v>
      </c>
      <c r="C10" s="8">
        <v>0.2878014705882353</v>
      </c>
      <c r="D10" s="8">
        <v>0.2986964285714285</v>
      </c>
    </row>
    <row r="11">
      <c r="A11" s="4" t="s">
        <v>125</v>
      </c>
      <c r="B11" s="8">
        <v>1.395</v>
      </c>
      <c r="C11" s="8">
        <v>0.07745882352941176</v>
      </c>
      <c r="D11" s="8">
        <v>0.0793</v>
      </c>
    </row>
    <row r="12">
      <c r="A12" s="4" t="s">
        <v>126</v>
      </c>
      <c r="B12" s="8">
        <v>-0.837</v>
      </c>
      <c r="C12" s="8">
        <v>-0.09626323529411765</v>
      </c>
      <c r="D12" s="8">
        <v>-0.11169285714285714</v>
      </c>
    </row>
    <row r="13">
      <c r="A13" s="4" t="s">
        <v>127</v>
      </c>
      <c r="B13" s="8">
        <v>0.194</v>
      </c>
      <c r="C13" s="8">
        <v>-0.038211764705882355</v>
      </c>
      <c r="D13" s="8">
        <v>-0.03343928571428572</v>
      </c>
    </row>
    <row r="14">
      <c r="A14" s="4" t="s">
        <v>128</v>
      </c>
      <c r="B14" s="8">
        <v>-1.579</v>
      </c>
      <c r="C14" s="8">
        <v>-0.10199264705882354</v>
      </c>
      <c r="D14" s="8">
        <v>-0.08712142857142857</v>
      </c>
    </row>
    <row r="15">
      <c r="A15" s="4" t="s">
        <v>129</v>
      </c>
      <c r="B15" s="8">
        <v>1.128</v>
      </c>
      <c r="C15" s="8">
        <v>0.004598529411764706</v>
      </c>
      <c r="D15" s="8">
        <v>-0.03075</v>
      </c>
    </row>
    <row r="16">
      <c r="A16" s="5" t="s">
        <v>15</v>
      </c>
      <c r="B16" s="8">
        <v>37.42100000000001</v>
      </c>
      <c r="C16" s="8">
        <v>2.0312647058823528</v>
      </c>
      <c r="D16" s="8">
        <v>1.850596428571429</v>
      </c>
    </row>
    <row r="18">
      <c r="A18" s="4" t="s">
        <v>130</v>
      </c>
      <c r="B18" s="8">
        <v>4.79</v>
      </c>
      <c r="C18" s="8">
        <v>0.241475</v>
      </c>
      <c r="D18" s="8">
        <v>0.20217857142857143</v>
      </c>
    </row>
    <row r="19">
      <c r="A19" s="4" t="s">
        <v>131</v>
      </c>
      <c r="B19" s="8">
        <v>3.167</v>
      </c>
      <c r="C19" s="8">
        <v>0.19336617647058824</v>
      </c>
      <c r="D19" s="8">
        <v>0.1643321428571428</v>
      </c>
    </row>
    <row r="20">
      <c r="A20" s="4" t="s">
        <v>132</v>
      </c>
      <c r="B20" s="8">
        <v>-0.362</v>
      </c>
      <c r="C20" s="8">
        <v>-0.053625</v>
      </c>
      <c r="D20" s="8">
        <v>-0.07696428571428571</v>
      </c>
    </row>
    <row r="21">
      <c r="A21" s="4" t="s">
        <v>133</v>
      </c>
      <c r="B21" s="8">
        <v>5.311</v>
      </c>
      <c r="C21" s="8">
        <v>0.36106470588235295</v>
      </c>
      <c r="D21" s="8">
        <v>0.3709892857142857</v>
      </c>
    </row>
    <row r="22">
      <c r="A22" s="4" t="s">
        <v>134</v>
      </c>
      <c r="B22" s="8">
        <v>5.57</v>
      </c>
      <c r="C22" s="8">
        <v>0.3801029411764706</v>
      </c>
      <c r="D22" s="8">
        <v>0.34857142857142853</v>
      </c>
    </row>
    <row r="23">
      <c r="A23" s="4" t="s">
        <v>135</v>
      </c>
      <c r="B23" s="8">
        <v>2.86</v>
      </c>
      <c r="C23" s="8">
        <v>0.20051029411764704</v>
      </c>
      <c r="D23" s="8">
        <v>0.1826928571428572</v>
      </c>
    </row>
    <row r="24">
      <c r="A24" s="4" t="s">
        <v>136</v>
      </c>
      <c r="B24" s="8">
        <v>10.243</v>
      </c>
      <c r="C24" s="8">
        <v>0.6065955882352941</v>
      </c>
      <c r="D24" s="8">
        <v>0.6165642857142856</v>
      </c>
    </row>
    <row r="25">
      <c r="A25" s="4" t="s">
        <v>137</v>
      </c>
      <c r="B25" s="8">
        <v>6.372</v>
      </c>
      <c r="C25" s="8">
        <v>0.4409323529411765</v>
      </c>
      <c r="D25" s="8">
        <v>0.4453392857142857</v>
      </c>
    </row>
    <row r="26">
      <c r="A26" s="5" t="s">
        <v>16</v>
      </c>
      <c r="B26" s="8">
        <v>37.951</v>
      </c>
      <c r="C26" s="8">
        <v>2.370422058823529</v>
      </c>
      <c r="D26" s="8">
        <v>2.253703571428572</v>
      </c>
    </row>
    <row r="28">
      <c r="A28" s="2" t="s">
        <v>150</v>
      </c>
    </row>
  </sheetData>
  <pageMargins left="0.5" right="0.5" top="0.75" bottom="0.75" header="0.3" footer="0.3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7B1F"/>
  </sheetPr>
  <dimension ref="A1:I80"/>
  <sheetViews>
    <sheetView showGridLines="0" workbookViewId="0"/>
  </sheetViews>
  <sheetFormatPr defaultRowHeight="12.75"/>
  <cols>
    <col min="1" max="1" width="58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</cols>
  <sheetData>
    <row r="1">
      <c r="A1" s="1" t="s">
        <v>151</v>
      </c>
    </row>
    <row r="2">
      <c r="A2" s="2" t="s">
        <v>152</v>
      </c>
    </row>
    <row r="4" ht="40" customHeight="1">
      <c r="A4" s="3" t="s">
        <v>85</v>
      </c>
      <c r="B4" s="3" t="s">
        <v>153</v>
      </c>
      <c r="C4" s="3" t="s">
        <v>154</v>
      </c>
      <c r="D4" s="3" t="s">
        <v>155</v>
      </c>
      <c r="E4" s="3" t="s">
        <v>154</v>
      </c>
      <c r="F4" s="3" t="s">
        <v>156</v>
      </c>
      <c r="G4" s="3" t="s">
        <v>154</v>
      </c>
      <c r="H4" s="3" t="s">
        <v>157</v>
      </c>
      <c r="I4" s="3" t="s">
        <v>154</v>
      </c>
    </row>
    <row r="5">
      <c r="A5" s="4" t="s">
        <v>90</v>
      </c>
      <c r="B5" s="12">
        <v>-0.17567529931626305</v>
      </c>
      <c r="C5" s="13">
        <v>0.5311431378197906</v>
      </c>
      <c r="D5" s="12">
        <v>-0.4508612406785728</v>
      </c>
      <c r="E5" s="13">
        <v>0.09165906207076296</v>
      </c>
      <c r="F5" s="12">
        <v>0.2156548296561705</v>
      </c>
      <c r="G5" s="13">
        <v>0.44016246930121483</v>
      </c>
      <c r="H5" s="12">
        <v>-0.48271015845094206</v>
      </c>
      <c r="I5" s="13">
        <v>0.06837664782360663</v>
      </c>
    </row>
    <row r="6">
      <c r="A6" s="4" t="s">
        <v>91</v>
      </c>
      <c r="B6" s="12">
        <v>-0.21378414651431427</v>
      </c>
      <c r="C6" s="13">
        <v>0.4442346067023526</v>
      </c>
      <c r="D6" s="12">
        <v>0.2769143309094445</v>
      </c>
      <c r="E6" s="13">
        <v>0.3177166587104593</v>
      </c>
      <c r="F6" s="12">
        <v>-0.4486587652421204</v>
      </c>
      <c r="G6" s="13">
        <v>0.09345233424947434</v>
      </c>
      <c r="H6" s="12">
        <v>0.10668961354319939</v>
      </c>
      <c r="I6" s="13">
        <v>0.7051017112111138</v>
      </c>
    </row>
    <row r="7">
      <c r="A7" s="4" t="s">
        <v>92</v>
      </c>
      <c r="B7" s="12">
        <v>-0.08955679390751899</v>
      </c>
      <c r="C7" s="13">
        <v>0.7509405555804565</v>
      </c>
      <c r="D7" s="12">
        <v>-0.10981884576051765</v>
      </c>
      <c r="E7" s="13">
        <v>0.6968252127909742</v>
      </c>
      <c r="F7" s="12">
        <v>-0.34831300058554837</v>
      </c>
      <c r="G7" s="13">
        <v>0.20327423103861253</v>
      </c>
      <c r="H7" s="12">
        <v>0.18558622770141564</v>
      </c>
      <c r="I7" s="13">
        <v>0.5078389493415472</v>
      </c>
    </row>
    <row r="8">
      <c r="A8" s="4" t="s">
        <v>93</v>
      </c>
      <c r="B8" s="12">
        <v>0.0693009896174208</v>
      </c>
      <c r="C8" s="13">
        <v>0.8061384721758486</v>
      </c>
      <c r="D8" s="12">
        <v>-0.7456100209574128</v>
      </c>
      <c r="E8" s="13">
        <v>0.0014177920339265766</v>
      </c>
      <c r="F8" s="12">
        <v>0.25814435489471055</v>
      </c>
      <c r="G8" s="13">
        <v>0.35292325836979466</v>
      </c>
      <c r="H8" s="12">
        <v>-0.3133782467222551</v>
      </c>
      <c r="I8" s="13">
        <v>0.2553879073197909</v>
      </c>
    </row>
    <row r="9">
      <c r="A9" s="4" t="s">
        <v>94</v>
      </c>
      <c r="B9" s="12">
        <v>-0.10490116718373114</v>
      </c>
      <c r="C9" s="13">
        <v>0.7098458531905687</v>
      </c>
      <c r="D9" s="12">
        <v>0.15687991070110788</v>
      </c>
      <c r="E9" s="13">
        <v>0.5765994627946694</v>
      </c>
      <c r="F9" s="12">
        <v>-0.26863742661000184</v>
      </c>
      <c r="G9" s="13">
        <v>0.3329832867260545</v>
      </c>
      <c r="H9" s="12">
        <v>0.2733600229614706</v>
      </c>
      <c r="I9" s="13">
        <v>0.3242223353669942</v>
      </c>
    </row>
    <row r="10">
      <c r="A10" s="4" t="s">
        <v>96</v>
      </c>
      <c r="B10" s="12">
        <v>0.609132600439024</v>
      </c>
      <c r="C10" s="13">
        <v>0.0159383286104069</v>
      </c>
      <c r="D10" s="12">
        <v>-0.2471591981634393</v>
      </c>
      <c r="E10" s="13">
        <v>0.37449116293399554</v>
      </c>
      <c r="F10" s="12">
        <v>0.6638184816274532</v>
      </c>
      <c r="G10" s="13">
        <v>0.00696451187803437</v>
      </c>
      <c r="H10" s="12">
        <v>0.1425137412582453</v>
      </c>
      <c r="I10" s="13">
        <v>0.6123876714352312</v>
      </c>
    </row>
    <row r="11">
      <c r="A11" s="4" t="s">
        <v>97</v>
      </c>
      <c r="B11" s="12">
        <v>0.005007337882241093</v>
      </c>
      <c r="C11" s="13">
        <v>0.9858695811993153</v>
      </c>
      <c r="D11" s="12">
        <v>-0.23574549904280756</v>
      </c>
      <c r="E11" s="13">
        <v>0.39763862597871347</v>
      </c>
      <c r="F11" s="12">
        <v>0.08760072890126255</v>
      </c>
      <c r="G11" s="13">
        <v>0.7562266531891579</v>
      </c>
      <c r="H11" s="12">
        <v>-0.30738970661735554</v>
      </c>
      <c r="I11" s="13">
        <v>0.26506893115761665</v>
      </c>
    </row>
    <row r="12">
      <c r="A12" s="4" t="s">
        <v>98</v>
      </c>
      <c r="B12" s="12">
        <v>-0.20661487344772508</v>
      </c>
      <c r="C12" s="13">
        <v>0.46001420761682477</v>
      </c>
      <c r="D12" s="12">
        <v>0.23778139756375555</v>
      </c>
      <c r="E12" s="13">
        <v>0.3934552612359403</v>
      </c>
      <c r="F12" s="12">
        <v>-0.00422903480533456</v>
      </c>
      <c r="G12" s="13">
        <v>0.9880657503276566</v>
      </c>
      <c r="H12" s="12">
        <v>0.04310931698935482</v>
      </c>
      <c r="I12" s="13">
        <v>0.8787558609925915</v>
      </c>
    </row>
    <row r="13">
      <c r="A13" s="4" t="s">
        <v>95</v>
      </c>
      <c r="B13" s="12">
        <v>-0.0875109557200034</v>
      </c>
      <c r="C13" s="13">
        <v>0.75646950030305</v>
      </c>
      <c r="D13" s="12">
        <v>0.1746469667257547</v>
      </c>
      <c r="E13" s="13">
        <v>0.5335880738123374</v>
      </c>
      <c r="F13" s="12">
        <v>0.15638035576559964</v>
      </c>
      <c r="G13" s="13">
        <v>0.5778292232334334</v>
      </c>
      <c r="H13" s="12">
        <v>0.049241217283880215</v>
      </c>
      <c r="I13" s="13">
        <v>0.8616534443255817</v>
      </c>
    </row>
    <row r="14">
      <c r="A14" s="4" t="s">
        <v>158</v>
      </c>
      <c r="B14" s="12">
        <v>0.19627908326425247</v>
      </c>
      <c r="C14" s="13">
        <v>0.4832385847633016</v>
      </c>
      <c r="D14" s="12">
        <v>0.023796215834191583</v>
      </c>
      <c r="E14" s="13">
        <v>0.932915026907423</v>
      </c>
      <c r="F14" s="12">
        <v>0.17008569349642844</v>
      </c>
      <c r="G14" s="13">
        <v>0.5444926622111669</v>
      </c>
      <c r="H14" s="12">
        <v>0.22058192414993355</v>
      </c>
      <c r="I14" s="13">
        <v>0.42952780087249764</v>
      </c>
    </row>
    <row r="15">
      <c r="A15" s="4" t="s">
        <v>159</v>
      </c>
      <c r="B15" s="12">
        <v>-0.28662638149873193</v>
      </c>
      <c r="C15" s="13">
        <v>0.3003274831557816</v>
      </c>
      <c r="D15" s="12">
        <v>0.13901552364125186</v>
      </c>
      <c r="E15" s="13">
        <v>0.6212308409781634</v>
      </c>
      <c r="F15" s="12">
        <v>-0.3249158727331631</v>
      </c>
      <c r="G15" s="13">
        <v>0.23735394795671672</v>
      </c>
      <c r="H15" s="12">
        <v>-0.008026075488202646</v>
      </c>
      <c r="I15" s="13">
        <v>0.9773525113164729</v>
      </c>
    </row>
    <row r="16">
      <c r="A16" s="4" t="s">
        <v>160</v>
      </c>
      <c r="B16" s="12">
        <v>-0.10670076427664571</v>
      </c>
      <c r="C16" s="13">
        <v>0.7050721634991917</v>
      </c>
      <c r="D16" s="12">
        <v>0.17381818010377764</v>
      </c>
      <c r="E16" s="13">
        <v>0.5355622050575912</v>
      </c>
      <c r="F16" s="12">
        <v>-0.16713839327395086</v>
      </c>
      <c r="G16" s="13">
        <v>0.5515900517650902</v>
      </c>
      <c r="H16" s="12">
        <v>0.058822811238016526</v>
      </c>
      <c r="I16" s="13">
        <v>0.8350459276983793</v>
      </c>
    </row>
    <row r="17">
      <c r="A17" s="4" t="s">
        <v>161</v>
      </c>
      <c r="B17" s="12">
        <v>0.0755167268989454</v>
      </c>
      <c r="C17" s="13">
        <v>0.7890974043749254</v>
      </c>
      <c r="D17" s="12">
        <v>-0.1300232695512338</v>
      </c>
      <c r="E17" s="13">
        <v>0.6441819645560208</v>
      </c>
      <c r="F17" s="12">
        <v>0.12360219289322869</v>
      </c>
      <c r="G17" s="13">
        <v>0.6607566048263527</v>
      </c>
      <c r="H17" s="12">
        <v>0.061703796673858245</v>
      </c>
      <c r="I17" s="13">
        <v>0.8270766841326278</v>
      </c>
    </row>
    <row r="18">
      <c r="A18" s="4" t="s">
        <v>162</v>
      </c>
      <c r="B18" s="12">
        <v>-0.07935385060215794</v>
      </c>
      <c r="C18" s="13">
        <v>0.7786211677309204</v>
      </c>
      <c r="D18" s="12">
        <v>-0.4850896214354009</v>
      </c>
      <c r="E18" s="13">
        <v>0.06682850266329131</v>
      </c>
      <c r="F18" s="12">
        <v>0.3327163524617052</v>
      </c>
      <c r="G18" s="13">
        <v>0.225621844316646</v>
      </c>
      <c r="H18" s="12">
        <v>-0.39247314981612064</v>
      </c>
      <c r="I18" s="13">
        <v>0.14789807850681014</v>
      </c>
    </row>
    <row r="19">
      <c r="A19" s="4" t="s">
        <v>163</v>
      </c>
      <c r="B19" s="12">
        <v>-0.27667451615439187</v>
      </c>
      <c r="C19" s="13">
        <v>0.3181532238823601</v>
      </c>
      <c r="D19" s="12">
        <v>0.24279711931928302</v>
      </c>
      <c r="E19" s="13">
        <v>0.3832496029160477</v>
      </c>
      <c r="F19" s="12">
        <v>-0.624147056915663</v>
      </c>
      <c r="G19" s="13">
        <v>0.012886104481985365</v>
      </c>
      <c r="H19" s="12">
        <v>0.2206407209182002</v>
      </c>
      <c r="I19" s="13">
        <v>0.4294016922647319</v>
      </c>
    </row>
    <row r="20">
      <c r="A20" s="4" t="s">
        <v>15</v>
      </c>
      <c r="B20" s="12">
        <v>-0.23040060231292186</v>
      </c>
      <c r="C20" s="13">
        <v>0.40873267144892267</v>
      </c>
      <c r="D20" s="12">
        <v>-0.404655626783326</v>
      </c>
      <c r="E20" s="13">
        <v>0.1346204015712359</v>
      </c>
      <c r="F20" s="12">
        <v>0.019336177167369895</v>
      </c>
      <c r="G20" s="13">
        <v>0.9454692999947852</v>
      </c>
      <c r="H20" s="12">
        <v>-0.32387970897169277</v>
      </c>
      <c r="I20" s="13">
        <v>0.23894029721774213</v>
      </c>
    </row>
    <row r="22">
      <c r="A22" s="16" t="s">
        <v>164</v>
      </c>
      <c r="B22" s="16"/>
      <c r="C22" s="16"/>
      <c r="D22" s="16"/>
      <c r="E22" s="16"/>
      <c r="F22" s="16"/>
      <c r="G22" s="16"/>
      <c r="H22" s="16"/>
      <c r="I22" s="16"/>
    </row>
    <row r="23" ht="40" customHeight="1">
      <c r="A23" s="3" t="s">
        <v>85</v>
      </c>
      <c r="B23" s="3" t="s">
        <v>165</v>
      </c>
      <c r="C23" s="3" t="s">
        <v>166</v>
      </c>
      <c r="D23" s="3" t="s">
        <v>167</v>
      </c>
      <c r="E23" s="3" t="s">
        <v>102</v>
      </c>
      <c r="F23" s="3" t="s">
        <v>102</v>
      </c>
      <c r="G23" s="3" t="s">
        <v>102</v>
      </c>
      <c r="H23" s="3" t="s">
        <v>102</v>
      </c>
      <c r="I23" s="3" t="s">
        <v>102</v>
      </c>
    </row>
    <row r="24">
      <c r="A24" s="4" t="s">
        <v>90</v>
      </c>
      <c r="B24" s="11">
        <v>0.5381664030082557</v>
      </c>
      <c r="C24" s="11">
        <v>0.6992176578035006</v>
      </c>
    </row>
    <row r="25">
      <c r="A25" s="4" t="s">
        <v>91</v>
      </c>
      <c r="B25" s="11">
        <v>-0.01827009605470705</v>
      </c>
      <c r="D25" s="11">
        <v>0.40933881437260317</v>
      </c>
    </row>
    <row r="26">
      <c r="A26" s="4" t="s">
        <v>92</v>
      </c>
      <c r="B26" s="11">
        <v>0.17581515338264095</v>
      </c>
      <c r="D26" s="11">
        <v>0.4070451467092766</v>
      </c>
    </row>
    <row r="27">
      <c r="A27" s="4" t="s">
        <v>93</v>
      </c>
      <c r="B27" s="11">
        <v>0.12960052472840772</v>
      </c>
      <c r="C27" s="11">
        <v>0.14790180274054873</v>
      </c>
    </row>
    <row r="28">
      <c r="A28" s="4" t="s">
        <v>94</v>
      </c>
      <c r="B28" s="11">
        <v>0.08436619036136585</v>
      </c>
      <c r="D28" s="11">
        <v>0.1889589504871283</v>
      </c>
    </row>
    <row r="29">
      <c r="A29" s="4" t="s">
        <v>96</v>
      </c>
      <c r="B29" s="11">
        <v>0.0067217450258164856</v>
      </c>
      <c r="C29" s="11">
        <v>0.013913731436085628</v>
      </c>
    </row>
    <row r="30">
      <c r="A30" s="4" t="s">
        <v>97</v>
      </c>
      <c r="B30" s="11">
        <v>0.012494607199118732</v>
      </c>
      <c r="D30" s="11">
        <v>-0.0011317458590252847</v>
      </c>
    </row>
    <row r="31">
      <c r="A31" s="4" t="s">
        <v>98</v>
      </c>
      <c r="B31" s="11">
        <v>-0.023479483519818562</v>
      </c>
      <c r="D31" s="11">
        <v>-0.004211165709982494</v>
      </c>
    </row>
    <row r="32">
      <c r="A32" s="4" t="s">
        <v>95</v>
      </c>
      <c r="B32" s="11">
        <v>0.078686894293675</v>
      </c>
      <c r="C32" s="11">
        <v>0.13130378387560912</v>
      </c>
    </row>
    <row r="33">
      <c r="A33" s="4" t="s">
        <v>158</v>
      </c>
      <c r="B33" s="11">
        <v>0.003562697054392532</v>
      </c>
      <c r="C33" s="11">
        <v>0.0076630241442561505</v>
      </c>
    </row>
    <row r="34">
      <c r="A34" s="4" t="s">
        <v>159</v>
      </c>
      <c r="B34" s="11">
        <v>-0.006158048528703407</v>
      </c>
    </row>
    <row r="35">
      <c r="A35" s="4" t="s">
        <v>160</v>
      </c>
      <c r="B35" s="11">
        <v>0.01840347570106687</v>
      </c>
    </row>
    <row r="37">
      <c r="A37" s="16" t="s">
        <v>168</v>
      </c>
      <c r="B37" s="16"/>
      <c r="C37" s="16"/>
      <c r="D37" s="16"/>
      <c r="E37" s="16"/>
      <c r="F37" s="16"/>
      <c r="G37" s="16"/>
      <c r="H37" s="16"/>
      <c r="I37" s="16"/>
    </row>
    <row r="38" ht="40" customHeight="1">
      <c r="A38" s="3" t="s">
        <v>85</v>
      </c>
      <c r="B38" s="3" t="s">
        <v>169</v>
      </c>
      <c r="C38" s="3" t="s">
        <v>154</v>
      </c>
      <c r="D38" s="3" t="s">
        <v>170</v>
      </c>
      <c r="E38" s="3" t="s">
        <v>154</v>
      </c>
      <c r="F38" s="3" t="s">
        <v>171</v>
      </c>
      <c r="G38" s="3" t="s">
        <v>154</v>
      </c>
      <c r="H38" s="3" t="s">
        <v>102</v>
      </c>
      <c r="I38" s="3" t="s">
        <v>102</v>
      </c>
    </row>
    <row r="39">
      <c r="A39" s="4" t="s">
        <v>90</v>
      </c>
      <c r="B39" s="12">
        <v>-0.2007935214967466</v>
      </c>
      <c r="C39" s="13">
        <v>0.47302655859943776</v>
      </c>
      <c r="D39" s="12">
        <v>0.34023339276302006</v>
      </c>
      <c r="E39" s="13">
        <v>0.23393884951637955</v>
      </c>
      <c r="F39" s="12">
        <v>-0.00879823761283095</v>
      </c>
      <c r="G39" s="13">
        <v>0.9772424870105177</v>
      </c>
    </row>
    <row r="40">
      <c r="A40" s="4" t="s">
        <v>91</v>
      </c>
      <c r="B40" s="12">
        <v>0.08332945724442607</v>
      </c>
      <c r="C40" s="13">
        <v>0.7678040440160656</v>
      </c>
      <c r="D40" s="12">
        <v>-0.02462590157443988</v>
      </c>
      <c r="E40" s="13">
        <v>0.9334042439171757</v>
      </c>
      <c r="F40" s="12">
        <v>-0.19758925708877953</v>
      </c>
      <c r="G40" s="13">
        <v>0.5175912989193735</v>
      </c>
    </row>
    <row r="41">
      <c r="A41" s="4" t="s">
        <v>92</v>
      </c>
      <c r="B41" s="12">
        <v>0.48473427363844895</v>
      </c>
      <c r="C41" s="13">
        <v>0.06705807722527424</v>
      </c>
      <c r="D41" s="12">
        <v>0.25325865607402426</v>
      </c>
      <c r="E41" s="13">
        <v>0.38232044866961945</v>
      </c>
      <c r="F41" s="12">
        <v>0.29738286419661525</v>
      </c>
      <c r="G41" s="13">
        <v>0.3237615133730083</v>
      </c>
    </row>
    <row r="42">
      <c r="A42" s="4" t="s">
        <v>93</v>
      </c>
      <c r="B42" s="12">
        <v>-0.09123189214885452</v>
      </c>
      <c r="C42" s="13">
        <v>0.7464218926757649</v>
      </c>
      <c r="D42" s="12">
        <v>0.7312763845726801</v>
      </c>
      <c r="E42" s="13">
        <v>0.002959382222825737</v>
      </c>
      <c r="F42" s="12">
        <v>0.6799300142746133</v>
      </c>
      <c r="G42" s="13">
        <v>0.010558861774236289</v>
      </c>
    </row>
    <row r="43">
      <c r="A43" s="4" t="s">
        <v>94</v>
      </c>
      <c r="B43" s="12">
        <v>0.3321898320755482</v>
      </c>
      <c r="C43" s="13">
        <v>0.22640206730930534</v>
      </c>
      <c r="D43" s="12">
        <v>0.3411541459450332</v>
      </c>
      <c r="E43" s="13">
        <v>0.23259385547061862</v>
      </c>
      <c r="F43" s="12">
        <v>0.11023704245037216</v>
      </c>
      <c r="G43" s="13">
        <v>0.7199602174432896</v>
      </c>
    </row>
    <row r="44">
      <c r="A44" s="4" t="s">
        <v>96</v>
      </c>
      <c r="B44" s="12">
        <v>-0.12658666806579316</v>
      </c>
      <c r="C44" s="13">
        <v>0.653034060945243</v>
      </c>
      <c r="D44" s="12">
        <v>0.09896616073959333</v>
      </c>
      <c r="E44" s="13">
        <v>0.7364176978169208</v>
      </c>
      <c r="F44" s="12">
        <v>0.07056769187392391</v>
      </c>
      <c r="G44" s="13">
        <v>0.8188049767112368</v>
      </c>
    </row>
    <row r="45">
      <c r="A45" s="4" t="s">
        <v>97</v>
      </c>
      <c r="B45" s="12">
        <v>-0.22501334282476515</v>
      </c>
      <c r="C45" s="13">
        <v>0.4200763914853194</v>
      </c>
      <c r="D45" s="12">
        <v>0.11033865510291113</v>
      </c>
      <c r="E45" s="13">
        <v>0.7072827663479284</v>
      </c>
      <c r="F45" s="12">
        <v>0.11968130200397303</v>
      </c>
      <c r="G45" s="13">
        <v>0.6969492791292131</v>
      </c>
    </row>
    <row r="46">
      <c r="A46" s="4" t="s">
        <v>98</v>
      </c>
      <c r="B46" s="12">
        <v>-0.06609865938400226</v>
      </c>
      <c r="C46" s="13">
        <v>0.8149501661282531</v>
      </c>
      <c r="D46" s="12">
        <v>-0.08518419513781272</v>
      </c>
      <c r="E46" s="13">
        <v>0.7721683744284937</v>
      </c>
      <c r="F46" s="12">
        <v>-0.3545527217244613</v>
      </c>
      <c r="G46" s="13">
        <v>0.23457320063442821</v>
      </c>
    </row>
    <row r="47">
      <c r="A47" s="4" t="s">
        <v>95</v>
      </c>
      <c r="B47" s="12">
        <v>0.17986012158269796</v>
      </c>
      <c r="C47" s="13">
        <v>0.5212452958049036</v>
      </c>
      <c r="D47" s="12">
        <v>-0.17768585436584605</v>
      </c>
      <c r="E47" s="13">
        <v>0.5433717612300725</v>
      </c>
      <c r="F47" s="12">
        <v>-0.05327992953592995</v>
      </c>
      <c r="G47" s="13">
        <v>0.8627553330245838</v>
      </c>
    </row>
    <row r="49">
      <c r="A49" s="16" t="s">
        <v>172</v>
      </c>
      <c r="B49" s="16"/>
      <c r="C49" s="16"/>
      <c r="D49" s="16"/>
      <c r="E49" s="16"/>
      <c r="F49" s="16"/>
      <c r="G49" s="16"/>
      <c r="H49" s="16"/>
      <c r="I49" s="16"/>
    </row>
    <row r="50" ht="40" customHeight="1">
      <c r="A50" s="3" t="s">
        <v>173</v>
      </c>
      <c r="B50" s="3" t="s">
        <v>174</v>
      </c>
      <c r="C50" s="3" t="s">
        <v>175</v>
      </c>
      <c r="D50" s="3" t="s">
        <v>176</v>
      </c>
      <c r="E50" s="3" t="s">
        <v>177</v>
      </c>
      <c r="F50" s="3" t="s">
        <v>178</v>
      </c>
      <c r="G50" s="3" t="s">
        <v>102</v>
      </c>
      <c r="H50" s="3" t="s">
        <v>102</v>
      </c>
      <c r="I50" s="3" t="s">
        <v>102</v>
      </c>
    </row>
    <row r="51">
      <c r="A51" s="4" t="s">
        <v>179</v>
      </c>
      <c r="B51" s="12">
        <v>-0.4195656837380571</v>
      </c>
      <c r="C51" s="12">
        <v>0.05613842197980215</v>
      </c>
      <c r="D51" s="12">
        <v>0.26407188930204273</v>
      </c>
      <c r="E51" s="12">
        <v>0.2807682180825038</v>
      </c>
      <c r="F51" s="12">
        <v>-0.1611046225689505</v>
      </c>
    </row>
    <row r="52">
      <c r="A52" s="4" t="s">
        <v>154</v>
      </c>
      <c r="B52" s="13">
        <v>0.15351840083766977</v>
      </c>
      <c r="C52" s="13">
        <v>0.8488267454612017</v>
      </c>
      <c r="D52" s="13">
        <v>0.3415790993664758</v>
      </c>
      <c r="E52" s="13">
        <v>0.33087982553574735</v>
      </c>
      <c r="F52" s="13">
        <v>0.5990285257247829</v>
      </c>
    </row>
    <row r="54">
      <c r="A54" s="16" t="s">
        <v>180</v>
      </c>
      <c r="B54" s="16"/>
      <c r="C54" s="16"/>
      <c r="D54" s="16"/>
      <c r="E54" s="16"/>
      <c r="F54" s="16"/>
      <c r="G54" s="16"/>
      <c r="H54" s="16"/>
      <c r="I54" s="16"/>
    </row>
    <row r="55" ht="40" customHeight="1">
      <c r="A55" s="3" t="s">
        <v>181</v>
      </c>
      <c r="B55" s="3" t="s">
        <v>182</v>
      </c>
      <c r="C55" s="3" t="s">
        <v>174</v>
      </c>
      <c r="D55" s="3" t="s">
        <v>175</v>
      </c>
      <c r="E55" s="3" t="s">
        <v>176</v>
      </c>
      <c r="F55" s="3" t="s">
        <v>177</v>
      </c>
      <c r="G55" s="3" t="s">
        <v>178</v>
      </c>
      <c r="H55" s="3" t="s">
        <v>183</v>
      </c>
      <c r="I55" s="3" t="s">
        <v>102</v>
      </c>
    </row>
    <row r="56">
      <c r="A56" s="4" t="s">
        <v>179</v>
      </c>
      <c r="B56" s="12">
        <v>0.01499724419243326</v>
      </c>
      <c r="C56" s="12">
        <v>0.07340181697398113</v>
      </c>
      <c r="D56" s="12">
        <v>0.19191159514474795</v>
      </c>
      <c r="E56" s="12">
        <v>0.6981253050793718</v>
      </c>
      <c r="F56" s="12">
        <v>0.1400132660454998</v>
      </c>
      <c r="G56" s="12">
        <v>0.11701909222550418</v>
      </c>
      <c r="H56" s="12">
        <v>0.018833855270605868</v>
      </c>
    </row>
    <row r="57">
      <c r="A57" s="4" t="s">
        <v>154</v>
      </c>
      <c r="B57" s="13">
        <v>0.8381410225337077</v>
      </c>
      <c r="C57" s="13">
        <v>0.3154902089643583</v>
      </c>
      <c r="D57" s="13">
        <v>0.00798828488038644</v>
      </c>
      <c r="E57" s="13">
        <v>3.1088896433576245e-29</v>
      </c>
      <c r="F57" s="13">
        <v>0.05401509632050675</v>
      </c>
      <c r="G57" s="13">
        <v>0.1088048185775895</v>
      </c>
      <c r="H57" s="13">
        <v>0.7975359868911843</v>
      </c>
    </row>
    <row r="58">
      <c r="A58" s="2" t="s">
        <v>184</v>
      </c>
    </row>
    <row r="60">
      <c r="A60" s="16" t="s">
        <v>185</v>
      </c>
      <c r="B60" s="16"/>
      <c r="C60" s="16"/>
      <c r="D60" s="16"/>
      <c r="E60" s="16"/>
      <c r="F60" s="16"/>
      <c r="G60" s="16"/>
      <c r="H60" s="16"/>
      <c r="I60" s="16"/>
    </row>
    <row r="61" ht="40" customHeight="1">
      <c r="A61" s="3" t="s">
        <v>85</v>
      </c>
      <c r="B61" s="3" t="s">
        <v>156</v>
      </c>
      <c r="C61" s="3" t="s">
        <v>154</v>
      </c>
      <c r="D61" s="3" t="s">
        <v>186</v>
      </c>
      <c r="E61" s="3" t="s">
        <v>154</v>
      </c>
      <c r="F61" s="3" t="s">
        <v>102</v>
      </c>
      <c r="G61" s="3" t="s">
        <v>102</v>
      </c>
      <c r="H61" s="3" t="s">
        <v>102</v>
      </c>
      <c r="I61" s="3" t="s">
        <v>102</v>
      </c>
    </row>
    <row r="62">
      <c r="A62" s="4" t="s">
        <v>91</v>
      </c>
      <c r="B62" s="12">
        <v>-0.4322886715250256</v>
      </c>
      <c r="C62" s="13">
        <v>0.12266157663408328</v>
      </c>
      <c r="D62" s="12">
        <v>0.030377437738719697</v>
      </c>
      <c r="E62" s="13">
        <v>0.9178936590959484</v>
      </c>
    </row>
    <row r="63">
      <c r="A63" s="4" t="s">
        <v>92</v>
      </c>
      <c r="B63" s="12">
        <v>-0.32326871876387747</v>
      </c>
      <c r="C63" s="13">
        <v>0.2595745281168238</v>
      </c>
      <c r="D63" s="12">
        <v>0.3770268436190842</v>
      </c>
      <c r="E63" s="13">
        <v>0.18389352206028475</v>
      </c>
    </row>
    <row r="64">
      <c r="A64" s="4" t="s">
        <v>94</v>
      </c>
      <c r="B64" s="12">
        <v>-0.33688389872106633</v>
      </c>
      <c r="C64" s="13">
        <v>0.2388719083946217</v>
      </c>
      <c r="D64" s="12">
        <v>0.4711966253462295</v>
      </c>
      <c r="E64" s="13">
        <v>0.08898999781917692</v>
      </c>
    </row>
    <row r="65">
      <c r="A65" s="4" t="s">
        <v>97</v>
      </c>
      <c r="B65" s="12">
        <v>0.04986980930180323</v>
      </c>
      <c r="C65" s="13">
        <v>0.8655587716961382</v>
      </c>
      <c r="D65" s="12">
        <v>-0.1622308927178171</v>
      </c>
      <c r="E65" s="13">
        <v>0.5795026545016733</v>
      </c>
    </row>
    <row r="66">
      <c r="A66" s="4" t="s">
        <v>98</v>
      </c>
      <c r="B66" s="12">
        <v>0.01151550057417335</v>
      </c>
      <c r="C66" s="13">
        <v>0.9688340685341755</v>
      </c>
      <c r="D66" s="12">
        <v>-0.10179342108329435</v>
      </c>
      <c r="E66" s="13">
        <v>0.7291421320344753</v>
      </c>
    </row>
    <row r="67">
      <c r="A67" s="4" t="s">
        <v>163</v>
      </c>
      <c r="B67" s="12">
        <v>-0.6138907689547531</v>
      </c>
      <c r="C67" s="13">
        <v>0.019526665972815698</v>
      </c>
    </row>
    <row r="69" ht="40" customHeight="1">
      <c r="A69" s="3" t="s">
        <v>187</v>
      </c>
      <c r="B69" s="3" t="s">
        <v>174</v>
      </c>
      <c r="C69" s="3" t="s">
        <v>175</v>
      </c>
      <c r="D69" s="3" t="s">
        <v>176</v>
      </c>
      <c r="E69" s="3" t="s">
        <v>177</v>
      </c>
      <c r="F69" s="3" t="s">
        <v>178</v>
      </c>
      <c r="G69" s="3" t="s">
        <v>102</v>
      </c>
      <c r="H69" s="3" t="s">
        <v>102</v>
      </c>
      <c r="I69" s="3" t="s">
        <v>102</v>
      </c>
    </row>
    <row r="70">
      <c r="A70" s="4" t="s">
        <v>179</v>
      </c>
      <c r="B70" s="12">
        <v>-0.5462284089208574</v>
      </c>
      <c r="C70" s="12">
        <v>0.05360386619845319</v>
      </c>
      <c r="D70" s="12">
        <v>0.2087791852566248</v>
      </c>
      <c r="E70" s="12">
        <v>0.3490057657529966</v>
      </c>
      <c r="F70" s="12">
        <v>-0.14581206698128168</v>
      </c>
    </row>
    <row r="71">
      <c r="A71" s="4" t="s">
        <v>154</v>
      </c>
      <c r="B71" s="13">
        <v>0.0661492298689227</v>
      </c>
      <c r="C71" s="13">
        <v>0.8619280578048167</v>
      </c>
      <c r="D71" s="13">
        <v>0.473804883434222</v>
      </c>
      <c r="E71" s="13">
        <v>0.24249207354420887</v>
      </c>
      <c r="F71" s="13">
        <v>0.6511452444206298</v>
      </c>
    </row>
    <row r="73">
      <c r="A73" s="16" t="s">
        <v>188</v>
      </c>
      <c r="B73" s="16"/>
      <c r="C73" s="16"/>
      <c r="D73" s="16"/>
      <c r="E73" s="16"/>
      <c r="F73" s="16"/>
      <c r="G73" s="16"/>
      <c r="H73" s="16"/>
      <c r="I73" s="16"/>
    </row>
    <row r="74" ht="40" customHeight="1">
      <c r="A74" s="3" t="s">
        <v>189</v>
      </c>
      <c r="B74" s="3" t="s">
        <v>179</v>
      </c>
      <c r="C74" s="3" t="s">
        <v>154</v>
      </c>
      <c r="D74" s="3" t="s">
        <v>102</v>
      </c>
      <c r="E74" s="3" t="s">
        <v>102</v>
      </c>
      <c r="F74" s="3" t="s">
        <v>102</v>
      </c>
      <c r="G74" s="3" t="s">
        <v>102</v>
      </c>
      <c r="H74" s="3" t="s">
        <v>102</v>
      </c>
      <c r="I74" s="3" t="s">
        <v>102</v>
      </c>
    </row>
    <row r="75">
      <c r="A75" s="4" t="s">
        <v>190</v>
      </c>
      <c r="B75" s="12">
        <v>-0.624147056915663</v>
      </c>
      <c r="C75" s="13">
        <v>0.012886104481985365</v>
      </c>
    </row>
    <row r="76">
      <c r="A76" s="4" t="s">
        <v>191</v>
      </c>
      <c r="B76" s="12">
        <v>-0.127885053178045</v>
      </c>
      <c r="C76" s="13">
        <v>0.649684517380863</v>
      </c>
    </row>
    <row r="77">
      <c r="A77" s="4" t="s">
        <v>192</v>
      </c>
      <c r="B77" s="12">
        <v>0.2206407209182002</v>
      </c>
      <c r="C77" s="13">
        <v>0.4294016922647319</v>
      </c>
    </row>
    <row r="78">
      <c r="A78" s="4" t="s">
        <v>193</v>
      </c>
      <c r="B78" s="12">
        <v>-0.5506688904691684</v>
      </c>
      <c r="C78" s="13">
        <v>0.03339584663365953</v>
      </c>
    </row>
    <row r="80">
      <c r="A80" s="2" t="s">
        <v>194</v>
      </c>
    </row>
  </sheetData>
  <pageMargins left="0.5" right="0.5" top="0.75" bottom="0.75" header="0.3" footer="0.3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E7497"/>
  </sheetPr>
  <dimension ref="A1:O47"/>
  <sheetViews>
    <sheetView showGridLines="0" workbookViewId="0"/>
  </sheetViews>
  <sheetFormatPr defaultRowHeight="12.75"/>
  <cols>
    <col min="1" max="1" width="44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</cols>
  <sheetData>
    <row r="1">
      <c r="A1" s="1" t="s">
        <v>195</v>
      </c>
    </row>
    <row r="2">
      <c r="A2" s="2" t="s">
        <v>196</v>
      </c>
    </row>
    <row r="4" ht="52" customHeight="1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  <c r="F4" s="3" t="s">
        <v>202</v>
      </c>
      <c r="G4" s="3" t="s">
        <v>203</v>
      </c>
      <c r="H4" s="3" t="s">
        <v>204</v>
      </c>
      <c r="I4" s="3" t="s">
        <v>205</v>
      </c>
      <c r="J4" s="3" t="s">
        <v>206</v>
      </c>
      <c r="K4" s="3" t="s">
        <v>207</v>
      </c>
      <c r="L4" s="3" t="s">
        <v>208</v>
      </c>
      <c r="M4" s="3" t="s">
        <v>209</v>
      </c>
      <c r="N4" s="3" t="s">
        <v>210</v>
      </c>
      <c r="O4" s="3" t="s">
        <v>211</v>
      </c>
    </row>
    <row r="5">
      <c r="A5" s="4" t="s">
        <v>212</v>
      </c>
      <c r="B5" s="12">
        <v>-0.6287170498222363</v>
      </c>
      <c r="C5" s="13">
        <v>0.2852092850643801</v>
      </c>
      <c r="D5" s="12">
        <v>0.18785619429937883</v>
      </c>
      <c r="E5" s="12">
        <v>0.3698597396243031</v>
      </c>
      <c r="F5" s="12">
        <v>-0.25608827242131077</v>
      </c>
      <c r="G5" s="12">
        <v>-0.12672066397157244</v>
      </c>
      <c r="H5" s="12">
        <v>-0.7213847729578974</v>
      </c>
      <c r="I5" s="13">
        <v>0.32594274953617663</v>
      </c>
      <c r="J5" s="12">
        <v>0.31044705344776313</v>
      </c>
      <c r="K5" s="12">
        <v>0.6135010298995667</v>
      </c>
      <c r="L5" s="12">
        <v>-0.21297784463054542</v>
      </c>
      <c r="M5" s="12">
        <v>-0.1413557907267923</v>
      </c>
      <c r="N5" s="12">
        <v>-0.14638908996829136</v>
      </c>
      <c r="O5" s="12">
        <v>-0.17103119701922886</v>
      </c>
    </row>
    <row r="6">
      <c r="A6" s="4" t="s">
        <v>213</v>
      </c>
      <c r="B6" s="12">
        <v>-0.6218969826565213</v>
      </c>
      <c r="C6" s="13">
        <v>0.28644970255847324</v>
      </c>
      <c r="D6" s="12">
        <v>0.18141118775932252</v>
      </c>
      <c r="E6" s="12">
        <v>0.3625602324386864</v>
      </c>
      <c r="F6" s="12">
        <v>-0.254261048197137</v>
      </c>
      <c r="G6" s="12">
        <v>-0.11212774658670266</v>
      </c>
      <c r="H6" s="12">
        <v>-0.7138411940333647</v>
      </c>
      <c r="I6" s="13">
        <v>0.32377001816147966</v>
      </c>
      <c r="J6" s="12">
        <v>0.30212564972128153</v>
      </c>
      <c r="K6" s="12">
        <v>0.5927702660927442</v>
      </c>
      <c r="L6" s="12">
        <v>-0.22845074189124118</v>
      </c>
      <c r="M6" s="12">
        <v>-0.1200777605583649</v>
      </c>
      <c r="N6" s="12">
        <v>-0.14381427666993685</v>
      </c>
      <c r="O6" s="12">
        <v>-0.15230000705875124</v>
      </c>
    </row>
    <row r="7">
      <c r="A7" s="4" t="s">
        <v>214</v>
      </c>
      <c r="B7" s="12">
        <v>-0.4432490820567368</v>
      </c>
      <c r="C7" s="13">
        <v>0.39315225848541957</v>
      </c>
      <c r="D7" s="12">
        <v>-0.04844849749728675</v>
      </c>
      <c r="E7" s="12">
        <v>0.23444909128491453</v>
      </c>
      <c r="F7" s="12">
        <v>-0.16377139579379305</v>
      </c>
      <c r="G7" s="12">
        <v>-0.2585745740261197</v>
      </c>
      <c r="H7" s="12">
        <v>-0.4949366567835932</v>
      </c>
      <c r="I7" s="13">
        <v>0.41173267678421177</v>
      </c>
      <c r="J7" s="12">
        <v>-0.025478690103889257</v>
      </c>
      <c r="K7" s="12">
        <v>0.45140546589691677</v>
      </c>
      <c r="L7" s="12">
        <v>-0.07042603644392664</v>
      </c>
      <c r="M7" s="12">
        <v>-0.20781936640077467</v>
      </c>
      <c r="N7" s="12">
        <v>-0.21607536842229558</v>
      </c>
      <c r="O7" s="12">
        <v>-0.22548157082913822</v>
      </c>
    </row>
    <row r="8">
      <c r="A8" s="4" t="s">
        <v>215</v>
      </c>
      <c r="B8" s="12">
        <v>-0.7158760856024406</v>
      </c>
      <c r="C8" s="13">
        <v>0.19426086203315712</v>
      </c>
      <c r="D8" s="12">
        <v>0.3703504245800847</v>
      </c>
      <c r="E8" s="12">
        <v>0.4108305845656157</v>
      </c>
      <c r="F8" s="12">
        <v>-0.3344584455391984</v>
      </c>
      <c r="G8" s="12">
        <v>0.1952358468593408</v>
      </c>
      <c r="H8" s="12">
        <v>-0.8361617429777838</v>
      </c>
      <c r="I8" s="13">
        <v>0.1952750014460141</v>
      </c>
      <c r="J8" s="12">
        <v>0.5814067509474722</v>
      </c>
      <c r="K8" s="12">
        <v>0.636888159843257</v>
      </c>
      <c r="L8" s="12">
        <v>-0.45764555985588135</v>
      </c>
      <c r="M8" s="12">
        <v>0.08601880473594002</v>
      </c>
      <c r="N8" s="12">
        <v>-0.16851088974606676</v>
      </c>
      <c r="O8" s="12">
        <v>-0.017663688361157837</v>
      </c>
    </row>
    <row r="9">
      <c r="A9" s="4" t="s">
        <v>216</v>
      </c>
      <c r="B9" s="12">
        <v>-0.6558243134061086</v>
      </c>
      <c r="C9" s="13">
        <v>0.18973983195854016</v>
      </c>
      <c r="D9" s="12">
        <v>0.2510774608917282</v>
      </c>
      <c r="E9" s="12">
        <v>0.3254630971068686</v>
      </c>
      <c r="F9" s="12">
        <v>-0.25213430438729567</v>
      </c>
      <c r="G9" s="12">
        <v>0.29071854896416327</v>
      </c>
      <c r="H9" s="12">
        <v>-0.8118106575031512</v>
      </c>
      <c r="I9" s="13">
        <v>0.13017136287741685</v>
      </c>
      <c r="J9" s="12">
        <v>0.5327760315452768</v>
      </c>
      <c r="K9" s="12">
        <v>0.5947815143088213</v>
      </c>
      <c r="L9" s="12">
        <v>-0.4847792960199516</v>
      </c>
      <c r="M9" s="12">
        <v>0.09502492386956485</v>
      </c>
      <c r="N9" s="12">
        <v>-0.2109446563940809</v>
      </c>
      <c r="O9" s="12">
        <v>-0.015706322741581902</v>
      </c>
    </row>
    <row r="10">
      <c r="A10" s="4" t="s">
        <v>217</v>
      </c>
      <c r="B10" s="12">
        <v>-0.7022656903089601</v>
      </c>
      <c r="C10" s="13">
        <v>0.06327003445174074</v>
      </c>
      <c r="D10" s="12">
        <v>0.3107169155724041</v>
      </c>
      <c r="E10" s="12">
        <v>0.3606755184153946</v>
      </c>
      <c r="F10" s="12">
        <v>-0.6654328220648584</v>
      </c>
      <c r="G10" s="12">
        <v>-0.15498536126789147</v>
      </c>
      <c r="H10" s="12">
        <v>-0.4515560872146866</v>
      </c>
      <c r="I10" s="13">
        <v>0.32752663667547643</v>
      </c>
      <c r="J10" s="12">
        <v>-0.07451462243686757</v>
      </c>
      <c r="K10" s="12">
        <v>-0.06834905771238686</v>
      </c>
      <c r="L10" s="12">
        <v>-0.31147277325471306</v>
      </c>
      <c r="M10" s="12">
        <v>0.16833220943383284</v>
      </c>
      <c r="N10" s="12">
        <v>0.28443948781539397</v>
      </c>
      <c r="O10" s="12">
        <v>-0.24073047614750553</v>
      </c>
    </row>
    <row r="11">
      <c r="A11" s="4" t="s">
        <v>218</v>
      </c>
      <c r="B11" s="12">
        <v>-0.5001494831242802</v>
      </c>
      <c r="C11" s="13">
        <v>0.13788022126773855</v>
      </c>
      <c r="D11" s="12">
        <v>0.03367548917848173</v>
      </c>
      <c r="E11" s="12">
        <v>0.0031452293097931072</v>
      </c>
      <c r="F11" s="12">
        <v>-0.2963841159979995</v>
      </c>
      <c r="G11" s="12">
        <v>-0.011638001039676936</v>
      </c>
      <c r="H11" s="12">
        <v>-0.47008394494306416</v>
      </c>
      <c r="I11" s="13">
        <v>0.18680846793158934</v>
      </c>
      <c r="J11" s="12">
        <v>-0.04059909788568006</v>
      </c>
      <c r="K11" s="12">
        <v>-0.11758646030663833</v>
      </c>
      <c r="L11" s="12">
        <v>-0.17782126945648424</v>
      </c>
      <c r="M11" s="12">
        <v>0.02884403764867589</v>
      </c>
      <c r="N11" s="12">
        <v>-0.191900867786289</v>
      </c>
      <c r="O11" s="12">
        <v>-0.19455313620892145</v>
      </c>
    </row>
    <row r="12">
      <c r="A12" s="4" t="s">
        <v>219</v>
      </c>
      <c r="B12" s="12">
        <v>-0.29653620413356274</v>
      </c>
      <c r="C12" s="13">
        <v>0.48875928004693714</v>
      </c>
      <c r="D12" s="12">
        <v>-0.13285279078273593</v>
      </c>
      <c r="E12" s="12">
        <v>-0.29399198362374324</v>
      </c>
      <c r="F12" s="12">
        <v>-0.12434949136594069</v>
      </c>
      <c r="G12" s="12">
        <v>-0.34243851745281373</v>
      </c>
      <c r="H12" s="12">
        <v>-0.2592120525819405</v>
      </c>
      <c r="I12" s="13">
        <v>0.5817752150240405</v>
      </c>
      <c r="J12" s="12">
        <v>-0.1544299668925</v>
      </c>
      <c r="K12" s="12">
        <v>-0.9363252085547478</v>
      </c>
      <c r="L12" s="12">
        <v>0.10572270163360174</v>
      </c>
      <c r="M12" s="12">
        <v>-0.14519103922271984</v>
      </c>
      <c r="N12" s="12">
        <v>-0.3036779217925736</v>
      </c>
      <c r="O12" s="12">
        <v>-0.2586319711293992</v>
      </c>
    </row>
    <row r="13">
      <c r="A13" s="4" t="s">
        <v>92</v>
      </c>
      <c r="B13" s="12">
        <v>-0.20225457761346186</v>
      </c>
      <c r="C13" s="13">
        <v>0.5834408654867874</v>
      </c>
      <c r="D13" s="12">
        <v>-0.21330039880324914</v>
      </c>
      <c r="E13" s="12">
        <v>-0.6169093976715301</v>
      </c>
      <c r="F13" s="12">
        <v>0.04527127081476172</v>
      </c>
      <c r="G13" s="12">
        <v>0.17616843950047312</v>
      </c>
      <c r="H13" s="12">
        <v>-0.31546639091261114</v>
      </c>
      <c r="I13" s="13">
        <v>0.4091573025704398</v>
      </c>
      <c r="J13" s="12">
        <v>-0.23803520074737694</v>
      </c>
      <c r="K13" s="12">
        <v>-0.8116857675154572</v>
      </c>
      <c r="L13" s="12">
        <v>-0.05804266336977027</v>
      </c>
      <c r="M13" s="12">
        <v>0.0780969764332385</v>
      </c>
      <c r="N13" s="12">
        <v>-0.09700726062966814</v>
      </c>
      <c r="O13" s="12">
        <v>-0.210670940611569</v>
      </c>
    </row>
    <row r="14">
      <c r="A14" s="4" t="s">
        <v>220</v>
      </c>
      <c r="B14" s="12">
        <v>-0.3916790678785813</v>
      </c>
      <c r="C14" s="13">
        <v>0.4243295049904434</v>
      </c>
      <c r="D14" s="12">
        <v>-0.1004959908056986</v>
      </c>
      <c r="E14" s="12">
        <v>0.17867034413247662</v>
      </c>
      <c r="F14" s="12">
        <v>-0.17168064124215218</v>
      </c>
      <c r="G14" s="12">
        <v>-0.3648880587699572</v>
      </c>
      <c r="H14" s="12">
        <v>-0.3849659370762061</v>
      </c>
      <c r="I14" s="13">
        <v>0.4941041955662816</v>
      </c>
      <c r="J14" s="12">
        <v>-0.11222631768697333</v>
      </c>
      <c r="K14" s="12">
        <v>0.06066791857617959</v>
      </c>
      <c r="L14" s="12">
        <v>0.02629944842891252</v>
      </c>
      <c r="M14" s="12">
        <v>-0.2347334640233967</v>
      </c>
      <c r="N14" s="12">
        <v>-0.15999327931758223</v>
      </c>
      <c r="O14" s="12">
        <v>-0.2791050440957936</v>
      </c>
    </row>
    <row r="15">
      <c r="A15" s="4" t="s">
        <v>221</v>
      </c>
      <c r="B15" s="12">
        <v>-0.4337592086208451</v>
      </c>
      <c r="C15" s="13">
        <v>0.3317912084603295</v>
      </c>
      <c r="D15" s="12">
        <v>-0.21605355220023803</v>
      </c>
      <c r="E15" s="12">
        <v>0.12260523997098649</v>
      </c>
      <c r="F15" s="12">
        <v>-0.12469584103975988</v>
      </c>
      <c r="G15" s="12">
        <v>-0.07971619304367496</v>
      </c>
      <c r="H15" s="12">
        <v>-0.5392047186583346</v>
      </c>
      <c r="I15" s="13">
        <v>0.26343285320031273</v>
      </c>
      <c r="J15" s="12">
        <v>-0.23100878954810278</v>
      </c>
      <c r="K15" s="12">
        <v>0.4664093139000225</v>
      </c>
      <c r="L15" s="12">
        <v>-0.16419873372742627</v>
      </c>
      <c r="M15" s="12">
        <v>-0.11460181147931953</v>
      </c>
      <c r="N15" s="12">
        <v>-0.3147992958526824</v>
      </c>
      <c r="O15" s="12">
        <v>-0.25805952393038156</v>
      </c>
    </row>
    <row r="16">
      <c r="A16" s="4" t="s">
        <v>222</v>
      </c>
      <c r="B16" s="12">
        <v>-0.6084555643365539</v>
      </c>
      <c r="C16" s="13">
        <v>0.29605200162959777</v>
      </c>
      <c r="D16" s="12">
        <v>0.16002511597601443</v>
      </c>
      <c r="E16" s="12">
        <v>0.3837544979931373</v>
      </c>
      <c r="F16" s="12">
        <v>-0.28228758450096003</v>
      </c>
      <c r="G16" s="12">
        <v>-0.324345028806835</v>
      </c>
      <c r="H16" s="12">
        <v>-0.5725974016014428</v>
      </c>
      <c r="I16" s="13">
        <v>0.44376051921863024</v>
      </c>
      <c r="J16" s="12">
        <v>0.09919120362142397</v>
      </c>
      <c r="K16" s="12">
        <v>0.2579257870964471</v>
      </c>
      <c r="L16" s="12">
        <v>-0.10052507647910074</v>
      </c>
      <c r="M16" s="12">
        <v>0.0568609676837237</v>
      </c>
      <c r="N16" s="12">
        <v>-0.06563216747206346</v>
      </c>
      <c r="O16" s="12">
        <v>-0.07201220748966497</v>
      </c>
    </row>
    <row r="17">
      <c r="A17" s="4" t="s">
        <v>223</v>
      </c>
      <c r="B17" s="12">
        <v>-0.4921990805880433</v>
      </c>
      <c r="C17" s="13">
        <v>0.2046741592171507</v>
      </c>
      <c r="D17" s="12">
        <v>-0.03912591231374729</v>
      </c>
      <c r="E17" s="12">
        <v>0.07638413539280486</v>
      </c>
      <c r="F17" s="12">
        <v>-0.15068297054076493</v>
      </c>
      <c r="G17" s="12">
        <v>0.3149625974625596</v>
      </c>
      <c r="H17" s="12">
        <v>-0.5623676674428978</v>
      </c>
      <c r="I17" s="13">
        <v>0.16413197188231224</v>
      </c>
      <c r="J17" s="12">
        <v>0.047385835581974955</v>
      </c>
      <c r="K17" s="12">
        <v>0.25550487157357726</v>
      </c>
      <c r="L17" s="12">
        <v>-0.18602802751695027</v>
      </c>
      <c r="M17" s="12">
        <v>0.2044197427498643</v>
      </c>
      <c r="N17" s="12">
        <v>-0.17997979561628652</v>
      </c>
      <c r="O17" s="12">
        <v>-0.0910765550703545</v>
      </c>
    </row>
    <row r="19">
      <c r="A19" s="16" t="s">
        <v>224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</row>
    <row r="20">
      <c r="A20" s="4" t="s">
        <v>225</v>
      </c>
      <c r="B20" s="9">
        <v>0.3408662389278496</v>
      </c>
    </row>
    <row r="21">
      <c r="A21" s="4" t="s">
        <v>226</v>
      </c>
      <c r="B21" s="9">
        <v>0.36627671510540705</v>
      </c>
    </row>
    <row r="22">
      <c r="A22" s="4" t="s">
        <v>217</v>
      </c>
      <c r="B22" s="9">
        <v>0.1861380843217769</v>
      </c>
    </row>
    <row r="23">
      <c r="A23" s="4" t="s">
        <v>218</v>
      </c>
      <c r="B23" s="9">
        <v>0.08677504180820739</v>
      </c>
    </row>
    <row r="24">
      <c r="A24" s="4" t="s">
        <v>219</v>
      </c>
      <c r="B24" s="9">
        <v>0.13311190647363516</v>
      </c>
    </row>
    <row r="26">
      <c r="A26" s="16" t="s">
        <v>227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</row>
    <row r="27">
      <c r="A27" s="4" t="s">
        <v>225</v>
      </c>
      <c r="B27" s="11">
        <v>0.7515378436437596</v>
      </c>
    </row>
    <row r="28">
      <c r="A28" s="4" t="s">
        <v>228</v>
      </c>
      <c r="B28" s="11">
        <v>0.24846215635624067</v>
      </c>
    </row>
    <row r="29">
      <c r="A29" s="4" t="s">
        <v>229</v>
      </c>
      <c r="B29" s="11">
        <v>0.5301511395488178</v>
      </c>
    </row>
    <row r="30">
      <c r="A30" s="4" t="s">
        <v>92</v>
      </c>
      <c r="B30" s="11">
        <v>0.1736558258654421</v>
      </c>
    </row>
    <row r="31">
      <c r="A31" s="4" t="s">
        <v>230</v>
      </c>
      <c r="B31" s="11">
        <v>0.14750343556017842</v>
      </c>
    </row>
    <row r="32">
      <c r="A32" s="4" t="s">
        <v>231</v>
      </c>
      <c r="B32" s="11">
        <v>0.04899763981227436</v>
      </c>
    </row>
    <row r="33">
      <c r="A33" s="4" t="s">
        <v>232</v>
      </c>
      <c r="B33" s="11">
        <v>0.04333767787445685</v>
      </c>
    </row>
    <row r="34">
      <c r="A34" s="4" t="s">
        <v>233</v>
      </c>
      <c r="B34" s="11">
        <v>0.0359977300066686</v>
      </c>
    </row>
    <row r="35">
      <c r="A35" s="4" t="s">
        <v>234</v>
      </c>
      <c r="B35" s="11">
        <v>0.029627705629923756</v>
      </c>
    </row>
    <row r="36">
      <c r="A36" s="4" t="s">
        <v>235</v>
      </c>
      <c r="B36" s="11">
        <v>0.009406560976375263</v>
      </c>
    </row>
    <row r="37">
      <c r="A37" s="4" t="s">
        <v>236</v>
      </c>
      <c r="B37" s="11">
        <v>-0.008771948751194133</v>
      </c>
    </row>
    <row r="38">
      <c r="A38" s="4" t="s">
        <v>237</v>
      </c>
      <c r="B38" s="11">
        <v>0.008603388932620828</v>
      </c>
    </row>
    <row r="40">
      <c r="A40" s="16" t="s">
        <v>238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</row>
    <row r="41" ht="52" customHeight="1">
      <c r="A41" s="3" t="s">
        <v>197</v>
      </c>
      <c r="B41" s="3" t="s">
        <v>239</v>
      </c>
      <c r="C41" s="3" t="s">
        <v>240</v>
      </c>
      <c r="D41" s="3" t="s">
        <v>241</v>
      </c>
      <c r="E41" s="3" t="s">
        <v>154</v>
      </c>
      <c r="F41" s="3" t="s">
        <v>242</v>
      </c>
      <c r="G41" s="3" t="s">
        <v>154</v>
      </c>
      <c r="H41" s="3" t="s">
        <v>243</v>
      </c>
      <c r="I41" s="3" t="s">
        <v>244</v>
      </c>
    </row>
    <row r="42">
      <c r="A42" s="4" t="s">
        <v>215</v>
      </c>
      <c r="B42" s="12">
        <v>0.1952358468593408</v>
      </c>
      <c r="C42" s="12">
        <v>0.08601880473594002</v>
      </c>
      <c r="D42" s="12">
        <v>-0.7545211361439629</v>
      </c>
      <c r="E42" s="13">
        <v>0.001817484691098309</v>
      </c>
      <c r="F42" s="12">
        <v>-0.6767680851182581</v>
      </c>
      <c r="G42" s="13">
        <v>0.007855771551725623</v>
      </c>
      <c r="H42" s="12">
        <v>0.05757211527622655</v>
      </c>
      <c r="I42" s="12">
        <v>-0.40546103412032486</v>
      </c>
    </row>
    <row r="43">
      <c r="A43" s="4" t="s">
        <v>216</v>
      </c>
      <c r="B43" s="12">
        <v>0.29071854896416327</v>
      </c>
      <c r="C43" s="12">
        <v>0.09502492386956485</v>
      </c>
      <c r="D43" s="12">
        <v>-0.7752844963446206</v>
      </c>
      <c r="E43" s="13">
        <v>0.0011231630802012458</v>
      </c>
      <c r="F43" s="12">
        <v>-0.6110002858131353</v>
      </c>
      <c r="G43" s="13">
        <v>0.020272362179727575</v>
      </c>
      <c r="H43" s="12">
        <v>0.07721299407401827</v>
      </c>
      <c r="I43" s="12">
        <v>-0.39717365424989276</v>
      </c>
    </row>
    <row r="44">
      <c r="A44" s="4" t="s">
        <v>212</v>
      </c>
      <c r="B44" s="12">
        <v>-0.12672066397157244</v>
      </c>
      <c r="C44" s="12">
        <v>-0.1413557907267923</v>
      </c>
      <c r="D44" s="12">
        <v>-0.31640208116667573</v>
      </c>
      <c r="E44" s="13">
        <v>0.27041144003378215</v>
      </c>
      <c r="F44" s="12">
        <v>-0.38045064432247205</v>
      </c>
      <c r="G44" s="13">
        <v>0.17962002077732397</v>
      </c>
      <c r="H44" s="12">
        <v>0.10568998888770727</v>
      </c>
      <c r="I44" s="12">
        <v>-0.3424882700416168</v>
      </c>
    </row>
    <row r="45">
      <c r="A45" s="4" t="s">
        <v>214</v>
      </c>
      <c r="B45" s="12">
        <v>-0.2585745740261197</v>
      </c>
      <c r="C45" s="12">
        <v>-0.20781936640077467</v>
      </c>
      <c r="D45" s="12">
        <v>-0.057707012462548044</v>
      </c>
      <c r="E45" s="13">
        <v>0.844648874803691</v>
      </c>
      <c r="F45" s="12">
        <v>-0.15600873097625303</v>
      </c>
      <c r="G45" s="13">
        <v>0.5943190007050878</v>
      </c>
      <c r="H45" s="12">
        <v>0.1499444090256048</v>
      </c>
      <c r="I45" s="12">
        <v>-0.1739802937711786</v>
      </c>
    </row>
    <row r="47">
      <c r="A47" s="2" t="s">
        <v>245</v>
      </c>
    </row>
  </sheetData>
  <pageMargins left="0.5" right="0.5" top="0.75" bottom="0.75" header="0.3" footer="0.3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BAF7A"/>
  </sheetPr>
  <dimension ref="A1:F13"/>
  <sheetViews>
    <sheetView showGridLines="0" workbookViewId="0"/>
  </sheetViews>
  <sheetFormatPr defaultRowHeight="12.75"/>
  <cols>
    <col min="1" max="1" width="40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</cols>
  <sheetData>
    <row r="1">
      <c r="A1" s="1" t="s">
        <v>246</v>
      </c>
    </row>
    <row r="3" ht="52" customHeight="1">
      <c r="A3" s="3" t="s">
        <v>247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</row>
    <row r="4">
      <c r="A4" s="4" t="s">
        <v>216</v>
      </c>
      <c r="B4" s="9">
        <v>0.007307188751727153</v>
      </c>
      <c r="C4" s="9">
        <v>0.04891619172809197</v>
      </c>
      <c r="D4" s="12">
        <v>-0.15038227284926986</v>
      </c>
      <c r="E4" s="12">
        <v>-0.2882896355983074</v>
      </c>
      <c r="F4" s="12">
        <v>0.7410684102263011</v>
      </c>
    </row>
    <row r="5">
      <c r="A5" s="4" t="s">
        <v>217</v>
      </c>
      <c r="B5" s="9">
        <v>0.008822371632815098</v>
      </c>
      <c r="C5" s="9">
        <v>0.04571576006556708</v>
      </c>
      <c r="D5" s="12">
        <v>0.3313714702248133</v>
      </c>
      <c r="E5" s="12">
        <v>0.046565441284240845</v>
      </c>
      <c r="F5" s="12">
        <v>-0.22113464353172693</v>
      </c>
    </row>
    <row r="6">
      <c r="A6" s="4" t="s">
        <v>218</v>
      </c>
      <c r="B6" s="9">
        <v>-0.003532188852978249</v>
      </c>
      <c r="C6" s="9">
        <v>0.03534223295423647</v>
      </c>
      <c r="D6" s="12">
        <v>-0.45628983771783194</v>
      </c>
      <c r="E6" s="12">
        <v>-0.19160928355756637</v>
      </c>
      <c r="F6" s="12">
        <v>-0.3746569356400851</v>
      </c>
    </row>
    <row r="7">
      <c r="A7" s="4" t="s">
        <v>253</v>
      </c>
      <c r="B7" s="9">
        <v>0.11706396062224268</v>
      </c>
      <c r="C7" s="9">
        <v>0.12260091275949667</v>
      </c>
      <c r="D7" s="12">
        <v>-0.16020361540961375</v>
      </c>
      <c r="E7" s="12">
        <v>-0.22209613121859995</v>
      </c>
      <c r="F7" s="12">
        <v>-0.39831416301099765</v>
      </c>
    </row>
    <row r="8">
      <c r="A8" s="4" t="s">
        <v>254</v>
      </c>
      <c r="B8" s="9">
        <v>0.04945308739677023</v>
      </c>
      <c r="C8" s="9">
        <v>0.09473884692128938</v>
      </c>
      <c r="D8" s="12">
        <v>-0.16992726212196765</v>
      </c>
      <c r="E8" s="12">
        <v>-0.012151129483908812</v>
      </c>
      <c r="F8" s="12">
        <v>-0.15546017055026426</v>
      </c>
    </row>
    <row r="9">
      <c r="A9" s="4" t="s">
        <v>255</v>
      </c>
      <c r="B9" s="9">
        <v>0.009159063479726984</v>
      </c>
      <c r="C9" s="9">
        <v>0.019338250044557404</v>
      </c>
      <c r="D9" s="12">
        <v>-0.5330135510827073</v>
      </c>
      <c r="E9" s="12">
        <v>-0.48031831503042266</v>
      </c>
      <c r="F9" s="12">
        <v>-0.03648101486476574</v>
      </c>
    </row>
    <row r="10">
      <c r="A10" s="4" t="s">
        <v>256</v>
      </c>
      <c r="B10" s="9">
        <v>0.03233717683932965</v>
      </c>
      <c r="C10" s="9">
        <v>0.030282269640740444</v>
      </c>
      <c r="D10" s="12">
        <v>-0.03855586172336045</v>
      </c>
      <c r="E10" s="12">
        <v>-0.12740627673407978</v>
      </c>
      <c r="F10" s="12">
        <v>0.02929184036336135</v>
      </c>
    </row>
    <row r="11">
      <c r="A11" s="4" t="s">
        <v>257</v>
      </c>
      <c r="B11" s="9">
        <v>0.016456789269101765</v>
      </c>
      <c r="C11" s="9">
        <v>0.03668495489381681</v>
      </c>
      <c r="D11" s="12">
        <v>0.1538107507362728</v>
      </c>
      <c r="E11" s="12">
        <v>0.07442776733789352</v>
      </c>
      <c r="F11" s="12">
        <v>0.1522734133990251</v>
      </c>
    </row>
    <row r="13">
      <c r="A13" s="2" t="s">
        <v>258</v>
      </c>
    </row>
  </sheetData>
  <pageMargins left="0.5" right="0.5" top="0.75" bottom="0.75" header="0.3" footer="0.3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L196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2.75"/>
  <cols>
    <col min="1" max="1" width="10" customWidth="1"/>
    <col min="2" max="2" width="11" customWidth="1"/>
    <col min="3" max="3" width="11" customWidth="1"/>
    <col min="4" max="4" width="11" customWidth="1"/>
    <col min="5" max="5" width="11" customWidth="1"/>
    <col min="6" max="6" width="13" customWidth="1"/>
    <col min="7" max="7" width="3" customWidth="1"/>
    <col min="8" max="8" width="44" customWidth="1"/>
    <col min="9" max="9" width="14" customWidth="1"/>
    <col min="10" max="10" width="26" customWidth="1"/>
    <col min="11" max="11" width="12" customWidth="1"/>
    <col min="12" max="12" width="12" customWidth="1"/>
  </cols>
  <sheetData>
    <row r="1">
      <c r="A1" s="1" t="s">
        <v>259</v>
      </c>
    </row>
    <row r="2">
      <c r="A2" s="2" t="s">
        <v>260</v>
      </c>
    </row>
    <row r="4" ht="40" customHeight="1">
      <c r="A4" s="3" t="s">
        <v>261</v>
      </c>
      <c r="B4" s="3" t="s">
        <v>43</v>
      </c>
      <c r="C4" s="3" t="s">
        <v>262</v>
      </c>
      <c r="D4" s="3" t="s">
        <v>263</v>
      </c>
      <c r="E4" s="3" t="s">
        <v>264</v>
      </c>
      <c r="F4" s="3" t="s">
        <v>265</v>
      </c>
      <c r="H4" s="16" t="s">
        <v>266</v>
      </c>
      <c r="I4" s="16"/>
      <c r="J4" s="16"/>
    </row>
    <row r="5">
      <c r="A5" s="6" t="s">
        <v>267</v>
      </c>
      <c r="B5" s="14">
        <v>187.8</v>
      </c>
      <c r="C5" s="14">
        <v>75.87</v>
      </c>
      <c r="D5" s="15">
        <v>1672.647181794</v>
      </c>
      <c r="E5" s="13">
        <f>B5/C5</f>
        <v>2.4752866745749307</v>
      </c>
      <c r="F5" s="14">
        <f>B5-C5</f>
        <v>111.93</v>
      </c>
      <c r="H5" s="4" t="s">
        <v>268</v>
      </c>
      <c r="I5" s="13">
        <v>0.6981253050793714</v>
      </c>
    </row>
    <row r="6">
      <c r="A6" s="6" t="s">
        <v>269</v>
      </c>
      <c r="B6" s="14">
        <v>190.43</v>
      </c>
      <c r="C6" s="14">
        <v>80.08</v>
      </c>
      <c r="D6" s="15">
        <v>1765.461794096</v>
      </c>
      <c r="E6" s="13">
        <f>B6/C6</f>
        <v>2.3779970029970032</v>
      </c>
      <c r="F6" s="14">
        <f>B6-C6</f>
        <v>110.35000000000001</v>
      </c>
      <c r="H6" s="4" t="s">
        <v>270</v>
      </c>
      <c r="I6" s="13">
        <v>0.6139837811158703</v>
      </c>
    </row>
    <row r="7">
      <c r="A7" s="6" t="s">
        <v>271</v>
      </c>
      <c r="B7" s="14">
        <v>206.92</v>
      </c>
      <c r="C7" s="14">
        <v>86.4</v>
      </c>
      <c r="D7" s="15">
        <v>1904.79394368</v>
      </c>
      <c r="E7" s="13">
        <f>B7/C7</f>
        <v>2.3949074074074073</v>
      </c>
      <c r="F7" s="14">
        <f>B7-C7</f>
        <v>120.51999999999998</v>
      </c>
      <c r="H7" s="4" t="s">
        <v>272</v>
      </c>
      <c r="I7" s="13">
        <v>0.6610844718510543</v>
      </c>
    </row>
    <row r="8">
      <c r="A8" s="6" t="s">
        <v>273</v>
      </c>
      <c r="B8" s="14">
        <v>221.51</v>
      </c>
      <c r="C8" s="14">
        <v>88.7</v>
      </c>
      <c r="D8" s="15">
        <v>1955.50026394</v>
      </c>
      <c r="E8" s="13">
        <f>B8/C8</f>
        <v>2.4972942502818487</v>
      </c>
      <c r="F8" s="14">
        <f>B8-C8</f>
        <v>132.81</v>
      </c>
      <c r="H8" s="4" t="s">
        <v>274</v>
      </c>
      <c r="I8" s="13">
        <v>0.7803805266122227</v>
      </c>
    </row>
    <row r="9">
      <c r="A9" s="6" t="s">
        <v>275</v>
      </c>
      <c r="B9" s="14">
        <v>238.05</v>
      </c>
      <c r="C9" s="14">
        <v>96.02</v>
      </c>
      <c r="D9" s="15">
        <v>2116.878639724</v>
      </c>
      <c r="E9" s="13">
        <f>B9/C9</f>
        <v>2.4791710060404086</v>
      </c>
      <c r="F9" s="14">
        <f>B9-C9</f>
        <v>142.03000000000003</v>
      </c>
      <c r="H9" s="4" t="s">
        <v>276</v>
      </c>
      <c r="I9" s="13">
        <v>0.8095426248087457</v>
      </c>
      <c r="J9" s="4" t="s">
        <v>277</v>
      </c>
    </row>
    <row r="10">
      <c r="A10" s="6" t="s">
        <v>278</v>
      </c>
      <c r="B10" s="14">
        <v>261.41</v>
      </c>
      <c r="C10" s="14">
        <v>104.53</v>
      </c>
      <c r="D10" s="15">
        <v>2304.492024686</v>
      </c>
      <c r="E10" s="13">
        <f>B10/C10</f>
        <v>2.500813163685067</v>
      </c>
      <c r="F10" s="14">
        <f>B10-C10</f>
        <v>156.88000000000002</v>
      </c>
      <c r="H10" s="4" t="s">
        <v>279</v>
      </c>
      <c r="I10" s="13">
        <v>0.3912372967281855</v>
      </c>
      <c r="J10" s="4" t="s">
        <v>280</v>
      </c>
    </row>
    <row r="11">
      <c r="A11" s="6" t="s">
        <v>281</v>
      </c>
      <c r="B11" s="14">
        <v>274.1</v>
      </c>
      <c r="C11" s="14">
        <v>111.36</v>
      </c>
      <c r="D11" s="15">
        <v>2455.067749632</v>
      </c>
      <c r="E11" s="13">
        <f>B11/C11</f>
        <v>2.461386494252874</v>
      </c>
      <c r="F11" s="14">
        <f>B11-C11</f>
        <v>162.74</v>
      </c>
      <c r="H11" s="4" t="s">
        <v>282</v>
      </c>
      <c r="I11" s="13">
        <v>0.48737894159216477</v>
      </c>
    </row>
    <row r="12">
      <c r="A12" s="6" t="s">
        <v>283</v>
      </c>
      <c r="B12" s="14">
        <v>285.58</v>
      </c>
      <c r="C12" s="14">
        <v>111.34</v>
      </c>
      <c r="D12" s="15">
        <v>2454.626825108</v>
      </c>
      <c r="E12" s="13">
        <f>B12/C12</f>
        <v>2.564936231363391</v>
      </c>
      <c r="F12" s="14">
        <f>B12-C12</f>
        <v>174.23999999999998</v>
      </c>
      <c r="H12" s="4" t="s">
        <v>284</v>
      </c>
      <c r="I12" s="13">
        <v>0.8555434321708406</v>
      </c>
    </row>
    <row r="13">
      <c r="A13" s="6" t="s">
        <v>285</v>
      </c>
      <c r="B13" s="14">
        <v>277.72</v>
      </c>
      <c r="C13" s="14">
        <v>116.76</v>
      </c>
      <c r="D13" s="15">
        <v>2574.117371112</v>
      </c>
      <c r="E13" s="13">
        <f>B13/C13</f>
        <v>2.3785542994176088</v>
      </c>
      <c r="F13" s="14">
        <f>B13-C13</f>
        <v>160.96000000000004</v>
      </c>
    </row>
    <row r="14">
      <c r="A14" s="6" t="s">
        <v>286</v>
      </c>
      <c r="B14" s="14">
        <v>262.52</v>
      </c>
      <c r="C14" s="14">
        <v>110.51</v>
      </c>
      <c r="D14" s="15">
        <v>2436.328457362</v>
      </c>
      <c r="E14" s="13">
        <f>B14/C14</f>
        <v>2.3755316260971857</v>
      </c>
      <c r="F14" s="14">
        <f>B14-C14</f>
        <v>152.01</v>
      </c>
      <c r="H14" s="16" t="s">
        <v>287</v>
      </c>
      <c r="I14" s="16"/>
      <c r="J14" s="16"/>
    </row>
    <row r="15">
      <c r="A15" s="6" t="s">
        <v>288</v>
      </c>
      <c r="B15" s="14">
        <v>255.9</v>
      </c>
      <c r="C15" s="14">
        <v>103.36</v>
      </c>
      <c r="D15" s="15">
        <v>2278.697940032</v>
      </c>
      <c r="E15" s="13">
        <f>B15/C15</f>
        <v>2.475812693498452</v>
      </c>
      <c r="F15" s="14">
        <f>B15-C15</f>
        <v>152.54000000000002</v>
      </c>
      <c r="H15" s="4" t="s">
        <v>289</v>
      </c>
      <c r="I15" s="13">
        <v>0.9875971446057382</v>
      </c>
    </row>
    <row r="16">
      <c r="A16" s="6" t="s">
        <v>290</v>
      </c>
      <c r="B16" s="14">
        <v>260.39</v>
      </c>
      <c r="C16" s="14">
        <v>102.71</v>
      </c>
      <c r="D16" s="15">
        <v>2264.3678930019996</v>
      </c>
      <c r="E16" s="13">
        <f>B16/C16</f>
        <v>2.5351961834290724</v>
      </c>
      <c r="F16" s="14">
        <f>B16-C16</f>
        <v>157.68</v>
      </c>
      <c r="H16" s="4" t="s">
        <v>291</v>
      </c>
      <c r="I16" s="13">
        <v>0.978993956234661</v>
      </c>
    </row>
    <row r="17">
      <c r="A17" s="6" t="s">
        <v>292</v>
      </c>
      <c r="B17" s="14">
        <v>261.39</v>
      </c>
      <c r="C17" s="14">
        <v>96.1</v>
      </c>
      <c r="D17" s="15">
        <v>2118.6423378199997</v>
      </c>
      <c r="E17" s="13">
        <f>B17/C17</f>
        <v>2.7199791883454734</v>
      </c>
      <c r="F17" s="14">
        <f>B17-C17</f>
        <v>165.29</v>
      </c>
      <c r="H17" s="4" t="s">
        <v>293</v>
      </c>
      <c r="I17" s="13">
        <v>0.966890208343044</v>
      </c>
    </row>
    <row r="18">
      <c r="A18" s="6" t="s">
        <v>294</v>
      </c>
      <c r="B18" s="14">
        <v>236.74</v>
      </c>
      <c r="C18" s="14">
        <v>88.64</v>
      </c>
      <c r="D18" s="15">
        <v>1954.177490368</v>
      </c>
      <c r="E18" s="13">
        <f>B18/C18</f>
        <v>2.670803249097473</v>
      </c>
      <c r="F18" s="14">
        <f>B18-C18</f>
        <v>148.10000000000002</v>
      </c>
      <c r="H18" s="4" t="s">
        <v>295</v>
      </c>
      <c r="I18" s="13">
        <v>0.9884223059644592</v>
      </c>
    </row>
    <row r="19">
      <c r="A19" s="6" t="s">
        <v>296</v>
      </c>
      <c r="B19" s="14">
        <v>235.25</v>
      </c>
      <c r="C19" s="14">
        <v>85.78</v>
      </c>
      <c r="D19" s="15">
        <v>1891.125283436</v>
      </c>
      <c r="E19" s="13">
        <f>B19/C19</f>
        <v>2.742480764747027</v>
      </c>
      <c r="F19" s="14">
        <f>B19-C19</f>
        <v>149.47</v>
      </c>
      <c r="H19" s="4" t="s">
        <v>297</v>
      </c>
      <c r="I19" s="13">
        <v>0.6981253050793714</v>
      </c>
    </row>
    <row r="20">
      <c r="A20" s="6" t="s">
        <v>298</v>
      </c>
      <c r="B20" s="14">
        <v>227.23</v>
      </c>
      <c r="C20" s="14">
        <v>87.65</v>
      </c>
      <c r="D20" s="15">
        <v>1932.35172643</v>
      </c>
      <c r="E20" s="13">
        <f>B20/C20</f>
        <v>2.592470051340559</v>
      </c>
      <c r="F20" s="14">
        <f>B20-C20</f>
        <v>139.57999999999998</v>
      </c>
      <c r="H20" s="4" t="s">
        <v>299</v>
      </c>
      <c r="I20" s="13">
        <v>0.6624272335741285</v>
      </c>
    </row>
    <row r="21">
      <c r="A21" s="6" t="s">
        <v>300</v>
      </c>
      <c r="B21" s="14">
        <v>227.5</v>
      </c>
      <c r="C21" s="14">
        <v>84.19</v>
      </c>
      <c r="D21" s="15">
        <v>1856.0717837779998</v>
      </c>
      <c r="E21" s="13">
        <f>B21/C21</f>
        <v>2.7022211664093123</v>
      </c>
      <c r="F21" s="14">
        <f>B21-C21</f>
        <v>143.31</v>
      </c>
      <c r="H21" s="4" t="s">
        <v>301</v>
      </c>
      <c r="I21" s="13">
        <v>0.6513350549042456</v>
      </c>
    </row>
    <row r="22">
      <c r="A22" s="6" t="s">
        <v>302</v>
      </c>
      <c r="B22" s="14">
        <v>212.09</v>
      </c>
      <c r="C22" s="14">
        <v>88.69</v>
      </c>
      <c r="D22" s="15">
        <v>1955.279801678</v>
      </c>
      <c r="E22" s="13">
        <f>B22/C22</f>
        <v>2.391363175104296</v>
      </c>
      <c r="F22" s="14">
        <f>B22-C22</f>
        <v>123.4</v>
      </c>
      <c r="H22" s="4" t="s">
        <v>303</v>
      </c>
      <c r="I22" s="13">
        <v>0.6420458948037524</v>
      </c>
    </row>
    <row r="23">
      <c r="A23" s="6" t="s">
        <v>304</v>
      </c>
      <c r="B23" s="14">
        <v>188.78</v>
      </c>
      <c r="C23" s="14">
        <v>91.37</v>
      </c>
      <c r="D23" s="15">
        <v>2014.3636878940001</v>
      </c>
      <c r="E23" s="13">
        <f>B23/C23</f>
        <v>2.066104848418518</v>
      </c>
      <c r="F23" s="14">
        <f>B23-C23</f>
        <v>97.41</v>
      </c>
    </row>
    <row r="24">
      <c r="A24" s="6" t="s">
        <v>305</v>
      </c>
      <c r="B24" s="14">
        <v>181.75</v>
      </c>
      <c r="C24" s="14">
        <v>91.81</v>
      </c>
      <c r="D24" s="15">
        <v>2024.064027422</v>
      </c>
      <c r="E24" s="13">
        <f>B24/C24</f>
        <v>1.979631848382529</v>
      </c>
      <c r="F24" s="14">
        <f>B24-C24</f>
        <v>89.94</v>
      </c>
      <c r="H24" s="16" t="s">
        <v>264</v>
      </c>
      <c r="I24" s="16"/>
      <c r="J24" s="16"/>
    </row>
    <row r="25">
      <c r="A25" s="6" t="s">
        <v>306</v>
      </c>
      <c r="B25" s="14">
        <v>176.5</v>
      </c>
      <c r="C25" s="14">
        <v>96.82</v>
      </c>
      <c r="D25" s="15">
        <v>2134.5156206839997</v>
      </c>
      <c r="E25" s="13">
        <f>B25/C25</f>
        <v>1.8229704606486266</v>
      </c>
      <c r="F25" s="14">
        <f>B25-C25</f>
        <v>79.68</v>
      </c>
      <c r="H25" s="4" t="s">
        <v>307</v>
      </c>
      <c r="I25" s="13">
        <v>1.8171657704191624</v>
      </c>
    </row>
    <row r="26">
      <c r="A26" s="6" t="s">
        <v>308</v>
      </c>
      <c r="B26" s="14">
        <v>159.93</v>
      </c>
      <c r="C26" s="14">
        <v>94.75</v>
      </c>
      <c r="D26" s="15">
        <v>2088.87993245</v>
      </c>
      <c r="E26" s="13">
        <f>B26/C26</f>
        <v>1.687915567282322</v>
      </c>
      <c r="F26" s="14">
        <f>B26-C26</f>
        <v>65.18</v>
      </c>
      <c r="H26" s="4" t="s">
        <v>309</v>
      </c>
      <c r="I26" s="13">
        <v>1.7770260093077783</v>
      </c>
    </row>
    <row r="27">
      <c r="A27" s="6" t="s">
        <v>310</v>
      </c>
      <c r="B27" s="14">
        <v>183.2</v>
      </c>
      <c r="C27" s="14">
        <v>96.14</v>
      </c>
      <c r="D27" s="15">
        <v>2119.524186868</v>
      </c>
      <c r="E27" s="13">
        <f>B27/C27</f>
        <v>1.905554399833576</v>
      </c>
      <c r="F27" s="14">
        <f>B27-C27</f>
        <v>87.05999999999999</v>
      </c>
      <c r="H27" s="4" t="s">
        <v>311</v>
      </c>
      <c r="I27" s="13">
        <v>1.1301470261626616</v>
      </c>
      <c r="J27" s="4" t="s">
        <v>312</v>
      </c>
    </row>
    <row r="28">
      <c r="A28" s="6" t="s">
        <v>313</v>
      </c>
      <c r="B28" s="14">
        <v>169.77</v>
      </c>
      <c r="C28" s="14">
        <v>96.12</v>
      </c>
      <c r="D28" s="15">
        <v>2119.083262344</v>
      </c>
      <c r="E28" s="13">
        <f>B28/C28</f>
        <v>1.7662297128589264</v>
      </c>
      <c r="F28" s="14">
        <f>B28-C28</f>
        <v>73.65</v>
      </c>
      <c r="H28" s="4" t="s">
        <v>314</v>
      </c>
      <c r="I28" s="13">
        <v>2.742480764747027</v>
      </c>
      <c r="J28" s="4" t="s">
        <v>296</v>
      </c>
    </row>
    <row r="29">
      <c r="A29" s="6" t="s">
        <v>315</v>
      </c>
      <c r="B29" s="14">
        <v>175.36</v>
      </c>
      <c r="C29" s="14">
        <v>94.65</v>
      </c>
      <c r="D29" s="15">
        <v>2086.67530983</v>
      </c>
      <c r="E29" s="13">
        <f>B29/C29</f>
        <v>1.8527205493924988</v>
      </c>
      <c r="F29" s="14">
        <f>B29-C29</f>
        <v>80.71000000000001</v>
      </c>
      <c r="H29" s="4" t="s">
        <v>316</v>
      </c>
      <c r="I29" s="13">
        <v>1.8684006442760843</v>
      </c>
      <c r="J29" s="4" t="s">
        <v>277</v>
      </c>
    </row>
    <row r="30">
      <c r="A30" s="6" t="s">
        <v>317</v>
      </c>
      <c r="B30" s="14">
        <v>170.43</v>
      </c>
      <c r="C30" s="14">
        <v>94.66</v>
      </c>
      <c r="D30" s="15">
        <v>2086.895772092</v>
      </c>
      <c r="E30" s="13">
        <f>B30/C30</f>
        <v>1.8004436932178325</v>
      </c>
      <c r="F30" s="14">
        <f>B30-C30</f>
        <v>75.77000000000001</v>
      </c>
      <c r="H30" s="4" t="s">
        <v>318</v>
      </c>
      <c r="I30" s="9">
        <v>0.6354166666666666</v>
      </c>
    </row>
    <row r="31">
      <c r="A31" s="6" t="s">
        <v>319</v>
      </c>
      <c r="B31" s="14">
        <v>155.72</v>
      </c>
      <c r="C31" s="14">
        <v>87.32</v>
      </c>
      <c r="D31" s="15">
        <v>1925.0764717839998</v>
      </c>
      <c r="E31" s="13">
        <f>B31/C31</f>
        <v>1.783325698579936</v>
      </c>
      <c r="F31" s="14">
        <f>B31-C31</f>
        <v>68.4</v>
      </c>
      <c r="H31" s="4" t="s">
        <v>320</v>
      </c>
      <c r="I31" s="13">
        <v>1.448136551863448</v>
      </c>
    </row>
    <row r="32">
      <c r="A32" s="6" t="s">
        <v>321</v>
      </c>
      <c r="B32" s="14">
        <v>149.58</v>
      </c>
      <c r="C32" s="14">
        <v>85.94</v>
      </c>
      <c r="D32" s="15">
        <v>1894.652679628</v>
      </c>
      <c r="E32" s="13">
        <f>B32/C32</f>
        <v>1.7405166395159415</v>
      </c>
      <c r="F32" s="14">
        <f>B32-C32</f>
        <v>63.640000000000015</v>
      </c>
      <c r="H32" s="4" t="s">
        <v>322</v>
      </c>
      <c r="I32" s="13">
        <v>2.3755316260971857</v>
      </c>
    </row>
    <row r="33">
      <c r="A33" s="6" t="s">
        <v>323</v>
      </c>
      <c r="B33" s="14">
        <v>154.28</v>
      </c>
      <c r="C33" s="14">
        <v>88.85</v>
      </c>
      <c r="D33" s="15">
        <v>1958.8071978699998</v>
      </c>
      <c r="E33" s="13">
        <f>B33/C33</f>
        <v>1.7364096792346653</v>
      </c>
      <c r="F33" s="14">
        <f>B33-C33</f>
        <v>65.43</v>
      </c>
      <c r="H33" s="4" t="s">
        <v>324</v>
      </c>
      <c r="I33" s="14">
        <v>15.136512050975552</v>
      </c>
    </row>
    <row r="34">
      <c r="A34" s="6" t="s">
        <v>325</v>
      </c>
      <c r="B34" s="14">
        <v>144.89</v>
      </c>
      <c r="C34" s="14">
        <v>94.41</v>
      </c>
      <c r="D34" s="15">
        <v>2081.3842155419998</v>
      </c>
      <c r="E34" s="13">
        <f>B34/C34</f>
        <v>1.5346891219150514</v>
      </c>
      <c r="F34" s="14">
        <f>B34-C34</f>
        <v>50.47999999999999</v>
      </c>
      <c r="H34" s="4" t="s">
        <v>326</v>
      </c>
      <c r="I34" s="12">
        <v>-2.3878769093984036</v>
      </c>
      <c r="J34" s="4" t="s">
        <v>327</v>
      </c>
    </row>
    <row r="35">
      <c r="A35" s="6" t="s">
        <v>328</v>
      </c>
      <c r="B35" s="14">
        <v>141.43</v>
      </c>
      <c r="C35" s="14">
        <v>97.22</v>
      </c>
      <c r="D35" s="15">
        <v>2143.3341111639998</v>
      </c>
      <c r="E35" s="13">
        <f>B35/C35</f>
        <v>1.4547418226702324</v>
      </c>
      <c r="F35" s="14">
        <f>B35-C35</f>
        <v>44.21000000000001</v>
      </c>
      <c r="H35" s="4" t="s">
        <v>329</v>
      </c>
      <c r="I35" s="12">
        <v>-2.2654299795189865</v>
      </c>
      <c r="J35" s="4" t="s">
        <v>330</v>
      </c>
    </row>
    <row r="36">
      <c r="A36" s="6" t="s">
        <v>331</v>
      </c>
      <c r="B36" s="14">
        <v>139.91</v>
      </c>
      <c r="C36" s="14">
        <v>93.15</v>
      </c>
      <c r="D36" s="15">
        <v>2053.60597053</v>
      </c>
      <c r="E36" s="13">
        <f>B36/C36</f>
        <v>1.5019860440150294</v>
      </c>
      <c r="F36" s="14">
        <f>B36-C36</f>
        <v>46.75999999999999</v>
      </c>
    </row>
    <row r="37">
      <c r="A37" s="6" t="s">
        <v>332</v>
      </c>
      <c r="B37" s="14">
        <v>138.64</v>
      </c>
      <c r="C37" s="14">
        <v>91.07</v>
      </c>
      <c r="D37" s="15">
        <v>2007.7498200339999</v>
      </c>
      <c r="E37" s="13">
        <f>B37/C37</f>
        <v>1.5223454485560557</v>
      </c>
      <c r="F37" s="14">
        <f>B37-C37</f>
        <v>47.56999999999999</v>
      </c>
      <c r="H37" s="16" t="s">
        <v>333</v>
      </c>
      <c r="I37" s="16"/>
      <c r="J37" s="16"/>
    </row>
    <row r="38">
      <c r="A38" s="6" t="s">
        <v>334</v>
      </c>
      <c r="B38" s="14">
        <v>126.37</v>
      </c>
      <c r="C38" s="14">
        <v>81.82</v>
      </c>
      <c r="D38" s="15">
        <v>1803.8222276839997</v>
      </c>
      <c r="E38" s="13">
        <f>B38/C38</f>
        <v>1.5444879002688832</v>
      </c>
      <c r="F38" s="14">
        <f>B38-C38</f>
        <v>44.55000000000001</v>
      </c>
      <c r="H38" s="4" t="s">
        <v>335</v>
      </c>
      <c r="I38" s="12">
        <v>0.19191159514474743</v>
      </c>
    </row>
    <row r="39">
      <c r="A39" s="6" t="s">
        <v>336</v>
      </c>
      <c r="B39" s="14">
        <v>125.27</v>
      </c>
      <c r="C39" s="14">
        <v>85.34</v>
      </c>
      <c r="D39" s="15">
        <v>1881.424943908</v>
      </c>
      <c r="E39" s="13">
        <f>B39/C39</f>
        <v>1.467893133348957</v>
      </c>
      <c r="F39" s="14">
        <f>B39-C39</f>
        <v>39.92999999999999</v>
      </c>
      <c r="H39" s="4" t="s">
        <v>337</v>
      </c>
      <c r="I39" s="12">
        <v>0.1400132660455009</v>
      </c>
    </row>
    <row r="40">
      <c r="A40" s="6" t="s">
        <v>338</v>
      </c>
      <c r="B40" s="14">
        <v>122.31</v>
      </c>
      <c r="C40" s="14">
        <v>84.1</v>
      </c>
      <c r="D40" s="15">
        <v>1854.0876234199998</v>
      </c>
      <c r="E40" s="13">
        <f>B40/C40</f>
        <v>1.4543400713436387</v>
      </c>
      <c r="F40" s="14">
        <f>B40-C40</f>
        <v>38.21000000000001</v>
      </c>
      <c r="H40" s="4" t="s">
        <v>339</v>
      </c>
      <c r="I40" s="12">
        <v>0.16955285863260935</v>
      </c>
      <c r="J40" s="4" t="s">
        <v>340</v>
      </c>
    </row>
    <row r="41">
      <c r="A41" s="6" t="s">
        <v>341</v>
      </c>
      <c r="B41" s="14">
        <v>119.55</v>
      </c>
      <c r="C41" s="14">
        <v>77.89</v>
      </c>
      <c r="D41" s="15">
        <v>1717.180558718</v>
      </c>
      <c r="E41" s="13">
        <f>B41/C41</f>
        <v>1.5348568494030042</v>
      </c>
      <c r="F41" s="14">
        <f>B41-C41</f>
        <v>41.66</v>
      </c>
    </row>
    <row r="42">
      <c r="A42" s="6" t="s">
        <v>342</v>
      </c>
      <c r="B42" s="14">
        <v>117.05</v>
      </c>
      <c r="C42" s="14">
        <v>73.47</v>
      </c>
      <c r="D42" s="15">
        <v>1619.7362389139998</v>
      </c>
      <c r="E42" s="13">
        <f>B42/C42</f>
        <v>1.5931672791615625</v>
      </c>
      <c r="F42" s="14">
        <f>B42-C42</f>
        <v>43.58</v>
      </c>
      <c r="H42" s="16" t="s">
        <v>343</v>
      </c>
      <c r="I42" s="16"/>
      <c r="J42" s="16"/>
    </row>
    <row r="43">
      <c r="A43" s="6" t="s">
        <v>344</v>
      </c>
      <c r="B43" s="14">
        <v>109.1</v>
      </c>
      <c r="C43" s="14">
        <v>69.32</v>
      </c>
      <c r="D43" s="15">
        <v>1528.244400184</v>
      </c>
      <c r="E43" s="13">
        <f>B43/C43</f>
        <v>1.5738603577611079</v>
      </c>
      <c r="F43" s="14">
        <f>B43-C43</f>
        <v>39.78</v>
      </c>
      <c r="H43" s="4" t="s">
        <v>345</v>
      </c>
      <c r="I43" s="12">
        <v>0.7073510372097531</v>
      </c>
    </row>
    <row r="44">
      <c r="A44" s="6" t="s">
        <v>346</v>
      </c>
      <c r="B44" s="14">
        <v>114.12</v>
      </c>
      <c r="C44" s="14">
        <v>76.74</v>
      </c>
      <c r="D44" s="15">
        <v>1691.8273985879998</v>
      </c>
      <c r="E44" s="13">
        <f>B44/C44</f>
        <v>1.4870992963252543</v>
      </c>
      <c r="F44" s="14">
        <f>B44-C44</f>
        <v>37.38000000000001</v>
      </c>
      <c r="H44" s="4" t="s">
        <v>347</v>
      </c>
      <c r="I44" s="12">
        <v>-0.45667388295031874</v>
      </c>
    </row>
    <row r="45">
      <c r="A45" s="6" t="s">
        <v>348</v>
      </c>
      <c r="B45" s="14">
        <v>120.92</v>
      </c>
      <c r="C45" s="14">
        <v>77.25</v>
      </c>
      <c r="D45" s="15">
        <v>1703.07097395</v>
      </c>
      <c r="E45" s="13">
        <f>B45/C45</f>
        <v>1.5653074433656957</v>
      </c>
      <c r="F45" s="14">
        <f>B45-C45</f>
        <v>43.67</v>
      </c>
      <c r="H45" s="4" t="s">
        <v>349</v>
      </c>
      <c r="I45" s="12">
        <v>0.16229530359963357</v>
      </c>
    </row>
    <row r="46">
      <c r="A46" s="6" t="s">
        <v>350</v>
      </c>
      <c r="B46" s="14">
        <v>156.68</v>
      </c>
      <c r="C46" s="14">
        <v>85.12</v>
      </c>
      <c r="D46" s="15">
        <v>1876.574774144</v>
      </c>
      <c r="E46" s="13">
        <f>B46/C46</f>
        <v>1.8406954887218046</v>
      </c>
      <c r="F46" s="14">
        <f>B46-C46</f>
        <v>71.56</v>
      </c>
      <c r="H46" s="4" t="s">
        <v>351</v>
      </c>
      <c r="I46" s="12">
        <v>-0.23051125308081952</v>
      </c>
    </row>
    <row r="47">
      <c r="A47" s="6" t="s">
        <v>352</v>
      </c>
      <c r="B47" s="14">
        <v>190.66</v>
      </c>
      <c r="C47" s="14">
        <v>95.53</v>
      </c>
      <c r="D47" s="15">
        <v>2106.075988886</v>
      </c>
      <c r="E47" s="13">
        <f>B47/C47</f>
        <v>1.9958128336648173</v>
      </c>
      <c r="F47" s="14">
        <f>B47-C47</f>
        <v>95.13</v>
      </c>
      <c r="H47" s="4" t="s">
        <v>353</v>
      </c>
      <c r="I47" s="12">
        <v>0.6545287660629715</v>
      </c>
      <c r="J47" s="4" t="s">
        <v>354</v>
      </c>
    </row>
    <row r="48">
      <c r="A48" s="6" t="s">
        <v>355</v>
      </c>
      <c r="B48" s="14">
        <v>200.39</v>
      </c>
      <c r="C48" s="14">
        <v>96.12</v>
      </c>
      <c r="D48" s="15">
        <v>2119.083262344</v>
      </c>
      <c r="E48" s="13">
        <f>B48/C48</f>
        <v>2.0847898460258008</v>
      </c>
      <c r="F48" s="14">
        <f>B48-C48</f>
        <v>104.26999999999998</v>
      </c>
      <c r="H48" s="4" t="s">
        <v>356</v>
      </c>
      <c r="I48" s="12">
        <v>-0.5110676301683121</v>
      </c>
    </row>
    <row r="49">
      <c r="A49" s="6" t="s">
        <v>357</v>
      </c>
      <c r="B49" s="14">
        <v>191.07</v>
      </c>
      <c r="C49" s="14">
        <v>93.83</v>
      </c>
      <c r="D49" s="15">
        <v>2068.597404346</v>
      </c>
      <c r="E49" s="13">
        <f>B49/C49</f>
        <v>2.036342321219226</v>
      </c>
      <c r="F49" s="14">
        <f>B49-C49</f>
        <v>97.24</v>
      </c>
    </row>
    <row r="50">
      <c r="A50" s="6" t="s">
        <v>358</v>
      </c>
      <c r="B50" s="14">
        <v>175.81</v>
      </c>
      <c r="C50" s="14">
        <v>89.4</v>
      </c>
      <c r="D50" s="15">
        <v>1970.93262228</v>
      </c>
      <c r="E50" s="13">
        <f>B50/C50</f>
        <v>1.9665548098434003</v>
      </c>
      <c r="F50" s="14">
        <f>B50-C50</f>
        <v>86.41</v>
      </c>
      <c r="H50" s="16" t="s">
        <v>359</v>
      </c>
      <c r="I50" s="16"/>
      <c r="J50" s="16"/>
    </row>
    <row r="51" ht="30" customHeight="1">
      <c r="A51" s="6" t="s">
        <v>360</v>
      </c>
      <c r="B51" s="14">
        <v>175.74</v>
      </c>
      <c r="C51" s="14">
        <v>91.83</v>
      </c>
      <c r="D51" s="15">
        <v>2024.504951946</v>
      </c>
      <c r="E51" s="13">
        <f>B51/C51</f>
        <v>1.91375367526952</v>
      </c>
      <c r="F51" s="14">
        <f>B51-C51</f>
        <v>83.91000000000001</v>
      </c>
      <c r="H51" s="3" t="s">
        <v>14</v>
      </c>
      <c r="I51" s="3" t="s">
        <v>361</v>
      </c>
      <c r="J51" s="3" t="s">
        <v>362</v>
      </c>
      <c r="K51" s="3" t="s">
        <v>264</v>
      </c>
      <c r="L51" s="3" t="s">
        <v>363</v>
      </c>
    </row>
    <row r="52">
      <c r="A52" s="6" t="s">
        <v>364</v>
      </c>
      <c r="B52" s="14">
        <v>193.98</v>
      </c>
      <c r="C52" s="14">
        <v>90.64</v>
      </c>
      <c r="D52" s="15">
        <v>1998.269942768</v>
      </c>
      <c r="E52" s="13">
        <f>B52/C52</f>
        <v>2.1401147396293028</v>
      </c>
      <c r="F52" s="14">
        <f>B52-C52</f>
        <v>103.33999999999999</v>
      </c>
      <c r="H52" s="6" t="s">
        <v>46</v>
      </c>
      <c r="I52" s="9">
        <v>-0.039440425040464515</v>
      </c>
      <c r="J52" s="9">
        <v>0.12020324369691818</v>
      </c>
      <c r="K52" s="13">
        <v>2.164944693190834</v>
      </c>
      <c r="L52" s="9">
        <v>0.4162955598362297</v>
      </c>
    </row>
    <row r="53">
      <c r="A53" s="6" t="s">
        <v>365</v>
      </c>
      <c r="B53" s="14">
        <v>192.09</v>
      </c>
      <c r="C53" s="14">
        <v>91.24</v>
      </c>
      <c r="D53" s="15">
        <v>2011.4976784879998</v>
      </c>
      <c r="E53" s="13">
        <f>B53/C53</f>
        <v>2.105326611135467</v>
      </c>
      <c r="F53" s="14">
        <f>B53-C53</f>
        <v>100.85000000000001</v>
      </c>
      <c r="H53" s="6" t="s">
        <v>47</v>
      </c>
      <c r="I53" s="9">
        <v>0.09397374873665859</v>
      </c>
      <c r="J53" s="9">
        <v>0.07738172335376971</v>
      </c>
      <c r="K53" s="13">
        <v>1.5901560601636888</v>
      </c>
      <c r="L53" s="9">
        <v>0.4122694882861446</v>
      </c>
    </row>
    <row r="54">
      <c r="A54" s="6" t="s">
        <v>366</v>
      </c>
      <c r="B54" s="14">
        <v>210.12</v>
      </c>
      <c r="C54" s="14">
        <v>95.51</v>
      </c>
      <c r="D54" s="15">
        <v>2105.635064362</v>
      </c>
      <c r="E54" s="13">
        <f>B54/C54</f>
        <v>2.1999790597843156</v>
      </c>
      <c r="F54" s="14">
        <f>B54-C54</f>
        <v>114.61</v>
      </c>
      <c r="H54" s="6" t="s">
        <v>48</v>
      </c>
      <c r="I54" s="9">
        <v>-0.0043920064988947965</v>
      </c>
      <c r="J54" s="9">
        <v>0.036814343005457884</v>
      </c>
      <c r="K54" s="13">
        <v>1.8802802550243087</v>
      </c>
      <c r="L54" s="9">
        <v>0.42228872755445035</v>
      </c>
    </row>
    <row r="55">
      <c r="A55" s="6" t="s">
        <v>367</v>
      </c>
      <c r="B55" s="14">
        <v>192.33</v>
      </c>
      <c r="C55" s="14">
        <v>93.6</v>
      </c>
      <c r="D55" s="15">
        <v>2063.52677232</v>
      </c>
      <c r="E55" s="13">
        <f>B55/C55</f>
        <v>2.054807692307693</v>
      </c>
      <c r="F55" s="14">
        <f>B55-C55</f>
        <v>98.73000000000002</v>
      </c>
      <c r="H55" s="6" t="s">
        <v>49</v>
      </c>
      <c r="I55" s="9">
        <v>-0.0645147286341553</v>
      </c>
      <c r="J55" s="9">
        <v>-0.00714198600662955</v>
      </c>
      <c r="K55" s="13">
        <v>1.835529778634066</v>
      </c>
      <c r="L55" s="9">
        <v>0.43634424822492135</v>
      </c>
    </row>
    <row r="56">
      <c r="A56" s="6" t="s">
        <v>368</v>
      </c>
      <c r="B56" s="14">
        <v>177.82</v>
      </c>
      <c r="C56" s="14">
        <v>89.86</v>
      </c>
      <c r="D56" s="15">
        <v>1981.073886332</v>
      </c>
      <c r="E56" s="13">
        <f>B56/C56</f>
        <v>1.9788559982194525</v>
      </c>
      <c r="F56" s="14">
        <f>B56-C56</f>
        <v>87.96</v>
      </c>
      <c r="H56" s="6" t="s">
        <v>50</v>
      </c>
      <c r="I56" s="9">
        <v>-0.006399633004352107</v>
      </c>
      <c r="J56" s="9">
        <v>-0.012203866549061151</v>
      </c>
      <c r="K56" s="13">
        <v>1.7798766904435088</v>
      </c>
      <c r="L56" s="9">
        <v>0.43491724015771277</v>
      </c>
    </row>
    <row r="57">
      <c r="A57" s="6" t="s">
        <v>369</v>
      </c>
      <c r="B57" s="14">
        <v>173.19</v>
      </c>
      <c r="C57" s="14">
        <v>89.33</v>
      </c>
      <c r="D57" s="15">
        <v>1969.389386446</v>
      </c>
      <c r="E57" s="13">
        <f>B57/C57</f>
        <v>1.9387663718795478</v>
      </c>
      <c r="F57" s="14">
        <f>B57-C57</f>
        <v>83.86</v>
      </c>
      <c r="H57" s="6" t="s">
        <v>51</v>
      </c>
      <c r="I57" s="9">
        <v>0.16055031283161036</v>
      </c>
      <c r="J57" s="9">
        <v>-0.10070528467298769</v>
      </c>
      <c r="K57" s="13">
        <v>1.5114237656375935</v>
      </c>
      <c r="L57" s="9">
        <v>0.3721341701897827</v>
      </c>
    </row>
    <row r="58">
      <c r="A58" s="6" t="s">
        <v>370</v>
      </c>
      <c r="B58" s="14">
        <v>159.55</v>
      </c>
      <c r="C58" s="14">
        <v>89.76</v>
      </c>
      <c r="D58" s="15">
        <v>1978.869263712</v>
      </c>
      <c r="E58" s="13">
        <f>B58/C58</f>
        <v>1.777517825311943</v>
      </c>
      <c r="F58" s="14">
        <f>B58-C58</f>
        <v>69.79</v>
      </c>
      <c r="H58" s="6" t="s">
        <v>52</v>
      </c>
      <c r="I58" s="9">
        <v>-0.0602341348643643</v>
      </c>
      <c r="J58" s="9">
        <v>0.07466548935827606</v>
      </c>
      <c r="K58" s="13">
        <v>1.5405356496561706</v>
      </c>
      <c r="L58" s="9">
        <v>0.4041573328994957</v>
      </c>
    </row>
    <row r="59">
      <c r="A59" s="6" t="s">
        <v>371</v>
      </c>
      <c r="B59" s="14">
        <v>139.7</v>
      </c>
      <c r="C59" s="14">
        <v>82.94</v>
      </c>
      <c r="D59" s="15">
        <v>1828.514001028</v>
      </c>
      <c r="E59" s="13">
        <f>B59/C59</f>
        <v>1.6843501326259946</v>
      </c>
      <c r="F59" s="14">
        <f>B59-C59</f>
        <v>56.75999999999999</v>
      </c>
      <c r="H59" s="6" t="s">
        <v>53</v>
      </c>
      <c r="I59" s="9">
        <v>0.09702332892576736</v>
      </c>
      <c r="J59" s="9">
        <v>0.09363387516961397</v>
      </c>
      <c r="K59" s="13">
        <v>1.5545231308382388</v>
      </c>
      <c r="L59" s="9">
        <v>0.4033413702119916</v>
      </c>
    </row>
    <row r="60">
      <c r="A60" s="6" t="s">
        <v>372</v>
      </c>
      <c r="B60" s="14">
        <v>141.79</v>
      </c>
      <c r="C60" s="14">
        <v>82.71</v>
      </c>
      <c r="D60" s="15">
        <v>1823.4433690019998</v>
      </c>
      <c r="E60" s="13">
        <f>B60/C60</f>
        <v>1.7143029863378068</v>
      </c>
      <c r="F60" s="14">
        <f>B60-C60</f>
        <v>59.08</v>
      </c>
      <c r="H60" s="6" t="s">
        <v>54</v>
      </c>
      <c r="I60" s="9">
        <v>-0.10021037309175154</v>
      </c>
      <c r="J60" s="9">
        <v>0.04384350720256063</v>
      </c>
      <c r="K60" s="13">
        <v>1.9121086329416732</v>
      </c>
      <c r="L60" s="9">
        <v>0.4384369638525705</v>
      </c>
    </row>
    <row r="61">
      <c r="A61" s="6" t="s">
        <v>373</v>
      </c>
      <c r="B61" s="14">
        <v>135.22</v>
      </c>
      <c r="C61" s="14">
        <v>78.03</v>
      </c>
      <c r="D61" s="15">
        <v>1720.267030386</v>
      </c>
      <c r="E61" s="13">
        <f>B61/C61</f>
        <v>1.7329232346533385</v>
      </c>
      <c r="F61" s="14">
        <f>B61-C61</f>
        <v>57.19</v>
      </c>
      <c r="H61" s="6" t="s">
        <v>55</v>
      </c>
      <c r="I61" s="9">
        <v>0.07344630099218086</v>
      </c>
      <c r="J61" s="9">
        <v>0.004443015629432726</v>
      </c>
      <c r="K61" s="13">
        <v>2.0566795827123703</v>
      </c>
      <c r="L61" s="9">
        <v>0.42152621266860707</v>
      </c>
    </row>
    <row r="62">
      <c r="A62" s="6" t="s">
        <v>374</v>
      </c>
      <c r="B62" s="14">
        <v>135.86</v>
      </c>
      <c r="C62" s="14">
        <v>80.25</v>
      </c>
      <c r="D62" s="15">
        <v>1769.2096525499999</v>
      </c>
      <c r="E62" s="13">
        <f>B62/C62</f>
        <v>1.6929595015576326</v>
      </c>
      <c r="F62" s="14">
        <f>B62-C62</f>
        <v>55.610000000000014</v>
      </c>
      <c r="H62" s="6" t="s">
        <v>56</v>
      </c>
      <c r="I62" s="9">
        <v>-0.15956068342760504</v>
      </c>
      <c r="J62" s="9">
        <v>0.046151739082526025</v>
      </c>
      <c r="K62" s="13">
        <v>2.297646003332336</v>
      </c>
      <c r="L62" s="9">
        <v>0.4723285911635685</v>
      </c>
    </row>
    <row r="63">
      <c r="A63" s="6" t="s">
        <v>375</v>
      </c>
      <c r="B63" s="14">
        <v>128.59</v>
      </c>
      <c r="C63" s="14">
        <v>77.16</v>
      </c>
      <c r="D63" s="15">
        <v>1701.086813592</v>
      </c>
      <c r="E63" s="13">
        <f>B63/C63</f>
        <v>1.6665370658372214</v>
      </c>
      <c r="F63" s="14">
        <f>B63-C63</f>
        <v>51.43000000000001</v>
      </c>
      <c r="H63" s="6" t="s">
        <v>57</v>
      </c>
      <c r="I63" s="9">
        <v>0.009360228799794163</v>
      </c>
      <c r="J63" s="9">
        <v>-0.017260546518575937</v>
      </c>
      <c r="K63" s="13">
        <v>1.7022821061005318</v>
      </c>
      <c r="L63" s="9">
        <v>0.46569905609345463</v>
      </c>
    </row>
    <row r="64">
      <c r="A64" s="6" t="s">
        <v>376</v>
      </c>
      <c r="B64" s="14">
        <v>132.42</v>
      </c>
      <c r="C64" s="14">
        <v>76.25</v>
      </c>
      <c r="D64" s="15">
        <v>1681.02474775</v>
      </c>
      <c r="E64" s="13">
        <f>B64/C64</f>
        <v>1.7366557377049179</v>
      </c>
      <c r="F64" s="14">
        <f>B64-C64</f>
        <v>56.16999999999999</v>
      </c>
      <c r="H64" s="6" t="s">
        <v>58</v>
      </c>
      <c r="I64" s="9">
        <v>0.10006829107000725</v>
      </c>
      <c r="J64" s="9">
        <v>-0.05977746506094009</v>
      </c>
      <c r="K64" s="13">
        <v>1.2834329453706614</v>
      </c>
      <c r="L64" s="9">
        <v>0.4262261198216553</v>
      </c>
    </row>
    <row r="65">
      <c r="A65" s="6" t="s">
        <v>377</v>
      </c>
      <c r="B65" s="14">
        <v>121.66</v>
      </c>
      <c r="C65" s="14">
        <v>71.53</v>
      </c>
      <c r="D65" s="15">
        <v>1576.966560086</v>
      </c>
      <c r="E65" s="13">
        <f>B65/C65</f>
        <v>1.7008248287431846</v>
      </c>
      <c r="F65" s="14">
        <f>B65-C65</f>
        <v>50.129999999999995</v>
      </c>
      <c r="H65" s="6" t="s">
        <v>59</v>
      </c>
      <c r="I65" s="9">
        <v>0.05131593719418916</v>
      </c>
      <c r="J65" s="9">
        <v>0.032242168502113526</v>
      </c>
      <c r="K65" s="13">
        <v>1.5617006810695486</v>
      </c>
      <c r="L65" s="9">
        <v>0.42156818387476247</v>
      </c>
    </row>
    <row r="66">
      <c r="A66" s="6" t="s">
        <v>378</v>
      </c>
      <c r="B66" s="14">
        <v>129.45</v>
      </c>
      <c r="C66" s="14">
        <v>72.89</v>
      </c>
      <c r="D66" s="15">
        <v>1606.949427718</v>
      </c>
      <c r="E66" s="13">
        <f>B66/C66</f>
        <v>1.775963781039923</v>
      </c>
      <c r="F66" s="14">
        <f>B66-C66</f>
        <v>56.55999999999999</v>
      </c>
      <c r="H66" s="6" t="s">
        <v>60</v>
      </c>
      <c r="I66" s="9">
        <v>-0.07971032911084874</v>
      </c>
      <c r="J66" s="9">
        <v>0.12411301711876287</v>
      </c>
      <c r="K66" s="13">
        <v>1.816845301704527</v>
      </c>
      <c r="L66" s="9">
        <v>0.47190068780405975</v>
      </c>
    </row>
    <row r="67">
      <c r="A67" s="6" t="s">
        <v>379</v>
      </c>
      <c r="B67" s="14">
        <v>122.35</v>
      </c>
      <c r="C67" s="14">
        <v>72.04</v>
      </c>
      <c r="D67" s="15">
        <v>1588.210135448</v>
      </c>
      <c r="E67" s="13">
        <f>B67/C67</f>
        <v>1.698362021099389</v>
      </c>
      <c r="F67" s="14">
        <f>B67-C67</f>
        <v>50.30999999999999</v>
      </c>
    </row>
    <row r="68">
      <c r="A68" s="6" t="s">
        <v>380</v>
      </c>
      <c r="B68" s="14">
        <v>123.77</v>
      </c>
      <c r="C68" s="14">
        <v>70.02</v>
      </c>
      <c r="D68" s="15">
        <v>1543.676758524</v>
      </c>
      <c r="E68" s="13">
        <f>B68/C68</f>
        <v>1.7676378177663525</v>
      </c>
      <c r="F68" s="14">
        <f>B68-C68</f>
        <v>53.75</v>
      </c>
    </row>
    <row r="69">
      <c r="A69" s="6" t="s">
        <v>381</v>
      </c>
      <c r="B69" s="14">
        <v>120.2</v>
      </c>
      <c r="C69" s="14">
        <v>65.67</v>
      </c>
      <c r="D69" s="15">
        <v>1447.775674554</v>
      </c>
      <c r="E69" s="13">
        <f>B69/C69</f>
        <v>1.8303639409167047</v>
      </c>
      <c r="F69" s="14">
        <f>B69-C69</f>
        <v>54.53</v>
      </c>
    </row>
    <row r="70">
      <c r="A70" s="6" t="s">
        <v>382</v>
      </c>
      <c r="B70" s="14">
        <v>119.25</v>
      </c>
      <c r="C70" s="14">
        <v>64.96</v>
      </c>
      <c r="D70" s="15">
        <v>1432.1228539519998</v>
      </c>
      <c r="E70" s="13">
        <f>B70/C70</f>
        <v>1.835745073891626</v>
      </c>
      <c r="F70" s="14">
        <f>B70-C70</f>
        <v>54.290000000000006</v>
      </c>
    </row>
    <row r="71">
      <c r="A71" s="6" t="s">
        <v>383</v>
      </c>
      <c r="B71" s="14">
        <v>127.33</v>
      </c>
      <c r="C71" s="14">
        <v>66.17</v>
      </c>
      <c r="D71" s="15">
        <v>1458.798787654</v>
      </c>
      <c r="E71" s="13">
        <f>B71/C71</f>
        <v>1.9242859301798396</v>
      </c>
      <c r="F71" s="14">
        <f>B71-C71</f>
        <v>61.16</v>
      </c>
    </row>
    <row r="72">
      <c r="A72" s="6" t="s">
        <v>384</v>
      </c>
      <c r="B72" s="14">
        <v>125.34</v>
      </c>
      <c r="C72" s="14">
        <v>70.9</v>
      </c>
      <c r="D72" s="15">
        <v>1563.0774375800002</v>
      </c>
      <c r="E72" s="13">
        <f>B72/C72</f>
        <v>1.767842031029619</v>
      </c>
      <c r="F72" s="14">
        <f>B72-C72</f>
        <v>54.44</v>
      </c>
    </row>
    <row r="73">
      <c r="A73" s="6" t="s">
        <v>385</v>
      </c>
      <c r="B73" s="14">
        <v>126.8</v>
      </c>
      <c r="C73" s="14">
        <v>75.11</v>
      </c>
      <c r="D73" s="15">
        <v>1655.892049882</v>
      </c>
      <c r="E73" s="13">
        <f>B73/C73</f>
        <v>1.688190653707895</v>
      </c>
      <c r="F73" s="14">
        <f>B73-C73</f>
        <v>51.69</v>
      </c>
    </row>
    <row r="74">
      <c r="A74" s="6" t="s">
        <v>386</v>
      </c>
      <c r="B74" s="14">
        <v>139.1</v>
      </c>
      <c r="C74" s="14">
        <v>76.87</v>
      </c>
      <c r="D74" s="15">
        <v>1694.6934079940002</v>
      </c>
      <c r="E74" s="13">
        <f>B74/C74</f>
        <v>1.809548588526083</v>
      </c>
      <c r="F74" s="14">
        <f>B74-C74</f>
        <v>62.22999999999999</v>
      </c>
    </row>
    <row r="75">
      <c r="A75" s="6" t="s">
        <v>387</v>
      </c>
      <c r="B75" s="14">
        <v>148.16</v>
      </c>
      <c r="C75" s="14">
        <v>82.09</v>
      </c>
      <c r="D75" s="15">
        <v>1809.774708758</v>
      </c>
      <c r="E75" s="13">
        <f>B75/C75</f>
        <v>1.8048483371908879</v>
      </c>
      <c r="F75" s="14">
        <f>B75-C75</f>
        <v>66.07</v>
      </c>
    </row>
    <row r="76">
      <c r="A76" s="6" t="s">
        <v>388</v>
      </c>
      <c r="B76" s="14">
        <v>145.37</v>
      </c>
      <c r="C76" s="14">
        <v>83.47</v>
      </c>
      <c r="D76" s="15">
        <v>1840.1985009139999</v>
      </c>
      <c r="E76" s="13">
        <f>B76/C76</f>
        <v>1.7415838025637955</v>
      </c>
      <c r="F76" s="14">
        <f>B76-C76</f>
        <v>61.900000000000006</v>
      </c>
    </row>
    <row r="77">
      <c r="A77" s="6" t="s">
        <v>389</v>
      </c>
      <c r="B77" s="14">
        <v>154.87</v>
      </c>
      <c r="C77" s="14">
        <v>88.63</v>
      </c>
      <c r="D77" s="15">
        <v>1953.9570281059998</v>
      </c>
      <c r="E77" s="13">
        <f>B77/C77</f>
        <v>1.7473767347399303</v>
      </c>
      <c r="F77" s="14">
        <f>B77-C77</f>
        <v>66.24000000000001</v>
      </c>
    </row>
    <row r="78">
      <c r="A78" s="6" t="s">
        <v>390</v>
      </c>
      <c r="B78" s="14">
        <v>160.07</v>
      </c>
      <c r="C78" s="14">
        <v>95.3</v>
      </c>
      <c r="D78" s="15">
        <v>2101.00535686</v>
      </c>
      <c r="E78" s="13">
        <f>B78/C78</f>
        <v>1.6796432318992656</v>
      </c>
      <c r="F78" s="14">
        <f>B78-C78</f>
        <v>64.77</v>
      </c>
    </row>
    <row r="79">
      <c r="A79" s="6" t="s">
        <v>391</v>
      </c>
      <c r="B79" s="14">
        <v>165.24</v>
      </c>
      <c r="C79" s="14">
        <v>95.4</v>
      </c>
      <c r="D79" s="15">
        <v>2103.20997948</v>
      </c>
      <c r="E79" s="13">
        <f>B79/C79</f>
        <v>1.7320754716981133</v>
      </c>
      <c r="F79" s="14">
        <f>B79-C79</f>
        <v>69.84</v>
      </c>
    </row>
    <row r="80">
      <c r="A80" s="6" t="s">
        <v>392</v>
      </c>
      <c r="B80" s="14">
        <v>143.04</v>
      </c>
      <c r="C80" s="14">
        <v>93.66</v>
      </c>
      <c r="D80" s="15">
        <v>2064.8495458919997</v>
      </c>
      <c r="E80" s="13">
        <f>B80/C80</f>
        <v>1.5272261370916078</v>
      </c>
      <c r="F80" s="14">
        <f>B80-C80</f>
        <v>49.379999999999995</v>
      </c>
    </row>
    <row r="81">
      <c r="A81" s="6" t="s">
        <v>393</v>
      </c>
      <c r="B81" s="14">
        <v>152.24</v>
      </c>
      <c r="C81" s="14">
        <v>100.24</v>
      </c>
      <c r="D81" s="15">
        <v>2209.913714288</v>
      </c>
      <c r="E81" s="13">
        <f>B81/C81</f>
        <v>1.5187549880287312</v>
      </c>
      <c r="F81" s="14">
        <f>B81-C81</f>
        <v>52.000000000000014</v>
      </c>
    </row>
    <row r="82">
      <c r="A82" s="6" t="s">
        <v>394</v>
      </c>
      <c r="B82" s="14">
        <v>148.64</v>
      </c>
      <c r="C82" s="14">
        <v>98.46</v>
      </c>
      <c r="D82" s="15">
        <v>2170.6714316519997</v>
      </c>
      <c r="E82" s="13">
        <f>B82/C82</f>
        <v>1.5096485882591915</v>
      </c>
      <c r="F82" s="14">
        <f>B82-C82</f>
        <v>50.17999999999999</v>
      </c>
    </row>
    <row r="83">
      <c r="A83" s="6" t="s">
        <v>395</v>
      </c>
      <c r="B83" s="14">
        <v>143.38</v>
      </c>
      <c r="C83" s="14">
        <v>99.01</v>
      </c>
      <c r="D83" s="15">
        <v>2182.796856062</v>
      </c>
      <c r="E83" s="13">
        <f>B83/C83</f>
        <v>1.448136551863448</v>
      </c>
      <c r="F83" s="14">
        <f>B83-C83</f>
        <v>44.36999999999999</v>
      </c>
    </row>
    <row r="84">
      <c r="A84" s="6" t="s">
        <v>396</v>
      </c>
      <c r="B84" s="14">
        <v>139.25</v>
      </c>
      <c r="C84" s="14">
        <v>95.34</v>
      </c>
      <c r="D84" s="15">
        <v>2101.887205908</v>
      </c>
      <c r="E84" s="13">
        <f>B84/C84</f>
        <v>1.4605621984476609</v>
      </c>
      <c r="F84" s="14">
        <f>B84-C84</f>
        <v>43.91</v>
      </c>
    </row>
    <row r="85">
      <c r="A85" s="6" t="s">
        <v>397</v>
      </c>
      <c r="B85" s="14">
        <v>135.45</v>
      </c>
      <c r="C85" s="14">
        <v>90.35</v>
      </c>
      <c r="D85" s="15">
        <v>1991.87653717</v>
      </c>
      <c r="E85" s="13">
        <f>B85/C85</f>
        <v>1.499169894853348</v>
      </c>
      <c r="F85" s="14">
        <f>B85-C85</f>
        <v>45.099999999999994</v>
      </c>
    </row>
    <row r="86">
      <c r="A86" s="6" t="s">
        <v>398</v>
      </c>
      <c r="B86" s="14">
        <v>128.18</v>
      </c>
      <c r="C86" s="14">
        <v>93.11</v>
      </c>
      <c r="D86" s="15">
        <v>2052.724121482</v>
      </c>
      <c r="E86" s="13">
        <f>B86/C86</f>
        <v>1.3766512726882183</v>
      </c>
      <c r="F86" s="14">
        <f>B86-C86</f>
        <v>35.07000000000001</v>
      </c>
    </row>
    <row r="87">
      <c r="A87" s="6" t="s">
        <v>399</v>
      </c>
      <c r="B87" s="14">
        <v>135.71</v>
      </c>
      <c r="C87" s="14">
        <v>96.03</v>
      </c>
      <c r="D87" s="15">
        <v>2117.099101986</v>
      </c>
      <c r="E87" s="13">
        <f>B87/C87</f>
        <v>1.4132042070186401</v>
      </c>
      <c r="F87" s="14">
        <f>B87-C87</f>
        <v>39.68000000000001</v>
      </c>
    </row>
    <row r="88">
      <c r="A88" s="6" t="s">
        <v>400</v>
      </c>
      <c r="B88" s="14">
        <v>138.11</v>
      </c>
      <c r="C88" s="14">
        <v>94.89</v>
      </c>
      <c r="D88" s="15">
        <v>2091.966404118</v>
      </c>
      <c r="E88" s="13">
        <f>B88/C88</f>
        <v>1.4554747602487093</v>
      </c>
      <c r="F88" s="14">
        <f>B88-C88</f>
        <v>43.22000000000001</v>
      </c>
    </row>
    <row r="89">
      <c r="A89" s="6" t="s">
        <v>401</v>
      </c>
      <c r="B89" s="14">
        <v>135.95</v>
      </c>
      <c r="C89" s="14">
        <v>89.69</v>
      </c>
      <c r="D89" s="15">
        <v>1977.3260278779999</v>
      </c>
      <c r="E89" s="13">
        <f>B89/C89</f>
        <v>1.5157765637194782</v>
      </c>
      <c r="F89" s="14">
        <f>B89-C89</f>
        <v>46.25999999999999</v>
      </c>
    </row>
    <row r="90">
      <c r="A90" s="6" t="s">
        <v>402</v>
      </c>
      <c r="B90" s="14">
        <v>131</v>
      </c>
      <c r="C90" s="14">
        <v>88.38</v>
      </c>
      <c r="D90" s="15">
        <v>1948.4454715559998</v>
      </c>
      <c r="E90" s="13">
        <f>B90/C90</f>
        <v>1.4822357999547409</v>
      </c>
      <c r="F90" s="14">
        <f>B90-C90</f>
        <v>42.620000000000005</v>
      </c>
    </row>
    <row r="91">
      <c r="A91" s="6" t="s">
        <v>403</v>
      </c>
      <c r="B91" s="14">
        <v>129.96</v>
      </c>
      <c r="C91" s="14">
        <v>81.46</v>
      </c>
      <c r="D91" s="15">
        <v>1795.885586252</v>
      </c>
      <c r="E91" s="13">
        <f>B91/C91</f>
        <v>1.5953842376626568</v>
      </c>
      <c r="F91" s="14">
        <f>B91-C91</f>
        <v>48.500000000000014</v>
      </c>
    </row>
    <row r="92">
      <c r="A92" s="6" t="s">
        <v>404</v>
      </c>
      <c r="B92" s="14">
        <v>125.25</v>
      </c>
      <c r="C92" s="14">
        <v>78.3</v>
      </c>
      <c r="D92" s="15">
        <v>1726.21951146</v>
      </c>
      <c r="E92" s="13">
        <f>B92/C92</f>
        <v>1.5996168582375478</v>
      </c>
      <c r="F92" s="14">
        <f>B92-C92</f>
        <v>46.95</v>
      </c>
    </row>
    <row r="93">
      <c r="A93" s="6" t="s">
        <v>405</v>
      </c>
      <c r="B93" s="14">
        <v>127.65</v>
      </c>
      <c r="C93" s="14">
        <v>78.9</v>
      </c>
      <c r="D93" s="15">
        <v>1739.44724718</v>
      </c>
      <c r="E93" s="13">
        <f>B93/C93</f>
        <v>1.61787072243346</v>
      </c>
      <c r="F93" s="14">
        <f>B93-C93</f>
        <v>48.75</v>
      </c>
    </row>
    <row r="94">
      <c r="A94" s="6" t="s">
        <v>406</v>
      </c>
      <c r="B94" s="14">
        <v>123.82</v>
      </c>
      <c r="C94" s="14">
        <v>80.38</v>
      </c>
      <c r="D94" s="15">
        <v>1772.075661956</v>
      </c>
      <c r="E94" s="13">
        <f>B94/C94</f>
        <v>1.5404329435182882</v>
      </c>
      <c r="F94" s="14">
        <f>B94-C94</f>
        <v>43.44</v>
      </c>
    </row>
    <row r="95">
      <c r="A95" s="6" t="s">
        <v>407</v>
      </c>
      <c r="B95" s="14">
        <v>121.66</v>
      </c>
      <c r="C95" s="14">
        <v>79.86</v>
      </c>
      <c r="D95" s="15">
        <v>1760.611624332</v>
      </c>
      <c r="E95" s="13">
        <f>B95/C95</f>
        <v>1.5234159779614325</v>
      </c>
      <c r="F95" s="14">
        <f>B95-C95</f>
        <v>41.8</v>
      </c>
    </row>
    <row r="96">
      <c r="A96" s="6" t="s">
        <v>408</v>
      </c>
      <c r="B96" s="14">
        <v>120.17</v>
      </c>
      <c r="C96" s="14">
        <v>79.36</v>
      </c>
      <c r="D96" s="15">
        <v>1749.588511232</v>
      </c>
      <c r="E96" s="13">
        <f>B96/C96</f>
        <v>1.5142389112903225</v>
      </c>
      <c r="F96" s="14">
        <f>B96-C96</f>
        <v>40.81</v>
      </c>
    </row>
    <row r="97">
      <c r="A97" s="6" t="s">
        <v>409</v>
      </c>
      <c r="B97" s="14">
        <v>122.5</v>
      </c>
      <c r="C97" s="14">
        <v>79.85</v>
      </c>
      <c r="D97" s="15">
        <v>1760.3911620699998</v>
      </c>
      <c r="E97" s="13">
        <f>B97/C97</f>
        <v>1.5341264871634315</v>
      </c>
      <c r="F97" s="14">
        <f>B97-C97</f>
        <v>42.650000000000006</v>
      </c>
    </row>
    <row r="98">
      <c r="A98" s="6" t="s">
        <v>410</v>
      </c>
      <c r="B98" s="14">
        <v>120.19</v>
      </c>
      <c r="C98" s="14">
        <v>77.4</v>
      </c>
      <c r="D98" s="15">
        <v>1706.37790788</v>
      </c>
      <c r="E98" s="13">
        <f>B98/C98</f>
        <v>1.5528423772609818</v>
      </c>
      <c r="F98" s="14">
        <f>B98-C98</f>
        <v>42.78999999999999</v>
      </c>
    </row>
    <row r="99">
      <c r="A99" s="6" t="s">
        <v>411</v>
      </c>
      <c r="B99" s="14">
        <v>114.06</v>
      </c>
      <c r="C99" s="14">
        <v>75.56</v>
      </c>
      <c r="D99" s="15">
        <v>1665.812851672</v>
      </c>
      <c r="E99" s="13">
        <f>B99/C99</f>
        <v>1.5095288512440443</v>
      </c>
      <c r="F99" s="14">
        <f>B99-C99</f>
        <v>38.5</v>
      </c>
    </row>
    <row r="100">
      <c r="A100" s="6" t="s">
        <v>412</v>
      </c>
      <c r="B100" s="14">
        <v>108.12</v>
      </c>
      <c r="C100" s="14">
        <v>71.94</v>
      </c>
      <c r="D100" s="15">
        <v>1586.0055128279998</v>
      </c>
      <c r="E100" s="13">
        <f>B100/C100</f>
        <v>1.5029190992493746</v>
      </c>
      <c r="F100" s="14">
        <f>B100-C100</f>
        <v>36.18000000000001</v>
      </c>
    </row>
    <row r="101">
      <c r="A101" s="6" t="s">
        <v>413</v>
      </c>
      <c r="B101" s="14">
        <v>102.83</v>
      </c>
      <c r="C101" s="14">
        <v>68.03</v>
      </c>
      <c r="D101" s="15">
        <v>1499.804768386</v>
      </c>
      <c r="E101" s="13">
        <f>B101/C101</f>
        <v>1.5115390268998972</v>
      </c>
      <c r="F101" s="14">
        <f>B101-C101</f>
        <v>34.8</v>
      </c>
    </row>
    <row r="102">
      <c r="A102" s="6" t="s">
        <v>414</v>
      </c>
      <c r="B102" s="14">
        <v>119.73</v>
      </c>
      <c r="C102" s="14">
        <v>77.16</v>
      </c>
      <c r="D102" s="15">
        <v>1701.086813592</v>
      </c>
      <c r="E102" s="13">
        <f>B102/C102</f>
        <v>1.5517107309486782</v>
      </c>
      <c r="F102" s="14">
        <f>B102-C102</f>
        <v>42.57000000000001</v>
      </c>
    </row>
    <row r="103">
      <c r="A103" s="6" t="s">
        <v>415</v>
      </c>
      <c r="B103" s="14">
        <v>117.06</v>
      </c>
      <c r="C103" s="14">
        <v>75.23</v>
      </c>
      <c r="D103" s="15">
        <v>1658.537597026</v>
      </c>
      <c r="E103" s="13">
        <f>B103/C103</f>
        <v>1.5560281802472418</v>
      </c>
      <c r="F103" s="14">
        <f>B103-C103</f>
        <v>41.83</v>
      </c>
    </row>
    <row r="104">
      <c r="A104" s="6" t="s">
        <v>416</v>
      </c>
      <c r="B104" s="14">
        <v>105.79</v>
      </c>
      <c r="C104" s="14">
        <v>69.59</v>
      </c>
      <c r="D104" s="15">
        <v>1534.196881258</v>
      </c>
      <c r="E104" s="13">
        <f>B104/C104</f>
        <v>1.5201896824256358</v>
      </c>
      <c r="F104" s="14">
        <f>B104-C104</f>
        <v>36.2</v>
      </c>
    </row>
    <row r="105">
      <c r="A105" s="6" t="s">
        <v>417</v>
      </c>
      <c r="B105" s="14">
        <v>107.93</v>
      </c>
      <c r="C105" s="14">
        <v>70.32</v>
      </c>
      <c r="D105" s="15">
        <v>1550.2906263839998</v>
      </c>
      <c r="E105" s="13">
        <f>B105/C105</f>
        <v>1.534840728100114</v>
      </c>
      <c r="F105" s="14">
        <f>B105-C105</f>
        <v>37.610000000000014</v>
      </c>
    </row>
    <row r="106">
      <c r="A106" s="6" t="s">
        <v>418</v>
      </c>
      <c r="B106" s="14">
        <v>104.12</v>
      </c>
      <c r="C106" s="14">
        <v>70.52</v>
      </c>
      <c r="D106" s="15">
        <v>1554.6998716239998</v>
      </c>
      <c r="E106" s="13">
        <f>B106/C106</f>
        <v>1.4764605785592742</v>
      </c>
      <c r="F106" s="14">
        <f>B106-C106</f>
        <v>33.60000000000001</v>
      </c>
    </row>
    <row r="107">
      <c r="A107" s="6" t="s">
        <v>419</v>
      </c>
      <c r="B107" s="14">
        <v>98.84</v>
      </c>
      <c r="C107" s="14">
        <v>68.61</v>
      </c>
      <c r="D107" s="15">
        <v>1512.591579582</v>
      </c>
      <c r="E107" s="13">
        <f>B107/C107</f>
        <v>1.440606325608512</v>
      </c>
      <c r="F107" s="14">
        <f>B107-C107</f>
        <v>30.230000000000004</v>
      </c>
    </row>
    <row r="108">
      <c r="A108" s="6" t="s">
        <v>420</v>
      </c>
      <c r="B108" s="14">
        <v>95.31</v>
      </c>
      <c r="C108" s="14">
        <v>65.06</v>
      </c>
      <c r="D108" s="15">
        <v>1434.327476572</v>
      </c>
      <c r="E108" s="13">
        <f>B108/C108</f>
        <v>1.4649554257608361</v>
      </c>
      <c r="F108" s="14">
        <f>B108-C108</f>
        <v>30.25</v>
      </c>
    </row>
    <row r="109">
      <c r="A109" s="6" t="s">
        <v>421</v>
      </c>
      <c r="B109" s="14">
        <v>94.86</v>
      </c>
      <c r="C109" s="14">
        <v>62.45</v>
      </c>
      <c r="D109" s="15">
        <v>1376.78682619</v>
      </c>
      <c r="E109" s="13">
        <f>B109/C109</f>
        <v>1.5189751801441151</v>
      </c>
      <c r="F109" s="14">
        <f>B109-C109</f>
        <v>32.41</v>
      </c>
    </row>
    <row r="110">
      <c r="A110" s="6" t="s">
        <v>422</v>
      </c>
      <c r="B110" s="14">
        <v>104.44</v>
      </c>
      <c r="C110" s="14">
        <v>65.41</v>
      </c>
      <c r="D110" s="15">
        <v>1442.0436557419998</v>
      </c>
      <c r="E110" s="13">
        <f>B110/C110</f>
        <v>1.5966977526372115</v>
      </c>
      <c r="F110" s="14">
        <f>B110-C110</f>
        <v>39.03</v>
      </c>
    </row>
    <row r="111">
      <c r="A111" s="6" t="s">
        <v>423</v>
      </c>
      <c r="B111" s="14">
        <v>109.01</v>
      </c>
      <c r="C111" s="14">
        <v>64.83</v>
      </c>
      <c r="D111" s="15">
        <v>1429.256844546</v>
      </c>
      <c r="E111" s="13">
        <f>B111/C111</f>
        <v>1.6814746259447788</v>
      </c>
      <c r="F111" s="14">
        <f>B111-C111</f>
        <v>44.18000000000001</v>
      </c>
    </row>
    <row r="112">
      <c r="A112" s="6" t="s">
        <v>424</v>
      </c>
      <c r="B112" s="14">
        <v>99.87</v>
      </c>
      <c r="C112" s="14">
        <v>60.9</v>
      </c>
      <c r="D112" s="15">
        <v>1342.61517558</v>
      </c>
      <c r="E112" s="13">
        <f>B112/C112</f>
        <v>1.6399014778325125</v>
      </c>
      <c r="F112" s="14">
        <f>B112-C112</f>
        <v>38.970000000000006</v>
      </c>
    </row>
    <row r="113">
      <c r="A113" s="6" t="s">
        <v>425</v>
      </c>
      <c r="B113" s="14">
        <v>102.81</v>
      </c>
      <c r="C113" s="14">
        <v>60.31</v>
      </c>
      <c r="D113" s="15">
        <v>1329.607902122</v>
      </c>
      <c r="E113" s="13">
        <f>B113/C113</f>
        <v>1.7046924224838336</v>
      </c>
      <c r="F113" s="14">
        <f>B113-C113</f>
        <v>42.5</v>
      </c>
    </row>
    <row r="114">
      <c r="A114" s="6" t="s">
        <v>426</v>
      </c>
      <c r="B114" s="14">
        <v>102.41</v>
      </c>
      <c r="C114" s="14">
        <v>58.34</v>
      </c>
      <c r="D114" s="15">
        <v>1286.176836508</v>
      </c>
      <c r="E114" s="13">
        <f>B114/C114</f>
        <v>1.7553993829276653</v>
      </c>
      <c r="F114" s="14">
        <f>B114-C114</f>
        <v>44.06999999999999</v>
      </c>
    </row>
    <row r="115">
      <c r="A115" s="6" t="s">
        <v>427</v>
      </c>
      <c r="B115" s="14">
        <v>113.31</v>
      </c>
      <c r="C115" s="14">
        <v>63</v>
      </c>
      <c r="D115" s="15">
        <v>1388.9122505999999</v>
      </c>
      <c r="E115" s="13">
        <f>B115/C115</f>
        <v>1.7985714285714287</v>
      </c>
      <c r="F115" s="14">
        <f>B115-C115</f>
        <v>50.31</v>
      </c>
    </row>
    <row r="116">
      <c r="A116" s="6" t="s">
        <v>428</v>
      </c>
      <c r="B116" s="14">
        <v>131.44</v>
      </c>
      <c r="C116" s="14">
        <v>63.87</v>
      </c>
      <c r="D116" s="15">
        <v>1408.0924673939999</v>
      </c>
      <c r="E116" s="13">
        <f>B116/C116</f>
        <v>2.0579301706591515</v>
      </c>
      <c r="F116" s="14">
        <f>B116-C116</f>
        <v>67.57</v>
      </c>
    </row>
    <row r="117">
      <c r="A117" s="6" t="s">
        <v>429</v>
      </c>
      <c r="B117" s="14">
        <v>117.05</v>
      </c>
      <c r="C117" s="14">
        <v>61.03</v>
      </c>
      <c r="D117" s="15">
        <v>1345.481184986</v>
      </c>
      <c r="E117" s="13">
        <f>B117/C117</f>
        <v>1.9179092249713254</v>
      </c>
      <c r="F117" s="14">
        <f>B117-C117</f>
        <v>56.019999999999996</v>
      </c>
    </row>
    <row r="118">
      <c r="A118" s="6" t="s">
        <v>430</v>
      </c>
      <c r="B118" s="14">
        <v>106.69</v>
      </c>
      <c r="C118" s="14">
        <v>59.02</v>
      </c>
      <c r="D118" s="15">
        <v>1301.168270324</v>
      </c>
      <c r="E118" s="13">
        <f>B118/C118</f>
        <v>1.8076923076923075</v>
      </c>
      <c r="F118" s="14">
        <f>B118-C118</f>
        <v>47.669999999999995</v>
      </c>
    </row>
    <row r="119">
      <c r="A119" s="6" t="s">
        <v>431</v>
      </c>
      <c r="B119" s="14">
        <v>116.09</v>
      </c>
      <c r="C119" s="14">
        <v>57.39</v>
      </c>
      <c r="D119" s="15">
        <v>1265.232921618</v>
      </c>
      <c r="E119" s="13">
        <f>B119/C119</f>
        <v>2.0228262763547655</v>
      </c>
      <c r="F119" s="14">
        <f>B119-C119</f>
        <v>58.7</v>
      </c>
    </row>
    <row r="120">
      <c r="A120" s="6" t="s">
        <v>432</v>
      </c>
      <c r="B120" s="14">
        <v>115.55</v>
      </c>
      <c r="C120" s="14">
        <v>54.4</v>
      </c>
      <c r="D120" s="15">
        <v>1199.31470528</v>
      </c>
      <c r="E120" s="13">
        <f>B120/C120</f>
        <v>2.124080882352941</v>
      </c>
      <c r="F120" s="14">
        <f>B120-C120</f>
        <v>61.15</v>
      </c>
    </row>
    <row r="121">
      <c r="A121" s="6" t="s">
        <v>433</v>
      </c>
      <c r="B121" s="14">
        <v>107.54</v>
      </c>
      <c r="C121" s="14">
        <v>54.67</v>
      </c>
      <c r="D121" s="15">
        <v>1205.267186354</v>
      </c>
      <c r="E121" s="13">
        <f>B121/C121</f>
        <v>1.967075178342784</v>
      </c>
      <c r="F121" s="14">
        <f>B121-C121</f>
        <v>52.870000000000005</v>
      </c>
    </row>
    <row r="122">
      <c r="A122" s="6" t="s">
        <v>434</v>
      </c>
      <c r="B122" s="14">
        <v>99.5</v>
      </c>
      <c r="C122" s="14">
        <v>54.77</v>
      </c>
      <c r="D122" s="15">
        <v>1207.471808974</v>
      </c>
      <c r="E122" s="13">
        <f>B122/C122</f>
        <v>1.8166879678656198</v>
      </c>
      <c r="F122" s="14">
        <f>B122-C122</f>
        <v>44.73</v>
      </c>
    </row>
    <row r="123">
      <c r="A123" s="6" t="s">
        <v>435</v>
      </c>
      <c r="B123" s="14">
        <v>106.2</v>
      </c>
      <c r="C123" s="14">
        <v>57.92</v>
      </c>
      <c r="D123" s="15">
        <v>1276.917421504</v>
      </c>
      <c r="E123" s="13">
        <f>B123/C123</f>
        <v>1.8335635359116023</v>
      </c>
      <c r="F123" s="14">
        <f>B123-C123</f>
        <v>48.28</v>
      </c>
    </row>
    <row r="124">
      <c r="A124" s="6" t="s">
        <v>436</v>
      </c>
      <c r="B124" s="14">
        <v>120.98</v>
      </c>
      <c r="C124" s="14">
        <v>62.89</v>
      </c>
      <c r="D124" s="15">
        <v>1386.487165718</v>
      </c>
      <c r="E124" s="13">
        <f>B124/C124</f>
        <v>1.9236762601367468</v>
      </c>
      <c r="F124" s="14">
        <f>B124-C124</f>
        <v>58.09</v>
      </c>
    </row>
    <row r="125">
      <c r="A125" s="6" t="s">
        <v>437</v>
      </c>
      <c r="B125" s="14">
        <v>122.08</v>
      </c>
      <c r="C125" s="14">
        <v>63.35</v>
      </c>
      <c r="D125" s="15">
        <v>1396.62842977</v>
      </c>
      <c r="E125" s="13">
        <f>B125/C125</f>
        <v>1.9270718232044197</v>
      </c>
      <c r="F125" s="14">
        <f>B125-C125</f>
        <v>58.73</v>
      </c>
    </row>
    <row r="126">
      <c r="A126" s="6" t="s">
        <v>438</v>
      </c>
      <c r="B126" s="14">
        <v>110.7</v>
      </c>
      <c r="C126" s="14">
        <v>59.14</v>
      </c>
      <c r="D126" s="15">
        <v>1303.813817468</v>
      </c>
      <c r="E126" s="13">
        <f>B126/C126</f>
        <v>1.8718295569834291</v>
      </c>
      <c r="F126" s="14">
        <f>B126-C126</f>
        <v>51.56</v>
      </c>
    </row>
    <row r="127">
      <c r="A127" s="6" t="s">
        <v>439</v>
      </c>
      <c r="B127" s="14">
        <v>115.48</v>
      </c>
      <c r="C127" s="14">
        <v>62.82</v>
      </c>
      <c r="D127" s="15">
        <v>1384.943929884</v>
      </c>
      <c r="E127" s="13">
        <f>B127/C127</f>
        <v>1.8382680674944285</v>
      </c>
      <c r="F127" s="14">
        <f>B127-C127</f>
        <v>52.660000000000004</v>
      </c>
    </row>
    <row r="128">
      <c r="A128" s="6" t="s">
        <v>440</v>
      </c>
      <c r="B128" s="14">
        <v>124.46</v>
      </c>
      <c r="C128" s="14">
        <v>62.41</v>
      </c>
      <c r="D128" s="15">
        <v>1375.904977142</v>
      </c>
      <c r="E128" s="13">
        <f>B128/C128</f>
        <v>1.99423169363884</v>
      </c>
      <c r="F128" s="14">
        <f>B128-C128</f>
        <v>62.05</v>
      </c>
    </row>
    <row r="129">
      <c r="A129" s="6" t="s">
        <v>441</v>
      </c>
      <c r="B129" s="14">
        <v>127.59</v>
      </c>
      <c r="C129" s="14">
        <v>60.54</v>
      </c>
      <c r="D129" s="15">
        <v>1334.678534148</v>
      </c>
      <c r="E129" s="13">
        <f>B129/C129</f>
        <v>2.107532210109019</v>
      </c>
      <c r="F129" s="14">
        <f>B129-C129</f>
        <v>67.05000000000001</v>
      </c>
    </row>
    <row r="130">
      <c r="A130" s="6" t="s">
        <v>442</v>
      </c>
      <c r="B130" s="14">
        <v>129.69</v>
      </c>
      <c r="C130" s="14">
        <v>63.07</v>
      </c>
      <c r="D130" s="15">
        <v>1390.455486434</v>
      </c>
      <c r="E130" s="13">
        <f>B130/C130</f>
        <v>2.05628666560964</v>
      </c>
      <c r="F130" s="14">
        <f>B130-C130</f>
        <v>66.62</v>
      </c>
    </row>
    <row r="131">
      <c r="A131" s="6" t="s">
        <v>443</v>
      </c>
      <c r="B131" s="14">
        <v>131.72</v>
      </c>
      <c r="C131" s="14">
        <v>63.9</v>
      </c>
      <c r="D131" s="15">
        <v>1408.75385418</v>
      </c>
      <c r="E131" s="13">
        <f>B131/C131</f>
        <v>2.0613458528951485</v>
      </c>
      <c r="F131" s="14">
        <f>B131-C131</f>
        <v>67.82</v>
      </c>
    </row>
    <row r="132">
      <c r="A132" s="6" t="s">
        <v>444</v>
      </c>
      <c r="B132" s="14">
        <v>134.77</v>
      </c>
      <c r="C132" s="14">
        <v>63.76</v>
      </c>
      <c r="D132" s="15">
        <v>1405.667382512</v>
      </c>
      <c r="E132" s="13">
        <f>B132/C132</f>
        <v>2.1137076537013804</v>
      </c>
      <c r="F132" s="14">
        <f>B132-C132</f>
        <v>71.01000000000002</v>
      </c>
    </row>
    <row r="133">
      <c r="A133" s="6" t="s">
        <v>445</v>
      </c>
      <c r="B133" s="14">
        <v>152.42</v>
      </c>
      <c r="C133" s="14">
        <v>69.15</v>
      </c>
      <c r="D133" s="15">
        <v>1524.49654173</v>
      </c>
      <c r="E133" s="13">
        <f>B133/C133</f>
        <v>2.204193781634128</v>
      </c>
      <c r="F133" s="14">
        <f>B133-C133</f>
        <v>83.26999999999998</v>
      </c>
    </row>
    <row r="134">
      <c r="A134" s="6" t="s">
        <v>446</v>
      </c>
      <c r="B134" s="14">
        <v>156.43</v>
      </c>
      <c r="C134" s="14">
        <v>73.16</v>
      </c>
      <c r="D134" s="15">
        <v>1612.9019087919999</v>
      </c>
      <c r="E134" s="13">
        <f>B134/C134</f>
        <v>2.13819026790596</v>
      </c>
      <c r="F134" s="14">
        <f>B134-C134</f>
        <v>83.27000000000001</v>
      </c>
    </row>
    <row r="135">
      <c r="A135" s="6" t="s">
        <v>447</v>
      </c>
      <c r="B135" s="14">
        <v>168.55</v>
      </c>
      <c r="C135" s="14">
        <v>81.17</v>
      </c>
      <c r="D135" s="15">
        <v>1789.492180654</v>
      </c>
      <c r="E135" s="13">
        <f>B135/C135</f>
        <v>2.0765060983121844</v>
      </c>
      <c r="F135" s="14">
        <f>B135-C135</f>
        <v>87.38000000000001</v>
      </c>
    </row>
    <row r="136">
      <c r="A136" s="6" t="s">
        <v>448</v>
      </c>
      <c r="B136" s="14">
        <v>181.93</v>
      </c>
      <c r="C136" s="14">
        <v>84.72</v>
      </c>
      <c r="D136" s="15">
        <v>1867.756283664</v>
      </c>
      <c r="E136" s="13">
        <f>B136/C136</f>
        <v>2.147426817752597</v>
      </c>
      <c r="F136" s="14">
        <f>B136-C136</f>
        <v>97.21000000000001</v>
      </c>
    </row>
    <row r="137">
      <c r="A137" s="6" t="s">
        <v>449</v>
      </c>
      <c r="B137" s="14">
        <v>191.3</v>
      </c>
      <c r="C137" s="14">
        <v>94.91</v>
      </c>
      <c r="D137" s="15">
        <v>2092.407328642</v>
      </c>
      <c r="E137" s="13">
        <f>B137/C137</f>
        <v>2.015593720366663</v>
      </c>
      <c r="F137" s="14">
        <f>B137-C137</f>
        <v>96.39000000000001</v>
      </c>
    </row>
    <row r="138">
      <c r="A138" s="6" t="s">
        <v>450</v>
      </c>
      <c r="B138" s="14">
        <v>206.05</v>
      </c>
      <c r="C138" s="14">
        <v>96.36</v>
      </c>
      <c r="D138" s="15">
        <v>2124.374356632</v>
      </c>
      <c r="E138" s="13">
        <f>B138/C138</f>
        <v>2.1383354088833544</v>
      </c>
      <c r="F138" s="14">
        <f>B138-C138</f>
        <v>109.69000000000001</v>
      </c>
    </row>
    <row r="139">
      <c r="A139" s="6" t="s">
        <v>451</v>
      </c>
      <c r="B139" s="14">
        <v>223.94</v>
      </c>
      <c r="C139" s="14">
        <v>100.3</v>
      </c>
      <c r="D139" s="15">
        <v>2211.2364878599997</v>
      </c>
      <c r="E139" s="13">
        <f>B139/C139</f>
        <v>2.232701894317049</v>
      </c>
      <c r="F139" s="14">
        <f>B139-C139</f>
        <v>123.64</v>
      </c>
    </row>
    <row r="140">
      <c r="A140" s="6" t="s">
        <v>452</v>
      </c>
      <c r="B140" s="14">
        <v>234.14</v>
      </c>
      <c r="C140" s="14">
        <v>104.14</v>
      </c>
      <c r="D140" s="15">
        <v>2295.893996468</v>
      </c>
      <c r="E140" s="13">
        <f>B140/C140</f>
        <v>2.2483195698098712</v>
      </c>
      <c r="F140" s="14">
        <f>B140-C140</f>
        <v>130</v>
      </c>
    </row>
    <row r="141">
      <c r="A141" s="6" t="s">
        <v>453</v>
      </c>
      <c r="B141" s="14">
        <v>236.13</v>
      </c>
      <c r="C141" s="14">
        <v>101.06</v>
      </c>
      <c r="D141" s="15">
        <v>2227.991619772</v>
      </c>
      <c r="E141" s="13">
        <f>B141/C141</f>
        <v>2.3365327528201068</v>
      </c>
      <c r="F141" s="14">
        <f>B141-C141</f>
        <v>135.07</v>
      </c>
    </row>
    <row r="142">
      <c r="A142" s="6" t="s">
        <v>454</v>
      </c>
      <c r="B142" s="14">
        <v>245.38</v>
      </c>
      <c r="C142" s="14">
        <v>100.58</v>
      </c>
      <c r="D142" s="15">
        <v>2217.409431196</v>
      </c>
      <c r="E142" s="13">
        <f>B142/C142</f>
        <v>2.4396500298270034</v>
      </c>
      <c r="F142" s="14">
        <f>B142-C142</f>
        <v>144.8</v>
      </c>
    </row>
    <row r="143">
      <c r="A143" s="6" t="s">
        <v>455</v>
      </c>
      <c r="B143" s="14">
        <v>222.44</v>
      </c>
      <c r="C143" s="14">
        <v>95.21</v>
      </c>
      <c r="D143" s="15">
        <v>2099.021196502</v>
      </c>
      <c r="E143" s="13">
        <f>B143/C143</f>
        <v>2.3363092112173094</v>
      </c>
      <c r="F143" s="14">
        <f>B143-C143</f>
        <v>127.23</v>
      </c>
    </row>
    <row r="144">
      <c r="A144" s="6" t="s">
        <v>456</v>
      </c>
      <c r="B144" s="14">
        <v>225.37</v>
      </c>
      <c r="C144" s="14">
        <v>95.07</v>
      </c>
      <c r="D144" s="15">
        <v>2095.934724834</v>
      </c>
      <c r="E144" s="13">
        <f>B144/C144</f>
        <v>2.3705690543809825</v>
      </c>
      <c r="F144" s="14">
        <f>B144-C144</f>
        <v>130.3</v>
      </c>
    </row>
    <row r="145">
      <c r="A145" s="6" t="s">
        <v>457</v>
      </c>
      <c r="B145" s="14">
        <v>218.61</v>
      </c>
      <c r="C145" s="14">
        <v>94.31</v>
      </c>
      <c r="D145" s="15">
        <v>2079.179592922</v>
      </c>
      <c r="E145" s="13">
        <f>B145/C145</f>
        <v>2.317993850068922</v>
      </c>
      <c r="F145" s="14">
        <f>B145-C145</f>
        <v>124.30000000000001</v>
      </c>
    </row>
    <row r="146">
      <c r="A146" s="6" t="s">
        <v>458</v>
      </c>
      <c r="B146" s="14">
        <v>229.38</v>
      </c>
      <c r="C146" s="14">
        <v>94.48</v>
      </c>
      <c r="D146" s="15">
        <v>2082.927451376</v>
      </c>
      <c r="E146" s="13">
        <f>B146/C146</f>
        <v>2.4278154106689245</v>
      </c>
      <c r="F146" s="14">
        <f>B146-C146</f>
        <v>134.89999999999998</v>
      </c>
    </row>
    <row r="147">
      <c r="A147" s="6" t="s">
        <v>459</v>
      </c>
      <c r="B147" s="14">
        <v>210.84</v>
      </c>
      <c r="C147" s="14">
        <v>89.6</v>
      </c>
      <c r="D147" s="15">
        <v>1975.3418675199998</v>
      </c>
      <c r="E147" s="13">
        <f>B147/C147</f>
        <v>2.3531250000000004</v>
      </c>
      <c r="F147" s="14">
        <f>B147-C147</f>
        <v>121.24000000000001</v>
      </c>
    </row>
    <row r="148">
      <c r="A148" s="6" t="s">
        <v>460</v>
      </c>
      <c r="B148" s="14">
        <v>218.53</v>
      </c>
      <c r="C148" s="14">
        <v>98.75</v>
      </c>
      <c r="D148" s="15">
        <v>2177.06483725</v>
      </c>
      <c r="E148" s="13">
        <f>B148/C148</f>
        <v>2.2129620253164557</v>
      </c>
      <c r="F148" s="14">
        <f>B148-C148</f>
        <v>119.78</v>
      </c>
    </row>
    <row r="149">
      <c r="A149" s="6" t="s">
        <v>461</v>
      </c>
      <c r="B149" s="14">
        <v>218.24</v>
      </c>
      <c r="C149" s="14">
        <v>100.49</v>
      </c>
      <c r="D149" s="15">
        <v>2215.425270838</v>
      </c>
      <c r="E149" s="13">
        <f>B149/C149</f>
        <v>2.171758383918798</v>
      </c>
      <c r="F149" s="14">
        <f>B149-C149</f>
        <v>117.75000000000001</v>
      </c>
    </row>
    <row r="150">
      <c r="A150" s="6" t="s">
        <v>462</v>
      </c>
      <c r="B150" s="14">
        <v>191.72</v>
      </c>
      <c r="C150" s="14">
        <v>92.16</v>
      </c>
      <c r="D150" s="15">
        <v>2031.7802065919998</v>
      </c>
      <c r="E150" s="13">
        <f>B150/C150</f>
        <v>2.080295138888889</v>
      </c>
      <c r="F150" s="14">
        <f>B150-C150</f>
        <v>99.56</v>
      </c>
    </row>
    <row r="151">
      <c r="A151" s="6" t="s">
        <v>463</v>
      </c>
      <c r="B151" s="14">
        <v>164.8</v>
      </c>
      <c r="C151" s="14">
        <v>82.67</v>
      </c>
      <c r="D151" s="15">
        <v>1822.561519954</v>
      </c>
      <c r="E151" s="13">
        <f>B151/C151</f>
        <v>1.9934680053223661</v>
      </c>
      <c r="F151" s="14">
        <f>B151-C151</f>
        <v>82.13000000000001</v>
      </c>
    </row>
    <row r="152">
      <c r="A152" s="6" t="s">
        <v>464</v>
      </c>
      <c r="B152" s="14">
        <v>166.21</v>
      </c>
      <c r="C152" s="14">
        <v>83.95</v>
      </c>
      <c r="D152" s="15">
        <v>1850.78068949</v>
      </c>
      <c r="E152" s="13">
        <f>B152/C152</f>
        <v>1.9798689696247767</v>
      </c>
      <c r="F152" s="14">
        <f>B152-C152</f>
        <v>82.26</v>
      </c>
    </row>
    <row r="153">
      <c r="A153" s="6" t="s">
        <v>465</v>
      </c>
      <c r="B153" s="14">
        <v>159.8</v>
      </c>
      <c r="C153" s="14">
        <v>85.82</v>
      </c>
      <c r="D153" s="15">
        <v>1892.0071324839998</v>
      </c>
      <c r="E153" s="13">
        <f>B153/C153</f>
        <v>1.8620368212537872</v>
      </c>
      <c r="F153" s="14">
        <f>B153-C153</f>
        <v>73.98000000000002</v>
      </c>
    </row>
    <row r="154">
      <c r="A154" s="6" t="s">
        <v>466</v>
      </c>
      <c r="B154" s="14">
        <v>180.93</v>
      </c>
      <c r="C154" s="14">
        <v>94.26</v>
      </c>
      <c r="D154" s="15">
        <v>2078.077281612</v>
      </c>
      <c r="E154" s="13">
        <f>B154/C154</f>
        <v>1.9194780394653086</v>
      </c>
      <c r="F154" s="14">
        <f>B154-C154</f>
        <v>86.67</v>
      </c>
    </row>
    <row r="155">
      <c r="A155" s="6" t="s">
        <v>467</v>
      </c>
      <c r="B155" s="14">
        <v>176.17</v>
      </c>
      <c r="C155" s="14">
        <v>96.6</v>
      </c>
      <c r="D155" s="15">
        <v>2129.66545092</v>
      </c>
      <c r="E155" s="13">
        <f>B155/C155</f>
        <v>1.8237060041407867</v>
      </c>
      <c r="F155" s="14">
        <f>B155-C155</f>
        <v>79.57</v>
      </c>
    </row>
    <row r="156">
      <c r="A156" s="6" t="s">
        <v>468</v>
      </c>
      <c r="B156" s="14">
        <v>187.3</v>
      </c>
      <c r="C156" s="14">
        <v>105.43</v>
      </c>
      <c r="D156" s="15">
        <v>2324.3336282660002</v>
      </c>
      <c r="E156" s="13">
        <f>B156/C156</f>
        <v>1.7765341933036138</v>
      </c>
      <c r="F156" s="14">
        <f>B156-C156</f>
        <v>81.87</v>
      </c>
    </row>
    <row r="157">
      <c r="A157" s="6" t="s">
        <v>469</v>
      </c>
      <c r="B157" s="14">
        <v>183.13</v>
      </c>
      <c r="C157" s="14">
        <v>112.56</v>
      </c>
      <c r="D157" s="15">
        <v>2481.523221072</v>
      </c>
      <c r="E157" s="13">
        <f>B157/C157</f>
        <v>1.626954513148543</v>
      </c>
      <c r="F157" s="14">
        <f>B157-C157</f>
        <v>70.57</v>
      </c>
    </row>
    <row r="158">
      <c r="A158" s="6" t="s">
        <v>470</v>
      </c>
      <c r="B158" s="14">
        <v>174.54</v>
      </c>
      <c r="C158" s="14">
        <v>119.23</v>
      </c>
      <c r="D158" s="15">
        <v>2628.571549826</v>
      </c>
      <c r="E158" s="13">
        <f>B158/C158</f>
        <v>1.4638933154407447</v>
      </c>
      <c r="F158" s="14">
        <f>B158-C158</f>
        <v>55.30999999999999</v>
      </c>
    </row>
    <row r="159">
      <c r="A159" s="6" t="s">
        <v>471</v>
      </c>
      <c r="B159" s="14">
        <v>159.57</v>
      </c>
      <c r="C159" s="14">
        <v>113.62</v>
      </c>
      <c r="D159" s="15">
        <v>2504.892220844</v>
      </c>
      <c r="E159" s="13">
        <f>B159/C159</f>
        <v>1.4044182362260165</v>
      </c>
      <c r="F159" s="14">
        <f>B159-C159</f>
        <v>45.94999999999999</v>
      </c>
    </row>
    <row r="160">
      <c r="A160" s="6" t="s">
        <v>472</v>
      </c>
      <c r="B160" s="14">
        <v>156.56</v>
      </c>
      <c r="C160" s="14">
        <v>111.34</v>
      </c>
      <c r="D160" s="15">
        <v>2454.626825108</v>
      </c>
      <c r="E160" s="13">
        <f>B160/C160</f>
        <v>1.4061433447098977</v>
      </c>
      <c r="F160" s="14">
        <f>B160-C160</f>
        <v>45.22</v>
      </c>
    </row>
    <row r="161">
      <c r="A161" s="6" t="s">
        <v>473</v>
      </c>
      <c r="B161" s="14">
        <v>153.55</v>
      </c>
      <c r="C161" s="14">
        <v>109.14</v>
      </c>
      <c r="D161" s="15">
        <v>2406.125127468</v>
      </c>
      <c r="E161" s="13">
        <f>B161/C161</f>
        <v>1.4069085578156497</v>
      </c>
      <c r="F161" s="14">
        <f>B161-C161</f>
        <v>44.41000000000001</v>
      </c>
    </row>
    <row r="162">
      <c r="A162" s="6" t="s">
        <v>474</v>
      </c>
      <c r="B162" s="14">
        <v>155.91</v>
      </c>
      <c r="C162" s="14">
        <v>105.4</v>
      </c>
      <c r="D162" s="15">
        <v>2323.67224148</v>
      </c>
      <c r="E162" s="13">
        <f>B162/C162</f>
        <v>1.479222011385199</v>
      </c>
      <c r="F162" s="14">
        <f>B162-C162</f>
        <v>50.50999999999999</v>
      </c>
    </row>
    <row r="163">
      <c r="A163" s="6" t="s">
        <v>475</v>
      </c>
      <c r="B163" s="14">
        <v>170.25</v>
      </c>
      <c r="C163" s="14">
        <v>110.45</v>
      </c>
      <c r="D163" s="15">
        <v>2435.00568379</v>
      </c>
      <c r="E163" s="13">
        <f>B163/C163</f>
        <v>1.5414214576731553</v>
      </c>
      <c r="F163" s="14">
        <f>B163-C163</f>
        <v>59.8</v>
      </c>
    </row>
    <row r="164">
      <c r="A164" s="6" t="s">
        <v>476</v>
      </c>
      <c r="B164" s="14">
        <v>186.67</v>
      </c>
      <c r="C164" s="14">
        <v>123.91</v>
      </c>
      <c r="D164" s="15">
        <v>2731.7478884419997</v>
      </c>
      <c r="E164" s="13">
        <f>B164/C164</f>
        <v>1.5064966507949318</v>
      </c>
      <c r="F164" s="14">
        <f>B164-C164</f>
        <v>62.75999999999999</v>
      </c>
    </row>
    <row r="165">
      <c r="A165" s="6" t="s">
        <v>477</v>
      </c>
      <c r="B165" s="14">
        <v>183.06</v>
      </c>
      <c r="C165" s="14">
        <v>135.84</v>
      </c>
      <c r="D165" s="15">
        <v>2994.759367008</v>
      </c>
      <c r="E165" s="13">
        <f>B165/C165</f>
        <v>1.3476148409893993</v>
      </c>
      <c r="F165" s="14">
        <f>B165-C165</f>
        <v>47.22</v>
      </c>
    </row>
    <row r="166">
      <c r="A166" s="6" t="s">
        <v>478</v>
      </c>
      <c r="B166" s="14">
        <v>185.37</v>
      </c>
      <c r="C166" s="14">
        <v>142.43</v>
      </c>
      <c r="D166" s="15">
        <v>3140.043997666</v>
      </c>
      <c r="E166" s="13">
        <f>B166/C166</f>
        <v>1.3014814294741277</v>
      </c>
      <c r="F166" s="14">
        <f>B166-C166</f>
        <v>42.94</v>
      </c>
    </row>
    <row r="167">
      <c r="A167" s="6" t="s">
        <v>479</v>
      </c>
      <c r="B167" s="14">
        <v>184.59</v>
      </c>
      <c r="C167" s="14">
        <v>148.53</v>
      </c>
      <c r="D167" s="15">
        <v>3274.525977486</v>
      </c>
      <c r="E167" s="13">
        <f>B167/C167</f>
        <v>1.2427792365178751</v>
      </c>
      <c r="F167" s="14">
        <f>B167-C167</f>
        <v>36.06</v>
      </c>
    </row>
    <row r="168">
      <c r="A168" s="6" t="s">
        <v>480</v>
      </c>
      <c r="B168" s="14">
        <v>217.97</v>
      </c>
      <c r="C168" s="14">
        <v>176.04</v>
      </c>
      <c r="D168" s="15">
        <v>3881.0176602479996</v>
      </c>
      <c r="E168" s="13">
        <f>B168/C168</f>
        <v>1.238184503521927</v>
      </c>
      <c r="F168" s="14">
        <f>B168-C168</f>
        <v>41.93000000000001</v>
      </c>
    </row>
    <row r="169">
      <c r="A169" s="6" t="s">
        <v>481</v>
      </c>
      <c r="B169" s="14">
        <v>208.86</v>
      </c>
      <c r="C169" s="14">
        <v>165.11</v>
      </c>
      <c r="D169" s="15">
        <v>3640.0524078820004</v>
      </c>
      <c r="E169" s="13">
        <f>B169/C169</f>
        <v>1.2649748652413542</v>
      </c>
      <c r="F169" s="14">
        <f>B169-C169</f>
        <v>43.75</v>
      </c>
    </row>
    <row r="170">
      <c r="A170" s="6" t="s">
        <v>482</v>
      </c>
      <c r="B170" s="14">
        <v>226.47</v>
      </c>
      <c r="C170" s="14">
        <v>182.82</v>
      </c>
      <c r="D170" s="15">
        <v>4030.491073884</v>
      </c>
      <c r="E170" s="13">
        <f>B170/C170</f>
        <v>1.2387594355103382</v>
      </c>
      <c r="F170" s="14">
        <f>B170-C170</f>
        <v>43.650000000000006</v>
      </c>
    </row>
    <row r="171">
      <c r="A171" s="6" t="s">
        <v>483</v>
      </c>
      <c r="B171" s="14">
        <v>235.15</v>
      </c>
      <c r="C171" s="14">
        <v>193.93</v>
      </c>
      <c r="D171" s="15">
        <v>4275.424646966</v>
      </c>
      <c r="E171" s="13">
        <f>B171/C171</f>
        <v>1.2125509204352085</v>
      </c>
      <c r="F171" s="14">
        <f>B171-C171</f>
        <v>41.22</v>
      </c>
    </row>
    <row r="172">
      <c r="A172" s="6" t="s">
        <v>484</v>
      </c>
      <c r="B172" s="14">
        <v>239.29</v>
      </c>
      <c r="C172" s="14">
        <v>197.81</v>
      </c>
      <c r="D172" s="15">
        <v>4360.964004622</v>
      </c>
      <c r="E172" s="13">
        <f>B172/C172</f>
        <v>1.2096961730953946</v>
      </c>
      <c r="F172" s="14">
        <f>B172-C172</f>
        <v>41.47999999999999</v>
      </c>
    </row>
    <row r="173">
      <c r="A173" s="6" t="s">
        <v>312</v>
      </c>
      <c r="B173" s="14">
        <v>254.43</v>
      </c>
      <c r="C173" s="14">
        <v>225.13</v>
      </c>
      <c r="D173" s="15">
        <v>4963.266904405999</v>
      </c>
      <c r="E173" s="13">
        <f>B173/C173</f>
        <v>1.1301470261626616</v>
      </c>
      <c r="F173" s="14">
        <f>B173-C173</f>
        <v>29.30000000000001</v>
      </c>
    </row>
    <row r="174">
      <c r="A174" s="6" t="s">
        <v>485</v>
      </c>
      <c r="B174" s="14">
        <v>250.62</v>
      </c>
      <c r="C174" s="14">
        <v>207.11</v>
      </c>
      <c r="D174" s="15">
        <v>4565.993908282</v>
      </c>
      <c r="E174" s="13">
        <f>B174/C174</f>
        <v>1.21008159915021</v>
      </c>
      <c r="F174" s="14">
        <f>B174-C174</f>
        <v>43.50999999999999</v>
      </c>
    </row>
    <row r="175">
      <c r="A175" s="6" t="s">
        <v>486</v>
      </c>
      <c r="B175" s="14">
        <v>277.04</v>
      </c>
      <c r="C175" s="14">
        <v>214.43</v>
      </c>
      <c r="D175" s="15">
        <v>4727.372284066</v>
      </c>
      <c r="E175" s="13">
        <f>B175/C175</f>
        <v>1.2919833978454507</v>
      </c>
      <c r="F175" s="14">
        <f>B175-C175</f>
        <v>62.610000000000014</v>
      </c>
    </row>
    <row r="176">
      <c r="A176" s="6" t="s">
        <v>487</v>
      </c>
      <c r="B176" s="14">
        <v>317</v>
      </c>
      <c r="C176" s="14">
        <v>226.28</v>
      </c>
      <c r="D176" s="15">
        <v>4988.6200645359995</v>
      </c>
      <c r="E176" s="13">
        <f>B176/C176</f>
        <v>1.4009192151316952</v>
      </c>
      <c r="F176" s="14">
        <f>B176-C176</f>
        <v>90.72</v>
      </c>
    </row>
    <row r="177">
      <c r="A177" s="6" t="s">
        <v>488</v>
      </c>
      <c r="B177" s="14">
        <v>328.94</v>
      </c>
      <c r="C177" s="14">
        <v>234.33</v>
      </c>
      <c r="D177" s="15">
        <v>5166.092185446</v>
      </c>
      <c r="E177" s="13">
        <f>B177/C177</f>
        <v>1.4037468527290573</v>
      </c>
      <c r="F177" s="14">
        <f>B177-C177</f>
        <v>94.60999999999999</v>
      </c>
    </row>
    <row r="178">
      <c r="A178" s="6" t="s">
        <v>489</v>
      </c>
      <c r="B178" s="14">
        <v>388.18</v>
      </c>
      <c r="C178" s="14">
        <v>253.48</v>
      </c>
      <c r="D178" s="15">
        <v>5588.277417175999</v>
      </c>
      <c r="E178" s="13">
        <f>B178/C178</f>
        <v>1.5314028720214614</v>
      </c>
      <c r="F178" s="14">
        <f>B178-C178</f>
        <v>134.70000000000002</v>
      </c>
    </row>
    <row r="179">
      <c r="A179" s="6" t="s">
        <v>490</v>
      </c>
      <c r="B179" s="14">
        <v>382.75</v>
      </c>
      <c r="C179" s="14">
        <v>247.63</v>
      </c>
      <c r="D179" s="15">
        <v>5459.306993906</v>
      </c>
      <c r="E179" s="13">
        <f>B179/C179</f>
        <v>1.5456527884343578</v>
      </c>
      <c r="F179" s="14">
        <f>B179-C179</f>
        <v>135.12</v>
      </c>
    </row>
    <row r="180">
      <c r="A180" s="6" t="s">
        <v>491</v>
      </c>
      <c r="B180" s="14">
        <v>370.37</v>
      </c>
      <c r="C180" s="14">
        <v>235.69</v>
      </c>
      <c r="D180" s="15">
        <v>5196.075053078</v>
      </c>
      <c r="E180" s="13">
        <f>B180/C180</f>
        <v>1.5714285714285714</v>
      </c>
      <c r="F180" s="14">
        <f>B180-C180</f>
        <v>134.68</v>
      </c>
    </row>
    <row r="181">
      <c r="A181" s="6" t="s">
        <v>492</v>
      </c>
      <c r="B181" s="14">
        <v>368.21</v>
      </c>
      <c r="C181" s="14">
        <v>224.63</v>
      </c>
      <c r="D181" s="15">
        <v>4952.243791305999</v>
      </c>
      <c r="E181" s="13">
        <f>B181/C181</f>
        <v>1.6391844366291235</v>
      </c>
      <c r="F181" s="14">
        <f>B181-C181</f>
        <v>143.57999999999998</v>
      </c>
    </row>
    <row r="182">
      <c r="A182" s="6" t="s">
        <v>493</v>
      </c>
      <c r="B182" s="14">
        <v>329.56</v>
      </c>
      <c r="C182" s="14">
        <v>183.21</v>
      </c>
      <c r="D182" s="15">
        <v>4039.089102102</v>
      </c>
      <c r="E182" s="13">
        <f>B182/C182</f>
        <v>1.798810108618525</v>
      </c>
      <c r="F182" s="14">
        <f>B182-C182</f>
        <v>146.35</v>
      </c>
    </row>
    <row r="183">
      <c r="A183" s="6" t="s">
        <v>494</v>
      </c>
      <c r="B183" s="14">
        <v>289.17</v>
      </c>
      <c r="C183" s="14">
        <v>153.43</v>
      </c>
      <c r="D183" s="15">
        <v>3382.552485866</v>
      </c>
      <c r="E183" s="13">
        <f>B183/C183</f>
        <v>1.884703121944861</v>
      </c>
      <c r="F183" s="14">
        <f>B183-C183</f>
        <v>135.74</v>
      </c>
    </row>
    <row r="184">
      <c r="A184" s="6" t="s">
        <v>495</v>
      </c>
      <c r="B184" s="14">
        <v>328.57</v>
      </c>
      <c r="C184" s="14">
        <v>181.43</v>
      </c>
      <c r="D184" s="15">
        <v>3999.846819466</v>
      </c>
      <c r="E184" s="13">
        <f>B184/C184</f>
        <v>1.8110014881772583</v>
      </c>
      <c r="F184" s="14">
        <f>B184-C184</f>
        <v>147.14</v>
      </c>
    </row>
    <row r="185">
      <c r="A185" s="6" t="s">
        <v>496</v>
      </c>
      <c r="B185" s="14">
        <v>366.31</v>
      </c>
      <c r="C185" s="14">
        <v>197.56</v>
      </c>
      <c r="D185" s="15">
        <v>4355.452448072</v>
      </c>
      <c r="E185" s="13">
        <f>B185/C185</f>
        <v>1.8541708847944929</v>
      </c>
      <c r="F185" s="14">
        <f>B185-C185</f>
        <v>168.75</v>
      </c>
    </row>
    <row r="186">
      <c r="A186" s="6" t="s">
        <v>497</v>
      </c>
      <c r="B186" s="14">
        <v>366</v>
      </c>
      <c r="C186" s="14">
        <v>202.16</v>
      </c>
      <c r="D186" s="15">
        <v>4456.865088592</v>
      </c>
      <c r="E186" s="13">
        <f>B186/C186</f>
        <v>1.8104471705579739</v>
      </c>
      <c r="F186" s="14">
        <f>B186-C186</f>
        <v>163.84</v>
      </c>
    </row>
    <row r="187">
      <c r="A187" s="6" t="s">
        <v>498</v>
      </c>
      <c r="B187" s="14">
        <v>373.57</v>
      </c>
      <c r="C187" s="14">
        <v>202.33</v>
      </c>
      <c r="D187" s="15">
        <v>4460.612947046</v>
      </c>
      <c r="E187" s="13">
        <f>B187/C187</f>
        <v>1.846340137399298</v>
      </c>
      <c r="F187" s="14">
        <f>B187-C187</f>
        <v>171.23999999999998</v>
      </c>
    </row>
    <row r="188">
      <c r="A188" s="6" t="s">
        <v>499</v>
      </c>
      <c r="B188" s="14">
        <v>347.71</v>
      </c>
      <c r="C188" s="14">
        <v>178.87</v>
      </c>
      <c r="D188" s="15">
        <v>3943.408480394</v>
      </c>
      <c r="E188" s="13">
        <f>B188/C188</f>
        <v>1.9439257561357408</v>
      </c>
      <c r="F188" s="14">
        <f>B188-C188</f>
        <v>168.83999999999997</v>
      </c>
    </row>
    <row r="189">
      <c r="A189" s="6" t="s">
        <v>500</v>
      </c>
      <c r="B189" s="14">
        <v>334.99</v>
      </c>
      <c r="C189" s="14">
        <v>180.23</v>
      </c>
      <c r="D189" s="15">
        <v>3973.391348026</v>
      </c>
      <c r="E189" s="13">
        <f>B189/C189</f>
        <v>1.8586805748210622</v>
      </c>
      <c r="F189" s="14">
        <f>B189-C189</f>
        <v>154.76000000000002</v>
      </c>
    </row>
    <row r="190">
      <c r="A190" s="6" t="s">
        <v>501</v>
      </c>
      <c r="B190" s="14">
        <v>288.76</v>
      </c>
      <c r="C190" s="14">
        <v>166.06</v>
      </c>
      <c r="D190" s="15">
        <v>3660.996322772</v>
      </c>
      <c r="E190" s="13">
        <f>B190/C190</f>
        <v>1.7388895579910875</v>
      </c>
      <c r="F190" s="14">
        <f>B190-C190</f>
        <v>122.69999999999999</v>
      </c>
    </row>
    <row r="191">
      <c r="A191" s="6" t="s">
        <v>502</v>
      </c>
      <c r="B191" s="14">
        <v>290.18</v>
      </c>
      <c r="C191" s="14">
        <v>161.91</v>
      </c>
      <c r="D191" s="15">
        <v>3569.504484042</v>
      </c>
      <c r="E191" s="13">
        <f>B191/C191</f>
        <v>1.7922302513742203</v>
      </c>
      <c r="F191" s="14">
        <f>B191-C191</f>
        <v>128.27</v>
      </c>
    </row>
    <row r="192">
      <c r="A192" s="6" t="s">
        <v>503</v>
      </c>
      <c r="B192" s="14">
        <v>284.63</v>
      </c>
      <c r="C192" s="14">
        <v>150.65</v>
      </c>
      <c r="D192" s="15">
        <v>3321.26397703</v>
      </c>
      <c r="E192" s="13">
        <f>B192/C192</f>
        <v>1.8893461666113507</v>
      </c>
      <c r="F192" s="14">
        <f>B192-C192</f>
        <v>133.98</v>
      </c>
    </row>
    <row r="193">
      <c r="A193" s="6" t="s">
        <v>504</v>
      </c>
      <c r="B193" s="14">
        <v>268.18</v>
      </c>
      <c r="C193" s="14">
        <v>151.79</v>
      </c>
      <c r="D193" s="15">
        <v>3346.3966748979997</v>
      </c>
      <c r="E193" s="13">
        <f>B193/C193</f>
        <v>1.7667830555372555</v>
      </c>
      <c r="F193" s="14">
        <f>B193-C193</f>
        <v>116.39000000000001</v>
      </c>
    </row>
    <row r="194">
      <c r="A194" s="6" t="s">
        <v>505</v>
      </c>
      <c r="B194" s="14">
        <v>256.75</v>
      </c>
      <c r="C194" s="14">
        <v>155.9</v>
      </c>
      <c r="D194" s="15">
        <v>3437.0066645800002</v>
      </c>
      <c r="E194" s="13">
        <f>B194/C194</f>
        <v>1.646889031430404</v>
      </c>
      <c r="F194" s="14">
        <f>B194-C194</f>
        <v>100.85</v>
      </c>
    </row>
    <row r="195">
      <c r="A195" s="6" t="s">
        <v>506</v>
      </c>
      <c r="B195" s="14">
        <v>310.34</v>
      </c>
      <c r="C195" s="14">
        <v>172.73</v>
      </c>
      <c r="D195" s="15">
        <v>3808.0446515259996</v>
      </c>
      <c r="E195" s="13">
        <f>B195/C195</f>
        <v>1.7966768945753488</v>
      </c>
      <c r="F195" s="14">
        <f>B195-C195</f>
        <v>137.60999999999999</v>
      </c>
    </row>
    <row r="196">
      <c r="A196" s="6" t="s">
        <v>277</v>
      </c>
      <c r="B196" s="14">
        <v>313.2</v>
      </c>
      <c r="C196" s="14">
        <v>167.63</v>
      </c>
      <c r="D196" s="15">
        <v>3695.608897906</v>
      </c>
      <c r="E196" s="13">
        <f>B196/C196</f>
        <v>1.8684006442760843</v>
      </c>
      <c r="F196" s="14">
        <f>B196-C196</f>
        <v>145.57</v>
      </c>
    </row>
  </sheetData>
  <pageMargins left="0.5" right="0.5" top="0.75" bottom="0.75" header="0.3" footer="0.3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Lisez-moi</vt:lpstr>
      <vt:lpstr>1_Series</vt:lpstr>
      <vt:lpstr>2_Chocs</vt:lpstr>
      <vt:lpstr>3_Crise</vt:lpstr>
      <vt:lpstr>4_Long_terme</vt:lpstr>
      <vt:lpstr>5_Production_prix</vt:lpstr>
      <vt:lpstr>6_STU_prix</vt:lpstr>
      <vt:lpstr>7_Conso_prix</vt:lpstr>
      <vt:lpstr>8_KC_DF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Qu'est-ce qui définit le prix du café ?</dc:title>
  <dc:creator>Claude</dc:creator>
  <dcterms:created xsi:type="dcterms:W3CDTF">2026-10-01T18:26:07Z</dcterms:created>
  <dcterms:modified xsi:type="dcterms:W3CDTF">2026-10-01T18:26:07Z</dcterms:modified>
</cp:coreProperties>
</file>