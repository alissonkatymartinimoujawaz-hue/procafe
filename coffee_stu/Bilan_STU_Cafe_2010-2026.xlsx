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Lisez-moi" sheetId="1" r:id="rId1"/>
    <sheet name="1_Monde" sheetId="2" r:id="rId2"/>
    <sheet name="2_Arabica" sheetId="3" r:id="rId3"/>
    <sheet name="3_Robusta" sheetId="4" r:id="rId4"/>
    <sheet name="4_STU_pays" sheetId="5" r:id="rId5"/>
    <sheet name="5_Analyse" sheetId="6" r:id="rId6"/>
    <sheet name="6_Situations" sheetId="7" r:id="rId7"/>
    <sheet name="7_Bresil_arabica" sheetId="8" r:id="rId8"/>
    <sheet name="8_Graphiques_pays" sheetId="9" r:id="rId9"/>
    <sheet name="Donnees_USDA" sheetId="10" r:id="rId10"/>
    <sheet name="Prix_ICE" sheetId="11" r:id="rId11"/>
    <sheet name="Stocks_certifies" sheetId="12" r:id="rId12"/>
  </sheets>
  <calcPr calcId="191029" fullCalcOnLoad="1"/>
</workbook>
</file>

<file path=xl/sharedStrings.xml><?xml version="1.0" encoding="utf-8"?>
<sst xmlns="http://schemas.openxmlformats.org/spreadsheetml/2006/main" count="4041" uniqueCount="566">
  <si>
    <t>Bilan stock-to-use du café et prix KC1 / DF1 — campagnes 2010/11 à 2026/27</t>
  </si>
  <si>
    <t>Ce que demande l'analyse</t>
  </si>
  <si>
    <t>Calculer le stock-to-use (STU) du café, le comparer au prix, et comprendre comment le prix réagit selon son niveau, pour prévoir le prix à partir de la production.</t>
  </si>
  <si>
    <t>Définitions</t>
  </si>
  <si>
    <t>STU = stocks de fin ÷ (consommation domestique + exportations), données USDA. Monde = somme des 93 pays du fichier USDA.</t>
  </si>
  <si>
    <t>STU certifié = stocks certifiés ICE en fin de campagne (fin septembre ; fin août 2026 pour 2025/26) ÷ (consommation domestique + exportations). New York pour l'arabica, Londres pour le robusta, les deux pour le total.</t>
  </si>
  <si>
    <t>Prix : moyenne de la campagne octobre-septembre de ICE New York (KC) et ICE Londres (DF), moyennes mensuelles publiées par l'ICO (2e-3e positions, proxy de KC1 / DF1). 2025/26 = octobre 2025 → août 2026 (11 mois).</t>
  </si>
  <si>
    <t>Arabica et robusta : ce que l'USDA publie et comment le STU est calculé</t>
  </si>
  <si>
    <t>Pour chaque pays, l'USDA publie la production arabica et la production robusta, mais un seul chiffre de stocks de fin, de consommation et d'exportations, toutes espèces confondues (vérifié sur les 19 attributs du fichier : exportations, importations et consommation ne sont ventilées que par forme — vert, torréfié, soluble). Il n'existe donc pas de « stocks de fin arabica » USDA, même pays par pays.</t>
  </si>
  <si>
    <t>Calcul : pour chacun des 42 pays d'origine (producteurs exportateurs nets), stocks et utilisation sont multipliés par la part de l'espèce dans sa production de l'année, puis additionnés. Pour les pays à une seule espèce (Colombie, Éthiopie, Honduras : 100 % arabica), c'est le chiffre USDA exact ; le Vietnam est à ≈ 96-97 % robusta. La répartition porte sur les pays mixtes : Brésil (60 à 81 % d'arabica selon l'année), Inde, Ouganda, Indonésie, Mexique, etc.</t>
  </si>
  <si>
    <t>Ces STU arabica / robusta sont ceux des PAYS D'ORIGINE : les stocks des pays consommateurs (UE, États-Unis, Japon : 51 à 77 % des stocks mondiaux, dont les stocks certifiés) ne sont pas répartis par espèce et ne figurent que dans le STU mondial.</t>
  </si>
  <si>
    <t>Contrôles : les colonnes J-K des onglets 2 et 3 recalculent le STU sans aucune répartition. Espèce majoritaire : même courbe (corrélation 0,99 arabica, 0,94 robusta). Pays purs ≥ 90 % : même forme en robusta (0,88), courbe différente en arabica (0,31) car le Brésil en est exclu.</t>
  </si>
  <si>
    <t>Correction par rapport aux versions précédentes : les États-Unis, les Philippines, la Chine, Panama et le Venezuela produisent un peu de café mais importent plus qu'ils n'exportent. Leurs stocks (5,7 M sacs pour les États-Unis) ne sont plus comptés dans le STU arabica / robusta ; ils restent dans le total mondial. Effet : STU arabica plus bas de 1,9 à 4,6 points ; les conclusions ne changent pas.</t>
  </si>
  <si>
    <t>Onglets</t>
  </si>
  <si>
    <t>1_Monde : production mondiale, STU mondial et STU certifié, avec KC1 et DF1 (3 graphiques).</t>
  </si>
  <si>
    <t>2_Arabica : production arabica, STU arabica, STU certifié New York, avec KC1 (3 graphiques). 3_Robusta : idem avec les stocks certifiés de Londres et le DF1.</t>
  </si>
  <si>
    <t>4_STU_pays : STU de chacun des 42 pays d'origine, campagne par campagne, avec les indicateurs d'importance (taille, chocs, coussin).</t>
  </si>
  <si>
    <t>5_Analyse : réactions du prix, anticipation des récoltes, réaction des stocks certifiés, courbe prix / STU, régimes, chaîne production → STU → prix.</t>
  </si>
  <si>
    <t>6_Situations : ce que fait le prix quand stocks USDA et stocks certifiés vont dans le même sens ou divergent, et rendement des 12 mois suivants selon le niveau des certifiés.</t>
  </si>
  <si>
    <t>8_Graphiques_pays : production du Brésil et du Vietnam, STU mondial (deux définitions), STU du Brésil, du Vietnam et des pays arabica / robusta, STU des stocks certifiés, chacun avec son prix (10 graphiques).</t>
  </si>
  <si>
    <t>7_Bresil_arabica : le Brésil seul — production d'arabica, stock-to-use (stocks de fin ÷ (conso + export)) et KC1, avec 2 graphiques. L'USDA ne sépare pas les stocks brésiliens par espèce : le STU arabica du Brésil est égal au STU du Brésil.</t>
  </si>
  <si>
    <t>Donnees_USDA, Prix_ICE, Stocks_certifies : toutes les données sources. Les formules sont vivantes : changer une donnée USDA met à jour les graphiques.</t>
  </si>
  <si>
    <t>Limites</t>
  </si>
  <si>
    <t>16 campagnes (15 avec stocks certifiés), très autocorrélées (≈ 4 à 7 observations indépendantes) : des ordres de grandeur, pas des lois. Le lien STU mondial / prix repose surtout sur 2023/24-2025/26. Campagnes USDA locales (Brésil juillet-juin) contre prix octobre-septembre. Prix non corrigés de l'inflation ni du real brésilien. Les stocks USDA sont en partie estimés, pour tous les pays (États-Unis figés à 5,7 M sacs depuis 2022/23).</t>
  </si>
  <si>
    <t>1 — Monde : production, stock-to-use et stock-to-use des stocks certifiés, avec KC1 et DF1</t>
  </si>
  <si>
    <t>STU = stocks de fin ÷ (consommation domestique + exportations), somme des 93 pays USDA. STU certifié = (stocks certifiés New York + Londres, fin de campagne) ÷ (consommation + exportations).</t>
  </si>
  <si>
    <t>Prix : moyenne octobre-septembre, KC1 et DF1 en US c/lb pour partager l'axe (DF1 en US$/t dans la colonne M).</t>
  </si>
  <si>
    <t>Campagne</t>
  </si>
  <si>
    <t>Production monde (1000 sacs)</t>
  </si>
  <si>
    <t>Production (M sacs)</t>
  </si>
  <si>
    <t>Stocks de fin monde</t>
  </si>
  <si>
    <t>Consommation domestique monde</t>
  </si>
  <si>
    <t>Exportations monde</t>
  </si>
  <si>
    <t>STU = stocks ÷ (conso + export)</t>
  </si>
  <si>
    <t>Certifiés NY (M sacs)</t>
  </si>
  <si>
    <t>Certifiés Londres (M sacs)</t>
  </si>
  <si>
    <t>STU certifié = (NY + Londres) ÷ (conso + export)</t>
  </si>
  <si>
    <t>KC1 (US c/lb)</t>
  </si>
  <si>
    <t>DF1 (US c/lb)</t>
  </si>
  <si>
    <t>DF1 (US$/t)</t>
  </si>
  <si>
    <t>Info : STU = stocks ÷ conso (déf. USDA/ICO)</t>
  </si>
  <si>
    <t>2010/11</t>
  </si>
  <si>
    <t>2011/12</t>
  </si>
  <si>
    <t>2012/13</t>
  </si>
  <si>
    <t>2013/14</t>
  </si>
  <si>
    <t>2014/15</t>
  </si>
  <si>
    <t>2015/16</t>
  </si>
  <si>
    <t>2016/17</t>
  </si>
  <si>
    <t>2017/18</t>
  </si>
  <si>
    <t>2018/19</t>
  </si>
  <si>
    <t>2019/20</t>
  </si>
  <si>
    <t>2020/21</t>
  </si>
  <si>
    <t>2021/22</t>
  </si>
  <si>
    <t>2022/23</t>
  </si>
  <si>
    <t>2023/24</t>
  </si>
  <si>
    <t>2024/25</t>
  </si>
  <si>
    <t>2025/26</t>
  </si>
  <si>
    <t>2026/27 (prév.)</t>
  </si>
  <si>
    <t>Lecture : la production mondiale monte de 141 à 190 M sacs sans lien avec le niveau des prix. Le STU mondial suit le prix à l'envers (corrélation -0,63 avec le KC, -0,72 avec le DF, sur le logarithme des prix, 16 campagnes). Ce lien repose surtout sur 2023/24-2025/26 (STU &lt; 8 %) : sans ces trois campagnes, -0,26 et -0,21. Définition USDA/ICO (stocks ÷ conso) en colonne N : même forme, niveau plus haut.</t>
  </si>
  <si>
    <t>2 — Arabica : production, stock-to-use (stocks de fin) et stock-to-use des stocks certifiés New York, avec KC1</t>
  </si>
  <si>
    <t>STU des PAYS D'ORIGINE. L'USDA ne publie les stocks, la consommation et les exportations que tous cafés confondus, pays par pays. Méthode : pour chaque pays d'origine (42 exportateurs nets), stocks et utilisation sont multipliés par la part de l'espèce dans sa production de l'année, puis additionnés. Les stocks des pays consommateurs (UE, États-Unis, Japon : 51 à 77 % des stocks mondiaux, dont les stocks certifiés) ne sont pas répartis par espèce : ils ne sont que dans le STU mondial (onglet 1).</t>
  </si>
  <si>
    <t>Colonnes J-K : tests sans répartition. Espèce majoritaire (100 %) : même courbe que la méthode (corrélation 0,99). Pays « purs » ≥ 90 % : 0,31 — courbe différente, car le Brésil (60 à 81 % d'arabica) en est exclu.</t>
  </si>
  <si>
    <t>Production arabica monde (1000 sacs)</t>
  </si>
  <si>
    <t>Production arabica (M sacs)</t>
  </si>
  <si>
    <t>Stocks de fin arabica (pays d'origine)</t>
  </si>
  <si>
    <t>Conso + export arabica (pays d'origine)</t>
  </si>
  <si>
    <t>STU arabica = stocks ÷ (conso + export)</t>
  </si>
  <si>
    <t>Certifiés New York (M sacs, fin de campagne)</t>
  </si>
  <si>
    <t>STU certifié = certifiés ÷ (conso + export)</t>
  </si>
  <si>
    <t>Test : STU espèce majoritaire (100 %)</t>
  </si>
  <si>
    <t>Test : STU pays purs (≥ 90 %)</t>
  </si>
  <si>
    <t>Corrélations avec le logarithme du KC (16 campagnes ; 15 pour les certifiés) : production -0,14, STU stocks de fin -0,39, STU certifié -0,61. Le lien certifiés / KC vient surtout de la tendance commune (sans tendance -0,34), un peu du point 2025/26 (sans lui -0,51, toujours le plus fort). Le KC réagit à la récolte arabica de la campagne suivante (-0,49), pas à celle en cours (-0,08).</t>
  </si>
  <si>
    <t>3 — Robusta : production, stock-to-use (stocks de fin) et stock-to-use des stocks certifiés Londres, avec DF1</t>
  </si>
  <si>
    <t>Colonnes J-K : tests sans répartition. Espèce majoritaire (100 %) : même courbe que la méthode (corrélation 0,94). Pays « purs » ≥ 90 % : 0,88 — même forme.</t>
  </si>
  <si>
    <t>Production robusta monde (1000 sacs)</t>
  </si>
  <si>
    <t>Production robusta (M sacs)</t>
  </si>
  <si>
    <t>Stocks de fin robusta (pays d'origine)</t>
  </si>
  <si>
    <t>Conso + export robusta (pays d'origine)</t>
  </si>
  <si>
    <t>STU robusta = stocks ÷ (conso + export)</t>
  </si>
  <si>
    <t>Certifiés Londres (M sacs, fin de campagne)</t>
  </si>
  <si>
    <t>Corrélations avec le logarithme du DF (16 campagnes ; 15 pour les certifiés) : production (niveau) 0,31, STU stocks de fin -0,54, STU certifié -0,56. En variations d'une campagne à l'autre, une récolte robusta plus faible fait monter le DF la même campagne (-0,62) (significatif).</t>
  </si>
  <si>
    <t>4 — Stock-to-use de chaque pays d'origine = stocks de fin ÷ (consommation domestique + exportations), USDA</t>
  </si>
  <si>
    <t>Couleurs par ligne : rouge = bas pour ce pays, vert = haut. Colonnes de droite : ce qui fait l'importance d'un pays pour le prix (taille, chocs, coussin).</t>
  </si>
  <si>
    <t>Pays</t>
  </si>
  <si>
    <t>Part arabica 26/27</t>
  </si>
  <si>
    <t>2026/27</t>
  </si>
  <si>
    <t>STU moyen 2010-26</t>
  </si>
  <si>
    <t>Part de la production mondiale 26/27</t>
  </si>
  <si>
    <t>Part des exportations mondiales 26/27</t>
  </si>
  <si>
    <t>Part des stocks des pays d'origine 26/27</t>
  </si>
  <si>
    <t>Stock en semaines d'exportation 26/27</t>
  </si>
  <si>
    <t>Poids dans les chocs de production (2011-26)</t>
  </si>
  <si>
    <t>Poids dans les variations de stocks (2011-26)</t>
  </si>
  <si>
    <t>r STU / KC</t>
  </si>
  <si>
    <t>r STU / DF</t>
  </si>
  <si>
    <t>Brésil</t>
  </si>
  <si>
    <t>Vietnam</t>
  </si>
  <si>
    <t>Colombie</t>
  </si>
  <si>
    <t>Éthiopie</t>
  </si>
  <si>
    <t>Indonésie</t>
  </si>
  <si>
    <t>Ouganda</t>
  </si>
  <si>
    <t>Inde</t>
  </si>
  <si>
    <t>Honduras</t>
  </si>
  <si>
    <t>Pérou</t>
  </si>
  <si>
    <t>Mexique</t>
  </si>
  <si>
    <t>Guatemala</t>
  </si>
  <si>
    <t>Nicaragua</t>
  </si>
  <si>
    <t>Tanzanie</t>
  </si>
  <si>
    <t>Malaisie</t>
  </si>
  <si>
    <t>Côte d'Ivoire</t>
  </si>
  <si>
    <t>Costa Rica</t>
  </si>
  <si>
    <t>Kenya</t>
  </si>
  <si>
    <t>Thaïlande</t>
  </si>
  <si>
    <t>Papouasie-N.-G.</t>
  </si>
  <si>
    <t>Salvador</t>
  </si>
  <si>
    <t>Laos</t>
  </si>
  <si>
    <t>Équateur</t>
  </si>
  <si>
    <t>Rwanda</t>
  </si>
  <si>
    <t>Madagascar</t>
  </si>
  <si>
    <t>Cameroun</t>
  </si>
  <si>
    <t>RD Congo</t>
  </si>
  <si>
    <t>Burundi</t>
  </si>
  <si>
    <t>Rép. dominicaine</t>
  </si>
  <si>
    <t>Guinée</t>
  </si>
  <si>
    <t>Cuba</t>
  </si>
  <si>
    <t>Togo</t>
  </si>
  <si>
    <t>Bolivie</t>
  </si>
  <si>
    <t>Angola</t>
  </si>
  <si>
    <t>Sierra Leone</t>
  </si>
  <si>
    <t>Jamaïque</t>
  </si>
  <si>
    <t>Centrafrique</t>
  </si>
  <si>
    <t>Ghana</t>
  </si>
  <si>
    <t>Haïti</t>
  </si>
  <si>
    <t>Liberia</t>
  </si>
  <si>
    <t>Malawi</t>
  </si>
  <si>
    <t>Nigeria</t>
  </si>
  <si>
    <t>Yémen</t>
  </si>
  <si>
    <t>Comment lire l'importance d'un pays : un STU bas veut dire que le pays exporte presque tout ce qu'il produit, sans coussin. Il ne pèse sur le prix que s'il est gros. Ce qui compte, c'est la taille (part de la production et des exportations), la taille des chocs (poids dans les chocs de production) et le coussin en volume (part des stocks, semaines d'exportation). Poids = part de la variance des variations annuelles mondiales qui vient du pays (production mondiale ; stocks des pays d'origine). Corrélations r sur 16 campagnes, niveaux, logarithme des prix.</t>
  </si>
  <si>
    <t>5 — Analyse : comment le prix réagit, et à quoi</t>
  </si>
  <si>
    <t>Valeurs calculées sur les onglets 1 à 4 (16 campagnes 2010/11-2025/26 ; 15 pour les stocks certifiés). Corrélations sur le logarithme du prix. p = probabilité d'obtenir la corrélation par hasard. Les séries annuelles sont très autocorrélées (≈ 4 à 7 observations indépendantes sur 16) : les deux colonnes p en tiennent compte ; sous 0,05 = significatif.</t>
  </si>
  <si>
    <t>A. Le prix réagit-il à la production, aux stocks de fin, aux stocks certifiés ?</t>
  </si>
  <si>
    <t>Mesure</t>
  </si>
  <si>
    <t>Prix</t>
  </si>
  <si>
    <t>r niveau</t>
  </si>
  <si>
    <t>p corrigé (autocorr.)</t>
  </si>
  <si>
    <t>r sans tendance</t>
  </si>
  <si>
    <t>p sans tendance</t>
  </si>
  <si>
    <t>r variations</t>
  </si>
  <si>
    <t>Lecture</t>
  </si>
  <si>
    <t>Production arabica mondiale</t>
  </si>
  <si>
    <t>KC</t>
  </si>
  <si>
    <t>Pas de lien de niveau ; la récolte à venir compte (section B).</t>
  </si>
  <si>
    <t>STU arabica pays d'origine (stocks de fin)</t>
  </si>
  <si>
    <t>Lien modéré, non significatif.</t>
  </si>
  <si>
    <t>STU arabica (certifiés NY)</t>
  </si>
  <si>
    <t>Net en niveau, surtout par la tendance commune (un peu par le point 2025/26).</t>
  </si>
  <si>
    <t>Production robusta mondiale</t>
  </si>
  <si>
    <t>DF</t>
  </si>
  <si>
    <t>Positif en niveau (les deux montent) ; négatif et significatif en variations.</t>
  </si>
  <si>
    <t>STU robusta pays d'origine (stocks de fin)</t>
  </si>
  <si>
    <t>Lien modéré, non significatif une fois corrigé.</t>
  </si>
  <si>
    <t>STU robusta (certifiés Londres)</t>
  </si>
  <si>
    <t>Net en niveau, faible sans tendance.</t>
  </si>
  <si>
    <t>STU monde (stocks de fin)</t>
  </si>
  <si>
    <t>Le plus fort, même sans tendance ; non significatif une fois l'autocorrélation corrigée ; porté par 2023/24-2025/26.</t>
  </si>
  <si>
    <t>Idem.</t>
  </si>
  <si>
    <t>STU monde (certifiés)</t>
  </si>
  <si>
    <t>Production mondiale</t>
  </si>
  <si>
    <t>Pas de lien de niveau ; −0,44 sans tendance (non significatif).</t>
  </si>
  <si>
    <t>Pas de lien de niveau.</t>
  </si>
  <si>
    <t>B. La production : le prix anticipe la récolte</t>
  </si>
  <si>
    <t>Relation (variations d'une campagne à l'autre)</t>
  </si>
  <si>
    <t/>
  </si>
  <si>
    <t>r</t>
  </si>
  <si>
    <t>p</t>
  </si>
  <si>
    <t>Pente</t>
  </si>
  <si>
    <t>KC ↔ récolte arabica de la même campagne</t>
  </si>
  <si>
    <t>Pas de lien : la récolte en cours est déjà connue.</t>
  </si>
  <si>
    <t>KC ↔ récolte arabica de la campagne suivante</t>
  </si>
  <si>
    <t>+1 % de récolte à venir ≈ −1,3 % de KC.</t>
  </si>
  <si>
    <t>KC ↔ récolte arabica du Brésil, campagne suivante</t>
  </si>
  <si>
    <t>Brésil et Colombie comptent tous les deux.</t>
  </si>
  <si>
    <t>KC ↔ récolte de la Colombie, campagne suivante</t>
  </si>
  <si>
    <t>Plus fort que le Brésil seul (test exploratoire, n = 15).</t>
  </si>
  <si>
    <t>DF ↔ récolte robusta de la même campagne</t>
  </si>
  <si>
    <t>+1 % de robusta ≈ −2 % de DF.</t>
  </si>
  <si>
    <t>DF ↔ récolte du Vietnam, même campagne</t>
  </si>
  <si>
    <t>C. Les stocks certifiés réagissent-ils au prix ? (données mensuelles juin 2012 → août 2026)</t>
  </si>
  <si>
    <t>Relation</t>
  </si>
  <si>
    <t>Horizon</t>
  </si>
  <si>
    <t>New York / KC</t>
  </si>
  <si>
    <t>Londres / DF</t>
  </si>
  <si>
    <t>Hausse du prix sur k mois → variation des certifiés sur les k mois suivants</t>
  </si>
  <si>
    <t>1 mois</t>
  </si>
  <si>
    <t>Aucun effet détecté (fenêtres qui se recouvrent : peu de mois indépendants).</t>
  </si>
  <si>
    <t>3 mois</t>
  </si>
  <si>
    <t>6 mois</t>
  </si>
  <si>
    <t>12 mois</t>
  </si>
  <si>
    <t>Variation des certifiés sur k mois → variation du prix sur les k mois suivants</t>
  </si>
  <si>
    <t>New York : rien. Londres : baisse des certifiés → DF plus haut à 6-12 mois (−0,2 à −0,3), non significatif.</t>
  </si>
  <si>
    <t>Niveau de la prime futures − physique → variation des certifiés sur k mois</t>
  </si>
  <si>
    <t>Faible.</t>
  </si>
  <si>
    <t>Écart de la prime NY − Brazilian Naturals à sa moyenne des 12 derniers mois → certifiés NY</t>
  </si>
  <si>
    <t>Modéré mais instable selon la période (12 mois / 3 mois) : 2012-2016 0,74 ; 2017-2020 -0,03 ; 2021-2026 0,51. Brazilian Naturals n'est pas une qualité livrable.</t>
  </si>
  <si>
    <t>Écart de la prime NY − Brazilian Naturals à sa moyenne des 24 derniers mois → certifiés NY</t>
  </si>
  <si>
    <t>D. Prix selon le STU mondial (stocks ÷ (conso + export)) : courbe ln(prix) = a + b ÷ STU</t>
  </si>
  <si>
    <t>STU mondial</t>
  </si>
  <si>
    <t>KC1 de courbe (c/lb)</t>
  </si>
  <si>
    <t>DF1 de courbe ($/t)</t>
  </si>
  <si>
    <t>−1 pt de STU : effet sur le KC</t>
  </si>
  <si>
    <t>Extrapolé : le STU le plus bas observé est 6,9 %.</t>
  </si>
  <si>
    <t>Qualité : R² 0,51 (KC) et 0,71 (DF) ; zone à ±1 écart-type : de −22 % à +28 % autour de la courbe pour le KC.</t>
  </si>
  <si>
    <t>Forme : R² KC linéaire 0,40, log 0,46, 1/STU 0,51. Sans 2023/24-2025/26, R² 1/STU = 0,10 (KC) et 0,09 (DF) : la convexité est une hypothèse économique compatible avec les données, portée par l'épisode récent.</t>
  </si>
  <si>
    <t>E. Régimes observés</t>
  </si>
  <si>
    <t>Campagnes</t>
  </si>
  <si>
    <t>KC1 moyen</t>
  </si>
  <si>
    <t>KC1 min</t>
  </si>
  <si>
    <t>KC1 max</t>
  </si>
  <si>
    <t>DF1 moyen ($/t)</t>
  </si>
  <si>
    <t>&lt; 8 %</t>
  </si>
  <si>
    <t>2023/24, 2024/25, 2025/26</t>
  </si>
  <si>
    <t>Un seul épisode : trois campagnes consécutives.</t>
  </si>
  <si>
    <t>8 – 11 %</t>
  </si>
  <si>
    <t>2011/12, 2017/18, 2021/22, 2022/23</t>
  </si>
  <si>
    <t>11 – 13 %</t>
  </si>
  <si>
    <t>2010/11, 2015/16, 2016/17, 2018/19, 2019/20, 2020/21</t>
  </si>
  <si>
    <t>&gt; 13 %</t>
  </si>
  <si>
    <t>2012/13, 2013/14, 2014/15</t>
  </si>
  <si>
    <t>F. Chaîne production → STU → prix</t>
  </si>
  <si>
    <t>+1 % de production mondiale ≈ +0,20 point de STU ; +1 % de consommation ≈ -0,25 point (R² 0,38).</t>
  </si>
  <si>
    <t>Consommation : +1,8 % par an en moyenne, écart-type 2,3 %, contre 4,4 % pour la production. Elle ne suit pas le prix (r -0,05).</t>
  </si>
  <si>
    <t>Point d'équilibre : l'équation donne ≈ +3,0 % de production par an pour un STU stable, mais il est mal déterminé (effet de la consommation non significatif, t = -1,6). En comptabilité simple, la production doit suivre l'utilisation (+1,8 % par an).</t>
  </si>
  <si>
    <t>2026/27 : la règle donne +0,13 point de STU, l'USDA prévoit +0,13 point. Écart-type de l'équation : 1,5 point, donc un seul point juste ne valide rien.</t>
  </si>
  <si>
    <t>Aujourd'hui : STU 2026/27 7,8 % → KC1 de courbe 242 c/lb, DF1 3208 $/t ; marché d'août 2026 : 313 c/lb et 3696 $/t.</t>
  </si>
  <si>
    <t>G. Robustesse : ce qui tient et ce qui ne tient pas</t>
  </si>
  <si>
    <t>Le sens de variation du STU donne-t-il le sens du prix (2012/13-2025/26) ? STU mondial → KC 8 fois sur 14 ; → DF 9 sur 14 ; STU arabica → KC 7 sur 14 ; STU robusta → DF 10 sur 14. Ce n'est pas une règle de trading pour le KC.</t>
  </si>
  <si>
    <t>Sans les trois campagnes 2023/24-2025/26 : STU mondial / KC -0,26, / DF -0,21 (sans tendance -0,42 et -0,36).</t>
  </si>
  <si>
    <t>Certifiés arabica / KC sans le point 2025/26 (fin août 2026) : -0,51 (p 0,06).</t>
  </si>
  <si>
    <t>Mois de relevé des certifiés (arabica / KC ; robusta / DF) : fin septembre -0,61 ; -0,56 · fin juin -0,65 ; -0,57 · décembre de début de campagne -0,63 ; -0,71 · décembre suivant -0,45 ; -0,58 · moyenne de campagne -0,68 ; -0,68.</t>
  </si>
  <si>
    <t>Stocks des pays consommateurs : 51 à 77 % des stocks mondiaux. Entre 2021/22 et 2024/25, les stocks mondiaux baissent de 9,9 M sacs, dont 5,8 M pour l'UE (estimation USDA) et 2,5 M pour les pays d'origine.</t>
  </si>
  <si>
    <t>Exclusion des 5 producteurs importateurs nets : le STU arabica baisse de 1,9 à 4,6 points selon l'année ; la corrélation avec le KC passerait de -0,39 à -0,48 s'ils étaient inclus. Les conclusions ne changent pas.</t>
  </si>
  <si>
    <t>Autocorrélation d'ordre 1 : STU mondial 0,77, ln KC 0,71, ln DF 0,81. Les tests « p corrigé » en tiennent compte : aucun lien n'est significatif au sens strict, ni en niveau ni sans tendance (STU mondial sans tendance : p ≈ 0,27 pour le KC).</t>
  </si>
  <si>
    <t>6 — Comment le prix se comporte selon la situation des stocks (stocks de fin USDA et stocks certifiés)</t>
  </si>
  <si>
    <t>Chaque campagne est classée selon le sens de variation de deux ratios : STU stocks de fin USDA et STU certifié. Variation du prix = moyenne de campagne contre la campagne précédente. Peu de cas par situation : lecture descriptive, pas statistique. Les petites variations (ex. certifiés monde 2024/25 : +0,01 pt, où New York baisse et Londres monte) sont classées quand même. Lignes de synthèse : moyenne géométrique des variations.</t>
  </si>
  <si>
    <t>Monde (stocks USDA mondiaux et certifiés NY + Londres) — KC1 · pour le KC, lire plutôt le bloc Arabica (certifiés New York seuls)</t>
  </si>
  <si>
    <t>Situation</t>
  </si>
  <si>
    <t>Variation STU stocks de fin (pt)</t>
  </si>
  <si>
    <t>Variation STU certifié (pt)</t>
  </si>
  <si>
    <t>Variation du KC1</t>
  </si>
  <si>
    <t>KC1 la campagne suivante</t>
  </si>
  <si>
    <t>stocks USDA ↑ / certifiés ↓</t>
  </si>
  <si>
    <t>stocks USDA ↑ / certifiés ↑</t>
  </si>
  <si>
    <t>stocks USDA ↓ / certifiés ↓</t>
  </si>
  <si>
    <t>stocks USDA ↓ / certifiés ↑</t>
  </si>
  <si>
    <t>Nb de campagnes</t>
  </si>
  <si>
    <t>Variation moyenne du prix</t>
  </si>
  <si>
    <t>Campagnes en hausse</t>
  </si>
  <si>
    <t>Moyenne la campagne suivante</t>
  </si>
  <si>
    <t>3 sur 5</t>
  </si>
  <si>
    <t>2013/14, 2014/15, 2016/17, 2018/19, 2020/21</t>
  </si>
  <si>
    <t>0 sur 2</t>
  </si>
  <si>
    <t>2012/13, 2025/26</t>
  </si>
  <si>
    <t>2 sur 2</t>
  </si>
  <si>
    <t>2023/24, 2024/25</t>
  </si>
  <si>
    <t>2 sur 5</t>
  </si>
  <si>
    <t>2015/16, 2017/18, 2019/20, 2021/22, 2022/23</t>
  </si>
  <si>
    <t>Monde — DF1</t>
  </si>
  <si>
    <t>Variation du DF1</t>
  </si>
  <si>
    <t>DF1 la campagne suivante</t>
  </si>
  <si>
    <t>Arabica (pays d'origine, certifiés New York) — KC1</t>
  </si>
  <si>
    <t>2 sur 4</t>
  </si>
  <si>
    <t>2012/13, 2016/17, 2020/21, 2022/23</t>
  </si>
  <si>
    <t>1 sur 2</t>
  </si>
  <si>
    <t>2013/14, 2025/26</t>
  </si>
  <si>
    <t>2017/18, 2023/24</t>
  </si>
  <si>
    <t>3 sur 6</t>
  </si>
  <si>
    <t>2014/15, 2015/16, 2018/19, 2019/20, 2021/22, 2024/25</t>
  </si>
  <si>
    <t>Robusta (pays d'origine, certifiés Londres) — DF1</t>
  </si>
  <si>
    <t>2013/14, 2014/15, 2018/19, 2020/21, 2024/25</t>
  </si>
  <si>
    <t>0 sur 3</t>
  </si>
  <si>
    <t>2012/13, 2019/20, 2025/26</t>
  </si>
  <si>
    <t>2016/17, 2023/24</t>
  </si>
  <si>
    <t>2015/16, 2017/18, 2021/22, 2022/23</t>
  </si>
  <si>
    <t>Rendement des 12 mois suivants selon le niveau des stocks certifiés (mensuel, 2012-06 → 2025-08 ; fenêtres qui se recouvrent, peu d'épisodes indépendants)</t>
  </si>
  <si>
    <t>Stocks certifiés</t>
  </si>
  <si>
    <t>Marché</t>
  </si>
  <si>
    <t>Nb de mois</t>
  </si>
  <si>
    <t>Rendement 12 mois (moyenne géométrique)</t>
  </si>
  <si>
    <t>Médiane</t>
  </si>
  <si>
    <t>% de hausses</t>
  </si>
  <si>
    <t>Pire</t>
  </si>
  <si>
    <t>Meilleur</t>
  </si>
  <si>
    <t>&lt; 0,8 M sacs</t>
  </si>
  <si>
    <t>0,8 – 1,5</t>
  </si>
  <si>
    <t>1,5 – 2,5</t>
  </si>
  <si>
    <t>&gt; 2,5</t>
  </si>
  <si>
    <t>7 — Brésil seul : production d'arabica et stock-to-use (stocks de fin ÷ (consommation + exportations)), avec KC1</t>
  </si>
  <si>
    <t>Données USDA PSD, Brésil (campagne juillet-juin). L'USDA ne publie pour le Brésil qu'un seul chiffre de stocks de fin, de consommation et d'exportations, arabica et conilon ensemble (vérifié aussi dans les rapports USDA « Brazil Coffee Annual » 2013-2026).</t>
  </si>
  <si>
    <t>Avec la méthode des onglets 2 et 3 (stocks et utilisation × part d'arabica), la part s'annule : le STU arabica du Brésil (colonne L) est égal au STU du Brésil (colonne I). Colonne M : borne haute si tous les stocks brésiliens étaient de l'arabica.</t>
  </si>
  <si>
    <t>Production arabica Brésil (1000 sacs)</t>
  </si>
  <si>
    <t>Production arabica Brésil (M sacs)</t>
  </si>
  <si>
    <t>Production totale Brésil (1000 sacs)</t>
  </si>
  <si>
    <t>Part arabica de la production</t>
  </si>
  <si>
    <t>Stocks de fin Brésil, tous cafés (1000 sacs)</t>
  </si>
  <si>
    <t>Consommation domestique (1000 sacs)</t>
  </si>
  <si>
    <t>Exportations (1000 sacs)</t>
  </si>
  <si>
    <t>STU Brésil = stocks ÷ (conso + export)</t>
  </si>
  <si>
    <t>Stocks de fin × part arabica</t>
  </si>
  <si>
    <t>(Conso + export) × part arabica</t>
  </si>
  <si>
    <t>STU arabica Brésil (méthode par part) = J ÷ K</t>
  </si>
  <si>
    <t>Borne haute : tous les stocks = arabica (F ÷ K)</t>
  </si>
  <si>
    <t>Pour comparer : STU arabica des 42 pays d'origine</t>
  </si>
  <si>
    <t>Lecture : le STU du Brésil suit presque exactement le STU arabica des 42 pays d'origine (corrélation 0,98) : c'est le Brésil qui donne sa forme à la courbe arabica. Avec le KC, le lien est faible : -0,30 en niveau, -0,16 sans tendance, non significatif. Mais les deux campagnes où les stocks brésiliens sont tombés presque à zéro (0,9 % en 2021/22 et 1,4 % en 2024/25, moins d'une semaine d'utilisation) sont les deux plus fortes flambées du KC (224 et 333 c/lb). Le lien joue dans les deux sens : selon l'USDA, en 2024 la petite récolte et les prix élevés ont poussé les producteurs à exporter, ce qui a presque vidé les stocks.</t>
  </si>
  <si>
    <t>KC1 selon le niveau du STU du Brésil (campagnes 2010/11-2025/26)</t>
  </si>
  <si>
    <t>STU du Brésil</t>
  </si>
  <si>
    <t>KC1 moyen (c/lb)</t>
  </si>
  <si>
    <t>KC1 min – max</t>
  </si>
  <si>
    <t>&lt; 3 %</t>
  </si>
  <si>
    <t>224 – 333</t>
  </si>
  <si>
    <t>2021/22, 2024/25</t>
  </si>
  <si>
    <t>3 – 6 %</t>
  </si>
  <si>
    <t>113 – 250</t>
  </si>
  <si>
    <t>2010/11, 2011/12, 2015/16, 2017/18, 2019/20, 2023/24</t>
  </si>
  <si>
    <t>6 – 10 %</t>
  </si>
  <si>
    <t>105 – 312</t>
  </si>
  <si>
    <t>2016/17, 2018/19, 2020/21, 2022/23, 2025/26</t>
  </si>
  <si>
    <t>&gt; 10 %</t>
  </si>
  <si>
    <t>141 – 161</t>
  </si>
  <si>
    <t>Peu de campagnes par classe : lecture descriptive. Valeurs calculées sur les colonnes I et O.</t>
  </si>
  <si>
    <t>8 — Production du Brésil et du Vietnam, STU mondial, STU par pays et STU des stocks certifiés, avec KC1 et DF1 (2010/11 → 2026/27)</t>
  </si>
  <si>
    <t>STU = stocks de fin ÷ (consommation domestique + exportations), USDA PSD (juillet 2026). Prix = moyenne octobre-septembre ICE (proxy KC1 / DF1), 2025/26 sur 11 mois ; 2026/27 = prévision USDA, sans prix. Toutes les colonnes sont des formules reliées aux onglets de données : on peut tout vérifier.</t>
  </si>
  <si>
    <t>L'USDA ne sépare pas les stocks du Brésil par espèce : le STU « Brésil » est le même dans le graphique arabica et dans le graphique robusta.</t>
  </si>
  <si>
    <t>Brésil arabica (M sacs)</t>
  </si>
  <si>
    <t>Brésil conilon / robusta (M sacs)</t>
  </si>
  <si>
    <t>Brésil total (M sacs)</t>
  </si>
  <si>
    <t>Brésil : variation sur un an</t>
  </si>
  <si>
    <t>Vietnam (M sacs)</t>
  </si>
  <si>
    <t>Vietnam : variation sur un an</t>
  </si>
  <si>
    <t>STU mondial = stocks ÷ (conso + export)</t>
  </si>
  <si>
    <t>STU mondial = stocks ÷ conso (déf. USDA/ICO)</t>
  </si>
  <si>
    <t>STU Brésil</t>
  </si>
  <si>
    <t>STU Vietnam</t>
  </si>
  <si>
    <t>STU Colombie</t>
  </si>
  <si>
    <t>STU Éthiopie</t>
  </si>
  <si>
    <t>STU Inde</t>
  </si>
  <si>
    <t>STU Ouganda</t>
  </si>
  <si>
    <t>STU Indonésie</t>
  </si>
  <si>
    <t>STU certifié arabica (New York)</t>
  </si>
  <si>
    <t>STU certifié robusta (Londres)</t>
  </si>
  <si>
    <t>STU UE = stocks ÷ (conso + export)</t>
  </si>
  <si>
    <t>UE : stocks ÷ conso</t>
  </si>
  <si>
    <t>UE : stocks ÷ (conso + import) — variante</t>
  </si>
  <si>
    <t>STU États-Unis = stocks ÷ (conso + export)</t>
  </si>
  <si>
    <t>États-Unis : stocks ÷ conso</t>
  </si>
  <si>
    <t>États-Unis : stocks ÷ (conso + import) — variante</t>
  </si>
  <si>
    <t>1. Production du Brésil (avec le KC1) et du Vietnam (avec le DF1)</t>
  </si>
  <si>
    <t>2. Stock-to-use mondial, avec KC1 et DF1</t>
  </si>
  <si>
    <t>3. Stock-to-use du Brésil (avec le KC1) et du Vietnam (avec le DF1)</t>
  </si>
  <si>
    <t>4. Arabica : Brésil, Colombie, Éthiopie (avec le KC1) — Robusta : Vietnam, Brésil, Inde, Ouganda, Indonésie (avec le DF1)</t>
  </si>
  <si>
    <t>5. Stock-to-use des stocks certifiés ICE : arabica (New York, avec le KC1) et robusta (Londres, avec le DF1)</t>
  </si>
  <si>
    <t>6. Pays consommateurs : stock-to-use de l'Union européenne et des États-Unis, avec KC1 et DF1</t>
  </si>
  <si>
    <t>UE et États-Unis : les exportations sont des réexportations (torréfié, soluble) ; les États-Unis n'exportent plus rien depuis 2016/17 dans les données USDA, donc leur STU = stocks ÷ conso. Variante stocks ÷ (conso + import) : même courbe (corrélation 0,99), niveau divisé par deux, car les importations ≈ conso + réexportations. Les stocks américains sont figés à 5,7 M sacs depuis 2022/23 dans les données USDA.</t>
  </si>
  <si>
    <t>Données USDA PSD Online, café — fichier de juillet 2026 (2026/27 = prévision USDA de juin 2026), milliers de sacs de 60 kg</t>
  </si>
  <si>
    <t>Une ligne par pays, une colonne par campagne (année commerciale locale). Ordre : 42 pays d'origine (producteurs exportateurs nets, par production 2026/27), 5 producteurs importateurs nets (États-Unis, Philippines, Chine, Panama, Venezuela), 46 pays importateurs.</t>
  </si>
  <si>
    <t>Source : apps.fas.usda.gov/psdonline, téléchargement « Coffee » (CSV), attributs Production, Arabica Production, Robusta Production, Ending Stocks, Domestic Consumption, Exports, Imports. L'USDA ne découpe par espèce que la production.</t>
  </si>
  <si>
    <t>Production</t>
  </si>
  <si>
    <t>Groupe</t>
  </si>
  <si>
    <t>Brazil</t>
  </si>
  <si>
    <t>Origine</t>
  </si>
  <si>
    <t>Colombia</t>
  </si>
  <si>
    <t>Ethiopia</t>
  </si>
  <si>
    <t>Indonesia</t>
  </si>
  <si>
    <t>Uganda</t>
  </si>
  <si>
    <t>India</t>
  </si>
  <si>
    <t>Peru</t>
  </si>
  <si>
    <t>Mexico</t>
  </si>
  <si>
    <t>Tanzania</t>
  </si>
  <si>
    <t>Malaysia</t>
  </si>
  <si>
    <t>Cote d'Ivoire</t>
  </si>
  <si>
    <t>Thailand</t>
  </si>
  <si>
    <t>Papua New Guinea</t>
  </si>
  <si>
    <t>El Salvador</t>
  </si>
  <si>
    <t>Ecuador</t>
  </si>
  <si>
    <t>Cameroon</t>
  </si>
  <si>
    <t>Congo (Kinshasa)</t>
  </si>
  <si>
    <t>Dominican Republic</t>
  </si>
  <si>
    <t>Guinea</t>
  </si>
  <si>
    <t>Bolivia</t>
  </si>
  <si>
    <t>Jamaica</t>
  </si>
  <si>
    <t>Central African Republic</t>
  </si>
  <si>
    <t>Haiti</t>
  </si>
  <si>
    <t>Yemen</t>
  </si>
  <si>
    <t>United States</t>
  </si>
  <si>
    <t>Producteur importateur net</t>
  </si>
  <si>
    <t>China</t>
  </si>
  <si>
    <t>Philippines</t>
  </si>
  <si>
    <t>Venezuela</t>
  </si>
  <si>
    <t>Panama</t>
  </si>
  <si>
    <t>European Union</t>
  </si>
  <si>
    <t>Importateur</t>
  </si>
  <si>
    <t>Japan</t>
  </si>
  <si>
    <t>Canada</t>
  </si>
  <si>
    <t>United Kingdom</t>
  </si>
  <si>
    <t>Russia</t>
  </si>
  <si>
    <t>Korea, South</t>
  </si>
  <si>
    <t>Australia</t>
  </si>
  <si>
    <t>Algeria</t>
  </si>
  <si>
    <t>Turkey</t>
  </si>
  <si>
    <t>Saudi Arabia</t>
  </si>
  <si>
    <t>Switzerland</t>
  </si>
  <si>
    <t>Egypt</t>
  </si>
  <si>
    <t>Ukraine</t>
  </si>
  <si>
    <t>Morocco</t>
  </si>
  <si>
    <t>Argentina</t>
  </si>
  <si>
    <t>Taiwan</t>
  </si>
  <si>
    <t>Jordan</t>
  </si>
  <si>
    <t>Norway</t>
  </si>
  <si>
    <t>Iran</t>
  </si>
  <si>
    <t>Serbia</t>
  </si>
  <si>
    <t>South Africa</t>
  </si>
  <si>
    <t>Kazakhstan</t>
  </si>
  <si>
    <t>New Zealand</t>
  </si>
  <si>
    <t>Bosnia and Herzegovina</t>
  </si>
  <si>
    <t>Chile</t>
  </si>
  <si>
    <t>Armenia</t>
  </si>
  <si>
    <t>Albania</t>
  </si>
  <si>
    <t>Singapore</t>
  </si>
  <si>
    <t>Senegal</t>
  </si>
  <si>
    <t>Georgia</t>
  </si>
  <si>
    <t>North Macedonia</t>
  </si>
  <si>
    <t>Kosovo</t>
  </si>
  <si>
    <t>Uruguay</t>
  </si>
  <si>
    <t>Montenegro</t>
  </si>
  <si>
    <t>Benin</t>
  </si>
  <si>
    <t>Congo (Brazzaville)</t>
  </si>
  <si>
    <t>Croatia</t>
  </si>
  <si>
    <t>Equatorial Guinea</t>
  </si>
  <si>
    <t>Gabon</t>
  </si>
  <si>
    <t>Guyana</t>
  </si>
  <si>
    <t>New Caledonia</t>
  </si>
  <si>
    <t>Paraguay</t>
  </si>
  <si>
    <t>Sri Lanka</t>
  </si>
  <si>
    <t>Trinidad and Tobago</t>
  </si>
  <si>
    <t>Zambia</t>
  </si>
  <si>
    <t>Zimbabwe</t>
  </si>
  <si>
    <t>Total pays d'origine (42)</t>
  </si>
  <si>
    <t>Total producteurs importateurs nets (5)</t>
  </si>
  <si>
    <t>Total pays importateurs (46)</t>
  </si>
  <si>
    <t>MONDE</t>
  </si>
  <si>
    <t>Production arabica</t>
  </si>
  <si>
    <t>Production robusta</t>
  </si>
  <si>
    <t>Stocks de fin</t>
  </si>
  <si>
    <t>Consommation domestique</t>
  </si>
  <si>
    <t>Exportations</t>
  </si>
  <si>
    <t>Importations</t>
  </si>
  <si>
    <t>Part arabica = arabica / production (pays d'origine)</t>
  </si>
  <si>
    <t>Part robusta = robusta / production (pays d'origine)</t>
  </si>
  <si>
    <t>Test : espèce majoritaire arabica (1/0)</t>
  </si>
  <si>
    <t>Test : espèce majoritaire robusta (1/0)</t>
  </si>
  <si>
    <t>Test : pays pur arabica, part &gt;= 90 % (1/0)</t>
  </si>
  <si>
    <t>Test : pays pur robusta, part &gt;= 90 % (1/0)</t>
  </si>
  <si>
    <t>Prix : moyennes mensuelles ICE New York (arabica, KC) et ICE Londres (robusta, DF)</t>
  </si>
  <si>
    <t>Source : ICO, Coffee Market Report, tableau 1 (moyenne des 2e et 3e positions = proxy de KC1 / DF1 ; l'écart avec la 1re position est de quelques % en moyenne annuelle).</t>
  </si>
  <si>
    <t>Londres est converti par l'ICO en US cents/lb ; US$/t = cents/lb × 22,0462. Campagne = octobre → septembre ; 2025/26 = oct. 2025 → août 2026 (11 mois).</t>
  </si>
  <si>
    <t>Mois</t>
  </si>
  <si>
    <t>KC New York (US c/lb)</t>
  </si>
  <si>
    <t>Robusta Londres (US c/lb)</t>
  </si>
  <si>
    <t>DF Londres (US$/t)</t>
  </si>
  <si>
    <t>Rapport ICO</t>
  </si>
  <si>
    <t>KC1 moyen (US c/lb)</t>
  </si>
  <si>
    <t>DF1 moyen (US c/lb)</t>
  </si>
  <si>
    <t>DF1 moyen (US$/t)</t>
  </si>
  <si>
    <t>cmr-1011-e.pdf</t>
  </si>
  <si>
    <t>cmr-1111-e.pdf</t>
  </si>
  <si>
    <t>cmr-1211-e.pdf</t>
  </si>
  <si>
    <t>cmr-1012-e.pdf</t>
  </si>
  <si>
    <t>cmr-1112-e.pdf</t>
  </si>
  <si>
    <t>cmr-1212-e.pdf</t>
  </si>
  <si>
    <t>cmr-0113-e.pdf</t>
  </si>
  <si>
    <t>cmr-0213-e.pdf</t>
  </si>
  <si>
    <t>n.d.</t>
  </si>
  <si>
    <t>cmr-0313-e.pdf</t>
  </si>
  <si>
    <t>cmr-0413-e.pdf</t>
  </si>
  <si>
    <t>cmr-0513-e.pdf</t>
  </si>
  <si>
    <t>cmr-0613-e.pdf</t>
  </si>
  <si>
    <t>cmr-0713-e.pdf</t>
  </si>
  <si>
    <t>cmr-0813-e.pdf</t>
  </si>
  <si>
    <t>cmr-0913-e.pdf</t>
  </si>
  <si>
    <t>cmr-1013-e.pdf</t>
  </si>
  <si>
    <t>cmr-1113-e.pdf</t>
  </si>
  <si>
    <t>cmr-1213-e.pdf</t>
  </si>
  <si>
    <t>cmr-0114-e.pdf</t>
  </si>
  <si>
    <t>cmr-0314-e.pdf</t>
  </si>
  <si>
    <t>cmr-0514-e.pdf</t>
  </si>
  <si>
    <t>cmr-0614-e.pdf</t>
  </si>
  <si>
    <t>cmr-0714-e.pdf</t>
  </si>
  <si>
    <t>cmr-0814-e.pdf</t>
  </si>
  <si>
    <t>cmr-0914-e.pdf</t>
  </si>
  <si>
    <t>cmr-1014-e.pdf</t>
  </si>
  <si>
    <t>cmr-0915-e.pdf</t>
  </si>
  <si>
    <t>cmr-1015-e.pdf</t>
  </si>
  <si>
    <t>cmr-1215-e.pdf</t>
  </si>
  <si>
    <t>cmr-0316-e.pdf</t>
  </si>
  <si>
    <t>cmr-0616-e.pdf</t>
  </si>
  <si>
    <t>cmr-0716-e.pdf</t>
  </si>
  <si>
    <t>cmr-0816-e.pdf</t>
  </si>
  <si>
    <t>cmr-1016-e.pdf</t>
  </si>
  <si>
    <t>cmr-0917-e.pdf</t>
  </si>
  <si>
    <t>cmr-0918-e.pdf</t>
  </si>
  <si>
    <t>cmr-0919-e.pdf</t>
  </si>
  <si>
    <t>cmr-1019-e.pdf</t>
  </si>
  <si>
    <t>cmr-1119-e.pdf</t>
  </si>
  <si>
    <t>cmr-1219-e.pdf</t>
  </si>
  <si>
    <t>cmr-0120-e.pdf</t>
  </si>
  <si>
    <t>cmr-0220-e.pdf</t>
  </si>
  <si>
    <t>cmr-0320-e.pdf</t>
  </si>
  <si>
    <t>cmr-0420-e.pdf</t>
  </si>
  <si>
    <t>cmr-0520-e.pdf</t>
  </si>
  <si>
    <t>cmr-0321-e.pdf</t>
  </si>
  <si>
    <t>cmr-0721-e.pdf</t>
  </si>
  <si>
    <t>cmr-0821-e.pdf</t>
  </si>
  <si>
    <t>cmr-0921-e.pdf</t>
  </si>
  <si>
    <t>cmr-1021-e.pdf</t>
  </si>
  <si>
    <t>cmr-0922-e.pdf</t>
  </si>
  <si>
    <t>cmr-0923-e.pdf</t>
  </si>
  <si>
    <t>cmr-1223-e.pdf</t>
  </si>
  <si>
    <t>cmr-0324-e.pdf</t>
  </si>
  <si>
    <t>cmr-0624-e.pdf</t>
  </si>
  <si>
    <t>cmr-0525-e.pdf</t>
  </si>
  <si>
    <t>cmr-0625-e.pdf</t>
  </si>
  <si>
    <t>cmr-0725-e.pdf</t>
  </si>
  <si>
    <t>cmr-0825-e.pdf</t>
  </si>
  <si>
    <t>cmr-0925-e.pdf</t>
  </si>
  <si>
    <t>cmr-0826-e.pdf</t>
  </si>
  <si>
    <t>Stocks certifiés ICE (millions de sacs de 60 kg), fin de mois</t>
  </si>
  <si>
    <t>Source : ICO, Coffee Market Report, tableau « Certified stocks on the New York and London futures markets » (juin 2012 → août 2026). New York = arabica ; Londres = robusta.</t>
  </si>
  <si>
    <t>Fin de campagne = fin septembre (pour 2025/26 : fin août 2026, dernier mois publié). Pas de tableau avant juin 2012 dans les rapports ICO.</t>
  </si>
  <si>
    <t>New York (arabica)</t>
  </si>
  <si>
    <t>Londres (robusta)</t>
  </si>
  <si>
    <t>Mois retenu</t>
  </si>
  <si>
    <t>New York fin de campagne</t>
  </si>
  <si>
    <t>Londres fin de campagne</t>
  </si>
  <si>
    <t>New York fin décembre (info)</t>
  </si>
  <si>
    <t>Londres fin décembre (info)</t>
  </si>
  <si>
    <t>2012-09</t>
  </si>
  <si>
    <t>2013-09</t>
  </si>
  <si>
    <t>2014-09</t>
  </si>
  <si>
    <t>2015-09</t>
  </si>
  <si>
    <t>2016-09</t>
  </si>
  <si>
    <t>2017-09</t>
  </si>
  <si>
    <t>2018-09</t>
  </si>
  <si>
    <t>2019-09</t>
  </si>
  <si>
    <t>2020-09</t>
  </si>
  <si>
    <t>2021-09</t>
  </si>
  <si>
    <t>2022-09</t>
  </si>
  <si>
    <t>2023-09</t>
  </si>
  <si>
    <t>2024-09</t>
  </si>
  <si>
    <t>2025-09</t>
  </si>
  <si>
    <t>2026-08</t>
  </si>
  <si>
    <t>cmr-0217-e.pdf</t>
  </si>
  <si>
    <t>cmr-0317-e.pdf</t>
  </si>
  <si>
    <t>cmr-0517-e.pdf</t>
  </si>
  <si>
    <t>cmr-0617-e.pdf</t>
  </si>
  <si>
    <t>cmr-0717-e.pdf</t>
  </si>
  <si>
    <t>cmr-0817-e.pdf</t>
  </si>
  <si>
    <t>cmr-1023-e.pdf</t>
  </si>
</sst>
</file>

<file path=xl/styles.xml><?xml version="1.0" encoding="utf-8"?>
<styleSheet xmlns="http://schemas.openxmlformats.org/spreadsheetml/2006/main">
  <numFmts count="9">
    <numFmt numFmtId="164" formatCode="#,##0.0"/>
    <numFmt numFmtId="165" formatCode="0.0%"/>
    <numFmt numFmtId="166" formatCode="mmm yyyy"/>
    <numFmt numFmtId="167" formatCode="0.0"/>
    <numFmt numFmtId="168" formatCode="0.000"/>
    <numFmt numFmtId="169" formatCode="+0.0%;-0.0%"/>
    <numFmt numFmtId="170" formatCode="+0%;-0%"/>
    <numFmt numFmtId="171" formatCode="+0.0;-0.0"/>
    <numFmt numFmtId="172" formatCode="+0.00;-0.00"/>
  </numFmts>
  <fonts count="9">
    <font>
      <sz val="10"/>
      <color rgb="FF000000"/>
      <name val="Arial"/>
      <family val="2"/>
    </font>
    <font>
      <b/>
      <sz val="14"/>
      <color rgb="FF1F3864"/>
      <name val="Arial"/>
      <family val="2"/>
    </font>
    <font>
      <i/>
      <sz val="9"/>
      <color rgb="FF595959"/>
      <name val="Arial"/>
      <family val="2"/>
    </font>
    <font>
      <b/>
      <sz val="9"/>
      <color rgb="FFFFFFFF"/>
      <name val="Arial"/>
      <family val="2"/>
    </font>
    <font>
      <b/>
      <sz val="9"/>
      <color rgb="FF000000"/>
      <name val="Arial"/>
      <family val="2"/>
    </font>
    <font>
      <sz val="9"/>
      <color rgb="FF000000"/>
      <name val="Arial"/>
      <family val="2"/>
    </font>
    <font>
      <b/>
      <sz val="11"/>
      <color rgb="FFFFFFFF"/>
      <name val="Arial"/>
      <family val="2"/>
    </font>
    <font>
      <b/>
      <sz val="10"/>
      <color rgb="FF000000"/>
      <name val="Arial"/>
      <family val="2"/>
    </font>
    <font>
      <sz val="9"/>
      <color rgb="FF595959"/>
      <name val="Arial"/>
      <family val="2"/>
    </font>
  </fonts>
  <fills count="6">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FFF2CC"/>
        <bgColor indexed="64"/>
      </patternFill>
    </fill>
    <fill>
      <patternFill patternType="solid">
        <fgColor rgb="FF2F5597"/>
        <bgColor indexed="64"/>
      </patternFill>
    </fill>
  </fills>
  <borders count="1">
    <border>
      <left/>
      <right/>
      <top/>
      <bottom/>
      <diagonal/>
    </border>
  </borders>
  <cellStyleXfs count="1">
    <xf numFmtId="0" fontId="0" fillId="0" borderId="0"/>
  </cellStyleXfs>
  <cellXfs count="32">
    <xf numFmtId="0" fontId="0" fillId="0" borderId="0" xfId="0" applyNumberFormat="1" applyFont="1" applyFill="1" applyBorder="1" applyAlignment="1">
      <alignment vertical="center"/>
    </xf>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3" fillId="2" borderId="0"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wrapText="1"/>
    </xf>
    <xf numFmtId="0" fontId="4" fillId="3" borderId="0" xfId="0" applyNumberFormat="1" applyFont="1" applyFill="1" applyBorder="1" applyAlignment="1">
      <alignment horizontal="center" vertical="center"/>
    </xf>
    <xf numFmtId="0" fontId="4" fillId="4" borderId="0" xfId="0" applyNumberFormat="1" applyFont="1" applyFill="1" applyBorder="1" applyAlignment="1">
      <alignment horizontal="center" vertical="center"/>
    </xf>
    <xf numFmtId="3" fontId="5" fillId="0" borderId="0" xfId="0" applyNumberFormat="1" applyFont="1" applyFill="1" applyBorder="1" applyAlignment="1">
      <alignment vertical="center"/>
    </xf>
    <xf numFmtId="3" fontId="4" fillId="0" borderId="0" xfId="0" applyNumberFormat="1" applyFont="1" applyFill="1" applyBorder="1" applyAlignment="1">
      <alignment vertical="center"/>
    </xf>
    <xf numFmtId="164" fontId="5" fillId="0" borderId="0" xfId="0" applyNumberFormat="1" applyFont="1" applyFill="1" applyBorder="1" applyAlignment="1">
      <alignment vertical="center"/>
    </xf>
    <xf numFmtId="165" fontId="5" fillId="0" borderId="0" xfId="0" applyNumberFormat="1" applyFont="1" applyFill="1" applyBorder="1" applyAlignment="1">
      <alignment vertical="center"/>
    </xf>
    <xf numFmtId="165" fontId="4" fillId="0" borderId="0" xfId="0" applyNumberFormat="1" applyFont="1" applyFill="1" applyBorder="1" applyAlignment="1">
      <alignment vertical="center"/>
    </xf>
    <xf numFmtId="10" fontId="4" fillId="0" borderId="0" xfId="0" applyNumberFormat="1" applyFont="1" applyFill="1" applyBorder="1" applyAlignment="1">
      <alignment vertical="center"/>
    </xf>
    <xf numFmtId="2" fontId="5"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6" fillId="5" borderId="0" xfId="0" applyNumberFormat="1" applyFont="1" applyFill="1" applyBorder="1" applyAlignment="1">
      <alignment vertical="center"/>
    </xf>
    <xf numFmtId="0" fontId="0" fillId="0" borderId="0"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8" fillId="0" borderId="0" xfId="0" applyNumberFormat="1" applyFont="1" applyFill="1" applyBorder="1" applyAlignment="1">
      <alignment vertical="top" wrapText="1"/>
    </xf>
    <xf numFmtId="166" fontId="5" fillId="0" borderId="0" xfId="0" applyNumberFormat="1" applyFont="1" applyFill="1" applyBorder="1" applyAlignment="1">
      <alignment horizontal="left" vertical="center"/>
    </xf>
    <xf numFmtId="3" fontId="4" fillId="3" borderId="0" xfId="0" applyNumberFormat="1" applyFont="1" applyFill="1" applyBorder="1" applyAlignment="1">
      <alignment vertical="center"/>
    </xf>
    <xf numFmtId="1" fontId="5"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167" fontId="5" fillId="0" borderId="0" xfId="0" applyNumberFormat="1" applyFont="1" applyFill="1" applyBorder="1" applyAlignment="1">
      <alignment vertical="center"/>
    </xf>
    <xf numFmtId="168" fontId="5" fillId="0" borderId="0" xfId="0" applyNumberFormat="1" applyFont="1" applyFill="1" applyBorder="1" applyAlignment="1">
      <alignment vertical="center"/>
    </xf>
    <xf numFmtId="9" fontId="4" fillId="0" borderId="0" xfId="0" applyNumberFormat="1" applyFont="1" applyFill="1" applyBorder="1" applyAlignment="1">
      <alignment horizontal="center" vertical="center"/>
    </xf>
    <xf numFmtId="169" fontId="5" fillId="0" borderId="0" xfId="0" applyNumberFormat="1" applyFont="1" applyFill="1" applyBorder="1" applyAlignment="1">
      <alignment vertical="center"/>
    </xf>
    <xf numFmtId="170" fontId="5" fillId="0" borderId="0" xfId="0" applyNumberFormat="1" applyFont="1" applyFill="1" applyBorder="1" applyAlignment="1">
      <alignment vertical="center"/>
    </xf>
    <xf numFmtId="171" fontId="5" fillId="0" borderId="0" xfId="0" applyNumberFormat="1" applyFont="1" applyFill="1" applyBorder="1" applyAlignment="1">
      <alignment vertical="center"/>
    </xf>
    <xf numFmtId="172" fontId="5" fillId="0" borderId="0" xfId="0" applyNumberFormat="1" applyFont="1" applyFill="1" applyBorder="1" applyAlignment="1">
      <alignment vertical="center"/>
    </xf>
    <xf numFmtId="9" fontId="5" fillId="0" borderId="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Production mondiale de café, KC1 et DF1</a:t>
            </a:r>
          </a:p>
        </c:rich>
      </c:tx>
      <c:overlay val="0"/>
    </c:title>
    <c:autoTitleDeleted val="0"/>
    <c:plotArea>
      <c:layout/>
      <c:barChart>
        <c:barDir val="col"/>
        <c:grouping val="clustered"/>
        <c:varyColors val="0"/>
        <c:ser>
          <c:idx val="0"/>
          <c:order val="0"/>
          <c:tx>
            <c:v>Production mondiale (M sacs)</c:v>
          </c:tx>
          <c:spPr>
            <a:solidFill>
              <a:srgbClr val="8B5530"/>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'1_Monde'!$C$5:$C$21</c:f>
              <c:numCache>
                <c:formatCode>#,##0</c:formatCode>
                <c:ptCount val="17"/>
                <c:pt idx="0">
                  <c:v>141.409</c:v>
                </c:pt>
                <c:pt idx="1">
                  <c:v>144.837</c:v>
                </c:pt>
                <c:pt idx="2">
                  <c:v>158.018</c:v>
                </c:pt>
                <c:pt idx="3">
                  <c:v>160.054</c:v>
                </c:pt>
                <c:pt idx="4">
                  <c:v>153.796</c:v>
                </c:pt>
                <c:pt idx="5">
                  <c:v>152.429</c:v>
                </c:pt>
                <c:pt idx="6">
                  <c:v>161.079</c:v>
                </c:pt>
                <c:pt idx="7">
                  <c:v>159.814</c:v>
                </c:pt>
                <c:pt idx="8">
                  <c:v>175.856</c:v>
                </c:pt>
                <c:pt idx="9">
                  <c:v>169.03</c:v>
                </c:pt>
                <c:pt idx="10">
                  <c:v>176.594</c:v>
                </c:pt>
                <c:pt idx="11">
                  <c:v>165.044</c:v>
                </c:pt>
                <c:pt idx="12">
                  <c:v>164.529</c:v>
                </c:pt>
                <c:pt idx="13">
                  <c:v>169.335</c:v>
                </c:pt>
                <c:pt idx="14">
                  <c:v>176.816</c:v>
                </c:pt>
                <c:pt idx="15">
                  <c:v>178.83</c:v>
                </c:pt>
                <c:pt idx="16">
                  <c:v>189.667</c:v>
                </c:pt>
              </c:numCache>
            </c:numRef>
          </c:val>
        </c:ser>
        <c:gapWidth val="40"/>
        <c:overlap val="0"/>
        <c:axId val="101"/>
        <c:axId val="102"/>
      </c:barChart>
      <c:lineChart>
        <c:grouping val="standard"/>
        <c:varyColors val="0"/>
        <c:ser>
          <c:idx val="1"/>
          <c:order val="1"/>
          <c:tx>
            <c:v>KC1 arabica (c/lb)</c:v>
          </c:tx>
          <c:spPr>
            <a:ln w="28575" cap="rnd">
              <a:solidFill>
                <a:srgbClr val="C00000"/>
              </a:solidFill>
              <a:round/>
            </a:ln>
          </c:spPr>
          <c:marker>
            <c:symbol val="circle"/>
            <c:size val="5"/>
            <c:spPr>
              <a:solidFill>
                <a:srgbClr val="C00000"/>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'1_Monde'!$K$5:$K$21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robusta (c/lb)</c:v>
          </c:tx>
          <c:spPr>
            <a:ln w="28575" cap="rnd">
              <a:solidFill>
                <a:srgbClr val="ED7D31"/>
              </a:solidFill>
              <a:round/>
            </a:ln>
          </c:spPr>
          <c:marker>
            <c:symbol val="circle"/>
            <c:size val="5"/>
            <c:spPr>
              <a:solidFill>
                <a:srgbClr val="ED7D31"/>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'1_Monde'!$L$5:$L$21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Millions de sacs</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mondial = stocks de fin ÷ (conso + export), KC1 et DF1</a:t>
            </a:r>
          </a:p>
        </c:rich>
      </c:tx>
      <c:overlay val="0"/>
    </c:title>
    <c:autoTitleDeleted val="0"/>
    <c:plotArea>
      <c:layout/>
      <c:barChart>
        <c:barDir val="col"/>
        <c:grouping val="clustered"/>
        <c:varyColors val="0"/>
        <c:ser>
          <c:idx val="0"/>
          <c:order val="0"/>
          <c:tx>
            <c:v>STU monde</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'1_Monde'!$G$5:$G$21</c:f>
              <c:numCache>
                <c:formatCode>0%</c:formatCode>
                <c:ptCount val="17"/>
                <c:pt idx="0">
                  <c:v>0.11343472750316856</c:v>
                </c:pt>
                <c:pt idx="1">
                  <c:v>0.09870352906900967</c:v>
                </c:pt>
                <c:pt idx="2">
                  <c:v>0.13263251062297712</c:v>
                </c:pt>
                <c:pt idx="3">
                  <c:v>0.15078147596261218</c:v>
                </c:pt>
                <c:pt idx="4">
                  <c:v>0.1590471625059921</c:v>
                </c:pt>
                <c:pt idx="5">
                  <c:v>0.12176733523556689</c:v>
                </c:pt>
                <c:pt idx="6">
                  <c:v>0.1262616466350317</c:v>
                </c:pt>
                <c:pt idx="7">
                  <c:v>0.10838158622257048</c:v>
                </c:pt>
                <c:pt idx="8">
                  <c:v>0.11942450229016023</c:v>
                </c:pt>
                <c:pt idx="9">
                  <c:v>0.11882292039979293</c:v>
                </c:pt>
                <c:pt idx="10">
                  <c:v>0.12211676882690517</c:v>
                </c:pt>
                <c:pt idx="11">
                  <c:v>0.10254961327173079</c:v>
                </c:pt>
                <c:pt idx="12">
                  <c:v>0.08875839092050498</c:v>
                </c:pt>
                <c:pt idx="13">
                  <c:v>0.07521029998243434</c:v>
                </c:pt>
                <c:pt idx="14">
                  <c:v>0.06888737961922586</c:v>
                </c:pt>
                <c:pt idx="15">
                  <c:v>0.07629907232601026</c:v>
                </c:pt>
                <c:pt idx="16">
                  <c:v>0.07762027110835475</c:v>
                </c:pt>
              </c:numCache>
            </c:numRef>
          </c:val>
        </c:ser>
        <c:gapWidth val="40"/>
        <c:overlap val="0"/>
        <c:axId val="101"/>
        <c:axId val="102"/>
      </c:barChart>
      <c:lineChart>
        <c:grouping val="standard"/>
        <c:varyColors val="0"/>
        <c:ser>
          <c:idx val="1"/>
          <c:order val="1"/>
          <c:tx>
            <c:v>KC1 arabica (c/lb)</c:v>
          </c:tx>
          <c:spPr>
            <a:ln w="28575" cap="rnd">
              <a:solidFill>
                <a:srgbClr val="C00000"/>
              </a:solidFill>
              <a:round/>
            </a:ln>
          </c:spPr>
          <c:marker>
            <c:symbol val="circle"/>
            <c:size val="5"/>
            <c:spPr>
              <a:solidFill>
                <a:srgbClr val="C00000"/>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'1_Monde'!$K$5:$K$21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robusta (c/lb)</c:v>
          </c:tx>
          <c:spPr>
            <a:ln w="28575" cap="rnd">
              <a:solidFill>
                <a:srgbClr val="ED7D31"/>
              </a:solidFill>
              <a:round/>
            </a:ln>
          </c:spPr>
          <c:marker>
            <c:symbol val="circle"/>
            <c:size val="5"/>
            <c:spPr>
              <a:solidFill>
                <a:srgbClr val="ED7D31"/>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'1_Monde'!$L$5:$L$21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des stocks certifiés ICE (NY + Londres), KC1 et DF1</a:t>
            </a:r>
          </a:p>
        </c:rich>
      </c:tx>
      <c:overlay val="0"/>
    </c:title>
    <c:autoTitleDeleted val="0"/>
    <c:plotArea>
      <c:layout/>
      <c:barChart>
        <c:barDir val="col"/>
        <c:grouping val="clustered"/>
        <c:varyColors val="0"/>
        <c:ser>
          <c:idx val="0"/>
          <c:order val="0"/>
          <c:tx>
            <c:v>STU certifié</c:v>
          </c:tx>
          <c:spPr>
            <a:solidFill>
              <a:srgbClr val="5E7497"/>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'1_Monde'!$J$5:$J$21</c:f>
              <c:numCache>
                <c:formatCode>0%</c:formatCode>
                <c:ptCount val="17"/>
                <c:pt idx="1">
                  <c:v>0.017633844714830062</c:v>
                </c:pt>
                <c:pt idx="2">
                  <c:v>0.01552661088587941</c:v>
                </c:pt>
                <c:pt idx="3">
                  <c:v>0.016694918667188998</c:v>
                </c:pt>
                <c:pt idx="4">
                  <c:v>0.021055348648548987</c:v>
                </c:pt>
                <c:pt idx="5">
                  <c:v>0.013029951468656695</c:v>
                </c:pt>
                <c:pt idx="6">
                  <c:v>0.015759758927643655</c:v>
                </c:pt>
                <c:pt idx="7">
                  <c:v>0.014280819942944563</c:v>
                </c:pt>
                <c:pt idx="8">
                  <c:v>0.016873163588876645</c:v>
                </c:pt>
                <c:pt idx="9">
                  <c:v>0.010320020175473527</c:v>
                </c:pt>
                <c:pt idx="10">
                  <c:v>0.01423295139951927</c:v>
                </c:pt>
                <c:pt idx="11">
                  <c:v>0.006549818756240789</c:v>
                </c:pt>
                <c:pt idx="12">
                  <c:v>0.004020391955261606</c:v>
                </c:pt>
                <c:pt idx="13">
                  <c:v>0.005237168936106538</c:v>
                </c:pt>
                <c:pt idx="14">
                  <c:v>0.005320697199122398</c:v>
                </c:pt>
                <c:pt idx="15">
                  <c:v>0.003350020820222854</c:v>
                </c:pt>
              </c:numCache>
            </c:numRef>
          </c:val>
        </c:ser>
        <c:gapWidth val="40"/>
        <c:overlap val="0"/>
        <c:axId val="101"/>
        <c:axId val="102"/>
      </c:barChart>
      <c:lineChart>
        <c:grouping val="standard"/>
        <c:varyColors val="0"/>
        <c:ser>
          <c:idx val="1"/>
          <c:order val="1"/>
          <c:tx>
            <c:v>KC1 arabica (c/lb)</c:v>
          </c:tx>
          <c:spPr>
            <a:ln w="28575" cap="rnd">
              <a:solidFill>
                <a:srgbClr val="C00000"/>
              </a:solidFill>
              <a:round/>
            </a:ln>
          </c:spPr>
          <c:marker>
            <c:symbol val="circle"/>
            <c:size val="5"/>
            <c:spPr>
              <a:solidFill>
                <a:srgbClr val="C00000"/>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'1_Monde'!$K$5:$K$21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robusta (c/lb)</c:v>
          </c:tx>
          <c:spPr>
            <a:ln w="28575" cap="rnd">
              <a:solidFill>
                <a:srgbClr val="ED7D31"/>
              </a:solidFill>
              <a:round/>
            </a:ln>
          </c:spPr>
          <c:marker>
            <c:symbol val="circle"/>
            <c:size val="5"/>
            <c:spPr>
              <a:solidFill>
                <a:srgbClr val="ED7D31"/>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'1_Monde'!$L$5:$L$21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Production mondiale d'arabica et KC1</a:t>
            </a:r>
          </a:p>
        </c:rich>
      </c:tx>
      <c:overlay val="0"/>
    </c:title>
    <c:autoTitleDeleted val="0"/>
    <c:plotArea>
      <c:layout/>
      <c:barChart>
        <c:barDir val="col"/>
        <c:grouping val="clustered"/>
        <c:varyColors val="0"/>
        <c:ser>
          <c:idx val="0"/>
          <c:order val="0"/>
          <c:tx>
            <c:v>Production arabica (M sacs)</c:v>
          </c:tx>
          <c:spPr>
            <a:solidFill>
              <a:srgbClr val="8B5530"/>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'2_Arabica'!$A$5:$A$21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'2_Arabica'!$C$5:$C$21</c:f>
              <c:numCache>
                <c:formatCode>#,##0</c:formatCode>
                <c:ptCount val="17"/>
                <c:pt idx="0">
                  <c:v>87.943</c:v>
                </c:pt>
                <c:pt idx="1">
                  <c:v>84.542</c:v>
                </c:pt>
                <c:pt idx="2">
                  <c:v>92.872</c:v>
                </c:pt>
                <c:pt idx="3">
                  <c:v>92.465</c:v>
                </c:pt>
                <c:pt idx="4">
                  <c:v>86.688</c:v>
                </c:pt>
                <c:pt idx="5">
                  <c:v>86.135</c:v>
                </c:pt>
                <c:pt idx="6">
                  <c:v>101.136</c:v>
                </c:pt>
                <c:pt idx="7">
                  <c:v>95.224</c:v>
                </c:pt>
                <c:pt idx="8">
                  <c:v>104.926</c:v>
                </c:pt>
                <c:pt idx="9">
                  <c:v>94.921</c:v>
                </c:pt>
                <c:pt idx="10">
                  <c:v>102.155</c:v>
                </c:pt>
                <c:pt idx="11">
                  <c:v>87.089</c:v>
                </c:pt>
                <c:pt idx="12">
                  <c:v>87.908</c:v>
                </c:pt>
                <c:pt idx="13">
                  <c:v>97.16</c:v>
                </c:pt>
                <c:pt idx="14">
                  <c:v>102.276</c:v>
                </c:pt>
                <c:pt idx="15">
                  <c:v>94.44</c:v>
                </c:pt>
                <c:pt idx="16">
                  <c:v>105.867</c:v>
                </c:pt>
              </c:numCache>
            </c:numRef>
          </c:val>
        </c:ser>
        <c:gapWidth val="40"/>
        <c:overlap val="0"/>
        <c:axId val="101"/>
        <c:axId val="102"/>
      </c:barChart>
      <c:lineChart>
        <c:grouping val="standard"/>
        <c:varyColors val="0"/>
        <c:ser>
          <c:idx val="1"/>
          <c:order val="1"/>
          <c:tx>
            <c:v>KC1 (US c/lb)</c:v>
          </c:tx>
          <c:spPr>
            <a:ln w="28575" cap="rnd">
              <a:solidFill>
                <a:srgbClr val="C00000"/>
              </a:solidFill>
              <a:round/>
            </a:ln>
          </c:spPr>
          <c:marker>
            <c:symbol val="circle"/>
            <c:size val="5"/>
            <c:spPr>
              <a:solidFill>
                <a:srgbClr val="C00000"/>
              </a:solidFill>
              <a:ln w="9525">
                <a:solidFill>
                  <a:srgbClr val="FFFFFF"/>
                </a:solidFill>
              </a:ln>
            </c:spPr>
          </c:marker>
          <c:cat>
            <c:strRef>
              <c:f>'2_Arabica'!$A$5:$A$21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'2_Arabica'!$I$5:$I$21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Millions de sacs</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arabica des pays d'origine (stocks de fin USDA) et KC1</a:t>
            </a:r>
          </a:p>
        </c:rich>
      </c:tx>
      <c:overlay val="0"/>
    </c:title>
    <c:autoTitleDeleted val="0"/>
    <c:plotArea>
      <c:layout/>
      <c:barChart>
        <c:barDir val="col"/>
        <c:grouping val="clustered"/>
        <c:varyColors val="0"/>
        <c:ser>
          <c:idx val="0"/>
          <c:order val="0"/>
          <c:tx>
            <c:v>STU arabica</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'2_Arabica'!$A$5:$A$21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'2_Arabica'!$F$5:$F$21</c:f>
              <c:numCache>
                <c:formatCode>0%</c:formatCode>
                <c:ptCount val="17"/>
                <c:pt idx="0">
                  <c:v>0.049457867527130196</c:v>
                </c:pt>
                <c:pt idx="1">
                  <c:v>0.050398172036694666</c:v>
                </c:pt>
                <c:pt idx="2">
                  <c:v>0.10682089663164625</c:v>
                </c:pt>
                <c:pt idx="3">
                  <c:v>0.13258794818881203</c:v>
                </c:pt>
                <c:pt idx="4">
                  <c:v>0.10693950512756453</c:v>
                </c:pt>
                <c:pt idx="5">
                  <c:v>0.0578361693684865</c:v>
                </c:pt>
                <c:pt idx="6">
                  <c:v>0.06069811056357037</c:v>
                </c:pt>
                <c:pt idx="7">
                  <c:v>0.05866361880150922</c:v>
                </c:pt>
                <c:pt idx="8">
                  <c:v>0.057433592281496554</c:v>
                </c:pt>
                <c:pt idx="9">
                  <c:v>0.04723213513384275</c:v>
                </c:pt>
                <c:pt idx="10">
                  <c:v>0.060812394699069496</c:v>
                </c:pt>
                <c:pt idx="11">
                  <c:v>0.026109367366288654</c:v>
                </c:pt>
                <c:pt idx="12">
                  <c:v>0.05424246044943842</c:v>
                </c:pt>
                <c:pt idx="13">
                  <c:v>0.030406431087550635</c:v>
                </c:pt>
                <c:pt idx="14">
                  <c:v>0.025708867725426233</c:v>
                </c:pt>
                <c:pt idx="15">
                  <c:v>0.04836934838625505</c:v>
                </c:pt>
                <c:pt idx="16">
                  <c:v>0.04722611487966381</c:v>
                </c:pt>
              </c:numCache>
            </c:numRef>
          </c:val>
        </c:ser>
        <c:gapWidth val="40"/>
        <c:overlap val="0"/>
        <c:axId val="101"/>
        <c:axId val="102"/>
      </c:barChart>
      <c:lineChart>
        <c:grouping val="standard"/>
        <c:varyColors val="0"/>
        <c:ser>
          <c:idx val="1"/>
          <c:order val="1"/>
          <c:tx>
            <c:v>KC1 (US c/lb)</c:v>
          </c:tx>
          <c:spPr>
            <a:ln w="28575" cap="rnd">
              <a:solidFill>
                <a:srgbClr val="C00000"/>
              </a:solidFill>
              <a:round/>
            </a:ln>
          </c:spPr>
          <c:marker>
            <c:symbol val="circle"/>
            <c:size val="5"/>
            <c:spPr>
              <a:solidFill>
                <a:srgbClr val="C00000"/>
              </a:solidFill>
              <a:ln w="9525">
                <a:solidFill>
                  <a:srgbClr val="FFFFFF"/>
                </a:solidFill>
              </a:ln>
            </c:spPr>
          </c:marker>
          <c:cat>
            <c:strRef>
              <c:f>'2_Arabica'!$A$5:$A$21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'2_Arabica'!$I$5:$I$21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arabica des stocks certifiés et KC1</a:t>
            </a:r>
          </a:p>
        </c:rich>
      </c:tx>
      <c:overlay val="0"/>
    </c:title>
    <c:autoTitleDeleted val="0"/>
    <c:plotArea>
      <c:layout/>
      <c:barChart>
        <c:barDir val="col"/>
        <c:grouping val="clustered"/>
        <c:varyColors val="0"/>
        <c:ser>
          <c:idx val="0"/>
          <c:order val="0"/>
          <c:tx>
            <c:v>STU certifié arabica</c:v>
          </c:tx>
          <c:spPr>
            <a:solidFill>
              <a:srgbClr val="5E7497"/>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'2_Arabica'!$A$5:$A$21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'2_Arabica'!$H$5:$H$21</c:f>
              <c:numCache>
                <c:formatCode>0%</c:formatCode>
                <c:ptCount val="17"/>
                <c:pt idx="1">
                  <c:v>0.028004908908490472</c:v>
                </c:pt>
                <c:pt idx="2">
                  <c:v>0.03513922219794608</c:v>
                </c:pt>
                <c:pt idx="3">
                  <c:v>0.029420408844457784</c:v>
                </c:pt>
                <c:pt idx="4">
                  <c:v>0.025576862317916386</c:v>
                </c:pt>
                <c:pt idx="5">
                  <c:v>0.015408007763788633</c:v>
                </c:pt>
                <c:pt idx="6">
                  <c:v>0.02004846055294053</c:v>
                </c:pt>
                <c:pt idx="7">
                  <c:v>0.02791690385820038</c:v>
                </c:pt>
                <c:pt idx="8">
                  <c:v>0.024495207056717778</c:v>
                </c:pt>
                <c:pt idx="9">
                  <c:v>0.012865540734976894</c:v>
                </c:pt>
                <c:pt idx="10">
                  <c:v>0.022004253737623308</c:v>
                </c:pt>
                <c:pt idx="11">
                  <c:v>0.004791827606180016</c:v>
                </c:pt>
                <c:pt idx="12">
                  <c:v>0.005517559114060334</c:v>
                </c:pt>
                <c:pt idx="13">
                  <c:v>0.00857981770336672</c:v>
                </c:pt>
                <c:pt idx="14">
                  <c:v>0.0058762083310222694</c:v>
                </c:pt>
                <c:pt idx="15">
                  <c:v>0.0024842269198276958</c:v>
                </c:pt>
              </c:numCache>
            </c:numRef>
          </c:val>
        </c:ser>
        <c:gapWidth val="40"/>
        <c:overlap val="0"/>
        <c:axId val="101"/>
        <c:axId val="102"/>
      </c:barChart>
      <c:lineChart>
        <c:grouping val="standard"/>
        <c:varyColors val="0"/>
        <c:ser>
          <c:idx val="1"/>
          <c:order val="1"/>
          <c:tx>
            <c:v>KC1 (US c/lb)</c:v>
          </c:tx>
          <c:spPr>
            <a:ln w="28575" cap="rnd">
              <a:solidFill>
                <a:srgbClr val="C00000"/>
              </a:solidFill>
              <a:round/>
            </a:ln>
          </c:spPr>
          <c:marker>
            <c:symbol val="circle"/>
            <c:size val="5"/>
            <c:spPr>
              <a:solidFill>
                <a:srgbClr val="C00000"/>
              </a:solidFill>
              <a:ln w="9525">
                <a:solidFill>
                  <a:srgbClr val="FFFFFF"/>
                </a:solidFill>
              </a:ln>
            </c:spPr>
          </c:marker>
          <c:cat>
            <c:strRef>
              <c:f>'2_Arabica'!$A$5:$A$21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'2_Arabica'!$I$5:$I$21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Production mondiale de robusta et DF1</a:t>
            </a:r>
          </a:p>
        </c:rich>
      </c:tx>
      <c:overlay val="0"/>
    </c:title>
    <c:autoTitleDeleted val="0"/>
    <c:plotArea>
      <c:layout/>
      <c:barChart>
        <c:barDir val="col"/>
        <c:grouping val="clustered"/>
        <c:varyColors val="0"/>
        <c:ser>
          <c:idx val="0"/>
          <c:order val="0"/>
          <c:tx>
            <c:v>Production robusta (M sacs)</c:v>
          </c:tx>
          <c:spPr>
            <a:solidFill>
              <a:srgbClr val="3D7A55"/>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'3_Robusta'!$A$5:$A$21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'3_Robusta'!$C$5:$C$21</c:f>
              <c:numCache>
                <c:formatCode>#,##0</c:formatCode>
                <c:ptCount val="17"/>
                <c:pt idx="0">
                  <c:v>53.466</c:v>
                </c:pt>
                <c:pt idx="1">
                  <c:v>60.295</c:v>
                </c:pt>
                <c:pt idx="2">
                  <c:v>65.146</c:v>
                </c:pt>
                <c:pt idx="3">
                  <c:v>67.589</c:v>
                </c:pt>
                <c:pt idx="4">
                  <c:v>67.108</c:v>
                </c:pt>
                <c:pt idx="5">
                  <c:v>66.294</c:v>
                </c:pt>
                <c:pt idx="6">
                  <c:v>59.943</c:v>
                </c:pt>
                <c:pt idx="7">
                  <c:v>64.59</c:v>
                </c:pt>
                <c:pt idx="8">
                  <c:v>70.93</c:v>
                </c:pt>
                <c:pt idx="9">
                  <c:v>74.109</c:v>
                </c:pt>
                <c:pt idx="10">
                  <c:v>74.439</c:v>
                </c:pt>
                <c:pt idx="11">
                  <c:v>77.955</c:v>
                </c:pt>
                <c:pt idx="12">
                  <c:v>76.621</c:v>
                </c:pt>
                <c:pt idx="13">
                  <c:v>72.175</c:v>
                </c:pt>
                <c:pt idx="14">
                  <c:v>74.54</c:v>
                </c:pt>
                <c:pt idx="15">
                  <c:v>84.39</c:v>
                </c:pt>
                <c:pt idx="16">
                  <c:v>83.8</c:v>
                </c:pt>
              </c:numCache>
            </c:numRef>
          </c:val>
        </c:ser>
        <c:gapWidth val="40"/>
        <c:overlap val="0"/>
        <c:axId val="101"/>
        <c:axId val="102"/>
      </c:barChart>
      <c:lineChart>
        <c:grouping val="standard"/>
        <c:varyColors val="0"/>
        <c:ser>
          <c:idx val="1"/>
          <c:order val="1"/>
          <c:tx>
            <c:v>DF1 (US$/t)</c:v>
          </c:tx>
          <c:spPr>
            <a:ln w="28575" cap="rnd">
              <a:solidFill>
                <a:srgbClr val="ED7D31"/>
              </a:solidFill>
              <a:round/>
            </a:ln>
          </c:spPr>
          <c:marker>
            <c:symbol val="circle"/>
            <c:size val="5"/>
            <c:spPr>
              <a:solidFill>
                <a:srgbClr val="ED7D31"/>
              </a:solidFill>
              <a:ln w="9525">
                <a:solidFill>
                  <a:srgbClr val="FFFFFF"/>
                </a:solidFill>
              </a:ln>
            </c:spPr>
          </c:marker>
          <c:cat>
            <c:strRef>
              <c:f>'3_Robusta'!$A$5:$A$21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'3_Robusta'!$I$5:$I$21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Millions de sacs</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robusta des pays d'origine (stocks de fin USDA) et DF1</a:t>
            </a:r>
          </a:p>
        </c:rich>
      </c:tx>
      <c:overlay val="0"/>
    </c:title>
    <c:autoTitleDeleted val="0"/>
    <c:plotArea>
      <c:layout/>
      <c:barChart>
        <c:barDir val="col"/>
        <c:grouping val="clustered"/>
        <c:varyColors val="0"/>
        <c:ser>
          <c:idx val="0"/>
          <c:order val="0"/>
          <c:tx>
            <c:v>STU robusta</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'3_Robusta'!$A$5:$A$21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'3_Robusta'!$F$5:$F$21</c:f>
              <c:numCache>
                <c:formatCode>0%</c:formatCode>
                <c:ptCount val="17"/>
                <c:pt idx="0">
                  <c:v>0.0656331488821182</c:v>
                </c:pt>
                <c:pt idx="1">
                  <c:v>0.053476765086765396</c:v>
                </c:pt>
                <c:pt idx="2">
                  <c:v>0.09497966557894641</c:v>
                </c:pt>
                <c:pt idx="3">
                  <c:v>0.10201717066046394</c:v>
                </c:pt>
                <c:pt idx="4">
                  <c:v>0.1676079834556899</c:v>
                </c:pt>
                <c:pt idx="5">
                  <c:v>0.0948613916007309</c:v>
                </c:pt>
                <c:pt idx="6">
                  <c:v>0.07811898355712442</c:v>
                </c:pt>
                <c:pt idx="7">
                  <c:v>0.0416924850603688</c:v>
                </c:pt>
                <c:pt idx="8">
                  <c:v>0.06798262464757018</c:v>
                </c:pt>
                <c:pt idx="9">
                  <c:v>0.07580164447418587</c:v>
                </c:pt>
                <c:pt idx="10">
                  <c:v>0.09538858969037677</c:v>
                </c:pt>
                <c:pt idx="11">
                  <c:v>0.06100794750479037</c:v>
                </c:pt>
                <c:pt idx="12">
                  <c:v>0.04539701267846232</c:v>
                </c:pt>
                <c:pt idx="13">
                  <c:v>0.03052170492500564</c:v>
                </c:pt>
                <c:pt idx="14">
                  <c:v>0.030623034827852336</c:v>
                </c:pt>
                <c:pt idx="15">
                  <c:v>0.04036947124887932</c:v>
                </c:pt>
                <c:pt idx="16">
                  <c:v>0.03450867113805305</c:v>
                </c:pt>
              </c:numCache>
            </c:numRef>
          </c:val>
        </c:ser>
        <c:gapWidth val="40"/>
        <c:overlap val="0"/>
        <c:axId val="101"/>
        <c:axId val="102"/>
      </c:barChart>
      <c:lineChart>
        <c:grouping val="standard"/>
        <c:varyColors val="0"/>
        <c:ser>
          <c:idx val="1"/>
          <c:order val="1"/>
          <c:tx>
            <c:v>DF1 (US$/t)</c:v>
          </c:tx>
          <c:spPr>
            <a:ln w="28575" cap="rnd">
              <a:solidFill>
                <a:srgbClr val="ED7D31"/>
              </a:solidFill>
              <a:round/>
            </a:ln>
          </c:spPr>
          <c:marker>
            <c:symbol val="circle"/>
            <c:size val="5"/>
            <c:spPr>
              <a:solidFill>
                <a:srgbClr val="ED7D31"/>
              </a:solidFill>
              <a:ln w="9525">
                <a:solidFill>
                  <a:srgbClr val="FFFFFF"/>
                </a:solidFill>
              </a:ln>
            </c:spPr>
          </c:marker>
          <c:cat>
            <c:strRef>
              <c:f>'3_Robusta'!$A$5:$A$21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'3_Robusta'!$I$5:$I$21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robusta des stocks certifiés et DF1</a:t>
            </a:r>
          </a:p>
        </c:rich>
      </c:tx>
      <c:overlay val="0"/>
    </c:title>
    <c:autoTitleDeleted val="0"/>
    <c:plotArea>
      <c:layout/>
      <c:barChart>
        <c:barDir val="col"/>
        <c:grouping val="clustered"/>
        <c:varyColors val="0"/>
        <c:ser>
          <c:idx val="0"/>
          <c:order val="0"/>
          <c:tx>
            <c:v>STU certifié robusta</c:v>
          </c:tx>
          <c:spPr>
            <a:solidFill>
              <a:srgbClr val="5E7497"/>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'3_Robusta'!$A$5:$A$21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'3_Robusta'!$H$5:$H$21</c:f>
              <c:numCache>
                <c:formatCode>0%</c:formatCode>
                <c:ptCount val="17"/>
                <c:pt idx="1">
                  <c:v>0.03347190075073189</c:v>
                </c:pt>
                <c:pt idx="2">
                  <c:v>0.014963240925138026</c:v>
                </c:pt>
                <c:pt idx="3">
                  <c:v>0.026179187045721607</c:v>
                </c:pt>
                <c:pt idx="4">
                  <c:v>0.04972677017647231</c:v>
                </c:pt>
                <c:pt idx="5">
                  <c:v>0.03090196597910019</c:v>
                </c:pt>
                <c:pt idx="6">
                  <c:v>0.03795961477065434</c:v>
                </c:pt>
                <c:pt idx="7">
                  <c:v>0.020741073380285968</c:v>
                </c:pt>
                <c:pt idx="8">
                  <c:v>0.034816449319463906</c:v>
                </c:pt>
                <c:pt idx="9">
                  <c:v>0.023382804566318714</c:v>
                </c:pt>
                <c:pt idx="10">
                  <c:v>0.026889937370396768</c:v>
                </c:pt>
                <c:pt idx="11">
                  <c:v>0.018462372197921986</c:v>
                </c:pt>
                <c:pt idx="12">
                  <c:v>0.008758183794462727</c:v>
                </c:pt>
                <c:pt idx="13">
                  <c:v>0.009303232612007132</c:v>
                </c:pt>
                <c:pt idx="14">
                  <c:v>0.013447255535916325</c:v>
                </c:pt>
                <c:pt idx="15">
                  <c:v>0.009315013413408376</c:v>
                </c:pt>
              </c:numCache>
            </c:numRef>
          </c:val>
        </c:ser>
        <c:gapWidth val="40"/>
        <c:overlap val="0"/>
        <c:axId val="101"/>
        <c:axId val="102"/>
      </c:barChart>
      <c:lineChart>
        <c:grouping val="standard"/>
        <c:varyColors val="0"/>
        <c:ser>
          <c:idx val="1"/>
          <c:order val="1"/>
          <c:tx>
            <c:v>DF1 (US$/t)</c:v>
          </c:tx>
          <c:spPr>
            <a:ln w="28575" cap="rnd">
              <a:solidFill>
                <a:srgbClr val="ED7D31"/>
              </a:solidFill>
              <a:round/>
            </a:ln>
          </c:spPr>
          <c:marker>
            <c:symbol val="circle"/>
            <c:size val="5"/>
            <c:spPr>
              <a:solidFill>
                <a:srgbClr val="ED7D31"/>
              </a:solidFill>
              <a:ln w="9525">
                <a:solidFill>
                  <a:srgbClr val="FFFFFF"/>
                </a:solidFill>
              </a:ln>
            </c:spPr>
          </c:marker>
          <c:cat>
            <c:strRef>
              <c:f>'3_Robusta'!$A$5:$A$21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'3_Robusta'!$I$5:$I$21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Production d'arabica du Brésil et KC1</a:t>
            </a:r>
          </a:p>
        </c:rich>
      </c:tx>
      <c:overlay val="0"/>
    </c:title>
    <c:autoTitleDeleted val="0"/>
    <c:plotArea>
      <c:layout/>
      <c:barChart>
        <c:barDir val="col"/>
        <c:grouping val="clustered"/>
        <c:varyColors val="0"/>
        <c:ser>
          <c:idx val="0"/>
          <c:order val="0"/>
          <c:tx>
            <c:v>Production arabica Brésil (M sacs)</c:v>
          </c:tx>
          <c:spPr>
            <a:solidFill>
              <a:srgbClr val="8B5530"/>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'7_Bresil_arabica'!$A$5:$A$21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'7_Bresil_arabica'!$C$5:$C$21</c:f>
              <c:numCache>
                <c:formatCode>#,##0</c:formatCode>
                <c:ptCount val="17"/>
                <c:pt idx="0">
                  <c:v>41.8</c:v>
                </c:pt>
                <c:pt idx="1">
                  <c:v>34.7</c:v>
                </c:pt>
                <c:pt idx="2">
                  <c:v>42.1</c:v>
                </c:pt>
                <c:pt idx="3">
                  <c:v>41.8</c:v>
                </c:pt>
                <c:pt idx="4">
                  <c:v>37.3</c:v>
                </c:pt>
                <c:pt idx="5">
                  <c:v>36.1</c:v>
                </c:pt>
                <c:pt idx="6">
                  <c:v>45.6</c:v>
                </c:pt>
                <c:pt idx="7">
                  <c:v>39.5</c:v>
                </c:pt>
                <c:pt idx="8">
                  <c:v>49.7</c:v>
                </c:pt>
                <c:pt idx="9">
                  <c:v>42.0</c:v>
                </c:pt>
                <c:pt idx="10">
                  <c:v>49.7</c:v>
                </c:pt>
                <c:pt idx="11">
                  <c:v>36.4</c:v>
                </c:pt>
                <c:pt idx="12">
                  <c:v>39.8</c:v>
                </c:pt>
                <c:pt idx="13">
                  <c:v>44.9</c:v>
                </c:pt>
                <c:pt idx="14">
                  <c:v>44.5</c:v>
                </c:pt>
                <c:pt idx="15">
                  <c:v>38.0</c:v>
                </c:pt>
                <c:pt idx="16">
                  <c:v>47.5</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'7_Bresil_arabica'!$A$5:$A$21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'7_Bresil_arabica'!$O$5:$O$21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Millions de sacs</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du Brésil (= STU arabica du Brésil) et KC1</a:t>
            </a:r>
          </a:p>
        </c:rich>
      </c:tx>
      <c:overlay val="0"/>
    </c:title>
    <c:autoTitleDeleted val="0"/>
    <c:plotArea>
      <c:layout/>
      <c:barChart>
        <c:barDir val="col"/>
        <c:grouping val="clustered"/>
        <c:varyColors val="0"/>
        <c:ser>
          <c:idx val="0"/>
          <c:order val="0"/>
          <c:tx>
            <c:v>STU Brésil</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'7_Bresil_arabica'!$A$5:$A$21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'7_Bresil_arabica'!$I$5:$I$21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'7_Bresil_arabica'!$A$5:$A$21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'7_Bresil_arabica'!$O$5:$O$21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Production du Brésil (arabica + conilon) et KC1</a:t>
            </a:r>
          </a:p>
        </c:rich>
      </c:tx>
      <c:overlay val="0"/>
    </c:title>
    <c:autoTitleDeleted val="0"/>
    <c:plotArea>
      <c:layout/>
      <c:barChart>
        <c:barDir val="col"/>
        <c:grouping val="stacked"/>
        <c:varyColors val="0"/>
        <c:ser>
          <c:idx val="0"/>
          <c:order val="0"/>
          <c:tx>
            <c:v>Arabica (M sacs)</c:v>
          </c:tx>
          <c:spPr>
            <a:solidFill>
              <a:srgbClr val="8B5530"/>
            </a:solidFill>
            <a:ln>
              <a:noFill/>
            </a:ln>
          </c:spPr>
          <c:invertIfNegative val="0"/>
          <c:dLbls>
            <c:numFmt formatCode="#,##0.0" sourceLinked="0"/>
            <c:spPr>
              <a:noFill/>
              <a:ln>
                <a:noFill/>
              </a:ln>
            </c:spPr>
            <c:txPr>
              <a:bodyPr/>
              <a:lstStyle/>
              <a:p>
                <a:pPr>
                  <a:defRPr sz="700">
                    <a:solidFill>
                      <a:srgbClr val="404040"/>
                    </a:solidFill>
                  </a:defRPr>
                </a:pPr>
                <a:endParaRPr lang="fr-FR"/>
              </a:p>
            </c:txPr>
            <c:dLblPos val="ctr"/>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'8_Graphiques_pays'!$B$5:$B$21</c:f>
              <c:numCache>
                <c:formatCode>#,##0</c:formatCode>
                <c:ptCount val="17"/>
                <c:pt idx="0">
                  <c:v>41.8</c:v>
                </c:pt>
                <c:pt idx="1">
                  <c:v>34.7</c:v>
                </c:pt>
                <c:pt idx="2">
                  <c:v>42.1</c:v>
                </c:pt>
                <c:pt idx="3">
                  <c:v>41.8</c:v>
                </c:pt>
                <c:pt idx="4">
                  <c:v>37.3</c:v>
                </c:pt>
                <c:pt idx="5">
                  <c:v>36.1</c:v>
                </c:pt>
                <c:pt idx="6">
                  <c:v>45.6</c:v>
                </c:pt>
                <c:pt idx="7">
                  <c:v>39.5</c:v>
                </c:pt>
                <c:pt idx="8">
                  <c:v>49.7</c:v>
                </c:pt>
                <c:pt idx="9">
                  <c:v>42.0</c:v>
                </c:pt>
                <c:pt idx="10">
                  <c:v>49.7</c:v>
                </c:pt>
                <c:pt idx="11">
                  <c:v>36.4</c:v>
                </c:pt>
                <c:pt idx="12">
                  <c:v>39.8</c:v>
                </c:pt>
                <c:pt idx="13">
                  <c:v>44.9</c:v>
                </c:pt>
                <c:pt idx="14">
                  <c:v>44.5</c:v>
                </c:pt>
                <c:pt idx="15">
                  <c:v>38.0</c:v>
                </c:pt>
                <c:pt idx="16">
                  <c:v>47.5</c:v>
                </c:pt>
              </c:numCache>
            </c:numRef>
          </c:val>
        </c:ser>
        <c:ser>
          <c:idx val="1"/>
          <c:order val="1"/>
          <c:tx>
            <c:v>Conilon / robusta (M sacs)</c:v>
          </c:tx>
          <c:spPr>
            <a:solidFill>
              <a:srgbClr val="3D7A55"/>
            </a:solidFill>
            <a:ln>
              <a:noFill/>
            </a:ln>
          </c:spPr>
          <c:invertIfNegative val="0"/>
          <c:dLbls>
            <c:numFmt formatCode="#,##0.0" sourceLinked="0"/>
            <c:spPr>
              <a:noFill/>
              <a:ln>
                <a:noFill/>
              </a:ln>
            </c:spPr>
            <c:txPr>
              <a:bodyPr/>
              <a:lstStyle/>
              <a:p>
                <a:pPr>
                  <a:defRPr sz="700">
                    <a:solidFill>
                      <a:srgbClr val="404040"/>
                    </a:solidFill>
                  </a:defRPr>
                </a:pPr>
                <a:endParaRPr lang="fr-FR"/>
              </a:p>
            </c:txPr>
            <c:dLblPos val="ctr"/>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'8_Graphiques_pays'!$C$5:$C$21</c:f>
              <c:numCache>
                <c:formatCode>#,##0</c:formatCode>
                <c:ptCount val="17"/>
                <c:pt idx="0">
                  <c:v>12.7</c:v>
                </c:pt>
                <c:pt idx="1">
                  <c:v>14.5</c:v>
                </c:pt>
                <c:pt idx="2">
                  <c:v>15.5</c:v>
                </c:pt>
                <c:pt idx="3">
                  <c:v>15.4</c:v>
                </c:pt>
                <c:pt idx="4">
                  <c:v>17.0</c:v>
                </c:pt>
                <c:pt idx="5">
                  <c:v>13.3</c:v>
                </c:pt>
                <c:pt idx="6">
                  <c:v>10.5</c:v>
                </c:pt>
                <c:pt idx="7">
                  <c:v>12.6</c:v>
                </c:pt>
                <c:pt idx="8">
                  <c:v>16.8</c:v>
                </c:pt>
                <c:pt idx="9">
                  <c:v>18.5</c:v>
                </c:pt>
                <c:pt idx="10">
                  <c:v>20.2</c:v>
                </c:pt>
                <c:pt idx="11">
                  <c:v>21.7</c:v>
                </c:pt>
                <c:pt idx="12">
                  <c:v>22.8</c:v>
                </c:pt>
                <c:pt idx="13">
                  <c:v>21.4</c:v>
                </c:pt>
                <c:pt idx="14">
                  <c:v>21.0</c:v>
                </c:pt>
                <c:pt idx="15">
                  <c:v>25.0</c:v>
                </c:pt>
                <c:pt idx="16">
                  <c:v>24.4</c:v>
                </c:pt>
              </c:numCache>
            </c:numRef>
          </c:val>
        </c:ser>
        <c:gapWidth val="40"/>
        <c:overlap val="100"/>
        <c:axId val="101"/>
        <c:axId val="102"/>
      </c:barChart>
      <c:lineChart>
        <c:grouping val="standard"/>
        <c:varyColors val="0"/>
        <c:ser>
          <c:idx val="2"/>
          <c:order val="2"/>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Millions de sacs</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Production du Vietnam et DF1</a:t>
            </a:r>
          </a:p>
        </c:rich>
      </c:tx>
      <c:overlay val="0"/>
    </c:title>
    <c:autoTitleDeleted val="0"/>
    <c:plotArea>
      <c:layout/>
      <c:barChart>
        <c:barDir val="col"/>
        <c:grouping val="clustered"/>
        <c:varyColors val="0"/>
        <c:ser>
          <c:idx val="0"/>
          <c:order val="0"/>
          <c:tx>
            <c:v>Production Vietnam (M sacs)</c:v>
          </c:tx>
          <c:spPr>
            <a:solidFill>
              <a:srgbClr val="3D7A55"/>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'8_Graphiques_pays'!$F$5:$F$21</c:f>
              <c:numCache>
                <c:formatCode>#,##0</c:formatCode>
                <c:ptCount val="17"/>
                <c:pt idx="0">
                  <c:v>19.415</c:v>
                </c:pt>
                <c:pt idx="1">
                  <c:v>26.0</c:v>
                </c:pt>
                <c:pt idx="2">
                  <c:v>26.5</c:v>
                </c:pt>
                <c:pt idx="3">
                  <c:v>29.833</c:v>
                </c:pt>
                <c:pt idx="4">
                  <c:v>27.4</c:v>
                </c:pt>
                <c:pt idx="5">
                  <c:v>28.93</c:v>
                </c:pt>
                <c:pt idx="6">
                  <c:v>26.7</c:v>
                </c:pt>
                <c:pt idx="7">
                  <c:v>29.3</c:v>
                </c:pt>
                <c:pt idx="8">
                  <c:v>30.4</c:v>
                </c:pt>
                <c:pt idx="9">
                  <c:v>31.3</c:v>
                </c:pt>
                <c:pt idx="10">
                  <c:v>29.0</c:v>
                </c:pt>
                <c:pt idx="11">
                  <c:v>31.58</c:v>
                </c:pt>
                <c:pt idx="12">
                  <c:v>28.3</c:v>
                </c:pt>
                <c:pt idx="13">
                  <c:v>27.55</c:v>
                </c:pt>
                <c:pt idx="14">
                  <c:v>29.0</c:v>
                </c:pt>
                <c:pt idx="15">
                  <c:v>31.7</c:v>
                </c:pt>
                <c:pt idx="16">
                  <c:v>32.5</c:v>
                </c:pt>
              </c:numCache>
            </c:numRef>
          </c:val>
        </c:ser>
        <c:gapWidth val="40"/>
        <c:overlap val="0"/>
        <c:axId val="101"/>
        <c:axId val="102"/>
      </c:barChart>
      <c:lineChart>
        <c:grouping val="standard"/>
        <c:varyColors val="0"/>
        <c:ser>
          <c:idx val="1"/>
          <c:order val="1"/>
          <c:tx>
            <c:v>DF1 ($/t)</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'8_Graphiques_pays'!$U$5:$U$21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Millions de sacs</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mondial = stocks de fin ÷ (conso + export), KC1 et DF1</a:t>
            </a:r>
          </a:p>
        </c:rich>
      </c:tx>
      <c:overlay val="0"/>
    </c:title>
    <c:autoTitleDeleted val="0"/>
    <c:plotArea>
      <c:layout/>
      <c:barChart>
        <c:barDir val="col"/>
        <c:grouping val="clustered"/>
        <c:varyColors val="0"/>
        <c:ser>
          <c:idx val="0"/>
          <c:order val="0"/>
          <c:tx>
            <c:v>STU mondial</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'8_Graphiques_pays'!$H$5:$H$21</c:f>
              <c:numCache>
                <c:formatCode>0%</c:formatCode>
                <c:ptCount val="17"/>
                <c:pt idx="0">
                  <c:v>0.11343472750316856</c:v>
                </c:pt>
                <c:pt idx="1">
                  <c:v>0.09870352906900967</c:v>
                </c:pt>
                <c:pt idx="2">
                  <c:v>0.13263251062297712</c:v>
                </c:pt>
                <c:pt idx="3">
                  <c:v>0.15078147596261218</c:v>
                </c:pt>
                <c:pt idx="4">
                  <c:v>0.1590471625059921</c:v>
                </c:pt>
                <c:pt idx="5">
                  <c:v>0.12176733523556689</c:v>
                </c:pt>
                <c:pt idx="6">
                  <c:v>0.1262616466350317</c:v>
                </c:pt>
                <c:pt idx="7">
                  <c:v>0.10838158622257048</c:v>
                </c:pt>
                <c:pt idx="8">
                  <c:v>0.11942450229016023</c:v>
                </c:pt>
                <c:pt idx="9">
                  <c:v>0.11882292039979293</c:v>
                </c:pt>
                <c:pt idx="10">
                  <c:v>0.12211676882690517</c:v>
                </c:pt>
                <c:pt idx="11">
                  <c:v>0.10254961327173079</c:v>
                </c:pt>
                <c:pt idx="12">
                  <c:v>0.08875839092050498</c:v>
                </c:pt>
                <c:pt idx="13">
                  <c:v>0.07521029998243434</c:v>
                </c:pt>
                <c:pt idx="14">
                  <c:v>0.06888737961922586</c:v>
                </c:pt>
                <c:pt idx="15">
                  <c:v>0.07629907232601026</c:v>
                </c:pt>
                <c:pt idx="16">
                  <c:v>0.07762027110835475</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(c/lb)</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'8_Graphiques_pays'!$T$5:$T$21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mondial = stocks de fin ÷ conso (déf. USDA/ICO), KC1 et DF1</a:t>
            </a:r>
          </a:p>
        </c:rich>
      </c:tx>
      <c:overlay val="0"/>
    </c:title>
    <c:autoTitleDeleted val="0"/>
    <c:plotArea>
      <c:layout/>
      <c:barChart>
        <c:barDir val="col"/>
        <c:grouping val="clustered"/>
        <c:varyColors val="0"/>
        <c:ser>
          <c:idx val="0"/>
          <c:order val="0"/>
          <c:tx>
            <c:v>STU mondial ÷ conso</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'8_Graphiques_pays'!$I$5:$I$21</c:f>
              <c:numCache>
                <c:formatCode>0%</c:formatCode>
                <c:ptCount val="17"/>
                <c:pt idx="0">
                  <c:v>0.211352835256959</c:v>
                </c:pt>
                <c:pt idx="1">
                  <c:v>0.18026898922502818</c:v>
                </c:pt>
                <c:pt idx="2">
                  <c:v>0.24661785216178522</c:v>
                </c:pt>
                <c:pt idx="3">
                  <c:v>0.28624450051085304</c:v>
                </c:pt>
                <c:pt idx="4">
                  <c:v>0.29308997506166634</c:v>
                </c:pt>
                <c:pt idx="5">
                  <c:v>0.22816053686368207</c:v>
                </c:pt>
                <c:pt idx="6">
                  <c:v>0.23502295234165463</c:v>
                </c:pt>
                <c:pt idx="7">
                  <c:v>0.198914254764143</c:v>
                </c:pt>
                <c:pt idx="8">
                  <c:v>0.22256224285103282</c:v>
                </c:pt>
                <c:pt idx="9">
                  <c:v>0.22055372486218472</c:v>
                </c:pt>
                <c:pt idx="10">
                  <c:v>0.23131165442061039</c:v>
                </c:pt>
                <c:pt idx="11">
                  <c:v>0.19025947723319592</c:v>
                </c:pt>
                <c:pt idx="12">
                  <c:v>0.15960510565675481</c:v>
                </c:pt>
                <c:pt idx="13">
                  <c:v>0.14102986385595082</c:v>
                </c:pt>
                <c:pt idx="14">
                  <c:v>0.1281431756918043</c:v>
                </c:pt>
                <c:pt idx="15">
                  <c:v>0.14049429548192946</c:v>
                </c:pt>
                <c:pt idx="16">
                  <c:v>0.14623113900387236</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(c/lb)</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'8_Graphiques_pays'!$T$5:$T$21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du Brésil et KC1</a:t>
            </a:r>
          </a:p>
        </c:rich>
      </c:tx>
      <c:overlay val="0"/>
    </c:title>
    <c:autoTitleDeleted val="0"/>
    <c:plotArea>
      <c:layout/>
      <c:barChart>
        <c:barDir val="col"/>
        <c:grouping val="clustered"/>
        <c:varyColors val="0"/>
        <c:ser>
          <c:idx val="0"/>
          <c:order val="0"/>
          <c:tx>
            <c:v>STU Brésil</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'8_Graphiques_pays'!$J$5:$J$21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7.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du Vietnam et DF1</a:t>
            </a:r>
          </a:p>
        </c:rich>
      </c:tx>
      <c:overlay val="0"/>
    </c:title>
    <c:autoTitleDeleted val="0"/>
    <c:plotArea>
      <c:layout/>
      <c:barChart>
        <c:barDir val="col"/>
        <c:grouping val="clustered"/>
        <c:varyColors val="0"/>
        <c:ser>
          <c:idx val="0"/>
          <c:order val="0"/>
          <c:tx>
            <c:v>STU Vietnam</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'8_Graphiques_pays'!$K$5:$K$21</c:f>
              <c:numCache>
                <c:formatCode>0%</c:formatCode>
                <c:ptCount val="17"/>
                <c:pt idx="0">
                  <c:v>0.04004605296090504</c:v>
                </c:pt>
                <c:pt idx="1">
                  <c:v>0.041666666666666664</c:v>
                </c:pt>
                <c:pt idx="2">
                  <c:v>0.07352274444612363</c:v>
                </c:pt>
                <c:pt idx="3">
                  <c:v>0.07030399049410833</c:v>
                </c:pt>
                <c:pt idx="4">
                  <c:v>0.26639757820383453</c:v>
                </c:pt>
                <c:pt idx="5">
                  <c:v>0.13254456538886258</c:v>
                </c:pt>
                <c:pt idx="6">
                  <c:v>0.09175222450376455</c:v>
                </c:pt>
                <c:pt idx="7">
                  <c:v>0.007746972885594901</c:v>
                </c:pt>
                <c:pt idx="8">
                  <c:v>0.01778744641371809</c:v>
                </c:pt>
                <c:pt idx="9">
                  <c:v>0.0700059159929008</c:v>
                </c:pt>
                <c:pt idx="10">
                  <c:v>0.13062098501070663</c:v>
                </c:pt>
                <c:pt idx="11">
                  <c:v>0.111145606954362</c:v>
                </c:pt>
                <c:pt idx="12">
                  <c:v>0.026601141407736208</c:v>
                </c:pt>
                <c:pt idx="13">
                  <c:v>0.03141342756183746</c:v>
                </c:pt>
                <c:pt idx="14">
                  <c:v>0.0363</c:v>
                </c:pt>
                <c:pt idx="15">
                  <c:v>0.020628742514970058</c:v>
                </c:pt>
                <c:pt idx="16">
                  <c:v>0.014403534609720176</c:v>
                </c:pt>
              </c:numCache>
            </c:numRef>
          </c:val>
        </c:ser>
        <c:gapWidth val="40"/>
        <c:overlap val="0"/>
        <c:axId val="101"/>
        <c:axId val="102"/>
      </c:barChart>
      <c:lineChart>
        <c:grouping val="standard"/>
        <c:varyColors val="0"/>
        <c:ser>
          <c:idx val="1"/>
          <c:order val="1"/>
          <c:tx>
            <c:v>DF1 ($/t)</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'8_Graphiques_pays'!$U$5:$U$21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8.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Arabica : STU du Brésil, de la Colombie et de l'Éthiopie, et KC1</a:t>
            </a:r>
          </a:p>
        </c:rich>
      </c:tx>
      <c:overlay val="0"/>
    </c:title>
    <c:autoTitleDeleted val="0"/>
    <c:plotArea>
      <c:layout/>
      <c:barChart>
        <c:barDir val="col"/>
        <c:grouping val="clustered"/>
        <c:varyColors val="0"/>
        <c:ser>
          <c:idx val="0"/>
          <c:order val="0"/>
          <c:tx>
            <c:v>Brésil</c:v>
          </c:tx>
          <c:spPr>
            <a:solidFill>
              <a:srgbClr val="2A78D6"/>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'8_Graphiques_pays'!$J$5:$J$21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ser>
          <c:idx val="1"/>
          <c:order val="1"/>
          <c:tx>
            <c:v>Colombie</c:v>
          </c:tx>
          <c:spPr>
            <a:solidFill>
              <a:srgbClr val="EB6834"/>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'8_Graphiques_pays'!$L$5:$L$21</c:f>
              <c:numCache>
                <c:formatCode>0%</c:formatCode>
                <c:ptCount val="17"/>
                <c:pt idx="0">
                  <c:v>0.010415570752235665</c:v>
                </c:pt>
                <c:pt idx="1">
                  <c:v>0.02888631090487239</c:v>
                </c:pt>
                <c:pt idx="2">
                  <c:v>0.07667826951765291</c:v>
                </c:pt>
                <c:pt idx="3">
                  <c:v>0.07787682333873581</c:v>
                </c:pt>
                <c:pt idx="4">
                  <c:v>0.048552821997105644</c:v>
                </c:pt>
                <c:pt idx="5">
                  <c:v>0.08192683810213691</c:v>
                </c:pt>
                <c:pt idx="6">
                  <c:v>0.0582703058204538</c:v>
                </c:pt>
                <c:pt idx="7">
                  <c:v>0.07728695652173913</c:v>
                </c:pt>
                <c:pt idx="8">
                  <c:v>0.03552123552123552</c:v>
                </c:pt>
                <c:pt idx="9">
                  <c:v>0.05764546684709066</c:v>
                </c:pt>
                <c:pt idx="10">
                  <c:v>0.08324907313784968</c:v>
                </c:pt>
                <c:pt idx="11">
                  <c:v>0.052377670572019294</c:v>
                </c:pt>
                <c:pt idx="12">
                  <c:v>0.06935736677115988</c:v>
                </c:pt>
                <c:pt idx="13">
                  <c:v>0.04773133261879243</c:v>
                </c:pt>
                <c:pt idx="14">
                  <c:v>0.05938425866288806</c:v>
                </c:pt>
                <c:pt idx="15">
                  <c:v>0.05769487008660893</c:v>
                </c:pt>
                <c:pt idx="16">
                  <c:v>0.04294871794871795</c:v>
                </c:pt>
              </c:numCache>
            </c:numRef>
          </c:val>
        </c:ser>
        <c:ser>
          <c:idx val="2"/>
          <c:order val="2"/>
          <c:tx>
            <c:v>Éthiopie</c:v>
          </c:tx>
          <c:spPr>
            <a:solidFill>
              <a:srgbClr val="1BAF7A"/>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'8_Graphiques_pays'!$M$5:$M$21</c:f>
              <c:numCache>
                <c:formatCode>0%</c:formatCode>
                <c:ptCount val="17"/>
                <c:pt idx="0">
                  <c:v>0.016406890894175553</c:v>
                </c:pt>
                <c:pt idx="1">
                  <c:v>0.03715670436187399</c:v>
                </c:pt>
                <c:pt idx="2">
                  <c:v>0.015082956259426848</c:v>
                </c:pt>
                <c:pt idx="3">
                  <c:v>0.00624512099921936</c:v>
                </c:pt>
                <c:pt idx="4">
                  <c:v>0.004626060138781804</c:v>
                </c:pt>
                <c:pt idx="5">
                  <c:v>0.003837298541826554</c:v>
                </c:pt>
                <c:pt idx="6">
                  <c:v>0.002157342154465698</c:v>
                </c:pt>
                <c:pt idx="7">
                  <c:v>0.003833593639074258</c:v>
                </c:pt>
                <c:pt idx="8">
                  <c:v>0.0013574046423238768</c:v>
                </c:pt>
                <c:pt idx="9">
                  <c:v>0.0288659793814433</c:v>
                </c:pt>
                <c:pt idx="10">
                  <c:v>0.01758957654723127</c:v>
                </c:pt>
                <c:pt idx="11">
                  <c:v>0.010982306284319707</c:v>
                </c:pt>
                <c:pt idx="12">
                  <c:v>0.006811989100817439</c:v>
                </c:pt>
                <c:pt idx="13">
                  <c:v>0.00547645125958379</c:v>
                </c:pt>
                <c:pt idx="14">
                  <c:v>0.00699912510936133</c:v>
                </c:pt>
                <c:pt idx="15">
                  <c:v>0.015263846489315308</c:v>
                </c:pt>
                <c:pt idx="16">
                  <c:v>0.011953833470733718</c:v>
                </c:pt>
              </c:numCache>
            </c:numRef>
          </c:val>
        </c:ser>
        <c:gapWidth val="60"/>
        <c:overlap val="-5"/>
        <c:axId val="101"/>
        <c:axId val="102"/>
      </c:barChart>
      <c:lineChart>
        <c:grouping val="standard"/>
        <c:varyColors val="0"/>
        <c:ser>
          <c:idx val="3"/>
          <c:order val="3"/>
          <c:tx>
            <c:v>KC1 (c/lb)</c:v>
          </c:tx>
          <c:spPr>
            <a:ln w="28575" cap="rnd">
              <a:solidFill>
                <a:srgbClr val="0B0B0B"/>
              </a:solidFill>
              <a:round/>
            </a:ln>
          </c:spPr>
          <c:marker>
            <c:symbol val="circle"/>
            <c:size val="5"/>
            <c:spPr>
              <a:solidFill>
                <a:srgbClr val="0B0B0B"/>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9.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Robusta : STU du Vietnam, du Brésil, de l'Inde, de l'Ouganda et de l'Indonésie, et DF1</a:t>
            </a:r>
          </a:p>
        </c:rich>
      </c:tx>
      <c:overlay val="0"/>
    </c:title>
    <c:autoTitleDeleted val="0"/>
    <c:plotArea>
      <c:layout/>
      <c:barChart>
        <c:barDir val="col"/>
        <c:grouping val="clustered"/>
        <c:varyColors val="0"/>
        <c:ser>
          <c:idx val="0"/>
          <c:order val="0"/>
          <c:tx>
            <c:v>Vietnam</c:v>
          </c:tx>
          <c:spPr>
            <a:solidFill>
              <a:srgbClr val="008300"/>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'8_Graphiques_pays'!$K$5:$K$21</c:f>
              <c:numCache>
                <c:formatCode>0%</c:formatCode>
                <c:ptCount val="17"/>
                <c:pt idx="0">
                  <c:v>0.04004605296090504</c:v>
                </c:pt>
                <c:pt idx="1">
                  <c:v>0.041666666666666664</c:v>
                </c:pt>
                <c:pt idx="2">
                  <c:v>0.07352274444612363</c:v>
                </c:pt>
                <c:pt idx="3">
                  <c:v>0.07030399049410833</c:v>
                </c:pt>
                <c:pt idx="4">
                  <c:v>0.26639757820383453</c:v>
                </c:pt>
                <c:pt idx="5">
                  <c:v>0.13254456538886258</c:v>
                </c:pt>
                <c:pt idx="6">
                  <c:v>0.09175222450376455</c:v>
                </c:pt>
                <c:pt idx="7">
                  <c:v>0.007746972885594901</c:v>
                </c:pt>
                <c:pt idx="8">
                  <c:v>0.01778744641371809</c:v>
                </c:pt>
                <c:pt idx="9">
                  <c:v>0.0700059159929008</c:v>
                </c:pt>
                <c:pt idx="10">
                  <c:v>0.13062098501070663</c:v>
                </c:pt>
                <c:pt idx="11">
                  <c:v>0.111145606954362</c:v>
                </c:pt>
                <c:pt idx="12">
                  <c:v>0.026601141407736208</c:v>
                </c:pt>
                <c:pt idx="13">
                  <c:v>0.03141342756183746</c:v>
                </c:pt>
                <c:pt idx="14">
                  <c:v>0.0363</c:v>
                </c:pt>
                <c:pt idx="15">
                  <c:v>0.020628742514970058</c:v>
                </c:pt>
                <c:pt idx="16">
                  <c:v>0.014403534609720176</c:v>
                </c:pt>
              </c:numCache>
            </c:numRef>
          </c:val>
        </c:ser>
        <c:ser>
          <c:idx val="1"/>
          <c:order val="1"/>
          <c:tx>
            <c:v>Brésil (tous cafés)</c:v>
          </c:tx>
          <c:spPr>
            <a:solidFill>
              <a:srgbClr val="2A78D6"/>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'8_Graphiques_pays'!$J$5:$J$21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ser>
          <c:idx val="2"/>
          <c:order val="2"/>
          <c:tx>
            <c:v>Inde</c:v>
          </c:tx>
          <c:spPr>
            <a:solidFill>
              <a:srgbClr val="E87BA4"/>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'8_Graphiques_pays'!$N$5:$N$21</c:f>
              <c:numCache>
                <c:formatCode>0%</c:formatCode>
                <c:ptCount val="17"/>
                <c:pt idx="0">
                  <c:v>0.2582270975392825</c:v>
                </c:pt>
                <c:pt idx="1">
                  <c:v>0.2304803630104835</c:v>
                </c:pt>
                <c:pt idx="2">
                  <c:v>0.33266196710305473</c:v>
                </c:pt>
                <c:pt idx="3">
                  <c:v>0.3276726508167556</c:v>
                </c:pt>
                <c:pt idx="4">
                  <c:v>0.42497945768282663</c:v>
                </c:pt>
                <c:pt idx="5">
                  <c:v>0.38095923952182054</c:v>
                </c:pt>
                <c:pt idx="6">
                  <c:v>0.2545528676270726</c:v>
                </c:pt>
                <c:pt idx="7">
                  <c:v>0.16949612929512428</c:v>
                </c:pt>
                <c:pt idx="8">
                  <c:v>0.13247011952191234</c:v>
                </c:pt>
                <c:pt idx="9">
                  <c:v>0.15310778914240755</c:v>
                </c:pt>
                <c:pt idx="10">
                  <c:v>0.13062804703183253</c:v>
                </c:pt>
                <c:pt idx="11">
                  <c:v>0.020656584286241238</c:v>
                </c:pt>
                <c:pt idx="12">
                  <c:v>0.06489071038251366</c:v>
                </c:pt>
                <c:pt idx="13">
                  <c:v>0.029671407552721924</c:v>
                </c:pt>
                <c:pt idx="14">
                  <c:v>0.04415584415584416</c:v>
                </c:pt>
                <c:pt idx="15">
                  <c:v>0.06380739376397843</c:v>
                </c:pt>
                <c:pt idx="16">
                  <c:v>0.02769585844339018</c:v>
                </c:pt>
              </c:numCache>
            </c:numRef>
          </c:val>
        </c:ser>
        <c:ser>
          <c:idx val="3"/>
          <c:order val="3"/>
          <c:tx>
            <c:v>Ouganda</c:v>
          </c:tx>
          <c:spPr>
            <a:solidFill>
              <a:srgbClr val="EDA100"/>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'8_Graphiques_pays'!$O$5:$O$21</c:f>
              <c:numCache>
                <c:formatCode>0%</c:formatCode>
                <c:ptCount val="17"/>
                <c:pt idx="0">
                  <c:v>0.18575757575757576</c:v>
                </c:pt>
                <c:pt idx="1">
                  <c:v>0.1707936507936508</c:v>
                </c:pt>
                <c:pt idx="2">
                  <c:v>0.096158940397351</c:v>
                </c:pt>
                <c:pt idx="3">
                  <c:v>0.10287958115183246</c:v>
                </c:pt>
                <c:pt idx="4">
                  <c:v>0.08743016759776537</c:v>
                </c:pt>
                <c:pt idx="5">
                  <c:v>0.08816901408450704</c:v>
                </c:pt>
                <c:pt idx="6">
                  <c:v>0.06969072164948453</c:v>
                </c:pt>
                <c:pt idx="7">
                  <c:v>0.08527472527472528</c:v>
                </c:pt>
                <c:pt idx="8">
                  <c:v>0.07191489361702127</c:v>
                </c:pt>
                <c:pt idx="9">
                  <c:v>0.06660550458715596</c:v>
                </c:pt>
                <c:pt idx="10">
                  <c:v>0.057302691260961595</c:v>
                </c:pt>
                <c:pt idx="11">
                  <c:v>0.07598326359832636</c:v>
                </c:pt>
                <c:pt idx="12">
                  <c:v>0.0716030534351145</c:v>
                </c:pt>
                <c:pt idx="13">
                  <c:v>0.036830188679245285</c:v>
                </c:pt>
                <c:pt idx="14">
                  <c:v>0.0402996254681648</c:v>
                </c:pt>
                <c:pt idx="15">
                  <c:v>0.04751066856330014</c:v>
                </c:pt>
                <c:pt idx="16">
                  <c:v>0.04591765526866713</c:v>
                </c:pt>
              </c:numCache>
            </c:numRef>
          </c:val>
        </c:ser>
        <c:ser>
          <c:idx val="4"/>
          <c:order val="4"/>
          <c:tx>
            <c:v>Indonésie</c:v>
          </c:tx>
          <c:spPr>
            <a:solidFill>
              <a:srgbClr val="4A3AA7"/>
            </a:solidFill>
            <a:ln>
              <a:noFill/>
            </a:ln>
          </c:spPr>
          <c:invertIfNegative val="0"/>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'8_Graphiques_pays'!$P$5:$P$21</c:f>
              <c:numCache>
                <c:formatCode>0%</c:formatCode>
                <c:ptCount val="17"/>
                <c:pt idx="0">
                  <c:v>0.007293497363796133</c:v>
                </c:pt>
                <c:pt idx="1">
                  <c:v>0.009492988133764833</c:v>
                </c:pt>
                <c:pt idx="2">
                  <c:v>0.007458143074581431</c:v>
                </c:pt>
                <c:pt idx="3">
                  <c:v>0.0037151702786377707</c:v>
                </c:pt>
                <c:pt idx="4">
                  <c:v>0.004561101549053356</c:v>
                </c:pt>
                <c:pt idx="5">
                  <c:v>0.003519241068013159</c:v>
                </c:pt>
                <c:pt idx="6">
                  <c:v>0.0010547596027072163</c:v>
                </c:pt>
                <c:pt idx="7">
                  <c:v>0.05125324114088159</c:v>
                </c:pt>
                <c:pt idx="8">
                  <c:v>0.23148325358851674</c:v>
                </c:pt>
                <c:pt idx="9">
                  <c:v>0.1906737470959177</c:v>
                </c:pt>
                <c:pt idx="10">
                  <c:v>0.13544879078071742</c:v>
                </c:pt>
                <c:pt idx="11">
                  <c:v>0.08671374609952373</c:v>
                </c:pt>
                <c:pt idx="12">
                  <c:v>0.039673093707847336</c:v>
                </c:pt>
                <c:pt idx="13">
                  <c:v>0.04738400789733465</c:v>
                </c:pt>
                <c:pt idx="14">
                  <c:v>0.05115973021878598</c:v>
                </c:pt>
                <c:pt idx="15">
                  <c:v>0.05501025490770583</c:v>
                </c:pt>
                <c:pt idx="16">
                  <c:v>0.05209627329192547</c:v>
                </c:pt>
              </c:numCache>
            </c:numRef>
          </c:val>
        </c:ser>
        <c:gapWidth val="50"/>
        <c:overlap val="-5"/>
        <c:axId val="101"/>
        <c:axId val="102"/>
      </c:barChart>
      <c:lineChart>
        <c:grouping val="standard"/>
        <c:varyColors val="0"/>
        <c:ser>
          <c:idx val="5"/>
          <c:order val="5"/>
          <c:tx>
            <c:v>DF1 ($/t)</c:v>
          </c:tx>
          <c:spPr>
            <a:ln w="28575" cap="rnd">
              <a:solidFill>
                <a:srgbClr val="0B0B0B"/>
              </a:solidFill>
              <a:round/>
            </a:ln>
          </c:spPr>
          <c:marker>
            <c:symbol val="circle"/>
            <c:size val="5"/>
            <c:spPr>
              <a:solidFill>
                <a:srgbClr val="0B0B0B"/>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'8_Graphiques_pays'!$U$5:$U$21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20.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certifié arabica = certifiés New York ÷ (conso + export arabica) et KC1</a:t>
            </a:r>
          </a:p>
        </c:rich>
      </c:tx>
      <c:overlay val="0"/>
    </c:title>
    <c:autoTitleDeleted val="0"/>
    <c:plotArea>
      <c:layout/>
      <c:barChart>
        <c:barDir val="col"/>
        <c:grouping val="clustered"/>
        <c:varyColors val="0"/>
        <c:ser>
          <c:idx val="0"/>
          <c:order val="0"/>
          <c:tx>
            <c:v>STU certifié arabica</c:v>
          </c:tx>
          <c:spPr>
            <a:solidFill>
              <a:srgbClr val="5E7497"/>
            </a:solidFill>
            <a:ln>
              <a:noFill/>
            </a:ln>
          </c:spPr>
          <c:invertIfNegative val="0"/>
          <c:dLbls>
            <c:numFmt formatCode="0.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'8_Graphiques_pays'!$Q$5:$Q$21</c:f>
              <c:numCache>
                <c:formatCode>0%</c:formatCode>
                <c:ptCount val="17"/>
                <c:pt idx="1">
                  <c:v>0.028004908908490472</c:v>
                </c:pt>
                <c:pt idx="2">
                  <c:v>0.03513922219794608</c:v>
                </c:pt>
                <c:pt idx="3">
                  <c:v>0.029420408844457784</c:v>
                </c:pt>
                <c:pt idx="4">
                  <c:v>0.025576862317916386</c:v>
                </c:pt>
                <c:pt idx="5">
                  <c:v>0.015408007763788633</c:v>
                </c:pt>
                <c:pt idx="6">
                  <c:v>0.02004846055294053</c:v>
                </c:pt>
                <c:pt idx="7">
                  <c:v>0.02791690385820038</c:v>
                </c:pt>
                <c:pt idx="8">
                  <c:v>0.024495207056717778</c:v>
                </c:pt>
                <c:pt idx="9">
                  <c:v>0.012865540734976894</c:v>
                </c:pt>
                <c:pt idx="10">
                  <c:v>0.022004253737623308</c:v>
                </c:pt>
                <c:pt idx="11">
                  <c:v>0.004791827606180016</c:v>
                </c:pt>
                <c:pt idx="12">
                  <c:v>0.005517559114060334</c:v>
                </c:pt>
                <c:pt idx="13">
                  <c:v>0.00857981770336672</c:v>
                </c:pt>
                <c:pt idx="14">
                  <c:v>0.0058762083310222694</c:v>
                </c:pt>
                <c:pt idx="15">
                  <c:v>0.0024842269198276958</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21.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certifié robusta = certifiés Londres ÷ (conso + export robusta) et DF1</a:t>
            </a:r>
          </a:p>
        </c:rich>
      </c:tx>
      <c:overlay val="0"/>
    </c:title>
    <c:autoTitleDeleted val="0"/>
    <c:plotArea>
      <c:layout/>
      <c:barChart>
        <c:barDir val="col"/>
        <c:grouping val="clustered"/>
        <c:varyColors val="0"/>
        <c:ser>
          <c:idx val="0"/>
          <c:order val="0"/>
          <c:tx>
            <c:v>STU certifié robusta</c:v>
          </c:tx>
          <c:spPr>
            <a:solidFill>
              <a:srgbClr val="5E7497"/>
            </a:solidFill>
            <a:ln>
              <a:noFill/>
            </a:ln>
          </c:spPr>
          <c:invertIfNegative val="0"/>
          <c:dLbls>
            <c:numFmt formatCode="0.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'8_Graphiques_pays'!$R$5:$R$21</c:f>
              <c:numCache>
                <c:formatCode>0%</c:formatCode>
                <c:ptCount val="17"/>
                <c:pt idx="1">
                  <c:v>0.03347190075073189</c:v>
                </c:pt>
                <c:pt idx="2">
                  <c:v>0.014963240925138026</c:v>
                </c:pt>
                <c:pt idx="3">
                  <c:v>0.026179187045721607</c:v>
                </c:pt>
                <c:pt idx="4">
                  <c:v>0.04972677017647231</c:v>
                </c:pt>
                <c:pt idx="5">
                  <c:v>0.03090196597910019</c:v>
                </c:pt>
                <c:pt idx="6">
                  <c:v>0.03795961477065434</c:v>
                </c:pt>
                <c:pt idx="7">
                  <c:v>0.020741073380285968</c:v>
                </c:pt>
                <c:pt idx="8">
                  <c:v>0.034816449319463906</c:v>
                </c:pt>
                <c:pt idx="9">
                  <c:v>0.023382804566318714</c:v>
                </c:pt>
                <c:pt idx="10">
                  <c:v>0.026889937370396768</c:v>
                </c:pt>
                <c:pt idx="11">
                  <c:v>0.018462372197921986</c:v>
                </c:pt>
                <c:pt idx="12">
                  <c:v>0.008758183794462727</c:v>
                </c:pt>
                <c:pt idx="13">
                  <c:v>0.009303232612007132</c:v>
                </c:pt>
                <c:pt idx="14">
                  <c:v>0.013447255535916325</c:v>
                </c:pt>
                <c:pt idx="15">
                  <c:v>0.009315013413408376</c:v>
                </c:pt>
              </c:numCache>
            </c:numRef>
          </c:val>
        </c:ser>
        <c:gapWidth val="40"/>
        <c:overlap val="0"/>
        <c:axId val="101"/>
        <c:axId val="102"/>
      </c:barChart>
      <c:lineChart>
        <c:grouping val="standard"/>
        <c:varyColors val="0"/>
        <c:ser>
          <c:idx val="1"/>
          <c:order val="1"/>
          <c:tx>
            <c:v>DF1 ($/t)</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'8_Graphiques_pays'!$U$5:$U$21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2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de l'Union européenne = stocks de fin ÷ (conso + export), KC1 et DF1</a:t>
            </a:r>
          </a:p>
        </c:rich>
      </c:tx>
      <c:overlay val="0"/>
    </c:title>
    <c:autoTitleDeleted val="0"/>
    <c:plotArea>
      <c:layout/>
      <c:barChart>
        <c:barDir val="col"/>
        <c:grouping val="clustered"/>
        <c:varyColors val="0"/>
        <c:ser>
          <c:idx val="0"/>
          <c:order val="0"/>
          <c:tx>
            <c:v>STU UE</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'8_Graphiques_pays'!$V$5:$V$21</c:f>
              <c:numCache>
                <c:formatCode>0%</c:formatCode>
                <c:ptCount val="17"/>
                <c:pt idx="0">
                  <c:v>0.3031015037593985</c:v>
                </c:pt>
                <c:pt idx="1">
                  <c:v>0.2238966630785791</c:v>
                </c:pt>
                <c:pt idx="2">
                  <c:v>0.2430252100840336</c:v>
                </c:pt>
                <c:pt idx="3">
                  <c:v>0.2877363963336814</c:v>
                </c:pt>
                <c:pt idx="4">
                  <c:v>0.26977821913273753</c:v>
                </c:pt>
                <c:pt idx="5">
                  <c:v>0.2614802809292274</c:v>
                </c:pt>
                <c:pt idx="6">
                  <c:v>0.33393393393393395</c:v>
                </c:pt>
                <c:pt idx="7">
                  <c:v>0.30060120240480964</c:v>
                </c:pt>
                <c:pt idx="8">
                  <c:v>0.3180789205024635</c:v>
                </c:pt>
                <c:pt idx="9">
                  <c:v>0.3436942908076976</c:v>
                </c:pt>
                <c:pt idx="10">
                  <c:v>0.3049439595977495</c:v>
                </c:pt>
                <c:pt idx="11">
                  <c:v>0.3018412315122246</c:v>
                </c:pt>
                <c:pt idx="12">
                  <c:v>0.1892809235396935</c:v>
                </c:pt>
                <c:pt idx="13">
                  <c:v>0.1930747364415695</c:v>
                </c:pt>
                <c:pt idx="14">
                  <c:v>0.17499892901512232</c:v>
                </c:pt>
                <c:pt idx="15">
                  <c:v>0.158999364002544</c:v>
                </c:pt>
                <c:pt idx="16">
                  <c:v>0.19294605809128632</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(c/lb)</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'8_Graphiques_pays'!$T$5:$T$21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2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STU des États-Unis = stocks de fin ÷ (conso + export), KC1 et DF1</a:t>
            </a:r>
          </a:p>
        </c:rich>
      </c:tx>
      <c:overlay val="0"/>
    </c:title>
    <c:autoTitleDeleted val="0"/>
    <c:plotArea>
      <c:layout/>
      <c:barChart>
        <c:barDir val="col"/>
        <c:grouping val="clustered"/>
        <c:varyColors val="0"/>
        <c:ser>
          <c:idx val="0"/>
          <c:order val="0"/>
          <c:tx>
            <c:v>STU États-Unis</c:v>
          </c:tx>
          <c:spPr>
            <a:solidFill>
              <a:srgbClr val="3B5B8C"/>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'8_Graphiques_pays'!$Y$5:$Y$21</c:f>
              <c:numCache>
                <c:formatCode>0%</c:formatCode>
                <c:ptCount val="17"/>
                <c:pt idx="0">
                  <c:v>0.20058686988131214</c:v>
                </c:pt>
                <c:pt idx="1">
                  <c:v>0.21840606398012932</c:v>
                </c:pt>
                <c:pt idx="2">
                  <c:v>0.23298563611491108</c:v>
                </c:pt>
                <c:pt idx="3">
                  <c:v>0.24701734246238366</c:v>
                </c:pt>
                <c:pt idx="4">
                  <c:v>0.2554284282612327</c:v>
                </c:pt>
                <c:pt idx="5">
                  <c:v>0.2465497355128664</c:v>
                </c:pt>
                <c:pt idx="6">
                  <c:v>0.2818281592975854</c:v>
                </c:pt>
                <c:pt idx="7">
                  <c:v>0.2519857573267598</c:v>
                </c:pt>
                <c:pt idx="8">
                  <c:v>0.27067226271997646</c:v>
                </c:pt>
                <c:pt idx="9">
                  <c:v>0.24576759184613614</c:v>
                </c:pt>
                <c:pt idx="10">
                  <c:v>0.23235089885039734</c:v>
                </c:pt>
                <c:pt idx="11">
                  <c:v>0.23880485247865807</c:v>
                </c:pt>
                <c:pt idx="12">
                  <c:v>0.23149088250822403</c:v>
                </c:pt>
                <c:pt idx="13">
                  <c:v>0.24208961562964537</c:v>
                </c:pt>
                <c:pt idx="14">
                  <c:v>0.21801491681009752</c:v>
                </c:pt>
                <c:pt idx="15">
                  <c:v>0.22309197651663404</c:v>
                </c:pt>
                <c:pt idx="16">
                  <c:v>0.21150278293135436</c:v>
                </c:pt>
              </c:numCache>
            </c:numRef>
          </c:val>
        </c:ser>
        <c:gapWidth val="40"/>
        <c:overlap val="0"/>
        <c:axId val="101"/>
        <c:axId val="102"/>
      </c:barChart>
      <c:lineChart>
        <c:grouping val="standard"/>
        <c:varyColors val="0"/>
        <c:ser>
          <c:idx val="1"/>
          <c:order val="1"/>
          <c:tx>
            <c:v>KC1 (c/lb)</c:v>
          </c:tx>
          <c:spPr>
            <a:ln w="28575" cap="rnd">
              <a:solidFill>
                <a:srgbClr val="C00000"/>
              </a:solidFill>
              <a:round/>
            </a:ln>
          </c:spPr>
          <c:marker>
            <c:symbol val="circle"/>
            <c:size val="5"/>
            <c:spPr>
              <a:solidFill>
                <a:srgbClr val="C00000"/>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'8_Graphiques_pays'!$S$5:$S$21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(c/lb)</c:v>
          </c:tx>
          <c:spPr>
            <a:ln w="28575" cap="rnd">
              <a:solidFill>
                <a:srgbClr val="ED7D31"/>
              </a:solidFill>
              <a:round/>
            </a:ln>
          </c:spPr>
          <c:marker>
            <c:symbol val="circle"/>
            <c:size val="5"/>
            <c:spPr>
              <a:solidFill>
                <a:srgbClr val="ED7D31"/>
              </a:solidFill>
              <a:ln w="9525">
                <a:solidFill>
                  <a:srgbClr val="FFFFFF"/>
                </a:solidFill>
              </a:ln>
            </c:spPr>
          </c:marker>
          <c:cat>
            <c:strRef>
              <c:f>'8_Graphiques_pays'!$A$5:$A$21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'8_Graphiques_pays'!$T$5:$T$21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 Id="rId5" Type="http://schemas.openxmlformats.org/officeDocument/2006/relationships/chart" Target="../charts/chart16.xml"/><Relationship Id="rId6" Type="http://schemas.openxmlformats.org/officeDocument/2006/relationships/chart" Target="../charts/chart17.xml"/><Relationship Id="rId7" Type="http://schemas.openxmlformats.org/officeDocument/2006/relationships/chart" Target="../charts/chart18.xml"/><Relationship Id="rId8" Type="http://schemas.openxmlformats.org/officeDocument/2006/relationships/chart" Target="../charts/chart19.xml"/><Relationship Id="rId9" Type="http://schemas.openxmlformats.org/officeDocument/2006/relationships/chart" Target="../charts/chart20.xml"/><Relationship Id="rId10" Type="http://schemas.openxmlformats.org/officeDocument/2006/relationships/chart" Target="../charts/chart21.xml"/><Relationship Id="rId11" Type="http://schemas.openxmlformats.org/officeDocument/2006/relationships/chart" Target="../charts/chart22.xml"/><Relationship Id="rId12"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4</xdr:row>
      <xdr:rowOff>0</xdr:rowOff>
    </xdr:from>
    <xdr:to>
      <xdr:col>29</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31</xdr:row>
      <xdr:rowOff>0</xdr:rowOff>
    </xdr:from>
    <xdr:to>
      <xdr:col>29</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58</xdr:row>
      <xdr:rowOff>0</xdr:rowOff>
    </xdr:from>
    <xdr:to>
      <xdr:col>29</xdr:col>
      <xdr:colOff>0</xdr:colOff>
      <xdr:row>83</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26</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31</xdr:row>
      <xdr:rowOff>0</xdr:rowOff>
    </xdr:from>
    <xdr:to>
      <xdr:col>26</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58</xdr:row>
      <xdr:rowOff>0</xdr:rowOff>
    </xdr:from>
    <xdr:to>
      <xdr:col>26</xdr:col>
      <xdr:colOff>0</xdr:colOff>
      <xdr:row>83</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26</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31</xdr:row>
      <xdr:rowOff>0</xdr:rowOff>
    </xdr:from>
    <xdr:to>
      <xdr:col>26</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58</xdr:row>
      <xdr:rowOff>0</xdr:rowOff>
    </xdr:from>
    <xdr:to>
      <xdr:col>26</xdr:col>
      <xdr:colOff>0</xdr:colOff>
      <xdr:row>83</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4</xdr:row>
      <xdr:rowOff>0</xdr:rowOff>
    </xdr:from>
    <xdr:to>
      <xdr:col>30</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31</xdr:row>
      <xdr:rowOff>0</xdr:rowOff>
    </xdr:from>
    <xdr:to>
      <xdr:col>30</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10</xdr:col>
      <xdr:colOff>0</xdr:colOff>
      <xdr:row>46</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24</xdr:row>
      <xdr:rowOff>0</xdr:rowOff>
    </xdr:from>
    <xdr:to>
      <xdr:col>21</xdr:col>
      <xdr:colOff>0</xdr:colOff>
      <xdr:row>46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49</xdr:row>
      <xdr:rowOff>0</xdr:rowOff>
    </xdr:from>
    <xdr:to>
      <xdr:col>10</xdr:col>
      <xdr:colOff>0</xdr:colOff>
      <xdr:row>71</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49</xdr:row>
      <xdr:rowOff>0</xdr:rowOff>
    </xdr:from>
    <xdr:to>
      <xdr:col>21</xdr:col>
      <xdr:colOff>0</xdr:colOff>
      <xdr:row>71</xdr:row>
      <xdr:rowOff>0</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74</xdr:row>
      <xdr:rowOff>0</xdr:rowOff>
    </xdr:from>
    <xdr:to>
      <xdr:col>10</xdr:col>
      <xdr:colOff>0</xdr:colOff>
      <xdr:row>96</xdr:row>
      <xdr:rowOff>0</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74</xdr:row>
      <xdr:rowOff>0</xdr:rowOff>
    </xdr:from>
    <xdr:to>
      <xdr:col>21</xdr:col>
      <xdr:colOff>0</xdr:colOff>
      <xdr:row>96</xdr:row>
      <xdr:rowOff>0</xdr:rowOff>
    </xdr:to>
    <xdr:graphicFrame macro="">
      <xdr:nvGraphicFramePr>
        <xdr:cNvPr id="7" name="Graphique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99</xdr:row>
      <xdr:rowOff>0</xdr:rowOff>
    </xdr:from>
    <xdr:to>
      <xdr:col>10</xdr:col>
      <xdr:colOff>0</xdr:colOff>
      <xdr:row>121</xdr:row>
      <xdr:rowOff>0</xdr:rowOff>
    </xdr:to>
    <xdr:graphicFrame macro="">
      <xdr:nvGraphicFramePr>
        <xdr:cNvPr id="8" name="Graphique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0</xdr:colOff>
      <xdr:row>99</xdr:row>
      <xdr:rowOff>0</xdr:rowOff>
    </xdr:from>
    <xdr:to>
      <xdr:col>21</xdr:col>
      <xdr:colOff>0</xdr:colOff>
      <xdr:row>121</xdr:row>
      <xdr:rowOff>0</xdr:rowOff>
    </xdr:to>
    <xdr:graphicFrame macro="">
      <xdr:nvGraphicFramePr>
        <xdr:cNvPr id="9" name="Graphique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124</xdr:row>
      <xdr:rowOff>0</xdr:rowOff>
    </xdr:from>
    <xdr:to>
      <xdr:col>10</xdr:col>
      <xdr:colOff>0</xdr:colOff>
      <xdr:row>146</xdr:row>
      <xdr:rowOff>0</xdr:rowOff>
    </xdr:to>
    <xdr:graphicFrame macro="">
      <xdr:nvGraphicFramePr>
        <xdr:cNvPr id="10" name="Graphique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124</xdr:row>
      <xdr:rowOff>0</xdr:rowOff>
    </xdr:from>
    <xdr:to>
      <xdr:col>21</xdr:col>
      <xdr:colOff>0</xdr:colOff>
      <xdr:row>146</xdr:row>
      <xdr:rowOff>0</xdr:rowOff>
    </xdr:to>
    <xdr:graphicFrame macro="">
      <xdr:nvGraphicFramePr>
        <xdr:cNvPr id="11" name="Graphique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149</xdr:row>
      <xdr:rowOff>0</xdr:rowOff>
    </xdr:from>
    <xdr:to>
      <xdr:col>10</xdr:col>
      <xdr:colOff>0</xdr:colOff>
      <xdr:row>171</xdr:row>
      <xdr:rowOff>0</xdr:rowOff>
    </xdr:to>
    <xdr:graphicFrame macro="">
      <xdr:nvGraphicFramePr>
        <xdr:cNvPr id="12" name="Graphique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0</xdr:colOff>
      <xdr:row>149</xdr:row>
      <xdr:rowOff>0</xdr:rowOff>
    </xdr:from>
    <xdr:to>
      <xdr:col>21</xdr:col>
      <xdr:colOff>0</xdr:colOff>
      <xdr:row>171</xdr:row>
      <xdr:rowOff>0</xdr:rowOff>
    </xdr:to>
    <xdr:graphicFrame macro="">
      <xdr:nvGraphicFramePr>
        <xdr:cNvPr id="13" name="Graphique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tabColor rgb="FF1F3864"/>
  </sheetPr>
  <dimension ref="A1:A25"/>
  <sheetViews>
    <sheetView tabSelected="1" showGridLines="0" workbookViewId="0"/>
  </sheetViews>
  <sheetFormatPr defaultRowHeight="12.75"/>
  <cols>
    <col min="1" max="1" width="150" customWidth="1"/>
  </cols>
  <sheetData>
    <row r="1">
      <c r="A1" s="1" t="s">
        <v>0</v>
      </c>
    </row>
    <row r="3">
      <c r="A3" s="16" t="s">
        <v>1</v>
      </c>
    </row>
    <row r="4">
      <c r="A4" s="17" t="s">
        <v>2</v>
      </c>
    </row>
    <row r="5">
      <c r="A5" s="16" t="s">
        <v>3</v>
      </c>
    </row>
    <row r="6">
      <c r="A6" s="17" t="s">
        <v>4</v>
      </c>
    </row>
    <row r="7">
      <c r="A7" s="17" t="s">
        <v>5</v>
      </c>
    </row>
    <row r="8">
      <c r="A8" s="17" t="s">
        <v>6</v>
      </c>
    </row>
    <row r="9">
      <c r="A9" s="16" t="s">
        <v>7</v>
      </c>
    </row>
    <row r="10">
      <c r="A10" s="17" t="s">
        <v>8</v>
      </c>
    </row>
    <row r="11">
      <c r="A11" s="17" t="s">
        <v>9</v>
      </c>
    </row>
    <row r="12">
      <c r="A12" s="17" t="s">
        <v>10</v>
      </c>
    </row>
    <row r="13">
      <c r="A13" s="17" t="s">
        <v>11</v>
      </c>
    </row>
    <row r="14">
      <c r="A14" s="17" t="s">
        <v>12</v>
      </c>
    </row>
    <row r="15">
      <c r="A15" s="16" t="s">
        <v>13</v>
      </c>
    </row>
    <row r="16">
      <c r="A16" s="17" t="s">
        <v>14</v>
      </c>
    </row>
    <row r="17">
      <c r="A17" s="17" t="s">
        <v>15</v>
      </c>
    </row>
    <row r="18">
      <c r="A18" s="17" t="s">
        <v>16</v>
      </c>
    </row>
    <row r="19">
      <c r="A19" s="17" t="s">
        <v>17</v>
      </c>
    </row>
    <row r="20">
      <c r="A20" s="17" t="s">
        <v>18</v>
      </c>
    </row>
    <row r="21">
      <c r="A21" s="17" t="s">
        <v>19</v>
      </c>
    </row>
    <row r="22">
      <c r="A22" s="17" t="s">
        <v>20</v>
      </c>
    </row>
    <row r="23">
      <c r="A23" s="17" t="s">
        <v>21</v>
      </c>
    </row>
    <row r="24">
      <c r="A24" s="16" t="s">
        <v>22</v>
      </c>
    </row>
    <row r="25">
      <c r="A25" s="17" t="s">
        <v>23</v>
      </c>
    </row>
  </sheetData>
  <pageMargins left="0.5" right="0.5" top="0.75" bottom="0.75" header="0.3" footer="0.3"/>
  <pageSetup orientation="landscape"/>
</worksheet>
</file>

<file path=xl/worksheets/sheet2.xml><?xml version="1.0" encoding="utf-8"?>
<worksheet xmlns="http://schemas.openxmlformats.org/spreadsheetml/2006/main" xmlns:r="http://schemas.openxmlformats.org/officeDocument/2006/relationships">
  <sheetPr>
    <tabColor rgb="FF3B5B8C"/>
  </sheetPr>
  <dimension ref="A1:N23"/>
  <sheetViews>
    <sheetView showGridLines="0" workbookViewId="0"/>
  </sheetViews>
  <sheetFormatPr defaultRowHeight="12.75"/>
  <cols>
    <col min="1" max="1" width="13" customWidth="1"/>
    <col min="2" max="2" width="11" customWidth="1"/>
    <col min="3" max="3" width="9" customWidth="1"/>
    <col min="4" max="4" width="11" customWidth="1"/>
    <col min="5" max="5" width="11" customWidth="1"/>
    <col min="6" max="6" width="11" customWidth="1"/>
    <col min="7" max="7" width="11" customWidth="1"/>
    <col min="8" max="8" width="9" customWidth="1"/>
    <col min="9" max="9" width="9" customWidth="1"/>
    <col min="10" max="10" width="12" customWidth="1"/>
    <col min="11" max="11" width="9" customWidth="1"/>
    <col min="12" max="12" width="9" customWidth="1"/>
    <col min="13" max="13" width="9" customWidth="1"/>
    <col min="14" max="14" width="11" customWidth="1"/>
    <col min="15" max="15" width="2" customWidth="1"/>
  </cols>
  <sheetData>
    <row r="1">
      <c r="A1" s="1" t="s">
        <v>24</v>
      </c>
    </row>
    <row r="2">
      <c r="A2" s="2" t="s">
        <v>25</v>
      </c>
    </row>
    <row r="3">
      <c r="A3" s="2" t="s">
        <v>26</v>
      </c>
    </row>
    <row r="4" ht="64" customHeight="1">
      <c r="A4" s="3" t="s">
        <v>27</v>
      </c>
      <c r="B4" s="3" t="s">
        <v>28</v>
      </c>
      <c r="C4" s="3" t="s">
        <v>29</v>
      </c>
      <c r="D4" s="3" t="s">
        <v>30</v>
      </c>
      <c r="E4" s="3" t="s">
        <v>31</v>
      </c>
      <c r="F4" s="3" t="s">
        <v>32</v>
      </c>
      <c r="G4" s="3" t="s">
        <v>33</v>
      </c>
      <c r="H4" s="3" t="s">
        <v>34</v>
      </c>
      <c r="I4" s="3" t="s">
        <v>35</v>
      </c>
      <c r="J4" s="3" t="s">
        <v>36</v>
      </c>
      <c r="K4" s="3" t="s">
        <v>37</v>
      </c>
      <c r="L4" s="3" t="s">
        <v>38</v>
      </c>
      <c r="M4" s="3" t="s">
        <v>39</v>
      </c>
      <c r="N4" s="3" t="s">
        <v>40</v>
      </c>
    </row>
    <row r="5">
      <c r="A5" s="5" t="s">
        <v>41</v>
      </c>
      <c r="B5" s="7">
        <f>'Donnees_USDA'!C102</f>
        <v>141409</v>
      </c>
      <c r="C5" s="9">
        <f>B5/1000</f>
        <v>141.409</v>
      </c>
      <c r="D5" s="7">
        <f>'Donnees_USDA'!C408</f>
        <v>28640</v>
      </c>
      <c r="E5" s="7">
        <f>'Donnees_USDA'!C510</f>
        <v>135508</v>
      </c>
      <c r="F5" s="7">
        <f>'Donnees_USDA'!C612</f>
        <v>116972</v>
      </c>
      <c r="G5" s="11">
        <f>D5/(E5+F5)</f>
        <v>0.11343472750316856</v>
      </c>
      <c r="H5" s="13"/>
      <c r="I5" s="13"/>
      <c r="J5" s="13"/>
      <c r="K5" s="9">
        <f>'Prix_ICE'!I5</f>
        <v>249.65999999999997</v>
      </c>
      <c r="L5" s="9">
        <f>'Prix_ICE'!J5</f>
        <v>100.65583333333332</v>
      </c>
      <c r="M5" s="7">
        <f>'Prix_ICE'!K5</f>
        <v>2219.0812700161664</v>
      </c>
      <c r="N5" s="10">
        <f>D5/E5</f>
        <v>0.211352835256959</v>
      </c>
    </row>
    <row r="6">
      <c r="A6" s="5" t="s">
        <v>42</v>
      </c>
      <c r="B6" s="7">
        <f>'Donnees_USDA'!D102</f>
        <v>144837</v>
      </c>
      <c r="C6" s="9">
        <f>B6/1000</f>
        <v>144.837</v>
      </c>
      <c r="D6" s="7">
        <f>'Donnees_USDA'!D408</f>
        <v>25748</v>
      </c>
      <c r="E6" s="7">
        <f>'Donnees_USDA'!D510</f>
        <v>142831</v>
      </c>
      <c r="F6" s="7">
        <f>'Donnees_USDA'!D612</f>
        <v>118031</v>
      </c>
      <c r="G6" s="11">
        <f>D6/(E6+F6)</f>
        <v>0.09870352906900967</v>
      </c>
      <c r="H6" s="13">
        <f>'Stocks_certifies'!H6</f>
        <v>2.43</v>
      </c>
      <c r="I6" s="13">
        <f>'Stocks_certifies'!I6</f>
        <v>2.17</v>
      </c>
      <c r="J6" s="12">
        <f>(H6+I6)*1000/(E6+F6)</f>
        <v>0.017633844714830062</v>
      </c>
      <c r="K6" s="9">
        <f>'Prix_ICE'!I6</f>
        <v>197.8416666666667</v>
      </c>
      <c r="L6" s="9">
        <f>'Prix_ICE'!J6</f>
        <v>91.38416666666667</v>
      </c>
      <c r="M6" s="7">
        <f>'Prix_ICE'!K6</f>
        <v>2014.6760094318333</v>
      </c>
      <c r="N6" s="10">
        <f>D6/E6</f>
        <v>0.18026898922502818</v>
      </c>
    </row>
    <row r="7">
      <c r="A7" s="5" t="s">
        <v>43</v>
      </c>
      <c r="B7" s="7">
        <f>'Donnees_USDA'!E102</f>
        <v>158018</v>
      </c>
      <c r="C7" s="9">
        <f>B7/1000</f>
        <v>158.018</v>
      </c>
      <c r="D7" s="7">
        <f>'Donnees_USDA'!E408</f>
        <v>35365</v>
      </c>
      <c r="E7" s="7">
        <f>'Donnees_USDA'!E510</f>
        <v>143400</v>
      </c>
      <c r="F7" s="7">
        <f>'Donnees_USDA'!E612</f>
        <v>123239</v>
      </c>
      <c r="G7" s="11">
        <f>D7/(E7+F7)</f>
        <v>0.13263251062297712</v>
      </c>
      <c r="H7" s="13">
        <f>'Stocks_certifies'!H7</f>
        <v>3.13</v>
      </c>
      <c r="I7" s="13">
        <f>'Stocks_certifies'!I7</f>
        <v>1.01</v>
      </c>
      <c r="J7" s="12">
        <f>(H7+I7)*1000/(E7+F7)</f>
        <v>0.01552661088587941</v>
      </c>
      <c r="K7" s="9">
        <f>'Prix_ICE'!I7</f>
        <v>140.69833333333332</v>
      </c>
      <c r="L7" s="9">
        <f>'Prix_ICE'!J7</f>
        <v>88.48083333333334</v>
      </c>
      <c r="M7" s="7">
        <f>'Prix_ICE'!K7</f>
        <v>1950.6684660311666</v>
      </c>
      <c r="N7" s="10">
        <f>D7/E7</f>
        <v>0.24661785216178522</v>
      </c>
    </row>
    <row r="8">
      <c r="A8" s="5" t="s">
        <v>44</v>
      </c>
      <c r="B8" s="7">
        <f>'Donnees_USDA'!F102</f>
        <v>160054</v>
      </c>
      <c r="C8" s="9">
        <f>B8/1000</f>
        <v>160.054</v>
      </c>
      <c r="D8" s="7">
        <f>'Donnees_USDA'!F408</f>
        <v>41184</v>
      </c>
      <c r="E8" s="7">
        <f>'Donnees_USDA'!F510</f>
        <v>143877</v>
      </c>
      <c r="F8" s="7">
        <f>'Donnees_USDA'!F612</f>
        <v>129260</v>
      </c>
      <c r="G8" s="11">
        <f>D8/(E8+F8)</f>
        <v>0.15078147596261218</v>
      </c>
      <c r="H8" s="13">
        <f>'Stocks_certifies'!H8</f>
        <v>2.68</v>
      </c>
      <c r="I8" s="13">
        <f>'Stocks_certifies'!I8</f>
        <v>1.88</v>
      </c>
      <c r="J8" s="12">
        <f>(H8+I8)*1000/(E8+F8)</f>
        <v>0.016694918667188998</v>
      </c>
      <c r="K8" s="9">
        <f>'Prix_ICE'!I8</f>
        <v>161.4675</v>
      </c>
      <c r="L8" s="9">
        <f>'Prix_ICE'!J8</f>
        <v>85.87416666666667</v>
      </c>
      <c r="M8" s="7">
        <f>'Prix_ICE'!K8</f>
        <v>1893.2013030698333</v>
      </c>
      <c r="N8" s="10">
        <f>D8/E8</f>
        <v>0.28624450051085304</v>
      </c>
    </row>
    <row r="9">
      <c r="A9" s="5" t="s">
        <v>45</v>
      </c>
      <c r="B9" s="7">
        <f>'Donnees_USDA'!G102</f>
        <v>153796</v>
      </c>
      <c r="C9" s="9">
        <f>B9/1000</f>
        <v>153.796</v>
      </c>
      <c r="D9" s="7">
        <f>'Donnees_USDA'!G408</f>
        <v>43132</v>
      </c>
      <c r="E9" s="7">
        <f>'Donnees_USDA'!G510</f>
        <v>147163</v>
      </c>
      <c r="F9" s="7">
        <f>'Donnees_USDA'!G612</f>
        <v>124027</v>
      </c>
      <c r="G9" s="11">
        <f>D9/(E9+F9)</f>
        <v>0.1590471625059921</v>
      </c>
      <c r="H9" s="13">
        <f>'Stocks_certifies'!H9</f>
        <v>2.28</v>
      </c>
      <c r="I9" s="13">
        <f>'Stocks_certifies'!I9</f>
        <v>3.43</v>
      </c>
      <c r="J9" s="12">
        <f>(H9+I9)*1000/(E9+F9)</f>
        <v>0.021055348648548987</v>
      </c>
      <c r="K9" s="9">
        <f>'Prix_ICE'!I9</f>
        <v>154.02083333333334</v>
      </c>
      <c r="L9" s="9">
        <f>'Prix_ICE'!J9</f>
        <v>83.91083333333333</v>
      </c>
      <c r="M9" s="7">
        <f>'Prix_ICE'!K9</f>
        <v>1849.9172122971665</v>
      </c>
      <c r="N9" s="10">
        <f>D9/E9</f>
        <v>0.29308997506166634</v>
      </c>
    </row>
    <row r="10">
      <c r="A10" s="5" t="s">
        <v>46</v>
      </c>
      <c r="B10" s="7">
        <f>'Donnees_USDA'!H102</f>
        <v>152429</v>
      </c>
      <c r="C10" s="9">
        <f>B10/1000</f>
        <v>152.429</v>
      </c>
      <c r="D10" s="7">
        <f>'Donnees_USDA'!H408</f>
        <v>34951</v>
      </c>
      <c r="E10" s="7">
        <f>'Donnees_USDA'!H510</f>
        <v>153186</v>
      </c>
      <c r="F10" s="7">
        <f>'Donnees_USDA'!H612</f>
        <v>133845</v>
      </c>
      <c r="G10" s="11">
        <f>D10/(E10+F10)</f>
        <v>0.12176733523556689</v>
      </c>
      <c r="H10" s="13">
        <f>'Stocks_certifies'!H10</f>
        <v>1.42</v>
      </c>
      <c r="I10" s="13">
        <f>'Stocks_certifies'!I10</f>
        <v>2.32</v>
      </c>
      <c r="J10" s="12">
        <f>(H10+I10)*1000/(E10+F10)</f>
        <v>0.013029951468656695</v>
      </c>
      <c r="K10" s="9">
        <f>'Prix_ICE'!I10</f>
        <v>131.83249999999998</v>
      </c>
      <c r="L10" s="9">
        <f>'Prix_ICE'!J10</f>
        <v>74.06833333333334</v>
      </c>
      <c r="M10" s="7">
        <f>'Prix_ICE'!K10</f>
        <v>1632.9272309236667</v>
      </c>
      <c r="N10" s="10">
        <f>D10/E10</f>
        <v>0.22816053686368207</v>
      </c>
    </row>
    <row r="11">
      <c r="A11" s="5" t="s">
        <v>47</v>
      </c>
      <c r="B11" s="7">
        <f>'Donnees_USDA'!I102</f>
        <v>161079</v>
      </c>
      <c r="C11" s="9">
        <f>B11/1000</f>
        <v>161.079</v>
      </c>
      <c r="D11" s="7">
        <f>'Donnees_USDA'!I408</f>
        <v>36453</v>
      </c>
      <c r="E11" s="7">
        <f>'Donnees_USDA'!I510</f>
        <v>155104</v>
      </c>
      <c r="F11" s="7">
        <f>'Donnees_USDA'!I612</f>
        <v>133606</v>
      </c>
      <c r="G11" s="11">
        <f>D11/(E11+F11)</f>
        <v>0.1262616466350317</v>
      </c>
      <c r="H11" s="13">
        <f>'Stocks_certifies'!H11</f>
        <v>2.03</v>
      </c>
      <c r="I11" s="13">
        <f>'Stocks_certifies'!I11</f>
        <v>2.52</v>
      </c>
      <c r="J11" s="12">
        <f>(H11+I11)*1000/(E11+F11)</f>
        <v>0.015759758927643655</v>
      </c>
      <c r="K11" s="9">
        <f>'Prix_ICE'!I11</f>
        <v>143.7716666666667</v>
      </c>
      <c r="L11" s="9">
        <f>'Prix_ICE'!J11</f>
        <v>95.12333333333335</v>
      </c>
      <c r="M11" s="7">
        <f>'Prix_ICE'!K11</f>
        <v>2097.110523564667</v>
      </c>
      <c r="N11" s="10">
        <f>D11/E11</f>
        <v>0.23502295234165463</v>
      </c>
    </row>
    <row r="12">
      <c r="A12" s="5" t="s">
        <v>48</v>
      </c>
      <c r="B12" s="7">
        <f>'Donnees_USDA'!J102</f>
        <v>159814</v>
      </c>
      <c r="C12" s="9">
        <f>B12/1000</f>
        <v>159.814</v>
      </c>
      <c r="D12" s="7">
        <f>'Donnees_USDA'!J408</f>
        <v>31951</v>
      </c>
      <c r="E12" s="7">
        <f>'Donnees_USDA'!J510</f>
        <v>160627</v>
      </c>
      <c r="F12" s="7">
        <f>'Donnees_USDA'!J612</f>
        <v>134174</v>
      </c>
      <c r="G12" s="11">
        <f>D12/(E12+F12)</f>
        <v>0.10838158622257048</v>
      </c>
      <c r="H12" s="13">
        <f>'Stocks_certifies'!H12</f>
        <v>2.7</v>
      </c>
      <c r="I12" s="13">
        <f>'Stocks_certifies'!I12</f>
        <v>1.51</v>
      </c>
      <c r="J12" s="12">
        <f>(H12+I12)*1000/(E12+F12)</f>
        <v>0.014280819942944563</v>
      </c>
      <c r="K12" s="9">
        <f>'Prix_ICE'!I12</f>
        <v>120.60083333333334</v>
      </c>
      <c r="L12" s="9">
        <f>'Prix_ICE'!J12</f>
        <v>78.28500000000001</v>
      </c>
      <c r="M12" s="7">
        <f>'Prix_ICE'!K12</f>
        <v>1725.8888180669999</v>
      </c>
      <c r="N12" s="10">
        <f>D12/E12</f>
        <v>0.198914254764143</v>
      </c>
    </row>
    <row r="13">
      <c r="A13" s="5" t="s">
        <v>49</v>
      </c>
      <c r="B13" s="7">
        <f>'Donnees_USDA'!K102</f>
        <v>175856</v>
      </c>
      <c r="C13" s="9">
        <f>B13/1000</f>
        <v>175.856</v>
      </c>
      <c r="D13" s="7">
        <f>'Donnees_USDA'!K408</f>
        <v>36946</v>
      </c>
      <c r="E13" s="7">
        <f>'Donnees_USDA'!K510</f>
        <v>166003</v>
      </c>
      <c r="F13" s="7">
        <f>'Donnees_USDA'!K612</f>
        <v>143364</v>
      </c>
      <c r="G13" s="11">
        <f>D13/(E13+F13)</f>
        <v>0.11942450229016023</v>
      </c>
      <c r="H13" s="13">
        <f>'Stocks_certifies'!H13</f>
        <v>2.6</v>
      </c>
      <c r="I13" s="13">
        <f>'Stocks_certifies'!I13</f>
        <v>2.62</v>
      </c>
      <c r="J13" s="12">
        <f>(H13+I13)*1000/(E13+F13)</f>
        <v>0.016873163588876645</v>
      </c>
      <c r="K13" s="9">
        <f>'Prix_ICE'!I13</f>
        <v>104.98083333333334</v>
      </c>
      <c r="L13" s="9">
        <f>'Prix_ICE'!J13</f>
        <v>67.53249999999998</v>
      </c>
      <c r="M13" s="7">
        <f>'Prix_ICE'!K13</f>
        <v>1488.8367708514998</v>
      </c>
      <c r="N13" s="10">
        <f>D13/E13</f>
        <v>0.22256224285103282</v>
      </c>
    </row>
    <row r="14">
      <c r="A14" s="5" t="s">
        <v>50</v>
      </c>
      <c r="B14" s="7">
        <f>'Donnees_USDA'!L102</f>
        <v>169030</v>
      </c>
      <c r="C14" s="9">
        <f>B14/1000</f>
        <v>169.03</v>
      </c>
      <c r="D14" s="7">
        <f>'Donnees_USDA'!L408</f>
        <v>35808</v>
      </c>
      <c r="E14" s="7">
        <f>'Donnees_USDA'!L510</f>
        <v>162355</v>
      </c>
      <c r="F14" s="7">
        <f>'Donnees_USDA'!L612</f>
        <v>139001</v>
      </c>
      <c r="G14" s="11">
        <f>D14/(E14+F14)</f>
        <v>0.11882292039979293</v>
      </c>
      <c r="H14" s="13">
        <f>'Stocks_certifies'!H14</f>
        <v>1.26</v>
      </c>
      <c r="I14" s="13">
        <f>'Stocks_certifies'!I14</f>
        <v>1.85</v>
      </c>
      <c r="J14" s="12">
        <f>(H14+I14)*1000/(E14+F14)</f>
        <v>0.010320020175473527</v>
      </c>
      <c r="K14" s="9">
        <f>'Prix_ICE'!I14</f>
        <v>113.23666666666666</v>
      </c>
      <c r="L14" s="9">
        <f>'Prix_ICE'!J14</f>
        <v>59.22083333333333</v>
      </c>
      <c r="M14" s="7">
        <f>'Prix_ICE'!K14</f>
        <v>1305.5958874191667</v>
      </c>
      <c r="N14" s="10">
        <f>D14/E14</f>
        <v>0.22055372486218472</v>
      </c>
    </row>
    <row r="15">
      <c r="A15" s="5" t="s">
        <v>51</v>
      </c>
      <c r="B15" s="7">
        <f>'Donnees_USDA'!M102</f>
        <v>176594</v>
      </c>
      <c r="C15" s="9">
        <f>B15/1000</f>
        <v>176.594</v>
      </c>
      <c r="D15" s="7">
        <f>'Donnees_USDA'!M408</f>
        <v>37494</v>
      </c>
      <c r="E15" s="7">
        <f>'Donnees_USDA'!M510</f>
        <v>162093</v>
      </c>
      <c r="F15" s="7">
        <f>'Donnees_USDA'!M612</f>
        <v>144941</v>
      </c>
      <c r="G15" s="11">
        <f>D15/(E15+F15)</f>
        <v>0.12211676882690517</v>
      </c>
      <c r="H15" s="13">
        <f>'Stocks_certifies'!H15</f>
        <v>2.27</v>
      </c>
      <c r="I15" s="13">
        <f>'Stocks_certifies'!I15</f>
        <v>2.1</v>
      </c>
      <c r="J15" s="12">
        <f>(H15+I15)*1000/(E15+F15)</f>
        <v>0.01423295139951927</v>
      </c>
      <c r="K15" s="9">
        <f>'Prix_ICE'!I15</f>
        <v>143.75333333333336</v>
      </c>
      <c r="L15" s="9">
        <f>'Prix_ICE'!J15</f>
        <v>69.89583333333333</v>
      </c>
      <c r="M15" s="7">
        <f>'Prix_ICE'!K15</f>
        <v>1540.9393521041666</v>
      </c>
      <c r="N15" s="10">
        <f>D15/E15</f>
        <v>0.23131165442061039</v>
      </c>
    </row>
    <row r="16">
      <c r="A16" s="5" t="s">
        <v>52</v>
      </c>
      <c r="B16" s="7">
        <f>'Donnees_USDA'!N102</f>
        <v>165044</v>
      </c>
      <c r="C16" s="9">
        <f>B16/1000</f>
        <v>165.044</v>
      </c>
      <c r="D16" s="7">
        <f>'Donnees_USDA'!N408</f>
        <v>31940</v>
      </c>
      <c r="E16" s="7">
        <f>'Donnees_USDA'!N510</f>
        <v>167876</v>
      </c>
      <c r="F16" s="7">
        <f>'Donnees_USDA'!N612</f>
        <v>143583</v>
      </c>
      <c r="G16" s="11">
        <f>D16/(E16+F16)</f>
        <v>0.10254961327173079</v>
      </c>
      <c r="H16" s="13">
        <f>'Stocks_certifies'!H16</f>
        <v>0.45</v>
      </c>
      <c r="I16" s="13">
        <f>'Stocks_certifies'!I16</f>
        <v>1.59</v>
      </c>
      <c r="J16" s="12">
        <f>(H16+I16)*1000/(E16+F16)</f>
        <v>0.006549818756240789</v>
      </c>
      <c r="K16" s="9">
        <f>'Prix_ICE'!I16</f>
        <v>224.0875</v>
      </c>
      <c r="L16" s="9">
        <f>'Prix_ICE'!J16</f>
        <v>97.52916666666668</v>
      </c>
      <c r="M16" s="7">
        <f>'Prix_ICE'!K16</f>
        <v>2150.1500694308334</v>
      </c>
      <c r="N16" s="10">
        <f>D16/E16</f>
        <v>0.19025947723319592</v>
      </c>
    </row>
    <row r="17">
      <c r="A17" s="5" t="s">
        <v>53</v>
      </c>
      <c r="B17" s="7">
        <f>'Donnees_USDA'!O102</f>
        <v>164529</v>
      </c>
      <c r="C17" s="9">
        <f>B17/1000</f>
        <v>164.529</v>
      </c>
      <c r="D17" s="7">
        <f>'Donnees_USDA'!O408</f>
        <v>26934</v>
      </c>
      <c r="E17" s="7">
        <f>'Donnees_USDA'!O510</f>
        <v>168754</v>
      </c>
      <c r="F17" s="7">
        <f>'Donnees_USDA'!O612</f>
        <v>134699</v>
      </c>
      <c r="G17" s="11">
        <f>D17/(E17+F17)</f>
        <v>0.08875839092050498</v>
      </c>
      <c r="H17" s="13">
        <f>'Stocks_certifies'!H17</f>
        <v>0.49</v>
      </c>
      <c r="I17" s="13">
        <f>'Stocks_certifies'!I17</f>
        <v>0.73</v>
      </c>
      <c r="J17" s="12">
        <f>(H17+I17)*1000/(E17+F17)</f>
        <v>0.004020391955261606</v>
      </c>
      <c r="K17" s="9">
        <f>'Prix_ICE'!I17</f>
        <v>171.18999999999997</v>
      </c>
      <c r="L17" s="9">
        <f>'Prix_ICE'!J17</f>
        <v>100.565</v>
      </c>
      <c r="M17" s="7">
        <f>'Prix_ICE'!K17</f>
        <v>2217.078737803</v>
      </c>
      <c r="N17" s="10">
        <f>D17/E17</f>
        <v>0.15960510565675481</v>
      </c>
    </row>
    <row r="18">
      <c r="A18" s="5" t="s">
        <v>54</v>
      </c>
      <c r="B18" s="7">
        <f>'Donnees_USDA'!P102</f>
        <v>169335</v>
      </c>
      <c r="C18" s="9">
        <f>B18/1000</f>
        <v>169.335</v>
      </c>
      <c r="D18" s="7">
        <f>'Donnees_USDA'!P408</f>
        <v>23121</v>
      </c>
      <c r="E18" s="7">
        <f>'Donnees_USDA'!P510</f>
        <v>163944</v>
      </c>
      <c r="F18" s="7">
        <f>'Donnees_USDA'!P612</f>
        <v>143474</v>
      </c>
      <c r="G18" s="11">
        <f>D18/(E18+F18)</f>
        <v>0.07521029998243434</v>
      </c>
      <c r="H18" s="13">
        <f>'Stocks_certifies'!H18</f>
        <v>0.87</v>
      </c>
      <c r="I18" s="13">
        <f>'Stocks_certifies'!I18</f>
        <v>0.74</v>
      </c>
      <c r="J18" s="12">
        <f>(H18+I18)*1000/(E18+F18)</f>
        <v>0.005237168936106538</v>
      </c>
      <c r="K18" s="9">
        <f>'Prix_ICE'!I18</f>
        <v>204.00166666666667</v>
      </c>
      <c r="L18" s="9">
        <f>'Prix_ICE'!J18</f>
        <v>158.95000000000002</v>
      </c>
      <c r="M18" s="7">
        <f>'Prix_ICE'!K18</f>
        <v>3504.24765449</v>
      </c>
      <c r="N18" s="10">
        <f>D18/E18</f>
        <v>0.14102986385595082</v>
      </c>
    </row>
    <row r="19">
      <c r="A19" s="5" t="s">
        <v>55</v>
      </c>
      <c r="B19" s="7">
        <f>'Donnees_USDA'!Q102</f>
        <v>176816</v>
      </c>
      <c r="C19" s="9">
        <f>B19/1000</f>
        <v>176.816</v>
      </c>
      <c r="D19" s="7">
        <f>'Donnees_USDA'!Q408</f>
        <v>22010</v>
      </c>
      <c r="E19" s="7">
        <f>'Donnees_USDA'!Q510</f>
        <v>171761</v>
      </c>
      <c r="F19" s="7">
        <f>'Donnees_USDA'!Q612</f>
        <v>147746</v>
      </c>
      <c r="G19" s="11">
        <f>D19/(E19+F19)</f>
        <v>0.06888737961922586</v>
      </c>
      <c r="H19" s="13">
        <f>'Stocks_certifies'!H19</f>
        <v>0.62</v>
      </c>
      <c r="I19" s="13">
        <f>'Stocks_certifies'!I19</f>
        <v>1.08</v>
      </c>
      <c r="J19" s="12">
        <f>(H19+I19)*1000/(E19+F19)</f>
        <v>0.005320697199122398</v>
      </c>
      <c r="K19" s="9">
        <f>'Prix_ICE'!I19</f>
        <v>333.06</v>
      </c>
      <c r="L19" s="9">
        <f>'Prix_ICE'!J19</f>
        <v>213.2675</v>
      </c>
      <c r="M19" s="7">
        <f>'Prix_ICE'!K19</f>
        <v>4701.7435461085</v>
      </c>
      <c r="N19" s="10">
        <f>D19/E19</f>
        <v>0.1281431756918043</v>
      </c>
    </row>
    <row r="20">
      <c r="A20" s="5" t="s">
        <v>56</v>
      </c>
      <c r="B20" s="7">
        <f>'Donnees_USDA'!R102</f>
        <v>178830</v>
      </c>
      <c r="C20" s="9">
        <f>B20/1000</f>
        <v>178.83</v>
      </c>
      <c r="D20" s="7">
        <f>'Donnees_USDA'!R408</f>
        <v>24370</v>
      </c>
      <c r="E20" s="7">
        <f>'Donnees_USDA'!R510</f>
        <v>173459</v>
      </c>
      <c r="F20" s="7">
        <f>'Donnees_USDA'!R612</f>
        <v>145942</v>
      </c>
      <c r="G20" s="11">
        <f>D20/(E20+F20)</f>
        <v>0.07629907232601026</v>
      </c>
      <c r="H20" s="13">
        <f>'Stocks_certifies'!H20</f>
        <v>0.24</v>
      </c>
      <c r="I20" s="13">
        <f>'Stocks_certifies'!I20</f>
        <v>0.83</v>
      </c>
      <c r="J20" s="12">
        <f>(H20+I20)*1000/(E20+F20)</f>
        <v>0.003350020820222854</v>
      </c>
      <c r="K20" s="9">
        <f>'Prix_ICE'!I20</f>
        <v>312.21</v>
      </c>
      <c r="L20" s="9">
        <f>'Prix_ICE'!J20</f>
        <v>171.8418181818182</v>
      </c>
      <c r="M20" s="7">
        <f>'Prix_ICE'!K20</f>
        <v>3788.463594255636</v>
      </c>
      <c r="N20" s="10">
        <f>D20/E20</f>
        <v>0.14049429548192946</v>
      </c>
    </row>
    <row r="21">
      <c r="A21" s="6" t="s">
        <v>57</v>
      </c>
      <c r="B21" s="7">
        <f>'Donnees_USDA'!S102</f>
        <v>189667</v>
      </c>
      <c r="C21" s="9">
        <f>B21/1000</f>
        <v>189.667</v>
      </c>
      <c r="D21" s="7">
        <f>'Donnees_USDA'!S408</f>
        <v>26283</v>
      </c>
      <c r="E21" s="7">
        <f>'Donnees_USDA'!S510</f>
        <v>179736</v>
      </c>
      <c r="F21" s="7">
        <f>'Donnees_USDA'!S612</f>
        <v>158874</v>
      </c>
      <c r="G21" s="11">
        <f>D21/(E21+F21)</f>
        <v>0.07762027110835475</v>
      </c>
      <c r="H21" s="13"/>
      <c r="I21" s="13"/>
      <c r="J21" s="13"/>
      <c r="K21" s="9"/>
      <c r="L21" s="9"/>
      <c r="M21" s="9"/>
      <c r="N21" s="10">
        <f>D21/E21</f>
        <v>0.14623113900387236</v>
      </c>
    </row>
    <row r="23">
      <c r="A23" s="19" t="s">
        <v>58</v>
      </c>
    </row>
  </sheetData>
  <mergeCells count="1">
    <mergeCell ref="A23:N26"/>
  </mergeCells>
  <pageMargins left="0.5" right="0.5"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sheetPr>
    <tabColor rgb="FF8B5530"/>
  </sheetPr>
  <dimension ref="A1:K23"/>
  <sheetViews>
    <sheetView showGridLines="0" workbookViewId="0"/>
  </sheetViews>
  <sheetFormatPr defaultRowHeight="12.75"/>
  <cols>
    <col min="1" max="1" width="13" customWidth="1"/>
    <col min="2" max="2" width="11" customWidth="1"/>
    <col min="3" max="3" width="9" customWidth="1"/>
    <col min="4" max="4" width="11" customWidth="1"/>
    <col min="5" max="5" width="11" customWidth="1"/>
    <col min="6" max="6" width="11" customWidth="1"/>
    <col min="7" max="7" width="11" customWidth="1"/>
    <col min="8" max="8" width="12" customWidth="1"/>
    <col min="9" max="9" width="10" customWidth="1"/>
    <col min="10" max="10" width="11" customWidth="1"/>
    <col min="11" max="11" width="11" customWidth="1"/>
    <col min="12" max="12" width="2" customWidth="1"/>
  </cols>
  <sheetData>
    <row r="1">
      <c r="A1" s="1" t="s">
        <v>59</v>
      </c>
    </row>
    <row r="2">
      <c r="A2" s="2" t="s">
        <v>60</v>
      </c>
    </row>
    <row r="3">
      <c r="A3" s="2" t="s">
        <v>61</v>
      </c>
    </row>
    <row r="4" ht="64" customHeight="1">
      <c r="A4" s="3" t="s">
        <v>27</v>
      </c>
      <c r="B4" s="3" t="s">
        <v>62</v>
      </c>
      <c r="C4" s="3" t="s">
        <v>63</v>
      </c>
      <c r="D4" s="3" t="s">
        <v>64</v>
      </c>
      <c r="E4" s="3" t="s">
        <v>65</v>
      </c>
      <c r="F4" s="3" t="s">
        <v>66</v>
      </c>
      <c r="G4" s="3" t="s">
        <v>67</v>
      </c>
      <c r="H4" s="3" t="s">
        <v>68</v>
      </c>
      <c r="I4" s="3" t="s">
        <v>37</v>
      </c>
      <c r="J4" s="3" t="s">
        <v>69</v>
      </c>
      <c r="K4" s="3" t="s">
        <v>70</v>
      </c>
    </row>
    <row r="5">
      <c r="A5" s="5" t="s">
        <v>41</v>
      </c>
      <c r="B5" s="7">
        <f>'Donnees_USDA'!C204</f>
        <v>87943</v>
      </c>
      <c r="C5" s="9">
        <f>B5/1000</f>
        <v>87.943</v>
      </c>
      <c r="D5" s="7">
        <f>SUMPRODUCT('Donnees_USDA'!C312:C353,'Donnees_USDA'!C720:C761)</f>
        <v>4474.368718206312</v>
      </c>
      <c r="E5" s="7">
        <f>SUMPRODUCT('Donnees_USDA'!C414:C455,'Donnees_USDA'!C720:C761)+SUMPRODUCT('Donnees_USDA'!C516:C557,'Donnees_USDA'!C720:C761)</f>
        <v>90468.29032310966</v>
      </c>
      <c r="F5" s="11">
        <f>D5/E5</f>
        <v>0.049457867527130196</v>
      </c>
      <c r="G5" s="13"/>
      <c r="H5" s="12"/>
      <c r="I5" s="9">
        <f>'Prix_ICE'!I5</f>
        <v>249.65999999999997</v>
      </c>
      <c r="J5" s="10">
        <f>SUMPRODUCT('Donnees_USDA'!C312:C353,'Donnees_USDA'!C924:C965)/(SUMPRODUCT('Donnees_USDA'!C414:C455,'Donnees_USDA'!C924:C965)+SUMPRODUCT('Donnees_USDA'!C516:C557,'Donnees_USDA'!C924:C965))</f>
        <v>0.045543955212588895</v>
      </c>
      <c r="K5" s="10">
        <f>SUMPRODUCT('Donnees_USDA'!C312:C353,'Donnees_USDA'!C1128:C1169)/(SUMPRODUCT('Donnees_USDA'!C414:C455,'Donnees_USDA'!C1128:C1169)+SUMPRODUCT('Donnees_USDA'!C516:C557,'Donnees_USDA'!C1128:C1169))</f>
        <v>0.033546552949538025</v>
      </c>
    </row>
    <row r="6">
      <c r="A6" s="5" t="s">
        <v>42</v>
      </c>
      <c r="B6" s="7">
        <f>'Donnees_USDA'!D204</f>
        <v>84542</v>
      </c>
      <c r="C6" s="9">
        <f>B6/1000</f>
        <v>84.542</v>
      </c>
      <c r="D6" s="7">
        <f>SUMPRODUCT('Donnees_USDA'!D312:D353,'Donnees_USDA'!D720:D761)</f>
        <v>4373.074679490872</v>
      </c>
      <c r="E6" s="7">
        <f>SUMPRODUCT('Donnees_USDA'!D414:D455,'Donnees_USDA'!D720:D761)+SUMPRODUCT('Donnees_USDA'!D516:D557,'Donnees_USDA'!D720:D761)</f>
        <v>86770.5018409568</v>
      </c>
      <c r="F6" s="11">
        <f>D6/E6</f>
        <v>0.050398172036694666</v>
      </c>
      <c r="G6" s="13">
        <f>'Stocks_certifies'!H6</f>
        <v>2.43</v>
      </c>
      <c r="H6" s="12">
        <f>G6*1000/E6</f>
        <v>0.028004908908490472</v>
      </c>
      <c r="I6" s="9">
        <f>'Prix_ICE'!I6</f>
        <v>197.8416666666667</v>
      </c>
      <c r="J6" s="10">
        <f>SUMPRODUCT('Donnees_USDA'!D312:D353,'Donnees_USDA'!D924:D965)/(SUMPRODUCT('Donnees_USDA'!D414:D455,'Donnees_USDA'!D924:D965)+SUMPRODUCT('Donnees_USDA'!D516:D557,'Donnees_USDA'!D924:D965))</f>
        <v>0.04576192681797128</v>
      </c>
      <c r="K6" s="10">
        <f>SUMPRODUCT('Donnees_USDA'!D312:D353,'Donnees_USDA'!D1128:D1169)/(SUMPRODUCT('Donnees_USDA'!D414:D455,'Donnees_USDA'!D1128:D1169)+SUMPRODUCT('Donnees_USDA'!D516:D557,'Donnees_USDA'!D1128:D1169))</f>
        <v>0.04349180911680912</v>
      </c>
    </row>
    <row r="7">
      <c r="A7" s="5" t="s">
        <v>43</v>
      </c>
      <c r="B7" s="7">
        <f>'Donnees_USDA'!E204</f>
        <v>92872</v>
      </c>
      <c r="C7" s="9">
        <f>B7/1000</f>
        <v>92.872</v>
      </c>
      <c r="D7" s="7">
        <f>SUMPRODUCT('Donnees_USDA'!E312:E353,'Donnees_USDA'!E720:E761)</f>
        <v>9514.991668671475</v>
      </c>
      <c r="E7" s="7">
        <f>SUMPRODUCT('Donnees_USDA'!E414:E455,'Donnees_USDA'!E720:E761)+SUMPRODUCT('Donnees_USDA'!E516:E557,'Donnees_USDA'!E720:E761)</f>
        <v>89074.25390260776</v>
      </c>
      <c r="F7" s="11">
        <f>D7/E7</f>
        <v>0.10682089663164625</v>
      </c>
      <c r="G7" s="13">
        <f>'Stocks_certifies'!H7</f>
        <v>3.13</v>
      </c>
      <c r="H7" s="12">
        <f>G7*1000/E7</f>
        <v>0.03513922219794608</v>
      </c>
      <c r="I7" s="9">
        <f>'Prix_ICE'!I7</f>
        <v>140.69833333333332</v>
      </c>
      <c r="J7" s="10">
        <f>SUMPRODUCT('Donnees_USDA'!E312:E353,'Donnees_USDA'!E924:E965)/(SUMPRODUCT('Donnees_USDA'!E414:E455,'Donnees_USDA'!E924:E965)+SUMPRODUCT('Donnees_USDA'!E516:E557,'Donnees_USDA'!E924:E965))</f>
        <v>0.11615703616151941</v>
      </c>
      <c r="K7" s="10">
        <f>SUMPRODUCT('Donnees_USDA'!E312:E353,'Donnees_USDA'!E1128:E1169)/(SUMPRODUCT('Donnees_USDA'!E414:E455,'Donnees_USDA'!E1128:E1169)+SUMPRODUCT('Donnees_USDA'!E516:E557,'Donnees_USDA'!E1128:E1169))</f>
        <v>0.039625263346631405</v>
      </c>
    </row>
    <row r="8">
      <c r="A8" s="5" t="s">
        <v>44</v>
      </c>
      <c r="B8" s="7">
        <f>'Donnees_USDA'!F204</f>
        <v>92465</v>
      </c>
      <c r="C8" s="9">
        <f>B8/1000</f>
        <v>92.465</v>
      </c>
      <c r="D8" s="7">
        <f>SUMPRODUCT('Donnees_USDA'!F312:F353,'Donnees_USDA'!F720:F761)</f>
        <v>12077.864146097832</v>
      </c>
      <c r="E8" s="7">
        <f>SUMPRODUCT('Donnees_USDA'!F414:F455,'Donnees_USDA'!F720:F761)+SUMPRODUCT('Donnees_USDA'!F516:F557,'Donnees_USDA'!F720:F761)</f>
        <v>91093.22763557918</v>
      </c>
      <c r="F8" s="11">
        <f>D8/E8</f>
        <v>0.13258794818881203</v>
      </c>
      <c r="G8" s="13">
        <f>'Stocks_certifies'!H8</f>
        <v>2.68</v>
      </c>
      <c r="H8" s="12">
        <f>G8*1000/E8</f>
        <v>0.029420408844457784</v>
      </c>
      <c r="I8" s="9">
        <f>'Prix_ICE'!I8</f>
        <v>161.4675</v>
      </c>
      <c r="J8" s="10">
        <f>SUMPRODUCT('Donnees_USDA'!F312:F353,'Donnees_USDA'!F924:F965)/(SUMPRODUCT('Donnees_USDA'!F414:F455,'Donnees_USDA'!F924:F965)+SUMPRODUCT('Donnees_USDA'!F516:F557,'Donnees_USDA'!F924:F965))</f>
        <v>0.14601268465316022</v>
      </c>
      <c r="K8" s="10">
        <f>SUMPRODUCT('Donnees_USDA'!F312:F353,'Donnees_USDA'!F1128:F1169)/(SUMPRODUCT('Donnees_USDA'!F414:F455,'Donnees_USDA'!F1128:F1169)+SUMPRODUCT('Donnees_USDA'!F516:F557,'Donnees_USDA'!F1128:F1169))</f>
        <v>0.04825445730726535</v>
      </c>
    </row>
    <row r="9">
      <c r="A9" s="5" t="s">
        <v>45</v>
      </c>
      <c r="B9" s="7">
        <f>'Donnees_USDA'!G204</f>
        <v>86688</v>
      </c>
      <c r="C9" s="9">
        <f>B9/1000</f>
        <v>86.688</v>
      </c>
      <c r="D9" s="7">
        <f>SUMPRODUCT('Donnees_USDA'!G312:G353,'Donnees_USDA'!G720:G761)</f>
        <v>9532.915674337886</v>
      </c>
      <c r="E9" s="7">
        <f>SUMPRODUCT('Donnees_USDA'!G414:G455,'Donnees_USDA'!G720:G761)+SUMPRODUCT('Donnees_USDA'!G516:G557,'Donnees_USDA'!G720:G761)</f>
        <v>89143.06890579297</v>
      </c>
      <c r="F9" s="11">
        <f>D9/E9</f>
        <v>0.10693950512756453</v>
      </c>
      <c r="G9" s="13">
        <f>'Stocks_certifies'!H9</f>
        <v>2.28</v>
      </c>
      <c r="H9" s="12">
        <f>G9*1000/E9</f>
        <v>0.025576862317916386</v>
      </c>
      <c r="I9" s="9">
        <f>'Prix_ICE'!I9</f>
        <v>154.02083333333334</v>
      </c>
      <c r="J9" s="10">
        <f>SUMPRODUCT('Donnees_USDA'!G312:G353,'Donnees_USDA'!G924:G965)/(SUMPRODUCT('Donnees_USDA'!G414:G455,'Donnees_USDA'!G924:G965)+SUMPRODUCT('Donnees_USDA'!G516:G557,'Donnees_USDA'!G924:G965))</f>
        <v>0.11069829288801111</v>
      </c>
      <c r="K9" s="10">
        <f>SUMPRODUCT('Donnees_USDA'!G312:G353,'Donnees_USDA'!G1128:G1169)/(SUMPRODUCT('Donnees_USDA'!G414:G455,'Donnees_USDA'!G1128:G1169)+SUMPRODUCT('Donnees_USDA'!G516:G557,'Donnees_USDA'!G1128:G1169))</f>
        <v>0.03830075697661281</v>
      </c>
    </row>
    <row r="10">
      <c r="A10" s="5" t="s">
        <v>46</v>
      </c>
      <c r="B10" s="7">
        <f>'Donnees_USDA'!H204</f>
        <v>86135</v>
      </c>
      <c r="C10" s="9">
        <f>B10/1000</f>
        <v>86.135</v>
      </c>
      <c r="D10" s="7">
        <f>SUMPRODUCT('Donnees_USDA'!H312:H353,'Donnees_USDA'!H720:H761)</f>
        <v>5330.173878563568</v>
      </c>
      <c r="E10" s="7">
        <f>SUMPRODUCT('Donnees_USDA'!H414:H455,'Donnees_USDA'!H720:H761)+SUMPRODUCT('Donnees_USDA'!H516:H557,'Donnees_USDA'!H720:H761)</f>
        <v>92159.87048872307</v>
      </c>
      <c r="F10" s="11">
        <f>D10/E10</f>
        <v>0.0578361693684865</v>
      </c>
      <c r="G10" s="13">
        <f>'Stocks_certifies'!H10</f>
        <v>1.42</v>
      </c>
      <c r="H10" s="12">
        <f>G10*1000/E10</f>
        <v>0.015408007763788633</v>
      </c>
      <c r="I10" s="9">
        <f>'Prix_ICE'!I10</f>
        <v>131.83249999999998</v>
      </c>
      <c r="J10" s="10">
        <f>SUMPRODUCT('Donnees_USDA'!H312:H353,'Donnees_USDA'!H924:H965)/(SUMPRODUCT('Donnees_USDA'!H414:H455,'Donnees_USDA'!H924:H965)+SUMPRODUCT('Donnees_USDA'!H516:H557,'Donnees_USDA'!H924:H965))</f>
        <v>0.048712343270559864</v>
      </c>
      <c r="K10" s="10">
        <f>SUMPRODUCT('Donnees_USDA'!H312:H353,'Donnees_USDA'!H1128:H1169)/(SUMPRODUCT('Donnees_USDA'!H414:H455,'Donnees_USDA'!H1128:H1169)+SUMPRODUCT('Donnees_USDA'!H516:H557,'Donnees_USDA'!H1128:H1169))</f>
        <v>0.052816346738078626</v>
      </c>
    </row>
    <row r="11">
      <c r="A11" s="5" t="s">
        <v>47</v>
      </c>
      <c r="B11" s="7">
        <f>'Donnees_USDA'!I204</f>
        <v>101136</v>
      </c>
      <c r="C11" s="9">
        <f>B11/1000</f>
        <v>101.136</v>
      </c>
      <c r="D11" s="7">
        <f>SUMPRODUCT('Donnees_USDA'!I312:I353,'Donnees_USDA'!I720:I761)</f>
        <v>6145.966375756239</v>
      </c>
      <c r="E11" s="7">
        <f>SUMPRODUCT('Donnees_USDA'!I414:I455,'Donnees_USDA'!I720:I761)+SUMPRODUCT('Donnees_USDA'!I516:I557,'Donnees_USDA'!I720:I761)</f>
        <v>101254.65716629586</v>
      </c>
      <c r="F11" s="11">
        <f>D11/E11</f>
        <v>0.06069811056357037</v>
      </c>
      <c r="G11" s="13">
        <f>'Stocks_certifies'!H11</f>
        <v>2.03</v>
      </c>
      <c r="H11" s="12">
        <f>G11*1000/E11</f>
        <v>0.02004846055294053</v>
      </c>
      <c r="I11" s="9">
        <f>'Prix_ICE'!I11</f>
        <v>143.7716666666667</v>
      </c>
      <c r="J11" s="10">
        <f>SUMPRODUCT('Donnees_USDA'!I312:I353,'Donnees_USDA'!I924:I965)/(SUMPRODUCT('Donnees_USDA'!I414:I455,'Donnees_USDA'!I924:I965)+SUMPRODUCT('Donnees_USDA'!I516:I557,'Donnees_USDA'!I924:I965))</f>
        <v>0.057640498125435674</v>
      </c>
      <c r="K11" s="10">
        <f>SUMPRODUCT('Donnees_USDA'!I312:I353,'Donnees_USDA'!I1128:I1169)/(SUMPRODUCT('Donnees_USDA'!I414:I455,'Donnees_USDA'!I1128:I1169)+SUMPRODUCT('Donnees_USDA'!I516:I557,'Donnees_USDA'!I1128:I1169))</f>
        <v>0.041114111014055425</v>
      </c>
    </row>
    <row r="12">
      <c r="A12" s="5" t="s">
        <v>48</v>
      </c>
      <c r="B12" s="7">
        <f>'Donnees_USDA'!J204</f>
        <v>95224</v>
      </c>
      <c r="C12" s="9">
        <f>B12/1000</f>
        <v>95.224</v>
      </c>
      <c r="D12" s="7">
        <f>SUMPRODUCT('Donnees_USDA'!J312:J353,'Donnees_USDA'!J720:J761)</f>
        <v>5673.68686615828</v>
      </c>
      <c r="E12" s="7">
        <f>SUMPRODUCT('Donnees_USDA'!J414:J455,'Donnees_USDA'!J720:J761)+SUMPRODUCT('Donnees_USDA'!J516:J557,'Donnees_USDA'!J720:J761)</f>
        <v>96715.59617478482</v>
      </c>
      <c r="F12" s="11">
        <f>D12/E12</f>
        <v>0.05866361880150922</v>
      </c>
      <c r="G12" s="13">
        <f>'Stocks_certifies'!H12</f>
        <v>2.7</v>
      </c>
      <c r="H12" s="12">
        <f>G12*1000/E12</f>
        <v>0.02791690385820038</v>
      </c>
      <c r="I12" s="9">
        <f>'Prix_ICE'!I12</f>
        <v>120.60083333333334</v>
      </c>
      <c r="J12" s="10">
        <f>SUMPRODUCT('Donnees_USDA'!J312:J353,'Donnees_USDA'!J924:J965)/(SUMPRODUCT('Donnees_USDA'!J414:J455,'Donnees_USDA'!J924:J965)+SUMPRODUCT('Donnees_USDA'!J516:J557,'Donnees_USDA'!J924:J965))</f>
        <v>0.05692319490778021</v>
      </c>
      <c r="K12" s="10">
        <f>SUMPRODUCT('Donnees_USDA'!J312:J353,'Donnees_USDA'!J1128:J1169)/(SUMPRODUCT('Donnees_USDA'!J414:J455,'Donnees_USDA'!J1128:J1169)+SUMPRODUCT('Donnees_USDA'!J516:J557,'Donnees_USDA'!J1128:J1169))</f>
        <v>0.05029585798816568</v>
      </c>
    </row>
    <row r="13">
      <c r="A13" s="5" t="s">
        <v>49</v>
      </c>
      <c r="B13" s="7">
        <f>'Donnees_USDA'!K204</f>
        <v>104926</v>
      </c>
      <c r="C13" s="9">
        <f>B13/1000</f>
        <v>104.926</v>
      </c>
      <c r="D13" s="7">
        <f>SUMPRODUCT('Donnees_USDA'!K312:K353,'Donnees_USDA'!K720:K761)</f>
        <v>6096.186065548615</v>
      </c>
      <c r="E13" s="7">
        <f>SUMPRODUCT('Donnees_USDA'!K414:K455,'Donnees_USDA'!K720:K761)+SUMPRODUCT('Donnees_USDA'!K516:K557,'Donnees_USDA'!K720:K761)</f>
        <v>106143.21381239165</v>
      </c>
      <c r="F13" s="11">
        <f>D13/E13</f>
        <v>0.057433592281496554</v>
      </c>
      <c r="G13" s="13">
        <f>'Stocks_certifies'!H13</f>
        <v>2.6</v>
      </c>
      <c r="H13" s="12">
        <f>G13*1000/E13</f>
        <v>0.024495207056717778</v>
      </c>
      <c r="I13" s="9">
        <f>'Prix_ICE'!I13</f>
        <v>104.98083333333334</v>
      </c>
      <c r="J13" s="10">
        <f>SUMPRODUCT('Donnees_USDA'!K312:K353,'Donnees_USDA'!K924:K965)/(SUMPRODUCT('Donnees_USDA'!K414:K455,'Donnees_USDA'!K924:K965)+SUMPRODUCT('Donnees_USDA'!K516:K557,'Donnees_USDA'!K924:K965))</f>
        <v>0.05819705229154048</v>
      </c>
      <c r="K13" s="10">
        <f>SUMPRODUCT('Donnees_USDA'!K312:K353,'Donnees_USDA'!K1128:K1169)/(SUMPRODUCT('Donnees_USDA'!K414:K455,'Donnees_USDA'!K1128:K1169)+SUMPRODUCT('Donnees_USDA'!K516:K557,'Donnees_USDA'!K1128:K1169))</f>
        <v>0.03055769395261312</v>
      </c>
    </row>
    <row r="14">
      <c r="A14" s="5" t="s">
        <v>50</v>
      </c>
      <c r="B14" s="7">
        <f>'Donnees_USDA'!L204</f>
        <v>94921</v>
      </c>
      <c r="C14" s="9">
        <f>B14/1000</f>
        <v>94.921</v>
      </c>
      <c r="D14" s="7">
        <f>SUMPRODUCT('Donnees_USDA'!L312:L353,'Donnees_USDA'!L720:L761)</f>
        <v>4625.72786442223</v>
      </c>
      <c r="E14" s="7">
        <f>SUMPRODUCT('Donnees_USDA'!L414:L455,'Donnees_USDA'!L720:L761)+SUMPRODUCT('Donnees_USDA'!L516:L557,'Donnees_USDA'!L720:L761)</f>
        <v>97936.0312912851</v>
      </c>
      <c r="F14" s="11">
        <f>D14/E14</f>
        <v>0.04723213513384275</v>
      </c>
      <c r="G14" s="13">
        <f>'Stocks_certifies'!H14</f>
        <v>1.26</v>
      </c>
      <c r="H14" s="12">
        <f>G14*1000/E14</f>
        <v>0.012865540734976894</v>
      </c>
      <c r="I14" s="9">
        <f>'Prix_ICE'!I14</f>
        <v>113.23666666666666</v>
      </c>
      <c r="J14" s="10">
        <f>SUMPRODUCT('Donnees_USDA'!L312:L353,'Donnees_USDA'!L924:L965)/(SUMPRODUCT('Donnees_USDA'!L414:L455,'Donnees_USDA'!L924:L965)+SUMPRODUCT('Donnees_USDA'!L516:L557,'Donnees_USDA'!L924:L965))</f>
        <v>0.04243446778969938</v>
      </c>
      <c r="K14" s="10">
        <f>SUMPRODUCT('Donnees_USDA'!L312:L353,'Donnees_USDA'!L1128:L1169)/(SUMPRODUCT('Donnees_USDA'!L414:L455,'Donnees_USDA'!L1128:L1169)+SUMPRODUCT('Donnees_USDA'!L516:L557,'Donnees_USDA'!L1128:L1169))</f>
        <v>0.04695174468679438</v>
      </c>
    </row>
    <row r="15">
      <c r="A15" s="5" t="s">
        <v>51</v>
      </c>
      <c r="B15" s="7">
        <f>'Donnees_USDA'!M204</f>
        <v>102155</v>
      </c>
      <c r="C15" s="9">
        <f>B15/1000</f>
        <v>102.155</v>
      </c>
      <c r="D15" s="7">
        <f>SUMPRODUCT('Donnees_USDA'!M312:M353,'Donnees_USDA'!M720:M761)</f>
        <v>6273.520457131303</v>
      </c>
      <c r="E15" s="7">
        <f>SUMPRODUCT('Donnees_USDA'!M414:M455,'Donnees_USDA'!M720:M761)+SUMPRODUCT('Donnees_USDA'!M516:M557,'Donnees_USDA'!M720:M761)</f>
        <v>103161.8716575109</v>
      </c>
      <c r="F15" s="11">
        <f>D15/E15</f>
        <v>0.060812394699069496</v>
      </c>
      <c r="G15" s="13">
        <f>'Stocks_certifies'!H15</f>
        <v>2.27</v>
      </c>
      <c r="H15" s="12">
        <f>G15*1000/E15</f>
        <v>0.022004253737623308</v>
      </c>
      <c r="I15" s="9">
        <f>'Prix_ICE'!I15</f>
        <v>143.75333333333336</v>
      </c>
      <c r="J15" s="10">
        <f>SUMPRODUCT('Donnees_USDA'!M312:M353,'Donnees_USDA'!M924:M965)/(SUMPRODUCT('Donnees_USDA'!M414:M455,'Donnees_USDA'!M924:M965)+SUMPRODUCT('Donnees_USDA'!M516:M557,'Donnees_USDA'!M924:M965))</f>
        <v>0.05821566218422337</v>
      </c>
      <c r="K15" s="10">
        <f>SUMPRODUCT('Donnees_USDA'!M312:M353,'Donnees_USDA'!M1128:M1169)/(SUMPRODUCT('Donnees_USDA'!M414:M455,'Donnees_USDA'!M1128:M1169)+SUMPRODUCT('Donnees_USDA'!M516:M557,'Donnees_USDA'!M1128:M1169))</f>
        <v>0.05395121288306041</v>
      </c>
    </row>
    <row r="16">
      <c r="A16" s="5" t="s">
        <v>52</v>
      </c>
      <c r="B16" s="7">
        <f>'Donnees_USDA'!N204</f>
        <v>87089</v>
      </c>
      <c r="C16" s="9">
        <f>B16/1000</f>
        <v>87.089</v>
      </c>
      <c r="D16" s="7">
        <f>SUMPRODUCT('Donnees_USDA'!N312:N353,'Donnees_USDA'!N720:N761)</f>
        <v>2451.9277988375334</v>
      </c>
      <c r="E16" s="7">
        <f>SUMPRODUCT('Donnees_USDA'!N414:N455,'Donnees_USDA'!N720:N761)+SUMPRODUCT('Donnees_USDA'!N516:N557,'Donnees_USDA'!N720:N761)</f>
        <v>93909.88929143347</v>
      </c>
      <c r="F16" s="11">
        <f>D16/E16</f>
        <v>0.026109367366288654</v>
      </c>
      <c r="G16" s="13">
        <f>'Stocks_certifies'!H16</f>
        <v>0.45</v>
      </c>
      <c r="H16" s="12">
        <f>G16*1000/E16</f>
        <v>0.004791827606180016</v>
      </c>
      <c r="I16" s="9">
        <f>'Prix_ICE'!I16</f>
        <v>224.0875</v>
      </c>
      <c r="J16" s="10">
        <f>SUMPRODUCT('Donnees_USDA'!N312:N353,'Donnees_USDA'!N924:N965)/(SUMPRODUCT('Donnees_USDA'!N414:N455,'Donnees_USDA'!N924:N965)+SUMPRODUCT('Donnees_USDA'!N516:N557,'Donnees_USDA'!N924:N965))</f>
        <v>0.02011027355299257</v>
      </c>
      <c r="K16" s="10">
        <f>SUMPRODUCT('Donnees_USDA'!N312:N353,'Donnees_USDA'!N1128:N1169)/(SUMPRODUCT('Donnees_USDA'!N414:N455,'Donnees_USDA'!N1128:N1169)+SUMPRODUCT('Donnees_USDA'!N516:N557,'Donnees_USDA'!N1128:N1169))</f>
        <v>0.03617861901042863</v>
      </c>
    </row>
    <row r="17">
      <c r="A17" s="5" t="s">
        <v>53</v>
      </c>
      <c r="B17" s="7">
        <f>'Donnees_USDA'!O204</f>
        <v>87908</v>
      </c>
      <c r="C17" s="9">
        <f>B17/1000</f>
        <v>87.908</v>
      </c>
      <c r="D17" s="7">
        <f>SUMPRODUCT('Donnees_USDA'!O312:O353,'Donnees_USDA'!O720:O761)</f>
        <v>4817.1311028629225</v>
      </c>
      <c r="E17" s="7">
        <f>SUMPRODUCT('Donnees_USDA'!O414:O455,'Donnees_USDA'!O720:O761)+SUMPRODUCT('Donnees_USDA'!O516:O557,'Donnees_USDA'!O720:O761)</f>
        <v>88807.38563386453</v>
      </c>
      <c r="F17" s="11">
        <f>D17/E17</f>
        <v>0.05424246044943842</v>
      </c>
      <c r="G17" s="13">
        <f>'Stocks_certifies'!H17</f>
        <v>0.49</v>
      </c>
      <c r="H17" s="12">
        <f>G17*1000/E17</f>
        <v>0.005517559114060334</v>
      </c>
      <c r="I17" s="9">
        <f>'Prix_ICE'!I17</f>
        <v>171.18999999999997</v>
      </c>
      <c r="J17" s="10">
        <f>SUMPRODUCT('Donnees_USDA'!O312:O353,'Donnees_USDA'!O924:O965)/(SUMPRODUCT('Donnees_USDA'!O414:O455,'Donnees_USDA'!O924:O965)+SUMPRODUCT('Donnees_USDA'!O516:O557,'Donnees_USDA'!O924:O965))</f>
        <v>0.05854524508739294</v>
      </c>
      <c r="K17" s="10">
        <f>SUMPRODUCT('Donnees_USDA'!O312:O353,'Donnees_USDA'!O1128:O1169)/(SUMPRODUCT('Donnees_USDA'!O414:O455,'Donnees_USDA'!O1128:O1169)+SUMPRODUCT('Donnees_USDA'!O516:O557,'Donnees_USDA'!O1128:O1169))</f>
        <v>0.0365446863185985</v>
      </c>
    </row>
    <row r="18">
      <c r="A18" s="5" t="s">
        <v>54</v>
      </c>
      <c r="B18" s="7">
        <f>'Donnees_USDA'!P204</f>
        <v>97160</v>
      </c>
      <c r="C18" s="9">
        <f>B18/1000</f>
        <v>97.16</v>
      </c>
      <c r="D18" s="7">
        <f>SUMPRODUCT('Donnees_USDA'!P312:P353,'Donnees_USDA'!P720:P761)</f>
        <v>3083.2350943527226</v>
      </c>
      <c r="E18" s="7">
        <f>SUMPRODUCT('Donnees_USDA'!P414:P455,'Donnees_USDA'!P720:P761)+SUMPRODUCT('Donnees_USDA'!P516:P557,'Donnees_USDA'!P720:P761)</f>
        <v>101400.7558294172</v>
      </c>
      <c r="F18" s="11">
        <f>D18/E18</f>
        <v>0.030406431087550635</v>
      </c>
      <c r="G18" s="13">
        <f>'Stocks_certifies'!H18</f>
        <v>0.87</v>
      </c>
      <c r="H18" s="12">
        <f>G18*1000/E18</f>
        <v>0.00857981770336672</v>
      </c>
      <c r="I18" s="9">
        <f>'Prix_ICE'!I18</f>
        <v>204.00166666666667</v>
      </c>
      <c r="J18" s="10">
        <f>SUMPRODUCT('Donnees_USDA'!P312:P353,'Donnees_USDA'!P924:P965)/(SUMPRODUCT('Donnees_USDA'!P414:P455,'Donnees_USDA'!P924:P965)+SUMPRODUCT('Donnees_USDA'!P516:P557,'Donnees_USDA'!P924:P965))</f>
        <v>0.029703716734098964</v>
      </c>
      <c r="K18" s="10">
        <f>SUMPRODUCT('Donnees_USDA'!P312:P353,'Donnees_USDA'!P1128:P1169)/(SUMPRODUCT('Donnees_USDA'!P414:P455,'Donnees_USDA'!P1128:P1169)+SUMPRODUCT('Donnees_USDA'!P516:P557,'Donnees_USDA'!P1128:P1169))</f>
        <v>0.03261471701597267</v>
      </c>
    </row>
    <row r="19">
      <c r="A19" s="5" t="s">
        <v>55</v>
      </c>
      <c r="B19" s="7">
        <f>'Donnees_USDA'!Q204</f>
        <v>102276</v>
      </c>
      <c r="C19" s="9">
        <f>B19/1000</f>
        <v>102.276</v>
      </c>
      <c r="D19" s="7">
        <f>SUMPRODUCT('Donnees_USDA'!Q312:Q353,'Donnees_USDA'!Q720:Q761)</f>
        <v>2712.5481419055322</v>
      </c>
      <c r="E19" s="7">
        <f>SUMPRODUCT('Donnees_USDA'!Q414:Q455,'Donnees_USDA'!Q720:Q761)+SUMPRODUCT('Donnees_USDA'!Q516:Q557,'Donnees_USDA'!Q720:Q761)</f>
        <v>105510.21425275781</v>
      </c>
      <c r="F19" s="11">
        <f>D19/E19</f>
        <v>0.025708867725426233</v>
      </c>
      <c r="G19" s="13">
        <f>'Stocks_certifies'!H19</f>
        <v>0.62</v>
      </c>
      <c r="H19" s="12">
        <f>G19*1000/E19</f>
        <v>0.0058762083310222694</v>
      </c>
      <c r="I19" s="9">
        <f>'Prix_ICE'!I19</f>
        <v>333.06</v>
      </c>
      <c r="J19" s="10">
        <f>SUMPRODUCT('Donnees_USDA'!Q312:Q353,'Donnees_USDA'!Q924:Q965)/(SUMPRODUCT('Donnees_USDA'!Q414:Q455,'Donnees_USDA'!Q924:Q965)+SUMPRODUCT('Donnees_USDA'!Q516:Q557,'Donnees_USDA'!Q924:Q965))</f>
        <v>0.022630314323542393</v>
      </c>
      <c r="K19" s="10">
        <f>SUMPRODUCT('Donnees_USDA'!Q312:Q353,'Donnees_USDA'!Q1128:Q1169)/(SUMPRODUCT('Donnees_USDA'!Q414:Q455,'Donnees_USDA'!Q1128:Q1169)+SUMPRODUCT('Donnees_USDA'!Q516:Q557,'Donnees_USDA'!Q1128:Q1169))</f>
        <v>0.032485589583985564</v>
      </c>
    </row>
    <row r="20">
      <c r="A20" s="5" t="s">
        <v>56</v>
      </c>
      <c r="B20" s="7">
        <f>'Donnees_USDA'!R204</f>
        <v>94440</v>
      </c>
      <c r="C20" s="9">
        <f>B20/1000</f>
        <v>94.44</v>
      </c>
      <c r="D20" s="7">
        <f>SUMPRODUCT('Donnees_USDA'!R312:R353,'Donnees_USDA'!R720:R761)</f>
        <v>4672.940108670257</v>
      </c>
      <c r="E20" s="7">
        <f>SUMPRODUCT('Donnees_USDA'!R414:R455,'Donnees_USDA'!R720:R761)+SUMPRODUCT('Donnees_USDA'!R516:R557,'Donnees_USDA'!R720:R761)</f>
        <v>96609.5319571878</v>
      </c>
      <c r="F20" s="11">
        <f>D20/E20</f>
        <v>0.04836934838625505</v>
      </c>
      <c r="G20" s="13">
        <f>'Stocks_certifies'!H20</f>
        <v>0.24</v>
      </c>
      <c r="H20" s="12">
        <f>G20*1000/E20</f>
        <v>0.0024842269198276958</v>
      </c>
      <c r="I20" s="9">
        <f>'Prix_ICE'!I20</f>
        <v>312.21</v>
      </c>
      <c r="J20" s="10">
        <f>SUMPRODUCT('Donnees_USDA'!R312:R353,'Donnees_USDA'!R924:R965)/(SUMPRODUCT('Donnees_USDA'!R414:R455,'Donnees_USDA'!R924:R965)+SUMPRODUCT('Donnees_USDA'!R516:R557,'Donnees_USDA'!R924:R965))</f>
        <v>0.05117140396210164</v>
      </c>
      <c r="K20" s="10">
        <f>SUMPRODUCT('Donnees_USDA'!R312:R353,'Donnees_USDA'!R1128:R1169)/(SUMPRODUCT('Donnees_USDA'!R414:R455,'Donnees_USDA'!R1128:R1169)+SUMPRODUCT('Donnees_USDA'!R516:R557,'Donnees_USDA'!R1128:R1169))</f>
        <v>0.04124464863736034</v>
      </c>
    </row>
    <row r="21">
      <c r="A21" s="6" t="s">
        <v>57</v>
      </c>
      <c r="B21" s="7">
        <f>'Donnees_USDA'!S204</f>
        <v>105867</v>
      </c>
      <c r="C21" s="9">
        <f>B21/1000</f>
        <v>105.867</v>
      </c>
      <c r="D21" s="7">
        <f>SUMPRODUCT('Donnees_USDA'!S312:S353,'Donnees_USDA'!S720:S761)</f>
        <v>5169.044001826339</v>
      </c>
      <c r="E21" s="7">
        <f>SUMPRODUCT('Donnees_USDA'!S414:S455,'Donnees_USDA'!S720:S761)+SUMPRODUCT('Donnees_USDA'!S516:S557,'Donnees_USDA'!S720:S761)</f>
        <v>109453.08575557203</v>
      </c>
      <c r="F21" s="11">
        <f>D21/E21</f>
        <v>0.04722611487966381</v>
      </c>
      <c r="G21" s="13"/>
      <c r="H21" s="12"/>
      <c r="I21" s="9"/>
      <c r="J21" s="10">
        <f>SUMPRODUCT('Donnees_USDA'!S312:S353,'Donnees_USDA'!S924:S965)/(SUMPRODUCT('Donnees_USDA'!S414:S455,'Donnees_USDA'!S924:S965)+SUMPRODUCT('Donnees_USDA'!S516:S557,'Donnees_USDA'!S924:S965))</f>
        <v>0.050486096632458434</v>
      </c>
      <c r="K21" s="10">
        <f>SUMPRODUCT('Donnees_USDA'!S312:S353,'Donnees_USDA'!S1128:S1169)/(SUMPRODUCT('Donnees_USDA'!S414:S455,'Donnees_USDA'!S1128:S1169)+SUMPRODUCT('Donnees_USDA'!S516:S557,'Donnees_USDA'!S1128:S1169))</f>
        <v>0.03910524944378746</v>
      </c>
    </row>
    <row r="23">
      <c r="A23" s="19" t="s">
        <v>71</v>
      </c>
    </row>
  </sheetData>
  <mergeCells count="1">
    <mergeCell ref="A23:K26"/>
  </mergeCells>
  <pageMargins left="0.5" right="0.5"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sheetPr>
    <tabColor rgb="FF3D7A55"/>
  </sheetPr>
  <dimension ref="A1:K23"/>
  <sheetViews>
    <sheetView showGridLines="0" workbookViewId="0"/>
  </sheetViews>
  <sheetFormatPr defaultRowHeight="12.75"/>
  <cols>
    <col min="1" max="1" width="13" customWidth="1"/>
    <col min="2" max="2" width="11" customWidth="1"/>
    <col min="3" max="3" width="9" customWidth="1"/>
    <col min="4" max="4" width="11" customWidth="1"/>
    <col min="5" max="5" width="11" customWidth="1"/>
    <col min="6" max="6" width="11" customWidth="1"/>
    <col min="7" max="7" width="11" customWidth="1"/>
    <col min="8" max="8" width="12" customWidth="1"/>
    <col min="9" max="9" width="10" customWidth="1"/>
    <col min="10" max="10" width="11" customWidth="1"/>
    <col min="11" max="11" width="11" customWidth="1"/>
    <col min="12" max="12" width="2" customWidth="1"/>
  </cols>
  <sheetData>
    <row r="1">
      <c r="A1" s="1" t="s">
        <v>72</v>
      </c>
    </row>
    <row r="2">
      <c r="A2" s="2" t="s">
        <v>60</v>
      </c>
    </row>
    <row r="3">
      <c r="A3" s="2" t="s">
        <v>73</v>
      </c>
    </row>
    <row r="4" ht="64" customHeight="1">
      <c r="A4" s="3" t="s">
        <v>27</v>
      </c>
      <c r="B4" s="3" t="s">
        <v>74</v>
      </c>
      <c r="C4" s="3" t="s">
        <v>75</v>
      </c>
      <c r="D4" s="3" t="s">
        <v>76</v>
      </c>
      <c r="E4" s="3" t="s">
        <v>77</v>
      </c>
      <c r="F4" s="3" t="s">
        <v>78</v>
      </c>
      <c r="G4" s="3" t="s">
        <v>79</v>
      </c>
      <c r="H4" s="3" t="s">
        <v>68</v>
      </c>
      <c r="I4" s="3" t="s">
        <v>39</v>
      </c>
      <c r="J4" s="3" t="s">
        <v>69</v>
      </c>
      <c r="K4" s="3" t="s">
        <v>70</v>
      </c>
    </row>
    <row r="5">
      <c r="A5" s="5" t="s">
        <v>41</v>
      </c>
      <c r="B5" s="7">
        <f>'Donnees_USDA'!C306</f>
        <v>53466</v>
      </c>
      <c r="C5" s="9">
        <f>B5/1000</f>
        <v>53.466</v>
      </c>
      <c r="D5" s="7">
        <f>SUMPRODUCT('Donnees_USDA'!C312:C353,'Donnees_USDA'!C822:C863)</f>
        <v>3853.631281793689</v>
      </c>
      <c r="E5" s="7">
        <f>SUMPRODUCT('Donnees_USDA'!C414:C455,'Donnees_USDA'!C822:C863)+SUMPRODUCT('Donnees_USDA'!C516:C557,'Donnees_USDA'!C822:C863)</f>
        <v>58714.70967689033</v>
      </c>
      <c r="F5" s="11">
        <f>D5/E5</f>
        <v>0.0656331488821182</v>
      </c>
      <c r="G5" s="13"/>
      <c r="H5" s="12"/>
      <c r="I5" s="7">
        <f>'Prix_ICE'!K5</f>
        <v>2219.0812700161664</v>
      </c>
      <c r="J5" s="10">
        <f>SUMPRODUCT('Donnees_USDA'!C312:C353,'Donnees_USDA'!C1026:C1067)/(SUMPRODUCT('Donnees_USDA'!C414:C455,'Donnees_USDA'!C1026:C1067)+SUMPRODUCT('Donnees_USDA'!C516:C557,'Donnees_USDA'!C1026:C1067))</f>
        <v>0.07618686061381075</v>
      </c>
      <c r="K5" s="10">
        <f>SUMPRODUCT('Donnees_USDA'!C312:C353,'Donnees_USDA'!C1230:C1271)/(SUMPRODUCT('Donnees_USDA'!C414:C455,'Donnees_USDA'!C1230:C1271)+SUMPRODUCT('Donnees_USDA'!C516:C557,'Donnees_USDA'!C1230:C1271))</f>
        <v>0.04767938599666932</v>
      </c>
    </row>
    <row r="6">
      <c r="A6" s="5" t="s">
        <v>42</v>
      </c>
      <c r="B6" s="7">
        <f>'Donnees_USDA'!D306</f>
        <v>60295</v>
      </c>
      <c r="C6" s="9">
        <f>B6/1000</f>
        <v>60.295</v>
      </c>
      <c r="D6" s="7">
        <f>SUMPRODUCT('Donnees_USDA'!D312:D353,'Donnees_USDA'!D822:D863)</f>
        <v>3466.925320509129</v>
      </c>
      <c r="E6" s="7">
        <f>SUMPRODUCT('Donnees_USDA'!D414:D455,'Donnees_USDA'!D822:D863)+SUMPRODUCT('Donnees_USDA'!D516:D557,'Donnees_USDA'!D822:D863)</f>
        <v>64830.498159043185</v>
      </c>
      <c r="F6" s="11">
        <f>D6/E6</f>
        <v>0.053476765086765396</v>
      </c>
      <c r="G6" s="13">
        <f>'Stocks_certifies'!I6</f>
        <v>2.17</v>
      </c>
      <c r="H6" s="12">
        <f>G6*1000/E6</f>
        <v>0.03347190075073189</v>
      </c>
      <c r="I6" s="7">
        <f>'Prix_ICE'!K6</f>
        <v>2014.6760094318333</v>
      </c>
      <c r="J6" s="10">
        <f>SUMPRODUCT('Donnees_USDA'!D312:D353,'Donnees_USDA'!D1026:D1067)/(SUMPRODUCT('Donnees_USDA'!D414:D455,'Donnees_USDA'!D1026:D1067)+SUMPRODUCT('Donnees_USDA'!D516:D557,'Donnees_USDA'!D1026:D1067))</f>
        <v>0.062336994453219705</v>
      </c>
      <c r="K6" s="10">
        <f>SUMPRODUCT('Donnees_USDA'!D312:D353,'Donnees_USDA'!D1230:D1271)/(SUMPRODUCT('Donnees_USDA'!D414:D455,'Donnees_USDA'!D1230:D1271)+SUMPRODUCT('Donnees_USDA'!D516:D557,'Donnees_USDA'!D1230:D1271))</f>
        <v>0.03642298027208919</v>
      </c>
    </row>
    <row r="7">
      <c r="A7" s="5" t="s">
        <v>43</v>
      </c>
      <c r="B7" s="7">
        <f>'Donnees_USDA'!E306</f>
        <v>65146</v>
      </c>
      <c r="C7" s="9">
        <f>B7/1000</f>
        <v>65.146</v>
      </c>
      <c r="D7" s="7">
        <f>SUMPRODUCT('Donnees_USDA'!E312:E353,'Donnees_USDA'!E822:E863)</f>
        <v>6411.008331328528</v>
      </c>
      <c r="E7" s="7">
        <f>SUMPRODUCT('Donnees_USDA'!E414:E455,'Donnees_USDA'!E822:E863)+SUMPRODUCT('Donnees_USDA'!E516:E557,'Donnees_USDA'!E822:E863)</f>
        <v>67498.74609739223</v>
      </c>
      <c r="F7" s="11">
        <f>D7/E7</f>
        <v>0.09497966557894641</v>
      </c>
      <c r="G7" s="13">
        <f>'Stocks_certifies'!I7</f>
        <v>1.01</v>
      </c>
      <c r="H7" s="12">
        <f>G7*1000/E7</f>
        <v>0.014963240925138026</v>
      </c>
      <c r="I7" s="7">
        <f>'Prix_ICE'!K7</f>
        <v>1950.6684660311666</v>
      </c>
      <c r="J7" s="10">
        <f>SUMPRODUCT('Donnees_USDA'!E312:E353,'Donnees_USDA'!E1026:E1067)/(SUMPRODUCT('Donnees_USDA'!E414:E455,'Donnees_USDA'!E1026:E1067)+SUMPRODUCT('Donnees_USDA'!E516:E557,'Donnees_USDA'!E1026:E1067))</f>
        <v>0.07746020879685094</v>
      </c>
      <c r="K7" s="10">
        <f>SUMPRODUCT('Donnees_USDA'!E312:E353,'Donnees_USDA'!E1230:E1271)/(SUMPRODUCT('Donnees_USDA'!E414:E455,'Donnees_USDA'!E1230:E1271)+SUMPRODUCT('Donnees_USDA'!E516:E557,'Donnees_USDA'!E1230:E1271))</f>
        <v>0.058680329493022335</v>
      </c>
    </row>
    <row r="8">
      <c r="A8" s="5" t="s">
        <v>44</v>
      </c>
      <c r="B8" s="7">
        <f>'Donnees_USDA'!F306</f>
        <v>67589</v>
      </c>
      <c r="C8" s="9">
        <f>B8/1000</f>
        <v>67.589</v>
      </c>
      <c r="D8" s="7">
        <f>SUMPRODUCT('Donnees_USDA'!F312:F353,'Donnees_USDA'!F822:F863)</f>
        <v>7326.135853902167</v>
      </c>
      <c r="E8" s="7">
        <f>SUMPRODUCT('Donnees_USDA'!F414:F455,'Donnees_USDA'!F822:F863)+SUMPRODUCT('Donnees_USDA'!F516:F557,'Donnees_USDA'!F822:F863)</f>
        <v>71812.77236442082</v>
      </c>
      <c r="F8" s="11">
        <f>D8/E8</f>
        <v>0.10201717066046394</v>
      </c>
      <c r="G8" s="13">
        <f>'Stocks_certifies'!I8</f>
        <v>1.88</v>
      </c>
      <c r="H8" s="12">
        <f>G8*1000/E8</f>
        <v>0.026179187045721607</v>
      </c>
      <c r="I8" s="7">
        <f>'Prix_ICE'!K8</f>
        <v>1893.2013030698333</v>
      </c>
      <c r="J8" s="10">
        <f>SUMPRODUCT('Donnees_USDA'!F312:F353,'Donnees_USDA'!F1026:F1067)/(SUMPRODUCT('Donnees_USDA'!F414:F455,'Donnees_USDA'!F1026:F1067)+SUMPRODUCT('Donnees_USDA'!F516:F557,'Donnees_USDA'!F1026:F1067))</f>
        <v>0.07568365643856721</v>
      </c>
      <c r="K8" s="10">
        <f>SUMPRODUCT('Donnees_USDA'!F312:F353,'Donnees_USDA'!F1230:F1271)/(SUMPRODUCT('Donnees_USDA'!F414:F455,'Donnees_USDA'!F1230:F1271)+SUMPRODUCT('Donnees_USDA'!F516:F557,'Donnees_USDA'!F1230:F1271))</f>
        <v>0.0571723692704971</v>
      </c>
    </row>
    <row r="9">
      <c r="A9" s="5" t="s">
        <v>45</v>
      </c>
      <c r="B9" s="7">
        <f>'Donnees_USDA'!G306</f>
        <v>67108</v>
      </c>
      <c r="C9" s="9">
        <f>B9/1000</f>
        <v>67.108</v>
      </c>
      <c r="D9" s="7">
        <f>SUMPRODUCT('Donnees_USDA'!G312:G353,'Donnees_USDA'!G822:G863)</f>
        <v>11561.084325662114</v>
      </c>
      <c r="E9" s="7">
        <f>SUMPRODUCT('Donnees_USDA'!G414:G455,'Donnees_USDA'!G822:G863)+SUMPRODUCT('Donnees_USDA'!G516:G557,'Donnees_USDA'!G822:G863)</f>
        <v>68976.93109420703</v>
      </c>
      <c r="F9" s="11">
        <f>D9/E9</f>
        <v>0.1676079834556899</v>
      </c>
      <c r="G9" s="13">
        <f>'Stocks_certifies'!I9</f>
        <v>3.43</v>
      </c>
      <c r="H9" s="12">
        <f>G9*1000/E9</f>
        <v>0.04972677017647231</v>
      </c>
      <c r="I9" s="7">
        <f>'Prix_ICE'!K9</f>
        <v>1849.9172122971665</v>
      </c>
      <c r="J9" s="10">
        <f>SUMPRODUCT('Donnees_USDA'!G312:G353,'Donnees_USDA'!G1026:G1067)/(SUMPRODUCT('Donnees_USDA'!G414:G455,'Donnees_USDA'!G1026:G1067)+SUMPRODUCT('Donnees_USDA'!G516:G557,'Donnees_USDA'!G1026:G1067))</f>
        <v>0.1749937323161778</v>
      </c>
      <c r="K9" s="10">
        <f>SUMPRODUCT('Donnees_USDA'!G312:G353,'Donnees_USDA'!G1230:G1271)/(SUMPRODUCT('Donnees_USDA'!G414:G455,'Donnees_USDA'!G1230:G1271)+SUMPRODUCT('Donnees_USDA'!G516:G557,'Donnees_USDA'!G1230:G1271))</f>
        <v>0.19317702368754144</v>
      </c>
    </row>
    <row r="10">
      <c r="A10" s="5" t="s">
        <v>46</v>
      </c>
      <c r="B10" s="7">
        <f>'Donnees_USDA'!H306</f>
        <v>66294</v>
      </c>
      <c r="C10" s="9">
        <f>B10/1000</f>
        <v>66.294</v>
      </c>
      <c r="D10" s="7">
        <f>SUMPRODUCT('Donnees_USDA'!H312:H353,'Donnees_USDA'!H822:H863)</f>
        <v>7121.826121436432</v>
      </c>
      <c r="E10" s="7">
        <f>SUMPRODUCT('Donnees_USDA'!H414:H455,'Donnees_USDA'!H822:H863)+SUMPRODUCT('Donnees_USDA'!H516:H557,'Donnees_USDA'!H822:H863)</f>
        <v>75076.12951127694</v>
      </c>
      <c r="F10" s="11">
        <f>D10/E10</f>
        <v>0.0948613916007309</v>
      </c>
      <c r="G10" s="13">
        <f>'Stocks_certifies'!I10</f>
        <v>2.32</v>
      </c>
      <c r="H10" s="12">
        <f>G10*1000/E10</f>
        <v>0.03090196597910019</v>
      </c>
      <c r="I10" s="7">
        <f>'Prix_ICE'!K10</f>
        <v>1632.9272309236667</v>
      </c>
      <c r="J10" s="10">
        <f>SUMPRODUCT('Donnees_USDA'!H312:H353,'Donnees_USDA'!H1026:H1067)/(SUMPRODUCT('Donnees_USDA'!H414:H455,'Donnees_USDA'!H1026:H1067)+SUMPRODUCT('Donnees_USDA'!H516:H557,'Donnees_USDA'!H1026:H1067))</f>
        <v>0.11471891336675405</v>
      </c>
      <c r="K10" s="10">
        <f>SUMPRODUCT('Donnees_USDA'!H312:H353,'Donnees_USDA'!H1230:H1271)/(SUMPRODUCT('Donnees_USDA'!H414:H455,'Donnees_USDA'!H1230:H1271)+SUMPRODUCT('Donnees_USDA'!H516:H557,'Donnees_USDA'!H1230:H1271))</f>
        <v>0.10572774609471858</v>
      </c>
    </row>
    <row r="11">
      <c r="A11" s="5" t="s">
        <v>47</v>
      </c>
      <c r="B11" s="7">
        <f>'Donnees_USDA'!I306</f>
        <v>59943</v>
      </c>
      <c r="C11" s="9">
        <f>B11/1000</f>
        <v>59.943</v>
      </c>
      <c r="D11" s="7">
        <f>SUMPRODUCT('Donnees_USDA'!I312:I353,'Donnees_USDA'!I822:I863)</f>
        <v>5186.033624243761</v>
      </c>
      <c r="E11" s="7">
        <f>SUMPRODUCT('Donnees_USDA'!I414:I455,'Donnees_USDA'!I822:I863)+SUMPRODUCT('Donnees_USDA'!I516:I557,'Donnees_USDA'!I822:I863)</f>
        <v>66386.34283370417</v>
      </c>
      <c r="F11" s="11">
        <f>D11/E11</f>
        <v>0.07811898355712442</v>
      </c>
      <c r="G11" s="13">
        <f>'Stocks_certifies'!I11</f>
        <v>2.52</v>
      </c>
      <c r="H11" s="12">
        <f>G11*1000/E11</f>
        <v>0.03795961477065434</v>
      </c>
      <c r="I11" s="7">
        <f>'Prix_ICE'!K11</f>
        <v>2097.110523564667</v>
      </c>
      <c r="J11" s="10">
        <f>SUMPRODUCT('Donnees_USDA'!I312:I353,'Donnees_USDA'!I1026:I1067)/(SUMPRODUCT('Donnees_USDA'!I414:I455,'Donnees_USDA'!I1026:I1067)+SUMPRODUCT('Donnees_USDA'!I516:I557,'Donnees_USDA'!I1026:I1067))</f>
        <v>0.08478766488297579</v>
      </c>
      <c r="K11" s="10">
        <f>SUMPRODUCT('Donnees_USDA'!I312:I353,'Donnees_USDA'!I1230:I1271)/(SUMPRODUCT('Donnees_USDA'!I414:I455,'Donnees_USDA'!I1230:I1271)+SUMPRODUCT('Donnees_USDA'!I516:I557,'Donnees_USDA'!I1230:I1271))</f>
        <v>0.07451799224448843</v>
      </c>
    </row>
    <row r="12">
      <c r="A12" s="5" t="s">
        <v>48</v>
      </c>
      <c r="B12" s="7">
        <f>'Donnees_USDA'!J306</f>
        <v>64590</v>
      </c>
      <c r="C12" s="9">
        <f>B12/1000</f>
        <v>64.59</v>
      </c>
      <c r="D12" s="7">
        <f>SUMPRODUCT('Donnees_USDA'!J312:J353,'Donnees_USDA'!J822:J863)</f>
        <v>3035.3131338417206</v>
      </c>
      <c r="E12" s="7">
        <f>SUMPRODUCT('Donnees_USDA'!J414:J455,'Donnees_USDA'!J822:J863)+SUMPRODUCT('Donnees_USDA'!J516:J557,'Donnees_USDA'!J822:J863)</f>
        <v>72802.40382521518</v>
      </c>
      <c r="F12" s="11">
        <f>D12/E12</f>
        <v>0.0416924850603688</v>
      </c>
      <c r="G12" s="13">
        <f>'Stocks_certifies'!I12</f>
        <v>1.51</v>
      </c>
      <c r="H12" s="12">
        <f>G12*1000/E12</f>
        <v>0.020741073380285968</v>
      </c>
      <c r="I12" s="7">
        <f>'Prix_ICE'!K12</f>
        <v>1725.8888180669999</v>
      </c>
      <c r="J12" s="10">
        <f>SUMPRODUCT('Donnees_USDA'!J312:J353,'Donnees_USDA'!J1026:J1067)/(SUMPRODUCT('Donnees_USDA'!J414:J455,'Donnees_USDA'!J1026:J1067)+SUMPRODUCT('Donnees_USDA'!J516:J557,'Donnees_USDA'!J1026:J1067))</f>
        <v>0.042498696359007396</v>
      </c>
      <c r="K12" s="10">
        <f>SUMPRODUCT('Donnees_USDA'!J312:J353,'Donnees_USDA'!J1230:J1271)/(SUMPRODUCT('Donnees_USDA'!J414:J455,'Donnees_USDA'!J1230:J1271)+SUMPRODUCT('Donnees_USDA'!J516:J557,'Donnees_USDA'!J1230:J1271))</f>
        <v>0.01706920575940548</v>
      </c>
    </row>
    <row r="13">
      <c r="A13" s="5" t="s">
        <v>49</v>
      </c>
      <c r="B13" s="7">
        <f>'Donnees_USDA'!K306</f>
        <v>70930</v>
      </c>
      <c r="C13" s="9">
        <f>B13/1000</f>
        <v>70.93</v>
      </c>
      <c r="D13" s="7">
        <f>SUMPRODUCT('Donnees_USDA'!K312:K353,'Donnees_USDA'!K822:K863)</f>
        <v>5115.813934451385</v>
      </c>
      <c r="E13" s="7">
        <f>SUMPRODUCT('Donnees_USDA'!K414:K455,'Donnees_USDA'!K822:K863)+SUMPRODUCT('Donnees_USDA'!K516:K557,'Donnees_USDA'!K822:K863)</f>
        <v>75251.78618760835</v>
      </c>
      <c r="F13" s="11">
        <f>D13/E13</f>
        <v>0.06798262464757018</v>
      </c>
      <c r="G13" s="13">
        <f>'Stocks_certifies'!I13</f>
        <v>2.62</v>
      </c>
      <c r="H13" s="12">
        <f>G13*1000/E13</f>
        <v>0.034816449319463906</v>
      </c>
      <c r="I13" s="7">
        <f>'Prix_ICE'!K13</f>
        <v>1488.8367708514998</v>
      </c>
      <c r="J13" s="10">
        <f>SUMPRODUCT('Donnees_USDA'!K312:K353,'Donnees_USDA'!K1026:K1067)/(SUMPRODUCT('Donnees_USDA'!K414:K455,'Donnees_USDA'!K1026:K1067)+SUMPRODUCT('Donnees_USDA'!K516:K557,'Donnees_USDA'!K1026:K1067))</f>
        <v>0.06867872622874782</v>
      </c>
      <c r="K13" s="10">
        <f>SUMPRODUCT('Donnees_USDA'!K312:K353,'Donnees_USDA'!K1230:K1271)/(SUMPRODUCT('Donnees_USDA'!K414:K455,'Donnees_USDA'!K1230:K1271)+SUMPRODUCT('Donnees_USDA'!K516:K557,'Donnees_USDA'!K1230:K1271))</f>
        <v>0.014505271179982219</v>
      </c>
    </row>
    <row r="14">
      <c r="A14" s="5" t="s">
        <v>50</v>
      </c>
      <c r="B14" s="7">
        <f>'Donnees_USDA'!L306</f>
        <v>74109</v>
      </c>
      <c r="C14" s="9">
        <f>B14/1000</f>
        <v>74.109</v>
      </c>
      <c r="D14" s="7">
        <f>SUMPRODUCT('Donnees_USDA'!L312:L353,'Donnees_USDA'!L822:L863)</f>
        <v>5997.27213557777</v>
      </c>
      <c r="E14" s="7">
        <f>SUMPRODUCT('Donnees_USDA'!L414:L455,'Donnees_USDA'!L822:L863)+SUMPRODUCT('Donnees_USDA'!L516:L557,'Donnees_USDA'!L822:L863)</f>
        <v>79117.9687087149</v>
      </c>
      <c r="F14" s="11">
        <f>D14/E14</f>
        <v>0.07580164447418587</v>
      </c>
      <c r="G14" s="13">
        <f>'Stocks_certifies'!I14</f>
        <v>1.85</v>
      </c>
      <c r="H14" s="12">
        <f>G14*1000/E14</f>
        <v>0.023382804566318714</v>
      </c>
      <c r="I14" s="7">
        <f>'Prix_ICE'!K14</f>
        <v>1305.5958874191667</v>
      </c>
      <c r="J14" s="10">
        <f>SUMPRODUCT('Donnees_USDA'!L312:L353,'Donnees_USDA'!L1026:L1067)/(SUMPRODUCT('Donnees_USDA'!L414:L455,'Donnees_USDA'!L1026:L1067)+SUMPRODUCT('Donnees_USDA'!L516:L557,'Donnees_USDA'!L1026:L1067))</f>
        <v>0.0915975021737412</v>
      </c>
      <c r="K14" s="10">
        <f>SUMPRODUCT('Donnees_USDA'!L312:L353,'Donnees_USDA'!L1230:L1271)/(SUMPRODUCT('Donnees_USDA'!L414:L455,'Donnees_USDA'!L1230:L1271)+SUMPRODUCT('Donnees_USDA'!L516:L557,'Donnees_USDA'!L1230:L1271))</f>
        <v>0.0550914310839821</v>
      </c>
    </row>
    <row r="15">
      <c r="A15" s="5" t="s">
        <v>51</v>
      </c>
      <c r="B15" s="7">
        <f>'Donnees_USDA'!M306</f>
        <v>74439</v>
      </c>
      <c r="C15" s="9">
        <f>B15/1000</f>
        <v>74.439</v>
      </c>
      <c r="D15" s="7">
        <f>SUMPRODUCT('Donnees_USDA'!M312:M353,'Donnees_USDA'!M822:M863)</f>
        <v>7449.479542868697</v>
      </c>
      <c r="E15" s="7">
        <f>SUMPRODUCT('Donnees_USDA'!M414:M455,'Donnees_USDA'!M822:M863)+SUMPRODUCT('Donnees_USDA'!M516:M557,'Donnees_USDA'!M822:M863)</f>
        <v>78096.1283424891</v>
      </c>
      <c r="F15" s="11">
        <f>D15/E15</f>
        <v>0.09538858969037677</v>
      </c>
      <c r="G15" s="13">
        <f>'Stocks_certifies'!I15</f>
        <v>2.1</v>
      </c>
      <c r="H15" s="12">
        <f>G15*1000/E15</f>
        <v>0.026889937370396768</v>
      </c>
      <c r="I15" s="7">
        <f>'Prix_ICE'!K15</f>
        <v>1540.9393521041666</v>
      </c>
      <c r="J15" s="10">
        <f>SUMPRODUCT('Donnees_USDA'!M312:M353,'Donnees_USDA'!M1026:M1067)/(SUMPRODUCT('Donnees_USDA'!M414:M455,'Donnees_USDA'!M1026:M1067)+SUMPRODUCT('Donnees_USDA'!M516:M557,'Donnees_USDA'!M1026:M1067))</f>
        <v>0.10901255927207484</v>
      </c>
      <c r="K15" s="10">
        <f>SUMPRODUCT('Donnees_USDA'!M312:M353,'Donnees_USDA'!M1230:M1271)/(SUMPRODUCT('Donnees_USDA'!M414:M455,'Donnees_USDA'!M1230:M1271)+SUMPRODUCT('Donnees_USDA'!M516:M557,'Donnees_USDA'!M1230:M1271))</f>
        <v>0.10422896198205894</v>
      </c>
    </row>
    <row r="16">
      <c r="A16" s="5" t="s">
        <v>52</v>
      </c>
      <c r="B16" s="7">
        <f>'Donnees_USDA'!N306</f>
        <v>77955</v>
      </c>
      <c r="C16" s="9">
        <f>B16/1000</f>
        <v>77.955</v>
      </c>
      <c r="D16" s="7">
        <f>SUMPRODUCT('Donnees_USDA'!N312:N353,'Donnees_USDA'!N822:N863)</f>
        <v>5254.072201162467</v>
      </c>
      <c r="E16" s="7">
        <f>SUMPRODUCT('Donnees_USDA'!N414:N455,'Donnees_USDA'!N822:N863)+SUMPRODUCT('Donnees_USDA'!N516:N557,'Donnees_USDA'!N822:N863)</f>
        <v>86121.11070856653</v>
      </c>
      <c r="F16" s="11">
        <f>D16/E16</f>
        <v>0.06100794750479037</v>
      </c>
      <c r="G16" s="13">
        <f>'Stocks_certifies'!I16</f>
        <v>1.59</v>
      </c>
      <c r="H16" s="12">
        <f>G16*1000/E16</f>
        <v>0.018462372197921986</v>
      </c>
      <c r="I16" s="7">
        <f>'Prix_ICE'!K16</f>
        <v>2150.1500694308334</v>
      </c>
      <c r="J16" s="10">
        <f>SUMPRODUCT('Donnees_USDA'!N312:N353,'Donnees_USDA'!N1026:N1067)/(SUMPRODUCT('Donnees_USDA'!N414:N455,'Donnees_USDA'!N1026:N1067)+SUMPRODUCT('Donnees_USDA'!N516:N557,'Donnees_USDA'!N1026:N1067))</f>
        <v>0.08072460757841014</v>
      </c>
      <c r="K16" s="10">
        <f>SUMPRODUCT('Donnees_USDA'!N312:N353,'Donnees_USDA'!N1230:N1271)/(SUMPRODUCT('Donnees_USDA'!N414:N455,'Donnees_USDA'!N1230:N1271)+SUMPRODUCT('Donnees_USDA'!N516:N557,'Donnees_USDA'!N1230:N1271))</f>
        <v>0.08977040689277355</v>
      </c>
    </row>
    <row r="17">
      <c r="A17" s="5" t="s">
        <v>53</v>
      </c>
      <c r="B17" s="7">
        <f>'Donnees_USDA'!O306</f>
        <v>76621</v>
      </c>
      <c r="C17" s="9">
        <f>B17/1000</f>
        <v>76.621</v>
      </c>
      <c r="D17" s="7">
        <f>SUMPRODUCT('Donnees_USDA'!O312:O353,'Donnees_USDA'!O822:O863)</f>
        <v>3783.8688971370766</v>
      </c>
      <c r="E17" s="7">
        <f>SUMPRODUCT('Donnees_USDA'!O414:O455,'Donnees_USDA'!O822:O863)+SUMPRODUCT('Donnees_USDA'!O516:O557,'Donnees_USDA'!O822:O863)</f>
        <v>83350.61436613549</v>
      </c>
      <c r="F17" s="11">
        <f>D17/E17</f>
        <v>0.04539701267846232</v>
      </c>
      <c r="G17" s="13">
        <f>'Stocks_certifies'!I17</f>
        <v>0.73</v>
      </c>
      <c r="H17" s="12">
        <f>G17*1000/E17</f>
        <v>0.008758183794462727</v>
      </c>
      <c r="I17" s="7">
        <f>'Prix_ICE'!K17</f>
        <v>2217.078737803</v>
      </c>
      <c r="J17" s="10">
        <f>SUMPRODUCT('Donnees_USDA'!O312:O353,'Donnees_USDA'!O1026:O1067)/(SUMPRODUCT('Donnees_USDA'!O414:O455,'Donnees_USDA'!O1026:O1067)+SUMPRODUCT('Donnees_USDA'!O516:O557,'Donnees_USDA'!O1026:O1067))</f>
        <v>0.036237680546961075</v>
      </c>
      <c r="K17" s="10">
        <f>SUMPRODUCT('Donnees_USDA'!O312:O353,'Donnees_USDA'!O1230:O1271)/(SUMPRODUCT('Donnees_USDA'!O414:O455,'Donnees_USDA'!O1230:O1271)+SUMPRODUCT('Donnees_USDA'!O516:O557,'Donnees_USDA'!O1230:O1271))</f>
        <v>0.021848958333333335</v>
      </c>
    </row>
    <row r="18">
      <c r="A18" s="5" t="s">
        <v>54</v>
      </c>
      <c r="B18" s="7">
        <f>'Donnees_USDA'!P306</f>
        <v>72175</v>
      </c>
      <c r="C18" s="9">
        <f>B18/1000</f>
        <v>72.175</v>
      </c>
      <c r="D18" s="7">
        <f>SUMPRODUCT('Donnees_USDA'!P312:P353,'Donnees_USDA'!P822:P863)</f>
        <v>2427.764905647278</v>
      </c>
      <c r="E18" s="7">
        <f>SUMPRODUCT('Donnees_USDA'!P414:P455,'Donnees_USDA'!P822:P863)+SUMPRODUCT('Donnees_USDA'!P516:P557,'Donnees_USDA'!P822:P863)</f>
        <v>79542.24417058278</v>
      </c>
      <c r="F18" s="11">
        <f>D18/E18</f>
        <v>0.03052170492500564</v>
      </c>
      <c r="G18" s="13">
        <f>'Stocks_certifies'!I18</f>
        <v>0.74</v>
      </c>
      <c r="H18" s="12">
        <f>G18*1000/E18</f>
        <v>0.009303232612007132</v>
      </c>
      <c r="I18" s="7">
        <f>'Prix_ICE'!K18</f>
        <v>3504.24765449</v>
      </c>
      <c r="J18" s="10">
        <f>SUMPRODUCT('Donnees_USDA'!P312:P353,'Donnees_USDA'!P1026:P1067)/(SUMPRODUCT('Donnees_USDA'!P414:P455,'Donnees_USDA'!P1026:P1067)+SUMPRODUCT('Donnees_USDA'!P516:P557,'Donnees_USDA'!P1026:P1067))</f>
        <v>0.03191800402832824</v>
      </c>
      <c r="K18" s="10">
        <f>SUMPRODUCT('Donnees_USDA'!P312:P353,'Donnees_USDA'!P1230:P1271)/(SUMPRODUCT('Donnees_USDA'!P414:P455,'Donnees_USDA'!P1230:P1271)+SUMPRODUCT('Donnees_USDA'!P516:P557,'Donnees_USDA'!P1230:P1271))</f>
        <v>0.02510590228748941</v>
      </c>
    </row>
    <row r="19">
      <c r="A19" s="5" t="s">
        <v>55</v>
      </c>
      <c r="B19" s="7">
        <f>'Donnees_USDA'!Q306</f>
        <v>74540</v>
      </c>
      <c r="C19" s="9">
        <f>B19/1000</f>
        <v>74.54</v>
      </c>
      <c r="D19" s="7">
        <f>SUMPRODUCT('Donnees_USDA'!Q312:Q353,'Donnees_USDA'!Q822:Q863)</f>
        <v>2459.4518580944678</v>
      </c>
      <c r="E19" s="7">
        <f>SUMPRODUCT('Donnees_USDA'!Q414:Q455,'Donnees_USDA'!Q822:Q863)+SUMPRODUCT('Donnees_USDA'!Q516:Q557,'Donnees_USDA'!Q822:Q863)</f>
        <v>80313.78574724217</v>
      </c>
      <c r="F19" s="11">
        <f>D19/E19</f>
        <v>0.030623034827852336</v>
      </c>
      <c r="G19" s="13">
        <f>'Stocks_certifies'!I19</f>
        <v>1.08</v>
      </c>
      <c r="H19" s="12">
        <f>G19*1000/E19</f>
        <v>0.013447255535916325</v>
      </c>
      <c r="I19" s="7">
        <f>'Prix_ICE'!K19</f>
        <v>4701.7435461085</v>
      </c>
      <c r="J19" s="10">
        <f>SUMPRODUCT('Donnees_USDA'!Q312:Q353,'Donnees_USDA'!Q1026:Q1067)/(SUMPRODUCT('Donnees_USDA'!Q414:Q455,'Donnees_USDA'!Q1026:Q1067)+SUMPRODUCT('Donnees_USDA'!Q516:Q557,'Donnees_USDA'!Q1026:Q1067))</f>
        <v>0.03786279267639366</v>
      </c>
      <c r="K19" s="10">
        <f>SUMPRODUCT('Donnees_USDA'!Q312:Q353,'Donnees_USDA'!Q1230:Q1271)/(SUMPRODUCT('Donnees_USDA'!Q414:Q455,'Donnees_USDA'!Q1230:Q1271)+SUMPRODUCT('Donnees_USDA'!Q516:Q557,'Donnees_USDA'!Q1230:Q1271))</f>
        <v>0.030121981578292257</v>
      </c>
    </row>
    <row r="20">
      <c r="A20" s="5" t="s">
        <v>56</v>
      </c>
      <c r="B20" s="7">
        <f>'Donnees_USDA'!R306</f>
        <v>84390</v>
      </c>
      <c r="C20" s="9">
        <f>B20/1000</f>
        <v>84.39</v>
      </c>
      <c r="D20" s="7">
        <f>SUMPRODUCT('Donnees_USDA'!R312:R353,'Donnees_USDA'!R822:R863)</f>
        <v>3597.0598913297436</v>
      </c>
      <c r="E20" s="7">
        <f>SUMPRODUCT('Donnees_USDA'!R414:R455,'Donnees_USDA'!R822:R863)+SUMPRODUCT('Donnees_USDA'!R516:R557,'Donnees_USDA'!R822:R863)</f>
        <v>89103.46804281218</v>
      </c>
      <c r="F20" s="11">
        <f>D20/E20</f>
        <v>0.04036947124887932</v>
      </c>
      <c r="G20" s="13">
        <f>'Stocks_certifies'!I20</f>
        <v>0.83</v>
      </c>
      <c r="H20" s="12">
        <f>G20*1000/E20</f>
        <v>0.009315013413408376</v>
      </c>
      <c r="I20" s="7">
        <f>'Prix_ICE'!K20</f>
        <v>3788.463594255636</v>
      </c>
      <c r="J20" s="10">
        <f>SUMPRODUCT('Donnees_USDA'!R312:R353,'Donnees_USDA'!R1026:R1067)/(SUMPRODUCT('Donnees_USDA'!R414:R455,'Donnees_USDA'!R1026:R1067)+SUMPRODUCT('Donnees_USDA'!R516:R557,'Donnees_USDA'!R1026:R1067))</f>
        <v>0.03345639463893239</v>
      </c>
      <c r="K20" s="10">
        <f>SUMPRODUCT('Donnees_USDA'!R312:R353,'Donnees_USDA'!R1230:R1271)/(SUMPRODUCT('Donnees_USDA'!R414:R455,'Donnees_USDA'!R1230:R1271)+SUMPRODUCT('Donnees_USDA'!R516:R557,'Donnees_USDA'!R1230:R1271))</f>
        <v>0.017164922770303938</v>
      </c>
    </row>
    <row r="21">
      <c r="A21" s="6" t="s">
        <v>57</v>
      </c>
      <c r="B21" s="7">
        <f>'Donnees_USDA'!S306</f>
        <v>83800</v>
      </c>
      <c r="C21" s="9">
        <f>B21/1000</f>
        <v>83.8</v>
      </c>
      <c r="D21" s="7">
        <f>SUMPRODUCT('Donnees_USDA'!S312:S353,'Donnees_USDA'!S822:S863)</f>
        <v>3113.9559981736593</v>
      </c>
      <c r="E21" s="7">
        <f>SUMPRODUCT('Donnees_USDA'!S414:S455,'Donnees_USDA'!S822:S863)+SUMPRODUCT('Donnees_USDA'!S516:S557,'Donnees_USDA'!S822:S863)</f>
        <v>90236.91424442796</v>
      </c>
      <c r="F21" s="11">
        <f>D21/E21</f>
        <v>0.03450867113805305</v>
      </c>
      <c r="G21" s="13"/>
      <c r="H21" s="12"/>
      <c r="I21" s="9"/>
      <c r="J21" s="10">
        <f>SUMPRODUCT('Donnees_USDA'!S312:S353,'Donnees_USDA'!S1026:S1067)/(SUMPRODUCT('Donnees_USDA'!S414:S455,'Donnees_USDA'!S1026:S1067)+SUMPRODUCT('Donnees_USDA'!S516:S557,'Donnees_USDA'!S1026:S1067))</f>
        <v>0.024861445525652167</v>
      </c>
      <c r="K21" s="10">
        <f>SUMPRODUCT('Donnees_USDA'!S312:S353,'Donnees_USDA'!S1230:S1271)/(SUMPRODUCT('Donnees_USDA'!S414:S455,'Donnees_USDA'!S1230:S1271)+SUMPRODUCT('Donnees_USDA'!S516:S557,'Donnees_USDA'!S1230:S1271))</f>
        <v>0.011879023442244625</v>
      </c>
    </row>
    <row r="23">
      <c r="A23" s="19" t="s">
        <v>80</v>
      </c>
    </row>
  </sheetData>
  <mergeCells count="1">
    <mergeCell ref="A23:K26"/>
  </mergeCells>
  <pageMargins left="0.5" right="0.5" top="0.75" bottom="0.75" header="0.3" footer="0.3"/>
  <pageSetup orientation="landscape"/>
  <drawing r:id="rId1"/>
</worksheet>
</file>

<file path=xl/worksheets/sheet5.xml><?xml version="1.0" encoding="utf-8"?>
<worksheet xmlns="http://schemas.openxmlformats.org/spreadsheetml/2006/main" xmlns:r="http://schemas.openxmlformats.org/officeDocument/2006/relationships">
  <sheetPr>
    <tabColor rgb="FF00B050"/>
  </sheetPr>
  <dimension ref="A1:AB48"/>
  <sheetViews>
    <sheetView workbookViewId="0">
      <pane xSplit="2" ySplit="4" topLeftCell="C5" activePane="bottomRight" state="frozen"/>
      <selection pane="bottomRight" activeCell="C5" sqref="C5"/>
    </sheetView>
  </sheetViews>
  <sheetFormatPr defaultRowHeight="12.75"/>
  <cols>
    <col min="1" max="1" width="20" customWidth="1"/>
    <col min="2" max="2" width="8" customWidth="1"/>
    <col min="3" max="3" width="7.2" customWidth="1"/>
    <col min="4" max="4" width="7.2" customWidth="1"/>
    <col min="5" max="5" width="7.2" customWidth="1"/>
    <col min="6" max="6" width="7.2" customWidth="1"/>
    <col min="7" max="7" width="7.2" customWidth="1"/>
    <col min="8" max="8" width="7.2" customWidth="1"/>
    <col min="9" max="9" width="7.2" customWidth="1"/>
    <col min="10" max="10" width="7.2" customWidth="1"/>
    <col min="11" max="11" width="7.2" customWidth="1"/>
    <col min="12" max="12" width="7.2" customWidth="1"/>
    <col min="13" max="13" width="7.2" customWidth="1"/>
    <col min="14" max="14" width="7.2" customWidth="1"/>
    <col min="15" max="15" width="7.2" customWidth="1"/>
    <col min="16" max="16" width="7.2" customWidth="1"/>
    <col min="17" max="17" width="7.2" customWidth="1"/>
    <col min="18" max="18" width="7.2" customWidth="1"/>
    <col min="19" max="19" width="7.2"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s>
  <sheetData>
    <row r="1">
      <c r="A1" s="1" t="s">
        <v>81</v>
      </c>
    </row>
    <row r="2">
      <c r="A2" s="2" t="s">
        <v>82</v>
      </c>
    </row>
    <row r="4" ht="64" customHeight="1">
      <c r="A4" s="4" t="s">
        <v>83</v>
      </c>
      <c r="B4" s="3" t="s">
        <v>84</v>
      </c>
      <c r="C4" s="3" t="s">
        <v>41</v>
      </c>
      <c r="D4" s="3" t="s">
        <v>42</v>
      </c>
      <c r="E4" s="3" t="s">
        <v>43</v>
      </c>
      <c r="F4" s="3" t="s">
        <v>44</v>
      </c>
      <c r="G4" s="3" t="s">
        <v>45</v>
      </c>
      <c r="H4" s="3" t="s">
        <v>46</v>
      </c>
      <c r="I4" s="3" t="s">
        <v>47</v>
      </c>
      <c r="J4" s="3" t="s">
        <v>48</v>
      </c>
      <c r="K4" s="3" t="s">
        <v>49</v>
      </c>
      <c r="L4" s="3" t="s">
        <v>50</v>
      </c>
      <c r="M4" s="3" t="s">
        <v>51</v>
      </c>
      <c r="N4" s="3" t="s">
        <v>52</v>
      </c>
      <c r="O4" s="3" t="s">
        <v>53</v>
      </c>
      <c r="P4" s="3" t="s">
        <v>54</v>
      </c>
      <c r="Q4" s="3" t="s">
        <v>55</v>
      </c>
      <c r="R4" s="3" t="s">
        <v>56</v>
      </c>
      <c r="S4" s="3" t="s">
        <v>85</v>
      </c>
      <c r="T4" s="3" t="s">
        <v>86</v>
      </c>
      <c r="U4" s="3" t="s">
        <v>87</v>
      </c>
      <c r="V4" s="3" t="s">
        <v>88</v>
      </c>
      <c r="W4" s="3" t="s">
        <v>89</v>
      </c>
      <c r="X4" s="3" t="s">
        <v>90</v>
      </c>
      <c r="Y4" s="3" t="s">
        <v>91</v>
      </c>
      <c r="Z4" s="3" t="s">
        <v>92</v>
      </c>
      <c r="AA4" s="3" t="s">
        <v>93</v>
      </c>
      <c r="AB4" s="3" t="s">
        <v>94</v>
      </c>
    </row>
    <row r="5">
      <c r="A5" s="15" t="s">
        <v>95</v>
      </c>
      <c r="B5" s="10">
        <f>'Donnees_USDA'!S720</f>
        <v>0.6606397774687065</v>
      </c>
      <c r="C5" s="10">
        <f>IF(('Donnees_USDA'!C414+'Donnees_USDA'!C516)&gt;0,'Donnees_USDA'!C312/('Donnees_USDA'!C414+'Donnees_USDA'!C516),"")</f>
        <v>0.05338967481168473</v>
      </c>
      <c r="D5" s="10">
        <f>IF(('Donnees_USDA'!D414+'Donnees_USDA'!D516)&gt;0,'Donnees_USDA'!D312/('Donnees_USDA'!D414+'Donnees_USDA'!D516),"")</f>
        <v>0.04487847918504853</v>
      </c>
      <c r="E5" s="10">
        <f>IF(('Donnees_USDA'!E414+'Donnees_USDA'!E516)&gt;0,'Donnees_USDA'!E312/('Donnees_USDA'!E414+'Donnees_USDA'!E516),"")</f>
        <v>0.17860941500886351</v>
      </c>
      <c r="F5" s="10">
        <f>IF(('Donnees_USDA'!F414+'Donnees_USDA'!F516)&gt;0,'Donnees_USDA'!F312/('Donnees_USDA'!F414+'Donnees_USDA'!F516),"")</f>
        <v>0.21977334608874824</v>
      </c>
      <c r="G5" s="10">
        <f>IF(('Donnees_USDA'!G414+'Donnees_USDA'!G516)&gt;0,'Donnees_USDA'!G312/('Donnees_USDA'!G414+'Donnees_USDA'!G516),"")</f>
        <v>0.16326566420437597</v>
      </c>
      <c r="H5" s="10">
        <f>IF(('Donnees_USDA'!H414+'Donnees_USDA'!H516)&gt;0,'Donnees_USDA'!H312/('Donnees_USDA'!H414+'Donnees_USDA'!H516),"")</f>
        <v>0.042058229015213305</v>
      </c>
      <c r="I5" s="10">
        <f>IF(('Donnees_USDA'!I414+'Donnees_USDA'!I516)&gt;0,'Donnees_USDA'!I312/('Donnees_USDA'!I414+'Donnees_USDA'!I516),"")</f>
        <v>0.06997404306657405</v>
      </c>
      <c r="J5" s="10">
        <f>IF(('Donnees_USDA'!J414+'Donnees_USDA'!J516)&gt;0,'Donnees_USDA'!J312/('Donnees_USDA'!J414+'Donnees_USDA'!J516),"")</f>
        <v>0.05891364375685592</v>
      </c>
      <c r="K5" s="10">
        <f>IF(('Donnees_USDA'!K414+'Donnees_USDA'!K516)&gt;0,'Donnees_USDA'!K312/('Donnees_USDA'!K414+'Donnees_USDA'!K516),"")</f>
        <v>0.07823476619317303</v>
      </c>
      <c r="L5" s="10">
        <f>IF(('Donnees_USDA'!L414+'Donnees_USDA'!L516)&gt;0,'Donnees_USDA'!L312/('Donnees_USDA'!L414+'Donnees_USDA'!L516),"")</f>
        <v>0.037517786561264824</v>
      </c>
      <c r="M5" s="10">
        <f>IF(('Donnees_USDA'!M414+'Donnees_USDA'!M516)&gt;0,'Donnees_USDA'!M312/('Donnees_USDA'!M414+'Donnees_USDA'!M516),"")</f>
        <v>0.06460157457140756</v>
      </c>
      <c r="N5" s="10">
        <f>IF(('Donnees_USDA'!N414+'Donnees_USDA'!N516)&gt;0,'Donnees_USDA'!N312/('Donnees_USDA'!N414+'Donnees_USDA'!N516),"")</f>
        <v>0.008706166868198308</v>
      </c>
      <c r="O5" s="10">
        <f>IF(('Donnees_USDA'!O414+'Donnees_USDA'!O516)&gt;0,'Donnees_USDA'!O312/('Donnees_USDA'!O414+'Donnees_USDA'!O516),"")</f>
        <v>0.07884631794521717</v>
      </c>
      <c r="P5" s="10">
        <f>IF(('Donnees_USDA'!P414+'Donnees_USDA'!P516)&gt;0,'Donnees_USDA'!P312/('Donnees_USDA'!P414+'Donnees_USDA'!P516),"")</f>
        <v>0.030256856769699608</v>
      </c>
      <c r="Q5" s="10">
        <f>IF(('Donnees_USDA'!Q414+'Donnees_USDA'!Q516)&gt;0,'Donnees_USDA'!Q312/('Donnees_USDA'!Q414+'Donnees_USDA'!Q516),"")</f>
        <v>0.014313549160671462</v>
      </c>
      <c r="R5" s="10">
        <f>IF(('Donnees_USDA'!R414+'Donnees_USDA'!R516)&gt;0,'Donnees_USDA'!R312/('Donnees_USDA'!R414+'Donnees_USDA'!R516),"")</f>
        <v>0.06475477971737323</v>
      </c>
      <c r="S5" s="10">
        <f>IF(('Donnees_USDA'!S414+'Donnees_USDA'!S516)&gt;0,'Donnees_USDA'!S312/('Donnees_USDA'!S414+'Donnees_USDA'!S516),"")</f>
        <v>0.06192275398824517</v>
      </c>
      <c r="T5" s="10">
        <f>AVERAGE(C5:S5)</f>
        <v>0.07470688511250674</v>
      </c>
      <c r="U5" s="10">
        <f>'Donnees_USDA'!S6/'Donnees_USDA'!S102</f>
        <v>0.3790854497619512</v>
      </c>
      <c r="V5" s="10">
        <f>'Donnees_USDA'!S516/'Donnees_USDA'!S612</f>
        <v>0.30886111006206174</v>
      </c>
      <c r="W5" s="10">
        <f>'Donnees_USDA'!S312/'Donnees_USDA'!S405</f>
        <v>0.5342267294458529</v>
      </c>
      <c r="X5" s="24">
        <f>IF('Donnees_USDA'!S516&gt;0,'Donnees_USDA'!S312/'Donnees_USDA'!S516*52,"")</f>
        <v>4.689219482372121</v>
      </c>
      <c r="Y5" s="10">
        <v>0.8254752055999274</v>
      </c>
      <c r="Z5" s="10">
        <v>0.755034488689438</v>
      </c>
      <c r="AA5" s="13">
        <v>-0.29653620413356274</v>
      </c>
      <c r="AB5" s="13">
        <v>-0.2592120525819405</v>
      </c>
    </row>
    <row r="6">
      <c r="A6" s="15" t="s">
        <v>96</v>
      </c>
      <c r="B6" s="10">
        <f>'Donnees_USDA'!S721</f>
        <v>0.033846153846153845</v>
      </c>
      <c r="C6" s="10">
        <f>IF(('Donnees_USDA'!C415+'Donnees_USDA'!C517)&gt;0,'Donnees_USDA'!C313/('Donnees_USDA'!C415+'Donnees_USDA'!C517),"")</f>
        <v>0.04004605296090504</v>
      </c>
      <c r="D6" s="10">
        <f>IF(('Donnees_USDA'!D415+'Donnees_USDA'!D517)&gt;0,'Donnees_USDA'!D313/('Donnees_USDA'!D415+'Donnees_USDA'!D517),"")</f>
        <v>0.041666666666666664</v>
      </c>
      <c r="E6" s="10">
        <f>IF(('Donnees_USDA'!E415+'Donnees_USDA'!E517)&gt;0,'Donnees_USDA'!E313/('Donnees_USDA'!E415+'Donnees_USDA'!E517),"")</f>
        <v>0.07352274444612363</v>
      </c>
      <c r="F6" s="10">
        <f>IF(('Donnees_USDA'!F415+'Donnees_USDA'!F517)&gt;0,'Donnees_USDA'!F313/('Donnees_USDA'!F415+'Donnees_USDA'!F517),"")</f>
        <v>0.07030399049410833</v>
      </c>
      <c r="G6" s="10">
        <f>IF(('Donnees_USDA'!G415+'Donnees_USDA'!G517)&gt;0,'Donnees_USDA'!G313/('Donnees_USDA'!G415+'Donnees_USDA'!G517),"")</f>
        <v>0.26639757820383453</v>
      </c>
      <c r="H6" s="10">
        <f>IF(('Donnees_USDA'!H415+'Donnees_USDA'!H517)&gt;0,'Donnees_USDA'!H313/('Donnees_USDA'!H415+'Donnees_USDA'!H517),"")</f>
        <v>0.13254456538886258</v>
      </c>
      <c r="I6" s="10">
        <f>IF(('Donnees_USDA'!I415+'Donnees_USDA'!I517)&gt;0,'Donnees_USDA'!I313/('Donnees_USDA'!I415+'Donnees_USDA'!I517),"")</f>
        <v>0.09175222450376455</v>
      </c>
      <c r="J6" s="10">
        <f>IF(('Donnees_USDA'!J415+'Donnees_USDA'!J517)&gt;0,'Donnees_USDA'!J313/('Donnees_USDA'!J415+'Donnees_USDA'!J517),"")</f>
        <v>0.007746972885594901</v>
      </c>
      <c r="K6" s="10">
        <f>IF(('Donnees_USDA'!K415+'Donnees_USDA'!K517)&gt;0,'Donnees_USDA'!K313/('Donnees_USDA'!K415+'Donnees_USDA'!K517),"")</f>
        <v>0.01778744641371809</v>
      </c>
      <c r="L6" s="10">
        <f>IF(('Donnees_USDA'!L415+'Donnees_USDA'!L517)&gt;0,'Donnees_USDA'!L313/('Donnees_USDA'!L415+'Donnees_USDA'!L517),"")</f>
        <v>0.0700059159929008</v>
      </c>
      <c r="M6" s="10">
        <f>IF(('Donnees_USDA'!M415+'Donnees_USDA'!M517)&gt;0,'Donnees_USDA'!M313/('Donnees_USDA'!M415+'Donnees_USDA'!M517),"")</f>
        <v>0.13062098501070663</v>
      </c>
      <c r="N6" s="10">
        <f>IF(('Donnees_USDA'!N415+'Donnees_USDA'!N517)&gt;0,'Donnees_USDA'!N313/('Donnees_USDA'!N415+'Donnees_USDA'!N517),"")</f>
        <v>0.111145606954362</v>
      </c>
      <c r="O6" s="10">
        <f>IF(('Donnees_USDA'!O415+'Donnees_USDA'!O517)&gt;0,'Donnees_USDA'!O313/('Donnees_USDA'!O415+'Donnees_USDA'!O517),"")</f>
        <v>0.026601141407736208</v>
      </c>
      <c r="P6" s="10">
        <f>IF(('Donnees_USDA'!P415+'Donnees_USDA'!P517)&gt;0,'Donnees_USDA'!P313/('Donnees_USDA'!P415+'Donnees_USDA'!P517),"")</f>
        <v>0.03141342756183746</v>
      </c>
      <c r="Q6" s="10">
        <f>IF(('Donnees_USDA'!Q415+'Donnees_USDA'!Q517)&gt;0,'Donnees_USDA'!Q313/('Donnees_USDA'!Q415+'Donnees_USDA'!Q517),"")</f>
        <v>0.0363</v>
      </c>
      <c r="R6" s="10">
        <f>IF(('Donnees_USDA'!R415+'Donnees_USDA'!R517)&gt;0,'Donnees_USDA'!R313/('Donnees_USDA'!R415+'Donnees_USDA'!R517),"")</f>
        <v>0.020628742514970058</v>
      </c>
      <c r="S6" s="10">
        <f>IF(('Donnees_USDA'!S415+'Donnees_USDA'!S517)&gt;0,'Donnees_USDA'!S313/('Donnees_USDA'!S415+'Donnees_USDA'!S517),"")</f>
        <v>0.014403534609720176</v>
      </c>
      <c r="T6" s="10">
        <f>AVERAGE(C6:S6)</f>
        <v>0.06958162329504775</v>
      </c>
      <c r="U6" s="10">
        <f>'Donnees_USDA'!S7/'Donnees_USDA'!S102</f>
        <v>0.1713529501705621</v>
      </c>
      <c r="V6" s="10">
        <f>'Donnees_USDA'!S517/'Donnees_USDA'!S612</f>
        <v>0.18221987235167492</v>
      </c>
      <c r="W6" s="10">
        <f>'Donnees_USDA'!S313/'Donnees_USDA'!S405</f>
        <v>0.05903658094893155</v>
      </c>
      <c r="X6" s="24">
        <f>IF('Donnees_USDA'!S517&gt;0,'Donnees_USDA'!S313/'Donnees_USDA'!S517*52,"")</f>
        <v>0.878341968911917</v>
      </c>
      <c r="Y6" s="10">
        <v>-0.02989113689608273</v>
      </c>
      <c r="Z6" s="10">
        <v>0.17882889200792343</v>
      </c>
      <c r="AA6" s="13">
        <v>-0.20225457761346186</v>
      </c>
      <c r="AB6" s="13">
        <v>-0.31546639091261114</v>
      </c>
    </row>
    <row r="7">
      <c r="A7" s="15" t="s">
        <v>97</v>
      </c>
      <c r="B7" s="10">
        <f>'Donnees_USDA'!S722</f>
        <v>1</v>
      </c>
      <c r="C7" s="10">
        <f>IF(('Donnees_USDA'!C416+'Donnees_USDA'!C518)&gt;0,'Donnees_USDA'!C314/('Donnees_USDA'!C416+'Donnees_USDA'!C518),"")</f>
        <v>0.010415570752235665</v>
      </c>
      <c r="D7" s="10">
        <f>IF(('Donnees_USDA'!D416+'Donnees_USDA'!D518)&gt;0,'Donnees_USDA'!D314/('Donnees_USDA'!D416+'Donnees_USDA'!D518),"")</f>
        <v>0.02888631090487239</v>
      </c>
      <c r="E7" s="10">
        <f>IF(('Donnees_USDA'!E416+'Donnees_USDA'!E518)&gt;0,'Donnees_USDA'!E314/('Donnees_USDA'!E416+'Donnees_USDA'!E518),"")</f>
        <v>0.07667826951765291</v>
      </c>
      <c r="F7" s="10">
        <f>IF(('Donnees_USDA'!F416+'Donnees_USDA'!F518)&gt;0,'Donnees_USDA'!F314/('Donnees_USDA'!F416+'Donnees_USDA'!F518),"")</f>
        <v>0.07787682333873581</v>
      </c>
      <c r="G7" s="10">
        <f>IF(('Donnees_USDA'!G416+'Donnees_USDA'!G518)&gt;0,'Donnees_USDA'!G314/('Donnees_USDA'!G416+'Donnees_USDA'!G518),"")</f>
        <v>0.048552821997105644</v>
      </c>
      <c r="H7" s="10">
        <f>IF(('Donnees_USDA'!H416+'Donnees_USDA'!H518)&gt;0,'Donnees_USDA'!H314/('Donnees_USDA'!H416+'Donnees_USDA'!H518),"")</f>
        <v>0.08192683810213691</v>
      </c>
      <c r="I7" s="10">
        <f>IF(('Donnees_USDA'!I416+'Donnees_USDA'!I518)&gt;0,'Donnees_USDA'!I314/('Donnees_USDA'!I416+'Donnees_USDA'!I518),"")</f>
        <v>0.0582703058204538</v>
      </c>
      <c r="J7" s="10">
        <f>IF(('Donnees_USDA'!J416+'Donnees_USDA'!J518)&gt;0,'Donnees_USDA'!J314/('Donnees_USDA'!J416+'Donnees_USDA'!J518),"")</f>
        <v>0.07728695652173913</v>
      </c>
      <c r="K7" s="10">
        <f>IF(('Donnees_USDA'!K416+'Donnees_USDA'!K518)&gt;0,'Donnees_USDA'!K314/('Donnees_USDA'!K416+'Donnees_USDA'!K518),"")</f>
        <v>0.03552123552123552</v>
      </c>
      <c r="L7" s="10">
        <f>IF(('Donnees_USDA'!L416+'Donnees_USDA'!L518)&gt;0,'Donnees_USDA'!L314/('Donnees_USDA'!L416+'Donnees_USDA'!L518),"")</f>
        <v>0.05764546684709066</v>
      </c>
      <c r="M7" s="10">
        <f>IF(('Donnees_USDA'!M416+'Donnees_USDA'!M518)&gt;0,'Donnees_USDA'!M314/('Donnees_USDA'!M416+'Donnees_USDA'!M518),"")</f>
        <v>0.08324907313784968</v>
      </c>
      <c r="N7" s="10">
        <f>IF(('Donnees_USDA'!N416+'Donnees_USDA'!N518)&gt;0,'Donnees_USDA'!N314/('Donnees_USDA'!N416+'Donnees_USDA'!N518),"")</f>
        <v>0.052377670572019294</v>
      </c>
      <c r="O7" s="10">
        <f>IF(('Donnees_USDA'!O416+'Donnees_USDA'!O518)&gt;0,'Donnees_USDA'!O314/('Donnees_USDA'!O416+'Donnees_USDA'!O518),"")</f>
        <v>0.06935736677115988</v>
      </c>
      <c r="P7" s="10">
        <f>IF(('Donnees_USDA'!P416+'Donnees_USDA'!P518)&gt;0,'Donnees_USDA'!P314/('Donnees_USDA'!P416+'Donnees_USDA'!P518),"")</f>
        <v>0.04773133261879243</v>
      </c>
      <c r="Q7" s="10">
        <f>IF(('Donnees_USDA'!Q416+'Donnees_USDA'!Q518)&gt;0,'Donnees_USDA'!Q314/('Donnees_USDA'!Q416+'Donnees_USDA'!Q518),"")</f>
        <v>0.05938425866288806</v>
      </c>
      <c r="R7" s="10">
        <f>IF(('Donnees_USDA'!R416+'Donnees_USDA'!R518)&gt;0,'Donnees_USDA'!R314/('Donnees_USDA'!R416+'Donnees_USDA'!R518),"")</f>
        <v>0.05769487008660893</v>
      </c>
      <c r="S7" s="10">
        <f>IF(('Donnees_USDA'!S416+'Donnees_USDA'!S518)&gt;0,'Donnees_USDA'!S314/('Donnees_USDA'!S416+'Donnees_USDA'!S518),"")</f>
        <v>0.04294871794871795</v>
      </c>
      <c r="T7" s="10">
        <f>AVERAGE(C7:S7)</f>
        <v>0.05681199347772321</v>
      </c>
      <c r="U7" s="10">
        <f>'Donnees_USDA'!S8/'Donnees_USDA'!S102</f>
        <v>0.07065013945493945</v>
      </c>
      <c r="V7" s="10">
        <f>'Donnees_USDA'!S518/'Donnees_USDA'!S612</f>
        <v>0.08434356785880635</v>
      </c>
      <c r="W7" s="10">
        <f>'Donnees_USDA'!S314/'Donnees_USDA'!S405</f>
        <v>0.08088856694434383</v>
      </c>
      <c r="X7" s="24">
        <f>IF('Donnees_USDA'!S518&gt;0,'Donnees_USDA'!S314/'Donnees_USDA'!S518*52,"")</f>
        <v>2.6</v>
      </c>
      <c r="Y7" s="10">
        <v>0.06694722246904732</v>
      </c>
      <c r="Z7" s="10">
        <v>0.012797501336781923</v>
      </c>
      <c r="AA7" s="13">
        <v>-0.32902990018159817</v>
      </c>
      <c r="AB7" s="13">
        <v>-0.15949983070928758</v>
      </c>
    </row>
    <row r="8">
      <c r="A8" s="14" t="s">
        <v>98</v>
      </c>
      <c r="B8" s="10">
        <f>'Donnees_USDA'!S723</f>
        <v>1</v>
      </c>
      <c r="C8" s="10">
        <f>IF(('Donnees_USDA'!C417+'Donnees_USDA'!C519)&gt;0,'Donnees_USDA'!C315/('Donnees_USDA'!C417+'Donnees_USDA'!C519),"")</f>
        <v>0.016406890894175553</v>
      </c>
      <c r="D8" s="10">
        <f>IF(('Donnees_USDA'!D417+'Donnees_USDA'!D519)&gt;0,'Donnees_USDA'!D315/('Donnees_USDA'!D417+'Donnees_USDA'!D519),"")</f>
        <v>0.03715670436187399</v>
      </c>
      <c r="E8" s="10">
        <f>IF(('Donnees_USDA'!E417+'Donnees_USDA'!E519)&gt;0,'Donnees_USDA'!E315/('Donnees_USDA'!E417+'Donnees_USDA'!E519),"")</f>
        <v>0.015082956259426848</v>
      </c>
      <c r="F8" s="10">
        <f>IF(('Donnees_USDA'!F417+'Donnees_USDA'!F519)&gt;0,'Donnees_USDA'!F315/('Donnees_USDA'!F417+'Donnees_USDA'!F519),"")</f>
        <v>0.00624512099921936</v>
      </c>
      <c r="G8" s="10">
        <f>IF(('Donnees_USDA'!G417+'Donnees_USDA'!G519)&gt;0,'Donnees_USDA'!G315/('Donnees_USDA'!G417+'Donnees_USDA'!G519),"")</f>
        <v>0.004626060138781804</v>
      </c>
      <c r="H8" s="10">
        <f>IF(('Donnees_USDA'!H417+'Donnees_USDA'!H519)&gt;0,'Donnees_USDA'!H315/('Donnees_USDA'!H417+'Donnees_USDA'!H519),"")</f>
        <v>0.003837298541826554</v>
      </c>
      <c r="I8" s="10">
        <f>IF(('Donnees_USDA'!I417+'Donnees_USDA'!I519)&gt;0,'Donnees_USDA'!I315/('Donnees_USDA'!I417+'Donnees_USDA'!I519),"")</f>
        <v>0.002157342154465698</v>
      </c>
      <c r="J8" s="10">
        <f>IF(('Donnees_USDA'!J417+'Donnees_USDA'!J519)&gt;0,'Donnees_USDA'!J315/('Donnees_USDA'!J417+'Donnees_USDA'!J519),"")</f>
        <v>0.003833593639074258</v>
      </c>
      <c r="K8" s="10">
        <f>IF(('Donnees_USDA'!K417+'Donnees_USDA'!K519)&gt;0,'Donnees_USDA'!K315/('Donnees_USDA'!K417+'Donnees_USDA'!K519),"")</f>
        <v>0.0013574046423238768</v>
      </c>
      <c r="L8" s="10">
        <f>IF(('Donnees_USDA'!L417+'Donnees_USDA'!L519)&gt;0,'Donnees_USDA'!L315/('Donnees_USDA'!L417+'Donnees_USDA'!L519),"")</f>
        <v>0.0288659793814433</v>
      </c>
      <c r="M8" s="10">
        <f>IF(('Donnees_USDA'!M417+'Donnees_USDA'!M519)&gt;0,'Donnees_USDA'!M315/('Donnees_USDA'!M417+'Donnees_USDA'!M519),"")</f>
        <v>0.01758957654723127</v>
      </c>
      <c r="N8" s="10">
        <f>IF(('Donnees_USDA'!N417+'Donnees_USDA'!N519)&gt;0,'Donnees_USDA'!N315/('Donnees_USDA'!N417+'Donnees_USDA'!N519),"")</f>
        <v>0.010982306284319707</v>
      </c>
      <c r="O8" s="10">
        <f>IF(('Donnees_USDA'!O417+'Donnees_USDA'!O519)&gt;0,'Donnees_USDA'!O315/('Donnees_USDA'!O417+'Donnees_USDA'!O519),"")</f>
        <v>0.006811989100817439</v>
      </c>
      <c r="P8" s="10">
        <f>IF(('Donnees_USDA'!P417+'Donnees_USDA'!P519)&gt;0,'Donnees_USDA'!P315/('Donnees_USDA'!P417+'Donnees_USDA'!P519),"")</f>
        <v>0.00547645125958379</v>
      </c>
      <c r="Q8" s="10">
        <f>IF(('Donnees_USDA'!Q417+'Donnees_USDA'!Q519)&gt;0,'Donnees_USDA'!Q315/('Donnees_USDA'!Q417+'Donnees_USDA'!Q519),"")</f>
        <v>0.00699912510936133</v>
      </c>
      <c r="R8" s="10">
        <f>IF(('Donnees_USDA'!R417+'Donnees_USDA'!R519)&gt;0,'Donnees_USDA'!R315/('Donnees_USDA'!R417+'Donnees_USDA'!R519),"")</f>
        <v>0.015263846489315308</v>
      </c>
      <c r="S8" s="10">
        <f>IF(('Donnees_USDA'!S417+'Donnees_USDA'!S519)&gt;0,'Donnees_USDA'!S315/('Donnees_USDA'!S417+'Donnees_USDA'!S519),"")</f>
        <v>0.011953833470733718</v>
      </c>
      <c r="T8" s="10">
        <f>AVERAGE(C8:S8)</f>
        <v>0.01144979289846905</v>
      </c>
      <c r="U8" s="10">
        <f>'Donnees_USDA'!S9/'Donnees_USDA'!S102</f>
        <v>0.06379602144811697</v>
      </c>
      <c r="V8" s="10">
        <f>'Donnees_USDA'!S519/'Donnees_USDA'!S612</f>
        <v>0.04487833125621562</v>
      </c>
      <c r="W8" s="10">
        <f>'Donnees_USDA'!S315/'Donnees_USDA'!S405</f>
        <v>0.01750573463720874</v>
      </c>
      <c r="X8" s="24">
        <f>IF('Donnees_USDA'!S519&gt;0,'Donnees_USDA'!S315/'Donnees_USDA'!S519*52,"")</f>
        <v>1.0575035063113605</v>
      </c>
      <c r="Y8" s="10">
        <v>0.02174707883243088</v>
      </c>
      <c r="Z8" s="10">
        <v>-0.005050329653427561</v>
      </c>
      <c r="AA8" s="13">
        <v>0.1349013365782993</v>
      </c>
      <c r="AB8" s="13">
        <v>-0.1440775332598647</v>
      </c>
    </row>
    <row r="9">
      <c r="A9" s="15" t="s">
        <v>99</v>
      </c>
      <c r="B9" s="10">
        <f>'Donnees_USDA'!S724</f>
        <v>0.12126537785588752</v>
      </c>
      <c r="C9" s="10">
        <f>IF(('Donnees_USDA'!C418+'Donnees_USDA'!C520)&gt;0,'Donnees_USDA'!C316/('Donnees_USDA'!C418+'Donnees_USDA'!C520),"")</f>
        <v>0.007293497363796133</v>
      </c>
      <c r="D9" s="10">
        <f>IF(('Donnees_USDA'!D418+'Donnees_USDA'!D520)&gt;0,'Donnees_USDA'!D316/('Donnees_USDA'!D418+'Donnees_USDA'!D520),"")</f>
        <v>0.009492988133764833</v>
      </c>
      <c r="E9" s="10">
        <f>IF(('Donnees_USDA'!E418+'Donnees_USDA'!E520)&gt;0,'Donnees_USDA'!E316/('Donnees_USDA'!E418+'Donnees_USDA'!E520),"")</f>
        <v>0.007458143074581431</v>
      </c>
      <c r="F9" s="10">
        <f>IF(('Donnees_USDA'!F418+'Donnees_USDA'!F520)&gt;0,'Donnees_USDA'!F316/('Donnees_USDA'!F418+'Donnees_USDA'!F520),"")</f>
        <v>0.0037151702786377707</v>
      </c>
      <c r="G9" s="10">
        <f>IF(('Donnees_USDA'!G418+'Donnees_USDA'!G520)&gt;0,'Donnees_USDA'!G316/('Donnees_USDA'!G418+'Donnees_USDA'!G520),"")</f>
        <v>0.004561101549053356</v>
      </c>
      <c r="H9" s="10">
        <f>IF(('Donnees_USDA'!H418+'Donnees_USDA'!H520)&gt;0,'Donnees_USDA'!H316/('Donnees_USDA'!H418+'Donnees_USDA'!H520),"")</f>
        <v>0.003519241068013159</v>
      </c>
      <c r="I9" s="10">
        <f>IF(('Donnees_USDA'!I418+'Donnees_USDA'!I520)&gt;0,'Donnees_USDA'!I316/('Donnees_USDA'!I418+'Donnees_USDA'!I520),"")</f>
        <v>0.0010547596027072163</v>
      </c>
      <c r="J9" s="10">
        <f>IF(('Donnees_USDA'!J418+'Donnees_USDA'!J520)&gt;0,'Donnees_USDA'!J316/('Donnees_USDA'!J418+'Donnees_USDA'!J520),"")</f>
        <v>0.05125324114088159</v>
      </c>
      <c r="K9" s="10">
        <f>IF(('Donnees_USDA'!K418+'Donnees_USDA'!K520)&gt;0,'Donnees_USDA'!K316/('Donnees_USDA'!K418+'Donnees_USDA'!K520),"")</f>
        <v>0.23148325358851674</v>
      </c>
      <c r="L9" s="10">
        <f>IF(('Donnees_USDA'!L418+'Donnees_USDA'!L520)&gt;0,'Donnees_USDA'!L316/('Donnees_USDA'!L418+'Donnees_USDA'!L520),"")</f>
        <v>0.1906737470959177</v>
      </c>
      <c r="M9" s="10">
        <f>IF(('Donnees_USDA'!M418+'Donnees_USDA'!M520)&gt;0,'Donnees_USDA'!M316/('Donnees_USDA'!M418+'Donnees_USDA'!M520),"")</f>
        <v>0.13544879078071742</v>
      </c>
      <c r="N9" s="10">
        <f>IF(('Donnees_USDA'!N418+'Donnees_USDA'!N520)&gt;0,'Donnees_USDA'!N316/('Donnees_USDA'!N418+'Donnees_USDA'!N520),"")</f>
        <v>0.08671374609952373</v>
      </c>
      <c r="O9" s="10">
        <f>IF(('Donnees_USDA'!O418+'Donnees_USDA'!O520)&gt;0,'Donnees_USDA'!O316/('Donnees_USDA'!O418+'Donnees_USDA'!O520),"")</f>
        <v>0.039673093707847336</v>
      </c>
      <c r="P9" s="10">
        <f>IF(('Donnees_USDA'!P418+'Donnees_USDA'!P520)&gt;0,'Donnees_USDA'!P316/('Donnees_USDA'!P418+'Donnees_USDA'!P520),"")</f>
        <v>0.04738400789733465</v>
      </c>
      <c r="Q9" s="10">
        <f>IF(('Donnees_USDA'!Q418+'Donnees_USDA'!Q520)&gt;0,'Donnees_USDA'!Q316/('Donnees_USDA'!Q418+'Donnees_USDA'!Q520),"")</f>
        <v>0.05115973021878598</v>
      </c>
      <c r="R9" s="10">
        <f>IF(('Donnees_USDA'!R418+'Donnees_USDA'!R520)&gt;0,'Donnees_USDA'!R316/('Donnees_USDA'!R418+'Donnees_USDA'!R520),"")</f>
        <v>0.05501025490770583</v>
      </c>
      <c r="S9" s="10">
        <f>IF(('Donnees_USDA'!S418+'Donnees_USDA'!S520)&gt;0,'Donnees_USDA'!S316/('Donnees_USDA'!S418+'Donnees_USDA'!S520),"")</f>
        <v>0.05209627329192547</v>
      </c>
      <c r="T9" s="10">
        <f>AVERAGE(C9:S9)</f>
        <v>0.05752888469410061</v>
      </c>
      <c r="U9" s="10">
        <f>'Donnees_USDA'!S10/'Donnees_USDA'!S102</f>
        <v>0.05999989455203066</v>
      </c>
      <c r="V9" s="10">
        <f>'Donnees_USDA'!S520/'Donnees_USDA'!S612</f>
        <v>0.05066908367637247</v>
      </c>
      <c r="W9" s="10">
        <f>'Donnees_USDA'!S316/'Donnees_USDA'!S405</f>
        <v>0.08100929614873838</v>
      </c>
      <c r="X9" s="24">
        <f>IF('Donnees_USDA'!S520&gt;0,'Donnees_USDA'!S316/'Donnees_USDA'!S520*52,"")</f>
        <v>4.334409937888199</v>
      </c>
      <c r="Y9" s="10">
        <v>0.04465182512634607</v>
      </c>
      <c r="Z9" s="10">
        <v>0.0202820585712564</v>
      </c>
      <c r="AA9" s="13">
        <v>-0.36876234272495895</v>
      </c>
      <c r="AB9" s="13">
        <v>-0.3488393001438588</v>
      </c>
    </row>
    <row r="10">
      <c r="A10" s="14" t="s">
        <v>100</v>
      </c>
      <c r="B10" s="10">
        <f>'Donnees_USDA'!S725</f>
        <v>0.1585195530726257</v>
      </c>
      <c r="C10" s="10">
        <f>IF(('Donnees_USDA'!C419+'Donnees_USDA'!C521)&gt;0,'Donnees_USDA'!C317/('Donnees_USDA'!C419+'Donnees_USDA'!C521),"")</f>
        <v>0.18575757575757576</v>
      </c>
      <c r="D10" s="10">
        <f>IF(('Donnees_USDA'!D419+'Donnees_USDA'!D521)&gt;0,'Donnees_USDA'!D317/('Donnees_USDA'!D419+'Donnees_USDA'!D521),"")</f>
        <v>0.1707936507936508</v>
      </c>
      <c r="E10" s="10">
        <f>IF(('Donnees_USDA'!E419+'Donnees_USDA'!E521)&gt;0,'Donnees_USDA'!E317/('Donnees_USDA'!E419+'Donnees_USDA'!E521),"")</f>
        <v>0.096158940397351</v>
      </c>
      <c r="F10" s="10">
        <f>IF(('Donnees_USDA'!F419+'Donnees_USDA'!F521)&gt;0,'Donnees_USDA'!F317/('Donnees_USDA'!F419+'Donnees_USDA'!F521),"")</f>
        <v>0.10287958115183246</v>
      </c>
      <c r="G10" s="10">
        <f>IF(('Donnees_USDA'!G419+'Donnees_USDA'!G521)&gt;0,'Donnees_USDA'!G317/('Donnees_USDA'!G419+'Donnees_USDA'!G521),"")</f>
        <v>0.08743016759776537</v>
      </c>
      <c r="H10" s="10">
        <f>IF(('Donnees_USDA'!H419+'Donnees_USDA'!H521)&gt;0,'Donnees_USDA'!H317/('Donnees_USDA'!H419+'Donnees_USDA'!H521),"")</f>
        <v>0.08816901408450704</v>
      </c>
      <c r="I10" s="10">
        <f>IF(('Donnees_USDA'!I419+'Donnees_USDA'!I521)&gt;0,'Donnees_USDA'!I317/('Donnees_USDA'!I419+'Donnees_USDA'!I521),"")</f>
        <v>0.06969072164948453</v>
      </c>
      <c r="J10" s="10">
        <f>IF(('Donnees_USDA'!J419+'Donnees_USDA'!J521)&gt;0,'Donnees_USDA'!J317/('Donnees_USDA'!J419+'Donnees_USDA'!J521),"")</f>
        <v>0.08527472527472528</v>
      </c>
      <c r="K10" s="10">
        <f>IF(('Donnees_USDA'!K419+'Donnees_USDA'!K521)&gt;0,'Donnees_USDA'!K317/('Donnees_USDA'!K419+'Donnees_USDA'!K521),"")</f>
        <v>0.07191489361702127</v>
      </c>
      <c r="L10" s="10">
        <f>IF(('Donnees_USDA'!L419+'Donnees_USDA'!L521)&gt;0,'Donnees_USDA'!L317/('Donnees_USDA'!L419+'Donnees_USDA'!L521),"")</f>
        <v>0.06660550458715596</v>
      </c>
      <c r="M10" s="10">
        <f>IF(('Donnees_USDA'!M419+'Donnees_USDA'!M521)&gt;0,'Donnees_USDA'!M317/('Donnees_USDA'!M419+'Donnees_USDA'!M521),"")</f>
        <v>0.057302691260961595</v>
      </c>
      <c r="N10" s="10">
        <f>IF(('Donnees_USDA'!N419+'Donnees_USDA'!N521)&gt;0,'Donnees_USDA'!N317/('Donnees_USDA'!N419+'Donnees_USDA'!N521),"")</f>
        <v>0.07598326359832636</v>
      </c>
      <c r="O10" s="10">
        <f>IF(('Donnees_USDA'!O419+'Donnees_USDA'!O521)&gt;0,'Donnees_USDA'!O317/('Donnees_USDA'!O419+'Donnees_USDA'!O521),"")</f>
        <v>0.0716030534351145</v>
      </c>
      <c r="P10" s="10">
        <f>IF(('Donnees_USDA'!P419+'Donnees_USDA'!P521)&gt;0,'Donnees_USDA'!P317/('Donnees_USDA'!P419+'Donnees_USDA'!P521),"")</f>
        <v>0.036830188679245285</v>
      </c>
      <c r="Q10" s="10">
        <f>IF(('Donnees_USDA'!Q419+'Donnees_USDA'!Q521)&gt;0,'Donnees_USDA'!Q317/('Donnees_USDA'!Q419+'Donnees_USDA'!Q521),"")</f>
        <v>0.0402996254681648</v>
      </c>
      <c r="R10" s="10">
        <f>IF(('Donnees_USDA'!R419+'Donnees_USDA'!R521)&gt;0,'Donnees_USDA'!R317/('Donnees_USDA'!R419+'Donnees_USDA'!R521),"")</f>
        <v>0.04751066856330014</v>
      </c>
      <c r="S10" s="10">
        <f>IF(('Donnees_USDA'!S419+'Donnees_USDA'!S521)&gt;0,'Donnees_USDA'!S317/('Donnees_USDA'!S419+'Donnees_USDA'!S521),"")</f>
        <v>0.04591765526866713</v>
      </c>
      <c r="T10" s="10">
        <f>AVERAGE(C10:S10)</f>
        <v>0.08236011301087348</v>
      </c>
      <c r="U10" s="10">
        <f>'Donnees_USDA'!S11/'Donnees_USDA'!S102</f>
        <v>0.03775037302219152</v>
      </c>
      <c r="V10" s="10">
        <f>'Donnees_USDA'!S521/'Donnees_USDA'!S612</f>
        <v>0.04299004242355577</v>
      </c>
      <c r="W10" s="10">
        <f>'Donnees_USDA'!S317/'Donnees_USDA'!S405</f>
        <v>0.03971990824580466</v>
      </c>
      <c r="X10" s="24">
        <f>IF('Donnees_USDA'!S521&gt;0,'Donnees_USDA'!S317/'Donnees_USDA'!S521*52,"")</f>
        <v>2.5048316251830163</v>
      </c>
      <c r="Y10" s="10">
        <v>0.02599417304628042</v>
      </c>
      <c r="Z10" s="10">
        <v>-0.005126759434781135</v>
      </c>
      <c r="AA10" s="13">
        <v>0.02053682789697721</v>
      </c>
      <c r="AB10" s="13">
        <v>-0.2942016214875881</v>
      </c>
    </row>
    <row r="11">
      <c r="A11" s="14" t="s">
        <v>101</v>
      </c>
      <c r="B11" s="10">
        <f>'Donnees_USDA'!S726</f>
        <v>0.254071661237785</v>
      </c>
      <c r="C11" s="10">
        <f>IF(('Donnees_USDA'!C420+'Donnees_USDA'!C522)&gt;0,'Donnees_USDA'!C318/('Donnees_USDA'!C420+'Donnees_USDA'!C522),"")</f>
        <v>0.2582270975392825</v>
      </c>
      <c r="D11" s="10">
        <f>IF(('Donnees_USDA'!D420+'Donnees_USDA'!D522)&gt;0,'Donnees_USDA'!D318/('Donnees_USDA'!D420+'Donnees_USDA'!D522),"")</f>
        <v>0.2304803630104835</v>
      </c>
      <c r="E11" s="10">
        <f>IF(('Donnees_USDA'!E420+'Donnees_USDA'!E522)&gt;0,'Donnees_USDA'!E318/('Donnees_USDA'!E420+'Donnees_USDA'!E522),"")</f>
        <v>0.33266196710305473</v>
      </c>
      <c r="F11" s="10">
        <f>IF(('Donnees_USDA'!F420+'Donnees_USDA'!F522)&gt;0,'Donnees_USDA'!F318/('Donnees_USDA'!F420+'Donnees_USDA'!F522),"")</f>
        <v>0.3276726508167556</v>
      </c>
      <c r="G11" s="10">
        <f>IF(('Donnees_USDA'!G420+'Donnees_USDA'!G522)&gt;0,'Donnees_USDA'!G318/('Donnees_USDA'!G420+'Donnees_USDA'!G522),"")</f>
        <v>0.42497945768282663</v>
      </c>
      <c r="H11" s="10">
        <f>IF(('Donnees_USDA'!H420+'Donnees_USDA'!H522)&gt;0,'Donnees_USDA'!H318/('Donnees_USDA'!H420+'Donnees_USDA'!H522),"")</f>
        <v>0.38095923952182054</v>
      </c>
      <c r="I11" s="10">
        <f>IF(('Donnees_USDA'!I420+'Donnees_USDA'!I522)&gt;0,'Donnees_USDA'!I318/('Donnees_USDA'!I420+'Donnees_USDA'!I522),"")</f>
        <v>0.2545528676270726</v>
      </c>
      <c r="J11" s="10">
        <f>IF(('Donnees_USDA'!J420+'Donnees_USDA'!J522)&gt;0,'Donnees_USDA'!J318/('Donnees_USDA'!J420+'Donnees_USDA'!J522),"")</f>
        <v>0.16949612929512428</v>
      </c>
      <c r="K11" s="10">
        <f>IF(('Donnees_USDA'!K420+'Donnees_USDA'!K522)&gt;0,'Donnees_USDA'!K318/('Donnees_USDA'!K420+'Donnees_USDA'!K522),"")</f>
        <v>0.13247011952191234</v>
      </c>
      <c r="L11" s="10">
        <f>IF(('Donnees_USDA'!L420+'Donnees_USDA'!L522)&gt;0,'Donnees_USDA'!L318/('Donnees_USDA'!L420+'Donnees_USDA'!L522),"")</f>
        <v>0.15310778914240755</v>
      </c>
      <c r="M11" s="10">
        <f>IF(('Donnees_USDA'!M420+'Donnees_USDA'!M522)&gt;0,'Donnees_USDA'!M318/('Donnees_USDA'!M420+'Donnees_USDA'!M522),"")</f>
        <v>0.13062804703183253</v>
      </c>
      <c r="N11" s="10">
        <f>IF(('Donnees_USDA'!N420+'Donnees_USDA'!N522)&gt;0,'Donnees_USDA'!N318/('Donnees_USDA'!N420+'Donnees_USDA'!N522),"")</f>
        <v>0.020656584286241238</v>
      </c>
      <c r="O11" s="10">
        <f>IF(('Donnees_USDA'!O420+'Donnees_USDA'!O522)&gt;0,'Donnees_USDA'!O318/('Donnees_USDA'!O420+'Donnees_USDA'!O522),"")</f>
        <v>0.06489071038251366</v>
      </c>
      <c r="P11" s="10">
        <f>IF(('Donnees_USDA'!P420+'Donnees_USDA'!P522)&gt;0,'Donnees_USDA'!P318/('Donnees_USDA'!P420+'Donnees_USDA'!P522),"")</f>
        <v>0.029671407552721924</v>
      </c>
      <c r="Q11" s="10">
        <f>IF(('Donnees_USDA'!Q420+'Donnees_USDA'!Q522)&gt;0,'Donnees_USDA'!Q318/('Donnees_USDA'!Q420+'Donnees_USDA'!Q522),"")</f>
        <v>0.04415584415584416</v>
      </c>
      <c r="R11" s="10">
        <f>IF(('Donnees_USDA'!R420+'Donnees_USDA'!R522)&gt;0,'Donnees_USDA'!R318/('Donnees_USDA'!R420+'Donnees_USDA'!R522),"")</f>
        <v>0.06380739376397843</v>
      </c>
      <c r="S11" s="10">
        <f>IF(('Donnees_USDA'!S420+'Donnees_USDA'!S522)&gt;0,'Donnees_USDA'!S318/('Donnees_USDA'!S420+'Donnees_USDA'!S522),"")</f>
        <v>0.02769585844339018</v>
      </c>
      <c r="T11" s="10">
        <f>AVERAGE(C11:S11)</f>
        <v>0.179183148639839</v>
      </c>
      <c r="U11" s="10">
        <f>'Donnees_USDA'!S12/'Donnees_USDA'!S102</f>
        <v>0.03237252658606927</v>
      </c>
      <c r="V11" s="10">
        <f>'Donnees_USDA'!S522/'Donnees_USDA'!S612</f>
        <v>0.03914422750103856</v>
      </c>
      <c r="W11" s="10">
        <f>'Donnees_USDA'!S318/'Donnees_USDA'!S405</f>
        <v>0.026077508149221298</v>
      </c>
      <c r="X11" s="24">
        <f>IF('Donnees_USDA'!S522&gt;0,'Donnees_USDA'!S318/'Donnees_USDA'!S522*52,"")</f>
        <v>1.8060781476121563</v>
      </c>
      <c r="Y11" s="10">
        <v>-0.007845156452034605</v>
      </c>
      <c r="Z11" s="10">
        <v>0.05198483236094063</v>
      </c>
      <c r="AA11" s="13">
        <v>-0.407350465325284</v>
      </c>
      <c r="AB11" s="13">
        <v>-0.4731209356393076</v>
      </c>
    </row>
    <row r="12">
      <c r="A12" s="14" t="s">
        <v>102</v>
      </c>
      <c r="B12" s="10">
        <f>'Donnees_USDA'!S727</f>
        <v>1</v>
      </c>
      <c r="C12" s="10">
        <f>IF(('Donnees_USDA'!C421+'Donnees_USDA'!C523)&gt;0,'Donnees_USDA'!C319/('Donnees_USDA'!C421+'Donnees_USDA'!C523),"")</f>
        <v>0.00716674629718108</v>
      </c>
      <c r="D12" s="10">
        <f>IF(('Donnees_USDA'!D421+'Donnees_USDA'!D523)&gt;0,'Donnees_USDA'!D319/('Donnees_USDA'!D421+'Donnees_USDA'!D523),"")</f>
        <v>0.016201620162016202</v>
      </c>
      <c r="E12" s="10">
        <f>IF(('Donnees_USDA'!E421+'Donnees_USDA'!E523)&gt;0,'Donnees_USDA'!E319/('Donnees_USDA'!E421+'Donnees_USDA'!E523),"")</f>
        <v>0.029850746268656716</v>
      </c>
      <c r="F12" s="10">
        <f>IF(('Donnees_USDA'!F421+'Donnees_USDA'!F523)&gt;0,'Donnees_USDA'!F319/('Donnees_USDA'!F421+'Donnees_USDA'!F523),"")</f>
        <v>0.07050528789659224</v>
      </c>
      <c r="G12" s="10">
        <f>IF(('Donnees_USDA'!G421+'Donnees_USDA'!G523)&gt;0,'Donnees_USDA'!G319/('Donnees_USDA'!G421+'Donnees_USDA'!G523),"")</f>
        <v>0.06692913385826772</v>
      </c>
      <c r="H12" s="10">
        <f>IF(('Donnees_USDA'!H421+'Donnees_USDA'!H523)&gt;0,'Donnees_USDA'!H319/('Donnees_USDA'!H421+'Donnees_USDA'!H523),"")</f>
        <v>0.05893358278765201</v>
      </c>
      <c r="I12" s="10">
        <f>IF(('Donnees_USDA'!I421+'Donnees_USDA'!I523)&gt;0,'Donnees_USDA'!I319/('Donnees_USDA'!I421+'Donnees_USDA'!I523),"")</f>
        <v>0.039735099337748346</v>
      </c>
      <c r="J12" s="10">
        <f>IF(('Donnees_USDA'!J421+'Donnees_USDA'!J523)&gt;0,'Donnees_USDA'!J319/('Donnees_USDA'!J421+'Donnees_USDA'!J523),"")</f>
        <v>0.04276315789473684</v>
      </c>
      <c r="K12" s="10">
        <f>IF(('Donnees_USDA'!K421+'Donnees_USDA'!K523)&gt;0,'Donnees_USDA'!K319/('Donnees_USDA'!K421+'Donnees_USDA'!K523),"")</f>
        <v>0.0222680412371134</v>
      </c>
      <c r="L12" s="10">
        <f>IF(('Donnees_USDA'!L421+'Donnees_USDA'!L523)&gt;0,'Donnees_USDA'!L319/('Donnees_USDA'!L421+'Donnees_USDA'!L523),"")</f>
        <v>0.023547284466388152</v>
      </c>
      <c r="M12" s="10">
        <f>IF(('Donnees_USDA'!M421+'Donnees_USDA'!M523)&gt;0,'Donnees_USDA'!M319/('Donnees_USDA'!M421+'Donnees_USDA'!M523),"")</f>
        <v>0.04216961906254899</v>
      </c>
      <c r="N12" s="10">
        <f>IF(('Donnees_USDA'!N421+'Donnees_USDA'!N523)&gt;0,'Donnees_USDA'!N319/('Donnees_USDA'!N421+'Donnees_USDA'!N523),"")</f>
        <v>0.013338642245669918</v>
      </c>
      <c r="O12" s="10">
        <f>IF(('Donnees_USDA'!O421+'Donnees_USDA'!O523)&gt;0,'Donnees_USDA'!O319/('Donnees_USDA'!O421+'Donnees_USDA'!O523),"")</f>
        <v>0.01972872996300863</v>
      </c>
      <c r="P12" s="10">
        <f>IF(('Donnees_USDA'!P421+'Donnees_USDA'!P523)&gt;0,'Donnees_USDA'!P319/('Donnees_USDA'!P421+'Donnees_USDA'!P523),"")</f>
        <v>0.028272044286279163</v>
      </c>
      <c r="Q12" s="10">
        <f>IF(('Donnees_USDA'!Q421+'Donnees_USDA'!Q523)&gt;0,'Donnees_USDA'!Q319/('Donnees_USDA'!Q421+'Donnees_USDA'!Q523),"")</f>
        <v>0.033616619452313506</v>
      </c>
      <c r="R12" s="10">
        <f>IF(('Donnees_USDA'!R421+'Donnees_USDA'!R523)&gt;0,'Donnees_USDA'!R319/('Donnees_USDA'!R421+'Donnees_USDA'!R523),"")</f>
        <v>0.08040665434380777</v>
      </c>
      <c r="S12" s="10">
        <f>IF(('Donnees_USDA'!S421+'Donnees_USDA'!S523)&gt;0,'Donnees_USDA'!S319/('Donnees_USDA'!S421+'Donnees_USDA'!S523),"")</f>
        <v>0.11946603582291315</v>
      </c>
      <c r="T12" s="10">
        <f>AVERAGE(C12:S12)</f>
        <v>0.04205288502252317</v>
      </c>
      <c r="U12" s="10">
        <f>'Donnees_USDA'!S13/'Donnees_USDA'!S102</f>
        <v>0.03179256275472275</v>
      </c>
      <c r="V12" s="10">
        <f>'Donnees_USDA'!S523/'Donnees_USDA'!S612</f>
        <v>0.0346375114870904</v>
      </c>
      <c r="W12" s="10">
        <f>'Donnees_USDA'!S319/'Donnees_USDA'!S405</f>
        <v>0.08535554750694192</v>
      </c>
      <c r="X12" s="24">
        <f>IF('Donnees_USDA'!S523&gt;0,'Donnees_USDA'!S319/'Donnees_USDA'!S523*52,"")</f>
        <v>6.680719607486825</v>
      </c>
      <c r="Y12" s="10">
        <v>0.04616588361011071</v>
      </c>
      <c r="Z12" s="10">
        <v>0.013481169417969526</v>
      </c>
      <c r="AA12" s="13">
        <v>0.013933494817144851</v>
      </c>
      <c r="AB12" s="13">
        <v>0.1094904280683619</v>
      </c>
    </row>
    <row r="13">
      <c r="A13" s="14" t="s">
        <v>103</v>
      </c>
      <c r="B13" s="10">
        <f>'Donnees_USDA'!S728</f>
        <v>1</v>
      </c>
      <c r="C13" s="10">
        <f>IF(('Donnees_USDA'!C422+'Donnees_USDA'!C524)&gt;0,'Donnees_USDA'!C320/('Donnees_USDA'!C422+'Donnees_USDA'!C524),"")</f>
        <v>0.030617283950617285</v>
      </c>
      <c r="D13" s="10">
        <f>IF(('Donnees_USDA'!D422+'Donnees_USDA'!D524)&gt;0,'Donnees_USDA'!D320/('Donnees_USDA'!D422+'Donnees_USDA'!D524),"")</f>
        <v>0.0026365348399246705</v>
      </c>
      <c r="E13" s="10">
        <f>IF(('Donnees_USDA'!E422+'Donnees_USDA'!E524)&gt;0,'Donnees_USDA'!E320/('Donnees_USDA'!E422+'Donnees_USDA'!E524),"")</f>
        <v>0.010304449648711944</v>
      </c>
      <c r="F13" s="10">
        <f>IF(('Donnees_USDA'!F422+'Donnees_USDA'!F524)&gt;0,'Donnees_USDA'!F320/('Donnees_USDA'!F422+'Donnees_USDA'!F524),"")</f>
        <v>0.005620608899297424</v>
      </c>
      <c r="G13" s="10">
        <f>IF(('Donnees_USDA'!G422+'Donnees_USDA'!G524)&gt;0,'Donnees_USDA'!G320/('Donnees_USDA'!G422+'Donnees_USDA'!G524),"")</f>
        <v>0.0013698630136986301</v>
      </c>
      <c r="H13" s="10">
        <f>IF(('Donnees_USDA'!H422+'Donnees_USDA'!H524)&gt;0,'Donnees_USDA'!H320/('Donnees_USDA'!H422+'Donnees_USDA'!H524),"")</f>
        <v>0.012716763005780347</v>
      </c>
      <c r="I13" s="10">
        <f>IF(('Donnees_USDA'!I422+'Donnees_USDA'!I524)&gt;0,'Donnees_USDA'!I320/('Donnees_USDA'!I422+'Donnees_USDA'!I524),"")</f>
        <v>0.0178826895565093</v>
      </c>
      <c r="J13" s="10">
        <f>IF(('Donnees_USDA'!J422+'Donnees_USDA'!J524)&gt;0,'Donnees_USDA'!J320/('Donnees_USDA'!J422+'Donnees_USDA'!J524),"")</f>
        <v>0.019473081328751432</v>
      </c>
      <c r="K13" s="10">
        <f>IF(('Donnees_USDA'!K422+'Donnees_USDA'!K524)&gt;0,'Donnees_USDA'!K320/('Donnees_USDA'!K422+'Donnees_USDA'!K524),"")</f>
        <v>0.002688774367017701</v>
      </c>
      <c r="L13" s="10">
        <f>IF(('Donnees_USDA'!L422+'Donnees_USDA'!L524)&gt;0,'Donnees_USDA'!L320/('Donnees_USDA'!L422+'Donnees_USDA'!L524),"")</f>
        <v>0.03206106870229008</v>
      </c>
      <c r="M13" s="10">
        <f>IF(('Donnees_USDA'!M422+'Donnees_USDA'!M524)&gt;0,'Donnees_USDA'!M320/('Donnees_USDA'!M422+'Donnees_USDA'!M524),"")</f>
        <v>0.023957158962795943</v>
      </c>
      <c r="N13" s="10">
        <f>IF(('Donnees_USDA'!N422+'Donnees_USDA'!N524)&gt;0,'Donnees_USDA'!N320/('Donnees_USDA'!N422+'Donnees_USDA'!N524),"")</f>
        <v>0.022041763341067284</v>
      </c>
      <c r="O13" s="10">
        <f>IF(('Donnees_USDA'!O422+'Donnees_USDA'!O524)&gt;0,'Donnees_USDA'!O320/('Donnees_USDA'!O422+'Donnees_USDA'!O524),"")</f>
        <v>0.02664796633941094</v>
      </c>
      <c r="P13" s="10">
        <f>IF(('Donnees_USDA'!P422+'Donnees_USDA'!P524)&gt;0,'Donnees_USDA'!P320/('Donnees_USDA'!P422+'Donnees_USDA'!P524),"")</f>
        <v>0.006534422403733956</v>
      </c>
      <c r="Q13" s="10">
        <f>IF(('Donnees_USDA'!Q422+'Donnees_USDA'!Q524)&gt;0,'Donnees_USDA'!Q320/('Donnees_USDA'!Q422+'Donnees_USDA'!Q524),"")</f>
        <v>0.0054761904761904765</v>
      </c>
      <c r="R13" s="10">
        <f>IF(('Donnees_USDA'!R422+'Donnees_USDA'!R524)&gt;0,'Donnees_USDA'!R320/('Donnees_USDA'!R422+'Donnees_USDA'!R524),"")</f>
        <v>0.004333470903838217</v>
      </c>
      <c r="S13" s="10">
        <f>IF(('Donnees_USDA'!S422+'Donnees_USDA'!S524)&gt;0,'Donnees_USDA'!S320/('Donnees_USDA'!S422+'Donnees_USDA'!S524),"")</f>
        <v>0.005350895245935378</v>
      </c>
      <c r="T13" s="10">
        <f>AVERAGE(C13:S13)</f>
        <v>0.013512528528562998</v>
      </c>
      <c r="U13" s="10">
        <f>'Donnees_USDA'!S14/'Donnees_USDA'!S102</f>
        <v>0.025202064671239595</v>
      </c>
      <c r="V13" s="10">
        <f>'Donnees_USDA'!S524/'Donnees_USDA'!S612</f>
        <v>0.028664224479776425</v>
      </c>
      <c r="W13" s="10">
        <f>'Donnees_USDA'!S320/'Donnees_USDA'!S405</f>
        <v>0.003138959314258119</v>
      </c>
      <c r="X13" s="24">
        <f>IF('Donnees_USDA'!S524&gt;0,'Donnees_USDA'!S320/'Donnees_USDA'!S524*52,"")</f>
        <v>0.2968818620992534</v>
      </c>
      <c r="Y13" s="10">
        <v>-0.0016619149871860055</v>
      </c>
      <c r="Z13" s="10">
        <v>-0.001901582329218764</v>
      </c>
      <c r="AA13" s="13">
        <v>-0.17054256106203566</v>
      </c>
      <c r="AB13" s="13">
        <v>-0.3566304194961506</v>
      </c>
    </row>
    <row r="14">
      <c r="A14" s="14" t="s">
        <v>104</v>
      </c>
      <c r="B14" s="10">
        <f>'Donnees_USDA'!S729</f>
        <v>0.8645707376058042</v>
      </c>
      <c r="C14" s="10">
        <f>IF(('Donnees_USDA'!C423+'Donnees_USDA'!C525)&gt;0,'Donnees_USDA'!C321/('Donnees_USDA'!C423+'Donnees_USDA'!C525),"")</f>
        <v>0.01718146718146718</v>
      </c>
      <c r="D14" s="10">
        <f>IF(('Donnees_USDA'!D423+'Donnees_USDA'!D525)&gt;0,'Donnees_USDA'!D321/('Donnees_USDA'!D423+'Donnees_USDA'!D525),"")</f>
        <v>0.010969568294409059</v>
      </c>
      <c r="E14" s="10">
        <f>IF(('Donnees_USDA'!E423+'Donnees_USDA'!E525)&gt;0,'Donnees_USDA'!E321/('Donnees_USDA'!E423+'Donnees_USDA'!E525),"")</f>
        <v>0.010542689249913584</v>
      </c>
      <c r="F14" s="10">
        <f>IF(('Donnees_USDA'!F423+'Donnees_USDA'!F525)&gt;0,'Donnees_USDA'!F321/('Donnees_USDA'!F423+'Donnees_USDA'!F525),"")</f>
        <v>0.03097507331378299</v>
      </c>
      <c r="G14" s="10">
        <f>IF(('Donnees_USDA'!G423+'Donnees_USDA'!G525)&gt;0,'Donnees_USDA'!G321/('Donnees_USDA'!G423+'Donnees_USDA'!G525),"")</f>
        <v>0.025515411308430293</v>
      </c>
      <c r="H14" s="10">
        <f>IF(('Donnees_USDA'!H423+'Donnees_USDA'!H525)&gt;0,'Donnees_USDA'!H321/('Donnees_USDA'!H423+'Donnees_USDA'!H525),"")</f>
        <v>0.04501607717041801</v>
      </c>
      <c r="I14" s="10">
        <f>IF(('Donnees_USDA'!I423+'Donnees_USDA'!I525)&gt;0,'Donnees_USDA'!I321/('Donnees_USDA'!I423+'Donnees_USDA'!I525),"")</f>
        <v>0.031084924827305974</v>
      </c>
      <c r="J14" s="10">
        <f>IF(('Donnees_USDA'!J423+'Donnees_USDA'!J525)&gt;0,'Donnees_USDA'!J321/('Donnees_USDA'!J423+'Donnees_USDA'!J525),"")</f>
        <v>0.033182230281051675</v>
      </c>
      <c r="K14" s="10">
        <f>IF(('Donnees_USDA'!K423+'Donnees_USDA'!K525)&gt;0,'Donnees_USDA'!K321/('Donnees_USDA'!K423+'Donnees_USDA'!K525),"")</f>
        <v>0.004565376186997808</v>
      </c>
      <c r="L14" s="10">
        <f>IF(('Donnees_USDA'!L423+'Donnees_USDA'!L525)&gt;0,'Donnees_USDA'!L321/('Donnees_USDA'!L423+'Donnees_USDA'!L525),"")</f>
        <v>0.017659650374598643</v>
      </c>
      <c r="M14" s="10">
        <f>IF(('Donnees_USDA'!M423+'Donnees_USDA'!M525)&gt;0,'Donnees_USDA'!M321/('Donnees_USDA'!M423+'Donnees_USDA'!M525),"")</f>
        <v>0.0030378842030021444</v>
      </c>
      <c r="N14" s="10">
        <f>IF(('Donnees_USDA'!N423+'Donnees_USDA'!N525)&gt;0,'Donnees_USDA'!N321/('Donnees_USDA'!N423+'Donnees_USDA'!N525),"")</f>
        <v>0.01711914231367802</v>
      </c>
      <c r="O14" s="10">
        <f>IF(('Donnees_USDA'!O423+'Donnees_USDA'!O525)&gt;0,'Donnees_USDA'!O321/('Donnees_USDA'!O423+'Donnees_USDA'!O525),"")</f>
        <v>0.014107142857142856</v>
      </c>
      <c r="P14" s="10">
        <f>IF(('Donnees_USDA'!P423+'Donnees_USDA'!P525)&gt;0,'Donnees_USDA'!P321/('Donnees_USDA'!P423+'Donnees_USDA'!P525),"")</f>
        <v>0.002932045532942394</v>
      </c>
      <c r="Q14" s="10">
        <f>IF(('Donnees_USDA'!Q423+'Donnees_USDA'!Q525)&gt;0,'Donnees_USDA'!Q321/('Donnees_USDA'!Q423+'Donnees_USDA'!Q525),"")</f>
        <v>0.0030464584920030465</v>
      </c>
      <c r="R14" s="10">
        <f>IF(('Donnees_USDA'!R423+'Donnees_USDA'!R525)&gt;0,'Donnees_USDA'!R321/('Donnees_USDA'!R423+'Donnees_USDA'!R525),"")</f>
        <v>0.0030257186081694403</v>
      </c>
      <c r="S14" s="10">
        <f>IF(('Donnees_USDA'!S423+'Donnees_USDA'!S525)&gt;0,'Donnees_USDA'!S321/('Donnees_USDA'!S423+'Donnees_USDA'!S525),"")</f>
        <v>0.0007518796992481203</v>
      </c>
      <c r="T14" s="10">
        <f>AVERAGE(C14:S14)</f>
        <v>0.015924278817327133</v>
      </c>
      <c r="U14" s="10">
        <f>'Donnees_USDA'!S15/'Donnees_USDA'!S102</f>
        <v>0.021801367660162285</v>
      </c>
      <c r="V14" s="10">
        <f>'Donnees_USDA'!S525/'Donnees_USDA'!S612</f>
        <v>0.021463549731233555</v>
      </c>
      <c r="W14" s="10">
        <f>'Donnees_USDA'!S321/'Donnees_USDA'!S405</f>
        <v>0.0006036460219727152</v>
      </c>
      <c r="X14" s="24">
        <f>IF('Donnees_USDA'!S525&gt;0,'Donnees_USDA'!S321/'Donnees_USDA'!S525*52,"")</f>
        <v>0.07624633431085044</v>
      </c>
      <c r="Y14" s="10">
        <v>0.01012604732491001</v>
      </c>
      <c r="Z14" s="10">
        <v>-0.0061789204215815475</v>
      </c>
      <c r="AA14" s="13">
        <v>-0.4245031579875562</v>
      </c>
      <c r="AB14" s="13">
        <v>-0.4474476547738522</v>
      </c>
    </row>
    <row r="15">
      <c r="A15" s="14" t="s">
        <v>105</v>
      </c>
      <c r="B15" s="10">
        <f>'Donnees_USDA'!S730</f>
        <v>0.9601226993865031</v>
      </c>
      <c r="C15" s="10">
        <f>IF(('Donnees_USDA'!C424+'Donnees_USDA'!C526)&gt;0,'Donnees_USDA'!C322/('Donnees_USDA'!C424+'Donnees_USDA'!C526),"")</f>
        <v>0.05710843373493976</v>
      </c>
      <c r="D15" s="10">
        <f>IF(('Donnees_USDA'!D424+'Donnees_USDA'!D526)&gt;0,'Donnees_USDA'!D322/('Donnees_USDA'!D424+'Donnees_USDA'!D526),"")</f>
        <v>0.08716216216216216</v>
      </c>
      <c r="E15" s="10">
        <f>IF(('Donnees_USDA'!E424+'Donnees_USDA'!E526)&gt;0,'Donnees_USDA'!E322/('Donnees_USDA'!E424+'Donnees_USDA'!E526),"")</f>
        <v>0.04851258581235698</v>
      </c>
      <c r="F15" s="10">
        <f>IF(('Donnees_USDA'!F424+'Donnees_USDA'!F526)&gt;0,'Donnees_USDA'!F322/('Donnees_USDA'!F424+'Donnees_USDA'!F526),"")</f>
        <v>0.05768714784008586</v>
      </c>
      <c r="G15" s="10">
        <f>IF(('Donnees_USDA'!G424+'Donnees_USDA'!G526)&gt;0,'Donnees_USDA'!G322/('Donnees_USDA'!G424+'Donnees_USDA'!G526),"")</f>
        <v>0.004201680672268907</v>
      </c>
      <c r="H15" s="10">
        <f>IF(('Donnees_USDA'!H424+'Donnees_USDA'!H526)&gt;0,'Donnees_USDA'!H322/('Donnees_USDA'!H424+'Donnees_USDA'!H526),"")</f>
        <v>0.007484168105929764</v>
      </c>
      <c r="I15" s="10">
        <f>IF(('Donnees_USDA'!I424+'Donnees_USDA'!I526)&gt;0,'Donnees_USDA'!I322/('Donnees_USDA'!I424+'Donnees_USDA'!I526),"")</f>
        <v>0.009511228533685601</v>
      </c>
      <c r="J15" s="10">
        <f>IF(('Donnees_USDA'!J424+'Donnees_USDA'!J526)&gt;0,'Donnees_USDA'!J322/('Donnees_USDA'!J424+'Donnees_USDA'!J526),"")</f>
        <v>0.026835443037974683</v>
      </c>
      <c r="K15" s="10">
        <f>IF(('Donnees_USDA'!K424+'Donnees_USDA'!K526)&gt;0,'Donnees_USDA'!K322/('Donnees_USDA'!K424+'Donnees_USDA'!K526),"")</f>
        <v>0.006343010490363503</v>
      </c>
      <c r="L15" s="10">
        <f>IF(('Donnees_USDA'!L424+'Donnees_USDA'!L526)&gt;0,'Donnees_USDA'!L322/('Donnees_USDA'!L424+'Donnees_USDA'!L526),"")</f>
        <v>0.0311284046692607</v>
      </c>
      <c r="M15" s="10">
        <f>IF(('Donnees_USDA'!M424+'Donnees_USDA'!M526)&gt;0,'Donnees_USDA'!M322/('Donnees_USDA'!M424+'Donnees_USDA'!M526),"")</f>
        <v>0.025813953488372093</v>
      </c>
      <c r="N15" s="10">
        <f>IF(('Donnees_USDA'!N424+'Donnees_USDA'!N526)&gt;0,'Donnees_USDA'!N322/('Donnees_USDA'!N424+'Donnees_USDA'!N526),"")</f>
        <v>0.005277707966825836</v>
      </c>
      <c r="O15" s="10">
        <f>IF(('Donnees_USDA'!O424+'Donnees_USDA'!O526)&gt;0,'Donnees_USDA'!O322/('Donnees_USDA'!O424+'Donnees_USDA'!O526),"")</f>
        <v>0.0060790273556231</v>
      </c>
      <c r="P15" s="10">
        <f>IF(('Donnees_USDA'!P424+'Donnees_USDA'!P526)&gt;0,'Donnees_USDA'!P322/('Donnees_USDA'!P424+'Donnees_USDA'!P526),"")</f>
        <v>0.0038255547054322878</v>
      </c>
      <c r="Q15" s="10">
        <f>IF(('Donnees_USDA'!Q424+'Donnees_USDA'!Q526)&gt;0,'Donnees_USDA'!Q322/('Donnees_USDA'!Q424+'Donnees_USDA'!Q526),"")</f>
        <v>0.0015584415584415584</v>
      </c>
      <c r="R15" s="10">
        <f>IF(('Donnees_USDA'!R424+'Donnees_USDA'!R526)&gt;0,'Donnees_USDA'!R322/('Donnees_USDA'!R424+'Donnees_USDA'!R526),"")</f>
        <v>0.0028534370946822307</v>
      </c>
      <c r="S15" s="10">
        <f>IF(('Donnees_USDA'!S424+'Donnees_USDA'!S526)&gt;0,'Donnees_USDA'!S322/('Donnees_USDA'!S424+'Donnees_USDA'!S526),"")</f>
        <v>0.003902439024390244</v>
      </c>
      <c r="T15" s="10">
        <f>AVERAGE(C15:S15)</f>
        <v>0.022663813308987958</v>
      </c>
      <c r="U15" s="10">
        <f>'Donnees_USDA'!S16/'Donnees_USDA'!S102</f>
        <v>0.017188019001724075</v>
      </c>
      <c r="V15" s="10">
        <f>'Donnees_USDA'!S526/'Donnees_USDA'!S612</f>
        <v>0.020141747548371666</v>
      </c>
      <c r="W15" s="10">
        <f>'Donnees_USDA'!S322/'Donnees_USDA'!S405</f>
        <v>0.0019316672703126887</v>
      </c>
      <c r="X15" s="24">
        <f>IF('Donnees_USDA'!S526&gt;0,'Donnees_USDA'!S322/'Donnees_USDA'!S526*52,"")</f>
        <v>0.26</v>
      </c>
      <c r="Y15" s="10">
        <v>0.01081503729277285</v>
      </c>
      <c r="Z15" s="10">
        <v>-0.007661306519064917</v>
      </c>
      <c r="AA15" s="13">
        <v>-0.05996614625326067</v>
      </c>
      <c r="AB15" s="13">
        <v>-0.29429061598064804</v>
      </c>
    </row>
    <row r="16">
      <c r="A16" s="14" t="s">
        <v>106</v>
      </c>
      <c r="B16" s="10">
        <f>'Donnees_USDA'!S731</f>
        <v>0.9426229508196722</v>
      </c>
      <c r="C16" s="10">
        <f>IF(('Donnees_USDA'!C425+'Donnees_USDA'!C527)&gt;0,'Donnees_USDA'!C323/('Donnees_USDA'!C425+'Donnees_USDA'!C527),"")</f>
        <v>0.01218836565096953</v>
      </c>
      <c r="D16" s="10">
        <f>IF(('Donnees_USDA'!D425+'Donnees_USDA'!D527)&gt;0,'Donnees_USDA'!D323/('Donnees_USDA'!D425+'Donnees_USDA'!D527),"")</f>
        <v>0.13228346456692913</v>
      </c>
      <c r="E16" s="10">
        <f>IF(('Donnees_USDA'!E425+'Donnees_USDA'!E527)&gt;0,'Donnees_USDA'!E323/('Donnees_USDA'!E425+'Donnees_USDA'!E527),"")</f>
        <v>0.007762557077625571</v>
      </c>
      <c r="F16" s="10">
        <f>IF(('Donnees_USDA'!F425+'Donnees_USDA'!F527)&gt;0,'Donnees_USDA'!F323/('Donnees_USDA'!F425+'Donnees_USDA'!F527),"")</f>
        <v>0.01089108910891089</v>
      </c>
      <c r="G16" s="10">
        <f>IF(('Donnees_USDA'!G425+'Donnees_USDA'!G527)&gt;0,'Donnees_USDA'!G323/('Donnees_USDA'!G425+'Donnees_USDA'!G527),"")</f>
        <v>0.0491566265060241</v>
      </c>
      <c r="H16" s="10">
        <f>IF(('Donnees_USDA'!H425+'Donnees_USDA'!H527)&gt;0,'Donnees_USDA'!H323/('Donnees_USDA'!H425+'Donnees_USDA'!H527),"")</f>
        <v>0.016666666666666666</v>
      </c>
      <c r="I16" s="10">
        <f>IF(('Donnees_USDA'!I425+'Donnees_USDA'!I527)&gt;0,'Donnees_USDA'!I323/('Donnees_USDA'!I425+'Donnees_USDA'!I527),"")</f>
        <v>0.02737642585551331</v>
      </c>
      <c r="J16" s="10">
        <f>IF(('Donnees_USDA'!J425+'Donnees_USDA'!J527)&gt;0,'Donnees_USDA'!J323/('Donnees_USDA'!J425+'Donnees_USDA'!J527),"")</f>
        <v>0.05288640595903166</v>
      </c>
      <c r="K16" s="10">
        <f>IF(('Donnees_USDA'!K425+'Donnees_USDA'!K527)&gt;0,'Donnees_USDA'!K323/('Donnees_USDA'!K425+'Donnees_USDA'!K527),"")</f>
        <v>0.049494949494949494</v>
      </c>
      <c r="L16" s="10">
        <f>IF(('Donnees_USDA'!L425+'Donnees_USDA'!L527)&gt;0,'Donnees_USDA'!L323/('Donnees_USDA'!L425+'Donnees_USDA'!L527),"")</f>
        <v>0.012802768166089966</v>
      </c>
      <c r="M16" s="10">
        <f>IF(('Donnees_USDA'!M425+'Donnees_USDA'!M527)&gt;0,'Donnees_USDA'!M323/('Donnees_USDA'!M425+'Donnees_USDA'!M527),"")</f>
        <v>0.013831775700934579</v>
      </c>
      <c r="N16" s="10">
        <f>IF(('Donnees_USDA'!N425+'Donnees_USDA'!N527)&gt;0,'Donnees_USDA'!N323/('Donnees_USDA'!N425+'Donnees_USDA'!N527),"")</f>
        <v>0.008695652173913044</v>
      </c>
      <c r="O16" s="10">
        <f>IF(('Donnees_USDA'!O425+'Donnees_USDA'!O527)&gt;0,'Donnees_USDA'!O323/('Donnees_USDA'!O425+'Donnees_USDA'!O527),"")</f>
        <v>0.009560229445506692</v>
      </c>
      <c r="P16" s="10">
        <f>IF(('Donnees_USDA'!P425+'Donnees_USDA'!P527)&gt;0,'Donnees_USDA'!P323/('Donnees_USDA'!P425+'Donnees_USDA'!P527),"")</f>
        <v>0.06272401433691756</v>
      </c>
      <c r="Q16" s="10">
        <f>IF(('Donnees_USDA'!Q425+'Donnees_USDA'!Q527)&gt;0,'Donnees_USDA'!Q323/('Donnees_USDA'!Q425+'Donnees_USDA'!Q527),"")</f>
        <v>0.027522935779816515</v>
      </c>
      <c r="R16" s="10">
        <f>IF(('Donnees_USDA'!R425+'Donnees_USDA'!R527)&gt;0,'Donnees_USDA'!R323/('Donnees_USDA'!R425+'Donnees_USDA'!R527),"")</f>
        <v>0.02131782945736434</v>
      </c>
      <c r="S16" s="10">
        <f>IF(('Donnees_USDA'!S425+'Donnees_USDA'!S527)&gt;0,'Donnees_USDA'!S323/('Donnees_USDA'!S425+'Donnees_USDA'!S527),"")</f>
        <v>0.035269709543568464</v>
      </c>
      <c r="T16" s="10">
        <f>AVERAGE(C16:S16)</f>
        <v>0.0323783214994548</v>
      </c>
      <c r="U16" s="10">
        <f>'Donnees_USDA'!S17/'Donnees_USDA'!S102</f>
        <v>0.012864652258959122</v>
      </c>
      <c r="V16" s="10">
        <f>'Donnees_USDA'!S527/'Donnees_USDA'!S612</f>
        <v>0.014162166244948827</v>
      </c>
      <c r="W16" s="10">
        <f>'Donnees_USDA'!S323/'Donnees_USDA'!S405</f>
        <v>0.010261982373536158</v>
      </c>
      <c r="X16" s="24">
        <f>IF('Donnees_USDA'!S527&gt;0,'Donnees_USDA'!S323/'Donnees_USDA'!S527*52,"")</f>
        <v>1.9644444444444444</v>
      </c>
      <c r="Y16" s="10">
        <v>0.0024191414473150505</v>
      </c>
      <c r="Z16" s="10">
        <v>-0.0074874230896228725</v>
      </c>
      <c r="AA16" s="13">
        <v>0.0058207799713093</v>
      </c>
      <c r="AB16" s="13">
        <v>0.05354688462650909</v>
      </c>
    </row>
    <row r="17">
      <c r="A17" s="14" t="s">
        <v>107</v>
      </c>
      <c r="B17" s="10">
        <f>'Donnees_USDA'!S732</f>
        <v>0.53125</v>
      </c>
      <c r="C17" s="10">
        <f>IF(('Donnees_USDA'!C426+'Donnees_USDA'!C528)&gt;0,'Donnees_USDA'!C324/('Donnees_USDA'!C426+'Donnees_USDA'!C528),"")</f>
        <v>0.04807692307692308</v>
      </c>
      <c r="D17" s="10">
        <f>IF(('Donnees_USDA'!D426+'Donnees_USDA'!D528)&gt;0,'Donnees_USDA'!D324/('Donnees_USDA'!D426+'Donnees_USDA'!D528),"")</f>
        <v>0.07894736842105263</v>
      </c>
      <c r="E17" s="10">
        <f>IF(('Donnees_USDA'!E426+'Donnees_USDA'!E528)&gt;0,'Donnees_USDA'!E324/('Donnees_USDA'!E426+'Donnees_USDA'!E528),"")</f>
        <v>0.26288659793814434</v>
      </c>
      <c r="F17" s="10">
        <f>IF(('Donnees_USDA'!F426+'Donnees_USDA'!F528)&gt;0,'Donnees_USDA'!F324/('Donnees_USDA'!F426+'Donnees_USDA'!F528),"")</f>
        <v>0.23681125439624853</v>
      </c>
      <c r="G17" s="10">
        <f>IF(('Donnees_USDA'!G426+'Donnees_USDA'!G528)&gt;0,'Donnees_USDA'!G324/('Donnees_USDA'!G426+'Donnees_USDA'!G528),"")</f>
        <v>0.312621359223301</v>
      </c>
      <c r="H17" s="10">
        <f>IF(('Donnees_USDA'!H426+'Donnees_USDA'!H528)&gt;0,'Donnees_USDA'!H324/('Donnees_USDA'!H426+'Donnees_USDA'!H528),"")</f>
        <v>0.21331058020477817</v>
      </c>
      <c r="I17" s="10">
        <f>IF(('Donnees_USDA'!I426+'Donnees_USDA'!I528)&gt;0,'Donnees_USDA'!I324/('Donnees_USDA'!I426+'Donnees_USDA'!I528),"")</f>
        <v>0.2037037037037037</v>
      </c>
      <c r="J17" s="10">
        <f>IF(('Donnees_USDA'!J426+'Donnees_USDA'!J528)&gt;0,'Donnees_USDA'!J324/('Donnees_USDA'!J426+'Donnees_USDA'!J528),"")</f>
        <v>0.26851851851851855</v>
      </c>
      <c r="K17" s="10">
        <f>IF(('Donnees_USDA'!K426+'Donnees_USDA'!K528)&gt;0,'Donnees_USDA'!K324/('Donnees_USDA'!K426+'Donnees_USDA'!K528),"")</f>
        <v>0.1640625</v>
      </c>
      <c r="L17" s="10">
        <f>IF(('Donnees_USDA'!L426+'Donnees_USDA'!L528)&gt;0,'Donnees_USDA'!L324/('Donnees_USDA'!L426+'Donnees_USDA'!L528),"")</f>
        <v>0.1015625</v>
      </c>
      <c r="M17" s="10">
        <f>IF(('Donnees_USDA'!M426+'Donnees_USDA'!M528)&gt;0,'Donnees_USDA'!M324/('Donnees_USDA'!M426+'Donnees_USDA'!M528),"")</f>
        <v>0.11395759717314488</v>
      </c>
      <c r="N17" s="10">
        <f>IF(('Donnees_USDA'!N426+'Donnees_USDA'!N528)&gt;0,'Donnees_USDA'!N324/('Donnees_USDA'!N426+'Donnees_USDA'!N528),"")</f>
        <v>0.039627039627039624</v>
      </c>
      <c r="O17" s="10">
        <f>IF(('Donnees_USDA'!O426+'Donnees_USDA'!O528)&gt;0,'Donnees_USDA'!O324/('Donnees_USDA'!O426+'Donnees_USDA'!O528),"")</f>
        <v>0.017813765182186234</v>
      </c>
      <c r="P17" s="10">
        <f>IF(('Donnees_USDA'!P426+'Donnees_USDA'!P528)&gt;0,'Donnees_USDA'!P324/('Donnees_USDA'!P426+'Donnees_USDA'!P528),"")</f>
        <v>0.02301410541945063</v>
      </c>
      <c r="Q17" s="10">
        <f>IF(('Donnees_USDA'!Q426+'Donnees_USDA'!Q528)&gt;0,'Donnees_USDA'!Q324/('Donnees_USDA'!Q426+'Donnees_USDA'!Q528),"")</f>
        <v>0.037397157816005985</v>
      </c>
      <c r="R17" s="10">
        <f>IF(('Donnees_USDA'!R426+'Donnees_USDA'!R528)&gt;0,'Donnees_USDA'!R324/('Donnees_USDA'!R426+'Donnees_USDA'!R528),"")</f>
        <v>0.03505154639175258</v>
      </c>
      <c r="S17" s="10">
        <f>IF(('Donnees_USDA'!S426+'Donnees_USDA'!S528)&gt;0,'Donnees_USDA'!S324/('Donnees_USDA'!S426+'Donnees_USDA'!S528),"")</f>
        <v>0.10466666666666667</v>
      </c>
      <c r="T17" s="10">
        <f>AVERAGE(C17:S17)</f>
        <v>0.13306054022111277</v>
      </c>
      <c r="U17" s="10">
        <f>'Donnees_USDA'!S18/'Donnees_USDA'!S102</f>
        <v>0.008435837546858442</v>
      </c>
      <c r="V17" s="10">
        <f>'Donnees_USDA'!S528/'Donnees_USDA'!S612</f>
        <v>0.008874957513501265</v>
      </c>
      <c r="W17" s="10">
        <f>'Donnees_USDA'!S324/'Donnees_USDA'!S405</f>
        <v>0.018954485089943258</v>
      </c>
      <c r="X17" s="24">
        <f>IF('Donnees_USDA'!S528&gt;0,'Donnees_USDA'!S324/'Donnees_USDA'!S528*52,"")</f>
        <v>5.790070921985816</v>
      </c>
      <c r="Y17" s="10">
        <v>0.003788733189209642</v>
      </c>
      <c r="Z17" s="10">
        <v>0.010381759263342533</v>
      </c>
      <c r="AA17" s="13">
        <v>-0.6407032704412929</v>
      </c>
      <c r="AB17" s="13">
        <v>-0.5281981627870348</v>
      </c>
    </row>
    <row r="18">
      <c r="A18" s="14" t="s">
        <v>108</v>
      </c>
      <c r="B18" s="10">
        <f>'Donnees_USDA'!S733</f>
        <v>0</v>
      </c>
      <c r="C18" s="10">
        <f>IF(('Donnees_USDA'!C427+'Donnees_USDA'!C529)&gt;0,'Donnees_USDA'!C325/('Donnees_USDA'!C427+'Donnees_USDA'!C529),"")</f>
        <v>0</v>
      </c>
      <c r="D18" s="10">
        <f>IF(('Donnees_USDA'!D427+'Donnees_USDA'!D529)&gt;0,'Donnees_USDA'!D325/('Donnees_USDA'!D427+'Donnees_USDA'!D529),"")</f>
        <v>0</v>
      </c>
      <c r="E18" s="10">
        <f>IF(('Donnees_USDA'!E427+'Donnees_USDA'!E529)&gt;0,'Donnees_USDA'!E325/('Donnees_USDA'!E427+'Donnees_USDA'!E529),"")</f>
        <v>0</v>
      </c>
      <c r="F18" s="10">
        <f>IF(('Donnees_USDA'!F427+'Donnees_USDA'!F529)&gt;0,'Donnees_USDA'!F325/('Donnees_USDA'!F427+'Donnees_USDA'!F529),"")</f>
        <v>0</v>
      </c>
      <c r="G18" s="10">
        <f>IF(('Donnees_USDA'!G427+'Donnees_USDA'!G529)&gt;0,'Donnees_USDA'!G325/('Donnees_USDA'!G427+'Donnees_USDA'!G529),"")</f>
        <v>0</v>
      </c>
      <c r="H18" s="10">
        <f>IF(('Donnees_USDA'!H427+'Donnees_USDA'!H529)&gt;0,'Donnees_USDA'!H325/('Donnees_USDA'!H427+'Donnees_USDA'!H529),"")</f>
        <v>0</v>
      </c>
      <c r="I18" s="10">
        <f>IF(('Donnees_USDA'!I427+'Donnees_USDA'!I529)&gt;0,'Donnees_USDA'!I325/('Donnees_USDA'!I427+'Donnees_USDA'!I529),"")</f>
        <v>0</v>
      </c>
      <c r="J18" s="10">
        <f>IF(('Donnees_USDA'!J427+'Donnees_USDA'!J529)&gt;0,'Donnees_USDA'!J325/('Donnees_USDA'!J427+'Donnees_USDA'!J529),"")</f>
        <v>0</v>
      </c>
      <c r="K18" s="10">
        <f>IF(('Donnees_USDA'!K427+'Donnees_USDA'!K529)&gt;0,'Donnees_USDA'!K325/('Donnees_USDA'!K427+'Donnees_USDA'!K529),"")</f>
        <v>0</v>
      </c>
      <c r="L18" s="10">
        <f>IF(('Donnees_USDA'!L427+'Donnees_USDA'!L529)&gt;0,'Donnees_USDA'!L325/('Donnees_USDA'!L427+'Donnees_USDA'!L529),"")</f>
        <v>0</v>
      </c>
      <c r="M18" s="10">
        <f>IF(('Donnees_USDA'!M427+'Donnees_USDA'!M529)&gt;0,'Donnees_USDA'!M325/('Donnees_USDA'!M427+'Donnees_USDA'!M529),"")</f>
        <v>0</v>
      </c>
      <c r="N18" s="10">
        <f>IF(('Donnees_USDA'!N427+'Donnees_USDA'!N529)&gt;0,'Donnees_USDA'!N325/('Donnees_USDA'!N427+'Donnees_USDA'!N529),"")</f>
        <v>0</v>
      </c>
      <c r="O18" s="10">
        <f>IF(('Donnees_USDA'!O427+'Donnees_USDA'!O529)&gt;0,'Donnees_USDA'!O325/('Donnees_USDA'!O427+'Donnees_USDA'!O529),"")</f>
        <v>0</v>
      </c>
      <c r="P18" s="10">
        <f>IF(('Donnees_USDA'!P427+'Donnees_USDA'!P529)&gt;0,'Donnees_USDA'!P325/('Donnees_USDA'!P427+'Donnees_USDA'!P529),"")</f>
        <v>0</v>
      </c>
      <c r="Q18" s="10">
        <f>IF(('Donnees_USDA'!Q427+'Donnees_USDA'!Q529)&gt;0,'Donnees_USDA'!Q325/('Donnees_USDA'!Q427+'Donnees_USDA'!Q529),"")</f>
        <v>0</v>
      </c>
      <c r="R18" s="10">
        <f>IF(('Donnees_USDA'!R427+'Donnees_USDA'!R529)&gt;0,'Donnees_USDA'!R325/('Donnees_USDA'!R427+'Donnees_USDA'!R529),"")</f>
        <v>0</v>
      </c>
      <c r="S18" s="10">
        <f>IF(('Donnees_USDA'!S427+'Donnees_USDA'!S529)&gt;0,'Donnees_USDA'!S325/('Donnees_USDA'!S427+'Donnees_USDA'!S529),"")</f>
        <v>0</v>
      </c>
      <c r="T18" s="10">
        <f>AVERAGE(C18:S18)</f>
        <v>0</v>
      </c>
      <c r="U18" s="10">
        <f>'Donnees_USDA'!S19/'Donnees_USDA'!S102</f>
        <v>0.007908597700179789</v>
      </c>
      <c r="V18" s="10">
        <f>'Donnees_USDA'!S529/'Donnees_USDA'!S612</f>
        <v>0.015735740272165365</v>
      </c>
      <c r="W18" s="10">
        <f>'Donnees_USDA'!S325/'Donnees_USDA'!S405</f>
        <v>0</v>
      </c>
      <c r="X18" s="24">
        <f>IF('Donnees_USDA'!S529&gt;0,'Donnees_USDA'!S325/'Donnees_USDA'!S529*52,"")</f>
        <v>0</v>
      </c>
      <c r="Y18" s="10">
        <v>-0.006525648371418529</v>
      </c>
      <c r="Z18" s="10">
        <v>0</v>
      </c>
      <c r="AA18" s="13"/>
      <c r="AB18" s="13"/>
    </row>
    <row r="19">
      <c r="A19" s="14" t="s">
        <v>109</v>
      </c>
      <c r="B19" s="10">
        <f>'Donnees_USDA'!S734</f>
        <v>0</v>
      </c>
      <c r="C19" s="10">
        <f>IF(('Donnees_USDA'!C428+'Donnees_USDA'!C530)&gt;0,'Donnees_USDA'!C326/('Donnees_USDA'!C428+'Donnees_USDA'!C530),"")</f>
        <v>0.3175097276264591</v>
      </c>
      <c r="D19" s="10">
        <f>IF(('Donnees_USDA'!D428+'Donnees_USDA'!D530)&gt;0,'Donnees_USDA'!D326/('Donnees_USDA'!D428+'Donnees_USDA'!D530),"")</f>
        <v>0.04583333333333333</v>
      </c>
      <c r="E19" s="10">
        <f>IF(('Donnees_USDA'!E428+'Donnees_USDA'!E530)&gt;0,'Donnees_USDA'!E326/('Donnees_USDA'!E428+'Donnees_USDA'!E530),"")</f>
        <v>0.02796420581655481</v>
      </c>
      <c r="F19" s="10">
        <f>IF(('Donnees_USDA'!F428+'Donnees_USDA'!F530)&gt;0,'Donnees_USDA'!F326/('Donnees_USDA'!F428+'Donnees_USDA'!F530),"")</f>
        <v>0.03293413173652695</v>
      </c>
      <c r="G19" s="10">
        <f>IF(('Donnees_USDA'!G428+'Donnees_USDA'!G530)&gt;0,'Donnees_USDA'!G326/('Donnees_USDA'!G428+'Donnees_USDA'!G530),"")</f>
        <v>0.021052631578947368</v>
      </c>
      <c r="H19" s="10">
        <f>IF(('Donnees_USDA'!H428+'Donnees_USDA'!H530)&gt;0,'Donnees_USDA'!H326/('Donnees_USDA'!H428+'Donnees_USDA'!H530),"")</f>
        <v>0.009287925696594427</v>
      </c>
      <c r="I19" s="10">
        <f>IF(('Donnees_USDA'!I428+'Donnees_USDA'!I530)&gt;0,'Donnees_USDA'!I326/('Donnees_USDA'!I428+'Donnees_USDA'!I530),"")</f>
        <v>0.013761467889908258</v>
      </c>
      <c r="J19" s="10">
        <f>IF(('Donnees_USDA'!J428+'Donnees_USDA'!J530)&gt;0,'Donnees_USDA'!J326/('Donnees_USDA'!J428+'Donnees_USDA'!J530),"")</f>
        <v>0.012</v>
      </c>
      <c r="K19" s="10">
        <f>IF(('Donnees_USDA'!K428+'Donnees_USDA'!K530)&gt;0,'Donnees_USDA'!K326/('Donnees_USDA'!K428+'Donnees_USDA'!K530),"")</f>
        <v>0.0075</v>
      </c>
      <c r="L19" s="10">
        <f>IF(('Donnees_USDA'!L428+'Donnees_USDA'!L530)&gt;0,'Donnees_USDA'!L326/('Donnees_USDA'!L428+'Donnees_USDA'!L530),"")</f>
        <v>0</v>
      </c>
      <c r="M19" s="10">
        <f>IF(('Donnees_USDA'!M428+'Donnees_USDA'!M530)&gt;0,'Donnees_USDA'!M326/('Donnees_USDA'!M428+'Donnees_USDA'!M530),"")</f>
        <v>0</v>
      </c>
      <c r="N19" s="10">
        <f>IF(('Donnees_USDA'!N428+'Donnees_USDA'!N530)&gt;0,'Donnees_USDA'!N326/('Donnees_USDA'!N428+'Donnees_USDA'!N530),"")</f>
        <v>0</v>
      </c>
      <c r="O19" s="10">
        <f>IF(('Donnees_USDA'!O428+'Donnees_USDA'!O530)&gt;0,'Donnees_USDA'!O326/('Donnees_USDA'!O428+'Donnees_USDA'!O530),"")</f>
        <v>0</v>
      </c>
      <c r="P19" s="10">
        <f>IF(('Donnees_USDA'!P428+'Donnees_USDA'!P530)&gt;0,'Donnees_USDA'!P326/('Donnees_USDA'!P428+'Donnees_USDA'!P530),"")</f>
        <v>0</v>
      </c>
      <c r="Q19" s="10">
        <f>IF(('Donnees_USDA'!Q428+'Donnees_USDA'!Q530)&gt;0,'Donnees_USDA'!Q326/('Donnees_USDA'!Q428+'Donnees_USDA'!Q530),"")</f>
        <v>0</v>
      </c>
      <c r="R19" s="10">
        <f>IF(('Donnees_USDA'!R428+'Donnees_USDA'!R530)&gt;0,'Donnees_USDA'!R326/('Donnees_USDA'!R428+'Donnees_USDA'!R530),"")</f>
        <v>0</v>
      </c>
      <c r="S19" s="10">
        <f>IF(('Donnees_USDA'!S428+'Donnees_USDA'!S530)&gt;0,'Donnees_USDA'!S326/('Donnees_USDA'!S428+'Donnees_USDA'!S530),"")</f>
        <v>0</v>
      </c>
      <c r="T19" s="10">
        <f>AVERAGE(C19:S19)</f>
        <v>0.0286966719810779</v>
      </c>
      <c r="U19" s="10">
        <f>'Donnees_USDA'!S20/'Donnees_USDA'!S102</f>
        <v>0.006854118006822484</v>
      </c>
      <c r="V19" s="10">
        <f>'Donnees_USDA'!S530/'Donnees_USDA'!S612</f>
        <v>0.007867870136082682</v>
      </c>
      <c r="W19" s="10">
        <f>'Donnees_USDA'!S326/'Donnees_USDA'!S405</f>
        <v>0</v>
      </c>
      <c r="X19" s="24">
        <f>IF('Donnees_USDA'!S530&gt;0,'Donnees_USDA'!S326/'Donnees_USDA'!S530*52,"")</f>
        <v>0</v>
      </c>
      <c r="Y19" s="10">
        <v>0.00239116329663331</v>
      </c>
      <c r="Z19" s="10">
        <v>-0.00016385611599567792</v>
      </c>
      <c r="AA19" s="13">
        <v>0.25777002246391506</v>
      </c>
      <c r="AB19" s="13">
        <v>-0.00832773478331514</v>
      </c>
    </row>
    <row r="20">
      <c r="A20" s="14" t="s">
        <v>110</v>
      </c>
      <c r="B20" s="10">
        <f>'Donnees_USDA'!S735</f>
        <v>1</v>
      </c>
      <c r="C20" s="10">
        <f>IF(('Donnees_USDA'!C429+'Donnees_USDA'!C531)&gt;0,'Donnees_USDA'!C327/('Donnees_USDA'!C429+'Donnees_USDA'!C531),"")</f>
        <v>0.11785503830288745</v>
      </c>
      <c r="D20" s="10">
        <f>IF(('Donnees_USDA'!D429+'Donnees_USDA'!D531)&gt;0,'Donnees_USDA'!D327/('Donnees_USDA'!D429+'Donnees_USDA'!D531),"")</f>
        <v>0.13157894736842105</v>
      </c>
      <c r="E20" s="10">
        <f>IF(('Donnees_USDA'!E429+'Donnees_USDA'!E531)&gt;0,'Donnees_USDA'!E327/('Donnees_USDA'!E429+'Donnees_USDA'!E531),"")</f>
        <v>0.10674157303370786</v>
      </c>
      <c r="F20" s="10">
        <f>IF(('Donnees_USDA'!F429+'Donnees_USDA'!F531)&gt;0,'Donnees_USDA'!F327/('Donnees_USDA'!F429+'Donnees_USDA'!F531),"")</f>
        <v>0.0755813953488372</v>
      </c>
      <c r="G20" s="10">
        <f>IF(('Donnees_USDA'!G429+'Donnees_USDA'!G531)&gt;0,'Donnees_USDA'!G327/('Donnees_USDA'!G429+'Donnees_USDA'!G531),"")</f>
        <v>0.07228915662650602</v>
      </c>
      <c r="H20" s="10">
        <f>IF(('Donnees_USDA'!H429+'Donnees_USDA'!H531)&gt;0,'Donnees_USDA'!H327/('Donnees_USDA'!H429+'Donnees_USDA'!H531),"")</f>
        <v>0.19688473520249222</v>
      </c>
      <c r="I20" s="10">
        <f>IF(('Donnees_USDA'!I429+'Donnees_USDA'!I531)&gt;0,'Donnees_USDA'!I327/('Donnees_USDA'!I429+'Donnees_USDA'!I531),"")</f>
        <v>0.14966887417218544</v>
      </c>
      <c r="J20" s="10">
        <f>IF(('Donnees_USDA'!J429+'Donnees_USDA'!J531)&gt;0,'Donnees_USDA'!J327/('Donnees_USDA'!J429+'Donnees_USDA'!J531),"")</f>
        <v>0.16131064902331443</v>
      </c>
      <c r="K20" s="10">
        <f>IF(('Donnees_USDA'!K429+'Donnees_USDA'!K531)&gt;0,'Donnees_USDA'!K327/('Donnees_USDA'!K429+'Donnees_USDA'!K531),"")</f>
        <v>0.14966887417218544</v>
      </c>
      <c r="L20" s="10">
        <f>IF(('Donnees_USDA'!L429+'Donnees_USDA'!L531)&gt;0,'Donnees_USDA'!L327/('Donnees_USDA'!L429+'Donnees_USDA'!L531),"")</f>
        <v>0.18652526512788523</v>
      </c>
      <c r="M20" s="10">
        <f>IF(('Donnees_USDA'!M429+'Donnees_USDA'!M531)&gt;0,'Donnees_USDA'!M327/('Donnees_USDA'!M429+'Donnees_USDA'!M531),"")</f>
        <v>0.1703030303030303</v>
      </c>
      <c r="N20" s="10">
        <f>IF(('Donnees_USDA'!N429+'Donnees_USDA'!N531)&gt;0,'Donnees_USDA'!N327/('Donnees_USDA'!N429+'Donnees_USDA'!N531),"")</f>
        <v>0.16506849315068492</v>
      </c>
      <c r="O20" s="10">
        <f>IF(('Donnees_USDA'!O429+'Donnees_USDA'!O531)&gt;0,'Donnees_USDA'!O327/('Donnees_USDA'!O429+'Donnees_USDA'!O531),"")</f>
        <v>0.1302158273381295</v>
      </c>
      <c r="P20" s="10">
        <f>IF(('Donnees_USDA'!P429+'Donnees_USDA'!P531)&gt;0,'Donnees_USDA'!P327/('Donnees_USDA'!P429+'Donnees_USDA'!P531),"")</f>
        <v>0.12632375189107414</v>
      </c>
      <c r="Q20" s="10">
        <f>IF(('Donnees_USDA'!Q429+'Donnees_USDA'!Q531)&gt;0,'Donnees_USDA'!Q327/('Donnees_USDA'!Q429+'Donnees_USDA'!Q531),"")</f>
        <v>0.13620324629498942</v>
      </c>
      <c r="R20" s="10">
        <f>IF(('Donnees_USDA'!R429+'Donnees_USDA'!R531)&gt;0,'Donnees_USDA'!R327/('Donnees_USDA'!R429+'Donnees_USDA'!R531),"")</f>
        <v>0.09925373134328358</v>
      </c>
      <c r="S20" s="10">
        <f>IF(('Donnees_USDA'!S429+'Donnees_USDA'!S531)&gt;0,'Donnees_USDA'!S327/('Donnees_USDA'!S429+'Donnees_USDA'!S531),"")</f>
        <v>0.04927536231884058</v>
      </c>
      <c r="T20" s="10">
        <f>AVERAGE(C20:S20)</f>
        <v>0.13086752653049735</v>
      </c>
      <c r="U20" s="10">
        <f>'Donnees_USDA'!S21/'Donnees_USDA'!S102</f>
        <v>0.006326878160143831</v>
      </c>
      <c r="V20" s="10">
        <f>'Donnees_USDA'!S531/'Donnees_USDA'!S612</f>
        <v>0.006671953875398114</v>
      </c>
      <c r="W20" s="10">
        <f>'Donnees_USDA'!S327/'Donnees_USDA'!S405</f>
        <v>0.008209585898828926</v>
      </c>
      <c r="X20" s="24">
        <f>IF('Donnees_USDA'!S531&gt;0,'Donnees_USDA'!S327/'Donnees_USDA'!S531*52,"")</f>
        <v>3.3358490566037737</v>
      </c>
      <c r="Y20" s="10">
        <v>-0.005004599871999465</v>
      </c>
      <c r="Z20" s="10">
        <v>-0.01069468992532986</v>
      </c>
      <c r="AA20" s="13">
        <v>-0.36274727060847645</v>
      </c>
      <c r="AB20" s="13">
        <v>-0.3678955710421573</v>
      </c>
    </row>
    <row r="21">
      <c r="A21" s="14" t="s">
        <v>111</v>
      </c>
      <c r="B21" s="10">
        <f>'Donnees_USDA'!S736</f>
        <v>1</v>
      </c>
      <c r="C21" s="10">
        <f>IF(('Donnees_USDA'!C430+'Donnees_USDA'!C532)&gt;0,'Donnees_USDA'!C328/('Donnees_USDA'!C430+'Donnees_USDA'!C532),"")</f>
        <v>0.6028571428571429</v>
      </c>
      <c r="D21" s="10">
        <f>IF(('Donnees_USDA'!D430+'Donnees_USDA'!D532)&gt;0,'Donnees_USDA'!D328/('Donnees_USDA'!D430+'Donnees_USDA'!D532),"")</f>
        <v>0.3918604651162791</v>
      </c>
      <c r="E21" s="10">
        <f>IF(('Donnees_USDA'!E430+'Donnees_USDA'!E532)&gt;0,'Donnees_USDA'!E328/('Donnees_USDA'!E430+'Donnees_USDA'!E532),"")</f>
        <v>0.17981438515081208</v>
      </c>
      <c r="F21" s="10">
        <f>IF(('Donnees_USDA'!F430+'Donnees_USDA'!F532)&gt;0,'Donnees_USDA'!F328/('Donnees_USDA'!F430+'Donnees_USDA'!F532),"")</f>
        <v>0.24096385542168675</v>
      </c>
      <c r="G21" s="10">
        <f>IF(('Donnees_USDA'!G430+'Donnees_USDA'!G532)&gt;0,'Donnees_USDA'!G328/('Donnees_USDA'!G430+'Donnees_USDA'!G532),"")</f>
        <v>0.2956636005256242</v>
      </c>
      <c r="H21" s="10">
        <f>IF(('Donnees_USDA'!H430+'Donnees_USDA'!H532)&gt;0,'Donnees_USDA'!H328/('Donnees_USDA'!H430+'Donnees_USDA'!H532),"")</f>
        <v>0.24619289340101522</v>
      </c>
      <c r="I21" s="10">
        <f>IF(('Donnees_USDA'!I430+'Donnees_USDA'!I532)&gt;0,'Donnees_USDA'!I328/('Donnees_USDA'!I430+'Donnees_USDA'!I532),"")</f>
        <v>0.3008631319358816</v>
      </c>
      <c r="J21" s="10">
        <f>IF(('Donnees_USDA'!J430+'Donnees_USDA'!J532)&gt;0,'Donnees_USDA'!J328/('Donnees_USDA'!J430+'Donnees_USDA'!J532),"")</f>
        <v>0.3166441136671177</v>
      </c>
      <c r="K21" s="10">
        <f>IF(('Donnees_USDA'!K430+'Donnees_USDA'!K532)&gt;0,'Donnees_USDA'!K328/('Donnees_USDA'!K430+'Donnees_USDA'!K532),"")</f>
        <v>0.24603174603174602</v>
      </c>
      <c r="L21" s="10">
        <f>IF(('Donnees_USDA'!L430+'Donnees_USDA'!L532)&gt;0,'Donnees_USDA'!L328/('Donnees_USDA'!L430+'Donnees_USDA'!L532),"")</f>
        <v>0.2652005174644243</v>
      </c>
      <c r="M21" s="10">
        <f>IF(('Donnees_USDA'!M430+'Donnees_USDA'!M532)&gt;0,'Donnees_USDA'!M328/('Donnees_USDA'!M430+'Donnees_USDA'!M532),"")</f>
        <v>0.23505434782608695</v>
      </c>
      <c r="N21" s="10">
        <f>IF(('Donnees_USDA'!N430+'Donnees_USDA'!N532)&gt;0,'Donnees_USDA'!N328/('Donnees_USDA'!N430+'Donnees_USDA'!N532),"")</f>
        <v>0.2771672771672772</v>
      </c>
      <c r="O21" s="10">
        <f>IF(('Donnees_USDA'!O430+'Donnees_USDA'!O532)&gt;0,'Donnees_USDA'!O328/('Donnees_USDA'!O430+'Donnees_USDA'!O532),"")</f>
        <v>0.06896551724137931</v>
      </c>
      <c r="P21" s="10">
        <f>IF(('Donnees_USDA'!P430+'Donnees_USDA'!P532)&gt;0,'Donnees_USDA'!P328/('Donnees_USDA'!P430+'Donnees_USDA'!P532),"")</f>
        <v>0.06777777777777778</v>
      </c>
      <c r="Q21" s="10">
        <f>IF(('Donnees_USDA'!Q430+'Donnees_USDA'!Q532)&gt;0,'Donnees_USDA'!Q328/('Donnees_USDA'!Q430+'Donnees_USDA'!Q532),"")</f>
        <v>0.07326732673267326</v>
      </c>
      <c r="R21" s="10">
        <f>IF(('Donnees_USDA'!R430+'Donnees_USDA'!R532)&gt;0,'Donnees_USDA'!R328/('Donnees_USDA'!R430+'Donnees_USDA'!R532),"")</f>
        <v>0.10753880266075388</v>
      </c>
      <c r="S21" s="10">
        <f>IF(('Donnees_USDA'!S430+'Donnees_USDA'!S532)&gt;0,'Donnees_USDA'!S328/('Donnees_USDA'!S430+'Donnees_USDA'!S532),"")</f>
        <v>0.11976047904191617</v>
      </c>
      <c r="T21" s="10">
        <f>AVERAGE(C21:S21)</f>
        <v>0.23738961058938787</v>
      </c>
      <c r="U21" s="10">
        <f>'Donnees_USDA'!S22/'Donnees_USDA'!S102</f>
        <v>0.0050087785434472</v>
      </c>
      <c r="V21" s="10">
        <f>'Donnees_USDA'!S532/'Donnees_USDA'!S612</f>
        <v>0.005916638342334177</v>
      </c>
      <c r="W21" s="10">
        <f>'Donnees_USDA'!S328/'Donnees_USDA'!S405</f>
        <v>0.014487504527345164</v>
      </c>
      <c r="X21" s="24">
        <f>IF('Donnees_USDA'!S532&gt;0,'Donnees_USDA'!S328/'Donnees_USDA'!S532*52,"")</f>
        <v>6.638297872340425</v>
      </c>
      <c r="Y21" s="10">
        <v>0.003226568703524475</v>
      </c>
      <c r="Z21" s="10">
        <v>-0.006457498181771105</v>
      </c>
      <c r="AA21" s="13">
        <v>-0.1388234706559502</v>
      </c>
      <c r="AB21" s="13">
        <v>-0.4590705835115561</v>
      </c>
    </row>
    <row r="22">
      <c r="A22" s="14" t="s">
        <v>112</v>
      </c>
      <c r="B22" s="10">
        <f>'Donnees_USDA'!S737</f>
        <v>0</v>
      </c>
      <c r="C22" s="10">
        <f>IF(('Donnees_USDA'!C431+'Donnees_USDA'!C533)&gt;0,'Donnees_USDA'!C329/('Donnees_USDA'!C431+'Donnees_USDA'!C533),"")</f>
        <v>0</v>
      </c>
      <c r="D22" s="10">
        <f>IF(('Donnees_USDA'!D431+'Donnees_USDA'!D533)&gt;0,'Donnees_USDA'!D329/('Donnees_USDA'!D431+'Donnees_USDA'!D533),"")</f>
        <v>0</v>
      </c>
      <c r="E22" s="10">
        <f>IF(('Donnees_USDA'!E431+'Donnees_USDA'!E533)&gt;0,'Donnees_USDA'!E329/('Donnees_USDA'!E431+'Donnees_USDA'!E533),"")</f>
        <v>0</v>
      </c>
      <c r="F22" s="10">
        <f>IF(('Donnees_USDA'!F431+'Donnees_USDA'!F533)&gt;0,'Donnees_USDA'!F329/('Donnees_USDA'!F431+'Donnees_USDA'!F533),"")</f>
        <v>0</v>
      </c>
      <c r="G22" s="10">
        <f>IF(('Donnees_USDA'!G431+'Donnees_USDA'!G533)&gt;0,'Donnees_USDA'!G329/('Donnees_USDA'!G431+'Donnees_USDA'!G533),"")</f>
        <v>0</v>
      </c>
      <c r="H22" s="10">
        <f>IF(('Donnees_USDA'!H431+'Donnees_USDA'!H533)&gt;0,'Donnees_USDA'!H329/('Donnees_USDA'!H431+'Donnees_USDA'!H533),"")</f>
        <v>0</v>
      </c>
      <c r="I22" s="10">
        <f>IF(('Donnees_USDA'!I431+'Donnees_USDA'!I533)&gt;0,'Donnees_USDA'!I329/('Donnees_USDA'!I431+'Donnees_USDA'!I533),"")</f>
        <v>0</v>
      </c>
      <c r="J22" s="10">
        <f>IF(('Donnees_USDA'!J431+'Donnees_USDA'!J533)&gt;0,'Donnees_USDA'!J329/('Donnees_USDA'!J431+'Donnees_USDA'!J533),"")</f>
        <v>0</v>
      </c>
      <c r="K22" s="10">
        <f>IF(('Donnees_USDA'!K431+'Donnees_USDA'!K533)&gt;0,'Donnees_USDA'!K329/('Donnees_USDA'!K431+'Donnees_USDA'!K533),"")</f>
        <v>0</v>
      </c>
      <c r="L22" s="10">
        <f>IF(('Donnees_USDA'!L431+'Donnees_USDA'!L533)&gt;0,'Donnees_USDA'!L329/('Donnees_USDA'!L431+'Donnees_USDA'!L533),"")</f>
        <v>0</v>
      </c>
      <c r="M22" s="10">
        <f>IF(('Donnees_USDA'!M431+'Donnees_USDA'!M533)&gt;0,'Donnees_USDA'!M329/('Donnees_USDA'!M431+'Donnees_USDA'!M533),"")</f>
        <v>0</v>
      </c>
      <c r="N22" s="10">
        <f>IF(('Donnees_USDA'!N431+'Donnees_USDA'!N533)&gt;0,'Donnees_USDA'!N329/('Donnees_USDA'!N431+'Donnees_USDA'!N533),"")</f>
        <v>0</v>
      </c>
      <c r="O22" s="10">
        <f>IF(('Donnees_USDA'!O431+'Donnees_USDA'!O533)&gt;0,'Donnees_USDA'!O329/('Donnees_USDA'!O431+'Donnees_USDA'!O533),"")</f>
        <v>0</v>
      </c>
      <c r="P22" s="10">
        <f>IF(('Donnees_USDA'!P431+'Donnees_USDA'!P533)&gt;0,'Donnees_USDA'!P329/('Donnees_USDA'!P431+'Donnees_USDA'!P533),"")</f>
        <v>0</v>
      </c>
      <c r="Q22" s="10">
        <f>IF(('Donnees_USDA'!Q431+'Donnees_USDA'!Q533)&gt;0,'Donnees_USDA'!Q329/('Donnees_USDA'!Q431+'Donnees_USDA'!Q533),"")</f>
        <v>0</v>
      </c>
      <c r="R22" s="10">
        <f>IF(('Donnees_USDA'!R431+'Donnees_USDA'!R533)&gt;0,'Donnees_USDA'!R329/('Donnees_USDA'!R431+'Donnees_USDA'!R533),"")</f>
        <v>0</v>
      </c>
      <c r="S22" s="10">
        <f>IF(('Donnees_USDA'!S431+'Donnees_USDA'!S533)&gt;0,'Donnees_USDA'!S329/('Donnees_USDA'!S431+'Donnees_USDA'!S533),"")</f>
        <v>0</v>
      </c>
      <c r="T22" s="10">
        <f>AVERAGE(C22:S22)</f>
        <v>0</v>
      </c>
      <c r="U22" s="10">
        <f>'Donnees_USDA'!S23/'Donnees_USDA'!S102</f>
        <v>0.004745158620107873</v>
      </c>
      <c r="V22" s="10">
        <f>'Donnees_USDA'!S533/'Donnees_USDA'!S612</f>
        <v>0.0037765776653196875</v>
      </c>
      <c r="W22" s="10">
        <f>'Donnees_USDA'!S329/'Donnees_USDA'!S405</f>
        <v>0</v>
      </c>
      <c r="X22" s="24">
        <f>IF('Donnees_USDA'!S533&gt;0,'Donnees_USDA'!S329/'Donnees_USDA'!S533*52,"")</f>
        <v>0</v>
      </c>
      <c r="Y22" s="10">
        <v>0.0006565529635216171</v>
      </c>
      <c r="Z22" s="10">
        <v>0</v>
      </c>
      <c r="AA22" s="13"/>
      <c r="AB22" s="13"/>
    </row>
    <row r="23">
      <c r="A23" s="14" t="s">
        <v>113</v>
      </c>
      <c r="B23" s="10">
        <f>'Donnees_USDA'!S738</f>
        <v>0.9375</v>
      </c>
      <c r="C23" s="10">
        <f>IF(('Donnees_USDA'!C432+'Donnees_USDA'!C534)&gt;0,'Donnees_USDA'!C330/('Donnees_USDA'!C432+'Donnees_USDA'!C534),"")</f>
        <v>0.023863636363636365</v>
      </c>
      <c r="D23" s="10">
        <f>IF(('Donnees_USDA'!D432+'Donnees_USDA'!D534)&gt;0,'Donnees_USDA'!D330/('Donnees_USDA'!D432+'Donnees_USDA'!D534),"")</f>
        <v>0.022302158273381296</v>
      </c>
      <c r="E23" s="10">
        <f>IF(('Donnees_USDA'!E432+'Donnees_USDA'!E534)&gt;0,'Donnees_USDA'!E330/('Donnees_USDA'!E432+'Donnees_USDA'!E534),"")</f>
        <v>0.04390243902439024</v>
      </c>
      <c r="F23" s="10">
        <f>IF(('Donnees_USDA'!F432+'Donnees_USDA'!F534)&gt;0,'Donnees_USDA'!F330/('Donnees_USDA'!F432+'Donnees_USDA'!F534),"")</f>
        <v>0.042105263157894736</v>
      </c>
      <c r="G23" s="10">
        <f>IF(('Donnees_USDA'!G432+'Donnees_USDA'!G534)&gt;0,'Donnees_USDA'!G330/('Donnees_USDA'!G432+'Donnees_USDA'!G534),"")</f>
        <v>0.044444444444444446</v>
      </c>
      <c r="H23" s="10">
        <f>IF(('Donnees_USDA'!H432+'Donnees_USDA'!H534)&gt;0,'Donnees_USDA'!H330/('Donnees_USDA'!H432+'Donnees_USDA'!H534),"")</f>
        <v>0.048</v>
      </c>
      <c r="I23" s="10">
        <f>IF(('Donnees_USDA'!I432+'Donnees_USDA'!I534)&gt;0,'Donnees_USDA'!I330/('Donnees_USDA'!I432+'Donnees_USDA'!I534),"")</f>
        <v>0.03228699551569507</v>
      </c>
      <c r="J23" s="10">
        <f>IF(('Donnees_USDA'!J432+'Donnees_USDA'!J534)&gt;0,'Donnees_USDA'!J330/('Donnees_USDA'!J432+'Donnees_USDA'!J534),"")</f>
        <v>0.044444444444444446</v>
      </c>
      <c r="K23" s="10">
        <f>IF(('Donnees_USDA'!K432+'Donnees_USDA'!K534)&gt;0,'Donnees_USDA'!K330/('Donnees_USDA'!K432+'Donnees_USDA'!K534),"")</f>
        <v>0.03730569948186528</v>
      </c>
      <c r="L23" s="10">
        <f>IF(('Donnees_USDA'!L432+'Donnees_USDA'!L534)&gt;0,'Donnees_USDA'!L330/('Donnees_USDA'!L432+'Donnees_USDA'!L534),"")</f>
        <v>0.0423728813559322</v>
      </c>
      <c r="M23" s="10">
        <f>IF(('Donnees_USDA'!M432+'Donnees_USDA'!M534)&gt;0,'Donnees_USDA'!M330/('Donnees_USDA'!M432+'Donnees_USDA'!M534),"")</f>
        <v>0.05</v>
      </c>
      <c r="N23" s="10">
        <f>IF(('Donnees_USDA'!N432+'Donnees_USDA'!N534)&gt;0,'Donnees_USDA'!N330/('Donnees_USDA'!N432+'Donnees_USDA'!N534),"")</f>
        <v>0.04516129032258064</v>
      </c>
      <c r="O23" s="10">
        <f>IF(('Donnees_USDA'!O432+'Donnees_USDA'!O534)&gt;0,'Donnees_USDA'!O330/('Donnees_USDA'!O432+'Donnees_USDA'!O534),"")</f>
        <v>0.04</v>
      </c>
      <c r="P23" s="10">
        <f>IF(('Donnees_USDA'!P432+'Donnees_USDA'!P534)&gt;0,'Donnees_USDA'!P330/('Donnees_USDA'!P432+'Donnees_USDA'!P534),"")</f>
        <v>0.03571428571428571</v>
      </c>
      <c r="Q23" s="10">
        <f>IF(('Donnees_USDA'!Q432+'Donnees_USDA'!Q534)&gt;0,'Donnees_USDA'!Q330/('Donnees_USDA'!Q432+'Donnees_USDA'!Q534),"")</f>
        <v>0.04430379746835443</v>
      </c>
      <c r="R23" s="10">
        <f>IF(('Donnees_USDA'!R432+'Donnees_USDA'!R534)&gt;0,'Donnees_USDA'!R330/('Donnees_USDA'!R432+'Donnees_USDA'!R534),"")</f>
        <v>0.04375</v>
      </c>
      <c r="S23" s="10">
        <f>IF(('Donnees_USDA'!S432+'Donnees_USDA'!S534)&gt;0,'Donnees_USDA'!S330/('Donnees_USDA'!S432+'Donnees_USDA'!S534),"")</f>
        <v>0.04375</v>
      </c>
      <c r="T23" s="10">
        <f>AVERAGE(C23:S23)</f>
        <v>0.04021807856275911</v>
      </c>
      <c r="U23" s="10">
        <f>'Donnees_USDA'!S24/'Donnees_USDA'!S102</f>
        <v>0.004217918773429221</v>
      </c>
      <c r="V23" s="10">
        <f>'Donnees_USDA'!S534/'Donnees_USDA'!S612</f>
        <v>0.004720722081649609</v>
      </c>
      <c r="W23" s="10">
        <f>'Donnees_USDA'!S330/'Donnees_USDA'!S405</f>
        <v>0.004225522153809006</v>
      </c>
      <c r="X23" s="24">
        <f>IF('Donnees_USDA'!S534&gt;0,'Donnees_USDA'!S330/'Donnees_USDA'!S534*52,"")</f>
        <v>2.4266666666666667</v>
      </c>
      <c r="Y23" s="10">
        <v>-0.0010490865634579217</v>
      </c>
      <c r="Z23" s="10">
        <v>0.00015337571339400872</v>
      </c>
      <c r="AA23" s="13">
        <v>-0.1936570027837897</v>
      </c>
      <c r="AB23" s="13">
        <v>-0.09069756118119966</v>
      </c>
    </row>
    <row r="24">
      <c r="A24" s="14" t="s">
        <v>114</v>
      </c>
      <c r="B24" s="10">
        <f>'Donnees_USDA'!S739</f>
        <v>1</v>
      </c>
      <c r="C24" s="10">
        <f>IF(('Donnees_USDA'!C433+'Donnees_USDA'!C535)&gt;0,'Donnees_USDA'!C331/('Donnees_USDA'!C433+'Donnees_USDA'!C535),"")</f>
        <v>0.006193425440686041</v>
      </c>
      <c r="D24" s="10">
        <f>IF(('Donnees_USDA'!D433+'Donnees_USDA'!D535)&gt;0,'Donnees_USDA'!D331/('Donnees_USDA'!D433+'Donnees_USDA'!D535),"")</f>
        <v>0.01308139534883721</v>
      </c>
      <c r="E24" s="10">
        <f>IF(('Donnees_USDA'!E433+'Donnees_USDA'!E535)&gt;0,'Donnees_USDA'!E331/('Donnees_USDA'!E433+'Donnees_USDA'!E535),"")</f>
        <v>0.01267605633802817</v>
      </c>
      <c r="F24" s="10">
        <f>IF(('Donnees_USDA'!F433+'Donnees_USDA'!F535)&gt;0,'Donnees_USDA'!F331/('Donnees_USDA'!F433+'Donnees_USDA'!F535),"")</f>
        <v>0.017218543046357615</v>
      </c>
      <c r="G24" s="10">
        <f>IF(('Donnees_USDA'!G433+'Donnees_USDA'!G535)&gt;0,'Donnees_USDA'!G331/('Donnees_USDA'!G433+'Donnees_USDA'!G535),"")</f>
        <v>0.02057142857142857</v>
      </c>
      <c r="H24" s="10">
        <f>IF(('Donnees_USDA'!H433+'Donnees_USDA'!H535)&gt;0,'Donnees_USDA'!H331/('Donnees_USDA'!H433+'Donnees_USDA'!H535),"")</f>
        <v>0.01699346405228758</v>
      </c>
      <c r="I24" s="10">
        <f>IF(('Donnees_USDA'!I433+'Donnees_USDA'!I535)&gt;0,'Donnees_USDA'!I331/('Donnees_USDA'!I433+'Donnees_USDA'!I535),"")</f>
        <v>0.035668789808917196</v>
      </c>
      <c r="J24" s="10">
        <f>IF(('Donnees_USDA'!J433+'Donnees_USDA'!J535)&gt;0,'Donnees_USDA'!J331/('Donnees_USDA'!J433+'Donnees_USDA'!J535),"")</f>
        <v>0.032</v>
      </c>
      <c r="K24" s="10">
        <f>IF(('Donnees_USDA'!K433+'Donnees_USDA'!K535)&gt;0,'Donnees_USDA'!K331/('Donnees_USDA'!K433+'Donnees_USDA'!K535),"")</f>
        <v>0.04728950403690888</v>
      </c>
      <c r="L24" s="10">
        <f>IF(('Donnees_USDA'!L433+'Donnees_USDA'!L535)&gt;0,'Donnees_USDA'!L331/('Donnees_USDA'!L433+'Donnees_USDA'!L535),"")</f>
        <v>0.01090909090909091</v>
      </c>
      <c r="M24" s="10">
        <f>IF(('Donnees_USDA'!M433+'Donnees_USDA'!M535)&gt;0,'Donnees_USDA'!M331/('Donnees_USDA'!M433+'Donnees_USDA'!M535),"")</f>
        <v>0.027522935779816515</v>
      </c>
      <c r="N24" s="10">
        <f>IF(('Donnees_USDA'!N433+'Donnees_USDA'!N535)&gt;0,'Donnees_USDA'!N331/('Donnees_USDA'!N433+'Donnees_USDA'!N535),"")</f>
        <v>0.016908212560386472</v>
      </c>
      <c r="O24" s="10">
        <f>IF(('Donnees_USDA'!O433+'Donnees_USDA'!O535)&gt;0,'Donnees_USDA'!O331/('Donnees_USDA'!O433+'Donnees_USDA'!O535),"")</f>
        <v>0.012594458438287154</v>
      </c>
      <c r="P24" s="10">
        <f>IF(('Donnees_USDA'!P433+'Donnees_USDA'!P535)&gt;0,'Donnees_USDA'!P331/('Donnees_USDA'!P433+'Donnees_USDA'!P535),"")</f>
        <v>0.13820078226857888</v>
      </c>
      <c r="Q24" s="10">
        <f>IF(('Donnees_USDA'!Q433+'Donnees_USDA'!Q535)&gt;0,'Donnees_USDA'!Q331/('Donnees_USDA'!Q433+'Donnees_USDA'!Q535),"")</f>
        <v>0.19924337957124844</v>
      </c>
      <c r="R24" s="10">
        <f>IF(('Donnees_USDA'!R433+'Donnees_USDA'!R535)&gt;0,'Donnees_USDA'!R331/('Donnees_USDA'!R433+'Donnees_USDA'!R535),"")</f>
        <v>0.1695501730103806</v>
      </c>
      <c r="S24" s="10">
        <f>IF(('Donnees_USDA'!S433+'Donnees_USDA'!S535)&gt;0,'Donnees_USDA'!S331/('Donnees_USDA'!S433+'Donnees_USDA'!S535),"")</f>
        <v>0.08956916099773243</v>
      </c>
      <c r="T24" s="10">
        <f>AVERAGE(C24:S24)</f>
        <v>0.0509524000105278</v>
      </c>
      <c r="U24" s="10">
        <f>'Donnees_USDA'!S25/'Donnees_USDA'!S102</f>
        <v>0.002857639968998297</v>
      </c>
      <c r="V24" s="10">
        <f>'Donnees_USDA'!S535/'Donnees_USDA'!S612</f>
        <v>0.003417802787114317</v>
      </c>
      <c r="W24" s="10">
        <f>'Donnees_USDA'!S331/'Donnees_USDA'!S405</f>
        <v>0.0095376071471689</v>
      </c>
      <c r="X24" s="24">
        <f>IF('Donnees_USDA'!S535&gt;0,'Donnees_USDA'!S331/'Donnees_USDA'!S535*52,"")</f>
        <v>7.565377532228361</v>
      </c>
      <c r="Y24" s="10">
        <v>0.0006260427756160307</v>
      </c>
      <c r="Z24" s="10">
        <v>-0.0008770889269778478</v>
      </c>
      <c r="AA24" s="13">
        <v>0.6485616129552</v>
      </c>
      <c r="AB24" s="13">
        <v>0.8657300674465351</v>
      </c>
    </row>
    <row r="25">
      <c r="A25" s="14" t="s">
        <v>115</v>
      </c>
      <c r="B25" s="10">
        <f>'Donnees_USDA'!S740</f>
        <v>0</v>
      </c>
      <c r="C25" s="10">
        <f>IF(('Donnees_USDA'!C434+'Donnees_USDA'!C536)&gt;0,'Donnees_USDA'!C332/('Donnees_USDA'!C434+'Donnees_USDA'!C536),"")</f>
        <v>0</v>
      </c>
      <c r="D25" s="10">
        <f>IF(('Donnees_USDA'!D434+'Donnees_USDA'!D536)&gt;0,'Donnees_USDA'!D332/('Donnees_USDA'!D434+'Donnees_USDA'!D536),"")</f>
        <v>0</v>
      </c>
      <c r="E25" s="10">
        <f>IF(('Donnees_USDA'!E434+'Donnees_USDA'!E536)&gt;0,'Donnees_USDA'!E332/('Donnees_USDA'!E434+'Donnees_USDA'!E536),"")</f>
        <v>0</v>
      </c>
      <c r="F25" s="10">
        <f>IF(('Donnees_USDA'!F434+'Donnees_USDA'!F536)&gt;0,'Donnees_USDA'!F332/('Donnees_USDA'!F434+'Donnees_USDA'!F536),"")</f>
        <v>0</v>
      </c>
      <c r="G25" s="10">
        <f>IF(('Donnees_USDA'!G434+'Donnees_USDA'!G536)&gt;0,'Donnees_USDA'!G332/('Donnees_USDA'!G434+'Donnees_USDA'!G536),"")</f>
        <v>0</v>
      </c>
      <c r="H25" s="10">
        <f>IF(('Donnees_USDA'!H434+'Donnees_USDA'!H536)&gt;0,'Donnees_USDA'!H332/('Donnees_USDA'!H434+'Donnees_USDA'!H536),"")</f>
        <v>0</v>
      </c>
      <c r="I25" s="10">
        <f>IF(('Donnees_USDA'!I434+'Donnees_USDA'!I536)&gt;0,'Donnees_USDA'!I332/('Donnees_USDA'!I434+'Donnees_USDA'!I536),"")</f>
        <v>0</v>
      </c>
      <c r="J25" s="10">
        <f>IF(('Donnees_USDA'!J434+'Donnees_USDA'!J536)&gt;0,'Donnees_USDA'!J332/('Donnees_USDA'!J434+'Donnees_USDA'!J536),"")</f>
        <v>0</v>
      </c>
      <c r="K25" s="10">
        <f>IF(('Donnees_USDA'!K434+'Donnees_USDA'!K536)&gt;0,'Donnees_USDA'!K332/('Donnees_USDA'!K434+'Donnees_USDA'!K536),"")</f>
        <v>0</v>
      </c>
      <c r="L25" s="10">
        <f>IF(('Donnees_USDA'!L434+'Donnees_USDA'!L536)&gt;0,'Donnees_USDA'!L332/('Donnees_USDA'!L434+'Donnees_USDA'!L536),"")</f>
        <v>0</v>
      </c>
      <c r="M25" s="10">
        <f>IF(('Donnees_USDA'!M434+'Donnees_USDA'!M536)&gt;0,'Donnees_USDA'!M332/('Donnees_USDA'!M434+'Donnees_USDA'!M536),"")</f>
        <v>0</v>
      </c>
      <c r="N25" s="10">
        <f>IF(('Donnees_USDA'!N434+'Donnees_USDA'!N536)&gt;0,'Donnees_USDA'!N332/('Donnees_USDA'!N434+'Donnees_USDA'!N536),"")</f>
        <v>0</v>
      </c>
      <c r="O25" s="10">
        <f>IF(('Donnees_USDA'!O434+'Donnees_USDA'!O536)&gt;0,'Donnees_USDA'!O332/('Donnees_USDA'!O434+'Donnees_USDA'!O536),"")</f>
        <v>0</v>
      </c>
      <c r="P25" s="10">
        <f>IF(('Donnees_USDA'!P434+'Donnees_USDA'!P536)&gt;0,'Donnees_USDA'!P332/('Donnees_USDA'!P434+'Donnees_USDA'!P536),"")</f>
        <v>0</v>
      </c>
      <c r="Q25" s="10">
        <f>IF(('Donnees_USDA'!Q434+'Donnees_USDA'!Q536)&gt;0,'Donnees_USDA'!Q332/('Donnees_USDA'!Q434+'Donnees_USDA'!Q536),"")</f>
        <v>0</v>
      </c>
      <c r="R25" s="10">
        <f>IF(('Donnees_USDA'!R434+'Donnees_USDA'!R536)&gt;0,'Donnees_USDA'!R332/('Donnees_USDA'!R434+'Donnees_USDA'!R536),"")</f>
        <v>0</v>
      </c>
      <c r="S25" s="10">
        <f>IF(('Donnees_USDA'!S434+'Donnees_USDA'!S536)&gt;0,'Donnees_USDA'!S332/('Donnees_USDA'!S434+'Donnees_USDA'!S536),"")</f>
        <v>0</v>
      </c>
      <c r="T25" s="10">
        <f>AVERAGE(C25:S25)</f>
        <v>0</v>
      </c>
      <c r="U25" s="10">
        <f>'Donnees_USDA'!S26/'Donnees_USDA'!S102</f>
        <v>0.002636199233393263</v>
      </c>
      <c r="V25" s="10">
        <f>'Donnees_USDA'!S536/'Donnees_USDA'!S612</f>
        <v>0.002517718443546458</v>
      </c>
      <c r="W25" s="10">
        <f>'Donnees_USDA'!S332/'Donnees_USDA'!S405</f>
        <v>0</v>
      </c>
      <c r="X25" s="24">
        <f>IF('Donnees_USDA'!S536&gt;0,'Donnees_USDA'!S332/'Donnees_USDA'!S536*52,"")</f>
        <v>0</v>
      </c>
      <c r="Y25" s="10">
        <v>-0.0001933905789771866</v>
      </c>
      <c r="Z25" s="10">
        <v>0</v>
      </c>
      <c r="AA25" s="13"/>
      <c r="AB25" s="13"/>
    </row>
    <row r="26">
      <c r="A26" s="14" t="s">
        <v>116</v>
      </c>
      <c r="B26" s="10">
        <f>'Donnees_USDA'!S741</f>
        <v>0.2857142857142857</v>
      </c>
      <c r="C26" s="10">
        <f>IF(('Donnees_USDA'!C435+'Donnees_USDA'!C537)&gt;0,'Donnees_USDA'!C333/('Donnees_USDA'!C435+'Donnees_USDA'!C537),"")</f>
        <v>0.09828178694158075</v>
      </c>
      <c r="D26" s="10">
        <f>IF(('Donnees_USDA'!D435+'Donnees_USDA'!D537)&gt;0,'Donnees_USDA'!D333/('Donnees_USDA'!D435+'Donnees_USDA'!D537),"")</f>
        <v>0.11682504192286193</v>
      </c>
      <c r="E26" s="10">
        <f>IF(('Donnees_USDA'!E435+'Donnees_USDA'!E537)&gt;0,'Donnees_USDA'!E333/('Donnees_USDA'!E435+'Donnees_USDA'!E537),"")</f>
        <v>0.173109243697479</v>
      </c>
      <c r="F26" s="10">
        <f>IF(('Donnees_USDA'!F435+'Donnees_USDA'!F537)&gt;0,'Donnees_USDA'!F333/('Donnees_USDA'!F435+'Donnees_USDA'!F537),"")</f>
        <v>0.3295819935691318</v>
      </c>
      <c r="G26" s="10">
        <f>IF(('Donnees_USDA'!G435+'Donnees_USDA'!G537)&gt;0,'Donnees_USDA'!G333/('Donnees_USDA'!G435+'Donnees_USDA'!G537),"")</f>
        <v>0.3463203463203463</v>
      </c>
      <c r="H26" s="10">
        <f>IF(('Donnees_USDA'!H435+'Donnees_USDA'!H537)&gt;0,'Donnees_USDA'!H333/('Donnees_USDA'!H435+'Donnees_USDA'!H537),"")</f>
        <v>0.1891891891891892</v>
      </c>
      <c r="I26" s="10">
        <f>IF(('Donnees_USDA'!I435+'Donnees_USDA'!I537)&gt;0,'Donnees_USDA'!I333/('Donnees_USDA'!I435+'Donnees_USDA'!I537),"")</f>
        <v>0.2996207332490518</v>
      </c>
      <c r="J26" s="10">
        <f>IF(('Donnees_USDA'!J435+'Donnees_USDA'!J537)&gt;0,'Donnees_USDA'!J333/('Donnees_USDA'!J435+'Donnees_USDA'!J537),"")</f>
        <v>0.22732123799359658</v>
      </c>
      <c r="K26" s="10">
        <f>IF(('Donnees_USDA'!K435+'Donnees_USDA'!K537)&gt;0,'Donnees_USDA'!K333/('Donnees_USDA'!K435+'Donnees_USDA'!K537),"")</f>
        <v>0.2727272727272727</v>
      </c>
      <c r="L26" s="10">
        <f>IF(('Donnees_USDA'!L435+'Donnees_USDA'!L537)&gt;0,'Donnees_USDA'!L333/('Donnees_USDA'!L435+'Donnees_USDA'!L537),"")</f>
        <v>0.29829545454545453</v>
      </c>
      <c r="M26" s="10">
        <f>IF(('Donnees_USDA'!M435+'Donnees_USDA'!M537)&gt;0,'Donnees_USDA'!M333/('Donnees_USDA'!M435+'Donnees_USDA'!M537),"")</f>
        <v>0.22462787550744248</v>
      </c>
      <c r="N26" s="10">
        <f>IF(('Donnees_USDA'!N435+'Donnees_USDA'!N537)&gt;0,'Donnees_USDA'!N333/('Donnees_USDA'!N435+'Donnees_USDA'!N537),"")</f>
        <v>0.22965116279069767</v>
      </c>
      <c r="O26" s="10">
        <f>IF(('Donnees_USDA'!O435+'Donnees_USDA'!O537)&gt;0,'Donnees_USDA'!O333/('Donnees_USDA'!O435+'Donnees_USDA'!O537),"")</f>
        <v>0.11475409836065574</v>
      </c>
      <c r="P26" s="10">
        <f>IF(('Donnees_USDA'!P435+'Donnees_USDA'!P537)&gt;0,'Donnees_USDA'!P333/('Donnees_USDA'!P435+'Donnees_USDA'!P537),"")</f>
        <v>0.12610340479192939</v>
      </c>
      <c r="Q26" s="10">
        <f>IF(('Donnees_USDA'!Q435+'Donnees_USDA'!Q537)&gt;0,'Donnees_USDA'!Q333/('Donnees_USDA'!Q435+'Donnees_USDA'!Q537),"")</f>
        <v>0.11392405063291139</v>
      </c>
      <c r="R26" s="10">
        <f>IF(('Donnees_USDA'!R435+'Donnees_USDA'!R537)&gt;0,'Donnees_USDA'!R333/('Donnees_USDA'!R435+'Donnees_USDA'!R537),"")</f>
        <v>0.07453416149068323</v>
      </c>
      <c r="S26" s="10">
        <f>IF(('Donnees_USDA'!S435+'Donnees_USDA'!S537)&gt;0,'Donnees_USDA'!S333/('Donnees_USDA'!S435+'Donnees_USDA'!S537),"")</f>
        <v>0.037267080745341616</v>
      </c>
      <c r="T26" s="10">
        <f>AVERAGE(C26:S26)</f>
        <v>0.19247847849856625</v>
      </c>
      <c r="U26" s="10">
        <f>'Donnees_USDA'!S27/'Donnees_USDA'!S102</f>
        <v>0.001845339463375284</v>
      </c>
      <c r="V26" s="10">
        <f>'Donnees_USDA'!S537/'Donnees_USDA'!S612</f>
        <v>0.0027065473268124427</v>
      </c>
      <c r="W26" s="10">
        <f>'Donnees_USDA'!S333/'Donnees_USDA'!S405</f>
        <v>0.003621876131836291</v>
      </c>
      <c r="X26" s="24">
        <f>IF('Donnees_USDA'!S537&gt;0,'Donnees_USDA'!S333/'Donnees_USDA'!S537*52,"")</f>
        <v>3.627906976744186</v>
      </c>
      <c r="Y26" s="10">
        <v>-0.0025354815413323787</v>
      </c>
      <c r="Z26" s="10">
        <v>0.010608951414032366</v>
      </c>
      <c r="AA26" s="13">
        <v>-0.6729577619011137</v>
      </c>
      <c r="AB26" s="13">
        <v>-0.6396987710787234</v>
      </c>
    </row>
    <row r="27">
      <c r="A27" s="14" t="s">
        <v>117</v>
      </c>
      <c r="B27" s="10">
        <f>'Donnees_USDA'!S742</f>
        <v>1</v>
      </c>
      <c r="C27" s="10">
        <f>IF(('Donnees_USDA'!C436+'Donnees_USDA'!C538)&gt;0,'Donnees_USDA'!C334/('Donnees_USDA'!C436+'Donnees_USDA'!C538),"")</f>
        <v>0</v>
      </c>
      <c r="D27" s="10">
        <f>IF(('Donnees_USDA'!D436+'Donnees_USDA'!D538)&gt;0,'Donnees_USDA'!D334/('Donnees_USDA'!D436+'Donnees_USDA'!D538),"")</f>
        <v>0</v>
      </c>
      <c r="E27" s="10">
        <f>IF(('Donnees_USDA'!E436+'Donnees_USDA'!E538)&gt;0,'Donnees_USDA'!E334/('Donnees_USDA'!E436+'Donnees_USDA'!E538),"")</f>
        <v>0</v>
      </c>
      <c r="F27" s="10">
        <f>IF(('Donnees_USDA'!F436+'Donnees_USDA'!F538)&gt;0,'Donnees_USDA'!F334/('Donnees_USDA'!F436+'Donnees_USDA'!F538),"")</f>
        <v>0</v>
      </c>
      <c r="G27" s="10">
        <f>IF(('Donnees_USDA'!G436+'Donnees_USDA'!G538)&gt;0,'Donnees_USDA'!G334/('Donnees_USDA'!G436+'Donnees_USDA'!G538),"")</f>
        <v>0</v>
      </c>
      <c r="H27" s="10">
        <f>IF(('Donnees_USDA'!H436+'Donnees_USDA'!H538)&gt;0,'Donnees_USDA'!H334/('Donnees_USDA'!H436+'Donnees_USDA'!H538),"")</f>
        <v>0</v>
      </c>
      <c r="I27" s="10">
        <f>IF(('Donnees_USDA'!I436+'Donnees_USDA'!I538)&gt;0,'Donnees_USDA'!I334/('Donnees_USDA'!I436+'Donnees_USDA'!I538),"")</f>
        <v>0</v>
      </c>
      <c r="J27" s="10">
        <f>IF(('Donnees_USDA'!J436+'Donnees_USDA'!J538)&gt;0,'Donnees_USDA'!J334/('Donnees_USDA'!J436+'Donnees_USDA'!J538),"")</f>
        <v>0</v>
      </c>
      <c r="K27" s="10">
        <f>IF(('Donnees_USDA'!K436+'Donnees_USDA'!K538)&gt;0,'Donnees_USDA'!K334/('Donnees_USDA'!K436+'Donnees_USDA'!K538),"")</f>
        <v>0</v>
      </c>
      <c r="L27" s="10">
        <f>IF(('Donnees_USDA'!L436+'Donnees_USDA'!L538)&gt;0,'Donnees_USDA'!L334/('Donnees_USDA'!L436+'Donnees_USDA'!L538),"")</f>
        <v>0</v>
      </c>
      <c r="M27" s="10">
        <f>IF(('Donnees_USDA'!M436+'Donnees_USDA'!M538)&gt;0,'Donnees_USDA'!M334/('Donnees_USDA'!M436+'Donnees_USDA'!M538),"")</f>
        <v>0</v>
      </c>
      <c r="N27" s="10">
        <f>IF(('Donnees_USDA'!N436+'Donnees_USDA'!N538)&gt;0,'Donnees_USDA'!N334/('Donnees_USDA'!N436+'Donnees_USDA'!N538),"")</f>
        <v>0</v>
      </c>
      <c r="O27" s="10">
        <f>IF(('Donnees_USDA'!O436+'Donnees_USDA'!O538)&gt;0,'Donnees_USDA'!O334/('Donnees_USDA'!O436+'Donnees_USDA'!O538),"")</f>
        <v>0</v>
      </c>
      <c r="P27" s="10">
        <f>IF(('Donnees_USDA'!P436+'Donnees_USDA'!P538)&gt;0,'Donnees_USDA'!P334/('Donnees_USDA'!P436+'Donnees_USDA'!P538),"")</f>
        <v>0</v>
      </c>
      <c r="Q27" s="10">
        <f>IF(('Donnees_USDA'!Q436+'Donnees_USDA'!Q538)&gt;0,'Donnees_USDA'!Q334/('Donnees_USDA'!Q436+'Donnees_USDA'!Q538),"")</f>
        <v>0</v>
      </c>
      <c r="R27" s="10">
        <f>IF(('Donnees_USDA'!R436+'Donnees_USDA'!R538)&gt;0,'Donnees_USDA'!R334/('Donnees_USDA'!R436+'Donnees_USDA'!R538),"")</f>
        <v>0</v>
      </c>
      <c r="S27" s="10">
        <f>IF(('Donnees_USDA'!S436+'Donnees_USDA'!S538)&gt;0,'Donnees_USDA'!S334/('Donnees_USDA'!S436+'Donnees_USDA'!S538),"")</f>
        <v>0</v>
      </c>
      <c r="T27" s="10">
        <f>AVERAGE(C27:S27)</f>
        <v>0</v>
      </c>
      <c r="U27" s="10">
        <f>'Donnees_USDA'!S28/'Donnees_USDA'!S102</f>
        <v>0.001845339463375284</v>
      </c>
      <c r="V27" s="10">
        <f>'Donnees_USDA'!S538/'Donnees_USDA'!S612</f>
        <v>0.002203003638103151</v>
      </c>
      <c r="W27" s="10">
        <f>'Donnees_USDA'!S334/'Donnees_USDA'!S405</f>
        <v>0</v>
      </c>
      <c r="X27" s="24">
        <f>IF('Donnees_USDA'!S538&gt;0,'Donnees_USDA'!S334/'Donnees_USDA'!S538*52,"")</f>
        <v>0</v>
      </c>
      <c r="Y27" s="10">
        <v>-0.0013378260381239494</v>
      </c>
      <c r="Z27" s="10">
        <v>0</v>
      </c>
      <c r="AA27" s="13"/>
      <c r="AB27" s="13"/>
    </row>
    <row r="28">
      <c r="A28" s="14" t="s">
        <v>118</v>
      </c>
      <c r="B28" s="10">
        <f>'Donnees_USDA'!S743</f>
        <v>0.08333333333333333</v>
      </c>
      <c r="C28" s="10">
        <f>IF(('Donnees_USDA'!C437+'Donnees_USDA'!C539)&gt;0,'Donnees_USDA'!C335/('Donnees_USDA'!C437+'Donnees_USDA'!C539),"")</f>
        <v>0.02142857142857143</v>
      </c>
      <c r="D28" s="10">
        <f>IF(('Donnees_USDA'!D437+'Donnees_USDA'!D539)&gt;0,'Donnees_USDA'!D335/('Donnees_USDA'!D437+'Donnees_USDA'!D539),"")</f>
        <v>0.012612612612612612</v>
      </c>
      <c r="E28" s="10">
        <f>IF(('Donnees_USDA'!E437+'Donnees_USDA'!E539)&gt;0,'Donnees_USDA'!E335/('Donnees_USDA'!E437+'Donnees_USDA'!E539),"")</f>
        <v>0.013333333333333334</v>
      </c>
      <c r="F28" s="10">
        <f>IF(('Donnees_USDA'!F437+'Donnees_USDA'!F539)&gt;0,'Donnees_USDA'!F335/('Donnees_USDA'!F437+'Donnees_USDA'!F539),"")</f>
        <v>0</v>
      </c>
      <c r="G28" s="10">
        <f>IF(('Donnees_USDA'!G437+'Donnees_USDA'!G539)&gt;0,'Donnees_USDA'!G335/('Donnees_USDA'!G437+'Donnees_USDA'!G539),"")</f>
        <v>0</v>
      </c>
      <c r="H28" s="10">
        <f>IF(('Donnees_USDA'!H437+'Donnees_USDA'!H539)&gt;0,'Donnees_USDA'!H335/('Donnees_USDA'!H437+'Donnees_USDA'!H539),"")</f>
        <v>0</v>
      </c>
      <c r="I28" s="10">
        <f>IF(('Donnees_USDA'!I437+'Donnees_USDA'!I539)&gt;0,'Donnees_USDA'!I335/('Donnees_USDA'!I437+'Donnees_USDA'!I539),"")</f>
        <v>0</v>
      </c>
      <c r="J28" s="10">
        <f>IF(('Donnees_USDA'!J437+'Donnees_USDA'!J539)&gt;0,'Donnees_USDA'!J335/('Donnees_USDA'!J437+'Donnees_USDA'!J539),"")</f>
        <v>0</v>
      </c>
      <c r="K28" s="10">
        <f>IF(('Donnees_USDA'!K437+'Donnees_USDA'!K539)&gt;0,'Donnees_USDA'!K335/('Donnees_USDA'!K437+'Donnees_USDA'!K539),"")</f>
        <v>0</v>
      </c>
      <c r="L28" s="10">
        <f>IF(('Donnees_USDA'!L437+'Donnees_USDA'!L539)&gt;0,'Donnees_USDA'!L335/('Donnees_USDA'!L437+'Donnees_USDA'!L539),"")</f>
        <v>0</v>
      </c>
      <c r="M28" s="10">
        <f>IF(('Donnees_USDA'!M437+'Donnees_USDA'!M539)&gt;0,'Donnees_USDA'!M335/('Donnees_USDA'!M437+'Donnees_USDA'!M539),"")</f>
        <v>0</v>
      </c>
      <c r="N28" s="10">
        <f>IF(('Donnees_USDA'!N437+'Donnees_USDA'!N539)&gt;0,'Donnees_USDA'!N335/('Donnees_USDA'!N437+'Donnees_USDA'!N539),"")</f>
        <v>0</v>
      </c>
      <c r="O28" s="10">
        <f>IF(('Donnees_USDA'!O437+'Donnees_USDA'!O539)&gt;0,'Donnees_USDA'!O335/('Donnees_USDA'!O437+'Donnees_USDA'!O539),"")</f>
        <v>0</v>
      </c>
      <c r="P28" s="10">
        <f>IF(('Donnees_USDA'!P437+'Donnees_USDA'!P539)&gt;0,'Donnees_USDA'!P335/('Donnees_USDA'!P437+'Donnees_USDA'!P539),"")</f>
        <v>0</v>
      </c>
      <c r="Q28" s="10">
        <f>IF(('Donnees_USDA'!Q437+'Donnees_USDA'!Q539)&gt;0,'Donnees_USDA'!Q335/('Donnees_USDA'!Q437+'Donnees_USDA'!Q539),"")</f>
        <v>0</v>
      </c>
      <c r="R28" s="10">
        <f>IF(('Donnees_USDA'!R437+'Donnees_USDA'!R539)&gt;0,'Donnees_USDA'!R335/('Donnees_USDA'!R437+'Donnees_USDA'!R539),"")</f>
        <v>0</v>
      </c>
      <c r="S28" s="10">
        <f>IF(('Donnees_USDA'!S437+'Donnees_USDA'!S539)&gt;0,'Donnees_USDA'!S335/('Donnees_USDA'!S437+'Donnees_USDA'!S539),"")</f>
        <v>0</v>
      </c>
      <c r="T28" s="10">
        <f>AVERAGE(C28:S28)</f>
        <v>0.0027867363161480814</v>
      </c>
      <c r="U28" s="10">
        <f>'Donnees_USDA'!S29/'Donnees_USDA'!S102</f>
        <v>0.0015817195400359577</v>
      </c>
      <c r="V28" s="10">
        <f>'Donnees_USDA'!S539/'Donnees_USDA'!S612</f>
        <v>0.0006294296108866145</v>
      </c>
      <c r="W28" s="10">
        <f>'Donnees_USDA'!S335/'Donnees_USDA'!S405</f>
        <v>0</v>
      </c>
      <c r="X28" s="24">
        <f>IF('Donnees_USDA'!S539&gt;0,'Donnees_USDA'!S335/'Donnees_USDA'!S539*52,"")</f>
        <v>0</v>
      </c>
      <c r="Y28" s="10">
        <v>0.0021658545781844253</v>
      </c>
      <c r="Z28" s="10">
        <v>-9.301204954440886e-05</v>
      </c>
      <c r="AA28" s="13">
        <v>0.21235161172624695</v>
      </c>
      <c r="AB28" s="13">
        <v>-0.019354669960594737</v>
      </c>
    </row>
    <row r="29">
      <c r="A29" s="14" t="s">
        <v>119</v>
      </c>
      <c r="B29" s="10">
        <f>'Donnees_USDA'!S744</f>
        <v>0.11627906976744186</v>
      </c>
      <c r="C29" s="10">
        <f>IF(('Donnees_USDA'!C438+'Donnees_USDA'!C540)&gt;0,'Donnees_USDA'!C336/('Donnees_USDA'!C438+'Donnees_USDA'!C540),"")</f>
        <v>0.04689655172413793</v>
      </c>
      <c r="D29" s="10">
        <f>IF(('Donnees_USDA'!D438+'Donnees_USDA'!D540)&gt;0,'Donnees_USDA'!D336/('Donnees_USDA'!D438+'Donnees_USDA'!D540),"")</f>
        <v>0.032214765100671144</v>
      </c>
      <c r="E29" s="10">
        <f>IF(('Donnees_USDA'!E438+'Donnees_USDA'!E540)&gt;0,'Donnees_USDA'!E336/('Donnees_USDA'!E438+'Donnees_USDA'!E540),"")</f>
        <v>0.044859813084112146</v>
      </c>
      <c r="F29" s="10">
        <f>IF(('Donnees_USDA'!F438+'Donnees_USDA'!F540)&gt;0,'Donnees_USDA'!F336/('Donnees_USDA'!F438+'Donnees_USDA'!F540),"")</f>
        <v>0.0589622641509434</v>
      </c>
      <c r="G29" s="10">
        <f>IF(('Donnees_USDA'!G438+'Donnees_USDA'!G540)&gt;0,'Donnees_USDA'!G336/('Donnees_USDA'!G438+'Donnees_USDA'!G540),"")</f>
        <v>0.05263157894736842</v>
      </c>
      <c r="H29" s="10">
        <f>IF(('Donnees_USDA'!H438+'Donnees_USDA'!H540)&gt;0,'Donnees_USDA'!H336/('Donnees_USDA'!H438+'Donnees_USDA'!H540),"")</f>
        <v>0.056451612903225805</v>
      </c>
      <c r="I29" s="10">
        <f>IF(('Donnees_USDA'!I438+'Donnees_USDA'!I540)&gt;0,'Donnees_USDA'!I336/('Donnees_USDA'!I438+'Donnees_USDA'!I540),"")</f>
        <v>0.08080808080808081</v>
      </c>
      <c r="J29" s="10">
        <f>IF(('Donnees_USDA'!J438+'Donnees_USDA'!J540)&gt;0,'Donnees_USDA'!J336/('Donnees_USDA'!J438+'Donnees_USDA'!J540),"")</f>
        <v>0.09411764705882353</v>
      </c>
      <c r="K29" s="10">
        <f>IF(('Donnees_USDA'!K438+'Donnees_USDA'!K540)&gt;0,'Donnees_USDA'!K336/('Donnees_USDA'!K438+'Donnees_USDA'!K540),"")</f>
        <v>0.07692307692307693</v>
      </c>
      <c r="L29" s="10">
        <f>IF(('Donnees_USDA'!L438+'Donnees_USDA'!L540)&gt;0,'Donnees_USDA'!L336/('Donnees_USDA'!L438+'Donnees_USDA'!L540),"")</f>
        <v>0.0625</v>
      </c>
      <c r="M29" s="10">
        <f>IF(('Donnees_USDA'!M438+'Donnees_USDA'!M540)&gt;0,'Donnees_USDA'!M336/('Donnees_USDA'!M438+'Donnees_USDA'!M540),"")</f>
        <v>0.04878048780487805</v>
      </c>
      <c r="N29" s="10">
        <f>IF(('Donnees_USDA'!N438+'Donnees_USDA'!N540)&gt;0,'Donnees_USDA'!N336/('Donnees_USDA'!N438+'Donnees_USDA'!N540),"")</f>
        <v>0.09259259259259259</v>
      </c>
      <c r="O29" s="10">
        <f>IF(('Donnees_USDA'!O438+'Donnees_USDA'!O540)&gt;0,'Donnees_USDA'!O336/('Donnees_USDA'!O438+'Donnees_USDA'!O540),"")</f>
        <v>0.07272727272727272</v>
      </c>
      <c r="P29" s="10">
        <f>IF(('Donnees_USDA'!P438+'Donnees_USDA'!P540)&gt;0,'Donnees_USDA'!P336/('Donnees_USDA'!P438+'Donnees_USDA'!P540),"")</f>
        <v>0.044444444444444446</v>
      </c>
      <c r="Q29" s="10">
        <f>IF(('Donnees_USDA'!Q438+'Donnees_USDA'!Q540)&gt;0,'Donnees_USDA'!Q336/('Donnees_USDA'!Q438+'Donnees_USDA'!Q540),"")</f>
        <v>0.04878048780487805</v>
      </c>
      <c r="R29" s="10">
        <f>IF(('Donnees_USDA'!R438+'Donnees_USDA'!R540)&gt;0,'Donnees_USDA'!R336/('Donnees_USDA'!R438+'Donnees_USDA'!R540),"")</f>
        <v>0.044444444444444446</v>
      </c>
      <c r="S29" s="10">
        <f>IF(('Donnees_USDA'!S438+'Donnees_USDA'!S540)&gt;0,'Donnees_USDA'!S336/('Donnees_USDA'!S438+'Donnees_USDA'!S540),"")</f>
        <v>0.046511627906976744</v>
      </c>
      <c r="T29" s="10">
        <f>AVERAGE(C29:S29)</f>
        <v>0.059096867554466304</v>
      </c>
      <c r="U29" s="10">
        <f>'Donnees_USDA'!S30/'Donnees_USDA'!S102</f>
        <v>0.001133565670359103</v>
      </c>
      <c r="V29" s="10">
        <f>'Donnees_USDA'!S540/'Donnees_USDA'!S612</f>
        <v>0.0009441444163299219</v>
      </c>
      <c r="W29" s="10">
        <f>'Donnees_USDA'!S336/'Donnees_USDA'!S405</f>
        <v>0.0012072920439454304</v>
      </c>
      <c r="X29" s="24">
        <f>IF('Donnees_USDA'!S540&gt;0,'Donnees_USDA'!S336/'Donnees_USDA'!S540*52,"")</f>
        <v>3.466666666666667</v>
      </c>
      <c r="Y29" s="10">
        <v>-0.0030046812548675072</v>
      </c>
      <c r="Z29" s="10">
        <v>-0.00032346644215242303</v>
      </c>
      <c r="AA29" s="13">
        <v>-0.39780997196805284</v>
      </c>
      <c r="AB29" s="13">
        <v>-0.3252561612038024</v>
      </c>
    </row>
    <row r="30">
      <c r="A30" s="14" t="s">
        <v>120</v>
      </c>
      <c r="B30" s="10">
        <f>'Donnees_USDA'!S745</f>
        <v>0.3125</v>
      </c>
      <c r="C30" s="10">
        <f>IF(('Donnees_USDA'!C439+'Donnees_USDA'!C541)&gt;0,'Donnees_USDA'!C337/('Donnees_USDA'!C439+'Donnees_USDA'!C541),"")</f>
        <v>0.08727272727272728</v>
      </c>
      <c r="D30" s="10">
        <f>IF(('Donnees_USDA'!D439+'Donnees_USDA'!D541)&gt;0,'Donnees_USDA'!D337/('Donnees_USDA'!D439+'Donnees_USDA'!D541),"")</f>
        <v>0.03717472118959108</v>
      </c>
      <c r="E30" s="10">
        <f>IF(('Donnees_USDA'!E439+'Donnees_USDA'!E541)&gt;0,'Donnees_USDA'!E337/('Donnees_USDA'!E439+'Donnees_USDA'!E541),"")</f>
        <v>0.043478260869565216</v>
      </c>
      <c r="F30" s="10">
        <f>IF(('Donnees_USDA'!F439+'Donnees_USDA'!F541)&gt;0,'Donnees_USDA'!F337/('Donnees_USDA'!F439+'Donnees_USDA'!F541),"")</f>
        <v>0.041666666666666664</v>
      </c>
      <c r="G30" s="10">
        <f>IF(('Donnees_USDA'!G439+'Donnees_USDA'!G541)&gt;0,'Donnees_USDA'!G337/('Donnees_USDA'!G439+'Donnees_USDA'!G541),"")</f>
        <v>0.045454545454545456</v>
      </c>
      <c r="H30" s="10">
        <f>IF(('Donnees_USDA'!H439+'Donnees_USDA'!H541)&gt;0,'Donnees_USDA'!H337/('Donnees_USDA'!H439+'Donnees_USDA'!H541),"")</f>
        <v>0.022222222222222223</v>
      </c>
      <c r="I30" s="10">
        <f>IF(('Donnees_USDA'!I439+'Donnees_USDA'!I541)&gt;0,'Donnees_USDA'!I337/('Donnees_USDA'!I439+'Donnees_USDA'!I541),"")</f>
        <v>0.021739130434782608</v>
      </c>
      <c r="J30" s="10">
        <f>IF(('Donnees_USDA'!J439+'Donnees_USDA'!J541)&gt;0,'Donnees_USDA'!J337/('Donnees_USDA'!J439+'Donnees_USDA'!J541),"")</f>
        <v>0</v>
      </c>
      <c r="K30" s="10">
        <f>IF(('Donnees_USDA'!K439+'Donnees_USDA'!K541)&gt;0,'Donnees_USDA'!K337/('Donnees_USDA'!K439+'Donnees_USDA'!K541),"")</f>
        <v>0</v>
      </c>
      <c r="L30" s="10">
        <f>IF(('Donnees_USDA'!L439+'Donnees_USDA'!L541)&gt;0,'Donnees_USDA'!L337/('Donnees_USDA'!L439+'Donnees_USDA'!L541),"")</f>
        <v>0</v>
      </c>
      <c r="M30" s="10">
        <f>IF(('Donnees_USDA'!M439+'Donnees_USDA'!M541)&gt;0,'Donnees_USDA'!M337/('Donnees_USDA'!M439+'Donnees_USDA'!M541),"")</f>
        <v>0</v>
      </c>
      <c r="N30" s="10">
        <f>IF(('Donnees_USDA'!N439+'Donnees_USDA'!N541)&gt;0,'Donnees_USDA'!N337/('Donnees_USDA'!N439+'Donnees_USDA'!N541),"")</f>
        <v>0</v>
      </c>
      <c r="O30" s="10">
        <f>IF(('Donnees_USDA'!O439+'Donnees_USDA'!O541)&gt;0,'Donnees_USDA'!O337/('Donnees_USDA'!O439+'Donnees_USDA'!O541),"")</f>
        <v>0</v>
      </c>
      <c r="P30" s="10">
        <f>IF(('Donnees_USDA'!P439+'Donnees_USDA'!P541)&gt;0,'Donnees_USDA'!P337/('Donnees_USDA'!P439+'Donnees_USDA'!P541),"")</f>
        <v>0</v>
      </c>
      <c r="Q30" s="10">
        <f>IF(('Donnees_USDA'!Q439+'Donnees_USDA'!Q541)&gt;0,'Donnees_USDA'!Q337/('Donnees_USDA'!Q439+'Donnees_USDA'!Q541),"")</f>
        <v>0</v>
      </c>
      <c r="R30" s="10">
        <f>IF(('Donnees_USDA'!R439+'Donnees_USDA'!R541)&gt;0,'Donnees_USDA'!R337/('Donnees_USDA'!R439+'Donnees_USDA'!R541),"")</f>
        <v>0</v>
      </c>
      <c r="S30" s="10">
        <f>IF(('Donnees_USDA'!S439+'Donnees_USDA'!S541)&gt;0,'Donnees_USDA'!S337/('Donnees_USDA'!S439+'Donnees_USDA'!S541),"")</f>
        <v>0</v>
      </c>
      <c r="T30" s="10">
        <f>AVERAGE(C30:S30)</f>
        <v>0.0175887220064765</v>
      </c>
      <c r="U30" s="10">
        <f>'Donnees_USDA'!S31/'Donnees_USDA'!S102</f>
        <v>0.0008435837546858442</v>
      </c>
      <c r="V30" s="10">
        <f>'Donnees_USDA'!S541/'Donnees_USDA'!S612</f>
        <v>0.00037765776653196875</v>
      </c>
      <c r="W30" s="10">
        <f>'Donnees_USDA'!S337/'Donnees_USDA'!S405</f>
        <v>0</v>
      </c>
      <c r="X30" s="24">
        <f>IF('Donnees_USDA'!S541&gt;0,'Donnees_USDA'!S337/'Donnees_USDA'!S541*52,"")</f>
        <v>0</v>
      </c>
      <c r="Y30" s="10">
        <v>-0.0009636058736795069</v>
      </c>
      <c r="Z30" s="10">
        <v>0.0002674635626993007</v>
      </c>
      <c r="AA30" s="13">
        <v>0.09515237490354898</v>
      </c>
      <c r="AB30" s="13">
        <v>-0.13096786489274514</v>
      </c>
    </row>
    <row r="31">
      <c r="A31" s="14" t="s">
        <v>121</v>
      </c>
      <c r="B31" s="10">
        <f>'Donnees_USDA'!S746</f>
        <v>1</v>
      </c>
      <c r="C31" s="10">
        <f>IF(('Donnees_USDA'!C440+'Donnees_USDA'!C542)&gt;0,'Donnees_USDA'!C338/('Donnees_USDA'!C440+'Donnees_USDA'!C542),"")</f>
        <v>0.06172839506172839</v>
      </c>
      <c r="D31" s="10">
        <f>IF(('Donnees_USDA'!D440+'Donnees_USDA'!D542)&gt;0,'Donnees_USDA'!D338/('Donnees_USDA'!D440+'Donnees_USDA'!D542),"")</f>
        <v>0.07142857142857142</v>
      </c>
      <c r="E31" s="10">
        <f>IF(('Donnees_USDA'!E440+'Donnees_USDA'!E542)&gt;0,'Donnees_USDA'!E338/('Donnees_USDA'!E440+'Donnees_USDA'!E542),"")</f>
        <v>0.02040816326530612</v>
      </c>
      <c r="F31" s="10">
        <f>IF(('Donnees_USDA'!F440+'Donnees_USDA'!F542)&gt;0,'Donnees_USDA'!F338/('Donnees_USDA'!F440+'Donnees_USDA'!F542),"")</f>
        <v>0.02702702702702703</v>
      </c>
      <c r="G31" s="10">
        <f>IF(('Donnees_USDA'!G440+'Donnees_USDA'!G542)&gt;0,'Donnees_USDA'!G338/('Donnees_USDA'!G440+'Donnees_USDA'!G542),"")</f>
        <v>0</v>
      </c>
      <c r="H31" s="10">
        <f>IF(('Donnees_USDA'!H440+'Donnees_USDA'!H542)&gt;0,'Donnees_USDA'!H338/('Donnees_USDA'!H440+'Donnees_USDA'!H542),"")</f>
        <v>0</v>
      </c>
      <c r="I31" s="10">
        <f>IF(('Donnees_USDA'!I440+'Donnees_USDA'!I542)&gt;0,'Donnees_USDA'!I338/('Donnees_USDA'!I440+'Donnees_USDA'!I542),"")</f>
        <v>0</v>
      </c>
      <c r="J31" s="10">
        <f>IF(('Donnees_USDA'!J440+'Donnees_USDA'!J542)&gt;0,'Donnees_USDA'!J338/('Donnees_USDA'!J440+'Donnees_USDA'!J542),"")</f>
        <v>0</v>
      </c>
      <c r="K31" s="10">
        <f>IF(('Donnees_USDA'!K440+'Donnees_USDA'!K542)&gt;0,'Donnees_USDA'!K338/('Donnees_USDA'!K440+'Donnees_USDA'!K542),"")</f>
        <v>0</v>
      </c>
      <c r="L31" s="10">
        <f>IF(('Donnees_USDA'!L440+'Donnees_USDA'!L542)&gt;0,'Donnees_USDA'!L338/('Donnees_USDA'!L440+'Donnees_USDA'!L542),"")</f>
        <v>0</v>
      </c>
      <c r="M31" s="10">
        <f>IF(('Donnees_USDA'!M440+'Donnees_USDA'!M542)&gt;0,'Donnees_USDA'!M338/('Donnees_USDA'!M440+'Donnees_USDA'!M542),"")</f>
        <v>0</v>
      </c>
      <c r="N31" s="10">
        <f>IF(('Donnees_USDA'!N440+'Donnees_USDA'!N542)&gt;0,'Donnees_USDA'!N338/('Donnees_USDA'!N440+'Donnees_USDA'!N542),"")</f>
        <v>0</v>
      </c>
      <c r="O31" s="10">
        <f>IF(('Donnees_USDA'!O440+'Donnees_USDA'!O542)&gt;0,'Donnees_USDA'!O338/('Donnees_USDA'!O440+'Donnees_USDA'!O542),"")</f>
        <v>0</v>
      </c>
      <c r="P31" s="10">
        <f>IF(('Donnees_USDA'!P440+'Donnees_USDA'!P542)&gt;0,'Donnees_USDA'!P338/('Donnees_USDA'!P440+'Donnees_USDA'!P542),"")</f>
        <v>0</v>
      </c>
      <c r="Q31" s="10">
        <f>IF(('Donnees_USDA'!Q440+'Donnees_USDA'!Q542)&gt;0,'Donnees_USDA'!Q338/('Donnees_USDA'!Q440+'Donnees_USDA'!Q542),"")</f>
        <v>0</v>
      </c>
      <c r="R31" s="10">
        <f>IF(('Donnees_USDA'!R440+'Donnees_USDA'!R542)&gt;0,'Donnees_USDA'!R338/('Donnees_USDA'!R440+'Donnees_USDA'!R542),"")</f>
        <v>0</v>
      </c>
      <c r="S31" s="10">
        <f>IF(('Donnees_USDA'!S440+'Donnees_USDA'!S542)&gt;0,'Donnees_USDA'!S338/('Donnees_USDA'!S440+'Donnees_USDA'!S542),"")</f>
        <v>0</v>
      </c>
      <c r="T31" s="10">
        <f>AVERAGE(C31:S31)</f>
        <v>0.010623068046037232</v>
      </c>
      <c r="U31" s="10">
        <f>'Donnees_USDA'!S32/'Donnees_USDA'!S102</f>
        <v>0.0007381357853501136</v>
      </c>
      <c r="V31" s="10">
        <f>'Donnees_USDA'!S542/'Donnees_USDA'!S612</f>
        <v>0.0007867870136082682</v>
      </c>
      <c r="W31" s="10">
        <f>'Donnees_USDA'!S338/'Donnees_USDA'!S405</f>
        <v>0</v>
      </c>
      <c r="X31" s="24">
        <f>IF('Donnees_USDA'!S542&gt;0,'Donnees_USDA'!S338/'Donnees_USDA'!S542*52,"")</f>
        <v>0</v>
      </c>
      <c r="Y31" s="10">
        <v>-0.00012867396562626056</v>
      </c>
      <c r="Z31" s="10">
        <v>-0.0003788024061646696</v>
      </c>
      <c r="AA31" s="13">
        <v>0.23341581252247567</v>
      </c>
      <c r="AB31" s="13">
        <v>-0.042714092717557495</v>
      </c>
    </row>
    <row r="32">
      <c r="A32" s="14" t="s">
        <v>122</v>
      </c>
      <c r="B32" s="10">
        <f>'Donnees_USDA'!S747</f>
        <v>1</v>
      </c>
      <c r="C32" s="10">
        <f>IF(('Donnees_USDA'!C441+'Donnees_USDA'!C543)&gt;0,'Donnees_USDA'!C339/('Donnees_USDA'!C441+'Donnees_USDA'!C543),"")</f>
        <v>0</v>
      </c>
      <c r="D32" s="10">
        <f>IF(('Donnees_USDA'!D441+'Donnees_USDA'!D543)&gt;0,'Donnees_USDA'!D339/('Donnees_USDA'!D441+'Donnees_USDA'!D543),"")</f>
        <v>0</v>
      </c>
      <c r="E32" s="10">
        <f>IF(('Donnees_USDA'!E441+'Donnees_USDA'!E543)&gt;0,'Donnees_USDA'!E339/('Donnees_USDA'!E441+'Donnees_USDA'!E543),"")</f>
        <v>0</v>
      </c>
      <c r="F32" s="10">
        <f>IF(('Donnees_USDA'!F441+'Donnees_USDA'!F543)&gt;0,'Donnees_USDA'!F339/('Donnees_USDA'!F441+'Donnees_USDA'!F543),"")</f>
        <v>0</v>
      </c>
      <c r="G32" s="10">
        <f>IF(('Donnees_USDA'!G441+'Donnees_USDA'!G543)&gt;0,'Donnees_USDA'!G339/('Donnees_USDA'!G441+'Donnees_USDA'!G543),"")</f>
        <v>0</v>
      </c>
      <c r="H32" s="10">
        <f>IF(('Donnees_USDA'!H441+'Donnees_USDA'!H543)&gt;0,'Donnees_USDA'!H339/('Donnees_USDA'!H441+'Donnees_USDA'!H543),"")</f>
        <v>0</v>
      </c>
      <c r="I32" s="10">
        <f>IF(('Donnees_USDA'!I441+'Donnees_USDA'!I543)&gt;0,'Donnees_USDA'!I339/('Donnees_USDA'!I441+'Donnees_USDA'!I543),"")</f>
        <v>0</v>
      </c>
      <c r="J32" s="10">
        <f>IF(('Donnees_USDA'!J441+'Donnees_USDA'!J543)&gt;0,'Donnees_USDA'!J339/('Donnees_USDA'!J441+'Donnees_USDA'!J543),"")</f>
        <v>0</v>
      </c>
      <c r="K32" s="10">
        <f>IF(('Donnees_USDA'!K441+'Donnees_USDA'!K543)&gt;0,'Donnees_USDA'!K339/('Donnees_USDA'!K441+'Donnees_USDA'!K543),"")</f>
        <v>0</v>
      </c>
      <c r="L32" s="10">
        <f>IF(('Donnees_USDA'!L441+'Donnees_USDA'!L543)&gt;0,'Donnees_USDA'!L339/('Donnees_USDA'!L441+'Donnees_USDA'!L543),"")</f>
        <v>0</v>
      </c>
      <c r="M32" s="10">
        <f>IF(('Donnees_USDA'!M441+'Donnees_USDA'!M543)&gt;0,'Donnees_USDA'!M339/('Donnees_USDA'!M441+'Donnees_USDA'!M543),"")</f>
        <v>0</v>
      </c>
      <c r="N32" s="10">
        <f>IF(('Donnees_USDA'!N441+'Donnees_USDA'!N543)&gt;0,'Donnees_USDA'!N339/('Donnees_USDA'!N441+'Donnees_USDA'!N543),"")</f>
        <v>0</v>
      </c>
      <c r="O32" s="10">
        <f>IF(('Donnees_USDA'!O441+'Donnees_USDA'!O543)&gt;0,'Donnees_USDA'!O339/('Donnees_USDA'!O441+'Donnees_USDA'!O543),"")</f>
        <v>0</v>
      </c>
      <c r="P32" s="10">
        <f>IF(('Donnees_USDA'!P441+'Donnees_USDA'!P543)&gt;0,'Donnees_USDA'!P339/('Donnees_USDA'!P441+'Donnees_USDA'!P543),"")</f>
        <v>0</v>
      </c>
      <c r="Q32" s="10">
        <f>IF(('Donnees_USDA'!Q441+'Donnees_USDA'!Q543)&gt;0,'Donnees_USDA'!Q339/('Donnees_USDA'!Q441+'Donnees_USDA'!Q543),"")</f>
        <v>0</v>
      </c>
      <c r="R32" s="10">
        <f>IF(('Donnees_USDA'!R441+'Donnees_USDA'!R543)&gt;0,'Donnees_USDA'!R339/('Donnees_USDA'!R441+'Donnees_USDA'!R543),"")</f>
        <v>0</v>
      </c>
      <c r="S32" s="10">
        <f>IF(('Donnees_USDA'!S441+'Donnees_USDA'!S543)&gt;0,'Donnees_USDA'!S339/('Donnees_USDA'!S441+'Donnees_USDA'!S543),"")</f>
        <v>0</v>
      </c>
      <c r="T32" s="10">
        <f>AVERAGE(C32:S32)</f>
        <v>0</v>
      </c>
      <c r="U32" s="10">
        <f>'Donnees_USDA'!S33/'Donnees_USDA'!S102</f>
        <v>0.0006590498083483158</v>
      </c>
      <c r="V32" s="10">
        <f>'Donnees_USDA'!S543/'Donnees_USDA'!S612</f>
        <v>6.294296108866145e-05</v>
      </c>
      <c r="W32" s="10">
        <f>'Donnees_USDA'!S339/'Donnees_USDA'!S405</f>
        <v>0</v>
      </c>
      <c r="X32" s="24">
        <f>IF('Donnees_USDA'!S543&gt;0,'Donnees_USDA'!S339/'Donnees_USDA'!S543*52,"")</f>
        <v>0</v>
      </c>
      <c r="Y32" s="10">
        <v>0.0009453661032871979</v>
      </c>
      <c r="Z32" s="10">
        <v>0</v>
      </c>
      <c r="AA32" s="13"/>
      <c r="AB32" s="13"/>
    </row>
    <row r="33">
      <c r="A33" s="14" t="s">
        <v>123</v>
      </c>
      <c r="B33" s="10">
        <f>'Donnees_USDA'!S748</f>
        <v>0</v>
      </c>
      <c r="C33" s="10">
        <f>IF(('Donnees_USDA'!C442+'Donnees_USDA'!C544)&gt;0,'Donnees_USDA'!C340/('Donnees_USDA'!C442+'Donnees_USDA'!C544),"")</f>
        <v>0.006060606060606061</v>
      </c>
      <c r="D33" s="10">
        <f>IF(('Donnees_USDA'!D442+'Donnees_USDA'!D544)&gt;0,'Donnees_USDA'!D340/('Donnees_USDA'!D442+'Donnees_USDA'!D544),"")</f>
        <v>0.02891566265060241</v>
      </c>
      <c r="E33" s="10">
        <f>IF(('Donnees_USDA'!E442+'Donnees_USDA'!E544)&gt;0,'Donnees_USDA'!E340/('Donnees_USDA'!E442+'Donnees_USDA'!E544),"")</f>
        <v>0.05357142857142857</v>
      </c>
      <c r="F33" s="10">
        <f>IF(('Donnees_USDA'!F442+'Donnees_USDA'!F544)&gt;0,'Donnees_USDA'!F340/('Donnees_USDA'!F442+'Donnees_USDA'!F544),"")</f>
        <v>0.18</v>
      </c>
      <c r="G33" s="10">
        <f>IF(('Donnees_USDA'!G442+'Donnees_USDA'!G544)&gt;0,'Donnees_USDA'!G340/('Donnees_USDA'!G442+'Donnees_USDA'!G544),"")</f>
        <v>0.06</v>
      </c>
      <c r="H33" s="10">
        <f>IF(('Donnees_USDA'!H442+'Donnees_USDA'!H544)&gt;0,'Donnees_USDA'!H340/('Donnees_USDA'!H442+'Donnees_USDA'!H544),"")</f>
        <v>0.03214285714285714</v>
      </c>
      <c r="I33" s="10">
        <f>IF(('Donnees_USDA'!I442+'Donnees_USDA'!I544)&gt;0,'Donnees_USDA'!I340/('Donnees_USDA'!I442+'Donnees_USDA'!I544),"")</f>
        <v>0.05025125628140704</v>
      </c>
      <c r="J33" s="10">
        <f>IF(('Donnees_USDA'!J442+'Donnees_USDA'!J544)&gt;0,'Donnees_USDA'!J340/('Donnees_USDA'!J442+'Donnees_USDA'!J544),"")</f>
        <v>0.1111111111111111</v>
      </c>
      <c r="K33" s="10">
        <f>IF(('Donnees_USDA'!K442+'Donnees_USDA'!K544)&gt;0,'Donnees_USDA'!K340/('Donnees_USDA'!K442+'Donnees_USDA'!K544),"")</f>
        <v>0</v>
      </c>
      <c r="L33" s="10">
        <f>IF(('Donnees_USDA'!L442+'Donnees_USDA'!L544)&gt;0,'Donnees_USDA'!L340/('Donnees_USDA'!L442+'Donnees_USDA'!L544),"")</f>
        <v>0</v>
      </c>
      <c r="M33" s="10">
        <f>IF(('Donnees_USDA'!M442+'Donnees_USDA'!M544)&gt;0,'Donnees_USDA'!M340/('Donnees_USDA'!M442+'Donnees_USDA'!M544),"")</f>
        <v>0</v>
      </c>
      <c r="N33" s="10">
        <f>IF(('Donnees_USDA'!N442+'Donnees_USDA'!N544)&gt;0,'Donnees_USDA'!N340/('Donnees_USDA'!N442+'Donnees_USDA'!N544),"")</f>
        <v>0</v>
      </c>
      <c r="O33" s="10">
        <f>IF(('Donnees_USDA'!O442+'Donnees_USDA'!O544)&gt;0,'Donnees_USDA'!O340/('Donnees_USDA'!O442+'Donnees_USDA'!O544),"")</f>
        <v>0</v>
      </c>
      <c r="P33" s="10">
        <f>IF(('Donnees_USDA'!P442+'Donnees_USDA'!P544)&gt;0,'Donnees_USDA'!P340/('Donnees_USDA'!P442+'Donnees_USDA'!P544),"")</f>
        <v>0</v>
      </c>
      <c r="Q33" s="10">
        <f>IF(('Donnees_USDA'!Q442+'Donnees_USDA'!Q544)&gt;0,'Donnees_USDA'!Q340/('Donnees_USDA'!Q442+'Donnees_USDA'!Q544),"")</f>
        <v>0</v>
      </c>
      <c r="R33" s="10">
        <f>IF(('Donnees_USDA'!R442+'Donnees_USDA'!R544)&gt;0,'Donnees_USDA'!R340/('Donnees_USDA'!R442+'Donnees_USDA'!R544),"")</f>
        <v>0</v>
      </c>
      <c r="S33" s="10">
        <f>IF(('Donnees_USDA'!S442+'Donnees_USDA'!S544)&gt;0,'Donnees_USDA'!S340/('Donnees_USDA'!S442+'Donnees_USDA'!S544),"")</f>
        <v>0</v>
      </c>
      <c r="T33" s="10">
        <f>AVERAGE(C33:S33)</f>
        <v>0.03070899540105955</v>
      </c>
      <c r="U33" s="10">
        <f>'Donnees_USDA'!S34/'Donnees_USDA'!S102</f>
        <v>0.0006590498083483158</v>
      </c>
      <c r="V33" s="10">
        <f>'Donnees_USDA'!S544/'Donnees_USDA'!S612</f>
        <v>0.0006294296108866145</v>
      </c>
      <c r="W33" s="10">
        <f>'Donnees_USDA'!S340/'Donnees_USDA'!S405</f>
        <v>0</v>
      </c>
      <c r="X33" s="24">
        <f>IF('Donnees_USDA'!S544&gt;0,'Donnees_USDA'!S340/'Donnees_USDA'!S544*52,"")</f>
        <v>0</v>
      </c>
      <c r="Y33" s="10">
        <v>-0.011340014177488785</v>
      </c>
      <c r="Z33" s="10">
        <v>-0.00045172670826405776</v>
      </c>
      <c r="AA33" s="13">
        <v>-0.2944334955135184</v>
      </c>
      <c r="AB33" s="13">
        <v>-0.2432859094855857</v>
      </c>
    </row>
    <row r="34">
      <c r="A34" s="14" t="s">
        <v>124</v>
      </c>
      <c r="B34" s="10">
        <f>'Donnees_USDA'!S749</f>
        <v>1</v>
      </c>
      <c r="C34" s="10">
        <f>IF(('Donnees_USDA'!C443+'Donnees_USDA'!C545)&gt;0,'Donnees_USDA'!C341/('Donnees_USDA'!C443+'Donnees_USDA'!C545),"")</f>
        <v>0</v>
      </c>
      <c r="D34" s="10">
        <f>IF(('Donnees_USDA'!D443+'Donnees_USDA'!D545)&gt;0,'Donnees_USDA'!D341/('Donnees_USDA'!D443+'Donnees_USDA'!D545),"")</f>
        <v>0</v>
      </c>
      <c r="E34" s="10">
        <f>IF(('Donnees_USDA'!E443+'Donnees_USDA'!E545)&gt;0,'Donnees_USDA'!E341/('Donnees_USDA'!E443+'Donnees_USDA'!E545),"")</f>
        <v>0</v>
      </c>
      <c r="F34" s="10">
        <f>IF(('Donnees_USDA'!F443+'Donnees_USDA'!F545)&gt;0,'Donnees_USDA'!F341/('Donnees_USDA'!F443+'Donnees_USDA'!F545),"")</f>
        <v>0</v>
      </c>
      <c r="G34" s="10">
        <f>IF(('Donnees_USDA'!G443+'Donnees_USDA'!G545)&gt;0,'Donnees_USDA'!G341/('Donnees_USDA'!G443+'Donnees_USDA'!G545),"")</f>
        <v>0</v>
      </c>
      <c r="H34" s="10">
        <f>IF(('Donnees_USDA'!H443+'Donnees_USDA'!H545)&gt;0,'Donnees_USDA'!H341/('Donnees_USDA'!H443+'Donnees_USDA'!H545),"")</f>
        <v>0</v>
      </c>
      <c r="I34" s="10">
        <f>IF(('Donnees_USDA'!I443+'Donnees_USDA'!I545)&gt;0,'Donnees_USDA'!I341/('Donnees_USDA'!I443+'Donnees_USDA'!I545),"")</f>
        <v>0</v>
      </c>
      <c r="J34" s="10">
        <f>IF(('Donnees_USDA'!J443+'Donnees_USDA'!J545)&gt;0,'Donnees_USDA'!J341/('Donnees_USDA'!J443+'Donnees_USDA'!J545),"")</f>
        <v>0</v>
      </c>
      <c r="K34" s="10">
        <f>IF(('Donnees_USDA'!K443+'Donnees_USDA'!K545)&gt;0,'Donnees_USDA'!K341/('Donnees_USDA'!K443+'Donnees_USDA'!K545),"")</f>
        <v>0</v>
      </c>
      <c r="L34" s="10">
        <f>IF(('Donnees_USDA'!L443+'Donnees_USDA'!L545)&gt;0,'Donnees_USDA'!L341/('Donnees_USDA'!L443+'Donnees_USDA'!L545),"")</f>
        <v>0</v>
      </c>
      <c r="M34" s="10">
        <f>IF(('Donnees_USDA'!M443+'Donnees_USDA'!M545)&gt;0,'Donnees_USDA'!M341/('Donnees_USDA'!M443+'Donnees_USDA'!M545),"")</f>
        <v>0</v>
      </c>
      <c r="N34" s="10">
        <f>IF(('Donnees_USDA'!N443+'Donnees_USDA'!N545)&gt;0,'Donnees_USDA'!N341/('Donnees_USDA'!N443+'Donnees_USDA'!N545),"")</f>
        <v>0</v>
      </c>
      <c r="O34" s="10">
        <f>IF(('Donnees_USDA'!O443+'Donnees_USDA'!O545)&gt;0,'Donnees_USDA'!O341/('Donnees_USDA'!O443+'Donnees_USDA'!O545),"")</f>
        <v>0</v>
      </c>
      <c r="P34" s="10">
        <f>IF(('Donnees_USDA'!P443+'Donnees_USDA'!P545)&gt;0,'Donnees_USDA'!P341/('Donnees_USDA'!P443+'Donnees_USDA'!P545),"")</f>
        <v>0</v>
      </c>
      <c r="Q34" s="10">
        <f>IF(('Donnees_USDA'!Q443+'Donnees_USDA'!Q545)&gt;0,'Donnees_USDA'!Q341/('Donnees_USDA'!Q443+'Donnees_USDA'!Q545),"")</f>
        <v>0</v>
      </c>
      <c r="R34" s="10">
        <f>IF(('Donnees_USDA'!R443+'Donnees_USDA'!R545)&gt;0,'Donnees_USDA'!R341/('Donnees_USDA'!R443+'Donnees_USDA'!R545),"")</f>
        <v>0</v>
      </c>
      <c r="S34" s="10">
        <f>IF(('Donnees_USDA'!S443+'Donnees_USDA'!S545)&gt;0,'Donnees_USDA'!S341/('Donnees_USDA'!S443+'Donnees_USDA'!S545),"")</f>
        <v>0</v>
      </c>
      <c r="T34" s="10">
        <f>AVERAGE(C34:S34)</f>
        <v>0</v>
      </c>
      <c r="U34" s="10">
        <f>'Donnees_USDA'!S35/'Donnees_USDA'!S102</f>
        <v>0.0005272398466786526</v>
      </c>
      <c r="V34" s="10">
        <f>'Donnees_USDA'!S545/'Donnees_USDA'!S612</f>
        <v>6.294296108866145e-05</v>
      </c>
      <c r="W34" s="10">
        <f>'Donnees_USDA'!S341/'Donnees_USDA'!S405</f>
        <v>0</v>
      </c>
      <c r="X34" s="24">
        <f>IF('Donnees_USDA'!S545&gt;0,'Donnees_USDA'!S341/'Donnees_USDA'!S545*52,"")</f>
        <v>0</v>
      </c>
      <c r="Y34" s="10">
        <v>0.0001462303281147949</v>
      </c>
      <c r="Z34" s="10">
        <v>0</v>
      </c>
      <c r="AA34" s="13"/>
      <c r="AB34" s="13"/>
    </row>
    <row r="35">
      <c r="A35" s="14" t="s">
        <v>125</v>
      </c>
      <c r="B35" s="10">
        <f>'Donnees_USDA'!S750</f>
        <v>0</v>
      </c>
      <c r="C35" s="10">
        <f>IF(('Donnees_USDA'!C444+'Donnees_USDA'!C546)&gt;0,'Donnees_USDA'!C342/('Donnees_USDA'!C444+'Donnees_USDA'!C546),"")</f>
        <v>0</v>
      </c>
      <c r="D35" s="10">
        <f>IF(('Donnees_USDA'!D444+'Donnees_USDA'!D546)&gt;0,'Donnees_USDA'!D342/('Donnees_USDA'!D444+'Donnees_USDA'!D546),"")</f>
        <v>0</v>
      </c>
      <c r="E35" s="10">
        <f>IF(('Donnees_USDA'!E444+'Donnees_USDA'!E546)&gt;0,'Donnees_USDA'!E342/('Donnees_USDA'!E444+'Donnees_USDA'!E546),"")</f>
        <v>0</v>
      </c>
      <c r="F35" s="10">
        <f>IF(('Donnees_USDA'!F444+'Donnees_USDA'!F546)&gt;0,'Donnees_USDA'!F342/('Donnees_USDA'!F444+'Donnees_USDA'!F546),"")</f>
        <v>0</v>
      </c>
      <c r="G35" s="10">
        <f>IF(('Donnees_USDA'!G444+'Donnees_USDA'!G546)&gt;0,'Donnees_USDA'!G342/('Donnees_USDA'!G444+'Donnees_USDA'!G546),"")</f>
        <v>0</v>
      </c>
      <c r="H35" s="10">
        <f>IF(('Donnees_USDA'!H444+'Donnees_USDA'!H546)&gt;0,'Donnees_USDA'!H342/('Donnees_USDA'!H444+'Donnees_USDA'!H546),"")</f>
        <v>0</v>
      </c>
      <c r="I35" s="10">
        <f>IF(('Donnees_USDA'!I444+'Donnees_USDA'!I546)&gt;0,'Donnees_USDA'!I342/('Donnees_USDA'!I444+'Donnees_USDA'!I546),"")</f>
        <v>0</v>
      </c>
      <c r="J35" s="10">
        <f>IF(('Donnees_USDA'!J444+'Donnees_USDA'!J546)&gt;0,'Donnees_USDA'!J342/('Donnees_USDA'!J444+'Donnees_USDA'!J546),"")</f>
        <v>0</v>
      </c>
      <c r="K35" s="10">
        <f>IF(('Donnees_USDA'!K444+'Donnees_USDA'!K546)&gt;0,'Donnees_USDA'!K342/('Donnees_USDA'!K444+'Donnees_USDA'!K546),"")</f>
        <v>0</v>
      </c>
      <c r="L35" s="10">
        <f>IF(('Donnees_USDA'!L444+'Donnees_USDA'!L546)&gt;0,'Donnees_USDA'!L342/('Donnees_USDA'!L444+'Donnees_USDA'!L546),"")</f>
        <v>0</v>
      </c>
      <c r="M35" s="10">
        <f>IF(('Donnees_USDA'!M444+'Donnees_USDA'!M546)&gt;0,'Donnees_USDA'!M342/('Donnees_USDA'!M444+'Donnees_USDA'!M546),"")</f>
        <v>0</v>
      </c>
      <c r="N35" s="10">
        <f>IF(('Donnees_USDA'!N444+'Donnees_USDA'!N546)&gt;0,'Donnees_USDA'!N342/('Donnees_USDA'!N444+'Donnees_USDA'!N546),"")</f>
        <v>0</v>
      </c>
      <c r="O35" s="10">
        <f>IF(('Donnees_USDA'!O444+'Donnees_USDA'!O546)&gt;0,'Donnees_USDA'!O342/('Donnees_USDA'!O444+'Donnees_USDA'!O546),"")</f>
        <v>0</v>
      </c>
      <c r="P35" s="10">
        <f>IF(('Donnees_USDA'!P444+'Donnees_USDA'!P546)&gt;0,'Donnees_USDA'!P342/('Donnees_USDA'!P444+'Donnees_USDA'!P546),"")</f>
        <v>0</v>
      </c>
      <c r="Q35" s="10">
        <f>IF(('Donnees_USDA'!Q444+'Donnees_USDA'!Q546)&gt;0,'Donnees_USDA'!Q342/('Donnees_USDA'!Q444+'Donnees_USDA'!Q546),"")</f>
        <v>0</v>
      </c>
      <c r="R35" s="10">
        <f>IF(('Donnees_USDA'!R444+'Donnees_USDA'!R546)&gt;0,'Donnees_USDA'!R342/('Donnees_USDA'!R444+'Donnees_USDA'!R546),"")</f>
        <v>0</v>
      </c>
      <c r="S35" s="10">
        <f>IF(('Donnees_USDA'!S444+'Donnees_USDA'!S546)&gt;0,'Donnees_USDA'!S342/('Donnees_USDA'!S444+'Donnees_USDA'!S546),"")</f>
        <v>0</v>
      </c>
      <c r="T35" s="10">
        <f>AVERAGE(C35:S35)</f>
        <v>0</v>
      </c>
      <c r="U35" s="10">
        <f>'Donnees_USDA'!S36/'Donnees_USDA'!S102</f>
        <v>0.0004745158620107873</v>
      </c>
      <c r="V35" s="10">
        <f>'Donnees_USDA'!S546/'Donnees_USDA'!S612</f>
        <v>0.0005664866497979531</v>
      </c>
      <c r="W35" s="10">
        <f>'Donnees_USDA'!S342/'Donnees_USDA'!S405</f>
        <v>0</v>
      </c>
      <c r="X35" s="24">
        <f>IF('Donnees_USDA'!S546&gt;0,'Donnees_USDA'!S342/'Donnees_USDA'!S546*52,"")</f>
        <v>0</v>
      </c>
      <c r="Y35" s="10">
        <v>-0.005299096018920467</v>
      </c>
      <c r="Z35" s="10">
        <v>0</v>
      </c>
      <c r="AA35" s="13"/>
      <c r="AB35" s="13"/>
    </row>
    <row r="36">
      <c r="A36" s="14" t="s">
        <v>126</v>
      </c>
      <c r="B36" s="10">
        <f>'Donnees_USDA'!S751</f>
        <v>1</v>
      </c>
      <c r="C36" s="10">
        <f>IF(('Donnees_USDA'!C445+'Donnees_USDA'!C547)&gt;0,'Donnees_USDA'!C343/('Donnees_USDA'!C445+'Donnees_USDA'!C547),"")</f>
        <v>0.1347517730496454</v>
      </c>
      <c r="D36" s="10">
        <f>IF(('Donnees_USDA'!D445+'Donnees_USDA'!D547)&gt;0,'Donnees_USDA'!D343/('Donnees_USDA'!D445+'Donnees_USDA'!D547),"")</f>
        <v>0.025806451612903226</v>
      </c>
      <c r="E36" s="10">
        <f>IF(('Donnees_USDA'!E445+'Donnees_USDA'!E547)&gt;0,'Donnees_USDA'!E343/('Donnees_USDA'!E445+'Donnees_USDA'!E547),"")</f>
        <v>0.034782608695652174</v>
      </c>
      <c r="F36" s="10">
        <f>IF(('Donnees_USDA'!F445+'Donnees_USDA'!F547)&gt;0,'Donnees_USDA'!F343/('Donnees_USDA'!F445+'Donnees_USDA'!F547),"")</f>
        <v>0</v>
      </c>
      <c r="G36" s="10">
        <f>IF(('Donnees_USDA'!G445+'Donnees_USDA'!G547)&gt;0,'Donnees_USDA'!G343/('Donnees_USDA'!G445+'Donnees_USDA'!G547),"")</f>
        <v>0</v>
      </c>
      <c r="H36" s="10">
        <f>IF(('Donnees_USDA'!H445+'Donnees_USDA'!H547)&gt;0,'Donnees_USDA'!H343/('Donnees_USDA'!H445+'Donnees_USDA'!H547),"")</f>
        <v>0</v>
      </c>
      <c r="I36" s="10">
        <f>IF(('Donnees_USDA'!I445+'Donnees_USDA'!I547)&gt;0,'Donnees_USDA'!I343/('Donnees_USDA'!I445+'Donnees_USDA'!I547),"")</f>
        <v>0</v>
      </c>
      <c r="J36" s="10">
        <f>IF(('Donnees_USDA'!J445+'Donnees_USDA'!J547)&gt;0,'Donnees_USDA'!J343/('Donnees_USDA'!J445+'Donnees_USDA'!J547),"")</f>
        <v>0</v>
      </c>
      <c r="K36" s="10">
        <f>IF(('Donnees_USDA'!K445+'Donnees_USDA'!K547)&gt;0,'Donnees_USDA'!K343/('Donnees_USDA'!K445+'Donnees_USDA'!K547),"")</f>
        <v>0</v>
      </c>
      <c r="L36" s="10">
        <f>IF(('Donnees_USDA'!L445+'Donnees_USDA'!L547)&gt;0,'Donnees_USDA'!L343/('Donnees_USDA'!L445+'Donnees_USDA'!L547),"")</f>
        <v>0</v>
      </c>
      <c r="M36" s="10">
        <f>IF(('Donnees_USDA'!M445+'Donnees_USDA'!M547)&gt;0,'Donnees_USDA'!M343/('Donnees_USDA'!M445+'Donnees_USDA'!M547),"")</f>
        <v>0</v>
      </c>
      <c r="N36" s="10">
        <f>IF(('Donnees_USDA'!N445+'Donnees_USDA'!N547)&gt;0,'Donnees_USDA'!N343/('Donnees_USDA'!N445+'Donnees_USDA'!N547),"")</f>
        <v>0</v>
      </c>
      <c r="O36" s="10">
        <f>IF(('Donnees_USDA'!O445+'Donnees_USDA'!O547)&gt;0,'Donnees_USDA'!O343/('Donnees_USDA'!O445+'Donnees_USDA'!O547),"")</f>
        <v>0</v>
      </c>
      <c r="P36" s="10">
        <f>IF(('Donnees_USDA'!P445+'Donnees_USDA'!P547)&gt;0,'Donnees_USDA'!P343/('Donnees_USDA'!P445+'Donnees_USDA'!P547),"")</f>
        <v>0</v>
      </c>
      <c r="Q36" s="10">
        <f>IF(('Donnees_USDA'!Q445+'Donnees_USDA'!Q547)&gt;0,'Donnees_USDA'!Q343/('Donnees_USDA'!Q445+'Donnees_USDA'!Q547),"")</f>
        <v>0</v>
      </c>
      <c r="R36" s="10">
        <f>IF(('Donnees_USDA'!R445+'Donnees_USDA'!R547)&gt;0,'Donnees_USDA'!R343/('Donnees_USDA'!R445+'Donnees_USDA'!R547),"")</f>
        <v>0</v>
      </c>
      <c r="S36" s="10">
        <f>IF(('Donnees_USDA'!S445+'Donnees_USDA'!S547)&gt;0,'Donnees_USDA'!S343/('Donnees_USDA'!S445+'Donnees_USDA'!S547),"")</f>
        <v>0</v>
      </c>
      <c r="T36" s="10">
        <f>AVERAGE(C36:S36)</f>
        <v>0.011490637256364752</v>
      </c>
      <c r="U36" s="10">
        <f>'Donnees_USDA'!S37/'Donnees_USDA'!S102</f>
        <v>0.0004217918773429221</v>
      </c>
      <c r="V36" s="10">
        <f>'Donnees_USDA'!S547/'Donnees_USDA'!S612</f>
        <v>0.0002203003638103151</v>
      </c>
      <c r="W36" s="10">
        <f>'Donnees_USDA'!S343/'Donnees_USDA'!S405</f>
        <v>0</v>
      </c>
      <c r="X36" s="24">
        <f>IF('Donnees_USDA'!S547&gt;0,'Donnees_USDA'!S343/'Donnees_USDA'!S547*52,"")</f>
        <v>0</v>
      </c>
      <c r="Y36" s="10">
        <v>-7.16140006128417e-05</v>
      </c>
      <c r="Z36" s="10">
        <v>-2.817287170520505e-05</v>
      </c>
      <c r="AA36" s="13">
        <v>0.268354894491945</v>
      </c>
      <c r="AB36" s="13">
        <v>0.013103215629320349</v>
      </c>
    </row>
    <row r="37">
      <c r="A37" s="14" t="s">
        <v>127</v>
      </c>
      <c r="B37" s="10">
        <f>'Donnees_USDA'!S752</f>
        <v>0</v>
      </c>
      <c r="C37" s="10">
        <f>IF(('Donnees_USDA'!C446+'Donnees_USDA'!C548)&gt;0,'Donnees_USDA'!C344/('Donnees_USDA'!C446+'Donnees_USDA'!C548),"")</f>
        <v>0.16129032258064516</v>
      </c>
      <c r="D37" s="10">
        <f>IF(('Donnees_USDA'!D446+'Donnees_USDA'!D548)&gt;0,'Donnees_USDA'!D344/('Donnees_USDA'!D446+'Donnees_USDA'!D548),"")</f>
        <v>0.05263157894736842</v>
      </c>
      <c r="E37" s="10">
        <f>IF(('Donnees_USDA'!E446+'Donnees_USDA'!E548)&gt;0,'Donnees_USDA'!E344/('Donnees_USDA'!E446+'Donnees_USDA'!E548),"")</f>
        <v>0.03333333333333333</v>
      </c>
      <c r="F37" s="10">
        <f>IF(('Donnees_USDA'!F446+'Donnees_USDA'!F548)&gt;0,'Donnees_USDA'!F344/('Donnees_USDA'!F446+'Donnees_USDA'!F548),"")</f>
        <v>0</v>
      </c>
      <c r="G37" s="10">
        <f>IF(('Donnees_USDA'!G446+'Donnees_USDA'!G548)&gt;0,'Donnees_USDA'!G344/('Donnees_USDA'!G446+'Donnees_USDA'!G548),"")</f>
        <v>0</v>
      </c>
      <c r="H37" s="10">
        <f>IF(('Donnees_USDA'!H446+'Donnees_USDA'!H548)&gt;0,'Donnees_USDA'!H344/('Donnees_USDA'!H446+'Donnees_USDA'!H548),"")</f>
        <v>0</v>
      </c>
      <c r="I37" s="10">
        <f>IF(('Donnees_USDA'!I446+'Donnees_USDA'!I548)&gt;0,'Donnees_USDA'!I344/('Donnees_USDA'!I446+'Donnees_USDA'!I548),"")</f>
        <v>0</v>
      </c>
      <c r="J37" s="10">
        <f>IF(('Donnees_USDA'!J446+'Donnees_USDA'!J548)&gt;0,'Donnees_USDA'!J344/('Donnees_USDA'!J446+'Donnees_USDA'!J548),"")</f>
        <v>0</v>
      </c>
      <c r="K37" s="10">
        <f>IF(('Donnees_USDA'!K446+'Donnees_USDA'!K548)&gt;0,'Donnees_USDA'!K344/('Donnees_USDA'!K446+'Donnees_USDA'!K548),"")</f>
        <v>0</v>
      </c>
      <c r="L37" s="10">
        <f>IF(('Donnees_USDA'!L446+'Donnees_USDA'!L548)&gt;0,'Donnees_USDA'!L344/('Donnees_USDA'!L446+'Donnees_USDA'!L548),"")</f>
        <v>0</v>
      </c>
      <c r="M37" s="10">
        <f>IF(('Donnees_USDA'!M446+'Donnees_USDA'!M548)&gt;0,'Donnees_USDA'!M344/('Donnees_USDA'!M446+'Donnees_USDA'!M548),"")</f>
        <v>0</v>
      </c>
      <c r="N37" s="10">
        <f>IF(('Donnees_USDA'!N446+'Donnees_USDA'!N548)&gt;0,'Donnees_USDA'!N344/('Donnees_USDA'!N446+'Donnees_USDA'!N548),"")</f>
        <v>0</v>
      </c>
      <c r="O37" s="10">
        <f>IF(('Donnees_USDA'!O446+'Donnees_USDA'!O548)&gt;0,'Donnees_USDA'!O344/('Donnees_USDA'!O446+'Donnees_USDA'!O548),"")</f>
        <v>0</v>
      </c>
      <c r="P37" s="10">
        <f>IF(('Donnees_USDA'!P446+'Donnees_USDA'!P548)&gt;0,'Donnees_USDA'!P344/('Donnees_USDA'!P446+'Donnees_USDA'!P548),"")</f>
        <v>0</v>
      </c>
      <c r="Q37" s="10">
        <f>IF(('Donnees_USDA'!Q446+'Donnees_USDA'!Q548)&gt;0,'Donnees_USDA'!Q344/('Donnees_USDA'!Q446+'Donnees_USDA'!Q548),"")</f>
        <v>0</v>
      </c>
      <c r="R37" s="10">
        <f>IF(('Donnees_USDA'!R446+'Donnees_USDA'!R548)&gt;0,'Donnees_USDA'!R344/('Donnees_USDA'!R446+'Donnees_USDA'!R548),"")</f>
        <v>0</v>
      </c>
      <c r="S37" s="10">
        <f>IF(('Donnees_USDA'!S446+'Donnees_USDA'!S548)&gt;0,'Donnees_USDA'!S344/('Donnees_USDA'!S446+'Donnees_USDA'!S548),"")</f>
        <v>0</v>
      </c>
      <c r="T37" s="10">
        <f>AVERAGE(C37:S37)</f>
        <v>0.01454442558007923</v>
      </c>
      <c r="U37" s="10">
        <f>'Donnees_USDA'!S38/'Donnees_USDA'!S102</f>
        <v>0.00023725793100539365</v>
      </c>
      <c r="V37" s="10">
        <f>'Donnees_USDA'!S548/'Donnees_USDA'!S612</f>
        <v>0.0002203003638103151</v>
      </c>
      <c r="W37" s="10">
        <f>'Donnees_USDA'!S344/'Donnees_USDA'!S405</f>
        <v>0</v>
      </c>
      <c r="X37" s="24">
        <f>IF('Donnees_USDA'!S548&gt;0,'Donnees_USDA'!S344/'Donnees_USDA'!S548*52,"")</f>
        <v>0</v>
      </c>
      <c r="Y37" s="10">
        <v>-5.312231016720975e-05</v>
      </c>
      <c r="Z37" s="10">
        <v>-4.287786699234256e-05</v>
      </c>
      <c r="AA37" s="13">
        <v>0.28634806228246</v>
      </c>
      <c r="AB37" s="13">
        <v>0.011131040605216459</v>
      </c>
    </row>
    <row r="38">
      <c r="A38" s="14" t="s">
        <v>128</v>
      </c>
      <c r="B38" s="10">
        <f>'Donnees_USDA'!S753</f>
        <v>0</v>
      </c>
      <c r="C38" s="10">
        <f>IF(('Donnees_USDA'!C447+'Donnees_USDA'!C549)&gt;0,'Donnees_USDA'!C345/('Donnees_USDA'!C447+'Donnees_USDA'!C549),"")</f>
        <v>0</v>
      </c>
      <c r="D38" s="10">
        <f>IF(('Donnees_USDA'!D447+'Donnees_USDA'!D549)&gt;0,'Donnees_USDA'!D345/('Donnees_USDA'!D447+'Donnees_USDA'!D549),"")</f>
        <v>0</v>
      </c>
      <c r="E38" s="10">
        <f>IF(('Donnees_USDA'!E447+'Donnees_USDA'!E549)&gt;0,'Donnees_USDA'!E345/('Donnees_USDA'!E447+'Donnees_USDA'!E549),"")</f>
        <v>0</v>
      </c>
      <c r="F38" s="10">
        <f>IF(('Donnees_USDA'!F447+'Donnees_USDA'!F549)&gt;0,'Donnees_USDA'!F345/('Donnees_USDA'!F447+'Donnees_USDA'!F549),"")</f>
        <v>0</v>
      </c>
      <c r="G38" s="10">
        <f>IF(('Donnees_USDA'!G447+'Donnees_USDA'!G549)&gt;0,'Donnees_USDA'!G345/('Donnees_USDA'!G447+'Donnees_USDA'!G549),"")</f>
        <v>0</v>
      </c>
      <c r="H38" s="10">
        <f>IF(('Donnees_USDA'!H447+'Donnees_USDA'!H549)&gt;0,'Donnees_USDA'!H345/('Donnees_USDA'!H447+'Donnees_USDA'!H549),"")</f>
        <v>0</v>
      </c>
      <c r="I38" s="10">
        <f>IF(('Donnees_USDA'!I447+'Donnees_USDA'!I549)&gt;0,'Donnees_USDA'!I345/('Donnees_USDA'!I447+'Donnees_USDA'!I549),"")</f>
        <v>0</v>
      </c>
      <c r="J38" s="10">
        <f>IF(('Donnees_USDA'!J447+'Donnees_USDA'!J549)&gt;0,'Donnees_USDA'!J345/('Donnees_USDA'!J447+'Donnees_USDA'!J549),"")</f>
        <v>0</v>
      </c>
      <c r="K38" s="10">
        <f>IF(('Donnees_USDA'!K447+'Donnees_USDA'!K549)&gt;0,'Donnees_USDA'!K345/('Donnees_USDA'!K447+'Donnees_USDA'!K549),"")</f>
        <v>0</v>
      </c>
      <c r="L38" s="10">
        <f>IF(('Donnees_USDA'!L447+'Donnees_USDA'!L549)&gt;0,'Donnees_USDA'!L345/('Donnees_USDA'!L447+'Donnees_USDA'!L549),"")</f>
        <v>0</v>
      </c>
      <c r="M38" s="10">
        <f>IF(('Donnees_USDA'!M447+'Donnees_USDA'!M549)&gt;0,'Donnees_USDA'!M345/('Donnees_USDA'!M447+'Donnees_USDA'!M549),"")</f>
        <v>0</v>
      </c>
      <c r="N38" s="10">
        <f>IF(('Donnees_USDA'!N447+'Donnees_USDA'!N549)&gt;0,'Donnees_USDA'!N345/('Donnees_USDA'!N447+'Donnees_USDA'!N549),"")</f>
        <v>0</v>
      </c>
      <c r="O38" s="10">
        <f>IF(('Donnees_USDA'!O447+'Donnees_USDA'!O549)&gt;0,'Donnees_USDA'!O345/('Donnees_USDA'!O447+'Donnees_USDA'!O549),"")</f>
        <v>0</v>
      </c>
      <c r="P38" s="10">
        <f>IF(('Donnees_USDA'!P447+'Donnees_USDA'!P549)&gt;0,'Donnees_USDA'!P345/('Donnees_USDA'!P447+'Donnees_USDA'!P549),"")</f>
        <v>0</v>
      </c>
      <c r="Q38" s="10">
        <f>IF(('Donnees_USDA'!Q447+'Donnees_USDA'!Q549)&gt;0,'Donnees_USDA'!Q345/('Donnees_USDA'!Q447+'Donnees_USDA'!Q549),"")</f>
        <v>0</v>
      </c>
      <c r="R38" s="10">
        <f>IF(('Donnees_USDA'!R447+'Donnees_USDA'!R549)&gt;0,'Donnees_USDA'!R345/('Donnees_USDA'!R447+'Donnees_USDA'!R549),"")</f>
        <v>0</v>
      </c>
      <c r="S38" s="10">
        <f>IF(('Donnees_USDA'!S447+'Donnees_USDA'!S549)&gt;0,'Donnees_USDA'!S345/('Donnees_USDA'!S447+'Donnees_USDA'!S549),"")</f>
        <v>0</v>
      </c>
      <c r="T38" s="10">
        <f>AVERAGE(C38:S38)</f>
        <v>0</v>
      </c>
      <c r="U38" s="10">
        <f>'Donnees_USDA'!S39/'Donnees_USDA'!S102</f>
        <v>0.00015817195400359577</v>
      </c>
      <c r="V38" s="10">
        <f>'Donnees_USDA'!S549/'Donnees_USDA'!S612</f>
        <v>0.0001258859221773229</v>
      </c>
      <c r="W38" s="10">
        <f>'Donnees_USDA'!S345/'Donnees_USDA'!S405</f>
        <v>0</v>
      </c>
      <c r="X38" s="24">
        <f>IF('Donnees_USDA'!S549&gt;0,'Donnees_USDA'!S345/'Donnees_USDA'!S549*52,"")</f>
        <v>0</v>
      </c>
      <c r="Y38" s="10">
        <v>-1.601916878736551e-05</v>
      </c>
      <c r="Z38" s="10">
        <v>0</v>
      </c>
      <c r="AA38" s="13"/>
      <c r="AB38" s="13"/>
    </row>
    <row r="39">
      <c r="A39" s="14" t="s">
        <v>129</v>
      </c>
      <c r="B39" s="10">
        <f>'Donnees_USDA'!S754</f>
        <v>1</v>
      </c>
      <c r="C39" s="10">
        <f>IF(('Donnees_USDA'!C448+'Donnees_USDA'!C550)&gt;0,'Donnees_USDA'!C346/('Donnees_USDA'!C448+'Donnees_USDA'!C550),"")</f>
        <v>0</v>
      </c>
      <c r="D39" s="10">
        <f>IF(('Donnees_USDA'!D448+'Donnees_USDA'!D550)&gt;0,'Donnees_USDA'!D346/('Donnees_USDA'!D448+'Donnees_USDA'!D550),"")</f>
        <v>0</v>
      </c>
      <c r="E39" s="10">
        <f>IF(('Donnees_USDA'!E448+'Donnees_USDA'!E550)&gt;0,'Donnees_USDA'!E346/('Donnees_USDA'!E448+'Donnees_USDA'!E550),"")</f>
        <v>0</v>
      </c>
      <c r="F39" s="10">
        <f>IF(('Donnees_USDA'!F448+'Donnees_USDA'!F550)&gt;0,'Donnees_USDA'!F346/('Donnees_USDA'!F448+'Donnees_USDA'!F550),"")</f>
        <v>0</v>
      </c>
      <c r="G39" s="10">
        <f>IF(('Donnees_USDA'!G448+'Donnees_USDA'!G550)&gt;0,'Donnees_USDA'!G346/('Donnees_USDA'!G448+'Donnees_USDA'!G550),"")</f>
        <v>0</v>
      </c>
      <c r="H39" s="10">
        <f>IF(('Donnees_USDA'!H448+'Donnees_USDA'!H550)&gt;0,'Donnees_USDA'!H346/('Donnees_USDA'!H448+'Donnees_USDA'!H550),"")</f>
        <v>0</v>
      </c>
      <c r="I39" s="10">
        <f>IF(('Donnees_USDA'!I448+'Donnees_USDA'!I550)&gt;0,'Donnees_USDA'!I346/('Donnees_USDA'!I448+'Donnees_USDA'!I550),"")</f>
        <v>0</v>
      </c>
      <c r="J39" s="10">
        <f>IF(('Donnees_USDA'!J448+'Donnees_USDA'!J550)&gt;0,'Donnees_USDA'!J346/('Donnees_USDA'!J448+'Donnees_USDA'!J550),"")</f>
        <v>0</v>
      </c>
      <c r="K39" s="10">
        <f>IF(('Donnees_USDA'!K448+'Donnees_USDA'!K550)&gt;0,'Donnees_USDA'!K346/('Donnees_USDA'!K448+'Donnees_USDA'!K550),"")</f>
        <v>0</v>
      </c>
      <c r="L39" s="10">
        <f>IF(('Donnees_USDA'!L448+'Donnees_USDA'!L550)&gt;0,'Donnees_USDA'!L346/('Donnees_USDA'!L448+'Donnees_USDA'!L550),"")</f>
        <v>0</v>
      </c>
      <c r="M39" s="10">
        <f>IF(('Donnees_USDA'!M448+'Donnees_USDA'!M550)&gt;0,'Donnees_USDA'!M346/('Donnees_USDA'!M448+'Donnees_USDA'!M550),"")</f>
        <v>0</v>
      </c>
      <c r="N39" s="10">
        <f>IF(('Donnees_USDA'!N448+'Donnees_USDA'!N550)&gt;0,'Donnees_USDA'!N346/('Donnees_USDA'!N448+'Donnees_USDA'!N550),"")</f>
        <v>0</v>
      </c>
      <c r="O39" s="10">
        <f>IF(('Donnees_USDA'!O448+'Donnees_USDA'!O550)&gt;0,'Donnees_USDA'!O346/('Donnees_USDA'!O448+'Donnees_USDA'!O550),"")</f>
        <v>0</v>
      </c>
      <c r="P39" s="10">
        <f>IF(('Donnees_USDA'!P448+'Donnees_USDA'!P550)&gt;0,'Donnees_USDA'!P346/('Donnees_USDA'!P448+'Donnees_USDA'!P550),"")</f>
        <v>0</v>
      </c>
      <c r="Q39" s="10">
        <f>IF(('Donnees_USDA'!Q448+'Donnees_USDA'!Q550)&gt;0,'Donnees_USDA'!Q346/('Donnees_USDA'!Q448+'Donnees_USDA'!Q550),"")</f>
        <v>0</v>
      </c>
      <c r="R39" s="10">
        <f>IF(('Donnees_USDA'!R448+'Donnees_USDA'!R550)&gt;0,'Donnees_USDA'!R346/('Donnees_USDA'!R448+'Donnees_USDA'!R550),"")</f>
        <v>0</v>
      </c>
      <c r="S39" s="10">
        <f>IF(('Donnees_USDA'!S448+'Donnees_USDA'!S550)&gt;0,'Donnees_USDA'!S346/('Donnees_USDA'!S448+'Donnees_USDA'!S550),"")</f>
        <v>0</v>
      </c>
      <c r="T39" s="10">
        <f>AVERAGE(C39:S39)</f>
        <v>0</v>
      </c>
      <c r="U39" s="10">
        <f>'Donnees_USDA'!S40/'Donnees_USDA'!S102</f>
        <v>7.908597700179788e-05</v>
      </c>
      <c r="V39" s="10">
        <f>'Donnees_USDA'!S550/'Donnees_USDA'!S612</f>
        <v>6.294296108866145e-05</v>
      </c>
      <c r="W39" s="10">
        <f>'Donnees_USDA'!S346/'Donnees_USDA'!S405</f>
        <v>0</v>
      </c>
      <c r="X39" s="24">
        <f>IF('Donnees_USDA'!S550&gt;0,'Donnees_USDA'!S346/'Donnees_USDA'!S550*52,"")</f>
        <v>0</v>
      </c>
      <c r="Y39" s="10">
        <v>-4.1132257646686557e-05</v>
      </c>
      <c r="Z39" s="10">
        <v>0</v>
      </c>
      <c r="AA39" s="13"/>
      <c r="AB39" s="13"/>
    </row>
    <row r="40">
      <c r="A40" s="14" t="s">
        <v>130</v>
      </c>
      <c r="B40" s="10">
        <f>'Donnees_USDA'!S755</f>
        <v>0</v>
      </c>
      <c r="C40" s="10">
        <f>IF(('Donnees_USDA'!C449+'Donnees_USDA'!C551)&gt;0,'Donnees_USDA'!C347/('Donnees_USDA'!C449+'Donnees_USDA'!C551),"")</f>
        <v>1.6730769230769231</v>
      </c>
      <c r="D40" s="10">
        <f>IF(('Donnees_USDA'!D449+'Donnees_USDA'!D551)&gt;0,'Donnees_USDA'!D347/('Donnees_USDA'!D449+'Donnees_USDA'!D551),"")</f>
        <v>1.6216216216216217</v>
      </c>
      <c r="E40" s="10">
        <f>IF(('Donnees_USDA'!E449+'Donnees_USDA'!E551)&gt;0,'Donnees_USDA'!E347/('Donnees_USDA'!E449+'Donnees_USDA'!E551),"")</f>
        <v>0.8108108108108109</v>
      </c>
      <c r="F40" s="10">
        <f>IF(('Donnees_USDA'!F449+'Donnees_USDA'!F551)&gt;0,'Donnees_USDA'!F347/('Donnees_USDA'!F449+'Donnees_USDA'!F551),"")</f>
        <v>0.7142857142857143</v>
      </c>
      <c r="G40" s="10">
        <f>IF(('Donnees_USDA'!G449+'Donnees_USDA'!G551)&gt;0,'Donnees_USDA'!G347/('Donnees_USDA'!G449+'Donnees_USDA'!G551),"")</f>
        <v>0</v>
      </c>
      <c r="H40" s="10">
        <f>IF(('Donnees_USDA'!H449+'Donnees_USDA'!H551)&gt;0,'Donnees_USDA'!H347/('Donnees_USDA'!H449+'Donnees_USDA'!H551),"")</f>
        <v>0</v>
      </c>
      <c r="I40" s="10">
        <f>IF(('Donnees_USDA'!I449+'Donnees_USDA'!I551)&gt;0,'Donnees_USDA'!I347/('Donnees_USDA'!I449+'Donnees_USDA'!I551),"")</f>
        <v>0</v>
      </c>
      <c r="J40" s="10">
        <f>IF(('Donnees_USDA'!J449+'Donnees_USDA'!J551)&gt;0,'Donnees_USDA'!J347/('Donnees_USDA'!J449+'Donnees_USDA'!J551),"")</f>
        <v>0</v>
      </c>
      <c r="K40" s="10">
        <f>IF(('Donnees_USDA'!K449+'Donnees_USDA'!K551)&gt;0,'Donnees_USDA'!K347/('Donnees_USDA'!K449+'Donnees_USDA'!K551),"")</f>
        <v>0</v>
      </c>
      <c r="L40" s="10" t="str">
        <f>IF(('Donnees_USDA'!L449+'Donnees_USDA'!L551)&gt;0,'Donnees_USDA'!L347/('Donnees_USDA'!L449+'Donnees_USDA'!L551),"")</f>
        <v/>
      </c>
      <c r="M40" s="10" t="str">
        <f>IF(('Donnees_USDA'!M449+'Donnees_USDA'!M551)&gt;0,'Donnees_USDA'!M347/('Donnees_USDA'!M449+'Donnees_USDA'!M551),"")</f>
        <v/>
      </c>
      <c r="N40" s="10" t="str">
        <f>IF(('Donnees_USDA'!N449+'Donnees_USDA'!N551)&gt;0,'Donnees_USDA'!N347/('Donnees_USDA'!N449+'Donnees_USDA'!N551),"")</f>
        <v/>
      </c>
      <c r="O40" s="10" t="str">
        <f>IF(('Donnees_USDA'!O449+'Donnees_USDA'!O551)&gt;0,'Donnees_USDA'!O347/('Donnees_USDA'!O449+'Donnees_USDA'!O551),"")</f>
        <v/>
      </c>
      <c r="P40" s="10" t="str">
        <f>IF(('Donnees_USDA'!P449+'Donnees_USDA'!P551)&gt;0,'Donnees_USDA'!P347/('Donnees_USDA'!P449+'Donnees_USDA'!P551),"")</f>
        <v/>
      </c>
      <c r="Q40" s="10" t="str">
        <f>IF(('Donnees_USDA'!Q449+'Donnees_USDA'!Q551)&gt;0,'Donnees_USDA'!Q347/('Donnees_USDA'!Q449+'Donnees_USDA'!Q551),"")</f>
        <v/>
      </c>
      <c r="R40" s="10" t="str">
        <f>IF(('Donnees_USDA'!R449+'Donnees_USDA'!R551)&gt;0,'Donnees_USDA'!R347/('Donnees_USDA'!R449+'Donnees_USDA'!R551),"")</f>
        <v/>
      </c>
      <c r="S40" s="10" t="str">
        <f>IF(('Donnees_USDA'!S449+'Donnees_USDA'!S551)&gt;0,'Donnees_USDA'!S347/('Donnees_USDA'!S449+'Donnees_USDA'!S551),"")</f>
        <v/>
      </c>
      <c r="T40" s="10">
        <f>AVERAGE(C40:S40)</f>
        <v>0.5355327855327856</v>
      </c>
      <c r="U40" s="10">
        <f>'Donnees_USDA'!S41/'Donnees_USDA'!S102</f>
        <v>0</v>
      </c>
      <c r="V40" s="10">
        <f>'Donnees_USDA'!S551/'Donnees_USDA'!S612</f>
        <v>0</v>
      </c>
      <c r="W40" s="10">
        <f>'Donnees_USDA'!S347/'Donnees_USDA'!S405</f>
        <v>0</v>
      </c>
      <c r="X40" s="24" t="str">
        <f>IF('Donnees_USDA'!S551&gt;0,'Donnees_USDA'!S347/'Donnees_USDA'!S551*52,"")</f>
        <v/>
      </c>
      <c r="Y40" s="10">
        <v>-5.4805229481157826e-05</v>
      </c>
      <c r="Z40" s="10">
        <v>-0.0013022203616832935</v>
      </c>
      <c r="AA40" s="13">
        <v>0.8572676824628938</v>
      </c>
      <c r="AB40" s="13">
        <v>0.6612009135529407</v>
      </c>
    </row>
    <row r="41">
      <c r="A41" s="14" t="s">
        <v>131</v>
      </c>
      <c r="B41" s="10">
        <f>'Donnees_USDA'!S756</f>
        <v>0</v>
      </c>
      <c r="C41" s="10">
        <f>IF(('Donnees_USDA'!C450+'Donnees_USDA'!C552)&gt;0,'Donnees_USDA'!C348/('Donnees_USDA'!C450+'Donnees_USDA'!C552),"")</f>
        <v>0.05172413793103448</v>
      </c>
      <c r="D41" s="10">
        <f>IF(('Donnees_USDA'!D450+'Donnees_USDA'!D552)&gt;0,'Donnees_USDA'!D348/('Donnees_USDA'!D450+'Donnees_USDA'!D552),"")</f>
        <v>0.028169014084507043</v>
      </c>
      <c r="E41" s="10">
        <f>IF(('Donnees_USDA'!E450+'Donnees_USDA'!E552)&gt;0,'Donnees_USDA'!E348/('Donnees_USDA'!E450+'Donnees_USDA'!E552),"")</f>
        <v>0.23076923076923078</v>
      </c>
      <c r="F41" s="10">
        <f>IF(('Donnees_USDA'!F450+'Donnees_USDA'!F552)&gt;0,'Donnees_USDA'!F348/('Donnees_USDA'!F450+'Donnees_USDA'!F552),"")</f>
        <v>0.7142857142857143</v>
      </c>
      <c r="G41" s="10">
        <f>IF(('Donnees_USDA'!G450+'Donnees_USDA'!G552)&gt;0,'Donnees_USDA'!G348/('Donnees_USDA'!G450+'Donnees_USDA'!G552),"")</f>
        <v>1.25</v>
      </c>
      <c r="H41" s="10">
        <f>IF(('Donnees_USDA'!H450+'Donnees_USDA'!H552)&gt;0,'Donnees_USDA'!H348/('Donnees_USDA'!H450+'Donnees_USDA'!H552),"")</f>
        <v>2</v>
      </c>
      <c r="I41" s="10">
        <f>IF(('Donnees_USDA'!I450+'Donnees_USDA'!I552)&gt;0,'Donnees_USDA'!I348/('Donnees_USDA'!I450+'Donnees_USDA'!I552),"")</f>
        <v>0.6666666666666666</v>
      </c>
      <c r="J41" s="10">
        <f>IF(('Donnees_USDA'!J450+'Donnees_USDA'!J552)&gt;0,'Donnees_USDA'!J348/('Donnees_USDA'!J450+'Donnees_USDA'!J552),"")</f>
        <v>0</v>
      </c>
      <c r="K41" s="10" t="str">
        <f>IF(('Donnees_USDA'!K450+'Donnees_USDA'!K552)&gt;0,'Donnees_USDA'!K348/('Donnees_USDA'!K450+'Donnees_USDA'!K552),"")</f>
        <v/>
      </c>
      <c r="L41" s="10" t="str">
        <f>IF(('Donnees_USDA'!L450+'Donnees_USDA'!L552)&gt;0,'Donnees_USDA'!L348/('Donnees_USDA'!L450+'Donnees_USDA'!L552),"")</f>
        <v/>
      </c>
      <c r="M41" s="10" t="str">
        <f>IF(('Donnees_USDA'!M450+'Donnees_USDA'!M552)&gt;0,'Donnees_USDA'!M348/('Donnees_USDA'!M450+'Donnees_USDA'!M552),"")</f>
        <v/>
      </c>
      <c r="N41" s="10" t="str">
        <f>IF(('Donnees_USDA'!N450+'Donnees_USDA'!N552)&gt;0,'Donnees_USDA'!N348/('Donnees_USDA'!N450+'Donnees_USDA'!N552),"")</f>
        <v/>
      </c>
      <c r="O41" s="10" t="str">
        <f>IF(('Donnees_USDA'!O450+'Donnees_USDA'!O552)&gt;0,'Donnees_USDA'!O348/('Donnees_USDA'!O450+'Donnees_USDA'!O552),"")</f>
        <v/>
      </c>
      <c r="P41" s="10" t="str">
        <f>IF(('Donnees_USDA'!P450+'Donnees_USDA'!P552)&gt;0,'Donnees_USDA'!P348/('Donnees_USDA'!P450+'Donnees_USDA'!P552),"")</f>
        <v/>
      </c>
      <c r="Q41" s="10" t="str">
        <f>IF(('Donnees_USDA'!Q450+'Donnees_USDA'!Q552)&gt;0,'Donnees_USDA'!Q348/('Donnees_USDA'!Q450+'Donnees_USDA'!Q552),"")</f>
        <v/>
      </c>
      <c r="R41" s="10" t="str">
        <f>IF(('Donnees_USDA'!R450+'Donnees_USDA'!R552)&gt;0,'Donnees_USDA'!R348/('Donnees_USDA'!R450+'Donnees_USDA'!R552),"")</f>
        <v/>
      </c>
      <c r="S41" s="10" t="str">
        <f>IF(('Donnees_USDA'!S450+'Donnees_USDA'!S552)&gt;0,'Donnees_USDA'!S348/('Donnees_USDA'!S450+'Donnees_USDA'!S552),"")</f>
        <v/>
      </c>
      <c r="T41" s="10">
        <f>AVERAGE(C41:S41)</f>
        <v>0.6177018454671442</v>
      </c>
      <c r="U41" s="10">
        <f>'Donnees_USDA'!S42/'Donnees_USDA'!S102</f>
        <v>0</v>
      </c>
      <c r="V41" s="10">
        <f>'Donnees_USDA'!S552/'Donnees_USDA'!S612</f>
        <v>0</v>
      </c>
      <c r="W41" s="10">
        <f>'Donnees_USDA'!S348/'Donnees_USDA'!S405</f>
        <v>0</v>
      </c>
      <c r="X41" s="24" t="str">
        <f>IF('Donnees_USDA'!S552&gt;0,'Donnees_USDA'!S348/'Donnees_USDA'!S552*52,"")</f>
        <v/>
      </c>
      <c r="Y41" s="10">
        <v>-0.00041899643763951587</v>
      </c>
      <c r="Z41" s="10">
        <v>0.00019278201657770816</v>
      </c>
      <c r="AA41" s="13">
        <v>-0.3833597633240368</v>
      </c>
      <c r="AB41" s="13">
        <v>-0.5924624980794677</v>
      </c>
    </row>
    <row r="42">
      <c r="A42" s="14" t="s">
        <v>132</v>
      </c>
      <c r="B42" s="10">
        <f>'Donnees_USDA'!S757</f>
        <v>0</v>
      </c>
      <c r="C42" s="10">
        <f>IF(('Donnees_USDA'!C451+'Donnees_USDA'!C553)&gt;0,'Donnees_USDA'!C349/('Donnees_USDA'!C451+'Donnees_USDA'!C553),"")</f>
        <v>0.07142857142857142</v>
      </c>
      <c r="D42" s="10">
        <f>IF(('Donnees_USDA'!D451+'Donnees_USDA'!D553)&gt;0,'Donnees_USDA'!D349/('Donnees_USDA'!D451+'Donnees_USDA'!D553),"")</f>
        <v>0.07142857142857142</v>
      </c>
      <c r="E42" s="10">
        <f>IF(('Donnees_USDA'!E451+'Donnees_USDA'!E553)&gt;0,'Donnees_USDA'!E349/('Donnees_USDA'!E451+'Donnees_USDA'!E553),"")</f>
        <v>0.04477611940298507</v>
      </c>
      <c r="F42" s="10">
        <f>IF(('Donnees_USDA'!F451+'Donnees_USDA'!F553)&gt;0,'Donnees_USDA'!F349/('Donnees_USDA'!F451+'Donnees_USDA'!F553),"")</f>
        <v>0.046153846153846156</v>
      </c>
      <c r="G42" s="10">
        <f>IF(('Donnees_USDA'!G451+'Donnees_USDA'!G553)&gt;0,'Donnees_USDA'!G349/('Donnees_USDA'!G451+'Donnees_USDA'!G553),"")</f>
        <v>0.046153846153846156</v>
      </c>
      <c r="H42" s="10">
        <f>IF(('Donnees_USDA'!H451+'Donnees_USDA'!H553)&gt;0,'Donnees_USDA'!H349/('Donnees_USDA'!H451+'Donnees_USDA'!H553),"")</f>
        <v>0</v>
      </c>
      <c r="I42" s="10" t="str">
        <f>IF(('Donnees_USDA'!I451+'Donnees_USDA'!I553)&gt;0,'Donnees_USDA'!I349/('Donnees_USDA'!I451+'Donnees_USDA'!I553),"")</f>
        <v/>
      </c>
      <c r="J42" s="10" t="str">
        <f>IF(('Donnees_USDA'!J451+'Donnees_USDA'!J553)&gt;0,'Donnees_USDA'!J349/('Donnees_USDA'!J451+'Donnees_USDA'!J553),"")</f>
        <v/>
      </c>
      <c r="K42" s="10" t="str">
        <f>IF(('Donnees_USDA'!K451+'Donnees_USDA'!K553)&gt;0,'Donnees_USDA'!K349/('Donnees_USDA'!K451+'Donnees_USDA'!K553),"")</f>
        <v/>
      </c>
      <c r="L42" s="10" t="str">
        <f>IF(('Donnees_USDA'!L451+'Donnees_USDA'!L553)&gt;0,'Donnees_USDA'!L349/('Donnees_USDA'!L451+'Donnees_USDA'!L553),"")</f>
        <v/>
      </c>
      <c r="M42" s="10" t="str">
        <f>IF(('Donnees_USDA'!M451+'Donnees_USDA'!M553)&gt;0,'Donnees_USDA'!M349/('Donnees_USDA'!M451+'Donnees_USDA'!M553),"")</f>
        <v/>
      </c>
      <c r="N42" s="10" t="str">
        <f>IF(('Donnees_USDA'!N451+'Donnees_USDA'!N553)&gt;0,'Donnees_USDA'!N349/('Donnees_USDA'!N451+'Donnees_USDA'!N553),"")</f>
        <v/>
      </c>
      <c r="O42" s="10" t="str">
        <f>IF(('Donnees_USDA'!O451+'Donnees_USDA'!O553)&gt;0,'Donnees_USDA'!O349/('Donnees_USDA'!O451+'Donnees_USDA'!O553),"")</f>
        <v/>
      </c>
      <c r="P42" s="10" t="str">
        <f>IF(('Donnees_USDA'!P451+'Donnees_USDA'!P553)&gt;0,'Donnees_USDA'!P349/('Donnees_USDA'!P451+'Donnees_USDA'!P553),"")</f>
        <v/>
      </c>
      <c r="Q42" s="10" t="str">
        <f>IF(('Donnees_USDA'!Q451+'Donnees_USDA'!Q553)&gt;0,'Donnees_USDA'!Q349/('Donnees_USDA'!Q451+'Donnees_USDA'!Q553),"")</f>
        <v/>
      </c>
      <c r="R42" s="10" t="str">
        <f>IF(('Donnees_USDA'!R451+'Donnees_USDA'!R553)&gt;0,'Donnees_USDA'!R349/('Donnees_USDA'!R451+'Donnees_USDA'!R553),"")</f>
        <v/>
      </c>
      <c r="S42" s="10" t="str">
        <f>IF(('Donnees_USDA'!S451+'Donnees_USDA'!S553)&gt;0,'Donnees_USDA'!S349/('Donnees_USDA'!S451+'Donnees_USDA'!S553),"")</f>
        <v/>
      </c>
      <c r="T42" s="10">
        <f>AVERAGE(C42:S42)</f>
        <v>0.04665682576130337</v>
      </c>
      <c r="U42" s="10">
        <f>'Donnees_USDA'!S43/'Donnees_USDA'!S102</f>
        <v>0</v>
      </c>
      <c r="V42" s="10">
        <f>'Donnees_USDA'!S553/'Donnees_USDA'!S612</f>
        <v>0</v>
      </c>
      <c r="W42" s="10">
        <f>'Donnees_USDA'!S349/'Donnees_USDA'!S405</f>
        <v>0</v>
      </c>
      <c r="X42" s="24" t="str">
        <f>IF('Donnees_USDA'!S553&gt;0,'Donnees_USDA'!S349/'Donnees_USDA'!S553*52,"")</f>
        <v/>
      </c>
      <c r="Y42" s="10">
        <v>0.0013658165878818525</v>
      </c>
      <c r="Z42" s="10">
        <v>0.00020645894992181901</v>
      </c>
      <c r="AA42" s="13">
        <v>0.8234230319600395</v>
      </c>
      <c r="AB42" s="13">
        <v>0.9322523299454254</v>
      </c>
    </row>
    <row r="43">
      <c r="A43" s="14" t="s">
        <v>133</v>
      </c>
      <c r="B43" s="10">
        <f>'Donnees_USDA'!S758</f>
        <v>0</v>
      </c>
      <c r="C43" s="10">
        <f>IF(('Donnees_USDA'!C452+'Donnees_USDA'!C554)&gt;0,'Donnees_USDA'!C350/('Donnees_USDA'!C452+'Donnees_USDA'!C554),"")</f>
        <v>0</v>
      </c>
      <c r="D43" s="10">
        <f>IF(('Donnees_USDA'!D452+'Donnees_USDA'!D554)&gt;0,'Donnees_USDA'!D350/('Donnees_USDA'!D452+'Donnees_USDA'!D554),"")</f>
        <v>0</v>
      </c>
      <c r="E43" s="10">
        <f>IF(('Donnees_USDA'!E452+'Donnees_USDA'!E554)&gt;0,'Donnees_USDA'!E350/('Donnees_USDA'!E452+'Donnees_USDA'!E554),"")</f>
        <v>0</v>
      </c>
      <c r="F43" s="10">
        <f>IF(('Donnees_USDA'!F452+'Donnees_USDA'!F554)&gt;0,'Donnees_USDA'!F350/('Donnees_USDA'!F452+'Donnees_USDA'!F554),"")</f>
        <v>0</v>
      </c>
      <c r="G43" s="10">
        <f>IF(('Donnees_USDA'!G452+'Donnees_USDA'!G554)&gt;0,'Donnees_USDA'!G350/('Donnees_USDA'!G452+'Donnees_USDA'!G554),"")</f>
        <v>0</v>
      </c>
      <c r="H43" s="10" t="str">
        <f>IF(('Donnees_USDA'!H452+'Donnees_USDA'!H554)&gt;0,'Donnees_USDA'!H350/('Donnees_USDA'!H452+'Donnees_USDA'!H554),"")</f>
        <v/>
      </c>
      <c r="I43" s="10" t="str">
        <f>IF(('Donnees_USDA'!I452+'Donnees_USDA'!I554)&gt;0,'Donnees_USDA'!I350/('Donnees_USDA'!I452+'Donnees_USDA'!I554),"")</f>
        <v/>
      </c>
      <c r="J43" s="10" t="str">
        <f>IF(('Donnees_USDA'!J452+'Donnees_USDA'!J554)&gt;0,'Donnees_USDA'!J350/('Donnees_USDA'!J452+'Donnees_USDA'!J554),"")</f>
        <v/>
      </c>
      <c r="K43" s="10" t="str">
        <f>IF(('Donnees_USDA'!K452+'Donnees_USDA'!K554)&gt;0,'Donnees_USDA'!K350/('Donnees_USDA'!K452+'Donnees_USDA'!K554),"")</f>
        <v/>
      </c>
      <c r="L43" s="10" t="str">
        <f>IF(('Donnees_USDA'!L452+'Donnees_USDA'!L554)&gt;0,'Donnees_USDA'!L350/('Donnees_USDA'!L452+'Donnees_USDA'!L554),"")</f>
        <v/>
      </c>
      <c r="M43" s="10" t="str">
        <f>IF(('Donnees_USDA'!M452+'Donnees_USDA'!M554)&gt;0,'Donnees_USDA'!M350/('Donnees_USDA'!M452+'Donnees_USDA'!M554),"")</f>
        <v/>
      </c>
      <c r="N43" s="10" t="str">
        <f>IF(('Donnees_USDA'!N452+'Donnees_USDA'!N554)&gt;0,'Donnees_USDA'!N350/('Donnees_USDA'!N452+'Donnees_USDA'!N554),"")</f>
        <v/>
      </c>
      <c r="O43" s="10" t="str">
        <f>IF(('Donnees_USDA'!O452+'Donnees_USDA'!O554)&gt;0,'Donnees_USDA'!O350/('Donnees_USDA'!O452+'Donnees_USDA'!O554),"")</f>
        <v/>
      </c>
      <c r="P43" s="10" t="str">
        <f>IF(('Donnees_USDA'!P452+'Donnees_USDA'!P554)&gt;0,'Donnees_USDA'!P350/('Donnees_USDA'!P452+'Donnees_USDA'!P554),"")</f>
        <v/>
      </c>
      <c r="Q43" s="10" t="str">
        <f>IF(('Donnees_USDA'!Q452+'Donnees_USDA'!Q554)&gt;0,'Donnees_USDA'!Q350/('Donnees_USDA'!Q452+'Donnees_USDA'!Q554),"")</f>
        <v/>
      </c>
      <c r="R43" s="10" t="str">
        <f>IF(('Donnees_USDA'!R452+'Donnees_USDA'!R554)&gt;0,'Donnees_USDA'!R350/('Donnees_USDA'!R452+'Donnees_USDA'!R554),"")</f>
        <v/>
      </c>
      <c r="S43" s="10" t="str">
        <f>IF(('Donnees_USDA'!S452+'Donnees_USDA'!S554)&gt;0,'Donnees_USDA'!S350/('Donnees_USDA'!S452+'Donnees_USDA'!S554),"")</f>
        <v/>
      </c>
      <c r="T43" s="10">
        <f>AVERAGE(C43:S43)</f>
        <v>0</v>
      </c>
      <c r="U43" s="10">
        <f>'Donnees_USDA'!S44/'Donnees_USDA'!S102</f>
        <v>0</v>
      </c>
      <c r="V43" s="10">
        <f>'Donnees_USDA'!S554/'Donnees_USDA'!S612</f>
        <v>0</v>
      </c>
      <c r="W43" s="10">
        <f>'Donnees_USDA'!S350/'Donnees_USDA'!S405</f>
        <v>0</v>
      </c>
      <c r="X43" s="24" t="str">
        <f>IF('Donnees_USDA'!S554&gt;0,'Donnees_USDA'!S350/'Donnees_USDA'!S554*52,"")</f>
        <v/>
      </c>
      <c r="Y43" s="10">
        <v>-1.2445755037362388e-06</v>
      </c>
      <c r="Z43" s="10">
        <v>0</v>
      </c>
      <c r="AA43" s="13"/>
      <c r="AB43" s="13"/>
    </row>
    <row r="44">
      <c r="A44" s="14" t="s">
        <v>134</v>
      </c>
      <c r="B44" s="10">
        <f>'Donnees_USDA'!S759</f>
        <v>0</v>
      </c>
      <c r="C44" s="10">
        <f>IF(('Donnees_USDA'!C453+'Donnees_USDA'!C555)&gt;0,'Donnees_USDA'!C351/('Donnees_USDA'!C453+'Donnees_USDA'!C555),"")</f>
        <v>0</v>
      </c>
      <c r="D44" s="10">
        <f>IF(('Donnees_USDA'!D453+'Donnees_USDA'!D555)&gt;0,'Donnees_USDA'!D351/('Donnees_USDA'!D453+'Donnees_USDA'!D555),"")</f>
        <v>0</v>
      </c>
      <c r="E44" s="10">
        <f>IF(('Donnees_USDA'!E453+'Donnees_USDA'!E555)&gt;0,'Donnees_USDA'!E351/('Donnees_USDA'!E453+'Donnees_USDA'!E555),"")</f>
        <v>0</v>
      </c>
      <c r="F44" s="10">
        <f>IF(('Donnees_USDA'!F453+'Donnees_USDA'!F555)&gt;0,'Donnees_USDA'!F351/('Donnees_USDA'!F453+'Donnees_USDA'!F555),"")</f>
        <v>0</v>
      </c>
      <c r="G44" s="10">
        <f>IF(('Donnees_USDA'!G453+'Donnees_USDA'!G555)&gt;0,'Donnees_USDA'!G351/('Donnees_USDA'!G453+'Donnees_USDA'!G555),"")</f>
        <v>0</v>
      </c>
      <c r="H44" s="10">
        <f>IF(('Donnees_USDA'!H453+'Donnees_USDA'!H555)&gt;0,'Donnees_USDA'!H351/('Donnees_USDA'!H453+'Donnees_USDA'!H555),"")</f>
        <v>0</v>
      </c>
      <c r="I44" s="10">
        <f>IF(('Donnees_USDA'!I453+'Donnees_USDA'!I555)&gt;0,'Donnees_USDA'!I351/('Donnees_USDA'!I453+'Donnees_USDA'!I555),"")</f>
        <v>0</v>
      </c>
      <c r="J44" s="10">
        <f>IF(('Donnees_USDA'!J453+'Donnees_USDA'!J555)&gt;0,'Donnees_USDA'!J351/('Donnees_USDA'!J453+'Donnees_USDA'!J555),"")</f>
        <v>0</v>
      </c>
      <c r="K44" s="10">
        <f>IF(('Donnees_USDA'!K453+'Donnees_USDA'!K555)&gt;0,'Donnees_USDA'!K351/('Donnees_USDA'!K453+'Donnees_USDA'!K555),"")</f>
        <v>0</v>
      </c>
      <c r="L44" s="10">
        <f>IF(('Donnees_USDA'!L453+'Donnees_USDA'!L555)&gt;0,'Donnees_USDA'!L351/('Donnees_USDA'!L453+'Donnees_USDA'!L555),"")</f>
        <v>0</v>
      </c>
      <c r="M44" s="10" t="str">
        <f>IF(('Donnees_USDA'!M453+'Donnees_USDA'!M555)&gt;0,'Donnees_USDA'!M351/('Donnees_USDA'!M453+'Donnees_USDA'!M555),"")</f>
        <v/>
      </c>
      <c r="N44" s="10" t="str">
        <f>IF(('Donnees_USDA'!N453+'Donnees_USDA'!N555)&gt;0,'Donnees_USDA'!N351/('Donnees_USDA'!N453+'Donnees_USDA'!N555),"")</f>
        <v/>
      </c>
      <c r="O44" s="10" t="str">
        <f>IF(('Donnees_USDA'!O453+'Donnees_USDA'!O555)&gt;0,'Donnees_USDA'!O351/('Donnees_USDA'!O453+'Donnees_USDA'!O555),"")</f>
        <v/>
      </c>
      <c r="P44" s="10" t="str">
        <f>IF(('Donnees_USDA'!P453+'Donnees_USDA'!P555)&gt;0,'Donnees_USDA'!P351/('Donnees_USDA'!P453+'Donnees_USDA'!P555),"")</f>
        <v/>
      </c>
      <c r="Q44" s="10" t="str">
        <f>IF(('Donnees_USDA'!Q453+'Donnees_USDA'!Q555)&gt;0,'Donnees_USDA'!Q351/('Donnees_USDA'!Q453+'Donnees_USDA'!Q555),"")</f>
        <v/>
      </c>
      <c r="R44" s="10" t="str">
        <f>IF(('Donnees_USDA'!R453+'Donnees_USDA'!R555)&gt;0,'Donnees_USDA'!R351/('Donnees_USDA'!R453+'Donnees_USDA'!R555),"")</f>
        <v/>
      </c>
      <c r="S44" s="10" t="str">
        <f>IF(('Donnees_USDA'!S453+'Donnees_USDA'!S555)&gt;0,'Donnees_USDA'!S351/('Donnees_USDA'!S453+'Donnees_USDA'!S555),"")</f>
        <v/>
      </c>
      <c r="T44" s="10">
        <f>AVERAGE(C44:S44)</f>
        <v>0</v>
      </c>
      <c r="U44" s="10">
        <f>'Donnees_USDA'!S45/'Donnees_USDA'!S102</f>
        <v>0</v>
      </c>
      <c r="V44" s="10">
        <f>'Donnees_USDA'!S555/'Donnees_USDA'!S612</f>
        <v>0</v>
      </c>
      <c r="W44" s="10">
        <f>'Donnees_USDA'!S351/'Donnees_USDA'!S405</f>
        <v>0</v>
      </c>
      <c r="X44" s="24" t="str">
        <f>IF('Donnees_USDA'!S555&gt;0,'Donnees_USDA'!S351/'Donnees_USDA'!S555*52,"")</f>
        <v/>
      </c>
      <c r="Y44" s="10">
        <v>-3.7588164065020397e-06</v>
      </c>
      <c r="Z44" s="10">
        <v>0</v>
      </c>
      <c r="AA44" s="13"/>
      <c r="AB44" s="13"/>
    </row>
    <row r="45">
      <c r="A45" s="14" t="s">
        <v>135</v>
      </c>
      <c r="B45" s="10">
        <f>'Donnees_USDA'!S760</f>
        <v>0</v>
      </c>
      <c r="C45" s="10">
        <f>IF(('Donnees_USDA'!C454+'Donnees_USDA'!C556)&gt;0,'Donnees_USDA'!C352/('Donnees_USDA'!C454+'Donnees_USDA'!C556),"")</f>
        <v>0</v>
      </c>
      <c r="D45" s="10">
        <f>IF(('Donnees_USDA'!D454+'Donnees_USDA'!D556)&gt;0,'Donnees_USDA'!D352/('Donnees_USDA'!D454+'Donnees_USDA'!D556),"")</f>
        <v>0</v>
      </c>
      <c r="E45" s="10">
        <f>IF(('Donnees_USDA'!E454+'Donnees_USDA'!E556)&gt;0,'Donnees_USDA'!E352/('Donnees_USDA'!E454+'Donnees_USDA'!E556),"")</f>
        <v>0</v>
      </c>
      <c r="F45" s="10">
        <f>IF(('Donnees_USDA'!F454+'Donnees_USDA'!F556)&gt;0,'Donnees_USDA'!F352/('Donnees_USDA'!F454+'Donnees_USDA'!F556),"")</f>
        <v>0</v>
      </c>
      <c r="G45" s="10">
        <f>IF(('Donnees_USDA'!G454+'Donnees_USDA'!G556)&gt;0,'Donnees_USDA'!G352/('Donnees_USDA'!G454+'Donnees_USDA'!G556),"")</f>
        <v>0</v>
      </c>
      <c r="H45" s="10">
        <f>IF(('Donnees_USDA'!H454+'Donnees_USDA'!H556)&gt;0,'Donnees_USDA'!H352/('Donnees_USDA'!H454+'Donnees_USDA'!H556),"")</f>
        <v>0</v>
      </c>
      <c r="I45" s="10">
        <f>IF(('Donnees_USDA'!I454+'Donnees_USDA'!I556)&gt;0,'Donnees_USDA'!I352/('Donnees_USDA'!I454+'Donnees_USDA'!I556),"")</f>
        <v>0</v>
      </c>
      <c r="J45" s="10">
        <f>IF(('Donnees_USDA'!J454+'Donnees_USDA'!J556)&gt;0,'Donnees_USDA'!J352/('Donnees_USDA'!J454+'Donnees_USDA'!J556),"")</f>
        <v>0</v>
      </c>
      <c r="K45" s="10" t="str">
        <f>IF(('Donnees_USDA'!K454+'Donnees_USDA'!K556)&gt;0,'Donnees_USDA'!K352/('Donnees_USDA'!K454+'Donnees_USDA'!K556),"")</f>
        <v/>
      </c>
      <c r="L45" s="10" t="str">
        <f>IF(('Donnees_USDA'!L454+'Donnees_USDA'!L556)&gt;0,'Donnees_USDA'!L352/('Donnees_USDA'!L454+'Donnees_USDA'!L556),"")</f>
        <v/>
      </c>
      <c r="M45" s="10" t="str">
        <f>IF(('Donnees_USDA'!M454+'Donnees_USDA'!M556)&gt;0,'Donnees_USDA'!M352/('Donnees_USDA'!M454+'Donnees_USDA'!M556),"")</f>
        <v/>
      </c>
      <c r="N45" s="10" t="str">
        <f>IF(('Donnees_USDA'!N454+'Donnees_USDA'!N556)&gt;0,'Donnees_USDA'!N352/('Donnees_USDA'!N454+'Donnees_USDA'!N556),"")</f>
        <v/>
      </c>
      <c r="O45" s="10" t="str">
        <f>IF(('Donnees_USDA'!O454+'Donnees_USDA'!O556)&gt;0,'Donnees_USDA'!O352/('Donnees_USDA'!O454+'Donnees_USDA'!O556),"")</f>
        <v/>
      </c>
      <c r="P45" s="10" t="str">
        <f>IF(('Donnees_USDA'!P454+'Donnees_USDA'!P556)&gt;0,'Donnees_USDA'!P352/('Donnees_USDA'!P454+'Donnees_USDA'!P556),"")</f>
        <v/>
      </c>
      <c r="Q45" s="10" t="str">
        <f>IF(('Donnees_USDA'!Q454+'Donnees_USDA'!Q556)&gt;0,'Donnees_USDA'!Q352/('Donnees_USDA'!Q454+'Donnees_USDA'!Q556),"")</f>
        <v/>
      </c>
      <c r="R45" s="10" t="str">
        <f>IF(('Donnees_USDA'!R454+'Donnees_USDA'!R556)&gt;0,'Donnees_USDA'!R352/('Donnees_USDA'!R454+'Donnees_USDA'!R556),"")</f>
        <v/>
      </c>
      <c r="S45" s="10" t="str">
        <f>IF(('Donnees_USDA'!S454+'Donnees_USDA'!S556)&gt;0,'Donnees_USDA'!S352/('Donnees_USDA'!S454+'Donnees_USDA'!S556),"")</f>
        <v/>
      </c>
      <c r="T45" s="10">
        <f>AVERAGE(C45:S45)</f>
        <v>0</v>
      </c>
      <c r="U45" s="10">
        <f>'Donnees_USDA'!S46/'Donnees_USDA'!S102</f>
        <v>0</v>
      </c>
      <c r="V45" s="10">
        <f>'Donnees_USDA'!S556/'Donnees_USDA'!S612</f>
        <v>0</v>
      </c>
      <c r="W45" s="10">
        <f>'Donnees_USDA'!S352/'Donnees_USDA'!S405</f>
        <v>0</v>
      </c>
      <c r="X45" s="24" t="str">
        <f>IF('Donnees_USDA'!S556&gt;0,'Donnees_USDA'!S352/'Donnees_USDA'!S556*52,"")</f>
        <v/>
      </c>
      <c r="Y45" s="10">
        <v>-0.00021914710695359398</v>
      </c>
      <c r="Z45" s="10">
        <v>0</v>
      </c>
      <c r="AA45" s="13"/>
      <c r="AB45" s="13"/>
    </row>
    <row r="46">
      <c r="A46" s="14" t="s">
        <v>136</v>
      </c>
      <c r="B46" s="10">
        <f>'Donnees_USDA'!S761</f>
        <v>0</v>
      </c>
      <c r="C46" s="10">
        <f>IF(('Donnees_USDA'!C455+'Donnees_USDA'!C557)&gt;0,'Donnees_USDA'!C353/('Donnees_USDA'!C455+'Donnees_USDA'!C557),"")</f>
        <v>0</v>
      </c>
      <c r="D46" s="10">
        <f>IF(('Donnees_USDA'!D455+'Donnees_USDA'!D557)&gt;0,'Donnees_USDA'!D353/('Donnees_USDA'!D455+'Donnees_USDA'!D557),"")</f>
        <v>0</v>
      </c>
      <c r="E46" s="10">
        <f>IF(('Donnees_USDA'!E455+'Donnees_USDA'!E557)&gt;0,'Donnees_USDA'!E353/('Donnees_USDA'!E455+'Donnees_USDA'!E557),"")</f>
        <v>0</v>
      </c>
      <c r="F46" s="10">
        <f>IF(('Donnees_USDA'!F455+'Donnees_USDA'!F557)&gt;0,'Donnees_USDA'!F353/('Donnees_USDA'!F455+'Donnees_USDA'!F557),"")</f>
        <v>0</v>
      </c>
      <c r="G46" s="10">
        <f>IF(('Donnees_USDA'!G455+'Donnees_USDA'!G557)&gt;0,'Donnees_USDA'!G353/('Donnees_USDA'!G455+'Donnees_USDA'!G557),"")</f>
        <v>0</v>
      </c>
      <c r="H46" s="10" t="str">
        <f>IF(('Donnees_USDA'!H455+'Donnees_USDA'!H557)&gt;0,'Donnees_USDA'!H353/('Donnees_USDA'!H455+'Donnees_USDA'!H557),"")</f>
        <v/>
      </c>
      <c r="I46" s="10" t="str">
        <f>IF(('Donnees_USDA'!I455+'Donnees_USDA'!I557)&gt;0,'Donnees_USDA'!I353/('Donnees_USDA'!I455+'Donnees_USDA'!I557),"")</f>
        <v/>
      </c>
      <c r="J46" s="10" t="str">
        <f>IF(('Donnees_USDA'!J455+'Donnees_USDA'!J557)&gt;0,'Donnees_USDA'!J353/('Donnees_USDA'!J455+'Donnees_USDA'!J557),"")</f>
        <v/>
      </c>
      <c r="K46" s="10" t="str">
        <f>IF(('Donnees_USDA'!K455+'Donnees_USDA'!K557)&gt;0,'Donnees_USDA'!K353/('Donnees_USDA'!K455+'Donnees_USDA'!K557),"")</f>
        <v/>
      </c>
      <c r="L46" s="10" t="str">
        <f>IF(('Donnees_USDA'!L455+'Donnees_USDA'!L557)&gt;0,'Donnees_USDA'!L353/('Donnees_USDA'!L455+'Donnees_USDA'!L557),"")</f>
        <v/>
      </c>
      <c r="M46" s="10" t="str">
        <f>IF(('Donnees_USDA'!M455+'Donnees_USDA'!M557)&gt;0,'Donnees_USDA'!M353/('Donnees_USDA'!M455+'Donnees_USDA'!M557),"")</f>
        <v/>
      </c>
      <c r="N46" s="10" t="str">
        <f>IF(('Donnees_USDA'!N455+'Donnees_USDA'!N557)&gt;0,'Donnees_USDA'!N353/('Donnees_USDA'!N455+'Donnees_USDA'!N557),"")</f>
        <v/>
      </c>
      <c r="O46" s="10" t="str">
        <f>IF(('Donnees_USDA'!O455+'Donnees_USDA'!O557)&gt;0,'Donnees_USDA'!O353/('Donnees_USDA'!O455+'Donnees_USDA'!O557),"")</f>
        <v/>
      </c>
      <c r="P46" s="10" t="str">
        <f>IF(('Donnees_USDA'!P455+'Donnees_USDA'!P557)&gt;0,'Donnees_USDA'!P353/('Donnees_USDA'!P455+'Donnees_USDA'!P557),"")</f>
        <v/>
      </c>
      <c r="Q46" s="10" t="str">
        <f>IF(('Donnees_USDA'!Q455+'Donnees_USDA'!Q557)&gt;0,'Donnees_USDA'!Q353/('Donnees_USDA'!Q455+'Donnees_USDA'!Q557),"")</f>
        <v/>
      </c>
      <c r="R46" s="10" t="str">
        <f>IF(('Donnees_USDA'!R455+'Donnees_USDA'!R557)&gt;0,'Donnees_USDA'!R353/('Donnees_USDA'!R455+'Donnees_USDA'!R557),"")</f>
        <v/>
      </c>
      <c r="S46" s="10" t="str">
        <f>IF(('Donnees_USDA'!S455+'Donnees_USDA'!S557)&gt;0,'Donnees_USDA'!S353/('Donnees_USDA'!S455+'Donnees_USDA'!S557),"")</f>
        <v/>
      </c>
      <c r="T46" s="10">
        <f>AVERAGE(C46:S46)</f>
        <v>0</v>
      </c>
      <c r="U46" s="10">
        <f>'Donnees_USDA'!S47/'Donnees_USDA'!S102</f>
        <v>0</v>
      </c>
      <c r="V46" s="10">
        <f>'Donnees_USDA'!S557/'Donnees_USDA'!S612</f>
        <v>0</v>
      </c>
      <c r="W46" s="10">
        <f>'Donnees_USDA'!S353/'Donnees_USDA'!S405</f>
        <v>0</v>
      </c>
      <c r="X46" s="24" t="str">
        <f>IF('Donnees_USDA'!S557&gt;0,'Donnees_USDA'!S353/'Donnees_USDA'!S557*52,"")</f>
        <v/>
      </c>
      <c r="Y46" s="10">
        <v>0.0007792841248789825</v>
      </c>
      <c r="Z46" s="10">
        <v>0</v>
      </c>
      <c r="AA46" s="13"/>
      <c r="AB46" s="13"/>
    </row>
    <row r="48">
      <c r="A48" s="19" t="s">
        <v>137</v>
      </c>
    </row>
  </sheetData>
  <mergeCells count="1">
    <mergeCell ref="A48:AA52"/>
  </mergeCells>
  <conditionalFormatting sqref="C5:S5">
    <cfRule type="colorScale" priority="1">
      <colorScale>
        <cfvo type="min"/>
        <cfvo type="percentile" val="50"/>
        <cfvo type="max"/>
        <color rgb="FFF8696B"/>
        <color rgb="FFFFEB84"/>
        <color rgb="FF63BE7B"/>
      </colorScale>
    </cfRule>
  </conditionalFormatting>
  <conditionalFormatting sqref="C6:S6">
    <cfRule type="colorScale" priority="2">
      <colorScale>
        <cfvo type="min"/>
        <cfvo type="percentile" val="50"/>
        <cfvo type="max"/>
        <color rgb="FFF8696B"/>
        <color rgb="FFFFEB84"/>
        <color rgb="FF63BE7B"/>
      </colorScale>
    </cfRule>
  </conditionalFormatting>
  <conditionalFormatting sqref="C7:S7">
    <cfRule type="colorScale" priority="3">
      <colorScale>
        <cfvo type="min"/>
        <cfvo type="percentile" val="50"/>
        <cfvo type="max"/>
        <color rgb="FFF8696B"/>
        <color rgb="FFFFEB84"/>
        <color rgb="FF63BE7B"/>
      </colorScale>
    </cfRule>
  </conditionalFormatting>
  <conditionalFormatting sqref="C8:S8">
    <cfRule type="colorScale" priority="4">
      <colorScale>
        <cfvo type="min"/>
        <cfvo type="percentile" val="50"/>
        <cfvo type="max"/>
        <color rgb="FFF8696B"/>
        <color rgb="FFFFEB84"/>
        <color rgb="FF63BE7B"/>
      </colorScale>
    </cfRule>
  </conditionalFormatting>
  <conditionalFormatting sqref="C9:S9">
    <cfRule type="colorScale" priority="5">
      <colorScale>
        <cfvo type="min"/>
        <cfvo type="percentile" val="50"/>
        <cfvo type="max"/>
        <color rgb="FFF8696B"/>
        <color rgb="FFFFEB84"/>
        <color rgb="FF63BE7B"/>
      </colorScale>
    </cfRule>
  </conditionalFormatting>
  <conditionalFormatting sqref="C10:S10">
    <cfRule type="colorScale" priority="6">
      <colorScale>
        <cfvo type="min"/>
        <cfvo type="percentile" val="50"/>
        <cfvo type="max"/>
        <color rgb="FFF8696B"/>
        <color rgb="FFFFEB84"/>
        <color rgb="FF63BE7B"/>
      </colorScale>
    </cfRule>
  </conditionalFormatting>
  <conditionalFormatting sqref="C11:S11">
    <cfRule type="colorScale" priority="7">
      <colorScale>
        <cfvo type="min"/>
        <cfvo type="percentile" val="50"/>
        <cfvo type="max"/>
        <color rgb="FFF8696B"/>
        <color rgb="FFFFEB84"/>
        <color rgb="FF63BE7B"/>
      </colorScale>
    </cfRule>
  </conditionalFormatting>
  <conditionalFormatting sqref="C12:S12">
    <cfRule type="colorScale" priority="8">
      <colorScale>
        <cfvo type="min"/>
        <cfvo type="percentile" val="50"/>
        <cfvo type="max"/>
        <color rgb="FFF8696B"/>
        <color rgb="FFFFEB84"/>
        <color rgb="FF63BE7B"/>
      </colorScale>
    </cfRule>
  </conditionalFormatting>
  <conditionalFormatting sqref="C13:S13">
    <cfRule type="colorScale" priority="9">
      <colorScale>
        <cfvo type="min"/>
        <cfvo type="percentile" val="50"/>
        <cfvo type="max"/>
        <color rgb="FFF8696B"/>
        <color rgb="FFFFEB84"/>
        <color rgb="FF63BE7B"/>
      </colorScale>
    </cfRule>
  </conditionalFormatting>
  <conditionalFormatting sqref="C14:S14">
    <cfRule type="colorScale" priority="10">
      <colorScale>
        <cfvo type="min"/>
        <cfvo type="percentile" val="50"/>
        <cfvo type="max"/>
        <color rgb="FFF8696B"/>
        <color rgb="FFFFEB84"/>
        <color rgb="FF63BE7B"/>
      </colorScale>
    </cfRule>
  </conditionalFormatting>
  <conditionalFormatting sqref="C15:S15">
    <cfRule type="colorScale" priority="11">
      <colorScale>
        <cfvo type="min"/>
        <cfvo type="percentile" val="50"/>
        <cfvo type="max"/>
        <color rgb="FFF8696B"/>
        <color rgb="FFFFEB84"/>
        <color rgb="FF63BE7B"/>
      </colorScale>
    </cfRule>
  </conditionalFormatting>
  <conditionalFormatting sqref="C16:S16">
    <cfRule type="colorScale" priority="12">
      <colorScale>
        <cfvo type="min"/>
        <cfvo type="percentile" val="50"/>
        <cfvo type="max"/>
        <color rgb="FFF8696B"/>
        <color rgb="FFFFEB84"/>
        <color rgb="FF63BE7B"/>
      </colorScale>
    </cfRule>
  </conditionalFormatting>
  <conditionalFormatting sqref="C17:S17">
    <cfRule type="colorScale" priority="13">
      <colorScale>
        <cfvo type="min"/>
        <cfvo type="percentile" val="50"/>
        <cfvo type="max"/>
        <color rgb="FFF8696B"/>
        <color rgb="FFFFEB84"/>
        <color rgb="FF63BE7B"/>
      </colorScale>
    </cfRule>
  </conditionalFormatting>
  <conditionalFormatting sqref="C18:S18">
    <cfRule type="colorScale" priority="14">
      <colorScale>
        <cfvo type="min"/>
        <cfvo type="percentile" val="50"/>
        <cfvo type="max"/>
        <color rgb="FFF8696B"/>
        <color rgb="FFFFEB84"/>
        <color rgb="FF63BE7B"/>
      </colorScale>
    </cfRule>
  </conditionalFormatting>
  <conditionalFormatting sqref="C19:S19">
    <cfRule type="colorScale" priority="15">
      <colorScale>
        <cfvo type="min"/>
        <cfvo type="percentile" val="50"/>
        <cfvo type="max"/>
        <color rgb="FFF8696B"/>
        <color rgb="FFFFEB84"/>
        <color rgb="FF63BE7B"/>
      </colorScale>
    </cfRule>
  </conditionalFormatting>
  <conditionalFormatting sqref="C20:S20">
    <cfRule type="colorScale" priority="16">
      <colorScale>
        <cfvo type="min"/>
        <cfvo type="percentile" val="50"/>
        <cfvo type="max"/>
        <color rgb="FFF8696B"/>
        <color rgb="FFFFEB84"/>
        <color rgb="FF63BE7B"/>
      </colorScale>
    </cfRule>
  </conditionalFormatting>
  <conditionalFormatting sqref="C21:S21">
    <cfRule type="colorScale" priority="17">
      <colorScale>
        <cfvo type="min"/>
        <cfvo type="percentile" val="50"/>
        <cfvo type="max"/>
        <color rgb="FFF8696B"/>
        <color rgb="FFFFEB84"/>
        <color rgb="FF63BE7B"/>
      </colorScale>
    </cfRule>
  </conditionalFormatting>
  <conditionalFormatting sqref="C22:S22">
    <cfRule type="colorScale" priority="18">
      <colorScale>
        <cfvo type="min"/>
        <cfvo type="percentile" val="50"/>
        <cfvo type="max"/>
        <color rgb="FFF8696B"/>
        <color rgb="FFFFEB84"/>
        <color rgb="FF63BE7B"/>
      </colorScale>
    </cfRule>
  </conditionalFormatting>
  <conditionalFormatting sqref="C23:S23">
    <cfRule type="colorScale" priority="19">
      <colorScale>
        <cfvo type="min"/>
        <cfvo type="percentile" val="50"/>
        <cfvo type="max"/>
        <color rgb="FFF8696B"/>
        <color rgb="FFFFEB84"/>
        <color rgb="FF63BE7B"/>
      </colorScale>
    </cfRule>
  </conditionalFormatting>
  <conditionalFormatting sqref="C24:S24">
    <cfRule type="colorScale" priority="20">
      <colorScale>
        <cfvo type="min"/>
        <cfvo type="percentile" val="50"/>
        <cfvo type="max"/>
        <color rgb="FFF8696B"/>
        <color rgb="FFFFEB84"/>
        <color rgb="FF63BE7B"/>
      </colorScale>
    </cfRule>
  </conditionalFormatting>
  <conditionalFormatting sqref="C25:S25">
    <cfRule type="colorScale" priority="21">
      <colorScale>
        <cfvo type="min"/>
        <cfvo type="percentile" val="50"/>
        <cfvo type="max"/>
        <color rgb="FFF8696B"/>
        <color rgb="FFFFEB84"/>
        <color rgb="FF63BE7B"/>
      </colorScale>
    </cfRule>
  </conditionalFormatting>
  <conditionalFormatting sqref="C26:S26">
    <cfRule type="colorScale" priority="22">
      <colorScale>
        <cfvo type="min"/>
        <cfvo type="percentile" val="50"/>
        <cfvo type="max"/>
        <color rgb="FFF8696B"/>
        <color rgb="FFFFEB84"/>
        <color rgb="FF63BE7B"/>
      </colorScale>
    </cfRule>
  </conditionalFormatting>
  <conditionalFormatting sqref="C27:S27">
    <cfRule type="colorScale" priority="23">
      <colorScale>
        <cfvo type="min"/>
        <cfvo type="percentile" val="50"/>
        <cfvo type="max"/>
        <color rgb="FFF8696B"/>
        <color rgb="FFFFEB84"/>
        <color rgb="FF63BE7B"/>
      </colorScale>
    </cfRule>
  </conditionalFormatting>
  <conditionalFormatting sqref="C28:S28">
    <cfRule type="colorScale" priority="24">
      <colorScale>
        <cfvo type="min"/>
        <cfvo type="percentile" val="50"/>
        <cfvo type="max"/>
        <color rgb="FFF8696B"/>
        <color rgb="FFFFEB84"/>
        <color rgb="FF63BE7B"/>
      </colorScale>
    </cfRule>
  </conditionalFormatting>
  <conditionalFormatting sqref="C29:S29">
    <cfRule type="colorScale" priority="25">
      <colorScale>
        <cfvo type="min"/>
        <cfvo type="percentile" val="50"/>
        <cfvo type="max"/>
        <color rgb="FFF8696B"/>
        <color rgb="FFFFEB84"/>
        <color rgb="FF63BE7B"/>
      </colorScale>
    </cfRule>
  </conditionalFormatting>
  <conditionalFormatting sqref="C30:S30">
    <cfRule type="colorScale" priority="26">
      <colorScale>
        <cfvo type="min"/>
        <cfvo type="percentile" val="50"/>
        <cfvo type="max"/>
        <color rgb="FFF8696B"/>
        <color rgb="FFFFEB84"/>
        <color rgb="FF63BE7B"/>
      </colorScale>
    </cfRule>
  </conditionalFormatting>
  <conditionalFormatting sqref="C31:S31">
    <cfRule type="colorScale" priority="27">
      <colorScale>
        <cfvo type="min"/>
        <cfvo type="percentile" val="50"/>
        <cfvo type="max"/>
        <color rgb="FFF8696B"/>
        <color rgb="FFFFEB84"/>
        <color rgb="FF63BE7B"/>
      </colorScale>
    </cfRule>
  </conditionalFormatting>
  <conditionalFormatting sqref="C32:S32">
    <cfRule type="colorScale" priority="28">
      <colorScale>
        <cfvo type="min"/>
        <cfvo type="percentile" val="50"/>
        <cfvo type="max"/>
        <color rgb="FFF8696B"/>
        <color rgb="FFFFEB84"/>
        <color rgb="FF63BE7B"/>
      </colorScale>
    </cfRule>
  </conditionalFormatting>
  <conditionalFormatting sqref="C33:S33">
    <cfRule type="colorScale" priority="29">
      <colorScale>
        <cfvo type="min"/>
        <cfvo type="percentile" val="50"/>
        <cfvo type="max"/>
        <color rgb="FFF8696B"/>
        <color rgb="FFFFEB84"/>
        <color rgb="FF63BE7B"/>
      </colorScale>
    </cfRule>
  </conditionalFormatting>
  <conditionalFormatting sqref="C34:S34">
    <cfRule type="colorScale" priority="30">
      <colorScale>
        <cfvo type="min"/>
        <cfvo type="percentile" val="50"/>
        <cfvo type="max"/>
        <color rgb="FFF8696B"/>
        <color rgb="FFFFEB84"/>
        <color rgb="FF63BE7B"/>
      </colorScale>
    </cfRule>
  </conditionalFormatting>
  <conditionalFormatting sqref="C35:S35">
    <cfRule type="colorScale" priority="31">
      <colorScale>
        <cfvo type="min"/>
        <cfvo type="percentile" val="50"/>
        <cfvo type="max"/>
        <color rgb="FFF8696B"/>
        <color rgb="FFFFEB84"/>
        <color rgb="FF63BE7B"/>
      </colorScale>
    </cfRule>
  </conditionalFormatting>
  <conditionalFormatting sqref="C36:S36">
    <cfRule type="colorScale" priority="32">
      <colorScale>
        <cfvo type="min"/>
        <cfvo type="percentile" val="50"/>
        <cfvo type="max"/>
        <color rgb="FFF8696B"/>
        <color rgb="FFFFEB84"/>
        <color rgb="FF63BE7B"/>
      </colorScale>
    </cfRule>
  </conditionalFormatting>
  <conditionalFormatting sqref="C37:S37">
    <cfRule type="colorScale" priority="33">
      <colorScale>
        <cfvo type="min"/>
        <cfvo type="percentile" val="50"/>
        <cfvo type="max"/>
        <color rgb="FFF8696B"/>
        <color rgb="FFFFEB84"/>
        <color rgb="FF63BE7B"/>
      </colorScale>
    </cfRule>
  </conditionalFormatting>
  <conditionalFormatting sqref="C38:S38">
    <cfRule type="colorScale" priority="34">
      <colorScale>
        <cfvo type="min"/>
        <cfvo type="percentile" val="50"/>
        <cfvo type="max"/>
        <color rgb="FFF8696B"/>
        <color rgb="FFFFEB84"/>
        <color rgb="FF63BE7B"/>
      </colorScale>
    </cfRule>
  </conditionalFormatting>
  <conditionalFormatting sqref="C39:S39">
    <cfRule type="colorScale" priority="35">
      <colorScale>
        <cfvo type="min"/>
        <cfvo type="percentile" val="50"/>
        <cfvo type="max"/>
        <color rgb="FFF8696B"/>
        <color rgb="FFFFEB84"/>
        <color rgb="FF63BE7B"/>
      </colorScale>
    </cfRule>
  </conditionalFormatting>
  <conditionalFormatting sqref="C40:S40">
    <cfRule type="colorScale" priority="36">
      <colorScale>
        <cfvo type="min"/>
        <cfvo type="percentile" val="50"/>
        <cfvo type="max"/>
        <color rgb="FFF8696B"/>
        <color rgb="FFFFEB84"/>
        <color rgb="FF63BE7B"/>
      </colorScale>
    </cfRule>
  </conditionalFormatting>
  <conditionalFormatting sqref="C41:S41">
    <cfRule type="colorScale" priority="37">
      <colorScale>
        <cfvo type="min"/>
        <cfvo type="percentile" val="50"/>
        <cfvo type="max"/>
        <color rgb="FFF8696B"/>
        <color rgb="FFFFEB84"/>
        <color rgb="FF63BE7B"/>
      </colorScale>
    </cfRule>
  </conditionalFormatting>
  <conditionalFormatting sqref="C42:S42">
    <cfRule type="colorScale" priority="38">
      <colorScale>
        <cfvo type="min"/>
        <cfvo type="percentile" val="50"/>
        <cfvo type="max"/>
        <color rgb="FFF8696B"/>
        <color rgb="FFFFEB84"/>
        <color rgb="FF63BE7B"/>
      </colorScale>
    </cfRule>
  </conditionalFormatting>
  <conditionalFormatting sqref="C43:S43">
    <cfRule type="colorScale" priority="39">
      <colorScale>
        <cfvo type="min"/>
        <cfvo type="percentile" val="50"/>
        <cfvo type="max"/>
        <color rgb="FFF8696B"/>
        <color rgb="FFFFEB84"/>
        <color rgb="FF63BE7B"/>
      </colorScale>
    </cfRule>
  </conditionalFormatting>
  <conditionalFormatting sqref="C44:S44">
    <cfRule type="colorScale" priority="40">
      <colorScale>
        <cfvo type="min"/>
        <cfvo type="percentile" val="50"/>
        <cfvo type="max"/>
        <color rgb="FFF8696B"/>
        <color rgb="FFFFEB84"/>
        <color rgb="FF63BE7B"/>
      </colorScale>
    </cfRule>
  </conditionalFormatting>
  <conditionalFormatting sqref="C45:S45">
    <cfRule type="colorScale" priority="41">
      <colorScale>
        <cfvo type="min"/>
        <cfvo type="percentile" val="50"/>
        <cfvo type="max"/>
        <color rgb="FFF8696B"/>
        <color rgb="FFFFEB84"/>
        <color rgb="FF63BE7B"/>
      </colorScale>
    </cfRule>
  </conditionalFormatting>
  <conditionalFormatting sqref="C46:S46">
    <cfRule type="colorScale" priority="42">
      <colorScale>
        <cfvo type="min"/>
        <cfvo type="percentile" val="50"/>
        <cfvo type="max"/>
        <color rgb="FFF8696B"/>
        <color rgb="FFFFEB84"/>
        <color rgb="FF63BE7B"/>
      </colorScale>
    </cfRule>
  </conditionalFormatting>
  <conditionalFormatting sqref="Y5:Y46">
    <cfRule type="colorScale" priority="43">
      <colorScale>
        <cfvo type="min"/>
        <cfvo type="percentile" val="50"/>
        <cfvo type="max"/>
        <color rgb="FFFFFFFF"/>
        <color rgb="FFFFE699"/>
        <color rgb="FFC65911"/>
      </colorScale>
    </cfRule>
  </conditionalFormatting>
  <conditionalFormatting sqref="Z5:Z46">
    <cfRule type="colorScale" priority="44">
      <colorScale>
        <cfvo type="min"/>
        <cfvo type="percentile" val="50"/>
        <cfvo type="max"/>
        <color rgb="FFFFFFFF"/>
        <color rgb="FFFFE699"/>
        <color rgb="FFC65911"/>
      </colorScale>
    </cfRule>
  </conditionalFormatting>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sheetPr>
    <tabColor rgb="FFFFC000"/>
  </sheetPr>
  <dimension ref="A1:H84"/>
  <sheetViews>
    <sheetView workbookViewId="0"/>
  </sheetViews>
  <sheetFormatPr defaultRowHeight="12.75"/>
  <cols>
    <col min="1" max="1" width="58" customWidth="1"/>
    <col min="2" max="2" width="10" customWidth="1"/>
    <col min="3" max="3" width="13" customWidth="1"/>
    <col min="4" max="4" width="13" customWidth="1"/>
    <col min="5" max="5" width="14" customWidth="1"/>
    <col min="6" max="6" width="12" customWidth="1"/>
    <col min="7" max="7" width="12" customWidth="1"/>
    <col min="8" max="8" width="60" customWidth="1"/>
  </cols>
  <sheetData>
    <row r="1">
      <c r="A1" s="1" t="s">
        <v>138</v>
      </c>
    </row>
    <row r="2">
      <c r="A2" s="2" t="s">
        <v>139</v>
      </c>
    </row>
    <row r="4">
      <c r="A4" s="16" t="s">
        <v>140</v>
      </c>
      <c r="B4" s="16"/>
      <c r="C4" s="16"/>
      <c r="D4" s="16"/>
      <c r="E4" s="16"/>
      <c r="F4" s="16"/>
      <c r="G4" s="16"/>
      <c r="H4" s="16"/>
    </row>
    <row r="5" ht="30" customHeight="1">
      <c r="A5" s="3" t="s">
        <v>141</v>
      </c>
      <c r="B5" s="3" t="s">
        <v>142</v>
      </c>
      <c r="C5" s="3" t="s">
        <v>143</v>
      </c>
      <c r="D5" s="3" t="s">
        <v>144</v>
      </c>
      <c r="E5" s="3" t="s">
        <v>145</v>
      </c>
      <c r="F5" s="3" t="s">
        <v>146</v>
      </c>
      <c r="G5" s="3" t="s">
        <v>147</v>
      </c>
      <c r="H5" s="3" t="s">
        <v>148</v>
      </c>
    </row>
    <row r="6">
      <c r="A6" s="14" t="s">
        <v>149</v>
      </c>
      <c r="B6" s="14" t="s">
        <v>150</v>
      </c>
      <c r="C6" s="13">
        <v>-0.1434045751454457</v>
      </c>
      <c r="D6" s="13">
        <v>0.653053348654566</v>
      </c>
      <c r="E6" s="13">
        <v>-0.34680498507895285</v>
      </c>
      <c r="F6" s="13">
        <v>0.22892314530071323</v>
      </c>
      <c r="G6" s="13">
        <v>-0.07194859868231329</v>
      </c>
      <c r="H6" s="2" t="s">
        <v>151</v>
      </c>
    </row>
    <row r="7">
      <c r="A7" s="14" t="s">
        <v>152</v>
      </c>
      <c r="B7" s="14" t="s">
        <v>150</v>
      </c>
      <c r="C7" s="13">
        <v>-0.3916790678785813</v>
      </c>
      <c r="D7" s="13">
        <v>0.4243295049904434</v>
      </c>
      <c r="E7" s="13">
        <v>-0.2514099623730134</v>
      </c>
      <c r="F7" s="13">
        <v>0.5526336705482373</v>
      </c>
      <c r="G7" s="13">
        <v>-0.3648880587699572</v>
      </c>
      <c r="H7" s="2" t="s">
        <v>153</v>
      </c>
    </row>
    <row r="8">
      <c r="A8" s="14" t="s">
        <v>154</v>
      </c>
      <c r="B8" s="14" t="s">
        <v>150</v>
      </c>
      <c r="C8" s="13">
        <v>-0.6084555643365539</v>
      </c>
      <c r="D8" s="13">
        <v>0.29605200162959777</v>
      </c>
      <c r="E8" s="13">
        <v>-0.3396417984168407</v>
      </c>
      <c r="F8" s="13">
        <v>0.25622010898266445</v>
      </c>
      <c r="G8" s="13">
        <v>-0.324345028806835</v>
      </c>
      <c r="H8" s="2" t="s">
        <v>155</v>
      </c>
    </row>
    <row r="9">
      <c r="A9" s="14" t="s">
        <v>156</v>
      </c>
      <c r="B9" s="14" t="s">
        <v>157</v>
      </c>
      <c r="C9" s="13">
        <v>0.3089244462023583</v>
      </c>
      <c r="D9" s="13">
        <v>0.7574323523117067</v>
      </c>
      <c r="E9" s="13">
        <v>-0.34458051784384625</v>
      </c>
      <c r="F9" s="13">
        <v>0.4253590844030942</v>
      </c>
      <c r="G9" s="13">
        <v>-0.6233519652982549</v>
      </c>
      <c r="H9" s="2" t="s">
        <v>158</v>
      </c>
    </row>
    <row r="10">
      <c r="A10" s="14" t="s">
        <v>159</v>
      </c>
      <c r="B10" s="14" t="s">
        <v>157</v>
      </c>
      <c r="C10" s="13">
        <v>-0.5392047186583346</v>
      </c>
      <c r="D10" s="13">
        <v>0.26343285320031273</v>
      </c>
      <c r="E10" s="13">
        <v>-0.36528914813806956</v>
      </c>
      <c r="F10" s="13">
        <v>0.4131123544622859</v>
      </c>
      <c r="G10" s="13">
        <v>-0.11460181147931953</v>
      </c>
      <c r="H10" s="2" t="s">
        <v>160</v>
      </c>
    </row>
    <row r="11">
      <c r="A11" s="14" t="s">
        <v>161</v>
      </c>
      <c r="B11" s="14" t="s">
        <v>157</v>
      </c>
      <c r="C11" s="13">
        <v>-0.5623676674428978</v>
      </c>
      <c r="D11" s="13">
        <v>0.16413197188231224</v>
      </c>
      <c r="E11" s="13">
        <v>-0.29497650700090844</v>
      </c>
      <c r="F11" s="13">
        <v>0.3582663920076764</v>
      </c>
      <c r="G11" s="13">
        <v>0.2044197427498643</v>
      </c>
      <c r="H11" s="2" t="s">
        <v>162</v>
      </c>
    </row>
    <row r="12">
      <c r="A12" s="14" t="s">
        <v>163</v>
      </c>
      <c r="B12" s="14" t="s">
        <v>150</v>
      </c>
      <c r="C12" s="13">
        <v>-0.6287170498222363</v>
      </c>
      <c r="D12" s="13">
        <v>0.2852092850643801</v>
      </c>
      <c r="E12" s="13">
        <v>-0.5761132810180803</v>
      </c>
      <c r="F12" s="13">
        <v>0.2704840677914786</v>
      </c>
      <c r="G12" s="13">
        <v>-0.12672066397157244</v>
      </c>
      <c r="H12" s="2" t="s">
        <v>164</v>
      </c>
    </row>
    <row r="13">
      <c r="A13" s="14" t="s">
        <v>163</v>
      </c>
      <c r="B13" s="14" t="s">
        <v>157</v>
      </c>
      <c r="C13" s="13">
        <v>-0.7213847729578974</v>
      </c>
      <c r="D13" s="13">
        <v>0.32594274953617663</v>
      </c>
      <c r="E13" s="13">
        <v>-0.5853723570300601</v>
      </c>
      <c r="F13" s="13">
        <v>0.32426671207098035</v>
      </c>
      <c r="G13" s="13">
        <v>-0.1413557907267923</v>
      </c>
      <c r="H13" s="2" t="s">
        <v>165</v>
      </c>
    </row>
    <row r="14">
      <c r="A14" s="14" t="s">
        <v>166</v>
      </c>
      <c r="B14" s="14" t="s">
        <v>150</v>
      </c>
      <c r="C14" s="13">
        <v>-0.6285987794384786</v>
      </c>
      <c r="D14" s="13">
        <v>0.2851498949802199</v>
      </c>
      <c r="E14" s="13">
        <v>-0.3887275435376727</v>
      </c>
      <c r="F14" s="13">
        <v>0.18928016480131216</v>
      </c>
      <c r="G14" s="13">
        <v>0.04591002103126397</v>
      </c>
      <c r="H14" s="2" t="s">
        <v>162</v>
      </c>
    </row>
    <row r="15">
      <c r="A15" s="14" t="s">
        <v>166</v>
      </c>
      <c r="B15" s="14" t="s">
        <v>157</v>
      </c>
      <c r="C15" s="13">
        <v>-0.6514336618294809</v>
      </c>
      <c r="D15" s="13">
        <v>0.3810048885583386</v>
      </c>
      <c r="E15" s="13">
        <v>-0.3424421241850506</v>
      </c>
      <c r="F15" s="13">
        <v>0.2520673325067926</v>
      </c>
      <c r="G15" s="13">
        <v>0.17634295483671905</v>
      </c>
      <c r="H15" s="2" t="s">
        <v>162</v>
      </c>
    </row>
    <row r="16">
      <c r="A16" s="14" t="s">
        <v>167</v>
      </c>
      <c r="B16" s="14" t="s">
        <v>150</v>
      </c>
      <c r="C16" s="13">
        <v>0.08169068793421809</v>
      </c>
      <c r="D16" s="13">
        <v>0.8978926923438701</v>
      </c>
      <c r="E16" s="13">
        <v>-0.43794078895724503</v>
      </c>
      <c r="F16" s="13">
        <v>0.19507989890437394</v>
      </c>
      <c r="G16" s="13">
        <v>-0.21373860777637244</v>
      </c>
      <c r="H16" s="2" t="s">
        <v>168</v>
      </c>
    </row>
    <row r="17">
      <c r="A17" s="14" t="s">
        <v>167</v>
      </c>
      <c r="B17" s="14" t="s">
        <v>157</v>
      </c>
      <c r="C17" s="13">
        <v>0.2871404400617536</v>
      </c>
      <c r="D17" s="13">
        <v>0.7193260916209177</v>
      </c>
      <c r="E17" s="13">
        <v>-0.36118462905568305</v>
      </c>
      <c r="F17" s="13">
        <v>0.3054946468927766</v>
      </c>
      <c r="G17" s="13">
        <v>0.020345524966921425</v>
      </c>
      <c r="H17" s="2" t="s">
        <v>169</v>
      </c>
    </row>
    <row r="19">
      <c r="A19" s="16" t="s">
        <v>170</v>
      </c>
      <c r="B19" s="16"/>
      <c r="C19" s="16"/>
      <c r="D19" s="16"/>
      <c r="E19" s="16"/>
      <c r="F19" s="16"/>
      <c r="G19" s="16"/>
      <c r="H19" s="16"/>
    </row>
    <row r="20" ht="30" customHeight="1">
      <c r="A20" s="3" t="s">
        <v>171</v>
      </c>
      <c r="B20" s="3" t="s">
        <v>172</v>
      </c>
      <c r="C20" s="3" t="s">
        <v>173</v>
      </c>
      <c r="D20" s="3" t="s">
        <v>174</v>
      </c>
      <c r="E20" s="3" t="s">
        <v>175</v>
      </c>
      <c r="F20" s="3" t="s">
        <v>172</v>
      </c>
      <c r="G20" s="3" t="s">
        <v>172</v>
      </c>
      <c r="H20" s="3" t="s">
        <v>148</v>
      </c>
    </row>
    <row r="21">
      <c r="A21" s="14" t="s">
        <v>176</v>
      </c>
      <c r="C21" s="13">
        <v>-0.0793538506021573</v>
      </c>
      <c r="D21" s="13"/>
      <c r="E21" s="13"/>
      <c r="H21" s="2" t="s">
        <v>177</v>
      </c>
    </row>
    <row r="22">
      <c r="A22" s="14" t="s">
        <v>178</v>
      </c>
      <c r="C22" s="13">
        <v>-0.4850896214354011</v>
      </c>
      <c r="D22" s="25">
        <v>0.06594670266486675</v>
      </c>
      <c r="E22" s="13">
        <v>-1.3034547766338078</v>
      </c>
      <c r="H22" s="2" t="s">
        <v>179</v>
      </c>
    </row>
    <row r="23">
      <c r="A23" s="14" t="s">
        <v>180</v>
      </c>
      <c r="C23" s="13">
        <v>-0.450861240678573</v>
      </c>
      <c r="D23" s="13"/>
      <c r="E23" s="13"/>
      <c r="H23" s="2" t="s">
        <v>181</v>
      </c>
    </row>
    <row r="24">
      <c r="A24" s="14" t="s">
        <v>182</v>
      </c>
      <c r="C24" s="13">
        <v>-0.7456100209574126</v>
      </c>
      <c r="D24" s="13"/>
      <c r="E24" s="13"/>
      <c r="H24" s="2" t="s">
        <v>183</v>
      </c>
    </row>
    <row r="25">
      <c r="A25" s="14" t="s">
        <v>184</v>
      </c>
      <c r="C25" s="13">
        <v>-0.6241470569156637</v>
      </c>
      <c r="D25" s="25">
        <v>0.01399930003499825</v>
      </c>
      <c r="E25" s="13">
        <v>-2.0753602399564537</v>
      </c>
      <c r="H25" s="2" t="s">
        <v>185</v>
      </c>
    </row>
    <row r="26">
      <c r="A26" s="14" t="s">
        <v>186</v>
      </c>
      <c r="C26" s="13">
        <v>-0.3483130005855487</v>
      </c>
      <c r="D26" s="13"/>
      <c r="E26" s="13"/>
      <c r="H26" s="2" t="s">
        <v>172</v>
      </c>
    </row>
    <row r="28">
      <c r="A28" s="16" t="s">
        <v>187</v>
      </c>
      <c r="B28" s="16"/>
      <c r="C28" s="16"/>
      <c r="D28" s="16"/>
      <c r="E28" s="16"/>
      <c r="F28" s="16"/>
      <c r="G28" s="16"/>
      <c r="H28" s="16"/>
    </row>
    <row r="29" ht="30" customHeight="1">
      <c r="A29" s="3" t="s">
        <v>188</v>
      </c>
      <c r="B29" s="3" t="s">
        <v>189</v>
      </c>
      <c r="C29" s="3" t="s">
        <v>190</v>
      </c>
      <c r="D29" s="3" t="s">
        <v>191</v>
      </c>
      <c r="E29" s="3" t="s">
        <v>172</v>
      </c>
      <c r="F29" s="3" t="s">
        <v>172</v>
      </c>
      <c r="G29" s="3" t="s">
        <v>172</v>
      </c>
      <c r="H29" s="3" t="s">
        <v>148</v>
      </c>
    </row>
    <row r="30">
      <c r="A30" s="14" t="s">
        <v>192</v>
      </c>
      <c r="B30" s="14" t="s">
        <v>193</v>
      </c>
      <c r="C30" s="13">
        <v>-0.11268045048817096</v>
      </c>
      <c r="D30" s="13">
        <v>-0.004783584680653069</v>
      </c>
      <c r="H30" s="2" t="s">
        <v>194</v>
      </c>
    </row>
    <row r="31">
      <c r="A31" s="14" t="s">
        <v>172</v>
      </c>
      <c r="B31" s="14" t="s">
        <v>195</v>
      </c>
      <c r="C31" s="13">
        <v>0.017666622284807334</v>
      </c>
      <c r="D31" s="13">
        <v>0.09455525650141604</v>
      </c>
      <c r="H31" s="2" t="s">
        <v>172</v>
      </c>
    </row>
    <row r="32">
      <c r="A32" s="14" t="s">
        <v>172</v>
      </c>
      <c r="B32" s="14" t="s">
        <v>196</v>
      </c>
      <c r="C32" s="13">
        <v>-0.15139404926980557</v>
      </c>
      <c r="D32" s="13">
        <v>0.16096060264908768</v>
      </c>
      <c r="H32" s="2" t="s">
        <v>172</v>
      </c>
    </row>
    <row r="33">
      <c r="A33" s="14" t="s">
        <v>172</v>
      </c>
      <c r="B33" s="14" t="s">
        <v>197</v>
      </c>
      <c r="C33" s="13">
        <v>-0.13783451269954855</v>
      </c>
      <c r="D33" s="13">
        <v>-0.11754940087280234</v>
      </c>
      <c r="H33" s="2" t="s">
        <v>172</v>
      </c>
    </row>
    <row r="34">
      <c r="A34" s="14" t="s">
        <v>198</v>
      </c>
      <c r="B34" s="14" t="s">
        <v>193</v>
      </c>
      <c r="C34" s="13">
        <v>0.0010033929644362716</v>
      </c>
      <c r="D34" s="13">
        <v>0.061108305393592105</v>
      </c>
      <c r="H34" s="2" t="s">
        <v>199</v>
      </c>
    </row>
    <row r="35">
      <c r="A35" s="14" t="s">
        <v>172</v>
      </c>
      <c r="B35" s="14" t="s">
        <v>195</v>
      </c>
      <c r="C35" s="13">
        <v>0.10333909916112911</v>
      </c>
      <c r="D35" s="13">
        <v>-0.10375285866221012</v>
      </c>
      <c r="H35" s="2" t="s">
        <v>172</v>
      </c>
    </row>
    <row r="36">
      <c r="A36" s="14" t="s">
        <v>172</v>
      </c>
      <c r="B36" s="14" t="s">
        <v>196</v>
      </c>
      <c r="C36" s="13">
        <v>0.10988561100556477</v>
      </c>
      <c r="D36" s="13">
        <v>-0.28536838193410236</v>
      </c>
      <c r="H36" s="2" t="s">
        <v>172</v>
      </c>
    </row>
    <row r="37">
      <c r="A37" s="14" t="s">
        <v>172</v>
      </c>
      <c r="B37" s="14" t="s">
        <v>197</v>
      </c>
      <c r="C37" s="13">
        <v>0.019799564460180902</v>
      </c>
      <c r="D37" s="13">
        <v>-0.1989344498730709</v>
      </c>
      <c r="H37" s="2" t="s">
        <v>172</v>
      </c>
    </row>
    <row r="38">
      <c r="A38" s="14" t="s">
        <v>200</v>
      </c>
      <c r="B38" s="14" t="s">
        <v>193</v>
      </c>
      <c r="C38" s="13">
        <v>0.15817725660841744</v>
      </c>
      <c r="D38" s="13">
        <v>0.06946632814768829</v>
      </c>
      <c r="H38" s="2" t="s">
        <v>201</v>
      </c>
    </row>
    <row r="39">
      <c r="A39" s="14" t="s">
        <v>172</v>
      </c>
      <c r="B39" s="14" t="s">
        <v>195</v>
      </c>
      <c r="C39" s="13">
        <v>0.18428934771012212</v>
      </c>
      <c r="D39" s="13">
        <v>0.10069391773152109</v>
      </c>
      <c r="H39" s="2" t="s">
        <v>172</v>
      </c>
    </row>
    <row r="40">
      <c r="A40" s="14" t="s">
        <v>172</v>
      </c>
      <c r="B40" s="14" t="s">
        <v>196</v>
      </c>
      <c r="C40" s="13">
        <v>0.13763080732251387</v>
      </c>
      <c r="D40" s="13">
        <v>0.1083575641867606</v>
      </c>
      <c r="H40" s="2" t="s">
        <v>172</v>
      </c>
    </row>
    <row r="41">
      <c r="A41" s="14" t="s">
        <v>172</v>
      </c>
      <c r="B41" s="14" t="s">
        <v>197</v>
      </c>
      <c r="C41" s="13">
        <v>0.021075910752352964</v>
      </c>
      <c r="D41" s="13">
        <v>-0.023120492174398807</v>
      </c>
      <c r="H41" s="2" t="s">
        <v>172</v>
      </c>
    </row>
    <row r="42">
      <c r="A42" s="14" t="s">
        <v>202</v>
      </c>
      <c r="B42" s="14" t="s">
        <v>195</v>
      </c>
      <c r="C42" s="13">
        <v>0.39632744754904375</v>
      </c>
      <c r="D42" s="13"/>
      <c r="H42" s="2" t="s">
        <v>203</v>
      </c>
    </row>
    <row r="43">
      <c r="A43" s="14" t="s">
        <v>172</v>
      </c>
      <c r="B43" s="14" t="s">
        <v>196</v>
      </c>
      <c r="C43" s="13">
        <v>0.49282240303285824</v>
      </c>
      <c r="D43" s="13"/>
      <c r="H43" s="2" t="s">
        <v>172</v>
      </c>
    </row>
    <row r="44">
      <c r="A44" s="14" t="s">
        <v>204</v>
      </c>
      <c r="B44" s="14" t="s">
        <v>195</v>
      </c>
      <c r="C44" s="13">
        <v>0.4152409355117946</v>
      </c>
      <c r="D44" s="13"/>
      <c r="H44" s="2" t="s">
        <v>172</v>
      </c>
    </row>
    <row r="45">
      <c r="A45" s="14" t="s">
        <v>172</v>
      </c>
      <c r="B45" s="14" t="s">
        <v>196</v>
      </c>
      <c r="C45" s="13">
        <v>0.44787731361003863</v>
      </c>
      <c r="D45" s="13"/>
      <c r="H45" s="2" t="s">
        <v>172</v>
      </c>
    </row>
    <row r="47">
      <c r="A47" s="16" t="s">
        <v>205</v>
      </c>
      <c r="B47" s="16"/>
      <c r="C47" s="16"/>
      <c r="D47" s="16"/>
      <c r="E47" s="16"/>
      <c r="F47" s="16"/>
      <c r="G47" s="16"/>
      <c r="H47" s="16"/>
    </row>
    <row r="48" ht="30" customHeight="1">
      <c r="A48" s="3" t="s">
        <v>206</v>
      </c>
      <c r="B48" s="3" t="s">
        <v>172</v>
      </c>
      <c r="C48" s="3" t="s">
        <v>207</v>
      </c>
      <c r="D48" s="3" t="s">
        <v>208</v>
      </c>
      <c r="E48" s="3" t="s">
        <v>209</v>
      </c>
      <c r="F48" s="3" t="s">
        <v>172</v>
      </c>
      <c r="G48" s="3" t="s">
        <v>172</v>
      </c>
      <c r="H48" s="3" t="s">
        <v>172</v>
      </c>
    </row>
    <row r="49">
      <c r="A49" s="26">
        <v>0.06</v>
      </c>
      <c r="C49" s="9">
        <v>356.0807924686307</v>
      </c>
      <c r="D49" s="7">
        <v>5095.910668223766</v>
      </c>
      <c r="E49" s="27">
        <v>0.40412492124778243</v>
      </c>
      <c r="H49" s="2" t="s">
        <v>210</v>
      </c>
    </row>
    <row r="50">
      <c r="A50" s="26">
        <v>0.07</v>
      </c>
      <c r="C50" s="9">
        <v>279.4207976917759</v>
      </c>
      <c r="D50" s="7">
        <v>3808.253989088382</v>
      </c>
      <c r="E50" s="27">
        <v>0.27435321711956795</v>
      </c>
    </row>
    <row r="51">
      <c r="A51" s="26">
        <v>0.08</v>
      </c>
      <c r="C51" s="9">
        <v>232.9653672541934</v>
      </c>
      <c r="D51" s="7">
        <v>3060.934104870329</v>
      </c>
      <c r="E51" s="27">
        <v>0.19940916963375943</v>
      </c>
    </row>
    <row r="52">
      <c r="A52" s="26">
        <v>0.09</v>
      </c>
      <c r="C52" s="9">
        <v>202.24244262765012</v>
      </c>
      <c r="D52" s="7">
        <v>2582.6449471162096</v>
      </c>
      <c r="E52" s="27">
        <v>0.15191136057977372</v>
      </c>
    </row>
    <row r="53">
      <c r="A53" s="26">
        <v>0.1</v>
      </c>
      <c r="C53" s="9">
        <v>180.60802883653605</v>
      </c>
      <c r="D53" s="7">
        <v>2254.4119859888096</v>
      </c>
      <c r="E53" s="27">
        <v>0.11978655617073897</v>
      </c>
    </row>
    <row r="54">
      <c r="A54" s="26">
        <v>0.11</v>
      </c>
      <c r="C54" s="9">
        <v>164.6400484546148</v>
      </c>
      <c r="D54" s="7">
        <v>2017.1344658657765</v>
      </c>
      <c r="E54" s="27">
        <v>0.09698721867373017</v>
      </c>
    </row>
    <row r="55">
      <c r="A55" s="26">
        <v>0.12</v>
      </c>
      <c r="C55" s="9">
        <v>152.41727014709008</v>
      </c>
      <c r="D55" s="7">
        <v>1838.5953373912048</v>
      </c>
      <c r="E55" s="27">
        <v>0.08019286984820773</v>
      </c>
    </row>
    <row r="56">
      <c r="A56" s="26">
        <v>0.13</v>
      </c>
      <c r="C56" s="9">
        <v>142.78642490293262</v>
      </c>
      <c r="D56" s="7">
        <v>1699.9242364406766</v>
      </c>
      <c r="E56" s="27">
        <v>0.0674493058475587</v>
      </c>
    </row>
    <row r="57">
      <c r="A57" s="26">
        <v>0.14</v>
      </c>
      <c r="C57" s="9">
        <v>135.01725342258712</v>
      </c>
      <c r="D57" s="7">
        <v>1589.4182822707419</v>
      </c>
      <c r="E57" s="27">
        <v>0.057542064316987274</v>
      </c>
    </row>
    <row r="58">
      <c r="A58" s="26">
        <v>0.15</v>
      </c>
      <c r="C58" s="9">
        <v>128.62675257984725</v>
      </c>
      <c r="D58" s="7">
        <v>1499.4742911615538</v>
      </c>
      <c r="E58" s="27">
        <v>0.04968251716354999</v>
      </c>
    </row>
    <row r="59">
      <c r="A59" s="26">
        <v>0.16</v>
      </c>
      <c r="C59" s="9">
        <v>123.28367921547485</v>
      </c>
      <c r="D59" s="7">
        <v>1424.958582701163</v>
      </c>
      <c r="E59" s="27">
        <v>0.04333966505845277</v>
      </c>
    </row>
    <row r="60">
      <c r="A60" s="2" t="s">
        <v>211</v>
      </c>
    </row>
    <row r="61">
      <c r="A61" s="2" t="s">
        <v>212</v>
      </c>
    </row>
    <row r="63">
      <c r="A63" s="16" t="s">
        <v>213</v>
      </c>
      <c r="B63" s="16"/>
      <c r="C63" s="16"/>
      <c r="D63" s="16"/>
      <c r="E63" s="16"/>
      <c r="F63" s="16"/>
      <c r="G63" s="16"/>
      <c r="H63" s="16"/>
    </row>
    <row r="64" ht="30" customHeight="1">
      <c r="A64" s="3" t="s">
        <v>206</v>
      </c>
      <c r="B64" s="3" t="s">
        <v>214</v>
      </c>
      <c r="C64" s="3" t="s">
        <v>215</v>
      </c>
      <c r="D64" s="3" t="s">
        <v>216</v>
      </c>
      <c r="E64" s="3" t="s">
        <v>217</v>
      </c>
      <c r="F64" s="3" t="s">
        <v>218</v>
      </c>
      <c r="G64" s="3" t="s">
        <v>172</v>
      </c>
      <c r="H64" s="3" t="s">
        <v>172</v>
      </c>
    </row>
    <row r="65">
      <c r="A65" s="15" t="s">
        <v>219</v>
      </c>
      <c r="B65" s="14" t="s">
        <v>220</v>
      </c>
      <c r="C65" s="9">
        <v>283.09055555555557</v>
      </c>
      <c r="D65" s="9">
        <v>204.00166666666667</v>
      </c>
      <c r="E65" s="9">
        <v>333.06</v>
      </c>
      <c r="F65" s="7">
        <v>3998.151598284712</v>
      </c>
      <c r="H65" s="2" t="s">
        <v>221</v>
      </c>
    </row>
    <row r="66">
      <c r="A66" s="15" t="s">
        <v>222</v>
      </c>
      <c r="B66" s="14" t="s">
        <v>223</v>
      </c>
      <c r="C66" s="9">
        <v>178.43</v>
      </c>
      <c r="D66" s="9">
        <v>120.60083333333334</v>
      </c>
      <c r="E66" s="9">
        <v>224.0875</v>
      </c>
      <c r="F66" s="7">
        <v>2026.9484086831667</v>
      </c>
    </row>
    <row r="67">
      <c r="A67" s="15" t="s">
        <v>224</v>
      </c>
      <c r="B67" s="14" t="s">
        <v>225</v>
      </c>
      <c r="C67" s="9">
        <v>147.87249999999997</v>
      </c>
      <c r="D67" s="9">
        <v>104.98083333333334</v>
      </c>
      <c r="E67" s="9">
        <v>249.65999999999997</v>
      </c>
      <c r="F67" s="7">
        <v>1714.0818391465557</v>
      </c>
    </row>
    <row r="68">
      <c r="A68" s="15" t="s">
        <v>226</v>
      </c>
      <c r="B68" s="14" t="s">
        <v>227</v>
      </c>
      <c r="C68" s="9">
        <v>152.06222222222223</v>
      </c>
      <c r="D68" s="9">
        <v>140.69833333333332</v>
      </c>
      <c r="E68" s="9">
        <v>161.4675</v>
      </c>
      <c r="F68" s="7">
        <v>1897.928993799389</v>
      </c>
    </row>
    <row r="70">
      <c r="A70" s="16" t="s">
        <v>228</v>
      </c>
      <c r="B70" s="16"/>
      <c r="C70" s="16"/>
      <c r="D70" s="16"/>
      <c r="E70" s="16"/>
      <c r="F70" s="16"/>
      <c r="G70" s="16"/>
      <c r="H70" s="16"/>
    </row>
    <row r="71">
      <c r="A71" s="14" t="s">
        <v>229</v>
      </c>
    </row>
    <row r="72">
      <c r="A72" s="14" t="s">
        <v>230</v>
      </c>
    </row>
    <row r="73">
      <c r="A73" s="14" t="s">
        <v>231</v>
      </c>
    </row>
    <row r="74">
      <c r="A74" s="14" t="s">
        <v>232</v>
      </c>
    </row>
    <row r="75">
      <c r="A75" s="14" t="s">
        <v>233</v>
      </c>
    </row>
    <row r="77">
      <c r="A77" s="16" t="s">
        <v>234</v>
      </c>
      <c r="B77" s="16"/>
      <c r="C77" s="16"/>
      <c r="D77" s="16"/>
      <c r="E77" s="16"/>
      <c r="F77" s="16"/>
      <c r="G77" s="16"/>
      <c r="H77" s="16"/>
    </row>
    <row r="78">
      <c r="A78" s="14" t="s">
        <v>235</v>
      </c>
    </row>
    <row r="79">
      <c r="A79" s="14" t="s">
        <v>236</v>
      </c>
    </row>
    <row r="80">
      <c r="A80" s="14" t="s">
        <v>237</v>
      </c>
    </row>
    <row r="81">
      <c r="A81" s="14" t="s">
        <v>238</v>
      </c>
    </row>
    <row r="82">
      <c r="A82" s="14" t="s">
        <v>239</v>
      </c>
    </row>
    <row r="83">
      <c r="A83" s="14" t="s">
        <v>240</v>
      </c>
    </row>
    <row r="84">
      <c r="A84" s="14" t="s">
        <v>241</v>
      </c>
    </row>
  </sheetData>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sheetPr>
    <tabColor rgb="FF7030A0"/>
  </sheetPr>
  <dimension ref="A1:H101"/>
  <sheetViews>
    <sheetView workbookViewId="0"/>
  </sheetViews>
  <sheetFormatPr defaultRowHeight="12.75"/>
  <cols>
    <col min="1" max="1" width="30" customWidth="1"/>
    <col min="2" max="2" width="30" customWidth="1"/>
    <col min="3" max="3" width="14" customWidth="1"/>
    <col min="4" max="4" width="14" customWidth="1"/>
    <col min="5" max="5" width="14" customWidth="1"/>
    <col min="6" max="6" width="30" customWidth="1"/>
    <col min="7" max="7" width="10" customWidth="1"/>
    <col min="8" max="8" width="10" customWidth="1"/>
  </cols>
  <sheetData>
    <row r="1">
      <c r="A1" s="1" t="s">
        <v>242</v>
      </c>
    </row>
    <row r="2">
      <c r="A2" s="2" t="s">
        <v>243</v>
      </c>
    </row>
    <row r="4">
      <c r="A4" s="16" t="s">
        <v>244</v>
      </c>
      <c r="B4" s="16"/>
      <c r="C4" s="16"/>
      <c r="D4" s="16"/>
      <c r="E4" s="16"/>
      <c r="F4" s="16"/>
      <c r="G4" s="16"/>
      <c r="H4" s="16"/>
    </row>
    <row r="5" ht="30" customHeight="1">
      <c r="A5" s="3" t="s">
        <v>27</v>
      </c>
      <c r="B5" s="3" t="s">
        <v>245</v>
      </c>
      <c r="C5" s="3" t="s">
        <v>246</v>
      </c>
      <c r="D5" s="3" t="s">
        <v>247</v>
      </c>
      <c r="E5" s="3" t="s">
        <v>248</v>
      </c>
      <c r="F5" s="3" t="s">
        <v>249</v>
      </c>
    </row>
    <row r="6">
      <c r="A6" s="14" t="s">
        <v>43</v>
      </c>
      <c r="B6" s="14" t="s">
        <v>250</v>
      </c>
      <c r="C6" s="29">
        <v>3.392898155396745</v>
      </c>
      <c r="D6" s="30">
        <v>-0.2107233828950653</v>
      </c>
      <c r="E6" s="28">
        <v>-0.2888336632829285</v>
      </c>
      <c r="F6" s="28">
        <v>0.1476148734289675</v>
      </c>
    </row>
    <row r="7">
      <c r="A7" s="14" t="s">
        <v>44</v>
      </c>
      <c r="B7" s="14" t="s">
        <v>251</v>
      </c>
      <c r="C7" s="29">
        <v>1.814896533963506</v>
      </c>
      <c r="D7" s="30">
        <v>0.11683077813095885</v>
      </c>
      <c r="E7" s="28">
        <v>0.1476148734289675</v>
      </c>
      <c r="F7" s="28">
        <v>-0.0461186719721719</v>
      </c>
    </row>
    <row r="8">
      <c r="A8" s="14" t="s">
        <v>45</v>
      </c>
      <c r="B8" s="14" t="s">
        <v>251</v>
      </c>
      <c r="C8" s="29">
        <v>0.8265686543379919</v>
      </c>
      <c r="D8" s="30">
        <v>0.4360429981359989</v>
      </c>
      <c r="E8" s="28">
        <v>-0.0461186719721719</v>
      </c>
      <c r="F8" s="28">
        <v>-0.14406059786284342</v>
      </c>
    </row>
    <row r="9">
      <c r="A9" s="14" t="s">
        <v>46</v>
      </c>
      <c r="B9" s="14" t="s">
        <v>252</v>
      </c>
      <c r="C9" s="29">
        <v>-3.727982727042521</v>
      </c>
      <c r="D9" s="30">
        <v>-0.8025397179892292</v>
      </c>
      <c r="E9" s="28">
        <v>-0.14406059786284342</v>
      </c>
      <c r="F9" s="28">
        <v>0.09056315147377703</v>
      </c>
    </row>
    <row r="10">
      <c r="A10" s="14" t="s">
        <v>47</v>
      </c>
      <c r="B10" s="14" t="s">
        <v>251</v>
      </c>
      <c r="C10" s="29">
        <v>0.44943113994648093</v>
      </c>
      <c r="D10" s="30">
        <v>0.27298074589869603</v>
      </c>
      <c r="E10" s="28">
        <v>0.09056315147377703</v>
      </c>
      <c r="F10" s="28">
        <v>-0.1611641143943523</v>
      </c>
    </row>
    <row r="11">
      <c r="A11" s="14" t="s">
        <v>48</v>
      </c>
      <c r="B11" s="14" t="s">
        <v>252</v>
      </c>
      <c r="C11" s="29">
        <v>-1.788006041246122</v>
      </c>
      <c r="D11" s="30">
        <v>-0.14789389846990922</v>
      </c>
      <c r="E11" s="28">
        <v>-0.1611641143943523</v>
      </c>
      <c r="F11" s="28">
        <v>-0.1295181763531209</v>
      </c>
    </row>
    <row r="12">
      <c r="A12" s="14" t="s">
        <v>49</v>
      </c>
      <c r="B12" s="14" t="s">
        <v>251</v>
      </c>
      <c r="C12" s="29">
        <v>1.1042916067589754</v>
      </c>
      <c r="D12" s="30">
        <v>0.25923436459320826</v>
      </c>
      <c r="E12" s="28">
        <v>-0.1295181763531209</v>
      </c>
      <c r="F12" s="28">
        <v>0.07864133929209305</v>
      </c>
    </row>
    <row r="13">
      <c r="A13" s="14" t="s">
        <v>50</v>
      </c>
      <c r="B13" s="14" t="s">
        <v>252</v>
      </c>
      <c r="C13" s="29">
        <v>-0.06015818903672976</v>
      </c>
      <c r="D13" s="30">
        <v>-0.6553143413403119</v>
      </c>
      <c r="E13" s="28">
        <v>0.07864133929209305</v>
      </c>
      <c r="F13" s="28">
        <v>0.2694945688970005</v>
      </c>
    </row>
    <row r="14">
      <c r="A14" s="14" t="s">
        <v>51</v>
      </c>
      <c r="B14" s="14" t="s">
        <v>251</v>
      </c>
      <c r="C14" s="29">
        <v>0.32938484271122365</v>
      </c>
      <c r="D14" s="30">
        <v>0.39129312240457437</v>
      </c>
      <c r="E14" s="28">
        <v>0.2694945688970005</v>
      </c>
      <c r="F14" s="28">
        <v>0.5588334183555161</v>
      </c>
    </row>
    <row r="15">
      <c r="A15" s="14" t="s">
        <v>52</v>
      </c>
      <c r="B15" s="14" t="s">
        <v>252</v>
      </c>
      <c r="C15" s="29">
        <v>-1.9567155555174383</v>
      </c>
      <c r="D15" s="30">
        <v>-0.7683132643278481</v>
      </c>
      <c r="E15" s="28">
        <v>0.5588334183555161</v>
      </c>
      <c r="F15" s="28">
        <v>-0.23605734367155706</v>
      </c>
    </row>
    <row r="16">
      <c r="A16" s="14" t="s">
        <v>53</v>
      </c>
      <c r="B16" s="14" t="s">
        <v>252</v>
      </c>
      <c r="C16" s="29">
        <v>-1.3791222351225805</v>
      </c>
      <c r="D16" s="30">
        <v>-0.25294268009791837</v>
      </c>
      <c r="E16" s="28">
        <v>-0.23605734367155706</v>
      </c>
      <c r="F16" s="28">
        <v>0.19166812703234237</v>
      </c>
    </row>
    <row r="17">
      <c r="A17" s="14" t="s">
        <v>54</v>
      </c>
      <c r="B17" s="14" t="s">
        <v>253</v>
      </c>
      <c r="C17" s="29">
        <v>-1.3548090938070647</v>
      </c>
      <c r="D17" s="30">
        <v>0.12167769808449323</v>
      </c>
      <c r="E17" s="28">
        <v>0.19166812703234237</v>
      </c>
      <c r="F17" s="28">
        <v>0.6326337203127426</v>
      </c>
    </row>
    <row r="18">
      <c r="A18" s="14" t="s">
        <v>55</v>
      </c>
      <c r="B18" s="14" t="s">
        <v>253</v>
      </c>
      <c r="C18" s="29">
        <v>-0.6322920363208473</v>
      </c>
      <c r="D18" s="30">
        <v>0.00835282630158602</v>
      </c>
      <c r="E18" s="28">
        <v>0.6326337203127426</v>
      </c>
      <c r="F18" s="28">
        <v>-0.06260133309313642</v>
      </c>
    </row>
    <row r="19">
      <c r="A19" s="14" t="s">
        <v>56</v>
      </c>
      <c r="B19" s="14" t="s">
        <v>250</v>
      </c>
      <c r="C19" s="29">
        <v>0.7411692706784392</v>
      </c>
      <c r="D19" s="30">
        <v>-0.19706763788995443</v>
      </c>
      <c r="E19" s="28">
        <v>-0.06260133309313642</v>
      </c>
      <c r="F19" s="28"/>
    </row>
    <row r="20" ht="30" customHeight="1">
      <c r="A20" s="3" t="s">
        <v>245</v>
      </c>
      <c r="B20" s="3" t="s">
        <v>254</v>
      </c>
      <c r="C20" s="3" t="s">
        <v>255</v>
      </c>
      <c r="D20" s="3" t="s">
        <v>256</v>
      </c>
      <c r="E20" s="3" t="s">
        <v>257</v>
      </c>
      <c r="F20" s="3" t="s">
        <v>214</v>
      </c>
    </row>
    <row r="21">
      <c r="A21" s="15" t="s">
        <v>251</v>
      </c>
      <c r="B21" s="22">
        <v>5</v>
      </c>
      <c r="C21" s="28">
        <v>0.05697904643025997</v>
      </c>
      <c r="D21" s="14" t="s">
        <v>258</v>
      </c>
      <c r="E21" s="28">
        <v>0.02862772845860584</v>
      </c>
      <c r="F21" s="2" t="s">
        <v>259</v>
      </c>
    </row>
    <row r="22">
      <c r="A22" s="15" t="s">
        <v>250</v>
      </c>
      <c r="B22" s="22">
        <v>2</v>
      </c>
      <c r="C22" s="28">
        <v>-0.1835158446193702</v>
      </c>
      <c r="D22" s="14" t="s">
        <v>260</v>
      </c>
      <c r="E22" s="28">
        <v>0.1476148734289675</v>
      </c>
      <c r="F22" s="2" t="s">
        <v>261</v>
      </c>
    </row>
    <row r="23">
      <c r="A23" s="15" t="s">
        <v>253</v>
      </c>
      <c r="B23" s="22">
        <v>2</v>
      </c>
      <c r="C23" s="28">
        <v>0.3948324514488939</v>
      </c>
      <c r="D23" s="14" t="s">
        <v>262</v>
      </c>
      <c r="E23" s="28">
        <v>0.23710495632680972</v>
      </c>
      <c r="F23" s="2" t="s">
        <v>263</v>
      </c>
    </row>
    <row r="24">
      <c r="A24" s="15" t="s">
        <v>252</v>
      </c>
      <c r="B24" s="22">
        <v>5</v>
      </c>
      <c r="C24" s="28">
        <v>-0.016053444197997147</v>
      </c>
      <c r="D24" s="14" t="s">
        <v>264</v>
      </c>
      <c r="E24" s="28">
        <v>0.01871216320877278</v>
      </c>
      <c r="F24" s="2" t="s">
        <v>265</v>
      </c>
    </row>
    <row r="26">
      <c r="A26" s="16" t="s">
        <v>266</v>
      </c>
      <c r="B26" s="16"/>
      <c r="C26" s="16"/>
      <c r="D26" s="16"/>
      <c r="E26" s="16"/>
      <c r="F26" s="16"/>
      <c r="G26" s="16"/>
      <c r="H26" s="16"/>
    </row>
    <row r="27" ht="30" customHeight="1">
      <c r="A27" s="3" t="s">
        <v>27</v>
      </c>
      <c r="B27" s="3" t="s">
        <v>245</v>
      </c>
      <c r="C27" s="3" t="s">
        <v>246</v>
      </c>
      <c r="D27" s="3" t="s">
        <v>247</v>
      </c>
      <c r="E27" s="3" t="s">
        <v>267</v>
      </c>
      <c r="F27" s="3" t="s">
        <v>268</v>
      </c>
    </row>
    <row r="28">
      <c r="A28" s="14" t="s">
        <v>43</v>
      </c>
      <c r="B28" s="14" t="s">
        <v>250</v>
      </c>
      <c r="C28" s="29">
        <v>3.392898155396745</v>
      </c>
      <c r="D28" s="30">
        <v>-0.2107233828950653</v>
      </c>
      <c r="E28" s="28">
        <v>-0.031770638604426416</v>
      </c>
      <c r="F28" s="28">
        <v>-0.02946024091846633</v>
      </c>
    </row>
    <row r="29">
      <c r="A29" s="14" t="s">
        <v>44</v>
      </c>
      <c r="B29" s="14" t="s">
        <v>251</v>
      </c>
      <c r="C29" s="29">
        <v>1.814896533963506</v>
      </c>
      <c r="D29" s="30">
        <v>0.11683077813095885</v>
      </c>
      <c r="E29" s="28">
        <v>-0.02946024091846633</v>
      </c>
      <c r="F29" s="28">
        <v>-0.022862909877825133</v>
      </c>
    </row>
    <row r="30">
      <c r="A30" s="14" t="s">
        <v>45</v>
      </c>
      <c r="B30" s="14" t="s">
        <v>251</v>
      </c>
      <c r="C30" s="29">
        <v>0.8265686543379919</v>
      </c>
      <c r="D30" s="30">
        <v>0.4360429981359989</v>
      </c>
      <c r="E30" s="28">
        <v>-0.022862909877825133</v>
      </c>
      <c r="F30" s="28">
        <v>-0.11729713088298088</v>
      </c>
    </row>
    <row r="31">
      <c r="A31" s="14" t="s">
        <v>46</v>
      </c>
      <c r="B31" s="14" t="s">
        <v>252</v>
      </c>
      <c r="C31" s="29">
        <v>-3.727982727042521</v>
      </c>
      <c r="D31" s="30">
        <v>-0.8025397179892292</v>
      </c>
      <c r="E31" s="28">
        <v>-0.11729713088298088</v>
      </c>
      <c r="F31" s="28">
        <v>0.284264530501114</v>
      </c>
    </row>
    <row r="32">
      <c r="A32" s="14" t="s">
        <v>47</v>
      </c>
      <c r="B32" s="14" t="s">
        <v>251</v>
      </c>
      <c r="C32" s="29">
        <v>0.44943113994648093</v>
      </c>
      <c r="D32" s="30">
        <v>0.27298074589869603</v>
      </c>
      <c r="E32" s="28">
        <v>0.284264530501114</v>
      </c>
      <c r="F32" s="28">
        <v>-0.17701580404387296</v>
      </c>
    </row>
    <row r="33">
      <c r="A33" s="14" t="s">
        <v>48</v>
      </c>
      <c r="B33" s="14" t="s">
        <v>252</v>
      </c>
      <c r="C33" s="29">
        <v>-1.788006041246122</v>
      </c>
      <c r="D33" s="30">
        <v>-0.14789389846990922</v>
      </c>
      <c r="E33" s="28">
        <v>-0.17701580404387296</v>
      </c>
      <c r="F33" s="28">
        <v>-0.1373507057546146</v>
      </c>
    </row>
    <row r="34">
      <c r="A34" s="14" t="s">
        <v>49</v>
      </c>
      <c r="B34" s="14" t="s">
        <v>251</v>
      </c>
      <c r="C34" s="29">
        <v>1.1042916067589754</v>
      </c>
      <c r="D34" s="30">
        <v>0.25923436459320826</v>
      </c>
      <c r="E34" s="28">
        <v>-0.1373507057546146</v>
      </c>
      <c r="F34" s="28">
        <v>-0.12307654339268725</v>
      </c>
    </row>
    <row r="35">
      <c r="A35" s="14" t="s">
        <v>50</v>
      </c>
      <c r="B35" s="14" t="s">
        <v>252</v>
      </c>
      <c r="C35" s="29">
        <v>-0.06015818903672976</v>
      </c>
      <c r="D35" s="30">
        <v>-0.6553143413403119</v>
      </c>
      <c r="E35" s="28">
        <v>-0.12307654339268725</v>
      </c>
      <c r="F35" s="28">
        <v>0.1802575107296136</v>
      </c>
    </row>
    <row r="36">
      <c r="A36" s="14" t="s">
        <v>51</v>
      </c>
      <c r="B36" s="14" t="s">
        <v>251</v>
      </c>
      <c r="C36" s="29">
        <v>0.32938484271122365</v>
      </c>
      <c r="D36" s="30">
        <v>0.39129312240457437</v>
      </c>
      <c r="E36" s="28">
        <v>0.1802575107296136</v>
      </c>
      <c r="F36" s="28">
        <v>0.39535022354694505</v>
      </c>
    </row>
    <row r="37">
      <c r="A37" s="14" t="s">
        <v>52</v>
      </c>
      <c r="B37" s="14" t="s">
        <v>252</v>
      </c>
      <c r="C37" s="29">
        <v>-1.9567155555174383</v>
      </c>
      <c r="D37" s="30">
        <v>-0.7683132643278481</v>
      </c>
      <c r="E37" s="28">
        <v>0.39535022354694505</v>
      </c>
      <c r="F37" s="28">
        <v>0.031127440509249427</v>
      </c>
    </row>
    <row r="38">
      <c r="A38" s="14" t="s">
        <v>53</v>
      </c>
      <c r="B38" s="14" t="s">
        <v>252</v>
      </c>
      <c r="C38" s="29">
        <v>-1.3791222351225805</v>
      </c>
      <c r="D38" s="30">
        <v>-0.25294268009791837</v>
      </c>
      <c r="E38" s="28">
        <v>0.031127440509249427</v>
      </c>
      <c r="F38" s="28">
        <v>0.5805697807388257</v>
      </c>
    </row>
    <row r="39">
      <c r="A39" s="14" t="s">
        <v>54</v>
      </c>
      <c r="B39" s="14" t="s">
        <v>253</v>
      </c>
      <c r="C39" s="29">
        <v>-1.3548090938070647</v>
      </c>
      <c r="D39" s="30">
        <v>0.12167769808449323</v>
      </c>
      <c r="E39" s="28">
        <v>0.5805697807388257</v>
      </c>
      <c r="F39" s="28">
        <v>0.3417269581629443</v>
      </c>
    </row>
    <row r="40">
      <c r="A40" s="14" t="s">
        <v>55</v>
      </c>
      <c r="B40" s="14" t="s">
        <v>253</v>
      </c>
      <c r="C40" s="29">
        <v>-0.6322920363208473</v>
      </c>
      <c r="D40" s="30">
        <v>0.00835282630158602</v>
      </c>
      <c r="E40" s="28">
        <v>0.3417269581629443</v>
      </c>
      <c r="F40" s="28">
        <v>-0.19424282564470363</v>
      </c>
    </row>
    <row r="41">
      <c r="A41" s="14" t="s">
        <v>56</v>
      </c>
      <c r="B41" s="14" t="s">
        <v>250</v>
      </c>
      <c r="C41" s="29">
        <v>0.7411692706784392</v>
      </c>
      <c r="D41" s="30">
        <v>-0.19706763788995443</v>
      </c>
      <c r="E41" s="28">
        <v>-0.19424282564470363</v>
      </c>
      <c r="F41" s="28"/>
    </row>
    <row r="42" ht="30" customHeight="1">
      <c r="A42" s="3" t="s">
        <v>245</v>
      </c>
      <c r="B42" s="3" t="s">
        <v>254</v>
      </c>
      <c r="C42" s="3" t="s">
        <v>255</v>
      </c>
      <c r="D42" s="3" t="s">
        <v>256</v>
      </c>
      <c r="E42" s="3" t="s">
        <v>257</v>
      </c>
      <c r="F42" s="3" t="s">
        <v>214</v>
      </c>
    </row>
    <row r="43">
      <c r="A43" s="15" t="s">
        <v>251</v>
      </c>
      <c r="B43" s="22">
        <v>5</v>
      </c>
      <c r="C43" s="28">
        <v>0.04396724444223277</v>
      </c>
      <c r="D43" s="14" t="s">
        <v>264</v>
      </c>
      <c r="E43" s="28">
        <v>-0.02778730192667922</v>
      </c>
      <c r="F43" s="2" t="s">
        <v>259</v>
      </c>
    </row>
    <row r="44">
      <c r="A44" s="15" t="s">
        <v>250</v>
      </c>
      <c r="B44" s="22">
        <v>2</v>
      </c>
      <c r="C44" s="28">
        <v>-0.11673460705972949</v>
      </c>
      <c r="D44" s="14" t="s">
        <v>260</v>
      </c>
      <c r="E44" s="28">
        <v>-0.02946024091846633</v>
      </c>
      <c r="F44" s="2" t="s">
        <v>261</v>
      </c>
    </row>
    <row r="45">
      <c r="A45" s="15" t="s">
        <v>253</v>
      </c>
      <c r="B45" s="22">
        <v>2</v>
      </c>
      <c r="C45" s="28">
        <v>0.45625996445517125</v>
      </c>
      <c r="D45" s="14" t="s">
        <v>262</v>
      </c>
      <c r="E45" s="28">
        <v>0.03976253181469325</v>
      </c>
      <c r="F45" s="2" t="s">
        <v>263</v>
      </c>
    </row>
    <row r="46">
      <c r="A46" s="15" t="s">
        <v>252</v>
      </c>
      <c r="B46" s="22">
        <v>5</v>
      </c>
      <c r="C46" s="28">
        <v>-0.017273520387768526</v>
      </c>
      <c r="D46" s="14" t="s">
        <v>264</v>
      </c>
      <c r="E46" s="28">
        <v>0.16337120500259417</v>
      </c>
      <c r="F46" s="2" t="s">
        <v>265</v>
      </c>
    </row>
    <row r="48">
      <c r="A48" s="16" t="s">
        <v>269</v>
      </c>
      <c r="B48" s="16"/>
      <c r="C48" s="16"/>
      <c r="D48" s="16"/>
      <c r="E48" s="16"/>
      <c r="F48" s="16"/>
      <c r="G48" s="16"/>
      <c r="H48" s="16"/>
    </row>
    <row r="49" ht="30" customHeight="1">
      <c r="A49" s="3" t="s">
        <v>27</v>
      </c>
      <c r="B49" s="3" t="s">
        <v>245</v>
      </c>
      <c r="C49" s="3" t="s">
        <v>246</v>
      </c>
      <c r="D49" s="3" t="s">
        <v>247</v>
      </c>
      <c r="E49" s="3" t="s">
        <v>248</v>
      </c>
      <c r="F49" s="3" t="s">
        <v>249</v>
      </c>
    </row>
    <row r="50">
      <c r="A50" s="14" t="s">
        <v>43</v>
      </c>
      <c r="B50" s="14" t="s">
        <v>251</v>
      </c>
      <c r="C50" s="29">
        <v>5.642272459495153</v>
      </c>
      <c r="D50" s="30">
        <v>0.7134313289455605</v>
      </c>
      <c r="E50" s="28">
        <v>-0.2888336632829285</v>
      </c>
      <c r="F50" s="28">
        <v>0.1476148734289675</v>
      </c>
    </row>
    <row r="51">
      <c r="A51" s="14" t="s">
        <v>44</v>
      </c>
      <c r="B51" s="14" t="s">
        <v>250</v>
      </c>
      <c r="C51" s="29">
        <v>2.5767051557165854</v>
      </c>
      <c r="D51" s="30">
        <v>-0.5718813353488287</v>
      </c>
      <c r="E51" s="28">
        <v>0.1476148734289675</v>
      </c>
      <c r="F51" s="28">
        <v>-0.0461186719721719</v>
      </c>
    </row>
    <row r="52">
      <c r="A52" s="14" t="s">
        <v>45</v>
      </c>
      <c r="B52" s="14" t="s">
        <v>252</v>
      </c>
      <c r="C52" s="29">
        <v>-2.56484430612475</v>
      </c>
      <c r="D52" s="30">
        <v>-0.38435465265414004</v>
      </c>
      <c r="E52" s="28">
        <v>-0.0461186719721719</v>
      </c>
      <c r="F52" s="28">
        <v>-0.14406059786284342</v>
      </c>
    </row>
    <row r="53">
      <c r="A53" s="14" t="s">
        <v>46</v>
      </c>
      <c r="B53" s="14" t="s">
        <v>252</v>
      </c>
      <c r="C53" s="29">
        <v>-4.910333575907803</v>
      </c>
      <c r="D53" s="30">
        <v>-1.016885455412775</v>
      </c>
      <c r="E53" s="28">
        <v>-0.14406059786284342</v>
      </c>
      <c r="F53" s="28">
        <v>0.09056315147377703</v>
      </c>
    </row>
    <row r="54">
      <c r="A54" s="14" t="s">
        <v>47</v>
      </c>
      <c r="B54" s="14" t="s">
        <v>251</v>
      </c>
      <c r="C54" s="29">
        <v>0.28619411950838586</v>
      </c>
      <c r="D54" s="30">
        <v>0.4640452789151895</v>
      </c>
      <c r="E54" s="28">
        <v>0.09056315147377703</v>
      </c>
      <c r="F54" s="28">
        <v>-0.1611641143943523</v>
      </c>
    </row>
    <row r="55">
      <c r="A55" s="14" t="s">
        <v>48</v>
      </c>
      <c r="B55" s="14" t="s">
        <v>253</v>
      </c>
      <c r="C55" s="29">
        <v>-0.20344917620611497</v>
      </c>
      <c r="D55" s="30">
        <v>0.7868443305259851</v>
      </c>
      <c r="E55" s="28">
        <v>-0.1611641143943523</v>
      </c>
      <c r="F55" s="28">
        <v>-0.1295181763531209</v>
      </c>
    </row>
    <row r="56">
      <c r="A56" s="14" t="s">
        <v>49</v>
      </c>
      <c r="B56" s="14" t="s">
        <v>252</v>
      </c>
      <c r="C56" s="29">
        <v>-0.123002652001266</v>
      </c>
      <c r="D56" s="30">
        <v>-0.34216968014826044</v>
      </c>
      <c r="E56" s="28">
        <v>-0.1295181763531209</v>
      </c>
      <c r="F56" s="28">
        <v>0.07864133929209305</v>
      </c>
    </row>
    <row r="57">
      <c r="A57" s="14" t="s">
        <v>50</v>
      </c>
      <c r="B57" s="14" t="s">
        <v>252</v>
      </c>
      <c r="C57" s="29">
        <v>-1.020145714765381</v>
      </c>
      <c r="D57" s="30">
        <v>-1.1629666321740886</v>
      </c>
      <c r="E57" s="28">
        <v>0.07864133929209305</v>
      </c>
      <c r="F57" s="28">
        <v>0.2694945688970005</v>
      </c>
    </row>
    <row r="58">
      <c r="A58" s="14" t="s">
        <v>51</v>
      </c>
      <c r="B58" s="14" t="s">
        <v>251</v>
      </c>
      <c r="C58" s="29">
        <v>1.358025956522675</v>
      </c>
      <c r="D58" s="30">
        <v>0.9138713002646416</v>
      </c>
      <c r="E58" s="28">
        <v>0.2694945688970005</v>
      </c>
      <c r="F58" s="28">
        <v>0.5588334183555161</v>
      </c>
    </row>
    <row r="59">
      <c r="A59" s="14" t="s">
        <v>52</v>
      </c>
      <c r="B59" s="14" t="s">
        <v>252</v>
      </c>
      <c r="C59" s="29">
        <v>-3.4703027332780843</v>
      </c>
      <c r="D59" s="30">
        <v>-1.721242613144329</v>
      </c>
      <c r="E59" s="28">
        <v>0.5588334183555161</v>
      </c>
      <c r="F59" s="28">
        <v>-0.23605734367155706</v>
      </c>
    </row>
    <row r="60">
      <c r="A60" s="14" t="s">
        <v>53</v>
      </c>
      <c r="B60" s="14" t="s">
        <v>251</v>
      </c>
      <c r="C60" s="29">
        <v>2.8133093083149805</v>
      </c>
      <c r="D60" s="30">
        <v>0.07257315078803198</v>
      </c>
      <c r="E60" s="28">
        <v>-0.23605734367155706</v>
      </c>
      <c r="F60" s="28">
        <v>0.19166812703234237</v>
      </c>
    </row>
    <row r="61">
      <c r="A61" s="14" t="s">
        <v>54</v>
      </c>
      <c r="B61" s="14" t="s">
        <v>253</v>
      </c>
      <c r="C61" s="29">
        <v>-2.3836029361887823</v>
      </c>
      <c r="D61" s="30">
        <v>0.3062258589306387</v>
      </c>
      <c r="E61" s="28">
        <v>0.19166812703234237</v>
      </c>
      <c r="F61" s="28">
        <v>0.6326337203127426</v>
      </c>
    </row>
    <row r="62">
      <c r="A62" s="14" t="s">
        <v>55</v>
      </c>
      <c r="B62" s="14" t="s">
        <v>252</v>
      </c>
      <c r="C62" s="29">
        <v>-0.46975633621244084</v>
      </c>
      <c r="D62" s="30">
        <v>-0.2703609372344455</v>
      </c>
      <c r="E62" s="28">
        <v>0.6326337203127426</v>
      </c>
      <c r="F62" s="28">
        <v>-0.06260133309313642</v>
      </c>
    </row>
    <row r="63">
      <c r="A63" s="14" t="s">
        <v>56</v>
      </c>
      <c r="B63" s="14" t="s">
        <v>250</v>
      </c>
      <c r="C63" s="29">
        <v>2.266048066082881</v>
      </c>
      <c r="D63" s="30">
        <v>-0.3391981411194572</v>
      </c>
      <c r="E63" s="28">
        <v>-0.06260133309313642</v>
      </c>
      <c r="F63" s="28"/>
    </row>
    <row r="64" ht="30" customHeight="1">
      <c r="A64" s="3" t="s">
        <v>245</v>
      </c>
      <c r="B64" s="3" t="s">
        <v>254</v>
      </c>
      <c r="C64" s="3" t="s">
        <v>255</v>
      </c>
      <c r="D64" s="3" t="s">
        <v>256</v>
      </c>
      <c r="E64" s="3" t="s">
        <v>257</v>
      </c>
      <c r="F64" s="3" t="s">
        <v>214</v>
      </c>
    </row>
    <row r="65">
      <c r="A65" s="15" t="s">
        <v>251</v>
      </c>
      <c r="B65" s="22">
        <v>4</v>
      </c>
      <c r="C65" s="28">
        <v>-0.06872401358535041</v>
      </c>
      <c r="D65" s="14" t="s">
        <v>270</v>
      </c>
      <c r="E65" s="28">
        <v>0.15639725002552418</v>
      </c>
      <c r="F65" s="2" t="s">
        <v>271</v>
      </c>
    </row>
    <row r="66">
      <c r="A66" s="15" t="s">
        <v>250</v>
      </c>
      <c r="B66" s="22">
        <v>2</v>
      </c>
      <c r="C66" s="28">
        <v>0.037194606848108824</v>
      </c>
      <c r="D66" s="14" t="s">
        <v>272</v>
      </c>
      <c r="E66" s="28">
        <v>-0.0461186719721719</v>
      </c>
      <c r="F66" s="2" t="s">
        <v>273</v>
      </c>
    </row>
    <row r="67">
      <c r="A67" s="15" t="s">
        <v>253</v>
      </c>
      <c r="B67" s="22">
        <v>2</v>
      </c>
      <c r="C67" s="28">
        <v>-0.00019302428558820584</v>
      </c>
      <c r="D67" s="14" t="s">
        <v>272</v>
      </c>
      <c r="E67" s="28">
        <v>0.19213169499230442</v>
      </c>
      <c r="F67" s="2" t="s">
        <v>274</v>
      </c>
    </row>
    <row r="68">
      <c r="A68" s="15" t="s">
        <v>252</v>
      </c>
      <c r="B68" s="22">
        <v>6</v>
      </c>
      <c r="C68" s="28">
        <v>0.11783344858935463</v>
      </c>
      <c r="D68" s="14" t="s">
        <v>275</v>
      </c>
      <c r="E68" s="28">
        <v>-0.01463347016238481</v>
      </c>
      <c r="F68" s="2" t="s">
        <v>276</v>
      </c>
    </row>
    <row r="70">
      <c r="A70" s="16" t="s">
        <v>277</v>
      </c>
      <c r="B70" s="16"/>
      <c r="C70" s="16"/>
      <c r="D70" s="16"/>
      <c r="E70" s="16"/>
      <c r="F70" s="16"/>
      <c r="G70" s="16"/>
      <c r="H70" s="16"/>
    </row>
    <row r="71" ht="30" customHeight="1">
      <c r="A71" s="3" t="s">
        <v>27</v>
      </c>
      <c r="B71" s="3" t="s">
        <v>245</v>
      </c>
      <c r="C71" s="3" t="s">
        <v>246</v>
      </c>
      <c r="D71" s="3" t="s">
        <v>247</v>
      </c>
      <c r="E71" s="3" t="s">
        <v>267</v>
      </c>
      <c r="F71" s="3" t="s">
        <v>268</v>
      </c>
    </row>
    <row r="72">
      <c r="A72" s="14" t="s">
        <v>43</v>
      </c>
      <c r="B72" s="14" t="s">
        <v>250</v>
      </c>
      <c r="C72" s="29">
        <v>4.150290049218099</v>
      </c>
      <c r="D72" s="30">
        <v>-1.850865982559386</v>
      </c>
      <c r="E72" s="28">
        <v>-0.031770638604426416</v>
      </c>
      <c r="F72" s="28">
        <v>-0.02946024091846633</v>
      </c>
    </row>
    <row r="73">
      <c r="A73" s="14" t="s">
        <v>44</v>
      </c>
      <c r="B73" s="14" t="s">
        <v>251</v>
      </c>
      <c r="C73" s="29">
        <v>0.7037505081517557</v>
      </c>
      <c r="D73" s="30">
        <v>1.1215946120583584</v>
      </c>
      <c r="E73" s="28">
        <v>-0.02946024091846633</v>
      </c>
      <c r="F73" s="28">
        <v>-0.022862909877825133</v>
      </c>
    </row>
    <row r="74">
      <c r="A74" s="14" t="s">
        <v>45</v>
      </c>
      <c r="B74" s="14" t="s">
        <v>251</v>
      </c>
      <c r="C74" s="29">
        <v>6.559081279522598</v>
      </c>
      <c r="D74" s="30">
        <v>2.354758313075072</v>
      </c>
      <c r="E74" s="28">
        <v>-0.022862909877825133</v>
      </c>
      <c r="F74" s="28">
        <v>-0.11729713088298088</v>
      </c>
    </row>
    <row r="75">
      <c r="A75" s="14" t="s">
        <v>46</v>
      </c>
      <c r="B75" s="14" t="s">
        <v>252</v>
      </c>
      <c r="C75" s="29">
        <v>-7.2746591854959</v>
      </c>
      <c r="D75" s="30">
        <v>-1.882480419737213</v>
      </c>
      <c r="E75" s="28">
        <v>-0.11729713088298088</v>
      </c>
      <c r="F75" s="28">
        <v>0.284264530501114</v>
      </c>
    </row>
    <row r="76">
      <c r="A76" s="14" t="s">
        <v>47</v>
      </c>
      <c r="B76" s="14" t="s">
        <v>253</v>
      </c>
      <c r="C76" s="29">
        <v>-1.6742408043606467</v>
      </c>
      <c r="D76" s="30">
        <v>0.7057648791554145</v>
      </c>
      <c r="E76" s="28">
        <v>0.284264530501114</v>
      </c>
      <c r="F76" s="28">
        <v>-0.17701580404387296</v>
      </c>
    </row>
    <row r="77">
      <c r="A77" s="14" t="s">
        <v>48</v>
      </c>
      <c r="B77" s="14" t="s">
        <v>252</v>
      </c>
      <c r="C77" s="29">
        <v>-3.642649849675565</v>
      </c>
      <c r="D77" s="30">
        <v>-1.7218541390368374</v>
      </c>
      <c r="E77" s="28">
        <v>-0.17701580404387296</v>
      </c>
      <c r="F77" s="28">
        <v>-0.1373507057546146</v>
      </c>
    </row>
    <row r="78">
      <c r="A78" s="14" t="s">
        <v>49</v>
      </c>
      <c r="B78" s="14" t="s">
        <v>251</v>
      </c>
      <c r="C78" s="29">
        <v>2.629013958720139</v>
      </c>
      <c r="D78" s="30">
        <v>1.4075375939177939</v>
      </c>
      <c r="E78" s="28">
        <v>-0.1373507057546146</v>
      </c>
      <c r="F78" s="28">
        <v>-0.12307654339268725</v>
      </c>
    </row>
    <row r="79">
      <c r="A79" s="14" t="s">
        <v>50</v>
      </c>
      <c r="B79" s="14" t="s">
        <v>250</v>
      </c>
      <c r="C79" s="29">
        <v>0.7819019826615703</v>
      </c>
      <c r="D79" s="30">
        <v>-1.143364475314519</v>
      </c>
      <c r="E79" s="28">
        <v>-0.12307654339268725</v>
      </c>
      <c r="F79" s="28">
        <v>0.1802575107296136</v>
      </c>
    </row>
    <row r="80">
      <c r="A80" s="14" t="s">
        <v>51</v>
      </c>
      <c r="B80" s="14" t="s">
        <v>251</v>
      </c>
      <c r="C80" s="29">
        <v>1.9586945216190852</v>
      </c>
      <c r="D80" s="30">
        <v>0.3507132804078047</v>
      </c>
      <c r="E80" s="28">
        <v>0.1802575107296136</v>
      </c>
      <c r="F80" s="28">
        <v>0.39535022354694505</v>
      </c>
    </row>
    <row r="81">
      <c r="A81" s="14" t="s">
        <v>52</v>
      </c>
      <c r="B81" s="14" t="s">
        <v>252</v>
      </c>
      <c r="C81" s="29">
        <v>-3.4380642185586368</v>
      </c>
      <c r="D81" s="30">
        <v>-0.8427565172474779</v>
      </c>
      <c r="E81" s="28">
        <v>0.39535022354694505</v>
      </c>
      <c r="F81" s="28">
        <v>0.031127440509249427</v>
      </c>
    </row>
    <row r="82">
      <c r="A82" s="14" t="s">
        <v>53</v>
      </c>
      <c r="B82" s="14" t="s">
        <v>252</v>
      </c>
      <c r="C82" s="29">
        <v>-1.5610934826328047</v>
      </c>
      <c r="D82" s="30">
        <v>-0.970418840345926</v>
      </c>
      <c r="E82" s="28">
        <v>0.031127440509249427</v>
      </c>
      <c r="F82" s="28">
        <v>0.5805697807388257</v>
      </c>
    </row>
    <row r="83">
      <c r="A83" s="14" t="s">
        <v>54</v>
      </c>
      <c r="B83" s="14" t="s">
        <v>253</v>
      </c>
      <c r="C83" s="29">
        <v>-1.487530775345668</v>
      </c>
      <c r="D83" s="30">
        <v>0.054504881754440654</v>
      </c>
      <c r="E83" s="28">
        <v>0.5805697807388257</v>
      </c>
      <c r="F83" s="28">
        <v>0.3417269581629443</v>
      </c>
    </row>
    <row r="84">
      <c r="A84" s="14" t="s">
        <v>55</v>
      </c>
      <c r="B84" s="14" t="s">
        <v>251</v>
      </c>
      <c r="C84" s="29">
        <v>0.010132990284670088</v>
      </c>
      <c r="D84" s="30">
        <v>0.41440229239091914</v>
      </c>
      <c r="E84" s="28">
        <v>0.3417269581629443</v>
      </c>
      <c r="F84" s="28">
        <v>-0.19424282564470363</v>
      </c>
    </row>
    <row r="85">
      <c r="A85" s="14" t="s">
        <v>56</v>
      </c>
      <c r="B85" s="14" t="s">
        <v>250</v>
      </c>
      <c r="C85" s="29">
        <v>0.9746436421026982</v>
      </c>
      <c r="D85" s="30">
        <v>-0.413224212250795</v>
      </c>
      <c r="E85" s="28">
        <v>-0.19424282564470363</v>
      </c>
      <c r="F85" s="28"/>
    </row>
    <row r="86" ht="30" customHeight="1">
      <c r="A86" s="3" t="s">
        <v>245</v>
      </c>
      <c r="B86" s="3" t="s">
        <v>254</v>
      </c>
      <c r="C86" s="3" t="s">
        <v>255</v>
      </c>
      <c r="D86" s="3" t="s">
        <v>256</v>
      </c>
      <c r="E86" s="3" t="s">
        <v>257</v>
      </c>
      <c r="F86" s="3" t="s">
        <v>214</v>
      </c>
    </row>
    <row r="87">
      <c r="A87" s="15" t="s">
        <v>251</v>
      </c>
      <c r="B87" s="22">
        <v>5</v>
      </c>
      <c r="C87" s="28">
        <v>0.05314653684501147</v>
      </c>
      <c r="D87" s="14" t="s">
        <v>264</v>
      </c>
      <c r="E87" s="28">
        <v>-0.03189196145483797</v>
      </c>
      <c r="F87" s="2" t="s">
        <v>278</v>
      </c>
    </row>
    <row r="88">
      <c r="A88" s="15" t="s">
        <v>250</v>
      </c>
      <c r="B88" s="22">
        <v>3</v>
      </c>
      <c r="C88" s="28">
        <v>-0.11885366564500877</v>
      </c>
      <c r="D88" s="14" t="s">
        <v>279</v>
      </c>
      <c r="E88" s="28">
        <v>0.0702741892233456</v>
      </c>
      <c r="F88" s="2" t="s">
        <v>280</v>
      </c>
    </row>
    <row r="89">
      <c r="A89" s="15" t="s">
        <v>253</v>
      </c>
      <c r="B89" s="22">
        <v>2</v>
      </c>
      <c r="C89" s="28">
        <v>0.42473496039958136</v>
      </c>
      <c r="D89" s="14" t="s">
        <v>262</v>
      </c>
      <c r="E89" s="28">
        <v>0.05081876736970714</v>
      </c>
      <c r="F89" s="2" t="s">
        <v>281</v>
      </c>
    </row>
    <row r="90">
      <c r="A90" s="15" t="s">
        <v>252</v>
      </c>
      <c r="B90" s="22">
        <v>4</v>
      </c>
      <c r="C90" s="28">
        <v>0.011114645791936661</v>
      </c>
      <c r="D90" s="14" t="s">
        <v>270</v>
      </c>
      <c r="E90" s="28">
        <v>0.1591875140634995</v>
      </c>
      <c r="F90" s="2" t="s">
        <v>282</v>
      </c>
    </row>
    <row r="92">
      <c r="A92" s="16" t="s">
        <v>283</v>
      </c>
      <c r="B92" s="16"/>
      <c r="C92" s="16"/>
      <c r="D92" s="16"/>
      <c r="E92" s="16"/>
      <c r="F92" s="16"/>
      <c r="G92" s="16"/>
      <c r="H92" s="16"/>
    </row>
    <row r="93" ht="30" customHeight="1">
      <c r="A93" s="3" t="s">
        <v>284</v>
      </c>
      <c r="B93" s="3" t="s">
        <v>285</v>
      </c>
      <c r="C93" s="3" t="s">
        <v>286</v>
      </c>
      <c r="D93" s="3" t="s">
        <v>287</v>
      </c>
      <c r="E93" s="3" t="s">
        <v>288</v>
      </c>
      <c r="F93" s="3" t="s">
        <v>289</v>
      </c>
      <c r="G93" s="3" t="s">
        <v>290</v>
      </c>
      <c r="H93" s="3" t="s">
        <v>291</v>
      </c>
    </row>
    <row r="94">
      <c r="A94" s="15" t="s">
        <v>292</v>
      </c>
      <c r="B94" s="14" t="s">
        <v>190</v>
      </c>
      <c r="C94" s="22">
        <v>19</v>
      </c>
      <c r="D94" s="28">
        <v>0.28405440214490585</v>
      </c>
      <c r="E94" s="28">
        <v>0.47364792880867346</v>
      </c>
      <c r="F94" s="31">
        <v>0.7368421052631579</v>
      </c>
      <c r="G94" s="28">
        <v>-0.29641678885630496</v>
      </c>
      <c r="H94" s="28">
        <v>1.094082106058154</v>
      </c>
    </row>
    <row r="95">
      <c r="A95" s="15" t="s">
        <v>293</v>
      </c>
      <c r="B95" s="14" t="s">
        <v>190</v>
      </c>
      <c r="C95" s="22">
        <v>38</v>
      </c>
      <c r="D95" s="28">
        <v>0.02405674499510524</v>
      </c>
      <c r="E95" s="28">
        <v>-0.06433208778472599</v>
      </c>
      <c r="F95" s="31">
        <v>0.47368421052631576</v>
      </c>
      <c r="G95" s="28">
        <v>-0.32325413966882643</v>
      </c>
      <c r="H95" s="28">
        <v>0.9392102528576376</v>
      </c>
    </row>
    <row r="96">
      <c r="A96" s="15" t="s">
        <v>294</v>
      </c>
      <c r="B96" s="14" t="s">
        <v>190</v>
      </c>
      <c r="C96" s="22">
        <v>56</v>
      </c>
      <c r="D96" s="28">
        <v>0.055536885598482355</v>
      </c>
      <c r="E96" s="28">
        <v>0.04579759264983241</v>
      </c>
      <c r="F96" s="31">
        <v>0.5357142857142857</v>
      </c>
      <c r="G96" s="28">
        <v>-0.3182595802919709</v>
      </c>
      <c r="H96" s="28">
        <v>0.892050273729663</v>
      </c>
    </row>
    <row r="97">
      <c r="A97" s="15" t="s">
        <v>295</v>
      </c>
      <c r="B97" s="14" t="s">
        <v>190</v>
      </c>
      <c r="C97" s="22">
        <v>46</v>
      </c>
      <c r="D97" s="28">
        <v>-0.0063824561585384965</v>
      </c>
      <c r="E97" s="28">
        <v>-0.013068864496802335</v>
      </c>
      <c r="F97" s="31">
        <v>0.4782608695652174</v>
      </c>
      <c r="G97" s="28">
        <v>-0.383923472301542</v>
      </c>
      <c r="H97" s="28">
        <v>0.7951302862024776</v>
      </c>
    </row>
    <row r="98">
      <c r="A98" s="15" t="s">
        <v>292</v>
      </c>
      <c r="B98" s="14" t="s">
        <v>191</v>
      </c>
      <c r="C98" s="22">
        <v>24</v>
      </c>
      <c r="D98" s="28">
        <v>0.17308949995411727</v>
      </c>
      <c r="E98" s="28">
        <v>0.16364828195467784</v>
      </c>
      <c r="F98" s="31">
        <v>0.5833333333333334</v>
      </c>
      <c r="G98" s="28">
        <v>-0.36081293224150357</v>
      </c>
      <c r="H98" s="28">
        <v>1.0627634231262597</v>
      </c>
    </row>
    <row r="99">
      <c r="A99" s="15" t="s">
        <v>293</v>
      </c>
      <c r="B99" s="14" t="s">
        <v>191</v>
      </c>
      <c r="C99" s="22">
        <v>29</v>
      </c>
      <c r="D99" s="28">
        <v>0.06324153170125935</v>
      </c>
      <c r="E99" s="28">
        <v>-0.07606239320950225</v>
      </c>
      <c r="F99" s="31">
        <v>0.4827586206896552</v>
      </c>
      <c r="G99" s="28">
        <v>-0.3242665716956773</v>
      </c>
      <c r="H99" s="28">
        <v>0.7068297834888226</v>
      </c>
    </row>
    <row r="100">
      <c r="A100" s="15" t="s">
        <v>294</v>
      </c>
      <c r="B100" s="14" t="s">
        <v>191</v>
      </c>
      <c r="C100" s="22">
        <v>68</v>
      </c>
      <c r="D100" s="28">
        <v>0.0035913525037911675</v>
      </c>
      <c r="E100" s="28">
        <v>-0.06773699518931009</v>
      </c>
      <c r="F100" s="31">
        <v>0.4411764705882353</v>
      </c>
      <c r="G100" s="28">
        <v>-0.2648606291279525</v>
      </c>
      <c r="H100" s="28">
        <v>0.6693095474066733</v>
      </c>
    </row>
    <row r="101">
      <c r="A101" s="15" t="s">
        <v>295</v>
      </c>
      <c r="B101" s="14" t="s">
        <v>191</v>
      </c>
      <c r="C101" s="22">
        <v>38</v>
      </c>
      <c r="D101" s="28">
        <v>0.0437780280698552</v>
      </c>
      <c r="E101" s="28">
        <v>0.023150683592789933</v>
      </c>
      <c r="F101" s="31">
        <v>0.5263157894736842</v>
      </c>
      <c r="G101" s="28">
        <v>-0.2762923351158646</v>
      </c>
      <c r="H101" s="28">
        <v>0.5264199786812851</v>
      </c>
    </row>
  </sheetData>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sheetPr>
    <tabColor rgb="FF8B5530"/>
  </sheetPr>
  <dimension ref="A1:O36"/>
  <sheetViews>
    <sheetView showGridLines="0" workbookViewId="0">
      <pane xSplit="1" ySplit="4" topLeftCell="B5" activePane="bottomRight" state="frozen"/>
      <selection pane="bottomRight" activeCell="B5" sqref="B5"/>
    </sheetView>
  </sheetViews>
  <sheetFormatPr defaultRowHeight="12.75"/>
  <cols>
    <col min="1" max="1" width="13" customWidth="1"/>
    <col min="2" max="2" width="11" customWidth="1"/>
    <col min="3" max="3" width="10" customWidth="1"/>
    <col min="4" max="4" width="11" customWidth="1"/>
    <col min="5" max="5" width="9" customWidth="1"/>
    <col min="6" max="6" width="11" customWidth="1"/>
    <col min="7" max="7" width="11" customWidth="1"/>
    <col min="8" max="8" width="11" customWidth="1"/>
    <col min="9" max="9" width="11" customWidth="1"/>
    <col min="10" max="10" width="11" customWidth="1"/>
    <col min="11" max="11" width="11" customWidth="1"/>
    <col min="12" max="12" width="12" customWidth="1"/>
    <col min="13" max="13" width="12" customWidth="1"/>
    <col min="14" max="14" width="12" customWidth="1"/>
    <col min="15" max="15" width="9" customWidth="1"/>
    <col min="16" max="16" width="2" customWidth="1"/>
  </cols>
  <sheetData>
    <row r="1">
      <c r="A1" s="1" t="s">
        <v>296</v>
      </c>
    </row>
    <row r="2">
      <c r="A2" s="2" t="s">
        <v>297</v>
      </c>
    </row>
    <row r="3">
      <c r="A3" s="2" t="s">
        <v>298</v>
      </c>
    </row>
    <row r="4" ht="64" customHeight="1">
      <c r="A4" s="3" t="s">
        <v>27</v>
      </c>
      <c r="B4" s="3" t="s">
        <v>299</v>
      </c>
      <c r="C4" s="3" t="s">
        <v>300</v>
      </c>
      <c r="D4" s="3" t="s">
        <v>301</v>
      </c>
      <c r="E4" s="3" t="s">
        <v>302</v>
      </c>
      <c r="F4" s="3" t="s">
        <v>303</v>
      </c>
      <c r="G4" s="3" t="s">
        <v>304</v>
      </c>
      <c r="H4" s="3" t="s">
        <v>305</v>
      </c>
      <c r="I4" s="3" t="s">
        <v>306</v>
      </c>
      <c r="J4" s="3" t="s">
        <v>307</v>
      </c>
      <c r="K4" s="3" t="s">
        <v>308</v>
      </c>
      <c r="L4" s="3" t="s">
        <v>309</v>
      </c>
      <c r="M4" s="3" t="s">
        <v>310</v>
      </c>
      <c r="N4" s="3" t="s">
        <v>311</v>
      </c>
      <c r="O4" s="3" t="s">
        <v>37</v>
      </c>
    </row>
    <row r="5">
      <c r="A5" s="5" t="s">
        <v>41</v>
      </c>
      <c r="B5" s="7">
        <f>'Donnees_USDA'!C108</f>
        <v>41800</v>
      </c>
      <c r="C5" s="9">
        <f>B5/1000</f>
        <v>41.8</v>
      </c>
      <c r="D5" s="7">
        <f>'Donnees_USDA'!C6</f>
        <v>54500</v>
      </c>
      <c r="E5" s="10">
        <f>B5/D5</f>
        <v>0.7669724770642202</v>
      </c>
      <c r="F5" s="7">
        <f>'Donnees_USDA'!C312</f>
        <v>2906</v>
      </c>
      <c r="G5" s="7">
        <f>'Donnees_USDA'!C414</f>
        <v>19420</v>
      </c>
      <c r="H5" s="7">
        <f>'Donnees_USDA'!C516</f>
        <v>35010</v>
      </c>
      <c r="I5" s="11">
        <f>F5/(G5+H5)</f>
        <v>0.05338967481168473</v>
      </c>
      <c r="J5" s="7">
        <f>E5*F5</f>
        <v>2228.822018348624</v>
      </c>
      <c r="K5" s="7">
        <f>E5*(G5+H5)</f>
        <v>41746.31192660551</v>
      </c>
      <c r="L5" s="10">
        <f>J5/K5</f>
        <v>0.05338967481168474</v>
      </c>
      <c r="M5" s="10">
        <f>F5/K5</f>
        <v>0.06961093964681382</v>
      </c>
      <c r="N5" s="10">
        <f>'2_Arabica'!F5</f>
        <v>0.049457867527130196</v>
      </c>
      <c r="O5" s="9">
        <f>'Prix_ICE'!I5</f>
        <v>249.65999999999997</v>
      </c>
    </row>
    <row r="6">
      <c r="A6" s="5" t="s">
        <v>42</v>
      </c>
      <c r="B6" s="7">
        <f>'Donnees_USDA'!D108</f>
        <v>34700</v>
      </c>
      <c r="C6" s="9">
        <f>B6/1000</f>
        <v>34.7</v>
      </c>
      <c r="D6" s="7">
        <f>'Donnees_USDA'!D6</f>
        <v>49200</v>
      </c>
      <c r="E6" s="10">
        <f>B6/D6</f>
        <v>0.7052845528455285</v>
      </c>
      <c r="F6" s="7">
        <f>'Donnees_USDA'!D312</f>
        <v>2238</v>
      </c>
      <c r="G6" s="7">
        <f>'Donnees_USDA'!D414</f>
        <v>20025</v>
      </c>
      <c r="H6" s="7">
        <f>'Donnees_USDA'!D516</f>
        <v>29843</v>
      </c>
      <c r="I6" s="11">
        <f>F6/(G6+H6)</f>
        <v>0.04487847918504853</v>
      </c>
      <c r="J6" s="7">
        <f>E6*F6</f>
        <v>1578.4268292682927</v>
      </c>
      <c r="K6" s="7">
        <f>E6*(G6+H6)</f>
        <v>35171.13008130081</v>
      </c>
      <c r="L6" s="10">
        <f>J6/K6</f>
        <v>0.04487847918504853</v>
      </c>
      <c r="M6" s="10">
        <f>F6/K6</f>
        <v>0.06363173417591896</v>
      </c>
      <c r="N6" s="10">
        <f>'2_Arabica'!F6</f>
        <v>0.050398172036694666</v>
      </c>
      <c r="O6" s="9">
        <f>'Prix_ICE'!I6</f>
        <v>197.8416666666667</v>
      </c>
    </row>
    <row r="7">
      <c r="A7" s="5" t="s">
        <v>43</v>
      </c>
      <c r="B7" s="7">
        <f>'Donnees_USDA'!E108</f>
        <v>42100</v>
      </c>
      <c r="C7" s="9">
        <f>B7/1000</f>
        <v>42.1</v>
      </c>
      <c r="D7" s="7">
        <f>'Donnees_USDA'!E6</f>
        <v>57600</v>
      </c>
      <c r="E7" s="10">
        <f>B7/D7</f>
        <v>0.7309027777777778</v>
      </c>
      <c r="F7" s="7">
        <f>'Donnees_USDA'!E312</f>
        <v>9068</v>
      </c>
      <c r="G7" s="7">
        <f>'Donnees_USDA'!E414</f>
        <v>20110</v>
      </c>
      <c r="H7" s="7">
        <f>'Donnees_USDA'!E516</f>
        <v>30660</v>
      </c>
      <c r="I7" s="11">
        <f>F7/(G7+H7)</f>
        <v>0.17860941500886351</v>
      </c>
      <c r="J7" s="7">
        <f>E7*F7</f>
        <v>6627.826388888889</v>
      </c>
      <c r="K7" s="7">
        <f>E7*(G7+H7)</f>
        <v>37107.93402777778</v>
      </c>
      <c r="L7" s="10">
        <f>J7/K7</f>
        <v>0.1786094150088635</v>
      </c>
      <c r="M7" s="10">
        <f>F7/K7</f>
        <v>0.24436822576034528</v>
      </c>
      <c r="N7" s="10">
        <f>'2_Arabica'!F7</f>
        <v>0.10682089663164625</v>
      </c>
      <c r="O7" s="9">
        <f>'Prix_ICE'!I7</f>
        <v>140.69833333333332</v>
      </c>
    </row>
    <row r="8">
      <c r="A8" s="5" t="s">
        <v>44</v>
      </c>
      <c r="B8" s="7">
        <f>'Donnees_USDA'!F108</f>
        <v>41800</v>
      </c>
      <c r="C8" s="9">
        <f>B8/1000</f>
        <v>41.8</v>
      </c>
      <c r="D8" s="7">
        <f>'Donnees_USDA'!F6</f>
        <v>57200</v>
      </c>
      <c r="E8" s="10">
        <f>B8/D8</f>
        <v>0.7307692307692307</v>
      </c>
      <c r="F8" s="7">
        <f>'Donnees_USDA'!F312</f>
        <v>11946</v>
      </c>
      <c r="G8" s="7">
        <f>'Donnees_USDA'!F414</f>
        <v>20210</v>
      </c>
      <c r="H8" s="7">
        <f>'Donnees_USDA'!F516</f>
        <v>34146</v>
      </c>
      <c r="I8" s="11">
        <f>F8/(G8+H8)</f>
        <v>0.21977334608874824</v>
      </c>
      <c r="J8" s="7">
        <f>E8*F8</f>
        <v>8729.76923076923</v>
      </c>
      <c r="K8" s="7">
        <f>E8*(G8+H8)</f>
        <v>39721.692307692305</v>
      </c>
      <c r="L8" s="10">
        <f>J8/K8</f>
        <v>0.21977334608874827</v>
      </c>
      <c r="M8" s="10">
        <f>F8/K8</f>
        <v>0.30074247359512923</v>
      </c>
      <c r="N8" s="10">
        <f>'2_Arabica'!F8</f>
        <v>0.13258794818881203</v>
      </c>
      <c r="O8" s="9">
        <f>'Prix_ICE'!I8</f>
        <v>161.4675</v>
      </c>
    </row>
    <row r="9">
      <c r="A9" s="5" t="s">
        <v>45</v>
      </c>
      <c r="B9" s="7">
        <f>'Donnees_USDA'!G108</f>
        <v>37300</v>
      </c>
      <c r="C9" s="9">
        <f>B9/1000</f>
        <v>37.3</v>
      </c>
      <c r="D9" s="7">
        <f>'Donnees_USDA'!G6</f>
        <v>54300</v>
      </c>
      <c r="E9" s="10">
        <f>B9/D9</f>
        <v>0.6869244935543278</v>
      </c>
      <c r="F9" s="7">
        <f>'Donnees_USDA'!G312</f>
        <v>9305</v>
      </c>
      <c r="G9" s="7">
        <f>'Donnees_USDA'!G414</f>
        <v>20420</v>
      </c>
      <c r="H9" s="7">
        <f>'Donnees_USDA'!G516</f>
        <v>36573</v>
      </c>
      <c r="I9" s="11">
        <f>F9/(G9+H9)</f>
        <v>0.16326566420437597</v>
      </c>
      <c r="J9" s="7">
        <f>E9*F9</f>
        <v>6391.83241252302</v>
      </c>
      <c r="K9" s="7">
        <f>E9*(G9+H9)</f>
        <v>39149.88766114181</v>
      </c>
      <c r="L9" s="10">
        <f>J9/K9</f>
        <v>0.16326566420437597</v>
      </c>
      <c r="M9" s="10">
        <f>F9/K9</f>
        <v>0.2376762886406867</v>
      </c>
      <c r="N9" s="10">
        <f>'2_Arabica'!F9</f>
        <v>0.10693950512756453</v>
      </c>
      <c r="O9" s="9">
        <f>'Prix_ICE'!I9</f>
        <v>154.02083333333334</v>
      </c>
    </row>
    <row r="10">
      <c r="A10" s="5" t="s">
        <v>46</v>
      </c>
      <c r="B10" s="7">
        <f>'Donnees_USDA'!H108</f>
        <v>36100</v>
      </c>
      <c r="C10" s="9">
        <f>B10/1000</f>
        <v>36.1</v>
      </c>
      <c r="D10" s="7">
        <f>'Donnees_USDA'!H6</f>
        <v>49400</v>
      </c>
      <c r="E10" s="10">
        <f>B10/D10</f>
        <v>0.7307692307692307</v>
      </c>
      <c r="F10" s="7">
        <f>'Donnees_USDA'!H312</f>
        <v>2372</v>
      </c>
      <c r="G10" s="7">
        <f>'Donnees_USDA'!H414</f>
        <v>20855</v>
      </c>
      <c r="H10" s="7">
        <f>'Donnees_USDA'!H516</f>
        <v>35543</v>
      </c>
      <c r="I10" s="11">
        <f>F10/(G10+H10)</f>
        <v>0.042058229015213305</v>
      </c>
      <c r="J10" s="7">
        <f>E10*F10</f>
        <v>1733.3846153846152</v>
      </c>
      <c r="K10" s="7">
        <f>E10*(G10+H10)</f>
        <v>41213.92307692308</v>
      </c>
      <c r="L10" s="10">
        <f>J10/K10</f>
        <v>0.0420582290152133</v>
      </c>
      <c r="M10" s="10">
        <f>F10/K10</f>
        <v>0.0575533660208182</v>
      </c>
      <c r="N10" s="10">
        <f>'2_Arabica'!F10</f>
        <v>0.0578361693684865</v>
      </c>
      <c r="O10" s="9">
        <f>'Prix_ICE'!I10</f>
        <v>131.83249999999998</v>
      </c>
    </row>
    <row r="11">
      <c r="A11" s="5" t="s">
        <v>47</v>
      </c>
      <c r="B11" s="7">
        <f>'Donnees_USDA'!I108</f>
        <v>45600</v>
      </c>
      <c r="C11" s="9">
        <f>B11/1000</f>
        <v>45.6</v>
      </c>
      <c r="D11" s="7">
        <f>'Donnees_USDA'!I6</f>
        <v>56100</v>
      </c>
      <c r="E11" s="10">
        <f>B11/D11</f>
        <v>0.8128342245989305</v>
      </c>
      <c r="F11" s="7">
        <f>'Donnees_USDA'!I312</f>
        <v>3828</v>
      </c>
      <c r="G11" s="7">
        <f>'Donnees_USDA'!I414</f>
        <v>21625</v>
      </c>
      <c r="H11" s="7">
        <f>'Donnees_USDA'!I516</f>
        <v>33081</v>
      </c>
      <c r="I11" s="11">
        <f>F11/(G11+H11)</f>
        <v>0.06997404306657405</v>
      </c>
      <c r="J11" s="7">
        <f>E11*F11</f>
        <v>3111.529411764706</v>
      </c>
      <c r="K11" s="7">
        <f>E11*(G11+H11)</f>
        <v>44466.909090909096</v>
      </c>
      <c r="L11" s="10">
        <f>J11/K11</f>
        <v>0.06997404306657404</v>
      </c>
      <c r="M11" s="10">
        <f>F11/K11</f>
        <v>0.0860864871937457</v>
      </c>
      <c r="N11" s="10">
        <f>'2_Arabica'!F11</f>
        <v>0.06069811056357037</v>
      </c>
      <c r="O11" s="9">
        <f>'Prix_ICE'!I11</f>
        <v>143.7716666666667</v>
      </c>
    </row>
    <row r="12">
      <c r="A12" s="5" t="s">
        <v>48</v>
      </c>
      <c r="B12" s="7">
        <f>'Donnees_USDA'!J108</f>
        <v>39500</v>
      </c>
      <c r="C12" s="9">
        <f>B12/1000</f>
        <v>39.5</v>
      </c>
      <c r="D12" s="7">
        <f>'Donnees_USDA'!J6</f>
        <v>52100</v>
      </c>
      <c r="E12" s="10">
        <f>B12/D12</f>
        <v>0.7581573896353166</v>
      </c>
      <c r="F12" s="7">
        <f>'Donnees_USDA'!J312</f>
        <v>3115</v>
      </c>
      <c r="G12" s="7">
        <f>'Donnees_USDA'!J414</f>
        <v>22420</v>
      </c>
      <c r="H12" s="7">
        <f>'Donnees_USDA'!J516</f>
        <v>30454</v>
      </c>
      <c r="I12" s="11">
        <f>F12/(G12+H12)</f>
        <v>0.05891364375685592</v>
      </c>
      <c r="J12" s="7">
        <f>E12*F12</f>
        <v>2361.660268714011</v>
      </c>
      <c r="K12" s="7">
        <f>E12*(G12+H12)</f>
        <v>40086.813819577736</v>
      </c>
      <c r="L12" s="10">
        <f>J12/K12</f>
        <v>0.05891364375685591</v>
      </c>
      <c r="M12" s="10">
        <f>F12/K12</f>
        <v>0.07770635037296693</v>
      </c>
      <c r="N12" s="10">
        <f>'2_Arabica'!F12</f>
        <v>0.05866361880150922</v>
      </c>
      <c r="O12" s="9">
        <f>'Prix_ICE'!I12</f>
        <v>120.60083333333334</v>
      </c>
    </row>
    <row r="13">
      <c r="A13" s="5" t="s">
        <v>49</v>
      </c>
      <c r="B13" s="7">
        <f>'Donnees_USDA'!K108</f>
        <v>49700</v>
      </c>
      <c r="C13" s="9">
        <f>B13/1000</f>
        <v>49.7</v>
      </c>
      <c r="D13" s="7">
        <f>'Donnees_USDA'!K6</f>
        <v>66500</v>
      </c>
      <c r="E13" s="10">
        <f>B13/D13</f>
        <v>0.7473684210526316</v>
      </c>
      <c r="F13" s="7">
        <f>'Donnees_USDA'!K312</f>
        <v>5056</v>
      </c>
      <c r="G13" s="7">
        <f>'Donnees_USDA'!K414</f>
        <v>23200</v>
      </c>
      <c r="H13" s="7">
        <f>'Donnees_USDA'!K516</f>
        <v>41426</v>
      </c>
      <c r="I13" s="11">
        <f>F13/(G13+H13)</f>
        <v>0.07823476619317303</v>
      </c>
      <c r="J13" s="7">
        <f>E13*F13</f>
        <v>3778.694736842105</v>
      </c>
      <c r="K13" s="7">
        <f>E13*(G13+H13)</f>
        <v>48299.43157894737</v>
      </c>
      <c r="L13" s="10">
        <f>J13/K13</f>
        <v>0.07823476619317302</v>
      </c>
      <c r="M13" s="10">
        <f>F13/K13</f>
        <v>0.1046803209626963</v>
      </c>
      <c r="N13" s="10">
        <f>'2_Arabica'!F13</f>
        <v>0.057433592281496554</v>
      </c>
      <c r="O13" s="9">
        <f>'Prix_ICE'!I13</f>
        <v>104.98083333333334</v>
      </c>
    </row>
    <row r="14">
      <c r="A14" s="5" t="s">
        <v>50</v>
      </c>
      <c r="B14" s="7">
        <f>'Donnees_USDA'!L108</f>
        <v>42000</v>
      </c>
      <c r="C14" s="9">
        <f>B14/1000</f>
        <v>42</v>
      </c>
      <c r="D14" s="7">
        <f>'Donnees_USDA'!L6</f>
        <v>60500</v>
      </c>
      <c r="E14" s="10">
        <f>B14/D14</f>
        <v>0.6942148760330579</v>
      </c>
      <c r="F14" s="7">
        <f>'Donnees_USDA'!L312</f>
        <v>2373</v>
      </c>
      <c r="G14" s="7">
        <f>'Donnees_USDA'!L414</f>
        <v>22994</v>
      </c>
      <c r="H14" s="7">
        <f>'Donnees_USDA'!L516</f>
        <v>40256</v>
      </c>
      <c r="I14" s="11">
        <f>F14/(G14+H14)</f>
        <v>0.037517786561264824</v>
      </c>
      <c r="J14" s="7">
        <f>E14*F14</f>
        <v>1647.3719008264463</v>
      </c>
      <c r="K14" s="7">
        <f>E14*(G14+H14)</f>
        <v>43909.09090909091</v>
      </c>
      <c r="L14" s="10">
        <f>J14/K14</f>
        <v>0.037517786561264824</v>
      </c>
      <c r="M14" s="10">
        <f>F14/K14</f>
        <v>0.05404347826086956</v>
      </c>
      <c r="N14" s="10">
        <f>'2_Arabica'!F14</f>
        <v>0.04723213513384275</v>
      </c>
      <c r="O14" s="9">
        <f>'Prix_ICE'!I14</f>
        <v>113.23666666666666</v>
      </c>
    </row>
    <row r="15">
      <c r="A15" s="5" t="s">
        <v>51</v>
      </c>
      <c r="B15" s="7">
        <f>'Donnees_USDA'!M108</f>
        <v>49700</v>
      </c>
      <c r="C15" s="9">
        <f>B15/1000</f>
        <v>49.7</v>
      </c>
      <c r="D15" s="7">
        <f>'Donnees_USDA'!M6</f>
        <v>69900</v>
      </c>
      <c r="E15" s="10">
        <f>B15/D15</f>
        <v>0.7110157367668097</v>
      </c>
      <c r="F15" s="7">
        <f>'Donnees_USDA'!M312</f>
        <v>4390</v>
      </c>
      <c r="G15" s="7">
        <f>'Donnees_USDA'!M414</f>
        <v>22280</v>
      </c>
      <c r="H15" s="7">
        <f>'Donnees_USDA'!M516</f>
        <v>45675</v>
      </c>
      <c r="I15" s="11">
        <f>F15/(G15+H15)</f>
        <v>0.06460157457140756</v>
      </c>
      <c r="J15" s="7">
        <f>E15*F15</f>
        <v>3121.3590844062946</v>
      </c>
      <c r="K15" s="7">
        <f>E15*(G15+H15)</f>
        <v>48317.07439198856</v>
      </c>
      <c r="L15" s="10">
        <f>J15/K15</f>
        <v>0.06460157457140754</v>
      </c>
      <c r="M15" s="10">
        <f>F15/K15</f>
        <v>0.09085815015173818</v>
      </c>
      <c r="N15" s="10">
        <f>'2_Arabica'!F15</f>
        <v>0.060812394699069496</v>
      </c>
      <c r="O15" s="9">
        <f>'Prix_ICE'!I15</f>
        <v>143.75333333333336</v>
      </c>
    </row>
    <row r="16">
      <c r="A16" s="5" t="s">
        <v>52</v>
      </c>
      <c r="B16" s="7">
        <f>'Donnees_USDA'!N108</f>
        <v>36400</v>
      </c>
      <c r="C16" s="9">
        <f>B16/1000</f>
        <v>36.4</v>
      </c>
      <c r="D16" s="7">
        <f>'Donnees_USDA'!N6</f>
        <v>58100</v>
      </c>
      <c r="E16" s="10">
        <f>B16/D16</f>
        <v>0.6265060240963856</v>
      </c>
      <c r="F16" s="7">
        <f>'Donnees_USDA'!N312</f>
        <v>540</v>
      </c>
      <c r="G16" s="7">
        <f>'Donnees_USDA'!N414</f>
        <v>22340</v>
      </c>
      <c r="H16" s="7">
        <f>'Donnees_USDA'!N516</f>
        <v>39685</v>
      </c>
      <c r="I16" s="11">
        <f>F16/(G16+H16)</f>
        <v>0.008706166868198308</v>
      </c>
      <c r="J16" s="7">
        <f>E16*F16</f>
        <v>338.3132530120482</v>
      </c>
      <c r="K16" s="7">
        <f>E16*(G16+H16)</f>
        <v>38859.03614457831</v>
      </c>
      <c r="L16" s="10">
        <f>J16/K16</f>
        <v>0.008706166868198308</v>
      </c>
      <c r="M16" s="10">
        <f>F16/K16</f>
        <v>0.013896381731931914</v>
      </c>
      <c r="N16" s="10">
        <f>'2_Arabica'!F16</f>
        <v>0.026109367366288654</v>
      </c>
      <c r="O16" s="9">
        <f>'Prix_ICE'!I16</f>
        <v>224.0875</v>
      </c>
    </row>
    <row r="17">
      <c r="A17" s="5" t="s">
        <v>53</v>
      </c>
      <c r="B17" s="7">
        <f>'Donnees_USDA'!O108</f>
        <v>39800</v>
      </c>
      <c r="C17" s="9">
        <f>B17/1000</f>
        <v>39.8</v>
      </c>
      <c r="D17" s="7">
        <f>'Donnees_USDA'!O6</f>
        <v>62600</v>
      </c>
      <c r="E17" s="10">
        <f>B17/D17</f>
        <v>0.6357827476038339</v>
      </c>
      <c r="F17" s="7">
        <f>'Donnees_USDA'!O312</f>
        <v>4620</v>
      </c>
      <c r="G17" s="7">
        <f>'Donnees_USDA'!O414</f>
        <v>22450</v>
      </c>
      <c r="H17" s="7">
        <f>'Donnees_USDA'!O516</f>
        <v>36145</v>
      </c>
      <c r="I17" s="11">
        <f>F17/(G17+H17)</f>
        <v>0.07884631794521717</v>
      </c>
      <c r="J17" s="7">
        <f>E17*F17</f>
        <v>2937.3162939297126</v>
      </c>
      <c r="K17" s="7">
        <f>E17*(G17+H17)</f>
        <v>37253.69009584665</v>
      </c>
      <c r="L17" s="10">
        <f>J17/K17</f>
        <v>0.07884631794521717</v>
      </c>
      <c r="M17" s="10">
        <f>F17/K17</f>
        <v>0.12401456038619584</v>
      </c>
      <c r="N17" s="10">
        <f>'2_Arabica'!F17</f>
        <v>0.05424246044943842</v>
      </c>
      <c r="O17" s="9">
        <f>'Prix_ICE'!I17</f>
        <v>171.18999999999997</v>
      </c>
    </row>
    <row r="18">
      <c r="A18" s="5" t="s">
        <v>54</v>
      </c>
      <c r="B18" s="7">
        <f>'Donnees_USDA'!P108</f>
        <v>44900</v>
      </c>
      <c r="C18" s="9">
        <f>B18/1000</f>
        <v>44.9</v>
      </c>
      <c r="D18" s="7">
        <f>'Donnees_USDA'!P6</f>
        <v>66300</v>
      </c>
      <c r="E18" s="10">
        <f>B18/D18</f>
        <v>0.6772247360482655</v>
      </c>
      <c r="F18" s="7">
        <f>'Donnees_USDA'!P312</f>
        <v>2085</v>
      </c>
      <c r="G18" s="7">
        <f>'Donnees_USDA'!P414</f>
        <v>22160</v>
      </c>
      <c r="H18" s="7">
        <f>'Donnees_USDA'!P516</f>
        <v>46750</v>
      </c>
      <c r="I18" s="11">
        <f>F18/(G18+H18)</f>
        <v>0.030256856769699608</v>
      </c>
      <c r="J18" s="7">
        <f>E18*F18</f>
        <v>1412.0135746606336</v>
      </c>
      <c r="K18" s="7">
        <f>E18*(G18+H18)</f>
        <v>46667.55656108598</v>
      </c>
      <c r="L18" s="10">
        <f>J18/K18</f>
        <v>0.030256856769699608</v>
      </c>
      <c r="M18" s="10">
        <f>F18/K18</f>
        <v>0.04467771946171679</v>
      </c>
      <c r="N18" s="10">
        <f>'2_Arabica'!F18</f>
        <v>0.030406431087550635</v>
      </c>
      <c r="O18" s="9">
        <f>'Prix_ICE'!I18</f>
        <v>204.00166666666667</v>
      </c>
    </row>
    <row r="19">
      <c r="A19" s="5" t="s">
        <v>55</v>
      </c>
      <c r="B19" s="7">
        <f>'Donnees_USDA'!Q108</f>
        <v>44500</v>
      </c>
      <c r="C19" s="9">
        <f>B19/1000</f>
        <v>44.5</v>
      </c>
      <c r="D19" s="7">
        <f>'Donnees_USDA'!Q6</f>
        <v>65500</v>
      </c>
      <c r="E19" s="10">
        <f>B19/D19</f>
        <v>0.6793893129770993</v>
      </c>
      <c r="F19" s="7">
        <f>'Donnees_USDA'!Q312</f>
        <v>955</v>
      </c>
      <c r="G19" s="7">
        <f>'Donnees_USDA'!Q414</f>
        <v>21970</v>
      </c>
      <c r="H19" s="7">
        <f>'Donnees_USDA'!Q516</f>
        <v>44750</v>
      </c>
      <c r="I19" s="11">
        <f>F19/(G19+H19)</f>
        <v>0.014313549160671462</v>
      </c>
      <c r="J19" s="7">
        <f>E19*F19</f>
        <v>648.8167938931298</v>
      </c>
      <c r="K19" s="7">
        <f>E19*(G19+H19)</f>
        <v>45328.85496183206</v>
      </c>
      <c r="L19" s="10">
        <f>J19/K19</f>
        <v>0.014313549160671462</v>
      </c>
      <c r="M19" s="10">
        <f>F19/K19</f>
        <v>0.021068257753347884</v>
      </c>
      <c r="N19" s="10">
        <f>'2_Arabica'!F19</f>
        <v>0.025708867725426233</v>
      </c>
      <c r="O19" s="9">
        <f>'Prix_ICE'!I19</f>
        <v>333.06</v>
      </c>
    </row>
    <row r="20">
      <c r="A20" s="5" t="s">
        <v>56</v>
      </c>
      <c r="B20" s="7">
        <f>'Donnees_USDA'!R108</f>
        <v>38000</v>
      </c>
      <c r="C20" s="9">
        <f>B20/1000</f>
        <v>38</v>
      </c>
      <c r="D20" s="7">
        <f>'Donnees_USDA'!R6</f>
        <v>63000</v>
      </c>
      <c r="E20" s="10">
        <f>B20/D20</f>
        <v>0.6031746031746031</v>
      </c>
      <c r="F20" s="7">
        <f>'Donnees_USDA'!R312</f>
        <v>3895</v>
      </c>
      <c r="G20" s="7">
        <f>'Donnees_USDA'!R414</f>
        <v>22280</v>
      </c>
      <c r="H20" s="7">
        <f>'Donnees_USDA'!R516</f>
        <v>37870</v>
      </c>
      <c r="I20" s="11">
        <f>F20/(G20+H20)</f>
        <v>0.06475477971737323</v>
      </c>
      <c r="J20" s="7">
        <f>E20*F20</f>
        <v>2349.365079365079</v>
      </c>
      <c r="K20" s="7">
        <f>E20*(G20+H20)</f>
        <v>36280.95238095238</v>
      </c>
      <c r="L20" s="10">
        <f>J20/K20</f>
        <v>0.06475477971737323</v>
      </c>
      <c r="M20" s="10">
        <f>F20/K20</f>
        <v>0.10735660847880299</v>
      </c>
      <c r="N20" s="10">
        <f>'2_Arabica'!F20</f>
        <v>0.04836934838625505</v>
      </c>
      <c r="O20" s="9">
        <f>'Prix_ICE'!I20</f>
        <v>312.21</v>
      </c>
    </row>
    <row r="21">
      <c r="A21" s="6" t="s">
        <v>57</v>
      </c>
      <c r="B21" s="7">
        <f>'Donnees_USDA'!S108</f>
        <v>47500</v>
      </c>
      <c r="C21" s="9">
        <f>B21/1000</f>
        <v>47.5</v>
      </c>
      <c r="D21" s="7">
        <f>'Donnees_USDA'!S6</f>
        <v>71900</v>
      </c>
      <c r="E21" s="10">
        <f>B21/D21</f>
        <v>0.6606397774687065</v>
      </c>
      <c r="F21" s="7">
        <f>'Donnees_USDA'!S312</f>
        <v>4425</v>
      </c>
      <c r="G21" s="7">
        <f>'Donnees_USDA'!S414</f>
        <v>22390</v>
      </c>
      <c r="H21" s="7">
        <f>'Donnees_USDA'!S516</f>
        <v>49070</v>
      </c>
      <c r="I21" s="11">
        <f>F21/(G21+H21)</f>
        <v>0.06192275398824517</v>
      </c>
      <c r="J21" s="7">
        <f>E21*F21</f>
        <v>2923.331015299026</v>
      </c>
      <c r="K21" s="7">
        <f>E21*(G21+H21)</f>
        <v>47209.318497913766</v>
      </c>
      <c r="L21" s="10">
        <f>J21/K21</f>
        <v>0.06192275398824517</v>
      </c>
      <c r="M21" s="10">
        <f>F21/K21</f>
        <v>0.09373149498431217</v>
      </c>
      <c r="N21" s="10">
        <f>'2_Arabica'!F21</f>
        <v>0.04722611487966381</v>
      </c>
      <c r="O21" s="9"/>
    </row>
    <row r="23">
      <c r="A23" s="19" t="s">
        <v>312</v>
      </c>
    </row>
    <row r="29">
      <c r="A29" s="16" t="s">
        <v>313</v>
      </c>
      <c r="B29" s="16"/>
      <c r="C29" s="16"/>
      <c r="D29" s="16"/>
      <c r="E29" s="16"/>
    </row>
    <row r="30" ht="30" customHeight="1">
      <c r="A30" s="3" t="s">
        <v>314</v>
      </c>
      <c r="B30" s="3" t="s">
        <v>254</v>
      </c>
      <c r="C30" s="3" t="s">
        <v>315</v>
      </c>
      <c r="D30" s="3" t="s">
        <v>316</v>
      </c>
      <c r="E30" s="3" t="s">
        <v>214</v>
      </c>
    </row>
    <row r="31">
      <c r="A31" s="15" t="s">
        <v>317</v>
      </c>
      <c r="B31" s="22">
        <v>2</v>
      </c>
      <c r="C31" s="9">
        <v>278.57375</v>
      </c>
      <c r="D31" s="14" t="s">
        <v>318</v>
      </c>
      <c r="E31" s="2" t="s">
        <v>319</v>
      </c>
    </row>
    <row r="32">
      <c r="A32" s="15" t="s">
        <v>320</v>
      </c>
      <c r="B32" s="22">
        <v>6</v>
      </c>
      <c r="C32" s="9">
        <v>169.52888888888887</v>
      </c>
      <c r="D32" s="14" t="s">
        <v>321</v>
      </c>
      <c r="E32" s="2" t="s">
        <v>322</v>
      </c>
    </row>
    <row r="33">
      <c r="A33" s="15" t="s">
        <v>323</v>
      </c>
      <c r="B33" s="22">
        <v>5</v>
      </c>
      <c r="C33" s="9">
        <v>175.18116666666666</v>
      </c>
      <c r="D33" s="14" t="s">
        <v>324</v>
      </c>
      <c r="E33" s="2" t="s">
        <v>325</v>
      </c>
    </row>
    <row r="34">
      <c r="A34" s="15" t="s">
        <v>326</v>
      </c>
      <c r="B34" s="22">
        <v>3</v>
      </c>
      <c r="C34" s="9">
        <v>152.06222222222223</v>
      </c>
      <c r="D34" s="14" t="s">
        <v>327</v>
      </c>
      <c r="E34" s="2" t="s">
        <v>227</v>
      </c>
    </row>
    <row r="36">
      <c r="A36" s="2" t="s">
        <v>328</v>
      </c>
    </row>
  </sheetData>
  <mergeCells count="1">
    <mergeCell ref="A23:O27"/>
  </mergeCells>
  <pageMargins left="0.5" right="0.5" top="0.75" bottom="0.75" header="0.3" footer="0.3"/>
  <pageSetup orientation="landscape"/>
  <drawing r:id="rId1"/>
</worksheet>
</file>

<file path=xl/worksheets/sheet9.xml><?xml version="1.0" encoding="utf-8"?>
<worksheet xmlns="http://schemas.openxmlformats.org/spreadsheetml/2006/main" xmlns:r="http://schemas.openxmlformats.org/officeDocument/2006/relationships">
  <sheetPr>
    <tabColor rgb="FF404040"/>
  </sheetPr>
  <dimension ref="A1:AA173"/>
  <sheetViews>
    <sheetView showGridLines="0" workbookViewId="0">
      <pane xSplit="1" ySplit="4" topLeftCell="B5" activePane="bottomRight" state="frozen"/>
      <selection pane="bottomRight" activeCell="B5" sqref="B5"/>
    </sheetView>
  </sheetViews>
  <sheetFormatPr defaultRowHeight="12.75"/>
  <cols>
    <col min="1" max="1" width="13"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s>
  <sheetData>
    <row r="1">
      <c r="A1" s="1" t="s">
        <v>329</v>
      </c>
    </row>
    <row r="2">
      <c r="A2" s="2" t="s">
        <v>330</v>
      </c>
    </row>
    <row r="3">
      <c r="A3" s="2" t="s">
        <v>331</v>
      </c>
    </row>
    <row r="4" ht="64" customHeight="1">
      <c r="A4" s="3" t="s">
        <v>27</v>
      </c>
      <c r="B4" s="3" t="s">
        <v>332</v>
      </c>
      <c r="C4" s="3" t="s">
        <v>333</v>
      </c>
      <c r="D4" s="3" t="s">
        <v>334</v>
      </c>
      <c r="E4" s="3" t="s">
        <v>335</v>
      </c>
      <c r="F4" s="3" t="s">
        <v>336</v>
      </c>
      <c r="G4" s="3" t="s">
        <v>337</v>
      </c>
      <c r="H4" s="3" t="s">
        <v>338</v>
      </c>
      <c r="I4" s="3" t="s">
        <v>339</v>
      </c>
      <c r="J4" s="3" t="s">
        <v>340</v>
      </c>
      <c r="K4" s="3" t="s">
        <v>341</v>
      </c>
      <c r="L4" s="3" t="s">
        <v>342</v>
      </c>
      <c r="M4" s="3" t="s">
        <v>343</v>
      </c>
      <c r="N4" s="3" t="s">
        <v>344</v>
      </c>
      <c r="O4" s="3" t="s">
        <v>345</v>
      </c>
      <c r="P4" s="3" t="s">
        <v>346</v>
      </c>
      <c r="Q4" s="3" t="s">
        <v>347</v>
      </c>
      <c r="R4" s="3" t="s">
        <v>348</v>
      </c>
      <c r="S4" s="3" t="s">
        <v>37</v>
      </c>
      <c r="T4" s="3" t="s">
        <v>38</v>
      </c>
      <c r="U4" s="3" t="s">
        <v>39</v>
      </c>
      <c r="V4" s="3" t="s">
        <v>349</v>
      </c>
      <c r="W4" s="3" t="s">
        <v>350</v>
      </c>
      <c r="X4" s="3" t="s">
        <v>351</v>
      </c>
      <c r="Y4" s="3" t="s">
        <v>352</v>
      </c>
      <c r="Z4" s="3" t="s">
        <v>353</v>
      </c>
      <c r="AA4" s="3" t="s">
        <v>354</v>
      </c>
    </row>
    <row r="5">
      <c r="A5" s="5" t="s">
        <v>41</v>
      </c>
      <c r="B5" s="9">
        <f>'Donnees_USDA'!C108/1000</f>
        <v>41.8</v>
      </c>
      <c r="C5" s="9">
        <f>'Donnees_USDA'!C210/1000</f>
        <v>12.7</v>
      </c>
      <c r="D5" s="9">
        <f>'Donnees_USDA'!C6/1000</f>
        <v>54.5</v>
      </c>
      <c r="E5" s="10"/>
      <c r="F5" s="9">
        <f>'Donnees_USDA'!C7/1000</f>
        <v>19.415</v>
      </c>
      <c r="G5" s="10"/>
      <c r="H5" s="11">
        <f>'1_Monde'!G5</f>
        <v>0.11343472750316856</v>
      </c>
      <c r="I5" s="10">
        <f>'1_Monde'!N5</f>
        <v>0.211352835256959</v>
      </c>
      <c r="J5" s="10">
        <f>'Donnees_USDA'!C312/('Donnees_USDA'!C414+'Donnees_USDA'!C516)</f>
        <v>0.05338967481168473</v>
      </c>
      <c r="K5" s="10">
        <f>'Donnees_USDA'!C313/('Donnees_USDA'!C415+'Donnees_USDA'!C517)</f>
        <v>0.04004605296090504</v>
      </c>
      <c r="L5" s="10">
        <f>'Donnees_USDA'!C314/('Donnees_USDA'!C416+'Donnees_USDA'!C518)</f>
        <v>0.010415570752235665</v>
      </c>
      <c r="M5" s="10">
        <f>'Donnees_USDA'!C315/('Donnees_USDA'!C417+'Donnees_USDA'!C519)</f>
        <v>0.016406890894175553</v>
      </c>
      <c r="N5" s="10">
        <f>'Donnees_USDA'!C318/('Donnees_USDA'!C420+'Donnees_USDA'!C522)</f>
        <v>0.2582270975392825</v>
      </c>
      <c r="O5" s="10">
        <f>'Donnees_USDA'!C317/('Donnees_USDA'!C419+'Donnees_USDA'!C521)</f>
        <v>0.18575757575757576</v>
      </c>
      <c r="P5" s="10">
        <f>'Donnees_USDA'!C316/('Donnees_USDA'!C418+'Donnees_USDA'!C520)</f>
        <v>0.007293497363796133</v>
      </c>
      <c r="Q5" s="12"/>
      <c r="R5" s="12"/>
      <c r="S5" s="9">
        <f>'Prix_ICE'!I5</f>
        <v>249.65999999999997</v>
      </c>
      <c r="T5" s="9">
        <f>'Prix_ICE'!J5</f>
        <v>100.65583333333332</v>
      </c>
      <c r="U5" s="7">
        <f>'Prix_ICE'!K5</f>
        <v>2219.0812700161664</v>
      </c>
      <c r="V5" s="11">
        <f>'Donnees_USDA'!C359/('Donnees_USDA'!C461+'Donnees_USDA'!C563)</f>
        <v>0.3031015037593985</v>
      </c>
      <c r="W5" s="10">
        <f>'Donnees_USDA'!C359/'Donnees_USDA'!C461</f>
        <v>0.31197097944377267</v>
      </c>
      <c r="X5" s="10">
        <f>'Donnees_USDA'!C359/('Donnees_USDA'!C461+'Donnees_USDA'!C665)</f>
        <v>0.15006979990693345</v>
      </c>
      <c r="Y5" s="11">
        <f>'Donnees_USDA'!C354/('Donnees_USDA'!C456+'Donnees_USDA'!C558)</f>
        <v>0.20058686988131214</v>
      </c>
      <c r="Z5" s="10">
        <f>'Donnees_USDA'!C354/'Donnees_USDA'!C456</f>
        <v>0.2046195773578162</v>
      </c>
      <c r="AA5" s="10">
        <f>'Donnees_USDA'!C354/('Donnees_USDA'!C456+'Donnees_USDA'!C660)</f>
        <v>0.10067482909458599</v>
      </c>
    </row>
    <row r="6">
      <c r="A6" s="5" t="s">
        <v>42</v>
      </c>
      <c r="B6" s="9">
        <f>'Donnees_USDA'!D108/1000</f>
        <v>34.7</v>
      </c>
      <c r="C6" s="9">
        <f>'Donnees_USDA'!D210/1000</f>
        <v>14.5</v>
      </c>
      <c r="D6" s="9">
        <f>'Donnees_USDA'!D6/1000</f>
        <v>49.2</v>
      </c>
      <c r="E6" s="27">
        <f>D6/D5-1</f>
        <v>-0.0972477064220183</v>
      </c>
      <c r="F6" s="9">
        <f>'Donnees_USDA'!D7/1000</f>
        <v>26</v>
      </c>
      <c r="G6" s="27">
        <f>F6/F5-1</f>
        <v>0.3391707442698946</v>
      </c>
      <c r="H6" s="11">
        <f>'1_Monde'!G6</f>
        <v>0.09870352906900967</v>
      </c>
      <c r="I6" s="10">
        <f>'1_Monde'!N6</f>
        <v>0.18026898922502818</v>
      </c>
      <c r="J6" s="10">
        <f>'Donnees_USDA'!D312/('Donnees_USDA'!D414+'Donnees_USDA'!D516)</f>
        <v>0.04487847918504853</v>
      </c>
      <c r="K6" s="10">
        <f>'Donnees_USDA'!D313/('Donnees_USDA'!D415+'Donnees_USDA'!D517)</f>
        <v>0.041666666666666664</v>
      </c>
      <c r="L6" s="10">
        <f>'Donnees_USDA'!D314/('Donnees_USDA'!D416+'Donnees_USDA'!D518)</f>
        <v>0.02888631090487239</v>
      </c>
      <c r="M6" s="10">
        <f>'Donnees_USDA'!D315/('Donnees_USDA'!D417+'Donnees_USDA'!D519)</f>
        <v>0.03715670436187399</v>
      </c>
      <c r="N6" s="10">
        <f>'Donnees_USDA'!D318/('Donnees_USDA'!D420+'Donnees_USDA'!D522)</f>
        <v>0.2304803630104835</v>
      </c>
      <c r="O6" s="10">
        <f>'Donnees_USDA'!D317/('Donnees_USDA'!D419+'Donnees_USDA'!D521)</f>
        <v>0.1707936507936508</v>
      </c>
      <c r="P6" s="10">
        <f>'Donnees_USDA'!D316/('Donnees_USDA'!D418+'Donnees_USDA'!D520)</f>
        <v>0.009492988133764833</v>
      </c>
      <c r="Q6" s="12">
        <f>'2_Arabica'!H6</f>
        <v>0.028004908908490472</v>
      </c>
      <c r="R6" s="12">
        <f>'3_Robusta'!H6</f>
        <v>0.03347190075073189</v>
      </c>
      <c r="S6" s="9">
        <f>'Prix_ICE'!I6</f>
        <v>197.8416666666667</v>
      </c>
      <c r="T6" s="9">
        <f>'Prix_ICE'!J6</f>
        <v>91.38416666666667</v>
      </c>
      <c r="U6" s="7">
        <f>'Prix_ICE'!K6</f>
        <v>2014.6760094318333</v>
      </c>
      <c r="V6" s="11">
        <f>'Donnees_USDA'!D359/('Donnees_USDA'!D461+'Donnees_USDA'!D563)</f>
        <v>0.2238966630785791</v>
      </c>
      <c r="W6" s="10">
        <f>'Donnees_USDA'!D359/'Donnees_USDA'!D461</f>
        <v>0.22983425414364642</v>
      </c>
      <c r="X6" s="10">
        <f>'Donnees_USDA'!D359/('Donnees_USDA'!D461+'Donnees_USDA'!D665)</f>
        <v>0.11659192825112108</v>
      </c>
      <c r="Y6" s="11">
        <f>'Donnees_USDA'!D354/('Donnees_USDA'!D456+'Donnees_USDA'!D558)</f>
        <v>0.21840606398012932</v>
      </c>
      <c r="Z6" s="10">
        <f>'Donnees_USDA'!D354/'Donnees_USDA'!D456</f>
        <v>0.22226096051599406</v>
      </c>
      <c r="AA6" s="10">
        <f>'Donnees_USDA'!D354/('Donnees_USDA'!D456+'Donnees_USDA'!D660)</f>
        <v>0.10904192769023541</v>
      </c>
    </row>
    <row r="7">
      <c r="A7" s="5" t="s">
        <v>43</v>
      </c>
      <c r="B7" s="9">
        <f>'Donnees_USDA'!E108/1000</f>
        <v>42.1</v>
      </c>
      <c r="C7" s="9">
        <f>'Donnees_USDA'!E210/1000</f>
        <v>15.5</v>
      </c>
      <c r="D7" s="9">
        <f>'Donnees_USDA'!E6/1000</f>
        <v>57.6</v>
      </c>
      <c r="E7" s="27">
        <f>D7/D6-1</f>
        <v>0.1707317073170731</v>
      </c>
      <c r="F7" s="9">
        <f>'Donnees_USDA'!E7/1000</f>
        <v>26.5</v>
      </c>
      <c r="G7" s="27">
        <f>F7/F6-1</f>
        <v>0.019230769230769162</v>
      </c>
      <c r="H7" s="11">
        <f>'1_Monde'!G7</f>
        <v>0.13263251062297712</v>
      </c>
      <c r="I7" s="10">
        <f>'1_Monde'!N7</f>
        <v>0.24661785216178522</v>
      </c>
      <c r="J7" s="10">
        <f>'Donnees_USDA'!E312/('Donnees_USDA'!E414+'Donnees_USDA'!E516)</f>
        <v>0.17860941500886351</v>
      </c>
      <c r="K7" s="10">
        <f>'Donnees_USDA'!E313/('Donnees_USDA'!E415+'Donnees_USDA'!E517)</f>
        <v>0.07352274444612363</v>
      </c>
      <c r="L7" s="10">
        <f>'Donnees_USDA'!E314/('Donnees_USDA'!E416+'Donnees_USDA'!E518)</f>
        <v>0.07667826951765291</v>
      </c>
      <c r="M7" s="10">
        <f>'Donnees_USDA'!E315/('Donnees_USDA'!E417+'Donnees_USDA'!E519)</f>
        <v>0.015082956259426848</v>
      </c>
      <c r="N7" s="10">
        <f>'Donnees_USDA'!E318/('Donnees_USDA'!E420+'Donnees_USDA'!E522)</f>
        <v>0.33266196710305473</v>
      </c>
      <c r="O7" s="10">
        <f>'Donnees_USDA'!E317/('Donnees_USDA'!E419+'Donnees_USDA'!E521)</f>
        <v>0.096158940397351</v>
      </c>
      <c r="P7" s="10">
        <f>'Donnees_USDA'!E316/('Donnees_USDA'!E418+'Donnees_USDA'!E520)</f>
        <v>0.007458143074581431</v>
      </c>
      <c r="Q7" s="12">
        <f>'2_Arabica'!H7</f>
        <v>0.03513922219794608</v>
      </c>
      <c r="R7" s="12">
        <f>'3_Robusta'!H7</f>
        <v>0.014963240925138026</v>
      </c>
      <c r="S7" s="9">
        <f>'Prix_ICE'!I7</f>
        <v>140.69833333333332</v>
      </c>
      <c r="T7" s="9">
        <f>'Prix_ICE'!J7</f>
        <v>88.48083333333334</v>
      </c>
      <c r="U7" s="7">
        <f>'Prix_ICE'!K7</f>
        <v>1950.6684660311666</v>
      </c>
      <c r="V7" s="11">
        <f>'Donnees_USDA'!E359/('Donnees_USDA'!E461+'Donnees_USDA'!E563)</f>
        <v>0.2430252100840336</v>
      </c>
      <c r="W7" s="10">
        <f>'Donnees_USDA'!E359/'Donnees_USDA'!E461</f>
        <v>0.25060658578856154</v>
      </c>
      <c r="X7" s="10">
        <f>'Donnees_USDA'!E359/('Donnees_USDA'!E461+'Donnees_USDA'!E665)</f>
        <v>0.12275737166789293</v>
      </c>
      <c r="Y7" s="11">
        <f>'Donnees_USDA'!E354/('Donnees_USDA'!E456+'Donnees_USDA'!E558)</f>
        <v>0.23298563611491108</v>
      </c>
      <c r="Z7" s="10">
        <f>'Donnees_USDA'!E354/'Donnees_USDA'!E456</f>
        <v>0.2366786815477483</v>
      </c>
      <c r="AA7" s="10">
        <f>'Donnees_USDA'!E354/('Donnees_USDA'!E456+'Donnees_USDA'!E660)</f>
        <v>0.11663492199370813</v>
      </c>
    </row>
    <row r="8">
      <c r="A8" s="5" t="s">
        <v>44</v>
      </c>
      <c r="B8" s="9">
        <f>'Donnees_USDA'!F108/1000</f>
        <v>41.8</v>
      </c>
      <c r="C8" s="9">
        <f>'Donnees_USDA'!F210/1000</f>
        <v>15.4</v>
      </c>
      <c r="D8" s="9">
        <f>'Donnees_USDA'!F6/1000</f>
        <v>57.2</v>
      </c>
      <c r="E8" s="27">
        <f>D8/D7-1</f>
        <v>-0.00694444444444442</v>
      </c>
      <c r="F8" s="9">
        <f>'Donnees_USDA'!F7/1000</f>
        <v>29.833</v>
      </c>
      <c r="G8" s="27">
        <f>F8/F7-1</f>
        <v>0.12577358490566026</v>
      </c>
      <c r="H8" s="11">
        <f>'1_Monde'!G8</f>
        <v>0.15078147596261218</v>
      </c>
      <c r="I8" s="10">
        <f>'1_Monde'!N8</f>
        <v>0.28624450051085304</v>
      </c>
      <c r="J8" s="10">
        <f>'Donnees_USDA'!F312/('Donnees_USDA'!F414+'Donnees_USDA'!F516)</f>
        <v>0.21977334608874824</v>
      </c>
      <c r="K8" s="10">
        <f>'Donnees_USDA'!F313/('Donnees_USDA'!F415+'Donnees_USDA'!F517)</f>
        <v>0.07030399049410833</v>
      </c>
      <c r="L8" s="10">
        <f>'Donnees_USDA'!F314/('Donnees_USDA'!F416+'Donnees_USDA'!F518)</f>
        <v>0.07787682333873581</v>
      </c>
      <c r="M8" s="10">
        <f>'Donnees_USDA'!F315/('Donnees_USDA'!F417+'Donnees_USDA'!F519)</f>
        <v>0.00624512099921936</v>
      </c>
      <c r="N8" s="10">
        <f>'Donnees_USDA'!F318/('Donnees_USDA'!F420+'Donnees_USDA'!F522)</f>
        <v>0.3276726508167556</v>
      </c>
      <c r="O8" s="10">
        <f>'Donnees_USDA'!F317/('Donnees_USDA'!F419+'Donnees_USDA'!F521)</f>
        <v>0.10287958115183246</v>
      </c>
      <c r="P8" s="10">
        <f>'Donnees_USDA'!F316/('Donnees_USDA'!F418+'Donnees_USDA'!F520)</f>
        <v>0.0037151702786377707</v>
      </c>
      <c r="Q8" s="12">
        <f>'2_Arabica'!H8</f>
        <v>0.029420408844457784</v>
      </c>
      <c r="R8" s="12">
        <f>'3_Robusta'!H8</f>
        <v>0.026179187045721607</v>
      </c>
      <c r="S8" s="9">
        <f>'Prix_ICE'!I8</f>
        <v>161.4675</v>
      </c>
      <c r="T8" s="9">
        <f>'Prix_ICE'!J8</f>
        <v>85.87416666666667</v>
      </c>
      <c r="U8" s="7">
        <f>'Prix_ICE'!K8</f>
        <v>1893.2013030698333</v>
      </c>
      <c r="V8" s="11">
        <f>'Donnees_USDA'!F359/('Donnees_USDA'!F461+'Donnees_USDA'!F563)</f>
        <v>0.2877363963336814</v>
      </c>
      <c r="W8" s="10">
        <f>'Donnees_USDA'!F359/'Donnees_USDA'!F461</f>
        <v>0.29897528631705844</v>
      </c>
      <c r="X8" s="10">
        <f>'Donnees_USDA'!F359/('Donnees_USDA'!F461+'Donnees_USDA'!F665)</f>
        <v>0.1439767779390421</v>
      </c>
      <c r="Y8" s="11">
        <f>'Donnees_USDA'!F354/('Donnees_USDA'!F456+'Donnees_USDA'!F558)</f>
        <v>0.24701734246238366</v>
      </c>
      <c r="Z8" s="10">
        <f>'Donnees_USDA'!F354/'Donnees_USDA'!F456</f>
        <v>0.2530343118726639</v>
      </c>
      <c r="AA8" s="10">
        <f>'Donnees_USDA'!F354/('Donnees_USDA'!F456+'Donnees_USDA'!F660)</f>
        <v>0.1236506177400156</v>
      </c>
    </row>
    <row r="9">
      <c r="A9" s="5" t="s">
        <v>45</v>
      </c>
      <c r="B9" s="9">
        <f>'Donnees_USDA'!G108/1000</f>
        <v>37.3</v>
      </c>
      <c r="C9" s="9">
        <f>'Donnees_USDA'!G210/1000</f>
        <v>17</v>
      </c>
      <c r="D9" s="9">
        <f>'Donnees_USDA'!G6/1000</f>
        <v>54.3</v>
      </c>
      <c r="E9" s="27">
        <f>D9/D8-1</f>
        <v>-0.05069930069930084</v>
      </c>
      <c r="F9" s="9">
        <f>'Donnees_USDA'!G7/1000</f>
        <v>27.4</v>
      </c>
      <c r="G9" s="27">
        <f>F9/F8-1</f>
        <v>-0.08155398384339485</v>
      </c>
      <c r="H9" s="11">
        <f>'1_Monde'!G9</f>
        <v>0.1590471625059921</v>
      </c>
      <c r="I9" s="10">
        <f>'1_Monde'!N9</f>
        <v>0.29308997506166634</v>
      </c>
      <c r="J9" s="10">
        <f>'Donnees_USDA'!G312/('Donnees_USDA'!G414+'Donnees_USDA'!G516)</f>
        <v>0.16326566420437597</v>
      </c>
      <c r="K9" s="10">
        <f>'Donnees_USDA'!G313/('Donnees_USDA'!G415+'Donnees_USDA'!G517)</f>
        <v>0.26639757820383453</v>
      </c>
      <c r="L9" s="10">
        <f>'Donnees_USDA'!G314/('Donnees_USDA'!G416+'Donnees_USDA'!G518)</f>
        <v>0.048552821997105644</v>
      </c>
      <c r="M9" s="10">
        <f>'Donnees_USDA'!G315/('Donnees_USDA'!G417+'Donnees_USDA'!G519)</f>
        <v>0.004626060138781804</v>
      </c>
      <c r="N9" s="10">
        <f>'Donnees_USDA'!G318/('Donnees_USDA'!G420+'Donnees_USDA'!G522)</f>
        <v>0.42497945768282663</v>
      </c>
      <c r="O9" s="10">
        <f>'Donnees_USDA'!G317/('Donnees_USDA'!G419+'Donnees_USDA'!G521)</f>
        <v>0.08743016759776537</v>
      </c>
      <c r="P9" s="10">
        <f>'Donnees_USDA'!G316/('Donnees_USDA'!G418+'Donnees_USDA'!G520)</f>
        <v>0.004561101549053356</v>
      </c>
      <c r="Q9" s="12">
        <f>'2_Arabica'!H9</f>
        <v>0.025576862317916386</v>
      </c>
      <c r="R9" s="12">
        <f>'3_Robusta'!H9</f>
        <v>0.04972677017647231</v>
      </c>
      <c r="S9" s="9">
        <f>'Prix_ICE'!I9</f>
        <v>154.02083333333334</v>
      </c>
      <c r="T9" s="9">
        <f>'Prix_ICE'!J9</f>
        <v>83.91083333333333</v>
      </c>
      <c r="U9" s="7">
        <f>'Prix_ICE'!K9</f>
        <v>1849.9172122971665</v>
      </c>
      <c r="V9" s="11">
        <f>'Donnees_USDA'!G359/('Donnees_USDA'!G461+'Donnees_USDA'!G563)</f>
        <v>0.26977821913273753</v>
      </c>
      <c r="W9" s="10">
        <f>'Donnees_USDA'!G359/'Donnees_USDA'!G461</f>
        <v>0.2786642352404832</v>
      </c>
      <c r="X9" s="10">
        <f>'Donnees_USDA'!G359/('Donnees_USDA'!G461+'Donnees_USDA'!G665)</f>
        <v>0.13734411863835524</v>
      </c>
      <c r="Y9" s="11">
        <f>'Donnees_USDA'!G354/('Donnees_USDA'!G456+'Donnees_USDA'!G558)</f>
        <v>0.2554284282612327</v>
      </c>
      <c r="Z9" s="10">
        <f>'Donnees_USDA'!G354/'Donnees_USDA'!G456</f>
        <v>0.2595468431771894</v>
      </c>
      <c r="AA9" s="10">
        <f>'Donnees_USDA'!G354/('Donnees_USDA'!G456+'Donnees_USDA'!G660)</f>
        <v>0.12860837205390746</v>
      </c>
    </row>
    <row r="10">
      <c r="A10" s="5" t="s">
        <v>46</v>
      </c>
      <c r="B10" s="9">
        <f>'Donnees_USDA'!H108/1000</f>
        <v>36.1</v>
      </c>
      <c r="C10" s="9">
        <f>'Donnees_USDA'!H210/1000</f>
        <v>13.3</v>
      </c>
      <c r="D10" s="9">
        <f>'Donnees_USDA'!H6/1000</f>
        <v>49.4</v>
      </c>
      <c r="E10" s="27">
        <f>D10/D9-1</f>
        <v>-0.09023941068139962</v>
      </c>
      <c r="F10" s="9">
        <f>'Donnees_USDA'!H7/1000</f>
        <v>28.93</v>
      </c>
      <c r="G10" s="27">
        <f>F10/F9-1</f>
        <v>0.05583941605839415</v>
      </c>
      <c r="H10" s="11">
        <f>'1_Monde'!G10</f>
        <v>0.12176733523556689</v>
      </c>
      <c r="I10" s="10">
        <f>'1_Monde'!N10</f>
        <v>0.22816053686368207</v>
      </c>
      <c r="J10" s="10">
        <f>'Donnees_USDA'!H312/('Donnees_USDA'!H414+'Donnees_USDA'!H516)</f>
        <v>0.042058229015213305</v>
      </c>
      <c r="K10" s="10">
        <f>'Donnees_USDA'!H313/('Donnees_USDA'!H415+'Donnees_USDA'!H517)</f>
        <v>0.13254456538886258</v>
      </c>
      <c r="L10" s="10">
        <f>'Donnees_USDA'!H314/('Donnees_USDA'!H416+'Donnees_USDA'!H518)</f>
        <v>0.08192683810213691</v>
      </c>
      <c r="M10" s="10">
        <f>'Donnees_USDA'!H315/('Donnees_USDA'!H417+'Donnees_USDA'!H519)</f>
        <v>0.003837298541826554</v>
      </c>
      <c r="N10" s="10">
        <f>'Donnees_USDA'!H318/('Donnees_USDA'!H420+'Donnees_USDA'!H522)</f>
        <v>0.38095923952182054</v>
      </c>
      <c r="O10" s="10">
        <f>'Donnees_USDA'!H317/('Donnees_USDA'!H419+'Donnees_USDA'!H521)</f>
        <v>0.08816901408450704</v>
      </c>
      <c r="P10" s="10">
        <f>'Donnees_USDA'!H316/('Donnees_USDA'!H418+'Donnees_USDA'!H520)</f>
        <v>0.003519241068013159</v>
      </c>
      <c r="Q10" s="12">
        <f>'2_Arabica'!H10</f>
        <v>0.015408007763788633</v>
      </c>
      <c r="R10" s="12">
        <f>'3_Robusta'!H10</f>
        <v>0.03090196597910019</v>
      </c>
      <c r="S10" s="9">
        <f>'Prix_ICE'!I10</f>
        <v>131.83249999999998</v>
      </c>
      <c r="T10" s="9">
        <f>'Prix_ICE'!J10</f>
        <v>74.06833333333334</v>
      </c>
      <c r="U10" s="7">
        <f>'Prix_ICE'!K10</f>
        <v>1632.9272309236667</v>
      </c>
      <c r="V10" s="11">
        <f>'Donnees_USDA'!H359/('Donnees_USDA'!H461+'Donnees_USDA'!H563)</f>
        <v>0.2614802809292274</v>
      </c>
      <c r="W10" s="10">
        <f>'Donnees_USDA'!H359/'Donnees_USDA'!H461</f>
        <v>0.2744075291983218</v>
      </c>
      <c r="X10" s="10">
        <f>'Donnees_USDA'!H359/('Donnees_USDA'!H461+'Donnees_USDA'!H665)</f>
        <v>0.1340794503850629</v>
      </c>
      <c r="Y10" s="11">
        <f>'Donnees_USDA'!H354/('Donnees_USDA'!H456+'Donnees_USDA'!H558)</f>
        <v>0.2465497355128664</v>
      </c>
      <c r="Z10" s="10">
        <f>'Donnees_USDA'!H354/'Donnees_USDA'!H456</f>
        <v>0.2471394968703903</v>
      </c>
      <c r="AA10" s="10">
        <f>'Donnees_USDA'!H354/('Donnees_USDA'!H456+'Donnees_USDA'!H660)</f>
        <v>0.12331901010583274</v>
      </c>
    </row>
    <row r="11">
      <c r="A11" s="5" t="s">
        <v>47</v>
      </c>
      <c r="B11" s="9">
        <f>'Donnees_USDA'!I108/1000</f>
        <v>45.6</v>
      </c>
      <c r="C11" s="9">
        <f>'Donnees_USDA'!I210/1000</f>
        <v>10.5</v>
      </c>
      <c r="D11" s="9">
        <f>'Donnees_USDA'!I6/1000</f>
        <v>56.1</v>
      </c>
      <c r="E11" s="27">
        <f>D11/D10-1</f>
        <v>0.13562753036437258</v>
      </c>
      <c r="F11" s="9">
        <f>'Donnees_USDA'!I7/1000</f>
        <v>26.7</v>
      </c>
      <c r="G11" s="27">
        <f>F11/F10-1</f>
        <v>-0.07708261320428622</v>
      </c>
      <c r="H11" s="11">
        <f>'1_Monde'!G11</f>
        <v>0.1262616466350317</v>
      </c>
      <c r="I11" s="10">
        <f>'1_Monde'!N11</f>
        <v>0.23502295234165463</v>
      </c>
      <c r="J11" s="10">
        <f>'Donnees_USDA'!I312/('Donnees_USDA'!I414+'Donnees_USDA'!I516)</f>
        <v>0.06997404306657405</v>
      </c>
      <c r="K11" s="10">
        <f>'Donnees_USDA'!I313/('Donnees_USDA'!I415+'Donnees_USDA'!I517)</f>
        <v>0.09175222450376455</v>
      </c>
      <c r="L11" s="10">
        <f>'Donnees_USDA'!I314/('Donnees_USDA'!I416+'Donnees_USDA'!I518)</f>
        <v>0.0582703058204538</v>
      </c>
      <c r="M11" s="10">
        <f>'Donnees_USDA'!I315/('Donnees_USDA'!I417+'Donnees_USDA'!I519)</f>
        <v>0.002157342154465698</v>
      </c>
      <c r="N11" s="10">
        <f>'Donnees_USDA'!I318/('Donnees_USDA'!I420+'Donnees_USDA'!I522)</f>
        <v>0.2545528676270726</v>
      </c>
      <c r="O11" s="10">
        <f>'Donnees_USDA'!I317/('Donnees_USDA'!I419+'Donnees_USDA'!I521)</f>
        <v>0.06969072164948453</v>
      </c>
      <c r="P11" s="10">
        <f>'Donnees_USDA'!I316/('Donnees_USDA'!I418+'Donnees_USDA'!I520)</f>
        <v>0.0010547596027072163</v>
      </c>
      <c r="Q11" s="12">
        <f>'2_Arabica'!H11</f>
        <v>0.02004846055294053</v>
      </c>
      <c r="R11" s="12">
        <f>'3_Robusta'!H11</f>
        <v>0.03795961477065434</v>
      </c>
      <c r="S11" s="9">
        <f>'Prix_ICE'!I11</f>
        <v>143.7716666666667</v>
      </c>
      <c r="T11" s="9">
        <f>'Prix_ICE'!J11</f>
        <v>95.12333333333335</v>
      </c>
      <c r="U11" s="7">
        <f>'Prix_ICE'!K11</f>
        <v>2097.110523564667</v>
      </c>
      <c r="V11" s="11">
        <f>'Donnees_USDA'!I359/('Donnees_USDA'!I461+'Donnees_USDA'!I563)</f>
        <v>0.33393393393393395</v>
      </c>
      <c r="W11" s="10">
        <f>'Donnees_USDA'!I359/'Donnees_USDA'!I461</f>
        <v>0.3559994877705212</v>
      </c>
      <c r="X11" s="10">
        <f>'Donnees_USDA'!I359/('Donnees_USDA'!I461+'Donnees_USDA'!I665)</f>
        <v>0.16854613798957196</v>
      </c>
      <c r="Y11" s="11">
        <f>'Donnees_USDA'!I354/('Donnees_USDA'!I456+'Donnees_USDA'!I558)</f>
        <v>0.2818281592975854</v>
      </c>
      <c r="Z11" s="10">
        <f>'Donnees_USDA'!I354/'Donnees_USDA'!I456</f>
        <v>0.2818281592975854</v>
      </c>
      <c r="AA11" s="10">
        <f>'Donnees_USDA'!I354/('Donnees_USDA'!I456+'Donnees_USDA'!I660)</f>
        <v>0.1383171097687661</v>
      </c>
    </row>
    <row r="12">
      <c r="A12" s="5" t="s">
        <v>48</v>
      </c>
      <c r="B12" s="9">
        <f>'Donnees_USDA'!J108/1000</f>
        <v>39.5</v>
      </c>
      <c r="C12" s="9">
        <f>'Donnees_USDA'!J210/1000</f>
        <v>12.6</v>
      </c>
      <c r="D12" s="9">
        <f>'Donnees_USDA'!J6/1000</f>
        <v>52.1</v>
      </c>
      <c r="E12" s="27">
        <f>D12/D11-1</f>
        <v>-0.071301247771836</v>
      </c>
      <c r="F12" s="9">
        <f>'Donnees_USDA'!J7/1000</f>
        <v>29.3</v>
      </c>
      <c r="G12" s="27">
        <f>F12/F11-1</f>
        <v>0.09737827715355807</v>
      </c>
      <c r="H12" s="11">
        <f>'1_Monde'!G12</f>
        <v>0.10838158622257048</v>
      </c>
      <c r="I12" s="10">
        <f>'1_Monde'!N12</f>
        <v>0.198914254764143</v>
      </c>
      <c r="J12" s="10">
        <f>'Donnees_USDA'!J312/('Donnees_USDA'!J414+'Donnees_USDA'!J516)</f>
        <v>0.05891364375685592</v>
      </c>
      <c r="K12" s="10">
        <f>'Donnees_USDA'!J313/('Donnees_USDA'!J415+'Donnees_USDA'!J517)</f>
        <v>0.007746972885594901</v>
      </c>
      <c r="L12" s="10">
        <f>'Donnees_USDA'!J314/('Donnees_USDA'!J416+'Donnees_USDA'!J518)</f>
        <v>0.07728695652173913</v>
      </c>
      <c r="M12" s="10">
        <f>'Donnees_USDA'!J315/('Donnees_USDA'!J417+'Donnees_USDA'!J519)</f>
        <v>0.003833593639074258</v>
      </c>
      <c r="N12" s="10">
        <f>'Donnees_USDA'!J318/('Donnees_USDA'!J420+'Donnees_USDA'!J522)</f>
        <v>0.16949612929512428</v>
      </c>
      <c r="O12" s="10">
        <f>'Donnees_USDA'!J317/('Donnees_USDA'!J419+'Donnees_USDA'!J521)</f>
        <v>0.08527472527472528</v>
      </c>
      <c r="P12" s="10">
        <f>'Donnees_USDA'!J316/('Donnees_USDA'!J418+'Donnees_USDA'!J520)</f>
        <v>0.05125324114088159</v>
      </c>
      <c r="Q12" s="12">
        <f>'2_Arabica'!H12</f>
        <v>0.02791690385820038</v>
      </c>
      <c r="R12" s="12">
        <f>'3_Robusta'!H12</f>
        <v>0.020741073380285968</v>
      </c>
      <c r="S12" s="9">
        <f>'Prix_ICE'!I12</f>
        <v>120.60083333333334</v>
      </c>
      <c r="T12" s="9">
        <f>'Prix_ICE'!J12</f>
        <v>78.28500000000001</v>
      </c>
      <c r="U12" s="7">
        <f>'Prix_ICE'!K12</f>
        <v>1725.8888180669999</v>
      </c>
      <c r="V12" s="11">
        <f>'Donnees_USDA'!J359/('Donnees_USDA'!J461+'Donnees_USDA'!J563)</f>
        <v>0.30060120240480964</v>
      </c>
      <c r="W12" s="10">
        <f>'Donnees_USDA'!J359/'Donnees_USDA'!J461</f>
        <v>0.3209318911208843</v>
      </c>
      <c r="X12" s="10">
        <f>'Donnees_USDA'!J359/('Donnees_USDA'!J461+'Donnees_USDA'!J665)</f>
        <v>0.1559341611319665</v>
      </c>
      <c r="Y12" s="11">
        <f>'Donnees_USDA'!J354/('Donnees_USDA'!J456+'Donnees_USDA'!J558)</f>
        <v>0.2519857573267598</v>
      </c>
      <c r="Z12" s="10">
        <f>'Donnees_USDA'!J354/'Donnees_USDA'!J456</f>
        <v>0.2519857573267598</v>
      </c>
      <c r="AA12" s="10">
        <f>'Donnees_USDA'!J354/('Donnees_USDA'!J456+'Donnees_USDA'!J660)</f>
        <v>0.1279504092823651</v>
      </c>
    </row>
    <row r="13">
      <c r="A13" s="5" t="s">
        <v>49</v>
      </c>
      <c r="B13" s="9">
        <f>'Donnees_USDA'!K108/1000</f>
        <v>49.7</v>
      </c>
      <c r="C13" s="9">
        <f>'Donnees_USDA'!K210/1000</f>
        <v>16.8</v>
      </c>
      <c r="D13" s="9">
        <f>'Donnees_USDA'!K6/1000</f>
        <v>66.5</v>
      </c>
      <c r="E13" s="27">
        <f>D13/D12-1</f>
        <v>0.2763915547024951</v>
      </c>
      <c r="F13" s="9">
        <f>'Donnees_USDA'!K7/1000</f>
        <v>30.4</v>
      </c>
      <c r="G13" s="27">
        <f>F13/F12-1</f>
        <v>0.03754266211604085</v>
      </c>
      <c r="H13" s="11">
        <f>'1_Monde'!G13</f>
        <v>0.11942450229016023</v>
      </c>
      <c r="I13" s="10">
        <f>'1_Monde'!N13</f>
        <v>0.22256224285103282</v>
      </c>
      <c r="J13" s="10">
        <f>'Donnees_USDA'!K312/('Donnees_USDA'!K414+'Donnees_USDA'!K516)</f>
        <v>0.07823476619317303</v>
      </c>
      <c r="K13" s="10">
        <f>'Donnees_USDA'!K313/('Donnees_USDA'!K415+'Donnees_USDA'!K517)</f>
        <v>0.01778744641371809</v>
      </c>
      <c r="L13" s="10">
        <f>'Donnees_USDA'!K314/('Donnees_USDA'!K416+'Donnees_USDA'!K518)</f>
        <v>0.03552123552123552</v>
      </c>
      <c r="M13" s="10">
        <f>'Donnees_USDA'!K315/('Donnees_USDA'!K417+'Donnees_USDA'!K519)</f>
        <v>0.0013574046423238768</v>
      </c>
      <c r="N13" s="10">
        <f>'Donnees_USDA'!K318/('Donnees_USDA'!K420+'Donnees_USDA'!K522)</f>
        <v>0.13247011952191234</v>
      </c>
      <c r="O13" s="10">
        <f>'Donnees_USDA'!K317/('Donnees_USDA'!K419+'Donnees_USDA'!K521)</f>
        <v>0.07191489361702127</v>
      </c>
      <c r="P13" s="10">
        <f>'Donnees_USDA'!K316/('Donnees_USDA'!K418+'Donnees_USDA'!K520)</f>
        <v>0.23148325358851674</v>
      </c>
      <c r="Q13" s="12">
        <f>'2_Arabica'!H13</f>
        <v>0.024495207056717778</v>
      </c>
      <c r="R13" s="12">
        <f>'3_Robusta'!H13</f>
        <v>0.034816449319463906</v>
      </c>
      <c r="S13" s="9">
        <f>'Prix_ICE'!I13</f>
        <v>104.98083333333334</v>
      </c>
      <c r="T13" s="9">
        <f>'Prix_ICE'!J13</f>
        <v>67.53249999999998</v>
      </c>
      <c r="U13" s="7">
        <f>'Prix_ICE'!K13</f>
        <v>1488.8367708514998</v>
      </c>
      <c r="V13" s="11">
        <f>'Donnees_USDA'!K359/('Donnees_USDA'!K461+'Donnees_USDA'!K563)</f>
        <v>0.3180789205024635</v>
      </c>
      <c r="W13" s="10">
        <f>'Donnees_USDA'!K359/'Donnees_USDA'!K461</f>
        <v>0.34049225506034403</v>
      </c>
      <c r="X13" s="10">
        <f>'Donnees_USDA'!K359/('Donnees_USDA'!K461+'Donnees_USDA'!K665)</f>
        <v>0.16289695619558547</v>
      </c>
      <c r="Y13" s="11">
        <f>'Donnees_USDA'!K354/('Donnees_USDA'!K456+'Donnees_USDA'!K558)</f>
        <v>0.27067226271997646</v>
      </c>
      <c r="Z13" s="10">
        <f>'Donnees_USDA'!K354/'Donnees_USDA'!K456</f>
        <v>0.27067226271997646</v>
      </c>
      <c r="AA13" s="10">
        <f>'Donnees_USDA'!K354/('Donnees_USDA'!K456+'Donnees_USDA'!K660)</f>
        <v>0.13323185096589468</v>
      </c>
    </row>
    <row r="14">
      <c r="A14" s="5" t="s">
        <v>50</v>
      </c>
      <c r="B14" s="9">
        <f>'Donnees_USDA'!L108/1000</f>
        <v>42</v>
      </c>
      <c r="C14" s="9">
        <f>'Donnees_USDA'!L210/1000</f>
        <v>18.5</v>
      </c>
      <c r="D14" s="9">
        <f>'Donnees_USDA'!L6/1000</f>
        <v>60.5</v>
      </c>
      <c r="E14" s="27">
        <f>D14/D13-1</f>
        <v>-0.09022556390977443</v>
      </c>
      <c r="F14" s="9">
        <f>'Donnees_USDA'!L7/1000</f>
        <v>31.3</v>
      </c>
      <c r="G14" s="27">
        <f>F14/F13-1</f>
        <v>0.029605263157894912</v>
      </c>
      <c r="H14" s="11">
        <f>'1_Monde'!G14</f>
        <v>0.11882292039979293</v>
      </c>
      <c r="I14" s="10">
        <f>'1_Monde'!N14</f>
        <v>0.22055372486218472</v>
      </c>
      <c r="J14" s="10">
        <f>'Donnees_USDA'!L312/('Donnees_USDA'!L414+'Donnees_USDA'!L516)</f>
        <v>0.037517786561264824</v>
      </c>
      <c r="K14" s="10">
        <f>'Donnees_USDA'!L313/('Donnees_USDA'!L415+'Donnees_USDA'!L517)</f>
        <v>0.0700059159929008</v>
      </c>
      <c r="L14" s="10">
        <f>'Donnees_USDA'!L314/('Donnees_USDA'!L416+'Donnees_USDA'!L518)</f>
        <v>0.05764546684709066</v>
      </c>
      <c r="M14" s="10">
        <f>'Donnees_USDA'!L315/('Donnees_USDA'!L417+'Donnees_USDA'!L519)</f>
        <v>0.0288659793814433</v>
      </c>
      <c r="N14" s="10">
        <f>'Donnees_USDA'!L318/('Donnees_USDA'!L420+'Donnees_USDA'!L522)</f>
        <v>0.15310778914240755</v>
      </c>
      <c r="O14" s="10">
        <f>'Donnees_USDA'!L317/('Donnees_USDA'!L419+'Donnees_USDA'!L521)</f>
        <v>0.06660550458715596</v>
      </c>
      <c r="P14" s="10">
        <f>'Donnees_USDA'!L316/('Donnees_USDA'!L418+'Donnees_USDA'!L520)</f>
        <v>0.1906737470959177</v>
      </c>
      <c r="Q14" s="12">
        <f>'2_Arabica'!H14</f>
        <v>0.012865540734976894</v>
      </c>
      <c r="R14" s="12">
        <f>'3_Robusta'!H14</f>
        <v>0.023382804566318714</v>
      </c>
      <c r="S14" s="9">
        <f>'Prix_ICE'!I14</f>
        <v>113.23666666666666</v>
      </c>
      <c r="T14" s="9">
        <f>'Prix_ICE'!J14</f>
        <v>59.22083333333333</v>
      </c>
      <c r="U14" s="7">
        <f>'Prix_ICE'!K14</f>
        <v>1305.5958874191667</v>
      </c>
      <c r="V14" s="11">
        <f>'Donnees_USDA'!L359/('Donnees_USDA'!L461+'Donnees_USDA'!L563)</f>
        <v>0.3436942908076976</v>
      </c>
      <c r="W14" s="10">
        <f>'Donnees_USDA'!L359/'Donnees_USDA'!L461</f>
        <v>0.37348499900655674</v>
      </c>
      <c r="X14" s="10">
        <f>'Donnees_USDA'!L359/('Donnees_USDA'!L461+'Donnees_USDA'!L665)</f>
        <v>0.17749398045418063</v>
      </c>
      <c r="Y14" s="11">
        <f>'Donnees_USDA'!L354/('Donnees_USDA'!L456+'Donnees_USDA'!L558)</f>
        <v>0.24576759184613614</v>
      </c>
      <c r="Z14" s="10">
        <f>'Donnees_USDA'!L354/'Donnees_USDA'!L456</f>
        <v>0.24576759184613614</v>
      </c>
      <c r="AA14" s="10">
        <f>'Donnees_USDA'!L354/('Donnees_USDA'!L456+'Donnees_USDA'!L660)</f>
        <v>0.12526169559177444</v>
      </c>
    </row>
    <row r="15">
      <c r="A15" s="5" t="s">
        <v>51</v>
      </c>
      <c r="B15" s="9">
        <f>'Donnees_USDA'!M108/1000</f>
        <v>49.7</v>
      </c>
      <c r="C15" s="9">
        <f>'Donnees_USDA'!M210/1000</f>
        <v>20.2</v>
      </c>
      <c r="D15" s="9">
        <f>'Donnees_USDA'!M6/1000</f>
        <v>69.9</v>
      </c>
      <c r="E15" s="27">
        <f>D15/D14-1</f>
        <v>0.15537190082644647</v>
      </c>
      <c r="F15" s="9">
        <f>'Donnees_USDA'!M7/1000</f>
        <v>29</v>
      </c>
      <c r="G15" s="27">
        <f>F15/F14-1</f>
        <v>-0.07348242811501604</v>
      </c>
      <c r="H15" s="11">
        <f>'1_Monde'!G15</f>
        <v>0.12211676882690517</v>
      </c>
      <c r="I15" s="10">
        <f>'1_Monde'!N15</f>
        <v>0.23131165442061039</v>
      </c>
      <c r="J15" s="10">
        <f>'Donnees_USDA'!M312/('Donnees_USDA'!M414+'Donnees_USDA'!M516)</f>
        <v>0.06460157457140756</v>
      </c>
      <c r="K15" s="10">
        <f>'Donnees_USDA'!M313/('Donnees_USDA'!M415+'Donnees_USDA'!M517)</f>
        <v>0.13062098501070663</v>
      </c>
      <c r="L15" s="10">
        <f>'Donnees_USDA'!M314/('Donnees_USDA'!M416+'Donnees_USDA'!M518)</f>
        <v>0.08324907313784968</v>
      </c>
      <c r="M15" s="10">
        <f>'Donnees_USDA'!M315/('Donnees_USDA'!M417+'Donnees_USDA'!M519)</f>
        <v>0.01758957654723127</v>
      </c>
      <c r="N15" s="10">
        <f>'Donnees_USDA'!M318/('Donnees_USDA'!M420+'Donnees_USDA'!M522)</f>
        <v>0.13062804703183253</v>
      </c>
      <c r="O15" s="10">
        <f>'Donnees_USDA'!M317/('Donnees_USDA'!M419+'Donnees_USDA'!M521)</f>
        <v>0.057302691260961595</v>
      </c>
      <c r="P15" s="10">
        <f>'Donnees_USDA'!M316/('Donnees_USDA'!M418+'Donnees_USDA'!M520)</f>
        <v>0.13544879078071742</v>
      </c>
      <c r="Q15" s="12">
        <f>'2_Arabica'!H15</f>
        <v>0.022004253737623308</v>
      </c>
      <c r="R15" s="12">
        <f>'3_Robusta'!H15</f>
        <v>0.026889937370396768</v>
      </c>
      <c r="S15" s="9">
        <f>'Prix_ICE'!I15</f>
        <v>143.75333333333336</v>
      </c>
      <c r="T15" s="9">
        <f>'Prix_ICE'!J15</f>
        <v>69.89583333333333</v>
      </c>
      <c r="U15" s="7">
        <f>'Prix_ICE'!K15</f>
        <v>1540.9393521041666</v>
      </c>
      <c r="V15" s="11">
        <f>'Donnees_USDA'!M359/('Donnees_USDA'!M461+'Donnees_USDA'!M563)</f>
        <v>0.3049439595977495</v>
      </c>
      <c r="W15" s="10">
        <f>'Donnees_USDA'!M359/'Donnees_USDA'!M461</f>
        <v>0.3335756342225776</v>
      </c>
      <c r="X15" s="10">
        <f>'Donnees_USDA'!M359/('Donnees_USDA'!M461+'Donnees_USDA'!M665)</f>
        <v>0.16168698470861814</v>
      </c>
      <c r="Y15" s="11">
        <f>'Donnees_USDA'!M354/('Donnees_USDA'!M456+'Donnees_USDA'!M558)</f>
        <v>0.23235089885039734</v>
      </c>
      <c r="Z15" s="10">
        <f>'Donnees_USDA'!M354/'Donnees_USDA'!M456</f>
        <v>0.23235089885039734</v>
      </c>
      <c r="AA15" s="10">
        <f>'Donnees_USDA'!M354/('Donnees_USDA'!M456+'Donnees_USDA'!M660)</f>
        <v>0.11710608181676777</v>
      </c>
    </row>
    <row r="16">
      <c r="A16" s="5" t="s">
        <v>52</v>
      </c>
      <c r="B16" s="9">
        <f>'Donnees_USDA'!N108/1000</f>
        <v>36.4</v>
      </c>
      <c r="C16" s="9">
        <f>'Donnees_USDA'!N210/1000</f>
        <v>21.7</v>
      </c>
      <c r="D16" s="9">
        <f>'Donnees_USDA'!N6/1000</f>
        <v>58.1</v>
      </c>
      <c r="E16" s="27">
        <f>D16/D15-1</f>
        <v>-0.1688125894134478</v>
      </c>
      <c r="F16" s="9">
        <f>'Donnees_USDA'!N7/1000</f>
        <v>31.58</v>
      </c>
      <c r="G16" s="27">
        <f>F16/F15-1</f>
        <v>0.08896551724137924</v>
      </c>
      <c r="H16" s="11">
        <f>'1_Monde'!G16</f>
        <v>0.10254961327173079</v>
      </c>
      <c r="I16" s="10">
        <f>'1_Monde'!N16</f>
        <v>0.19025947723319592</v>
      </c>
      <c r="J16" s="10">
        <f>'Donnees_USDA'!N312/('Donnees_USDA'!N414+'Donnees_USDA'!N516)</f>
        <v>0.008706166868198308</v>
      </c>
      <c r="K16" s="10">
        <f>'Donnees_USDA'!N313/('Donnees_USDA'!N415+'Donnees_USDA'!N517)</f>
        <v>0.111145606954362</v>
      </c>
      <c r="L16" s="10">
        <f>'Donnees_USDA'!N314/('Donnees_USDA'!N416+'Donnees_USDA'!N518)</f>
        <v>0.052377670572019294</v>
      </c>
      <c r="M16" s="10">
        <f>'Donnees_USDA'!N315/('Donnees_USDA'!N417+'Donnees_USDA'!N519)</f>
        <v>0.010982306284319707</v>
      </c>
      <c r="N16" s="10">
        <f>'Donnees_USDA'!N318/('Donnees_USDA'!N420+'Donnees_USDA'!N522)</f>
        <v>0.020656584286241238</v>
      </c>
      <c r="O16" s="10">
        <f>'Donnees_USDA'!N317/('Donnees_USDA'!N419+'Donnees_USDA'!N521)</f>
        <v>0.07598326359832636</v>
      </c>
      <c r="P16" s="10">
        <f>'Donnees_USDA'!N316/('Donnees_USDA'!N418+'Donnees_USDA'!N520)</f>
        <v>0.08671374609952373</v>
      </c>
      <c r="Q16" s="12">
        <f>'2_Arabica'!H16</f>
        <v>0.004791827606180016</v>
      </c>
      <c r="R16" s="12">
        <f>'3_Robusta'!H16</f>
        <v>0.018462372197921986</v>
      </c>
      <c r="S16" s="9">
        <f>'Prix_ICE'!I16</f>
        <v>224.0875</v>
      </c>
      <c r="T16" s="9">
        <f>'Prix_ICE'!J16</f>
        <v>97.52916666666668</v>
      </c>
      <c r="U16" s="7">
        <f>'Prix_ICE'!K16</f>
        <v>2150.1500694308334</v>
      </c>
      <c r="V16" s="11">
        <f>'Donnees_USDA'!N359/('Donnees_USDA'!N461+'Donnees_USDA'!N563)</f>
        <v>0.3018412315122246</v>
      </c>
      <c r="W16" s="10">
        <f>'Donnees_USDA'!N359/'Donnees_USDA'!N461</f>
        <v>0.334208641680592</v>
      </c>
      <c r="X16" s="10">
        <f>'Donnees_USDA'!N359/('Donnees_USDA'!N461+'Donnees_USDA'!N665)</f>
        <v>0.15818315349415288</v>
      </c>
      <c r="Y16" s="11">
        <f>'Donnees_USDA'!N354/('Donnees_USDA'!N456+'Donnees_USDA'!N558)</f>
        <v>0.23880485247865807</v>
      </c>
      <c r="Z16" s="10">
        <f>'Donnees_USDA'!N354/'Donnees_USDA'!N456</f>
        <v>0.23880485247865807</v>
      </c>
      <c r="AA16" s="10">
        <f>'Donnees_USDA'!N354/('Donnees_USDA'!N456+'Donnees_USDA'!N660)</f>
        <v>0.11869800681145665</v>
      </c>
    </row>
    <row r="17">
      <c r="A17" s="5" t="s">
        <v>53</v>
      </c>
      <c r="B17" s="9">
        <f>'Donnees_USDA'!O108/1000</f>
        <v>39.8</v>
      </c>
      <c r="C17" s="9">
        <f>'Donnees_USDA'!O210/1000</f>
        <v>22.8</v>
      </c>
      <c r="D17" s="9">
        <f>'Donnees_USDA'!O6/1000</f>
        <v>62.6</v>
      </c>
      <c r="E17" s="27">
        <f>D17/D16-1</f>
        <v>0.07745266781411364</v>
      </c>
      <c r="F17" s="9">
        <f>'Donnees_USDA'!O7/1000</f>
        <v>28.3</v>
      </c>
      <c r="G17" s="27">
        <f>F17/F16-1</f>
        <v>-0.10386320455984799</v>
      </c>
      <c r="H17" s="11">
        <f>'1_Monde'!G17</f>
        <v>0.08875839092050498</v>
      </c>
      <c r="I17" s="10">
        <f>'1_Monde'!N17</f>
        <v>0.15960510565675481</v>
      </c>
      <c r="J17" s="10">
        <f>'Donnees_USDA'!O312/('Donnees_USDA'!O414+'Donnees_USDA'!O516)</f>
        <v>0.07884631794521717</v>
      </c>
      <c r="K17" s="10">
        <f>'Donnees_USDA'!O313/('Donnees_USDA'!O415+'Donnees_USDA'!O517)</f>
        <v>0.026601141407736208</v>
      </c>
      <c r="L17" s="10">
        <f>'Donnees_USDA'!O314/('Donnees_USDA'!O416+'Donnees_USDA'!O518)</f>
        <v>0.06935736677115988</v>
      </c>
      <c r="M17" s="10">
        <f>'Donnees_USDA'!O315/('Donnees_USDA'!O417+'Donnees_USDA'!O519)</f>
        <v>0.006811989100817439</v>
      </c>
      <c r="N17" s="10">
        <f>'Donnees_USDA'!O318/('Donnees_USDA'!O420+'Donnees_USDA'!O522)</f>
        <v>0.06489071038251366</v>
      </c>
      <c r="O17" s="10">
        <f>'Donnees_USDA'!O317/('Donnees_USDA'!O419+'Donnees_USDA'!O521)</f>
        <v>0.0716030534351145</v>
      </c>
      <c r="P17" s="10">
        <f>'Donnees_USDA'!O316/('Donnees_USDA'!O418+'Donnees_USDA'!O520)</f>
        <v>0.039673093707847336</v>
      </c>
      <c r="Q17" s="12">
        <f>'2_Arabica'!H17</f>
        <v>0.005517559114060334</v>
      </c>
      <c r="R17" s="12">
        <f>'3_Robusta'!H17</f>
        <v>0.008758183794462727</v>
      </c>
      <c r="S17" s="9">
        <f>'Prix_ICE'!I17</f>
        <v>171.18999999999997</v>
      </c>
      <c r="T17" s="9">
        <f>'Prix_ICE'!J17</f>
        <v>100.565</v>
      </c>
      <c r="U17" s="7">
        <f>'Prix_ICE'!K17</f>
        <v>2217.078737803</v>
      </c>
      <c r="V17" s="11">
        <f>'Donnees_USDA'!O359/('Donnees_USDA'!O461+'Donnees_USDA'!O563)</f>
        <v>0.1892809235396935</v>
      </c>
      <c r="W17" s="10">
        <f>'Donnees_USDA'!O359/'Donnees_USDA'!O461</f>
        <v>0.2092950086522687</v>
      </c>
      <c r="X17" s="10">
        <f>'Donnees_USDA'!O359/('Donnees_USDA'!O461+'Donnees_USDA'!O665)</f>
        <v>0.10462634251561587</v>
      </c>
      <c r="Y17" s="11">
        <f>'Donnees_USDA'!O354/('Donnees_USDA'!O456+'Donnees_USDA'!O558)</f>
        <v>0.23149088250822403</v>
      </c>
      <c r="Z17" s="10">
        <f>'Donnees_USDA'!O354/'Donnees_USDA'!O456</f>
        <v>0.23149088250822403</v>
      </c>
      <c r="AA17" s="10">
        <f>'Donnees_USDA'!O354/('Donnees_USDA'!O456+'Donnees_USDA'!O660)</f>
        <v>0.11745796241345202</v>
      </c>
    </row>
    <row r="18">
      <c r="A18" s="5" t="s">
        <v>54</v>
      </c>
      <c r="B18" s="9">
        <f>'Donnees_USDA'!P108/1000</f>
        <v>44.9</v>
      </c>
      <c r="C18" s="9">
        <f>'Donnees_USDA'!P210/1000</f>
        <v>21.4</v>
      </c>
      <c r="D18" s="9">
        <f>'Donnees_USDA'!P6/1000</f>
        <v>66.3</v>
      </c>
      <c r="E18" s="27">
        <f>D18/D17-1</f>
        <v>0.05910543130990398</v>
      </c>
      <c r="F18" s="9">
        <f>'Donnees_USDA'!P7/1000</f>
        <v>27.55</v>
      </c>
      <c r="G18" s="27">
        <f>F18/F17-1</f>
        <v>-0.026501766784452263</v>
      </c>
      <c r="H18" s="11">
        <f>'1_Monde'!G18</f>
        <v>0.07521029998243434</v>
      </c>
      <c r="I18" s="10">
        <f>'1_Monde'!N18</f>
        <v>0.14102986385595082</v>
      </c>
      <c r="J18" s="10">
        <f>'Donnees_USDA'!P312/('Donnees_USDA'!P414+'Donnees_USDA'!P516)</f>
        <v>0.030256856769699608</v>
      </c>
      <c r="K18" s="10">
        <f>'Donnees_USDA'!P313/('Donnees_USDA'!P415+'Donnees_USDA'!P517)</f>
        <v>0.03141342756183746</v>
      </c>
      <c r="L18" s="10">
        <f>'Donnees_USDA'!P314/('Donnees_USDA'!P416+'Donnees_USDA'!P518)</f>
        <v>0.04773133261879243</v>
      </c>
      <c r="M18" s="10">
        <f>'Donnees_USDA'!P315/('Donnees_USDA'!P417+'Donnees_USDA'!P519)</f>
        <v>0.00547645125958379</v>
      </c>
      <c r="N18" s="10">
        <f>'Donnees_USDA'!P318/('Donnees_USDA'!P420+'Donnees_USDA'!P522)</f>
        <v>0.029671407552721924</v>
      </c>
      <c r="O18" s="10">
        <f>'Donnees_USDA'!P317/('Donnees_USDA'!P419+'Donnees_USDA'!P521)</f>
        <v>0.036830188679245285</v>
      </c>
      <c r="P18" s="10">
        <f>'Donnees_USDA'!P316/('Donnees_USDA'!P418+'Donnees_USDA'!P520)</f>
        <v>0.04738400789733465</v>
      </c>
      <c r="Q18" s="12">
        <f>'2_Arabica'!H18</f>
        <v>0.00857981770336672</v>
      </c>
      <c r="R18" s="12">
        <f>'3_Robusta'!H18</f>
        <v>0.009303232612007132</v>
      </c>
      <c r="S18" s="9">
        <f>'Prix_ICE'!I18</f>
        <v>204.00166666666667</v>
      </c>
      <c r="T18" s="9">
        <f>'Prix_ICE'!J18</f>
        <v>158.95000000000002</v>
      </c>
      <c r="U18" s="7">
        <f>'Prix_ICE'!K18</f>
        <v>3504.24765449</v>
      </c>
      <c r="V18" s="11">
        <f>'Donnees_USDA'!P359/('Donnees_USDA'!P461+'Donnees_USDA'!P563)</f>
        <v>0.1930747364415695</v>
      </c>
      <c r="W18" s="10">
        <f>'Donnees_USDA'!P359/'Donnees_USDA'!P461</f>
        <v>0.21775679701108222</v>
      </c>
      <c r="X18" s="10">
        <f>'Donnees_USDA'!P359/('Donnees_USDA'!P461+'Donnees_USDA'!P665)</f>
        <v>0.1031781156178606</v>
      </c>
      <c r="Y18" s="11">
        <f>'Donnees_USDA'!P354/('Donnees_USDA'!P456+'Donnees_USDA'!P558)</f>
        <v>0.24208961562964537</v>
      </c>
      <c r="Z18" s="10">
        <f>'Donnees_USDA'!P354/'Donnees_USDA'!P456</f>
        <v>0.24208961562964537</v>
      </c>
      <c r="AA18" s="10">
        <f>'Donnees_USDA'!P354/('Donnees_USDA'!P456+'Donnees_USDA'!P660)</f>
        <v>0.1211734693877551</v>
      </c>
    </row>
    <row r="19">
      <c r="A19" s="5" t="s">
        <v>55</v>
      </c>
      <c r="B19" s="9">
        <f>'Donnees_USDA'!Q108/1000</f>
        <v>44.5</v>
      </c>
      <c r="C19" s="9">
        <f>'Donnees_USDA'!Q210/1000</f>
        <v>21</v>
      </c>
      <c r="D19" s="9">
        <f>'Donnees_USDA'!Q6/1000</f>
        <v>65.5</v>
      </c>
      <c r="E19" s="27">
        <f>D19/D18-1</f>
        <v>-0.012066365007541435</v>
      </c>
      <c r="F19" s="9">
        <f>'Donnees_USDA'!Q7/1000</f>
        <v>29</v>
      </c>
      <c r="G19" s="27">
        <f>F19/F18-1</f>
        <v>0.05263157894736836</v>
      </c>
      <c r="H19" s="11">
        <f>'1_Monde'!G19</f>
        <v>0.06888737961922586</v>
      </c>
      <c r="I19" s="10">
        <f>'1_Monde'!N19</f>
        <v>0.1281431756918043</v>
      </c>
      <c r="J19" s="10">
        <f>'Donnees_USDA'!Q312/('Donnees_USDA'!Q414+'Donnees_USDA'!Q516)</f>
        <v>0.014313549160671462</v>
      </c>
      <c r="K19" s="10">
        <f>'Donnees_USDA'!Q313/('Donnees_USDA'!Q415+'Donnees_USDA'!Q517)</f>
        <v>0.0363</v>
      </c>
      <c r="L19" s="10">
        <f>'Donnees_USDA'!Q314/('Donnees_USDA'!Q416+'Donnees_USDA'!Q518)</f>
        <v>0.05938425866288806</v>
      </c>
      <c r="M19" s="10">
        <f>'Donnees_USDA'!Q315/('Donnees_USDA'!Q417+'Donnees_USDA'!Q519)</f>
        <v>0.00699912510936133</v>
      </c>
      <c r="N19" s="10">
        <f>'Donnees_USDA'!Q318/('Donnees_USDA'!Q420+'Donnees_USDA'!Q522)</f>
        <v>0.04415584415584416</v>
      </c>
      <c r="O19" s="10">
        <f>'Donnees_USDA'!Q317/('Donnees_USDA'!Q419+'Donnees_USDA'!Q521)</f>
        <v>0.0402996254681648</v>
      </c>
      <c r="P19" s="10">
        <f>'Donnees_USDA'!Q316/('Donnees_USDA'!Q418+'Donnees_USDA'!Q520)</f>
        <v>0.05115973021878598</v>
      </c>
      <c r="Q19" s="12">
        <f>'2_Arabica'!H19</f>
        <v>0.0058762083310222694</v>
      </c>
      <c r="R19" s="12">
        <f>'3_Robusta'!H19</f>
        <v>0.013447255535916325</v>
      </c>
      <c r="S19" s="9">
        <f>'Prix_ICE'!I19</f>
        <v>333.06</v>
      </c>
      <c r="T19" s="9">
        <f>'Prix_ICE'!J19</f>
        <v>213.2675</v>
      </c>
      <c r="U19" s="7">
        <f>'Prix_ICE'!K19</f>
        <v>4701.7435461085</v>
      </c>
      <c r="V19" s="11">
        <f>'Donnees_USDA'!Q359/('Donnees_USDA'!Q461+'Donnees_USDA'!Q563)</f>
        <v>0.17499892901512232</v>
      </c>
      <c r="W19" s="10">
        <f>'Donnees_USDA'!Q359/'Donnees_USDA'!Q461</f>
        <v>0.1981278494519352</v>
      </c>
      <c r="X19" s="10">
        <f>'Donnees_USDA'!Q359/('Donnees_USDA'!Q461+'Donnees_USDA'!Q665)</f>
        <v>0.09340772414423891</v>
      </c>
      <c r="Y19" s="11">
        <f>'Donnees_USDA'!Q354/('Donnees_USDA'!Q456+'Donnees_USDA'!Q558)</f>
        <v>0.21801491681009752</v>
      </c>
      <c r="Z19" s="10">
        <f>'Donnees_USDA'!Q354/'Donnees_USDA'!Q456</f>
        <v>0.21801491681009752</v>
      </c>
      <c r="AA19" s="10">
        <f>'Donnees_USDA'!Q354/('Donnees_USDA'!Q456+'Donnees_USDA'!Q660)</f>
        <v>0.10911179173047474</v>
      </c>
    </row>
    <row r="20">
      <c r="A20" s="5" t="s">
        <v>56</v>
      </c>
      <c r="B20" s="9">
        <f>'Donnees_USDA'!R108/1000</f>
        <v>38</v>
      </c>
      <c r="C20" s="9">
        <f>'Donnees_USDA'!R210/1000</f>
        <v>25</v>
      </c>
      <c r="D20" s="9">
        <f>'Donnees_USDA'!R6/1000</f>
        <v>63</v>
      </c>
      <c r="E20" s="27">
        <f>D20/D19-1</f>
        <v>-0.03816793893129766</v>
      </c>
      <c r="F20" s="9">
        <f>'Donnees_USDA'!R7/1000</f>
        <v>31.7</v>
      </c>
      <c r="G20" s="27">
        <f>F20/F19-1</f>
        <v>0.09310344827586214</v>
      </c>
      <c r="H20" s="11">
        <f>'1_Monde'!G20</f>
        <v>0.07629907232601026</v>
      </c>
      <c r="I20" s="10">
        <f>'1_Monde'!N20</f>
        <v>0.14049429548192946</v>
      </c>
      <c r="J20" s="10">
        <f>'Donnees_USDA'!R312/('Donnees_USDA'!R414+'Donnees_USDA'!R516)</f>
        <v>0.06475477971737323</v>
      </c>
      <c r="K20" s="10">
        <f>'Donnees_USDA'!R313/('Donnees_USDA'!R415+'Donnees_USDA'!R517)</f>
        <v>0.020628742514970058</v>
      </c>
      <c r="L20" s="10">
        <f>'Donnees_USDA'!R314/('Donnees_USDA'!R416+'Donnees_USDA'!R518)</f>
        <v>0.05769487008660893</v>
      </c>
      <c r="M20" s="10">
        <f>'Donnees_USDA'!R315/('Donnees_USDA'!R417+'Donnees_USDA'!R519)</f>
        <v>0.015263846489315308</v>
      </c>
      <c r="N20" s="10">
        <f>'Donnees_USDA'!R318/('Donnees_USDA'!R420+'Donnees_USDA'!R522)</f>
        <v>0.06380739376397843</v>
      </c>
      <c r="O20" s="10">
        <f>'Donnees_USDA'!R317/('Donnees_USDA'!R419+'Donnees_USDA'!R521)</f>
        <v>0.04751066856330014</v>
      </c>
      <c r="P20" s="10">
        <f>'Donnees_USDA'!R316/('Donnees_USDA'!R418+'Donnees_USDA'!R520)</f>
        <v>0.05501025490770583</v>
      </c>
      <c r="Q20" s="12">
        <f>'2_Arabica'!H20</f>
        <v>0.0024842269198276958</v>
      </c>
      <c r="R20" s="12">
        <f>'3_Robusta'!H20</f>
        <v>0.009315013413408376</v>
      </c>
      <c r="S20" s="9">
        <f>'Prix_ICE'!I20</f>
        <v>312.21</v>
      </c>
      <c r="T20" s="9">
        <f>'Prix_ICE'!J20</f>
        <v>171.8418181818182</v>
      </c>
      <c r="U20" s="7">
        <f>'Prix_ICE'!K20</f>
        <v>3788.463594255636</v>
      </c>
      <c r="V20" s="11">
        <f>'Donnees_USDA'!R359/('Donnees_USDA'!R461+'Donnees_USDA'!R563)</f>
        <v>0.158999364002544</v>
      </c>
      <c r="W20" s="10">
        <f>'Donnees_USDA'!R359/'Donnees_USDA'!R461</f>
        <v>0.18041857108491702</v>
      </c>
      <c r="X20" s="10">
        <f>'Donnees_USDA'!R359/('Donnees_USDA'!R461+'Donnees_USDA'!R665)</f>
        <v>0.08515953219030317</v>
      </c>
      <c r="Y20" s="11">
        <f>'Donnees_USDA'!R354/('Donnees_USDA'!R456+'Donnees_USDA'!R558)</f>
        <v>0.22309197651663404</v>
      </c>
      <c r="Z20" s="10">
        <f>'Donnees_USDA'!R354/'Donnees_USDA'!R456</f>
        <v>0.22309197651663404</v>
      </c>
      <c r="AA20" s="10">
        <f>'Donnees_USDA'!R354/('Donnees_USDA'!R456+'Donnees_USDA'!R660)</f>
        <v>0.11165523996082272</v>
      </c>
    </row>
    <row r="21">
      <c r="A21" s="6" t="s">
        <v>57</v>
      </c>
      <c r="B21" s="9">
        <f>'Donnees_USDA'!S108/1000</f>
        <v>47.5</v>
      </c>
      <c r="C21" s="9">
        <f>'Donnees_USDA'!S210/1000</f>
        <v>24.4</v>
      </c>
      <c r="D21" s="9">
        <f>'Donnees_USDA'!S6/1000</f>
        <v>71.9</v>
      </c>
      <c r="E21" s="27">
        <f>D21/D20-1</f>
        <v>0.14126984126984143</v>
      </c>
      <c r="F21" s="9">
        <f>'Donnees_USDA'!S7/1000</f>
        <v>32.5</v>
      </c>
      <c r="G21" s="27">
        <f>F21/F20-1</f>
        <v>0.025236593059936974</v>
      </c>
      <c r="H21" s="11">
        <f>'1_Monde'!G21</f>
        <v>0.07762027110835475</v>
      </c>
      <c r="I21" s="10">
        <f>'1_Monde'!N21</f>
        <v>0.14623113900387236</v>
      </c>
      <c r="J21" s="10">
        <f>'Donnees_USDA'!S312/('Donnees_USDA'!S414+'Donnees_USDA'!S516)</f>
        <v>0.06192275398824517</v>
      </c>
      <c r="K21" s="10">
        <f>'Donnees_USDA'!S313/('Donnees_USDA'!S415+'Donnees_USDA'!S517)</f>
        <v>0.014403534609720176</v>
      </c>
      <c r="L21" s="10">
        <f>'Donnees_USDA'!S314/('Donnees_USDA'!S416+'Donnees_USDA'!S518)</f>
        <v>0.04294871794871795</v>
      </c>
      <c r="M21" s="10">
        <f>'Donnees_USDA'!S315/('Donnees_USDA'!S417+'Donnees_USDA'!S519)</f>
        <v>0.011953833470733718</v>
      </c>
      <c r="N21" s="10">
        <f>'Donnees_USDA'!S318/('Donnees_USDA'!S420+'Donnees_USDA'!S522)</f>
        <v>0.02769585844339018</v>
      </c>
      <c r="O21" s="10">
        <f>'Donnees_USDA'!S317/('Donnees_USDA'!S419+'Donnees_USDA'!S521)</f>
        <v>0.04591765526866713</v>
      </c>
      <c r="P21" s="10">
        <f>'Donnees_USDA'!S316/('Donnees_USDA'!S418+'Donnees_USDA'!S520)</f>
        <v>0.05209627329192547</v>
      </c>
      <c r="Q21" s="12"/>
      <c r="R21" s="12"/>
      <c r="S21" s="9"/>
      <c r="T21" s="9"/>
      <c r="U21" s="9"/>
      <c r="V21" s="11">
        <f>'Donnees_USDA'!S359/('Donnees_USDA'!S461+'Donnees_USDA'!S563)</f>
        <v>0.19294605809128632</v>
      </c>
      <c r="W21" s="10">
        <f>'Donnees_USDA'!S359/'Donnees_USDA'!S461</f>
        <v>0.2188235294117647</v>
      </c>
      <c r="X21" s="10">
        <f>'Donnees_USDA'!S359/('Donnees_USDA'!S461+'Donnees_USDA'!S665)</f>
        <v>0.10054054054054054</v>
      </c>
      <c r="Y21" s="11">
        <f>'Donnees_USDA'!S354/('Donnees_USDA'!S456+'Donnees_USDA'!S558)</f>
        <v>0.21150278293135436</v>
      </c>
      <c r="Z21" s="10">
        <f>'Donnees_USDA'!S354/'Donnees_USDA'!S456</f>
        <v>0.21150278293135436</v>
      </c>
      <c r="AA21" s="10">
        <f>'Donnees_USDA'!S354/('Donnees_USDA'!S456+'Donnees_USDA'!S660)</f>
        <v>0.10584958217270195</v>
      </c>
    </row>
    <row r="23">
      <c r="A23" s="16" t="s">
        <v>355</v>
      </c>
      <c r="B23" s="16"/>
      <c r="C23" s="16"/>
      <c r="D23" s="16"/>
      <c r="E23" s="16"/>
      <c r="F23" s="16"/>
      <c r="G23" s="16"/>
      <c r="H23" s="16"/>
      <c r="I23" s="16"/>
      <c r="J23" s="16"/>
      <c r="K23" s="16"/>
      <c r="L23" s="16"/>
      <c r="M23" s="16"/>
      <c r="N23" s="16"/>
      <c r="O23" s="16"/>
      <c r="P23" s="16"/>
      <c r="Q23" s="16"/>
      <c r="R23" s="16"/>
      <c r="S23" s="16"/>
      <c r="T23" s="16"/>
      <c r="U23" s="16"/>
    </row>
    <row r="48">
      <c r="A48" s="16" t="s">
        <v>356</v>
      </c>
      <c r="B48" s="16"/>
      <c r="C48" s="16"/>
      <c r="D48" s="16"/>
      <c r="E48" s="16"/>
      <c r="F48" s="16"/>
      <c r="G48" s="16"/>
      <c r="H48" s="16"/>
      <c r="I48" s="16"/>
      <c r="J48" s="16"/>
      <c r="K48" s="16"/>
      <c r="L48" s="16"/>
      <c r="M48" s="16"/>
      <c r="N48" s="16"/>
      <c r="O48" s="16"/>
      <c r="P48" s="16"/>
      <c r="Q48" s="16"/>
      <c r="R48" s="16"/>
      <c r="S48" s="16"/>
      <c r="T48" s="16"/>
      <c r="U48" s="16"/>
    </row>
    <row r="73">
      <c r="A73" s="16" t="s">
        <v>357</v>
      </c>
      <c r="B73" s="16"/>
      <c r="C73" s="16"/>
      <c r="D73" s="16"/>
      <c r="E73" s="16"/>
      <c r="F73" s="16"/>
      <c r="G73" s="16"/>
      <c r="H73" s="16"/>
      <c r="I73" s="16"/>
      <c r="J73" s="16"/>
      <c r="K73" s="16"/>
      <c r="L73" s="16"/>
      <c r="M73" s="16"/>
      <c r="N73" s="16"/>
      <c r="O73" s="16"/>
      <c r="P73" s="16"/>
      <c r="Q73" s="16"/>
      <c r="R73" s="16"/>
      <c r="S73" s="16"/>
      <c r="T73" s="16"/>
      <c r="U73" s="16"/>
    </row>
    <row r="98">
      <c r="A98" s="16" t="s">
        <v>358</v>
      </c>
      <c r="B98" s="16"/>
      <c r="C98" s="16"/>
      <c r="D98" s="16"/>
      <c r="E98" s="16"/>
      <c r="F98" s="16"/>
      <c r="G98" s="16"/>
      <c r="H98" s="16"/>
      <c r="I98" s="16"/>
      <c r="J98" s="16"/>
      <c r="K98" s="16"/>
      <c r="L98" s="16"/>
      <c r="M98" s="16"/>
      <c r="N98" s="16"/>
      <c r="O98" s="16"/>
      <c r="P98" s="16"/>
      <c r="Q98" s="16"/>
      <c r="R98" s="16"/>
      <c r="S98" s="16"/>
      <c r="T98" s="16"/>
      <c r="U98" s="16"/>
    </row>
    <row r="123">
      <c r="A123" s="16" t="s">
        <v>359</v>
      </c>
      <c r="B123" s="16"/>
      <c r="C123" s="16"/>
      <c r="D123" s="16"/>
      <c r="E123" s="16"/>
      <c r="F123" s="16"/>
      <c r="G123" s="16"/>
      <c r="H123" s="16"/>
      <c r="I123" s="16"/>
      <c r="J123" s="16"/>
      <c r="K123" s="16"/>
      <c r="L123" s="16"/>
      <c r="M123" s="16"/>
      <c r="N123" s="16"/>
      <c r="O123" s="16"/>
      <c r="P123" s="16"/>
      <c r="Q123" s="16"/>
      <c r="R123" s="16"/>
      <c r="S123" s="16"/>
      <c r="T123" s="16"/>
      <c r="U123" s="16"/>
    </row>
    <row r="148">
      <c r="A148" s="16" t="s">
        <v>360</v>
      </c>
      <c r="B148" s="16"/>
      <c r="C148" s="16"/>
      <c r="D148" s="16"/>
      <c r="E148" s="16"/>
      <c r="F148" s="16"/>
      <c r="G148" s="16"/>
      <c r="H148" s="16"/>
      <c r="I148" s="16"/>
      <c r="J148" s="16"/>
      <c r="K148" s="16"/>
      <c r="L148" s="16"/>
      <c r="M148" s="16"/>
      <c r="N148" s="16"/>
      <c r="O148" s="16"/>
      <c r="P148" s="16"/>
      <c r="Q148" s="16"/>
      <c r="R148" s="16"/>
      <c r="S148" s="16"/>
      <c r="T148" s="16"/>
      <c r="U148" s="16"/>
    </row>
    <row r="173">
      <c r="A173" s="2" t="s">
        <v>361</v>
      </c>
    </row>
  </sheetData>
  <pageMargins left="0.5" right="0.5" top="0.75" bottom="0.75" header="0.3" footer="0.3"/>
  <pageSetup orientation="landscape"/>
  <drawing r:id="rId1"/>
</worksheet>
</file>

<file path=xl/worksheets/sheet10.xml><?xml version="1.0" encoding="utf-8"?>
<worksheet xmlns="http://schemas.openxmlformats.org/spreadsheetml/2006/main" xmlns:r="http://schemas.openxmlformats.org/officeDocument/2006/relationships">
  <sheetPr>
    <tabColor rgb="FF7F7F7F"/>
  </sheetPr>
  <dimension ref="A1:S1322"/>
  <sheetViews>
    <sheetView workbookViewId="0">
      <pane xSplit="2" ySplit="4" topLeftCell="C5" activePane="bottomRight" state="frozen"/>
      <selection pane="bottomRight" activeCell="C5" sqref="C5"/>
    </sheetView>
  </sheetViews>
  <sheetFormatPr defaultRowHeight="12.75"/>
  <cols>
    <col min="1" max="1" width="30" customWidth="1"/>
    <col min="2" max="2" width="13" customWidth="1"/>
    <col min="3" max="3" width="9.5" customWidth="1"/>
    <col min="4" max="4" width="9.5" customWidth="1"/>
    <col min="5" max="5" width="9.5" customWidth="1"/>
    <col min="6" max="6" width="9.5" customWidth="1"/>
    <col min="7" max="7" width="9.5" customWidth="1"/>
    <col min="8" max="8" width="9.5" customWidth="1"/>
    <col min="9" max="9" width="9.5" customWidth="1"/>
    <col min="10" max="10" width="9.5" customWidth="1"/>
    <col min="11" max="11" width="9.5" customWidth="1"/>
    <col min="12" max="12" width="9.5" customWidth="1"/>
    <col min="13" max="13" width="9.5" customWidth="1"/>
    <col min="14" max="14" width="9.5" customWidth="1"/>
    <col min="15" max="15" width="9.5" customWidth="1"/>
    <col min="16" max="16" width="9.5" customWidth="1"/>
    <col min="17" max="17" width="9.5" customWidth="1"/>
    <col min="18" max="18" width="9.5" customWidth="1"/>
    <col min="19" max="19" width="9.5" customWidth="1"/>
  </cols>
  <sheetData>
    <row r="1">
      <c r="A1" s="1" t="s">
        <v>362</v>
      </c>
    </row>
    <row r="2">
      <c r="A2" s="2" t="s">
        <v>363</v>
      </c>
    </row>
    <row r="3">
      <c r="A3" s="2" t="s">
        <v>364</v>
      </c>
    </row>
    <row r="5">
      <c r="A5" s="4" t="s">
        <v>365</v>
      </c>
      <c r="B5" s="3" t="s">
        <v>366</v>
      </c>
      <c r="C5" s="3" t="s">
        <v>41</v>
      </c>
      <c r="D5" s="3" t="s">
        <v>42</v>
      </c>
      <c r="E5" s="3" t="s">
        <v>43</v>
      </c>
      <c r="F5" s="3" t="s">
        <v>44</v>
      </c>
      <c r="G5" s="3" t="s">
        <v>45</v>
      </c>
      <c r="H5" s="3" t="s">
        <v>46</v>
      </c>
      <c r="I5" s="3" t="s">
        <v>47</v>
      </c>
      <c r="J5" s="3" t="s">
        <v>48</v>
      </c>
      <c r="K5" s="3" t="s">
        <v>49</v>
      </c>
      <c r="L5" s="3" t="s">
        <v>50</v>
      </c>
      <c r="M5" s="3" t="s">
        <v>51</v>
      </c>
      <c r="N5" s="3" t="s">
        <v>52</v>
      </c>
      <c r="O5" s="3" t="s">
        <v>53</v>
      </c>
      <c r="P5" s="3" t="s">
        <v>54</v>
      </c>
      <c r="Q5" s="3" t="s">
        <v>55</v>
      </c>
      <c r="R5" s="3" t="s">
        <v>56</v>
      </c>
      <c r="S5" s="3" t="s">
        <v>85</v>
      </c>
    </row>
    <row r="6">
      <c r="A6" s="14" t="s">
        <v>367</v>
      </c>
      <c r="B6" s="2" t="s">
        <v>368</v>
      </c>
      <c r="C6" s="7">
        <v>54500</v>
      </c>
      <c r="D6" s="7">
        <v>49200</v>
      </c>
      <c r="E6" s="7">
        <v>57600</v>
      </c>
      <c r="F6" s="7">
        <v>57200</v>
      </c>
      <c r="G6" s="7">
        <v>54300</v>
      </c>
      <c r="H6" s="7">
        <v>49400</v>
      </c>
      <c r="I6" s="7">
        <v>56100</v>
      </c>
      <c r="J6" s="7">
        <v>52100</v>
      </c>
      <c r="K6" s="7">
        <v>66500</v>
      </c>
      <c r="L6" s="7">
        <v>60500</v>
      </c>
      <c r="M6" s="7">
        <v>69900</v>
      </c>
      <c r="N6" s="7">
        <v>58100</v>
      </c>
      <c r="O6" s="7">
        <v>62600</v>
      </c>
      <c r="P6" s="7">
        <v>66300</v>
      </c>
      <c r="Q6" s="7">
        <v>65500</v>
      </c>
      <c r="R6" s="7">
        <v>63000</v>
      </c>
      <c r="S6" s="7">
        <v>71900</v>
      </c>
    </row>
    <row r="7">
      <c r="A7" s="14" t="s">
        <v>96</v>
      </c>
      <c r="B7" s="2" t="s">
        <v>368</v>
      </c>
      <c r="C7" s="7">
        <v>19415</v>
      </c>
      <c r="D7" s="7">
        <v>26000</v>
      </c>
      <c r="E7" s="7">
        <v>26500</v>
      </c>
      <c r="F7" s="7">
        <v>29833</v>
      </c>
      <c r="G7" s="7">
        <v>27400</v>
      </c>
      <c r="H7" s="7">
        <v>28930</v>
      </c>
      <c r="I7" s="7">
        <v>26700</v>
      </c>
      <c r="J7" s="7">
        <v>29300</v>
      </c>
      <c r="K7" s="7">
        <v>30400</v>
      </c>
      <c r="L7" s="7">
        <v>31300</v>
      </c>
      <c r="M7" s="7">
        <v>29000</v>
      </c>
      <c r="N7" s="7">
        <v>31580</v>
      </c>
      <c r="O7" s="7">
        <v>28300</v>
      </c>
      <c r="P7" s="7">
        <v>27550</v>
      </c>
      <c r="Q7" s="7">
        <v>29000</v>
      </c>
      <c r="R7" s="7">
        <v>31700</v>
      </c>
      <c r="S7" s="7">
        <v>32500</v>
      </c>
    </row>
    <row r="8">
      <c r="A8" s="14" t="s">
        <v>369</v>
      </c>
      <c r="B8" s="2" t="s">
        <v>368</v>
      </c>
      <c r="C8" s="7">
        <v>8525</v>
      </c>
      <c r="D8" s="7">
        <v>7655</v>
      </c>
      <c r="E8" s="7">
        <v>9927</v>
      </c>
      <c r="F8" s="7">
        <v>12075</v>
      </c>
      <c r="G8" s="7">
        <v>13300</v>
      </c>
      <c r="H8" s="7">
        <v>14000</v>
      </c>
      <c r="I8" s="7">
        <v>14600</v>
      </c>
      <c r="J8" s="7">
        <v>13825</v>
      </c>
      <c r="K8" s="7">
        <v>13870</v>
      </c>
      <c r="L8" s="7">
        <v>14100</v>
      </c>
      <c r="M8" s="7">
        <v>13400</v>
      </c>
      <c r="N8" s="7">
        <v>11800</v>
      </c>
      <c r="O8" s="7">
        <v>10700</v>
      </c>
      <c r="P8" s="7">
        <v>12760</v>
      </c>
      <c r="Q8" s="7">
        <v>14800</v>
      </c>
      <c r="R8" s="7">
        <v>12500</v>
      </c>
      <c r="S8" s="7">
        <v>13400</v>
      </c>
    </row>
    <row r="9">
      <c r="A9" s="14" t="s">
        <v>370</v>
      </c>
      <c r="B9" s="2" t="s">
        <v>368</v>
      </c>
      <c r="C9" s="7">
        <v>6125</v>
      </c>
      <c r="D9" s="7">
        <v>6320</v>
      </c>
      <c r="E9" s="7">
        <v>6500</v>
      </c>
      <c r="F9" s="7">
        <v>6345</v>
      </c>
      <c r="G9" s="7">
        <v>6475</v>
      </c>
      <c r="H9" s="7">
        <v>6510</v>
      </c>
      <c r="I9" s="7">
        <v>6943</v>
      </c>
      <c r="J9" s="7">
        <v>7055</v>
      </c>
      <c r="K9" s="7">
        <v>7350</v>
      </c>
      <c r="L9" s="7">
        <v>7475</v>
      </c>
      <c r="M9" s="7">
        <v>7600</v>
      </c>
      <c r="N9" s="7">
        <v>8150</v>
      </c>
      <c r="O9" s="7">
        <v>7300</v>
      </c>
      <c r="P9" s="7">
        <v>9130</v>
      </c>
      <c r="Q9" s="7">
        <v>11460</v>
      </c>
      <c r="R9" s="7">
        <v>11560</v>
      </c>
      <c r="S9" s="7">
        <v>12100</v>
      </c>
    </row>
    <row r="10">
      <c r="A10" s="14" t="s">
        <v>371</v>
      </c>
      <c r="B10" s="2" t="s">
        <v>368</v>
      </c>
      <c r="C10" s="7">
        <v>9325</v>
      </c>
      <c r="D10" s="7">
        <v>7970</v>
      </c>
      <c r="E10" s="7">
        <v>11900</v>
      </c>
      <c r="F10" s="7">
        <v>11900</v>
      </c>
      <c r="G10" s="7">
        <v>10470</v>
      </c>
      <c r="H10" s="7">
        <v>12100</v>
      </c>
      <c r="I10" s="7">
        <v>10600</v>
      </c>
      <c r="J10" s="7">
        <v>10400</v>
      </c>
      <c r="K10" s="7">
        <v>10600</v>
      </c>
      <c r="L10" s="7">
        <v>10700</v>
      </c>
      <c r="M10" s="7">
        <v>10700</v>
      </c>
      <c r="N10" s="7">
        <v>10580</v>
      </c>
      <c r="O10" s="7">
        <v>10700</v>
      </c>
      <c r="P10" s="7">
        <v>8150</v>
      </c>
      <c r="Q10" s="7">
        <v>10700</v>
      </c>
      <c r="R10" s="7">
        <v>12370</v>
      </c>
      <c r="S10" s="7">
        <v>11380</v>
      </c>
    </row>
    <row r="11">
      <c r="A11" s="14" t="s">
        <v>372</v>
      </c>
      <c r="B11" s="2" t="s">
        <v>368</v>
      </c>
      <c r="C11" s="7">
        <v>3212</v>
      </c>
      <c r="D11" s="7">
        <v>3075</v>
      </c>
      <c r="E11" s="7">
        <v>3600</v>
      </c>
      <c r="F11" s="7">
        <v>3850</v>
      </c>
      <c r="G11" s="7">
        <v>3500</v>
      </c>
      <c r="H11" s="7">
        <v>3550</v>
      </c>
      <c r="I11" s="7">
        <v>4875</v>
      </c>
      <c r="J11" s="7">
        <v>4600</v>
      </c>
      <c r="K11" s="7">
        <v>4650</v>
      </c>
      <c r="L11" s="7">
        <v>5475</v>
      </c>
      <c r="M11" s="7">
        <v>6630</v>
      </c>
      <c r="N11" s="7">
        <v>6050</v>
      </c>
      <c r="O11" s="7">
        <v>6565</v>
      </c>
      <c r="P11" s="7">
        <v>6400</v>
      </c>
      <c r="Q11" s="7">
        <v>6700</v>
      </c>
      <c r="R11" s="7">
        <v>7095</v>
      </c>
      <c r="S11" s="7">
        <v>7160</v>
      </c>
    </row>
    <row r="12">
      <c r="A12" s="14" t="s">
        <v>373</v>
      </c>
      <c r="B12" s="2" t="s">
        <v>368</v>
      </c>
      <c r="C12" s="7">
        <v>5035</v>
      </c>
      <c r="D12" s="7">
        <v>5230</v>
      </c>
      <c r="E12" s="7">
        <v>5303</v>
      </c>
      <c r="F12" s="7">
        <v>5075</v>
      </c>
      <c r="G12" s="7">
        <v>5440</v>
      </c>
      <c r="H12" s="7">
        <v>5800</v>
      </c>
      <c r="I12" s="7">
        <v>5200</v>
      </c>
      <c r="J12" s="7">
        <v>5266</v>
      </c>
      <c r="K12" s="7">
        <v>5325</v>
      </c>
      <c r="L12" s="7">
        <v>4967</v>
      </c>
      <c r="M12" s="7">
        <v>5567</v>
      </c>
      <c r="N12" s="7">
        <v>5700</v>
      </c>
      <c r="O12" s="7">
        <v>5867</v>
      </c>
      <c r="P12" s="7">
        <v>6560</v>
      </c>
      <c r="Q12" s="7">
        <v>6059</v>
      </c>
      <c r="R12" s="7">
        <v>6430</v>
      </c>
      <c r="S12" s="7">
        <v>6140</v>
      </c>
    </row>
    <row r="13">
      <c r="A13" s="14" t="s">
        <v>102</v>
      </c>
      <c r="B13" s="2" t="s">
        <v>368</v>
      </c>
      <c r="C13" s="7">
        <v>3975</v>
      </c>
      <c r="D13" s="7">
        <v>5600</v>
      </c>
      <c r="E13" s="7">
        <v>4725</v>
      </c>
      <c r="F13" s="7">
        <v>4400</v>
      </c>
      <c r="G13" s="7">
        <v>5100</v>
      </c>
      <c r="H13" s="7">
        <v>5300</v>
      </c>
      <c r="I13" s="7">
        <v>7510</v>
      </c>
      <c r="J13" s="7">
        <v>7600</v>
      </c>
      <c r="K13" s="7">
        <v>7100</v>
      </c>
      <c r="L13" s="7">
        <v>5200</v>
      </c>
      <c r="M13" s="7">
        <v>6500</v>
      </c>
      <c r="N13" s="7">
        <v>4800</v>
      </c>
      <c r="O13" s="7">
        <v>5700</v>
      </c>
      <c r="P13" s="7">
        <v>5050</v>
      </c>
      <c r="Q13" s="7">
        <v>5200</v>
      </c>
      <c r="R13" s="7">
        <v>5530</v>
      </c>
      <c r="S13" s="7">
        <v>6030</v>
      </c>
    </row>
    <row r="14">
      <c r="A14" s="14" t="s">
        <v>374</v>
      </c>
      <c r="B14" s="2" t="s">
        <v>368</v>
      </c>
      <c r="C14" s="7">
        <v>4100</v>
      </c>
      <c r="D14" s="7">
        <v>5200</v>
      </c>
      <c r="E14" s="7">
        <v>4300</v>
      </c>
      <c r="F14" s="7">
        <v>4250</v>
      </c>
      <c r="G14" s="7">
        <v>2900</v>
      </c>
      <c r="H14" s="7">
        <v>3500</v>
      </c>
      <c r="I14" s="7">
        <v>4225</v>
      </c>
      <c r="J14" s="7">
        <v>4375</v>
      </c>
      <c r="K14" s="7">
        <v>4390</v>
      </c>
      <c r="L14" s="7">
        <v>3925</v>
      </c>
      <c r="M14" s="7">
        <v>3369</v>
      </c>
      <c r="N14" s="7">
        <v>4200</v>
      </c>
      <c r="O14" s="7">
        <v>3475</v>
      </c>
      <c r="P14" s="7">
        <v>3912</v>
      </c>
      <c r="Q14" s="7">
        <v>4120</v>
      </c>
      <c r="R14" s="7">
        <v>4764</v>
      </c>
      <c r="S14" s="7">
        <v>4780</v>
      </c>
    </row>
    <row r="15">
      <c r="A15" s="14" t="s">
        <v>375</v>
      </c>
      <c r="B15" s="2" t="s">
        <v>368</v>
      </c>
      <c r="C15" s="7">
        <v>4000</v>
      </c>
      <c r="D15" s="7">
        <v>4300</v>
      </c>
      <c r="E15" s="7">
        <v>4650</v>
      </c>
      <c r="F15" s="7">
        <v>3950</v>
      </c>
      <c r="G15" s="7">
        <v>3180</v>
      </c>
      <c r="H15" s="7">
        <v>2300</v>
      </c>
      <c r="I15" s="7">
        <v>3300</v>
      </c>
      <c r="J15" s="7">
        <v>4000</v>
      </c>
      <c r="K15" s="7">
        <v>3550</v>
      </c>
      <c r="L15" s="7">
        <v>3700</v>
      </c>
      <c r="M15" s="7">
        <v>3530</v>
      </c>
      <c r="N15" s="7">
        <v>3740</v>
      </c>
      <c r="O15" s="7">
        <v>3545</v>
      </c>
      <c r="P15" s="7">
        <v>3856</v>
      </c>
      <c r="Q15" s="7">
        <v>3928</v>
      </c>
      <c r="R15" s="7">
        <v>4080</v>
      </c>
      <c r="S15" s="7">
        <v>4135</v>
      </c>
    </row>
    <row r="16">
      <c r="A16" s="14" t="s">
        <v>105</v>
      </c>
      <c r="B16" s="2" t="s">
        <v>368</v>
      </c>
      <c r="C16" s="7">
        <v>3960</v>
      </c>
      <c r="D16" s="7">
        <v>4410</v>
      </c>
      <c r="E16" s="7">
        <v>4010</v>
      </c>
      <c r="F16" s="7">
        <v>3515</v>
      </c>
      <c r="G16" s="7">
        <v>3185</v>
      </c>
      <c r="H16" s="7">
        <v>3295</v>
      </c>
      <c r="I16" s="7">
        <v>3570</v>
      </c>
      <c r="J16" s="7">
        <v>3780</v>
      </c>
      <c r="K16" s="7">
        <v>3770</v>
      </c>
      <c r="L16" s="7">
        <v>3645</v>
      </c>
      <c r="M16" s="7">
        <v>3930</v>
      </c>
      <c r="N16" s="7">
        <v>3540</v>
      </c>
      <c r="O16" s="7">
        <v>3270</v>
      </c>
      <c r="P16" s="7">
        <v>3469</v>
      </c>
      <c r="Q16" s="7">
        <v>3270</v>
      </c>
      <c r="R16" s="7">
        <v>3155</v>
      </c>
      <c r="S16" s="7">
        <v>3260</v>
      </c>
    </row>
    <row r="17">
      <c r="A17" s="14" t="s">
        <v>106</v>
      </c>
      <c r="B17" s="2" t="s">
        <v>368</v>
      </c>
      <c r="C17" s="7">
        <v>1740</v>
      </c>
      <c r="D17" s="7">
        <v>2100</v>
      </c>
      <c r="E17" s="7">
        <v>1925</v>
      </c>
      <c r="F17" s="7">
        <v>2000</v>
      </c>
      <c r="G17" s="7">
        <v>2125</v>
      </c>
      <c r="H17" s="7">
        <v>2125</v>
      </c>
      <c r="I17" s="7">
        <v>2625</v>
      </c>
      <c r="J17" s="7">
        <v>2730</v>
      </c>
      <c r="K17" s="7">
        <v>2950</v>
      </c>
      <c r="L17" s="7">
        <v>2755</v>
      </c>
      <c r="M17" s="7">
        <v>2650</v>
      </c>
      <c r="N17" s="7">
        <v>2838</v>
      </c>
      <c r="O17" s="7">
        <v>2590</v>
      </c>
      <c r="P17" s="7">
        <v>2347</v>
      </c>
      <c r="Q17" s="7">
        <v>2660</v>
      </c>
      <c r="R17" s="7">
        <v>2560</v>
      </c>
      <c r="S17" s="7">
        <v>2440</v>
      </c>
    </row>
    <row r="18">
      <c r="A18" s="14" t="s">
        <v>376</v>
      </c>
      <c r="B18" s="2" t="s">
        <v>368</v>
      </c>
      <c r="C18" s="7">
        <v>1050</v>
      </c>
      <c r="D18" s="7">
        <v>565</v>
      </c>
      <c r="E18" s="7">
        <v>1180</v>
      </c>
      <c r="F18" s="7">
        <v>800</v>
      </c>
      <c r="G18" s="7">
        <v>1150</v>
      </c>
      <c r="H18" s="7">
        <v>1100</v>
      </c>
      <c r="I18" s="7">
        <v>1050</v>
      </c>
      <c r="J18" s="7">
        <v>1150</v>
      </c>
      <c r="K18" s="7">
        <v>1200</v>
      </c>
      <c r="L18" s="7">
        <v>1200</v>
      </c>
      <c r="M18" s="7">
        <v>1125</v>
      </c>
      <c r="N18" s="7">
        <v>1200</v>
      </c>
      <c r="O18" s="7">
        <v>1200</v>
      </c>
      <c r="P18" s="7">
        <v>1350</v>
      </c>
      <c r="Q18" s="7">
        <v>1350</v>
      </c>
      <c r="R18" s="7">
        <v>1450</v>
      </c>
      <c r="S18" s="7">
        <v>1600</v>
      </c>
    </row>
    <row r="19">
      <c r="A19" s="14" t="s">
        <v>377</v>
      </c>
      <c r="B19" s="2" t="s">
        <v>368</v>
      </c>
      <c r="C19" s="7">
        <v>1100</v>
      </c>
      <c r="D19" s="7">
        <v>1450</v>
      </c>
      <c r="E19" s="7">
        <v>1400</v>
      </c>
      <c r="F19" s="7">
        <v>1500</v>
      </c>
      <c r="G19" s="7">
        <v>2100</v>
      </c>
      <c r="H19" s="7">
        <v>2200</v>
      </c>
      <c r="I19" s="7">
        <v>2100</v>
      </c>
      <c r="J19" s="7">
        <v>2100</v>
      </c>
      <c r="K19" s="7">
        <v>2100</v>
      </c>
      <c r="L19" s="7">
        <v>1900</v>
      </c>
      <c r="M19" s="7">
        <v>2000</v>
      </c>
      <c r="N19" s="7">
        <v>2000</v>
      </c>
      <c r="O19" s="7">
        <v>2000</v>
      </c>
      <c r="P19" s="7">
        <v>1330</v>
      </c>
      <c r="Q19" s="7">
        <v>1400</v>
      </c>
      <c r="R19" s="7">
        <v>1500</v>
      </c>
      <c r="S19" s="7">
        <v>1500</v>
      </c>
    </row>
    <row r="20">
      <c r="A20" s="14" t="s">
        <v>378</v>
      </c>
      <c r="B20" s="2" t="s">
        <v>368</v>
      </c>
      <c r="C20" s="7">
        <v>1600</v>
      </c>
      <c r="D20" s="7">
        <v>1600</v>
      </c>
      <c r="E20" s="7">
        <v>1750</v>
      </c>
      <c r="F20" s="7">
        <v>1675</v>
      </c>
      <c r="G20" s="7">
        <v>1400</v>
      </c>
      <c r="H20" s="7">
        <v>1600</v>
      </c>
      <c r="I20" s="7">
        <v>1090</v>
      </c>
      <c r="J20" s="7">
        <v>1250</v>
      </c>
      <c r="K20" s="7">
        <v>2000</v>
      </c>
      <c r="L20" s="7">
        <v>1775</v>
      </c>
      <c r="M20" s="7">
        <v>910</v>
      </c>
      <c r="N20" s="7">
        <v>1110</v>
      </c>
      <c r="O20" s="7">
        <v>1020</v>
      </c>
      <c r="P20" s="7">
        <v>1325</v>
      </c>
      <c r="Q20" s="7">
        <v>650</v>
      </c>
      <c r="R20" s="7">
        <v>1300</v>
      </c>
      <c r="S20" s="7">
        <v>1300</v>
      </c>
    </row>
    <row r="21">
      <c r="A21" s="14" t="s">
        <v>110</v>
      </c>
      <c r="B21" s="2" t="s">
        <v>368</v>
      </c>
      <c r="C21" s="7">
        <v>1575</v>
      </c>
      <c r="D21" s="7">
        <v>1775</v>
      </c>
      <c r="E21" s="7">
        <v>1675</v>
      </c>
      <c r="F21" s="7">
        <v>1450</v>
      </c>
      <c r="G21" s="7">
        <v>1400</v>
      </c>
      <c r="H21" s="7">
        <v>1625</v>
      </c>
      <c r="I21" s="7">
        <v>1300</v>
      </c>
      <c r="J21" s="7">
        <v>1525</v>
      </c>
      <c r="K21" s="7">
        <v>1250</v>
      </c>
      <c r="L21" s="7">
        <v>1466</v>
      </c>
      <c r="M21" s="7">
        <v>1472</v>
      </c>
      <c r="N21" s="7">
        <v>1215</v>
      </c>
      <c r="O21" s="7">
        <v>1100</v>
      </c>
      <c r="P21" s="7">
        <v>1158</v>
      </c>
      <c r="Q21" s="7">
        <v>1315</v>
      </c>
      <c r="R21" s="7">
        <v>1160</v>
      </c>
      <c r="S21" s="7">
        <v>1200</v>
      </c>
    </row>
    <row r="22">
      <c r="A22" s="14" t="s">
        <v>111</v>
      </c>
      <c r="B22" s="2" t="s">
        <v>368</v>
      </c>
      <c r="C22" s="7">
        <v>710</v>
      </c>
      <c r="D22" s="7">
        <v>750</v>
      </c>
      <c r="E22" s="7">
        <v>660</v>
      </c>
      <c r="F22" s="7">
        <v>850</v>
      </c>
      <c r="G22" s="7">
        <v>780</v>
      </c>
      <c r="H22" s="7">
        <v>750</v>
      </c>
      <c r="I22" s="7">
        <v>850</v>
      </c>
      <c r="J22" s="7">
        <v>720</v>
      </c>
      <c r="K22" s="7">
        <v>850</v>
      </c>
      <c r="L22" s="7">
        <v>750</v>
      </c>
      <c r="M22" s="7">
        <v>693</v>
      </c>
      <c r="N22" s="7">
        <v>860</v>
      </c>
      <c r="O22" s="7">
        <v>750</v>
      </c>
      <c r="P22" s="7">
        <v>825</v>
      </c>
      <c r="Q22" s="7">
        <v>950</v>
      </c>
      <c r="R22" s="7">
        <v>850</v>
      </c>
      <c r="S22" s="7">
        <v>950</v>
      </c>
    </row>
    <row r="23">
      <c r="A23" s="14" t="s">
        <v>379</v>
      </c>
      <c r="B23" s="2" t="s">
        <v>368</v>
      </c>
      <c r="C23" s="7">
        <v>1000</v>
      </c>
      <c r="D23" s="7">
        <v>1000</v>
      </c>
      <c r="E23" s="7">
        <v>1000</v>
      </c>
      <c r="F23" s="7">
        <v>1000</v>
      </c>
      <c r="G23" s="7">
        <v>1000</v>
      </c>
      <c r="H23" s="7">
        <v>700</v>
      </c>
      <c r="I23" s="7">
        <v>800</v>
      </c>
      <c r="J23" s="7">
        <v>700</v>
      </c>
      <c r="K23" s="7">
        <v>650</v>
      </c>
      <c r="L23" s="7">
        <v>700</v>
      </c>
      <c r="M23" s="7">
        <v>600</v>
      </c>
      <c r="N23" s="7">
        <v>650</v>
      </c>
      <c r="O23" s="7">
        <v>700</v>
      </c>
      <c r="P23" s="7">
        <v>750</v>
      </c>
      <c r="Q23" s="7">
        <v>900</v>
      </c>
      <c r="R23" s="7">
        <v>900</v>
      </c>
      <c r="S23" s="7">
        <v>900</v>
      </c>
    </row>
    <row r="24">
      <c r="A24" s="14" t="s">
        <v>380</v>
      </c>
      <c r="B24" s="2" t="s">
        <v>368</v>
      </c>
      <c r="C24" s="7">
        <v>865</v>
      </c>
      <c r="D24" s="7">
        <v>1400</v>
      </c>
      <c r="E24" s="7">
        <v>825</v>
      </c>
      <c r="F24" s="7">
        <v>855</v>
      </c>
      <c r="G24" s="7">
        <v>810</v>
      </c>
      <c r="H24" s="7">
        <v>750</v>
      </c>
      <c r="I24" s="7">
        <v>1115</v>
      </c>
      <c r="J24" s="7">
        <v>810</v>
      </c>
      <c r="K24" s="7">
        <v>965</v>
      </c>
      <c r="L24" s="7">
        <v>825</v>
      </c>
      <c r="M24" s="7">
        <v>700</v>
      </c>
      <c r="N24" s="7">
        <v>775</v>
      </c>
      <c r="O24" s="7">
        <v>875</v>
      </c>
      <c r="P24" s="7">
        <v>980</v>
      </c>
      <c r="Q24" s="7">
        <v>790</v>
      </c>
      <c r="R24" s="7">
        <v>800</v>
      </c>
      <c r="S24" s="7">
        <v>800</v>
      </c>
    </row>
    <row r="25">
      <c r="A25" s="14" t="s">
        <v>381</v>
      </c>
      <c r="B25" s="2" t="s">
        <v>368</v>
      </c>
      <c r="C25" s="7">
        <v>1860</v>
      </c>
      <c r="D25" s="7">
        <v>1200</v>
      </c>
      <c r="E25" s="7">
        <v>1250</v>
      </c>
      <c r="F25" s="7">
        <v>550</v>
      </c>
      <c r="G25" s="7">
        <v>700</v>
      </c>
      <c r="H25" s="7">
        <v>560</v>
      </c>
      <c r="I25" s="7">
        <v>600</v>
      </c>
      <c r="J25" s="7">
        <v>660</v>
      </c>
      <c r="K25" s="7">
        <v>654</v>
      </c>
      <c r="L25" s="7">
        <v>510</v>
      </c>
      <c r="M25" s="7">
        <v>540</v>
      </c>
      <c r="N25" s="7">
        <v>600</v>
      </c>
      <c r="O25" s="7">
        <v>550</v>
      </c>
      <c r="P25" s="7">
        <v>604</v>
      </c>
      <c r="Q25" s="7">
        <v>581</v>
      </c>
      <c r="R25" s="7">
        <v>586</v>
      </c>
      <c r="S25" s="7">
        <v>542</v>
      </c>
    </row>
    <row r="26">
      <c r="A26" s="14" t="s">
        <v>115</v>
      </c>
      <c r="B26" s="2" t="s">
        <v>368</v>
      </c>
      <c r="C26" s="7">
        <v>500</v>
      </c>
      <c r="D26" s="7">
        <v>450</v>
      </c>
      <c r="E26" s="7">
        <v>460</v>
      </c>
      <c r="F26" s="7">
        <v>475</v>
      </c>
      <c r="G26" s="7">
        <v>475</v>
      </c>
      <c r="H26" s="7">
        <v>475</v>
      </c>
      <c r="I26" s="7">
        <v>410</v>
      </c>
      <c r="J26" s="7">
        <v>450</v>
      </c>
      <c r="K26" s="7">
        <v>375</v>
      </c>
      <c r="L26" s="7">
        <v>440</v>
      </c>
      <c r="M26" s="7">
        <v>485</v>
      </c>
      <c r="N26" s="7">
        <v>385</v>
      </c>
      <c r="O26" s="7">
        <v>410</v>
      </c>
      <c r="P26" s="7">
        <v>410</v>
      </c>
      <c r="Q26" s="7">
        <v>450</v>
      </c>
      <c r="R26" s="7">
        <v>475</v>
      </c>
      <c r="S26" s="7">
        <v>500</v>
      </c>
    </row>
    <row r="27">
      <c r="A27" s="14" t="s">
        <v>382</v>
      </c>
      <c r="B27" s="2" t="s">
        <v>368</v>
      </c>
      <c r="C27" s="7">
        <v>650</v>
      </c>
      <c r="D27" s="7">
        <v>630</v>
      </c>
      <c r="E27" s="7">
        <v>465</v>
      </c>
      <c r="F27" s="7">
        <v>220</v>
      </c>
      <c r="G27" s="7">
        <v>255</v>
      </c>
      <c r="H27" s="7">
        <v>225</v>
      </c>
      <c r="I27" s="7">
        <v>170</v>
      </c>
      <c r="J27" s="7">
        <v>205</v>
      </c>
      <c r="K27" s="7">
        <v>255</v>
      </c>
      <c r="L27" s="7">
        <v>275</v>
      </c>
      <c r="M27" s="7">
        <v>255</v>
      </c>
      <c r="N27" s="7">
        <v>260</v>
      </c>
      <c r="O27" s="7">
        <v>354</v>
      </c>
      <c r="P27" s="7">
        <v>370</v>
      </c>
      <c r="Q27" s="7">
        <v>355</v>
      </c>
      <c r="R27" s="7">
        <v>350</v>
      </c>
      <c r="S27" s="7">
        <v>350</v>
      </c>
    </row>
    <row r="28">
      <c r="A28" s="14" t="s">
        <v>117</v>
      </c>
      <c r="B28" s="2" t="s">
        <v>368</v>
      </c>
      <c r="C28" s="7">
        <v>317</v>
      </c>
      <c r="D28" s="7">
        <v>245</v>
      </c>
      <c r="E28" s="7">
        <v>260</v>
      </c>
      <c r="F28" s="7">
        <v>250</v>
      </c>
      <c r="G28" s="7">
        <v>240</v>
      </c>
      <c r="H28" s="7">
        <v>300</v>
      </c>
      <c r="I28" s="7">
        <v>230</v>
      </c>
      <c r="J28" s="7">
        <v>275</v>
      </c>
      <c r="K28" s="7">
        <v>275</v>
      </c>
      <c r="L28" s="7">
        <v>350</v>
      </c>
      <c r="M28" s="7">
        <v>345</v>
      </c>
      <c r="N28" s="7">
        <v>270</v>
      </c>
      <c r="O28" s="7">
        <v>400</v>
      </c>
      <c r="P28" s="7">
        <v>280</v>
      </c>
      <c r="Q28" s="7">
        <v>260</v>
      </c>
      <c r="R28" s="7">
        <v>350</v>
      </c>
      <c r="S28" s="7">
        <v>350</v>
      </c>
    </row>
    <row r="29">
      <c r="A29" s="14" t="s">
        <v>118</v>
      </c>
      <c r="B29" s="2" t="s">
        <v>368</v>
      </c>
      <c r="C29" s="7">
        <v>550</v>
      </c>
      <c r="D29" s="7">
        <v>550</v>
      </c>
      <c r="E29" s="7">
        <v>525</v>
      </c>
      <c r="F29" s="7">
        <v>550</v>
      </c>
      <c r="G29" s="7">
        <v>500</v>
      </c>
      <c r="H29" s="7">
        <v>255</v>
      </c>
      <c r="I29" s="7">
        <v>295</v>
      </c>
      <c r="J29" s="7">
        <v>250</v>
      </c>
      <c r="K29" s="7">
        <v>280</v>
      </c>
      <c r="L29" s="7">
        <v>325</v>
      </c>
      <c r="M29" s="7">
        <v>325</v>
      </c>
      <c r="N29" s="7">
        <v>300</v>
      </c>
      <c r="O29" s="7">
        <v>325</v>
      </c>
      <c r="P29" s="7">
        <v>300</v>
      </c>
      <c r="Q29" s="7">
        <v>300</v>
      </c>
      <c r="R29" s="7">
        <v>300</v>
      </c>
      <c r="S29" s="7">
        <v>300</v>
      </c>
    </row>
    <row r="30">
      <c r="A30" s="14" t="s">
        <v>383</v>
      </c>
      <c r="B30" s="2" t="s">
        <v>368</v>
      </c>
      <c r="C30" s="7">
        <v>715</v>
      </c>
      <c r="D30" s="7">
        <v>735</v>
      </c>
      <c r="E30" s="7">
        <v>535</v>
      </c>
      <c r="F30" s="7">
        <v>425</v>
      </c>
      <c r="G30" s="7">
        <v>575</v>
      </c>
      <c r="H30" s="7">
        <v>625</v>
      </c>
      <c r="I30" s="7">
        <v>500</v>
      </c>
      <c r="J30" s="7">
        <v>425</v>
      </c>
      <c r="K30" s="7">
        <v>450</v>
      </c>
      <c r="L30" s="7">
        <v>475</v>
      </c>
      <c r="M30" s="7">
        <v>400</v>
      </c>
      <c r="N30" s="7">
        <v>275</v>
      </c>
      <c r="O30" s="7">
        <v>270</v>
      </c>
      <c r="P30" s="7">
        <v>215</v>
      </c>
      <c r="Q30" s="7">
        <v>205</v>
      </c>
      <c r="R30" s="7">
        <v>225</v>
      </c>
      <c r="S30" s="7">
        <v>215</v>
      </c>
    </row>
    <row r="31">
      <c r="A31" s="14" t="s">
        <v>384</v>
      </c>
      <c r="B31" s="2" t="s">
        <v>368</v>
      </c>
      <c r="C31" s="7">
        <v>265</v>
      </c>
      <c r="D31" s="7">
        <v>255</v>
      </c>
      <c r="E31" s="7">
        <v>230</v>
      </c>
      <c r="F31" s="7">
        <v>240</v>
      </c>
      <c r="G31" s="7">
        <v>220</v>
      </c>
      <c r="H31" s="7">
        <v>220</v>
      </c>
      <c r="I31" s="7">
        <v>230</v>
      </c>
      <c r="J31" s="7">
        <v>250</v>
      </c>
      <c r="K31" s="7">
        <v>245</v>
      </c>
      <c r="L31" s="7">
        <v>255</v>
      </c>
      <c r="M31" s="7">
        <v>250</v>
      </c>
      <c r="N31" s="7">
        <v>270</v>
      </c>
      <c r="O31" s="7">
        <v>255</v>
      </c>
      <c r="P31" s="7">
        <v>225</v>
      </c>
      <c r="Q31" s="7">
        <v>170</v>
      </c>
      <c r="R31" s="7">
        <v>160</v>
      </c>
      <c r="S31" s="7">
        <v>160</v>
      </c>
    </row>
    <row r="32">
      <c r="A32" s="14" t="s">
        <v>121</v>
      </c>
      <c r="B32" s="2" t="s">
        <v>368</v>
      </c>
      <c r="C32" s="7">
        <v>235</v>
      </c>
      <c r="D32" s="7">
        <v>210</v>
      </c>
      <c r="E32" s="7">
        <v>235</v>
      </c>
      <c r="F32" s="7">
        <v>185</v>
      </c>
      <c r="G32" s="7">
        <v>160</v>
      </c>
      <c r="H32" s="7">
        <v>240</v>
      </c>
      <c r="I32" s="7">
        <v>200</v>
      </c>
      <c r="J32" s="7">
        <v>205</v>
      </c>
      <c r="K32" s="7">
        <v>205</v>
      </c>
      <c r="L32" s="7">
        <v>265</v>
      </c>
      <c r="M32" s="7">
        <v>230</v>
      </c>
      <c r="N32" s="7">
        <v>165</v>
      </c>
      <c r="O32" s="7">
        <v>175</v>
      </c>
      <c r="P32" s="7">
        <v>140</v>
      </c>
      <c r="Q32" s="7">
        <v>115</v>
      </c>
      <c r="R32" s="7">
        <v>140</v>
      </c>
      <c r="S32" s="7">
        <v>140</v>
      </c>
    </row>
    <row r="33">
      <c r="A33" s="14" t="s">
        <v>385</v>
      </c>
      <c r="B33" s="2" t="s">
        <v>368</v>
      </c>
      <c r="C33" s="7">
        <v>500</v>
      </c>
      <c r="D33" s="7">
        <v>500</v>
      </c>
      <c r="E33" s="7">
        <v>475</v>
      </c>
      <c r="F33" s="7">
        <v>275</v>
      </c>
      <c r="G33" s="7">
        <v>225</v>
      </c>
      <c r="H33" s="7">
        <v>225</v>
      </c>
      <c r="I33" s="7">
        <v>225</v>
      </c>
      <c r="J33" s="7">
        <v>125</v>
      </c>
      <c r="K33" s="7">
        <v>125</v>
      </c>
      <c r="L33" s="7">
        <v>120</v>
      </c>
      <c r="M33" s="7">
        <v>120</v>
      </c>
      <c r="N33" s="7">
        <v>125</v>
      </c>
      <c r="O33" s="7">
        <v>125</v>
      </c>
      <c r="P33" s="7">
        <v>125</v>
      </c>
      <c r="Q33" s="7">
        <v>125</v>
      </c>
      <c r="R33" s="7">
        <v>125</v>
      </c>
      <c r="S33" s="7">
        <v>125</v>
      </c>
    </row>
    <row r="34">
      <c r="A34" s="14" t="s">
        <v>386</v>
      </c>
      <c r="B34" s="2" t="s">
        <v>368</v>
      </c>
      <c r="C34" s="7">
        <v>325</v>
      </c>
      <c r="D34" s="7">
        <v>425</v>
      </c>
      <c r="E34" s="7">
        <v>165</v>
      </c>
      <c r="F34" s="7">
        <v>50</v>
      </c>
      <c r="G34" s="7">
        <v>150</v>
      </c>
      <c r="H34" s="7">
        <v>280</v>
      </c>
      <c r="I34" s="7">
        <v>200</v>
      </c>
      <c r="J34" s="7">
        <v>190</v>
      </c>
      <c r="K34" s="7">
        <v>70</v>
      </c>
      <c r="L34" s="7">
        <v>145</v>
      </c>
      <c r="M34" s="7">
        <v>70</v>
      </c>
      <c r="N34" s="7">
        <v>300</v>
      </c>
      <c r="O34" s="7">
        <v>115</v>
      </c>
      <c r="P34" s="7">
        <v>260</v>
      </c>
      <c r="Q34" s="7">
        <v>110</v>
      </c>
      <c r="R34" s="7">
        <v>75</v>
      </c>
      <c r="S34" s="7">
        <v>125</v>
      </c>
    </row>
    <row r="35">
      <c r="A35" s="14" t="s">
        <v>124</v>
      </c>
      <c r="B35" s="2" t="s">
        <v>368</v>
      </c>
      <c r="C35" s="7">
        <v>120</v>
      </c>
      <c r="D35" s="7">
        <v>170</v>
      </c>
      <c r="E35" s="7">
        <v>125</v>
      </c>
      <c r="F35" s="7">
        <v>150</v>
      </c>
      <c r="G35" s="7">
        <v>150</v>
      </c>
      <c r="H35" s="7">
        <v>150</v>
      </c>
      <c r="I35" s="7">
        <v>150</v>
      </c>
      <c r="J35" s="7">
        <v>100</v>
      </c>
      <c r="K35" s="7">
        <v>110</v>
      </c>
      <c r="L35" s="7">
        <v>90</v>
      </c>
      <c r="M35" s="7">
        <v>100</v>
      </c>
      <c r="N35" s="7">
        <v>100</v>
      </c>
      <c r="O35" s="7">
        <v>100</v>
      </c>
      <c r="P35" s="7">
        <v>100</v>
      </c>
      <c r="Q35" s="7">
        <v>100</v>
      </c>
      <c r="R35" s="7">
        <v>100</v>
      </c>
      <c r="S35" s="7">
        <v>100</v>
      </c>
    </row>
    <row r="36">
      <c r="A36" s="14" t="s">
        <v>125</v>
      </c>
      <c r="B36" s="2" t="s">
        <v>368</v>
      </c>
      <c r="C36" s="7">
        <v>615</v>
      </c>
      <c r="D36" s="7">
        <v>560</v>
      </c>
      <c r="E36" s="7">
        <v>200</v>
      </c>
      <c r="F36" s="7">
        <v>165</v>
      </c>
      <c r="G36" s="7">
        <v>175</v>
      </c>
      <c r="H36" s="7">
        <v>120</v>
      </c>
      <c r="I36" s="7">
        <v>80</v>
      </c>
      <c r="J36" s="7">
        <v>130</v>
      </c>
      <c r="K36" s="7">
        <v>95</v>
      </c>
      <c r="L36" s="7">
        <v>100</v>
      </c>
      <c r="M36" s="7">
        <v>85</v>
      </c>
      <c r="N36" s="7">
        <v>80</v>
      </c>
      <c r="O36" s="7">
        <v>110</v>
      </c>
      <c r="P36" s="7">
        <v>75</v>
      </c>
      <c r="Q36" s="7">
        <v>90</v>
      </c>
      <c r="R36" s="7">
        <v>90</v>
      </c>
      <c r="S36" s="7">
        <v>90</v>
      </c>
    </row>
    <row r="37">
      <c r="A37" s="14" t="s">
        <v>387</v>
      </c>
      <c r="B37" s="2" t="s">
        <v>368</v>
      </c>
      <c r="C37" s="7">
        <v>125</v>
      </c>
      <c r="D37" s="7">
        <v>140</v>
      </c>
      <c r="E37" s="7">
        <v>115</v>
      </c>
      <c r="F37" s="7">
        <v>128</v>
      </c>
      <c r="G37" s="7">
        <v>100</v>
      </c>
      <c r="H37" s="7">
        <v>80</v>
      </c>
      <c r="I37" s="7">
        <v>75</v>
      </c>
      <c r="J37" s="7">
        <v>85</v>
      </c>
      <c r="K37" s="7">
        <v>85</v>
      </c>
      <c r="L37" s="7">
        <v>85</v>
      </c>
      <c r="M37" s="7">
        <v>80</v>
      </c>
      <c r="N37" s="7">
        <v>85</v>
      </c>
      <c r="O37" s="7">
        <v>90</v>
      </c>
      <c r="P37" s="7">
        <v>70</v>
      </c>
      <c r="Q37" s="7">
        <v>85</v>
      </c>
      <c r="R37" s="7">
        <v>80</v>
      </c>
      <c r="S37" s="7">
        <v>80</v>
      </c>
    </row>
    <row r="38">
      <c r="A38" s="14" t="s">
        <v>127</v>
      </c>
      <c r="B38" s="2" t="s">
        <v>368</v>
      </c>
      <c r="C38" s="7">
        <v>25</v>
      </c>
      <c r="D38" s="7">
        <v>35</v>
      </c>
      <c r="E38" s="7">
        <v>29</v>
      </c>
      <c r="F38" s="7">
        <v>31</v>
      </c>
      <c r="G38" s="7">
        <v>30</v>
      </c>
      <c r="H38" s="7">
        <v>25</v>
      </c>
      <c r="I38" s="7">
        <v>20</v>
      </c>
      <c r="J38" s="7">
        <v>19</v>
      </c>
      <c r="K38" s="7">
        <v>20</v>
      </c>
      <c r="L38" s="7">
        <v>32</v>
      </c>
      <c r="M38" s="7">
        <v>30</v>
      </c>
      <c r="N38" s="7">
        <v>30</v>
      </c>
      <c r="O38" s="7">
        <v>20</v>
      </c>
      <c r="P38" s="7">
        <v>30</v>
      </c>
      <c r="Q38" s="7">
        <v>45</v>
      </c>
      <c r="R38" s="7">
        <v>45</v>
      </c>
      <c r="S38" s="7">
        <v>45</v>
      </c>
    </row>
    <row r="39">
      <c r="A39" s="14" t="s">
        <v>128</v>
      </c>
      <c r="B39" s="2" t="s">
        <v>368</v>
      </c>
      <c r="C39" s="7">
        <v>45</v>
      </c>
      <c r="D39" s="7">
        <v>90</v>
      </c>
      <c r="E39" s="7">
        <v>70</v>
      </c>
      <c r="F39" s="7">
        <v>45</v>
      </c>
      <c r="G39" s="7">
        <v>65</v>
      </c>
      <c r="H39" s="7">
        <v>60</v>
      </c>
      <c r="I39" s="7">
        <v>60</v>
      </c>
      <c r="J39" s="7">
        <v>65</v>
      </c>
      <c r="K39" s="7">
        <v>50</v>
      </c>
      <c r="L39" s="7">
        <v>65</v>
      </c>
      <c r="M39" s="7">
        <v>75</v>
      </c>
      <c r="N39" s="7">
        <v>33</v>
      </c>
      <c r="O39" s="7">
        <v>55</v>
      </c>
      <c r="P39" s="7">
        <v>35</v>
      </c>
      <c r="Q39" s="7">
        <v>58</v>
      </c>
      <c r="R39" s="7">
        <v>30</v>
      </c>
      <c r="S39" s="7">
        <v>30</v>
      </c>
    </row>
    <row r="40">
      <c r="A40" s="14" t="s">
        <v>388</v>
      </c>
      <c r="B40" s="2" t="s">
        <v>368</v>
      </c>
      <c r="C40" s="7">
        <v>23</v>
      </c>
      <c r="D40" s="7">
        <v>20</v>
      </c>
      <c r="E40" s="7">
        <v>25</v>
      </c>
      <c r="F40" s="7">
        <v>31</v>
      </c>
      <c r="G40" s="7">
        <v>27</v>
      </c>
      <c r="H40" s="7">
        <v>27</v>
      </c>
      <c r="I40" s="7">
        <v>16</v>
      </c>
      <c r="J40" s="7">
        <v>16</v>
      </c>
      <c r="K40" s="7">
        <v>15</v>
      </c>
      <c r="L40" s="7">
        <v>16</v>
      </c>
      <c r="M40" s="7">
        <v>15</v>
      </c>
      <c r="N40" s="7">
        <v>15</v>
      </c>
      <c r="O40" s="7">
        <v>18</v>
      </c>
      <c r="P40" s="7">
        <v>19</v>
      </c>
      <c r="Q40" s="7">
        <v>15</v>
      </c>
      <c r="R40" s="7">
        <v>15</v>
      </c>
      <c r="S40" s="7">
        <v>15</v>
      </c>
    </row>
    <row r="41">
      <c r="A41" s="14" t="s">
        <v>389</v>
      </c>
      <c r="B41" s="2" t="s">
        <v>368</v>
      </c>
      <c r="C41" s="7">
        <v>27</v>
      </c>
      <c r="D41" s="7">
        <v>10</v>
      </c>
      <c r="E41" s="7">
        <v>7</v>
      </c>
      <c r="F41" s="7">
        <v>6</v>
      </c>
      <c r="G41" s="7">
        <v>6</v>
      </c>
      <c r="H41" s="7">
        <v>8</v>
      </c>
      <c r="I41" s="7">
        <v>5</v>
      </c>
      <c r="J41" s="7">
        <v>3</v>
      </c>
      <c r="K41" s="7">
        <v>2</v>
      </c>
      <c r="L41" s="7">
        <v>0</v>
      </c>
      <c r="M41" s="7">
        <v>0</v>
      </c>
      <c r="N41" s="7">
        <v>0</v>
      </c>
      <c r="O41" s="7">
        <v>0</v>
      </c>
      <c r="P41" s="7">
        <v>0</v>
      </c>
      <c r="Q41" s="7">
        <v>0</v>
      </c>
      <c r="R41" s="7">
        <v>0</v>
      </c>
      <c r="S41" s="7">
        <v>0</v>
      </c>
    </row>
    <row r="42">
      <c r="A42" s="14" t="s">
        <v>131</v>
      </c>
      <c r="B42" s="2" t="s">
        <v>368</v>
      </c>
      <c r="C42" s="7">
        <v>57</v>
      </c>
      <c r="D42" s="7">
        <v>70</v>
      </c>
      <c r="E42" s="7">
        <v>30</v>
      </c>
      <c r="F42" s="7">
        <v>6</v>
      </c>
      <c r="G42" s="7">
        <v>4</v>
      </c>
      <c r="H42" s="7">
        <v>1</v>
      </c>
      <c r="I42" s="7">
        <v>1</v>
      </c>
      <c r="J42" s="7">
        <v>1</v>
      </c>
      <c r="K42" s="7">
        <v>0</v>
      </c>
      <c r="L42" s="7">
        <v>0</v>
      </c>
      <c r="M42" s="7">
        <v>0</v>
      </c>
      <c r="N42" s="7">
        <v>0</v>
      </c>
      <c r="O42" s="7">
        <v>0</v>
      </c>
      <c r="P42" s="7">
        <v>0</v>
      </c>
      <c r="Q42" s="7">
        <v>0</v>
      </c>
      <c r="R42" s="7">
        <v>0</v>
      </c>
      <c r="S42" s="7">
        <v>0</v>
      </c>
    </row>
    <row r="43">
      <c r="A43" s="14" t="s">
        <v>390</v>
      </c>
      <c r="B43" s="2" t="s">
        <v>368</v>
      </c>
      <c r="C43" s="7">
        <v>350</v>
      </c>
      <c r="D43" s="7">
        <v>350</v>
      </c>
      <c r="E43" s="7">
        <v>325</v>
      </c>
      <c r="F43" s="7">
        <v>325</v>
      </c>
      <c r="G43" s="7">
        <v>325</v>
      </c>
      <c r="H43" s="7">
        <v>0</v>
      </c>
      <c r="I43" s="7">
        <v>0</v>
      </c>
      <c r="J43" s="7">
        <v>0</v>
      </c>
      <c r="K43" s="7">
        <v>0</v>
      </c>
      <c r="L43" s="7">
        <v>0</v>
      </c>
      <c r="M43" s="7">
        <v>0</v>
      </c>
      <c r="N43" s="7">
        <v>0</v>
      </c>
      <c r="O43" s="7">
        <v>0</v>
      </c>
      <c r="P43" s="7">
        <v>0</v>
      </c>
      <c r="Q43" s="7">
        <v>0</v>
      </c>
      <c r="R43" s="7">
        <v>0</v>
      </c>
      <c r="S43" s="7">
        <v>0</v>
      </c>
    </row>
    <row r="44">
      <c r="A44" s="14" t="s">
        <v>133</v>
      </c>
      <c r="B44" s="2" t="s">
        <v>368</v>
      </c>
      <c r="C44" s="7">
        <v>4</v>
      </c>
      <c r="D44" s="7">
        <v>5</v>
      </c>
      <c r="E44" s="7">
        <v>5</v>
      </c>
      <c r="F44" s="7">
        <v>1</v>
      </c>
      <c r="G44" s="7">
        <v>3</v>
      </c>
      <c r="H44" s="7">
        <v>0</v>
      </c>
      <c r="I44" s="7">
        <v>0</v>
      </c>
      <c r="J44" s="7">
        <v>0</v>
      </c>
      <c r="K44" s="7">
        <v>0</v>
      </c>
      <c r="L44" s="7">
        <v>0</v>
      </c>
      <c r="M44" s="7">
        <v>0</v>
      </c>
      <c r="N44" s="7">
        <v>0</v>
      </c>
      <c r="O44" s="7">
        <v>0</v>
      </c>
      <c r="P44" s="7">
        <v>0</v>
      </c>
      <c r="Q44" s="7">
        <v>0</v>
      </c>
      <c r="R44" s="7">
        <v>0</v>
      </c>
      <c r="S44" s="7">
        <v>0</v>
      </c>
    </row>
    <row r="45">
      <c r="A45" s="14" t="s">
        <v>134</v>
      </c>
      <c r="B45" s="2" t="s">
        <v>368</v>
      </c>
      <c r="C45" s="7">
        <v>24</v>
      </c>
      <c r="D45" s="7">
        <v>21</v>
      </c>
      <c r="E45" s="7">
        <v>25</v>
      </c>
      <c r="F45" s="7">
        <v>25</v>
      </c>
      <c r="G45" s="7">
        <v>21</v>
      </c>
      <c r="H45" s="7">
        <v>23</v>
      </c>
      <c r="I45" s="7">
        <v>16</v>
      </c>
      <c r="J45" s="7">
        <v>12</v>
      </c>
      <c r="K45" s="7">
        <v>11</v>
      </c>
      <c r="L45" s="7">
        <v>10</v>
      </c>
      <c r="M45" s="7">
        <v>0</v>
      </c>
      <c r="N45" s="7">
        <v>0</v>
      </c>
      <c r="O45" s="7">
        <v>0</v>
      </c>
      <c r="P45" s="7">
        <v>0</v>
      </c>
      <c r="Q45" s="7">
        <v>0</v>
      </c>
      <c r="R45" s="7">
        <v>0</v>
      </c>
      <c r="S45" s="7">
        <v>0</v>
      </c>
    </row>
    <row r="46">
      <c r="A46" s="14" t="s">
        <v>135</v>
      </c>
      <c r="B46" s="2" t="s">
        <v>368</v>
      </c>
      <c r="C46" s="7">
        <v>30</v>
      </c>
      <c r="D46" s="7">
        <v>40</v>
      </c>
      <c r="E46" s="7">
        <v>30</v>
      </c>
      <c r="F46" s="7">
        <v>20</v>
      </c>
      <c r="G46" s="7">
        <v>20</v>
      </c>
      <c r="H46" s="7">
        <v>20</v>
      </c>
      <c r="I46" s="7">
        <v>10</v>
      </c>
      <c r="J46" s="7">
        <v>5</v>
      </c>
      <c r="K46" s="7">
        <v>0</v>
      </c>
      <c r="L46" s="7">
        <v>0</v>
      </c>
      <c r="M46" s="7">
        <v>0</v>
      </c>
      <c r="N46" s="7">
        <v>0</v>
      </c>
      <c r="O46" s="7">
        <v>0</v>
      </c>
      <c r="P46" s="7">
        <v>0</v>
      </c>
      <c r="Q46" s="7">
        <v>0</v>
      </c>
      <c r="R46" s="7">
        <v>0</v>
      </c>
      <c r="S46" s="7">
        <v>0</v>
      </c>
    </row>
    <row r="47">
      <c r="A47" s="14" t="s">
        <v>391</v>
      </c>
      <c r="B47" s="2" t="s">
        <v>368</v>
      </c>
      <c r="C47" s="7">
        <v>145</v>
      </c>
      <c r="D47" s="7">
        <v>135</v>
      </c>
      <c r="E47" s="7">
        <v>140</v>
      </c>
      <c r="F47" s="7">
        <v>135</v>
      </c>
      <c r="G47" s="7">
        <v>130</v>
      </c>
      <c r="H47" s="7">
        <v>0</v>
      </c>
      <c r="I47" s="7">
        <v>0</v>
      </c>
      <c r="J47" s="7">
        <v>0</v>
      </c>
      <c r="K47" s="7">
        <v>0</v>
      </c>
      <c r="L47" s="7">
        <v>0</v>
      </c>
      <c r="M47" s="7">
        <v>0</v>
      </c>
      <c r="N47" s="7">
        <v>0</v>
      </c>
      <c r="O47" s="7">
        <v>0</v>
      </c>
      <c r="P47" s="7">
        <v>0</v>
      </c>
      <c r="Q47" s="7">
        <v>0</v>
      </c>
      <c r="R47" s="7">
        <v>0</v>
      </c>
      <c r="S47" s="7">
        <v>0</v>
      </c>
    </row>
    <row r="48">
      <c r="A48" s="14" t="s">
        <v>392</v>
      </c>
      <c r="B48" s="2" t="s">
        <v>393</v>
      </c>
      <c r="C48" s="7">
        <v>53</v>
      </c>
      <c r="D48" s="7">
        <v>46</v>
      </c>
      <c r="E48" s="7">
        <v>42</v>
      </c>
      <c r="F48" s="7">
        <v>51</v>
      </c>
      <c r="G48" s="7">
        <v>45</v>
      </c>
      <c r="H48" s="7">
        <v>40</v>
      </c>
      <c r="I48" s="7">
        <v>33</v>
      </c>
      <c r="J48" s="7">
        <v>32</v>
      </c>
      <c r="K48" s="7">
        <v>54</v>
      </c>
      <c r="L48" s="7">
        <v>39</v>
      </c>
      <c r="M48" s="7">
        <v>33</v>
      </c>
      <c r="N48" s="7">
        <v>38</v>
      </c>
      <c r="O48" s="7">
        <v>40</v>
      </c>
      <c r="P48" s="7">
        <v>50</v>
      </c>
      <c r="Q48" s="7">
        <v>50</v>
      </c>
      <c r="R48" s="7">
        <v>50</v>
      </c>
      <c r="S48" s="7">
        <v>50</v>
      </c>
    </row>
    <row r="49">
      <c r="A49" s="14" t="s">
        <v>394</v>
      </c>
      <c r="B49" s="2" t="s">
        <v>393</v>
      </c>
      <c r="C49" s="7">
        <v>827</v>
      </c>
      <c r="D49" s="7">
        <v>1090</v>
      </c>
      <c r="E49" s="7">
        <v>1535</v>
      </c>
      <c r="F49" s="7">
        <v>1947</v>
      </c>
      <c r="G49" s="7">
        <v>2125</v>
      </c>
      <c r="H49" s="7">
        <v>1925</v>
      </c>
      <c r="I49" s="7">
        <v>1900</v>
      </c>
      <c r="J49" s="7">
        <v>1925</v>
      </c>
      <c r="K49" s="7">
        <v>1925</v>
      </c>
      <c r="L49" s="7">
        <v>2000</v>
      </c>
      <c r="M49" s="7">
        <v>1900</v>
      </c>
      <c r="N49" s="7">
        <v>1800</v>
      </c>
      <c r="O49" s="7">
        <v>1800</v>
      </c>
      <c r="P49" s="7">
        <v>1800</v>
      </c>
      <c r="Q49" s="7">
        <v>1900</v>
      </c>
      <c r="R49" s="7">
        <v>1900</v>
      </c>
      <c r="S49" s="7">
        <v>1900</v>
      </c>
    </row>
    <row r="50">
      <c r="A50" s="14" t="s">
        <v>395</v>
      </c>
      <c r="B50" s="2" t="s">
        <v>393</v>
      </c>
      <c r="C50" s="7">
        <v>460</v>
      </c>
      <c r="D50" s="7">
        <v>455</v>
      </c>
      <c r="E50" s="7">
        <v>455</v>
      </c>
      <c r="F50" s="7">
        <v>450</v>
      </c>
      <c r="G50" s="7">
        <v>475</v>
      </c>
      <c r="H50" s="7">
        <v>425</v>
      </c>
      <c r="I50" s="7">
        <v>475</v>
      </c>
      <c r="J50" s="7">
        <v>450</v>
      </c>
      <c r="K50" s="7">
        <v>425</v>
      </c>
      <c r="L50" s="7">
        <v>450</v>
      </c>
      <c r="M50" s="7">
        <v>425</v>
      </c>
      <c r="N50" s="7">
        <v>450</v>
      </c>
      <c r="O50" s="7">
        <v>475</v>
      </c>
      <c r="P50" s="7">
        <v>450</v>
      </c>
      <c r="Q50" s="7">
        <v>450</v>
      </c>
      <c r="R50" s="7">
        <v>450</v>
      </c>
      <c r="S50" s="7">
        <v>475</v>
      </c>
    </row>
    <row r="51">
      <c r="A51" s="14" t="s">
        <v>396</v>
      </c>
      <c r="B51" s="2" t="s">
        <v>393</v>
      </c>
      <c r="C51" s="7">
        <v>625</v>
      </c>
      <c r="D51" s="7">
        <v>700</v>
      </c>
      <c r="E51" s="7">
        <v>730</v>
      </c>
      <c r="F51" s="7">
        <v>700</v>
      </c>
      <c r="G51" s="7">
        <v>460</v>
      </c>
      <c r="H51" s="7">
        <v>500</v>
      </c>
      <c r="I51" s="7">
        <v>530</v>
      </c>
      <c r="J51" s="7">
        <v>575</v>
      </c>
      <c r="K51" s="7">
        <v>585</v>
      </c>
      <c r="L51" s="7">
        <v>550</v>
      </c>
      <c r="M51" s="7">
        <v>480</v>
      </c>
      <c r="N51" s="7">
        <v>500</v>
      </c>
      <c r="O51" s="7">
        <v>500</v>
      </c>
      <c r="P51" s="7">
        <v>500</v>
      </c>
      <c r="Q51" s="7">
        <v>500</v>
      </c>
      <c r="R51" s="7">
        <v>500</v>
      </c>
      <c r="S51" s="7">
        <v>500</v>
      </c>
    </row>
    <row r="52">
      <c r="A52" s="14" t="s">
        <v>397</v>
      </c>
      <c r="B52" s="2" t="s">
        <v>393</v>
      </c>
      <c r="C52" s="7">
        <v>125</v>
      </c>
      <c r="D52" s="7">
        <v>100</v>
      </c>
      <c r="E52" s="7">
        <v>100</v>
      </c>
      <c r="F52" s="7">
        <v>95</v>
      </c>
      <c r="G52" s="7">
        <v>120</v>
      </c>
      <c r="H52" s="7">
        <v>85</v>
      </c>
      <c r="I52" s="7">
        <v>95</v>
      </c>
      <c r="J52" s="7">
        <v>75</v>
      </c>
      <c r="K52" s="7">
        <v>75</v>
      </c>
      <c r="L52" s="7">
        <v>75</v>
      </c>
      <c r="M52" s="7">
        <v>75</v>
      </c>
      <c r="N52" s="7">
        <v>75</v>
      </c>
      <c r="O52" s="7">
        <v>85</v>
      </c>
      <c r="P52" s="7">
        <v>75</v>
      </c>
      <c r="Q52" s="7">
        <v>100</v>
      </c>
      <c r="R52" s="7">
        <v>80</v>
      </c>
      <c r="S52" s="7">
        <v>100</v>
      </c>
    </row>
    <row r="53">
      <c r="A53" s="14" t="s">
        <v>398</v>
      </c>
      <c r="B53" s="2" t="s">
        <v>399</v>
      </c>
      <c r="C53" s="7">
        <v>0</v>
      </c>
      <c r="D53" s="7">
        <v>0</v>
      </c>
      <c r="E53" s="7">
        <v>0</v>
      </c>
      <c r="F53" s="7">
        <v>0</v>
      </c>
      <c r="G53" s="7">
        <v>0</v>
      </c>
      <c r="H53" s="7">
        <v>0</v>
      </c>
      <c r="I53" s="7">
        <v>0</v>
      </c>
      <c r="J53" s="7">
        <v>0</v>
      </c>
      <c r="K53" s="7">
        <v>0</v>
      </c>
      <c r="L53" s="7">
        <v>0</v>
      </c>
      <c r="M53" s="7">
        <v>0</v>
      </c>
      <c r="N53" s="7">
        <v>0</v>
      </c>
      <c r="O53" s="7">
        <v>0</v>
      </c>
      <c r="P53" s="7">
        <v>0</v>
      </c>
      <c r="Q53" s="7">
        <v>0</v>
      </c>
      <c r="R53" s="7">
        <v>0</v>
      </c>
      <c r="S53" s="7">
        <v>0</v>
      </c>
    </row>
    <row r="54">
      <c r="A54" s="14" t="s">
        <v>400</v>
      </c>
      <c r="B54" s="2" t="s">
        <v>399</v>
      </c>
      <c r="C54" s="7">
        <v>0</v>
      </c>
      <c r="D54" s="7">
        <v>0</v>
      </c>
      <c r="E54" s="7">
        <v>0</v>
      </c>
      <c r="F54" s="7">
        <v>0</v>
      </c>
      <c r="G54" s="7">
        <v>0</v>
      </c>
      <c r="H54" s="7">
        <v>0</v>
      </c>
      <c r="I54" s="7">
        <v>0</v>
      </c>
      <c r="J54" s="7">
        <v>0</v>
      </c>
      <c r="K54" s="7">
        <v>0</v>
      </c>
      <c r="L54" s="7">
        <v>0</v>
      </c>
      <c r="M54" s="7">
        <v>0</v>
      </c>
      <c r="N54" s="7">
        <v>0</v>
      </c>
      <c r="O54" s="7">
        <v>0</v>
      </c>
      <c r="P54" s="7">
        <v>0</v>
      </c>
      <c r="Q54" s="7">
        <v>0</v>
      </c>
      <c r="R54" s="7">
        <v>0</v>
      </c>
      <c r="S54" s="7">
        <v>0</v>
      </c>
    </row>
    <row r="55">
      <c r="A55" s="14" t="s">
        <v>401</v>
      </c>
      <c r="B55" s="2" t="s">
        <v>399</v>
      </c>
      <c r="C55" s="7">
        <v>0</v>
      </c>
      <c r="D55" s="7">
        <v>0</v>
      </c>
      <c r="E55" s="7">
        <v>0</v>
      </c>
      <c r="F55" s="7">
        <v>0</v>
      </c>
      <c r="G55" s="7">
        <v>0</v>
      </c>
      <c r="H55" s="7">
        <v>0</v>
      </c>
      <c r="I55" s="7">
        <v>0</v>
      </c>
      <c r="J55" s="7">
        <v>0</v>
      </c>
      <c r="K55" s="7">
        <v>0</v>
      </c>
      <c r="L55" s="7">
        <v>0</v>
      </c>
      <c r="M55" s="7">
        <v>0</v>
      </c>
      <c r="N55" s="7">
        <v>0</v>
      </c>
      <c r="O55" s="7">
        <v>0</v>
      </c>
      <c r="P55" s="7">
        <v>0</v>
      </c>
      <c r="Q55" s="7">
        <v>0</v>
      </c>
      <c r="R55" s="7">
        <v>0</v>
      </c>
      <c r="S55" s="7">
        <v>0</v>
      </c>
    </row>
    <row r="56">
      <c r="A56" s="14" t="s">
        <v>402</v>
      </c>
      <c r="B56" s="2" t="s">
        <v>399</v>
      </c>
      <c r="C56" s="7">
        <v>0</v>
      </c>
      <c r="D56" s="7">
        <v>0</v>
      </c>
      <c r="E56" s="7">
        <v>0</v>
      </c>
      <c r="F56" s="7">
        <v>0</v>
      </c>
      <c r="G56" s="7">
        <v>0</v>
      </c>
      <c r="H56" s="7">
        <v>0</v>
      </c>
      <c r="I56" s="7">
        <v>0</v>
      </c>
      <c r="J56" s="7">
        <v>0</v>
      </c>
      <c r="K56" s="7">
        <v>0</v>
      </c>
      <c r="L56" s="7">
        <v>0</v>
      </c>
      <c r="M56" s="7">
        <v>0</v>
      </c>
      <c r="N56" s="7">
        <v>0</v>
      </c>
      <c r="O56" s="7">
        <v>0</v>
      </c>
      <c r="P56" s="7">
        <v>0</v>
      </c>
      <c r="Q56" s="7">
        <v>0</v>
      </c>
      <c r="R56" s="7">
        <v>0</v>
      </c>
      <c r="S56" s="7">
        <v>0</v>
      </c>
    </row>
    <row r="57">
      <c r="A57" s="14" t="s">
        <v>403</v>
      </c>
      <c r="B57" s="2" t="s">
        <v>399</v>
      </c>
      <c r="C57" s="7">
        <v>0</v>
      </c>
      <c r="D57" s="7">
        <v>0</v>
      </c>
      <c r="E57" s="7">
        <v>0</v>
      </c>
      <c r="F57" s="7">
        <v>0</v>
      </c>
      <c r="G57" s="7">
        <v>0</v>
      </c>
      <c r="H57" s="7">
        <v>0</v>
      </c>
      <c r="I57" s="7">
        <v>0</v>
      </c>
      <c r="J57" s="7">
        <v>0</v>
      </c>
      <c r="K57" s="7">
        <v>0</v>
      </c>
      <c r="L57" s="7">
        <v>0</v>
      </c>
      <c r="M57" s="7">
        <v>0</v>
      </c>
      <c r="N57" s="7">
        <v>0</v>
      </c>
      <c r="O57" s="7">
        <v>0</v>
      </c>
      <c r="P57" s="7">
        <v>0</v>
      </c>
      <c r="Q57" s="7">
        <v>0</v>
      </c>
      <c r="R57" s="7">
        <v>0</v>
      </c>
      <c r="S57" s="7">
        <v>0</v>
      </c>
    </row>
    <row r="58">
      <c r="A58" s="14" t="s">
        <v>404</v>
      </c>
      <c r="B58" s="2" t="s">
        <v>399</v>
      </c>
      <c r="C58" s="7">
        <v>0</v>
      </c>
      <c r="D58" s="7">
        <v>0</v>
      </c>
      <c r="E58" s="7">
        <v>0</v>
      </c>
      <c r="F58" s="7">
        <v>0</v>
      </c>
      <c r="G58" s="7">
        <v>0</v>
      </c>
      <c r="H58" s="7">
        <v>0</v>
      </c>
      <c r="I58" s="7">
        <v>0</v>
      </c>
      <c r="J58" s="7">
        <v>0</v>
      </c>
      <c r="K58" s="7">
        <v>0</v>
      </c>
      <c r="L58" s="7">
        <v>0</v>
      </c>
      <c r="M58" s="7">
        <v>0</v>
      </c>
      <c r="N58" s="7">
        <v>0</v>
      </c>
      <c r="O58" s="7">
        <v>0</v>
      </c>
      <c r="P58" s="7">
        <v>0</v>
      </c>
      <c r="Q58" s="7">
        <v>0</v>
      </c>
      <c r="R58" s="7">
        <v>0</v>
      </c>
      <c r="S58" s="7">
        <v>0</v>
      </c>
    </row>
    <row r="59">
      <c r="A59" s="14" t="s">
        <v>405</v>
      </c>
      <c r="B59" s="2" t="s">
        <v>399</v>
      </c>
      <c r="C59" s="7">
        <v>0</v>
      </c>
      <c r="D59" s="7">
        <v>0</v>
      </c>
      <c r="E59" s="7">
        <v>0</v>
      </c>
      <c r="F59" s="7">
        <v>0</v>
      </c>
      <c r="G59" s="7">
        <v>0</v>
      </c>
      <c r="H59" s="7">
        <v>0</v>
      </c>
      <c r="I59" s="7">
        <v>0</v>
      </c>
      <c r="J59" s="7">
        <v>0</v>
      </c>
      <c r="K59" s="7">
        <v>0</v>
      </c>
      <c r="L59" s="7">
        <v>0</v>
      </c>
      <c r="M59" s="7">
        <v>0</v>
      </c>
      <c r="N59" s="7">
        <v>0</v>
      </c>
      <c r="O59" s="7">
        <v>0</v>
      </c>
      <c r="P59" s="7">
        <v>0</v>
      </c>
      <c r="Q59" s="7">
        <v>0</v>
      </c>
      <c r="R59" s="7">
        <v>0</v>
      </c>
      <c r="S59" s="7">
        <v>0</v>
      </c>
    </row>
    <row r="60">
      <c r="A60" s="14" t="s">
        <v>406</v>
      </c>
      <c r="B60" s="2" t="s">
        <v>399</v>
      </c>
      <c r="C60" s="7">
        <v>0</v>
      </c>
      <c r="D60" s="7">
        <v>0</v>
      </c>
      <c r="E60" s="7">
        <v>0</v>
      </c>
      <c r="F60" s="7">
        <v>0</v>
      </c>
      <c r="G60" s="7">
        <v>0</v>
      </c>
      <c r="H60" s="7">
        <v>0</v>
      </c>
      <c r="I60" s="7">
        <v>0</v>
      </c>
      <c r="J60" s="7">
        <v>0</v>
      </c>
      <c r="K60" s="7">
        <v>0</v>
      </c>
      <c r="L60" s="7">
        <v>0</v>
      </c>
      <c r="M60" s="7">
        <v>0</v>
      </c>
      <c r="N60" s="7">
        <v>0</v>
      </c>
      <c r="O60" s="7">
        <v>0</v>
      </c>
      <c r="P60" s="7">
        <v>0</v>
      </c>
      <c r="Q60" s="7">
        <v>0</v>
      </c>
      <c r="R60" s="7">
        <v>0</v>
      </c>
      <c r="S60" s="7">
        <v>0</v>
      </c>
    </row>
    <row r="61">
      <c r="A61" s="14" t="s">
        <v>407</v>
      </c>
      <c r="B61" s="2" t="s">
        <v>399</v>
      </c>
      <c r="C61" s="7">
        <v>0</v>
      </c>
      <c r="D61" s="7">
        <v>0</v>
      </c>
      <c r="E61" s="7">
        <v>0</v>
      </c>
      <c r="F61" s="7">
        <v>0</v>
      </c>
      <c r="G61" s="7">
        <v>0</v>
      </c>
      <c r="H61" s="7">
        <v>0</v>
      </c>
      <c r="I61" s="7">
        <v>0</v>
      </c>
      <c r="J61" s="7">
        <v>0</v>
      </c>
      <c r="K61" s="7">
        <v>0</v>
      </c>
      <c r="L61" s="7">
        <v>0</v>
      </c>
      <c r="M61" s="7">
        <v>0</v>
      </c>
      <c r="N61" s="7">
        <v>0</v>
      </c>
      <c r="O61" s="7">
        <v>0</v>
      </c>
      <c r="P61" s="7">
        <v>0</v>
      </c>
      <c r="Q61" s="7">
        <v>0</v>
      </c>
      <c r="R61" s="7">
        <v>0</v>
      </c>
      <c r="S61" s="7">
        <v>0</v>
      </c>
    </row>
    <row r="62">
      <c r="A62" s="14" t="s">
        <v>408</v>
      </c>
      <c r="B62" s="2" t="s">
        <v>399</v>
      </c>
      <c r="C62" s="7">
        <v>0</v>
      </c>
      <c r="D62" s="7">
        <v>0</v>
      </c>
      <c r="E62" s="7">
        <v>0</v>
      </c>
      <c r="F62" s="7">
        <v>0</v>
      </c>
      <c r="G62" s="7">
        <v>0</v>
      </c>
      <c r="H62" s="7">
        <v>0</v>
      </c>
      <c r="I62" s="7">
        <v>0</v>
      </c>
      <c r="J62" s="7">
        <v>0</v>
      </c>
      <c r="K62" s="7">
        <v>0</v>
      </c>
      <c r="L62" s="7">
        <v>0</v>
      </c>
      <c r="M62" s="7">
        <v>0</v>
      </c>
      <c r="N62" s="7">
        <v>0</v>
      </c>
      <c r="O62" s="7">
        <v>0</v>
      </c>
      <c r="P62" s="7">
        <v>0</v>
      </c>
      <c r="Q62" s="7">
        <v>0</v>
      </c>
      <c r="R62" s="7">
        <v>0</v>
      </c>
      <c r="S62" s="7">
        <v>0</v>
      </c>
    </row>
    <row r="63">
      <c r="A63" s="14" t="s">
        <v>409</v>
      </c>
      <c r="B63" s="2" t="s">
        <v>399</v>
      </c>
      <c r="C63" s="7">
        <v>0</v>
      </c>
      <c r="D63" s="7">
        <v>0</v>
      </c>
      <c r="E63" s="7">
        <v>0</v>
      </c>
      <c r="F63" s="7">
        <v>0</v>
      </c>
      <c r="G63" s="7">
        <v>0</v>
      </c>
      <c r="H63" s="7">
        <v>0</v>
      </c>
      <c r="I63" s="7">
        <v>0</v>
      </c>
      <c r="J63" s="7">
        <v>0</v>
      </c>
      <c r="K63" s="7">
        <v>0</v>
      </c>
      <c r="L63" s="7">
        <v>0</v>
      </c>
      <c r="M63" s="7">
        <v>0</v>
      </c>
      <c r="N63" s="7">
        <v>0</v>
      </c>
      <c r="O63" s="7">
        <v>0</v>
      </c>
      <c r="P63" s="7">
        <v>0</v>
      </c>
      <c r="Q63" s="7">
        <v>0</v>
      </c>
      <c r="R63" s="7">
        <v>0</v>
      </c>
      <c r="S63" s="7">
        <v>0</v>
      </c>
    </row>
    <row r="64">
      <c r="A64" s="14" t="s">
        <v>410</v>
      </c>
      <c r="B64" s="2" t="s">
        <v>399</v>
      </c>
      <c r="C64" s="7">
        <v>0</v>
      </c>
      <c r="D64" s="7">
        <v>0</v>
      </c>
      <c r="E64" s="7">
        <v>0</v>
      </c>
      <c r="F64" s="7">
        <v>0</v>
      </c>
      <c r="G64" s="7">
        <v>0</v>
      </c>
      <c r="H64" s="7">
        <v>0</v>
      </c>
      <c r="I64" s="7">
        <v>0</v>
      </c>
      <c r="J64" s="7">
        <v>0</v>
      </c>
      <c r="K64" s="7">
        <v>0</v>
      </c>
      <c r="L64" s="7">
        <v>0</v>
      </c>
      <c r="M64" s="7">
        <v>0</v>
      </c>
      <c r="N64" s="7">
        <v>0</v>
      </c>
      <c r="O64" s="7">
        <v>0</v>
      </c>
      <c r="P64" s="7">
        <v>0</v>
      </c>
      <c r="Q64" s="7">
        <v>0</v>
      </c>
      <c r="R64" s="7">
        <v>0</v>
      </c>
      <c r="S64" s="7">
        <v>0</v>
      </c>
    </row>
    <row r="65">
      <c r="A65" s="14" t="s">
        <v>411</v>
      </c>
      <c r="B65" s="2" t="s">
        <v>399</v>
      </c>
      <c r="C65" s="7">
        <v>0</v>
      </c>
      <c r="D65" s="7">
        <v>0</v>
      </c>
      <c r="E65" s="7">
        <v>0</v>
      </c>
      <c r="F65" s="7">
        <v>0</v>
      </c>
      <c r="G65" s="7">
        <v>0</v>
      </c>
      <c r="H65" s="7">
        <v>0</v>
      </c>
      <c r="I65" s="7">
        <v>0</v>
      </c>
      <c r="J65" s="7">
        <v>0</v>
      </c>
      <c r="K65" s="7">
        <v>0</v>
      </c>
      <c r="L65" s="7">
        <v>0</v>
      </c>
      <c r="M65" s="7">
        <v>0</v>
      </c>
      <c r="N65" s="7">
        <v>0</v>
      </c>
      <c r="O65" s="7">
        <v>0</v>
      </c>
      <c r="P65" s="7">
        <v>0</v>
      </c>
      <c r="Q65" s="7">
        <v>0</v>
      </c>
      <c r="R65" s="7">
        <v>0</v>
      </c>
      <c r="S65" s="7">
        <v>0</v>
      </c>
    </row>
    <row r="66">
      <c r="A66" s="14" t="s">
        <v>412</v>
      </c>
      <c r="B66" s="2" t="s">
        <v>399</v>
      </c>
      <c r="C66" s="7">
        <v>0</v>
      </c>
      <c r="D66" s="7">
        <v>0</v>
      </c>
      <c r="E66" s="7">
        <v>0</v>
      </c>
      <c r="F66" s="7">
        <v>0</v>
      </c>
      <c r="G66" s="7">
        <v>0</v>
      </c>
      <c r="H66" s="7">
        <v>0</v>
      </c>
      <c r="I66" s="7">
        <v>0</v>
      </c>
      <c r="J66" s="7">
        <v>0</v>
      </c>
      <c r="K66" s="7">
        <v>0</v>
      </c>
      <c r="L66" s="7">
        <v>0</v>
      </c>
      <c r="M66" s="7">
        <v>0</v>
      </c>
      <c r="N66" s="7">
        <v>0</v>
      </c>
      <c r="O66" s="7">
        <v>0</v>
      </c>
      <c r="P66" s="7">
        <v>0</v>
      </c>
      <c r="Q66" s="7">
        <v>0</v>
      </c>
      <c r="R66" s="7">
        <v>0</v>
      </c>
      <c r="S66" s="7">
        <v>0</v>
      </c>
    </row>
    <row r="67">
      <c r="A67" s="14" t="s">
        <v>413</v>
      </c>
      <c r="B67" s="2" t="s">
        <v>399</v>
      </c>
      <c r="C67" s="7">
        <v>0</v>
      </c>
      <c r="D67" s="7">
        <v>0</v>
      </c>
      <c r="E67" s="7">
        <v>0</v>
      </c>
      <c r="F67" s="7">
        <v>0</v>
      </c>
      <c r="G67" s="7">
        <v>0</v>
      </c>
      <c r="H67" s="7">
        <v>0</v>
      </c>
      <c r="I67" s="7">
        <v>0</v>
      </c>
      <c r="J67" s="7">
        <v>0</v>
      </c>
      <c r="K67" s="7">
        <v>0</v>
      </c>
      <c r="L67" s="7">
        <v>0</v>
      </c>
      <c r="M67" s="7">
        <v>0</v>
      </c>
      <c r="N67" s="7">
        <v>0</v>
      </c>
      <c r="O67" s="7">
        <v>0</v>
      </c>
      <c r="P67" s="7">
        <v>0</v>
      </c>
      <c r="Q67" s="7">
        <v>0</v>
      </c>
      <c r="R67" s="7">
        <v>0</v>
      </c>
      <c r="S67" s="7">
        <v>0</v>
      </c>
    </row>
    <row r="68">
      <c r="A68" s="14" t="s">
        <v>414</v>
      </c>
      <c r="B68" s="2" t="s">
        <v>399</v>
      </c>
      <c r="C68" s="7">
        <v>0</v>
      </c>
      <c r="D68" s="7">
        <v>0</v>
      </c>
      <c r="E68" s="7">
        <v>0</v>
      </c>
      <c r="F68" s="7">
        <v>0</v>
      </c>
      <c r="G68" s="7">
        <v>0</v>
      </c>
      <c r="H68" s="7">
        <v>0</v>
      </c>
      <c r="I68" s="7">
        <v>0</v>
      </c>
      <c r="J68" s="7">
        <v>0</v>
      </c>
      <c r="K68" s="7">
        <v>0</v>
      </c>
      <c r="L68" s="7">
        <v>0</v>
      </c>
      <c r="M68" s="7">
        <v>0</v>
      </c>
      <c r="N68" s="7">
        <v>0</v>
      </c>
      <c r="O68" s="7">
        <v>0</v>
      </c>
      <c r="P68" s="7">
        <v>0</v>
      </c>
      <c r="Q68" s="7">
        <v>0</v>
      </c>
      <c r="R68" s="7">
        <v>0</v>
      </c>
      <c r="S68" s="7">
        <v>0</v>
      </c>
    </row>
    <row r="69">
      <c r="A69" s="14" t="s">
        <v>415</v>
      </c>
      <c r="B69" s="2" t="s">
        <v>399</v>
      </c>
      <c r="C69" s="7">
        <v>0</v>
      </c>
      <c r="D69" s="7">
        <v>0</v>
      </c>
      <c r="E69" s="7">
        <v>0</v>
      </c>
      <c r="F69" s="7">
        <v>0</v>
      </c>
      <c r="G69" s="7">
        <v>0</v>
      </c>
      <c r="H69" s="7">
        <v>0</v>
      </c>
      <c r="I69" s="7">
        <v>0</v>
      </c>
      <c r="J69" s="7">
        <v>0</v>
      </c>
      <c r="K69" s="7">
        <v>0</v>
      </c>
      <c r="L69" s="7">
        <v>0</v>
      </c>
      <c r="M69" s="7">
        <v>0</v>
      </c>
      <c r="N69" s="7">
        <v>0</v>
      </c>
      <c r="O69" s="7">
        <v>0</v>
      </c>
      <c r="P69" s="7">
        <v>0</v>
      </c>
      <c r="Q69" s="7">
        <v>0</v>
      </c>
      <c r="R69" s="7">
        <v>0</v>
      </c>
      <c r="S69" s="7">
        <v>0</v>
      </c>
    </row>
    <row r="70">
      <c r="A70" s="14" t="s">
        <v>416</v>
      </c>
      <c r="B70" s="2" t="s">
        <v>399</v>
      </c>
      <c r="C70" s="7">
        <v>0</v>
      </c>
      <c r="D70" s="7">
        <v>0</v>
      </c>
      <c r="E70" s="7">
        <v>0</v>
      </c>
      <c r="F70" s="7">
        <v>0</v>
      </c>
      <c r="G70" s="7">
        <v>0</v>
      </c>
      <c r="H70" s="7">
        <v>0</v>
      </c>
      <c r="I70" s="7">
        <v>0</v>
      </c>
      <c r="J70" s="7">
        <v>0</v>
      </c>
      <c r="K70" s="7">
        <v>0</v>
      </c>
      <c r="L70" s="7">
        <v>0</v>
      </c>
      <c r="M70" s="7">
        <v>0</v>
      </c>
      <c r="N70" s="7">
        <v>0</v>
      </c>
      <c r="O70" s="7">
        <v>0</v>
      </c>
      <c r="P70" s="7">
        <v>0</v>
      </c>
      <c r="Q70" s="7">
        <v>0</v>
      </c>
      <c r="R70" s="7">
        <v>0</v>
      </c>
      <c r="S70" s="7">
        <v>0</v>
      </c>
    </row>
    <row r="71">
      <c r="A71" s="14" t="s">
        <v>417</v>
      </c>
      <c r="B71" s="2" t="s">
        <v>399</v>
      </c>
      <c r="C71" s="7">
        <v>0</v>
      </c>
      <c r="D71" s="7">
        <v>0</v>
      </c>
      <c r="E71" s="7">
        <v>0</v>
      </c>
      <c r="F71" s="7">
        <v>0</v>
      </c>
      <c r="G71" s="7">
        <v>0</v>
      </c>
      <c r="H71" s="7">
        <v>0</v>
      </c>
      <c r="I71" s="7">
        <v>0</v>
      </c>
      <c r="J71" s="7">
        <v>0</v>
      </c>
      <c r="K71" s="7">
        <v>0</v>
      </c>
      <c r="L71" s="7">
        <v>0</v>
      </c>
      <c r="M71" s="7">
        <v>0</v>
      </c>
      <c r="N71" s="7">
        <v>0</v>
      </c>
      <c r="O71" s="7">
        <v>0</v>
      </c>
      <c r="P71" s="7">
        <v>0</v>
      </c>
      <c r="Q71" s="7">
        <v>0</v>
      </c>
      <c r="R71" s="7">
        <v>0</v>
      </c>
      <c r="S71" s="7">
        <v>0</v>
      </c>
    </row>
    <row r="72">
      <c r="A72" s="14" t="s">
        <v>418</v>
      </c>
      <c r="B72" s="2" t="s">
        <v>399</v>
      </c>
      <c r="C72" s="7">
        <v>0</v>
      </c>
      <c r="D72" s="7">
        <v>0</v>
      </c>
      <c r="E72" s="7">
        <v>0</v>
      </c>
      <c r="F72" s="7">
        <v>0</v>
      </c>
      <c r="G72" s="7">
        <v>0</v>
      </c>
      <c r="H72" s="7">
        <v>0</v>
      </c>
      <c r="I72" s="7">
        <v>0</v>
      </c>
      <c r="J72" s="7">
        <v>0</v>
      </c>
      <c r="K72" s="7">
        <v>0</v>
      </c>
      <c r="L72" s="7">
        <v>0</v>
      </c>
      <c r="M72" s="7">
        <v>0</v>
      </c>
      <c r="N72" s="7">
        <v>0</v>
      </c>
      <c r="O72" s="7">
        <v>0</v>
      </c>
      <c r="P72" s="7">
        <v>0</v>
      </c>
      <c r="Q72" s="7">
        <v>0</v>
      </c>
      <c r="R72" s="7">
        <v>0</v>
      </c>
      <c r="S72" s="7">
        <v>0</v>
      </c>
    </row>
    <row r="73">
      <c r="A73" s="14" t="s">
        <v>419</v>
      </c>
      <c r="B73" s="2" t="s">
        <v>399</v>
      </c>
      <c r="C73" s="7">
        <v>0</v>
      </c>
      <c r="D73" s="7">
        <v>0</v>
      </c>
      <c r="E73" s="7">
        <v>0</v>
      </c>
      <c r="F73" s="7">
        <v>0</v>
      </c>
      <c r="G73" s="7">
        <v>0</v>
      </c>
      <c r="H73" s="7">
        <v>0</v>
      </c>
      <c r="I73" s="7">
        <v>0</v>
      </c>
      <c r="J73" s="7">
        <v>0</v>
      </c>
      <c r="K73" s="7">
        <v>0</v>
      </c>
      <c r="L73" s="7">
        <v>0</v>
      </c>
      <c r="M73" s="7">
        <v>0</v>
      </c>
      <c r="N73" s="7">
        <v>0</v>
      </c>
      <c r="O73" s="7">
        <v>0</v>
      </c>
      <c r="P73" s="7">
        <v>0</v>
      </c>
      <c r="Q73" s="7">
        <v>0</v>
      </c>
      <c r="R73" s="7">
        <v>0</v>
      </c>
      <c r="S73" s="7">
        <v>0</v>
      </c>
    </row>
    <row r="74">
      <c r="A74" s="14" t="s">
        <v>420</v>
      </c>
      <c r="B74" s="2" t="s">
        <v>399</v>
      </c>
      <c r="C74" s="7">
        <v>0</v>
      </c>
      <c r="D74" s="7">
        <v>0</v>
      </c>
      <c r="E74" s="7">
        <v>0</v>
      </c>
      <c r="F74" s="7">
        <v>0</v>
      </c>
      <c r="G74" s="7">
        <v>0</v>
      </c>
      <c r="H74" s="7">
        <v>0</v>
      </c>
      <c r="I74" s="7">
        <v>0</v>
      </c>
      <c r="J74" s="7">
        <v>0</v>
      </c>
      <c r="K74" s="7">
        <v>0</v>
      </c>
      <c r="L74" s="7">
        <v>0</v>
      </c>
      <c r="M74" s="7">
        <v>0</v>
      </c>
      <c r="N74" s="7">
        <v>0</v>
      </c>
      <c r="O74" s="7">
        <v>0</v>
      </c>
      <c r="P74" s="7">
        <v>0</v>
      </c>
      <c r="Q74" s="7">
        <v>0</v>
      </c>
      <c r="R74" s="7">
        <v>0</v>
      </c>
      <c r="S74" s="7">
        <v>0</v>
      </c>
    </row>
    <row r="75">
      <c r="A75" s="14" t="s">
        <v>421</v>
      </c>
      <c r="B75" s="2" t="s">
        <v>399</v>
      </c>
      <c r="C75" s="7">
        <v>0</v>
      </c>
      <c r="D75" s="7">
        <v>0</v>
      </c>
      <c r="E75" s="7">
        <v>0</v>
      </c>
      <c r="F75" s="7">
        <v>0</v>
      </c>
      <c r="G75" s="7">
        <v>0</v>
      </c>
      <c r="H75" s="7">
        <v>0</v>
      </c>
      <c r="I75" s="7">
        <v>0</v>
      </c>
      <c r="J75" s="7">
        <v>0</v>
      </c>
      <c r="K75" s="7">
        <v>0</v>
      </c>
      <c r="L75" s="7">
        <v>0</v>
      </c>
      <c r="M75" s="7">
        <v>0</v>
      </c>
      <c r="N75" s="7">
        <v>0</v>
      </c>
      <c r="O75" s="7">
        <v>0</v>
      </c>
      <c r="P75" s="7">
        <v>0</v>
      </c>
      <c r="Q75" s="7">
        <v>0</v>
      </c>
      <c r="R75" s="7">
        <v>0</v>
      </c>
      <c r="S75" s="7">
        <v>0</v>
      </c>
    </row>
    <row r="76">
      <c r="A76" s="14" t="s">
        <v>422</v>
      </c>
      <c r="B76" s="2" t="s">
        <v>399</v>
      </c>
      <c r="C76" s="7">
        <v>0</v>
      </c>
      <c r="D76" s="7">
        <v>0</v>
      </c>
      <c r="E76" s="7">
        <v>0</v>
      </c>
      <c r="F76" s="7">
        <v>0</v>
      </c>
      <c r="G76" s="7">
        <v>0</v>
      </c>
      <c r="H76" s="7">
        <v>0</v>
      </c>
      <c r="I76" s="7">
        <v>0</v>
      </c>
      <c r="J76" s="7">
        <v>0</v>
      </c>
      <c r="K76" s="7">
        <v>0</v>
      </c>
      <c r="L76" s="7">
        <v>0</v>
      </c>
      <c r="M76" s="7">
        <v>0</v>
      </c>
      <c r="N76" s="7">
        <v>0</v>
      </c>
      <c r="O76" s="7">
        <v>0</v>
      </c>
      <c r="P76" s="7">
        <v>0</v>
      </c>
      <c r="Q76" s="7">
        <v>0</v>
      </c>
      <c r="R76" s="7">
        <v>0</v>
      </c>
      <c r="S76" s="7">
        <v>0</v>
      </c>
    </row>
    <row r="77">
      <c r="A77" s="14" t="s">
        <v>423</v>
      </c>
      <c r="B77" s="2" t="s">
        <v>399</v>
      </c>
      <c r="C77" s="7">
        <v>0</v>
      </c>
      <c r="D77" s="7">
        <v>0</v>
      </c>
      <c r="E77" s="7">
        <v>0</v>
      </c>
      <c r="F77" s="7">
        <v>0</v>
      </c>
      <c r="G77" s="7">
        <v>0</v>
      </c>
      <c r="H77" s="7">
        <v>0</v>
      </c>
      <c r="I77" s="7">
        <v>0</v>
      </c>
      <c r="J77" s="7">
        <v>0</v>
      </c>
      <c r="K77" s="7">
        <v>0</v>
      </c>
      <c r="L77" s="7">
        <v>0</v>
      </c>
      <c r="M77" s="7">
        <v>0</v>
      </c>
      <c r="N77" s="7">
        <v>0</v>
      </c>
      <c r="O77" s="7">
        <v>0</v>
      </c>
      <c r="P77" s="7">
        <v>0</v>
      </c>
      <c r="Q77" s="7">
        <v>0</v>
      </c>
      <c r="R77" s="7">
        <v>0</v>
      </c>
      <c r="S77" s="7">
        <v>0</v>
      </c>
    </row>
    <row r="78">
      <c r="A78" s="14" t="s">
        <v>424</v>
      </c>
      <c r="B78" s="2" t="s">
        <v>399</v>
      </c>
      <c r="C78" s="7">
        <v>0</v>
      </c>
      <c r="D78" s="7">
        <v>0</v>
      </c>
      <c r="E78" s="7">
        <v>0</v>
      </c>
      <c r="F78" s="7">
        <v>0</v>
      </c>
      <c r="G78" s="7">
        <v>0</v>
      </c>
      <c r="H78" s="7">
        <v>0</v>
      </c>
      <c r="I78" s="7">
        <v>0</v>
      </c>
      <c r="J78" s="7">
        <v>0</v>
      </c>
      <c r="K78" s="7">
        <v>0</v>
      </c>
      <c r="L78" s="7">
        <v>0</v>
      </c>
      <c r="M78" s="7">
        <v>0</v>
      </c>
      <c r="N78" s="7">
        <v>0</v>
      </c>
      <c r="O78" s="7">
        <v>0</v>
      </c>
      <c r="P78" s="7">
        <v>0</v>
      </c>
      <c r="Q78" s="7">
        <v>0</v>
      </c>
      <c r="R78" s="7">
        <v>0</v>
      </c>
      <c r="S78" s="7">
        <v>0</v>
      </c>
    </row>
    <row r="79">
      <c r="A79" s="14" t="s">
        <v>425</v>
      </c>
      <c r="B79" s="2" t="s">
        <v>399</v>
      </c>
      <c r="C79" s="7">
        <v>0</v>
      </c>
      <c r="D79" s="7">
        <v>0</v>
      </c>
      <c r="E79" s="7">
        <v>0</v>
      </c>
      <c r="F79" s="7">
        <v>0</v>
      </c>
      <c r="G79" s="7">
        <v>0</v>
      </c>
      <c r="H79" s="7">
        <v>0</v>
      </c>
      <c r="I79" s="7">
        <v>0</v>
      </c>
      <c r="J79" s="7">
        <v>0</v>
      </c>
      <c r="K79" s="7">
        <v>0</v>
      </c>
      <c r="L79" s="7">
        <v>0</v>
      </c>
      <c r="M79" s="7">
        <v>0</v>
      </c>
      <c r="N79" s="7">
        <v>0</v>
      </c>
      <c r="O79" s="7">
        <v>0</v>
      </c>
      <c r="P79" s="7">
        <v>0</v>
      </c>
      <c r="Q79" s="7">
        <v>0</v>
      </c>
      <c r="R79" s="7">
        <v>0</v>
      </c>
      <c r="S79" s="7">
        <v>0</v>
      </c>
    </row>
    <row r="80">
      <c r="A80" s="14" t="s">
        <v>426</v>
      </c>
      <c r="B80" s="2" t="s">
        <v>399</v>
      </c>
      <c r="C80" s="7">
        <v>0</v>
      </c>
      <c r="D80" s="7">
        <v>0</v>
      </c>
      <c r="E80" s="7">
        <v>0</v>
      </c>
      <c r="F80" s="7">
        <v>0</v>
      </c>
      <c r="G80" s="7">
        <v>0</v>
      </c>
      <c r="H80" s="7">
        <v>0</v>
      </c>
      <c r="I80" s="7">
        <v>0</v>
      </c>
      <c r="J80" s="7">
        <v>0</v>
      </c>
      <c r="K80" s="7">
        <v>0</v>
      </c>
      <c r="L80" s="7">
        <v>0</v>
      </c>
      <c r="M80" s="7">
        <v>0</v>
      </c>
      <c r="N80" s="7">
        <v>0</v>
      </c>
      <c r="O80" s="7">
        <v>0</v>
      </c>
      <c r="P80" s="7">
        <v>0</v>
      </c>
      <c r="Q80" s="7">
        <v>0</v>
      </c>
      <c r="R80" s="7">
        <v>0</v>
      </c>
      <c r="S80" s="7">
        <v>0</v>
      </c>
    </row>
    <row r="81">
      <c r="A81" s="14" t="s">
        <v>427</v>
      </c>
      <c r="B81" s="2" t="s">
        <v>399</v>
      </c>
      <c r="C81" s="7">
        <v>0</v>
      </c>
      <c r="D81" s="7">
        <v>0</v>
      </c>
      <c r="E81" s="7">
        <v>0</v>
      </c>
      <c r="F81" s="7">
        <v>0</v>
      </c>
      <c r="G81" s="7">
        <v>0</v>
      </c>
      <c r="H81" s="7">
        <v>0</v>
      </c>
      <c r="I81" s="7">
        <v>0</v>
      </c>
      <c r="J81" s="7">
        <v>0</v>
      </c>
      <c r="K81" s="7">
        <v>0</v>
      </c>
      <c r="L81" s="7">
        <v>0</v>
      </c>
      <c r="M81" s="7">
        <v>0</v>
      </c>
      <c r="N81" s="7">
        <v>0</v>
      </c>
      <c r="O81" s="7">
        <v>0</v>
      </c>
      <c r="P81" s="7">
        <v>0</v>
      </c>
      <c r="Q81" s="7">
        <v>0</v>
      </c>
      <c r="R81" s="7">
        <v>0</v>
      </c>
      <c r="S81" s="7">
        <v>0</v>
      </c>
    </row>
    <row r="82">
      <c r="A82" s="14" t="s">
        <v>428</v>
      </c>
      <c r="B82" s="2" t="s">
        <v>399</v>
      </c>
      <c r="C82" s="7">
        <v>0</v>
      </c>
      <c r="D82" s="7">
        <v>0</v>
      </c>
      <c r="E82" s="7">
        <v>0</v>
      </c>
      <c r="F82" s="7">
        <v>0</v>
      </c>
      <c r="G82" s="7">
        <v>0</v>
      </c>
      <c r="H82" s="7">
        <v>0</v>
      </c>
      <c r="I82" s="7">
        <v>0</v>
      </c>
      <c r="J82" s="7">
        <v>0</v>
      </c>
      <c r="K82" s="7">
        <v>0</v>
      </c>
      <c r="L82" s="7">
        <v>0</v>
      </c>
      <c r="M82" s="7">
        <v>0</v>
      </c>
      <c r="N82" s="7">
        <v>0</v>
      </c>
      <c r="O82" s="7">
        <v>0</v>
      </c>
      <c r="P82" s="7">
        <v>0</v>
      </c>
      <c r="Q82" s="7">
        <v>0</v>
      </c>
      <c r="R82" s="7">
        <v>0</v>
      </c>
      <c r="S82" s="7">
        <v>0</v>
      </c>
    </row>
    <row r="83">
      <c r="A83" s="14" t="s">
        <v>429</v>
      </c>
      <c r="B83" s="2" t="s">
        <v>399</v>
      </c>
      <c r="C83" s="7">
        <v>0</v>
      </c>
      <c r="D83" s="7">
        <v>0</v>
      </c>
      <c r="E83" s="7">
        <v>0</v>
      </c>
      <c r="F83" s="7">
        <v>0</v>
      </c>
      <c r="G83" s="7">
        <v>0</v>
      </c>
      <c r="H83" s="7">
        <v>0</v>
      </c>
      <c r="I83" s="7">
        <v>0</v>
      </c>
      <c r="J83" s="7">
        <v>0</v>
      </c>
      <c r="K83" s="7">
        <v>0</v>
      </c>
      <c r="L83" s="7">
        <v>0</v>
      </c>
      <c r="M83" s="7">
        <v>0</v>
      </c>
      <c r="N83" s="7">
        <v>0</v>
      </c>
      <c r="O83" s="7">
        <v>0</v>
      </c>
      <c r="P83" s="7">
        <v>0</v>
      </c>
      <c r="Q83" s="7">
        <v>0</v>
      </c>
      <c r="R83" s="7">
        <v>0</v>
      </c>
      <c r="S83" s="7">
        <v>0</v>
      </c>
    </row>
    <row r="84">
      <c r="A84" s="14" t="s">
        <v>430</v>
      </c>
      <c r="B84" s="2" t="s">
        <v>399</v>
      </c>
      <c r="C84" s="7">
        <v>0</v>
      </c>
      <c r="D84" s="7">
        <v>0</v>
      </c>
      <c r="E84" s="7">
        <v>0</v>
      </c>
      <c r="F84" s="7">
        <v>0</v>
      </c>
      <c r="G84" s="7">
        <v>0</v>
      </c>
      <c r="H84" s="7">
        <v>0</v>
      </c>
      <c r="I84" s="7">
        <v>0</v>
      </c>
      <c r="J84" s="7">
        <v>0</v>
      </c>
      <c r="K84" s="7">
        <v>0</v>
      </c>
      <c r="L84" s="7">
        <v>0</v>
      </c>
      <c r="M84" s="7">
        <v>0</v>
      </c>
      <c r="N84" s="7">
        <v>0</v>
      </c>
      <c r="O84" s="7">
        <v>0</v>
      </c>
      <c r="P84" s="7">
        <v>0</v>
      </c>
      <c r="Q84" s="7">
        <v>0</v>
      </c>
      <c r="R84" s="7">
        <v>0</v>
      </c>
      <c r="S84" s="7">
        <v>0</v>
      </c>
    </row>
    <row r="85">
      <c r="A85" s="14" t="s">
        <v>431</v>
      </c>
      <c r="B85" s="2" t="s">
        <v>399</v>
      </c>
      <c r="C85" s="7">
        <v>0</v>
      </c>
      <c r="D85" s="7">
        <v>0</v>
      </c>
      <c r="E85" s="7">
        <v>0</v>
      </c>
      <c r="F85" s="7">
        <v>0</v>
      </c>
      <c r="G85" s="7">
        <v>0</v>
      </c>
      <c r="H85" s="7">
        <v>0</v>
      </c>
      <c r="I85" s="7">
        <v>0</v>
      </c>
      <c r="J85" s="7">
        <v>0</v>
      </c>
      <c r="K85" s="7">
        <v>0</v>
      </c>
      <c r="L85" s="7">
        <v>0</v>
      </c>
      <c r="M85" s="7">
        <v>0</v>
      </c>
      <c r="N85" s="7">
        <v>0</v>
      </c>
      <c r="O85" s="7">
        <v>0</v>
      </c>
      <c r="P85" s="7">
        <v>0</v>
      </c>
      <c r="Q85" s="7">
        <v>0</v>
      </c>
      <c r="R85" s="7">
        <v>0</v>
      </c>
      <c r="S85" s="7">
        <v>0</v>
      </c>
    </row>
    <row r="86">
      <c r="A86" s="14" t="s">
        <v>432</v>
      </c>
      <c r="B86" s="2" t="s">
        <v>399</v>
      </c>
      <c r="C86" s="7">
        <v>0</v>
      </c>
      <c r="D86" s="7">
        <v>0</v>
      </c>
      <c r="E86" s="7">
        <v>0</v>
      </c>
      <c r="F86" s="7">
        <v>0</v>
      </c>
      <c r="G86" s="7">
        <v>0</v>
      </c>
      <c r="H86" s="7">
        <v>0</v>
      </c>
      <c r="I86" s="7">
        <v>0</v>
      </c>
      <c r="J86" s="7">
        <v>0</v>
      </c>
      <c r="K86" s="7">
        <v>0</v>
      </c>
      <c r="L86" s="7">
        <v>0</v>
      </c>
      <c r="M86" s="7">
        <v>0</v>
      </c>
      <c r="N86" s="7">
        <v>0</v>
      </c>
      <c r="O86" s="7">
        <v>0</v>
      </c>
      <c r="P86" s="7">
        <v>0</v>
      </c>
      <c r="Q86" s="7">
        <v>0</v>
      </c>
      <c r="R86" s="7">
        <v>0</v>
      </c>
      <c r="S86" s="7">
        <v>0</v>
      </c>
    </row>
    <row r="87">
      <c r="A87" s="14" t="s">
        <v>433</v>
      </c>
      <c r="B87" s="2" t="s">
        <v>399</v>
      </c>
      <c r="C87" s="7">
        <v>0</v>
      </c>
      <c r="D87" s="7">
        <v>0</v>
      </c>
      <c r="E87" s="7">
        <v>0</v>
      </c>
      <c r="F87" s="7">
        <v>0</v>
      </c>
      <c r="G87" s="7">
        <v>0</v>
      </c>
      <c r="H87" s="7">
        <v>0</v>
      </c>
      <c r="I87" s="7">
        <v>0</v>
      </c>
      <c r="J87" s="7">
        <v>0</v>
      </c>
      <c r="K87" s="7">
        <v>0</v>
      </c>
      <c r="L87" s="7">
        <v>0</v>
      </c>
      <c r="M87" s="7">
        <v>0</v>
      </c>
      <c r="N87" s="7">
        <v>0</v>
      </c>
      <c r="O87" s="7">
        <v>0</v>
      </c>
      <c r="P87" s="7">
        <v>0</v>
      </c>
      <c r="Q87" s="7">
        <v>0</v>
      </c>
      <c r="R87" s="7">
        <v>0</v>
      </c>
      <c r="S87" s="7">
        <v>0</v>
      </c>
    </row>
    <row r="88">
      <c r="A88" s="14" t="s">
        <v>434</v>
      </c>
      <c r="B88" s="2" t="s">
        <v>399</v>
      </c>
      <c r="C88" s="7">
        <v>0</v>
      </c>
      <c r="D88" s="7">
        <v>0</v>
      </c>
      <c r="E88" s="7">
        <v>0</v>
      </c>
      <c r="F88" s="7">
        <v>0</v>
      </c>
      <c r="G88" s="7">
        <v>0</v>
      </c>
      <c r="H88" s="7">
        <v>0</v>
      </c>
      <c r="I88" s="7">
        <v>0</v>
      </c>
      <c r="J88" s="7">
        <v>0</v>
      </c>
      <c r="K88" s="7">
        <v>0</v>
      </c>
      <c r="L88" s="7">
        <v>0</v>
      </c>
      <c r="M88" s="7">
        <v>0</v>
      </c>
      <c r="N88" s="7">
        <v>0</v>
      </c>
      <c r="O88" s="7">
        <v>0</v>
      </c>
      <c r="P88" s="7">
        <v>0</v>
      </c>
      <c r="Q88" s="7">
        <v>0</v>
      </c>
      <c r="R88" s="7">
        <v>0</v>
      </c>
      <c r="S88" s="7">
        <v>0</v>
      </c>
    </row>
    <row r="89">
      <c r="A89" s="14" t="s">
        <v>435</v>
      </c>
      <c r="B89" s="2" t="s">
        <v>399</v>
      </c>
      <c r="C89" s="7">
        <v>0</v>
      </c>
      <c r="D89" s="7">
        <v>0</v>
      </c>
      <c r="E89" s="7">
        <v>0</v>
      </c>
      <c r="F89" s="7">
        <v>0</v>
      </c>
      <c r="G89" s="7">
        <v>0</v>
      </c>
      <c r="H89" s="7">
        <v>0</v>
      </c>
      <c r="I89" s="7">
        <v>0</v>
      </c>
      <c r="J89" s="7">
        <v>0</v>
      </c>
      <c r="K89" s="7">
        <v>0</v>
      </c>
      <c r="L89" s="7">
        <v>0</v>
      </c>
      <c r="M89" s="7">
        <v>0</v>
      </c>
      <c r="N89" s="7">
        <v>0</v>
      </c>
      <c r="O89" s="7">
        <v>0</v>
      </c>
      <c r="P89" s="7">
        <v>0</v>
      </c>
      <c r="Q89" s="7">
        <v>0</v>
      </c>
      <c r="R89" s="7">
        <v>0</v>
      </c>
      <c r="S89" s="7">
        <v>0</v>
      </c>
    </row>
    <row r="90">
      <c r="A90" s="14" t="s">
        <v>436</v>
      </c>
      <c r="B90" s="2" t="s">
        <v>399</v>
      </c>
      <c r="C90" s="7">
        <v>0</v>
      </c>
      <c r="D90" s="7">
        <v>0</v>
      </c>
      <c r="E90" s="7">
        <v>0</v>
      </c>
      <c r="F90" s="7">
        <v>0</v>
      </c>
      <c r="G90" s="7">
        <v>0</v>
      </c>
      <c r="H90" s="7">
        <v>0</v>
      </c>
      <c r="I90" s="7">
        <v>0</v>
      </c>
      <c r="J90" s="7">
        <v>0</v>
      </c>
      <c r="K90" s="7">
        <v>0</v>
      </c>
      <c r="L90" s="7">
        <v>0</v>
      </c>
      <c r="M90" s="7">
        <v>0</v>
      </c>
      <c r="N90" s="7">
        <v>0</v>
      </c>
      <c r="O90" s="7">
        <v>0</v>
      </c>
      <c r="P90" s="7">
        <v>0</v>
      </c>
      <c r="Q90" s="7">
        <v>0</v>
      </c>
      <c r="R90" s="7">
        <v>0</v>
      </c>
      <c r="S90" s="7">
        <v>0</v>
      </c>
    </row>
    <row r="91">
      <c r="A91" s="14" t="s">
        <v>437</v>
      </c>
      <c r="B91" s="2" t="s">
        <v>399</v>
      </c>
      <c r="C91" s="7">
        <v>0</v>
      </c>
      <c r="D91" s="7">
        <v>0</v>
      </c>
      <c r="E91" s="7">
        <v>0</v>
      </c>
      <c r="F91" s="7">
        <v>0</v>
      </c>
      <c r="G91" s="7">
        <v>0</v>
      </c>
      <c r="H91" s="7">
        <v>0</v>
      </c>
      <c r="I91" s="7">
        <v>0</v>
      </c>
      <c r="J91" s="7">
        <v>0</v>
      </c>
      <c r="K91" s="7">
        <v>0</v>
      </c>
      <c r="L91" s="7">
        <v>0</v>
      </c>
      <c r="M91" s="7">
        <v>0</v>
      </c>
      <c r="N91" s="7">
        <v>0</v>
      </c>
      <c r="O91" s="7">
        <v>0</v>
      </c>
      <c r="P91" s="7">
        <v>0</v>
      </c>
      <c r="Q91" s="7">
        <v>0</v>
      </c>
      <c r="R91" s="7">
        <v>0</v>
      </c>
      <c r="S91" s="7">
        <v>0</v>
      </c>
    </row>
    <row r="92">
      <c r="A92" s="14" t="s">
        <v>438</v>
      </c>
      <c r="B92" s="2" t="s">
        <v>399</v>
      </c>
      <c r="C92" s="7">
        <v>0</v>
      </c>
      <c r="D92" s="7">
        <v>0</v>
      </c>
      <c r="E92" s="7">
        <v>0</v>
      </c>
      <c r="F92" s="7">
        <v>0</v>
      </c>
      <c r="G92" s="7">
        <v>0</v>
      </c>
      <c r="H92" s="7">
        <v>0</v>
      </c>
      <c r="I92" s="7">
        <v>0</v>
      </c>
      <c r="J92" s="7">
        <v>0</v>
      </c>
      <c r="K92" s="7">
        <v>0</v>
      </c>
      <c r="L92" s="7">
        <v>0</v>
      </c>
      <c r="M92" s="7">
        <v>0</v>
      </c>
      <c r="N92" s="7">
        <v>0</v>
      </c>
      <c r="O92" s="7">
        <v>0</v>
      </c>
      <c r="P92" s="7">
        <v>0</v>
      </c>
      <c r="Q92" s="7">
        <v>0</v>
      </c>
      <c r="R92" s="7">
        <v>0</v>
      </c>
      <c r="S92" s="7">
        <v>0</v>
      </c>
    </row>
    <row r="93">
      <c r="A93" s="14" t="s">
        <v>439</v>
      </c>
      <c r="B93" s="2" t="s">
        <v>399</v>
      </c>
      <c r="C93" s="7">
        <v>0</v>
      </c>
      <c r="D93" s="7">
        <v>0</v>
      </c>
      <c r="E93" s="7">
        <v>0</v>
      </c>
      <c r="F93" s="7">
        <v>0</v>
      </c>
      <c r="G93" s="7">
        <v>0</v>
      </c>
      <c r="H93" s="7">
        <v>0</v>
      </c>
      <c r="I93" s="7">
        <v>0</v>
      </c>
      <c r="J93" s="7">
        <v>0</v>
      </c>
      <c r="K93" s="7">
        <v>0</v>
      </c>
      <c r="L93" s="7">
        <v>0</v>
      </c>
      <c r="M93" s="7">
        <v>0</v>
      </c>
      <c r="N93" s="7">
        <v>0</v>
      </c>
      <c r="O93" s="7">
        <v>0</v>
      </c>
      <c r="P93" s="7">
        <v>0</v>
      </c>
      <c r="Q93" s="7">
        <v>0</v>
      </c>
      <c r="R93" s="7">
        <v>0</v>
      </c>
      <c r="S93" s="7">
        <v>0</v>
      </c>
    </row>
    <row r="94">
      <c r="A94" s="14" t="s">
        <v>440</v>
      </c>
      <c r="B94" s="2" t="s">
        <v>399</v>
      </c>
      <c r="C94" s="7">
        <v>0</v>
      </c>
      <c r="D94" s="7">
        <v>0</v>
      </c>
      <c r="E94" s="7">
        <v>0</v>
      </c>
      <c r="F94" s="7">
        <v>0</v>
      </c>
      <c r="G94" s="7">
        <v>0</v>
      </c>
      <c r="H94" s="7">
        <v>0</v>
      </c>
      <c r="I94" s="7">
        <v>0</v>
      </c>
      <c r="J94" s="7">
        <v>0</v>
      </c>
      <c r="K94" s="7">
        <v>0</v>
      </c>
      <c r="L94" s="7">
        <v>0</v>
      </c>
      <c r="M94" s="7">
        <v>0</v>
      </c>
      <c r="N94" s="7">
        <v>0</v>
      </c>
      <c r="O94" s="7">
        <v>0</v>
      </c>
      <c r="P94" s="7">
        <v>0</v>
      </c>
      <c r="Q94" s="7">
        <v>0</v>
      </c>
      <c r="R94" s="7">
        <v>0</v>
      </c>
      <c r="S94" s="7">
        <v>0</v>
      </c>
    </row>
    <row r="95">
      <c r="A95" s="14" t="s">
        <v>441</v>
      </c>
      <c r="B95" s="2" t="s">
        <v>399</v>
      </c>
      <c r="C95" s="7">
        <v>0</v>
      </c>
      <c r="D95" s="7">
        <v>0</v>
      </c>
      <c r="E95" s="7">
        <v>0</v>
      </c>
      <c r="F95" s="7">
        <v>0</v>
      </c>
      <c r="G95" s="7">
        <v>0</v>
      </c>
      <c r="H95" s="7">
        <v>0</v>
      </c>
      <c r="I95" s="7">
        <v>0</v>
      </c>
      <c r="J95" s="7">
        <v>0</v>
      </c>
      <c r="K95" s="7">
        <v>0</v>
      </c>
      <c r="L95" s="7">
        <v>0</v>
      </c>
      <c r="M95" s="7">
        <v>0</v>
      </c>
      <c r="N95" s="7">
        <v>0</v>
      </c>
      <c r="O95" s="7">
        <v>0</v>
      </c>
      <c r="P95" s="7">
        <v>0</v>
      </c>
      <c r="Q95" s="7">
        <v>0</v>
      </c>
      <c r="R95" s="7">
        <v>0</v>
      </c>
      <c r="S95" s="7">
        <v>0</v>
      </c>
    </row>
    <row r="96">
      <c r="A96" s="14" t="s">
        <v>442</v>
      </c>
      <c r="B96" s="2" t="s">
        <v>399</v>
      </c>
      <c r="C96" s="7">
        <v>0</v>
      </c>
      <c r="D96" s="7">
        <v>0</v>
      </c>
      <c r="E96" s="7">
        <v>0</v>
      </c>
      <c r="F96" s="7">
        <v>0</v>
      </c>
      <c r="G96" s="7">
        <v>0</v>
      </c>
      <c r="H96" s="7">
        <v>0</v>
      </c>
      <c r="I96" s="7">
        <v>0</v>
      </c>
      <c r="J96" s="7">
        <v>0</v>
      </c>
      <c r="K96" s="7">
        <v>0</v>
      </c>
      <c r="L96" s="7">
        <v>0</v>
      </c>
      <c r="M96" s="7">
        <v>0</v>
      </c>
      <c r="N96" s="7">
        <v>0</v>
      </c>
      <c r="O96" s="7">
        <v>0</v>
      </c>
      <c r="P96" s="7">
        <v>0</v>
      </c>
      <c r="Q96" s="7">
        <v>0</v>
      </c>
      <c r="R96" s="7">
        <v>0</v>
      </c>
      <c r="S96" s="7">
        <v>0</v>
      </c>
    </row>
    <row r="97">
      <c r="A97" s="14" t="s">
        <v>443</v>
      </c>
      <c r="B97" s="2" t="s">
        <v>399</v>
      </c>
      <c r="C97" s="7">
        <v>0</v>
      </c>
      <c r="D97" s="7">
        <v>0</v>
      </c>
      <c r="E97" s="7">
        <v>0</v>
      </c>
      <c r="F97" s="7">
        <v>0</v>
      </c>
      <c r="G97" s="7">
        <v>0</v>
      </c>
      <c r="H97" s="7">
        <v>0</v>
      </c>
      <c r="I97" s="7">
        <v>0</v>
      </c>
      <c r="J97" s="7">
        <v>0</v>
      </c>
      <c r="K97" s="7">
        <v>0</v>
      </c>
      <c r="L97" s="7">
        <v>0</v>
      </c>
      <c r="M97" s="7">
        <v>0</v>
      </c>
      <c r="N97" s="7">
        <v>0</v>
      </c>
      <c r="O97" s="7">
        <v>0</v>
      </c>
      <c r="P97" s="7">
        <v>0</v>
      </c>
      <c r="Q97" s="7">
        <v>0</v>
      </c>
      <c r="R97" s="7">
        <v>0</v>
      </c>
      <c r="S97" s="7">
        <v>0</v>
      </c>
    </row>
    <row r="98">
      <c r="A98" s="14" t="s">
        <v>444</v>
      </c>
      <c r="B98" s="2" t="s">
        <v>399</v>
      </c>
      <c r="C98" s="7">
        <v>0</v>
      </c>
      <c r="D98" s="7">
        <v>0</v>
      </c>
      <c r="E98" s="7">
        <v>0</v>
      </c>
      <c r="F98" s="7">
        <v>0</v>
      </c>
      <c r="G98" s="7">
        <v>0</v>
      </c>
      <c r="H98" s="7">
        <v>0</v>
      </c>
      <c r="I98" s="7">
        <v>0</v>
      </c>
      <c r="J98" s="7">
        <v>0</v>
      </c>
      <c r="K98" s="7">
        <v>0</v>
      </c>
      <c r="L98" s="7">
        <v>0</v>
      </c>
      <c r="M98" s="7">
        <v>0</v>
      </c>
      <c r="N98" s="7">
        <v>0</v>
      </c>
      <c r="O98" s="7">
        <v>0</v>
      </c>
      <c r="P98" s="7">
        <v>0</v>
      </c>
      <c r="Q98" s="7">
        <v>0</v>
      </c>
      <c r="R98" s="7">
        <v>0</v>
      </c>
      <c r="S98" s="7">
        <v>0</v>
      </c>
    </row>
    <row r="99">
      <c r="A99" s="15" t="s">
        <v>445</v>
      </c>
      <c r="C99" s="8">
        <f>SUM(C6:C47)</f>
        <v>139319</v>
      </c>
      <c r="D99" s="8">
        <f>SUM(D6:D47)</f>
        <v>142446</v>
      </c>
      <c r="E99" s="8">
        <f>SUM(E6:E47)</f>
        <v>155156</v>
      </c>
      <c r="F99" s="8">
        <f>SUM(F6:F47)</f>
        <v>156811</v>
      </c>
      <c r="G99" s="8">
        <f>SUM(G6:G47)</f>
        <v>150571</v>
      </c>
      <c r="H99" s="8">
        <f>SUM(H6:H47)</f>
        <v>149454</v>
      </c>
      <c r="I99" s="8">
        <f>SUM(I6:I47)</f>
        <v>158046</v>
      </c>
      <c r="J99" s="8">
        <f>SUM(J6:J47)</f>
        <v>156757</v>
      </c>
      <c r="K99" s="8">
        <f>SUM(K6:K47)</f>
        <v>172792</v>
      </c>
      <c r="L99" s="8">
        <f>SUM(L6:L47)</f>
        <v>165916</v>
      </c>
      <c r="M99" s="8">
        <f>SUM(M6:M47)</f>
        <v>173681</v>
      </c>
      <c r="N99" s="8">
        <f>SUM(N6:N47)</f>
        <v>162181</v>
      </c>
      <c r="O99" s="8">
        <f>SUM(O6:O47)</f>
        <v>161629</v>
      </c>
      <c r="P99" s="8">
        <f>SUM(P6:P47)</f>
        <v>166460</v>
      </c>
      <c r="Q99" s="8">
        <f>SUM(Q6:Q47)</f>
        <v>173816</v>
      </c>
      <c r="R99" s="8">
        <f>SUM(R6:R47)</f>
        <v>175850</v>
      </c>
      <c r="S99" s="8">
        <f>SUM(S6:S47)</f>
        <v>186642</v>
      </c>
    </row>
    <row r="100">
      <c r="A100" s="15" t="s">
        <v>446</v>
      </c>
      <c r="C100" s="8">
        <f>SUM(C48:C52)</f>
        <v>2090</v>
      </c>
      <c r="D100" s="8">
        <f>SUM(D48:D52)</f>
        <v>2391</v>
      </c>
      <c r="E100" s="8">
        <f>SUM(E48:E52)</f>
        <v>2862</v>
      </c>
      <c r="F100" s="8">
        <f>SUM(F48:F52)</f>
        <v>3243</v>
      </c>
      <c r="G100" s="8">
        <f>SUM(G48:G52)</f>
        <v>3225</v>
      </c>
      <c r="H100" s="8">
        <f>SUM(H48:H52)</f>
        <v>2975</v>
      </c>
      <c r="I100" s="8">
        <f>SUM(I48:I52)</f>
        <v>3033</v>
      </c>
      <c r="J100" s="8">
        <f>SUM(J48:J52)</f>
        <v>3057</v>
      </c>
      <c r="K100" s="8">
        <f>SUM(K48:K52)</f>
        <v>3064</v>
      </c>
      <c r="L100" s="8">
        <f>SUM(L48:L52)</f>
        <v>3114</v>
      </c>
      <c r="M100" s="8">
        <f>SUM(M48:M52)</f>
        <v>2913</v>
      </c>
      <c r="N100" s="8">
        <f>SUM(N48:N52)</f>
        <v>2863</v>
      </c>
      <c r="O100" s="8">
        <f>SUM(O48:O52)</f>
        <v>2900</v>
      </c>
      <c r="P100" s="8">
        <f>SUM(P48:P52)</f>
        <v>2875</v>
      </c>
      <c r="Q100" s="8">
        <f>SUM(Q48:Q52)</f>
        <v>3000</v>
      </c>
      <c r="R100" s="8">
        <f>SUM(R48:R52)</f>
        <v>2980</v>
      </c>
      <c r="S100" s="8">
        <f>SUM(S48:S52)</f>
        <v>3025</v>
      </c>
    </row>
    <row r="101">
      <c r="A101" s="15" t="s">
        <v>447</v>
      </c>
      <c r="C101" s="8">
        <f>SUM(C53:C98)</f>
        <v>0</v>
      </c>
      <c r="D101" s="8">
        <f>SUM(D53:D98)</f>
        <v>0</v>
      </c>
      <c r="E101" s="8">
        <f>SUM(E53:E98)</f>
        <v>0</v>
      </c>
      <c r="F101" s="8">
        <f>SUM(F53:F98)</f>
        <v>0</v>
      </c>
      <c r="G101" s="8">
        <f>SUM(G53:G98)</f>
        <v>0</v>
      </c>
      <c r="H101" s="8">
        <f>SUM(H53:H98)</f>
        <v>0</v>
      </c>
      <c r="I101" s="8">
        <f>SUM(I53:I98)</f>
        <v>0</v>
      </c>
      <c r="J101" s="8">
        <f>SUM(J53:J98)</f>
        <v>0</v>
      </c>
      <c r="K101" s="8">
        <f>SUM(K53:K98)</f>
        <v>0</v>
      </c>
      <c r="L101" s="8">
        <f>SUM(L53:L98)</f>
        <v>0</v>
      </c>
      <c r="M101" s="8">
        <f>SUM(M53:M98)</f>
        <v>0</v>
      </c>
      <c r="N101" s="8">
        <f>SUM(N53:N98)</f>
        <v>0</v>
      </c>
      <c r="O101" s="8">
        <f>SUM(O53:O98)</f>
        <v>0</v>
      </c>
      <c r="P101" s="8">
        <f>SUM(P53:P98)</f>
        <v>0</v>
      </c>
      <c r="Q101" s="8">
        <f>SUM(Q53:Q98)</f>
        <v>0</v>
      </c>
      <c r="R101" s="8">
        <f>SUM(R53:R98)</f>
        <v>0</v>
      </c>
      <c r="S101" s="8">
        <f>SUM(S53:S98)</f>
        <v>0</v>
      </c>
    </row>
    <row r="102">
      <c r="A102" s="15" t="s">
        <v>448</v>
      </c>
      <c r="C102" s="21">
        <f>C99+C100+C101</f>
        <v>141409</v>
      </c>
      <c r="D102" s="21">
        <f>D99+D100+D101</f>
        <v>144837</v>
      </c>
      <c r="E102" s="21">
        <f>E99+E100+E101</f>
        <v>158018</v>
      </c>
      <c r="F102" s="21">
        <f>F99+F100+F101</f>
        <v>160054</v>
      </c>
      <c r="G102" s="21">
        <f>G99+G100+G101</f>
        <v>153796</v>
      </c>
      <c r="H102" s="21">
        <f>H99+H100+H101</f>
        <v>152429</v>
      </c>
      <c r="I102" s="21">
        <f>I99+I100+I101</f>
        <v>161079</v>
      </c>
      <c r="J102" s="21">
        <f>J99+J100+J101</f>
        <v>159814</v>
      </c>
      <c r="K102" s="21">
        <f>K99+K100+K101</f>
        <v>175856</v>
      </c>
      <c r="L102" s="21">
        <f>L99+L100+L101</f>
        <v>169030</v>
      </c>
      <c r="M102" s="21">
        <f>M99+M100+M101</f>
        <v>176594</v>
      </c>
      <c r="N102" s="21">
        <f>N99+N100+N101</f>
        <v>165044</v>
      </c>
      <c r="O102" s="21">
        <f>O99+O100+O101</f>
        <v>164529</v>
      </c>
      <c r="P102" s="21">
        <f>P99+P100+P101</f>
        <v>169335</v>
      </c>
      <c r="Q102" s="21">
        <f>Q99+Q100+Q101</f>
        <v>176816</v>
      </c>
      <c r="R102" s="21">
        <f>R99+R100+R101</f>
        <v>178830</v>
      </c>
      <c r="S102" s="21">
        <f>S99+S100+S101</f>
        <v>189667</v>
      </c>
    </row>
    <row r="107">
      <c r="A107" s="4" t="s">
        <v>449</v>
      </c>
      <c r="B107" s="3" t="s">
        <v>366</v>
      </c>
      <c r="C107" s="3" t="s">
        <v>41</v>
      </c>
      <c r="D107" s="3" t="s">
        <v>42</v>
      </c>
      <c r="E107" s="3" t="s">
        <v>43</v>
      </c>
      <c r="F107" s="3" t="s">
        <v>44</v>
      </c>
      <c r="G107" s="3" t="s">
        <v>45</v>
      </c>
      <c r="H107" s="3" t="s">
        <v>46</v>
      </c>
      <c r="I107" s="3" t="s">
        <v>47</v>
      </c>
      <c r="J107" s="3" t="s">
        <v>48</v>
      </c>
      <c r="K107" s="3" t="s">
        <v>49</v>
      </c>
      <c r="L107" s="3" t="s">
        <v>50</v>
      </c>
      <c r="M107" s="3" t="s">
        <v>51</v>
      </c>
      <c r="N107" s="3" t="s">
        <v>52</v>
      </c>
      <c r="O107" s="3" t="s">
        <v>53</v>
      </c>
      <c r="P107" s="3" t="s">
        <v>54</v>
      </c>
      <c r="Q107" s="3" t="s">
        <v>55</v>
      </c>
      <c r="R107" s="3" t="s">
        <v>56</v>
      </c>
      <c r="S107" s="3" t="s">
        <v>85</v>
      </c>
    </row>
    <row r="108">
      <c r="A108" s="14" t="s">
        <v>367</v>
      </c>
      <c r="B108" s="2" t="s">
        <v>368</v>
      </c>
      <c r="C108" s="7">
        <v>41800</v>
      </c>
      <c r="D108" s="7">
        <v>34700</v>
      </c>
      <c r="E108" s="7">
        <v>42100</v>
      </c>
      <c r="F108" s="7">
        <v>41800</v>
      </c>
      <c r="G108" s="7">
        <v>37300</v>
      </c>
      <c r="H108" s="7">
        <v>36100</v>
      </c>
      <c r="I108" s="7">
        <v>45600</v>
      </c>
      <c r="J108" s="7">
        <v>39500</v>
      </c>
      <c r="K108" s="7">
        <v>49700</v>
      </c>
      <c r="L108" s="7">
        <v>42000</v>
      </c>
      <c r="M108" s="7">
        <v>49700</v>
      </c>
      <c r="N108" s="7">
        <v>36400</v>
      </c>
      <c r="O108" s="7">
        <v>39800</v>
      </c>
      <c r="P108" s="7">
        <v>44900</v>
      </c>
      <c r="Q108" s="7">
        <v>44500</v>
      </c>
      <c r="R108" s="7">
        <v>38000</v>
      </c>
      <c r="S108" s="7">
        <v>47500</v>
      </c>
    </row>
    <row r="109">
      <c r="A109" s="14" t="s">
        <v>96</v>
      </c>
      <c r="B109" s="2" t="s">
        <v>368</v>
      </c>
      <c r="C109" s="7">
        <v>650</v>
      </c>
      <c r="D109" s="7">
        <v>800</v>
      </c>
      <c r="E109" s="7">
        <v>900</v>
      </c>
      <c r="F109" s="7">
        <v>1175</v>
      </c>
      <c r="G109" s="7">
        <v>1050</v>
      </c>
      <c r="H109" s="7">
        <v>1100</v>
      </c>
      <c r="I109" s="7">
        <v>1100</v>
      </c>
      <c r="J109" s="7">
        <v>1026</v>
      </c>
      <c r="K109" s="7">
        <v>1064</v>
      </c>
      <c r="L109" s="7">
        <v>1100</v>
      </c>
      <c r="M109" s="7">
        <v>950</v>
      </c>
      <c r="N109" s="7">
        <v>1100</v>
      </c>
      <c r="O109" s="7">
        <v>1000</v>
      </c>
      <c r="P109" s="7">
        <v>1000</v>
      </c>
      <c r="Q109" s="7">
        <v>1000</v>
      </c>
      <c r="R109" s="7">
        <v>1200</v>
      </c>
      <c r="S109" s="7">
        <v>1100</v>
      </c>
    </row>
    <row r="110">
      <c r="A110" s="14" t="s">
        <v>369</v>
      </c>
      <c r="B110" s="2" t="s">
        <v>368</v>
      </c>
      <c r="C110" s="7">
        <v>8525</v>
      </c>
      <c r="D110" s="7">
        <v>7655</v>
      </c>
      <c r="E110" s="7">
        <v>9927</v>
      </c>
      <c r="F110" s="7">
        <v>12075</v>
      </c>
      <c r="G110" s="7">
        <v>13300</v>
      </c>
      <c r="H110" s="7">
        <v>14000</v>
      </c>
      <c r="I110" s="7">
        <v>14600</v>
      </c>
      <c r="J110" s="7">
        <v>13825</v>
      </c>
      <c r="K110" s="7">
        <v>13870</v>
      </c>
      <c r="L110" s="7">
        <v>14100</v>
      </c>
      <c r="M110" s="7">
        <v>13400</v>
      </c>
      <c r="N110" s="7">
        <v>11800</v>
      </c>
      <c r="O110" s="7">
        <v>10700</v>
      </c>
      <c r="P110" s="7">
        <v>12760</v>
      </c>
      <c r="Q110" s="7">
        <v>14800</v>
      </c>
      <c r="R110" s="7">
        <v>12500</v>
      </c>
      <c r="S110" s="7">
        <v>13400</v>
      </c>
    </row>
    <row r="111">
      <c r="A111" s="14" t="s">
        <v>370</v>
      </c>
      <c r="B111" s="2" t="s">
        <v>368</v>
      </c>
      <c r="C111" s="7">
        <v>6125</v>
      </c>
      <c r="D111" s="7">
        <v>6320</v>
      </c>
      <c r="E111" s="7">
        <v>6500</v>
      </c>
      <c r="F111" s="7">
        <v>6345</v>
      </c>
      <c r="G111" s="7">
        <v>6475</v>
      </c>
      <c r="H111" s="7">
        <v>6510</v>
      </c>
      <c r="I111" s="7">
        <v>6943</v>
      </c>
      <c r="J111" s="7">
        <v>7055</v>
      </c>
      <c r="K111" s="7">
        <v>7350</v>
      </c>
      <c r="L111" s="7">
        <v>7475</v>
      </c>
      <c r="M111" s="7">
        <v>7600</v>
      </c>
      <c r="N111" s="7">
        <v>8150</v>
      </c>
      <c r="O111" s="7">
        <v>7300</v>
      </c>
      <c r="P111" s="7">
        <v>9130</v>
      </c>
      <c r="Q111" s="7">
        <v>11460</v>
      </c>
      <c r="R111" s="7">
        <v>11560</v>
      </c>
      <c r="S111" s="7">
        <v>12100</v>
      </c>
    </row>
    <row r="112">
      <c r="A112" s="14" t="s">
        <v>371</v>
      </c>
      <c r="B112" s="2" t="s">
        <v>368</v>
      </c>
      <c r="C112" s="7">
        <v>1375</v>
      </c>
      <c r="D112" s="7">
        <v>1300</v>
      </c>
      <c r="E112" s="7">
        <v>2000</v>
      </c>
      <c r="F112" s="7">
        <v>1900</v>
      </c>
      <c r="G112" s="7">
        <v>1270</v>
      </c>
      <c r="H112" s="7">
        <v>1500</v>
      </c>
      <c r="I112" s="7">
        <v>1300</v>
      </c>
      <c r="J112" s="7">
        <v>1000</v>
      </c>
      <c r="K112" s="7">
        <v>1200</v>
      </c>
      <c r="L112" s="7">
        <v>1250</v>
      </c>
      <c r="M112" s="7">
        <v>1300</v>
      </c>
      <c r="N112" s="7">
        <v>1280</v>
      </c>
      <c r="O112" s="7">
        <v>1200</v>
      </c>
      <c r="P112" s="7">
        <v>1350</v>
      </c>
      <c r="Q112" s="7">
        <v>1400</v>
      </c>
      <c r="R112" s="7">
        <v>1370</v>
      </c>
      <c r="S112" s="7">
        <v>1380</v>
      </c>
    </row>
    <row r="113">
      <c r="A113" s="14" t="s">
        <v>372</v>
      </c>
      <c r="B113" s="2" t="s">
        <v>368</v>
      </c>
      <c r="C113" s="7">
        <v>644</v>
      </c>
      <c r="D113" s="7">
        <v>875</v>
      </c>
      <c r="E113" s="7">
        <v>800</v>
      </c>
      <c r="F113" s="7">
        <v>850</v>
      </c>
      <c r="G113" s="7">
        <v>800</v>
      </c>
      <c r="H113" s="7">
        <v>950</v>
      </c>
      <c r="I113" s="7">
        <v>1100</v>
      </c>
      <c r="J113" s="7">
        <v>1200</v>
      </c>
      <c r="K113" s="7">
        <v>1050</v>
      </c>
      <c r="L113" s="7">
        <v>1025</v>
      </c>
      <c r="M113" s="7">
        <v>730</v>
      </c>
      <c r="N113" s="7">
        <v>990</v>
      </c>
      <c r="O113" s="7">
        <v>990</v>
      </c>
      <c r="P113" s="7">
        <v>1000</v>
      </c>
      <c r="Q113" s="7">
        <v>1030</v>
      </c>
      <c r="R113" s="7">
        <v>1120</v>
      </c>
      <c r="S113" s="7">
        <v>1135</v>
      </c>
    </row>
    <row r="114">
      <c r="A114" s="14" t="s">
        <v>373</v>
      </c>
      <c r="B114" s="2" t="s">
        <v>368</v>
      </c>
      <c r="C114" s="7">
        <v>1570</v>
      </c>
      <c r="D114" s="7">
        <v>1690</v>
      </c>
      <c r="E114" s="7">
        <v>1643</v>
      </c>
      <c r="F114" s="7">
        <v>1703</v>
      </c>
      <c r="G114" s="7">
        <v>1630</v>
      </c>
      <c r="H114" s="7">
        <v>1725</v>
      </c>
      <c r="I114" s="7">
        <v>1583</v>
      </c>
      <c r="J114" s="7">
        <v>1583</v>
      </c>
      <c r="K114" s="7">
        <v>1583</v>
      </c>
      <c r="L114" s="7">
        <v>1450</v>
      </c>
      <c r="M114" s="7">
        <v>1650</v>
      </c>
      <c r="N114" s="7">
        <v>1583</v>
      </c>
      <c r="O114" s="7">
        <v>1667</v>
      </c>
      <c r="P114" s="7">
        <v>1480</v>
      </c>
      <c r="Q114" s="7">
        <v>1762</v>
      </c>
      <c r="R114" s="7">
        <v>1730</v>
      </c>
      <c r="S114" s="7">
        <v>1560</v>
      </c>
    </row>
    <row r="115">
      <c r="A115" s="14" t="s">
        <v>102</v>
      </c>
      <c r="B115" s="2" t="s">
        <v>368</v>
      </c>
      <c r="C115" s="7">
        <v>3975</v>
      </c>
      <c r="D115" s="7">
        <v>5600</v>
      </c>
      <c r="E115" s="7">
        <v>4725</v>
      </c>
      <c r="F115" s="7">
        <v>4400</v>
      </c>
      <c r="G115" s="7">
        <v>5100</v>
      </c>
      <c r="H115" s="7">
        <v>5300</v>
      </c>
      <c r="I115" s="7">
        <v>7510</v>
      </c>
      <c r="J115" s="7">
        <v>7600</v>
      </c>
      <c r="K115" s="7">
        <v>7100</v>
      </c>
      <c r="L115" s="7">
        <v>5200</v>
      </c>
      <c r="M115" s="7">
        <v>6500</v>
      </c>
      <c r="N115" s="7">
        <v>4800</v>
      </c>
      <c r="O115" s="7">
        <v>5700</v>
      </c>
      <c r="P115" s="7">
        <v>5050</v>
      </c>
      <c r="Q115" s="7">
        <v>5200</v>
      </c>
      <c r="R115" s="7">
        <v>5530</v>
      </c>
      <c r="S115" s="7">
        <v>6030</v>
      </c>
    </row>
    <row r="116">
      <c r="A116" s="14" t="s">
        <v>374</v>
      </c>
      <c r="B116" s="2" t="s">
        <v>368</v>
      </c>
      <c r="C116" s="7">
        <v>4100</v>
      </c>
      <c r="D116" s="7">
        <v>5200</v>
      </c>
      <c r="E116" s="7">
        <v>4300</v>
      </c>
      <c r="F116" s="7">
        <v>4250</v>
      </c>
      <c r="G116" s="7">
        <v>2900</v>
      </c>
      <c r="H116" s="7">
        <v>3500</v>
      </c>
      <c r="I116" s="7">
        <v>4225</v>
      </c>
      <c r="J116" s="7">
        <v>4375</v>
      </c>
      <c r="K116" s="7">
        <v>4390</v>
      </c>
      <c r="L116" s="7">
        <v>3925</v>
      </c>
      <c r="M116" s="7">
        <v>3369</v>
      </c>
      <c r="N116" s="7">
        <v>4200</v>
      </c>
      <c r="O116" s="7">
        <v>3475</v>
      </c>
      <c r="P116" s="7">
        <v>3912</v>
      </c>
      <c r="Q116" s="7">
        <v>4120</v>
      </c>
      <c r="R116" s="7">
        <v>4764</v>
      </c>
      <c r="S116" s="7">
        <v>4780</v>
      </c>
    </row>
    <row r="117">
      <c r="A117" s="14" t="s">
        <v>375</v>
      </c>
      <c r="B117" s="2" t="s">
        <v>368</v>
      </c>
      <c r="C117" s="7">
        <v>3800</v>
      </c>
      <c r="D117" s="7">
        <v>4100</v>
      </c>
      <c r="E117" s="7">
        <v>4450</v>
      </c>
      <c r="F117" s="7">
        <v>3750</v>
      </c>
      <c r="G117" s="7">
        <v>2980</v>
      </c>
      <c r="H117" s="7">
        <v>2125</v>
      </c>
      <c r="I117" s="7">
        <v>3100</v>
      </c>
      <c r="J117" s="7">
        <v>3800</v>
      </c>
      <c r="K117" s="7">
        <v>3100</v>
      </c>
      <c r="L117" s="7">
        <v>3150</v>
      </c>
      <c r="M117" s="7">
        <v>3000</v>
      </c>
      <c r="N117" s="7">
        <v>3200</v>
      </c>
      <c r="O117" s="7">
        <v>3000</v>
      </c>
      <c r="P117" s="7">
        <v>3356</v>
      </c>
      <c r="Q117" s="7">
        <v>3588</v>
      </c>
      <c r="R117" s="7">
        <v>3580</v>
      </c>
      <c r="S117" s="7">
        <v>3575</v>
      </c>
    </row>
    <row r="118">
      <c r="A118" s="14" t="s">
        <v>105</v>
      </c>
      <c r="B118" s="2" t="s">
        <v>368</v>
      </c>
      <c r="C118" s="7">
        <v>3950</v>
      </c>
      <c r="D118" s="7">
        <v>4400</v>
      </c>
      <c r="E118" s="7">
        <v>4000</v>
      </c>
      <c r="F118" s="7">
        <v>3500</v>
      </c>
      <c r="G118" s="7">
        <v>3125</v>
      </c>
      <c r="H118" s="7">
        <v>3125</v>
      </c>
      <c r="I118" s="7">
        <v>3400</v>
      </c>
      <c r="J118" s="7">
        <v>3600</v>
      </c>
      <c r="K118" s="7">
        <v>3520</v>
      </c>
      <c r="L118" s="7">
        <v>3515</v>
      </c>
      <c r="M118" s="7">
        <v>3810</v>
      </c>
      <c r="N118" s="7">
        <v>3410</v>
      </c>
      <c r="O118" s="7">
        <v>3150</v>
      </c>
      <c r="P118" s="7">
        <v>3339</v>
      </c>
      <c r="Q118" s="7">
        <v>3140</v>
      </c>
      <c r="R118" s="7">
        <v>3025</v>
      </c>
      <c r="S118" s="7">
        <v>3130</v>
      </c>
    </row>
    <row r="119">
      <c r="A119" s="14" t="s">
        <v>106</v>
      </c>
      <c r="B119" s="2" t="s">
        <v>368</v>
      </c>
      <c r="C119" s="7">
        <v>1740</v>
      </c>
      <c r="D119" s="7">
        <v>2100</v>
      </c>
      <c r="E119" s="7">
        <v>1925</v>
      </c>
      <c r="F119" s="7">
        <v>2000</v>
      </c>
      <c r="G119" s="7">
        <v>2100</v>
      </c>
      <c r="H119" s="7">
        <v>2100</v>
      </c>
      <c r="I119" s="7">
        <v>2600</v>
      </c>
      <c r="J119" s="7">
        <v>2700</v>
      </c>
      <c r="K119" s="7">
        <v>2900</v>
      </c>
      <c r="L119" s="7">
        <v>2675</v>
      </c>
      <c r="M119" s="7">
        <v>2550</v>
      </c>
      <c r="N119" s="7">
        <v>2718</v>
      </c>
      <c r="O119" s="7">
        <v>2430</v>
      </c>
      <c r="P119" s="7">
        <v>2187</v>
      </c>
      <c r="Q119" s="7">
        <v>2500</v>
      </c>
      <c r="R119" s="7">
        <v>2400</v>
      </c>
      <c r="S119" s="7">
        <v>2300</v>
      </c>
    </row>
    <row r="120">
      <c r="A120" s="14" t="s">
        <v>376</v>
      </c>
      <c r="B120" s="2" t="s">
        <v>368</v>
      </c>
      <c r="C120" s="7">
        <v>600</v>
      </c>
      <c r="D120" s="7">
        <v>365</v>
      </c>
      <c r="E120" s="7">
        <v>610</v>
      </c>
      <c r="F120" s="7">
        <v>450</v>
      </c>
      <c r="G120" s="7">
        <v>600</v>
      </c>
      <c r="H120" s="7">
        <v>600</v>
      </c>
      <c r="I120" s="7">
        <v>550</v>
      </c>
      <c r="J120" s="7">
        <v>600</v>
      </c>
      <c r="K120" s="7">
        <v>650</v>
      </c>
      <c r="L120" s="7">
        <v>625</v>
      </c>
      <c r="M120" s="7">
        <v>600</v>
      </c>
      <c r="N120" s="7">
        <v>650</v>
      </c>
      <c r="O120" s="7">
        <v>650</v>
      </c>
      <c r="P120" s="7">
        <v>750</v>
      </c>
      <c r="Q120" s="7">
        <v>700</v>
      </c>
      <c r="R120" s="7">
        <v>750</v>
      </c>
      <c r="S120" s="7">
        <v>850</v>
      </c>
    </row>
    <row r="121">
      <c r="A121" s="14" t="s">
        <v>377</v>
      </c>
      <c r="B121" s="2" t="s">
        <v>368</v>
      </c>
      <c r="C121" s="7">
        <v>0</v>
      </c>
      <c r="D121" s="7">
        <v>0</v>
      </c>
      <c r="E121" s="7">
        <v>0</v>
      </c>
      <c r="F121" s="7">
        <v>0</v>
      </c>
      <c r="G121" s="7">
        <v>0</v>
      </c>
      <c r="H121" s="7">
        <v>0</v>
      </c>
      <c r="I121" s="7">
        <v>0</v>
      </c>
      <c r="J121" s="7">
        <v>0</v>
      </c>
      <c r="K121" s="7">
        <v>0</v>
      </c>
      <c r="L121" s="7">
        <v>0</v>
      </c>
      <c r="M121" s="7">
        <v>0</v>
      </c>
      <c r="N121" s="7">
        <v>0</v>
      </c>
      <c r="O121" s="7">
        <v>0</v>
      </c>
      <c r="P121" s="7">
        <v>0</v>
      </c>
      <c r="Q121" s="7">
        <v>0</v>
      </c>
      <c r="R121" s="7">
        <v>0</v>
      </c>
      <c r="S121" s="7">
        <v>0</v>
      </c>
    </row>
    <row r="122">
      <c r="A122" s="14" t="s">
        <v>378</v>
      </c>
      <c r="B122" s="2" t="s">
        <v>368</v>
      </c>
      <c r="C122" s="7">
        <v>0</v>
      </c>
      <c r="D122" s="7">
        <v>0</v>
      </c>
      <c r="E122" s="7">
        <v>0</v>
      </c>
      <c r="F122" s="7">
        <v>0</v>
      </c>
      <c r="G122" s="7">
        <v>0</v>
      </c>
      <c r="H122" s="7">
        <v>0</v>
      </c>
      <c r="I122" s="7">
        <v>0</v>
      </c>
      <c r="J122" s="7">
        <v>0</v>
      </c>
      <c r="K122" s="7">
        <v>0</v>
      </c>
      <c r="L122" s="7">
        <v>0</v>
      </c>
      <c r="M122" s="7">
        <v>0</v>
      </c>
      <c r="N122" s="7">
        <v>0</v>
      </c>
      <c r="O122" s="7">
        <v>0</v>
      </c>
      <c r="P122" s="7">
        <v>0</v>
      </c>
      <c r="Q122" s="7">
        <v>0</v>
      </c>
      <c r="R122" s="7">
        <v>0</v>
      </c>
      <c r="S122" s="7">
        <v>0</v>
      </c>
    </row>
    <row r="123">
      <c r="A123" s="14" t="s">
        <v>110</v>
      </c>
      <c r="B123" s="2" t="s">
        <v>368</v>
      </c>
      <c r="C123" s="7">
        <v>1575</v>
      </c>
      <c r="D123" s="7">
        <v>1775</v>
      </c>
      <c r="E123" s="7">
        <v>1675</v>
      </c>
      <c r="F123" s="7">
        <v>1450</v>
      </c>
      <c r="G123" s="7">
        <v>1400</v>
      </c>
      <c r="H123" s="7">
        <v>1625</v>
      </c>
      <c r="I123" s="7">
        <v>1300</v>
      </c>
      <c r="J123" s="7">
        <v>1525</v>
      </c>
      <c r="K123" s="7">
        <v>1250</v>
      </c>
      <c r="L123" s="7">
        <v>1466</v>
      </c>
      <c r="M123" s="7">
        <v>1472</v>
      </c>
      <c r="N123" s="7">
        <v>1215</v>
      </c>
      <c r="O123" s="7">
        <v>1100</v>
      </c>
      <c r="P123" s="7">
        <v>1158</v>
      </c>
      <c r="Q123" s="7">
        <v>1315</v>
      </c>
      <c r="R123" s="7">
        <v>1160</v>
      </c>
      <c r="S123" s="7">
        <v>1200</v>
      </c>
    </row>
    <row r="124">
      <c r="A124" s="14" t="s">
        <v>111</v>
      </c>
      <c r="B124" s="2" t="s">
        <v>368</v>
      </c>
      <c r="C124" s="7">
        <v>710</v>
      </c>
      <c r="D124" s="7">
        <v>750</v>
      </c>
      <c r="E124" s="7">
        <v>660</v>
      </c>
      <c r="F124" s="7">
        <v>850</v>
      </c>
      <c r="G124" s="7">
        <v>780</v>
      </c>
      <c r="H124" s="7">
        <v>750</v>
      </c>
      <c r="I124" s="7">
        <v>850</v>
      </c>
      <c r="J124" s="7">
        <v>720</v>
      </c>
      <c r="K124" s="7">
        <v>850</v>
      </c>
      <c r="L124" s="7">
        <v>750</v>
      </c>
      <c r="M124" s="7">
        <v>693</v>
      </c>
      <c r="N124" s="7">
        <v>860</v>
      </c>
      <c r="O124" s="7">
        <v>750</v>
      </c>
      <c r="P124" s="7">
        <v>825</v>
      </c>
      <c r="Q124" s="7">
        <v>950</v>
      </c>
      <c r="R124" s="7">
        <v>850</v>
      </c>
      <c r="S124" s="7">
        <v>950</v>
      </c>
    </row>
    <row r="125">
      <c r="A125" s="14" t="s">
        <v>379</v>
      </c>
      <c r="B125" s="2" t="s">
        <v>368</v>
      </c>
      <c r="C125" s="7">
        <v>0</v>
      </c>
      <c r="D125" s="7">
        <v>0</v>
      </c>
      <c r="E125" s="7">
        <v>0</v>
      </c>
      <c r="F125" s="7">
        <v>0</v>
      </c>
      <c r="G125" s="7">
        <v>0</v>
      </c>
      <c r="H125" s="7">
        <v>0</v>
      </c>
      <c r="I125" s="7">
        <v>0</v>
      </c>
      <c r="J125" s="7">
        <v>0</v>
      </c>
      <c r="K125" s="7">
        <v>0</v>
      </c>
      <c r="L125" s="7">
        <v>0</v>
      </c>
      <c r="M125" s="7">
        <v>0</v>
      </c>
      <c r="N125" s="7">
        <v>0</v>
      </c>
      <c r="O125" s="7">
        <v>0</v>
      </c>
      <c r="P125" s="7">
        <v>0</v>
      </c>
      <c r="Q125" s="7">
        <v>0</v>
      </c>
      <c r="R125" s="7">
        <v>0</v>
      </c>
      <c r="S125" s="7">
        <v>0</v>
      </c>
    </row>
    <row r="126">
      <c r="A126" s="14" t="s">
        <v>380</v>
      </c>
      <c r="B126" s="2" t="s">
        <v>368</v>
      </c>
      <c r="C126" s="7">
        <v>825</v>
      </c>
      <c r="D126" s="7">
        <v>1350</v>
      </c>
      <c r="E126" s="7">
        <v>775</v>
      </c>
      <c r="F126" s="7">
        <v>815</v>
      </c>
      <c r="G126" s="7">
        <v>760</v>
      </c>
      <c r="H126" s="7">
        <v>700</v>
      </c>
      <c r="I126" s="7">
        <v>1065</v>
      </c>
      <c r="J126" s="7">
        <v>760</v>
      </c>
      <c r="K126" s="7">
        <v>915</v>
      </c>
      <c r="L126" s="7">
        <v>775</v>
      </c>
      <c r="M126" s="7">
        <v>650</v>
      </c>
      <c r="N126" s="7">
        <v>725</v>
      </c>
      <c r="O126" s="7">
        <v>825</v>
      </c>
      <c r="P126" s="7">
        <v>930</v>
      </c>
      <c r="Q126" s="7">
        <v>750</v>
      </c>
      <c r="R126" s="7">
        <v>750</v>
      </c>
      <c r="S126" s="7">
        <v>750</v>
      </c>
    </row>
    <row r="127">
      <c r="A127" s="14" t="s">
        <v>381</v>
      </c>
      <c r="B127" s="2" t="s">
        <v>368</v>
      </c>
      <c r="C127" s="7">
        <v>1860</v>
      </c>
      <c r="D127" s="7">
        <v>1200</v>
      </c>
      <c r="E127" s="7">
        <v>1250</v>
      </c>
      <c r="F127" s="7">
        <v>550</v>
      </c>
      <c r="G127" s="7">
        <v>700</v>
      </c>
      <c r="H127" s="7">
        <v>560</v>
      </c>
      <c r="I127" s="7">
        <v>600</v>
      </c>
      <c r="J127" s="7">
        <v>660</v>
      </c>
      <c r="K127" s="7">
        <v>654</v>
      </c>
      <c r="L127" s="7">
        <v>510</v>
      </c>
      <c r="M127" s="7">
        <v>540</v>
      </c>
      <c r="N127" s="7">
        <v>600</v>
      </c>
      <c r="O127" s="7">
        <v>550</v>
      </c>
      <c r="P127" s="7">
        <v>604</v>
      </c>
      <c r="Q127" s="7">
        <v>581</v>
      </c>
      <c r="R127" s="7">
        <v>586</v>
      </c>
      <c r="S127" s="7">
        <v>542</v>
      </c>
    </row>
    <row r="128">
      <c r="A128" s="14" t="s">
        <v>115</v>
      </c>
      <c r="B128" s="2" t="s">
        <v>368</v>
      </c>
      <c r="C128" s="7">
        <v>0</v>
      </c>
      <c r="D128" s="7">
        <v>0</v>
      </c>
      <c r="E128" s="7">
        <v>0</v>
      </c>
      <c r="F128" s="7">
        <v>0</v>
      </c>
      <c r="G128" s="7">
        <v>0</v>
      </c>
      <c r="H128" s="7">
        <v>0</v>
      </c>
      <c r="I128" s="7">
        <v>0</v>
      </c>
      <c r="J128" s="7">
        <v>0</v>
      </c>
      <c r="K128" s="7">
        <v>0</v>
      </c>
      <c r="L128" s="7">
        <v>0</v>
      </c>
      <c r="M128" s="7">
        <v>0</v>
      </c>
      <c r="N128" s="7">
        <v>0</v>
      </c>
      <c r="O128" s="7">
        <v>0</v>
      </c>
      <c r="P128" s="7">
        <v>0</v>
      </c>
      <c r="Q128" s="7">
        <v>0</v>
      </c>
      <c r="R128" s="7">
        <v>0</v>
      </c>
      <c r="S128" s="7">
        <v>0</v>
      </c>
    </row>
    <row r="129">
      <c r="A129" s="14" t="s">
        <v>382</v>
      </c>
      <c r="B129" s="2" t="s">
        <v>368</v>
      </c>
      <c r="C129" s="7">
        <v>400</v>
      </c>
      <c r="D129" s="7">
        <v>400</v>
      </c>
      <c r="E129" s="7">
        <v>315</v>
      </c>
      <c r="F129" s="7">
        <v>135</v>
      </c>
      <c r="G129" s="7">
        <v>120</v>
      </c>
      <c r="H129" s="7">
        <v>100</v>
      </c>
      <c r="I129" s="7">
        <v>70</v>
      </c>
      <c r="J129" s="7">
        <v>95</v>
      </c>
      <c r="K129" s="7">
        <v>140</v>
      </c>
      <c r="L129" s="7">
        <v>155</v>
      </c>
      <c r="M129" s="7">
        <v>88</v>
      </c>
      <c r="N129" s="7">
        <v>90</v>
      </c>
      <c r="O129" s="7">
        <v>113</v>
      </c>
      <c r="P129" s="7">
        <v>120</v>
      </c>
      <c r="Q129" s="7">
        <v>105</v>
      </c>
      <c r="R129" s="7">
        <v>100</v>
      </c>
      <c r="S129" s="7">
        <v>100</v>
      </c>
    </row>
    <row r="130">
      <c r="A130" s="14" t="s">
        <v>117</v>
      </c>
      <c r="B130" s="2" t="s">
        <v>368</v>
      </c>
      <c r="C130" s="7">
        <v>317</v>
      </c>
      <c r="D130" s="7">
        <v>245</v>
      </c>
      <c r="E130" s="7">
        <v>260</v>
      </c>
      <c r="F130" s="7">
        <v>250</v>
      </c>
      <c r="G130" s="7">
        <v>240</v>
      </c>
      <c r="H130" s="7">
        <v>300</v>
      </c>
      <c r="I130" s="7">
        <v>230</v>
      </c>
      <c r="J130" s="7">
        <v>275</v>
      </c>
      <c r="K130" s="7">
        <v>275</v>
      </c>
      <c r="L130" s="7">
        <v>350</v>
      </c>
      <c r="M130" s="7">
        <v>345</v>
      </c>
      <c r="N130" s="7">
        <v>270</v>
      </c>
      <c r="O130" s="7">
        <v>400</v>
      </c>
      <c r="P130" s="7">
        <v>280</v>
      </c>
      <c r="Q130" s="7">
        <v>260</v>
      </c>
      <c r="R130" s="7">
        <v>350</v>
      </c>
      <c r="S130" s="7">
        <v>350</v>
      </c>
    </row>
    <row r="131">
      <c r="A131" s="14" t="s">
        <v>118</v>
      </c>
      <c r="B131" s="2" t="s">
        <v>368</v>
      </c>
      <c r="C131" s="7">
        <v>25</v>
      </c>
      <c r="D131" s="7">
        <v>25</v>
      </c>
      <c r="E131" s="7">
        <v>25</v>
      </c>
      <c r="F131" s="7">
        <v>25</v>
      </c>
      <c r="G131" s="7">
        <v>25</v>
      </c>
      <c r="H131" s="7">
        <v>25</v>
      </c>
      <c r="I131" s="7">
        <v>25</v>
      </c>
      <c r="J131" s="7">
        <v>25</v>
      </c>
      <c r="K131" s="7">
        <v>30</v>
      </c>
      <c r="L131" s="7">
        <v>25</v>
      </c>
      <c r="M131" s="7">
        <v>25</v>
      </c>
      <c r="N131" s="7">
        <v>25</v>
      </c>
      <c r="O131" s="7">
        <v>25</v>
      </c>
      <c r="P131" s="7">
        <v>25</v>
      </c>
      <c r="Q131" s="7">
        <v>25</v>
      </c>
      <c r="R131" s="7">
        <v>25</v>
      </c>
      <c r="S131" s="7">
        <v>25</v>
      </c>
    </row>
    <row r="132">
      <c r="A132" s="14" t="s">
        <v>383</v>
      </c>
      <c r="B132" s="2" t="s">
        <v>368</v>
      </c>
      <c r="C132" s="7">
        <v>90</v>
      </c>
      <c r="D132" s="7">
        <v>90</v>
      </c>
      <c r="E132" s="7">
        <v>50</v>
      </c>
      <c r="F132" s="7">
        <v>50</v>
      </c>
      <c r="G132" s="7">
        <v>50</v>
      </c>
      <c r="H132" s="7">
        <v>50</v>
      </c>
      <c r="I132" s="7">
        <v>50</v>
      </c>
      <c r="J132" s="7">
        <v>50</v>
      </c>
      <c r="K132" s="7">
        <v>50</v>
      </c>
      <c r="L132" s="7">
        <v>50</v>
      </c>
      <c r="M132" s="7">
        <v>50</v>
      </c>
      <c r="N132" s="7">
        <v>25</v>
      </c>
      <c r="O132" s="7">
        <v>50</v>
      </c>
      <c r="P132" s="7">
        <v>25</v>
      </c>
      <c r="Q132" s="7">
        <v>25</v>
      </c>
      <c r="R132" s="7">
        <v>25</v>
      </c>
      <c r="S132" s="7">
        <v>25</v>
      </c>
    </row>
    <row r="133">
      <c r="A133" s="14" t="s">
        <v>384</v>
      </c>
      <c r="B133" s="2" t="s">
        <v>368</v>
      </c>
      <c r="C133" s="7">
        <v>100</v>
      </c>
      <c r="D133" s="7">
        <v>90</v>
      </c>
      <c r="E133" s="7">
        <v>80</v>
      </c>
      <c r="F133" s="7">
        <v>70</v>
      </c>
      <c r="G133" s="7">
        <v>70</v>
      </c>
      <c r="H133" s="7">
        <v>70</v>
      </c>
      <c r="I133" s="7">
        <v>70</v>
      </c>
      <c r="J133" s="7">
        <v>75</v>
      </c>
      <c r="K133" s="7">
        <v>70</v>
      </c>
      <c r="L133" s="7">
        <v>75</v>
      </c>
      <c r="M133" s="7">
        <v>75</v>
      </c>
      <c r="N133" s="7">
        <v>70</v>
      </c>
      <c r="O133" s="7">
        <v>75</v>
      </c>
      <c r="P133" s="7">
        <v>75</v>
      </c>
      <c r="Q133" s="7">
        <v>50</v>
      </c>
      <c r="R133" s="7">
        <v>50</v>
      </c>
      <c r="S133" s="7">
        <v>50</v>
      </c>
    </row>
    <row r="134">
      <c r="A134" s="14" t="s">
        <v>121</v>
      </c>
      <c r="B134" s="2" t="s">
        <v>368</v>
      </c>
      <c r="C134" s="7">
        <v>235</v>
      </c>
      <c r="D134" s="7">
        <v>210</v>
      </c>
      <c r="E134" s="7">
        <v>235</v>
      </c>
      <c r="F134" s="7">
        <v>185</v>
      </c>
      <c r="G134" s="7">
        <v>160</v>
      </c>
      <c r="H134" s="7">
        <v>240</v>
      </c>
      <c r="I134" s="7">
        <v>200</v>
      </c>
      <c r="J134" s="7">
        <v>205</v>
      </c>
      <c r="K134" s="7">
        <v>205</v>
      </c>
      <c r="L134" s="7">
        <v>265</v>
      </c>
      <c r="M134" s="7">
        <v>230</v>
      </c>
      <c r="N134" s="7">
        <v>165</v>
      </c>
      <c r="O134" s="7">
        <v>175</v>
      </c>
      <c r="P134" s="7">
        <v>140</v>
      </c>
      <c r="Q134" s="7">
        <v>115</v>
      </c>
      <c r="R134" s="7">
        <v>140</v>
      </c>
      <c r="S134" s="7">
        <v>140</v>
      </c>
    </row>
    <row r="135">
      <c r="A135" s="14" t="s">
        <v>385</v>
      </c>
      <c r="B135" s="2" t="s">
        <v>368</v>
      </c>
      <c r="C135" s="7">
        <v>500</v>
      </c>
      <c r="D135" s="7">
        <v>500</v>
      </c>
      <c r="E135" s="7">
        <v>475</v>
      </c>
      <c r="F135" s="7">
        <v>275</v>
      </c>
      <c r="G135" s="7">
        <v>225</v>
      </c>
      <c r="H135" s="7">
        <v>225</v>
      </c>
      <c r="I135" s="7">
        <v>225</v>
      </c>
      <c r="J135" s="7">
        <v>125</v>
      </c>
      <c r="K135" s="7">
        <v>125</v>
      </c>
      <c r="L135" s="7">
        <v>120</v>
      </c>
      <c r="M135" s="7">
        <v>120</v>
      </c>
      <c r="N135" s="7">
        <v>125</v>
      </c>
      <c r="O135" s="7">
        <v>125</v>
      </c>
      <c r="P135" s="7">
        <v>125</v>
      </c>
      <c r="Q135" s="7">
        <v>125</v>
      </c>
      <c r="R135" s="7">
        <v>125</v>
      </c>
      <c r="S135" s="7">
        <v>125</v>
      </c>
    </row>
    <row r="136">
      <c r="A136" s="14" t="s">
        <v>386</v>
      </c>
      <c r="B136" s="2" t="s">
        <v>368</v>
      </c>
      <c r="C136" s="7">
        <v>0</v>
      </c>
      <c r="D136" s="7">
        <v>0</v>
      </c>
      <c r="E136" s="7">
        <v>0</v>
      </c>
      <c r="F136" s="7">
        <v>0</v>
      </c>
      <c r="G136" s="7">
        <v>0</v>
      </c>
      <c r="H136" s="7">
        <v>0</v>
      </c>
      <c r="I136" s="7">
        <v>0</v>
      </c>
      <c r="J136" s="7">
        <v>0</v>
      </c>
      <c r="K136" s="7">
        <v>0</v>
      </c>
      <c r="L136" s="7">
        <v>0</v>
      </c>
      <c r="M136" s="7">
        <v>0</v>
      </c>
      <c r="N136" s="7">
        <v>0</v>
      </c>
      <c r="O136" s="7">
        <v>0</v>
      </c>
      <c r="P136" s="7">
        <v>0</v>
      </c>
      <c r="Q136" s="7">
        <v>0</v>
      </c>
      <c r="R136" s="7">
        <v>0</v>
      </c>
      <c r="S136" s="7">
        <v>0</v>
      </c>
    </row>
    <row r="137">
      <c r="A137" s="14" t="s">
        <v>124</v>
      </c>
      <c r="B137" s="2" t="s">
        <v>368</v>
      </c>
      <c r="C137" s="7">
        <v>120</v>
      </c>
      <c r="D137" s="7">
        <v>170</v>
      </c>
      <c r="E137" s="7">
        <v>125</v>
      </c>
      <c r="F137" s="7">
        <v>150</v>
      </c>
      <c r="G137" s="7">
        <v>150</v>
      </c>
      <c r="H137" s="7">
        <v>150</v>
      </c>
      <c r="I137" s="7">
        <v>150</v>
      </c>
      <c r="J137" s="7">
        <v>100</v>
      </c>
      <c r="K137" s="7">
        <v>110</v>
      </c>
      <c r="L137" s="7">
        <v>90</v>
      </c>
      <c r="M137" s="7">
        <v>100</v>
      </c>
      <c r="N137" s="7">
        <v>100</v>
      </c>
      <c r="O137" s="7">
        <v>100</v>
      </c>
      <c r="P137" s="7">
        <v>100</v>
      </c>
      <c r="Q137" s="7">
        <v>100</v>
      </c>
      <c r="R137" s="7">
        <v>100</v>
      </c>
      <c r="S137" s="7">
        <v>100</v>
      </c>
    </row>
    <row r="138">
      <c r="A138" s="14" t="s">
        <v>125</v>
      </c>
      <c r="B138" s="2" t="s">
        <v>368</v>
      </c>
      <c r="C138" s="7">
        <v>0</v>
      </c>
      <c r="D138" s="7">
        <v>0</v>
      </c>
      <c r="E138" s="7">
        <v>0</v>
      </c>
      <c r="F138" s="7">
        <v>0</v>
      </c>
      <c r="G138" s="7">
        <v>0</v>
      </c>
      <c r="H138" s="7">
        <v>0</v>
      </c>
      <c r="I138" s="7">
        <v>0</v>
      </c>
      <c r="J138" s="7">
        <v>0</v>
      </c>
      <c r="K138" s="7">
        <v>0</v>
      </c>
      <c r="L138" s="7">
        <v>0</v>
      </c>
      <c r="M138" s="7">
        <v>0</v>
      </c>
      <c r="N138" s="7">
        <v>0</v>
      </c>
      <c r="O138" s="7">
        <v>0</v>
      </c>
      <c r="P138" s="7">
        <v>0</v>
      </c>
      <c r="Q138" s="7">
        <v>0</v>
      </c>
      <c r="R138" s="7">
        <v>0</v>
      </c>
      <c r="S138" s="7">
        <v>0</v>
      </c>
    </row>
    <row r="139">
      <c r="A139" s="14" t="s">
        <v>387</v>
      </c>
      <c r="B139" s="2" t="s">
        <v>368</v>
      </c>
      <c r="C139" s="7">
        <v>125</v>
      </c>
      <c r="D139" s="7">
        <v>140</v>
      </c>
      <c r="E139" s="7">
        <v>115</v>
      </c>
      <c r="F139" s="7">
        <v>128</v>
      </c>
      <c r="G139" s="7">
        <v>100</v>
      </c>
      <c r="H139" s="7">
        <v>80</v>
      </c>
      <c r="I139" s="7">
        <v>75</v>
      </c>
      <c r="J139" s="7">
        <v>85</v>
      </c>
      <c r="K139" s="7">
        <v>85</v>
      </c>
      <c r="L139" s="7">
        <v>85</v>
      </c>
      <c r="M139" s="7">
        <v>80</v>
      </c>
      <c r="N139" s="7">
        <v>85</v>
      </c>
      <c r="O139" s="7">
        <v>90</v>
      </c>
      <c r="P139" s="7">
        <v>70</v>
      </c>
      <c r="Q139" s="7">
        <v>85</v>
      </c>
      <c r="R139" s="7">
        <v>80</v>
      </c>
      <c r="S139" s="7">
        <v>80</v>
      </c>
    </row>
    <row r="140">
      <c r="A140" s="14" t="s">
        <v>127</v>
      </c>
      <c r="B140" s="2" t="s">
        <v>368</v>
      </c>
      <c r="C140" s="7">
        <v>0</v>
      </c>
      <c r="D140" s="7">
        <v>0</v>
      </c>
      <c r="E140" s="7">
        <v>0</v>
      </c>
      <c r="F140" s="7">
        <v>0</v>
      </c>
      <c r="G140" s="7">
        <v>0</v>
      </c>
      <c r="H140" s="7">
        <v>0</v>
      </c>
      <c r="I140" s="7">
        <v>0</v>
      </c>
      <c r="J140" s="7">
        <v>0</v>
      </c>
      <c r="K140" s="7">
        <v>0</v>
      </c>
      <c r="L140" s="7">
        <v>0</v>
      </c>
      <c r="M140" s="7">
        <v>0</v>
      </c>
      <c r="N140" s="7">
        <v>0</v>
      </c>
      <c r="O140" s="7">
        <v>0</v>
      </c>
      <c r="P140" s="7">
        <v>0</v>
      </c>
      <c r="Q140" s="7">
        <v>0</v>
      </c>
      <c r="R140" s="7">
        <v>0</v>
      </c>
      <c r="S140" s="7">
        <v>0</v>
      </c>
    </row>
    <row r="141">
      <c r="A141" s="14" t="s">
        <v>128</v>
      </c>
      <c r="B141" s="2" t="s">
        <v>368</v>
      </c>
      <c r="C141" s="7">
        <v>0</v>
      </c>
      <c r="D141" s="7">
        <v>0</v>
      </c>
      <c r="E141" s="7">
        <v>0</v>
      </c>
      <c r="F141" s="7">
        <v>0</v>
      </c>
      <c r="G141" s="7">
        <v>0</v>
      </c>
      <c r="H141" s="7">
        <v>0</v>
      </c>
      <c r="I141" s="7">
        <v>0</v>
      </c>
      <c r="J141" s="7">
        <v>0</v>
      </c>
      <c r="K141" s="7">
        <v>0</v>
      </c>
      <c r="L141" s="7">
        <v>0</v>
      </c>
      <c r="M141" s="7">
        <v>0</v>
      </c>
      <c r="N141" s="7">
        <v>0</v>
      </c>
      <c r="O141" s="7">
        <v>0</v>
      </c>
      <c r="P141" s="7">
        <v>0</v>
      </c>
      <c r="Q141" s="7">
        <v>0</v>
      </c>
      <c r="R141" s="7">
        <v>0</v>
      </c>
      <c r="S141" s="7">
        <v>0</v>
      </c>
    </row>
    <row r="142">
      <c r="A142" s="14" t="s">
        <v>388</v>
      </c>
      <c r="B142" s="2" t="s">
        <v>368</v>
      </c>
      <c r="C142" s="7">
        <v>23</v>
      </c>
      <c r="D142" s="7">
        <v>20</v>
      </c>
      <c r="E142" s="7">
        <v>25</v>
      </c>
      <c r="F142" s="7">
        <v>31</v>
      </c>
      <c r="G142" s="7">
        <v>27</v>
      </c>
      <c r="H142" s="7">
        <v>27</v>
      </c>
      <c r="I142" s="7">
        <v>16</v>
      </c>
      <c r="J142" s="7">
        <v>16</v>
      </c>
      <c r="K142" s="7">
        <v>15</v>
      </c>
      <c r="L142" s="7">
        <v>16</v>
      </c>
      <c r="M142" s="7">
        <v>15</v>
      </c>
      <c r="N142" s="7">
        <v>15</v>
      </c>
      <c r="O142" s="7">
        <v>18</v>
      </c>
      <c r="P142" s="7">
        <v>19</v>
      </c>
      <c r="Q142" s="7">
        <v>15</v>
      </c>
      <c r="R142" s="7">
        <v>15</v>
      </c>
      <c r="S142" s="7">
        <v>15</v>
      </c>
    </row>
    <row r="143">
      <c r="A143" s="14" t="s">
        <v>389</v>
      </c>
      <c r="B143" s="2" t="s">
        <v>368</v>
      </c>
      <c r="C143" s="7">
        <v>0</v>
      </c>
      <c r="D143" s="7">
        <v>0</v>
      </c>
      <c r="E143" s="7">
        <v>0</v>
      </c>
      <c r="F143" s="7">
        <v>0</v>
      </c>
      <c r="G143" s="7">
        <v>0</v>
      </c>
      <c r="H143" s="7">
        <v>0</v>
      </c>
      <c r="I143" s="7">
        <v>0</v>
      </c>
      <c r="J143" s="7">
        <v>0</v>
      </c>
      <c r="K143" s="7">
        <v>0</v>
      </c>
      <c r="L143" s="7">
        <v>0</v>
      </c>
      <c r="M143" s="7">
        <v>0</v>
      </c>
      <c r="N143" s="7">
        <v>0</v>
      </c>
      <c r="O143" s="7">
        <v>0</v>
      </c>
      <c r="P143" s="7">
        <v>0</v>
      </c>
      <c r="Q143" s="7">
        <v>0</v>
      </c>
      <c r="R143" s="7">
        <v>0</v>
      </c>
      <c r="S143" s="7">
        <v>0</v>
      </c>
    </row>
    <row r="144">
      <c r="A144" s="14" t="s">
        <v>131</v>
      </c>
      <c r="B144" s="2" t="s">
        <v>368</v>
      </c>
      <c r="C144" s="7">
        <v>0</v>
      </c>
      <c r="D144" s="7">
        <v>0</v>
      </c>
      <c r="E144" s="7">
        <v>0</v>
      </c>
      <c r="F144" s="7">
        <v>0</v>
      </c>
      <c r="G144" s="7">
        <v>0</v>
      </c>
      <c r="H144" s="7">
        <v>0</v>
      </c>
      <c r="I144" s="7">
        <v>0</v>
      </c>
      <c r="J144" s="7">
        <v>0</v>
      </c>
      <c r="K144" s="7">
        <v>0</v>
      </c>
      <c r="L144" s="7">
        <v>0</v>
      </c>
      <c r="M144" s="7">
        <v>0</v>
      </c>
      <c r="N144" s="7">
        <v>0</v>
      </c>
      <c r="O144" s="7">
        <v>0</v>
      </c>
      <c r="P144" s="7">
        <v>0</v>
      </c>
      <c r="Q144" s="7">
        <v>0</v>
      </c>
      <c r="R144" s="7">
        <v>0</v>
      </c>
      <c r="S144" s="7">
        <v>0</v>
      </c>
    </row>
    <row r="145">
      <c r="A145" s="14" t="s">
        <v>390</v>
      </c>
      <c r="B145" s="2" t="s">
        <v>368</v>
      </c>
      <c r="C145" s="7">
        <v>350</v>
      </c>
      <c r="D145" s="7">
        <v>350</v>
      </c>
      <c r="E145" s="7">
        <v>325</v>
      </c>
      <c r="F145" s="7">
        <v>325</v>
      </c>
      <c r="G145" s="7">
        <v>325</v>
      </c>
      <c r="H145" s="7">
        <v>0</v>
      </c>
      <c r="I145" s="7">
        <v>0</v>
      </c>
      <c r="J145" s="7">
        <v>0</v>
      </c>
      <c r="K145" s="7">
        <v>0</v>
      </c>
      <c r="L145" s="7">
        <v>0</v>
      </c>
      <c r="M145" s="7">
        <v>0</v>
      </c>
      <c r="N145" s="7">
        <v>0</v>
      </c>
      <c r="O145" s="7">
        <v>0</v>
      </c>
      <c r="P145" s="7">
        <v>0</v>
      </c>
      <c r="Q145" s="7">
        <v>0</v>
      </c>
      <c r="R145" s="7">
        <v>0</v>
      </c>
      <c r="S145" s="7">
        <v>0</v>
      </c>
    </row>
    <row r="146">
      <c r="A146" s="14" t="s">
        <v>133</v>
      </c>
      <c r="B146" s="2" t="s">
        <v>368</v>
      </c>
      <c r="C146" s="7">
        <v>0</v>
      </c>
      <c r="D146" s="7">
        <v>0</v>
      </c>
      <c r="E146" s="7">
        <v>0</v>
      </c>
      <c r="F146" s="7">
        <v>0</v>
      </c>
      <c r="G146" s="7">
        <v>0</v>
      </c>
      <c r="H146" s="7">
        <v>0</v>
      </c>
      <c r="I146" s="7">
        <v>0</v>
      </c>
      <c r="J146" s="7">
        <v>0</v>
      </c>
      <c r="K146" s="7">
        <v>0</v>
      </c>
      <c r="L146" s="7">
        <v>0</v>
      </c>
      <c r="M146" s="7">
        <v>0</v>
      </c>
      <c r="N146" s="7">
        <v>0</v>
      </c>
      <c r="O146" s="7">
        <v>0</v>
      </c>
      <c r="P146" s="7">
        <v>0</v>
      </c>
      <c r="Q146" s="7">
        <v>0</v>
      </c>
      <c r="R146" s="7">
        <v>0</v>
      </c>
      <c r="S146" s="7">
        <v>0</v>
      </c>
    </row>
    <row r="147">
      <c r="A147" s="14" t="s">
        <v>134</v>
      </c>
      <c r="B147" s="2" t="s">
        <v>368</v>
      </c>
      <c r="C147" s="7">
        <v>24</v>
      </c>
      <c r="D147" s="7">
        <v>21</v>
      </c>
      <c r="E147" s="7">
        <v>25</v>
      </c>
      <c r="F147" s="7">
        <v>25</v>
      </c>
      <c r="G147" s="7">
        <v>21</v>
      </c>
      <c r="H147" s="7">
        <v>23</v>
      </c>
      <c r="I147" s="7">
        <v>16</v>
      </c>
      <c r="J147" s="7">
        <v>12</v>
      </c>
      <c r="K147" s="7">
        <v>11</v>
      </c>
      <c r="L147" s="7">
        <v>10</v>
      </c>
      <c r="M147" s="7">
        <v>0</v>
      </c>
      <c r="N147" s="7">
        <v>0</v>
      </c>
      <c r="O147" s="7">
        <v>0</v>
      </c>
      <c r="P147" s="7">
        <v>0</v>
      </c>
      <c r="Q147" s="7">
        <v>0</v>
      </c>
      <c r="R147" s="7">
        <v>0</v>
      </c>
      <c r="S147" s="7">
        <v>0</v>
      </c>
    </row>
    <row r="148">
      <c r="A148" s="14" t="s">
        <v>135</v>
      </c>
      <c r="B148" s="2" t="s">
        <v>368</v>
      </c>
      <c r="C148" s="7">
        <v>0</v>
      </c>
      <c r="D148" s="7">
        <v>0</v>
      </c>
      <c r="E148" s="7">
        <v>0</v>
      </c>
      <c r="F148" s="7">
        <v>0</v>
      </c>
      <c r="G148" s="7">
        <v>0</v>
      </c>
      <c r="H148" s="7">
        <v>0</v>
      </c>
      <c r="I148" s="7">
        <v>0</v>
      </c>
      <c r="J148" s="7">
        <v>0</v>
      </c>
      <c r="K148" s="7">
        <v>0</v>
      </c>
      <c r="L148" s="7">
        <v>0</v>
      </c>
      <c r="M148" s="7">
        <v>0</v>
      </c>
      <c r="N148" s="7">
        <v>0</v>
      </c>
      <c r="O148" s="7">
        <v>0</v>
      </c>
      <c r="P148" s="7">
        <v>0</v>
      </c>
      <c r="Q148" s="7">
        <v>0</v>
      </c>
      <c r="R148" s="7">
        <v>0</v>
      </c>
      <c r="S148" s="7">
        <v>0</v>
      </c>
    </row>
    <row r="149">
      <c r="A149" s="14" t="s">
        <v>391</v>
      </c>
      <c r="B149" s="2" t="s">
        <v>368</v>
      </c>
      <c r="C149" s="7">
        <v>145</v>
      </c>
      <c r="D149" s="7">
        <v>135</v>
      </c>
      <c r="E149" s="7">
        <v>140</v>
      </c>
      <c r="F149" s="7">
        <v>135</v>
      </c>
      <c r="G149" s="7">
        <v>130</v>
      </c>
      <c r="H149" s="7">
        <v>0</v>
      </c>
      <c r="I149" s="7">
        <v>0</v>
      </c>
      <c r="J149" s="7">
        <v>0</v>
      </c>
      <c r="K149" s="7">
        <v>0</v>
      </c>
      <c r="L149" s="7">
        <v>0</v>
      </c>
      <c r="M149" s="7">
        <v>0</v>
      </c>
      <c r="N149" s="7">
        <v>0</v>
      </c>
      <c r="O149" s="7">
        <v>0</v>
      </c>
      <c r="P149" s="7">
        <v>0</v>
      </c>
      <c r="Q149" s="7">
        <v>0</v>
      </c>
      <c r="R149" s="7">
        <v>0</v>
      </c>
      <c r="S149" s="7">
        <v>0</v>
      </c>
    </row>
    <row r="150">
      <c r="A150" s="14" t="s">
        <v>392</v>
      </c>
      <c r="B150" s="2" t="s">
        <v>393</v>
      </c>
      <c r="C150" s="7">
        <v>53</v>
      </c>
      <c r="D150" s="7">
        <v>46</v>
      </c>
      <c r="E150" s="7">
        <v>42</v>
      </c>
      <c r="F150" s="7">
        <v>51</v>
      </c>
      <c r="G150" s="7">
        <v>45</v>
      </c>
      <c r="H150" s="7">
        <v>40</v>
      </c>
      <c r="I150" s="7">
        <v>33</v>
      </c>
      <c r="J150" s="7">
        <v>32</v>
      </c>
      <c r="K150" s="7">
        <v>54</v>
      </c>
      <c r="L150" s="7">
        <v>39</v>
      </c>
      <c r="M150" s="7">
        <v>33</v>
      </c>
      <c r="N150" s="7">
        <v>38</v>
      </c>
      <c r="O150" s="7">
        <v>40</v>
      </c>
      <c r="P150" s="7">
        <v>50</v>
      </c>
      <c r="Q150" s="7">
        <v>50</v>
      </c>
      <c r="R150" s="7">
        <v>50</v>
      </c>
      <c r="S150" s="7">
        <v>50</v>
      </c>
    </row>
    <row r="151">
      <c r="A151" s="14" t="s">
        <v>394</v>
      </c>
      <c r="B151" s="2" t="s">
        <v>393</v>
      </c>
      <c r="C151" s="7">
        <v>827</v>
      </c>
      <c r="D151" s="7">
        <v>1090</v>
      </c>
      <c r="E151" s="7">
        <v>1535</v>
      </c>
      <c r="F151" s="7">
        <v>1947</v>
      </c>
      <c r="G151" s="7">
        <v>2125</v>
      </c>
      <c r="H151" s="7">
        <v>1925</v>
      </c>
      <c r="I151" s="7">
        <v>1900</v>
      </c>
      <c r="J151" s="7">
        <v>1925</v>
      </c>
      <c r="K151" s="7">
        <v>1925</v>
      </c>
      <c r="L151" s="7">
        <v>2000</v>
      </c>
      <c r="M151" s="7">
        <v>1900</v>
      </c>
      <c r="N151" s="7">
        <v>1800</v>
      </c>
      <c r="O151" s="7">
        <v>1800</v>
      </c>
      <c r="P151" s="7">
        <v>1800</v>
      </c>
      <c r="Q151" s="7">
        <v>1900</v>
      </c>
      <c r="R151" s="7">
        <v>1900</v>
      </c>
      <c r="S151" s="7">
        <v>1900</v>
      </c>
    </row>
    <row r="152">
      <c r="A152" s="14" t="s">
        <v>395</v>
      </c>
      <c r="B152" s="2" t="s">
        <v>393</v>
      </c>
      <c r="C152" s="7">
        <v>35</v>
      </c>
      <c r="D152" s="7">
        <v>30</v>
      </c>
      <c r="E152" s="7">
        <v>30</v>
      </c>
      <c r="F152" s="7">
        <v>25</v>
      </c>
      <c r="G152" s="7">
        <v>25</v>
      </c>
      <c r="H152" s="7">
        <v>25</v>
      </c>
      <c r="I152" s="7">
        <v>25</v>
      </c>
      <c r="J152" s="7">
        <v>25</v>
      </c>
      <c r="K152" s="7">
        <v>25</v>
      </c>
      <c r="L152" s="7">
        <v>25</v>
      </c>
      <c r="M152" s="7">
        <v>25</v>
      </c>
      <c r="N152" s="7">
        <v>25</v>
      </c>
      <c r="O152" s="7">
        <v>25</v>
      </c>
      <c r="P152" s="7">
        <v>25</v>
      </c>
      <c r="Q152" s="7">
        <v>25</v>
      </c>
      <c r="R152" s="7">
        <v>25</v>
      </c>
      <c r="S152" s="7">
        <v>25</v>
      </c>
    </row>
    <row r="153">
      <c r="A153" s="14" t="s">
        <v>396</v>
      </c>
      <c r="B153" s="2" t="s">
        <v>393</v>
      </c>
      <c r="C153" s="7">
        <v>625</v>
      </c>
      <c r="D153" s="7">
        <v>700</v>
      </c>
      <c r="E153" s="7">
        <v>730</v>
      </c>
      <c r="F153" s="7">
        <v>700</v>
      </c>
      <c r="G153" s="7">
        <v>460</v>
      </c>
      <c r="H153" s="7">
        <v>500</v>
      </c>
      <c r="I153" s="7">
        <v>530</v>
      </c>
      <c r="J153" s="7">
        <v>575</v>
      </c>
      <c r="K153" s="7">
        <v>585</v>
      </c>
      <c r="L153" s="7">
        <v>550</v>
      </c>
      <c r="M153" s="7">
        <v>480</v>
      </c>
      <c r="N153" s="7">
        <v>500</v>
      </c>
      <c r="O153" s="7">
        <v>500</v>
      </c>
      <c r="P153" s="7">
        <v>500</v>
      </c>
      <c r="Q153" s="7">
        <v>500</v>
      </c>
      <c r="R153" s="7">
        <v>500</v>
      </c>
      <c r="S153" s="7">
        <v>500</v>
      </c>
    </row>
    <row r="154">
      <c r="A154" s="14" t="s">
        <v>397</v>
      </c>
      <c r="B154" s="2" t="s">
        <v>393</v>
      </c>
      <c r="C154" s="7">
        <v>125</v>
      </c>
      <c r="D154" s="7">
        <v>100</v>
      </c>
      <c r="E154" s="7">
        <v>100</v>
      </c>
      <c r="F154" s="7">
        <v>95</v>
      </c>
      <c r="G154" s="7">
        <v>120</v>
      </c>
      <c r="H154" s="7">
        <v>85</v>
      </c>
      <c r="I154" s="7">
        <v>95</v>
      </c>
      <c r="J154" s="7">
        <v>75</v>
      </c>
      <c r="K154" s="7">
        <v>75</v>
      </c>
      <c r="L154" s="7">
        <v>75</v>
      </c>
      <c r="M154" s="7">
        <v>75</v>
      </c>
      <c r="N154" s="7">
        <v>75</v>
      </c>
      <c r="O154" s="7">
        <v>85</v>
      </c>
      <c r="P154" s="7">
        <v>75</v>
      </c>
      <c r="Q154" s="7">
        <v>100</v>
      </c>
      <c r="R154" s="7">
        <v>80</v>
      </c>
      <c r="S154" s="7">
        <v>100</v>
      </c>
    </row>
    <row r="155">
      <c r="A155" s="14" t="s">
        <v>398</v>
      </c>
      <c r="B155" s="2" t="s">
        <v>399</v>
      </c>
      <c r="C155" s="7">
        <v>0</v>
      </c>
      <c r="D155" s="7">
        <v>0</v>
      </c>
      <c r="E155" s="7">
        <v>0</v>
      </c>
      <c r="F155" s="7">
        <v>0</v>
      </c>
      <c r="G155" s="7">
        <v>0</v>
      </c>
      <c r="H155" s="7">
        <v>0</v>
      </c>
      <c r="I155" s="7">
        <v>0</v>
      </c>
      <c r="J155" s="7">
        <v>0</v>
      </c>
      <c r="K155" s="7">
        <v>0</v>
      </c>
      <c r="L155" s="7">
        <v>0</v>
      </c>
      <c r="M155" s="7">
        <v>0</v>
      </c>
      <c r="N155" s="7">
        <v>0</v>
      </c>
      <c r="O155" s="7">
        <v>0</v>
      </c>
      <c r="P155" s="7">
        <v>0</v>
      </c>
      <c r="Q155" s="7">
        <v>0</v>
      </c>
      <c r="R155" s="7">
        <v>0</v>
      </c>
      <c r="S155" s="7">
        <v>0</v>
      </c>
    </row>
    <row r="156">
      <c r="A156" s="14" t="s">
        <v>400</v>
      </c>
      <c r="B156" s="2" t="s">
        <v>399</v>
      </c>
      <c r="C156" s="7">
        <v>0</v>
      </c>
      <c r="D156" s="7">
        <v>0</v>
      </c>
      <c r="E156" s="7">
        <v>0</v>
      </c>
      <c r="F156" s="7">
        <v>0</v>
      </c>
      <c r="G156" s="7">
        <v>0</v>
      </c>
      <c r="H156" s="7">
        <v>0</v>
      </c>
      <c r="I156" s="7">
        <v>0</v>
      </c>
      <c r="J156" s="7">
        <v>0</v>
      </c>
      <c r="K156" s="7">
        <v>0</v>
      </c>
      <c r="L156" s="7">
        <v>0</v>
      </c>
      <c r="M156" s="7">
        <v>0</v>
      </c>
      <c r="N156" s="7">
        <v>0</v>
      </c>
      <c r="O156" s="7">
        <v>0</v>
      </c>
      <c r="P156" s="7">
        <v>0</v>
      </c>
      <c r="Q156" s="7">
        <v>0</v>
      </c>
      <c r="R156" s="7">
        <v>0</v>
      </c>
      <c r="S156" s="7">
        <v>0</v>
      </c>
    </row>
    <row r="157">
      <c r="A157" s="14" t="s">
        <v>401</v>
      </c>
      <c r="B157" s="2" t="s">
        <v>399</v>
      </c>
      <c r="C157" s="7">
        <v>0</v>
      </c>
      <c r="D157" s="7">
        <v>0</v>
      </c>
      <c r="E157" s="7">
        <v>0</v>
      </c>
      <c r="F157" s="7">
        <v>0</v>
      </c>
      <c r="G157" s="7">
        <v>0</v>
      </c>
      <c r="H157" s="7">
        <v>0</v>
      </c>
      <c r="I157" s="7">
        <v>0</v>
      </c>
      <c r="J157" s="7">
        <v>0</v>
      </c>
      <c r="K157" s="7">
        <v>0</v>
      </c>
      <c r="L157" s="7">
        <v>0</v>
      </c>
      <c r="M157" s="7">
        <v>0</v>
      </c>
      <c r="N157" s="7">
        <v>0</v>
      </c>
      <c r="O157" s="7">
        <v>0</v>
      </c>
      <c r="P157" s="7">
        <v>0</v>
      </c>
      <c r="Q157" s="7">
        <v>0</v>
      </c>
      <c r="R157" s="7">
        <v>0</v>
      </c>
      <c r="S157" s="7">
        <v>0</v>
      </c>
    </row>
    <row r="158">
      <c r="A158" s="14" t="s">
        <v>402</v>
      </c>
      <c r="B158" s="2" t="s">
        <v>399</v>
      </c>
      <c r="C158" s="7">
        <v>0</v>
      </c>
      <c r="D158" s="7">
        <v>0</v>
      </c>
      <c r="E158" s="7">
        <v>0</v>
      </c>
      <c r="F158" s="7">
        <v>0</v>
      </c>
      <c r="G158" s="7">
        <v>0</v>
      </c>
      <c r="H158" s="7">
        <v>0</v>
      </c>
      <c r="I158" s="7">
        <v>0</v>
      </c>
      <c r="J158" s="7">
        <v>0</v>
      </c>
      <c r="K158" s="7">
        <v>0</v>
      </c>
      <c r="L158" s="7">
        <v>0</v>
      </c>
      <c r="M158" s="7">
        <v>0</v>
      </c>
      <c r="N158" s="7">
        <v>0</v>
      </c>
      <c r="O158" s="7">
        <v>0</v>
      </c>
      <c r="P158" s="7">
        <v>0</v>
      </c>
      <c r="Q158" s="7">
        <v>0</v>
      </c>
      <c r="R158" s="7">
        <v>0</v>
      </c>
      <c r="S158" s="7">
        <v>0</v>
      </c>
    </row>
    <row r="159">
      <c r="A159" s="14" t="s">
        <v>403</v>
      </c>
      <c r="B159" s="2" t="s">
        <v>399</v>
      </c>
      <c r="C159" s="7">
        <v>0</v>
      </c>
      <c r="D159" s="7">
        <v>0</v>
      </c>
      <c r="E159" s="7">
        <v>0</v>
      </c>
      <c r="F159" s="7">
        <v>0</v>
      </c>
      <c r="G159" s="7">
        <v>0</v>
      </c>
      <c r="H159" s="7">
        <v>0</v>
      </c>
      <c r="I159" s="7">
        <v>0</v>
      </c>
      <c r="J159" s="7">
        <v>0</v>
      </c>
      <c r="K159" s="7">
        <v>0</v>
      </c>
      <c r="L159" s="7">
        <v>0</v>
      </c>
      <c r="M159" s="7">
        <v>0</v>
      </c>
      <c r="N159" s="7">
        <v>0</v>
      </c>
      <c r="O159" s="7">
        <v>0</v>
      </c>
      <c r="P159" s="7">
        <v>0</v>
      </c>
      <c r="Q159" s="7">
        <v>0</v>
      </c>
      <c r="R159" s="7">
        <v>0</v>
      </c>
      <c r="S159" s="7">
        <v>0</v>
      </c>
    </row>
    <row r="160">
      <c r="A160" s="14" t="s">
        <v>404</v>
      </c>
      <c r="B160" s="2" t="s">
        <v>399</v>
      </c>
      <c r="C160" s="7">
        <v>0</v>
      </c>
      <c r="D160" s="7">
        <v>0</v>
      </c>
      <c r="E160" s="7">
        <v>0</v>
      </c>
      <c r="F160" s="7">
        <v>0</v>
      </c>
      <c r="G160" s="7">
        <v>0</v>
      </c>
      <c r="H160" s="7">
        <v>0</v>
      </c>
      <c r="I160" s="7">
        <v>0</v>
      </c>
      <c r="J160" s="7">
        <v>0</v>
      </c>
      <c r="K160" s="7">
        <v>0</v>
      </c>
      <c r="L160" s="7">
        <v>0</v>
      </c>
      <c r="M160" s="7">
        <v>0</v>
      </c>
      <c r="N160" s="7">
        <v>0</v>
      </c>
      <c r="O160" s="7">
        <v>0</v>
      </c>
      <c r="P160" s="7">
        <v>0</v>
      </c>
      <c r="Q160" s="7">
        <v>0</v>
      </c>
      <c r="R160" s="7">
        <v>0</v>
      </c>
      <c r="S160" s="7">
        <v>0</v>
      </c>
    </row>
    <row r="161">
      <c r="A161" s="14" t="s">
        <v>405</v>
      </c>
      <c r="B161" s="2" t="s">
        <v>399</v>
      </c>
      <c r="C161" s="7">
        <v>0</v>
      </c>
      <c r="D161" s="7">
        <v>0</v>
      </c>
      <c r="E161" s="7">
        <v>0</v>
      </c>
      <c r="F161" s="7">
        <v>0</v>
      </c>
      <c r="G161" s="7">
        <v>0</v>
      </c>
      <c r="H161" s="7">
        <v>0</v>
      </c>
      <c r="I161" s="7">
        <v>0</v>
      </c>
      <c r="J161" s="7">
        <v>0</v>
      </c>
      <c r="K161" s="7">
        <v>0</v>
      </c>
      <c r="L161" s="7">
        <v>0</v>
      </c>
      <c r="M161" s="7">
        <v>0</v>
      </c>
      <c r="N161" s="7">
        <v>0</v>
      </c>
      <c r="O161" s="7">
        <v>0</v>
      </c>
      <c r="P161" s="7">
        <v>0</v>
      </c>
      <c r="Q161" s="7">
        <v>0</v>
      </c>
      <c r="R161" s="7">
        <v>0</v>
      </c>
      <c r="S161" s="7">
        <v>0</v>
      </c>
    </row>
    <row r="162">
      <c r="A162" s="14" t="s">
        <v>406</v>
      </c>
      <c r="B162" s="2" t="s">
        <v>399</v>
      </c>
      <c r="C162" s="7">
        <v>0</v>
      </c>
      <c r="D162" s="7">
        <v>0</v>
      </c>
      <c r="E162" s="7">
        <v>0</v>
      </c>
      <c r="F162" s="7">
        <v>0</v>
      </c>
      <c r="G162" s="7">
        <v>0</v>
      </c>
      <c r="H162" s="7">
        <v>0</v>
      </c>
      <c r="I162" s="7">
        <v>0</v>
      </c>
      <c r="J162" s="7">
        <v>0</v>
      </c>
      <c r="K162" s="7">
        <v>0</v>
      </c>
      <c r="L162" s="7">
        <v>0</v>
      </c>
      <c r="M162" s="7">
        <v>0</v>
      </c>
      <c r="N162" s="7">
        <v>0</v>
      </c>
      <c r="O162" s="7">
        <v>0</v>
      </c>
      <c r="P162" s="7">
        <v>0</v>
      </c>
      <c r="Q162" s="7">
        <v>0</v>
      </c>
      <c r="R162" s="7">
        <v>0</v>
      </c>
      <c r="S162" s="7">
        <v>0</v>
      </c>
    </row>
    <row r="163">
      <c r="A163" s="14" t="s">
        <v>407</v>
      </c>
      <c r="B163" s="2" t="s">
        <v>399</v>
      </c>
      <c r="C163" s="7">
        <v>0</v>
      </c>
      <c r="D163" s="7">
        <v>0</v>
      </c>
      <c r="E163" s="7">
        <v>0</v>
      </c>
      <c r="F163" s="7">
        <v>0</v>
      </c>
      <c r="G163" s="7">
        <v>0</v>
      </c>
      <c r="H163" s="7">
        <v>0</v>
      </c>
      <c r="I163" s="7">
        <v>0</v>
      </c>
      <c r="J163" s="7">
        <v>0</v>
      </c>
      <c r="K163" s="7">
        <v>0</v>
      </c>
      <c r="L163" s="7">
        <v>0</v>
      </c>
      <c r="M163" s="7">
        <v>0</v>
      </c>
      <c r="N163" s="7">
        <v>0</v>
      </c>
      <c r="O163" s="7">
        <v>0</v>
      </c>
      <c r="P163" s="7">
        <v>0</v>
      </c>
      <c r="Q163" s="7">
        <v>0</v>
      </c>
      <c r="R163" s="7">
        <v>0</v>
      </c>
      <c r="S163" s="7">
        <v>0</v>
      </c>
    </row>
    <row r="164">
      <c r="A164" s="14" t="s">
        <v>408</v>
      </c>
      <c r="B164" s="2" t="s">
        <v>399</v>
      </c>
      <c r="C164" s="7">
        <v>0</v>
      </c>
      <c r="D164" s="7">
        <v>0</v>
      </c>
      <c r="E164" s="7">
        <v>0</v>
      </c>
      <c r="F164" s="7">
        <v>0</v>
      </c>
      <c r="G164" s="7">
        <v>0</v>
      </c>
      <c r="H164" s="7">
        <v>0</v>
      </c>
      <c r="I164" s="7">
        <v>0</v>
      </c>
      <c r="J164" s="7">
        <v>0</v>
      </c>
      <c r="K164" s="7">
        <v>0</v>
      </c>
      <c r="L164" s="7">
        <v>0</v>
      </c>
      <c r="M164" s="7">
        <v>0</v>
      </c>
      <c r="N164" s="7">
        <v>0</v>
      </c>
      <c r="O164" s="7">
        <v>0</v>
      </c>
      <c r="P164" s="7">
        <v>0</v>
      </c>
      <c r="Q164" s="7">
        <v>0</v>
      </c>
      <c r="R164" s="7">
        <v>0</v>
      </c>
      <c r="S164" s="7">
        <v>0</v>
      </c>
    </row>
    <row r="165">
      <c r="A165" s="14" t="s">
        <v>409</v>
      </c>
      <c r="B165" s="2" t="s">
        <v>399</v>
      </c>
      <c r="C165" s="7">
        <v>0</v>
      </c>
      <c r="D165" s="7">
        <v>0</v>
      </c>
      <c r="E165" s="7">
        <v>0</v>
      </c>
      <c r="F165" s="7">
        <v>0</v>
      </c>
      <c r="G165" s="7">
        <v>0</v>
      </c>
      <c r="H165" s="7">
        <v>0</v>
      </c>
      <c r="I165" s="7">
        <v>0</v>
      </c>
      <c r="J165" s="7">
        <v>0</v>
      </c>
      <c r="K165" s="7">
        <v>0</v>
      </c>
      <c r="L165" s="7">
        <v>0</v>
      </c>
      <c r="M165" s="7">
        <v>0</v>
      </c>
      <c r="N165" s="7">
        <v>0</v>
      </c>
      <c r="O165" s="7">
        <v>0</v>
      </c>
      <c r="P165" s="7">
        <v>0</v>
      </c>
      <c r="Q165" s="7">
        <v>0</v>
      </c>
      <c r="R165" s="7">
        <v>0</v>
      </c>
      <c r="S165" s="7">
        <v>0</v>
      </c>
    </row>
    <row r="166">
      <c r="A166" s="14" t="s">
        <v>410</v>
      </c>
      <c r="B166" s="2" t="s">
        <v>399</v>
      </c>
      <c r="C166" s="7">
        <v>0</v>
      </c>
      <c r="D166" s="7">
        <v>0</v>
      </c>
      <c r="E166" s="7">
        <v>0</v>
      </c>
      <c r="F166" s="7">
        <v>0</v>
      </c>
      <c r="G166" s="7">
        <v>0</v>
      </c>
      <c r="H166" s="7">
        <v>0</v>
      </c>
      <c r="I166" s="7">
        <v>0</v>
      </c>
      <c r="J166" s="7">
        <v>0</v>
      </c>
      <c r="K166" s="7">
        <v>0</v>
      </c>
      <c r="L166" s="7">
        <v>0</v>
      </c>
      <c r="M166" s="7">
        <v>0</v>
      </c>
      <c r="N166" s="7">
        <v>0</v>
      </c>
      <c r="O166" s="7">
        <v>0</v>
      </c>
      <c r="P166" s="7">
        <v>0</v>
      </c>
      <c r="Q166" s="7">
        <v>0</v>
      </c>
      <c r="R166" s="7">
        <v>0</v>
      </c>
      <c r="S166" s="7">
        <v>0</v>
      </c>
    </row>
    <row r="167">
      <c r="A167" s="14" t="s">
        <v>411</v>
      </c>
      <c r="B167" s="2" t="s">
        <v>399</v>
      </c>
      <c r="C167" s="7">
        <v>0</v>
      </c>
      <c r="D167" s="7">
        <v>0</v>
      </c>
      <c r="E167" s="7">
        <v>0</v>
      </c>
      <c r="F167" s="7">
        <v>0</v>
      </c>
      <c r="G167" s="7">
        <v>0</v>
      </c>
      <c r="H167" s="7">
        <v>0</v>
      </c>
      <c r="I167" s="7">
        <v>0</v>
      </c>
      <c r="J167" s="7">
        <v>0</v>
      </c>
      <c r="K167" s="7">
        <v>0</v>
      </c>
      <c r="L167" s="7">
        <v>0</v>
      </c>
      <c r="M167" s="7">
        <v>0</v>
      </c>
      <c r="N167" s="7">
        <v>0</v>
      </c>
      <c r="O167" s="7">
        <v>0</v>
      </c>
      <c r="P167" s="7">
        <v>0</v>
      </c>
      <c r="Q167" s="7">
        <v>0</v>
      </c>
      <c r="R167" s="7">
        <v>0</v>
      </c>
      <c r="S167" s="7">
        <v>0</v>
      </c>
    </row>
    <row r="168">
      <c r="A168" s="14" t="s">
        <v>412</v>
      </c>
      <c r="B168" s="2" t="s">
        <v>399</v>
      </c>
      <c r="C168" s="7">
        <v>0</v>
      </c>
      <c r="D168" s="7">
        <v>0</v>
      </c>
      <c r="E168" s="7">
        <v>0</v>
      </c>
      <c r="F168" s="7">
        <v>0</v>
      </c>
      <c r="G168" s="7">
        <v>0</v>
      </c>
      <c r="H168" s="7">
        <v>0</v>
      </c>
      <c r="I168" s="7">
        <v>0</v>
      </c>
      <c r="J168" s="7">
        <v>0</v>
      </c>
      <c r="K168" s="7">
        <v>0</v>
      </c>
      <c r="L168" s="7">
        <v>0</v>
      </c>
      <c r="M168" s="7">
        <v>0</v>
      </c>
      <c r="N168" s="7">
        <v>0</v>
      </c>
      <c r="O168" s="7">
        <v>0</v>
      </c>
      <c r="P168" s="7">
        <v>0</v>
      </c>
      <c r="Q168" s="7">
        <v>0</v>
      </c>
      <c r="R168" s="7">
        <v>0</v>
      </c>
      <c r="S168" s="7">
        <v>0</v>
      </c>
    </row>
    <row r="169">
      <c r="A169" s="14" t="s">
        <v>413</v>
      </c>
      <c r="B169" s="2" t="s">
        <v>399</v>
      </c>
      <c r="C169" s="7">
        <v>0</v>
      </c>
      <c r="D169" s="7">
        <v>0</v>
      </c>
      <c r="E169" s="7">
        <v>0</v>
      </c>
      <c r="F169" s="7">
        <v>0</v>
      </c>
      <c r="G169" s="7">
        <v>0</v>
      </c>
      <c r="H169" s="7">
        <v>0</v>
      </c>
      <c r="I169" s="7">
        <v>0</v>
      </c>
      <c r="J169" s="7">
        <v>0</v>
      </c>
      <c r="K169" s="7">
        <v>0</v>
      </c>
      <c r="L169" s="7">
        <v>0</v>
      </c>
      <c r="M169" s="7">
        <v>0</v>
      </c>
      <c r="N169" s="7">
        <v>0</v>
      </c>
      <c r="O169" s="7">
        <v>0</v>
      </c>
      <c r="P169" s="7">
        <v>0</v>
      </c>
      <c r="Q169" s="7">
        <v>0</v>
      </c>
      <c r="R169" s="7">
        <v>0</v>
      </c>
      <c r="S169" s="7">
        <v>0</v>
      </c>
    </row>
    <row r="170">
      <c r="A170" s="14" t="s">
        <v>414</v>
      </c>
      <c r="B170" s="2" t="s">
        <v>399</v>
      </c>
      <c r="C170" s="7">
        <v>0</v>
      </c>
      <c r="D170" s="7">
        <v>0</v>
      </c>
      <c r="E170" s="7">
        <v>0</v>
      </c>
      <c r="F170" s="7">
        <v>0</v>
      </c>
      <c r="G170" s="7">
        <v>0</v>
      </c>
      <c r="H170" s="7">
        <v>0</v>
      </c>
      <c r="I170" s="7">
        <v>0</v>
      </c>
      <c r="J170" s="7">
        <v>0</v>
      </c>
      <c r="K170" s="7">
        <v>0</v>
      </c>
      <c r="L170" s="7">
        <v>0</v>
      </c>
      <c r="M170" s="7">
        <v>0</v>
      </c>
      <c r="N170" s="7">
        <v>0</v>
      </c>
      <c r="O170" s="7">
        <v>0</v>
      </c>
      <c r="P170" s="7">
        <v>0</v>
      </c>
      <c r="Q170" s="7">
        <v>0</v>
      </c>
      <c r="R170" s="7">
        <v>0</v>
      </c>
      <c r="S170" s="7">
        <v>0</v>
      </c>
    </row>
    <row r="171">
      <c r="A171" s="14" t="s">
        <v>415</v>
      </c>
      <c r="B171" s="2" t="s">
        <v>399</v>
      </c>
      <c r="C171" s="7">
        <v>0</v>
      </c>
      <c r="D171" s="7">
        <v>0</v>
      </c>
      <c r="E171" s="7">
        <v>0</v>
      </c>
      <c r="F171" s="7">
        <v>0</v>
      </c>
      <c r="G171" s="7">
        <v>0</v>
      </c>
      <c r="H171" s="7">
        <v>0</v>
      </c>
      <c r="I171" s="7">
        <v>0</v>
      </c>
      <c r="J171" s="7">
        <v>0</v>
      </c>
      <c r="K171" s="7">
        <v>0</v>
      </c>
      <c r="L171" s="7">
        <v>0</v>
      </c>
      <c r="M171" s="7">
        <v>0</v>
      </c>
      <c r="N171" s="7">
        <v>0</v>
      </c>
      <c r="O171" s="7">
        <v>0</v>
      </c>
      <c r="P171" s="7">
        <v>0</v>
      </c>
      <c r="Q171" s="7">
        <v>0</v>
      </c>
      <c r="R171" s="7">
        <v>0</v>
      </c>
      <c r="S171" s="7">
        <v>0</v>
      </c>
    </row>
    <row r="172">
      <c r="A172" s="14" t="s">
        <v>416</v>
      </c>
      <c r="B172" s="2" t="s">
        <v>399</v>
      </c>
      <c r="C172" s="7">
        <v>0</v>
      </c>
      <c r="D172" s="7">
        <v>0</v>
      </c>
      <c r="E172" s="7">
        <v>0</v>
      </c>
      <c r="F172" s="7">
        <v>0</v>
      </c>
      <c r="G172" s="7">
        <v>0</v>
      </c>
      <c r="H172" s="7">
        <v>0</v>
      </c>
      <c r="I172" s="7">
        <v>0</v>
      </c>
      <c r="J172" s="7">
        <v>0</v>
      </c>
      <c r="K172" s="7">
        <v>0</v>
      </c>
      <c r="L172" s="7">
        <v>0</v>
      </c>
      <c r="M172" s="7">
        <v>0</v>
      </c>
      <c r="N172" s="7">
        <v>0</v>
      </c>
      <c r="O172" s="7">
        <v>0</v>
      </c>
      <c r="P172" s="7">
        <v>0</v>
      </c>
      <c r="Q172" s="7">
        <v>0</v>
      </c>
      <c r="R172" s="7">
        <v>0</v>
      </c>
      <c r="S172" s="7">
        <v>0</v>
      </c>
    </row>
    <row r="173">
      <c r="A173" s="14" t="s">
        <v>417</v>
      </c>
      <c r="B173" s="2" t="s">
        <v>399</v>
      </c>
      <c r="C173" s="7">
        <v>0</v>
      </c>
      <c r="D173" s="7">
        <v>0</v>
      </c>
      <c r="E173" s="7">
        <v>0</v>
      </c>
      <c r="F173" s="7">
        <v>0</v>
      </c>
      <c r="G173" s="7">
        <v>0</v>
      </c>
      <c r="H173" s="7">
        <v>0</v>
      </c>
      <c r="I173" s="7">
        <v>0</v>
      </c>
      <c r="J173" s="7">
        <v>0</v>
      </c>
      <c r="K173" s="7">
        <v>0</v>
      </c>
      <c r="L173" s="7">
        <v>0</v>
      </c>
      <c r="M173" s="7">
        <v>0</v>
      </c>
      <c r="N173" s="7">
        <v>0</v>
      </c>
      <c r="O173" s="7">
        <v>0</v>
      </c>
      <c r="P173" s="7">
        <v>0</v>
      </c>
      <c r="Q173" s="7">
        <v>0</v>
      </c>
      <c r="R173" s="7">
        <v>0</v>
      </c>
      <c r="S173" s="7">
        <v>0</v>
      </c>
    </row>
    <row r="174">
      <c r="A174" s="14" t="s">
        <v>418</v>
      </c>
      <c r="B174" s="2" t="s">
        <v>399</v>
      </c>
      <c r="C174" s="7">
        <v>0</v>
      </c>
      <c r="D174" s="7">
        <v>0</v>
      </c>
      <c r="E174" s="7">
        <v>0</v>
      </c>
      <c r="F174" s="7">
        <v>0</v>
      </c>
      <c r="G174" s="7">
        <v>0</v>
      </c>
      <c r="H174" s="7">
        <v>0</v>
      </c>
      <c r="I174" s="7">
        <v>0</v>
      </c>
      <c r="J174" s="7">
        <v>0</v>
      </c>
      <c r="K174" s="7">
        <v>0</v>
      </c>
      <c r="L174" s="7">
        <v>0</v>
      </c>
      <c r="M174" s="7">
        <v>0</v>
      </c>
      <c r="N174" s="7">
        <v>0</v>
      </c>
      <c r="O174" s="7">
        <v>0</v>
      </c>
      <c r="P174" s="7">
        <v>0</v>
      </c>
      <c r="Q174" s="7">
        <v>0</v>
      </c>
      <c r="R174" s="7">
        <v>0</v>
      </c>
      <c r="S174" s="7">
        <v>0</v>
      </c>
    </row>
    <row r="175">
      <c r="A175" s="14" t="s">
        <v>419</v>
      </c>
      <c r="B175" s="2" t="s">
        <v>399</v>
      </c>
      <c r="C175" s="7">
        <v>0</v>
      </c>
      <c r="D175" s="7">
        <v>0</v>
      </c>
      <c r="E175" s="7">
        <v>0</v>
      </c>
      <c r="F175" s="7">
        <v>0</v>
      </c>
      <c r="G175" s="7">
        <v>0</v>
      </c>
      <c r="H175" s="7">
        <v>0</v>
      </c>
      <c r="I175" s="7">
        <v>0</v>
      </c>
      <c r="J175" s="7">
        <v>0</v>
      </c>
      <c r="K175" s="7">
        <v>0</v>
      </c>
      <c r="L175" s="7">
        <v>0</v>
      </c>
      <c r="M175" s="7">
        <v>0</v>
      </c>
      <c r="N175" s="7">
        <v>0</v>
      </c>
      <c r="O175" s="7">
        <v>0</v>
      </c>
      <c r="P175" s="7">
        <v>0</v>
      </c>
      <c r="Q175" s="7">
        <v>0</v>
      </c>
      <c r="R175" s="7">
        <v>0</v>
      </c>
      <c r="S175" s="7">
        <v>0</v>
      </c>
    </row>
    <row r="176">
      <c r="A176" s="14" t="s">
        <v>420</v>
      </c>
      <c r="B176" s="2" t="s">
        <v>399</v>
      </c>
      <c r="C176" s="7">
        <v>0</v>
      </c>
      <c r="D176" s="7">
        <v>0</v>
      </c>
      <c r="E176" s="7">
        <v>0</v>
      </c>
      <c r="F176" s="7">
        <v>0</v>
      </c>
      <c r="G176" s="7">
        <v>0</v>
      </c>
      <c r="H176" s="7">
        <v>0</v>
      </c>
      <c r="I176" s="7">
        <v>0</v>
      </c>
      <c r="J176" s="7">
        <v>0</v>
      </c>
      <c r="K176" s="7">
        <v>0</v>
      </c>
      <c r="L176" s="7">
        <v>0</v>
      </c>
      <c r="M176" s="7">
        <v>0</v>
      </c>
      <c r="N176" s="7">
        <v>0</v>
      </c>
      <c r="O176" s="7">
        <v>0</v>
      </c>
      <c r="P176" s="7">
        <v>0</v>
      </c>
      <c r="Q176" s="7">
        <v>0</v>
      </c>
      <c r="R176" s="7">
        <v>0</v>
      </c>
      <c r="S176" s="7">
        <v>0</v>
      </c>
    </row>
    <row r="177">
      <c r="A177" s="14" t="s">
        <v>421</v>
      </c>
      <c r="B177" s="2" t="s">
        <v>399</v>
      </c>
      <c r="C177" s="7">
        <v>0</v>
      </c>
      <c r="D177" s="7">
        <v>0</v>
      </c>
      <c r="E177" s="7">
        <v>0</v>
      </c>
      <c r="F177" s="7">
        <v>0</v>
      </c>
      <c r="G177" s="7">
        <v>0</v>
      </c>
      <c r="H177" s="7">
        <v>0</v>
      </c>
      <c r="I177" s="7">
        <v>0</v>
      </c>
      <c r="J177" s="7">
        <v>0</v>
      </c>
      <c r="K177" s="7">
        <v>0</v>
      </c>
      <c r="L177" s="7">
        <v>0</v>
      </c>
      <c r="M177" s="7">
        <v>0</v>
      </c>
      <c r="N177" s="7">
        <v>0</v>
      </c>
      <c r="O177" s="7">
        <v>0</v>
      </c>
      <c r="P177" s="7">
        <v>0</v>
      </c>
      <c r="Q177" s="7">
        <v>0</v>
      </c>
      <c r="R177" s="7">
        <v>0</v>
      </c>
      <c r="S177" s="7">
        <v>0</v>
      </c>
    </row>
    <row r="178">
      <c r="A178" s="14" t="s">
        <v>422</v>
      </c>
      <c r="B178" s="2" t="s">
        <v>399</v>
      </c>
      <c r="C178" s="7">
        <v>0</v>
      </c>
      <c r="D178" s="7">
        <v>0</v>
      </c>
      <c r="E178" s="7">
        <v>0</v>
      </c>
      <c r="F178" s="7">
        <v>0</v>
      </c>
      <c r="G178" s="7">
        <v>0</v>
      </c>
      <c r="H178" s="7">
        <v>0</v>
      </c>
      <c r="I178" s="7">
        <v>0</v>
      </c>
      <c r="J178" s="7">
        <v>0</v>
      </c>
      <c r="K178" s="7">
        <v>0</v>
      </c>
      <c r="L178" s="7">
        <v>0</v>
      </c>
      <c r="M178" s="7">
        <v>0</v>
      </c>
      <c r="N178" s="7">
        <v>0</v>
      </c>
      <c r="O178" s="7">
        <v>0</v>
      </c>
      <c r="P178" s="7">
        <v>0</v>
      </c>
      <c r="Q178" s="7">
        <v>0</v>
      </c>
      <c r="R178" s="7">
        <v>0</v>
      </c>
      <c r="S178" s="7">
        <v>0</v>
      </c>
    </row>
    <row r="179">
      <c r="A179" s="14" t="s">
        <v>423</v>
      </c>
      <c r="B179" s="2" t="s">
        <v>399</v>
      </c>
      <c r="C179" s="7">
        <v>0</v>
      </c>
      <c r="D179" s="7">
        <v>0</v>
      </c>
      <c r="E179" s="7">
        <v>0</v>
      </c>
      <c r="F179" s="7">
        <v>0</v>
      </c>
      <c r="G179" s="7">
        <v>0</v>
      </c>
      <c r="H179" s="7">
        <v>0</v>
      </c>
      <c r="I179" s="7">
        <v>0</v>
      </c>
      <c r="J179" s="7">
        <v>0</v>
      </c>
      <c r="K179" s="7">
        <v>0</v>
      </c>
      <c r="L179" s="7">
        <v>0</v>
      </c>
      <c r="M179" s="7">
        <v>0</v>
      </c>
      <c r="N179" s="7">
        <v>0</v>
      </c>
      <c r="O179" s="7">
        <v>0</v>
      </c>
      <c r="P179" s="7">
        <v>0</v>
      </c>
      <c r="Q179" s="7">
        <v>0</v>
      </c>
      <c r="R179" s="7">
        <v>0</v>
      </c>
      <c r="S179" s="7">
        <v>0</v>
      </c>
    </row>
    <row r="180">
      <c r="A180" s="14" t="s">
        <v>424</v>
      </c>
      <c r="B180" s="2" t="s">
        <v>399</v>
      </c>
      <c r="C180" s="7">
        <v>0</v>
      </c>
      <c r="D180" s="7">
        <v>0</v>
      </c>
      <c r="E180" s="7">
        <v>0</v>
      </c>
      <c r="F180" s="7">
        <v>0</v>
      </c>
      <c r="G180" s="7">
        <v>0</v>
      </c>
      <c r="H180" s="7">
        <v>0</v>
      </c>
      <c r="I180" s="7">
        <v>0</v>
      </c>
      <c r="J180" s="7">
        <v>0</v>
      </c>
      <c r="K180" s="7">
        <v>0</v>
      </c>
      <c r="L180" s="7">
        <v>0</v>
      </c>
      <c r="M180" s="7">
        <v>0</v>
      </c>
      <c r="N180" s="7">
        <v>0</v>
      </c>
      <c r="O180" s="7">
        <v>0</v>
      </c>
      <c r="P180" s="7">
        <v>0</v>
      </c>
      <c r="Q180" s="7">
        <v>0</v>
      </c>
      <c r="R180" s="7">
        <v>0</v>
      </c>
      <c r="S180" s="7">
        <v>0</v>
      </c>
    </row>
    <row r="181">
      <c r="A181" s="14" t="s">
        <v>425</v>
      </c>
      <c r="B181" s="2" t="s">
        <v>399</v>
      </c>
      <c r="C181" s="7">
        <v>0</v>
      </c>
      <c r="D181" s="7">
        <v>0</v>
      </c>
      <c r="E181" s="7">
        <v>0</v>
      </c>
      <c r="F181" s="7">
        <v>0</v>
      </c>
      <c r="G181" s="7">
        <v>0</v>
      </c>
      <c r="H181" s="7">
        <v>0</v>
      </c>
      <c r="I181" s="7">
        <v>0</v>
      </c>
      <c r="J181" s="7">
        <v>0</v>
      </c>
      <c r="K181" s="7">
        <v>0</v>
      </c>
      <c r="L181" s="7">
        <v>0</v>
      </c>
      <c r="M181" s="7">
        <v>0</v>
      </c>
      <c r="N181" s="7">
        <v>0</v>
      </c>
      <c r="O181" s="7">
        <v>0</v>
      </c>
      <c r="P181" s="7">
        <v>0</v>
      </c>
      <c r="Q181" s="7">
        <v>0</v>
      </c>
      <c r="R181" s="7">
        <v>0</v>
      </c>
      <c r="S181" s="7">
        <v>0</v>
      </c>
    </row>
    <row r="182">
      <c r="A182" s="14" t="s">
        <v>426</v>
      </c>
      <c r="B182" s="2" t="s">
        <v>399</v>
      </c>
      <c r="C182" s="7">
        <v>0</v>
      </c>
      <c r="D182" s="7">
        <v>0</v>
      </c>
      <c r="E182" s="7">
        <v>0</v>
      </c>
      <c r="F182" s="7">
        <v>0</v>
      </c>
      <c r="G182" s="7">
        <v>0</v>
      </c>
      <c r="H182" s="7">
        <v>0</v>
      </c>
      <c r="I182" s="7">
        <v>0</v>
      </c>
      <c r="J182" s="7">
        <v>0</v>
      </c>
      <c r="K182" s="7">
        <v>0</v>
      </c>
      <c r="L182" s="7">
        <v>0</v>
      </c>
      <c r="M182" s="7">
        <v>0</v>
      </c>
      <c r="N182" s="7">
        <v>0</v>
      </c>
      <c r="O182" s="7">
        <v>0</v>
      </c>
      <c r="P182" s="7">
        <v>0</v>
      </c>
      <c r="Q182" s="7">
        <v>0</v>
      </c>
      <c r="R182" s="7">
        <v>0</v>
      </c>
      <c r="S182" s="7">
        <v>0</v>
      </c>
    </row>
    <row r="183">
      <c r="A183" s="14" t="s">
        <v>427</v>
      </c>
      <c r="B183" s="2" t="s">
        <v>399</v>
      </c>
      <c r="C183" s="7">
        <v>0</v>
      </c>
      <c r="D183" s="7">
        <v>0</v>
      </c>
      <c r="E183" s="7">
        <v>0</v>
      </c>
      <c r="F183" s="7">
        <v>0</v>
      </c>
      <c r="G183" s="7">
        <v>0</v>
      </c>
      <c r="H183" s="7">
        <v>0</v>
      </c>
      <c r="I183" s="7">
        <v>0</v>
      </c>
      <c r="J183" s="7">
        <v>0</v>
      </c>
      <c r="K183" s="7">
        <v>0</v>
      </c>
      <c r="L183" s="7">
        <v>0</v>
      </c>
      <c r="M183" s="7">
        <v>0</v>
      </c>
      <c r="N183" s="7">
        <v>0</v>
      </c>
      <c r="O183" s="7">
        <v>0</v>
      </c>
      <c r="P183" s="7">
        <v>0</v>
      </c>
      <c r="Q183" s="7">
        <v>0</v>
      </c>
      <c r="R183" s="7">
        <v>0</v>
      </c>
      <c r="S183" s="7">
        <v>0</v>
      </c>
    </row>
    <row r="184">
      <c r="A184" s="14" t="s">
        <v>428</v>
      </c>
      <c r="B184" s="2" t="s">
        <v>399</v>
      </c>
      <c r="C184" s="7">
        <v>0</v>
      </c>
      <c r="D184" s="7">
        <v>0</v>
      </c>
      <c r="E184" s="7">
        <v>0</v>
      </c>
      <c r="F184" s="7">
        <v>0</v>
      </c>
      <c r="G184" s="7">
        <v>0</v>
      </c>
      <c r="H184" s="7">
        <v>0</v>
      </c>
      <c r="I184" s="7">
        <v>0</v>
      </c>
      <c r="J184" s="7">
        <v>0</v>
      </c>
      <c r="K184" s="7">
        <v>0</v>
      </c>
      <c r="L184" s="7">
        <v>0</v>
      </c>
      <c r="M184" s="7">
        <v>0</v>
      </c>
      <c r="N184" s="7">
        <v>0</v>
      </c>
      <c r="O184" s="7">
        <v>0</v>
      </c>
      <c r="P184" s="7">
        <v>0</v>
      </c>
      <c r="Q184" s="7">
        <v>0</v>
      </c>
      <c r="R184" s="7">
        <v>0</v>
      </c>
      <c r="S184" s="7">
        <v>0</v>
      </c>
    </row>
    <row r="185">
      <c r="A185" s="14" t="s">
        <v>429</v>
      </c>
      <c r="B185" s="2" t="s">
        <v>399</v>
      </c>
      <c r="C185" s="7">
        <v>0</v>
      </c>
      <c r="D185" s="7">
        <v>0</v>
      </c>
      <c r="E185" s="7">
        <v>0</v>
      </c>
      <c r="F185" s="7">
        <v>0</v>
      </c>
      <c r="G185" s="7">
        <v>0</v>
      </c>
      <c r="H185" s="7">
        <v>0</v>
      </c>
      <c r="I185" s="7">
        <v>0</v>
      </c>
      <c r="J185" s="7">
        <v>0</v>
      </c>
      <c r="K185" s="7">
        <v>0</v>
      </c>
      <c r="L185" s="7">
        <v>0</v>
      </c>
      <c r="M185" s="7">
        <v>0</v>
      </c>
      <c r="N185" s="7">
        <v>0</v>
      </c>
      <c r="O185" s="7">
        <v>0</v>
      </c>
      <c r="P185" s="7">
        <v>0</v>
      </c>
      <c r="Q185" s="7">
        <v>0</v>
      </c>
      <c r="R185" s="7">
        <v>0</v>
      </c>
      <c r="S185" s="7">
        <v>0</v>
      </c>
    </row>
    <row r="186">
      <c r="A186" s="14" t="s">
        <v>430</v>
      </c>
      <c r="B186" s="2" t="s">
        <v>399</v>
      </c>
      <c r="C186" s="7">
        <v>0</v>
      </c>
      <c r="D186" s="7">
        <v>0</v>
      </c>
      <c r="E186" s="7">
        <v>0</v>
      </c>
      <c r="F186" s="7">
        <v>0</v>
      </c>
      <c r="G186" s="7">
        <v>0</v>
      </c>
      <c r="H186" s="7">
        <v>0</v>
      </c>
      <c r="I186" s="7">
        <v>0</v>
      </c>
      <c r="J186" s="7">
        <v>0</v>
      </c>
      <c r="K186" s="7">
        <v>0</v>
      </c>
      <c r="L186" s="7">
        <v>0</v>
      </c>
      <c r="M186" s="7">
        <v>0</v>
      </c>
      <c r="N186" s="7">
        <v>0</v>
      </c>
      <c r="O186" s="7">
        <v>0</v>
      </c>
      <c r="P186" s="7">
        <v>0</v>
      </c>
      <c r="Q186" s="7">
        <v>0</v>
      </c>
      <c r="R186" s="7">
        <v>0</v>
      </c>
      <c r="S186" s="7">
        <v>0</v>
      </c>
    </row>
    <row r="187">
      <c r="A187" s="14" t="s">
        <v>431</v>
      </c>
      <c r="B187" s="2" t="s">
        <v>399</v>
      </c>
      <c r="C187" s="7">
        <v>0</v>
      </c>
      <c r="D187" s="7">
        <v>0</v>
      </c>
      <c r="E187" s="7">
        <v>0</v>
      </c>
      <c r="F187" s="7">
        <v>0</v>
      </c>
      <c r="G187" s="7">
        <v>0</v>
      </c>
      <c r="H187" s="7">
        <v>0</v>
      </c>
      <c r="I187" s="7">
        <v>0</v>
      </c>
      <c r="J187" s="7">
        <v>0</v>
      </c>
      <c r="K187" s="7">
        <v>0</v>
      </c>
      <c r="L187" s="7">
        <v>0</v>
      </c>
      <c r="M187" s="7">
        <v>0</v>
      </c>
      <c r="N187" s="7">
        <v>0</v>
      </c>
      <c r="O187" s="7">
        <v>0</v>
      </c>
      <c r="P187" s="7">
        <v>0</v>
      </c>
      <c r="Q187" s="7">
        <v>0</v>
      </c>
      <c r="R187" s="7">
        <v>0</v>
      </c>
      <c r="S187" s="7">
        <v>0</v>
      </c>
    </row>
    <row r="188">
      <c r="A188" s="14" t="s">
        <v>432</v>
      </c>
      <c r="B188" s="2" t="s">
        <v>399</v>
      </c>
      <c r="C188" s="7">
        <v>0</v>
      </c>
      <c r="D188" s="7">
        <v>0</v>
      </c>
      <c r="E188" s="7">
        <v>0</v>
      </c>
      <c r="F188" s="7">
        <v>0</v>
      </c>
      <c r="G188" s="7">
        <v>0</v>
      </c>
      <c r="H188" s="7">
        <v>0</v>
      </c>
      <c r="I188" s="7">
        <v>0</v>
      </c>
      <c r="J188" s="7">
        <v>0</v>
      </c>
      <c r="K188" s="7">
        <v>0</v>
      </c>
      <c r="L188" s="7">
        <v>0</v>
      </c>
      <c r="M188" s="7">
        <v>0</v>
      </c>
      <c r="N188" s="7">
        <v>0</v>
      </c>
      <c r="O188" s="7">
        <v>0</v>
      </c>
      <c r="P188" s="7">
        <v>0</v>
      </c>
      <c r="Q188" s="7">
        <v>0</v>
      </c>
      <c r="R188" s="7">
        <v>0</v>
      </c>
      <c r="S188" s="7">
        <v>0</v>
      </c>
    </row>
    <row r="189">
      <c r="A189" s="14" t="s">
        <v>433</v>
      </c>
      <c r="B189" s="2" t="s">
        <v>399</v>
      </c>
      <c r="C189" s="7">
        <v>0</v>
      </c>
      <c r="D189" s="7">
        <v>0</v>
      </c>
      <c r="E189" s="7">
        <v>0</v>
      </c>
      <c r="F189" s="7">
        <v>0</v>
      </c>
      <c r="G189" s="7">
        <v>0</v>
      </c>
      <c r="H189" s="7">
        <v>0</v>
      </c>
      <c r="I189" s="7">
        <v>0</v>
      </c>
      <c r="J189" s="7">
        <v>0</v>
      </c>
      <c r="K189" s="7">
        <v>0</v>
      </c>
      <c r="L189" s="7">
        <v>0</v>
      </c>
      <c r="M189" s="7">
        <v>0</v>
      </c>
      <c r="N189" s="7">
        <v>0</v>
      </c>
      <c r="O189" s="7">
        <v>0</v>
      </c>
      <c r="P189" s="7">
        <v>0</v>
      </c>
      <c r="Q189" s="7">
        <v>0</v>
      </c>
      <c r="R189" s="7">
        <v>0</v>
      </c>
      <c r="S189" s="7">
        <v>0</v>
      </c>
    </row>
    <row r="190">
      <c r="A190" s="14" t="s">
        <v>434</v>
      </c>
      <c r="B190" s="2" t="s">
        <v>399</v>
      </c>
      <c r="C190" s="7">
        <v>0</v>
      </c>
      <c r="D190" s="7">
        <v>0</v>
      </c>
      <c r="E190" s="7">
        <v>0</v>
      </c>
      <c r="F190" s="7">
        <v>0</v>
      </c>
      <c r="G190" s="7">
        <v>0</v>
      </c>
      <c r="H190" s="7">
        <v>0</v>
      </c>
      <c r="I190" s="7">
        <v>0</v>
      </c>
      <c r="J190" s="7">
        <v>0</v>
      </c>
      <c r="K190" s="7">
        <v>0</v>
      </c>
      <c r="L190" s="7">
        <v>0</v>
      </c>
      <c r="M190" s="7">
        <v>0</v>
      </c>
      <c r="N190" s="7">
        <v>0</v>
      </c>
      <c r="O190" s="7">
        <v>0</v>
      </c>
      <c r="P190" s="7">
        <v>0</v>
      </c>
      <c r="Q190" s="7">
        <v>0</v>
      </c>
      <c r="R190" s="7">
        <v>0</v>
      </c>
      <c r="S190" s="7">
        <v>0</v>
      </c>
    </row>
    <row r="191">
      <c r="A191" s="14" t="s">
        <v>435</v>
      </c>
      <c r="B191" s="2" t="s">
        <v>399</v>
      </c>
      <c r="C191" s="7">
        <v>0</v>
      </c>
      <c r="D191" s="7">
        <v>0</v>
      </c>
      <c r="E191" s="7">
        <v>0</v>
      </c>
      <c r="F191" s="7">
        <v>0</v>
      </c>
      <c r="G191" s="7">
        <v>0</v>
      </c>
      <c r="H191" s="7">
        <v>0</v>
      </c>
      <c r="I191" s="7">
        <v>0</v>
      </c>
      <c r="J191" s="7">
        <v>0</v>
      </c>
      <c r="K191" s="7">
        <v>0</v>
      </c>
      <c r="L191" s="7">
        <v>0</v>
      </c>
      <c r="M191" s="7">
        <v>0</v>
      </c>
      <c r="N191" s="7">
        <v>0</v>
      </c>
      <c r="O191" s="7">
        <v>0</v>
      </c>
      <c r="P191" s="7">
        <v>0</v>
      </c>
      <c r="Q191" s="7">
        <v>0</v>
      </c>
      <c r="R191" s="7">
        <v>0</v>
      </c>
      <c r="S191" s="7">
        <v>0</v>
      </c>
    </row>
    <row r="192">
      <c r="A192" s="14" t="s">
        <v>436</v>
      </c>
      <c r="B192" s="2" t="s">
        <v>399</v>
      </c>
      <c r="C192" s="7">
        <v>0</v>
      </c>
      <c r="D192" s="7">
        <v>0</v>
      </c>
      <c r="E192" s="7">
        <v>0</v>
      </c>
      <c r="F192" s="7">
        <v>0</v>
      </c>
      <c r="G192" s="7">
        <v>0</v>
      </c>
      <c r="H192" s="7">
        <v>0</v>
      </c>
      <c r="I192" s="7">
        <v>0</v>
      </c>
      <c r="J192" s="7">
        <v>0</v>
      </c>
      <c r="K192" s="7">
        <v>0</v>
      </c>
      <c r="L192" s="7">
        <v>0</v>
      </c>
      <c r="M192" s="7">
        <v>0</v>
      </c>
      <c r="N192" s="7">
        <v>0</v>
      </c>
      <c r="O192" s="7">
        <v>0</v>
      </c>
      <c r="P192" s="7">
        <v>0</v>
      </c>
      <c r="Q192" s="7">
        <v>0</v>
      </c>
      <c r="R192" s="7">
        <v>0</v>
      </c>
      <c r="S192" s="7">
        <v>0</v>
      </c>
    </row>
    <row r="193">
      <c r="A193" s="14" t="s">
        <v>437</v>
      </c>
      <c r="B193" s="2" t="s">
        <v>399</v>
      </c>
      <c r="C193" s="7">
        <v>0</v>
      </c>
      <c r="D193" s="7">
        <v>0</v>
      </c>
      <c r="E193" s="7">
        <v>0</v>
      </c>
      <c r="F193" s="7">
        <v>0</v>
      </c>
      <c r="G193" s="7">
        <v>0</v>
      </c>
      <c r="H193" s="7">
        <v>0</v>
      </c>
      <c r="I193" s="7">
        <v>0</v>
      </c>
      <c r="J193" s="7">
        <v>0</v>
      </c>
      <c r="K193" s="7">
        <v>0</v>
      </c>
      <c r="L193" s="7">
        <v>0</v>
      </c>
      <c r="M193" s="7">
        <v>0</v>
      </c>
      <c r="N193" s="7">
        <v>0</v>
      </c>
      <c r="O193" s="7">
        <v>0</v>
      </c>
      <c r="P193" s="7">
        <v>0</v>
      </c>
      <c r="Q193" s="7">
        <v>0</v>
      </c>
      <c r="R193" s="7">
        <v>0</v>
      </c>
      <c r="S193" s="7">
        <v>0</v>
      </c>
    </row>
    <row r="194">
      <c r="A194" s="14" t="s">
        <v>438</v>
      </c>
      <c r="B194" s="2" t="s">
        <v>399</v>
      </c>
      <c r="C194" s="7">
        <v>0</v>
      </c>
      <c r="D194" s="7">
        <v>0</v>
      </c>
      <c r="E194" s="7">
        <v>0</v>
      </c>
      <c r="F194" s="7">
        <v>0</v>
      </c>
      <c r="G194" s="7">
        <v>0</v>
      </c>
      <c r="H194" s="7">
        <v>0</v>
      </c>
      <c r="I194" s="7">
        <v>0</v>
      </c>
      <c r="J194" s="7">
        <v>0</v>
      </c>
      <c r="K194" s="7">
        <v>0</v>
      </c>
      <c r="L194" s="7">
        <v>0</v>
      </c>
      <c r="M194" s="7">
        <v>0</v>
      </c>
      <c r="N194" s="7">
        <v>0</v>
      </c>
      <c r="O194" s="7">
        <v>0</v>
      </c>
      <c r="P194" s="7">
        <v>0</v>
      </c>
      <c r="Q194" s="7">
        <v>0</v>
      </c>
      <c r="R194" s="7">
        <v>0</v>
      </c>
      <c r="S194" s="7">
        <v>0</v>
      </c>
    </row>
    <row r="195">
      <c r="A195" s="14" t="s">
        <v>439</v>
      </c>
      <c r="B195" s="2" t="s">
        <v>399</v>
      </c>
      <c r="C195" s="7">
        <v>0</v>
      </c>
      <c r="D195" s="7">
        <v>0</v>
      </c>
      <c r="E195" s="7">
        <v>0</v>
      </c>
      <c r="F195" s="7">
        <v>0</v>
      </c>
      <c r="G195" s="7">
        <v>0</v>
      </c>
      <c r="H195" s="7">
        <v>0</v>
      </c>
      <c r="I195" s="7">
        <v>0</v>
      </c>
      <c r="J195" s="7">
        <v>0</v>
      </c>
      <c r="K195" s="7">
        <v>0</v>
      </c>
      <c r="L195" s="7">
        <v>0</v>
      </c>
      <c r="M195" s="7">
        <v>0</v>
      </c>
      <c r="N195" s="7">
        <v>0</v>
      </c>
      <c r="O195" s="7">
        <v>0</v>
      </c>
      <c r="P195" s="7">
        <v>0</v>
      </c>
      <c r="Q195" s="7">
        <v>0</v>
      </c>
      <c r="R195" s="7">
        <v>0</v>
      </c>
      <c r="S195" s="7">
        <v>0</v>
      </c>
    </row>
    <row r="196">
      <c r="A196" s="14" t="s">
        <v>440</v>
      </c>
      <c r="B196" s="2" t="s">
        <v>399</v>
      </c>
      <c r="C196" s="7">
        <v>0</v>
      </c>
      <c r="D196" s="7">
        <v>0</v>
      </c>
      <c r="E196" s="7">
        <v>0</v>
      </c>
      <c r="F196" s="7">
        <v>0</v>
      </c>
      <c r="G196" s="7">
        <v>0</v>
      </c>
      <c r="H196" s="7">
        <v>0</v>
      </c>
      <c r="I196" s="7">
        <v>0</v>
      </c>
      <c r="J196" s="7">
        <v>0</v>
      </c>
      <c r="K196" s="7">
        <v>0</v>
      </c>
      <c r="L196" s="7">
        <v>0</v>
      </c>
      <c r="M196" s="7">
        <v>0</v>
      </c>
      <c r="N196" s="7">
        <v>0</v>
      </c>
      <c r="O196" s="7">
        <v>0</v>
      </c>
      <c r="P196" s="7">
        <v>0</v>
      </c>
      <c r="Q196" s="7">
        <v>0</v>
      </c>
      <c r="R196" s="7">
        <v>0</v>
      </c>
      <c r="S196" s="7">
        <v>0</v>
      </c>
    </row>
    <row r="197">
      <c r="A197" s="14" t="s">
        <v>441</v>
      </c>
      <c r="B197" s="2" t="s">
        <v>399</v>
      </c>
      <c r="C197" s="7">
        <v>0</v>
      </c>
      <c r="D197" s="7">
        <v>0</v>
      </c>
      <c r="E197" s="7">
        <v>0</v>
      </c>
      <c r="F197" s="7">
        <v>0</v>
      </c>
      <c r="G197" s="7">
        <v>0</v>
      </c>
      <c r="H197" s="7">
        <v>0</v>
      </c>
      <c r="I197" s="7">
        <v>0</v>
      </c>
      <c r="J197" s="7">
        <v>0</v>
      </c>
      <c r="K197" s="7">
        <v>0</v>
      </c>
      <c r="L197" s="7">
        <v>0</v>
      </c>
      <c r="M197" s="7">
        <v>0</v>
      </c>
      <c r="N197" s="7">
        <v>0</v>
      </c>
      <c r="O197" s="7">
        <v>0</v>
      </c>
      <c r="P197" s="7">
        <v>0</v>
      </c>
      <c r="Q197" s="7">
        <v>0</v>
      </c>
      <c r="R197" s="7">
        <v>0</v>
      </c>
      <c r="S197" s="7">
        <v>0</v>
      </c>
    </row>
    <row r="198">
      <c r="A198" s="14" t="s">
        <v>442</v>
      </c>
      <c r="B198" s="2" t="s">
        <v>399</v>
      </c>
      <c r="C198" s="7">
        <v>0</v>
      </c>
      <c r="D198" s="7">
        <v>0</v>
      </c>
      <c r="E198" s="7">
        <v>0</v>
      </c>
      <c r="F198" s="7">
        <v>0</v>
      </c>
      <c r="G198" s="7">
        <v>0</v>
      </c>
      <c r="H198" s="7">
        <v>0</v>
      </c>
      <c r="I198" s="7">
        <v>0</v>
      </c>
      <c r="J198" s="7">
        <v>0</v>
      </c>
      <c r="K198" s="7">
        <v>0</v>
      </c>
      <c r="L198" s="7">
        <v>0</v>
      </c>
      <c r="M198" s="7">
        <v>0</v>
      </c>
      <c r="N198" s="7">
        <v>0</v>
      </c>
      <c r="O198" s="7">
        <v>0</v>
      </c>
      <c r="P198" s="7">
        <v>0</v>
      </c>
      <c r="Q198" s="7">
        <v>0</v>
      </c>
      <c r="R198" s="7">
        <v>0</v>
      </c>
      <c r="S198" s="7">
        <v>0</v>
      </c>
    </row>
    <row r="199">
      <c r="A199" s="14" t="s">
        <v>443</v>
      </c>
      <c r="B199" s="2" t="s">
        <v>399</v>
      </c>
      <c r="C199" s="7">
        <v>0</v>
      </c>
      <c r="D199" s="7">
        <v>0</v>
      </c>
      <c r="E199" s="7">
        <v>0</v>
      </c>
      <c r="F199" s="7">
        <v>0</v>
      </c>
      <c r="G199" s="7">
        <v>0</v>
      </c>
      <c r="H199" s="7">
        <v>0</v>
      </c>
      <c r="I199" s="7">
        <v>0</v>
      </c>
      <c r="J199" s="7">
        <v>0</v>
      </c>
      <c r="K199" s="7">
        <v>0</v>
      </c>
      <c r="L199" s="7">
        <v>0</v>
      </c>
      <c r="M199" s="7">
        <v>0</v>
      </c>
      <c r="N199" s="7">
        <v>0</v>
      </c>
      <c r="O199" s="7">
        <v>0</v>
      </c>
      <c r="P199" s="7">
        <v>0</v>
      </c>
      <c r="Q199" s="7">
        <v>0</v>
      </c>
      <c r="R199" s="7">
        <v>0</v>
      </c>
      <c r="S199" s="7">
        <v>0</v>
      </c>
    </row>
    <row r="200">
      <c r="A200" s="14" t="s">
        <v>444</v>
      </c>
      <c r="B200" s="2" t="s">
        <v>399</v>
      </c>
      <c r="C200" s="7">
        <v>0</v>
      </c>
      <c r="D200" s="7">
        <v>0</v>
      </c>
      <c r="E200" s="7">
        <v>0</v>
      </c>
      <c r="F200" s="7">
        <v>0</v>
      </c>
      <c r="G200" s="7">
        <v>0</v>
      </c>
      <c r="H200" s="7">
        <v>0</v>
      </c>
      <c r="I200" s="7">
        <v>0</v>
      </c>
      <c r="J200" s="7">
        <v>0</v>
      </c>
      <c r="K200" s="7">
        <v>0</v>
      </c>
      <c r="L200" s="7">
        <v>0</v>
      </c>
      <c r="M200" s="7">
        <v>0</v>
      </c>
      <c r="N200" s="7">
        <v>0</v>
      </c>
      <c r="O200" s="7">
        <v>0</v>
      </c>
      <c r="P200" s="7">
        <v>0</v>
      </c>
      <c r="Q200" s="7">
        <v>0</v>
      </c>
      <c r="R200" s="7">
        <v>0</v>
      </c>
      <c r="S200" s="7">
        <v>0</v>
      </c>
    </row>
    <row r="201">
      <c r="A201" s="15" t="s">
        <v>445</v>
      </c>
      <c r="C201" s="8">
        <f>SUM(C108:C149)</f>
        <v>86278</v>
      </c>
      <c r="D201" s="8">
        <f>SUM(D108:D149)</f>
        <v>82576</v>
      </c>
      <c r="E201" s="8">
        <f>SUM(E108:E149)</f>
        <v>90435</v>
      </c>
      <c r="F201" s="8">
        <f>SUM(F108:F149)</f>
        <v>89647</v>
      </c>
      <c r="G201" s="8">
        <f>SUM(G108:G149)</f>
        <v>83913</v>
      </c>
      <c r="H201" s="8">
        <f>SUM(H108:H149)</f>
        <v>83560</v>
      </c>
      <c r="I201" s="8">
        <f>SUM(I108:I149)</f>
        <v>98553</v>
      </c>
      <c r="J201" s="8">
        <f>SUM(J108:J149)</f>
        <v>92592</v>
      </c>
      <c r="K201" s="8">
        <f>SUM(K108:K149)</f>
        <v>102262</v>
      </c>
      <c r="L201" s="8">
        <f>SUM(L108:L149)</f>
        <v>92232</v>
      </c>
      <c r="M201" s="8">
        <f>SUM(M108:M149)</f>
        <v>99642</v>
      </c>
      <c r="N201" s="8">
        <f>SUM(N108:N149)</f>
        <v>84651</v>
      </c>
      <c r="O201" s="8">
        <f>SUM(O108:O149)</f>
        <v>85458</v>
      </c>
      <c r="P201" s="8">
        <f>SUM(P108:P149)</f>
        <v>94710</v>
      </c>
      <c r="Q201" s="8">
        <f>SUM(Q108:Q149)</f>
        <v>99701</v>
      </c>
      <c r="R201" s="8">
        <f>SUM(R108:R149)</f>
        <v>91885</v>
      </c>
      <c r="S201" s="8">
        <f>SUM(S108:S149)</f>
        <v>103292</v>
      </c>
    </row>
    <row r="202">
      <c r="A202" s="15" t="s">
        <v>446</v>
      </c>
      <c r="C202" s="8">
        <f>SUM(C150:C154)</f>
        <v>1665</v>
      </c>
      <c r="D202" s="8">
        <f>SUM(D150:D154)</f>
        <v>1966</v>
      </c>
      <c r="E202" s="8">
        <f>SUM(E150:E154)</f>
        <v>2437</v>
      </c>
      <c r="F202" s="8">
        <f>SUM(F150:F154)</f>
        <v>2818</v>
      </c>
      <c r="G202" s="8">
        <f>SUM(G150:G154)</f>
        <v>2775</v>
      </c>
      <c r="H202" s="8">
        <f>SUM(H150:H154)</f>
        <v>2575</v>
      </c>
      <c r="I202" s="8">
        <f>SUM(I150:I154)</f>
        <v>2583</v>
      </c>
      <c r="J202" s="8">
        <f>SUM(J150:J154)</f>
        <v>2632</v>
      </c>
      <c r="K202" s="8">
        <f>SUM(K150:K154)</f>
        <v>2664</v>
      </c>
      <c r="L202" s="8">
        <f>SUM(L150:L154)</f>
        <v>2689</v>
      </c>
      <c r="M202" s="8">
        <f>SUM(M150:M154)</f>
        <v>2513</v>
      </c>
      <c r="N202" s="8">
        <f>SUM(N150:N154)</f>
        <v>2438</v>
      </c>
      <c r="O202" s="8">
        <f>SUM(O150:O154)</f>
        <v>2450</v>
      </c>
      <c r="P202" s="8">
        <f>SUM(P150:P154)</f>
        <v>2450</v>
      </c>
      <c r="Q202" s="8">
        <f>SUM(Q150:Q154)</f>
        <v>2575</v>
      </c>
      <c r="R202" s="8">
        <f>SUM(R150:R154)</f>
        <v>2555</v>
      </c>
      <c r="S202" s="8">
        <f>SUM(S150:S154)</f>
        <v>2575</v>
      </c>
    </row>
    <row r="203">
      <c r="A203" s="15" t="s">
        <v>447</v>
      </c>
      <c r="C203" s="8">
        <f>SUM(C155:C200)</f>
        <v>0</v>
      </c>
      <c r="D203" s="8">
        <f>SUM(D155:D200)</f>
        <v>0</v>
      </c>
      <c r="E203" s="8">
        <f>SUM(E155:E200)</f>
        <v>0</v>
      </c>
      <c r="F203" s="8">
        <f>SUM(F155:F200)</f>
        <v>0</v>
      </c>
      <c r="G203" s="8">
        <f>SUM(G155:G200)</f>
        <v>0</v>
      </c>
      <c r="H203" s="8">
        <f>SUM(H155:H200)</f>
        <v>0</v>
      </c>
      <c r="I203" s="8">
        <f>SUM(I155:I200)</f>
        <v>0</v>
      </c>
      <c r="J203" s="8">
        <f>SUM(J155:J200)</f>
        <v>0</v>
      </c>
      <c r="K203" s="8">
        <f>SUM(K155:K200)</f>
        <v>0</v>
      </c>
      <c r="L203" s="8">
        <f>SUM(L155:L200)</f>
        <v>0</v>
      </c>
      <c r="M203" s="8">
        <f>SUM(M155:M200)</f>
        <v>0</v>
      </c>
      <c r="N203" s="8">
        <f>SUM(N155:N200)</f>
        <v>0</v>
      </c>
      <c r="O203" s="8">
        <f>SUM(O155:O200)</f>
        <v>0</v>
      </c>
      <c r="P203" s="8">
        <f>SUM(P155:P200)</f>
        <v>0</v>
      </c>
      <c r="Q203" s="8">
        <f>SUM(Q155:Q200)</f>
        <v>0</v>
      </c>
      <c r="R203" s="8">
        <f>SUM(R155:R200)</f>
        <v>0</v>
      </c>
      <c r="S203" s="8">
        <f>SUM(S155:S200)</f>
        <v>0</v>
      </c>
    </row>
    <row r="204">
      <c r="A204" s="15" t="s">
        <v>448</v>
      </c>
      <c r="C204" s="21">
        <f>C201+C202+C203</f>
        <v>87943</v>
      </c>
      <c r="D204" s="21">
        <f>D201+D202+D203</f>
        <v>84542</v>
      </c>
      <c r="E204" s="21">
        <f>E201+E202+E203</f>
        <v>92872</v>
      </c>
      <c r="F204" s="21">
        <f>F201+F202+F203</f>
        <v>92465</v>
      </c>
      <c r="G204" s="21">
        <f>G201+G202+G203</f>
        <v>86688</v>
      </c>
      <c r="H204" s="21">
        <f>H201+H202+H203</f>
        <v>86135</v>
      </c>
      <c r="I204" s="21">
        <f>I201+I202+I203</f>
        <v>101136</v>
      </c>
      <c r="J204" s="21">
        <f>J201+J202+J203</f>
        <v>95224</v>
      </c>
      <c r="K204" s="21">
        <f>K201+K202+K203</f>
        <v>104926</v>
      </c>
      <c r="L204" s="21">
        <f>L201+L202+L203</f>
        <v>94921</v>
      </c>
      <c r="M204" s="21">
        <f>M201+M202+M203</f>
        <v>102155</v>
      </c>
      <c r="N204" s="21">
        <f>N201+N202+N203</f>
        <v>87089</v>
      </c>
      <c r="O204" s="21">
        <f>O201+O202+O203</f>
        <v>87908</v>
      </c>
      <c r="P204" s="21">
        <f>P201+P202+P203</f>
        <v>97160</v>
      </c>
      <c r="Q204" s="21">
        <f>Q201+Q202+Q203</f>
        <v>102276</v>
      </c>
      <c r="R204" s="21">
        <f>R201+R202+R203</f>
        <v>94440</v>
      </c>
      <c r="S204" s="21">
        <f>S201+S202+S203</f>
        <v>105867</v>
      </c>
    </row>
    <row r="209">
      <c r="A209" s="4" t="s">
        <v>450</v>
      </c>
      <c r="B209" s="3" t="s">
        <v>366</v>
      </c>
      <c r="C209" s="3" t="s">
        <v>41</v>
      </c>
      <c r="D209" s="3" t="s">
        <v>42</v>
      </c>
      <c r="E209" s="3" t="s">
        <v>43</v>
      </c>
      <c r="F209" s="3" t="s">
        <v>44</v>
      </c>
      <c r="G209" s="3" t="s">
        <v>45</v>
      </c>
      <c r="H209" s="3" t="s">
        <v>46</v>
      </c>
      <c r="I209" s="3" t="s">
        <v>47</v>
      </c>
      <c r="J209" s="3" t="s">
        <v>48</v>
      </c>
      <c r="K209" s="3" t="s">
        <v>49</v>
      </c>
      <c r="L209" s="3" t="s">
        <v>50</v>
      </c>
      <c r="M209" s="3" t="s">
        <v>51</v>
      </c>
      <c r="N209" s="3" t="s">
        <v>52</v>
      </c>
      <c r="O209" s="3" t="s">
        <v>53</v>
      </c>
      <c r="P209" s="3" t="s">
        <v>54</v>
      </c>
      <c r="Q209" s="3" t="s">
        <v>55</v>
      </c>
      <c r="R209" s="3" t="s">
        <v>56</v>
      </c>
      <c r="S209" s="3" t="s">
        <v>85</v>
      </c>
    </row>
    <row r="210">
      <c r="A210" s="14" t="s">
        <v>367</v>
      </c>
      <c r="B210" s="2" t="s">
        <v>368</v>
      </c>
      <c r="C210" s="7">
        <v>12700</v>
      </c>
      <c r="D210" s="7">
        <v>14500</v>
      </c>
      <c r="E210" s="7">
        <v>15500</v>
      </c>
      <c r="F210" s="7">
        <v>15400</v>
      </c>
      <c r="G210" s="7">
        <v>17000</v>
      </c>
      <c r="H210" s="7">
        <v>13300</v>
      </c>
      <c r="I210" s="7">
        <v>10500</v>
      </c>
      <c r="J210" s="7">
        <v>12600</v>
      </c>
      <c r="K210" s="7">
        <v>16800</v>
      </c>
      <c r="L210" s="7">
        <v>18500</v>
      </c>
      <c r="M210" s="7">
        <v>20200</v>
      </c>
      <c r="N210" s="7">
        <v>21700</v>
      </c>
      <c r="O210" s="7">
        <v>22800</v>
      </c>
      <c r="P210" s="7">
        <v>21400</v>
      </c>
      <c r="Q210" s="7">
        <v>21000</v>
      </c>
      <c r="R210" s="7">
        <v>25000</v>
      </c>
      <c r="S210" s="7">
        <v>24400</v>
      </c>
    </row>
    <row r="211">
      <c r="A211" s="14" t="s">
        <v>96</v>
      </c>
      <c r="B211" s="2" t="s">
        <v>368</v>
      </c>
      <c r="C211" s="7">
        <v>18765</v>
      </c>
      <c r="D211" s="7">
        <v>25200</v>
      </c>
      <c r="E211" s="7">
        <v>25600</v>
      </c>
      <c r="F211" s="7">
        <v>28658</v>
      </c>
      <c r="G211" s="7">
        <v>26350</v>
      </c>
      <c r="H211" s="7">
        <v>27830</v>
      </c>
      <c r="I211" s="7">
        <v>25600</v>
      </c>
      <c r="J211" s="7">
        <v>28274</v>
      </c>
      <c r="K211" s="7">
        <v>29336</v>
      </c>
      <c r="L211" s="7">
        <v>30200</v>
      </c>
      <c r="M211" s="7">
        <v>28050</v>
      </c>
      <c r="N211" s="7">
        <v>30480</v>
      </c>
      <c r="O211" s="7">
        <v>27300</v>
      </c>
      <c r="P211" s="7">
        <v>26550</v>
      </c>
      <c r="Q211" s="7">
        <v>28000</v>
      </c>
      <c r="R211" s="7">
        <v>30500</v>
      </c>
      <c r="S211" s="7">
        <v>31400</v>
      </c>
    </row>
    <row r="212">
      <c r="A212" s="14" t="s">
        <v>369</v>
      </c>
      <c r="B212" s="2" t="s">
        <v>368</v>
      </c>
      <c r="C212" s="7">
        <v>0</v>
      </c>
      <c r="D212" s="7">
        <v>0</v>
      </c>
      <c r="E212" s="7">
        <v>0</v>
      </c>
      <c r="F212" s="7">
        <v>0</v>
      </c>
      <c r="G212" s="7">
        <v>0</v>
      </c>
      <c r="H212" s="7">
        <v>0</v>
      </c>
      <c r="I212" s="7">
        <v>0</v>
      </c>
      <c r="J212" s="7">
        <v>0</v>
      </c>
      <c r="K212" s="7">
        <v>0</v>
      </c>
      <c r="L212" s="7">
        <v>0</v>
      </c>
      <c r="M212" s="7">
        <v>0</v>
      </c>
      <c r="N212" s="7">
        <v>0</v>
      </c>
      <c r="O212" s="7">
        <v>0</v>
      </c>
      <c r="P212" s="7">
        <v>0</v>
      </c>
      <c r="Q212" s="7">
        <v>0</v>
      </c>
      <c r="R212" s="7">
        <v>0</v>
      </c>
      <c r="S212" s="7">
        <v>0</v>
      </c>
    </row>
    <row r="213">
      <c r="A213" s="14" t="s">
        <v>370</v>
      </c>
      <c r="B213" s="2" t="s">
        <v>368</v>
      </c>
      <c r="C213" s="7">
        <v>0</v>
      </c>
      <c r="D213" s="7">
        <v>0</v>
      </c>
      <c r="E213" s="7">
        <v>0</v>
      </c>
      <c r="F213" s="7">
        <v>0</v>
      </c>
      <c r="G213" s="7">
        <v>0</v>
      </c>
      <c r="H213" s="7">
        <v>0</v>
      </c>
      <c r="I213" s="7">
        <v>0</v>
      </c>
      <c r="J213" s="7">
        <v>0</v>
      </c>
      <c r="K213" s="7">
        <v>0</v>
      </c>
      <c r="L213" s="7">
        <v>0</v>
      </c>
      <c r="M213" s="7">
        <v>0</v>
      </c>
      <c r="N213" s="7">
        <v>0</v>
      </c>
      <c r="O213" s="7">
        <v>0</v>
      </c>
      <c r="P213" s="7">
        <v>0</v>
      </c>
      <c r="Q213" s="7">
        <v>0</v>
      </c>
      <c r="R213" s="7">
        <v>0</v>
      </c>
      <c r="S213" s="7">
        <v>0</v>
      </c>
    </row>
    <row r="214">
      <c r="A214" s="14" t="s">
        <v>371</v>
      </c>
      <c r="B214" s="2" t="s">
        <v>368</v>
      </c>
      <c r="C214" s="7">
        <v>7950</v>
      </c>
      <c r="D214" s="7">
        <v>6670</v>
      </c>
      <c r="E214" s="7">
        <v>9900</v>
      </c>
      <c r="F214" s="7">
        <v>10000</v>
      </c>
      <c r="G214" s="7">
        <v>9200</v>
      </c>
      <c r="H214" s="7">
        <v>10600</v>
      </c>
      <c r="I214" s="7">
        <v>9300</v>
      </c>
      <c r="J214" s="7">
        <v>9400</v>
      </c>
      <c r="K214" s="7">
        <v>9400</v>
      </c>
      <c r="L214" s="7">
        <v>9450</v>
      </c>
      <c r="M214" s="7">
        <v>9400</v>
      </c>
      <c r="N214" s="7">
        <v>9300</v>
      </c>
      <c r="O214" s="7">
        <v>9500</v>
      </c>
      <c r="P214" s="7">
        <v>6800</v>
      </c>
      <c r="Q214" s="7">
        <v>9300</v>
      </c>
      <c r="R214" s="7">
        <v>11000</v>
      </c>
      <c r="S214" s="7">
        <v>10000</v>
      </c>
    </row>
    <row r="215">
      <c r="A215" s="14" t="s">
        <v>372</v>
      </c>
      <c r="B215" s="2" t="s">
        <v>368</v>
      </c>
      <c r="C215" s="7">
        <v>2568</v>
      </c>
      <c r="D215" s="7">
        <v>2200</v>
      </c>
      <c r="E215" s="7">
        <v>2800</v>
      </c>
      <c r="F215" s="7">
        <v>3000</v>
      </c>
      <c r="G215" s="7">
        <v>2700</v>
      </c>
      <c r="H215" s="7">
        <v>2600</v>
      </c>
      <c r="I215" s="7">
        <v>3775</v>
      </c>
      <c r="J215" s="7">
        <v>3400</v>
      </c>
      <c r="K215" s="7">
        <v>3600</v>
      </c>
      <c r="L215" s="7">
        <v>4450</v>
      </c>
      <c r="M215" s="7">
        <v>5900</v>
      </c>
      <c r="N215" s="7">
        <v>5060</v>
      </c>
      <c r="O215" s="7">
        <v>5575</v>
      </c>
      <c r="P215" s="7">
        <v>5400</v>
      </c>
      <c r="Q215" s="7">
        <v>5670</v>
      </c>
      <c r="R215" s="7">
        <v>5975</v>
      </c>
      <c r="S215" s="7">
        <v>6025</v>
      </c>
    </row>
    <row r="216">
      <c r="A216" s="14" t="s">
        <v>373</v>
      </c>
      <c r="B216" s="2" t="s">
        <v>368</v>
      </c>
      <c r="C216" s="7">
        <v>3465</v>
      </c>
      <c r="D216" s="7">
        <v>3540</v>
      </c>
      <c r="E216" s="7">
        <v>3660</v>
      </c>
      <c r="F216" s="7">
        <v>3372</v>
      </c>
      <c r="G216" s="7">
        <v>3810</v>
      </c>
      <c r="H216" s="7">
        <v>4075</v>
      </c>
      <c r="I216" s="7">
        <v>3617</v>
      </c>
      <c r="J216" s="7">
        <v>3683</v>
      </c>
      <c r="K216" s="7">
        <v>3742</v>
      </c>
      <c r="L216" s="7">
        <v>3517</v>
      </c>
      <c r="M216" s="7">
        <v>3917</v>
      </c>
      <c r="N216" s="7">
        <v>4117</v>
      </c>
      <c r="O216" s="7">
        <v>4200</v>
      </c>
      <c r="P216" s="7">
        <v>5080</v>
      </c>
      <c r="Q216" s="7">
        <v>4297</v>
      </c>
      <c r="R216" s="7">
        <v>4700</v>
      </c>
      <c r="S216" s="7">
        <v>4580</v>
      </c>
    </row>
    <row r="217">
      <c r="A217" s="14" t="s">
        <v>102</v>
      </c>
      <c r="B217" s="2" t="s">
        <v>368</v>
      </c>
      <c r="C217" s="7">
        <v>0</v>
      </c>
      <c r="D217" s="7">
        <v>0</v>
      </c>
      <c r="E217" s="7">
        <v>0</v>
      </c>
      <c r="F217" s="7">
        <v>0</v>
      </c>
      <c r="G217" s="7">
        <v>0</v>
      </c>
      <c r="H217" s="7">
        <v>0</v>
      </c>
      <c r="I217" s="7">
        <v>0</v>
      </c>
      <c r="J217" s="7">
        <v>0</v>
      </c>
      <c r="K217" s="7">
        <v>0</v>
      </c>
      <c r="L217" s="7">
        <v>0</v>
      </c>
      <c r="M217" s="7">
        <v>0</v>
      </c>
      <c r="N217" s="7">
        <v>0</v>
      </c>
      <c r="O217" s="7">
        <v>0</v>
      </c>
      <c r="P217" s="7">
        <v>0</v>
      </c>
      <c r="Q217" s="7">
        <v>0</v>
      </c>
      <c r="R217" s="7">
        <v>0</v>
      </c>
      <c r="S217" s="7">
        <v>0</v>
      </c>
    </row>
    <row r="218">
      <c r="A218" s="14" t="s">
        <v>374</v>
      </c>
      <c r="B218" s="2" t="s">
        <v>368</v>
      </c>
      <c r="C218" s="7">
        <v>0</v>
      </c>
      <c r="D218" s="7">
        <v>0</v>
      </c>
      <c r="E218" s="7">
        <v>0</v>
      </c>
      <c r="F218" s="7">
        <v>0</v>
      </c>
      <c r="G218" s="7">
        <v>0</v>
      </c>
      <c r="H218" s="7">
        <v>0</v>
      </c>
      <c r="I218" s="7">
        <v>0</v>
      </c>
      <c r="J218" s="7">
        <v>0</v>
      </c>
      <c r="K218" s="7">
        <v>0</v>
      </c>
      <c r="L218" s="7">
        <v>0</v>
      </c>
      <c r="M218" s="7">
        <v>0</v>
      </c>
      <c r="N218" s="7">
        <v>0</v>
      </c>
      <c r="O218" s="7">
        <v>0</v>
      </c>
      <c r="P218" s="7">
        <v>0</v>
      </c>
      <c r="Q218" s="7">
        <v>0</v>
      </c>
      <c r="R218" s="7">
        <v>0</v>
      </c>
      <c r="S218" s="7">
        <v>0</v>
      </c>
    </row>
    <row r="219">
      <c r="A219" s="14" t="s">
        <v>375</v>
      </c>
      <c r="B219" s="2" t="s">
        <v>368</v>
      </c>
      <c r="C219" s="7">
        <v>200</v>
      </c>
      <c r="D219" s="7">
        <v>200</v>
      </c>
      <c r="E219" s="7">
        <v>200</v>
      </c>
      <c r="F219" s="7">
        <v>200</v>
      </c>
      <c r="G219" s="7">
        <v>200</v>
      </c>
      <c r="H219" s="7">
        <v>175</v>
      </c>
      <c r="I219" s="7">
        <v>200</v>
      </c>
      <c r="J219" s="7">
        <v>200</v>
      </c>
      <c r="K219" s="7">
        <v>450</v>
      </c>
      <c r="L219" s="7">
        <v>550</v>
      </c>
      <c r="M219" s="7">
        <v>530</v>
      </c>
      <c r="N219" s="7">
        <v>540</v>
      </c>
      <c r="O219" s="7">
        <v>545</v>
      </c>
      <c r="P219" s="7">
        <v>500</v>
      </c>
      <c r="Q219" s="7">
        <v>340</v>
      </c>
      <c r="R219" s="7">
        <v>500</v>
      </c>
      <c r="S219" s="7">
        <v>560</v>
      </c>
    </row>
    <row r="220">
      <c r="A220" s="14" t="s">
        <v>105</v>
      </c>
      <c r="B220" s="2" t="s">
        <v>368</v>
      </c>
      <c r="C220" s="7">
        <v>10</v>
      </c>
      <c r="D220" s="7">
        <v>10</v>
      </c>
      <c r="E220" s="7">
        <v>10</v>
      </c>
      <c r="F220" s="7">
        <v>15</v>
      </c>
      <c r="G220" s="7">
        <v>60</v>
      </c>
      <c r="H220" s="7">
        <v>170</v>
      </c>
      <c r="I220" s="7">
        <v>170</v>
      </c>
      <c r="J220" s="7">
        <v>180</v>
      </c>
      <c r="K220" s="7">
        <v>250</v>
      </c>
      <c r="L220" s="7">
        <v>130</v>
      </c>
      <c r="M220" s="7">
        <v>120</v>
      </c>
      <c r="N220" s="7">
        <v>130</v>
      </c>
      <c r="O220" s="7">
        <v>120</v>
      </c>
      <c r="P220" s="7">
        <v>130</v>
      </c>
      <c r="Q220" s="7">
        <v>130</v>
      </c>
      <c r="R220" s="7">
        <v>130</v>
      </c>
      <c r="S220" s="7">
        <v>130</v>
      </c>
    </row>
    <row r="221">
      <c r="A221" s="14" t="s">
        <v>106</v>
      </c>
      <c r="B221" s="2" t="s">
        <v>368</v>
      </c>
      <c r="C221" s="7">
        <v>0</v>
      </c>
      <c r="D221" s="7">
        <v>0</v>
      </c>
      <c r="E221" s="7">
        <v>0</v>
      </c>
      <c r="F221" s="7">
        <v>0</v>
      </c>
      <c r="G221" s="7">
        <v>25</v>
      </c>
      <c r="H221" s="7">
        <v>25</v>
      </c>
      <c r="I221" s="7">
        <v>25</v>
      </c>
      <c r="J221" s="7">
        <v>30</v>
      </c>
      <c r="K221" s="7">
        <v>50</v>
      </c>
      <c r="L221" s="7">
        <v>80</v>
      </c>
      <c r="M221" s="7">
        <v>100</v>
      </c>
      <c r="N221" s="7">
        <v>120</v>
      </c>
      <c r="O221" s="7">
        <v>160</v>
      </c>
      <c r="P221" s="7">
        <v>160</v>
      </c>
      <c r="Q221" s="7">
        <v>160</v>
      </c>
      <c r="R221" s="7">
        <v>160</v>
      </c>
      <c r="S221" s="7">
        <v>140</v>
      </c>
    </row>
    <row r="222">
      <c r="A222" s="14" t="s">
        <v>376</v>
      </c>
      <c r="B222" s="2" t="s">
        <v>368</v>
      </c>
      <c r="C222" s="7">
        <v>450</v>
      </c>
      <c r="D222" s="7">
        <v>200</v>
      </c>
      <c r="E222" s="7">
        <v>570</v>
      </c>
      <c r="F222" s="7">
        <v>350</v>
      </c>
      <c r="G222" s="7">
        <v>550</v>
      </c>
      <c r="H222" s="7">
        <v>500</v>
      </c>
      <c r="I222" s="7">
        <v>500</v>
      </c>
      <c r="J222" s="7">
        <v>550</v>
      </c>
      <c r="K222" s="7">
        <v>550</v>
      </c>
      <c r="L222" s="7">
        <v>575</v>
      </c>
      <c r="M222" s="7">
        <v>525</v>
      </c>
      <c r="N222" s="7">
        <v>550</v>
      </c>
      <c r="O222" s="7">
        <v>550</v>
      </c>
      <c r="P222" s="7">
        <v>600</v>
      </c>
      <c r="Q222" s="7">
        <v>650</v>
      </c>
      <c r="R222" s="7">
        <v>700</v>
      </c>
      <c r="S222" s="7">
        <v>750</v>
      </c>
    </row>
    <row r="223">
      <c r="A223" s="14" t="s">
        <v>377</v>
      </c>
      <c r="B223" s="2" t="s">
        <v>368</v>
      </c>
      <c r="C223" s="7">
        <v>1100</v>
      </c>
      <c r="D223" s="7">
        <v>1450</v>
      </c>
      <c r="E223" s="7">
        <v>1400</v>
      </c>
      <c r="F223" s="7">
        <v>1500</v>
      </c>
      <c r="G223" s="7">
        <v>2100</v>
      </c>
      <c r="H223" s="7">
        <v>2200</v>
      </c>
      <c r="I223" s="7">
        <v>2100</v>
      </c>
      <c r="J223" s="7">
        <v>2100</v>
      </c>
      <c r="K223" s="7">
        <v>2100</v>
      </c>
      <c r="L223" s="7">
        <v>1900</v>
      </c>
      <c r="M223" s="7">
        <v>2000</v>
      </c>
      <c r="N223" s="7">
        <v>2000</v>
      </c>
      <c r="O223" s="7">
        <v>2000</v>
      </c>
      <c r="P223" s="7">
        <v>1330</v>
      </c>
      <c r="Q223" s="7">
        <v>1400</v>
      </c>
      <c r="R223" s="7">
        <v>1500</v>
      </c>
      <c r="S223" s="7">
        <v>1500</v>
      </c>
    </row>
    <row r="224">
      <c r="A224" s="14" t="s">
        <v>378</v>
      </c>
      <c r="B224" s="2" t="s">
        <v>368</v>
      </c>
      <c r="C224" s="7">
        <v>1600</v>
      </c>
      <c r="D224" s="7">
        <v>1600</v>
      </c>
      <c r="E224" s="7">
        <v>1750</v>
      </c>
      <c r="F224" s="7">
        <v>1675</v>
      </c>
      <c r="G224" s="7">
        <v>1400</v>
      </c>
      <c r="H224" s="7">
        <v>1600</v>
      </c>
      <c r="I224" s="7">
        <v>1090</v>
      </c>
      <c r="J224" s="7">
        <v>1250</v>
      </c>
      <c r="K224" s="7">
        <v>2000</v>
      </c>
      <c r="L224" s="7">
        <v>1775</v>
      </c>
      <c r="M224" s="7">
        <v>910</v>
      </c>
      <c r="N224" s="7">
        <v>1110</v>
      </c>
      <c r="O224" s="7">
        <v>1020</v>
      </c>
      <c r="P224" s="7">
        <v>1325</v>
      </c>
      <c r="Q224" s="7">
        <v>650</v>
      </c>
      <c r="R224" s="7">
        <v>1300</v>
      </c>
      <c r="S224" s="7">
        <v>1300</v>
      </c>
    </row>
    <row r="225">
      <c r="A225" s="14" t="s">
        <v>110</v>
      </c>
      <c r="B225" s="2" t="s">
        <v>368</v>
      </c>
      <c r="C225" s="7">
        <v>0</v>
      </c>
      <c r="D225" s="7">
        <v>0</v>
      </c>
      <c r="E225" s="7">
        <v>0</v>
      </c>
      <c r="F225" s="7">
        <v>0</v>
      </c>
      <c r="G225" s="7">
        <v>0</v>
      </c>
      <c r="H225" s="7">
        <v>0</v>
      </c>
      <c r="I225" s="7">
        <v>0</v>
      </c>
      <c r="J225" s="7">
        <v>0</v>
      </c>
      <c r="K225" s="7">
        <v>0</v>
      </c>
      <c r="L225" s="7">
        <v>0</v>
      </c>
      <c r="M225" s="7">
        <v>0</v>
      </c>
      <c r="N225" s="7">
        <v>0</v>
      </c>
      <c r="O225" s="7">
        <v>0</v>
      </c>
      <c r="P225" s="7">
        <v>0</v>
      </c>
      <c r="Q225" s="7">
        <v>0</v>
      </c>
      <c r="R225" s="7">
        <v>0</v>
      </c>
      <c r="S225" s="7">
        <v>0</v>
      </c>
    </row>
    <row r="226">
      <c r="A226" s="14" t="s">
        <v>111</v>
      </c>
      <c r="B226" s="2" t="s">
        <v>368</v>
      </c>
      <c r="C226" s="7">
        <v>0</v>
      </c>
      <c r="D226" s="7">
        <v>0</v>
      </c>
      <c r="E226" s="7">
        <v>0</v>
      </c>
      <c r="F226" s="7">
        <v>0</v>
      </c>
      <c r="G226" s="7">
        <v>0</v>
      </c>
      <c r="H226" s="7">
        <v>0</v>
      </c>
      <c r="I226" s="7">
        <v>0</v>
      </c>
      <c r="J226" s="7">
        <v>0</v>
      </c>
      <c r="K226" s="7">
        <v>0</v>
      </c>
      <c r="L226" s="7">
        <v>0</v>
      </c>
      <c r="M226" s="7">
        <v>0</v>
      </c>
      <c r="N226" s="7">
        <v>0</v>
      </c>
      <c r="O226" s="7">
        <v>0</v>
      </c>
      <c r="P226" s="7">
        <v>0</v>
      </c>
      <c r="Q226" s="7">
        <v>0</v>
      </c>
      <c r="R226" s="7">
        <v>0</v>
      </c>
      <c r="S226" s="7">
        <v>0</v>
      </c>
    </row>
    <row r="227">
      <c r="A227" s="14" t="s">
        <v>379</v>
      </c>
      <c r="B227" s="2" t="s">
        <v>368</v>
      </c>
      <c r="C227" s="7">
        <v>1000</v>
      </c>
      <c r="D227" s="7">
        <v>1000</v>
      </c>
      <c r="E227" s="7">
        <v>1000</v>
      </c>
      <c r="F227" s="7">
        <v>1000</v>
      </c>
      <c r="G227" s="7">
        <v>1000</v>
      </c>
      <c r="H227" s="7">
        <v>700</v>
      </c>
      <c r="I227" s="7">
        <v>800</v>
      </c>
      <c r="J227" s="7">
        <v>700</v>
      </c>
      <c r="K227" s="7">
        <v>650</v>
      </c>
      <c r="L227" s="7">
        <v>700</v>
      </c>
      <c r="M227" s="7">
        <v>600</v>
      </c>
      <c r="N227" s="7">
        <v>650</v>
      </c>
      <c r="O227" s="7">
        <v>700</v>
      </c>
      <c r="P227" s="7">
        <v>750</v>
      </c>
      <c r="Q227" s="7">
        <v>900</v>
      </c>
      <c r="R227" s="7">
        <v>900</v>
      </c>
      <c r="S227" s="7">
        <v>900</v>
      </c>
    </row>
    <row r="228">
      <c r="A228" s="14" t="s">
        <v>380</v>
      </c>
      <c r="B228" s="2" t="s">
        <v>368</v>
      </c>
      <c r="C228" s="7">
        <v>40</v>
      </c>
      <c r="D228" s="7">
        <v>50</v>
      </c>
      <c r="E228" s="7">
        <v>50</v>
      </c>
      <c r="F228" s="7">
        <v>40</v>
      </c>
      <c r="G228" s="7">
        <v>50</v>
      </c>
      <c r="H228" s="7">
        <v>50</v>
      </c>
      <c r="I228" s="7">
        <v>50</v>
      </c>
      <c r="J228" s="7">
        <v>50</v>
      </c>
      <c r="K228" s="7">
        <v>50</v>
      </c>
      <c r="L228" s="7">
        <v>50</v>
      </c>
      <c r="M228" s="7">
        <v>50</v>
      </c>
      <c r="N228" s="7">
        <v>50</v>
      </c>
      <c r="O228" s="7">
        <v>50</v>
      </c>
      <c r="P228" s="7">
        <v>50</v>
      </c>
      <c r="Q228" s="7">
        <v>40</v>
      </c>
      <c r="R228" s="7">
        <v>50</v>
      </c>
      <c r="S228" s="7">
        <v>50</v>
      </c>
    </row>
    <row r="229">
      <c r="A229" s="14" t="s">
        <v>381</v>
      </c>
      <c r="B229" s="2" t="s">
        <v>368</v>
      </c>
      <c r="C229" s="7">
        <v>0</v>
      </c>
      <c r="D229" s="7">
        <v>0</v>
      </c>
      <c r="E229" s="7">
        <v>0</v>
      </c>
      <c r="F229" s="7">
        <v>0</v>
      </c>
      <c r="G229" s="7">
        <v>0</v>
      </c>
      <c r="H229" s="7">
        <v>0</v>
      </c>
      <c r="I229" s="7">
        <v>0</v>
      </c>
      <c r="J229" s="7">
        <v>0</v>
      </c>
      <c r="K229" s="7">
        <v>0</v>
      </c>
      <c r="L229" s="7">
        <v>0</v>
      </c>
      <c r="M229" s="7">
        <v>0</v>
      </c>
      <c r="N229" s="7">
        <v>0</v>
      </c>
      <c r="O229" s="7">
        <v>0</v>
      </c>
      <c r="P229" s="7">
        <v>0</v>
      </c>
      <c r="Q229" s="7">
        <v>0</v>
      </c>
      <c r="R229" s="7">
        <v>0</v>
      </c>
      <c r="S229" s="7">
        <v>0</v>
      </c>
    </row>
    <row r="230">
      <c r="A230" s="14" t="s">
        <v>115</v>
      </c>
      <c r="B230" s="2" t="s">
        <v>368</v>
      </c>
      <c r="C230" s="7">
        <v>500</v>
      </c>
      <c r="D230" s="7">
        <v>450</v>
      </c>
      <c r="E230" s="7">
        <v>460</v>
      </c>
      <c r="F230" s="7">
        <v>475</v>
      </c>
      <c r="G230" s="7">
        <v>475</v>
      </c>
      <c r="H230" s="7">
        <v>475</v>
      </c>
      <c r="I230" s="7">
        <v>410</v>
      </c>
      <c r="J230" s="7">
        <v>450</v>
      </c>
      <c r="K230" s="7">
        <v>375</v>
      </c>
      <c r="L230" s="7">
        <v>440</v>
      </c>
      <c r="M230" s="7">
        <v>485</v>
      </c>
      <c r="N230" s="7">
        <v>385</v>
      </c>
      <c r="O230" s="7">
        <v>410</v>
      </c>
      <c r="P230" s="7">
        <v>410</v>
      </c>
      <c r="Q230" s="7">
        <v>450</v>
      </c>
      <c r="R230" s="7">
        <v>475</v>
      </c>
      <c r="S230" s="7">
        <v>500</v>
      </c>
    </row>
    <row r="231">
      <c r="A231" s="14" t="s">
        <v>382</v>
      </c>
      <c r="B231" s="2" t="s">
        <v>368</v>
      </c>
      <c r="C231" s="7">
        <v>250</v>
      </c>
      <c r="D231" s="7">
        <v>230</v>
      </c>
      <c r="E231" s="7">
        <v>150</v>
      </c>
      <c r="F231" s="7">
        <v>85</v>
      </c>
      <c r="G231" s="7">
        <v>135</v>
      </c>
      <c r="H231" s="7">
        <v>125</v>
      </c>
      <c r="I231" s="7">
        <v>100</v>
      </c>
      <c r="J231" s="7">
        <v>110</v>
      </c>
      <c r="K231" s="7">
        <v>115</v>
      </c>
      <c r="L231" s="7">
        <v>120</v>
      </c>
      <c r="M231" s="7">
        <v>167</v>
      </c>
      <c r="N231" s="7">
        <v>170</v>
      </c>
      <c r="O231" s="7">
        <v>241</v>
      </c>
      <c r="P231" s="7">
        <v>250</v>
      </c>
      <c r="Q231" s="7">
        <v>250</v>
      </c>
      <c r="R231" s="7">
        <v>250</v>
      </c>
      <c r="S231" s="7">
        <v>250</v>
      </c>
    </row>
    <row r="232">
      <c r="A232" s="14" t="s">
        <v>117</v>
      </c>
      <c r="B232" s="2" t="s">
        <v>368</v>
      </c>
      <c r="C232" s="7">
        <v>0</v>
      </c>
      <c r="D232" s="7">
        <v>0</v>
      </c>
      <c r="E232" s="7">
        <v>0</v>
      </c>
      <c r="F232" s="7">
        <v>0</v>
      </c>
      <c r="G232" s="7">
        <v>0</v>
      </c>
      <c r="H232" s="7">
        <v>0</v>
      </c>
      <c r="I232" s="7">
        <v>0</v>
      </c>
      <c r="J232" s="7">
        <v>0</v>
      </c>
      <c r="K232" s="7">
        <v>0</v>
      </c>
      <c r="L232" s="7">
        <v>0</v>
      </c>
      <c r="M232" s="7">
        <v>0</v>
      </c>
      <c r="N232" s="7">
        <v>0</v>
      </c>
      <c r="O232" s="7">
        <v>0</v>
      </c>
      <c r="P232" s="7">
        <v>0</v>
      </c>
      <c r="Q232" s="7">
        <v>0</v>
      </c>
      <c r="R232" s="7">
        <v>0</v>
      </c>
      <c r="S232" s="7">
        <v>0</v>
      </c>
    </row>
    <row r="233">
      <c r="A233" s="14" t="s">
        <v>118</v>
      </c>
      <c r="B233" s="2" t="s">
        <v>368</v>
      </c>
      <c r="C233" s="7">
        <v>525</v>
      </c>
      <c r="D233" s="7">
        <v>525</v>
      </c>
      <c r="E233" s="7">
        <v>500</v>
      </c>
      <c r="F233" s="7">
        <v>525</v>
      </c>
      <c r="G233" s="7">
        <v>475</v>
      </c>
      <c r="H233" s="7">
        <v>230</v>
      </c>
      <c r="I233" s="7">
        <v>270</v>
      </c>
      <c r="J233" s="7">
        <v>225</v>
      </c>
      <c r="K233" s="7">
        <v>250</v>
      </c>
      <c r="L233" s="7">
        <v>300</v>
      </c>
      <c r="M233" s="7">
        <v>300</v>
      </c>
      <c r="N233" s="7">
        <v>275</v>
      </c>
      <c r="O233" s="7">
        <v>300</v>
      </c>
      <c r="P233" s="7">
        <v>275</v>
      </c>
      <c r="Q233" s="7">
        <v>275</v>
      </c>
      <c r="R233" s="7">
        <v>275</v>
      </c>
      <c r="S233" s="7">
        <v>275</v>
      </c>
    </row>
    <row r="234">
      <c r="A234" s="14" t="s">
        <v>383</v>
      </c>
      <c r="B234" s="2" t="s">
        <v>368</v>
      </c>
      <c r="C234" s="7">
        <v>625</v>
      </c>
      <c r="D234" s="7">
        <v>645</v>
      </c>
      <c r="E234" s="7">
        <v>485</v>
      </c>
      <c r="F234" s="7">
        <v>375</v>
      </c>
      <c r="G234" s="7">
        <v>525</v>
      </c>
      <c r="H234" s="7">
        <v>575</v>
      </c>
      <c r="I234" s="7">
        <v>450</v>
      </c>
      <c r="J234" s="7">
        <v>375</v>
      </c>
      <c r="K234" s="7">
        <v>400</v>
      </c>
      <c r="L234" s="7">
        <v>425</v>
      </c>
      <c r="M234" s="7">
        <v>350</v>
      </c>
      <c r="N234" s="7">
        <v>250</v>
      </c>
      <c r="O234" s="7">
        <v>220</v>
      </c>
      <c r="P234" s="7">
        <v>190</v>
      </c>
      <c r="Q234" s="7">
        <v>180</v>
      </c>
      <c r="R234" s="7">
        <v>200</v>
      </c>
      <c r="S234" s="7">
        <v>190</v>
      </c>
    </row>
    <row r="235">
      <c r="A235" s="14" t="s">
        <v>384</v>
      </c>
      <c r="B235" s="2" t="s">
        <v>368</v>
      </c>
      <c r="C235" s="7">
        <v>165</v>
      </c>
      <c r="D235" s="7">
        <v>165</v>
      </c>
      <c r="E235" s="7">
        <v>150</v>
      </c>
      <c r="F235" s="7">
        <v>170</v>
      </c>
      <c r="G235" s="7">
        <v>150</v>
      </c>
      <c r="H235" s="7">
        <v>150</v>
      </c>
      <c r="I235" s="7">
        <v>160</v>
      </c>
      <c r="J235" s="7">
        <v>175</v>
      </c>
      <c r="K235" s="7">
        <v>175</v>
      </c>
      <c r="L235" s="7">
        <v>180</v>
      </c>
      <c r="M235" s="7">
        <v>175</v>
      </c>
      <c r="N235" s="7">
        <v>200</v>
      </c>
      <c r="O235" s="7">
        <v>180</v>
      </c>
      <c r="P235" s="7">
        <v>150</v>
      </c>
      <c r="Q235" s="7">
        <v>120</v>
      </c>
      <c r="R235" s="7">
        <v>110</v>
      </c>
      <c r="S235" s="7">
        <v>110</v>
      </c>
    </row>
    <row r="236">
      <c r="A236" s="14" t="s">
        <v>121</v>
      </c>
      <c r="B236" s="2" t="s">
        <v>368</v>
      </c>
      <c r="C236" s="7">
        <v>0</v>
      </c>
      <c r="D236" s="7">
        <v>0</v>
      </c>
      <c r="E236" s="7">
        <v>0</v>
      </c>
      <c r="F236" s="7">
        <v>0</v>
      </c>
      <c r="G236" s="7">
        <v>0</v>
      </c>
      <c r="H236" s="7">
        <v>0</v>
      </c>
      <c r="I236" s="7">
        <v>0</v>
      </c>
      <c r="J236" s="7">
        <v>0</v>
      </c>
      <c r="K236" s="7">
        <v>0</v>
      </c>
      <c r="L236" s="7">
        <v>0</v>
      </c>
      <c r="M236" s="7">
        <v>0</v>
      </c>
      <c r="N236" s="7">
        <v>0</v>
      </c>
      <c r="O236" s="7">
        <v>0</v>
      </c>
      <c r="P236" s="7">
        <v>0</v>
      </c>
      <c r="Q236" s="7">
        <v>0</v>
      </c>
      <c r="R236" s="7">
        <v>0</v>
      </c>
      <c r="S236" s="7">
        <v>0</v>
      </c>
    </row>
    <row r="237">
      <c r="A237" s="14" t="s">
        <v>385</v>
      </c>
      <c r="B237" s="2" t="s">
        <v>368</v>
      </c>
      <c r="C237" s="7">
        <v>0</v>
      </c>
      <c r="D237" s="7">
        <v>0</v>
      </c>
      <c r="E237" s="7">
        <v>0</v>
      </c>
      <c r="F237" s="7">
        <v>0</v>
      </c>
      <c r="G237" s="7">
        <v>0</v>
      </c>
      <c r="H237" s="7">
        <v>0</v>
      </c>
      <c r="I237" s="7">
        <v>0</v>
      </c>
      <c r="J237" s="7">
        <v>0</v>
      </c>
      <c r="K237" s="7">
        <v>0</v>
      </c>
      <c r="L237" s="7">
        <v>0</v>
      </c>
      <c r="M237" s="7">
        <v>0</v>
      </c>
      <c r="N237" s="7">
        <v>0</v>
      </c>
      <c r="O237" s="7">
        <v>0</v>
      </c>
      <c r="P237" s="7">
        <v>0</v>
      </c>
      <c r="Q237" s="7">
        <v>0</v>
      </c>
      <c r="R237" s="7">
        <v>0</v>
      </c>
      <c r="S237" s="7">
        <v>0</v>
      </c>
    </row>
    <row r="238">
      <c r="A238" s="14" t="s">
        <v>386</v>
      </c>
      <c r="B238" s="2" t="s">
        <v>368</v>
      </c>
      <c r="C238" s="7">
        <v>325</v>
      </c>
      <c r="D238" s="7">
        <v>425</v>
      </c>
      <c r="E238" s="7">
        <v>165</v>
      </c>
      <c r="F238" s="7">
        <v>50</v>
      </c>
      <c r="G238" s="7">
        <v>150</v>
      </c>
      <c r="H238" s="7">
        <v>280</v>
      </c>
      <c r="I238" s="7">
        <v>200</v>
      </c>
      <c r="J238" s="7">
        <v>190</v>
      </c>
      <c r="K238" s="7">
        <v>70</v>
      </c>
      <c r="L238" s="7">
        <v>145</v>
      </c>
      <c r="M238" s="7">
        <v>70</v>
      </c>
      <c r="N238" s="7">
        <v>300</v>
      </c>
      <c r="O238" s="7">
        <v>115</v>
      </c>
      <c r="P238" s="7">
        <v>260</v>
      </c>
      <c r="Q238" s="7">
        <v>110</v>
      </c>
      <c r="R238" s="7">
        <v>75</v>
      </c>
      <c r="S238" s="7">
        <v>125</v>
      </c>
    </row>
    <row r="239">
      <c r="A239" s="14" t="s">
        <v>124</v>
      </c>
      <c r="B239" s="2" t="s">
        <v>368</v>
      </c>
      <c r="C239" s="7">
        <v>0</v>
      </c>
      <c r="D239" s="7">
        <v>0</v>
      </c>
      <c r="E239" s="7">
        <v>0</v>
      </c>
      <c r="F239" s="7">
        <v>0</v>
      </c>
      <c r="G239" s="7">
        <v>0</v>
      </c>
      <c r="H239" s="7">
        <v>0</v>
      </c>
      <c r="I239" s="7">
        <v>0</v>
      </c>
      <c r="J239" s="7">
        <v>0</v>
      </c>
      <c r="K239" s="7">
        <v>0</v>
      </c>
      <c r="L239" s="7">
        <v>0</v>
      </c>
      <c r="M239" s="7">
        <v>0</v>
      </c>
      <c r="N239" s="7">
        <v>0</v>
      </c>
      <c r="O239" s="7">
        <v>0</v>
      </c>
      <c r="P239" s="7">
        <v>0</v>
      </c>
      <c r="Q239" s="7">
        <v>0</v>
      </c>
      <c r="R239" s="7">
        <v>0</v>
      </c>
      <c r="S239" s="7">
        <v>0</v>
      </c>
    </row>
    <row r="240">
      <c r="A240" s="14" t="s">
        <v>125</v>
      </c>
      <c r="B240" s="2" t="s">
        <v>368</v>
      </c>
      <c r="C240" s="7">
        <v>615</v>
      </c>
      <c r="D240" s="7">
        <v>560</v>
      </c>
      <c r="E240" s="7">
        <v>200</v>
      </c>
      <c r="F240" s="7">
        <v>165</v>
      </c>
      <c r="G240" s="7">
        <v>175</v>
      </c>
      <c r="H240" s="7">
        <v>120</v>
      </c>
      <c r="I240" s="7">
        <v>80</v>
      </c>
      <c r="J240" s="7">
        <v>130</v>
      </c>
      <c r="K240" s="7">
        <v>95</v>
      </c>
      <c r="L240" s="7">
        <v>100</v>
      </c>
      <c r="M240" s="7">
        <v>85</v>
      </c>
      <c r="N240" s="7">
        <v>80</v>
      </c>
      <c r="O240" s="7">
        <v>110</v>
      </c>
      <c r="P240" s="7">
        <v>75</v>
      </c>
      <c r="Q240" s="7">
        <v>90</v>
      </c>
      <c r="R240" s="7">
        <v>90</v>
      </c>
      <c r="S240" s="7">
        <v>90</v>
      </c>
    </row>
    <row r="241">
      <c r="A241" s="14" t="s">
        <v>387</v>
      </c>
      <c r="B241" s="2" t="s">
        <v>368</v>
      </c>
      <c r="C241" s="7">
        <v>0</v>
      </c>
      <c r="D241" s="7">
        <v>0</v>
      </c>
      <c r="E241" s="7">
        <v>0</v>
      </c>
      <c r="F241" s="7">
        <v>0</v>
      </c>
      <c r="G241" s="7">
        <v>0</v>
      </c>
      <c r="H241" s="7">
        <v>0</v>
      </c>
      <c r="I241" s="7">
        <v>0</v>
      </c>
      <c r="J241" s="7">
        <v>0</v>
      </c>
      <c r="K241" s="7">
        <v>0</v>
      </c>
      <c r="L241" s="7">
        <v>0</v>
      </c>
      <c r="M241" s="7">
        <v>0</v>
      </c>
      <c r="N241" s="7">
        <v>0</v>
      </c>
      <c r="O241" s="7">
        <v>0</v>
      </c>
      <c r="P241" s="7">
        <v>0</v>
      </c>
      <c r="Q241" s="7">
        <v>0</v>
      </c>
      <c r="R241" s="7">
        <v>0</v>
      </c>
      <c r="S241" s="7">
        <v>0</v>
      </c>
    </row>
    <row r="242">
      <c r="A242" s="14" t="s">
        <v>127</v>
      </c>
      <c r="B242" s="2" t="s">
        <v>368</v>
      </c>
      <c r="C242" s="7">
        <v>25</v>
      </c>
      <c r="D242" s="7">
        <v>35</v>
      </c>
      <c r="E242" s="7">
        <v>29</v>
      </c>
      <c r="F242" s="7">
        <v>31</v>
      </c>
      <c r="G242" s="7">
        <v>30</v>
      </c>
      <c r="H242" s="7">
        <v>25</v>
      </c>
      <c r="I242" s="7">
        <v>20</v>
      </c>
      <c r="J242" s="7">
        <v>19</v>
      </c>
      <c r="K242" s="7">
        <v>20</v>
      </c>
      <c r="L242" s="7">
        <v>32</v>
      </c>
      <c r="M242" s="7">
        <v>30</v>
      </c>
      <c r="N242" s="7">
        <v>30</v>
      </c>
      <c r="O242" s="7">
        <v>20</v>
      </c>
      <c r="P242" s="7">
        <v>30</v>
      </c>
      <c r="Q242" s="7">
        <v>45</v>
      </c>
      <c r="R242" s="7">
        <v>45</v>
      </c>
      <c r="S242" s="7">
        <v>45</v>
      </c>
    </row>
    <row r="243">
      <c r="A243" s="14" t="s">
        <v>128</v>
      </c>
      <c r="B243" s="2" t="s">
        <v>368</v>
      </c>
      <c r="C243" s="7">
        <v>45</v>
      </c>
      <c r="D243" s="7">
        <v>90</v>
      </c>
      <c r="E243" s="7">
        <v>70</v>
      </c>
      <c r="F243" s="7">
        <v>45</v>
      </c>
      <c r="G243" s="7">
        <v>65</v>
      </c>
      <c r="H243" s="7">
        <v>60</v>
      </c>
      <c r="I243" s="7">
        <v>60</v>
      </c>
      <c r="J243" s="7">
        <v>65</v>
      </c>
      <c r="K243" s="7">
        <v>50</v>
      </c>
      <c r="L243" s="7">
        <v>65</v>
      </c>
      <c r="M243" s="7">
        <v>75</v>
      </c>
      <c r="N243" s="7">
        <v>33</v>
      </c>
      <c r="O243" s="7">
        <v>55</v>
      </c>
      <c r="P243" s="7">
        <v>35</v>
      </c>
      <c r="Q243" s="7">
        <v>58</v>
      </c>
      <c r="R243" s="7">
        <v>30</v>
      </c>
      <c r="S243" s="7">
        <v>30</v>
      </c>
    </row>
    <row r="244">
      <c r="A244" s="14" t="s">
        <v>388</v>
      </c>
      <c r="B244" s="2" t="s">
        <v>368</v>
      </c>
      <c r="C244" s="7">
        <v>0</v>
      </c>
      <c r="D244" s="7">
        <v>0</v>
      </c>
      <c r="E244" s="7">
        <v>0</v>
      </c>
      <c r="F244" s="7">
        <v>0</v>
      </c>
      <c r="G244" s="7">
        <v>0</v>
      </c>
      <c r="H244" s="7">
        <v>0</v>
      </c>
      <c r="I244" s="7">
        <v>0</v>
      </c>
      <c r="J244" s="7">
        <v>0</v>
      </c>
      <c r="K244" s="7">
        <v>0</v>
      </c>
      <c r="L244" s="7">
        <v>0</v>
      </c>
      <c r="M244" s="7">
        <v>0</v>
      </c>
      <c r="N244" s="7">
        <v>0</v>
      </c>
      <c r="O244" s="7">
        <v>0</v>
      </c>
      <c r="P244" s="7">
        <v>0</v>
      </c>
      <c r="Q244" s="7">
        <v>0</v>
      </c>
      <c r="R244" s="7">
        <v>0</v>
      </c>
      <c r="S244" s="7">
        <v>0</v>
      </c>
    </row>
    <row r="245">
      <c r="A245" s="14" t="s">
        <v>389</v>
      </c>
      <c r="B245" s="2" t="s">
        <v>368</v>
      </c>
      <c r="C245" s="7">
        <v>27</v>
      </c>
      <c r="D245" s="7">
        <v>10</v>
      </c>
      <c r="E245" s="7">
        <v>7</v>
      </c>
      <c r="F245" s="7">
        <v>6</v>
      </c>
      <c r="G245" s="7">
        <v>6</v>
      </c>
      <c r="H245" s="7">
        <v>8</v>
      </c>
      <c r="I245" s="7">
        <v>5</v>
      </c>
      <c r="J245" s="7">
        <v>3</v>
      </c>
      <c r="K245" s="7">
        <v>2</v>
      </c>
      <c r="L245" s="7">
        <v>0</v>
      </c>
      <c r="M245" s="7">
        <v>0</v>
      </c>
      <c r="N245" s="7">
        <v>0</v>
      </c>
      <c r="O245" s="7">
        <v>0</v>
      </c>
      <c r="P245" s="7">
        <v>0</v>
      </c>
      <c r="Q245" s="7">
        <v>0</v>
      </c>
      <c r="R245" s="7">
        <v>0</v>
      </c>
      <c r="S245" s="7">
        <v>0</v>
      </c>
    </row>
    <row r="246">
      <c r="A246" s="14" t="s">
        <v>131</v>
      </c>
      <c r="B246" s="2" t="s">
        <v>368</v>
      </c>
      <c r="C246" s="7">
        <v>57</v>
      </c>
      <c r="D246" s="7">
        <v>70</v>
      </c>
      <c r="E246" s="7">
        <v>30</v>
      </c>
      <c r="F246" s="7">
        <v>6</v>
      </c>
      <c r="G246" s="7">
        <v>4</v>
      </c>
      <c r="H246" s="7">
        <v>1</v>
      </c>
      <c r="I246" s="7">
        <v>1</v>
      </c>
      <c r="J246" s="7">
        <v>1</v>
      </c>
      <c r="K246" s="7">
        <v>0</v>
      </c>
      <c r="L246" s="7">
        <v>0</v>
      </c>
      <c r="M246" s="7">
        <v>0</v>
      </c>
      <c r="N246" s="7">
        <v>0</v>
      </c>
      <c r="O246" s="7">
        <v>0</v>
      </c>
      <c r="P246" s="7">
        <v>0</v>
      </c>
      <c r="Q246" s="7">
        <v>0</v>
      </c>
      <c r="R246" s="7">
        <v>0</v>
      </c>
      <c r="S246" s="7">
        <v>0</v>
      </c>
    </row>
    <row r="247">
      <c r="A247" s="14" t="s">
        <v>390</v>
      </c>
      <c r="B247" s="2" t="s">
        <v>368</v>
      </c>
      <c r="C247" s="7">
        <v>0</v>
      </c>
      <c r="D247" s="7">
        <v>0</v>
      </c>
      <c r="E247" s="7">
        <v>0</v>
      </c>
      <c r="F247" s="7">
        <v>0</v>
      </c>
      <c r="G247" s="7">
        <v>0</v>
      </c>
      <c r="H247" s="7">
        <v>0</v>
      </c>
      <c r="I247" s="7">
        <v>0</v>
      </c>
      <c r="J247" s="7">
        <v>0</v>
      </c>
      <c r="K247" s="7">
        <v>0</v>
      </c>
      <c r="L247" s="7">
        <v>0</v>
      </c>
      <c r="M247" s="7">
        <v>0</v>
      </c>
      <c r="N247" s="7">
        <v>0</v>
      </c>
      <c r="O247" s="7">
        <v>0</v>
      </c>
      <c r="P247" s="7">
        <v>0</v>
      </c>
      <c r="Q247" s="7">
        <v>0</v>
      </c>
      <c r="R247" s="7">
        <v>0</v>
      </c>
      <c r="S247" s="7">
        <v>0</v>
      </c>
    </row>
    <row r="248">
      <c r="A248" s="14" t="s">
        <v>133</v>
      </c>
      <c r="B248" s="2" t="s">
        <v>368</v>
      </c>
      <c r="C248" s="7">
        <v>4</v>
      </c>
      <c r="D248" s="7">
        <v>5</v>
      </c>
      <c r="E248" s="7">
        <v>5</v>
      </c>
      <c r="F248" s="7">
        <v>1</v>
      </c>
      <c r="G248" s="7">
        <v>3</v>
      </c>
      <c r="H248" s="7">
        <v>0</v>
      </c>
      <c r="I248" s="7">
        <v>0</v>
      </c>
      <c r="J248" s="7">
        <v>0</v>
      </c>
      <c r="K248" s="7">
        <v>0</v>
      </c>
      <c r="L248" s="7">
        <v>0</v>
      </c>
      <c r="M248" s="7">
        <v>0</v>
      </c>
      <c r="N248" s="7">
        <v>0</v>
      </c>
      <c r="O248" s="7">
        <v>0</v>
      </c>
      <c r="P248" s="7">
        <v>0</v>
      </c>
      <c r="Q248" s="7">
        <v>0</v>
      </c>
      <c r="R248" s="7">
        <v>0</v>
      </c>
      <c r="S248" s="7">
        <v>0</v>
      </c>
    </row>
    <row r="249">
      <c r="A249" s="14" t="s">
        <v>134</v>
      </c>
      <c r="B249" s="2" t="s">
        <v>368</v>
      </c>
      <c r="C249" s="7">
        <v>0</v>
      </c>
      <c r="D249" s="7">
        <v>0</v>
      </c>
      <c r="E249" s="7">
        <v>0</v>
      </c>
      <c r="F249" s="7">
        <v>0</v>
      </c>
      <c r="G249" s="7">
        <v>0</v>
      </c>
      <c r="H249" s="7">
        <v>0</v>
      </c>
      <c r="I249" s="7">
        <v>0</v>
      </c>
      <c r="J249" s="7">
        <v>0</v>
      </c>
      <c r="K249" s="7">
        <v>0</v>
      </c>
      <c r="L249" s="7">
        <v>0</v>
      </c>
      <c r="M249" s="7">
        <v>0</v>
      </c>
      <c r="N249" s="7">
        <v>0</v>
      </c>
      <c r="O249" s="7">
        <v>0</v>
      </c>
      <c r="P249" s="7">
        <v>0</v>
      </c>
      <c r="Q249" s="7">
        <v>0</v>
      </c>
      <c r="R249" s="7">
        <v>0</v>
      </c>
      <c r="S249" s="7">
        <v>0</v>
      </c>
    </row>
    <row r="250">
      <c r="A250" s="14" t="s">
        <v>135</v>
      </c>
      <c r="B250" s="2" t="s">
        <v>368</v>
      </c>
      <c r="C250" s="7">
        <v>30</v>
      </c>
      <c r="D250" s="7">
        <v>40</v>
      </c>
      <c r="E250" s="7">
        <v>30</v>
      </c>
      <c r="F250" s="7">
        <v>20</v>
      </c>
      <c r="G250" s="7">
        <v>20</v>
      </c>
      <c r="H250" s="7">
        <v>20</v>
      </c>
      <c r="I250" s="7">
        <v>10</v>
      </c>
      <c r="J250" s="7">
        <v>5</v>
      </c>
      <c r="K250" s="7">
        <v>0</v>
      </c>
      <c r="L250" s="7">
        <v>0</v>
      </c>
      <c r="M250" s="7">
        <v>0</v>
      </c>
      <c r="N250" s="7">
        <v>0</v>
      </c>
      <c r="O250" s="7">
        <v>0</v>
      </c>
      <c r="P250" s="7">
        <v>0</v>
      </c>
      <c r="Q250" s="7">
        <v>0</v>
      </c>
      <c r="R250" s="7">
        <v>0</v>
      </c>
      <c r="S250" s="7">
        <v>0</v>
      </c>
    </row>
    <row r="251">
      <c r="A251" s="14" t="s">
        <v>391</v>
      </c>
      <c r="B251" s="2" t="s">
        <v>368</v>
      </c>
      <c r="C251" s="7">
        <v>0</v>
      </c>
      <c r="D251" s="7">
        <v>0</v>
      </c>
      <c r="E251" s="7">
        <v>0</v>
      </c>
      <c r="F251" s="7">
        <v>0</v>
      </c>
      <c r="G251" s="7">
        <v>0</v>
      </c>
      <c r="H251" s="7">
        <v>0</v>
      </c>
      <c r="I251" s="7">
        <v>0</v>
      </c>
      <c r="J251" s="7">
        <v>0</v>
      </c>
      <c r="K251" s="7">
        <v>0</v>
      </c>
      <c r="L251" s="7">
        <v>0</v>
      </c>
      <c r="M251" s="7">
        <v>0</v>
      </c>
      <c r="N251" s="7">
        <v>0</v>
      </c>
      <c r="O251" s="7">
        <v>0</v>
      </c>
      <c r="P251" s="7">
        <v>0</v>
      </c>
      <c r="Q251" s="7">
        <v>0</v>
      </c>
      <c r="R251" s="7">
        <v>0</v>
      </c>
      <c r="S251" s="7">
        <v>0</v>
      </c>
    </row>
    <row r="252">
      <c r="A252" s="14" t="s">
        <v>392</v>
      </c>
      <c r="B252" s="2" t="s">
        <v>393</v>
      </c>
      <c r="C252" s="7">
        <v>0</v>
      </c>
      <c r="D252" s="7">
        <v>0</v>
      </c>
      <c r="E252" s="7">
        <v>0</v>
      </c>
      <c r="F252" s="7">
        <v>0</v>
      </c>
      <c r="G252" s="7">
        <v>0</v>
      </c>
      <c r="H252" s="7">
        <v>0</v>
      </c>
      <c r="I252" s="7">
        <v>0</v>
      </c>
      <c r="J252" s="7">
        <v>0</v>
      </c>
      <c r="K252" s="7">
        <v>0</v>
      </c>
      <c r="L252" s="7">
        <v>0</v>
      </c>
      <c r="M252" s="7">
        <v>0</v>
      </c>
      <c r="N252" s="7">
        <v>0</v>
      </c>
      <c r="O252" s="7">
        <v>0</v>
      </c>
      <c r="P252" s="7">
        <v>0</v>
      </c>
      <c r="Q252" s="7">
        <v>0</v>
      </c>
      <c r="R252" s="7">
        <v>0</v>
      </c>
      <c r="S252" s="7">
        <v>0</v>
      </c>
    </row>
    <row r="253">
      <c r="A253" s="14" t="s">
        <v>394</v>
      </c>
      <c r="B253" s="2" t="s">
        <v>393</v>
      </c>
      <c r="C253" s="7">
        <v>0</v>
      </c>
      <c r="D253" s="7">
        <v>0</v>
      </c>
      <c r="E253" s="7">
        <v>0</v>
      </c>
      <c r="F253" s="7">
        <v>0</v>
      </c>
      <c r="G253" s="7">
        <v>0</v>
      </c>
      <c r="H253" s="7">
        <v>0</v>
      </c>
      <c r="I253" s="7">
        <v>0</v>
      </c>
      <c r="J253" s="7">
        <v>0</v>
      </c>
      <c r="K253" s="7">
        <v>0</v>
      </c>
      <c r="L253" s="7">
        <v>0</v>
      </c>
      <c r="M253" s="7">
        <v>0</v>
      </c>
      <c r="N253" s="7">
        <v>0</v>
      </c>
      <c r="O253" s="7">
        <v>0</v>
      </c>
      <c r="P253" s="7">
        <v>0</v>
      </c>
      <c r="Q253" s="7">
        <v>0</v>
      </c>
      <c r="R253" s="7">
        <v>0</v>
      </c>
      <c r="S253" s="7">
        <v>0</v>
      </c>
    </row>
    <row r="254">
      <c r="A254" s="14" t="s">
        <v>395</v>
      </c>
      <c r="B254" s="2" t="s">
        <v>393</v>
      </c>
      <c r="C254" s="7">
        <v>425</v>
      </c>
      <c r="D254" s="7">
        <v>425</v>
      </c>
      <c r="E254" s="7">
        <v>425</v>
      </c>
      <c r="F254" s="7">
        <v>425</v>
      </c>
      <c r="G254" s="7">
        <v>450</v>
      </c>
      <c r="H254" s="7">
        <v>400</v>
      </c>
      <c r="I254" s="7">
        <v>450</v>
      </c>
      <c r="J254" s="7">
        <v>425</v>
      </c>
      <c r="K254" s="7">
        <v>400</v>
      </c>
      <c r="L254" s="7">
        <v>425</v>
      </c>
      <c r="M254" s="7">
        <v>400</v>
      </c>
      <c r="N254" s="7">
        <v>425</v>
      </c>
      <c r="O254" s="7">
        <v>450</v>
      </c>
      <c r="P254" s="7">
        <v>425</v>
      </c>
      <c r="Q254" s="7">
        <v>425</v>
      </c>
      <c r="R254" s="7">
        <v>425</v>
      </c>
      <c r="S254" s="7">
        <v>450</v>
      </c>
    </row>
    <row r="255">
      <c r="A255" s="14" t="s">
        <v>396</v>
      </c>
      <c r="B255" s="2" t="s">
        <v>393</v>
      </c>
      <c r="C255" s="7">
        <v>0</v>
      </c>
      <c r="D255" s="7">
        <v>0</v>
      </c>
      <c r="E255" s="7">
        <v>0</v>
      </c>
      <c r="F255" s="7">
        <v>0</v>
      </c>
      <c r="G255" s="7">
        <v>0</v>
      </c>
      <c r="H255" s="7">
        <v>0</v>
      </c>
      <c r="I255" s="7">
        <v>0</v>
      </c>
      <c r="J255" s="7">
        <v>0</v>
      </c>
      <c r="K255" s="7">
        <v>0</v>
      </c>
      <c r="L255" s="7">
        <v>0</v>
      </c>
      <c r="M255" s="7">
        <v>0</v>
      </c>
      <c r="N255" s="7">
        <v>0</v>
      </c>
      <c r="O255" s="7">
        <v>0</v>
      </c>
      <c r="P255" s="7">
        <v>0</v>
      </c>
      <c r="Q255" s="7">
        <v>0</v>
      </c>
      <c r="R255" s="7">
        <v>0</v>
      </c>
      <c r="S255" s="7">
        <v>0</v>
      </c>
    </row>
    <row r="256">
      <c r="A256" s="14" t="s">
        <v>397</v>
      </c>
      <c r="B256" s="2" t="s">
        <v>393</v>
      </c>
      <c r="C256" s="7">
        <v>0</v>
      </c>
      <c r="D256" s="7">
        <v>0</v>
      </c>
      <c r="E256" s="7">
        <v>0</v>
      </c>
      <c r="F256" s="7">
        <v>0</v>
      </c>
      <c r="G256" s="7">
        <v>0</v>
      </c>
      <c r="H256" s="7">
        <v>0</v>
      </c>
      <c r="I256" s="7">
        <v>0</v>
      </c>
      <c r="J256" s="7">
        <v>0</v>
      </c>
      <c r="K256" s="7">
        <v>0</v>
      </c>
      <c r="L256" s="7">
        <v>0</v>
      </c>
      <c r="M256" s="7">
        <v>0</v>
      </c>
      <c r="N256" s="7">
        <v>0</v>
      </c>
      <c r="O256" s="7">
        <v>0</v>
      </c>
      <c r="P256" s="7">
        <v>0</v>
      </c>
      <c r="Q256" s="7">
        <v>0</v>
      </c>
      <c r="R256" s="7">
        <v>0</v>
      </c>
      <c r="S256" s="7">
        <v>0</v>
      </c>
    </row>
    <row r="257">
      <c r="A257" s="14" t="s">
        <v>398</v>
      </c>
      <c r="B257" s="2" t="s">
        <v>399</v>
      </c>
      <c r="C257" s="7">
        <v>0</v>
      </c>
      <c r="D257" s="7">
        <v>0</v>
      </c>
      <c r="E257" s="7">
        <v>0</v>
      </c>
      <c r="F257" s="7">
        <v>0</v>
      </c>
      <c r="G257" s="7">
        <v>0</v>
      </c>
      <c r="H257" s="7">
        <v>0</v>
      </c>
      <c r="I257" s="7">
        <v>0</v>
      </c>
      <c r="J257" s="7">
        <v>0</v>
      </c>
      <c r="K257" s="7">
        <v>0</v>
      </c>
      <c r="L257" s="7">
        <v>0</v>
      </c>
      <c r="M257" s="7">
        <v>0</v>
      </c>
      <c r="N257" s="7">
        <v>0</v>
      </c>
      <c r="O257" s="7">
        <v>0</v>
      </c>
      <c r="P257" s="7">
        <v>0</v>
      </c>
      <c r="Q257" s="7">
        <v>0</v>
      </c>
      <c r="R257" s="7">
        <v>0</v>
      </c>
      <c r="S257" s="7">
        <v>0</v>
      </c>
    </row>
    <row r="258">
      <c r="A258" s="14" t="s">
        <v>400</v>
      </c>
      <c r="B258" s="2" t="s">
        <v>399</v>
      </c>
      <c r="C258" s="7">
        <v>0</v>
      </c>
      <c r="D258" s="7">
        <v>0</v>
      </c>
      <c r="E258" s="7">
        <v>0</v>
      </c>
      <c r="F258" s="7">
        <v>0</v>
      </c>
      <c r="G258" s="7">
        <v>0</v>
      </c>
      <c r="H258" s="7">
        <v>0</v>
      </c>
      <c r="I258" s="7">
        <v>0</v>
      </c>
      <c r="J258" s="7">
        <v>0</v>
      </c>
      <c r="K258" s="7">
        <v>0</v>
      </c>
      <c r="L258" s="7">
        <v>0</v>
      </c>
      <c r="M258" s="7">
        <v>0</v>
      </c>
      <c r="N258" s="7">
        <v>0</v>
      </c>
      <c r="O258" s="7">
        <v>0</v>
      </c>
      <c r="P258" s="7">
        <v>0</v>
      </c>
      <c r="Q258" s="7">
        <v>0</v>
      </c>
      <c r="R258" s="7">
        <v>0</v>
      </c>
      <c r="S258" s="7">
        <v>0</v>
      </c>
    </row>
    <row r="259">
      <c r="A259" s="14" t="s">
        <v>401</v>
      </c>
      <c r="B259" s="2" t="s">
        <v>399</v>
      </c>
      <c r="C259" s="7">
        <v>0</v>
      </c>
      <c r="D259" s="7">
        <v>0</v>
      </c>
      <c r="E259" s="7">
        <v>0</v>
      </c>
      <c r="F259" s="7">
        <v>0</v>
      </c>
      <c r="G259" s="7">
        <v>0</v>
      </c>
      <c r="H259" s="7">
        <v>0</v>
      </c>
      <c r="I259" s="7">
        <v>0</v>
      </c>
      <c r="J259" s="7">
        <v>0</v>
      </c>
      <c r="K259" s="7">
        <v>0</v>
      </c>
      <c r="L259" s="7">
        <v>0</v>
      </c>
      <c r="M259" s="7">
        <v>0</v>
      </c>
      <c r="N259" s="7">
        <v>0</v>
      </c>
      <c r="O259" s="7">
        <v>0</v>
      </c>
      <c r="P259" s="7">
        <v>0</v>
      </c>
      <c r="Q259" s="7">
        <v>0</v>
      </c>
      <c r="R259" s="7">
        <v>0</v>
      </c>
      <c r="S259" s="7">
        <v>0</v>
      </c>
    </row>
    <row r="260">
      <c r="A260" s="14" t="s">
        <v>402</v>
      </c>
      <c r="B260" s="2" t="s">
        <v>399</v>
      </c>
      <c r="C260" s="7">
        <v>0</v>
      </c>
      <c r="D260" s="7">
        <v>0</v>
      </c>
      <c r="E260" s="7">
        <v>0</v>
      </c>
      <c r="F260" s="7">
        <v>0</v>
      </c>
      <c r="G260" s="7">
        <v>0</v>
      </c>
      <c r="H260" s="7">
        <v>0</v>
      </c>
      <c r="I260" s="7">
        <v>0</v>
      </c>
      <c r="J260" s="7">
        <v>0</v>
      </c>
      <c r="K260" s="7">
        <v>0</v>
      </c>
      <c r="L260" s="7">
        <v>0</v>
      </c>
      <c r="M260" s="7">
        <v>0</v>
      </c>
      <c r="N260" s="7">
        <v>0</v>
      </c>
      <c r="O260" s="7">
        <v>0</v>
      </c>
      <c r="P260" s="7">
        <v>0</v>
      </c>
      <c r="Q260" s="7">
        <v>0</v>
      </c>
      <c r="R260" s="7">
        <v>0</v>
      </c>
      <c r="S260" s="7">
        <v>0</v>
      </c>
    </row>
    <row r="261">
      <c r="A261" s="14" t="s">
        <v>403</v>
      </c>
      <c r="B261" s="2" t="s">
        <v>399</v>
      </c>
      <c r="C261" s="7">
        <v>0</v>
      </c>
      <c r="D261" s="7">
        <v>0</v>
      </c>
      <c r="E261" s="7">
        <v>0</v>
      </c>
      <c r="F261" s="7">
        <v>0</v>
      </c>
      <c r="G261" s="7">
        <v>0</v>
      </c>
      <c r="H261" s="7">
        <v>0</v>
      </c>
      <c r="I261" s="7">
        <v>0</v>
      </c>
      <c r="J261" s="7">
        <v>0</v>
      </c>
      <c r="K261" s="7">
        <v>0</v>
      </c>
      <c r="L261" s="7">
        <v>0</v>
      </c>
      <c r="M261" s="7">
        <v>0</v>
      </c>
      <c r="N261" s="7">
        <v>0</v>
      </c>
      <c r="O261" s="7">
        <v>0</v>
      </c>
      <c r="P261" s="7">
        <v>0</v>
      </c>
      <c r="Q261" s="7">
        <v>0</v>
      </c>
      <c r="R261" s="7">
        <v>0</v>
      </c>
      <c r="S261" s="7">
        <v>0</v>
      </c>
    </row>
    <row r="262">
      <c r="A262" s="14" t="s">
        <v>404</v>
      </c>
      <c r="B262" s="2" t="s">
        <v>399</v>
      </c>
      <c r="C262" s="7">
        <v>0</v>
      </c>
      <c r="D262" s="7">
        <v>0</v>
      </c>
      <c r="E262" s="7">
        <v>0</v>
      </c>
      <c r="F262" s="7">
        <v>0</v>
      </c>
      <c r="G262" s="7">
        <v>0</v>
      </c>
      <c r="H262" s="7">
        <v>0</v>
      </c>
      <c r="I262" s="7">
        <v>0</v>
      </c>
      <c r="J262" s="7">
        <v>0</v>
      </c>
      <c r="K262" s="7">
        <v>0</v>
      </c>
      <c r="L262" s="7">
        <v>0</v>
      </c>
      <c r="M262" s="7">
        <v>0</v>
      </c>
      <c r="N262" s="7">
        <v>0</v>
      </c>
      <c r="O262" s="7">
        <v>0</v>
      </c>
      <c r="P262" s="7">
        <v>0</v>
      </c>
      <c r="Q262" s="7">
        <v>0</v>
      </c>
      <c r="R262" s="7">
        <v>0</v>
      </c>
      <c r="S262" s="7">
        <v>0</v>
      </c>
    </row>
    <row r="263">
      <c r="A263" s="14" t="s">
        <v>405</v>
      </c>
      <c r="B263" s="2" t="s">
        <v>399</v>
      </c>
      <c r="C263" s="7">
        <v>0</v>
      </c>
      <c r="D263" s="7">
        <v>0</v>
      </c>
      <c r="E263" s="7">
        <v>0</v>
      </c>
      <c r="F263" s="7">
        <v>0</v>
      </c>
      <c r="G263" s="7">
        <v>0</v>
      </c>
      <c r="H263" s="7">
        <v>0</v>
      </c>
      <c r="I263" s="7">
        <v>0</v>
      </c>
      <c r="J263" s="7">
        <v>0</v>
      </c>
      <c r="K263" s="7">
        <v>0</v>
      </c>
      <c r="L263" s="7">
        <v>0</v>
      </c>
      <c r="M263" s="7">
        <v>0</v>
      </c>
      <c r="N263" s="7">
        <v>0</v>
      </c>
      <c r="O263" s="7">
        <v>0</v>
      </c>
      <c r="P263" s="7">
        <v>0</v>
      </c>
      <c r="Q263" s="7">
        <v>0</v>
      </c>
      <c r="R263" s="7">
        <v>0</v>
      </c>
      <c r="S263" s="7">
        <v>0</v>
      </c>
    </row>
    <row r="264">
      <c r="A264" s="14" t="s">
        <v>406</v>
      </c>
      <c r="B264" s="2" t="s">
        <v>399</v>
      </c>
      <c r="C264" s="7">
        <v>0</v>
      </c>
      <c r="D264" s="7">
        <v>0</v>
      </c>
      <c r="E264" s="7">
        <v>0</v>
      </c>
      <c r="F264" s="7">
        <v>0</v>
      </c>
      <c r="G264" s="7">
        <v>0</v>
      </c>
      <c r="H264" s="7">
        <v>0</v>
      </c>
      <c r="I264" s="7">
        <v>0</v>
      </c>
      <c r="J264" s="7">
        <v>0</v>
      </c>
      <c r="K264" s="7">
        <v>0</v>
      </c>
      <c r="L264" s="7">
        <v>0</v>
      </c>
      <c r="M264" s="7">
        <v>0</v>
      </c>
      <c r="N264" s="7">
        <v>0</v>
      </c>
      <c r="O264" s="7">
        <v>0</v>
      </c>
      <c r="P264" s="7">
        <v>0</v>
      </c>
      <c r="Q264" s="7">
        <v>0</v>
      </c>
      <c r="R264" s="7">
        <v>0</v>
      </c>
      <c r="S264" s="7">
        <v>0</v>
      </c>
    </row>
    <row r="265">
      <c r="A265" s="14" t="s">
        <v>407</v>
      </c>
      <c r="B265" s="2" t="s">
        <v>399</v>
      </c>
      <c r="C265" s="7">
        <v>0</v>
      </c>
      <c r="D265" s="7">
        <v>0</v>
      </c>
      <c r="E265" s="7">
        <v>0</v>
      </c>
      <c r="F265" s="7">
        <v>0</v>
      </c>
      <c r="G265" s="7">
        <v>0</v>
      </c>
      <c r="H265" s="7">
        <v>0</v>
      </c>
      <c r="I265" s="7">
        <v>0</v>
      </c>
      <c r="J265" s="7">
        <v>0</v>
      </c>
      <c r="K265" s="7">
        <v>0</v>
      </c>
      <c r="L265" s="7">
        <v>0</v>
      </c>
      <c r="M265" s="7">
        <v>0</v>
      </c>
      <c r="N265" s="7">
        <v>0</v>
      </c>
      <c r="O265" s="7">
        <v>0</v>
      </c>
      <c r="P265" s="7">
        <v>0</v>
      </c>
      <c r="Q265" s="7">
        <v>0</v>
      </c>
      <c r="R265" s="7">
        <v>0</v>
      </c>
      <c r="S265" s="7">
        <v>0</v>
      </c>
    </row>
    <row r="266">
      <c r="A266" s="14" t="s">
        <v>408</v>
      </c>
      <c r="B266" s="2" t="s">
        <v>399</v>
      </c>
      <c r="C266" s="7">
        <v>0</v>
      </c>
      <c r="D266" s="7">
        <v>0</v>
      </c>
      <c r="E266" s="7">
        <v>0</v>
      </c>
      <c r="F266" s="7">
        <v>0</v>
      </c>
      <c r="G266" s="7">
        <v>0</v>
      </c>
      <c r="H266" s="7">
        <v>0</v>
      </c>
      <c r="I266" s="7">
        <v>0</v>
      </c>
      <c r="J266" s="7">
        <v>0</v>
      </c>
      <c r="K266" s="7">
        <v>0</v>
      </c>
      <c r="L266" s="7">
        <v>0</v>
      </c>
      <c r="M266" s="7">
        <v>0</v>
      </c>
      <c r="N266" s="7">
        <v>0</v>
      </c>
      <c r="O266" s="7">
        <v>0</v>
      </c>
      <c r="P266" s="7">
        <v>0</v>
      </c>
      <c r="Q266" s="7">
        <v>0</v>
      </c>
      <c r="R266" s="7">
        <v>0</v>
      </c>
      <c r="S266" s="7">
        <v>0</v>
      </c>
    </row>
    <row r="267">
      <c r="A267" s="14" t="s">
        <v>409</v>
      </c>
      <c r="B267" s="2" t="s">
        <v>399</v>
      </c>
      <c r="C267" s="7">
        <v>0</v>
      </c>
      <c r="D267" s="7">
        <v>0</v>
      </c>
      <c r="E267" s="7">
        <v>0</v>
      </c>
      <c r="F267" s="7">
        <v>0</v>
      </c>
      <c r="G267" s="7">
        <v>0</v>
      </c>
      <c r="H267" s="7">
        <v>0</v>
      </c>
      <c r="I267" s="7">
        <v>0</v>
      </c>
      <c r="J267" s="7">
        <v>0</v>
      </c>
      <c r="K267" s="7">
        <v>0</v>
      </c>
      <c r="L267" s="7">
        <v>0</v>
      </c>
      <c r="M267" s="7">
        <v>0</v>
      </c>
      <c r="N267" s="7">
        <v>0</v>
      </c>
      <c r="O267" s="7">
        <v>0</v>
      </c>
      <c r="P267" s="7">
        <v>0</v>
      </c>
      <c r="Q267" s="7">
        <v>0</v>
      </c>
      <c r="R267" s="7">
        <v>0</v>
      </c>
      <c r="S267" s="7">
        <v>0</v>
      </c>
    </row>
    <row r="268">
      <c r="A268" s="14" t="s">
        <v>410</v>
      </c>
      <c r="B268" s="2" t="s">
        <v>399</v>
      </c>
      <c r="C268" s="7">
        <v>0</v>
      </c>
      <c r="D268" s="7">
        <v>0</v>
      </c>
      <c r="E268" s="7">
        <v>0</v>
      </c>
      <c r="F268" s="7">
        <v>0</v>
      </c>
      <c r="G268" s="7">
        <v>0</v>
      </c>
      <c r="H268" s="7">
        <v>0</v>
      </c>
      <c r="I268" s="7">
        <v>0</v>
      </c>
      <c r="J268" s="7">
        <v>0</v>
      </c>
      <c r="K268" s="7">
        <v>0</v>
      </c>
      <c r="L268" s="7">
        <v>0</v>
      </c>
      <c r="M268" s="7">
        <v>0</v>
      </c>
      <c r="N268" s="7">
        <v>0</v>
      </c>
      <c r="O268" s="7">
        <v>0</v>
      </c>
      <c r="P268" s="7">
        <v>0</v>
      </c>
      <c r="Q268" s="7">
        <v>0</v>
      </c>
      <c r="R268" s="7">
        <v>0</v>
      </c>
      <c r="S268" s="7">
        <v>0</v>
      </c>
    </row>
    <row r="269">
      <c r="A269" s="14" t="s">
        <v>411</v>
      </c>
      <c r="B269" s="2" t="s">
        <v>399</v>
      </c>
      <c r="C269" s="7">
        <v>0</v>
      </c>
      <c r="D269" s="7">
        <v>0</v>
      </c>
      <c r="E269" s="7">
        <v>0</v>
      </c>
      <c r="F269" s="7">
        <v>0</v>
      </c>
      <c r="G269" s="7">
        <v>0</v>
      </c>
      <c r="H269" s="7">
        <v>0</v>
      </c>
      <c r="I269" s="7">
        <v>0</v>
      </c>
      <c r="J269" s="7">
        <v>0</v>
      </c>
      <c r="K269" s="7">
        <v>0</v>
      </c>
      <c r="L269" s="7">
        <v>0</v>
      </c>
      <c r="M269" s="7">
        <v>0</v>
      </c>
      <c r="N269" s="7">
        <v>0</v>
      </c>
      <c r="O269" s="7">
        <v>0</v>
      </c>
      <c r="P269" s="7">
        <v>0</v>
      </c>
      <c r="Q269" s="7">
        <v>0</v>
      </c>
      <c r="R269" s="7">
        <v>0</v>
      </c>
      <c r="S269" s="7">
        <v>0</v>
      </c>
    </row>
    <row r="270">
      <c r="A270" s="14" t="s">
        <v>412</v>
      </c>
      <c r="B270" s="2" t="s">
        <v>399</v>
      </c>
      <c r="C270" s="7">
        <v>0</v>
      </c>
      <c r="D270" s="7">
        <v>0</v>
      </c>
      <c r="E270" s="7">
        <v>0</v>
      </c>
      <c r="F270" s="7">
        <v>0</v>
      </c>
      <c r="G270" s="7">
        <v>0</v>
      </c>
      <c r="H270" s="7">
        <v>0</v>
      </c>
      <c r="I270" s="7">
        <v>0</v>
      </c>
      <c r="J270" s="7">
        <v>0</v>
      </c>
      <c r="K270" s="7">
        <v>0</v>
      </c>
      <c r="L270" s="7">
        <v>0</v>
      </c>
      <c r="M270" s="7">
        <v>0</v>
      </c>
      <c r="N270" s="7">
        <v>0</v>
      </c>
      <c r="O270" s="7">
        <v>0</v>
      </c>
      <c r="P270" s="7">
        <v>0</v>
      </c>
      <c r="Q270" s="7">
        <v>0</v>
      </c>
      <c r="R270" s="7">
        <v>0</v>
      </c>
      <c r="S270" s="7">
        <v>0</v>
      </c>
    </row>
    <row r="271">
      <c r="A271" s="14" t="s">
        <v>413</v>
      </c>
      <c r="B271" s="2" t="s">
        <v>399</v>
      </c>
      <c r="C271" s="7">
        <v>0</v>
      </c>
      <c r="D271" s="7">
        <v>0</v>
      </c>
      <c r="E271" s="7">
        <v>0</v>
      </c>
      <c r="F271" s="7">
        <v>0</v>
      </c>
      <c r="G271" s="7">
        <v>0</v>
      </c>
      <c r="H271" s="7">
        <v>0</v>
      </c>
      <c r="I271" s="7">
        <v>0</v>
      </c>
      <c r="J271" s="7">
        <v>0</v>
      </c>
      <c r="K271" s="7">
        <v>0</v>
      </c>
      <c r="L271" s="7">
        <v>0</v>
      </c>
      <c r="M271" s="7">
        <v>0</v>
      </c>
      <c r="N271" s="7">
        <v>0</v>
      </c>
      <c r="O271" s="7">
        <v>0</v>
      </c>
      <c r="P271" s="7">
        <v>0</v>
      </c>
      <c r="Q271" s="7">
        <v>0</v>
      </c>
      <c r="R271" s="7">
        <v>0</v>
      </c>
      <c r="S271" s="7">
        <v>0</v>
      </c>
    </row>
    <row r="272">
      <c r="A272" s="14" t="s">
        <v>414</v>
      </c>
      <c r="B272" s="2" t="s">
        <v>399</v>
      </c>
      <c r="C272" s="7">
        <v>0</v>
      </c>
      <c r="D272" s="7">
        <v>0</v>
      </c>
      <c r="E272" s="7">
        <v>0</v>
      </c>
      <c r="F272" s="7">
        <v>0</v>
      </c>
      <c r="G272" s="7">
        <v>0</v>
      </c>
      <c r="H272" s="7">
        <v>0</v>
      </c>
      <c r="I272" s="7">
        <v>0</v>
      </c>
      <c r="J272" s="7">
        <v>0</v>
      </c>
      <c r="K272" s="7">
        <v>0</v>
      </c>
      <c r="L272" s="7">
        <v>0</v>
      </c>
      <c r="M272" s="7">
        <v>0</v>
      </c>
      <c r="N272" s="7">
        <v>0</v>
      </c>
      <c r="O272" s="7">
        <v>0</v>
      </c>
      <c r="P272" s="7">
        <v>0</v>
      </c>
      <c r="Q272" s="7">
        <v>0</v>
      </c>
      <c r="R272" s="7">
        <v>0</v>
      </c>
      <c r="S272" s="7">
        <v>0</v>
      </c>
    </row>
    <row r="273">
      <c r="A273" s="14" t="s">
        <v>415</v>
      </c>
      <c r="B273" s="2" t="s">
        <v>399</v>
      </c>
      <c r="C273" s="7">
        <v>0</v>
      </c>
      <c r="D273" s="7">
        <v>0</v>
      </c>
      <c r="E273" s="7">
        <v>0</v>
      </c>
      <c r="F273" s="7">
        <v>0</v>
      </c>
      <c r="G273" s="7">
        <v>0</v>
      </c>
      <c r="H273" s="7">
        <v>0</v>
      </c>
      <c r="I273" s="7">
        <v>0</v>
      </c>
      <c r="J273" s="7">
        <v>0</v>
      </c>
      <c r="K273" s="7">
        <v>0</v>
      </c>
      <c r="L273" s="7">
        <v>0</v>
      </c>
      <c r="M273" s="7">
        <v>0</v>
      </c>
      <c r="N273" s="7">
        <v>0</v>
      </c>
      <c r="O273" s="7">
        <v>0</v>
      </c>
      <c r="P273" s="7">
        <v>0</v>
      </c>
      <c r="Q273" s="7">
        <v>0</v>
      </c>
      <c r="R273" s="7">
        <v>0</v>
      </c>
      <c r="S273" s="7">
        <v>0</v>
      </c>
    </row>
    <row r="274">
      <c r="A274" s="14" t="s">
        <v>416</v>
      </c>
      <c r="B274" s="2" t="s">
        <v>399</v>
      </c>
      <c r="C274" s="7">
        <v>0</v>
      </c>
      <c r="D274" s="7">
        <v>0</v>
      </c>
      <c r="E274" s="7">
        <v>0</v>
      </c>
      <c r="F274" s="7">
        <v>0</v>
      </c>
      <c r="G274" s="7">
        <v>0</v>
      </c>
      <c r="H274" s="7">
        <v>0</v>
      </c>
      <c r="I274" s="7">
        <v>0</v>
      </c>
      <c r="J274" s="7">
        <v>0</v>
      </c>
      <c r="K274" s="7">
        <v>0</v>
      </c>
      <c r="L274" s="7">
        <v>0</v>
      </c>
      <c r="M274" s="7">
        <v>0</v>
      </c>
      <c r="N274" s="7">
        <v>0</v>
      </c>
      <c r="O274" s="7">
        <v>0</v>
      </c>
      <c r="P274" s="7">
        <v>0</v>
      </c>
      <c r="Q274" s="7">
        <v>0</v>
      </c>
      <c r="R274" s="7">
        <v>0</v>
      </c>
      <c r="S274" s="7">
        <v>0</v>
      </c>
    </row>
    <row r="275">
      <c r="A275" s="14" t="s">
        <v>417</v>
      </c>
      <c r="B275" s="2" t="s">
        <v>399</v>
      </c>
      <c r="C275" s="7">
        <v>0</v>
      </c>
      <c r="D275" s="7">
        <v>0</v>
      </c>
      <c r="E275" s="7">
        <v>0</v>
      </c>
      <c r="F275" s="7">
        <v>0</v>
      </c>
      <c r="G275" s="7">
        <v>0</v>
      </c>
      <c r="H275" s="7">
        <v>0</v>
      </c>
      <c r="I275" s="7">
        <v>0</v>
      </c>
      <c r="J275" s="7">
        <v>0</v>
      </c>
      <c r="K275" s="7">
        <v>0</v>
      </c>
      <c r="L275" s="7">
        <v>0</v>
      </c>
      <c r="M275" s="7">
        <v>0</v>
      </c>
      <c r="N275" s="7">
        <v>0</v>
      </c>
      <c r="O275" s="7">
        <v>0</v>
      </c>
      <c r="P275" s="7">
        <v>0</v>
      </c>
      <c r="Q275" s="7">
        <v>0</v>
      </c>
      <c r="R275" s="7">
        <v>0</v>
      </c>
      <c r="S275" s="7">
        <v>0</v>
      </c>
    </row>
    <row r="276">
      <c r="A276" s="14" t="s">
        <v>418</v>
      </c>
      <c r="B276" s="2" t="s">
        <v>399</v>
      </c>
      <c r="C276" s="7">
        <v>0</v>
      </c>
      <c r="D276" s="7">
        <v>0</v>
      </c>
      <c r="E276" s="7">
        <v>0</v>
      </c>
      <c r="F276" s="7">
        <v>0</v>
      </c>
      <c r="G276" s="7">
        <v>0</v>
      </c>
      <c r="H276" s="7">
        <v>0</v>
      </c>
      <c r="I276" s="7">
        <v>0</v>
      </c>
      <c r="J276" s="7">
        <v>0</v>
      </c>
      <c r="K276" s="7">
        <v>0</v>
      </c>
      <c r="L276" s="7">
        <v>0</v>
      </c>
      <c r="M276" s="7">
        <v>0</v>
      </c>
      <c r="N276" s="7">
        <v>0</v>
      </c>
      <c r="O276" s="7">
        <v>0</v>
      </c>
      <c r="P276" s="7">
        <v>0</v>
      </c>
      <c r="Q276" s="7">
        <v>0</v>
      </c>
      <c r="R276" s="7">
        <v>0</v>
      </c>
      <c r="S276" s="7">
        <v>0</v>
      </c>
    </row>
    <row r="277">
      <c r="A277" s="14" t="s">
        <v>419</v>
      </c>
      <c r="B277" s="2" t="s">
        <v>399</v>
      </c>
      <c r="C277" s="7">
        <v>0</v>
      </c>
      <c r="D277" s="7">
        <v>0</v>
      </c>
      <c r="E277" s="7">
        <v>0</v>
      </c>
      <c r="F277" s="7">
        <v>0</v>
      </c>
      <c r="G277" s="7">
        <v>0</v>
      </c>
      <c r="H277" s="7">
        <v>0</v>
      </c>
      <c r="I277" s="7">
        <v>0</v>
      </c>
      <c r="J277" s="7">
        <v>0</v>
      </c>
      <c r="K277" s="7">
        <v>0</v>
      </c>
      <c r="L277" s="7">
        <v>0</v>
      </c>
      <c r="M277" s="7">
        <v>0</v>
      </c>
      <c r="N277" s="7">
        <v>0</v>
      </c>
      <c r="O277" s="7">
        <v>0</v>
      </c>
      <c r="P277" s="7">
        <v>0</v>
      </c>
      <c r="Q277" s="7">
        <v>0</v>
      </c>
      <c r="R277" s="7">
        <v>0</v>
      </c>
      <c r="S277" s="7">
        <v>0</v>
      </c>
    </row>
    <row r="278">
      <c r="A278" s="14" t="s">
        <v>420</v>
      </c>
      <c r="B278" s="2" t="s">
        <v>399</v>
      </c>
      <c r="C278" s="7">
        <v>0</v>
      </c>
      <c r="D278" s="7">
        <v>0</v>
      </c>
      <c r="E278" s="7">
        <v>0</v>
      </c>
      <c r="F278" s="7">
        <v>0</v>
      </c>
      <c r="G278" s="7">
        <v>0</v>
      </c>
      <c r="H278" s="7">
        <v>0</v>
      </c>
      <c r="I278" s="7">
        <v>0</v>
      </c>
      <c r="J278" s="7">
        <v>0</v>
      </c>
      <c r="K278" s="7">
        <v>0</v>
      </c>
      <c r="L278" s="7">
        <v>0</v>
      </c>
      <c r="M278" s="7">
        <v>0</v>
      </c>
      <c r="N278" s="7">
        <v>0</v>
      </c>
      <c r="O278" s="7">
        <v>0</v>
      </c>
      <c r="P278" s="7">
        <v>0</v>
      </c>
      <c r="Q278" s="7">
        <v>0</v>
      </c>
      <c r="R278" s="7">
        <v>0</v>
      </c>
      <c r="S278" s="7">
        <v>0</v>
      </c>
    </row>
    <row r="279">
      <c r="A279" s="14" t="s">
        <v>421</v>
      </c>
      <c r="B279" s="2" t="s">
        <v>399</v>
      </c>
      <c r="C279" s="7">
        <v>0</v>
      </c>
      <c r="D279" s="7">
        <v>0</v>
      </c>
      <c r="E279" s="7">
        <v>0</v>
      </c>
      <c r="F279" s="7">
        <v>0</v>
      </c>
      <c r="G279" s="7">
        <v>0</v>
      </c>
      <c r="H279" s="7">
        <v>0</v>
      </c>
      <c r="I279" s="7">
        <v>0</v>
      </c>
      <c r="J279" s="7">
        <v>0</v>
      </c>
      <c r="K279" s="7">
        <v>0</v>
      </c>
      <c r="L279" s="7">
        <v>0</v>
      </c>
      <c r="M279" s="7">
        <v>0</v>
      </c>
      <c r="N279" s="7">
        <v>0</v>
      </c>
      <c r="O279" s="7">
        <v>0</v>
      </c>
      <c r="P279" s="7">
        <v>0</v>
      </c>
      <c r="Q279" s="7">
        <v>0</v>
      </c>
      <c r="R279" s="7">
        <v>0</v>
      </c>
      <c r="S279" s="7">
        <v>0</v>
      </c>
    </row>
    <row r="280">
      <c r="A280" s="14" t="s">
        <v>422</v>
      </c>
      <c r="B280" s="2" t="s">
        <v>399</v>
      </c>
      <c r="C280" s="7">
        <v>0</v>
      </c>
      <c r="D280" s="7">
        <v>0</v>
      </c>
      <c r="E280" s="7">
        <v>0</v>
      </c>
      <c r="F280" s="7">
        <v>0</v>
      </c>
      <c r="G280" s="7">
        <v>0</v>
      </c>
      <c r="H280" s="7">
        <v>0</v>
      </c>
      <c r="I280" s="7">
        <v>0</v>
      </c>
      <c r="J280" s="7">
        <v>0</v>
      </c>
      <c r="K280" s="7">
        <v>0</v>
      </c>
      <c r="L280" s="7">
        <v>0</v>
      </c>
      <c r="M280" s="7">
        <v>0</v>
      </c>
      <c r="N280" s="7">
        <v>0</v>
      </c>
      <c r="O280" s="7">
        <v>0</v>
      </c>
      <c r="P280" s="7">
        <v>0</v>
      </c>
      <c r="Q280" s="7">
        <v>0</v>
      </c>
      <c r="R280" s="7">
        <v>0</v>
      </c>
      <c r="S280" s="7">
        <v>0</v>
      </c>
    </row>
    <row r="281">
      <c r="A281" s="14" t="s">
        <v>423</v>
      </c>
      <c r="B281" s="2" t="s">
        <v>399</v>
      </c>
      <c r="C281" s="7">
        <v>0</v>
      </c>
      <c r="D281" s="7">
        <v>0</v>
      </c>
      <c r="E281" s="7">
        <v>0</v>
      </c>
      <c r="F281" s="7">
        <v>0</v>
      </c>
      <c r="G281" s="7">
        <v>0</v>
      </c>
      <c r="H281" s="7">
        <v>0</v>
      </c>
      <c r="I281" s="7">
        <v>0</v>
      </c>
      <c r="J281" s="7">
        <v>0</v>
      </c>
      <c r="K281" s="7">
        <v>0</v>
      </c>
      <c r="L281" s="7">
        <v>0</v>
      </c>
      <c r="M281" s="7">
        <v>0</v>
      </c>
      <c r="N281" s="7">
        <v>0</v>
      </c>
      <c r="O281" s="7">
        <v>0</v>
      </c>
      <c r="P281" s="7">
        <v>0</v>
      </c>
      <c r="Q281" s="7">
        <v>0</v>
      </c>
      <c r="R281" s="7">
        <v>0</v>
      </c>
      <c r="S281" s="7">
        <v>0</v>
      </c>
    </row>
    <row r="282">
      <c r="A282" s="14" t="s">
        <v>424</v>
      </c>
      <c r="B282" s="2" t="s">
        <v>399</v>
      </c>
      <c r="C282" s="7">
        <v>0</v>
      </c>
      <c r="D282" s="7">
        <v>0</v>
      </c>
      <c r="E282" s="7">
        <v>0</v>
      </c>
      <c r="F282" s="7">
        <v>0</v>
      </c>
      <c r="G282" s="7">
        <v>0</v>
      </c>
      <c r="H282" s="7">
        <v>0</v>
      </c>
      <c r="I282" s="7">
        <v>0</v>
      </c>
      <c r="J282" s="7">
        <v>0</v>
      </c>
      <c r="K282" s="7">
        <v>0</v>
      </c>
      <c r="L282" s="7">
        <v>0</v>
      </c>
      <c r="M282" s="7">
        <v>0</v>
      </c>
      <c r="N282" s="7">
        <v>0</v>
      </c>
      <c r="O282" s="7">
        <v>0</v>
      </c>
      <c r="P282" s="7">
        <v>0</v>
      </c>
      <c r="Q282" s="7">
        <v>0</v>
      </c>
      <c r="R282" s="7">
        <v>0</v>
      </c>
      <c r="S282" s="7">
        <v>0</v>
      </c>
    </row>
    <row r="283">
      <c r="A283" s="14" t="s">
        <v>425</v>
      </c>
      <c r="B283" s="2" t="s">
        <v>399</v>
      </c>
      <c r="C283" s="7">
        <v>0</v>
      </c>
      <c r="D283" s="7">
        <v>0</v>
      </c>
      <c r="E283" s="7">
        <v>0</v>
      </c>
      <c r="F283" s="7">
        <v>0</v>
      </c>
      <c r="G283" s="7">
        <v>0</v>
      </c>
      <c r="H283" s="7">
        <v>0</v>
      </c>
      <c r="I283" s="7">
        <v>0</v>
      </c>
      <c r="J283" s="7">
        <v>0</v>
      </c>
      <c r="K283" s="7">
        <v>0</v>
      </c>
      <c r="L283" s="7">
        <v>0</v>
      </c>
      <c r="M283" s="7">
        <v>0</v>
      </c>
      <c r="N283" s="7">
        <v>0</v>
      </c>
      <c r="O283" s="7">
        <v>0</v>
      </c>
      <c r="P283" s="7">
        <v>0</v>
      </c>
      <c r="Q283" s="7">
        <v>0</v>
      </c>
      <c r="R283" s="7">
        <v>0</v>
      </c>
      <c r="S283" s="7">
        <v>0</v>
      </c>
    </row>
    <row r="284">
      <c r="A284" s="14" t="s">
        <v>426</v>
      </c>
      <c r="B284" s="2" t="s">
        <v>399</v>
      </c>
      <c r="C284" s="7">
        <v>0</v>
      </c>
      <c r="D284" s="7">
        <v>0</v>
      </c>
      <c r="E284" s="7">
        <v>0</v>
      </c>
      <c r="F284" s="7">
        <v>0</v>
      </c>
      <c r="G284" s="7">
        <v>0</v>
      </c>
      <c r="H284" s="7">
        <v>0</v>
      </c>
      <c r="I284" s="7">
        <v>0</v>
      </c>
      <c r="J284" s="7">
        <v>0</v>
      </c>
      <c r="K284" s="7">
        <v>0</v>
      </c>
      <c r="L284" s="7">
        <v>0</v>
      </c>
      <c r="M284" s="7">
        <v>0</v>
      </c>
      <c r="N284" s="7">
        <v>0</v>
      </c>
      <c r="O284" s="7">
        <v>0</v>
      </c>
      <c r="P284" s="7">
        <v>0</v>
      </c>
      <c r="Q284" s="7">
        <v>0</v>
      </c>
      <c r="R284" s="7">
        <v>0</v>
      </c>
      <c r="S284" s="7">
        <v>0</v>
      </c>
    </row>
    <row r="285">
      <c r="A285" s="14" t="s">
        <v>427</v>
      </c>
      <c r="B285" s="2" t="s">
        <v>399</v>
      </c>
      <c r="C285" s="7">
        <v>0</v>
      </c>
      <c r="D285" s="7">
        <v>0</v>
      </c>
      <c r="E285" s="7">
        <v>0</v>
      </c>
      <c r="F285" s="7">
        <v>0</v>
      </c>
      <c r="G285" s="7">
        <v>0</v>
      </c>
      <c r="H285" s="7">
        <v>0</v>
      </c>
      <c r="I285" s="7">
        <v>0</v>
      </c>
      <c r="J285" s="7">
        <v>0</v>
      </c>
      <c r="K285" s="7">
        <v>0</v>
      </c>
      <c r="L285" s="7">
        <v>0</v>
      </c>
      <c r="M285" s="7">
        <v>0</v>
      </c>
      <c r="N285" s="7">
        <v>0</v>
      </c>
      <c r="O285" s="7">
        <v>0</v>
      </c>
      <c r="P285" s="7">
        <v>0</v>
      </c>
      <c r="Q285" s="7">
        <v>0</v>
      </c>
      <c r="R285" s="7">
        <v>0</v>
      </c>
      <c r="S285" s="7">
        <v>0</v>
      </c>
    </row>
    <row r="286">
      <c r="A286" s="14" t="s">
        <v>428</v>
      </c>
      <c r="B286" s="2" t="s">
        <v>399</v>
      </c>
      <c r="C286" s="7">
        <v>0</v>
      </c>
      <c r="D286" s="7">
        <v>0</v>
      </c>
      <c r="E286" s="7">
        <v>0</v>
      </c>
      <c r="F286" s="7">
        <v>0</v>
      </c>
      <c r="G286" s="7">
        <v>0</v>
      </c>
      <c r="H286" s="7">
        <v>0</v>
      </c>
      <c r="I286" s="7">
        <v>0</v>
      </c>
      <c r="J286" s="7">
        <v>0</v>
      </c>
      <c r="K286" s="7">
        <v>0</v>
      </c>
      <c r="L286" s="7">
        <v>0</v>
      </c>
      <c r="M286" s="7">
        <v>0</v>
      </c>
      <c r="N286" s="7">
        <v>0</v>
      </c>
      <c r="O286" s="7">
        <v>0</v>
      </c>
      <c r="P286" s="7">
        <v>0</v>
      </c>
      <c r="Q286" s="7">
        <v>0</v>
      </c>
      <c r="R286" s="7">
        <v>0</v>
      </c>
      <c r="S286" s="7">
        <v>0</v>
      </c>
    </row>
    <row r="287">
      <c r="A287" s="14" t="s">
        <v>429</v>
      </c>
      <c r="B287" s="2" t="s">
        <v>399</v>
      </c>
      <c r="C287" s="7">
        <v>0</v>
      </c>
      <c r="D287" s="7">
        <v>0</v>
      </c>
      <c r="E287" s="7">
        <v>0</v>
      </c>
      <c r="F287" s="7">
        <v>0</v>
      </c>
      <c r="G287" s="7">
        <v>0</v>
      </c>
      <c r="H287" s="7">
        <v>0</v>
      </c>
      <c r="I287" s="7">
        <v>0</v>
      </c>
      <c r="J287" s="7">
        <v>0</v>
      </c>
      <c r="K287" s="7">
        <v>0</v>
      </c>
      <c r="L287" s="7">
        <v>0</v>
      </c>
      <c r="M287" s="7">
        <v>0</v>
      </c>
      <c r="N287" s="7">
        <v>0</v>
      </c>
      <c r="O287" s="7">
        <v>0</v>
      </c>
      <c r="P287" s="7">
        <v>0</v>
      </c>
      <c r="Q287" s="7">
        <v>0</v>
      </c>
      <c r="R287" s="7">
        <v>0</v>
      </c>
      <c r="S287" s="7">
        <v>0</v>
      </c>
    </row>
    <row r="288">
      <c r="A288" s="14" t="s">
        <v>430</v>
      </c>
      <c r="B288" s="2" t="s">
        <v>399</v>
      </c>
      <c r="C288" s="7">
        <v>0</v>
      </c>
      <c r="D288" s="7">
        <v>0</v>
      </c>
      <c r="E288" s="7">
        <v>0</v>
      </c>
      <c r="F288" s="7">
        <v>0</v>
      </c>
      <c r="G288" s="7">
        <v>0</v>
      </c>
      <c r="H288" s="7">
        <v>0</v>
      </c>
      <c r="I288" s="7">
        <v>0</v>
      </c>
      <c r="J288" s="7">
        <v>0</v>
      </c>
      <c r="K288" s="7">
        <v>0</v>
      </c>
      <c r="L288" s="7">
        <v>0</v>
      </c>
      <c r="M288" s="7">
        <v>0</v>
      </c>
      <c r="N288" s="7">
        <v>0</v>
      </c>
      <c r="O288" s="7">
        <v>0</v>
      </c>
      <c r="P288" s="7">
        <v>0</v>
      </c>
      <c r="Q288" s="7">
        <v>0</v>
      </c>
      <c r="R288" s="7">
        <v>0</v>
      </c>
      <c r="S288" s="7">
        <v>0</v>
      </c>
    </row>
    <row r="289">
      <c r="A289" s="14" t="s">
        <v>431</v>
      </c>
      <c r="B289" s="2" t="s">
        <v>399</v>
      </c>
      <c r="C289" s="7">
        <v>0</v>
      </c>
      <c r="D289" s="7">
        <v>0</v>
      </c>
      <c r="E289" s="7">
        <v>0</v>
      </c>
      <c r="F289" s="7">
        <v>0</v>
      </c>
      <c r="G289" s="7">
        <v>0</v>
      </c>
      <c r="H289" s="7">
        <v>0</v>
      </c>
      <c r="I289" s="7">
        <v>0</v>
      </c>
      <c r="J289" s="7">
        <v>0</v>
      </c>
      <c r="K289" s="7">
        <v>0</v>
      </c>
      <c r="L289" s="7">
        <v>0</v>
      </c>
      <c r="M289" s="7">
        <v>0</v>
      </c>
      <c r="N289" s="7">
        <v>0</v>
      </c>
      <c r="O289" s="7">
        <v>0</v>
      </c>
      <c r="P289" s="7">
        <v>0</v>
      </c>
      <c r="Q289" s="7">
        <v>0</v>
      </c>
      <c r="R289" s="7">
        <v>0</v>
      </c>
      <c r="S289" s="7">
        <v>0</v>
      </c>
    </row>
    <row r="290">
      <c r="A290" s="14" t="s">
        <v>432</v>
      </c>
      <c r="B290" s="2" t="s">
        <v>399</v>
      </c>
      <c r="C290" s="7">
        <v>0</v>
      </c>
      <c r="D290" s="7">
        <v>0</v>
      </c>
      <c r="E290" s="7">
        <v>0</v>
      </c>
      <c r="F290" s="7">
        <v>0</v>
      </c>
      <c r="G290" s="7">
        <v>0</v>
      </c>
      <c r="H290" s="7">
        <v>0</v>
      </c>
      <c r="I290" s="7">
        <v>0</v>
      </c>
      <c r="J290" s="7">
        <v>0</v>
      </c>
      <c r="K290" s="7">
        <v>0</v>
      </c>
      <c r="L290" s="7">
        <v>0</v>
      </c>
      <c r="M290" s="7">
        <v>0</v>
      </c>
      <c r="N290" s="7">
        <v>0</v>
      </c>
      <c r="O290" s="7">
        <v>0</v>
      </c>
      <c r="P290" s="7">
        <v>0</v>
      </c>
      <c r="Q290" s="7">
        <v>0</v>
      </c>
      <c r="R290" s="7">
        <v>0</v>
      </c>
      <c r="S290" s="7">
        <v>0</v>
      </c>
    </row>
    <row r="291">
      <c r="A291" s="14" t="s">
        <v>433</v>
      </c>
      <c r="B291" s="2" t="s">
        <v>399</v>
      </c>
      <c r="C291" s="7">
        <v>0</v>
      </c>
      <c r="D291" s="7">
        <v>0</v>
      </c>
      <c r="E291" s="7">
        <v>0</v>
      </c>
      <c r="F291" s="7">
        <v>0</v>
      </c>
      <c r="G291" s="7">
        <v>0</v>
      </c>
      <c r="H291" s="7">
        <v>0</v>
      </c>
      <c r="I291" s="7">
        <v>0</v>
      </c>
      <c r="J291" s="7">
        <v>0</v>
      </c>
      <c r="K291" s="7">
        <v>0</v>
      </c>
      <c r="L291" s="7">
        <v>0</v>
      </c>
      <c r="M291" s="7">
        <v>0</v>
      </c>
      <c r="N291" s="7">
        <v>0</v>
      </c>
      <c r="O291" s="7">
        <v>0</v>
      </c>
      <c r="P291" s="7">
        <v>0</v>
      </c>
      <c r="Q291" s="7">
        <v>0</v>
      </c>
      <c r="R291" s="7">
        <v>0</v>
      </c>
      <c r="S291" s="7">
        <v>0</v>
      </c>
    </row>
    <row r="292">
      <c r="A292" s="14" t="s">
        <v>434</v>
      </c>
      <c r="B292" s="2" t="s">
        <v>399</v>
      </c>
      <c r="C292" s="7">
        <v>0</v>
      </c>
      <c r="D292" s="7">
        <v>0</v>
      </c>
      <c r="E292" s="7">
        <v>0</v>
      </c>
      <c r="F292" s="7">
        <v>0</v>
      </c>
      <c r="G292" s="7">
        <v>0</v>
      </c>
      <c r="H292" s="7">
        <v>0</v>
      </c>
      <c r="I292" s="7">
        <v>0</v>
      </c>
      <c r="J292" s="7">
        <v>0</v>
      </c>
      <c r="K292" s="7">
        <v>0</v>
      </c>
      <c r="L292" s="7">
        <v>0</v>
      </c>
      <c r="M292" s="7">
        <v>0</v>
      </c>
      <c r="N292" s="7">
        <v>0</v>
      </c>
      <c r="O292" s="7">
        <v>0</v>
      </c>
      <c r="P292" s="7">
        <v>0</v>
      </c>
      <c r="Q292" s="7">
        <v>0</v>
      </c>
      <c r="R292" s="7">
        <v>0</v>
      </c>
      <c r="S292" s="7">
        <v>0</v>
      </c>
    </row>
    <row r="293">
      <c r="A293" s="14" t="s">
        <v>435</v>
      </c>
      <c r="B293" s="2" t="s">
        <v>399</v>
      </c>
      <c r="C293" s="7">
        <v>0</v>
      </c>
      <c r="D293" s="7">
        <v>0</v>
      </c>
      <c r="E293" s="7">
        <v>0</v>
      </c>
      <c r="F293" s="7">
        <v>0</v>
      </c>
      <c r="G293" s="7">
        <v>0</v>
      </c>
      <c r="H293" s="7">
        <v>0</v>
      </c>
      <c r="I293" s="7">
        <v>0</v>
      </c>
      <c r="J293" s="7">
        <v>0</v>
      </c>
      <c r="K293" s="7">
        <v>0</v>
      </c>
      <c r="L293" s="7">
        <v>0</v>
      </c>
      <c r="M293" s="7">
        <v>0</v>
      </c>
      <c r="N293" s="7">
        <v>0</v>
      </c>
      <c r="O293" s="7">
        <v>0</v>
      </c>
      <c r="P293" s="7">
        <v>0</v>
      </c>
      <c r="Q293" s="7">
        <v>0</v>
      </c>
      <c r="R293" s="7">
        <v>0</v>
      </c>
      <c r="S293" s="7">
        <v>0</v>
      </c>
    </row>
    <row r="294">
      <c r="A294" s="14" t="s">
        <v>436</v>
      </c>
      <c r="B294" s="2" t="s">
        <v>399</v>
      </c>
      <c r="C294" s="7">
        <v>0</v>
      </c>
      <c r="D294" s="7">
        <v>0</v>
      </c>
      <c r="E294" s="7">
        <v>0</v>
      </c>
      <c r="F294" s="7">
        <v>0</v>
      </c>
      <c r="G294" s="7">
        <v>0</v>
      </c>
      <c r="H294" s="7">
        <v>0</v>
      </c>
      <c r="I294" s="7">
        <v>0</v>
      </c>
      <c r="J294" s="7">
        <v>0</v>
      </c>
      <c r="K294" s="7">
        <v>0</v>
      </c>
      <c r="L294" s="7">
        <v>0</v>
      </c>
      <c r="M294" s="7">
        <v>0</v>
      </c>
      <c r="N294" s="7">
        <v>0</v>
      </c>
      <c r="O294" s="7">
        <v>0</v>
      </c>
      <c r="P294" s="7">
        <v>0</v>
      </c>
      <c r="Q294" s="7">
        <v>0</v>
      </c>
      <c r="R294" s="7">
        <v>0</v>
      </c>
      <c r="S294" s="7">
        <v>0</v>
      </c>
    </row>
    <row r="295">
      <c r="A295" s="14" t="s">
        <v>437</v>
      </c>
      <c r="B295" s="2" t="s">
        <v>399</v>
      </c>
      <c r="C295" s="7">
        <v>0</v>
      </c>
      <c r="D295" s="7">
        <v>0</v>
      </c>
      <c r="E295" s="7">
        <v>0</v>
      </c>
      <c r="F295" s="7">
        <v>0</v>
      </c>
      <c r="G295" s="7">
        <v>0</v>
      </c>
      <c r="H295" s="7">
        <v>0</v>
      </c>
      <c r="I295" s="7">
        <v>0</v>
      </c>
      <c r="J295" s="7">
        <v>0</v>
      </c>
      <c r="K295" s="7">
        <v>0</v>
      </c>
      <c r="L295" s="7">
        <v>0</v>
      </c>
      <c r="M295" s="7">
        <v>0</v>
      </c>
      <c r="N295" s="7">
        <v>0</v>
      </c>
      <c r="O295" s="7">
        <v>0</v>
      </c>
      <c r="P295" s="7">
        <v>0</v>
      </c>
      <c r="Q295" s="7">
        <v>0</v>
      </c>
      <c r="R295" s="7">
        <v>0</v>
      </c>
      <c r="S295" s="7">
        <v>0</v>
      </c>
    </row>
    <row r="296">
      <c r="A296" s="14" t="s">
        <v>438</v>
      </c>
      <c r="B296" s="2" t="s">
        <v>399</v>
      </c>
      <c r="C296" s="7">
        <v>0</v>
      </c>
      <c r="D296" s="7">
        <v>0</v>
      </c>
      <c r="E296" s="7">
        <v>0</v>
      </c>
      <c r="F296" s="7">
        <v>0</v>
      </c>
      <c r="G296" s="7">
        <v>0</v>
      </c>
      <c r="H296" s="7">
        <v>0</v>
      </c>
      <c r="I296" s="7">
        <v>0</v>
      </c>
      <c r="J296" s="7">
        <v>0</v>
      </c>
      <c r="K296" s="7">
        <v>0</v>
      </c>
      <c r="L296" s="7">
        <v>0</v>
      </c>
      <c r="M296" s="7">
        <v>0</v>
      </c>
      <c r="N296" s="7">
        <v>0</v>
      </c>
      <c r="O296" s="7">
        <v>0</v>
      </c>
      <c r="P296" s="7">
        <v>0</v>
      </c>
      <c r="Q296" s="7">
        <v>0</v>
      </c>
      <c r="R296" s="7">
        <v>0</v>
      </c>
      <c r="S296" s="7">
        <v>0</v>
      </c>
    </row>
    <row r="297">
      <c r="A297" s="14" t="s">
        <v>439</v>
      </c>
      <c r="B297" s="2" t="s">
        <v>399</v>
      </c>
      <c r="C297" s="7">
        <v>0</v>
      </c>
      <c r="D297" s="7">
        <v>0</v>
      </c>
      <c r="E297" s="7">
        <v>0</v>
      </c>
      <c r="F297" s="7">
        <v>0</v>
      </c>
      <c r="G297" s="7">
        <v>0</v>
      </c>
      <c r="H297" s="7">
        <v>0</v>
      </c>
      <c r="I297" s="7">
        <v>0</v>
      </c>
      <c r="J297" s="7">
        <v>0</v>
      </c>
      <c r="K297" s="7">
        <v>0</v>
      </c>
      <c r="L297" s="7">
        <v>0</v>
      </c>
      <c r="M297" s="7">
        <v>0</v>
      </c>
      <c r="N297" s="7">
        <v>0</v>
      </c>
      <c r="O297" s="7">
        <v>0</v>
      </c>
      <c r="P297" s="7">
        <v>0</v>
      </c>
      <c r="Q297" s="7">
        <v>0</v>
      </c>
      <c r="R297" s="7">
        <v>0</v>
      </c>
      <c r="S297" s="7">
        <v>0</v>
      </c>
    </row>
    <row r="298">
      <c r="A298" s="14" t="s">
        <v>440</v>
      </c>
      <c r="B298" s="2" t="s">
        <v>399</v>
      </c>
      <c r="C298" s="7">
        <v>0</v>
      </c>
      <c r="D298" s="7">
        <v>0</v>
      </c>
      <c r="E298" s="7">
        <v>0</v>
      </c>
      <c r="F298" s="7">
        <v>0</v>
      </c>
      <c r="G298" s="7">
        <v>0</v>
      </c>
      <c r="H298" s="7">
        <v>0</v>
      </c>
      <c r="I298" s="7">
        <v>0</v>
      </c>
      <c r="J298" s="7">
        <v>0</v>
      </c>
      <c r="K298" s="7">
        <v>0</v>
      </c>
      <c r="L298" s="7">
        <v>0</v>
      </c>
      <c r="M298" s="7">
        <v>0</v>
      </c>
      <c r="N298" s="7">
        <v>0</v>
      </c>
      <c r="O298" s="7">
        <v>0</v>
      </c>
      <c r="P298" s="7">
        <v>0</v>
      </c>
      <c r="Q298" s="7">
        <v>0</v>
      </c>
      <c r="R298" s="7">
        <v>0</v>
      </c>
      <c r="S298" s="7">
        <v>0</v>
      </c>
    </row>
    <row r="299">
      <c r="A299" s="14" t="s">
        <v>441</v>
      </c>
      <c r="B299" s="2" t="s">
        <v>399</v>
      </c>
      <c r="C299" s="7">
        <v>0</v>
      </c>
      <c r="D299" s="7">
        <v>0</v>
      </c>
      <c r="E299" s="7">
        <v>0</v>
      </c>
      <c r="F299" s="7">
        <v>0</v>
      </c>
      <c r="G299" s="7">
        <v>0</v>
      </c>
      <c r="H299" s="7">
        <v>0</v>
      </c>
      <c r="I299" s="7">
        <v>0</v>
      </c>
      <c r="J299" s="7">
        <v>0</v>
      </c>
      <c r="K299" s="7">
        <v>0</v>
      </c>
      <c r="L299" s="7">
        <v>0</v>
      </c>
      <c r="M299" s="7">
        <v>0</v>
      </c>
      <c r="N299" s="7">
        <v>0</v>
      </c>
      <c r="O299" s="7">
        <v>0</v>
      </c>
      <c r="P299" s="7">
        <v>0</v>
      </c>
      <c r="Q299" s="7">
        <v>0</v>
      </c>
      <c r="R299" s="7">
        <v>0</v>
      </c>
      <c r="S299" s="7">
        <v>0</v>
      </c>
    </row>
    <row r="300">
      <c r="A300" s="14" t="s">
        <v>442</v>
      </c>
      <c r="B300" s="2" t="s">
        <v>399</v>
      </c>
      <c r="C300" s="7">
        <v>0</v>
      </c>
      <c r="D300" s="7">
        <v>0</v>
      </c>
      <c r="E300" s="7">
        <v>0</v>
      </c>
      <c r="F300" s="7">
        <v>0</v>
      </c>
      <c r="G300" s="7">
        <v>0</v>
      </c>
      <c r="H300" s="7">
        <v>0</v>
      </c>
      <c r="I300" s="7">
        <v>0</v>
      </c>
      <c r="J300" s="7">
        <v>0</v>
      </c>
      <c r="K300" s="7">
        <v>0</v>
      </c>
      <c r="L300" s="7">
        <v>0</v>
      </c>
      <c r="M300" s="7">
        <v>0</v>
      </c>
      <c r="N300" s="7">
        <v>0</v>
      </c>
      <c r="O300" s="7">
        <v>0</v>
      </c>
      <c r="P300" s="7">
        <v>0</v>
      </c>
      <c r="Q300" s="7">
        <v>0</v>
      </c>
      <c r="R300" s="7">
        <v>0</v>
      </c>
      <c r="S300" s="7">
        <v>0</v>
      </c>
    </row>
    <row r="301">
      <c r="A301" s="14" t="s">
        <v>443</v>
      </c>
      <c r="B301" s="2" t="s">
        <v>399</v>
      </c>
      <c r="C301" s="7">
        <v>0</v>
      </c>
      <c r="D301" s="7">
        <v>0</v>
      </c>
      <c r="E301" s="7">
        <v>0</v>
      </c>
      <c r="F301" s="7">
        <v>0</v>
      </c>
      <c r="G301" s="7">
        <v>0</v>
      </c>
      <c r="H301" s="7">
        <v>0</v>
      </c>
      <c r="I301" s="7">
        <v>0</v>
      </c>
      <c r="J301" s="7">
        <v>0</v>
      </c>
      <c r="K301" s="7">
        <v>0</v>
      </c>
      <c r="L301" s="7">
        <v>0</v>
      </c>
      <c r="M301" s="7">
        <v>0</v>
      </c>
      <c r="N301" s="7">
        <v>0</v>
      </c>
      <c r="O301" s="7">
        <v>0</v>
      </c>
      <c r="P301" s="7">
        <v>0</v>
      </c>
      <c r="Q301" s="7">
        <v>0</v>
      </c>
      <c r="R301" s="7">
        <v>0</v>
      </c>
      <c r="S301" s="7">
        <v>0</v>
      </c>
    </row>
    <row r="302">
      <c r="A302" s="14" t="s">
        <v>444</v>
      </c>
      <c r="B302" s="2" t="s">
        <v>399</v>
      </c>
      <c r="C302" s="7">
        <v>0</v>
      </c>
      <c r="D302" s="7">
        <v>0</v>
      </c>
      <c r="E302" s="7">
        <v>0</v>
      </c>
      <c r="F302" s="7">
        <v>0</v>
      </c>
      <c r="G302" s="7">
        <v>0</v>
      </c>
      <c r="H302" s="7">
        <v>0</v>
      </c>
      <c r="I302" s="7">
        <v>0</v>
      </c>
      <c r="J302" s="7">
        <v>0</v>
      </c>
      <c r="K302" s="7">
        <v>0</v>
      </c>
      <c r="L302" s="7">
        <v>0</v>
      </c>
      <c r="M302" s="7">
        <v>0</v>
      </c>
      <c r="N302" s="7">
        <v>0</v>
      </c>
      <c r="O302" s="7">
        <v>0</v>
      </c>
      <c r="P302" s="7">
        <v>0</v>
      </c>
      <c r="Q302" s="7">
        <v>0</v>
      </c>
      <c r="R302" s="7">
        <v>0</v>
      </c>
      <c r="S302" s="7">
        <v>0</v>
      </c>
    </row>
    <row r="303">
      <c r="A303" s="15" t="s">
        <v>445</v>
      </c>
      <c r="C303" s="8">
        <f>SUM(C210:C251)</f>
        <v>53041</v>
      </c>
      <c r="D303" s="8">
        <f>SUM(D210:D251)</f>
        <v>59870</v>
      </c>
      <c r="E303" s="8">
        <f>SUM(E210:E251)</f>
        <v>64721</v>
      </c>
      <c r="F303" s="8">
        <f>SUM(F210:F251)</f>
        <v>67164</v>
      </c>
      <c r="G303" s="8">
        <f>SUM(G210:G251)</f>
        <v>66658</v>
      </c>
      <c r="H303" s="8">
        <f>SUM(H210:H251)</f>
        <v>65894</v>
      </c>
      <c r="I303" s="8">
        <f>SUM(I210:I251)</f>
        <v>59493</v>
      </c>
      <c r="J303" s="8">
        <f>SUM(J210:J251)</f>
        <v>64165</v>
      </c>
      <c r="K303" s="8">
        <f>SUM(K210:K251)</f>
        <v>70530</v>
      </c>
      <c r="L303" s="8">
        <f>SUM(L210:L251)</f>
        <v>73684</v>
      </c>
      <c r="M303" s="8">
        <f>SUM(M210:M251)</f>
        <v>74039</v>
      </c>
      <c r="N303" s="8">
        <f>SUM(N210:N251)</f>
        <v>77530</v>
      </c>
      <c r="O303" s="8">
        <f>SUM(O210:O251)</f>
        <v>76171</v>
      </c>
      <c r="P303" s="8">
        <f>SUM(P210:P251)</f>
        <v>71750</v>
      </c>
      <c r="Q303" s="8">
        <f>SUM(Q210:Q251)</f>
        <v>74115</v>
      </c>
      <c r="R303" s="8">
        <f>SUM(R210:R251)</f>
        <v>83965</v>
      </c>
      <c r="S303" s="8">
        <f>SUM(S210:S251)</f>
        <v>83350</v>
      </c>
    </row>
    <row r="304">
      <c r="A304" s="15" t="s">
        <v>446</v>
      </c>
      <c r="C304" s="8">
        <f>SUM(C252:C256)</f>
        <v>425</v>
      </c>
      <c r="D304" s="8">
        <f>SUM(D252:D256)</f>
        <v>425</v>
      </c>
      <c r="E304" s="8">
        <f>SUM(E252:E256)</f>
        <v>425</v>
      </c>
      <c r="F304" s="8">
        <f>SUM(F252:F256)</f>
        <v>425</v>
      </c>
      <c r="G304" s="8">
        <f>SUM(G252:G256)</f>
        <v>450</v>
      </c>
      <c r="H304" s="8">
        <f>SUM(H252:H256)</f>
        <v>400</v>
      </c>
      <c r="I304" s="8">
        <f>SUM(I252:I256)</f>
        <v>450</v>
      </c>
      <c r="J304" s="8">
        <f>SUM(J252:J256)</f>
        <v>425</v>
      </c>
      <c r="K304" s="8">
        <f>SUM(K252:K256)</f>
        <v>400</v>
      </c>
      <c r="L304" s="8">
        <f>SUM(L252:L256)</f>
        <v>425</v>
      </c>
      <c r="M304" s="8">
        <f>SUM(M252:M256)</f>
        <v>400</v>
      </c>
      <c r="N304" s="8">
        <f>SUM(N252:N256)</f>
        <v>425</v>
      </c>
      <c r="O304" s="8">
        <f>SUM(O252:O256)</f>
        <v>450</v>
      </c>
      <c r="P304" s="8">
        <f>SUM(P252:P256)</f>
        <v>425</v>
      </c>
      <c r="Q304" s="8">
        <f>SUM(Q252:Q256)</f>
        <v>425</v>
      </c>
      <c r="R304" s="8">
        <f>SUM(R252:R256)</f>
        <v>425</v>
      </c>
      <c r="S304" s="8">
        <f>SUM(S252:S256)</f>
        <v>450</v>
      </c>
    </row>
    <row r="305">
      <c r="A305" s="15" t="s">
        <v>447</v>
      </c>
      <c r="C305" s="8">
        <f>SUM(C257:C302)</f>
        <v>0</v>
      </c>
      <c r="D305" s="8">
        <f>SUM(D257:D302)</f>
        <v>0</v>
      </c>
      <c r="E305" s="8">
        <f>SUM(E257:E302)</f>
        <v>0</v>
      </c>
      <c r="F305" s="8">
        <f>SUM(F257:F302)</f>
        <v>0</v>
      </c>
      <c r="G305" s="8">
        <f>SUM(G257:G302)</f>
        <v>0</v>
      </c>
      <c r="H305" s="8">
        <f>SUM(H257:H302)</f>
        <v>0</v>
      </c>
      <c r="I305" s="8">
        <f>SUM(I257:I302)</f>
        <v>0</v>
      </c>
      <c r="J305" s="8">
        <f>SUM(J257:J302)</f>
        <v>0</v>
      </c>
      <c r="K305" s="8">
        <f>SUM(K257:K302)</f>
        <v>0</v>
      </c>
      <c r="L305" s="8">
        <f>SUM(L257:L302)</f>
        <v>0</v>
      </c>
      <c r="M305" s="8">
        <f>SUM(M257:M302)</f>
        <v>0</v>
      </c>
      <c r="N305" s="8">
        <f>SUM(N257:N302)</f>
        <v>0</v>
      </c>
      <c r="O305" s="8">
        <f>SUM(O257:O302)</f>
        <v>0</v>
      </c>
      <c r="P305" s="8">
        <f>SUM(P257:P302)</f>
        <v>0</v>
      </c>
      <c r="Q305" s="8">
        <f>SUM(Q257:Q302)</f>
        <v>0</v>
      </c>
      <c r="R305" s="8">
        <f>SUM(R257:R302)</f>
        <v>0</v>
      </c>
      <c r="S305" s="8">
        <f>SUM(S257:S302)</f>
        <v>0</v>
      </c>
    </row>
    <row r="306">
      <c r="A306" s="15" t="s">
        <v>448</v>
      </c>
      <c r="C306" s="21">
        <f>C303+C304+C305</f>
        <v>53466</v>
      </c>
      <c r="D306" s="21">
        <f>D303+D304+D305</f>
        <v>60295</v>
      </c>
      <c r="E306" s="21">
        <f>E303+E304+E305</f>
        <v>65146</v>
      </c>
      <c r="F306" s="21">
        <f>F303+F304+F305</f>
        <v>67589</v>
      </c>
      <c r="G306" s="21">
        <f>G303+G304+G305</f>
        <v>67108</v>
      </c>
      <c r="H306" s="21">
        <f>H303+H304+H305</f>
        <v>66294</v>
      </c>
      <c r="I306" s="21">
        <f>I303+I304+I305</f>
        <v>59943</v>
      </c>
      <c r="J306" s="21">
        <f>J303+J304+J305</f>
        <v>64590</v>
      </c>
      <c r="K306" s="21">
        <f>K303+K304+K305</f>
        <v>70930</v>
      </c>
      <c r="L306" s="21">
        <f>L303+L304+L305</f>
        <v>74109</v>
      </c>
      <c r="M306" s="21">
        <f>M303+M304+M305</f>
        <v>74439</v>
      </c>
      <c r="N306" s="21">
        <f>N303+N304+N305</f>
        <v>77955</v>
      </c>
      <c r="O306" s="21">
        <f>O303+O304+O305</f>
        <v>76621</v>
      </c>
      <c r="P306" s="21">
        <f>P303+P304+P305</f>
        <v>72175</v>
      </c>
      <c r="Q306" s="21">
        <f>Q303+Q304+Q305</f>
        <v>74540</v>
      </c>
      <c r="R306" s="21">
        <f>R303+R304+R305</f>
        <v>84390</v>
      </c>
      <c r="S306" s="21">
        <f>S303+S304+S305</f>
        <v>83800</v>
      </c>
    </row>
    <row r="311">
      <c r="A311" s="4" t="s">
        <v>451</v>
      </c>
      <c r="B311" s="3" t="s">
        <v>366</v>
      </c>
      <c r="C311" s="3" t="s">
        <v>41</v>
      </c>
      <c r="D311" s="3" t="s">
        <v>42</v>
      </c>
      <c r="E311" s="3" t="s">
        <v>43</v>
      </c>
      <c r="F311" s="3" t="s">
        <v>44</v>
      </c>
      <c r="G311" s="3" t="s">
        <v>45</v>
      </c>
      <c r="H311" s="3" t="s">
        <v>46</v>
      </c>
      <c r="I311" s="3" t="s">
        <v>47</v>
      </c>
      <c r="J311" s="3" t="s">
        <v>48</v>
      </c>
      <c r="K311" s="3" t="s">
        <v>49</v>
      </c>
      <c r="L311" s="3" t="s">
        <v>50</v>
      </c>
      <c r="M311" s="3" t="s">
        <v>51</v>
      </c>
      <c r="N311" s="3" t="s">
        <v>52</v>
      </c>
      <c r="O311" s="3" t="s">
        <v>53</v>
      </c>
      <c r="P311" s="3" t="s">
        <v>54</v>
      </c>
      <c r="Q311" s="3" t="s">
        <v>55</v>
      </c>
      <c r="R311" s="3" t="s">
        <v>56</v>
      </c>
      <c r="S311" s="3" t="s">
        <v>85</v>
      </c>
    </row>
    <row r="312">
      <c r="A312" s="14" t="s">
        <v>367</v>
      </c>
      <c r="B312" s="2" t="s">
        <v>368</v>
      </c>
      <c r="C312" s="7">
        <v>2906</v>
      </c>
      <c r="D312" s="7">
        <v>2238</v>
      </c>
      <c r="E312" s="7">
        <v>9068</v>
      </c>
      <c r="F312" s="7">
        <v>11946</v>
      </c>
      <c r="G312" s="7">
        <v>9305</v>
      </c>
      <c r="H312" s="7">
        <v>2372</v>
      </c>
      <c r="I312" s="7">
        <v>3828</v>
      </c>
      <c r="J312" s="7">
        <v>3115</v>
      </c>
      <c r="K312" s="7">
        <v>5056</v>
      </c>
      <c r="L312" s="7">
        <v>2373</v>
      </c>
      <c r="M312" s="7">
        <v>4390</v>
      </c>
      <c r="N312" s="7">
        <v>540</v>
      </c>
      <c r="O312" s="7">
        <v>4620</v>
      </c>
      <c r="P312" s="7">
        <v>2085</v>
      </c>
      <c r="Q312" s="7">
        <v>955</v>
      </c>
      <c r="R312" s="7">
        <v>3895</v>
      </c>
      <c r="S312" s="7">
        <v>4425</v>
      </c>
    </row>
    <row r="313">
      <c r="A313" s="14" t="s">
        <v>96</v>
      </c>
      <c r="B313" s="2" t="s">
        <v>368</v>
      </c>
      <c r="C313" s="7">
        <v>800</v>
      </c>
      <c r="D313" s="7">
        <v>1090</v>
      </c>
      <c r="E313" s="7">
        <v>1946</v>
      </c>
      <c r="F313" s="7">
        <v>2130</v>
      </c>
      <c r="G313" s="7">
        <v>6336</v>
      </c>
      <c r="H313" s="7">
        <v>4201</v>
      </c>
      <c r="I313" s="7">
        <v>2681</v>
      </c>
      <c r="J313" s="7">
        <v>254</v>
      </c>
      <c r="K313" s="7">
        <v>556</v>
      </c>
      <c r="L313" s="7">
        <v>2130</v>
      </c>
      <c r="M313" s="7">
        <v>3660</v>
      </c>
      <c r="N313" s="7">
        <v>3580</v>
      </c>
      <c r="O313" s="7">
        <v>839</v>
      </c>
      <c r="P313" s="7">
        <v>889</v>
      </c>
      <c r="Q313" s="7">
        <v>1089</v>
      </c>
      <c r="R313" s="7">
        <v>689</v>
      </c>
      <c r="S313" s="7">
        <v>489</v>
      </c>
    </row>
    <row r="314">
      <c r="A314" s="14" t="s">
        <v>369</v>
      </c>
      <c r="B314" s="2" t="s">
        <v>368</v>
      </c>
      <c r="C314" s="7">
        <v>99</v>
      </c>
      <c r="D314" s="7">
        <v>249</v>
      </c>
      <c r="E314" s="7">
        <v>771</v>
      </c>
      <c r="F314" s="7">
        <v>961</v>
      </c>
      <c r="G314" s="7">
        <v>671</v>
      </c>
      <c r="H314" s="7">
        <v>1131</v>
      </c>
      <c r="I314" s="7">
        <v>886</v>
      </c>
      <c r="J314" s="7">
        <v>1111</v>
      </c>
      <c r="K314" s="7">
        <v>552</v>
      </c>
      <c r="L314" s="7">
        <v>852</v>
      </c>
      <c r="M314" s="7">
        <v>1235</v>
      </c>
      <c r="N314" s="7">
        <v>760</v>
      </c>
      <c r="O314" s="7">
        <v>885</v>
      </c>
      <c r="P314" s="7">
        <v>668</v>
      </c>
      <c r="Q314" s="7">
        <v>922</v>
      </c>
      <c r="R314" s="7">
        <v>866</v>
      </c>
      <c r="S314" s="7">
        <v>670</v>
      </c>
    </row>
    <row r="315">
      <c r="A315" s="14" t="s">
        <v>370</v>
      </c>
      <c r="B315" s="2" t="s">
        <v>368</v>
      </c>
      <c r="C315" s="7">
        <v>100</v>
      </c>
      <c r="D315" s="7">
        <v>230</v>
      </c>
      <c r="E315" s="7">
        <v>100</v>
      </c>
      <c r="F315" s="7">
        <v>40</v>
      </c>
      <c r="G315" s="7">
        <v>30</v>
      </c>
      <c r="H315" s="7">
        <v>25</v>
      </c>
      <c r="I315" s="7">
        <v>15</v>
      </c>
      <c r="J315" s="7">
        <v>27</v>
      </c>
      <c r="K315" s="7">
        <v>10</v>
      </c>
      <c r="L315" s="7">
        <v>210</v>
      </c>
      <c r="M315" s="7">
        <v>135</v>
      </c>
      <c r="N315" s="7">
        <v>90</v>
      </c>
      <c r="O315" s="7">
        <v>50</v>
      </c>
      <c r="P315" s="7">
        <v>50</v>
      </c>
      <c r="Q315" s="7">
        <v>80</v>
      </c>
      <c r="R315" s="7">
        <v>175</v>
      </c>
      <c r="S315" s="7">
        <v>145</v>
      </c>
    </row>
    <row r="316">
      <c r="A316" s="14" t="s">
        <v>371</v>
      </c>
      <c r="B316" s="2" t="s">
        <v>368</v>
      </c>
      <c r="C316" s="7">
        <v>83</v>
      </c>
      <c r="D316" s="7">
        <v>88</v>
      </c>
      <c r="E316" s="7">
        <v>98</v>
      </c>
      <c r="F316" s="7">
        <v>48</v>
      </c>
      <c r="G316" s="7">
        <v>53</v>
      </c>
      <c r="H316" s="7">
        <v>46</v>
      </c>
      <c r="I316" s="7">
        <v>12</v>
      </c>
      <c r="J316" s="7">
        <v>593</v>
      </c>
      <c r="K316" s="7">
        <v>2419</v>
      </c>
      <c r="L316" s="7">
        <v>2298</v>
      </c>
      <c r="M316" s="7">
        <v>1669</v>
      </c>
      <c r="N316" s="7">
        <v>1056</v>
      </c>
      <c r="O316" s="7">
        <v>500</v>
      </c>
      <c r="P316" s="7">
        <v>480</v>
      </c>
      <c r="Q316" s="7">
        <v>622</v>
      </c>
      <c r="R316" s="7">
        <v>751</v>
      </c>
      <c r="S316" s="7">
        <v>671</v>
      </c>
    </row>
    <row r="317">
      <c r="A317" s="14" t="s">
        <v>372</v>
      </c>
      <c r="B317" s="2" t="s">
        <v>368</v>
      </c>
      <c r="C317" s="7">
        <v>613</v>
      </c>
      <c r="D317" s="7">
        <v>538</v>
      </c>
      <c r="E317" s="7">
        <v>363</v>
      </c>
      <c r="F317" s="7">
        <v>393</v>
      </c>
      <c r="G317" s="7">
        <v>313</v>
      </c>
      <c r="H317" s="7">
        <v>313</v>
      </c>
      <c r="I317" s="7">
        <v>338</v>
      </c>
      <c r="J317" s="7">
        <v>388</v>
      </c>
      <c r="K317" s="7">
        <v>338</v>
      </c>
      <c r="L317" s="7">
        <v>363</v>
      </c>
      <c r="M317" s="7">
        <v>379</v>
      </c>
      <c r="N317" s="7">
        <v>454</v>
      </c>
      <c r="O317" s="7">
        <v>469</v>
      </c>
      <c r="P317" s="7">
        <v>244</v>
      </c>
      <c r="Q317" s="7">
        <v>269</v>
      </c>
      <c r="R317" s="7">
        <v>334</v>
      </c>
      <c r="S317" s="7">
        <v>329</v>
      </c>
    </row>
    <row r="318">
      <c r="A318" s="14" t="s">
        <v>373</v>
      </c>
      <c r="B318" s="2" t="s">
        <v>368</v>
      </c>
      <c r="C318" s="7">
        <v>1742</v>
      </c>
      <c r="D318" s="7">
        <v>1473</v>
      </c>
      <c r="E318" s="7">
        <v>1982</v>
      </c>
      <c r="F318" s="7">
        <v>2026</v>
      </c>
      <c r="G318" s="7">
        <v>2586</v>
      </c>
      <c r="H318" s="7">
        <v>2645</v>
      </c>
      <c r="I318" s="7">
        <v>1873</v>
      </c>
      <c r="J318" s="7">
        <v>1248</v>
      </c>
      <c r="K318" s="7">
        <v>931</v>
      </c>
      <c r="L318" s="7">
        <v>973</v>
      </c>
      <c r="M318" s="7">
        <v>911</v>
      </c>
      <c r="N318" s="7">
        <v>168</v>
      </c>
      <c r="O318" s="7">
        <v>475</v>
      </c>
      <c r="P318" s="7">
        <v>242</v>
      </c>
      <c r="Q318" s="7">
        <v>323</v>
      </c>
      <c r="R318" s="7">
        <v>485</v>
      </c>
      <c r="S318" s="7">
        <v>216</v>
      </c>
    </row>
    <row r="319">
      <c r="A319" s="14" t="s">
        <v>102</v>
      </c>
      <c r="B319" s="2" t="s">
        <v>368</v>
      </c>
      <c r="C319" s="7">
        <v>30</v>
      </c>
      <c r="D319" s="7">
        <v>90</v>
      </c>
      <c r="E319" s="7">
        <v>140</v>
      </c>
      <c r="F319" s="7">
        <v>300</v>
      </c>
      <c r="G319" s="7">
        <v>340</v>
      </c>
      <c r="H319" s="7">
        <v>315</v>
      </c>
      <c r="I319" s="7">
        <v>300</v>
      </c>
      <c r="J319" s="7">
        <v>325</v>
      </c>
      <c r="K319" s="7">
        <v>162</v>
      </c>
      <c r="L319" s="7">
        <v>124</v>
      </c>
      <c r="M319" s="7">
        <v>269</v>
      </c>
      <c r="N319" s="7">
        <v>67</v>
      </c>
      <c r="O319" s="7">
        <v>112</v>
      </c>
      <c r="P319" s="7">
        <v>143</v>
      </c>
      <c r="Q319" s="7">
        <v>178</v>
      </c>
      <c r="R319" s="7">
        <v>435</v>
      </c>
      <c r="S319" s="7">
        <v>707</v>
      </c>
    </row>
    <row r="320">
      <c r="A320" s="14" t="s">
        <v>374</v>
      </c>
      <c r="B320" s="2" t="s">
        <v>368</v>
      </c>
      <c r="C320" s="7">
        <v>124</v>
      </c>
      <c r="D320" s="7">
        <v>14</v>
      </c>
      <c r="E320" s="7">
        <v>44</v>
      </c>
      <c r="F320" s="7">
        <v>24</v>
      </c>
      <c r="G320" s="7">
        <v>4</v>
      </c>
      <c r="H320" s="7">
        <v>44</v>
      </c>
      <c r="I320" s="7">
        <v>75</v>
      </c>
      <c r="J320" s="7">
        <v>85</v>
      </c>
      <c r="K320" s="7">
        <v>12</v>
      </c>
      <c r="L320" s="7">
        <v>126</v>
      </c>
      <c r="M320" s="7">
        <v>85</v>
      </c>
      <c r="N320" s="7">
        <v>95</v>
      </c>
      <c r="O320" s="7">
        <v>95</v>
      </c>
      <c r="P320" s="7">
        <v>28</v>
      </c>
      <c r="Q320" s="7">
        <v>23</v>
      </c>
      <c r="R320" s="7">
        <v>21</v>
      </c>
      <c r="S320" s="7">
        <v>26</v>
      </c>
    </row>
    <row r="321">
      <c r="A321" s="14" t="s">
        <v>375</v>
      </c>
      <c r="B321" s="2" t="s">
        <v>368</v>
      </c>
      <c r="C321" s="7">
        <v>89</v>
      </c>
      <c r="D321" s="7">
        <v>62</v>
      </c>
      <c r="E321" s="7">
        <v>61</v>
      </c>
      <c r="F321" s="7">
        <v>169</v>
      </c>
      <c r="G321" s="7">
        <v>125</v>
      </c>
      <c r="H321" s="7">
        <v>210</v>
      </c>
      <c r="I321" s="7">
        <v>153</v>
      </c>
      <c r="J321" s="7">
        <v>183</v>
      </c>
      <c r="K321" s="7">
        <v>25</v>
      </c>
      <c r="L321" s="7">
        <v>99</v>
      </c>
      <c r="M321" s="7">
        <v>17</v>
      </c>
      <c r="N321" s="7">
        <v>99</v>
      </c>
      <c r="O321" s="7">
        <v>79</v>
      </c>
      <c r="P321" s="7">
        <v>17</v>
      </c>
      <c r="Q321" s="7">
        <v>20</v>
      </c>
      <c r="R321" s="7">
        <v>20</v>
      </c>
      <c r="S321" s="7">
        <v>5</v>
      </c>
    </row>
    <row r="322">
      <c r="A322" s="14" t="s">
        <v>105</v>
      </c>
      <c r="B322" s="2" t="s">
        <v>368</v>
      </c>
      <c r="C322" s="7">
        <v>237</v>
      </c>
      <c r="D322" s="7">
        <v>387</v>
      </c>
      <c r="E322" s="7">
        <v>212</v>
      </c>
      <c r="F322" s="7">
        <v>215</v>
      </c>
      <c r="G322" s="7">
        <v>15</v>
      </c>
      <c r="H322" s="7">
        <v>26</v>
      </c>
      <c r="I322" s="7">
        <v>36</v>
      </c>
      <c r="J322" s="7">
        <v>106</v>
      </c>
      <c r="K322" s="7">
        <v>26</v>
      </c>
      <c r="L322" s="7">
        <v>120</v>
      </c>
      <c r="M322" s="7">
        <v>111</v>
      </c>
      <c r="N322" s="7">
        <v>21</v>
      </c>
      <c r="O322" s="7">
        <v>22</v>
      </c>
      <c r="P322" s="7">
        <v>15</v>
      </c>
      <c r="Q322" s="7">
        <v>6</v>
      </c>
      <c r="R322" s="7">
        <v>11</v>
      </c>
      <c r="S322" s="7">
        <v>16</v>
      </c>
    </row>
    <row r="323">
      <c r="A323" s="14" t="s">
        <v>106</v>
      </c>
      <c r="B323" s="2" t="s">
        <v>368</v>
      </c>
      <c r="C323" s="7">
        <v>22</v>
      </c>
      <c r="D323" s="7">
        <v>252</v>
      </c>
      <c r="E323" s="7">
        <v>17</v>
      </c>
      <c r="F323" s="7">
        <v>22</v>
      </c>
      <c r="G323" s="7">
        <v>102</v>
      </c>
      <c r="H323" s="7">
        <v>37</v>
      </c>
      <c r="I323" s="7">
        <v>72</v>
      </c>
      <c r="J323" s="7">
        <v>142</v>
      </c>
      <c r="K323" s="7">
        <v>147</v>
      </c>
      <c r="L323" s="7">
        <v>37</v>
      </c>
      <c r="M323" s="7">
        <v>37</v>
      </c>
      <c r="N323" s="7">
        <v>25</v>
      </c>
      <c r="O323" s="7">
        <v>25</v>
      </c>
      <c r="P323" s="7">
        <v>140</v>
      </c>
      <c r="Q323" s="7">
        <v>75</v>
      </c>
      <c r="R323" s="7">
        <v>55</v>
      </c>
      <c r="S323" s="7">
        <v>85</v>
      </c>
    </row>
    <row r="324">
      <c r="A324" s="14" t="s">
        <v>376</v>
      </c>
      <c r="B324" s="2" t="s">
        <v>368</v>
      </c>
      <c r="C324" s="7">
        <v>50</v>
      </c>
      <c r="D324" s="7">
        <v>45</v>
      </c>
      <c r="E324" s="7">
        <v>255</v>
      </c>
      <c r="F324" s="7">
        <v>202</v>
      </c>
      <c r="G324" s="7">
        <v>322</v>
      </c>
      <c r="H324" s="7">
        <v>250</v>
      </c>
      <c r="I324" s="7">
        <v>220</v>
      </c>
      <c r="J324" s="7">
        <v>290</v>
      </c>
      <c r="K324" s="7">
        <v>210</v>
      </c>
      <c r="L324" s="7">
        <v>130</v>
      </c>
      <c r="M324" s="7">
        <v>129</v>
      </c>
      <c r="N324" s="7">
        <v>51</v>
      </c>
      <c r="O324" s="7">
        <v>22</v>
      </c>
      <c r="P324" s="7">
        <v>31</v>
      </c>
      <c r="Q324" s="7">
        <v>50</v>
      </c>
      <c r="R324" s="7">
        <v>51</v>
      </c>
      <c r="S324" s="7">
        <v>157</v>
      </c>
    </row>
    <row r="325">
      <c r="A325" s="14" t="s">
        <v>377</v>
      </c>
      <c r="B325" s="2" t="s">
        <v>368</v>
      </c>
      <c r="C325" s="7">
        <v>0</v>
      </c>
      <c r="D325" s="7">
        <v>0</v>
      </c>
      <c r="E325" s="7">
        <v>0</v>
      </c>
      <c r="F325" s="7">
        <v>0</v>
      </c>
      <c r="G325" s="7">
        <v>0</v>
      </c>
      <c r="H325" s="7">
        <v>0</v>
      </c>
      <c r="I325" s="7">
        <v>0</v>
      </c>
      <c r="J325" s="7">
        <v>0</v>
      </c>
      <c r="K325" s="7">
        <v>0</v>
      </c>
      <c r="L325" s="7">
        <v>0</v>
      </c>
      <c r="M325" s="7">
        <v>0</v>
      </c>
      <c r="N325" s="7">
        <v>0</v>
      </c>
      <c r="O325" s="7">
        <v>0</v>
      </c>
      <c r="P325" s="7">
        <v>0</v>
      </c>
      <c r="Q325" s="7">
        <v>0</v>
      </c>
      <c r="R325" s="7">
        <v>0</v>
      </c>
      <c r="S325" s="7">
        <v>0</v>
      </c>
    </row>
    <row r="326">
      <c r="A326" s="14" t="s">
        <v>378</v>
      </c>
      <c r="B326" s="2" t="s">
        <v>368</v>
      </c>
      <c r="C326" s="7">
        <v>408</v>
      </c>
      <c r="D326" s="7">
        <v>88</v>
      </c>
      <c r="E326" s="7">
        <v>50</v>
      </c>
      <c r="F326" s="7">
        <v>55</v>
      </c>
      <c r="G326" s="7">
        <v>30</v>
      </c>
      <c r="H326" s="7">
        <v>15</v>
      </c>
      <c r="I326" s="7">
        <v>15</v>
      </c>
      <c r="J326" s="7">
        <v>15</v>
      </c>
      <c r="K326" s="7">
        <v>15</v>
      </c>
      <c r="L326" s="7">
        <v>0</v>
      </c>
      <c r="M326" s="7">
        <v>0</v>
      </c>
      <c r="N326" s="7">
        <v>0</v>
      </c>
      <c r="O326" s="7">
        <v>0</v>
      </c>
      <c r="P326" s="7">
        <v>0</v>
      </c>
      <c r="Q326" s="7">
        <v>0</v>
      </c>
      <c r="R326" s="7">
        <v>0</v>
      </c>
      <c r="S326" s="7">
        <v>0</v>
      </c>
    </row>
    <row r="327">
      <c r="A327" s="14" t="s">
        <v>110</v>
      </c>
      <c r="B327" s="2" t="s">
        <v>368</v>
      </c>
      <c r="C327" s="7">
        <v>200</v>
      </c>
      <c r="D327" s="7">
        <v>240</v>
      </c>
      <c r="E327" s="7">
        <v>190</v>
      </c>
      <c r="F327" s="7">
        <v>130</v>
      </c>
      <c r="G327" s="7">
        <v>114</v>
      </c>
      <c r="H327" s="7">
        <v>316</v>
      </c>
      <c r="I327" s="7">
        <v>226</v>
      </c>
      <c r="J327" s="7">
        <v>256</v>
      </c>
      <c r="K327" s="7">
        <v>226</v>
      </c>
      <c r="L327" s="7">
        <v>299</v>
      </c>
      <c r="M327" s="7">
        <v>281</v>
      </c>
      <c r="N327" s="7">
        <v>241</v>
      </c>
      <c r="O327" s="7">
        <v>181</v>
      </c>
      <c r="P327" s="7">
        <v>167</v>
      </c>
      <c r="Q327" s="7">
        <v>193</v>
      </c>
      <c r="R327" s="7">
        <v>133</v>
      </c>
      <c r="S327" s="7">
        <v>68</v>
      </c>
    </row>
    <row r="328">
      <c r="A328" s="14" t="s">
        <v>111</v>
      </c>
      <c r="B328" s="2" t="s">
        <v>368</v>
      </c>
      <c r="C328" s="7">
        <v>422</v>
      </c>
      <c r="D328" s="7">
        <v>337</v>
      </c>
      <c r="E328" s="7">
        <v>155</v>
      </c>
      <c r="F328" s="7">
        <v>200</v>
      </c>
      <c r="G328" s="7">
        <v>225</v>
      </c>
      <c r="H328" s="7">
        <v>194</v>
      </c>
      <c r="I328" s="7">
        <v>244</v>
      </c>
      <c r="J328" s="7">
        <v>234</v>
      </c>
      <c r="K328" s="7">
        <v>217</v>
      </c>
      <c r="L328" s="7">
        <v>205</v>
      </c>
      <c r="M328" s="7">
        <v>173</v>
      </c>
      <c r="N328" s="7">
        <v>227</v>
      </c>
      <c r="O328" s="7">
        <v>64</v>
      </c>
      <c r="P328" s="7">
        <v>61</v>
      </c>
      <c r="Q328" s="7">
        <v>74</v>
      </c>
      <c r="R328" s="7">
        <v>97</v>
      </c>
      <c r="S328" s="7">
        <v>120</v>
      </c>
    </row>
    <row r="329">
      <c r="A329" s="14" t="s">
        <v>379</v>
      </c>
      <c r="B329" s="2" t="s">
        <v>368</v>
      </c>
      <c r="C329" s="7">
        <v>0</v>
      </c>
      <c r="D329" s="7">
        <v>0</v>
      </c>
      <c r="E329" s="7">
        <v>0</v>
      </c>
      <c r="F329" s="7">
        <v>0</v>
      </c>
      <c r="G329" s="7">
        <v>0</v>
      </c>
      <c r="H329" s="7">
        <v>0</v>
      </c>
      <c r="I329" s="7">
        <v>0</v>
      </c>
      <c r="J329" s="7">
        <v>0</v>
      </c>
      <c r="K329" s="7">
        <v>0</v>
      </c>
      <c r="L329" s="7">
        <v>0</v>
      </c>
      <c r="M329" s="7">
        <v>0</v>
      </c>
      <c r="N329" s="7">
        <v>0</v>
      </c>
      <c r="O329" s="7">
        <v>0</v>
      </c>
      <c r="P329" s="7">
        <v>0</v>
      </c>
      <c r="Q329" s="7">
        <v>0</v>
      </c>
      <c r="R329" s="7">
        <v>0</v>
      </c>
      <c r="S329" s="7">
        <v>0</v>
      </c>
    </row>
    <row r="330">
      <c r="A330" s="14" t="s">
        <v>380</v>
      </c>
      <c r="B330" s="2" t="s">
        <v>368</v>
      </c>
      <c r="C330" s="7">
        <v>21</v>
      </c>
      <c r="D330" s="7">
        <v>31</v>
      </c>
      <c r="E330" s="7">
        <v>36</v>
      </c>
      <c r="F330" s="7">
        <v>36</v>
      </c>
      <c r="G330" s="7">
        <v>36</v>
      </c>
      <c r="H330" s="7">
        <v>36</v>
      </c>
      <c r="I330" s="7">
        <v>36</v>
      </c>
      <c r="J330" s="7">
        <v>36</v>
      </c>
      <c r="K330" s="7">
        <v>36</v>
      </c>
      <c r="L330" s="7">
        <v>35</v>
      </c>
      <c r="M330" s="7">
        <v>35</v>
      </c>
      <c r="N330" s="7">
        <v>35</v>
      </c>
      <c r="O330" s="7">
        <v>35</v>
      </c>
      <c r="P330" s="7">
        <v>35</v>
      </c>
      <c r="Q330" s="7">
        <v>35</v>
      </c>
      <c r="R330" s="7">
        <v>35</v>
      </c>
      <c r="S330" s="7">
        <v>35</v>
      </c>
    </row>
    <row r="331">
      <c r="A331" s="14" t="s">
        <v>381</v>
      </c>
      <c r="B331" s="2" t="s">
        <v>368</v>
      </c>
      <c r="C331" s="7">
        <v>13</v>
      </c>
      <c r="D331" s="7">
        <v>18</v>
      </c>
      <c r="E331" s="7">
        <v>18</v>
      </c>
      <c r="F331" s="7">
        <v>13</v>
      </c>
      <c r="G331" s="7">
        <v>18</v>
      </c>
      <c r="H331" s="7">
        <v>13</v>
      </c>
      <c r="I331" s="7">
        <v>28</v>
      </c>
      <c r="J331" s="7">
        <v>28</v>
      </c>
      <c r="K331" s="7">
        <v>41</v>
      </c>
      <c r="L331" s="7">
        <v>9</v>
      </c>
      <c r="M331" s="7">
        <v>21</v>
      </c>
      <c r="N331" s="7">
        <v>14</v>
      </c>
      <c r="O331" s="7">
        <v>10</v>
      </c>
      <c r="P331" s="7">
        <v>106</v>
      </c>
      <c r="Q331" s="7">
        <v>158</v>
      </c>
      <c r="R331" s="7">
        <v>147</v>
      </c>
      <c r="S331" s="7">
        <v>79</v>
      </c>
    </row>
    <row r="332">
      <c r="A332" s="14" t="s">
        <v>115</v>
      </c>
      <c r="B332" s="2" t="s">
        <v>368</v>
      </c>
      <c r="C332" s="7">
        <v>0</v>
      </c>
      <c r="D332" s="7">
        <v>0</v>
      </c>
      <c r="E332" s="7">
        <v>0</v>
      </c>
      <c r="F332" s="7">
        <v>0</v>
      </c>
      <c r="G332" s="7">
        <v>0</v>
      </c>
      <c r="H332" s="7">
        <v>0</v>
      </c>
      <c r="I332" s="7">
        <v>0</v>
      </c>
      <c r="J332" s="7">
        <v>0</v>
      </c>
      <c r="K332" s="7">
        <v>0</v>
      </c>
      <c r="L332" s="7">
        <v>0</v>
      </c>
      <c r="M332" s="7">
        <v>0</v>
      </c>
      <c r="N332" s="7">
        <v>0</v>
      </c>
      <c r="O332" s="7">
        <v>0</v>
      </c>
      <c r="P332" s="7">
        <v>0</v>
      </c>
      <c r="Q332" s="7">
        <v>0</v>
      </c>
      <c r="R332" s="7">
        <v>0</v>
      </c>
      <c r="S332" s="7">
        <v>0</v>
      </c>
    </row>
    <row r="333">
      <c r="A333" s="14" t="s">
        <v>382</v>
      </c>
      <c r="B333" s="2" t="s">
        <v>368</v>
      </c>
      <c r="C333" s="7">
        <v>143</v>
      </c>
      <c r="D333" s="7">
        <v>209</v>
      </c>
      <c r="E333" s="7">
        <v>309</v>
      </c>
      <c r="F333" s="7">
        <v>410</v>
      </c>
      <c r="G333" s="7">
        <v>400</v>
      </c>
      <c r="H333" s="7">
        <v>210</v>
      </c>
      <c r="I333" s="7">
        <v>237</v>
      </c>
      <c r="J333" s="7">
        <v>213</v>
      </c>
      <c r="K333" s="7">
        <v>198</v>
      </c>
      <c r="L333" s="7">
        <v>210</v>
      </c>
      <c r="M333" s="7">
        <v>166</v>
      </c>
      <c r="N333" s="7">
        <v>158</v>
      </c>
      <c r="O333" s="7">
        <v>98</v>
      </c>
      <c r="P333" s="7">
        <v>100</v>
      </c>
      <c r="Q333" s="7">
        <v>90</v>
      </c>
      <c r="R333" s="7">
        <v>60</v>
      </c>
      <c r="S333" s="7">
        <v>30</v>
      </c>
    </row>
    <row r="334">
      <c r="A334" s="14" t="s">
        <v>117</v>
      </c>
      <c r="B334" s="2" t="s">
        <v>368</v>
      </c>
      <c r="C334" s="7">
        <v>0</v>
      </c>
      <c r="D334" s="7">
        <v>0</v>
      </c>
      <c r="E334" s="7">
        <v>0</v>
      </c>
      <c r="F334" s="7">
        <v>0</v>
      </c>
      <c r="G334" s="7">
        <v>0</v>
      </c>
      <c r="H334" s="7">
        <v>0</v>
      </c>
      <c r="I334" s="7">
        <v>0</v>
      </c>
      <c r="J334" s="7">
        <v>0</v>
      </c>
      <c r="K334" s="7">
        <v>0</v>
      </c>
      <c r="L334" s="7">
        <v>0</v>
      </c>
      <c r="M334" s="7">
        <v>0</v>
      </c>
      <c r="N334" s="7">
        <v>0</v>
      </c>
      <c r="O334" s="7">
        <v>0</v>
      </c>
      <c r="P334" s="7">
        <v>0</v>
      </c>
      <c r="Q334" s="7">
        <v>0</v>
      </c>
      <c r="R334" s="7">
        <v>0</v>
      </c>
      <c r="S334" s="7">
        <v>0</v>
      </c>
    </row>
    <row r="335">
      <c r="A335" s="14" t="s">
        <v>118</v>
      </c>
      <c r="B335" s="2" t="s">
        <v>368</v>
      </c>
      <c r="C335" s="7">
        <v>12</v>
      </c>
      <c r="D335" s="7">
        <v>7</v>
      </c>
      <c r="E335" s="7">
        <v>7</v>
      </c>
      <c r="F335" s="7">
        <v>0</v>
      </c>
      <c r="G335" s="7">
        <v>0</v>
      </c>
      <c r="H335" s="7">
        <v>0</v>
      </c>
      <c r="I335" s="7">
        <v>0</v>
      </c>
      <c r="J335" s="7">
        <v>0</v>
      </c>
      <c r="K335" s="7">
        <v>0</v>
      </c>
      <c r="L335" s="7">
        <v>0</v>
      </c>
      <c r="M335" s="7">
        <v>0</v>
      </c>
      <c r="N335" s="7">
        <v>0</v>
      </c>
      <c r="O335" s="7">
        <v>0</v>
      </c>
      <c r="P335" s="7">
        <v>0</v>
      </c>
      <c r="Q335" s="7">
        <v>0</v>
      </c>
      <c r="R335" s="7">
        <v>0</v>
      </c>
      <c r="S335" s="7">
        <v>0</v>
      </c>
    </row>
    <row r="336">
      <c r="A336" s="14" t="s">
        <v>383</v>
      </c>
      <c r="B336" s="2" t="s">
        <v>368</v>
      </c>
      <c r="C336" s="7">
        <v>34</v>
      </c>
      <c r="D336" s="7">
        <v>24</v>
      </c>
      <c r="E336" s="7">
        <v>24</v>
      </c>
      <c r="F336" s="7">
        <v>25</v>
      </c>
      <c r="G336" s="7">
        <v>30</v>
      </c>
      <c r="H336" s="7">
        <v>35</v>
      </c>
      <c r="I336" s="7">
        <v>40</v>
      </c>
      <c r="J336" s="7">
        <v>40</v>
      </c>
      <c r="K336" s="7">
        <v>35</v>
      </c>
      <c r="L336" s="7">
        <v>30</v>
      </c>
      <c r="M336" s="7">
        <v>20</v>
      </c>
      <c r="N336" s="7">
        <v>25</v>
      </c>
      <c r="O336" s="7">
        <v>20</v>
      </c>
      <c r="P336" s="7">
        <v>10</v>
      </c>
      <c r="Q336" s="7">
        <v>10</v>
      </c>
      <c r="R336" s="7">
        <v>10</v>
      </c>
      <c r="S336" s="7">
        <v>10</v>
      </c>
    </row>
    <row r="337">
      <c r="A337" s="14" t="s">
        <v>384</v>
      </c>
      <c r="B337" s="2" t="s">
        <v>368</v>
      </c>
      <c r="C337" s="7">
        <v>24</v>
      </c>
      <c r="D337" s="7">
        <v>10</v>
      </c>
      <c r="E337" s="7">
        <v>10</v>
      </c>
      <c r="F337" s="7">
        <v>10</v>
      </c>
      <c r="G337" s="7">
        <v>10</v>
      </c>
      <c r="H337" s="7">
        <v>5</v>
      </c>
      <c r="I337" s="7">
        <v>5</v>
      </c>
      <c r="J337" s="7">
        <v>0</v>
      </c>
      <c r="K337" s="7">
        <v>0</v>
      </c>
      <c r="L337" s="7">
        <v>0</v>
      </c>
      <c r="M337" s="7">
        <v>0</v>
      </c>
      <c r="N337" s="7">
        <v>0</v>
      </c>
      <c r="O337" s="7">
        <v>0</v>
      </c>
      <c r="P337" s="7">
        <v>0</v>
      </c>
      <c r="Q337" s="7">
        <v>0</v>
      </c>
      <c r="R337" s="7">
        <v>0</v>
      </c>
      <c r="S337" s="7">
        <v>0</v>
      </c>
    </row>
    <row r="338">
      <c r="A338" s="14" t="s">
        <v>121</v>
      </c>
      <c r="B338" s="2" t="s">
        <v>368</v>
      </c>
      <c r="C338" s="7">
        <v>15</v>
      </c>
      <c r="D338" s="7">
        <v>15</v>
      </c>
      <c r="E338" s="7">
        <v>5</v>
      </c>
      <c r="F338" s="7">
        <v>5</v>
      </c>
      <c r="G338" s="7">
        <v>0</v>
      </c>
      <c r="H338" s="7">
        <v>0</v>
      </c>
      <c r="I338" s="7">
        <v>0</v>
      </c>
      <c r="J338" s="7">
        <v>0</v>
      </c>
      <c r="K338" s="7">
        <v>0</v>
      </c>
      <c r="L338" s="7">
        <v>0</v>
      </c>
      <c r="M338" s="7">
        <v>0</v>
      </c>
      <c r="N338" s="7">
        <v>0</v>
      </c>
      <c r="O338" s="7">
        <v>0</v>
      </c>
      <c r="P338" s="7">
        <v>0</v>
      </c>
      <c r="Q338" s="7">
        <v>0</v>
      </c>
      <c r="R338" s="7">
        <v>0</v>
      </c>
      <c r="S338" s="7">
        <v>0</v>
      </c>
    </row>
    <row r="339">
      <c r="A339" s="14" t="s">
        <v>385</v>
      </c>
      <c r="B339" s="2" t="s">
        <v>368</v>
      </c>
      <c r="C339" s="7">
        <v>0</v>
      </c>
      <c r="D339" s="7">
        <v>0</v>
      </c>
      <c r="E339" s="7">
        <v>0</v>
      </c>
      <c r="F339" s="7">
        <v>0</v>
      </c>
      <c r="G339" s="7">
        <v>0</v>
      </c>
      <c r="H339" s="7">
        <v>0</v>
      </c>
      <c r="I339" s="7">
        <v>0</v>
      </c>
      <c r="J339" s="7">
        <v>0</v>
      </c>
      <c r="K339" s="7">
        <v>0</v>
      </c>
      <c r="L339" s="7">
        <v>0</v>
      </c>
      <c r="M339" s="7">
        <v>0</v>
      </c>
      <c r="N339" s="7">
        <v>0</v>
      </c>
      <c r="O339" s="7">
        <v>0</v>
      </c>
      <c r="P339" s="7">
        <v>0</v>
      </c>
      <c r="Q339" s="7">
        <v>0</v>
      </c>
      <c r="R339" s="7">
        <v>0</v>
      </c>
      <c r="S339" s="7">
        <v>0</v>
      </c>
    </row>
    <row r="340">
      <c r="A340" s="14" t="s">
        <v>386</v>
      </c>
      <c r="B340" s="2" t="s">
        <v>368</v>
      </c>
      <c r="C340" s="7">
        <v>2</v>
      </c>
      <c r="D340" s="7">
        <v>12</v>
      </c>
      <c r="E340" s="7">
        <v>9</v>
      </c>
      <c r="F340" s="7">
        <v>9</v>
      </c>
      <c r="G340" s="7">
        <v>9</v>
      </c>
      <c r="H340" s="7">
        <v>9</v>
      </c>
      <c r="I340" s="7">
        <v>10</v>
      </c>
      <c r="J340" s="7">
        <v>20</v>
      </c>
      <c r="K340" s="7">
        <v>0</v>
      </c>
      <c r="L340" s="7">
        <v>0</v>
      </c>
      <c r="M340" s="7">
        <v>0</v>
      </c>
      <c r="N340" s="7">
        <v>0</v>
      </c>
      <c r="O340" s="7">
        <v>0</v>
      </c>
      <c r="P340" s="7">
        <v>0</v>
      </c>
      <c r="Q340" s="7">
        <v>0</v>
      </c>
      <c r="R340" s="7">
        <v>0</v>
      </c>
      <c r="S340" s="7">
        <v>0</v>
      </c>
    </row>
    <row r="341">
      <c r="A341" s="14" t="s">
        <v>124</v>
      </c>
      <c r="B341" s="2" t="s">
        <v>368</v>
      </c>
      <c r="C341" s="7">
        <v>0</v>
      </c>
      <c r="D341" s="7">
        <v>0</v>
      </c>
      <c r="E341" s="7">
        <v>0</v>
      </c>
      <c r="F341" s="7">
        <v>0</v>
      </c>
      <c r="G341" s="7">
        <v>0</v>
      </c>
      <c r="H341" s="7">
        <v>0</v>
      </c>
      <c r="I341" s="7">
        <v>0</v>
      </c>
      <c r="J341" s="7">
        <v>0</v>
      </c>
      <c r="K341" s="7">
        <v>0</v>
      </c>
      <c r="L341" s="7">
        <v>0</v>
      </c>
      <c r="M341" s="7">
        <v>0</v>
      </c>
      <c r="N341" s="7">
        <v>0</v>
      </c>
      <c r="O341" s="7">
        <v>0</v>
      </c>
      <c r="P341" s="7">
        <v>0</v>
      </c>
      <c r="Q341" s="7">
        <v>0</v>
      </c>
      <c r="R341" s="7">
        <v>0</v>
      </c>
      <c r="S341" s="7">
        <v>0</v>
      </c>
    </row>
    <row r="342">
      <c r="A342" s="14" t="s">
        <v>125</v>
      </c>
      <c r="B342" s="2" t="s">
        <v>368</v>
      </c>
      <c r="C342" s="7">
        <v>0</v>
      </c>
      <c r="D342" s="7">
        <v>0</v>
      </c>
      <c r="E342" s="7">
        <v>0</v>
      </c>
      <c r="F342" s="7">
        <v>0</v>
      </c>
      <c r="G342" s="7">
        <v>0</v>
      </c>
      <c r="H342" s="7">
        <v>0</v>
      </c>
      <c r="I342" s="7">
        <v>0</v>
      </c>
      <c r="J342" s="7">
        <v>0</v>
      </c>
      <c r="K342" s="7">
        <v>0</v>
      </c>
      <c r="L342" s="7">
        <v>0</v>
      </c>
      <c r="M342" s="7">
        <v>0</v>
      </c>
      <c r="N342" s="7">
        <v>0</v>
      </c>
      <c r="O342" s="7">
        <v>0</v>
      </c>
      <c r="P342" s="7">
        <v>0</v>
      </c>
      <c r="Q342" s="7">
        <v>0</v>
      </c>
      <c r="R342" s="7">
        <v>0</v>
      </c>
      <c r="S342" s="7">
        <v>0</v>
      </c>
    </row>
    <row r="343">
      <c r="A343" s="14" t="s">
        <v>387</v>
      </c>
      <c r="B343" s="2" t="s">
        <v>368</v>
      </c>
      <c r="C343" s="7">
        <v>19</v>
      </c>
      <c r="D343" s="7">
        <v>4</v>
      </c>
      <c r="E343" s="7">
        <v>4</v>
      </c>
      <c r="F343" s="7">
        <v>0</v>
      </c>
      <c r="G343" s="7">
        <v>0</v>
      </c>
      <c r="H343" s="7">
        <v>0</v>
      </c>
      <c r="I343" s="7">
        <v>0</v>
      </c>
      <c r="J343" s="7">
        <v>0</v>
      </c>
      <c r="K343" s="7">
        <v>0</v>
      </c>
      <c r="L343" s="7">
        <v>0</v>
      </c>
      <c r="M343" s="7">
        <v>0</v>
      </c>
      <c r="N343" s="7">
        <v>0</v>
      </c>
      <c r="O343" s="7">
        <v>0</v>
      </c>
      <c r="P343" s="7">
        <v>0</v>
      </c>
      <c r="Q343" s="7">
        <v>0</v>
      </c>
      <c r="R343" s="7">
        <v>0</v>
      </c>
      <c r="S343" s="7">
        <v>0</v>
      </c>
    </row>
    <row r="344">
      <c r="A344" s="14" t="s">
        <v>127</v>
      </c>
      <c r="B344" s="2" t="s">
        <v>368</v>
      </c>
      <c r="C344" s="7">
        <v>5</v>
      </c>
      <c r="D344" s="7">
        <v>2</v>
      </c>
      <c r="E344" s="7">
        <v>1</v>
      </c>
      <c r="F344" s="7">
        <v>0</v>
      </c>
      <c r="G344" s="7">
        <v>0</v>
      </c>
      <c r="H344" s="7">
        <v>0</v>
      </c>
      <c r="I344" s="7">
        <v>0</v>
      </c>
      <c r="J344" s="7">
        <v>0</v>
      </c>
      <c r="K344" s="7">
        <v>0</v>
      </c>
      <c r="L344" s="7">
        <v>0</v>
      </c>
      <c r="M344" s="7">
        <v>0</v>
      </c>
      <c r="N344" s="7">
        <v>0</v>
      </c>
      <c r="O344" s="7">
        <v>0</v>
      </c>
      <c r="P344" s="7">
        <v>0</v>
      </c>
      <c r="Q344" s="7">
        <v>0</v>
      </c>
      <c r="R344" s="7">
        <v>0</v>
      </c>
      <c r="S344" s="7">
        <v>0</v>
      </c>
    </row>
    <row r="345">
      <c r="A345" s="14" t="s">
        <v>128</v>
      </c>
      <c r="B345" s="2" t="s">
        <v>368</v>
      </c>
      <c r="C345" s="7">
        <v>0</v>
      </c>
      <c r="D345" s="7">
        <v>0</v>
      </c>
      <c r="E345" s="7">
        <v>0</v>
      </c>
      <c r="F345" s="7">
        <v>0</v>
      </c>
      <c r="G345" s="7">
        <v>0</v>
      </c>
      <c r="H345" s="7">
        <v>0</v>
      </c>
      <c r="I345" s="7">
        <v>0</v>
      </c>
      <c r="J345" s="7">
        <v>0</v>
      </c>
      <c r="K345" s="7">
        <v>0</v>
      </c>
      <c r="L345" s="7">
        <v>0</v>
      </c>
      <c r="M345" s="7">
        <v>0</v>
      </c>
      <c r="N345" s="7">
        <v>0</v>
      </c>
      <c r="O345" s="7">
        <v>0</v>
      </c>
      <c r="P345" s="7">
        <v>0</v>
      </c>
      <c r="Q345" s="7">
        <v>0</v>
      </c>
      <c r="R345" s="7">
        <v>0</v>
      </c>
      <c r="S345" s="7">
        <v>0</v>
      </c>
    </row>
    <row r="346">
      <c r="A346" s="14" t="s">
        <v>388</v>
      </c>
      <c r="B346" s="2" t="s">
        <v>368</v>
      </c>
      <c r="C346" s="7">
        <v>0</v>
      </c>
      <c r="D346" s="7">
        <v>0</v>
      </c>
      <c r="E346" s="7">
        <v>0</v>
      </c>
      <c r="F346" s="7">
        <v>0</v>
      </c>
      <c r="G346" s="7">
        <v>0</v>
      </c>
      <c r="H346" s="7">
        <v>0</v>
      </c>
      <c r="I346" s="7">
        <v>0</v>
      </c>
      <c r="J346" s="7">
        <v>0</v>
      </c>
      <c r="K346" s="7">
        <v>0</v>
      </c>
      <c r="L346" s="7">
        <v>0</v>
      </c>
      <c r="M346" s="7">
        <v>0</v>
      </c>
      <c r="N346" s="7">
        <v>0</v>
      </c>
      <c r="O346" s="7">
        <v>0</v>
      </c>
      <c r="P346" s="7">
        <v>0</v>
      </c>
      <c r="Q346" s="7">
        <v>0</v>
      </c>
      <c r="R346" s="7">
        <v>0</v>
      </c>
      <c r="S346" s="7">
        <v>0</v>
      </c>
    </row>
    <row r="347">
      <c r="A347" s="14" t="s">
        <v>389</v>
      </c>
      <c r="B347" s="2" t="s">
        <v>368</v>
      </c>
      <c r="C347" s="7">
        <v>87</v>
      </c>
      <c r="D347" s="7">
        <v>60</v>
      </c>
      <c r="E347" s="7">
        <v>30</v>
      </c>
      <c r="F347" s="7">
        <v>15</v>
      </c>
      <c r="G347" s="7">
        <v>0</v>
      </c>
      <c r="H347" s="7">
        <v>0</v>
      </c>
      <c r="I347" s="7">
        <v>0</v>
      </c>
      <c r="J347" s="7">
        <v>0</v>
      </c>
      <c r="K347" s="7">
        <v>0</v>
      </c>
      <c r="L347" s="7">
        <v>0</v>
      </c>
      <c r="M347" s="7">
        <v>0</v>
      </c>
      <c r="N347" s="7">
        <v>0</v>
      </c>
      <c r="O347" s="7">
        <v>0</v>
      </c>
      <c r="P347" s="7">
        <v>0</v>
      </c>
      <c r="Q347" s="7">
        <v>0</v>
      </c>
      <c r="R347" s="7">
        <v>0</v>
      </c>
      <c r="S347" s="7">
        <v>0</v>
      </c>
    </row>
    <row r="348">
      <c r="A348" s="14" t="s">
        <v>131</v>
      </c>
      <c r="B348" s="2" t="s">
        <v>368</v>
      </c>
      <c r="C348" s="7">
        <v>3</v>
      </c>
      <c r="D348" s="7">
        <v>2</v>
      </c>
      <c r="E348" s="7">
        <v>6</v>
      </c>
      <c r="F348" s="7">
        <v>5</v>
      </c>
      <c r="G348" s="7">
        <v>5</v>
      </c>
      <c r="H348" s="7">
        <v>4</v>
      </c>
      <c r="I348" s="7">
        <v>2</v>
      </c>
      <c r="J348" s="7">
        <v>0</v>
      </c>
      <c r="K348" s="7">
        <v>0</v>
      </c>
      <c r="L348" s="7">
        <v>0</v>
      </c>
      <c r="M348" s="7">
        <v>0</v>
      </c>
      <c r="N348" s="7">
        <v>0</v>
      </c>
      <c r="O348" s="7">
        <v>0</v>
      </c>
      <c r="P348" s="7">
        <v>0</v>
      </c>
      <c r="Q348" s="7">
        <v>0</v>
      </c>
      <c r="R348" s="7">
        <v>0</v>
      </c>
      <c r="S348" s="7">
        <v>0</v>
      </c>
    </row>
    <row r="349">
      <c r="A349" s="14" t="s">
        <v>390</v>
      </c>
      <c r="B349" s="2" t="s">
        <v>368</v>
      </c>
      <c r="C349" s="7">
        <v>25</v>
      </c>
      <c r="D349" s="7">
        <v>25</v>
      </c>
      <c r="E349" s="7">
        <v>15</v>
      </c>
      <c r="F349" s="7">
        <v>15</v>
      </c>
      <c r="G349" s="7">
        <v>15</v>
      </c>
      <c r="H349" s="7">
        <v>0</v>
      </c>
      <c r="I349" s="7">
        <v>0</v>
      </c>
      <c r="J349" s="7">
        <v>0</v>
      </c>
      <c r="K349" s="7">
        <v>0</v>
      </c>
      <c r="L349" s="7">
        <v>0</v>
      </c>
      <c r="M349" s="7">
        <v>0</v>
      </c>
      <c r="N349" s="7">
        <v>0</v>
      </c>
      <c r="O349" s="7">
        <v>0</v>
      </c>
      <c r="P349" s="7">
        <v>0</v>
      </c>
      <c r="Q349" s="7">
        <v>0</v>
      </c>
      <c r="R349" s="7">
        <v>0</v>
      </c>
      <c r="S349" s="7">
        <v>0</v>
      </c>
    </row>
    <row r="350">
      <c r="A350" s="14" t="s">
        <v>133</v>
      </c>
      <c r="B350" s="2" t="s">
        <v>368</v>
      </c>
      <c r="C350" s="7">
        <v>0</v>
      </c>
      <c r="D350" s="7">
        <v>0</v>
      </c>
      <c r="E350" s="7">
        <v>0</v>
      </c>
      <c r="F350" s="7">
        <v>0</v>
      </c>
      <c r="G350" s="7">
        <v>0</v>
      </c>
      <c r="H350" s="7">
        <v>0</v>
      </c>
      <c r="I350" s="7">
        <v>0</v>
      </c>
      <c r="J350" s="7">
        <v>0</v>
      </c>
      <c r="K350" s="7">
        <v>0</v>
      </c>
      <c r="L350" s="7">
        <v>0</v>
      </c>
      <c r="M350" s="7">
        <v>0</v>
      </c>
      <c r="N350" s="7">
        <v>0</v>
      </c>
      <c r="O350" s="7">
        <v>0</v>
      </c>
      <c r="P350" s="7">
        <v>0</v>
      </c>
      <c r="Q350" s="7">
        <v>0</v>
      </c>
      <c r="R350" s="7">
        <v>0</v>
      </c>
      <c r="S350" s="7">
        <v>0</v>
      </c>
    </row>
    <row r="351">
      <c r="A351" s="14" t="s">
        <v>134</v>
      </c>
      <c r="B351" s="2" t="s">
        <v>368</v>
      </c>
      <c r="C351" s="7">
        <v>0</v>
      </c>
      <c r="D351" s="7">
        <v>0</v>
      </c>
      <c r="E351" s="7">
        <v>0</v>
      </c>
      <c r="F351" s="7">
        <v>0</v>
      </c>
      <c r="G351" s="7">
        <v>0</v>
      </c>
      <c r="H351" s="7">
        <v>0</v>
      </c>
      <c r="I351" s="7">
        <v>0</v>
      </c>
      <c r="J351" s="7">
        <v>0</v>
      </c>
      <c r="K351" s="7">
        <v>0</v>
      </c>
      <c r="L351" s="7">
        <v>0</v>
      </c>
      <c r="M351" s="7">
        <v>0</v>
      </c>
      <c r="N351" s="7">
        <v>0</v>
      </c>
      <c r="O351" s="7">
        <v>0</v>
      </c>
      <c r="P351" s="7">
        <v>0</v>
      </c>
      <c r="Q351" s="7">
        <v>0</v>
      </c>
      <c r="R351" s="7">
        <v>0</v>
      </c>
      <c r="S351" s="7">
        <v>0</v>
      </c>
    </row>
    <row r="352">
      <c r="A352" s="14" t="s">
        <v>135</v>
      </c>
      <c r="B352" s="2" t="s">
        <v>368</v>
      </c>
      <c r="C352" s="7">
        <v>0</v>
      </c>
      <c r="D352" s="7">
        <v>0</v>
      </c>
      <c r="E352" s="7">
        <v>0</v>
      </c>
      <c r="F352" s="7">
        <v>0</v>
      </c>
      <c r="G352" s="7">
        <v>0</v>
      </c>
      <c r="H352" s="7">
        <v>0</v>
      </c>
      <c r="I352" s="7">
        <v>0</v>
      </c>
      <c r="J352" s="7">
        <v>0</v>
      </c>
      <c r="K352" s="7">
        <v>0</v>
      </c>
      <c r="L352" s="7">
        <v>0</v>
      </c>
      <c r="M352" s="7">
        <v>0</v>
      </c>
      <c r="N352" s="7">
        <v>0</v>
      </c>
      <c r="O352" s="7">
        <v>0</v>
      </c>
      <c r="P352" s="7">
        <v>0</v>
      </c>
      <c r="Q352" s="7">
        <v>0</v>
      </c>
      <c r="R352" s="7">
        <v>0</v>
      </c>
      <c r="S352" s="7">
        <v>0</v>
      </c>
    </row>
    <row r="353">
      <c r="A353" s="14" t="s">
        <v>391</v>
      </c>
      <c r="B353" s="2" t="s">
        <v>368</v>
      </c>
      <c r="C353" s="7">
        <v>0</v>
      </c>
      <c r="D353" s="7">
        <v>0</v>
      </c>
      <c r="E353" s="7">
        <v>0</v>
      </c>
      <c r="F353" s="7">
        <v>0</v>
      </c>
      <c r="G353" s="7">
        <v>0</v>
      </c>
      <c r="H353" s="7">
        <v>0</v>
      </c>
      <c r="I353" s="7">
        <v>0</v>
      </c>
      <c r="J353" s="7">
        <v>0</v>
      </c>
      <c r="K353" s="7">
        <v>0</v>
      </c>
      <c r="L353" s="7">
        <v>0</v>
      </c>
      <c r="M353" s="7">
        <v>0</v>
      </c>
      <c r="N353" s="7">
        <v>0</v>
      </c>
      <c r="O353" s="7">
        <v>0</v>
      </c>
      <c r="P353" s="7">
        <v>0</v>
      </c>
      <c r="Q353" s="7">
        <v>0</v>
      </c>
      <c r="R353" s="7">
        <v>0</v>
      </c>
      <c r="S353" s="7">
        <v>0</v>
      </c>
    </row>
    <row r="354">
      <c r="A354" s="14" t="s">
        <v>392</v>
      </c>
      <c r="B354" s="2" t="s">
        <v>393</v>
      </c>
      <c r="C354" s="7">
        <v>4580</v>
      </c>
      <c r="D354" s="7">
        <v>5100</v>
      </c>
      <c r="E354" s="7">
        <v>5450</v>
      </c>
      <c r="F354" s="7">
        <v>6025</v>
      </c>
      <c r="G354" s="7">
        <v>6117</v>
      </c>
      <c r="H354" s="7">
        <v>6199</v>
      </c>
      <c r="I354" s="7">
        <v>7190</v>
      </c>
      <c r="J354" s="7">
        <v>6440</v>
      </c>
      <c r="K354" s="7">
        <v>7352</v>
      </c>
      <c r="L354" s="7">
        <v>6402</v>
      </c>
      <c r="M354" s="7">
        <v>6023</v>
      </c>
      <c r="N354" s="7">
        <v>6378</v>
      </c>
      <c r="O354" s="7">
        <v>5700</v>
      </c>
      <c r="P354" s="7">
        <v>5700</v>
      </c>
      <c r="Q354" s="7">
        <v>5700</v>
      </c>
      <c r="R354" s="7">
        <v>5700</v>
      </c>
      <c r="S354" s="7">
        <v>5700</v>
      </c>
    </row>
    <row r="355">
      <c r="A355" s="14" t="s">
        <v>394</v>
      </c>
      <c r="B355" s="2" t="s">
        <v>393</v>
      </c>
      <c r="C355" s="7">
        <v>0</v>
      </c>
      <c r="D355" s="7">
        <v>0</v>
      </c>
      <c r="E355" s="7">
        <v>0</v>
      </c>
      <c r="F355" s="7">
        <v>100</v>
      </c>
      <c r="G355" s="7">
        <v>225</v>
      </c>
      <c r="H355" s="7">
        <v>203</v>
      </c>
      <c r="I355" s="7">
        <v>323</v>
      </c>
      <c r="J355" s="7">
        <v>103</v>
      </c>
      <c r="K355" s="7">
        <v>33</v>
      </c>
      <c r="L355" s="7">
        <v>48</v>
      </c>
      <c r="M355" s="7">
        <v>488</v>
      </c>
      <c r="N355" s="7">
        <v>358</v>
      </c>
      <c r="O355" s="7">
        <v>303</v>
      </c>
      <c r="P355" s="7">
        <v>558</v>
      </c>
      <c r="Q355" s="7">
        <v>400</v>
      </c>
      <c r="R355" s="7">
        <v>400</v>
      </c>
      <c r="S355" s="7">
        <v>400</v>
      </c>
    </row>
    <row r="356">
      <c r="A356" s="14" t="s">
        <v>395</v>
      </c>
      <c r="B356" s="2" t="s">
        <v>393</v>
      </c>
      <c r="C356" s="7">
        <v>90</v>
      </c>
      <c r="D356" s="7">
        <v>165</v>
      </c>
      <c r="E356" s="7">
        <v>95</v>
      </c>
      <c r="F356" s="7">
        <v>100</v>
      </c>
      <c r="G356" s="7">
        <v>100</v>
      </c>
      <c r="H356" s="7">
        <v>500</v>
      </c>
      <c r="I356" s="7">
        <v>400</v>
      </c>
      <c r="J356" s="7">
        <v>400</v>
      </c>
      <c r="K356" s="7">
        <v>800</v>
      </c>
      <c r="L356" s="7">
        <v>800</v>
      </c>
      <c r="M356" s="7">
        <v>800</v>
      </c>
      <c r="N356" s="7">
        <v>600</v>
      </c>
      <c r="O356" s="7">
        <v>500</v>
      </c>
      <c r="P356" s="7">
        <v>300</v>
      </c>
      <c r="Q356" s="7">
        <v>300</v>
      </c>
      <c r="R356" s="7">
        <v>300</v>
      </c>
      <c r="S356" s="7">
        <v>300</v>
      </c>
    </row>
    <row r="357">
      <c r="A357" s="14" t="s">
        <v>396</v>
      </c>
      <c r="B357" s="2" t="s">
        <v>393</v>
      </c>
      <c r="C357" s="7">
        <v>232</v>
      </c>
      <c r="D357" s="7">
        <v>103</v>
      </c>
      <c r="E357" s="7">
        <v>69</v>
      </c>
      <c r="F357" s="7">
        <v>55</v>
      </c>
      <c r="G357" s="7">
        <v>21</v>
      </c>
      <c r="H357" s="7">
        <v>12</v>
      </c>
      <c r="I357" s="7">
        <v>3</v>
      </c>
      <c r="J357" s="7">
        <v>5</v>
      </c>
      <c r="K357" s="7">
        <v>0</v>
      </c>
      <c r="L357" s="7">
        <v>0</v>
      </c>
      <c r="M357" s="7">
        <v>0</v>
      </c>
      <c r="N357" s="7">
        <v>0</v>
      </c>
      <c r="O357" s="7">
        <v>0</v>
      </c>
      <c r="P357" s="7">
        <v>0</v>
      </c>
      <c r="Q357" s="7">
        <v>0</v>
      </c>
      <c r="R357" s="7">
        <v>0</v>
      </c>
      <c r="S357" s="7">
        <v>0</v>
      </c>
    </row>
    <row r="358">
      <c r="A358" s="14" t="s">
        <v>397</v>
      </c>
      <c r="B358" s="2" t="s">
        <v>393</v>
      </c>
      <c r="C358" s="7">
        <v>0</v>
      </c>
      <c r="D358" s="7">
        <v>0</v>
      </c>
      <c r="E358" s="7">
        <v>0</v>
      </c>
      <c r="F358" s="7">
        <v>0</v>
      </c>
      <c r="G358" s="7">
        <v>0</v>
      </c>
      <c r="H358" s="7">
        <v>0</v>
      </c>
      <c r="I358" s="7">
        <v>0</v>
      </c>
      <c r="J358" s="7">
        <v>0</v>
      </c>
      <c r="K358" s="7">
        <v>0</v>
      </c>
      <c r="L358" s="7">
        <v>0</v>
      </c>
      <c r="M358" s="7">
        <v>0</v>
      </c>
      <c r="N358" s="7">
        <v>0</v>
      </c>
      <c r="O358" s="7">
        <v>0</v>
      </c>
      <c r="P358" s="7">
        <v>0</v>
      </c>
      <c r="Q358" s="7">
        <v>0</v>
      </c>
      <c r="R358" s="7">
        <v>0</v>
      </c>
      <c r="S358" s="7">
        <v>0</v>
      </c>
    </row>
    <row r="359">
      <c r="A359" s="14" t="s">
        <v>398</v>
      </c>
      <c r="B359" s="2" t="s">
        <v>399</v>
      </c>
      <c r="C359" s="7">
        <v>12900</v>
      </c>
      <c r="D359" s="7">
        <v>10400</v>
      </c>
      <c r="E359" s="7">
        <v>10845</v>
      </c>
      <c r="F359" s="7">
        <v>12400</v>
      </c>
      <c r="G359" s="7">
        <v>12225</v>
      </c>
      <c r="H359" s="7">
        <v>12100</v>
      </c>
      <c r="I359" s="7">
        <v>13900</v>
      </c>
      <c r="J359" s="7">
        <v>13500</v>
      </c>
      <c r="K359" s="7">
        <v>14332</v>
      </c>
      <c r="L359" s="7">
        <v>15038</v>
      </c>
      <c r="M359" s="7">
        <v>13767</v>
      </c>
      <c r="N359" s="7">
        <v>14000</v>
      </c>
      <c r="O359" s="7">
        <v>9313</v>
      </c>
      <c r="P359" s="7">
        <v>8626</v>
      </c>
      <c r="Q359" s="7">
        <v>8170</v>
      </c>
      <c r="R359" s="7">
        <v>7500</v>
      </c>
      <c r="S359" s="7">
        <v>9300</v>
      </c>
    </row>
    <row r="360">
      <c r="A360" s="14" t="s">
        <v>400</v>
      </c>
      <c r="B360" s="2" t="s">
        <v>399</v>
      </c>
      <c r="C360" s="7">
        <v>2510</v>
      </c>
      <c r="D360" s="7">
        <v>2140</v>
      </c>
      <c r="E360" s="7">
        <v>2980</v>
      </c>
      <c r="F360" s="7">
        <v>3100</v>
      </c>
      <c r="G360" s="7">
        <v>3350</v>
      </c>
      <c r="H360" s="7">
        <v>3485</v>
      </c>
      <c r="I360" s="7">
        <v>3305</v>
      </c>
      <c r="J360" s="7">
        <v>2794</v>
      </c>
      <c r="K360" s="7">
        <v>3217</v>
      </c>
      <c r="L360" s="7">
        <v>2897</v>
      </c>
      <c r="M360" s="7">
        <v>2693</v>
      </c>
      <c r="N360" s="7">
        <v>2898</v>
      </c>
      <c r="O360" s="7">
        <v>2517</v>
      </c>
      <c r="P360" s="7">
        <v>2426</v>
      </c>
      <c r="Q360" s="7">
        <v>2268</v>
      </c>
      <c r="R360" s="7">
        <v>2200</v>
      </c>
      <c r="S360" s="7">
        <v>2300</v>
      </c>
    </row>
    <row r="361">
      <c r="A361" s="14" t="s">
        <v>401</v>
      </c>
      <c r="B361" s="2" t="s">
        <v>399</v>
      </c>
      <c r="C361" s="7">
        <v>0</v>
      </c>
      <c r="D361" s="7">
        <v>0</v>
      </c>
      <c r="E361" s="7">
        <v>0</v>
      </c>
      <c r="F361" s="7">
        <v>0</v>
      </c>
      <c r="G361" s="7">
        <v>0</v>
      </c>
      <c r="H361" s="7">
        <v>0</v>
      </c>
      <c r="I361" s="7">
        <v>0</v>
      </c>
      <c r="J361" s="7">
        <v>0</v>
      </c>
      <c r="K361" s="7">
        <v>0</v>
      </c>
      <c r="L361" s="7">
        <v>0</v>
      </c>
      <c r="M361" s="7">
        <v>0</v>
      </c>
      <c r="N361" s="7">
        <v>0</v>
      </c>
      <c r="O361" s="7">
        <v>0</v>
      </c>
      <c r="P361" s="7">
        <v>0</v>
      </c>
      <c r="Q361" s="7">
        <v>0</v>
      </c>
      <c r="R361" s="7">
        <v>0</v>
      </c>
      <c r="S361" s="7">
        <v>0</v>
      </c>
    </row>
    <row r="362">
      <c r="A362" s="14" t="s">
        <v>402</v>
      </c>
      <c r="B362" s="2" t="s">
        <v>399</v>
      </c>
      <c r="C362" s="7">
        <v>0</v>
      </c>
      <c r="D362" s="7">
        <v>0</v>
      </c>
      <c r="E362" s="7">
        <v>0</v>
      </c>
      <c r="F362" s="7">
        <v>0</v>
      </c>
      <c r="G362" s="7">
        <v>0</v>
      </c>
      <c r="H362" s="7">
        <v>0</v>
      </c>
      <c r="I362" s="7">
        <v>0</v>
      </c>
      <c r="J362" s="7">
        <v>0</v>
      </c>
      <c r="K362" s="7">
        <v>0</v>
      </c>
      <c r="L362" s="7">
        <v>0</v>
      </c>
      <c r="M362" s="7">
        <v>0</v>
      </c>
      <c r="N362" s="7">
        <v>0</v>
      </c>
      <c r="O362" s="7">
        <v>0</v>
      </c>
      <c r="P362" s="7">
        <v>0</v>
      </c>
      <c r="Q362" s="7">
        <v>0</v>
      </c>
      <c r="R362" s="7">
        <v>0</v>
      </c>
      <c r="S362" s="7">
        <v>0</v>
      </c>
    </row>
    <row r="363">
      <c r="A363" s="14" t="s">
        <v>403</v>
      </c>
      <c r="B363" s="2" t="s">
        <v>399</v>
      </c>
      <c r="C363" s="7">
        <v>0</v>
      </c>
      <c r="D363" s="7">
        <v>0</v>
      </c>
      <c r="E363" s="7">
        <v>0</v>
      </c>
      <c r="F363" s="7">
        <v>0</v>
      </c>
      <c r="G363" s="7">
        <v>0</v>
      </c>
      <c r="H363" s="7">
        <v>0</v>
      </c>
      <c r="I363" s="7">
        <v>0</v>
      </c>
      <c r="J363" s="7">
        <v>0</v>
      </c>
      <c r="K363" s="7">
        <v>0</v>
      </c>
      <c r="L363" s="7">
        <v>0</v>
      </c>
      <c r="M363" s="7">
        <v>0</v>
      </c>
      <c r="N363" s="7">
        <v>0</v>
      </c>
      <c r="O363" s="7">
        <v>0</v>
      </c>
      <c r="P363" s="7">
        <v>0</v>
      </c>
      <c r="Q363" s="7">
        <v>0</v>
      </c>
      <c r="R363" s="7">
        <v>0</v>
      </c>
      <c r="S363" s="7">
        <v>0</v>
      </c>
    </row>
    <row r="364">
      <c r="A364" s="14" t="s">
        <v>404</v>
      </c>
      <c r="B364" s="2" t="s">
        <v>399</v>
      </c>
      <c r="C364" s="7">
        <v>0</v>
      </c>
      <c r="D364" s="7">
        <v>0</v>
      </c>
      <c r="E364" s="7">
        <v>0</v>
      </c>
      <c r="F364" s="7">
        <v>0</v>
      </c>
      <c r="G364" s="7">
        <v>0</v>
      </c>
      <c r="H364" s="7">
        <v>0</v>
      </c>
      <c r="I364" s="7">
        <v>0</v>
      </c>
      <c r="J364" s="7">
        <v>0</v>
      </c>
      <c r="K364" s="7">
        <v>0</v>
      </c>
      <c r="L364" s="7">
        <v>0</v>
      </c>
      <c r="M364" s="7">
        <v>0</v>
      </c>
      <c r="N364" s="7">
        <v>0</v>
      </c>
      <c r="O364" s="7">
        <v>0</v>
      </c>
      <c r="P364" s="7">
        <v>0</v>
      </c>
      <c r="Q364" s="7">
        <v>0</v>
      </c>
      <c r="R364" s="7">
        <v>0</v>
      </c>
      <c r="S364" s="7">
        <v>0</v>
      </c>
    </row>
    <row r="365">
      <c r="A365" s="14" t="s">
        <v>405</v>
      </c>
      <c r="B365" s="2" t="s">
        <v>399</v>
      </c>
      <c r="C365" s="7">
        <v>0</v>
      </c>
      <c r="D365" s="7">
        <v>0</v>
      </c>
      <c r="E365" s="7">
        <v>0</v>
      </c>
      <c r="F365" s="7">
        <v>0</v>
      </c>
      <c r="G365" s="7">
        <v>0</v>
      </c>
      <c r="H365" s="7">
        <v>0</v>
      </c>
      <c r="I365" s="7">
        <v>0</v>
      </c>
      <c r="J365" s="7">
        <v>0</v>
      </c>
      <c r="K365" s="7">
        <v>0</v>
      </c>
      <c r="L365" s="7">
        <v>0</v>
      </c>
      <c r="M365" s="7">
        <v>0</v>
      </c>
      <c r="N365" s="7">
        <v>0</v>
      </c>
      <c r="O365" s="7">
        <v>0</v>
      </c>
      <c r="P365" s="7">
        <v>0</v>
      </c>
      <c r="Q365" s="7">
        <v>0</v>
      </c>
      <c r="R365" s="7">
        <v>0</v>
      </c>
      <c r="S365" s="7">
        <v>0</v>
      </c>
    </row>
    <row r="366">
      <c r="A366" s="14" t="s">
        <v>406</v>
      </c>
      <c r="B366" s="2" t="s">
        <v>399</v>
      </c>
      <c r="C366" s="7">
        <v>0</v>
      </c>
      <c r="D366" s="7">
        <v>0</v>
      </c>
      <c r="E366" s="7">
        <v>0</v>
      </c>
      <c r="F366" s="7">
        <v>0</v>
      </c>
      <c r="G366" s="7">
        <v>0</v>
      </c>
      <c r="H366" s="7">
        <v>0</v>
      </c>
      <c r="I366" s="7">
        <v>0</v>
      </c>
      <c r="J366" s="7">
        <v>0</v>
      </c>
      <c r="K366" s="7">
        <v>0</v>
      </c>
      <c r="L366" s="7">
        <v>0</v>
      </c>
      <c r="M366" s="7">
        <v>0</v>
      </c>
      <c r="N366" s="7">
        <v>0</v>
      </c>
      <c r="O366" s="7">
        <v>0</v>
      </c>
      <c r="P366" s="7">
        <v>0</v>
      </c>
      <c r="Q366" s="7">
        <v>0</v>
      </c>
      <c r="R366" s="7">
        <v>0</v>
      </c>
      <c r="S366" s="7">
        <v>0</v>
      </c>
    </row>
    <row r="367">
      <c r="A367" s="14" t="s">
        <v>407</v>
      </c>
      <c r="B367" s="2" t="s">
        <v>399</v>
      </c>
      <c r="C367" s="7">
        <v>0</v>
      </c>
      <c r="D367" s="7">
        <v>0</v>
      </c>
      <c r="E367" s="7">
        <v>0</v>
      </c>
      <c r="F367" s="7">
        <v>0</v>
      </c>
      <c r="G367" s="7">
        <v>0</v>
      </c>
      <c r="H367" s="7">
        <v>0</v>
      </c>
      <c r="I367" s="7">
        <v>0</v>
      </c>
      <c r="J367" s="7">
        <v>0</v>
      </c>
      <c r="K367" s="7">
        <v>0</v>
      </c>
      <c r="L367" s="7">
        <v>0</v>
      </c>
      <c r="M367" s="7">
        <v>0</v>
      </c>
      <c r="N367" s="7">
        <v>0</v>
      </c>
      <c r="O367" s="7">
        <v>0</v>
      </c>
      <c r="P367" s="7">
        <v>0</v>
      </c>
      <c r="Q367" s="7">
        <v>0</v>
      </c>
      <c r="R367" s="7">
        <v>0</v>
      </c>
      <c r="S367" s="7">
        <v>0</v>
      </c>
    </row>
    <row r="368">
      <c r="A368" s="14" t="s">
        <v>408</v>
      </c>
      <c r="B368" s="2" t="s">
        <v>399</v>
      </c>
      <c r="C368" s="7">
        <v>0</v>
      </c>
      <c r="D368" s="7">
        <v>0</v>
      </c>
      <c r="E368" s="7">
        <v>0</v>
      </c>
      <c r="F368" s="7">
        <v>0</v>
      </c>
      <c r="G368" s="7">
        <v>0</v>
      </c>
      <c r="H368" s="7">
        <v>0</v>
      </c>
      <c r="I368" s="7">
        <v>0</v>
      </c>
      <c r="J368" s="7">
        <v>0</v>
      </c>
      <c r="K368" s="7">
        <v>0</v>
      </c>
      <c r="L368" s="7">
        <v>0</v>
      </c>
      <c r="M368" s="7">
        <v>0</v>
      </c>
      <c r="N368" s="7">
        <v>0</v>
      </c>
      <c r="O368" s="7">
        <v>0</v>
      </c>
      <c r="P368" s="7">
        <v>0</v>
      </c>
      <c r="Q368" s="7">
        <v>0</v>
      </c>
      <c r="R368" s="7">
        <v>0</v>
      </c>
      <c r="S368" s="7">
        <v>0</v>
      </c>
    </row>
    <row r="369">
      <c r="A369" s="14" t="s">
        <v>409</v>
      </c>
      <c r="B369" s="2" t="s">
        <v>399</v>
      </c>
      <c r="C369" s="7">
        <v>0</v>
      </c>
      <c r="D369" s="7">
        <v>0</v>
      </c>
      <c r="E369" s="7">
        <v>0</v>
      </c>
      <c r="F369" s="7">
        <v>0</v>
      </c>
      <c r="G369" s="7">
        <v>0</v>
      </c>
      <c r="H369" s="7">
        <v>0</v>
      </c>
      <c r="I369" s="7">
        <v>0</v>
      </c>
      <c r="J369" s="7">
        <v>0</v>
      </c>
      <c r="K369" s="7">
        <v>0</v>
      </c>
      <c r="L369" s="7">
        <v>0</v>
      </c>
      <c r="M369" s="7">
        <v>0</v>
      </c>
      <c r="N369" s="7">
        <v>0</v>
      </c>
      <c r="O369" s="7">
        <v>0</v>
      </c>
      <c r="P369" s="7">
        <v>0</v>
      </c>
      <c r="Q369" s="7">
        <v>0</v>
      </c>
      <c r="R369" s="7">
        <v>0</v>
      </c>
      <c r="S369" s="7">
        <v>0</v>
      </c>
    </row>
    <row r="370">
      <c r="A370" s="14" t="s">
        <v>410</v>
      </c>
      <c r="B370" s="2" t="s">
        <v>399</v>
      </c>
      <c r="C370" s="7">
        <v>0</v>
      </c>
      <c r="D370" s="7">
        <v>0</v>
      </c>
      <c r="E370" s="7">
        <v>0</v>
      </c>
      <c r="F370" s="7">
        <v>0</v>
      </c>
      <c r="G370" s="7">
        <v>0</v>
      </c>
      <c r="H370" s="7">
        <v>0</v>
      </c>
      <c r="I370" s="7">
        <v>0</v>
      </c>
      <c r="J370" s="7">
        <v>0</v>
      </c>
      <c r="K370" s="7">
        <v>0</v>
      </c>
      <c r="L370" s="7">
        <v>0</v>
      </c>
      <c r="M370" s="7">
        <v>0</v>
      </c>
      <c r="N370" s="7">
        <v>0</v>
      </c>
      <c r="O370" s="7">
        <v>0</v>
      </c>
      <c r="P370" s="7">
        <v>0</v>
      </c>
      <c r="Q370" s="7">
        <v>0</v>
      </c>
      <c r="R370" s="7">
        <v>0</v>
      </c>
      <c r="S370" s="7">
        <v>0</v>
      </c>
    </row>
    <row r="371">
      <c r="A371" s="14" t="s">
        <v>411</v>
      </c>
      <c r="B371" s="2" t="s">
        <v>399</v>
      </c>
      <c r="C371" s="7">
        <v>0</v>
      </c>
      <c r="D371" s="7">
        <v>0</v>
      </c>
      <c r="E371" s="7">
        <v>0</v>
      </c>
      <c r="F371" s="7">
        <v>0</v>
      </c>
      <c r="G371" s="7">
        <v>0</v>
      </c>
      <c r="H371" s="7">
        <v>0</v>
      </c>
      <c r="I371" s="7">
        <v>0</v>
      </c>
      <c r="J371" s="7">
        <v>0</v>
      </c>
      <c r="K371" s="7">
        <v>0</v>
      </c>
      <c r="L371" s="7">
        <v>0</v>
      </c>
      <c r="M371" s="7">
        <v>0</v>
      </c>
      <c r="N371" s="7">
        <v>0</v>
      </c>
      <c r="O371" s="7">
        <v>0</v>
      </c>
      <c r="P371" s="7">
        <v>0</v>
      </c>
      <c r="Q371" s="7">
        <v>0</v>
      </c>
      <c r="R371" s="7">
        <v>0</v>
      </c>
      <c r="S371" s="7">
        <v>0</v>
      </c>
    </row>
    <row r="372">
      <c r="A372" s="14" t="s">
        <v>412</v>
      </c>
      <c r="B372" s="2" t="s">
        <v>399</v>
      </c>
      <c r="C372" s="7">
        <v>0</v>
      </c>
      <c r="D372" s="7">
        <v>0</v>
      </c>
      <c r="E372" s="7">
        <v>0</v>
      </c>
      <c r="F372" s="7">
        <v>0</v>
      </c>
      <c r="G372" s="7">
        <v>0</v>
      </c>
      <c r="H372" s="7">
        <v>0</v>
      </c>
      <c r="I372" s="7">
        <v>0</v>
      </c>
      <c r="J372" s="7">
        <v>0</v>
      </c>
      <c r="K372" s="7">
        <v>0</v>
      </c>
      <c r="L372" s="7">
        <v>0</v>
      </c>
      <c r="M372" s="7">
        <v>0</v>
      </c>
      <c r="N372" s="7">
        <v>0</v>
      </c>
      <c r="O372" s="7">
        <v>0</v>
      </c>
      <c r="P372" s="7">
        <v>0</v>
      </c>
      <c r="Q372" s="7">
        <v>0</v>
      </c>
      <c r="R372" s="7">
        <v>0</v>
      </c>
      <c r="S372" s="7">
        <v>0</v>
      </c>
    </row>
    <row r="373">
      <c r="A373" s="14" t="s">
        <v>413</v>
      </c>
      <c r="B373" s="2" t="s">
        <v>399</v>
      </c>
      <c r="C373" s="7">
        <v>0</v>
      </c>
      <c r="D373" s="7">
        <v>0</v>
      </c>
      <c r="E373" s="7">
        <v>0</v>
      </c>
      <c r="F373" s="7">
        <v>0</v>
      </c>
      <c r="G373" s="7">
        <v>0</v>
      </c>
      <c r="H373" s="7">
        <v>0</v>
      </c>
      <c r="I373" s="7">
        <v>0</v>
      </c>
      <c r="J373" s="7">
        <v>0</v>
      </c>
      <c r="K373" s="7">
        <v>0</v>
      </c>
      <c r="L373" s="7">
        <v>0</v>
      </c>
      <c r="M373" s="7">
        <v>0</v>
      </c>
      <c r="N373" s="7">
        <v>0</v>
      </c>
      <c r="O373" s="7">
        <v>0</v>
      </c>
      <c r="P373" s="7">
        <v>0</v>
      </c>
      <c r="Q373" s="7">
        <v>0</v>
      </c>
      <c r="R373" s="7">
        <v>0</v>
      </c>
      <c r="S373" s="7">
        <v>0</v>
      </c>
    </row>
    <row r="374">
      <c r="A374" s="14" t="s">
        <v>414</v>
      </c>
      <c r="B374" s="2" t="s">
        <v>399</v>
      </c>
      <c r="C374" s="7">
        <v>0</v>
      </c>
      <c r="D374" s="7">
        <v>0</v>
      </c>
      <c r="E374" s="7">
        <v>0</v>
      </c>
      <c r="F374" s="7">
        <v>0</v>
      </c>
      <c r="G374" s="7">
        <v>0</v>
      </c>
      <c r="H374" s="7">
        <v>0</v>
      </c>
      <c r="I374" s="7">
        <v>0</v>
      </c>
      <c r="J374" s="7">
        <v>0</v>
      </c>
      <c r="K374" s="7">
        <v>0</v>
      </c>
      <c r="L374" s="7">
        <v>0</v>
      </c>
      <c r="M374" s="7">
        <v>0</v>
      </c>
      <c r="N374" s="7">
        <v>0</v>
      </c>
      <c r="O374" s="7">
        <v>0</v>
      </c>
      <c r="P374" s="7">
        <v>0</v>
      </c>
      <c r="Q374" s="7">
        <v>0</v>
      </c>
      <c r="R374" s="7">
        <v>0</v>
      </c>
      <c r="S374" s="7">
        <v>0</v>
      </c>
    </row>
    <row r="375">
      <c r="A375" s="14" t="s">
        <v>415</v>
      </c>
      <c r="B375" s="2" t="s">
        <v>399</v>
      </c>
      <c r="C375" s="7">
        <v>0</v>
      </c>
      <c r="D375" s="7">
        <v>0</v>
      </c>
      <c r="E375" s="7">
        <v>0</v>
      </c>
      <c r="F375" s="7">
        <v>0</v>
      </c>
      <c r="G375" s="7">
        <v>0</v>
      </c>
      <c r="H375" s="7">
        <v>0</v>
      </c>
      <c r="I375" s="7">
        <v>0</v>
      </c>
      <c r="J375" s="7">
        <v>0</v>
      </c>
      <c r="K375" s="7">
        <v>0</v>
      </c>
      <c r="L375" s="7">
        <v>0</v>
      </c>
      <c r="M375" s="7">
        <v>0</v>
      </c>
      <c r="N375" s="7">
        <v>0</v>
      </c>
      <c r="O375" s="7">
        <v>0</v>
      </c>
      <c r="P375" s="7">
        <v>0</v>
      </c>
      <c r="Q375" s="7">
        <v>0</v>
      </c>
      <c r="R375" s="7">
        <v>0</v>
      </c>
      <c r="S375" s="7">
        <v>0</v>
      </c>
    </row>
    <row r="376">
      <c r="A376" s="14" t="s">
        <v>416</v>
      </c>
      <c r="B376" s="2" t="s">
        <v>399</v>
      </c>
      <c r="C376" s="7">
        <v>0</v>
      </c>
      <c r="D376" s="7">
        <v>0</v>
      </c>
      <c r="E376" s="7">
        <v>0</v>
      </c>
      <c r="F376" s="7">
        <v>0</v>
      </c>
      <c r="G376" s="7">
        <v>0</v>
      </c>
      <c r="H376" s="7">
        <v>0</v>
      </c>
      <c r="I376" s="7">
        <v>0</v>
      </c>
      <c r="J376" s="7">
        <v>0</v>
      </c>
      <c r="K376" s="7">
        <v>0</v>
      </c>
      <c r="L376" s="7">
        <v>0</v>
      </c>
      <c r="M376" s="7">
        <v>0</v>
      </c>
      <c r="N376" s="7">
        <v>0</v>
      </c>
      <c r="O376" s="7">
        <v>0</v>
      </c>
      <c r="P376" s="7">
        <v>0</v>
      </c>
      <c r="Q376" s="7">
        <v>0</v>
      </c>
      <c r="R376" s="7">
        <v>0</v>
      </c>
      <c r="S376" s="7">
        <v>0</v>
      </c>
    </row>
    <row r="377">
      <c r="A377" s="14" t="s">
        <v>417</v>
      </c>
      <c r="B377" s="2" t="s">
        <v>399</v>
      </c>
      <c r="C377" s="7">
        <v>0</v>
      </c>
      <c r="D377" s="7">
        <v>0</v>
      </c>
      <c r="E377" s="7">
        <v>0</v>
      </c>
      <c r="F377" s="7">
        <v>0</v>
      </c>
      <c r="G377" s="7">
        <v>0</v>
      </c>
      <c r="H377" s="7">
        <v>0</v>
      </c>
      <c r="I377" s="7">
        <v>0</v>
      </c>
      <c r="J377" s="7">
        <v>0</v>
      </c>
      <c r="K377" s="7">
        <v>0</v>
      </c>
      <c r="L377" s="7">
        <v>0</v>
      </c>
      <c r="M377" s="7">
        <v>0</v>
      </c>
      <c r="N377" s="7">
        <v>0</v>
      </c>
      <c r="O377" s="7">
        <v>0</v>
      </c>
      <c r="P377" s="7">
        <v>0</v>
      </c>
      <c r="Q377" s="7">
        <v>0</v>
      </c>
      <c r="R377" s="7">
        <v>0</v>
      </c>
      <c r="S377" s="7">
        <v>0</v>
      </c>
    </row>
    <row r="378">
      <c r="A378" s="14" t="s">
        <v>418</v>
      </c>
      <c r="B378" s="2" t="s">
        <v>399</v>
      </c>
      <c r="C378" s="7">
        <v>0</v>
      </c>
      <c r="D378" s="7">
        <v>0</v>
      </c>
      <c r="E378" s="7">
        <v>0</v>
      </c>
      <c r="F378" s="7">
        <v>0</v>
      </c>
      <c r="G378" s="7">
        <v>0</v>
      </c>
      <c r="H378" s="7">
        <v>0</v>
      </c>
      <c r="I378" s="7">
        <v>0</v>
      </c>
      <c r="J378" s="7">
        <v>0</v>
      </c>
      <c r="K378" s="7">
        <v>0</v>
      </c>
      <c r="L378" s="7">
        <v>0</v>
      </c>
      <c r="M378" s="7">
        <v>0</v>
      </c>
      <c r="N378" s="7">
        <v>0</v>
      </c>
      <c r="O378" s="7">
        <v>0</v>
      </c>
      <c r="P378" s="7">
        <v>0</v>
      </c>
      <c r="Q378" s="7">
        <v>0</v>
      </c>
      <c r="R378" s="7">
        <v>0</v>
      </c>
      <c r="S378" s="7">
        <v>0</v>
      </c>
    </row>
    <row r="379">
      <c r="A379" s="14" t="s">
        <v>419</v>
      </c>
      <c r="B379" s="2" t="s">
        <v>399</v>
      </c>
      <c r="C379" s="7">
        <v>0</v>
      </c>
      <c r="D379" s="7">
        <v>0</v>
      </c>
      <c r="E379" s="7">
        <v>0</v>
      </c>
      <c r="F379" s="7">
        <v>0</v>
      </c>
      <c r="G379" s="7">
        <v>0</v>
      </c>
      <c r="H379" s="7">
        <v>0</v>
      </c>
      <c r="I379" s="7">
        <v>0</v>
      </c>
      <c r="J379" s="7">
        <v>0</v>
      </c>
      <c r="K379" s="7">
        <v>0</v>
      </c>
      <c r="L379" s="7">
        <v>0</v>
      </c>
      <c r="M379" s="7">
        <v>0</v>
      </c>
      <c r="N379" s="7">
        <v>0</v>
      </c>
      <c r="O379" s="7">
        <v>0</v>
      </c>
      <c r="P379" s="7">
        <v>0</v>
      </c>
      <c r="Q379" s="7">
        <v>0</v>
      </c>
      <c r="R379" s="7">
        <v>0</v>
      </c>
      <c r="S379" s="7">
        <v>0</v>
      </c>
    </row>
    <row r="380">
      <c r="A380" s="14" t="s">
        <v>420</v>
      </c>
      <c r="B380" s="2" t="s">
        <v>399</v>
      </c>
      <c r="C380" s="7">
        <v>0</v>
      </c>
      <c r="D380" s="7">
        <v>0</v>
      </c>
      <c r="E380" s="7">
        <v>0</v>
      </c>
      <c r="F380" s="7">
        <v>0</v>
      </c>
      <c r="G380" s="7">
        <v>0</v>
      </c>
      <c r="H380" s="7">
        <v>0</v>
      </c>
      <c r="I380" s="7">
        <v>0</v>
      </c>
      <c r="J380" s="7">
        <v>0</v>
      </c>
      <c r="K380" s="7">
        <v>0</v>
      </c>
      <c r="L380" s="7">
        <v>0</v>
      </c>
      <c r="M380" s="7">
        <v>0</v>
      </c>
      <c r="N380" s="7">
        <v>0</v>
      </c>
      <c r="O380" s="7">
        <v>0</v>
      </c>
      <c r="P380" s="7">
        <v>0</v>
      </c>
      <c r="Q380" s="7">
        <v>0</v>
      </c>
      <c r="R380" s="7">
        <v>0</v>
      </c>
      <c r="S380" s="7">
        <v>0</v>
      </c>
    </row>
    <row r="381">
      <c r="A381" s="14" t="s">
        <v>421</v>
      </c>
      <c r="B381" s="2" t="s">
        <v>399</v>
      </c>
      <c r="C381" s="7">
        <v>0</v>
      </c>
      <c r="D381" s="7">
        <v>0</v>
      </c>
      <c r="E381" s="7">
        <v>0</v>
      </c>
      <c r="F381" s="7">
        <v>0</v>
      </c>
      <c r="G381" s="7">
        <v>0</v>
      </c>
      <c r="H381" s="7">
        <v>0</v>
      </c>
      <c r="I381" s="7">
        <v>0</v>
      </c>
      <c r="J381" s="7">
        <v>0</v>
      </c>
      <c r="K381" s="7">
        <v>0</v>
      </c>
      <c r="L381" s="7">
        <v>0</v>
      </c>
      <c r="M381" s="7">
        <v>0</v>
      </c>
      <c r="N381" s="7">
        <v>0</v>
      </c>
      <c r="O381" s="7">
        <v>0</v>
      </c>
      <c r="P381" s="7">
        <v>0</v>
      </c>
      <c r="Q381" s="7">
        <v>0</v>
      </c>
      <c r="R381" s="7">
        <v>0</v>
      </c>
      <c r="S381" s="7">
        <v>0</v>
      </c>
    </row>
    <row r="382">
      <c r="A382" s="14" t="s">
        <v>422</v>
      </c>
      <c r="B382" s="2" t="s">
        <v>399</v>
      </c>
      <c r="C382" s="7">
        <v>0</v>
      </c>
      <c r="D382" s="7">
        <v>0</v>
      </c>
      <c r="E382" s="7">
        <v>0</v>
      </c>
      <c r="F382" s="7">
        <v>0</v>
      </c>
      <c r="G382" s="7">
        <v>0</v>
      </c>
      <c r="H382" s="7">
        <v>0</v>
      </c>
      <c r="I382" s="7">
        <v>0</v>
      </c>
      <c r="J382" s="7">
        <v>0</v>
      </c>
      <c r="K382" s="7">
        <v>0</v>
      </c>
      <c r="L382" s="7">
        <v>0</v>
      </c>
      <c r="M382" s="7">
        <v>0</v>
      </c>
      <c r="N382" s="7">
        <v>0</v>
      </c>
      <c r="O382" s="7">
        <v>0</v>
      </c>
      <c r="P382" s="7">
        <v>0</v>
      </c>
      <c r="Q382" s="7">
        <v>0</v>
      </c>
      <c r="R382" s="7">
        <v>0</v>
      </c>
      <c r="S382" s="7">
        <v>0</v>
      </c>
    </row>
    <row r="383">
      <c r="A383" s="14" t="s">
        <v>423</v>
      </c>
      <c r="B383" s="2" t="s">
        <v>399</v>
      </c>
      <c r="C383" s="7">
        <v>0</v>
      </c>
      <c r="D383" s="7">
        <v>0</v>
      </c>
      <c r="E383" s="7">
        <v>0</v>
      </c>
      <c r="F383" s="7">
        <v>0</v>
      </c>
      <c r="G383" s="7">
        <v>0</v>
      </c>
      <c r="H383" s="7">
        <v>0</v>
      </c>
      <c r="I383" s="7">
        <v>0</v>
      </c>
      <c r="J383" s="7">
        <v>0</v>
      </c>
      <c r="K383" s="7">
        <v>0</v>
      </c>
      <c r="L383" s="7">
        <v>0</v>
      </c>
      <c r="M383" s="7">
        <v>0</v>
      </c>
      <c r="N383" s="7">
        <v>0</v>
      </c>
      <c r="O383" s="7">
        <v>0</v>
      </c>
      <c r="P383" s="7">
        <v>0</v>
      </c>
      <c r="Q383" s="7">
        <v>0</v>
      </c>
      <c r="R383" s="7">
        <v>0</v>
      </c>
      <c r="S383" s="7">
        <v>0</v>
      </c>
    </row>
    <row r="384">
      <c r="A384" s="14" t="s">
        <v>424</v>
      </c>
      <c r="B384" s="2" t="s">
        <v>399</v>
      </c>
      <c r="C384" s="7">
        <v>0</v>
      </c>
      <c r="D384" s="7">
        <v>0</v>
      </c>
      <c r="E384" s="7">
        <v>0</v>
      </c>
      <c r="F384" s="7">
        <v>0</v>
      </c>
      <c r="G384" s="7">
        <v>0</v>
      </c>
      <c r="H384" s="7">
        <v>0</v>
      </c>
      <c r="I384" s="7">
        <v>0</v>
      </c>
      <c r="J384" s="7">
        <v>0</v>
      </c>
      <c r="K384" s="7">
        <v>0</v>
      </c>
      <c r="L384" s="7">
        <v>0</v>
      </c>
      <c r="M384" s="7">
        <v>0</v>
      </c>
      <c r="N384" s="7">
        <v>0</v>
      </c>
      <c r="O384" s="7">
        <v>0</v>
      </c>
      <c r="P384" s="7">
        <v>0</v>
      </c>
      <c r="Q384" s="7">
        <v>0</v>
      </c>
      <c r="R384" s="7">
        <v>0</v>
      </c>
      <c r="S384" s="7">
        <v>0</v>
      </c>
    </row>
    <row r="385">
      <c r="A385" s="14" t="s">
        <v>425</v>
      </c>
      <c r="B385" s="2" t="s">
        <v>399</v>
      </c>
      <c r="C385" s="7">
        <v>0</v>
      </c>
      <c r="D385" s="7">
        <v>0</v>
      </c>
      <c r="E385" s="7">
        <v>0</v>
      </c>
      <c r="F385" s="7">
        <v>0</v>
      </c>
      <c r="G385" s="7">
        <v>0</v>
      </c>
      <c r="H385" s="7">
        <v>0</v>
      </c>
      <c r="I385" s="7">
        <v>0</v>
      </c>
      <c r="J385" s="7">
        <v>0</v>
      </c>
      <c r="K385" s="7">
        <v>0</v>
      </c>
      <c r="L385" s="7">
        <v>0</v>
      </c>
      <c r="M385" s="7">
        <v>0</v>
      </c>
      <c r="N385" s="7">
        <v>0</v>
      </c>
      <c r="O385" s="7">
        <v>0</v>
      </c>
      <c r="P385" s="7">
        <v>0</v>
      </c>
      <c r="Q385" s="7">
        <v>0</v>
      </c>
      <c r="R385" s="7">
        <v>0</v>
      </c>
      <c r="S385" s="7">
        <v>0</v>
      </c>
    </row>
    <row r="386">
      <c r="A386" s="14" t="s">
        <v>426</v>
      </c>
      <c r="B386" s="2" t="s">
        <v>399</v>
      </c>
      <c r="C386" s="7">
        <v>0</v>
      </c>
      <c r="D386" s="7">
        <v>0</v>
      </c>
      <c r="E386" s="7">
        <v>0</v>
      </c>
      <c r="F386" s="7">
        <v>0</v>
      </c>
      <c r="G386" s="7">
        <v>0</v>
      </c>
      <c r="H386" s="7">
        <v>0</v>
      </c>
      <c r="I386" s="7">
        <v>0</v>
      </c>
      <c r="J386" s="7">
        <v>0</v>
      </c>
      <c r="K386" s="7">
        <v>0</v>
      </c>
      <c r="L386" s="7">
        <v>0</v>
      </c>
      <c r="M386" s="7">
        <v>0</v>
      </c>
      <c r="N386" s="7">
        <v>0</v>
      </c>
      <c r="O386" s="7">
        <v>0</v>
      </c>
      <c r="P386" s="7">
        <v>0</v>
      </c>
      <c r="Q386" s="7">
        <v>0</v>
      </c>
      <c r="R386" s="7">
        <v>0</v>
      </c>
      <c r="S386" s="7">
        <v>0</v>
      </c>
    </row>
    <row r="387">
      <c r="A387" s="14" t="s">
        <v>427</v>
      </c>
      <c r="B387" s="2" t="s">
        <v>399</v>
      </c>
      <c r="C387" s="7">
        <v>0</v>
      </c>
      <c r="D387" s="7">
        <v>0</v>
      </c>
      <c r="E387" s="7">
        <v>0</v>
      </c>
      <c r="F387" s="7">
        <v>0</v>
      </c>
      <c r="G387" s="7">
        <v>0</v>
      </c>
      <c r="H387" s="7">
        <v>0</v>
      </c>
      <c r="I387" s="7">
        <v>0</v>
      </c>
      <c r="J387" s="7">
        <v>0</v>
      </c>
      <c r="K387" s="7">
        <v>0</v>
      </c>
      <c r="L387" s="7">
        <v>0</v>
      </c>
      <c r="M387" s="7">
        <v>0</v>
      </c>
      <c r="N387" s="7">
        <v>0</v>
      </c>
      <c r="O387" s="7">
        <v>0</v>
      </c>
      <c r="P387" s="7">
        <v>0</v>
      </c>
      <c r="Q387" s="7">
        <v>0</v>
      </c>
      <c r="R387" s="7">
        <v>0</v>
      </c>
      <c r="S387" s="7">
        <v>0</v>
      </c>
    </row>
    <row r="388">
      <c r="A388" s="14" t="s">
        <v>428</v>
      </c>
      <c r="B388" s="2" t="s">
        <v>399</v>
      </c>
      <c r="C388" s="7">
        <v>0</v>
      </c>
      <c r="D388" s="7">
        <v>0</v>
      </c>
      <c r="E388" s="7">
        <v>0</v>
      </c>
      <c r="F388" s="7">
        <v>0</v>
      </c>
      <c r="G388" s="7">
        <v>0</v>
      </c>
      <c r="H388" s="7">
        <v>0</v>
      </c>
      <c r="I388" s="7">
        <v>0</v>
      </c>
      <c r="J388" s="7">
        <v>0</v>
      </c>
      <c r="K388" s="7">
        <v>0</v>
      </c>
      <c r="L388" s="7">
        <v>0</v>
      </c>
      <c r="M388" s="7">
        <v>0</v>
      </c>
      <c r="N388" s="7">
        <v>0</v>
      </c>
      <c r="O388" s="7">
        <v>0</v>
      </c>
      <c r="P388" s="7">
        <v>0</v>
      </c>
      <c r="Q388" s="7">
        <v>0</v>
      </c>
      <c r="R388" s="7">
        <v>0</v>
      </c>
      <c r="S388" s="7">
        <v>0</v>
      </c>
    </row>
    <row r="389">
      <c r="A389" s="14" t="s">
        <v>429</v>
      </c>
      <c r="B389" s="2" t="s">
        <v>399</v>
      </c>
      <c r="C389" s="7">
        <v>0</v>
      </c>
      <c r="D389" s="7">
        <v>0</v>
      </c>
      <c r="E389" s="7">
        <v>0</v>
      </c>
      <c r="F389" s="7">
        <v>0</v>
      </c>
      <c r="G389" s="7">
        <v>0</v>
      </c>
      <c r="H389" s="7">
        <v>0</v>
      </c>
      <c r="I389" s="7">
        <v>0</v>
      </c>
      <c r="J389" s="7">
        <v>0</v>
      </c>
      <c r="K389" s="7">
        <v>0</v>
      </c>
      <c r="L389" s="7">
        <v>0</v>
      </c>
      <c r="M389" s="7">
        <v>0</v>
      </c>
      <c r="N389" s="7">
        <v>0</v>
      </c>
      <c r="O389" s="7">
        <v>0</v>
      </c>
      <c r="P389" s="7">
        <v>0</v>
      </c>
      <c r="Q389" s="7">
        <v>0</v>
      </c>
      <c r="R389" s="7">
        <v>0</v>
      </c>
      <c r="S389" s="7">
        <v>0</v>
      </c>
    </row>
    <row r="390">
      <c r="A390" s="14" t="s">
        <v>430</v>
      </c>
      <c r="B390" s="2" t="s">
        <v>399</v>
      </c>
      <c r="C390" s="7">
        <v>0</v>
      </c>
      <c r="D390" s="7">
        <v>0</v>
      </c>
      <c r="E390" s="7">
        <v>0</v>
      </c>
      <c r="F390" s="7">
        <v>0</v>
      </c>
      <c r="G390" s="7">
        <v>0</v>
      </c>
      <c r="H390" s="7">
        <v>0</v>
      </c>
      <c r="I390" s="7">
        <v>0</v>
      </c>
      <c r="J390" s="7">
        <v>0</v>
      </c>
      <c r="K390" s="7">
        <v>0</v>
      </c>
      <c r="L390" s="7">
        <v>0</v>
      </c>
      <c r="M390" s="7">
        <v>0</v>
      </c>
      <c r="N390" s="7">
        <v>0</v>
      </c>
      <c r="O390" s="7">
        <v>0</v>
      </c>
      <c r="P390" s="7">
        <v>0</v>
      </c>
      <c r="Q390" s="7">
        <v>0</v>
      </c>
      <c r="R390" s="7">
        <v>0</v>
      </c>
      <c r="S390" s="7">
        <v>0</v>
      </c>
    </row>
    <row r="391">
      <c r="A391" s="14" t="s">
        <v>431</v>
      </c>
      <c r="B391" s="2" t="s">
        <v>399</v>
      </c>
      <c r="C391" s="7">
        <v>0</v>
      </c>
      <c r="D391" s="7">
        <v>0</v>
      </c>
      <c r="E391" s="7">
        <v>0</v>
      </c>
      <c r="F391" s="7">
        <v>0</v>
      </c>
      <c r="G391" s="7">
        <v>0</v>
      </c>
      <c r="H391" s="7">
        <v>0</v>
      </c>
      <c r="I391" s="7">
        <v>0</v>
      </c>
      <c r="J391" s="7">
        <v>0</v>
      </c>
      <c r="K391" s="7">
        <v>0</v>
      </c>
      <c r="L391" s="7">
        <v>0</v>
      </c>
      <c r="M391" s="7">
        <v>0</v>
      </c>
      <c r="N391" s="7">
        <v>0</v>
      </c>
      <c r="O391" s="7">
        <v>0</v>
      </c>
      <c r="P391" s="7">
        <v>0</v>
      </c>
      <c r="Q391" s="7">
        <v>0</v>
      </c>
      <c r="R391" s="7">
        <v>0</v>
      </c>
      <c r="S391" s="7">
        <v>0</v>
      </c>
    </row>
    <row r="392">
      <c r="A392" s="14" t="s">
        <v>432</v>
      </c>
      <c r="B392" s="2" t="s">
        <v>399</v>
      </c>
      <c r="C392" s="7">
        <v>0</v>
      </c>
      <c r="D392" s="7">
        <v>0</v>
      </c>
      <c r="E392" s="7">
        <v>0</v>
      </c>
      <c r="F392" s="7">
        <v>0</v>
      </c>
      <c r="G392" s="7">
        <v>0</v>
      </c>
      <c r="H392" s="7">
        <v>0</v>
      </c>
      <c r="I392" s="7">
        <v>0</v>
      </c>
      <c r="J392" s="7">
        <v>0</v>
      </c>
      <c r="K392" s="7">
        <v>0</v>
      </c>
      <c r="L392" s="7">
        <v>0</v>
      </c>
      <c r="M392" s="7">
        <v>0</v>
      </c>
      <c r="N392" s="7">
        <v>0</v>
      </c>
      <c r="O392" s="7">
        <v>0</v>
      </c>
      <c r="P392" s="7">
        <v>0</v>
      </c>
      <c r="Q392" s="7">
        <v>0</v>
      </c>
      <c r="R392" s="7">
        <v>0</v>
      </c>
      <c r="S392" s="7">
        <v>0</v>
      </c>
    </row>
    <row r="393">
      <c r="A393" s="14" t="s">
        <v>433</v>
      </c>
      <c r="B393" s="2" t="s">
        <v>399</v>
      </c>
      <c r="C393" s="7">
        <v>0</v>
      </c>
      <c r="D393" s="7">
        <v>0</v>
      </c>
      <c r="E393" s="7">
        <v>0</v>
      </c>
      <c r="F393" s="7">
        <v>0</v>
      </c>
      <c r="G393" s="7">
        <v>0</v>
      </c>
      <c r="H393" s="7">
        <v>0</v>
      </c>
      <c r="I393" s="7">
        <v>0</v>
      </c>
      <c r="J393" s="7">
        <v>0</v>
      </c>
      <c r="K393" s="7">
        <v>0</v>
      </c>
      <c r="L393" s="7">
        <v>0</v>
      </c>
      <c r="M393" s="7">
        <v>0</v>
      </c>
      <c r="N393" s="7">
        <v>0</v>
      </c>
      <c r="O393" s="7">
        <v>0</v>
      </c>
      <c r="P393" s="7">
        <v>0</v>
      </c>
      <c r="Q393" s="7">
        <v>0</v>
      </c>
      <c r="R393" s="7">
        <v>0</v>
      </c>
      <c r="S393" s="7">
        <v>0</v>
      </c>
    </row>
    <row r="394">
      <c r="A394" s="14" t="s">
        <v>434</v>
      </c>
      <c r="B394" s="2" t="s">
        <v>399</v>
      </c>
      <c r="C394" s="7">
        <v>0</v>
      </c>
      <c r="D394" s="7">
        <v>0</v>
      </c>
      <c r="E394" s="7">
        <v>0</v>
      </c>
      <c r="F394" s="7">
        <v>0</v>
      </c>
      <c r="G394" s="7">
        <v>0</v>
      </c>
      <c r="H394" s="7">
        <v>0</v>
      </c>
      <c r="I394" s="7">
        <v>0</v>
      </c>
      <c r="J394" s="7">
        <v>0</v>
      </c>
      <c r="K394" s="7">
        <v>0</v>
      </c>
      <c r="L394" s="7">
        <v>0</v>
      </c>
      <c r="M394" s="7">
        <v>0</v>
      </c>
      <c r="N394" s="7">
        <v>0</v>
      </c>
      <c r="O394" s="7">
        <v>0</v>
      </c>
      <c r="P394" s="7">
        <v>0</v>
      </c>
      <c r="Q394" s="7">
        <v>0</v>
      </c>
      <c r="R394" s="7">
        <v>0</v>
      </c>
      <c r="S394" s="7">
        <v>0</v>
      </c>
    </row>
    <row r="395">
      <c r="A395" s="14" t="s">
        <v>435</v>
      </c>
      <c r="B395" s="2" t="s">
        <v>399</v>
      </c>
      <c r="C395" s="7">
        <v>0</v>
      </c>
      <c r="D395" s="7">
        <v>0</v>
      </c>
      <c r="E395" s="7">
        <v>0</v>
      </c>
      <c r="F395" s="7">
        <v>0</v>
      </c>
      <c r="G395" s="7">
        <v>0</v>
      </c>
      <c r="H395" s="7">
        <v>0</v>
      </c>
      <c r="I395" s="7">
        <v>0</v>
      </c>
      <c r="J395" s="7">
        <v>0</v>
      </c>
      <c r="K395" s="7">
        <v>0</v>
      </c>
      <c r="L395" s="7">
        <v>0</v>
      </c>
      <c r="M395" s="7">
        <v>0</v>
      </c>
      <c r="N395" s="7">
        <v>0</v>
      </c>
      <c r="O395" s="7">
        <v>0</v>
      </c>
      <c r="P395" s="7">
        <v>0</v>
      </c>
      <c r="Q395" s="7">
        <v>0</v>
      </c>
      <c r="R395" s="7">
        <v>0</v>
      </c>
      <c r="S395" s="7">
        <v>0</v>
      </c>
    </row>
    <row r="396">
      <c r="A396" s="14" t="s">
        <v>436</v>
      </c>
      <c r="B396" s="2" t="s">
        <v>399</v>
      </c>
      <c r="C396" s="7">
        <v>0</v>
      </c>
      <c r="D396" s="7">
        <v>0</v>
      </c>
      <c r="E396" s="7">
        <v>0</v>
      </c>
      <c r="F396" s="7">
        <v>0</v>
      </c>
      <c r="G396" s="7">
        <v>0</v>
      </c>
      <c r="H396" s="7">
        <v>0</v>
      </c>
      <c r="I396" s="7">
        <v>0</v>
      </c>
      <c r="J396" s="7">
        <v>0</v>
      </c>
      <c r="K396" s="7">
        <v>0</v>
      </c>
      <c r="L396" s="7">
        <v>0</v>
      </c>
      <c r="M396" s="7">
        <v>0</v>
      </c>
      <c r="N396" s="7">
        <v>0</v>
      </c>
      <c r="O396" s="7">
        <v>0</v>
      </c>
      <c r="P396" s="7">
        <v>0</v>
      </c>
      <c r="Q396" s="7">
        <v>0</v>
      </c>
      <c r="R396" s="7">
        <v>0</v>
      </c>
      <c r="S396" s="7">
        <v>0</v>
      </c>
    </row>
    <row r="397">
      <c r="A397" s="14" t="s">
        <v>437</v>
      </c>
      <c r="B397" s="2" t="s">
        <v>399</v>
      </c>
      <c r="C397" s="7">
        <v>0</v>
      </c>
      <c r="D397" s="7">
        <v>0</v>
      </c>
      <c r="E397" s="7">
        <v>0</v>
      </c>
      <c r="F397" s="7">
        <v>0</v>
      </c>
      <c r="G397" s="7">
        <v>0</v>
      </c>
      <c r="H397" s="7">
        <v>0</v>
      </c>
      <c r="I397" s="7">
        <v>0</v>
      </c>
      <c r="J397" s="7">
        <v>0</v>
      </c>
      <c r="K397" s="7">
        <v>0</v>
      </c>
      <c r="L397" s="7">
        <v>0</v>
      </c>
      <c r="M397" s="7">
        <v>0</v>
      </c>
      <c r="N397" s="7">
        <v>0</v>
      </c>
      <c r="O397" s="7">
        <v>0</v>
      </c>
      <c r="P397" s="7">
        <v>0</v>
      </c>
      <c r="Q397" s="7">
        <v>0</v>
      </c>
      <c r="R397" s="7">
        <v>0</v>
      </c>
      <c r="S397" s="7">
        <v>0</v>
      </c>
    </row>
    <row r="398">
      <c r="A398" s="14" t="s">
        <v>438</v>
      </c>
      <c r="B398" s="2" t="s">
        <v>399</v>
      </c>
      <c r="C398" s="7">
        <v>0</v>
      </c>
      <c r="D398" s="7">
        <v>0</v>
      </c>
      <c r="E398" s="7">
        <v>0</v>
      </c>
      <c r="F398" s="7">
        <v>0</v>
      </c>
      <c r="G398" s="7">
        <v>0</v>
      </c>
      <c r="H398" s="7">
        <v>0</v>
      </c>
      <c r="I398" s="7">
        <v>0</v>
      </c>
      <c r="J398" s="7">
        <v>0</v>
      </c>
      <c r="K398" s="7">
        <v>0</v>
      </c>
      <c r="L398" s="7">
        <v>0</v>
      </c>
      <c r="M398" s="7">
        <v>0</v>
      </c>
      <c r="N398" s="7">
        <v>0</v>
      </c>
      <c r="O398" s="7">
        <v>0</v>
      </c>
      <c r="P398" s="7">
        <v>0</v>
      </c>
      <c r="Q398" s="7">
        <v>0</v>
      </c>
      <c r="R398" s="7">
        <v>0</v>
      </c>
      <c r="S398" s="7">
        <v>0</v>
      </c>
    </row>
    <row r="399">
      <c r="A399" s="14" t="s">
        <v>439</v>
      </c>
      <c r="B399" s="2" t="s">
        <v>399</v>
      </c>
      <c r="C399" s="7">
        <v>0</v>
      </c>
      <c r="D399" s="7">
        <v>0</v>
      </c>
      <c r="E399" s="7">
        <v>0</v>
      </c>
      <c r="F399" s="7">
        <v>0</v>
      </c>
      <c r="G399" s="7">
        <v>0</v>
      </c>
      <c r="H399" s="7">
        <v>0</v>
      </c>
      <c r="I399" s="7">
        <v>0</v>
      </c>
      <c r="J399" s="7">
        <v>0</v>
      </c>
      <c r="K399" s="7">
        <v>0</v>
      </c>
      <c r="L399" s="7">
        <v>0</v>
      </c>
      <c r="M399" s="7">
        <v>0</v>
      </c>
      <c r="N399" s="7">
        <v>0</v>
      </c>
      <c r="O399" s="7">
        <v>0</v>
      </c>
      <c r="P399" s="7">
        <v>0</v>
      </c>
      <c r="Q399" s="7">
        <v>0</v>
      </c>
      <c r="R399" s="7">
        <v>0</v>
      </c>
      <c r="S399" s="7">
        <v>0</v>
      </c>
    </row>
    <row r="400">
      <c r="A400" s="14" t="s">
        <v>440</v>
      </c>
      <c r="B400" s="2" t="s">
        <v>399</v>
      </c>
      <c r="C400" s="7">
        <v>0</v>
      </c>
      <c r="D400" s="7">
        <v>0</v>
      </c>
      <c r="E400" s="7">
        <v>0</v>
      </c>
      <c r="F400" s="7">
        <v>0</v>
      </c>
      <c r="G400" s="7">
        <v>0</v>
      </c>
      <c r="H400" s="7">
        <v>0</v>
      </c>
      <c r="I400" s="7">
        <v>0</v>
      </c>
      <c r="J400" s="7">
        <v>0</v>
      </c>
      <c r="K400" s="7">
        <v>0</v>
      </c>
      <c r="L400" s="7">
        <v>0</v>
      </c>
      <c r="M400" s="7">
        <v>0</v>
      </c>
      <c r="N400" s="7">
        <v>0</v>
      </c>
      <c r="O400" s="7">
        <v>0</v>
      </c>
      <c r="P400" s="7">
        <v>0</v>
      </c>
      <c r="Q400" s="7">
        <v>0</v>
      </c>
      <c r="R400" s="7">
        <v>0</v>
      </c>
      <c r="S400" s="7">
        <v>0</v>
      </c>
    </row>
    <row r="401">
      <c r="A401" s="14" t="s">
        <v>441</v>
      </c>
      <c r="B401" s="2" t="s">
        <v>399</v>
      </c>
      <c r="C401" s="7">
        <v>0</v>
      </c>
      <c r="D401" s="7">
        <v>0</v>
      </c>
      <c r="E401" s="7">
        <v>0</v>
      </c>
      <c r="F401" s="7">
        <v>0</v>
      </c>
      <c r="G401" s="7">
        <v>0</v>
      </c>
      <c r="H401" s="7">
        <v>0</v>
      </c>
      <c r="I401" s="7">
        <v>0</v>
      </c>
      <c r="J401" s="7">
        <v>0</v>
      </c>
      <c r="K401" s="7">
        <v>0</v>
      </c>
      <c r="L401" s="7">
        <v>0</v>
      </c>
      <c r="M401" s="7">
        <v>0</v>
      </c>
      <c r="N401" s="7">
        <v>0</v>
      </c>
      <c r="O401" s="7">
        <v>0</v>
      </c>
      <c r="P401" s="7">
        <v>0</v>
      </c>
      <c r="Q401" s="7">
        <v>0</v>
      </c>
      <c r="R401" s="7">
        <v>0</v>
      </c>
      <c r="S401" s="7">
        <v>0</v>
      </c>
    </row>
    <row r="402">
      <c r="A402" s="14" t="s">
        <v>442</v>
      </c>
      <c r="B402" s="2" t="s">
        <v>399</v>
      </c>
      <c r="C402" s="7">
        <v>0</v>
      </c>
      <c r="D402" s="7">
        <v>0</v>
      </c>
      <c r="E402" s="7">
        <v>0</v>
      </c>
      <c r="F402" s="7">
        <v>0</v>
      </c>
      <c r="G402" s="7">
        <v>0</v>
      </c>
      <c r="H402" s="7">
        <v>0</v>
      </c>
      <c r="I402" s="7">
        <v>0</v>
      </c>
      <c r="J402" s="7">
        <v>0</v>
      </c>
      <c r="K402" s="7">
        <v>0</v>
      </c>
      <c r="L402" s="7">
        <v>0</v>
      </c>
      <c r="M402" s="7">
        <v>0</v>
      </c>
      <c r="N402" s="7">
        <v>0</v>
      </c>
      <c r="O402" s="7">
        <v>0</v>
      </c>
      <c r="P402" s="7">
        <v>0</v>
      </c>
      <c r="Q402" s="7">
        <v>0</v>
      </c>
      <c r="R402" s="7">
        <v>0</v>
      </c>
      <c r="S402" s="7">
        <v>0</v>
      </c>
    </row>
    <row r="403">
      <c r="A403" s="14" t="s">
        <v>443</v>
      </c>
      <c r="B403" s="2" t="s">
        <v>399</v>
      </c>
      <c r="C403" s="7">
        <v>0</v>
      </c>
      <c r="D403" s="7">
        <v>0</v>
      </c>
      <c r="E403" s="7">
        <v>0</v>
      </c>
      <c r="F403" s="7">
        <v>0</v>
      </c>
      <c r="G403" s="7">
        <v>0</v>
      </c>
      <c r="H403" s="7">
        <v>0</v>
      </c>
      <c r="I403" s="7">
        <v>0</v>
      </c>
      <c r="J403" s="7">
        <v>0</v>
      </c>
      <c r="K403" s="7">
        <v>0</v>
      </c>
      <c r="L403" s="7">
        <v>0</v>
      </c>
      <c r="M403" s="7">
        <v>0</v>
      </c>
      <c r="N403" s="7">
        <v>0</v>
      </c>
      <c r="O403" s="7">
        <v>0</v>
      </c>
      <c r="P403" s="7">
        <v>0</v>
      </c>
      <c r="Q403" s="7">
        <v>0</v>
      </c>
      <c r="R403" s="7">
        <v>0</v>
      </c>
      <c r="S403" s="7">
        <v>0</v>
      </c>
    </row>
    <row r="404">
      <c r="A404" s="14" t="s">
        <v>444</v>
      </c>
      <c r="B404" s="2" t="s">
        <v>399</v>
      </c>
      <c r="C404" s="7">
        <v>0</v>
      </c>
      <c r="D404" s="7">
        <v>0</v>
      </c>
      <c r="E404" s="7">
        <v>0</v>
      </c>
      <c r="F404" s="7">
        <v>0</v>
      </c>
      <c r="G404" s="7">
        <v>0</v>
      </c>
      <c r="H404" s="7">
        <v>0</v>
      </c>
      <c r="I404" s="7">
        <v>0</v>
      </c>
      <c r="J404" s="7">
        <v>0</v>
      </c>
      <c r="K404" s="7">
        <v>0</v>
      </c>
      <c r="L404" s="7">
        <v>0</v>
      </c>
      <c r="M404" s="7">
        <v>0</v>
      </c>
      <c r="N404" s="7">
        <v>0</v>
      </c>
      <c r="O404" s="7">
        <v>0</v>
      </c>
      <c r="P404" s="7">
        <v>0</v>
      </c>
      <c r="Q404" s="7">
        <v>0</v>
      </c>
      <c r="R404" s="7">
        <v>0</v>
      </c>
      <c r="S404" s="7">
        <v>0</v>
      </c>
    </row>
    <row r="405">
      <c r="A405" s="15" t="s">
        <v>445</v>
      </c>
      <c r="C405" s="8">
        <f>SUM(C312:C353)</f>
        <v>8328</v>
      </c>
      <c r="D405" s="8">
        <f>SUM(D312:D353)</f>
        <v>7840</v>
      </c>
      <c r="E405" s="8">
        <f>SUM(E312:E353)</f>
        <v>15926</v>
      </c>
      <c r="F405" s="8">
        <f>SUM(F312:F353)</f>
        <v>19404</v>
      </c>
      <c r="G405" s="8">
        <f>SUM(G312:G353)</f>
        <v>21094</v>
      </c>
      <c r="H405" s="8">
        <f>SUM(H312:H353)</f>
        <v>12452</v>
      </c>
      <c r="I405" s="8">
        <f>SUM(I312:I353)</f>
        <v>11332</v>
      </c>
      <c r="J405" s="8">
        <f>SUM(J312:J353)</f>
        <v>8709</v>
      </c>
      <c r="K405" s="8">
        <f>SUM(K312:K353)</f>
        <v>11212</v>
      </c>
      <c r="L405" s="8">
        <f>SUM(L312:L353)</f>
        <v>10623</v>
      </c>
      <c r="M405" s="8">
        <f>SUM(M312:M353)</f>
        <v>13723</v>
      </c>
      <c r="N405" s="8">
        <f>SUM(N312:N353)</f>
        <v>7706</v>
      </c>
      <c r="O405" s="8">
        <f>SUM(O312:O353)</f>
        <v>8601</v>
      </c>
      <c r="P405" s="8">
        <f>SUM(P312:P353)</f>
        <v>5511</v>
      </c>
      <c r="Q405" s="8">
        <f>SUM(Q312:Q353)</f>
        <v>5172</v>
      </c>
      <c r="R405" s="8">
        <f>SUM(R312:R353)</f>
        <v>8270</v>
      </c>
      <c r="S405" s="8">
        <f>SUM(S312:S353)</f>
        <v>8283</v>
      </c>
    </row>
    <row r="406">
      <c r="A406" s="15" t="s">
        <v>446</v>
      </c>
      <c r="C406" s="8">
        <f>SUM(C354:C358)</f>
        <v>4902</v>
      </c>
      <c r="D406" s="8">
        <f>SUM(D354:D358)</f>
        <v>5368</v>
      </c>
      <c r="E406" s="8">
        <f>SUM(E354:E358)</f>
        <v>5614</v>
      </c>
      <c r="F406" s="8">
        <f>SUM(F354:F358)</f>
        <v>6280</v>
      </c>
      <c r="G406" s="8">
        <f>SUM(G354:G358)</f>
        <v>6463</v>
      </c>
      <c r="H406" s="8">
        <f>SUM(H354:H358)</f>
        <v>6914</v>
      </c>
      <c r="I406" s="8">
        <f>SUM(I354:I358)</f>
        <v>7916</v>
      </c>
      <c r="J406" s="8">
        <f>SUM(J354:J358)</f>
        <v>6948</v>
      </c>
      <c r="K406" s="8">
        <f>SUM(K354:K358)</f>
        <v>8185</v>
      </c>
      <c r="L406" s="8">
        <f>SUM(L354:L358)</f>
        <v>7250</v>
      </c>
      <c r="M406" s="8">
        <f>SUM(M354:M358)</f>
        <v>7311</v>
      </c>
      <c r="N406" s="8">
        <f>SUM(N354:N358)</f>
        <v>7336</v>
      </c>
      <c r="O406" s="8">
        <f>SUM(O354:O358)</f>
        <v>6503</v>
      </c>
      <c r="P406" s="8">
        <f>SUM(P354:P358)</f>
        <v>6558</v>
      </c>
      <c r="Q406" s="8">
        <f>SUM(Q354:Q358)</f>
        <v>6400</v>
      </c>
      <c r="R406" s="8">
        <f>SUM(R354:R358)</f>
        <v>6400</v>
      </c>
      <c r="S406" s="8">
        <f>SUM(S354:S358)</f>
        <v>6400</v>
      </c>
    </row>
    <row r="407">
      <c r="A407" s="15" t="s">
        <v>447</v>
      </c>
      <c r="C407" s="8">
        <f>SUM(C359:C404)</f>
        <v>15410</v>
      </c>
      <c r="D407" s="8">
        <f>SUM(D359:D404)</f>
        <v>12540</v>
      </c>
      <c r="E407" s="8">
        <f>SUM(E359:E404)</f>
        <v>13825</v>
      </c>
      <c r="F407" s="8">
        <f>SUM(F359:F404)</f>
        <v>15500</v>
      </c>
      <c r="G407" s="8">
        <f>SUM(G359:G404)</f>
        <v>15575</v>
      </c>
      <c r="H407" s="8">
        <f>SUM(H359:H404)</f>
        <v>15585</v>
      </c>
      <c r="I407" s="8">
        <f>SUM(I359:I404)</f>
        <v>17205</v>
      </c>
      <c r="J407" s="8">
        <f>SUM(J359:J404)</f>
        <v>16294</v>
      </c>
      <c r="K407" s="8">
        <f>SUM(K359:K404)</f>
        <v>17549</v>
      </c>
      <c r="L407" s="8">
        <f>SUM(L359:L404)</f>
        <v>17935</v>
      </c>
      <c r="M407" s="8">
        <f>SUM(M359:M404)</f>
        <v>16460</v>
      </c>
      <c r="N407" s="8">
        <f>SUM(N359:N404)</f>
        <v>16898</v>
      </c>
      <c r="O407" s="8">
        <f>SUM(O359:O404)</f>
        <v>11830</v>
      </c>
      <c r="P407" s="8">
        <f>SUM(P359:P404)</f>
        <v>11052</v>
      </c>
      <c r="Q407" s="8">
        <f>SUM(Q359:Q404)</f>
        <v>10438</v>
      </c>
      <c r="R407" s="8">
        <f>SUM(R359:R404)</f>
        <v>9700</v>
      </c>
      <c r="S407" s="8">
        <f>SUM(S359:S404)</f>
        <v>11600</v>
      </c>
    </row>
    <row r="408">
      <c r="A408" s="15" t="s">
        <v>448</v>
      </c>
      <c r="C408" s="21">
        <f>C405+C406+C407</f>
        <v>28640</v>
      </c>
      <c r="D408" s="21">
        <f>D405+D406+D407</f>
        <v>25748</v>
      </c>
      <c r="E408" s="21">
        <f>E405+E406+E407</f>
        <v>35365</v>
      </c>
      <c r="F408" s="21">
        <f>F405+F406+F407</f>
        <v>41184</v>
      </c>
      <c r="G408" s="21">
        <f>G405+G406+G407</f>
        <v>43132</v>
      </c>
      <c r="H408" s="21">
        <f>H405+H406+H407</f>
        <v>34951</v>
      </c>
      <c r="I408" s="21">
        <f>I405+I406+I407</f>
        <v>36453</v>
      </c>
      <c r="J408" s="21">
        <f>J405+J406+J407</f>
        <v>31951</v>
      </c>
      <c r="K408" s="21">
        <f>K405+K406+K407</f>
        <v>36946</v>
      </c>
      <c r="L408" s="21">
        <f>L405+L406+L407</f>
        <v>35808</v>
      </c>
      <c r="M408" s="21">
        <f>M405+M406+M407</f>
        <v>37494</v>
      </c>
      <c r="N408" s="21">
        <f>N405+N406+N407</f>
        <v>31940</v>
      </c>
      <c r="O408" s="21">
        <f>O405+O406+O407</f>
        <v>26934</v>
      </c>
      <c r="P408" s="21">
        <f>P405+P406+P407</f>
        <v>23121</v>
      </c>
      <c r="Q408" s="21">
        <f>Q405+Q406+Q407</f>
        <v>22010</v>
      </c>
      <c r="R408" s="21">
        <f>R405+R406+R407</f>
        <v>24370</v>
      </c>
      <c r="S408" s="21">
        <f>S405+S406+S407</f>
        <v>26283</v>
      </c>
    </row>
    <row r="413">
      <c r="A413" s="4" t="s">
        <v>452</v>
      </c>
      <c r="B413" s="3" t="s">
        <v>366</v>
      </c>
      <c r="C413" s="3" t="s">
        <v>41</v>
      </c>
      <c r="D413" s="3" t="s">
        <v>42</v>
      </c>
      <c r="E413" s="3" t="s">
        <v>43</v>
      </c>
      <c r="F413" s="3" t="s">
        <v>44</v>
      </c>
      <c r="G413" s="3" t="s">
        <v>45</v>
      </c>
      <c r="H413" s="3" t="s">
        <v>46</v>
      </c>
      <c r="I413" s="3" t="s">
        <v>47</v>
      </c>
      <c r="J413" s="3" t="s">
        <v>48</v>
      </c>
      <c r="K413" s="3" t="s">
        <v>49</v>
      </c>
      <c r="L413" s="3" t="s">
        <v>50</v>
      </c>
      <c r="M413" s="3" t="s">
        <v>51</v>
      </c>
      <c r="N413" s="3" t="s">
        <v>52</v>
      </c>
      <c r="O413" s="3" t="s">
        <v>53</v>
      </c>
      <c r="P413" s="3" t="s">
        <v>54</v>
      </c>
      <c r="Q413" s="3" t="s">
        <v>55</v>
      </c>
      <c r="R413" s="3" t="s">
        <v>56</v>
      </c>
      <c r="S413" s="3" t="s">
        <v>85</v>
      </c>
    </row>
    <row r="414">
      <c r="A414" s="14" t="s">
        <v>367</v>
      </c>
      <c r="B414" s="2" t="s">
        <v>368</v>
      </c>
      <c r="C414" s="7">
        <v>19420</v>
      </c>
      <c r="D414" s="7">
        <v>20025</v>
      </c>
      <c r="E414" s="7">
        <v>20110</v>
      </c>
      <c r="F414" s="7">
        <v>20210</v>
      </c>
      <c r="G414" s="7">
        <v>20420</v>
      </c>
      <c r="H414" s="7">
        <v>20855</v>
      </c>
      <c r="I414" s="7">
        <v>21625</v>
      </c>
      <c r="J414" s="7">
        <v>22420</v>
      </c>
      <c r="K414" s="7">
        <v>23200</v>
      </c>
      <c r="L414" s="7">
        <v>22994</v>
      </c>
      <c r="M414" s="7">
        <v>22280</v>
      </c>
      <c r="N414" s="7">
        <v>22340</v>
      </c>
      <c r="O414" s="7">
        <v>22450</v>
      </c>
      <c r="P414" s="7">
        <v>22160</v>
      </c>
      <c r="Q414" s="7">
        <v>21970</v>
      </c>
      <c r="R414" s="7">
        <v>22280</v>
      </c>
      <c r="S414" s="7">
        <v>22390</v>
      </c>
    </row>
    <row r="415">
      <c r="A415" s="14" t="s">
        <v>96</v>
      </c>
      <c r="B415" s="2" t="s">
        <v>368</v>
      </c>
      <c r="C415" s="7">
        <v>1337</v>
      </c>
      <c r="D415" s="7">
        <v>1665</v>
      </c>
      <c r="E415" s="7">
        <v>1825</v>
      </c>
      <c r="F415" s="7">
        <v>2008</v>
      </c>
      <c r="G415" s="7">
        <v>2217</v>
      </c>
      <c r="H415" s="7">
        <v>2630</v>
      </c>
      <c r="I415" s="7">
        <v>2770</v>
      </c>
      <c r="J415" s="7">
        <v>2880</v>
      </c>
      <c r="K415" s="7">
        <v>2940</v>
      </c>
      <c r="L415" s="7">
        <v>3100</v>
      </c>
      <c r="M415" s="7">
        <v>2720</v>
      </c>
      <c r="N415" s="7">
        <v>3200</v>
      </c>
      <c r="O415" s="7">
        <v>3200</v>
      </c>
      <c r="P415" s="7">
        <v>3900</v>
      </c>
      <c r="Q415" s="7">
        <v>4800</v>
      </c>
      <c r="R415" s="7">
        <v>4900</v>
      </c>
      <c r="S415" s="7">
        <v>5000</v>
      </c>
    </row>
    <row r="416">
      <c r="A416" s="14" t="s">
        <v>369</v>
      </c>
      <c r="B416" s="2" t="s">
        <v>368</v>
      </c>
      <c r="C416" s="7">
        <v>1120</v>
      </c>
      <c r="D416" s="7">
        <v>1260</v>
      </c>
      <c r="E416" s="7">
        <v>1200</v>
      </c>
      <c r="F416" s="7">
        <v>1300</v>
      </c>
      <c r="G416" s="7">
        <v>1400</v>
      </c>
      <c r="H416" s="7">
        <v>1415</v>
      </c>
      <c r="I416" s="7">
        <v>1450</v>
      </c>
      <c r="J416" s="7">
        <v>1650</v>
      </c>
      <c r="K416" s="7">
        <v>1925</v>
      </c>
      <c r="L416" s="7">
        <v>1775</v>
      </c>
      <c r="M416" s="7">
        <v>2080</v>
      </c>
      <c r="N416" s="7">
        <v>2145</v>
      </c>
      <c r="O416" s="7">
        <v>2150</v>
      </c>
      <c r="P416" s="7">
        <v>2225</v>
      </c>
      <c r="Q416" s="7">
        <v>2149</v>
      </c>
      <c r="R416" s="7">
        <v>2200</v>
      </c>
      <c r="S416" s="7">
        <v>2200</v>
      </c>
    </row>
    <row r="417">
      <c r="A417" s="14" t="s">
        <v>370</v>
      </c>
      <c r="B417" s="2" t="s">
        <v>368</v>
      </c>
      <c r="C417" s="7">
        <v>2860</v>
      </c>
      <c r="D417" s="7">
        <v>3050</v>
      </c>
      <c r="E417" s="7">
        <v>3130</v>
      </c>
      <c r="F417" s="7">
        <v>3120</v>
      </c>
      <c r="G417" s="7">
        <v>2985</v>
      </c>
      <c r="H417" s="7">
        <v>3110</v>
      </c>
      <c r="I417" s="7">
        <v>3100</v>
      </c>
      <c r="J417" s="7">
        <v>3150</v>
      </c>
      <c r="K417" s="7">
        <v>3193</v>
      </c>
      <c r="L417" s="7">
        <v>3140</v>
      </c>
      <c r="M417" s="7">
        <v>3000</v>
      </c>
      <c r="N417" s="7">
        <v>3364</v>
      </c>
      <c r="O417" s="7">
        <v>3430</v>
      </c>
      <c r="P417" s="7">
        <v>3500</v>
      </c>
      <c r="Q417" s="7">
        <v>4000</v>
      </c>
      <c r="R417" s="7">
        <v>4500</v>
      </c>
      <c r="S417" s="7">
        <v>5000</v>
      </c>
    </row>
    <row r="418">
      <c r="A418" s="14" t="s">
        <v>371</v>
      </c>
      <c r="B418" s="2" t="s">
        <v>368</v>
      </c>
      <c r="C418" s="7">
        <v>1650</v>
      </c>
      <c r="D418" s="7">
        <v>2125</v>
      </c>
      <c r="E418" s="7">
        <v>2815</v>
      </c>
      <c r="F418" s="7">
        <v>2540</v>
      </c>
      <c r="G418" s="7">
        <v>2900</v>
      </c>
      <c r="H418" s="7">
        <v>3175</v>
      </c>
      <c r="I418" s="7">
        <v>3203</v>
      </c>
      <c r="J418" s="7">
        <v>3560</v>
      </c>
      <c r="K418" s="7">
        <v>4300</v>
      </c>
      <c r="L418" s="7">
        <v>4900</v>
      </c>
      <c r="M418" s="7">
        <v>4450</v>
      </c>
      <c r="N418" s="7">
        <v>4750</v>
      </c>
      <c r="O418" s="7">
        <v>4771</v>
      </c>
      <c r="P418" s="7">
        <v>4775</v>
      </c>
      <c r="Q418" s="7">
        <v>4873</v>
      </c>
      <c r="R418" s="7">
        <v>4810</v>
      </c>
      <c r="S418" s="7">
        <v>4830</v>
      </c>
    </row>
    <row r="419">
      <c r="A419" s="14" t="s">
        <v>372</v>
      </c>
      <c r="B419" s="2" t="s">
        <v>368</v>
      </c>
      <c r="C419" s="7">
        <v>150</v>
      </c>
      <c r="D419" s="7">
        <v>150</v>
      </c>
      <c r="E419" s="7">
        <v>200</v>
      </c>
      <c r="F419" s="7">
        <v>220</v>
      </c>
      <c r="G419" s="7">
        <v>230</v>
      </c>
      <c r="H419" s="7">
        <v>250</v>
      </c>
      <c r="I419" s="7">
        <v>250</v>
      </c>
      <c r="J419" s="7">
        <v>250</v>
      </c>
      <c r="K419" s="7">
        <v>250</v>
      </c>
      <c r="L419" s="7">
        <v>100</v>
      </c>
      <c r="M419" s="7">
        <v>100</v>
      </c>
      <c r="N419" s="7">
        <v>125</v>
      </c>
      <c r="O419" s="7">
        <v>300</v>
      </c>
      <c r="P419" s="7">
        <v>325</v>
      </c>
      <c r="Q419" s="7">
        <v>325</v>
      </c>
      <c r="R419" s="7">
        <v>330</v>
      </c>
      <c r="S419" s="7">
        <v>335</v>
      </c>
    </row>
    <row r="420">
      <c r="A420" s="14" t="s">
        <v>373</v>
      </c>
      <c r="B420" s="2" t="s">
        <v>368</v>
      </c>
      <c r="C420" s="7">
        <v>1231</v>
      </c>
      <c r="D420" s="7">
        <v>1168</v>
      </c>
      <c r="E420" s="7">
        <v>1100</v>
      </c>
      <c r="F420" s="7">
        <v>1170</v>
      </c>
      <c r="G420" s="7">
        <v>1191</v>
      </c>
      <c r="H420" s="7">
        <v>1250</v>
      </c>
      <c r="I420" s="7">
        <v>1200</v>
      </c>
      <c r="J420" s="7">
        <v>1215</v>
      </c>
      <c r="K420" s="7">
        <v>1250</v>
      </c>
      <c r="L420" s="7">
        <v>1170</v>
      </c>
      <c r="M420" s="7">
        <v>1180</v>
      </c>
      <c r="N420" s="7">
        <v>875</v>
      </c>
      <c r="O420" s="7">
        <v>900</v>
      </c>
      <c r="P420" s="7">
        <v>1250</v>
      </c>
      <c r="Q420" s="7">
        <v>1150</v>
      </c>
      <c r="R420" s="7">
        <v>1575</v>
      </c>
      <c r="S420" s="7">
        <v>1580</v>
      </c>
    </row>
    <row r="421">
      <c r="A421" s="14" t="s">
        <v>102</v>
      </c>
      <c r="B421" s="2" t="s">
        <v>368</v>
      </c>
      <c r="C421" s="7">
        <v>286</v>
      </c>
      <c r="D421" s="7">
        <v>265</v>
      </c>
      <c r="E421" s="7">
        <v>210</v>
      </c>
      <c r="F421" s="7">
        <v>315</v>
      </c>
      <c r="G421" s="7">
        <v>320</v>
      </c>
      <c r="H421" s="7">
        <v>345</v>
      </c>
      <c r="I421" s="7">
        <v>375</v>
      </c>
      <c r="J421" s="7">
        <v>375</v>
      </c>
      <c r="K421" s="7">
        <v>365</v>
      </c>
      <c r="L421" s="7">
        <v>366</v>
      </c>
      <c r="M421" s="7">
        <v>369</v>
      </c>
      <c r="N421" s="7">
        <v>373</v>
      </c>
      <c r="O421" s="7">
        <v>367</v>
      </c>
      <c r="P421" s="7">
        <v>340</v>
      </c>
      <c r="Q421" s="7">
        <v>335</v>
      </c>
      <c r="R421" s="7">
        <v>380</v>
      </c>
      <c r="S421" s="7">
        <v>415</v>
      </c>
    </row>
    <row r="422">
      <c r="A422" s="14" t="s">
        <v>374</v>
      </c>
      <c r="B422" s="2" t="s">
        <v>368</v>
      </c>
      <c r="C422" s="7">
        <v>170</v>
      </c>
      <c r="D422" s="7">
        <v>170</v>
      </c>
      <c r="E422" s="7">
        <v>170</v>
      </c>
      <c r="F422" s="7">
        <v>170</v>
      </c>
      <c r="G422" s="7">
        <v>170</v>
      </c>
      <c r="H422" s="7">
        <v>160</v>
      </c>
      <c r="I422" s="7">
        <v>169</v>
      </c>
      <c r="J422" s="7">
        <v>180</v>
      </c>
      <c r="K422" s="7">
        <v>170</v>
      </c>
      <c r="L422" s="7">
        <v>210</v>
      </c>
      <c r="M422" s="7">
        <v>222</v>
      </c>
      <c r="N422" s="7">
        <v>245</v>
      </c>
      <c r="O422" s="7">
        <v>240</v>
      </c>
      <c r="P422" s="7">
        <v>282</v>
      </c>
      <c r="Q422" s="7">
        <v>292</v>
      </c>
      <c r="R422" s="7">
        <v>300</v>
      </c>
      <c r="S422" s="7">
        <v>305</v>
      </c>
    </row>
    <row r="423">
      <c r="A423" s="14" t="s">
        <v>375</v>
      </c>
      <c r="B423" s="2" t="s">
        <v>368</v>
      </c>
      <c r="C423" s="7">
        <v>2620</v>
      </c>
      <c r="D423" s="7">
        <v>2287</v>
      </c>
      <c r="E423" s="7">
        <v>2170</v>
      </c>
      <c r="F423" s="7">
        <v>2731</v>
      </c>
      <c r="G423" s="7">
        <v>2339</v>
      </c>
      <c r="H423" s="7">
        <v>2325</v>
      </c>
      <c r="I423" s="7">
        <v>2057</v>
      </c>
      <c r="J423" s="7">
        <v>2295</v>
      </c>
      <c r="K423" s="7">
        <v>2580</v>
      </c>
      <c r="L423" s="7">
        <v>2620</v>
      </c>
      <c r="M423" s="7">
        <v>2589</v>
      </c>
      <c r="N423" s="7">
        <v>2850</v>
      </c>
      <c r="O423" s="7">
        <v>3035</v>
      </c>
      <c r="P423" s="7">
        <v>3100</v>
      </c>
      <c r="Q423" s="7">
        <v>3100</v>
      </c>
      <c r="R423" s="7">
        <v>3160</v>
      </c>
      <c r="S423" s="7">
        <v>3240</v>
      </c>
    </row>
    <row r="424">
      <c r="A424" s="14" t="s">
        <v>105</v>
      </c>
      <c r="B424" s="2" t="s">
        <v>368</v>
      </c>
      <c r="C424" s="7">
        <v>425</v>
      </c>
      <c r="D424" s="7">
        <v>600</v>
      </c>
      <c r="E424" s="7">
        <v>600</v>
      </c>
      <c r="F424" s="7">
        <v>552</v>
      </c>
      <c r="G424" s="7">
        <v>500</v>
      </c>
      <c r="H424" s="7">
        <v>430</v>
      </c>
      <c r="I424" s="7">
        <v>455</v>
      </c>
      <c r="J424" s="7">
        <v>485</v>
      </c>
      <c r="K424" s="7">
        <v>495</v>
      </c>
      <c r="L424" s="7">
        <v>635</v>
      </c>
      <c r="M424" s="7">
        <v>609</v>
      </c>
      <c r="N424" s="7">
        <v>625</v>
      </c>
      <c r="O424" s="7">
        <v>600</v>
      </c>
      <c r="P424" s="7">
        <v>718</v>
      </c>
      <c r="Q424" s="7">
        <v>861</v>
      </c>
      <c r="R424" s="7">
        <v>875</v>
      </c>
      <c r="S424" s="7">
        <v>900</v>
      </c>
    </row>
    <row r="425">
      <c r="A425" s="14" t="s">
        <v>106</v>
      </c>
      <c r="B425" s="2" t="s">
        <v>368</v>
      </c>
      <c r="C425" s="7">
        <v>130</v>
      </c>
      <c r="D425" s="7">
        <v>110</v>
      </c>
      <c r="E425" s="7">
        <v>105</v>
      </c>
      <c r="F425" s="7">
        <v>100</v>
      </c>
      <c r="G425" s="7">
        <v>150</v>
      </c>
      <c r="H425" s="7">
        <v>160</v>
      </c>
      <c r="I425" s="7">
        <v>180</v>
      </c>
      <c r="J425" s="7">
        <v>170</v>
      </c>
      <c r="K425" s="7">
        <v>180</v>
      </c>
      <c r="L425" s="7">
        <v>150</v>
      </c>
      <c r="M425" s="7">
        <v>175</v>
      </c>
      <c r="N425" s="7">
        <v>165</v>
      </c>
      <c r="O425" s="7">
        <v>155</v>
      </c>
      <c r="P425" s="7">
        <v>160</v>
      </c>
      <c r="Q425" s="7">
        <v>160</v>
      </c>
      <c r="R425" s="7">
        <v>160</v>
      </c>
      <c r="S425" s="7">
        <v>160</v>
      </c>
    </row>
    <row r="426">
      <c r="A426" s="14" t="s">
        <v>376</v>
      </c>
      <c r="B426" s="2" t="s">
        <v>368</v>
      </c>
      <c r="C426" s="7">
        <v>35</v>
      </c>
      <c r="D426" s="7">
        <v>45</v>
      </c>
      <c r="E426" s="7">
        <v>50</v>
      </c>
      <c r="F426" s="7">
        <v>50</v>
      </c>
      <c r="G426" s="7">
        <v>50</v>
      </c>
      <c r="H426" s="7">
        <v>52</v>
      </c>
      <c r="I426" s="7">
        <v>50</v>
      </c>
      <c r="J426" s="7">
        <v>50</v>
      </c>
      <c r="K426" s="7">
        <v>50</v>
      </c>
      <c r="L426" s="7">
        <v>50</v>
      </c>
      <c r="M426" s="7">
        <v>75</v>
      </c>
      <c r="N426" s="7">
        <v>40</v>
      </c>
      <c r="O426" s="7">
        <v>75</v>
      </c>
      <c r="P426" s="7">
        <v>77</v>
      </c>
      <c r="Q426" s="7">
        <v>77</v>
      </c>
      <c r="R426" s="7">
        <v>85</v>
      </c>
      <c r="S426" s="7">
        <v>90</v>
      </c>
    </row>
    <row r="427">
      <c r="A427" s="14" t="s">
        <v>377</v>
      </c>
      <c r="B427" s="2" t="s">
        <v>368</v>
      </c>
      <c r="C427" s="7">
        <v>455</v>
      </c>
      <c r="D427" s="7">
        <v>625</v>
      </c>
      <c r="E427" s="7">
        <v>625</v>
      </c>
      <c r="F427" s="7">
        <v>660</v>
      </c>
      <c r="G427" s="7">
        <v>665</v>
      </c>
      <c r="H427" s="7">
        <v>665</v>
      </c>
      <c r="I427" s="7">
        <v>670</v>
      </c>
      <c r="J427" s="7">
        <v>600</v>
      </c>
      <c r="K427" s="7">
        <v>850</v>
      </c>
      <c r="L427" s="7">
        <v>635</v>
      </c>
      <c r="M427" s="7">
        <v>800</v>
      </c>
      <c r="N427" s="7">
        <v>750</v>
      </c>
      <c r="O427" s="7">
        <v>675</v>
      </c>
      <c r="P427" s="7">
        <v>400</v>
      </c>
      <c r="Q427" s="7">
        <v>470</v>
      </c>
      <c r="R427" s="7">
        <v>500</v>
      </c>
      <c r="S427" s="7">
        <v>600</v>
      </c>
    </row>
    <row r="428">
      <c r="A428" s="14" t="s">
        <v>378</v>
      </c>
      <c r="B428" s="2" t="s">
        <v>368</v>
      </c>
      <c r="C428" s="7">
        <v>300</v>
      </c>
      <c r="D428" s="7">
        <v>300</v>
      </c>
      <c r="E428" s="7">
        <v>108</v>
      </c>
      <c r="F428" s="7">
        <v>100</v>
      </c>
      <c r="G428" s="7">
        <v>75</v>
      </c>
      <c r="H428" s="7">
        <v>75</v>
      </c>
      <c r="I428" s="7">
        <v>100</v>
      </c>
      <c r="J428" s="7">
        <v>80</v>
      </c>
      <c r="K428" s="7">
        <v>35</v>
      </c>
      <c r="L428" s="7">
        <v>75</v>
      </c>
      <c r="M428" s="7">
        <v>45</v>
      </c>
      <c r="N428" s="7">
        <v>50</v>
      </c>
      <c r="O428" s="7">
        <v>50</v>
      </c>
      <c r="P428" s="7">
        <v>50</v>
      </c>
      <c r="Q428" s="7">
        <v>55</v>
      </c>
      <c r="R428" s="7">
        <v>50</v>
      </c>
      <c r="S428" s="7">
        <v>50</v>
      </c>
    </row>
    <row r="429">
      <c r="A429" s="14" t="s">
        <v>110</v>
      </c>
      <c r="B429" s="2" t="s">
        <v>368</v>
      </c>
      <c r="C429" s="7">
        <v>433</v>
      </c>
      <c r="D429" s="7">
        <v>359</v>
      </c>
      <c r="E429" s="7">
        <v>369</v>
      </c>
      <c r="F429" s="7">
        <v>455</v>
      </c>
      <c r="G429" s="7">
        <v>397</v>
      </c>
      <c r="H429" s="7">
        <v>385</v>
      </c>
      <c r="I429" s="7">
        <v>390</v>
      </c>
      <c r="J429" s="7">
        <v>377</v>
      </c>
      <c r="K429" s="7">
        <v>430</v>
      </c>
      <c r="L429" s="7">
        <v>463</v>
      </c>
      <c r="M429" s="7">
        <v>485</v>
      </c>
      <c r="N429" s="7">
        <v>350</v>
      </c>
      <c r="O429" s="7">
        <v>380</v>
      </c>
      <c r="P429" s="7">
        <v>297</v>
      </c>
      <c r="Q429" s="7">
        <v>315</v>
      </c>
      <c r="R429" s="7">
        <v>320</v>
      </c>
      <c r="S429" s="7">
        <v>320</v>
      </c>
    </row>
    <row r="430">
      <c r="A430" s="14" t="s">
        <v>111</v>
      </c>
      <c r="B430" s="2" t="s">
        <v>368</v>
      </c>
      <c r="C430" s="7">
        <v>50</v>
      </c>
      <c r="D430" s="7">
        <v>60</v>
      </c>
      <c r="E430" s="7">
        <v>37</v>
      </c>
      <c r="F430" s="7">
        <v>30</v>
      </c>
      <c r="G430" s="7">
        <v>31</v>
      </c>
      <c r="H430" s="7">
        <v>37</v>
      </c>
      <c r="I430" s="7">
        <v>46</v>
      </c>
      <c r="J430" s="7">
        <v>44</v>
      </c>
      <c r="K430" s="7">
        <v>55</v>
      </c>
      <c r="L430" s="7">
        <v>36</v>
      </c>
      <c r="M430" s="7">
        <v>81</v>
      </c>
      <c r="N430" s="7">
        <v>48</v>
      </c>
      <c r="O430" s="7">
        <v>47</v>
      </c>
      <c r="P430" s="7">
        <v>55</v>
      </c>
      <c r="Q430" s="7">
        <v>58</v>
      </c>
      <c r="R430" s="7">
        <v>62</v>
      </c>
      <c r="S430" s="7">
        <v>62</v>
      </c>
    </row>
    <row r="431">
      <c r="A431" s="14" t="s">
        <v>379</v>
      </c>
      <c r="B431" s="2" t="s">
        <v>368</v>
      </c>
      <c r="C431" s="7">
        <v>485</v>
      </c>
      <c r="D431" s="7">
        <v>470</v>
      </c>
      <c r="E431" s="7">
        <v>510</v>
      </c>
      <c r="F431" s="7">
        <v>515</v>
      </c>
      <c r="G431" s="7">
        <v>545</v>
      </c>
      <c r="H431" s="7">
        <v>555</v>
      </c>
      <c r="I431" s="7">
        <v>530</v>
      </c>
      <c r="J431" s="7">
        <v>635</v>
      </c>
      <c r="K431" s="7">
        <v>770</v>
      </c>
      <c r="L431" s="7">
        <v>800</v>
      </c>
      <c r="M431" s="7">
        <v>650</v>
      </c>
      <c r="N431" s="7">
        <v>725</v>
      </c>
      <c r="O431" s="7">
        <v>730</v>
      </c>
      <c r="P431" s="7">
        <v>880</v>
      </c>
      <c r="Q431" s="7">
        <v>930</v>
      </c>
      <c r="R431" s="7">
        <v>925</v>
      </c>
      <c r="S431" s="7">
        <v>1125</v>
      </c>
    </row>
    <row r="432">
      <c r="A432" s="14" t="s">
        <v>380</v>
      </c>
      <c r="B432" s="2" t="s">
        <v>368</v>
      </c>
      <c r="C432" s="7">
        <v>30</v>
      </c>
      <c r="D432" s="7">
        <v>40</v>
      </c>
      <c r="E432" s="7">
        <v>45</v>
      </c>
      <c r="F432" s="7">
        <v>40</v>
      </c>
      <c r="G432" s="7">
        <v>55</v>
      </c>
      <c r="H432" s="7">
        <v>60</v>
      </c>
      <c r="I432" s="7">
        <v>50</v>
      </c>
      <c r="J432" s="7">
        <v>50</v>
      </c>
      <c r="K432" s="7">
        <v>50</v>
      </c>
      <c r="L432" s="7">
        <v>51</v>
      </c>
      <c r="M432" s="7">
        <v>50</v>
      </c>
      <c r="N432" s="7">
        <v>55</v>
      </c>
      <c r="O432" s="7">
        <v>50</v>
      </c>
      <c r="P432" s="7">
        <v>50</v>
      </c>
      <c r="Q432" s="7">
        <v>40</v>
      </c>
      <c r="R432" s="7">
        <v>50</v>
      </c>
      <c r="S432" s="7">
        <v>50</v>
      </c>
    </row>
    <row r="433">
      <c r="A433" s="14" t="s">
        <v>381</v>
      </c>
      <c r="B433" s="2" t="s">
        <v>368</v>
      </c>
      <c r="C433" s="7">
        <v>347</v>
      </c>
      <c r="D433" s="7">
        <v>311</v>
      </c>
      <c r="E433" s="7">
        <v>235</v>
      </c>
      <c r="F433" s="7">
        <v>255</v>
      </c>
      <c r="G433" s="7">
        <v>275</v>
      </c>
      <c r="H433" s="7">
        <v>275</v>
      </c>
      <c r="I433" s="7">
        <v>265</v>
      </c>
      <c r="J433" s="7">
        <v>285</v>
      </c>
      <c r="K433" s="7">
        <v>252</v>
      </c>
      <c r="L433" s="7">
        <v>270</v>
      </c>
      <c r="M433" s="7">
        <v>221</v>
      </c>
      <c r="N433" s="7">
        <v>217</v>
      </c>
      <c r="O433" s="7">
        <v>297</v>
      </c>
      <c r="P433" s="7">
        <v>305</v>
      </c>
      <c r="Q433" s="7">
        <v>318</v>
      </c>
      <c r="R433" s="7">
        <v>332</v>
      </c>
      <c r="S433" s="7">
        <v>339</v>
      </c>
    </row>
    <row r="434">
      <c r="A434" s="14" t="s">
        <v>115</v>
      </c>
      <c r="B434" s="2" t="s">
        <v>368</v>
      </c>
      <c r="C434" s="7">
        <v>100</v>
      </c>
      <c r="D434" s="7">
        <v>100</v>
      </c>
      <c r="E434" s="7">
        <v>100</v>
      </c>
      <c r="F434" s="7">
        <v>110</v>
      </c>
      <c r="G434" s="7">
        <v>100</v>
      </c>
      <c r="H434" s="7">
        <v>100</v>
      </c>
      <c r="I434" s="7">
        <v>100</v>
      </c>
      <c r="J434" s="7">
        <v>100</v>
      </c>
      <c r="K434" s="7">
        <v>95</v>
      </c>
      <c r="L434" s="7">
        <v>100</v>
      </c>
      <c r="M434" s="7">
        <v>85</v>
      </c>
      <c r="N434" s="7">
        <v>85</v>
      </c>
      <c r="O434" s="7">
        <v>85</v>
      </c>
      <c r="P434" s="7">
        <v>80</v>
      </c>
      <c r="Q434" s="7">
        <v>75</v>
      </c>
      <c r="R434" s="7">
        <v>88</v>
      </c>
      <c r="S434" s="7">
        <v>100</v>
      </c>
    </row>
    <row r="435">
      <c r="A435" s="14" t="s">
        <v>382</v>
      </c>
      <c r="B435" s="2" t="s">
        <v>368</v>
      </c>
      <c r="C435" s="7">
        <v>205</v>
      </c>
      <c r="D435" s="7">
        <v>239</v>
      </c>
      <c r="E435" s="7">
        <v>260</v>
      </c>
      <c r="F435" s="7">
        <v>265</v>
      </c>
      <c r="G435" s="7">
        <v>265</v>
      </c>
      <c r="H435" s="7">
        <v>265</v>
      </c>
      <c r="I435" s="7">
        <v>217</v>
      </c>
      <c r="J435" s="7">
        <v>232</v>
      </c>
      <c r="K435" s="7">
        <v>240</v>
      </c>
      <c r="L435" s="7">
        <v>313</v>
      </c>
      <c r="M435" s="7">
        <v>229</v>
      </c>
      <c r="N435" s="7">
        <v>205</v>
      </c>
      <c r="O435" s="7">
        <v>314</v>
      </c>
      <c r="P435" s="7">
        <v>363</v>
      </c>
      <c r="Q435" s="7">
        <v>363</v>
      </c>
      <c r="R435" s="7">
        <v>363</v>
      </c>
      <c r="S435" s="7">
        <v>375</v>
      </c>
    </row>
    <row r="436">
      <c r="A436" s="14" t="s">
        <v>117</v>
      </c>
      <c r="B436" s="2" t="s">
        <v>368</v>
      </c>
      <c r="C436" s="7">
        <v>0</v>
      </c>
      <c r="D436" s="7">
        <v>0</v>
      </c>
      <c r="E436" s="7">
        <v>0</v>
      </c>
      <c r="F436" s="7">
        <v>0</v>
      </c>
      <c r="G436" s="7">
        <v>0</v>
      </c>
      <c r="H436" s="7">
        <v>0</v>
      </c>
      <c r="I436" s="7">
        <v>0</v>
      </c>
      <c r="J436" s="7">
        <v>0</v>
      </c>
      <c r="K436" s="7">
        <v>0</v>
      </c>
      <c r="L436" s="7">
        <v>0</v>
      </c>
      <c r="M436" s="7">
        <v>0</v>
      </c>
      <c r="N436" s="7">
        <v>0</v>
      </c>
      <c r="O436" s="7">
        <v>0</v>
      </c>
      <c r="P436" s="7">
        <v>0</v>
      </c>
      <c r="Q436" s="7">
        <v>0</v>
      </c>
      <c r="R436" s="7">
        <v>0</v>
      </c>
      <c r="S436" s="7">
        <v>0</v>
      </c>
    </row>
    <row r="437">
      <c r="A437" s="14" t="s">
        <v>118</v>
      </c>
      <c r="B437" s="2" t="s">
        <v>368</v>
      </c>
      <c r="C437" s="7">
        <v>455</v>
      </c>
      <c r="D437" s="7">
        <v>450</v>
      </c>
      <c r="E437" s="7">
        <v>425</v>
      </c>
      <c r="F437" s="7">
        <v>392</v>
      </c>
      <c r="G437" s="7">
        <v>390</v>
      </c>
      <c r="H437" s="7">
        <v>208</v>
      </c>
      <c r="I437" s="7">
        <v>215</v>
      </c>
      <c r="J437" s="7">
        <v>225</v>
      </c>
      <c r="K437" s="7">
        <v>275</v>
      </c>
      <c r="L437" s="7">
        <v>300</v>
      </c>
      <c r="M437" s="7">
        <v>270</v>
      </c>
      <c r="N437" s="7">
        <v>299</v>
      </c>
      <c r="O437" s="7">
        <v>325</v>
      </c>
      <c r="P437" s="7">
        <v>280</v>
      </c>
      <c r="Q437" s="7">
        <v>160</v>
      </c>
      <c r="R437" s="7">
        <v>210</v>
      </c>
      <c r="S437" s="7">
        <v>200</v>
      </c>
    </row>
    <row r="438">
      <c r="A438" s="14" t="s">
        <v>383</v>
      </c>
      <c r="B438" s="2" t="s">
        <v>368</v>
      </c>
      <c r="C438" s="7">
        <v>75</v>
      </c>
      <c r="D438" s="7">
        <v>75</v>
      </c>
      <c r="E438" s="7">
        <v>65</v>
      </c>
      <c r="F438" s="7">
        <v>74</v>
      </c>
      <c r="G438" s="7">
        <v>70</v>
      </c>
      <c r="H438" s="7">
        <v>80</v>
      </c>
      <c r="I438" s="7">
        <v>65</v>
      </c>
      <c r="J438" s="7">
        <v>75</v>
      </c>
      <c r="K438" s="7">
        <v>80</v>
      </c>
      <c r="L438" s="7">
        <v>80</v>
      </c>
      <c r="M438" s="7">
        <v>80</v>
      </c>
      <c r="N438" s="7">
        <v>80</v>
      </c>
      <c r="O438" s="7">
        <v>75</v>
      </c>
      <c r="P438" s="7">
        <v>80</v>
      </c>
      <c r="Q438" s="7">
        <v>55</v>
      </c>
      <c r="R438" s="7">
        <v>65</v>
      </c>
      <c r="S438" s="7">
        <v>65</v>
      </c>
    </row>
    <row r="439">
      <c r="A439" s="14" t="s">
        <v>384</v>
      </c>
      <c r="B439" s="2" t="s">
        <v>368</v>
      </c>
      <c r="C439" s="7">
        <v>200</v>
      </c>
      <c r="D439" s="7">
        <v>200</v>
      </c>
      <c r="E439" s="7">
        <v>171</v>
      </c>
      <c r="F439" s="7">
        <v>170</v>
      </c>
      <c r="G439" s="7">
        <v>145</v>
      </c>
      <c r="H439" s="7">
        <v>155</v>
      </c>
      <c r="I439" s="7">
        <v>150</v>
      </c>
      <c r="J439" s="7">
        <v>160</v>
      </c>
      <c r="K439" s="7">
        <v>130</v>
      </c>
      <c r="L439" s="7">
        <v>130</v>
      </c>
      <c r="M439" s="7">
        <v>130</v>
      </c>
      <c r="N439" s="7">
        <v>120</v>
      </c>
      <c r="O439" s="7">
        <v>125</v>
      </c>
      <c r="P439" s="7">
        <v>125</v>
      </c>
      <c r="Q439" s="7">
        <v>100</v>
      </c>
      <c r="R439" s="7">
        <v>100</v>
      </c>
      <c r="S439" s="7">
        <v>100</v>
      </c>
    </row>
    <row r="440">
      <c r="A440" s="14" t="s">
        <v>121</v>
      </c>
      <c r="B440" s="2" t="s">
        <v>368</v>
      </c>
      <c r="C440" s="7">
        <v>8</v>
      </c>
      <c r="D440" s="7">
        <v>5</v>
      </c>
      <c r="E440" s="7">
        <v>5</v>
      </c>
      <c r="F440" s="7">
        <v>5</v>
      </c>
      <c r="G440" s="7">
        <v>5</v>
      </c>
      <c r="H440" s="7">
        <v>5</v>
      </c>
      <c r="I440" s="7">
        <v>5</v>
      </c>
      <c r="J440" s="7">
        <v>5</v>
      </c>
      <c r="K440" s="7">
        <v>5</v>
      </c>
      <c r="L440" s="7">
        <v>5</v>
      </c>
      <c r="M440" s="7">
        <v>15</v>
      </c>
      <c r="N440" s="7">
        <v>15</v>
      </c>
      <c r="O440" s="7">
        <v>15</v>
      </c>
      <c r="P440" s="7">
        <v>15</v>
      </c>
      <c r="Q440" s="7">
        <v>15</v>
      </c>
      <c r="R440" s="7">
        <v>15</v>
      </c>
      <c r="S440" s="7">
        <v>15</v>
      </c>
    </row>
    <row r="441">
      <c r="A441" s="14" t="s">
        <v>385</v>
      </c>
      <c r="B441" s="2" t="s">
        <v>368</v>
      </c>
      <c r="C441" s="7">
        <v>452</v>
      </c>
      <c r="D441" s="7">
        <v>453</v>
      </c>
      <c r="E441" s="7">
        <v>439</v>
      </c>
      <c r="F441" s="7">
        <v>252</v>
      </c>
      <c r="G441" s="7">
        <v>208</v>
      </c>
      <c r="H441" s="7">
        <v>210</v>
      </c>
      <c r="I441" s="7">
        <v>212</v>
      </c>
      <c r="J441" s="7">
        <v>112</v>
      </c>
      <c r="K441" s="7">
        <v>113</v>
      </c>
      <c r="L441" s="7">
        <v>110</v>
      </c>
      <c r="M441" s="7">
        <v>110</v>
      </c>
      <c r="N441" s="7">
        <v>113</v>
      </c>
      <c r="O441" s="7">
        <v>111</v>
      </c>
      <c r="P441" s="7">
        <v>113</v>
      </c>
      <c r="Q441" s="7">
        <v>114</v>
      </c>
      <c r="R441" s="7">
        <v>110</v>
      </c>
      <c r="S441" s="7">
        <v>115</v>
      </c>
    </row>
    <row r="442">
      <c r="A442" s="14" t="s">
        <v>386</v>
      </c>
      <c r="B442" s="2" t="s">
        <v>368</v>
      </c>
      <c r="C442" s="7">
        <v>30</v>
      </c>
      <c r="D442" s="7">
        <v>35</v>
      </c>
      <c r="E442" s="7">
        <v>25</v>
      </c>
      <c r="F442" s="7">
        <v>25</v>
      </c>
      <c r="G442" s="7">
        <v>20</v>
      </c>
      <c r="H442" s="7">
        <v>20</v>
      </c>
      <c r="I442" s="7">
        <v>19</v>
      </c>
      <c r="J442" s="7">
        <v>20</v>
      </c>
      <c r="K442" s="7">
        <v>20</v>
      </c>
      <c r="L442" s="7">
        <v>20</v>
      </c>
      <c r="M442" s="7">
        <v>10</v>
      </c>
      <c r="N442" s="7">
        <v>13</v>
      </c>
      <c r="O442" s="7">
        <v>15</v>
      </c>
      <c r="P442" s="7">
        <v>15</v>
      </c>
      <c r="Q442" s="7">
        <v>25</v>
      </c>
      <c r="R442" s="7">
        <v>25</v>
      </c>
      <c r="S442" s="7">
        <v>25</v>
      </c>
    </row>
    <row r="443">
      <c r="A443" s="14" t="s">
        <v>124</v>
      </c>
      <c r="B443" s="2" t="s">
        <v>368</v>
      </c>
      <c r="C443" s="7">
        <v>115</v>
      </c>
      <c r="D443" s="7">
        <v>159</v>
      </c>
      <c r="E443" s="7">
        <v>112</v>
      </c>
      <c r="F443" s="7">
        <v>136</v>
      </c>
      <c r="G443" s="7">
        <v>139</v>
      </c>
      <c r="H443" s="7">
        <v>131</v>
      </c>
      <c r="I443" s="7">
        <v>135</v>
      </c>
      <c r="J443" s="7">
        <v>86</v>
      </c>
      <c r="K443" s="7">
        <v>87</v>
      </c>
      <c r="L443" s="7">
        <v>80</v>
      </c>
      <c r="M443" s="7">
        <v>85</v>
      </c>
      <c r="N443" s="7">
        <v>80</v>
      </c>
      <c r="O443" s="7">
        <v>87</v>
      </c>
      <c r="P443" s="7">
        <v>90</v>
      </c>
      <c r="Q443" s="7">
        <v>89</v>
      </c>
      <c r="R443" s="7">
        <v>90</v>
      </c>
      <c r="S443" s="7">
        <v>90</v>
      </c>
    </row>
    <row r="444">
      <c r="A444" s="14" t="s">
        <v>125</v>
      </c>
      <c r="B444" s="2" t="s">
        <v>368</v>
      </c>
      <c r="C444" s="7">
        <v>0</v>
      </c>
      <c r="D444" s="7">
        <v>0</v>
      </c>
      <c r="E444" s="7">
        <v>0</v>
      </c>
      <c r="F444" s="7">
        <v>0</v>
      </c>
      <c r="G444" s="7">
        <v>0</v>
      </c>
      <c r="H444" s="7">
        <v>0</v>
      </c>
      <c r="I444" s="7">
        <v>0</v>
      </c>
      <c r="J444" s="7">
        <v>0</v>
      </c>
      <c r="K444" s="7">
        <v>0</v>
      </c>
      <c r="L444" s="7">
        <v>0</v>
      </c>
      <c r="M444" s="7">
        <v>0</v>
      </c>
      <c r="N444" s="7">
        <v>0</v>
      </c>
      <c r="O444" s="7">
        <v>0</v>
      </c>
      <c r="P444" s="7">
        <v>0</v>
      </c>
      <c r="Q444" s="7">
        <v>0</v>
      </c>
      <c r="R444" s="7">
        <v>0</v>
      </c>
      <c r="S444" s="7">
        <v>0</v>
      </c>
    </row>
    <row r="445">
      <c r="A445" s="14" t="s">
        <v>387</v>
      </c>
      <c r="B445" s="2" t="s">
        <v>368</v>
      </c>
      <c r="C445" s="7">
        <v>75</v>
      </c>
      <c r="D445" s="7">
        <v>68</v>
      </c>
      <c r="E445" s="7">
        <v>59</v>
      </c>
      <c r="F445" s="7">
        <v>62</v>
      </c>
      <c r="G445" s="7">
        <v>55</v>
      </c>
      <c r="H445" s="7">
        <v>49</v>
      </c>
      <c r="I445" s="7">
        <v>54</v>
      </c>
      <c r="J445" s="7">
        <v>60</v>
      </c>
      <c r="K445" s="7">
        <v>62</v>
      </c>
      <c r="L445" s="7">
        <v>63</v>
      </c>
      <c r="M445" s="7">
        <v>57</v>
      </c>
      <c r="N445" s="7">
        <v>52</v>
      </c>
      <c r="O445" s="7">
        <v>50</v>
      </c>
      <c r="P445" s="7">
        <v>44</v>
      </c>
      <c r="Q445" s="7">
        <v>45</v>
      </c>
      <c r="R445" s="7">
        <v>45</v>
      </c>
      <c r="S445" s="7">
        <v>45</v>
      </c>
    </row>
    <row r="446">
      <c r="A446" s="14" t="s">
        <v>127</v>
      </c>
      <c r="B446" s="2" t="s">
        <v>368</v>
      </c>
      <c r="C446" s="7">
        <v>26</v>
      </c>
      <c r="D446" s="7">
        <v>30</v>
      </c>
      <c r="E446" s="7">
        <v>22</v>
      </c>
      <c r="F446" s="7">
        <v>27</v>
      </c>
      <c r="G446" s="7">
        <v>24</v>
      </c>
      <c r="H446" s="7">
        <v>13</v>
      </c>
      <c r="I446" s="7">
        <v>14</v>
      </c>
      <c r="J446" s="7">
        <v>13</v>
      </c>
      <c r="K446" s="7">
        <v>12</v>
      </c>
      <c r="L446" s="7">
        <v>10</v>
      </c>
      <c r="M446" s="7">
        <v>14</v>
      </c>
      <c r="N446" s="7">
        <v>12</v>
      </c>
      <c r="O446" s="7">
        <v>13</v>
      </c>
      <c r="P446" s="7">
        <v>9</v>
      </c>
      <c r="Q446" s="7">
        <v>7</v>
      </c>
      <c r="R446" s="7">
        <v>12</v>
      </c>
      <c r="S446" s="7">
        <v>10</v>
      </c>
    </row>
    <row r="447">
      <c r="A447" s="14" t="s">
        <v>128</v>
      </c>
      <c r="B447" s="2" t="s">
        <v>368</v>
      </c>
      <c r="C447" s="7">
        <v>20</v>
      </c>
      <c r="D447" s="7">
        <v>21</v>
      </c>
      <c r="E447" s="7">
        <v>20</v>
      </c>
      <c r="F447" s="7">
        <v>20</v>
      </c>
      <c r="G447" s="7">
        <v>23</v>
      </c>
      <c r="H447" s="7">
        <v>20</v>
      </c>
      <c r="I447" s="7">
        <v>20</v>
      </c>
      <c r="J447" s="7">
        <v>24</v>
      </c>
      <c r="K447" s="7">
        <v>13</v>
      </c>
      <c r="L447" s="7">
        <v>24</v>
      </c>
      <c r="M447" s="7">
        <v>15</v>
      </c>
      <c r="N447" s="7">
        <v>10</v>
      </c>
      <c r="O447" s="7">
        <v>10</v>
      </c>
      <c r="P447" s="7">
        <v>10</v>
      </c>
      <c r="Q447" s="7">
        <v>10</v>
      </c>
      <c r="R447" s="7">
        <v>10</v>
      </c>
      <c r="S447" s="7">
        <v>10</v>
      </c>
    </row>
    <row r="448">
      <c r="A448" s="14" t="s">
        <v>388</v>
      </c>
      <c r="B448" s="2" t="s">
        <v>368</v>
      </c>
      <c r="C448" s="7">
        <v>5</v>
      </c>
      <c r="D448" s="7">
        <v>3</v>
      </c>
      <c r="E448" s="7">
        <v>5</v>
      </c>
      <c r="F448" s="7">
        <v>5</v>
      </c>
      <c r="G448" s="7">
        <v>5</v>
      </c>
      <c r="H448" s="7">
        <v>5</v>
      </c>
      <c r="I448" s="7">
        <v>5</v>
      </c>
      <c r="J448" s="7">
        <v>5</v>
      </c>
      <c r="K448" s="7">
        <v>5</v>
      </c>
      <c r="L448" s="7">
        <v>5</v>
      </c>
      <c r="M448" s="7">
        <v>4</v>
      </c>
      <c r="N448" s="7">
        <v>4</v>
      </c>
      <c r="O448" s="7">
        <v>5</v>
      </c>
      <c r="P448" s="7">
        <v>5</v>
      </c>
      <c r="Q448" s="7">
        <v>4</v>
      </c>
      <c r="R448" s="7">
        <v>4</v>
      </c>
      <c r="S448" s="7">
        <v>5</v>
      </c>
    </row>
    <row r="449">
      <c r="A449" s="14" t="s">
        <v>389</v>
      </c>
      <c r="B449" s="2" t="s">
        <v>368</v>
      </c>
      <c r="C449" s="7">
        <v>30</v>
      </c>
      <c r="D449" s="7">
        <v>30</v>
      </c>
      <c r="E449" s="7">
        <v>35</v>
      </c>
      <c r="F449" s="7">
        <v>20</v>
      </c>
      <c r="G449" s="7">
        <v>19</v>
      </c>
      <c r="H449" s="7">
        <v>4</v>
      </c>
      <c r="I449" s="7">
        <v>4</v>
      </c>
      <c r="J449" s="7">
        <v>3</v>
      </c>
      <c r="K449" s="7">
        <v>2</v>
      </c>
      <c r="L449" s="7">
        <v>0</v>
      </c>
      <c r="M449" s="7">
        <v>0</v>
      </c>
      <c r="N449" s="7">
        <v>0</v>
      </c>
      <c r="O449" s="7">
        <v>0</v>
      </c>
      <c r="P449" s="7">
        <v>0</v>
      </c>
      <c r="Q449" s="7">
        <v>0</v>
      </c>
      <c r="R449" s="7">
        <v>0</v>
      </c>
      <c r="S449" s="7">
        <v>0</v>
      </c>
    </row>
    <row r="450">
      <c r="A450" s="14" t="s">
        <v>131</v>
      </c>
      <c r="B450" s="2" t="s">
        <v>368</v>
      </c>
      <c r="C450" s="7">
        <v>1</v>
      </c>
      <c r="D450" s="7">
        <v>1</v>
      </c>
      <c r="E450" s="7">
        <v>1</v>
      </c>
      <c r="F450" s="7">
        <v>1</v>
      </c>
      <c r="G450" s="7">
        <v>2</v>
      </c>
      <c r="H450" s="7">
        <v>2</v>
      </c>
      <c r="I450" s="7">
        <v>3</v>
      </c>
      <c r="J450" s="7">
        <v>3</v>
      </c>
      <c r="K450" s="7">
        <v>0</v>
      </c>
      <c r="L450" s="7">
        <v>0</v>
      </c>
      <c r="M450" s="7">
        <v>0</v>
      </c>
      <c r="N450" s="7">
        <v>0</v>
      </c>
      <c r="O450" s="7">
        <v>0</v>
      </c>
      <c r="P450" s="7">
        <v>0</v>
      </c>
      <c r="Q450" s="7">
        <v>0</v>
      </c>
      <c r="R450" s="7">
        <v>0</v>
      </c>
      <c r="S450" s="7">
        <v>0</v>
      </c>
    </row>
    <row r="451">
      <c r="A451" s="14" t="s">
        <v>390</v>
      </c>
      <c r="B451" s="2" t="s">
        <v>368</v>
      </c>
      <c r="C451" s="7">
        <v>343</v>
      </c>
      <c r="D451" s="7">
        <v>341</v>
      </c>
      <c r="E451" s="7">
        <v>328</v>
      </c>
      <c r="F451" s="7">
        <v>320</v>
      </c>
      <c r="G451" s="7">
        <v>323</v>
      </c>
      <c r="H451" s="7">
        <v>15</v>
      </c>
      <c r="I451" s="7">
        <v>0</v>
      </c>
      <c r="J451" s="7">
        <v>0</v>
      </c>
      <c r="K451" s="7">
        <v>0</v>
      </c>
      <c r="L451" s="7">
        <v>0</v>
      </c>
      <c r="M451" s="7">
        <v>0</v>
      </c>
      <c r="N451" s="7">
        <v>0</v>
      </c>
      <c r="O451" s="7">
        <v>0</v>
      </c>
      <c r="P451" s="7">
        <v>0</v>
      </c>
      <c r="Q451" s="7">
        <v>0</v>
      </c>
      <c r="R451" s="7">
        <v>0</v>
      </c>
      <c r="S451" s="7">
        <v>0</v>
      </c>
    </row>
    <row r="452">
      <c r="A452" s="14" t="s">
        <v>133</v>
      </c>
      <c r="B452" s="2" t="s">
        <v>368</v>
      </c>
      <c r="C452" s="7">
        <v>0</v>
      </c>
      <c r="D452" s="7">
        <v>0</v>
      </c>
      <c r="E452" s="7">
        <v>0</v>
      </c>
      <c r="F452" s="7">
        <v>0</v>
      </c>
      <c r="G452" s="7">
        <v>0</v>
      </c>
      <c r="H452" s="7">
        <v>0</v>
      </c>
      <c r="I452" s="7">
        <v>0</v>
      </c>
      <c r="J452" s="7">
        <v>0</v>
      </c>
      <c r="K452" s="7">
        <v>0</v>
      </c>
      <c r="L452" s="7">
        <v>0</v>
      </c>
      <c r="M452" s="7">
        <v>0</v>
      </c>
      <c r="N452" s="7">
        <v>0</v>
      </c>
      <c r="O452" s="7">
        <v>0</v>
      </c>
      <c r="P452" s="7">
        <v>0</v>
      </c>
      <c r="Q452" s="7">
        <v>0</v>
      </c>
      <c r="R452" s="7">
        <v>0</v>
      </c>
      <c r="S452" s="7">
        <v>0</v>
      </c>
    </row>
    <row r="453">
      <c r="A453" s="14" t="s">
        <v>134</v>
      </c>
      <c r="B453" s="2" t="s">
        <v>368</v>
      </c>
      <c r="C453" s="7">
        <v>1</v>
      </c>
      <c r="D453" s="7">
        <v>1</v>
      </c>
      <c r="E453" s="7">
        <v>1</v>
      </c>
      <c r="F453" s="7">
        <v>1</v>
      </c>
      <c r="G453" s="7">
        <v>1</v>
      </c>
      <c r="H453" s="7">
        <v>1</v>
      </c>
      <c r="I453" s="7">
        <v>1</v>
      </c>
      <c r="J453" s="7">
        <v>1</v>
      </c>
      <c r="K453" s="7">
        <v>1</v>
      </c>
      <c r="L453" s="7">
        <v>1</v>
      </c>
      <c r="M453" s="7">
        <v>0</v>
      </c>
      <c r="N453" s="7">
        <v>0</v>
      </c>
      <c r="O453" s="7">
        <v>0</v>
      </c>
      <c r="P453" s="7">
        <v>0</v>
      </c>
      <c r="Q453" s="7">
        <v>0</v>
      </c>
      <c r="R453" s="7">
        <v>0</v>
      </c>
      <c r="S453" s="7">
        <v>0</v>
      </c>
    </row>
    <row r="454">
      <c r="A454" s="14" t="s">
        <v>135</v>
      </c>
      <c r="B454" s="2" t="s">
        <v>368</v>
      </c>
      <c r="C454" s="7">
        <v>28</v>
      </c>
      <c r="D454" s="7">
        <v>33</v>
      </c>
      <c r="E454" s="7">
        <v>29</v>
      </c>
      <c r="F454" s="7">
        <v>19</v>
      </c>
      <c r="G454" s="7">
        <v>17</v>
      </c>
      <c r="H454" s="7">
        <v>19</v>
      </c>
      <c r="I454" s="7">
        <v>8</v>
      </c>
      <c r="J454" s="7">
        <v>3</v>
      </c>
      <c r="K454" s="7">
        <v>0</v>
      </c>
      <c r="L454" s="7">
        <v>0</v>
      </c>
      <c r="M454" s="7">
        <v>0</v>
      </c>
      <c r="N454" s="7">
        <v>0</v>
      </c>
      <c r="O454" s="7">
        <v>0</v>
      </c>
      <c r="P454" s="7">
        <v>0</v>
      </c>
      <c r="Q454" s="7">
        <v>0</v>
      </c>
      <c r="R454" s="7">
        <v>0</v>
      </c>
      <c r="S454" s="7">
        <v>0</v>
      </c>
    </row>
    <row r="455">
      <c r="A455" s="14" t="s">
        <v>391</v>
      </c>
      <c r="B455" s="2" t="s">
        <v>368</v>
      </c>
      <c r="C455" s="7">
        <v>125</v>
      </c>
      <c r="D455" s="7">
        <v>120</v>
      </c>
      <c r="E455" s="7">
        <v>125</v>
      </c>
      <c r="F455" s="7">
        <v>125</v>
      </c>
      <c r="G455" s="7">
        <v>124</v>
      </c>
      <c r="H455" s="7">
        <v>0</v>
      </c>
      <c r="I455" s="7">
        <v>0</v>
      </c>
      <c r="J455" s="7">
        <v>0</v>
      </c>
      <c r="K455" s="7">
        <v>0</v>
      </c>
      <c r="L455" s="7">
        <v>0</v>
      </c>
      <c r="M455" s="7">
        <v>0</v>
      </c>
      <c r="N455" s="7">
        <v>0</v>
      </c>
      <c r="O455" s="7">
        <v>0</v>
      </c>
      <c r="P455" s="7">
        <v>0</v>
      </c>
      <c r="Q455" s="7">
        <v>0</v>
      </c>
      <c r="R455" s="7">
        <v>0</v>
      </c>
      <c r="S455" s="7">
        <v>0</v>
      </c>
    </row>
    <row r="456">
      <c r="A456" s="14" t="s">
        <v>392</v>
      </c>
      <c r="B456" s="2" t="s">
        <v>393</v>
      </c>
      <c r="C456" s="7">
        <v>22383</v>
      </c>
      <c r="D456" s="7">
        <v>22946</v>
      </c>
      <c r="E456" s="7">
        <v>23027</v>
      </c>
      <c r="F456" s="7">
        <v>23811</v>
      </c>
      <c r="G456" s="7">
        <v>23568</v>
      </c>
      <c r="H456" s="7">
        <v>25083</v>
      </c>
      <c r="I456" s="7">
        <v>25512</v>
      </c>
      <c r="J456" s="7">
        <v>25557</v>
      </c>
      <c r="K456" s="7">
        <v>27162</v>
      </c>
      <c r="L456" s="7">
        <v>26049</v>
      </c>
      <c r="M456" s="7">
        <v>25922</v>
      </c>
      <c r="N456" s="7">
        <v>26708</v>
      </c>
      <c r="O456" s="7">
        <v>24623</v>
      </c>
      <c r="P456" s="7">
        <v>23545</v>
      </c>
      <c r="Q456" s="7">
        <v>26145</v>
      </c>
      <c r="R456" s="7">
        <v>25550</v>
      </c>
      <c r="S456" s="7">
        <v>26950</v>
      </c>
    </row>
    <row r="457">
      <c r="A457" s="14" t="s">
        <v>394</v>
      </c>
      <c r="B457" s="2" t="s">
        <v>393</v>
      </c>
      <c r="C457" s="7">
        <v>1109</v>
      </c>
      <c r="D457" s="7">
        <v>1106</v>
      </c>
      <c r="E457" s="7">
        <v>1694</v>
      </c>
      <c r="F457" s="7">
        <v>2299</v>
      </c>
      <c r="G457" s="7">
        <v>2381</v>
      </c>
      <c r="H457" s="7">
        <v>2487</v>
      </c>
      <c r="I457" s="7">
        <v>2345</v>
      </c>
      <c r="J457" s="7">
        <v>2715</v>
      </c>
      <c r="K457" s="7">
        <v>2915</v>
      </c>
      <c r="L457" s="7">
        <v>3705</v>
      </c>
      <c r="M457" s="7">
        <v>4480</v>
      </c>
      <c r="N457" s="7">
        <v>4920</v>
      </c>
      <c r="O457" s="7">
        <v>5280</v>
      </c>
      <c r="P457" s="7">
        <v>5765</v>
      </c>
      <c r="Q457" s="7">
        <v>5893</v>
      </c>
      <c r="R457" s="7">
        <v>6420</v>
      </c>
      <c r="S457" s="7">
        <v>6750</v>
      </c>
    </row>
    <row r="458">
      <c r="A458" s="14" t="s">
        <v>395</v>
      </c>
      <c r="B458" s="2" t="s">
        <v>393</v>
      </c>
      <c r="C458" s="7">
        <v>2825</v>
      </c>
      <c r="D458" s="7">
        <v>3660</v>
      </c>
      <c r="E458" s="7">
        <v>4405</v>
      </c>
      <c r="F458" s="7">
        <v>3590</v>
      </c>
      <c r="G458" s="7">
        <v>4230</v>
      </c>
      <c r="H458" s="7">
        <v>6210</v>
      </c>
      <c r="I458" s="7">
        <v>6995</v>
      </c>
      <c r="J458" s="7">
        <v>6550</v>
      </c>
      <c r="K458" s="7">
        <v>6125</v>
      </c>
      <c r="L458" s="7">
        <v>6120</v>
      </c>
      <c r="M458" s="7">
        <v>6585</v>
      </c>
      <c r="N458" s="7">
        <v>7190</v>
      </c>
      <c r="O458" s="7">
        <v>6465</v>
      </c>
      <c r="P458" s="7">
        <v>6590</v>
      </c>
      <c r="Q458" s="7">
        <v>6190</v>
      </c>
      <c r="R458" s="7">
        <v>6525</v>
      </c>
      <c r="S458" s="7">
        <v>6725</v>
      </c>
    </row>
    <row r="459">
      <c r="A459" s="14" t="s">
        <v>396</v>
      </c>
      <c r="B459" s="2" t="s">
        <v>393</v>
      </c>
      <c r="C459" s="7">
        <v>1305</v>
      </c>
      <c r="D459" s="7">
        <v>1305</v>
      </c>
      <c r="E459" s="7">
        <v>1290</v>
      </c>
      <c r="F459" s="7">
        <v>1170</v>
      </c>
      <c r="G459" s="7">
        <v>1151</v>
      </c>
      <c r="H459" s="7">
        <v>1151</v>
      </c>
      <c r="I459" s="7">
        <v>1133</v>
      </c>
      <c r="J459" s="7">
        <v>1217</v>
      </c>
      <c r="K459" s="7">
        <v>1240</v>
      </c>
      <c r="L459" s="7">
        <v>550</v>
      </c>
      <c r="M459" s="7">
        <v>480</v>
      </c>
      <c r="N459" s="7">
        <v>500</v>
      </c>
      <c r="O459" s="7">
        <v>500</v>
      </c>
      <c r="P459" s="7">
        <v>500</v>
      </c>
      <c r="Q459" s="7">
        <v>500</v>
      </c>
      <c r="R459" s="7">
        <v>500</v>
      </c>
      <c r="S459" s="7">
        <v>500</v>
      </c>
    </row>
    <row r="460">
      <c r="A460" s="14" t="s">
        <v>397</v>
      </c>
      <c r="B460" s="2" t="s">
        <v>393</v>
      </c>
      <c r="C460" s="7">
        <v>83</v>
      </c>
      <c r="D460" s="7">
        <v>90</v>
      </c>
      <c r="E460" s="7">
        <v>78</v>
      </c>
      <c r="F460" s="7">
        <v>77</v>
      </c>
      <c r="G460" s="7">
        <v>103</v>
      </c>
      <c r="H460" s="7">
        <v>75</v>
      </c>
      <c r="I460" s="7">
        <v>83</v>
      </c>
      <c r="J460" s="7">
        <v>99</v>
      </c>
      <c r="K460" s="7">
        <v>87</v>
      </c>
      <c r="L460" s="7">
        <v>67</v>
      </c>
      <c r="M460" s="7">
        <v>97</v>
      </c>
      <c r="N460" s="7">
        <v>110</v>
      </c>
      <c r="O460" s="7">
        <v>117</v>
      </c>
      <c r="P460" s="7">
        <v>171</v>
      </c>
      <c r="Q460" s="7">
        <v>123</v>
      </c>
      <c r="R460" s="7">
        <v>170</v>
      </c>
      <c r="S460" s="7">
        <v>200</v>
      </c>
    </row>
    <row r="461">
      <c r="A461" s="14" t="s">
        <v>398</v>
      </c>
      <c r="B461" s="2" t="s">
        <v>399</v>
      </c>
      <c r="C461" s="7">
        <v>41350</v>
      </c>
      <c r="D461" s="7">
        <v>45250</v>
      </c>
      <c r="E461" s="7">
        <v>43275</v>
      </c>
      <c r="F461" s="7">
        <v>41475</v>
      </c>
      <c r="G461" s="7">
        <v>43870</v>
      </c>
      <c r="H461" s="7">
        <v>44095</v>
      </c>
      <c r="I461" s="7">
        <v>39045</v>
      </c>
      <c r="J461" s="7">
        <v>42065</v>
      </c>
      <c r="K461" s="7">
        <v>42092</v>
      </c>
      <c r="L461" s="7">
        <v>40264</v>
      </c>
      <c r="M461" s="7">
        <v>41271</v>
      </c>
      <c r="N461" s="7">
        <v>41890</v>
      </c>
      <c r="O461" s="7">
        <v>44497</v>
      </c>
      <c r="P461" s="7">
        <v>39613</v>
      </c>
      <c r="Q461" s="7">
        <v>41236</v>
      </c>
      <c r="R461" s="7">
        <v>41570</v>
      </c>
      <c r="S461" s="7">
        <v>42500</v>
      </c>
    </row>
    <row r="462">
      <c r="A462" s="14" t="s">
        <v>400</v>
      </c>
      <c r="B462" s="2" t="s">
        <v>399</v>
      </c>
      <c r="C462" s="7">
        <v>7015</v>
      </c>
      <c r="D462" s="7">
        <v>7050</v>
      </c>
      <c r="E462" s="7">
        <v>7565</v>
      </c>
      <c r="F462" s="7">
        <v>7750</v>
      </c>
      <c r="G462" s="7">
        <v>7860</v>
      </c>
      <c r="H462" s="7">
        <v>8060</v>
      </c>
      <c r="I462" s="7">
        <v>8210</v>
      </c>
      <c r="J462" s="7">
        <v>8231</v>
      </c>
      <c r="K462" s="7">
        <v>7897</v>
      </c>
      <c r="L462" s="7">
        <v>7610</v>
      </c>
      <c r="M462" s="7">
        <v>7354</v>
      </c>
      <c r="N462" s="7">
        <v>7210</v>
      </c>
      <c r="O462" s="7">
        <v>6886</v>
      </c>
      <c r="P462" s="7">
        <v>6996</v>
      </c>
      <c r="Q462" s="7">
        <v>6528</v>
      </c>
      <c r="R462" s="7">
        <v>6653</v>
      </c>
      <c r="S462" s="7">
        <v>6900</v>
      </c>
    </row>
    <row r="463">
      <c r="A463" s="14" t="s">
        <v>401</v>
      </c>
      <c r="B463" s="2" t="s">
        <v>399</v>
      </c>
      <c r="C463" s="7">
        <v>4245</v>
      </c>
      <c r="D463" s="7">
        <v>4170</v>
      </c>
      <c r="E463" s="7">
        <v>4230</v>
      </c>
      <c r="F463" s="7">
        <v>4605</v>
      </c>
      <c r="G463" s="7">
        <v>4495</v>
      </c>
      <c r="H463" s="7">
        <v>4545</v>
      </c>
      <c r="I463" s="7">
        <v>4550</v>
      </c>
      <c r="J463" s="7">
        <v>4750</v>
      </c>
      <c r="K463" s="7">
        <v>4885</v>
      </c>
      <c r="L463" s="7">
        <v>4830</v>
      </c>
      <c r="M463" s="7">
        <v>4995</v>
      </c>
      <c r="N463" s="7">
        <v>5330</v>
      </c>
      <c r="O463" s="7">
        <v>5110</v>
      </c>
      <c r="P463" s="7">
        <v>4980</v>
      </c>
      <c r="Q463" s="7">
        <v>5085</v>
      </c>
      <c r="R463" s="7">
        <v>5050</v>
      </c>
      <c r="S463" s="7">
        <v>5100</v>
      </c>
    </row>
    <row r="464">
      <c r="A464" s="14" t="s">
        <v>402</v>
      </c>
      <c r="B464" s="2" t="s">
        <v>399</v>
      </c>
      <c r="C464" s="7">
        <v>0</v>
      </c>
      <c r="D464" s="7">
        <v>0</v>
      </c>
      <c r="E464" s="7">
        <v>0</v>
      </c>
      <c r="F464" s="7">
        <v>0</v>
      </c>
      <c r="G464" s="7">
        <v>0</v>
      </c>
      <c r="H464" s="7">
        <v>0</v>
      </c>
      <c r="I464" s="7">
        <v>4260</v>
      </c>
      <c r="J464" s="7">
        <v>3610</v>
      </c>
      <c r="K464" s="7">
        <v>3875</v>
      </c>
      <c r="L464" s="7">
        <v>3805</v>
      </c>
      <c r="M464" s="7">
        <v>2955</v>
      </c>
      <c r="N464" s="7">
        <v>3985</v>
      </c>
      <c r="O464" s="7">
        <v>3980</v>
      </c>
      <c r="P464" s="7">
        <v>4190</v>
      </c>
      <c r="Q464" s="7">
        <v>4495</v>
      </c>
      <c r="R464" s="7">
        <v>4570</v>
      </c>
      <c r="S464" s="7">
        <v>4850</v>
      </c>
    </row>
    <row r="465">
      <c r="A465" s="14" t="s">
        <v>403</v>
      </c>
      <c r="B465" s="2" t="s">
        <v>399</v>
      </c>
      <c r="C465" s="7">
        <v>4355</v>
      </c>
      <c r="D465" s="7">
        <v>3865</v>
      </c>
      <c r="E465" s="7">
        <v>4130</v>
      </c>
      <c r="F465" s="7">
        <v>4230</v>
      </c>
      <c r="G465" s="7">
        <v>4050</v>
      </c>
      <c r="H465" s="7">
        <v>4395</v>
      </c>
      <c r="I465" s="7">
        <v>4740</v>
      </c>
      <c r="J465" s="7">
        <v>4465</v>
      </c>
      <c r="K465" s="7">
        <v>4945</v>
      </c>
      <c r="L465" s="7">
        <v>4625</v>
      </c>
      <c r="M465" s="7">
        <v>4165</v>
      </c>
      <c r="N465" s="7">
        <v>4055</v>
      </c>
      <c r="O465" s="7">
        <v>4250</v>
      </c>
      <c r="P465" s="7">
        <v>4250</v>
      </c>
      <c r="Q465" s="7">
        <v>4450</v>
      </c>
      <c r="R465" s="7">
        <v>4575</v>
      </c>
      <c r="S465" s="7">
        <v>4800</v>
      </c>
    </row>
    <row r="466">
      <c r="A466" s="14" t="s">
        <v>404</v>
      </c>
      <c r="B466" s="2" t="s">
        <v>399</v>
      </c>
      <c r="C466" s="7">
        <v>1910</v>
      </c>
      <c r="D466" s="7">
        <v>1785</v>
      </c>
      <c r="E466" s="7">
        <v>1825</v>
      </c>
      <c r="F466" s="7">
        <v>2160</v>
      </c>
      <c r="G466" s="7">
        <v>2305</v>
      </c>
      <c r="H466" s="7">
        <v>2465</v>
      </c>
      <c r="I466" s="7">
        <v>2725</v>
      </c>
      <c r="J466" s="7">
        <v>2645</v>
      </c>
      <c r="K466" s="7">
        <v>2770</v>
      </c>
      <c r="L466" s="7">
        <v>2980</v>
      </c>
      <c r="M466" s="7">
        <v>2995</v>
      </c>
      <c r="N466" s="7">
        <v>3405</v>
      </c>
      <c r="O466" s="7">
        <v>3175</v>
      </c>
      <c r="P466" s="7">
        <v>3350</v>
      </c>
      <c r="Q466" s="7">
        <v>3365</v>
      </c>
      <c r="R466" s="7">
        <v>3200</v>
      </c>
      <c r="S466" s="7">
        <v>3400</v>
      </c>
    </row>
    <row r="467">
      <c r="A467" s="14" t="s">
        <v>405</v>
      </c>
      <c r="B467" s="2" t="s">
        <v>399</v>
      </c>
      <c r="C467" s="7">
        <v>1445</v>
      </c>
      <c r="D467" s="7">
        <v>1600</v>
      </c>
      <c r="E467" s="7">
        <v>1660</v>
      </c>
      <c r="F467" s="7">
        <v>1615</v>
      </c>
      <c r="G467" s="7">
        <v>1775</v>
      </c>
      <c r="H467" s="7">
        <v>1785</v>
      </c>
      <c r="I467" s="7">
        <v>1730</v>
      </c>
      <c r="J467" s="7">
        <v>1900</v>
      </c>
      <c r="K467" s="7">
        <v>2040</v>
      </c>
      <c r="L467" s="7">
        <v>1960</v>
      </c>
      <c r="M467" s="7">
        <v>2055</v>
      </c>
      <c r="N467" s="7">
        <v>2305</v>
      </c>
      <c r="O467" s="7">
        <v>2135</v>
      </c>
      <c r="P467" s="7">
        <v>2090</v>
      </c>
      <c r="Q467" s="7">
        <v>2740</v>
      </c>
      <c r="R467" s="7">
        <v>2535</v>
      </c>
      <c r="S467" s="7">
        <v>2650</v>
      </c>
    </row>
    <row r="468">
      <c r="A468" s="14" t="s">
        <v>406</v>
      </c>
      <c r="B468" s="2" t="s">
        <v>399</v>
      </c>
      <c r="C468" s="7">
        <v>1815</v>
      </c>
      <c r="D468" s="7">
        <v>2270</v>
      </c>
      <c r="E468" s="7">
        <v>1945</v>
      </c>
      <c r="F468" s="7">
        <v>2300</v>
      </c>
      <c r="G468" s="7">
        <v>2195</v>
      </c>
      <c r="H468" s="7">
        <v>2320</v>
      </c>
      <c r="I468" s="7">
        <v>2205</v>
      </c>
      <c r="J468" s="7">
        <v>2300</v>
      </c>
      <c r="K468" s="7">
        <v>2340</v>
      </c>
      <c r="L468" s="7">
        <v>2040</v>
      </c>
      <c r="M468" s="7">
        <v>2240</v>
      </c>
      <c r="N468" s="7">
        <v>2090</v>
      </c>
      <c r="O468" s="7">
        <v>2050</v>
      </c>
      <c r="P468" s="7">
        <v>1950</v>
      </c>
      <c r="Q468" s="7">
        <v>2050</v>
      </c>
      <c r="R468" s="7">
        <v>2050</v>
      </c>
      <c r="S468" s="7">
        <v>2050</v>
      </c>
    </row>
    <row r="469">
      <c r="A469" s="14" t="s">
        <v>407</v>
      </c>
      <c r="B469" s="2" t="s">
        <v>399</v>
      </c>
      <c r="C469" s="7">
        <v>340</v>
      </c>
      <c r="D469" s="7">
        <v>375</v>
      </c>
      <c r="E469" s="7">
        <v>490</v>
      </c>
      <c r="F469" s="7">
        <v>505</v>
      </c>
      <c r="G469" s="7">
        <v>675</v>
      </c>
      <c r="H469" s="7">
        <v>710</v>
      </c>
      <c r="I469" s="7">
        <v>960</v>
      </c>
      <c r="J469" s="7">
        <v>865</v>
      </c>
      <c r="K469" s="7">
        <v>1205</v>
      </c>
      <c r="L469" s="7">
        <v>1215</v>
      </c>
      <c r="M469" s="7">
        <v>1165</v>
      </c>
      <c r="N469" s="7">
        <v>1285</v>
      </c>
      <c r="O469" s="7">
        <v>1590</v>
      </c>
      <c r="P469" s="7">
        <v>1545</v>
      </c>
      <c r="Q469" s="7">
        <v>1820</v>
      </c>
      <c r="R469" s="7">
        <v>1750</v>
      </c>
      <c r="S469" s="7">
        <v>1925</v>
      </c>
    </row>
    <row r="470">
      <c r="A470" s="14" t="s">
        <v>408</v>
      </c>
      <c r="B470" s="2" t="s">
        <v>399</v>
      </c>
      <c r="C470" s="7">
        <v>565</v>
      </c>
      <c r="D470" s="7">
        <v>685</v>
      </c>
      <c r="E470" s="7">
        <v>635</v>
      </c>
      <c r="F470" s="7">
        <v>730</v>
      </c>
      <c r="G470" s="7">
        <v>820</v>
      </c>
      <c r="H470" s="7">
        <v>785</v>
      </c>
      <c r="I470" s="7">
        <v>840</v>
      </c>
      <c r="J470" s="7">
        <v>935</v>
      </c>
      <c r="K470" s="7">
        <v>980</v>
      </c>
      <c r="L470" s="7">
        <v>1040</v>
      </c>
      <c r="M470" s="7">
        <v>1200</v>
      </c>
      <c r="N470" s="7">
        <v>1140</v>
      </c>
      <c r="O470" s="7">
        <v>1380</v>
      </c>
      <c r="P470" s="7">
        <v>1375</v>
      </c>
      <c r="Q470" s="7">
        <v>1540</v>
      </c>
      <c r="R470" s="7">
        <v>1350</v>
      </c>
      <c r="S470" s="7">
        <v>1450</v>
      </c>
    </row>
    <row r="471">
      <c r="A471" s="14" t="s">
        <v>409</v>
      </c>
      <c r="B471" s="2" t="s">
        <v>399</v>
      </c>
      <c r="C471" s="7">
        <v>1060</v>
      </c>
      <c r="D471" s="7">
        <v>1090</v>
      </c>
      <c r="E471" s="7">
        <v>1110</v>
      </c>
      <c r="F471" s="7">
        <v>1030</v>
      </c>
      <c r="G471" s="7">
        <v>1095</v>
      </c>
      <c r="H471" s="7">
        <v>1095</v>
      </c>
      <c r="I471" s="7">
        <v>1100</v>
      </c>
      <c r="J471" s="7">
        <v>1155</v>
      </c>
      <c r="K471" s="7">
        <v>1080</v>
      </c>
      <c r="L471" s="7">
        <v>1055</v>
      </c>
      <c r="M471" s="7">
        <v>1180</v>
      </c>
      <c r="N471" s="7">
        <v>1185</v>
      </c>
      <c r="O471" s="7">
        <v>1160</v>
      </c>
      <c r="P471" s="7">
        <v>1094</v>
      </c>
      <c r="Q471" s="7">
        <v>1215</v>
      </c>
      <c r="R471" s="7">
        <v>1200</v>
      </c>
      <c r="S471" s="7">
        <v>1300</v>
      </c>
    </row>
    <row r="472">
      <c r="A472" s="14" t="s">
        <v>410</v>
      </c>
      <c r="B472" s="2" t="s">
        <v>399</v>
      </c>
      <c r="C472" s="7">
        <v>250</v>
      </c>
      <c r="D472" s="7">
        <v>500</v>
      </c>
      <c r="E472" s="7">
        <v>450</v>
      </c>
      <c r="F472" s="7">
        <v>430</v>
      </c>
      <c r="G472" s="7">
        <v>480</v>
      </c>
      <c r="H472" s="7">
        <v>525</v>
      </c>
      <c r="I472" s="7">
        <v>630</v>
      </c>
      <c r="J472" s="7">
        <v>800</v>
      </c>
      <c r="K472" s="7">
        <v>825</v>
      </c>
      <c r="L472" s="7">
        <v>750</v>
      </c>
      <c r="M472" s="7">
        <v>400</v>
      </c>
      <c r="N472" s="7">
        <v>450</v>
      </c>
      <c r="O472" s="7">
        <v>900</v>
      </c>
      <c r="P472" s="7">
        <v>650</v>
      </c>
      <c r="Q472" s="7">
        <v>1175</v>
      </c>
      <c r="R472" s="7">
        <v>1175</v>
      </c>
      <c r="S472" s="7">
        <v>1275</v>
      </c>
    </row>
    <row r="473">
      <c r="A473" s="14" t="s">
        <v>411</v>
      </c>
      <c r="B473" s="2" t="s">
        <v>399</v>
      </c>
      <c r="C473" s="7">
        <v>1685</v>
      </c>
      <c r="D473" s="7">
        <v>1425</v>
      </c>
      <c r="E473" s="7">
        <v>1255</v>
      </c>
      <c r="F473" s="7">
        <v>1155</v>
      </c>
      <c r="G473" s="7">
        <v>1025</v>
      </c>
      <c r="H473" s="7">
        <v>970</v>
      </c>
      <c r="I473" s="7">
        <v>960</v>
      </c>
      <c r="J473" s="7">
        <v>1105</v>
      </c>
      <c r="K473" s="7">
        <v>1145</v>
      </c>
      <c r="L473" s="7">
        <v>1270</v>
      </c>
      <c r="M473" s="7">
        <v>1235</v>
      </c>
      <c r="N473" s="7">
        <v>1300</v>
      </c>
      <c r="O473" s="7">
        <v>1090</v>
      </c>
      <c r="P473" s="7">
        <v>1100</v>
      </c>
      <c r="Q473" s="7">
        <v>1070</v>
      </c>
      <c r="R473" s="7">
        <v>1110</v>
      </c>
      <c r="S473" s="7">
        <v>1150</v>
      </c>
    </row>
    <row r="474">
      <c r="A474" s="14" t="s">
        <v>412</v>
      </c>
      <c r="B474" s="2" t="s">
        <v>399</v>
      </c>
      <c r="C474" s="7">
        <v>555</v>
      </c>
      <c r="D474" s="7">
        <v>715</v>
      </c>
      <c r="E474" s="7">
        <v>705</v>
      </c>
      <c r="F474" s="7">
        <v>620</v>
      </c>
      <c r="G474" s="7">
        <v>635</v>
      </c>
      <c r="H474" s="7">
        <v>670</v>
      </c>
      <c r="I474" s="7">
        <v>660</v>
      </c>
      <c r="J474" s="7">
        <v>825</v>
      </c>
      <c r="K474" s="7">
        <v>845</v>
      </c>
      <c r="L474" s="7">
        <v>710</v>
      </c>
      <c r="M474" s="7">
        <v>880</v>
      </c>
      <c r="N474" s="7">
        <v>990</v>
      </c>
      <c r="O474" s="7">
        <v>805</v>
      </c>
      <c r="P474" s="7">
        <v>840</v>
      </c>
      <c r="Q474" s="7">
        <v>960</v>
      </c>
      <c r="R474" s="7">
        <v>910</v>
      </c>
      <c r="S474" s="7">
        <v>950</v>
      </c>
    </row>
    <row r="475">
      <c r="A475" s="14" t="s">
        <v>413</v>
      </c>
      <c r="B475" s="2" t="s">
        <v>399</v>
      </c>
      <c r="C475" s="7">
        <v>810</v>
      </c>
      <c r="D475" s="7">
        <v>750</v>
      </c>
      <c r="E475" s="7">
        <v>835</v>
      </c>
      <c r="F475" s="7">
        <v>685</v>
      </c>
      <c r="G475" s="7">
        <v>710</v>
      </c>
      <c r="H475" s="7">
        <v>741</v>
      </c>
      <c r="I475" s="7">
        <v>754</v>
      </c>
      <c r="J475" s="7">
        <v>775</v>
      </c>
      <c r="K475" s="7">
        <v>735</v>
      </c>
      <c r="L475" s="7">
        <v>859</v>
      </c>
      <c r="M475" s="7">
        <v>789</v>
      </c>
      <c r="N475" s="7">
        <v>906</v>
      </c>
      <c r="O475" s="7">
        <v>1019</v>
      </c>
      <c r="P475" s="7">
        <v>645</v>
      </c>
      <c r="Q475" s="7">
        <v>881</v>
      </c>
      <c r="R475" s="7">
        <v>815</v>
      </c>
      <c r="S475" s="7">
        <v>865</v>
      </c>
    </row>
    <row r="476">
      <c r="A476" s="14" t="s">
        <v>414</v>
      </c>
      <c r="B476" s="2" t="s">
        <v>399</v>
      </c>
      <c r="C476" s="7">
        <v>305</v>
      </c>
      <c r="D476" s="7">
        <v>305</v>
      </c>
      <c r="E476" s="7">
        <v>365</v>
      </c>
      <c r="F476" s="7">
        <v>380</v>
      </c>
      <c r="G476" s="7">
        <v>445</v>
      </c>
      <c r="H476" s="7">
        <v>535</v>
      </c>
      <c r="I476" s="7">
        <v>570</v>
      </c>
      <c r="J476" s="7">
        <v>590</v>
      </c>
      <c r="K476" s="7">
        <v>610</v>
      </c>
      <c r="L476" s="7">
        <v>690</v>
      </c>
      <c r="M476" s="7">
        <v>660</v>
      </c>
      <c r="N476" s="7">
        <v>695</v>
      </c>
      <c r="O476" s="7">
        <v>690</v>
      </c>
      <c r="P476" s="7">
        <v>740</v>
      </c>
      <c r="Q476" s="7">
        <v>820</v>
      </c>
      <c r="R476" s="7">
        <v>810</v>
      </c>
      <c r="S476" s="7">
        <v>860</v>
      </c>
    </row>
    <row r="477">
      <c r="A477" s="14" t="s">
        <v>415</v>
      </c>
      <c r="B477" s="2" t="s">
        <v>399</v>
      </c>
      <c r="C477" s="7">
        <v>340</v>
      </c>
      <c r="D477" s="7">
        <v>350</v>
      </c>
      <c r="E477" s="7">
        <v>570</v>
      </c>
      <c r="F477" s="7">
        <v>550</v>
      </c>
      <c r="G477" s="7">
        <v>470</v>
      </c>
      <c r="H477" s="7">
        <v>580</v>
      </c>
      <c r="I477" s="7">
        <v>625</v>
      </c>
      <c r="J477" s="7">
        <v>775</v>
      </c>
      <c r="K477" s="7">
        <v>835</v>
      </c>
      <c r="L477" s="7">
        <v>770</v>
      </c>
      <c r="M477" s="7">
        <v>845</v>
      </c>
      <c r="N477" s="7">
        <v>730</v>
      </c>
      <c r="O477" s="7">
        <v>725</v>
      </c>
      <c r="P477" s="7">
        <v>845</v>
      </c>
      <c r="Q477" s="7">
        <v>780</v>
      </c>
      <c r="R477" s="7">
        <v>770</v>
      </c>
      <c r="S477" s="7">
        <v>825</v>
      </c>
    </row>
    <row r="478">
      <c r="A478" s="14" t="s">
        <v>416</v>
      </c>
      <c r="B478" s="2" t="s">
        <v>399</v>
      </c>
      <c r="C478" s="7">
        <v>795</v>
      </c>
      <c r="D478" s="7">
        <v>760</v>
      </c>
      <c r="E478" s="7">
        <v>740</v>
      </c>
      <c r="F478" s="7">
        <v>775</v>
      </c>
      <c r="G478" s="7">
        <v>775</v>
      </c>
      <c r="H478" s="7">
        <v>785</v>
      </c>
      <c r="I478" s="7">
        <v>805</v>
      </c>
      <c r="J478" s="7">
        <v>740</v>
      </c>
      <c r="K478" s="7">
        <v>800</v>
      </c>
      <c r="L478" s="7">
        <v>795</v>
      </c>
      <c r="M478" s="7">
        <v>815</v>
      </c>
      <c r="N478" s="7">
        <v>750</v>
      </c>
      <c r="O478" s="7">
        <v>725</v>
      </c>
      <c r="P478" s="7">
        <v>730</v>
      </c>
      <c r="Q478" s="7">
        <v>805</v>
      </c>
      <c r="R478" s="7">
        <v>795</v>
      </c>
      <c r="S478" s="7">
        <v>820</v>
      </c>
    </row>
    <row r="479">
      <c r="A479" s="14" t="s">
        <v>417</v>
      </c>
      <c r="B479" s="2" t="s">
        <v>399</v>
      </c>
      <c r="C479" s="7">
        <v>245</v>
      </c>
      <c r="D479" s="7">
        <v>260</v>
      </c>
      <c r="E479" s="7">
        <v>200</v>
      </c>
      <c r="F479" s="7">
        <v>190</v>
      </c>
      <c r="G479" s="7">
        <v>145</v>
      </c>
      <c r="H479" s="7">
        <v>295</v>
      </c>
      <c r="I479" s="7">
        <v>405</v>
      </c>
      <c r="J479" s="7">
        <v>710</v>
      </c>
      <c r="K479" s="7">
        <v>515</v>
      </c>
      <c r="L479" s="7">
        <v>305</v>
      </c>
      <c r="M479" s="7">
        <v>425</v>
      </c>
      <c r="N479" s="7">
        <v>635</v>
      </c>
      <c r="O479" s="7">
        <v>800</v>
      </c>
      <c r="P479" s="7">
        <v>1040</v>
      </c>
      <c r="Q479" s="7">
        <v>855</v>
      </c>
      <c r="R479" s="7">
        <v>700</v>
      </c>
      <c r="S479" s="7">
        <v>775</v>
      </c>
    </row>
    <row r="480">
      <c r="A480" s="14" t="s">
        <v>418</v>
      </c>
      <c r="B480" s="2" t="s">
        <v>399</v>
      </c>
      <c r="C480" s="7">
        <v>700</v>
      </c>
      <c r="D480" s="7">
        <v>755</v>
      </c>
      <c r="E480" s="7">
        <v>740</v>
      </c>
      <c r="F480" s="7">
        <v>790</v>
      </c>
      <c r="G480" s="7">
        <v>605</v>
      </c>
      <c r="H480" s="7">
        <v>715</v>
      </c>
      <c r="I480" s="7">
        <v>625</v>
      </c>
      <c r="J480" s="7">
        <v>725</v>
      </c>
      <c r="K480" s="7">
        <v>800</v>
      </c>
      <c r="L480" s="7">
        <v>805</v>
      </c>
      <c r="M480" s="7">
        <v>835</v>
      </c>
      <c r="N480" s="7">
        <v>735</v>
      </c>
      <c r="O480" s="7">
        <v>725</v>
      </c>
      <c r="P480" s="7">
        <v>740</v>
      </c>
      <c r="Q480" s="7">
        <v>675</v>
      </c>
      <c r="R480" s="7">
        <v>680</v>
      </c>
      <c r="S480" s="7">
        <v>725</v>
      </c>
    </row>
    <row r="481">
      <c r="A481" s="14" t="s">
        <v>419</v>
      </c>
      <c r="B481" s="2" t="s">
        <v>399</v>
      </c>
      <c r="C481" s="7">
        <v>535</v>
      </c>
      <c r="D481" s="7">
        <v>500</v>
      </c>
      <c r="E481" s="7">
        <v>545</v>
      </c>
      <c r="F481" s="7">
        <v>545</v>
      </c>
      <c r="G481" s="7">
        <v>565</v>
      </c>
      <c r="H481" s="7">
        <v>600</v>
      </c>
      <c r="I481" s="7">
        <v>585</v>
      </c>
      <c r="J481" s="7">
        <v>715</v>
      </c>
      <c r="K481" s="7">
        <v>710</v>
      </c>
      <c r="L481" s="7">
        <v>660</v>
      </c>
      <c r="M481" s="7">
        <v>715</v>
      </c>
      <c r="N481" s="7">
        <v>880</v>
      </c>
      <c r="O481" s="7">
        <v>650</v>
      </c>
      <c r="P481" s="7">
        <v>620</v>
      </c>
      <c r="Q481" s="7">
        <v>750</v>
      </c>
      <c r="R481" s="7">
        <v>685</v>
      </c>
      <c r="S481" s="7">
        <v>725</v>
      </c>
    </row>
    <row r="482">
      <c r="A482" s="14" t="s">
        <v>420</v>
      </c>
      <c r="B482" s="2" t="s">
        <v>399</v>
      </c>
      <c r="C482" s="7">
        <v>190</v>
      </c>
      <c r="D482" s="7">
        <v>215</v>
      </c>
      <c r="E482" s="7">
        <v>175</v>
      </c>
      <c r="F482" s="7">
        <v>165</v>
      </c>
      <c r="G482" s="7">
        <v>125</v>
      </c>
      <c r="H482" s="7">
        <v>130</v>
      </c>
      <c r="I482" s="7">
        <v>100</v>
      </c>
      <c r="J482" s="7">
        <v>180</v>
      </c>
      <c r="K482" s="7">
        <v>150</v>
      </c>
      <c r="L482" s="7">
        <v>225</v>
      </c>
      <c r="M482" s="7">
        <v>210</v>
      </c>
      <c r="N482" s="7">
        <v>325</v>
      </c>
      <c r="O482" s="7">
        <v>500</v>
      </c>
      <c r="P482" s="7">
        <v>335</v>
      </c>
      <c r="Q482" s="7">
        <v>520</v>
      </c>
      <c r="R482" s="7">
        <v>560</v>
      </c>
      <c r="S482" s="7">
        <v>575</v>
      </c>
    </row>
    <row r="483">
      <c r="A483" s="14" t="s">
        <v>421</v>
      </c>
      <c r="B483" s="2" t="s">
        <v>399</v>
      </c>
      <c r="C483" s="7">
        <v>285</v>
      </c>
      <c r="D483" s="7">
        <v>310</v>
      </c>
      <c r="E483" s="7">
        <v>305</v>
      </c>
      <c r="F483" s="7">
        <v>305</v>
      </c>
      <c r="G483" s="7">
        <v>330</v>
      </c>
      <c r="H483" s="7">
        <v>358</v>
      </c>
      <c r="I483" s="7">
        <v>405</v>
      </c>
      <c r="J483" s="7">
        <v>425</v>
      </c>
      <c r="K483" s="7">
        <v>435</v>
      </c>
      <c r="L483" s="7">
        <v>450</v>
      </c>
      <c r="M483" s="7">
        <v>525</v>
      </c>
      <c r="N483" s="7">
        <v>515</v>
      </c>
      <c r="O483" s="7">
        <v>515</v>
      </c>
      <c r="P483" s="7">
        <v>462</v>
      </c>
      <c r="Q483" s="7">
        <v>505</v>
      </c>
      <c r="R483" s="7">
        <v>515</v>
      </c>
      <c r="S483" s="7">
        <v>540</v>
      </c>
    </row>
    <row r="484">
      <c r="A484" s="14" t="s">
        <v>422</v>
      </c>
      <c r="B484" s="2" t="s">
        <v>399</v>
      </c>
      <c r="C484" s="7">
        <v>300</v>
      </c>
      <c r="D484" s="7">
        <v>340</v>
      </c>
      <c r="E484" s="7">
        <v>340</v>
      </c>
      <c r="F484" s="7">
        <v>350</v>
      </c>
      <c r="G484" s="7">
        <v>350</v>
      </c>
      <c r="H484" s="7">
        <v>360</v>
      </c>
      <c r="I484" s="7">
        <v>335</v>
      </c>
      <c r="J484" s="7">
        <v>340</v>
      </c>
      <c r="K484" s="7">
        <v>345</v>
      </c>
      <c r="L484" s="7">
        <v>330</v>
      </c>
      <c r="M484" s="7">
        <v>345</v>
      </c>
      <c r="N484" s="7">
        <v>305</v>
      </c>
      <c r="O484" s="7">
        <v>305</v>
      </c>
      <c r="P484" s="7">
        <v>300</v>
      </c>
      <c r="Q484" s="7">
        <v>290</v>
      </c>
      <c r="R484" s="7">
        <v>300</v>
      </c>
      <c r="S484" s="7">
        <v>300</v>
      </c>
    </row>
    <row r="485">
      <c r="A485" s="14" t="s">
        <v>423</v>
      </c>
      <c r="B485" s="2" t="s">
        <v>399</v>
      </c>
      <c r="C485" s="7">
        <v>200</v>
      </c>
      <c r="D485" s="7">
        <v>165</v>
      </c>
      <c r="E485" s="7">
        <v>250</v>
      </c>
      <c r="F485" s="7">
        <v>210</v>
      </c>
      <c r="G485" s="7">
        <v>205</v>
      </c>
      <c r="H485" s="7">
        <v>250</v>
      </c>
      <c r="I485" s="7">
        <v>215</v>
      </c>
      <c r="J485" s="7">
        <v>245</v>
      </c>
      <c r="K485" s="7">
        <v>240</v>
      </c>
      <c r="L485" s="7">
        <v>245</v>
      </c>
      <c r="M485" s="7">
        <v>215</v>
      </c>
      <c r="N485" s="7">
        <v>200</v>
      </c>
      <c r="O485" s="7">
        <v>260</v>
      </c>
      <c r="P485" s="7">
        <v>205</v>
      </c>
      <c r="Q485" s="7">
        <v>250</v>
      </c>
      <c r="R485" s="7">
        <v>230</v>
      </c>
      <c r="S485" s="7">
        <v>250</v>
      </c>
    </row>
    <row r="486">
      <c r="A486" s="14" t="s">
        <v>424</v>
      </c>
      <c r="B486" s="2" t="s">
        <v>399</v>
      </c>
      <c r="C486" s="7">
        <v>190</v>
      </c>
      <c r="D486" s="7">
        <v>170</v>
      </c>
      <c r="E486" s="7">
        <v>140</v>
      </c>
      <c r="F486" s="7">
        <v>200</v>
      </c>
      <c r="G486" s="7">
        <v>180</v>
      </c>
      <c r="H486" s="7">
        <v>190</v>
      </c>
      <c r="I486" s="7">
        <v>170</v>
      </c>
      <c r="J486" s="7">
        <v>100</v>
      </c>
      <c r="K486" s="7">
        <v>200</v>
      </c>
      <c r="L486" s="7">
        <v>200</v>
      </c>
      <c r="M486" s="7">
        <v>180</v>
      </c>
      <c r="N486" s="7">
        <v>220</v>
      </c>
      <c r="O486" s="7">
        <v>240</v>
      </c>
      <c r="P486" s="7">
        <v>180</v>
      </c>
      <c r="Q486" s="7">
        <v>200</v>
      </c>
      <c r="R486" s="7">
        <v>220</v>
      </c>
      <c r="S486" s="7">
        <v>230</v>
      </c>
    </row>
    <row r="487">
      <c r="A487" s="14" t="s">
        <v>425</v>
      </c>
      <c r="B487" s="2" t="s">
        <v>399</v>
      </c>
      <c r="C487" s="7">
        <v>85</v>
      </c>
      <c r="D487" s="7">
        <v>100</v>
      </c>
      <c r="E487" s="7">
        <v>75</v>
      </c>
      <c r="F487" s="7">
        <v>90</v>
      </c>
      <c r="G487" s="7">
        <v>100</v>
      </c>
      <c r="H487" s="7">
        <v>100</v>
      </c>
      <c r="I487" s="7">
        <v>105</v>
      </c>
      <c r="J487" s="7">
        <v>105</v>
      </c>
      <c r="K487" s="7">
        <v>100</v>
      </c>
      <c r="L487" s="7">
        <v>90</v>
      </c>
      <c r="M487" s="7">
        <v>100</v>
      </c>
      <c r="N487" s="7">
        <v>85</v>
      </c>
      <c r="O487" s="7">
        <v>35</v>
      </c>
      <c r="P487" s="7">
        <v>20</v>
      </c>
      <c r="Q487" s="7">
        <v>80</v>
      </c>
      <c r="R487" s="7">
        <v>110</v>
      </c>
      <c r="S487" s="7">
        <v>125</v>
      </c>
    </row>
    <row r="488">
      <c r="A488" s="14" t="s">
        <v>426</v>
      </c>
      <c r="B488" s="2" t="s">
        <v>399</v>
      </c>
      <c r="C488" s="7">
        <v>25</v>
      </c>
      <c r="D488" s="7">
        <v>150</v>
      </c>
      <c r="E488" s="7">
        <v>115</v>
      </c>
      <c r="F488" s="7">
        <v>120</v>
      </c>
      <c r="G488" s="7">
        <v>150</v>
      </c>
      <c r="H488" s="7">
        <v>140</v>
      </c>
      <c r="I488" s="7">
        <v>105</v>
      </c>
      <c r="J488" s="7">
        <v>95</v>
      </c>
      <c r="K488" s="7">
        <v>190</v>
      </c>
      <c r="L488" s="7">
        <v>100</v>
      </c>
      <c r="M488" s="7">
        <v>90</v>
      </c>
      <c r="N488" s="7">
        <v>100</v>
      </c>
      <c r="O488" s="7">
        <v>110</v>
      </c>
      <c r="P488" s="7">
        <v>95</v>
      </c>
      <c r="Q488" s="7">
        <v>100</v>
      </c>
      <c r="R488" s="7">
        <v>100</v>
      </c>
      <c r="S488" s="7">
        <v>110</v>
      </c>
    </row>
    <row r="489">
      <c r="A489" s="14" t="s">
        <v>427</v>
      </c>
      <c r="B489" s="2" t="s">
        <v>399</v>
      </c>
      <c r="C489" s="7">
        <v>0</v>
      </c>
      <c r="D489" s="7">
        <v>0</v>
      </c>
      <c r="E489" s="7">
        <v>0</v>
      </c>
      <c r="F489" s="7">
        <v>0</v>
      </c>
      <c r="G489" s="7">
        <v>100</v>
      </c>
      <c r="H489" s="7">
        <v>105</v>
      </c>
      <c r="I489" s="7">
        <v>95</v>
      </c>
      <c r="J489" s="7">
        <v>90</v>
      </c>
      <c r="K489" s="7">
        <v>45</v>
      </c>
      <c r="L489" s="7">
        <v>80</v>
      </c>
      <c r="M489" s="7">
        <v>85</v>
      </c>
      <c r="N489" s="7">
        <v>50</v>
      </c>
      <c r="O489" s="7">
        <v>15</v>
      </c>
      <c r="P489" s="7">
        <v>5</v>
      </c>
      <c r="Q489" s="7">
        <v>35</v>
      </c>
      <c r="R489" s="7">
        <v>75</v>
      </c>
      <c r="S489" s="7">
        <v>100</v>
      </c>
    </row>
    <row r="490">
      <c r="A490" s="14" t="s">
        <v>428</v>
      </c>
      <c r="B490" s="2" t="s">
        <v>399</v>
      </c>
      <c r="C490" s="7">
        <v>55</v>
      </c>
      <c r="D490" s="7">
        <v>60</v>
      </c>
      <c r="E490" s="7">
        <v>60</v>
      </c>
      <c r="F490" s="7">
        <v>75</v>
      </c>
      <c r="G490" s="7">
        <v>75</v>
      </c>
      <c r="H490" s="7">
        <v>75</v>
      </c>
      <c r="I490" s="7">
        <v>80</v>
      </c>
      <c r="J490" s="7">
        <v>80</v>
      </c>
      <c r="K490" s="7">
        <v>90</v>
      </c>
      <c r="L490" s="7">
        <v>80</v>
      </c>
      <c r="M490" s="7">
        <v>85</v>
      </c>
      <c r="N490" s="7">
        <v>95</v>
      </c>
      <c r="O490" s="7">
        <v>95</v>
      </c>
      <c r="P490" s="7">
        <v>80</v>
      </c>
      <c r="Q490" s="7">
        <v>75</v>
      </c>
      <c r="R490" s="7">
        <v>80</v>
      </c>
      <c r="S490" s="7">
        <v>90</v>
      </c>
    </row>
    <row r="491">
      <c r="A491" s="14" t="s">
        <v>429</v>
      </c>
      <c r="B491" s="2" t="s">
        <v>399</v>
      </c>
      <c r="C491" s="7">
        <v>105</v>
      </c>
      <c r="D491" s="7">
        <v>110</v>
      </c>
      <c r="E491" s="7">
        <v>120</v>
      </c>
      <c r="F491" s="7">
        <v>110</v>
      </c>
      <c r="G491" s="7">
        <v>100</v>
      </c>
      <c r="H491" s="7">
        <v>105</v>
      </c>
      <c r="I491" s="7">
        <v>105</v>
      </c>
      <c r="J491" s="7">
        <v>100</v>
      </c>
      <c r="K491" s="7">
        <v>105</v>
      </c>
      <c r="L491" s="7">
        <v>100</v>
      </c>
      <c r="M491" s="7">
        <v>90</v>
      </c>
      <c r="N491" s="7">
        <v>77</v>
      </c>
      <c r="O491" s="7">
        <v>85</v>
      </c>
      <c r="P491" s="7">
        <v>85</v>
      </c>
      <c r="Q491" s="7">
        <v>75</v>
      </c>
      <c r="R491" s="7">
        <v>75</v>
      </c>
      <c r="S491" s="7">
        <v>80</v>
      </c>
    </row>
    <row r="492">
      <c r="A492" s="14" t="s">
        <v>430</v>
      </c>
      <c r="B492" s="2" t="s">
        <v>399</v>
      </c>
      <c r="C492" s="7">
        <v>50</v>
      </c>
      <c r="D492" s="7">
        <v>90</v>
      </c>
      <c r="E492" s="7">
        <v>125</v>
      </c>
      <c r="F492" s="7">
        <v>135</v>
      </c>
      <c r="G492" s="7">
        <v>105</v>
      </c>
      <c r="H492" s="7">
        <v>120</v>
      </c>
      <c r="I492" s="7">
        <v>115</v>
      </c>
      <c r="J492" s="7">
        <v>110</v>
      </c>
      <c r="K492" s="7">
        <v>95</v>
      </c>
      <c r="L492" s="7">
        <v>90</v>
      </c>
      <c r="M492" s="7">
        <v>70</v>
      </c>
      <c r="N492" s="7">
        <v>65</v>
      </c>
      <c r="O492" s="7">
        <v>60</v>
      </c>
      <c r="P492" s="7">
        <v>70</v>
      </c>
      <c r="Q492" s="7">
        <v>65</v>
      </c>
      <c r="R492" s="7">
        <v>70</v>
      </c>
      <c r="S492" s="7">
        <v>75</v>
      </c>
    </row>
    <row r="493">
      <c r="A493" s="14" t="s">
        <v>431</v>
      </c>
      <c r="B493" s="2" t="s">
        <v>399</v>
      </c>
      <c r="C493" s="7">
        <v>15</v>
      </c>
      <c r="D493" s="7">
        <v>15</v>
      </c>
      <c r="E493" s="7">
        <v>20</v>
      </c>
      <c r="F493" s="7">
        <v>20</v>
      </c>
      <c r="G493" s="7">
        <v>15</v>
      </c>
      <c r="H493" s="7">
        <v>20</v>
      </c>
      <c r="I493" s="7">
        <v>15</v>
      </c>
      <c r="J493" s="7">
        <v>20</v>
      </c>
      <c r="K493" s="7">
        <v>20</v>
      </c>
      <c r="L493" s="7">
        <v>20</v>
      </c>
      <c r="M493" s="7">
        <v>35</v>
      </c>
      <c r="N493" s="7">
        <v>40</v>
      </c>
      <c r="O493" s="7">
        <v>35</v>
      </c>
      <c r="P493" s="7">
        <v>35</v>
      </c>
      <c r="Q493" s="7">
        <v>35</v>
      </c>
      <c r="R493" s="7">
        <v>35</v>
      </c>
      <c r="S493" s="7">
        <v>50</v>
      </c>
    </row>
    <row r="494">
      <c r="A494" s="14" t="s">
        <v>432</v>
      </c>
      <c r="B494" s="2" t="s">
        <v>399</v>
      </c>
      <c r="C494" s="7">
        <v>155</v>
      </c>
      <c r="D494" s="7">
        <v>90</v>
      </c>
      <c r="E494" s="7">
        <v>70</v>
      </c>
      <c r="F494" s="7">
        <v>60</v>
      </c>
      <c r="G494" s="7">
        <v>50</v>
      </c>
      <c r="H494" s="7">
        <v>45</v>
      </c>
      <c r="I494" s="7">
        <v>45</v>
      </c>
      <c r="J494" s="7">
        <v>40</v>
      </c>
      <c r="K494" s="7">
        <v>50</v>
      </c>
      <c r="L494" s="7">
        <v>35</v>
      </c>
      <c r="M494" s="7">
        <v>40</v>
      </c>
      <c r="N494" s="7">
        <v>40</v>
      </c>
      <c r="O494" s="7">
        <v>40</v>
      </c>
      <c r="P494" s="7">
        <v>40</v>
      </c>
      <c r="Q494" s="7">
        <v>45</v>
      </c>
      <c r="R494" s="7">
        <v>40</v>
      </c>
      <c r="S494" s="7">
        <v>45</v>
      </c>
    </row>
    <row r="495">
      <c r="A495" s="14" t="s">
        <v>433</v>
      </c>
      <c r="B495" s="2" t="s">
        <v>399</v>
      </c>
      <c r="C495" s="7">
        <v>0</v>
      </c>
      <c r="D495" s="7">
        <v>0</v>
      </c>
      <c r="E495" s="7">
        <v>0</v>
      </c>
      <c r="F495" s="7">
        <v>0</v>
      </c>
      <c r="G495" s="7">
        <v>0</v>
      </c>
      <c r="H495" s="7">
        <v>0</v>
      </c>
      <c r="I495" s="7">
        <v>0</v>
      </c>
      <c r="J495" s="7">
        <v>0</v>
      </c>
      <c r="K495" s="7">
        <v>0</v>
      </c>
      <c r="L495" s="7">
        <v>0</v>
      </c>
      <c r="M495" s="7">
        <v>0</v>
      </c>
      <c r="N495" s="7">
        <v>0</v>
      </c>
      <c r="O495" s="7">
        <v>0</v>
      </c>
      <c r="P495" s="7">
        <v>0</v>
      </c>
      <c r="Q495" s="7">
        <v>0</v>
      </c>
      <c r="R495" s="7">
        <v>0</v>
      </c>
      <c r="S495" s="7">
        <v>0</v>
      </c>
    </row>
    <row r="496">
      <c r="A496" s="14" t="s">
        <v>434</v>
      </c>
      <c r="B496" s="2" t="s">
        <v>399</v>
      </c>
      <c r="C496" s="7">
        <v>0</v>
      </c>
      <c r="D496" s="7">
        <v>0</v>
      </c>
      <c r="E496" s="7">
        <v>0</v>
      </c>
      <c r="F496" s="7">
        <v>0</v>
      </c>
      <c r="G496" s="7">
        <v>0</v>
      </c>
      <c r="H496" s="7">
        <v>0</v>
      </c>
      <c r="I496" s="7">
        <v>0</v>
      </c>
      <c r="J496" s="7">
        <v>0</v>
      </c>
      <c r="K496" s="7">
        <v>0</v>
      </c>
      <c r="L496" s="7">
        <v>0</v>
      </c>
      <c r="M496" s="7">
        <v>0</v>
      </c>
      <c r="N496" s="7">
        <v>0</v>
      </c>
      <c r="O496" s="7">
        <v>0</v>
      </c>
      <c r="P496" s="7">
        <v>0</v>
      </c>
      <c r="Q496" s="7">
        <v>0</v>
      </c>
      <c r="R496" s="7">
        <v>0</v>
      </c>
      <c r="S496" s="7">
        <v>0</v>
      </c>
    </row>
    <row r="497">
      <c r="A497" s="14" t="s">
        <v>435</v>
      </c>
      <c r="B497" s="2" t="s">
        <v>399</v>
      </c>
      <c r="C497" s="7">
        <v>0</v>
      </c>
      <c r="D497" s="7">
        <v>0</v>
      </c>
      <c r="E497" s="7">
        <v>0</v>
      </c>
      <c r="F497" s="7">
        <v>0</v>
      </c>
      <c r="G497" s="7">
        <v>0</v>
      </c>
      <c r="H497" s="7">
        <v>0</v>
      </c>
      <c r="I497" s="7">
        <v>0</v>
      </c>
      <c r="J497" s="7">
        <v>0</v>
      </c>
      <c r="K497" s="7">
        <v>0</v>
      </c>
      <c r="L497" s="7">
        <v>0</v>
      </c>
      <c r="M497" s="7">
        <v>0</v>
      </c>
      <c r="N497" s="7">
        <v>0</v>
      </c>
      <c r="O497" s="7">
        <v>0</v>
      </c>
      <c r="P497" s="7">
        <v>0</v>
      </c>
      <c r="Q497" s="7">
        <v>0</v>
      </c>
      <c r="R497" s="7">
        <v>0</v>
      </c>
      <c r="S497" s="7">
        <v>0</v>
      </c>
    </row>
    <row r="498">
      <c r="A498" s="14" t="s">
        <v>436</v>
      </c>
      <c r="B498" s="2" t="s">
        <v>399</v>
      </c>
      <c r="C498" s="7">
        <v>0</v>
      </c>
      <c r="D498" s="7">
        <v>0</v>
      </c>
      <c r="E498" s="7">
        <v>0</v>
      </c>
      <c r="F498" s="7">
        <v>0</v>
      </c>
      <c r="G498" s="7">
        <v>0</v>
      </c>
      <c r="H498" s="7">
        <v>0</v>
      </c>
      <c r="I498" s="7">
        <v>0</v>
      </c>
      <c r="J498" s="7">
        <v>0</v>
      </c>
      <c r="K498" s="7">
        <v>0</v>
      </c>
      <c r="L498" s="7">
        <v>0</v>
      </c>
      <c r="M498" s="7">
        <v>0</v>
      </c>
      <c r="N498" s="7">
        <v>0</v>
      </c>
      <c r="O498" s="7">
        <v>0</v>
      </c>
      <c r="P498" s="7">
        <v>0</v>
      </c>
      <c r="Q498" s="7">
        <v>0</v>
      </c>
      <c r="R498" s="7">
        <v>0</v>
      </c>
      <c r="S498" s="7">
        <v>0</v>
      </c>
    </row>
    <row r="499">
      <c r="A499" s="14" t="s">
        <v>437</v>
      </c>
      <c r="B499" s="2" t="s">
        <v>399</v>
      </c>
      <c r="C499" s="7">
        <v>0</v>
      </c>
      <c r="D499" s="7">
        <v>0</v>
      </c>
      <c r="E499" s="7">
        <v>0</v>
      </c>
      <c r="F499" s="7">
        <v>0</v>
      </c>
      <c r="G499" s="7">
        <v>0</v>
      </c>
      <c r="H499" s="7">
        <v>0</v>
      </c>
      <c r="I499" s="7">
        <v>0</v>
      </c>
      <c r="J499" s="7">
        <v>0</v>
      </c>
      <c r="K499" s="7">
        <v>0</v>
      </c>
      <c r="L499" s="7">
        <v>0</v>
      </c>
      <c r="M499" s="7">
        <v>0</v>
      </c>
      <c r="N499" s="7">
        <v>0</v>
      </c>
      <c r="O499" s="7">
        <v>0</v>
      </c>
      <c r="P499" s="7">
        <v>0</v>
      </c>
      <c r="Q499" s="7">
        <v>0</v>
      </c>
      <c r="R499" s="7">
        <v>0</v>
      </c>
      <c r="S499" s="7">
        <v>0</v>
      </c>
    </row>
    <row r="500">
      <c r="A500" s="14" t="s">
        <v>438</v>
      </c>
      <c r="B500" s="2" t="s">
        <v>399</v>
      </c>
      <c r="C500" s="7">
        <v>0</v>
      </c>
      <c r="D500" s="7">
        <v>0</v>
      </c>
      <c r="E500" s="7">
        <v>0</v>
      </c>
      <c r="F500" s="7">
        <v>0</v>
      </c>
      <c r="G500" s="7">
        <v>0</v>
      </c>
      <c r="H500" s="7">
        <v>0</v>
      </c>
      <c r="I500" s="7">
        <v>0</v>
      </c>
      <c r="J500" s="7">
        <v>0</v>
      </c>
      <c r="K500" s="7">
        <v>0</v>
      </c>
      <c r="L500" s="7">
        <v>0</v>
      </c>
      <c r="M500" s="7">
        <v>0</v>
      </c>
      <c r="N500" s="7">
        <v>0</v>
      </c>
      <c r="O500" s="7">
        <v>0</v>
      </c>
      <c r="P500" s="7">
        <v>0</v>
      </c>
      <c r="Q500" s="7">
        <v>0</v>
      </c>
      <c r="R500" s="7">
        <v>0</v>
      </c>
      <c r="S500" s="7">
        <v>0</v>
      </c>
    </row>
    <row r="501">
      <c r="A501" s="14" t="s">
        <v>439</v>
      </c>
      <c r="B501" s="2" t="s">
        <v>399</v>
      </c>
      <c r="C501" s="7">
        <v>0</v>
      </c>
      <c r="D501" s="7">
        <v>0</v>
      </c>
      <c r="E501" s="7">
        <v>0</v>
      </c>
      <c r="F501" s="7">
        <v>0</v>
      </c>
      <c r="G501" s="7">
        <v>0</v>
      </c>
      <c r="H501" s="7">
        <v>0</v>
      </c>
      <c r="I501" s="7">
        <v>0</v>
      </c>
      <c r="J501" s="7">
        <v>0</v>
      </c>
      <c r="K501" s="7">
        <v>0</v>
      </c>
      <c r="L501" s="7">
        <v>0</v>
      </c>
      <c r="M501" s="7">
        <v>0</v>
      </c>
      <c r="N501" s="7">
        <v>0</v>
      </c>
      <c r="O501" s="7">
        <v>0</v>
      </c>
      <c r="P501" s="7">
        <v>0</v>
      </c>
      <c r="Q501" s="7">
        <v>0</v>
      </c>
      <c r="R501" s="7">
        <v>0</v>
      </c>
      <c r="S501" s="7">
        <v>0</v>
      </c>
    </row>
    <row r="502">
      <c r="A502" s="14" t="s">
        <v>440</v>
      </c>
      <c r="B502" s="2" t="s">
        <v>399</v>
      </c>
      <c r="C502" s="7">
        <v>0</v>
      </c>
      <c r="D502" s="7">
        <v>0</v>
      </c>
      <c r="E502" s="7">
        <v>0</v>
      </c>
      <c r="F502" s="7">
        <v>0</v>
      </c>
      <c r="G502" s="7">
        <v>0</v>
      </c>
      <c r="H502" s="7">
        <v>0</v>
      </c>
      <c r="I502" s="7">
        <v>0</v>
      </c>
      <c r="J502" s="7">
        <v>0</v>
      </c>
      <c r="K502" s="7">
        <v>0</v>
      </c>
      <c r="L502" s="7">
        <v>0</v>
      </c>
      <c r="M502" s="7">
        <v>0</v>
      </c>
      <c r="N502" s="7">
        <v>0</v>
      </c>
      <c r="O502" s="7">
        <v>0</v>
      </c>
      <c r="P502" s="7">
        <v>0</v>
      </c>
      <c r="Q502" s="7">
        <v>0</v>
      </c>
      <c r="R502" s="7">
        <v>0</v>
      </c>
      <c r="S502" s="7">
        <v>0</v>
      </c>
    </row>
    <row r="503">
      <c r="A503" s="14" t="s">
        <v>441</v>
      </c>
      <c r="B503" s="2" t="s">
        <v>399</v>
      </c>
      <c r="C503" s="7">
        <v>0</v>
      </c>
      <c r="D503" s="7">
        <v>0</v>
      </c>
      <c r="E503" s="7">
        <v>0</v>
      </c>
      <c r="F503" s="7">
        <v>0</v>
      </c>
      <c r="G503" s="7">
        <v>0</v>
      </c>
      <c r="H503" s="7">
        <v>0</v>
      </c>
      <c r="I503" s="7">
        <v>0</v>
      </c>
      <c r="J503" s="7">
        <v>0</v>
      </c>
      <c r="K503" s="7">
        <v>0</v>
      </c>
      <c r="L503" s="7">
        <v>0</v>
      </c>
      <c r="M503" s="7">
        <v>0</v>
      </c>
      <c r="N503" s="7">
        <v>0</v>
      </c>
      <c r="O503" s="7">
        <v>0</v>
      </c>
      <c r="P503" s="7">
        <v>0</v>
      </c>
      <c r="Q503" s="7">
        <v>0</v>
      </c>
      <c r="R503" s="7">
        <v>0</v>
      </c>
      <c r="S503" s="7">
        <v>0</v>
      </c>
    </row>
    <row r="504">
      <c r="A504" s="14" t="s">
        <v>442</v>
      </c>
      <c r="B504" s="2" t="s">
        <v>399</v>
      </c>
      <c r="C504" s="7">
        <v>0</v>
      </c>
      <c r="D504" s="7">
        <v>0</v>
      </c>
      <c r="E504" s="7">
        <v>0</v>
      </c>
      <c r="F504" s="7">
        <v>0</v>
      </c>
      <c r="G504" s="7">
        <v>0</v>
      </c>
      <c r="H504" s="7">
        <v>0</v>
      </c>
      <c r="I504" s="7">
        <v>0</v>
      </c>
      <c r="J504" s="7">
        <v>0</v>
      </c>
      <c r="K504" s="7">
        <v>0</v>
      </c>
      <c r="L504" s="7">
        <v>0</v>
      </c>
      <c r="M504" s="7">
        <v>0</v>
      </c>
      <c r="N504" s="7">
        <v>0</v>
      </c>
      <c r="O504" s="7">
        <v>0</v>
      </c>
      <c r="P504" s="7">
        <v>0</v>
      </c>
      <c r="Q504" s="7">
        <v>0</v>
      </c>
      <c r="R504" s="7">
        <v>0</v>
      </c>
      <c r="S504" s="7">
        <v>0</v>
      </c>
    </row>
    <row r="505">
      <c r="A505" s="14" t="s">
        <v>443</v>
      </c>
      <c r="B505" s="2" t="s">
        <v>399</v>
      </c>
      <c r="C505" s="7">
        <v>0</v>
      </c>
      <c r="D505" s="7">
        <v>0</v>
      </c>
      <c r="E505" s="7">
        <v>0</v>
      </c>
      <c r="F505" s="7">
        <v>0</v>
      </c>
      <c r="G505" s="7">
        <v>0</v>
      </c>
      <c r="H505" s="7">
        <v>0</v>
      </c>
      <c r="I505" s="7">
        <v>0</v>
      </c>
      <c r="J505" s="7">
        <v>0</v>
      </c>
      <c r="K505" s="7">
        <v>0</v>
      </c>
      <c r="L505" s="7">
        <v>0</v>
      </c>
      <c r="M505" s="7">
        <v>0</v>
      </c>
      <c r="N505" s="7">
        <v>0</v>
      </c>
      <c r="O505" s="7">
        <v>0</v>
      </c>
      <c r="P505" s="7">
        <v>0</v>
      </c>
      <c r="Q505" s="7">
        <v>0</v>
      </c>
      <c r="R505" s="7">
        <v>0</v>
      </c>
      <c r="S505" s="7">
        <v>0</v>
      </c>
    </row>
    <row r="506">
      <c r="A506" s="14" t="s">
        <v>444</v>
      </c>
      <c r="B506" s="2" t="s">
        <v>399</v>
      </c>
      <c r="C506" s="7">
        <v>0</v>
      </c>
      <c r="D506" s="7">
        <v>0</v>
      </c>
      <c r="E506" s="7">
        <v>0</v>
      </c>
      <c r="F506" s="7">
        <v>0</v>
      </c>
      <c r="G506" s="7">
        <v>0</v>
      </c>
      <c r="H506" s="7">
        <v>0</v>
      </c>
      <c r="I506" s="7">
        <v>0</v>
      </c>
      <c r="J506" s="7">
        <v>0</v>
      </c>
      <c r="K506" s="7">
        <v>0</v>
      </c>
      <c r="L506" s="7">
        <v>0</v>
      </c>
      <c r="M506" s="7">
        <v>0</v>
      </c>
      <c r="N506" s="7">
        <v>0</v>
      </c>
      <c r="O506" s="7">
        <v>0</v>
      </c>
      <c r="P506" s="7">
        <v>0</v>
      </c>
      <c r="Q506" s="7">
        <v>0</v>
      </c>
      <c r="R506" s="7">
        <v>0</v>
      </c>
      <c r="S506" s="7">
        <v>0</v>
      </c>
    </row>
    <row r="507">
      <c r="A507" s="15" t="s">
        <v>445</v>
      </c>
      <c r="C507" s="8">
        <f>SUM(C414:C455)</f>
        <v>35828</v>
      </c>
      <c r="D507" s="8">
        <f>SUM(D414:D455)</f>
        <v>37449</v>
      </c>
      <c r="E507" s="8">
        <f>SUM(E414:E455)</f>
        <v>37841</v>
      </c>
      <c r="F507" s="8">
        <f>SUM(F414:F455)</f>
        <v>38570</v>
      </c>
      <c r="G507" s="8">
        <f>SUM(G414:G455)</f>
        <v>38850</v>
      </c>
      <c r="H507" s="8">
        <f>SUM(H414:H455)</f>
        <v>39511</v>
      </c>
      <c r="I507" s="8">
        <f>SUM(I414:I455)</f>
        <v>40162</v>
      </c>
      <c r="J507" s="8">
        <f>SUM(J414:J455)</f>
        <v>41878</v>
      </c>
      <c r="K507" s="8">
        <f>SUM(K414:K455)</f>
        <v>44480</v>
      </c>
      <c r="L507" s="8">
        <f>SUM(L414:L455)</f>
        <v>44781</v>
      </c>
      <c r="M507" s="8">
        <f>SUM(M414:M455)</f>
        <v>43285</v>
      </c>
      <c r="N507" s="8">
        <f>SUM(N414:N455)</f>
        <v>44380</v>
      </c>
      <c r="O507" s="8">
        <f>SUM(O414:O455)</f>
        <v>45132</v>
      </c>
      <c r="P507" s="8">
        <f>SUM(P414:P455)</f>
        <v>46078</v>
      </c>
      <c r="Q507" s="8">
        <f>SUM(Q414:Q455)</f>
        <v>47340</v>
      </c>
      <c r="R507" s="8">
        <f>SUM(R414:R455)</f>
        <v>48931</v>
      </c>
      <c r="S507" s="8">
        <f>SUM(S414:S455)</f>
        <v>50146</v>
      </c>
    </row>
    <row r="508">
      <c r="A508" s="15" t="s">
        <v>446</v>
      </c>
      <c r="C508" s="8">
        <f>SUM(C456:C460)</f>
        <v>27705</v>
      </c>
      <c r="D508" s="8">
        <f>SUM(D456:D460)</f>
        <v>29107</v>
      </c>
      <c r="E508" s="8">
        <f>SUM(E456:E460)</f>
        <v>30494</v>
      </c>
      <c r="F508" s="8">
        <f>SUM(F456:F460)</f>
        <v>30947</v>
      </c>
      <c r="G508" s="8">
        <f>SUM(G456:G460)</f>
        <v>31433</v>
      </c>
      <c r="H508" s="8">
        <f>SUM(H456:H460)</f>
        <v>35006</v>
      </c>
      <c r="I508" s="8">
        <f>SUM(I456:I460)</f>
        <v>36068</v>
      </c>
      <c r="J508" s="8">
        <f>SUM(J456:J460)</f>
        <v>36138</v>
      </c>
      <c r="K508" s="8">
        <f>SUM(K456:K460)</f>
        <v>37529</v>
      </c>
      <c r="L508" s="8">
        <f>SUM(L456:L460)</f>
        <v>36491</v>
      </c>
      <c r="M508" s="8">
        <f>SUM(M456:M460)</f>
        <v>37564</v>
      </c>
      <c r="N508" s="8">
        <f>SUM(N456:N460)</f>
        <v>39428</v>
      </c>
      <c r="O508" s="8">
        <f>SUM(O456:O460)</f>
        <v>36985</v>
      </c>
      <c r="P508" s="8">
        <f>SUM(P456:P460)</f>
        <v>36571</v>
      </c>
      <c r="Q508" s="8">
        <f>SUM(Q456:Q460)</f>
        <v>38851</v>
      </c>
      <c r="R508" s="8">
        <f>SUM(R456:R460)</f>
        <v>39165</v>
      </c>
      <c r="S508" s="8">
        <f>SUM(S456:S460)</f>
        <v>41125</v>
      </c>
    </row>
    <row r="509">
      <c r="A509" s="15" t="s">
        <v>447</v>
      </c>
      <c r="C509" s="8">
        <f>SUM(C461:C506)</f>
        <v>71975</v>
      </c>
      <c r="D509" s="8">
        <f>SUM(D461:D506)</f>
        <v>76275</v>
      </c>
      <c r="E509" s="8">
        <f>SUM(E461:E506)</f>
        <v>75065</v>
      </c>
      <c r="F509" s="8">
        <f>SUM(F461:F506)</f>
        <v>74360</v>
      </c>
      <c r="G509" s="8">
        <f>SUM(G461:G506)</f>
        <v>76880</v>
      </c>
      <c r="H509" s="8">
        <f>SUM(H461:H506)</f>
        <v>78669</v>
      </c>
      <c r="I509" s="8">
        <f>SUM(I461:I506)</f>
        <v>78874</v>
      </c>
      <c r="J509" s="8">
        <f>SUM(J461:J506)</f>
        <v>82611</v>
      </c>
      <c r="K509" s="8">
        <f>SUM(K461:K506)</f>
        <v>83994</v>
      </c>
      <c r="L509" s="8">
        <f>SUM(L461:L506)</f>
        <v>81083</v>
      </c>
      <c r="M509" s="8">
        <f>SUM(M461:M506)</f>
        <v>81244</v>
      </c>
      <c r="N509" s="8">
        <f>SUM(N461:N506)</f>
        <v>84068</v>
      </c>
      <c r="O509" s="8">
        <f>SUM(O461:O506)</f>
        <v>86637</v>
      </c>
      <c r="P509" s="8">
        <f>SUM(P461:P506)</f>
        <v>81295</v>
      </c>
      <c r="Q509" s="8">
        <f>SUM(Q461:Q506)</f>
        <v>85570</v>
      </c>
      <c r="R509" s="8">
        <f>SUM(R461:R506)</f>
        <v>85363</v>
      </c>
      <c r="S509" s="8">
        <f>SUM(S461:S506)</f>
        <v>88465</v>
      </c>
    </row>
    <row r="510">
      <c r="A510" s="15" t="s">
        <v>448</v>
      </c>
      <c r="C510" s="21">
        <f>C507+C508+C509</f>
        <v>135508</v>
      </c>
      <c r="D510" s="21">
        <f>D507+D508+D509</f>
        <v>142831</v>
      </c>
      <c r="E510" s="21">
        <f>E507+E508+E509</f>
        <v>143400</v>
      </c>
      <c r="F510" s="21">
        <f>F507+F508+F509</f>
        <v>143877</v>
      </c>
      <c r="G510" s="21">
        <f>G507+G508+G509</f>
        <v>147163</v>
      </c>
      <c r="H510" s="21">
        <f>H507+H508+H509</f>
        <v>153186</v>
      </c>
      <c r="I510" s="21">
        <f>I507+I508+I509</f>
        <v>155104</v>
      </c>
      <c r="J510" s="21">
        <f>J507+J508+J509</f>
        <v>160627</v>
      </c>
      <c r="K510" s="21">
        <f>K507+K508+K509</f>
        <v>166003</v>
      </c>
      <c r="L510" s="21">
        <f>L507+L508+L509</f>
        <v>162355</v>
      </c>
      <c r="M510" s="21">
        <f>M507+M508+M509</f>
        <v>162093</v>
      </c>
      <c r="N510" s="21">
        <f>N507+N508+N509</f>
        <v>167876</v>
      </c>
      <c r="O510" s="21">
        <f>O507+O508+O509</f>
        <v>168754</v>
      </c>
      <c r="P510" s="21">
        <f>P507+P508+P509</f>
        <v>163944</v>
      </c>
      <c r="Q510" s="21">
        <f>Q507+Q508+Q509</f>
        <v>171761</v>
      </c>
      <c r="R510" s="21">
        <f>R507+R508+R509</f>
        <v>173459</v>
      </c>
      <c r="S510" s="21">
        <f>S507+S508+S509</f>
        <v>179736</v>
      </c>
    </row>
    <row r="515">
      <c r="A515" s="4" t="s">
        <v>453</v>
      </c>
      <c r="B515" s="3" t="s">
        <v>366</v>
      </c>
      <c r="C515" s="3" t="s">
        <v>41</v>
      </c>
      <c r="D515" s="3" t="s">
        <v>42</v>
      </c>
      <c r="E515" s="3" t="s">
        <v>43</v>
      </c>
      <c r="F515" s="3" t="s">
        <v>44</v>
      </c>
      <c r="G515" s="3" t="s">
        <v>45</v>
      </c>
      <c r="H515" s="3" t="s">
        <v>46</v>
      </c>
      <c r="I515" s="3" t="s">
        <v>47</v>
      </c>
      <c r="J515" s="3" t="s">
        <v>48</v>
      </c>
      <c r="K515" s="3" t="s">
        <v>49</v>
      </c>
      <c r="L515" s="3" t="s">
        <v>50</v>
      </c>
      <c r="M515" s="3" t="s">
        <v>51</v>
      </c>
      <c r="N515" s="3" t="s">
        <v>52</v>
      </c>
      <c r="O515" s="3" t="s">
        <v>53</v>
      </c>
      <c r="P515" s="3" t="s">
        <v>54</v>
      </c>
      <c r="Q515" s="3" t="s">
        <v>55</v>
      </c>
      <c r="R515" s="3" t="s">
        <v>56</v>
      </c>
      <c r="S515" s="3" t="s">
        <v>85</v>
      </c>
    </row>
    <row r="516">
      <c r="A516" s="14" t="s">
        <v>367</v>
      </c>
      <c r="B516" s="2" t="s">
        <v>368</v>
      </c>
      <c r="C516" s="7">
        <v>35010</v>
      </c>
      <c r="D516" s="7">
        <v>29843</v>
      </c>
      <c r="E516" s="7">
        <v>30660</v>
      </c>
      <c r="F516" s="7">
        <v>34146</v>
      </c>
      <c r="G516" s="7">
        <v>36573</v>
      </c>
      <c r="H516" s="7">
        <v>35543</v>
      </c>
      <c r="I516" s="7">
        <v>33081</v>
      </c>
      <c r="J516" s="7">
        <v>30454</v>
      </c>
      <c r="K516" s="7">
        <v>41426</v>
      </c>
      <c r="L516" s="7">
        <v>40256</v>
      </c>
      <c r="M516" s="7">
        <v>45675</v>
      </c>
      <c r="N516" s="7">
        <v>39685</v>
      </c>
      <c r="O516" s="7">
        <v>36145</v>
      </c>
      <c r="P516" s="7">
        <v>46750</v>
      </c>
      <c r="Q516" s="7">
        <v>44750</v>
      </c>
      <c r="R516" s="7">
        <v>37870</v>
      </c>
      <c r="S516" s="7">
        <v>49070</v>
      </c>
    </row>
    <row r="517">
      <c r="A517" s="14" t="s">
        <v>96</v>
      </c>
      <c r="B517" s="2" t="s">
        <v>368</v>
      </c>
      <c r="C517" s="7">
        <v>18640</v>
      </c>
      <c r="D517" s="7">
        <v>24495</v>
      </c>
      <c r="E517" s="7">
        <v>24643</v>
      </c>
      <c r="F517" s="7">
        <v>28289</v>
      </c>
      <c r="G517" s="7">
        <v>21567</v>
      </c>
      <c r="H517" s="7">
        <v>29065</v>
      </c>
      <c r="I517" s="7">
        <v>26450</v>
      </c>
      <c r="J517" s="7">
        <v>29907</v>
      </c>
      <c r="K517" s="7">
        <v>28318</v>
      </c>
      <c r="L517" s="7">
        <v>27326</v>
      </c>
      <c r="M517" s="7">
        <v>25300</v>
      </c>
      <c r="N517" s="7">
        <v>29010</v>
      </c>
      <c r="O517" s="7">
        <v>28340</v>
      </c>
      <c r="P517" s="7">
        <v>24400</v>
      </c>
      <c r="Q517" s="7">
        <v>25200</v>
      </c>
      <c r="R517" s="7">
        <v>28500</v>
      </c>
      <c r="S517" s="7">
        <v>28950</v>
      </c>
    </row>
    <row r="518">
      <c r="A518" s="14" t="s">
        <v>369</v>
      </c>
      <c r="B518" s="2" t="s">
        <v>368</v>
      </c>
      <c r="C518" s="7">
        <v>8385</v>
      </c>
      <c r="D518" s="7">
        <v>7360</v>
      </c>
      <c r="E518" s="7">
        <v>8855</v>
      </c>
      <c r="F518" s="7">
        <v>11040</v>
      </c>
      <c r="G518" s="7">
        <v>12420</v>
      </c>
      <c r="H518" s="7">
        <v>12390</v>
      </c>
      <c r="I518" s="7">
        <v>13755</v>
      </c>
      <c r="J518" s="7">
        <v>12725</v>
      </c>
      <c r="K518" s="7">
        <v>13615</v>
      </c>
      <c r="L518" s="7">
        <v>13005</v>
      </c>
      <c r="M518" s="7">
        <v>12755</v>
      </c>
      <c r="N518" s="7">
        <v>12365</v>
      </c>
      <c r="O518" s="7">
        <v>10610</v>
      </c>
      <c r="P518" s="7">
        <v>11770</v>
      </c>
      <c r="Q518" s="7">
        <v>13377</v>
      </c>
      <c r="R518" s="7">
        <v>12810</v>
      </c>
      <c r="S518" s="7">
        <v>13400</v>
      </c>
    </row>
    <row r="519">
      <c r="A519" s="14" t="s">
        <v>370</v>
      </c>
      <c r="B519" s="2" t="s">
        <v>368</v>
      </c>
      <c r="C519" s="7">
        <v>3235</v>
      </c>
      <c r="D519" s="7">
        <v>3140</v>
      </c>
      <c r="E519" s="7">
        <v>3500</v>
      </c>
      <c r="F519" s="7">
        <v>3285</v>
      </c>
      <c r="G519" s="7">
        <v>3500</v>
      </c>
      <c r="H519" s="7">
        <v>3405</v>
      </c>
      <c r="I519" s="7">
        <v>3853</v>
      </c>
      <c r="J519" s="7">
        <v>3893</v>
      </c>
      <c r="K519" s="7">
        <v>4174</v>
      </c>
      <c r="L519" s="7">
        <v>4135</v>
      </c>
      <c r="M519" s="7">
        <v>4675</v>
      </c>
      <c r="N519" s="7">
        <v>4831</v>
      </c>
      <c r="O519" s="7">
        <v>3910</v>
      </c>
      <c r="P519" s="7">
        <v>5630</v>
      </c>
      <c r="Q519" s="7">
        <v>7430</v>
      </c>
      <c r="R519" s="7">
        <v>6965</v>
      </c>
      <c r="S519" s="7">
        <v>7130</v>
      </c>
    </row>
    <row r="520">
      <c r="A520" s="14" t="s">
        <v>371</v>
      </c>
      <c r="B520" s="2" t="s">
        <v>368</v>
      </c>
      <c r="C520" s="7">
        <v>9730</v>
      </c>
      <c r="D520" s="7">
        <v>7145</v>
      </c>
      <c r="E520" s="7">
        <v>10325</v>
      </c>
      <c r="F520" s="7">
        <v>10380</v>
      </c>
      <c r="G520" s="7">
        <v>8720</v>
      </c>
      <c r="H520" s="7">
        <v>9896</v>
      </c>
      <c r="I520" s="7">
        <v>8174</v>
      </c>
      <c r="J520" s="7">
        <v>8010</v>
      </c>
      <c r="K520" s="7">
        <v>6150</v>
      </c>
      <c r="L520" s="7">
        <v>7152</v>
      </c>
      <c r="M520" s="7">
        <v>7872</v>
      </c>
      <c r="N520" s="7">
        <v>7428</v>
      </c>
      <c r="O520" s="7">
        <v>7832</v>
      </c>
      <c r="P520" s="7">
        <v>5355</v>
      </c>
      <c r="Q520" s="7">
        <v>7285</v>
      </c>
      <c r="R520" s="7">
        <v>8842</v>
      </c>
      <c r="S520" s="7">
        <v>8050</v>
      </c>
    </row>
    <row r="521">
      <c r="A521" s="14" t="s">
        <v>372</v>
      </c>
      <c r="B521" s="2" t="s">
        <v>368</v>
      </c>
      <c r="C521" s="7">
        <v>3150</v>
      </c>
      <c r="D521" s="7">
        <v>3000</v>
      </c>
      <c r="E521" s="7">
        <v>3575</v>
      </c>
      <c r="F521" s="7">
        <v>3600</v>
      </c>
      <c r="G521" s="7">
        <v>3350</v>
      </c>
      <c r="H521" s="7">
        <v>3300</v>
      </c>
      <c r="I521" s="7">
        <v>4600</v>
      </c>
      <c r="J521" s="7">
        <v>4300</v>
      </c>
      <c r="K521" s="7">
        <v>4450</v>
      </c>
      <c r="L521" s="7">
        <v>5350</v>
      </c>
      <c r="M521" s="7">
        <v>6514</v>
      </c>
      <c r="N521" s="7">
        <v>5850</v>
      </c>
      <c r="O521" s="7">
        <v>6250</v>
      </c>
      <c r="P521" s="7">
        <v>6300</v>
      </c>
      <c r="Q521" s="7">
        <v>6350</v>
      </c>
      <c r="R521" s="7">
        <v>6700</v>
      </c>
      <c r="S521" s="7">
        <v>6830</v>
      </c>
    </row>
    <row r="522">
      <c r="A522" s="14" t="s">
        <v>373</v>
      </c>
      <c r="B522" s="2" t="s">
        <v>368</v>
      </c>
      <c r="C522" s="7">
        <v>5515</v>
      </c>
      <c r="D522" s="7">
        <v>5223</v>
      </c>
      <c r="E522" s="7">
        <v>4858</v>
      </c>
      <c r="F522" s="7">
        <v>5013</v>
      </c>
      <c r="G522" s="7">
        <v>4894</v>
      </c>
      <c r="H522" s="7">
        <v>5693</v>
      </c>
      <c r="I522" s="7">
        <v>6158</v>
      </c>
      <c r="J522" s="7">
        <v>6148</v>
      </c>
      <c r="K522" s="7">
        <v>5778</v>
      </c>
      <c r="L522" s="7">
        <v>5185</v>
      </c>
      <c r="M522" s="7">
        <v>5794</v>
      </c>
      <c r="N522" s="7">
        <v>7258</v>
      </c>
      <c r="O522" s="7">
        <v>6420</v>
      </c>
      <c r="P522" s="7">
        <v>6906</v>
      </c>
      <c r="Q522" s="7">
        <v>6165</v>
      </c>
      <c r="R522" s="7">
        <v>6026</v>
      </c>
      <c r="S522" s="7">
        <v>6219</v>
      </c>
    </row>
    <row r="523">
      <c r="A523" s="14" t="s">
        <v>102</v>
      </c>
      <c r="B523" s="2" t="s">
        <v>368</v>
      </c>
      <c r="C523" s="7">
        <v>3900</v>
      </c>
      <c r="D523" s="7">
        <v>5290</v>
      </c>
      <c r="E523" s="7">
        <v>4480</v>
      </c>
      <c r="F523" s="7">
        <v>3940</v>
      </c>
      <c r="G523" s="7">
        <v>4760</v>
      </c>
      <c r="H523" s="7">
        <v>5000</v>
      </c>
      <c r="I523" s="7">
        <v>7175</v>
      </c>
      <c r="J523" s="7">
        <v>7225</v>
      </c>
      <c r="K523" s="7">
        <v>6910</v>
      </c>
      <c r="L523" s="7">
        <v>4900</v>
      </c>
      <c r="M523" s="7">
        <v>6010</v>
      </c>
      <c r="N523" s="7">
        <v>4650</v>
      </c>
      <c r="O523" s="7">
        <v>5310</v>
      </c>
      <c r="P523" s="7">
        <v>4718</v>
      </c>
      <c r="Q523" s="7">
        <v>4960</v>
      </c>
      <c r="R523" s="7">
        <v>5030</v>
      </c>
      <c r="S523" s="7">
        <v>5503</v>
      </c>
    </row>
    <row r="524">
      <c r="A524" s="14" t="s">
        <v>374</v>
      </c>
      <c r="B524" s="2" t="s">
        <v>368</v>
      </c>
      <c r="C524" s="7">
        <v>3880</v>
      </c>
      <c r="D524" s="7">
        <v>5140</v>
      </c>
      <c r="E524" s="7">
        <v>4100</v>
      </c>
      <c r="F524" s="7">
        <v>4100</v>
      </c>
      <c r="G524" s="7">
        <v>2750</v>
      </c>
      <c r="H524" s="7">
        <v>3300</v>
      </c>
      <c r="I524" s="7">
        <v>4025</v>
      </c>
      <c r="J524" s="7">
        <v>4185</v>
      </c>
      <c r="K524" s="7">
        <v>4293</v>
      </c>
      <c r="L524" s="7">
        <v>3720</v>
      </c>
      <c r="M524" s="7">
        <v>3326</v>
      </c>
      <c r="N524" s="7">
        <v>4065</v>
      </c>
      <c r="O524" s="7">
        <v>3325</v>
      </c>
      <c r="P524" s="7">
        <v>4003</v>
      </c>
      <c r="Q524" s="7">
        <v>3908</v>
      </c>
      <c r="R524" s="7">
        <v>4546</v>
      </c>
      <c r="S524" s="7">
        <v>4554</v>
      </c>
    </row>
    <row r="525">
      <c r="A525" s="14" t="s">
        <v>375</v>
      </c>
      <c r="B525" s="2" t="s">
        <v>368</v>
      </c>
      <c r="C525" s="7">
        <v>2560</v>
      </c>
      <c r="D525" s="7">
        <v>3365</v>
      </c>
      <c r="E525" s="7">
        <v>3616</v>
      </c>
      <c r="F525" s="7">
        <v>2725</v>
      </c>
      <c r="G525" s="7">
        <v>2560</v>
      </c>
      <c r="H525" s="7">
        <v>2340</v>
      </c>
      <c r="I525" s="7">
        <v>2865</v>
      </c>
      <c r="J525" s="7">
        <v>3220</v>
      </c>
      <c r="K525" s="7">
        <v>2896</v>
      </c>
      <c r="L525" s="7">
        <v>2986</v>
      </c>
      <c r="M525" s="7">
        <v>3007</v>
      </c>
      <c r="N525" s="7">
        <v>2933</v>
      </c>
      <c r="O525" s="7">
        <v>2565</v>
      </c>
      <c r="P525" s="7">
        <v>2698</v>
      </c>
      <c r="Q525" s="7">
        <v>3465</v>
      </c>
      <c r="R525" s="7">
        <v>3450</v>
      </c>
      <c r="S525" s="7">
        <v>3410</v>
      </c>
    </row>
    <row r="526">
      <c r="A526" s="14" t="s">
        <v>105</v>
      </c>
      <c r="B526" s="2" t="s">
        <v>368</v>
      </c>
      <c r="C526" s="7">
        <v>3725</v>
      </c>
      <c r="D526" s="7">
        <v>3840</v>
      </c>
      <c r="E526" s="7">
        <v>3770</v>
      </c>
      <c r="F526" s="7">
        <v>3175</v>
      </c>
      <c r="G526" s="7">
        <v>3070</v>
      </c>
      <c r="H526" s="7">
        <v>3044</v>
      </c>
      <c r="I526" s="7">
        <v>3330</v>
      </c>
      <c r="J526" s="7">
        <v>3465</v>
      </c>
      <c r="K526" s="7">
        <v>3604</v>
      </c>
      <c r="L526" s="7">
        <v>3220</v>
      </c>
      <c r="M526" s="7">
        <v>3691</v>
      </c>
      <c r="N526" s="7">
        <v>3354</v>
      </c>
      <c r="O526" s="7">
        <v>3019</v>
      </c>
      <c r="P526" s="7">
        <v>3203</v>
      </c>
      <c r="Q526" s="7">
        <v>2989</v>
      </c>
      <c r="R526" s="7">
        <v>2980</v>
      </c>
      <c r="S526" s="7">
        <v>3200</v>
      </c>
    </row>
    <row r="527">
      <c r="A527" s="14" t="s">
        <v>106</v>
      </c>
      <c r="B527" s="2" t="s">
        <v>368</v>
      </c>
      <c r="C527" s="7">
        <v>1675</v>
      </c>
      <c r="D527" s="7">
        <v>1795</v>
      </c>
      <c r="E527" s="7">
        <v>2085</v>
      </c>
      <c r="F527" s="7">
        <v>1920</v>
      </c>
      <c r="G527" s="7">
        <v>1925</v>
      </c>
      <c r="H527" s="7">
        <v>2060</v>
      </c>
      <c r="I527" s="7">
        <v>2450</v>
      </c>
      <c r="J527" s="7">
        <v>2515</v>
      </c>
      <c r="K527" s="7">
        <v>2790</v>
      </c>
      <c r="L527" s="7">
        <v>2740</v>
      </c>
      <c r="M527" s="7">
        <v>2500</v>
      </c>
      <c r="N527" s="7">
        <v>2710</v>
      </c>
      <c r="O527" s="7">
        <v>2460</v>
      </c>
      <c r="P527" s="7">
        <v>2072</v>
      </c>
      <c r="Q527" s="7">
        <v>2565</v>
      </c>
      <c r="R527" s="7">
        <v>2420</v>
      </c>
      <c r="S527" s="7">
        <v>2250</v>
      </c>
    </row>
    <row r="528">
      <c r="A528" s="14" t="s">
        <v>376</v>
      </c>
      <c r="B528" s="2" t="s">
        <v>368</v>
      </c>
      <c r="C528" s="7">
        <v>1005</v>
      </c>
      <c r="D528" s="7">
        <v>525</v>
      </c>
      <c r="E528" s="7">
        <v>920</v>
      </c>
      <c r="F528" s="7">
        <v>803</v>
      </c>
      <c r="G528" s="7">
        <v>980</v>
      </c>
      <c r="H528" s="7">
        <v>1120</v>
      </c>
      <c r="I528" s="7">
        <v>1030</v>
      </c>
      <c r="J528" s="7">
        <v>1030</v>
      </c>
      <c r="K528" s="7">
        <v>1230</v>
      </c>
      <c r="L528" s="7">
        <v>1230</v>
      </c>
      <c r="M528" s="7">
        <v>1057</v>
      </c>
      <c r="N528" s="7">
        <v>1247</v>
      </c>
      <c r="O528" s="7">
        <v>1160</v>
      </c>
      <c r="P528" s="7">
        <v>1270</v>
      </c>
      <c r="Q528" s="7">
        <v>1260</v>
      </c>
      <c r="R528" s="7">
        <v>1370</v>
      </c>
      <c r="S528" s="7">
        <v>1410</v>
      </c>
    </row>
    <row r="529">
      <c r="A529" s="14" t="s">
        <v>377</v>
      </c>
      <c r="B529" s="2" t="s">
        <v>368</v>
      </c>
      <c r="C529" s="7">
        <v>1675</v>
      </c>
      <c r="D529" s="7">
        <v>1950</v>
      </c>
      <c r="E529" s="7">
        <v>2150</v>
      </c>
      <c r="F529" s="7">
        <v>2110</v>
      </c>
      <c r="G529" s="7">
        <v>2775</v>
      </c>
      <c r="H529" s="7">
        <v>2975</v>
      </c>
      <c r="I529" s="7">
        <v>2940</v>
      </c>
      <c r="J529" s="7">
        <v>3075</v>
      </c>
      <c r="K529" s="7">
        <v>3125</v>
      </c>
      <c r="L529" s="7">
        <v>3000</v>
      </c>
      <c r="M529" s="7">
        <v>2780</v>
      </c>
      <c r="N529" s="7">
        <v>2975</v>
      </c>
      <c r="O529" s="7">
        <v>2500</v>
      </c>
      <c r="P529" s="7">
        <v>2300</v>
      </c>
      <c r="Q529" s="7">
        <v>2400</v>
      </c>
      <c r="R529" s="7">
        <v>2500</v>
      </c>
      <c r="S529" s="7">
        <v>2500</v>
      </c>
    </row>
    <row r="530">
      <c r="A530" s="14" t="s">
        <v>378</v>
      </c>
      <c r="B530" s="2" t="s">
        <v>368</v>
      </c>
      <c r="C530" s="7">
        <v>985</v>
      </c>
      <c r="D530" s="7">
        <v>1620</v>
      </c>
      <c r="E530" s="7">
        <v>1680</v>
      </c>
      <c r="F530" s="7">
        <v>1570</v>
      </c>
      <c r="G530" s="7">
        <v>1350</v>
      </c>
      <c r="H530" s="7">
        <v>1540</v>
      </c>
      <c r="I530" s="7">
        <v>990</v>
      </c>
      <c r="J530" s="7">
        <v>1170</v>
      </c>
      <c r="K530" s="7">
        <v>1965</v>
      </c>
      <c r="L530" s="7">
        <v>1715</v>
      </c>
      <c r="M530" s="7">
        <v>865</v>
      </c>
      <c r="N530" s="7">
        <v>1060</v>
      </c>
      <c r="O530" s="7">
        <v>970</v>
      </c>
      <c r="P530" s="7">
        <v>1275</v>
      </c>
      <c r="Q530" s="7">
        <v>595</v>
      </c>
      <c r="R530" s="7">
        <v>1250</v>
      </c>
      <c r="S530" s="7">
        <v>1250</v>
      </c>
    </row>
    <row r="531">
      <c r="A531" s="14" t="s">
        <v>110</v>
      </c>
      <c r="B531" s="2" t="s">
        <v>368</v>
      </c>
      <c r="C531" s="7">
        <v>1264</v>
      </c>
      <c r="D531" s="7">
        <v>1465</v>
      </c>
      <c r="E531" s="7">
        <v>1411</v>
      </c>
      <c r="F531" s="7">
        <v>1265</v>
      </c>
      <c r="G531" s="7">
        <v>1180</v>
      </c>
      <c r="H531" s="7">
        <v>1220</v>
      </c>
      <c r="I531" s="7">
        <v>1120</v>
      </c>
      <c r="J531" s="7">
        <v>1210</v>
      </c>
      <c r="K531" s="7">
        <v>1080</v>
      </c>
      <c r="L531" s="7">
        <v>1140</v>
      </c>
      <c r="M531" s="7">
        <v>1165</v>
      </c>
      <c r="N531" s="7">
        <v>1110</v>
      </c>
      <c r="O531" s="7">
        <v>1010</v>
      </c>
      <c r="P531" s="7">
        <v>1025</v>
      </c>
      <c r="Q531" s="7">
        <v>1102</v>
      </c>
      <c r="R531" s="7">
        <v>1020</v>
      </c>
      <c r="S531" s="7">
        <v>1060</v>
      </c>
    </row>
    <row r="532">
      <c r="A532" s="14" t="s">
        <v>111</v>
      </c>
      <c r="B532" s="2" t="s">
        <v>368</v>
      </c>
      <c r="C532" s="7">
        <v>650</v>
      </c>
      <c r="D532" s="7">
        <v>800</v>
      </c>
      <c r="E532" s="7">
        <v>825</v>
      </c>
      <c r="F532" s="7">
        <v>800</v>
      </c>
      <c r="G532" s="7">
        <v>730</v>
      </c>
      <c r="H532" s="7">
        <v>751</v>
      </c>
      <c r="I532" s="7">
        <v>765</v>
      </c>
      <c r="J532" s="7">
        <v>695</v>
      </c>
      <c r="K532" s="7">
        <v>827</v>
      </c>
      <c r="L532" s="7">
        <v>737</v>
      </c>
      <c r="M532" s="7">
        <v>655</v>
      </c>
      <c r="N532" s="7">
        <v>771</v>
      </c>
      <c r="O532" s="7">
        <v>881</v>
      </c>
      <c r="P532" s="7">
        <v>845</v>
      </c>
      <c r="Q532" s="7">
        <v>952</v>
      </c>
      <c r="R532" s="7">
        <v>840</v>
      </c>
      <c r="S532" s="7">
        <v>940</v>
      </c>
    </row>
    <row r="533">
      <c r="A533" s="14" t="s">
        <v>379</v>
      </c>
      <c r="B533" s="2" t="s">
        <v>368</v>
      </c>
      <c r="C533" s="7">
        <v>1520</v>
      </c>
      <c r="D533" s="7">
        <v>1235</v>
      </c>
      <c r="E533" s="7">
        <v>1700</v>
      </c>
      <c r="F533" s="7">
        <v>2100</v>
      </c>
      <c r="G533" s="7">
        <v>1975</v>
      </c>
      <c r="H533" s="7">
        <v>960</v>
      </c>
      <c r="I533" s="7">
        <v>850</v>
      </c>
      <c r="J533" s="7">
        <v>650</v>
      </c>
      <c r="K533" s="7">
        <v>730</v>
      </c>
      <c r="L533" s="7">
        <v>905</v>
      </c>
      <c r="M533" s="7">
        <v>885</v>
      </c>
      <c r="N533" s="7">
        <v>990</v>
      </c>
      <c r="O533" s="7">
        <v>900</v>
      </c>
      <c r="P533" s="7">
        <v>1095</v>
      </c>
      <c r="Q533" s="7">
        <v>650</v>
      </c>
      <c r="R533" s="7">
        <v>500</v>
      </c>
      <c r="S533" s="7">
        <v>600</v>
      </c>
    </row>
    <row r="534">
      <c r="A534" s="14" t="s">
        <v>380</v>
      </c>
      <c r="B534" s="2" t="s">
        <v>368</v>
      </c>
      <c r="C534" s="7">
        <v>850</v>
      </c>
      <c r="D534" s="7">
        <v>1350</v>
      </c>
      <c r="E534" s="7">
        <v>775</v>
      </c>
      <c r="F534" s="7">
        <v>815</v>
      </c>
      <c r="G534" s="7">
        <v>755</v>
      </c>
      <c r="H534" s="7">
        <v>690</v>
      </c>
      <c r="I534" s="7">
        <v>1065</v>
      </c>
      <c r="J534" s="7">
        <v>760</v>
      </c>
      <c r="K534" s="7">
        <v>915</v>
      </c>
      <c r="L534" s="7">
        <v>775</v>
      </c>
      <c r="M534" s="7">
        <v>650</v>
      </c>
      <c r="N534" s="7">
        <v>720</v>
      </c>
      <c r="O534" s="7">
        <v>825</v>
      </c>
      <c r="P534" s="7">
        <v>930</v>
      </c>
      <c r="Q534" s="7">
        <v>750</v>
      </c>
      <c r="R534" s="7">
        <v>750</v>
      </c>
      <c r="S534" s="7">
        <v>750</v>
      </c>
    </row>
    <row r="535">
      <c r="A535" s="14" t="s">
        <v>381</v>
      </c>
      <c r="B535" s="2" t="s">
        <v>368</v>
      </c>
      <c r="C535" s="7">
        <v>1752</v>
      </c>
      <c r="D535" s="7">
        <v>1065</v>
      </c>
      <c r="E535" s="7">
        <v>1185</v>
      </c>
      <c r="F535" s="7">
        <v>500</v>
      </c>
      <c r="G535" s="7">
        <v>600</v>
      </c>
      <c r="H535" s="7">
        <v>490</v>
      </c>
      <c r="I535" s="7">
        <v>520</v>
      </c>
      <c r="J535" s="7">
        <v>590</v>
      </c>
      <c r="K535" s="7">
        <v>615</v>
      </c>
      <c r="L535" s="7">
        <v>555</v>
      </c>
      <c r="M535" s="7">
        <v>542</v>
      </c>
      <c r="N535" s="7">
        <v>611</v>
      </c>
      <c r="O535" s="7">
        <v>497</v>
      </c>
      <c r="P535" s="7">
        <v>462</v>
      </c>
      <c r="Q535" s="7">
        <v>475</v>
      </c>
      <c r="R535" s="7">
        <v>535</v>
      </c>
      <c r="S535" s="7">
        <v>543</v>
      </c>
    </row>
    <row r="536">
      <c r="A536" s="14" t="s">
        <v>115</v>
      </c>
      <c r="B536" s="2" t="s">
        <v>368</v>
      </c>
      <c r="C536" s="7">
        <v>400</v>
      </c>
      <c r="D536" s="7">
        <v>350</v>
      </c>
      <c r="E536" s="7">
        <v>360</v>
      </c>
      <c r="F536" s="7">
        <v>365</v>
      </c>
      <c r="G536" s="7">
        <v>375</v>
      </c>
      <c r="H536" s="7">
        <v>375</v>
      </c>
      <c r="I536" s="7">
        <v>310</v>
      </c>
      <c r="J536" s="7">
        <v>350</v>
      </c>
      <c r="K536" s="7">
        <v>280</v>
      </c>
      <c r="L536" s="7">
        <v>340</v>
      </c>
      <c r="M536" s="7">
        <v>400</v>
      </c>
      <c r="N536" s="7">
        <v>300</v>
      </c>
      <c r="O536" s="7">
        <v>325</v>
      </c>
      <c r="P536" s="7">
        <v>330</v>
      </c>
      <c r="Q536" s="7">
        <v>375</v>
      </c>
      <c r="R536" s="7">
        <v>387</v>
      </c>
      <c r="S536" s="7">
        <v>400</v>
      </c>
    </row>
    <row r="537">
      <c r="A537" s="14" t="s">
        <v>382</v>
      </c>
      <c r="B537" s="2" t="s">
        <v>368</v>
      </c>
      <c r="C537" s="7">
        <v>1250</v>
      </c>
      <c r="D537" s="7">
        <v>1550</v>
      </c>
      <c r="E537" s="7">
        <v>1525</v>
      </c>
      <c r="F537" s="7">
        <v>979</v>
      </c>
      <c r="G537" s="7">
        <v>890</v>
      </c>
      <c r="H537" s="7">
        <v>845</v>
      </c>
      <c r="I537" s="7">
        <v>574</v>
      </c>
      <c r="J537" s="7">
        <v>705</v>
      </c>
      <c r="K537" s="7">
        <v>486</v>
      </c>
      <c r="L537" s="7">
        <v>391</v>
      </c>
      <c r="M537" s="7">
        <v>510</v>
      </c>
      <c r="N537" s="7">
        <v>483</v>
      </c>
      <c r="O537" s="7">
        <v>540</v>
      </c>
      <c r="P537" s="7">
        <v>430</v>
      </c>
      <c r="Q537" s="7">
        <v>427</v>
      </c>
      <c r="R537" s="7">
        <v>442</v>
      </c>
      <c r="S537" s="7">
        <v>430</v>
      </c>
    </row>
    <row r="538">
      <c r="A538" s="14" t="s">
        <v>117</v>
      </c>
      <c r="B538" s="2" t="s">
        <v>368</v>
      </c>
      <c r="C538" s="7">
        <v>317</v>
      </c>
      <c r="D538" s="7">
        <v>245</v>
      </c>
      <c r="E538" s="7">
        <v>260</v>
      </c>
      <c r="F538" s="7">
        <v>250</v>
      </c>
      <c r="G538" s="7">
        <v>240</v>
      </c>
      <c r="H538" s="7">
        <v>300</v>
      </c>
      <c r="I538" s="7">
        <v>230</v>
      </c>
      <c r="J538" s="7">
        <v>275</v>
      </c>
      <c r="K538" s="7">
        <v>275</v>
      </c>
      <c r="L538" s="7">
        <v>350</v>
      </c>
      <c r="M538" s="7">
        <v>345</v>
      </c>
      <c r="N538" s="7">
        <v>270</v>
      </c>
      <c r="O538" s="7">
        <v>400</v>
      </c>
      <c r="P538" s="7">
        <v>280</v>
      </c>
      <c r="Q538" s="7">
        <v>260</v>
      </c>
      <c r="R538" s="7">
        <v>350</v>
      </c>
      <c r="S538" s="7">
        <v>350</v>
      </c>
    </row>
    <row r="539">
      <c r="A539" s="14" t="s">
        <v>118</v>
      </c>
      <c r="B539" s="2" t="s">
        <v>368</v>
      </c>
      <c r="C539" s="7">
        <v>105</v>
      </c>
      <c r="D539" s="7">
        <v>105</v>
      </c>
      <c r="E539" s="7">
        <v>100</v>
      </c>
      <c r="F539" s="7">
        <v>165</v>
      </c>
      <c r="G539" s="7">
        <v>110</v>
      </c>
      <c r="H539" s="7">
        <v>47</v>
      </c>
      <c r="I539" s="7">
        <v>80</v>
      </c>
      <c r="J539" s="7">
        <v>25</v>
      </c>
      <c r="K539" s="7">
        <v>5</v>
      </c>
      <c r="L539" s="7">
        <v>25</v>
      </c>
      <c r="M539" s="7">
        <v>55</v>
      </c>
      <c r="N539" s="7">
        <v>1</v>
      </c>
      <c r="O539" s="7">
        <v>0</v>
      </c>
      <c r="P539" s="7">
        <v>20</v>
      </c>
      <c r="Q539" s="7">
        <v>140</v>
      </c>
      <c r="R539" s="7">
        <v>90</v>
      </c>
      <c r="S539" s="7">
        <v>100</v>
      </c>
    </row>
    <row r="540">
      <c r="A540" s="14" t="s">
        <v>383</v>
      </c>
      <c r="B540" s="2" t="s">
        <v>368</v>
      </c>
      <c r="C540" s="7">
        <v>650</v>
      </c>
      <c r="D540" s="7">
        <v>670</v>
      </c>
      <c r="E540" s="7">
        <v>470</v>
      </c>
      <c r="F540" s="7">
        <v>350</v>
      </c>
      <c r="G540" s="7">
        <v>500</v>
      </c>
      <c r="H540" s="7">
        <v>540</v>
      </c>
      <c r="I540" s="7">
        <v>430</v>
      </c>
      <c r="J540" s="7">
        <v>350</v>
      </c>
      <c r="K540" s="7">
        <v>375</v>
      </c>
      <c r="L540" s="7">
        <v>400</v>
      </c>
      <c r="M540" s="7">
        <v>330</v>
      </c>
      <c r="N540" s="7">
        <v>190</v>
      </c>
      <c r="O540" s="7">
        <v>200</v>
      </c>
      <c r="P540" s="7">
        <v>145</v>
      </c>
      <c r="Q540" s="7">
        <v>150</v>
      </c>
      <c r="R540" s="7">
        <v>160</v>
      </c>
      <c r="S540" s="7">
        <v>150</v>
      </c>
    </row>
    <row r="541">
      <c r="A541" s="14" t="s">
        <v>384</v>
      </c>
      <c r="B541" s="2" t="s">
        <v>368</v>
      </c>
      <c r="C541" s="7">
        <v>75</v>
      </c>
      <c r="D541" s="7">
        <v>69</v>
      </c>
      <c r="E541" s="7">
        <v>59</v>
      </c>
      <c r="F541" s="7">
        <v>70</v>
      </c>
      <c r="G541" s="7">
        <v>75</v>
      </c>
      <c r="H541" s="7">
        <v>70</v>
      </c>
      <c r="I541" s="7">
        <v>80</v>
      </c>
      <c r="J541" s="7">
        <v>95</v>
      </c>
      <c r="K541" s="7">
        <v>115</v>
      </c>
      <c r="L541" s="7">
        <v>125</v>
      </c>
      <c r="M541" s="7">
        <v>120</v>
      </c>
      <c r="N541" s="7">
        <v>150</v>
      </c>
      <c r="O541" s="7">
        <v>130</v>
      </c>
      <c r="P541" s="7">
        <v>100</v>
      </c>
      <c r="Q541" s="7">
        <v>70</v>
      </c>
      <c r="R541" s="7">
        <v>60</v>
      </c>
      <c r="S541" s="7">
        <v>60</v>
      </c>
    </row>
    <row r="542">
      <c r="A542" s="14" t="s">
        <v>121</v>
      </c>
      <c r="B542" s="2" t="s">
        <v>368</v>
      </c>
      <c r="C542" s="7">
        <v>235</v>
      </c>
      <c r="D542" s="7">
        <v>205</v>
      </c>
      <c r="E542" s="7">
        <v>240</v>
      </c>
      <c r="F542" s="7">
        <v>180</v>
      </c>
      <c r="G542" s="7">
        <v>160</v>
      </c>
      <c r="H542" s="7">
        <v>235</v>
      </c>
      <c r="I542" s="7">
        <v>195</v>
      </c>
      <c r="J542" s="7">
        <v>200</v>
      </c>
      <c r="K542" s="7">
        <v>200</v>
      </c>
      <c r="L542" s="7">
        <v>260</v>
      </c>
      <c r="M542" s="7">
        <v>215</v>
      </c>
      <c r="N542" s="7">
        <v>150</v>
      </c>
      <c r="O542" s="7">
        <v>160</v>
      </c>
      <c r="P542" s="7">
        <v>125</v>
      </c>
      <c r="Q542" s="7">
        <v>100</v>
      </c>
      <c r="R542" s="7">
        <v>125</v>
      </c>
      <c r="S542" s="7">
        <v>125</v>
      </c>
    </row>
    <row r="543">
      <c r="A543" s="14" t="s">
        <v>385</v>
      </c>
      <c r="B543" s="2" t="s">
        <v>368</v>
      </c>
      <c r="C543" s="7">
        <v>48</v>
      </c>
      <c r="D543" s="7">
        <v>47</v>
      </c>
      <c r="E543" s="7">
        <v>36</v>
      </c>
      <c r="F543" s="7">
        <v>23</v>
      </c>
      <c r="G543" s="7">
        <v>17</v>
      </c>
      <c r="H543" s="7">
        <v>15</v>
      </c>
      <c r="I543" s="7">
        <v>13</v>
      </c>
      <c r="J543" s="7">
        <v>13</v>
      </c>
      <c r="K543" s="7">
        <v>12</v>
      </c>
      <c r="L543" s="7">
        <v>10</v>
      </c>
      <c r="M543" s="7">
        <v>10</v>
      </c>
      <c r="N543" s="7">
        <v>12</v>
      </c>
      <c r="O543" s="7">
        <v>14</v>
      </c>
      <c r="P543" s="7">
        <v>12</v>
      </c>
      <c r="Q543" s="7">
        <v>11</v>
      </c>
      <c r="R543" s="7">
        <v>15</v>
      </c>
      <c r="S543" s="7">
        <v>10</v>
      </c>
    </row>
    <row r="544">
      <c r="A544" s="14" t="s">
        <v>386</v>
      </c>
      <c r="B544" s="2" t="s">
        <v>368</v>
      </c>
      <c r="C544" s="7">
        <v>300</v>
      </c>
      <c r="D544" s="7">
        <v>380</v>
      </c>
      <c r="E544" s="7">
        <v>143</v>
      </c>
      <c r="F544" s="7">
        <v>25</v>
      </c>
      <c r="G544" s="7">
        <v>130</v>
      </c>
      <c r="H544" s="7">
        <v>260</v>
      </c>
      <c r="I544" s="7">
        <v>180</v>
      </c>
      <c r="J544" s="7">
        <v>160</v>
      </c>
      <c r="K544" s="7">
        <v>70</v>
      </c>
      <c r="L544" s="7">
        <v>125</v>
      </c>
      <c r="M544" s="7">
        <v>60</v>
      </c>
      <c r="N544" s="7">
        <v>287</v>
      </c>
      <c r="O544" s="7">
        <v>100</v>
      </c>
      <c r="P544" s="7">
        <v>245</v>
      </c>
      <c r="Q544" s="7">
        <v>85</v>
      </c>
      <c r="R544" s="7">
        <v>50</v>
      </c>
      <c r="S544" s="7">
        <v>100</v>
      </c>
    </row>
    <row r="545">
      <c r="A545" s="14" t="s">
        <v>124</v>
      </c>
      <c r="B545" s="2" t="s">
        <v>368</v>
      </c>
      <c r="C545" s="7">
        <v>5</v>
      </c>
      <c r="D545" s="7">
        <v>11</v>
      </c>
      <c r="E545" s="7">
        <v>13</v>
      </c>
      <c r="F545" s="7">
        <v>14</v>
      </c>
      <c r="G545" s="7">
        <v>11</v>
      </c>
      <c r="H545" s="7">
        <v>19</v>
      </c>
      <c r="I545" s="7">
        <v>15</v>
      </c>
      <c r="J545" s="7">
        <v>14</v>
      </c>
      <c r="K545" s="7">
        <v>23</v>
      </c>
      <c r="L545" s="7">
        <v>10</v>
      </c>
      <c r="M545" s="7">
        <v>15</v>
      </c>
      <c r="N545" s="7">
        <v>20</v>
      </c>
      <c r="O545" s="7">
        <v>13</v>
      </c>
      <c r="P545" s="7">
        <v>10</v>
      </c>
      <c r="Q545" s="7">
        <v>11</v>
      </c>
      <c r="R545" s="7">
        <v>10</v>
      </c>
      <c r="S545" s="7">
        <v>10</v>
      </c>
    </row>
    <row r="546">
      <c r="A546" s="14" t="s">
        <v>125</v>
      </c>
      <c r="B546" s="2" t="s">
        <v>368</v>
      </c>
      <c r="C546" s="7">
        <v>615</v>
      </c>
      <c r="D546" s="7">
        <v>560</v>
      </c>
      <c r="E546" s="7">
        <v>200</v>
      </c>
      <c r="F546" s="7">
        <v>165</v>
      </c>
      <c r="G546" s="7">
        <v>175</v>
      </c>
      <c r="H546" s="7">
        <v>120</v>
      </c>
      <c r="I546" s="7">
        <v>80</v>
      </c>
      <c r="J546" s="7">
        <v>130</v>
      </c>
      <c r="K546" s="7">
        <v>95</v>
      </c>
      <c r="L546" s="7">
        <v>100</v>
      </c>
      <c r="M546" s="7">
        <v>85</v>
      </c>
      <c r="N546" s="7">
        <v>80</v>
      </c>
      <c r="O546" s="7">
        <v>110</v>
      </c>
      <c r="P546" s="7">
        <v>75</v>
      </c>
      <c r="Q546" s="7">
        <v>90</v>
      </c>
      <c r="R546" s="7">
        <v>90</v>
      </c>
      <c r="S546" s="7">
        <v>90</v>
      </c>
    </row>
    <row r="547">
      <c r="A547" s="14" t="s">
        <v>387</v>
      </c>
      <c r="B547" s="2" t="s">
        <v>368</v>
      </c>
      <c r="C547" s="7">
        <v>66</v>
      </c>
      <c r="D547" s="7">
        <v>87</v>
      </c>
      <c r="E547" s="7">
        <v>56</v>
      </c>
      <c r="F547" s="7">
        <v>70</v>
      </c>
      <c r="G547" s="7">
        <v>45</v>
      </c>
      <c r="H547" s="7">
        <v>31</v>
      </c>
      <c r="I547" s="7">
        <v>21</v>
      </c>
      <c r="J547" s="7">
        <v>25</v>
      </c>
      <c r="K547" s="7">
        <v>23</v>
      </c>
      <c r="L547" s="7">
        <v>22</v>
      </c>
      <c r="M547" s="7">
        <v>23</v>
      </c>
      <c r="N547" s="7">
        <v>33</v>
      </c>
      <c r="O547" s="7">
        <v>40</v>
      </c>
      <c r="P547" s="7">
        <v>26</v>
      </c>
      <c r="Q547" s="7">
        <v>40</v>
      </c>
      <c r="R547" s="7">
        <v>35</v>
      </c>
      <c r="S547" s="7">
        <v>35</v>
      </c>
    </row>
    <row r="548">
      <c r="A548" s="14" t="s">
        <v>127</v>
      </c>
      <c r="B548" s="2" t="s">
        <v>368</v>
      </c>
      <c r="C548" s="7">
        <v>5</v>
      </c>
      <c r="D548" s="7">
        <v>8</v>
      </c>
      <c r="E548" s="7">
        <v>8</v>
      </c>
      <c r="F548" s="7">
        <v>5</v>
      </c>
      <c r="G548" s="7">
        <v>6</v>
      </c>
      <c r="H548" s="7">
        <v>12</v>
      </c>
      <c r="I548" s="7">
        <v>6</v>
      </c>
      <c r="J548" s="7">
        <v>6</v>
      </c>
      <c r="K548" s="7">
        <v>8</v>
      </c>
      <c r="L548" s="7">
        <v>22</v>
      </c>
      <c r="M548" s="7">
        <v>16</v>
      </c>
      <c r="N548" s="7">
        <v>18</v>
      </c>
      <c r="O548" s="7">
        <v>7</v>
      </c>
      <c r="P548" s="7">
        <v>21</v>
      </c>
      <c r="Q548" s="7">
        <v>38</v>
      </c>
      <c r="R548" s="7">
        <v>33</v>
      </c>
      <c r="S548" s="7">
        <v>35</v>
      </c>
    </row>
    <row r="549">
      <c r="A549" s="14" t="s">
        <v>128</v>
      </c>
      <c r="B549" s="2" t="s">
        <v>368</v>
      </c>
      <c r="C549" s="7">
        <v>25</v>
      </c>
      <c r="D549" s="7">
        <v>69</v>
      </c>
      <c r="E549" s="7">
        <v>50</v>
      </c>
      <c r="F549" s="7">
        <v>25</v>
      </c>
      <c r="G549" s="7">
        <v>42</v>
      </c>
      <c r="H549" s="7">
        <v>40</v>
      </c>
      <c r="I549" s="7">
        <v>40</v>
      </c>
      <c r="J549" s="7">
        <v>41</v>
      </c>
      <c r="K549" s="7">
        <v>37</v>
      </c>
      <c r="L549" s="7">
        <v>41</v>
      </c>
      <c r="M549" s="7">
        <v>60</v>
      </c>
      <c r="N549" s="7">
        <v>23</v>
      </c>
      <c r="O549" s="7">
        <v>45</v>
      </c>
      <c r="P549" s="7">
        <v>25</v>
      </c>
      <c r="Q549" s="7">
        <v>48</v>
      </c>
      <c r="R549" s="7">
        <v>20</v>
      </c>
      <c r="S549" s="7">
        <v>20</v>
      </c>
    </row>
    <row r="550">
      <c r="A550" s="14" t="s">
        <v>388</v>
      </c>
      <c r="B550" s="2" t="s">
        <v>368</v>
      </c>
      <c r="C550" s="7">
        <v>18</v>
      </c>
      <c r="D550" s="7">
        <v>17</v>
      </c>
      <c r="E550" s="7">
        <v>20</v>
      </c>
      <c r="F550" s="7">
        <v>26</v>
      </c>
      <c r="G550" s="7">
        <v>22</v>
      </c>
      <c r="H550" s="7">
        <v>22</v>
      </c>
      <c r="I550" s="7">
        <v>11</v>
      </c>
      <c r="J550" s="7">
        <v>11</v>
      </c>
      <c r="K550" s="7">
        <v>10</v>
      </c>
      <c r="L550" s="7">
        <v>11</v>
      </c>
      <c r="M550" s="7">
        <v>11</v>
      </c>
      <c r="N550" s="7">
        <v>11</v>
      </c>
      <c r="O550" s="7">
        <v>13</v>
      </c>
      <c r="P550" s="7">
        <v>14</v>
      </c>
      <c r="Q550" s="7">
        <v>11</v>
      </c>
      <c r="R550" s="7">
        <v>11</v>
      </c>
      <c r="S550" s="7">
        <v>10</v>
      </c>
    </row>
    <row r="551">
      <c r="A551" s="14" t="s">
        <v>389</v>
      </c>
      <c r="B551" s="2" t="s">
        <v>368</v>
      </c>
      <c r="C551" s="7">
        <v>22</v>
      </c>
      <c r="D551" s="7">
        <v>7</v>
      </c>
      <c r="E551" s="7">
        <v>2</v>
      </c>
      <c r="F551" s="7">
        <v>1</v>
      </c>
      <c r="G551" s="7">
        <v>2</v>
      </c>
      <c r="H551" s="7">
        <v>4</v>
      </c>
      <c r="I551" s="7">
        <v>1</v>
      </c>
      <c r="J551" s="7">
        <v>0</v>
      </c>
      <c r="K551" s="7">
        <v>0</v>
      </c>
      <c r="L551" s="7">
        <v>0</v>
      </c>
      <c r="M551" s="7">
        <v>0</v>
      </c>
      <c r="N551" s="7">
        <v>0</v>
      </c>
      <c r="O551" s="7">
        <v>0</v>
      </c>
      <c r="P551" s="7">
        <v>0</v>
      </c>
      <c r="Q551" s="7">
        <v>0</v>
      </c>
      <c r="R551" s="7">
        <v>0</v>
      </c>
      <c r="S551" s="7">
        <v>0</v>
      </c>
    </row>
    <row r="552">
      <c r="A552" s="14" t="s">
        <v>131</v>
      </c>
      <c r="B552" s="2" t="s">
        <v>368</v>
      </c>
      <c r="C552" s="7">
        <v>57</v>
      </c>
      <c r="D552" s="7">
        <v>70</v>
      </c>
      <c r="E552" s="7">
        <v>25</v>
      </c>
      <c r="F552" s="7">
        <v>6</v>
      </c>
      <c r="G552" s="7">
        <v>2</v>
      </c>
      <c r="H552" s="7">
        <v>0</v>
      </c>
      <c r="I552" s="7">
        <v>0</v>
      </c>
      <c r="J552" s="7">
        <v>0</v>
      </c>
      <c r="K552" s="7">
        <v>0</v>
      </c>
      <c r="L552" s="7">
        <v>0</v>
      </c>
      <c r="M552" s="7">
        <v>0</v>
      </c>
      <c r="N552" s="7">
        <v>0</v>
      </c>
      <c r="O552" s="7">
        <v>0</v>
      </c>
      <c r="P552" s="7">
        <v>0</v>
      </c>
      <c r="Q552" s="7">
        <v>0</v>
      </c>
      <c r="R552" s="7">
        <v>0</v>
      </c>
      <c r="S552" s="7">
        <v>0</v>
      </c>
    </row>
    <row r="553">
      <c r="A553" s="14" t="s">
        <v>390</v>
      </c>
      <c r="B553" s="2" t="s">
        <v>368</v>
      </c>
      <c r="C553" s="7">
        <v>7</v>
      </c>
      <c r="D553" s="7">
        <v>9</v>
      </c>
      <c r="E553" s="7">
        <v>7</v>
      </c>
      <c r="F553" s="7">
        <v>5</v>
      </c>
      <c r="G553" s="7">
        <v>2</v>
      </c>
      <c r="H553" s="7">
        <v>0</v>
      </c>
      <c r="I553" s="7">
        <v>0</v>
      </c>
      <c r="J553" s="7">
        <v>0</v>
      </c>
      <c r="K553" s="7">
        <v>0</v>
      </c>
      <c r="L553" s="7">
        <v>0</v>
      </c>
      <c r="M553" s="7">
        <v>0</v>
      </c>
      <c r="N553" s="7">
        <v>0</v>
      </c>
      <c r="O553" s="7">
        <v>0</v>
      </c>
      <c r="P553" s="7">
        <v>0</v>
      </c>
      <c r="Q553" s="7">
        <v>0</v>
      </c>
      <c r="R553" s="7">
        <v>0</v>
      </c>
      <c r="S553" s="7">
        <v>0</v>
      </c>
    </row>
    <row r="554">
      <c r="A554" s="14" t="s">
        <v>133</v>
      </c>
      <c r="B554" s="2" t="s">
        <v>368</v>
      </c>
      <c r="C554" s="7">
        <v>4</v>
      </c>
      <c r="D554" s="7">
        <v>5</v>
      </c>
      <c r="E554" s="7">
        <v>5</v>
      </c>
      <c r="F554" s="7">
        <v>1</v>
      </c>
      <c r="G554" s="7">
        <v>3</v>
      </c>
      <c r="H554" s="7">
        <v>0</v>
      </c>
      <c r="I554" s="7">
        <v>0</v>
      </c>
      <c r="J554" s="7">
        <v>0</v>
      </c>
      <c r="K554" s="7">
        <v>0</v>
      </c>
      <c r="L554" s="7">
        <v>0</v>
      </c>
      <c r="M554" s="7">
        <v>0</v>
      </c>
      <c r="N554" s="7">
        <v>0</v>
      </c>
      <c r="O554" s="7">
        <v>0</v>
      </c>
      <c r="P554" s="7">
        <v>0</v>
      </c>
      <c r="Q554" s="7">
        <v>0</v>
      </c>
      <c r="R554" s="7">
        <v>0</v>
      </c>
      <c r="S554" s="7">
        <v>0</v>
      </c>
    </row>
    <row r="555">
      <c r="A555" s="14" t="s">
        <v>134</v>
      </c>
      <c r="B555" s="2" t="s">
        <v>368</v>
      </c>
      <c r="C555" s="7">
        <v>23</v>
      </c>
      <c r="D555" s="7">
        <v>20</v>
      </c>
      <c r="E555" s="7">
        <v>24</v>
      </c>
      <c r="F555" s="7">
        <v>24</v>
      </c>
      <c r="G555" s="7">
        <v>20</v>
      </c>
      <c r="H555" s="7">
        <v>22</v>
      </c>
      <c r="I555" s="7">
        <v>15</v>
      </c>
      <c r="J555" s="7">
        <v>11</v>
      </c>
      <c r="K555" s="7">
        <v>10</v>
      </c>
      <c r="L555" s="7">
        <v>9</v>
      </c>
      <c r="M555" s="7">
        <v>0</v>
      </c>
      <c r="N555" s="7">
        <v>0</v>
      </c>
      <c r="O555" s="7">
        <v>0</v>
      </c>
      <c r="P555" s="7">
        <v>0</v>
      </c>
      <c r="Q555" s="7">
        <v>0</v>
      </c>
      <c r="R555" s="7">
        <v>0</v>
      </c>
      <c r="S555" s="7">
        <v>0</v>
      </c>
    </row>
    <row r="556">
      <c r="A556" s="14" t="s">
        <v>135</v>
      </c>
      <c r="B556" s="2" t="s">
        <v>368</v>
      </c>
      <c r="C556" s="7">
        <v>2</v>
      </c>
      <c r="D556" s="7">
        <v>7</v>
      </c>
      <c r="E556" s="7">
        <v>1</v>
      </c>
      <c r="F556" s="7">
        <v>1</v>
      </c>
      <c r="G556" s="7">
        <v>3</v>
      </c>
      <c r="H556" s="7">
        <v>1</v>
      </c>
      <c r="I556" s="7">
        <v>2</v>
      </c>
      <c r="J556" s="7">
        <v>2</v>
      </c>
      <c r="K556" s="7">
        <v>0</v>
      </c>
      <c r="L556" s="7">
        <v>0</v>
      </c>
      <c r="M556" s="7">
        <v>0</v>
      </c>
      <c r="N556" s="7">
        <v>0</v>
      </c>
      <c r="O556" s="7">
        <v>0</v>
      </c>
      <c r="P556" s="7">
        <v>0</v>
      </c>
      <c r="Q556" s="7">
        <v>0</v>
      </c>
      <c r="R556" s="7">
        <v>0</v>
      </c>
      <c r="S556" s="7">
        <v>0</v>
      </c>
    </row>
    <row r="557">
      <c r="A557" s="14" t="s">
        <v>391</v>
      </c>
      <c r="B557" s="2" t="s">
        <v>368</v>
      </c>
      <c r="C557" s="7">
        <v>20</v>
      </c>
      <c r="D557" s="7">
        <v>15</v>
      </c>
      <c r="E557" s="7">
        <v>15</v>
      </c>
      <c r="F557" s="7">
        <v>10</v>
      </c>
      <c r="G557" s="7">
        <v>6</v>
      </c>
      <c r="H557" s="7">
        <v>0</v>
      </c>
      <c r="I557" s="7">
        <v>0</v>
      </c>
      <c r="J557" s="7">
        <v>0</v>
      </c>
      <c r="K557" s="7">
        <v>0</v>
      </c>
      <c r="L557" s="7">
        <v>0</v>
      </c>
      <c r="M557" s="7">
        <v>0</v>
      </c>
      <c r="N557" s="7">
        <v>0</v>
      </c>
      <c r="O557" s="7">
        <v>0</v>
      </c>
      <c r="P557" s="7">
        <v>0</v>
      </c>
      <c r="Q557" s="7">
        <v>0</v>
      </c>
      <c r="R557" s="7">
        <v>0</v>
      </c>
      <c r="S557" s="7">
        <v>0</v>
      </c>
    </row>
    <row r="558">
      <c r="A558" s="14" t="s">
        <v>392</v>
      </c>
      <c r="B558" s="2" t="s">
        <v>393</v>
      </c>
      <c r="C558" s="7">
        <v>450</v>
      </c>
      <c r="D558" s="7">
        <v>405</v>
      </c>
      <c r="E558" s="7">
        <v>365</v>
      </c>
      <c r="F558" s="7">
        <v>580</v>
      </c>
      <c r="G558" s="7">
        <v>380</v>
      </c>
      <c r="H558" s="7">
        <v>60</v>
      </c>
      <c r="I558" s="7">
        <v>0</v>
      </c>
      <c r="J558" s="7">
        <v>0</v>
      </c>
      <c r="K558" s="7">
        <v>0</v>
      </c>
      <c r="L558" s="7">
        <v>0</v>
      </c>
      <c r="M558" s="7">
        <v>0</v>
      </c>
      <c r="N558" s="7">
        <v>0</v>
      </c>
      <c r="O558" s="7">
        <v>0</v>
      </c>
      <c r="P558" s="7">
        <v>0</v>
      </c>
      <c r="Q558" s="7">
        <v>0</v>
      </c>
      <c r="R558" s="7">
        <v>0</v>
      </c>
      <c r="S558" s="7">
        <v>0</v>
      </c>
    </row>
    <row r="559">
      <c r="A559" s="14" t="s">
        <v>394</v>
      </c>
      <c r="B559" s="2" t="s">
        <v>393</v>
      </c>
      <c r="C559" s="7">
        <v>705</v>
      </c>
      <c r="D559" s="7">
        <v>1079</v>
      </c>
      <c r="E559" s="7">
        <v>1470</v>
      </c>
      <c r="F559" s="7">
        <v>1351</v>
      </c>
      <c r="G559" s="7">
        <v>1520</v>
      </c>
      <c r="H559" s="7">
        <v>2410</v>
      </c>
      <c r="I559" s="7">
        <v>1982</v>
      </c>
      <c r="J559" s="7">
        <v>2050</v>
      </c>
      <c r="K559" s="7">
        <v>1710</v>
      </c>
      <c r="L559" s="7">
        <v>1215</v>
      </c>
      <c r="M559" s="7">
        <v>790</v>
      </c>
      <c r="N559" s="7">
        <v>1190</v>
      </c>
      <c r="O559" s="7">
        <v>805</v>
      </c>
      <c r="P559" s="7">
        <v>1265</v>
      </c>
      <c r="Q559" s="7">
        <v>1460</v>
      </c>
      <c r="R559" s="7">
        <v>1230</v>
      </c>
      <c r="S559" s="7">
        <v>1200</v>
      </c>
    </row>
    <row r="560">
      <c r="A560" s="14" t="s">
        <v>395</v>
      </c>
      <c r="B560" s="2" t="s">
        <v>393</v>
      </c>
      <c r="C560" s="7">
        <v>0</v>
      </c>
      <c r="D560" s="7">
        <v>0</v>
      </c>
      <c r="E560" s="7">
        <v>0</v>
      </c>
      <c r="F560" s="7">
        <v>0</v>
      </c>
      <c r="G560" s="7">
        <v>0</v>
      </c>
      <c r="H560" s="7">
        <v>0</v>
      </c>
      <c r="I560" s="7">
        <v>0</v>
      </c>
      <c r="J560" s="7">
        <v>0</v>
      </c>
      <c r="K560" s="7">
        <v>0</v>
      </c>
      <c r="L560" s="7">
        <v>0</v>
      </c>
      <c r="M560" s="7">
        <v>0</v>
      </c>
      <c r="N560" s="7">
        <v>0</v>
      </c>
      <c r="O560" s="7">
        <v>0</v>
      </c>
      <c r="P560" s="7">
        <v>0</v>
      </c>
      <c r="Q560" s="7">
        <v>0</v>
      </c>
      <c r="R560" s="7">
        <v>0</v>
      </c>
      <c r="S560" s="7">
        <v>0</v>
      </c>
    </row>
    <row r="561">
      <c r="A561" s="14" t="s">
        <v>396</v>
      </c>
      <c r="B561" s="2" t="s">
        <v>393</v>
      </c>
      <c r="C561" s="7">
        <v>100</v>
      </c>
      <c r="D561" s="7">
        <v>100</v>
      </c>
      <c r="E561" s="7">
        <v>80</v>
      </c>
      <c r="F561" s="7">
        <v>50</v>
      </c>
      <c r="G561" s="7">
        <v>30</v>
      </c>
      <c r="H561" s="7">
        <v>30</v>
      </c>
      <c r="I561" s="7">
        <v>8</v>
      </c>
      <c r="J561" s="7">
        <v>8</v>
      </c>
      <c r="K561" s="7">
        <v>0</v>
      </c>
      <c r="L561" s="7">
        <v>0</v>
      </c>
      <c r="M561" s="7">
        <v>0</v>
      </c>
      <c r="N561" s="7">
        <v>0</v>
      </c>
      <c r="O561" s="7">
        <v>0</v>
      </c>
      <c r="P561" s="7">
        <v>0</v>
      </c>
      <c r="Q561" s="7">
        <v>0</v>
      </c>
      <c r="R561" s="7">
        <v>0</v>
      </c>
      <c r="S561" s="7">
        <v>0</v>
      </c>
    </row>
    <row r="562">
      <c r="A562" s="14" t="s">
        <v>397</v>
      </c>
      <c r="B562" s="2" t="s">
        <v>393</v>
      </c>
      <c r="C562" s="7">
        <v>52</v>
      </c>
      <c r="D562" s="7">
        <v>45</v>
      </c>
      <c r="E562" s="7">
        <v>42</v>
      </c>
      <c r="F562" s="7">
        <v>53</v>
      </c>
      <c r="G562" s="7">
        <v>57</v>
      </c>
      <c r="H562" s="7">
        <v>60</v>
      </c>
      <c r="I562" s="7">
        <v>57</v>
      </c>
      <c r="J562" s="7">
        <v>36</v>
      </c>
      <c r="K562" s="7">
        <v>43</v>
      </c>
      <c r="L562" s="7">
        <v>48</v>
      </c>
      <c r="M562" s="7">
        <v>33</v>
      </c>
      <c r="N562" s="7">
        <v>35</v>
      </c>
      <c r="O562" s="7">
        <v>33</v>
      </c>
      <c r="P562" s="7">
        <v>29</v>
      </c>
      <c r="Q562" s="7">
        <v>27</v>
      </c>
      <c r="R562" s="7">
        <v>30</v>
      </c>
      <c r="S562" s="7">
        <v>30</v>
      </c>
    </row>
    <row r="563">
      <c r="A563" s="14" t="s">
        <v>398</v>
      </c>
      <c r="B563" s="2" t="s">
        <v>399</v>
      </c>
      <c r="C563" s="7">
        <v>1210</v>
      </c>
      <c r="D563" s="7">
        <v>1200</v>
      </c>
      <c r="E563" s="7">
        <v>1350</v>
      </c>
      <c r="F563" s="7">
        <v>1620</v>
      </c>
      <c r="G563" s="7">
        <v>1445</v>
      </c>
      <c r="H563" s="7">
        <v>2180</v>
      </c>
      <c r="I563" s="7">
        <v>2580</v>
      </c>
      <c r="J563" s="7">
        <v>2845</v>
      </c>
      <c r="K563" s="7">
        <v>2966</v>
      </c>
      <c r="L563" s="7">
        <v>3490</v>
      </c>
      <c r="M563" s="7">
        <v>3875</v>
      </c>
      <c r="N563" s="7">
        <v>4492</v>
      </c>
      <c r="O563" s="7">
        <v>4705</v>
      </c>
      <c r="P563" s="7">
        <v>5064</v>
      </c>
      <c r="Q563" s="7">
        <v>5450</v>
      </c>
      <c r="R563" s="7">
        <v>5600</v>
      </c>
      <c r="S563" s="7">
        <v>5700</v>
      </c>
    </row>
    <row r="564">
      <c r="A564" s="14" t="s">
        <v>400</v>
      </c>
      <c r="B564" s="2" t="s">
        <v>399</v>
      </c>
      <c r="C564" s="7">
        <v>0</v>
      </c>
      <c r="D564" s="7">
        <v>0</v>
      </c>
      <c r="E564" s="7">
        <v>0</v>
      </c>
      <c r="F564" s="7">
        <v>0</v>
      </c>
      <c r="G564" s="7">
        <v>0</v>
      </c>
      <c r="H564" s="7">
        <v>0</v>
      </c>
      <c r="I564" s="7">
        <v>0</v>
      </c>
      <c r="J564" s="7">
        <v>0</v>
      </c>
      <c r="K564" s="7">
        <v>0</v>
      </c>
      <c r="L564" s="7">
        <v>0</v>
      </c>
      <c r="M564" s="7">
        <v>0</v>
      </c>
      <c r="N564" s="7">
        <v>0</v>
      </c>
      <c r="O564" s="7">
        <v>0</v>
      </c>
      <c r="P564" s="7">
        <v>0</v>
      </c>
      <c r="Q564" s="7">
        <v>0</v>
      </c>
      <c r="R564" s="7">
        <v>0</v>
      </c>
      <c r="S564" s="7">
        <v>0</v>
      </c>
    </row>
    <row r="565">
      <c r="A565" s="14" t="s">
        <v>401</v>
      </c>
      <c r="B565" s="2" t="s">
        <v>399</v>
      </c>
      <c r="C565" s="7">
        <v>0</v>
      </c>
      <c r="D565" s="7">
        <v>0</v>
      </c>
      <c r="E565" s="7">
        <v>0</v>
      </c>
      <c r="F565" s="7">
        <v>0</v>
      </c>
      <c r="G565" s="7">
        <v>0</v>
      </c>
      <c r="H565" s="7">
        <v>0</v>
      </c>
      <c r="I565" s="7">
        <v>0</v>
      </c>
      <c r="J565" s="7">
        <v>0</v>
      </c>
      <c r="K565" s="7">
        <v>0</v>
      </c>
      <c r="L565" s="7">
        <v>0</v>
      </c>
      <c r="M565" s="7">
        <v>0</v>
      </c>
      <c r="N565" s="7">
        <v>0</v>
      </c>
      <c r="O565" s="7">
        <v>0</v>
      </c>
      <c r="P565" s="7">
        <v>0</v>
      </c>
      <c r="Q565" s="7">
        <v>0</v>
      </c>
      <c r="R565" s="7">
        <v>0</v>
      </c>
      <c r="S565" s="7">
        <v>0</v>
      </c>
    </row>
    <row r="566">
      <c r="A566" s="14" t="s">
        <v>402</v>
      </c>
      <c r="B566" s="2" t="s">
        <v>399</v>
      </c>
      <c r="C566" s="7">
        <v>0</v>
      </c>
      <c r="D566" s="7">
        <v>0</v>
      </c>
      <c r="E566" s="7">
        <v>0</v>
      </c>
      <c r="F566" s="7">
        <v>0</v>
      </c>
      <c r="G566" s="7">
        <v>0</v>
      </c>
      <c r="H566" s="7">
        <v>0</v>
      </c>
      <c r="I566" s="7">
        <v>0</v>
      </c>
      <c r="J566" s="7">
        <v>0</v>
      </c>
      <c r="K566" s="7">
        <v>0</v>
      </c>
      <c r="L566" s="7">
        <v>0</v>
      </c>
      <c r="M566" s="7">
        <v>0</v>
      </c>
      <c r="N566" s="7">
        <v>0</v>
      </c>
      <c r="O566" s="7">
        <v>0</v>
      </c>
      <c r="P566" s="7">
        <v>0</v>
      </c>
      <c r="Q566" s="7">
        <v>0</v>
      </c>
      <c r="R566" s="7">
        <v>0</v>
      </c>
      <c r="S566" s="7">
        <v>0</v>
      </c>
    </row>
    <row r="567">
      <c r="A567" s="14" t="s">
        <v>403</v>
      </c>
      <c r="B567" s="2" t="s">
        <v>399</v>
      </c>
      <c r="C567" s="7">
        <v>0</v>
      </c>
      <c r="D567" s="7">
        <v>0</v>
      </c>
      <c r="E567" s="7">
        <v>0</v>
      </c>
      <c r="F567" s="7">
        <v>0</v>
      </c>
      <c r="G567" s="7">
        <v>0</v>
      </c>
      <c r="H567" s="7">
        <v>0</v>
      </c>
      <c r="I567" s="7">
        <v>0</v>
      </c>
      <c r="J567" s="7">
        <v>0</v>
      </c>
      <c r="K567" s="7">
        <v>0</v>
      </c>
      <c r="L567" s="7">
        <v>0</v>
      </c>
      <c r="M567" s="7">
        <v>0</v>
      </c>
      <c r="N567" s="7">
        <v>0</v>
      </c>
      <c r="O567" s="7">
        <v>0</v>
      </c>
      <c r="P567" s="7">
        <v>0</v>
      </c>
      <c r="Q567" s="7">
        <v>0</v>
      </c>
      <c r="R567" s="7">
        <v>0</v>
      </c>
      <c r="S567" s="7">
        <v>0</v>
      </c>
    </row>
    <row r="568">
      <c r="A568" s="14" t="s">
        <v>404</v>
      </c>
      <c r="B568" s="2" t="s">
        <v>399</v>
      </c>
      <c r="C568" s="7">
        <v>0</v>
      </c>
      <c r="D568" s="7">
        <v>0</v>
      </c>
      <c r="E568" s="7">
        <v>0</v>
      </c>
      <c r="F568" s="7">
        <v>0</v>
      </c>
      <c r="G568" s="7">
        <v>0</v>
      </c>
      <c r="H568" s="7">
        <v>0</v>
      </c>
      <c r="I568" s="7">
        <v>0</v>
      </c>
      <c r="J568" s="7">
        <v>0</v>
      </c>
      <c r="K568" s="7">
        <v>0</v>
      </c>
      <c r="L568" s="7">
        <v>0</v>
      </c>
      <c r="M568" s="7">
        <v>0</v>
      </c>
      <c r="N568" s="7">
        <v>0</v>
      </c>
      <c r="O568" s="7">
        <v>0</v>
      </c>
      <c r="P568" s="7">
        <v>0</v>
      </c>
      <c r="Q568" s="7">
        <v>0</v>
      </c>
      <c r="R568" s="7">
        <v>0</v>
      </c>
      <c r="S568" s="7">
        <v>0</v>
      </c>
    </row>
    <row r="569">
      <c r="A569" s="14" t="s">
        <v>405</v>
      </c>
      <c r="B569" s="2" t="s">
        <v>399</v>
      </c>
      <c r="C569" s="7">
        <v>0</v>
      </c>
      <c r="D569" s="7">
        <v>0</v>
      </c>
      <c r="E569" s="7">
        <v>0</v>
      </c>
      <c r="F569" s="7">
        <v>0</v>
      </c>
      <c r="G569" s="7">
        <v>0</v>
      </c>
      <c r="H569" s="7">
        <v>0</v>
      </c>
      <c r="I569" s="7">
        <v>0</v>
      </c>
      <c r="J569" s="7">
        <v>0</v>
      </c>
      <c r="K569" s="7">
        <v>0</v>
      </c>
      <c r="L569" s="7">
        <v>0</v>
      </c>
      <c r="M569" s="7">
        <v>0</v>
      </c>
      <c r="N569" s="7">
        <v>0</v>
      </c>
      <c r="O569" s="7">
        <v>0</v>
      </c>
      <c r="P569" s="7">
        <v>0</v>
      </c>
      <c r="Q569" s="7">
        <v>0</v>
      </c>
      <c r="R569" s="7">
        <v>0</v>
      </c>
      <c r="S569" s="7">
        <v>0</v>
      </c>
    </row>
    <row r="570">
      <c r="A570" s="14" t="s">
        <v>406</v>
      </c>
      <c r="B570" s="2" t="s">
        <v>399</v>
      </c>
      <c r="C570" s="7">
        <v>0</v>
      </c>
      <c r="D570" s="7">
        <v>0</v>
      </c>
      <c r="E570" s="7">
        <v>0</v>
      </c>
      <c r="F570" s="7">
        <v>0</v>
      </c>
      <c r="G570" s="7">
        <v>0</v>
      </c>
      <c r="H570" s="7">
        <v>0</v>
      </c>
      <c r="I570" s="7">
        <v>0</v>
      </c>
      <c r="J570" s="7">
        <v>0</v>
      </c>
      <c r="K570" s="7">
        <v>0</v>
      </c>
      <c r="L570" s="7">
        <v>0</v>
      </c>
      <c r="M570" s="7">
        <v>0</v>
      </c>
      <c r="N570" s="7">
        <v>0</v>
      </c>
      <c r="O570" s="7">
        <v>0</v>
      </c>
      <c r="P570" s="7">
        <v>0</v>
      </c>
      <c r="Q570" s="7">
        <v>0</v>
      </c>
      <c r="R570" s="7">
        <v>0</v>
      </c>
      <c r="S570" s="7">
        <v>0</v>
      </c>
    </row>
    <row r="571">
      <c r="A571" s="14" t="s">
        <v>407</v>
      </c>
      <c r="B571" s="2" t="s">
        <v>399</v>
      </c>
      <c r="C571" s="7">
        <v>0</v>
      </c>
      <c r="D571" s="7">
        <v>0</v>
      </c>
      <c r="E571" s="7">
        <v>0</v>
      </c>
      <c r="F571" s="7">
        <v>0</v>
      </c>
      <c r="G571" s="7">
        <v>0</v>
      </c>
      <c r="H571" s="7">
        <v>0</v>
      </c>
      <c r="I571" s="7">
        <v>0</v>
      </c>
      <c r="J571" s="7">
        <v>0</v>
      </c>
      <c r="K571" s="7">
        <v>0</v>
      </c>
      <c r="L571" s="7">
        <v>0</v>
      </c>
      <c r="M571" s="7">
        <v>0</v>
      </c>
      <c r="N571" s="7">
        <v>0</v>
      </c>
      <c r="O571" s="7">
        <v>0</v>
      </c>
      <c r="P571" s="7">
        <v>0</v>
      </c>
      <c r="Q571" s="7">
        <v>0</v>
      </c>
      <c r="R571" s="7">
        <v>0</v>
      </c>
      <c r="S571" s="7">
        <v>0</v>
      </c>
    </row>
    <row r="572">
      <c r="A572" s="14" t="s">
        <v>408</v>
      </c>
      <c r="B572" s="2" t="s">
        <v>399</v>
      </c>
      <c r="C572" s="7">
        <v>0</v>
      </c>
      <c r="D572" s="7">
        <v>0</v>
      </c>
      <c r="E572" s="7">
        <v>0</v>
      </c>
      <c r="F572" s="7">
        <v>0</v>
      </c>
      <c r="G572" s="7">
        <v>0</v>
      </c>
      <c r="H572" s="7">
        <v>0</v>
      </c>
      <c r="I572" s="7">
        <v>0</v>
      </c>
      <c r="J572" s="7">
        <v>0</v>
      </c>
      <c r="K572" s="7">
        <v>0</v>
      </c>
      <c r="L572" s="7">
        <v>0</v>
      </c>
      <c r="M572" s="7">
        <v>0</v>
      </c>
      <c r="N572" s="7">
        <v>0</v>
      </c>
      <c r="O572" s="7">
        <v>0</v>
      </c>
      <c r="P572" s="7">
        <v>0</v>
      </c>
      <c r="Q572" s="7">
        <v>0</v>
      </c>
      <c r="R572" s="7">
        <v>0</v>
      </c>
      <c r="S572" s="7">
        <v>0</v>
      </c>
    </row>
    <row r="573">
      <c r="A573" s="14" t="s">
        <v>409</v>
      </c>
      <c r="B573" s="2" t="s">
        <v>399</v>
      </c>
      <c r="C573" s="7">
        <v>1100</v>
      </c>
      <c r="D573" s="7">
        <v>1050</v>
      </c>
      <c r="E573" s="7">
        <v>1200</v>
      </c>
      <c r="F573" s="7">
        <v>1270</v>
      </c>
      <c r="G573" s="7">
        <v>1325</v>
      </c>
      <c r="H573" s="7">
        <v>1365</v>
      </c>
      <c r="I573" s="7">
        <v>1500</v>
      </c>
      <c r="J573" s="7">
        <v>1595</v>
      </c>
      <c r="K573" s="7">
        <v>1730</v>
      </c>
      <c r="L573" s="7">
        <v>1975</v>
      </c>
      <c r="M573" s="7">
        <v>2270</v>
      </c>
      <c r="N573" s="7">
        <v>2215</v>
      </c>
      <c r="O573" s="7">
        <v>2130</v>
      </c>
      <c r="P573" s="7">
        <v>2251</v>
      </c>
      <c r="Q573" s="7">
        <v>2325</v>
      </c>
      <c r="R573" s="7">
        <v>2300</v>
      </c>
      <c r="S573" s="7">
        <v>2400</v>
      </c>
    </row>
    <row r="574">
      <c r="A574" s="14" t="s">
        <v>410</v>
      </c>
      <c r="B574" s="2" t="s">
        <v>399</v>
      </c>
      <c r="C574" s="7">
        <v>0</v>
      </c>
      <c r="D574" s="7">
        <v>0</v>
      </c>
      <c r="E574" s="7">
        <v>0</v>
      </c>
      <c r="F574" s="7">
        <v>0</v>
      </c>
      <c r="G574" s="7">
        <v>0</v>
      </c>
      <c r="H574" s="7">
        <v>0</v>
      </c>
      <c r="I574" s="7">
        <v>0</v>
      </c>
      <c r="J574" s="7">
        <v>0</v>
      </c>
      <c r="K574" s="7">
        <v>0</v>
      </c>
      <c r="L574" s="7">
        <v>0</v>
      </c>
      <c r="M574" s="7">
        <v>0</v>
      </c>
      <c r="N574" s="7">
        <v>0</v>
      </c>
      <c r="O574" s="7">
        <v>0</v>
      </c>
      <c r="P574" s="7">
        <v>0</v>
      </c>
      <c r="Q574" s="7">
        <v>0</v>
      </c>
      <c r="R574" s="7">
        <v>0</v>
      </c>
      <c r="S574" s="7">
        <v>0</v>
      </c>
    </row>
    <row r="575">
      <c r="A575" s="14" t="s">
        <v>411</v>
      </c>
      <c r="B575" s="2" t="s">
        <v>399</v>
      </c>
      <c r="C575" s="7">
        <v>0</v>
      </c>
      <c r="D575" s="7">
        <v>0</v>
      </c>
      <c r="E575" s="7">
        <v>0</v>
      </c>
      <c r="F575" s="7">
        <v>0</v>
      </c>
      <c r="G575" s="7">
        <v>0</v>
      </c>
      <c r="H575" s="7">
        <v>0</v>
      </c>
      <c r="I575" s="7">
        <v>0</v>
      </c>
      <c r="J575" s="7">
        <v>0</v>
      </c>
      <c r="K575" s="7">
        <v>0</v>
      </c>
      <c r="L575" s="7">
        <v>0</v>
      </c>
      <c r="M575" s="7">
        <v>0</v>
      </c>
      <c r="N575" s="7">
        <v>0</v>
      </c>
      <c r="O575" s="7">
        <v>0</v>
      </c>
      <c r="P575" s="7">
        <v>0</v>
      </c>
      <c r="Q575" s="7">
        <v>0</v>
      </c>
      <c r="R575" s="7">
        <v>0</v>
      </c>
      <c r="S575" s="7">
        <v>0</v>
      </c>
    </row>
    <row r="576">
      <c r="A576" s="14" t="s">
        <v>412</v>
      </c>
      <c r="B576" s="2" t="s">
        <v>399</v>
      </c>
      <c r="C576" s="7">
        <v>0</v>
      </c>
      <c r="D576" s="7">
        <v>0</v>
      </c>
      <c r="E576" s="7">
        <v>0</v>
      </c>
      <c r="F576" s="7">
        <v>0</v>
      </c>
      <c r="G576" s="7">
        <v>0</v>
      </c>
      <c r="H576" s="7">
        <v>0</v>
      </c>
      <c r="I576" s="7">
        <v>0</v>
      </c>
      <c r="J576" s="7">
        <v>0</v>
      </c>
      <c r="K576" s="7">
        <v>0</v>
      </c>
      <c r="L576" s="7">
        <v>0</v>
      </c>
      <c r="M576" s="7">
        <v>0</v>
      </c>
      <c r="N576" s="7">
        <v>0</v>
      </c>
      <c r="O576" s="7">
        <v>0</v>
      </c>
      <c r="P576" s="7">
        <v>0</v>
      </c>
      <c r="Q576" s="7">
        <v>0</v>
      </c>
      <c r="R576" s="7">
        <v>0</v>
      </c>
      <c r="S576" s="7">
        <v>0</v>
      </c>
    </row>
    <row r="577">
      <c r="A577" s="14" t="s">
        <v>413</v>
      </c>
      <c r="B577" s="2" t="s">
        <v>399</v>
      </c>
      <c r="C577" s="7">
        <v>0</v>
      </c>
      <c r="D577" s="7">
        <v>0</v>
      </c>
      <c r="E577" s="7">
        <v>0</v>
      </c>
      <c r="F577" s="7">
        <v>0</v>
      </c>
      <c r="G577" s="7">
        <v>0</v>
      </c>
      <c r="H577" s="7">
        <v>0</v>
      </c>
      <c r="I577" s="7">
        <v>0</v>
      </c>
      <c r="J577" s="7">
        <v>0</v>
      </c>
      <c r="K577" s="7">
        <v>0</v>
      </c>
      <c r="L577" s="7">
        <v>0</v>
      </c>
      <c r="M577" s="7">
        <v>0</v>
      </c>
      <c r="N577" s="7">
        <v>0</v>
      </c>
      <c r="O577" s="7">
        <v>0</v>
      </c>
      <c r="P577" s="7">
        <v>0</v>
      </c>
      <c r="Q577" s="7">
        <v>0</v>
      </c>
      <c r="R577" s="7">
        <v>0</v>
      </c>
      <c r="S577" s="7">
        <v>0</v>
      </c>
    </row>
    <row r="578">
      <c r="A578" s="14" t="s">
        <v>414</v>
      </c>
      <c r="B578" s="2" t="s">
        <v>399</v>
      </c>
      <c r="C578" s="7">
        <v>0</v>
      </c>
      <c r="D578" s="7">
        <v>0</v>
      </c>
      <c r="E578" s="7">
        <v>0</v>
      </c>
      <c r="F578" s="7">
        <v>0</v>
      </c>
      <c r="G578" s="7">
        <v>0</v>
      </c>
      <c r="H578" s="7">
        <v>0</v>
      </c>
      <c r="I578" s="7">
        <v>0</v>
      </c>
      <c r="J578" s="7">
        <v>0</v>
      </c>
      <c r="K578" s="7">
        <v>0</v>
      </c>
      <c r="L578" s="7">
        <v>0</v>
      </c>
      <c r="M578" s="7">
        <v>0</v>
      </c>
      <c r="N578" s="7">
        <v>0</v>
      </c>
      <c r="O578" s="7">
        <v>0</v>
      </c>
      <c r="P578" s="7">
        <v>0</v>
      </c>
      <c r="Q578" s="7">
        <v>0</v>
      </c>
      <c r="R578" s="7">
        <v>0</v>
      </c>
      <c r="S578" s="7">
        <v>0</v>
      </c>
    </row>
    <row r="579">
      <c r="A579" s="14" t="s">
        <v>415</v>
      </c>
      <c r="B579" s="2" t="s">
        <v>399</v>
      </c>
      <c r="C579" s="7">
        <v>0</v>
      </c>
      <c r="D579" s="7">
        <v>0</v>
      </c>
      <c r="E579" s="7">
        <v>0</v>
      </c>
      <c r="F579" s="7">
        <v>0</v>
      </c>
      <c r="G579" s="7">
        <v>0</v>
      </c>
      <c r="H579" s="7">
        <v>0</v>
      </c>
      <c r="I579" s="7">
        <v>0</v>
      </c>
      <c r="J579" s="7">
        <v>0</v>
      </c>
      <c r="K579" s="7">
        <v>0</v>
      </c>
      <c r="L579" s="7">
        <v>0</v>
      </c>
      <c r="M579" s="7">
        <v>0</v>
      </c>
      <c r="N579" s="7">
        <v>0</v>
      </c>
      <c r="O579" s="7">
        <v>0</v>
      </c>
      <c r="P579" s="7">
        <v>0</v>
      </c>
      <c r="Q579" s="7">
        <v>0</v>
      </c>
      <c r="R579" s="7">
        <v>0</v>
      </c>
      <c r="S579" s="7">
        <v>0</v>
      </c>
    </row>
    <row r="580">
      <c r="A580" s="14" t="s">
        <v>416</v>
      </c>
      <c r="B580" s="2" t="s">
        <v>399</v>
      </c>
      <c r="C580" s="7">
        <v>0</v>
      </c>
      <c r="D580" s="7">
        <v>0</v>
      </c>
      <c r="E580" s="7">
        <v>0</v>
      </c>
      <c r="F580" s="7">
        <v>0</v>
      </c>
      <c r="G580" s="7">
        <v>0</v>
      </c>
      <c r="H580" s="7">
        <v>0</v>
      </c>
      <c r="I580" s="7">
        <v>0</v>
      </c>
      <c r="J580" s="7">
        <v>0</v>
      </c>
      <c r="K580" s="7">
        <v>0</v>
      </c>
      <c r="L580" s="7">
        <v>0</v>
      </c>
      <c r="M580" s="7">
        <v>0</v>
      </c>
      <c r="N580" s="7">
        <v>0</v>
      </c>
      <c r="O580" s="7">
        <v>0</v>
      </c>
      <c r="P580" s="7">
        <v>0</v>
      </c>
      <c r="Q580" s="7">
        <v>0</v>
      </c>
      <c r="R580" s="7">
        <v>0</v>
      </c>
      <c r="S580" s="7">
        <v>0</v>
      </c>
    </row>
    <row r="581">
      <c r="A581" s="14" t="s">
        <v>417</v>
      </c>
      <c r="B581" s="2" t="s">
        <v>399</v>
      </c>
      <c r="C581" s="7">
        <v>0</v>
      </c>
      <c r="D581" s="7">
        <v>0</v>
      </c>
      <c r="E581" s="7">
        <v>0</v>
      </c>
      <c r="F581" s="7">
        <v>0</v>
      </c>
      <c r="G581" s="7">
        <v>0</v>
      </c>
      <c r="H581" s="7">
        <v>0</v>
      </c>
      <c r="I581" s="7">
        <v>0</v>
      </c>
      <c r="J581" s="7">
        <v>0</v>
      </c>
      <c r="K581" s="7">
        <v>0</v>
      </c>
      <c r="L581" s="7">
        <v>0</v>
      </c>
      <c r="M581" s="7">
        <v>0</v>
      </c>
      <c r="N581" s="7">
        <v>0</v>
      </c>
      <c r="O581" s="7">
        <v>0</v>
      </c>
      <c r="P581" s="7">
        <v>0</v>
      </c>
      <c r="Q581" s="7">
        <v>0</v>
      </c>
      <c r="R581" s="7">
        <v>0</v>
      </c>
      <c r="S581" s="7">
        <v>0</v>
      </c>
    </row>
    <row r="582">
      <c r="A582" s="14" t="s">
        <v>418</v>
      </c>
      <c r="B582" s="2" t="s">
        <v>399</v>
      </c>
      <c r="C582" s="7">
        <v>0</v>
      </c>
      <c r="D582" s="7">
        <v>0</v>
      </c>
      <c r="E582" s="7">
        <v>0</v>
      </c>
      <c r="F582" s="7">
        <v>0</v>
      </c>
      <c r="G582" s="7">
        <v>0</v>
      </c>
      <c r="H582" s="7">
        <v>0</v>
      </c>
      <c r="I582" s="7">
        <v>0</v>
      </c>
      <c r="J582" s="7">
        <v>0</v>
      </c>
      <c r="K582" s="7">
        <v>0</v>
      </c>
      <c r="L582" s="7">
        <v>0</v>
      </c>
      <c r="M582" s="7">
        <v>0</v>
      </c>
      <c r="N582" s="7">
        <v>0</v>
      </c>
      <c r="O582" s="7">
        <v>0</v>
      </c>
      <c r="P582" s="7">
        <v>0</v>
      </c>
      <c r="Q582" s="7">
        <v>0</v>
      </c>
      <c r="R582" s="7">
        <v>0</v>
      </c>
      <c r="S582" s="7">
        <v>0</v>
      </c>
    </row>
    <row r="583">
      <c r="A583" s="14" t="s">
        <v>419</v>
      </c>
      <c r="B583" s="2" t="s">
        <v>399</v>
      </c>
      <c r="C583" s="7">
        <v>0</v>
      </c>
      <c r="D583" s="7">
        <v>0</v>
      </c>
      <c r="E583" s="7">
        <v>0</v>
      </c>
      <c r="F583" s="7">
        <v>0</v>
      </c>
      <c r="G583" s="7">
        <v>0</v>
      </c>
      <c r="H583" s="7">
        <v>0</v>
      </c>
      <c r="I583" s="7">
        <v>0</v>
      </c>
      <c r="J583" s="7">
        <v>0</v>
      </c>
      <c r="K583" s="7">
        <v>0</v>
      </c>
      <c r="L583" s="7">
        <v>0</v>
      </c>
      <c r="M583" s="7">
        <v>0</v>
      </c>
      <c r="N583" s="7">
        <v>0</v>
      </c>
      <c r="O583" s="7">
        <v>0</v>
      </c>
      <c r="P583" s="7">
        <v>0</v>
      </c>
      <c r="Q583" s="7">
        <v>0</v>
      </c>
      <c r="R583" s="7">
        <v>0</v>
      </c>
      <c r="S583" s="7">
        <v>0</v>
      </c>
    </row>
    <row r="584">
      <c r="A584" s="14" t="s">
        <v>420</v>
      </c>
      <c r="B584" s="2" t="s">
        <v>399</v>
      </c>
      <c r="C584" s="7">
        <v>0</v>
      </c>
      <c r="D584" s="7">
        <v>0</v>
      </c>
      <c r="E584" s="7">
        <v>0</v>
      </c>
      <c r="F584" s="7">
        <v>0</v>
      </c>
      <c r="G584" s="7">
        <v>0</v>
      </c>
      <c r="H584" s="7">
        <v>0</v>
      </c>
      <c r="I584" s="7">
        <v>0</v>
      </c>
      <c r="J584" s="7">
        <v>0</v>
      </c>
      <c r="K584" s="7">
        <v>0</v>
      </c>
      <c r="L584" s="7">
        <v>0</v>
      </c>
      <c r="M584" s="7">
        <v>0</v>
      </c>
      <c r="N584" s="7">
        <v>0</v>
      </c>
      <c r="O584" s="7">
        <v>0</v>
      </c>
      <c r="P584" s="7">
        <v>0</v>
      </c>
      <c r="Q584" s="7">
        <v>0</v>
      </c>
      <c r="R584" s="7">
        <v>0</v>
      </c>
      <c r="S584" s="7">
        <v>0</v>
      </c>
    </row>
    <row r="585">
      <c r="A585" s="14" t="s">
        <v>421</v>
      </c>
      <c r="B585" s="2" t="s">
        <v>399</v>
      </c>
      <c r="C585" s="7">
        <v>0</v>
      </c>
      <c r="D585" s="7">
        <v>0</v>
      </c>
      <c r="E585" s="7">
        <v>0</v>
      </c>
      <c r="F585" s="7">
        <v>0</v>
      </c>
      <c r="G585" s="7">
        <v>0</v>
      </c>
      <c r="H585" s="7">
        <v>0</v>
      </c>
      <c r="I585" s="7">
        <v>0</v>
      </c>
      <c r="J585" s="7">
        <v>0</v>
      </c>
      <c r="K585" s="7">
        <v>0</v>
      </c>
      <c r="L585" s="7">
        <v>0</v>
      </c>
      <c r="M585" s="7">
        <v>0</v>
      </c>
      <c r="N585" s="7">
        <v>0</v>
      </c>
      <c r="O585" s="7">
        <v>0</v>
      </c>
      <c r="P585" s="7">
        <v>0</v>
      </c>
      <c r="Q585" s="7">
        <v>0</v>
      </c>
      <c r="R585" s="7">
        <v>0</v>
      </c>
      <c r="S585" s="7">
        <v>0</v>
      </c>
    </row>
    <row r="586">
      <c r="A586" s="14" t="s">
        <v>422</v>
      </c>
      <c r="B586" s="2" t="s">
        <v>399</v>
      </c>
      <c r="C586" s="7">
        <v>0</v>
      </c>
      <c r="D586" s="7">
        <v>0</v>
      </c>
      <c r="E586" s="7">
        <v>0</v>
      </c>
      <c r="F586" s="7">
        <v>0</v>
      </c>
      <c r="G586" s="7">
        <v>0</v>
      </c>
      <c r="H586" s="7">
        <v>0</v>
      </c>
      <c r="I586" s="7">
        <v>0</v>
      </c>
      <c r="J586" s="7">
        <v>0</v>
      </c>
      <c r="K586" s="7">
        <v>0</v>
      </c>
      <c r="L586" s="7">
        <v>0</v>
      </c>
      <c r="M586" s="7">
        <v>0</v>
      </c>
      <c r="N586" s="7">
        <v>0</v>
      </c>
      <c r="O586" s="7">
        <v>0</v>
      </c>
      <c r="P586" s="7">
        <v>0</v>
      </c>
      <c r="Q586" s="7">
        <v>0</v>
      </c>
      <c r="R586" s="7">
        <v>0</v>
      </c>
      <c r="S586" s="7">
        <v>0</v>
      </c>
    </row>
    <row r="587">
      <c r="A587" s="14" t="s">
        <v>423</v>
      </c>
      <c r="B587" s="2" t="s">
        <v>399</v>
      </c>
      <c r="C587" s="7">
        <v>0</v>
      </c>
      <c r="D587" s="7">
        <v>0</v>
      </c>
      <c r="E587" s="7">
        <v>0</v>
      </c>
      <c r="F587" s="7">
        <v>0</v>
      </c>
      <c r="G587" s="7">
        <v>0</v>
      </c>
      <c r="H587" s="7">
        <v>0</v>
      </c>
      <c r="I587" s="7">
        <v>0</v>
      </c>
      <c r="J587" s="7">
        <v>0</v>
      </c>
      <c r="K587" s="7">
        <v>0</v>
      </c>
      <c r="L587" s="7">
        <v>0</v>
      </c>
      <c r="M587" s="7">
        <v>0</v>
      </c>
      <c r="N587" s="7">
        <v>0</v>
      </c>
      <c r="O587" s="7">
        <v>0</v>
      </c>
      <c r="P587" s="7">
        <v>0</v>
      </c>
      <c r="Q587" s="7">
        <v>0</v>
      </c>
      <c r="R587" s="7">
        <v>0</v>
      </c>
      <c r="S587" s="7">
        <v>0</v>
      </c>
    </row>
    <row r="588">
      <c r="A588" s="14" t="s">
        <v>424</v>
      </c>
      <c r="B588" s="2" t="s">
        <v>399</v>
      </c>
      <c r="C588" s="7">
        <v>0</v>
      </c>
      <c r="D588" s="7">
        <v>0</v>
      </c>
      <c r="E588" s="7">
        <v>0</v>
      </c>
      <c r="F588" s="7">
        <v>0</v>
      </c>
      <c r="G588" s="7">
        <v>0</v>
      </c>
      <c r="H588" s="7">
        <v>0</v>
      </c>
      <c r="I588" s="7">
        <v>0</v>
      </c>
      <c r="J588" s="7">
        <v>0</v>
      </c>
      <c r="K588" s="7">
        <v>0</v>
      </c>
      <c r="L588" s="7">
        <v>0</v>
      </c>
      <c r="M588" s="7">
        <v>0</v>
      </c>
      <c r="N588" s="7">
        <v>0</v>
      </c>
      <c r="O588" s="7">
        <v>0</v>
      </c>
      <c r="P588" s="7">
        <v>0</v>
      </c>
      <c r="Q588" s="7">
        <v>0</v>
      </c>
      <c r="R588" s="7">
        <v>0</v>
      </c>
      <c r="S588" s="7">
        <v>0</v>
      </c>
    </row>
    <row r="589">
      <c r="A589" s="14" t="s">
        <v>425</v>
      </c>
      <c r="B589" s="2" t="s">
        <v>399</v>
      </c>
      <c r="C589" s="7">
        <v>0</v>
      </c>
      <c r="D589" s="7">
        <v>0</v>
      </c>
      <c r="E589" s="7">
        <v>0</v>
      </c>
      <c r="F589" s="7">
        <v>0</v>
      </c>
      <c r="G589" s="7">
        <v>0</v>
      </c>
      <c r="H589" s="7">
        <v>0</v>
      </c>
      <c r="I589" s="7">
        <v>0</v>
      </c>
      <c r="J589" s="7">
        <v>0</v>
      </c>
      <c r="K589" s="7">
        <v>0</v>
      </c>
      <c r="L589" s="7">
        <v>0</v>
      </c>
      <c r="M589" s="7">
        <v>0</v>
      </c>
      <c r="N589" s="7">
        <v>0</v>
      </c>
      <c r="O589" s="7">
        <v>0</v>
      </c>
      <c r="P589" s="7">
        <v>0</v>
      </c>
      <c r="Q589" s="7">
        <v>0</v>
      </c>
      <c r="R589" s="7">
        <v>0</v>
      </c>
      <c r="S589" s="7">
        <v>0</v>
      </c>
    </row>
    <row r="590">
      <c r="A590" s="14" t="s">
        <v>426</v>
      </c>
      <c r="B590" s="2" t="s">
        <v>399</v>
      </c>
      <c r="C590" s="7">
        <v>0</v>
      </c>
      <c r="D590" s="7">
        <v>0</v>
      </c>
      <c r="E590" s="7">
        <v>0</v>
      </c>
      <c r="F590" s="7">
        <v>0</v>
      </c>
      <c r="G590" s="7">
        <v>0</v>
      </c>
      <c r="H590" s="7">
        <v>0</v>
      </c>
      <c r="I590" s="7">
        <v>0</v>
      </c>
      <c r="J590" s="7">
        <v>0</v>
      </c>
      <c r="K590" s="7">
        <v>0</v>
      </c>
      <c r="L590" s="7">
        <v>0</v>
      </c>
      <c r="M590" s="7">
        <v>0</v>
      </c>
      <c r="N590" s="7">
        <v>0</v>
      </c>
      <c r="O590" s="7">
        <v>0</v>
      </c>
      <c r="P590" s="7">
        <v>0</v>
      </c>
      <c r="Q590" s="7">
        <v>0</v>
      </c>
      <c r="R590" s="7">
        <v>0</v>
      </c>
      <c r="S590" s="7">
        <v>0</v>
      </c>
    </row>
    <row r="591">
      <c r="A591" s="14" t="s">
        <v>427</v>
      </c>
      <c r="B591" s="2" t="s">
        <v>399</v>
      </c>
      <c r="C591" s="7">
        <v>0</v>
      </c>
      <c r="D591" s="7">
        <v>0</v>
      </c>
      <c r="E591" s="7">
        <v>0</v>
      </c>
      <c r="F591" s="7">
        <v>0</v>
      </c>
      <c r="G591" s="7">
        <v>0</v>
      </c>
      <c r="H591" s="7">
        <v>0</v>
      </c>
      <c r="I591" s="7">
        <v>0</v>
      </c>
      <c r="J591" s="7">
        <v>0</v>
      </c>
      <c r="K591" s="7">
        <v>0</v>
      </c>
      <c r="L591" s="7">
        <v>0</v>
      </c>
      <c r="M591" s="7">
        <v>0</v>
      </c>
      <c r="N591" s="7">
        <v>0</v>
      </c>
      <c r="O591" s="7">
        <v>0</v>
      </c>
      <c r="P591" s="7">
        <v>0</v>
      </c>
      <c r="Q591" s="7">
        <v>0</v>
      </c>
      <c r="R591" s="7">
        <v>0</v>
      </c>
      <c r="S591" s="7">
        <v>0</v>
      </c>
    </row>
    <row r="592">
      <c r="A592" s="14" t="s">
        <v>428</v>
      </c>
      <c r="B592" s="2" t="s">
        <v>399</v>
      </c>
      <c r="C592" s="7">
        <v>0</v>
      </c>
      <c r="D592" s="7">
        <v>0</v>
      </c>
      <c r="E592" s="7">
        <v>0</v>
      </c>
      <c r="F592" s="7">
        <v>0</v>
      </c>
      <c r="G592" s="7">
        <v>0</v>
      </c>
      <c r="H592" s="7">
        <v>0</v>
      </c>
      <c r="I592" s="7">
        <v>0</v>
      </c>
      <c r="J592" s="7">
        <v>0</v>
      </c>
      <c r="K592" s="7">
        <v>0</v>
      </c>
      <c r="L592" s="7">
        <v>0</v>
      </c>
      <c r="M592" s="7">
        <v>0</v>
      </c>
      <c r="N592" s="7">
        <v>0</v>
      </c>
      <c r="O592" s="7">
        <v>0</v>
      </c>
      <c r="P592" s="7">
        <v>0</v>
      </c>
      <c r="Q592" s="7">
        <v>0</v>
      </c>
      <c r="R592" s="7">
        <v>0</v>
      </c>
      <c r="S592" s="7">
        <v>0</v>
      </c>
    </row>
    <row r="593">
      <c r="A593" s="14" t="s">
        <v>429</v>
      </c>
      <c r="B593" s="2" t="s">
        <v>399</v>
      </c>
      <c r="C593" s="7">
        <v>0</v>
      </c>
      <c r="D593" s="7">
        <v>0</v>
      </c>
      <c r="E593" s="7">
        <v>0</v>
      </c>
      <c r="F593" s="7">
        <v>0</v>
      </c>
      <c r="G593" s="7">
        <v>0</v>
      </c>
      <c r="H593" s="7">
        <v>0</v>
      </c>
      <c r="I593" s="7">
        <v>0</v>
      </c>
      <c r="J593" s="7">
        <v>0</v>
      </c>
      <c r="K593" s="7">
        <v>0</v>
      </c>
      <c r="L593" s="7">
        <v>0</v>
      </c>
      <c r="M593" s="7">
        <v>0</v>
      </c>
      <c r="N593" s="7">
        <v>0</v>
      </c>
      <c r="O593" s="7">
        <v>0</v>
      </c>
      <c r="P593" s="7">
        <v>0</v>
      </c>
      <c r="Q593" s="7">
        <v>0</v>
      </c>
      <c r="R593" s="7">
        <v>0</v>
      </c>
      <c r="S593" s="7">
        <v>0</v>
      </c>
    </row>
    <row r="594">
      <c r="A594" s="14" t="s">
        <v>430</v>
      </c>
      <c r="B594" s="2" t="s">
        <v>399</v>
      </c>
      <c r="C594" s="7">
        <v>0</v>
      </c>
      <c r="D594" s="7">
        <v>0</v>
      </c>
      <c r="E594" s="7">
        <v>0</v>
      </c>
      <c r="F594" s="7">
        <v>0</v>
      </c>
      <c r="G594" s="7">
        <v>0</v>
      </c>
      <c r="H594" s="7">
        <v>0</v>
      </c>
      <c r="I594" s="7">
        <v>0</v>
      </c>
      <c r="J594" s="7">
        <v>0</v>
      </c>
      <c r="K594" s="7">
        <v>0</v>
      </c>
      <c r="L594" s="7">
        <v>0</v>
      </c>
      <c r="M594" s="7">
        <v>0</v>
      </c>
      <c r="N594" s="7">
        <v>0</v>
      </c>
      <c r="O594" s="7">
        <v>0</v>
      </c>
      <c r="P594" s="7">
        <v>0</v>
      </c>
      <c r="Q594" s="7">
        <v>0</v>
      </c>
      <c r="R594" s="7">
        <v>0</v>
      </c>
      <c r="S594" s="7">
        <v>0</v>
      </c>
    </row>
    <row r="595">
      <c r="A595" s="14" t="s">
        <v>431</v>
      </c>
      <c r="B595" s="2" t="s">
        <v>399</v>
      </c>
      <c r="C595" s="7">
        <v>0</v>
      </c>
      <c r="D595" s="7">
        <v>0</v>
      </c>
      <c r="E595" s="7">
        <v>0</v>
      </c>
      <c r="F595" s="7">
        <v>0</v>
      </c>
      <c r="G595" s="7">
        <v>0</v>
      </c>
      <c r="H595" s="7">
        <v>0</v>
      </c>
      <c r="I595" s="7">
        <v>0</v>
      </c>
      <c r="J595" s="7">
        <v>0</v>
      </c>
      <c r="K595" s="7">
        <v>0</v>
      </c>
      <c r="L595" s="7">
        <v>0</v>
      </c>
      <c r="M595" s="7">
        <v>0</v>
      </c>
      <c r="N595" s="7">
        <v>0</v>
      </c>
      <c r="O595" s="7">
        <v>0</v>
      </c>
      <c r="P595" s="7">
        <v>0</v>
      </c>
      <c r="Q595" s="7">
        <v>0</v>
      </c>
      <c r="R595" s="7">
        <v>0</v>
      </c>
      <c r="S595" s="7">
        <v>0</v>
      </c>
    </row>
    <row r="596">
      <c r="A596" s="14" t="s">
        <v>432</v>
      </c>
      <c r="B596" s="2" t="s">
        <v>399</v>
      </c>
      <c r="C596" s="7">
        <v>0</v>
      </c>
      <c r="D596" s="7">
        <v>0</v>
      </c>
      <c r="E596" s="7">
        <v>0</v>
      </c>
      <c r="F596" s="7">
        <v>0</v>
      </c>
      <c r="G596" s="7">
        <v>0</v>
      </c>
      <c r="H596" s="7">
        <v>0</v>
      </c>
      <c r="I596" s="7">
        <v>0</v>
      </c>
      <c r="J596" s="7">
        <v>0</v>
      </c>
      <c r="K596" s="7">
        <v>0</v>
      </c>
      <c r="L596" s="7">
        <v>0</v>
      </c>
      <c r="M596" s="7">
        <v>0</v>
      </c>
      <c r="N596" s="7">
        <v>0</v>
      </c>
      <c r="O596" s="7">
        <v>0</v>
      </c>
      <c r="P596" s="7">
        <v>0</v>
      </c>
      <c r="Q596" s="7">
        <v>0</v>
      </c>
      <c r="R596" s="7">
        <v>0</v>
      </c>
      <c r="S596" s="7">
        <v>0</v>
      </c>
    </row>
    <row r="597">
      <c r="A597" s="14" t="s">
        <v>433</v>
      </c>
      <c r="B597" s="2" t="s">
        <v>399</v>
      </c>
      <c r="C597" s="7">
        <v>0</v>
      </c>
      <c r="D597" s="7">
        <v>0</v>
      </c>
      <c r="E597" s="7">
        <v>0</v>
      </c>
      <c r="F597" s="7">
        <v>0</v>
      </c>
      <c r="G597" s="7">
        <v>0</v>
      </c>
      <c r="H597" s="7">
        <v>0</v>
      </c>
      <c r="I597" s="7">
        <v>0</v>
      </c>
      <c r="J597" s="7">
        <v>0</v>
      </c>
      <c r="K597" s="7">
        <v>0</v>
      </c>
      <c r="L597" s="7">
        <v>0</v>
      </c>
      <c r="M597" s="7">
        <v>0</v>
      </c>
      <c r="N597" s="7">
        <v>0</v>
      </c>
      <c r="O597" s="7">
        <v>0</v>
      </c>
      <c r="P597" s="7">
        <v>0</v>
      </c>
      <c r="Q597" s="7">
        <v>0</v>
      </c>
      <c r="R597" s="7">
        <v>0</v>
      </c>
      <c r="S597" s="7">
        <v>0</v>
      </c>
    </row>
    <row r="598">
      <c r="A598" s="14" t="s">
        <v>434</v>
      </c>
      <c r="B598" s="2" t="s">
        <v>399</v>
      </c>
      <c r="C598" s="7">
        <v>0</v>
      </c>
      <c r="D598" s="7">
        <v>0</v>
      </c>
      <c r="E598" s="7">
        <v>0</v>
      </c>
      <c r="F598" s="7">
        <v>0</v>
      </c>
      <c r="G598" s="7">
        <v>0</v>
      </c>
      <c r="H598" s="7">
        <v>0</v>
      </c>
      <c r="I598" s="7">
        <v>0</v>
      </c>
      <c r="J598" s="7">
        <v>0</v>
      </c>
      <c r="K598" s="7">
        <v>0</v>
      </c>
      <c r="L598" s="7">
        <v>0</v>
      </c>
      <c r="M598" s="7">
        <v>0</v>
      </c>
      <c r="N598" s="7">
        <v>0</v>
      </c>
      <c r="O598" s="7">
        <v>0</v>
      </c>
      <c r="P598" s="7">
        <v>0</v>
      </c>
      <c r="Q598" s="7">
        <v>0</v>
      </c>
      <c r="R598" s="7">
        <v>0</v>
      </c>
      <c r="S598" s="7">
        <v>0</v>
      </c>
    </row>
    <row r="599">
      <c r="A599" s="14" t="s">
        <v>435</v>
      </c>
      <c r="B599" s="2" t="s">
        <v>399</v>
      </c>
      <c r="C599" s="7">
        <v>0</v>
      </c>
      <c r="D599" s="7">
        <v>0</v>
      </c>
      <c r="E599" s="7">
        <v>0</v>
      </c>
      <c r="F599" s="7">
        <v>0</v>
      </c>
      <c r="G599" s="7">
        <v>0</v>
      </c>
      <c r="H599" s="7">
        <v>0</v>
      </c>
      <c r="I599" s="7">
        <v>0</v>
      </c>
      <c r="J599" s="7">
        <v>0</v>
      </c>
      <c r="K599" s="7">
        <v>0</v>
      </c>
      <c r="L599" s="7">
        <v>0</v>
      </c>
      <c r="M599" s="7">
        <v>0</v>
      </c>
      <c r="N599" s="7">
        <v>0</v>
      </c>
      <c r="O599" s="7">
        <v>0</v>
      </c>
      <c r="P599" s="7">
        <v>0</v>
      </c>
      <c r="Q599" s="7">
        <v>0</v>
      </c>
      <c r="R599" s="7">
        <v>0</v>
      </c>
      <c r="S599" s="7">
        <v>0</v>
      </c>
    </row>
    <row r="600">
      <c r="A600" s="14" t="s">
        <v>436</v>
      </c>
      <c r="B600" s="2" t="s">
        <v>399</v>
      </c>
      <c r="C600" s="7">
        <v>0</v>
      </c>
      <c r="D600" s="7">
        <v>0</v>
      </c>
      <c r="E600" s="7">
        <v>0</v>
      </c>
      <c r="F600" s="7">
        <v>0</v>
      </c>
      <c r="G600" s="7">
        <v>0</v>
      </c>
      <c r="H600" s="7">
        <v>0</v>
      </c>
      <c r="I600" s="7">
        <v>0</v>
      </c>
      <c r="J600" s="7">
        <v>0</v>
      </c>
      <c r="K600" s="7">
        <v>0</v>
      </c>
      <c r="L600" s="7">
        <v>0</v>
      </c>
      <c r="M600" s="7">
        <v>0</v>
      </c>
      <c r="N600" s="7">
        <v>0</v>
      </c>
      <c r="O600" s="7">
        <v>0</v>
      </c>
      <c r="P600" s="7">
        <v>0</v>
      </c>
      <c r="Q600" s="7">
        <v>0</v>
      </c>
      <c r="R600" s="7">
        <v>0</v>
      </c>
      <c r="S600" s="7">
        <v>0</v>
      </c>
    </row>
    <row r="601">
      <c r="A601" s="14" t="s">
        <v>437</v>
      </c>
      <c r="B601" s="2" t="s">
        <v>399</v>
      </c>
      <c r="C601" s="7">
        <v>0</v>
      </c>
      <c r="D601" s="7">
        <v>0</v>
      </c>
      <c r="E601" s="7">
        <v>0</v>
      </c>
      <c r="F601" s="7">
        <v>0</v>
      </c>
      <c r="G601" s="7">
        <v>0</v>
      </c>
      <c r="H601" s="7">
        <v>0</v>
      </c>
      <c r="I601" s="7">
        <v>0</v>
      </c>
      <c r="J601" s="7">
        <v>0</v>
      </c>
      <c r="K601" s="7">
        <v>0</v>
      </c>
      <c r="L601" s="7">
        <v>0</v>
      </c>
      <c r="M601" s="7">
        <v>0</v>
      </c>
      <c r="N601" s="7">
        <v>0</v>
      </c>
      <c r="O601" s="7">
        <v>0</v>
      </c>
      <c r="P601" s="7">
        <v>0</v>
      </c>
      <c r="Q601" s="7">
        <v>0</v>
      </c>
      <c r="R601" s="7">
        <v>0</v>
      </c>
      <c r="S601" s="7">
        <v>0</v>
      </c>
    </row>
    <row r="602">
      <c r="A602" s="14" t="s">
        <v>438</v>
      </c>
      <c r="B602" s="2" t="s">
        <v>399</v>
      </c>
      <c r="C602" s="7">
        <v>0</v>
      </c>
      <c r="D602" s="7">
        <v>0</v>
      </c>
      <c r="E602" s="7">
        <v>0</v>
      </c>
      <c r="F602" s="7">
        <v>0</v>
      </c>
      <c r="G602" s="7">
        <v>0</v>
      </c>
      <c r="H602" s="7">
        <v>0</v>
      </c>
      <c r="I602" s="7">
        <v>0</v>
      </c>
      <c r="J602" s="7">
        <v>0</v>
      </c>
      <c r="K602" s="7">
        <v>0</v>
      </c>
      <c r="L602" s="7">
        <v>0</v>
      </c>
      <c r="M602" s="7">
        <v>0</v>
      </c>
      <c r="N602" s="7">
        <v>0</v>
      </c>
      <c r="O602" s="7">
        <v>0</v>
      </c>
      <c r="P602" s="7">
        <v>0</v>
      </c>
      <c r="Q602" s="7">
        <v>0</v>
      </c>
      <c r="R602" s="7">
        <v>0</v>
      </c>
      <c r="S602" s="7">
        <v>0</v>
      </c>
    </row>
    <row r="603">
      <c r="A603" s="14" t="s">
        <v>439</v>
      </c>
      <c r="B603" s="2" t="s">
        <v>399</v>
      </c>
      <c r="C603" s="7">
        <v>0</v>
      </c>
      <c r="D603" s="7">
        <v>0</v>
      </c>
      <c r="E603" s="7">
        <v>0</v>
      </c>
      <c r="F603" s="7">
        <v>0</v>
      </c>
      <c r="G603" s="7">
        <v>0</v>
      </c>
      <c r="H603" s="7">
        <v>0</v>
      </c>
      <c r="I603" s="7">
        <v>0</v>
      </c>
      <c r="J603" s="7">
        <v>0</v>
      </c>
      <c r="K603" s="7">
        <v>0</v>
      </c>
      <c r="L603" s="7">
        <v>0</v>
      </c>
      <c r="M603" s="7">
        <v>0</v>
      </c>
      <c r="N603" s="7">
        <v>0</v>
      </c>
      <c r="O603" s="7">
        <v>0</v>
      </c>
      <c r="P603" s="7">
        <v>0</v>
      </c>
      <c r="Q603" s="7">
        <v>0</v>
      </c>
      <c r="R603" s="7">
        <v>0</v>
      </c>
      <c r="S603" s="7">
        <v>0</v>
      </c>
    </row>
    <row r="604">
      <c r="A604" s="14" t="s">
        <v>440</v>
      </c>
      <c r="B604" s="2" t="s">
        <v>399</v>
      </c>
      <c r="C604" s="7">
        <v>0</v>
      </c>
      <c r="D604" s="7">
        <v>0</v>
      </c>
      <c r="E604" s="7">
        <v>0</v>
      </c>
      <c r="F604" s="7">
        <v>0</v>
      </c>
      <c r="G604" s="7">
        <v>0</v>
      </c>
      <c r="H604" s="7">
        <v>0</v>
      </c>
      <c r="I604" s="7">
        <v>0</v>
      </c>
      <c r="J604" s="7">
        <v>0</v>
      </c>
      <c r="K604" s="7">
        <v>0</v>
      </c>
      <c r="L604" s="7">
        <v>0</v>
      </c>
      <c r="M604" s="7">
        <v>0</v>
      </c>
      <c r="N604" s="7">
        <v>0</v>
      </c>
      <c r="O604" s="7">
        <v>0</v>
      </c>
      <c r="P604" s="7">
        <v>0</v>
      </c>
      <c r="Q604" s="7">
        <v>0</v>
      </c>
      <c r="R604" s="7">
        <v>0</v>
      </c>
      <c r="S604" s="7">
        <v>0</v>
      </c>
    </row>
    <row r="605">
      <c r="A605" s="14" t="s">
        <v>441</v>
      </c>
      <c r="B605" s="2" t="s">
        <v>399</v>
      </c>
      <c r="C605" s="7">
        <v>0</v>
      </c>
      <c r="D605" s="7">
        <v>0</v>
      </c>
      <c r="E605" s="7">
        <v>0</v>
      </c>
      <c r="F605" s="7">
        <v>0</v>
      </c>
      <c r="G605" s="7">
        <v>0</v>
      </c>
      <c r="H605" s="7">
        <v>0</v>
      </c>
      <c r="I605" s="7">
        <v>0</v>
      </c>
      <c r="J605" s="7">
        <v>0</v>
      </c>
      <c r="K605" s="7">
        <v>0</v>
      </c>
      <c r="L605" s="7">
        <v>0</v>
      </c>
      <c r="M605" s="7">
        <v>0</v>
      </c>
      <c r="N605" s="7">
        <v>0</v>
      </c>
      <c r="O605" s="7">
        <v>0</v>
      </c>
      <c r="P605" s="7">
        <v>0</v>
      </c>
      <c r="Q605" s="7">
        <v>0</v>
      </c>
      <c r="R605" s="7">
        <v>0</v>
      </c>
      <c r="S605" s="7">
        <v>0</v>
      </c>
    </row>
    <row r="606">
      <c r="A606" s="14" t="s">
        <v>442</v>
      </c>
      <c r="B606" s="2" t="s">
        <v>399</v>
      </c>
      <c r="C606" s="7">
        <v>0</v>
      </c>
      <c r="D606" s="7">
        <v>0</v>
      </c>
      <c r="E606" s="7">
        <v>0</v>
      </c>
      <c r="F606" s="7">
        <v>0</v>
      </c>
      <c r="G606" s="7">
        <v>0</v>
      </c>
      <c r="H606" s="7">
        <v>0</v>
      </c>
      <c r="I606" s="7">
        <v>0</v>
      </c>
      <c r="J606" s="7">
        <v>0</v>
      </c>
      <c r="K606" s="7">
        <v>0</v>
      </c>
      <c r="L606" s="7">
        <v>0</v>
      </c>
      <c r="M606" s="7">
        <v>0</v>
      </c>
      <c r="N606" s="7">
        <v>0</v>
      </c>
      <c r="O606" s="7">
        <v>0</v>
      </c>
      <c r="P606" s="7">
        <v>0</v>
      </c>
      <c r="Q606" s="7">
        <v>0</v>
      </c>
      <c r="R606" s="7">
        <v>0</v>
      </c>
      <c r="S606" s="7">
        <v>0</v>
      </c>
    </row>
    <row r="607">
      <c r="A607" s="14" t="s">
        <v>443</v>
      </c>
      <c r="B607" s="2" t="s">
        <v>399</v>
      </c>
      <c r="C607" s="7">
        <v>0</v>
      </c>
      <c r="D607" s="7">
        <v>0</v>
      </c>
      <c r="E607" s="7">
        <v>0</v>
      </c>
      <c r="F607" s="7">
        <v>0</v>
      </c>
      <c r="G607" s="7">
        <v>0</v>
      </c>
      <c r="H607" s="7">
        <v>0</v>
      </c>
      <c r="I607" s="7">
        <v>0</v>
      </c>
      <c r="J607" s="7">
        <v>0</v>
      </c>
      <c r="K607" s="7">
        <v>0</v>
      </c>
      <c r="L607" s="7">
        <v>0</v>
      </c>
      <c r="M607" s="7">
        <v>0</v>
      </c>
      <c r="N607" s="7">
        <v>0</v>
      </c>
      <c r="O607" s="7">
        <v>0</v>
      </c>
      <c r="P607" s="7">
        <v>0</v>
      </c>
      <c r="Q607" s="7">
        <v>0</v>
      </c>
      <c r="R607" s="7">
        <v>0</v>
      </c>
      <c r="S607" s="7">
        <v>0</v>
      </c>
    </row>
    <row r="608">
      <c r="A608" s="14" t="s">
        <v>444</v>
      </c>
      <c r="B608" s="2" t="s">
        <v>399</v>
      </c>
      <c r="C608" s="7">
        <v>0</v>
      </c>
      <c r="D608" s="7">
        <v>0</v>
      </c>
      <c r="E608" s="7">
        <v>0</v>
      </c>
      <c r="F608" s="7">
        <v>0</v>
      </c>
      <c r="G608" s="7">
        <v>0</v>
      </c>
      <c r="H608" s="7">
        <v>0</v>
      </c>
      <c r="I608" s="7">
        <v>0</v>
      </c>
      <c r="J608" s="7">
        <v>0</v>
      </c>
      <c r="K608" s="7">
        <v>0</v>
      </c>
      <c r="L608" s="7">
        <v>0</v>
      </c>
      <c r="M608" s="7">
        <v>0</v>
      </c>
      <c r="N608" s="7">
        <v>0</v>
      </c>
      <c r="O608" s="7">
        <v>0</v>
      </c>
      <c r="P608" s="7">
        <v>0</v>
      </c>
      <c r="Q608" s="7">
        <v>0</v>
      </c>
      <c r="R608" s="7">
        <v>0</v>
      </c>
      <c r="S608" s="7">
        <v>0</v>
      </c>
    </row>
    <row r="609">
      <c r="A609" s="15" t="s">
        <v>445</v>
      </c>
      <c r="C609" s="8">
        <f>SUM(C516:C557)</f>
        <v>113355</v>
      </c>
      <c r="D609" s="8">
        <f>SUM(D516:D557)</f>
        <v>114152</v>
      </c>
      <c r="E609" s="8">
        <f>SUM(E516:E557)</f>
        <v>118732</v>
      </c>
      <c r="F609" s="8">
        <f>SUM(F516:F557)</f>
        <v>124336</v>
      </c>
      <c r="G609" s="8">
        <f>SUM(G516:G557)</f>
        <v>119270</v>
      </c>
      <c r="H609" s="8">
        <f>SUM(H516:H557)</f>
        <v>127740</v>
      </c>
      <c r="I609" s="8">
        <f>SUM(I516:I557)</f>
        <v>127479</v>
      </c>
      <c r="J609" s="8">
        <f>SUM(J516:J557)</f>
        <v>127640</v>
      </c>
      <c r="K609" s="8">
        <f>SUM(K516:K557)</f>
        <v>136915</v>
      </c>
      <c r="L609" s="8">
        <f>SUM(L516:L557)</f>
        <v>132273</v>
      </c>
      <c r="M609" s="8">
        <f>SUM(M516:M557)</f>
        <v>137973</v>
      </c>
      <c r="N609" s="8">
        <f>SUM(N516:N557)</f>
        <v>135651</v>
      </c>
      <c r="O609" s="8">
        <f>SUM(O516:O557)</f>
        <v>127026</v>
      </c>
      <c r="P609" s="8">
        <f>SUM(P516:P557)</f>
        <v>134865</v>
      </c>
      <c r="Q609" s="8">
        <f>SUM(Q516:Q557)</f>
        <v>138484</v>
      </c>
      <c r="R609" s="8">
        <f>SUM(R516:R557)</f>
        <v>136782</v>
      </c>
      <c r="S609" s="8">
        <f>SUM(S516:S557)</f>
        <v>149544</v>
      </c>
    </row>
    <row r="610">
      <c r="A610" s="15" t="s">
        <v>446</v>
      </c>
      <c r="C610" s="8">
        <f>SUM(C558:C562)</f>
        <v>1307</v>
      </c>
      <c r="D610" s="8">
        <f>SUM(D558:D562)</f>
        <v>1629</v>
      </c>
      <c r="E610" s="8">
        <f>SUM(E558:E562)</f>
        <v>1957</v>
      </c>
      <c r="F610" s="8">
        <f>SUM(F558:F562)</f>
        <v>2034</v>
      </c>
      <c r="G610" s="8">
        <f>SUM(G558:G562)</f>
        <v>1987</v>
      </c>
      <c r="H610" s="8">
        <f>SUM(H558:H562)</f>
        <v>2560</v>
      </c>
      <c r="I610" s="8">
        <f>SUM(I558:I562)</f>
        <v>2047</v>
      </c>
      <c r="J610" s="8">
        <f>SUM(J558:J562)</f>
        <v>2094</v>
      </c>
      <c r="K610" s="8">
        <f>SUM(K558:K562)</f>
        <v>1753</v>
      </c>
      <c r="L610" s="8">
        <f>SUM(L558:L562)</f>
        <v>1263</v>
      </c>
      <c r="M610" s="8">
        <f>SUM(M558:M562)</f>
        <v>823</v>
      </c>
      <c r="N610" s="8">
        <f>SUM(N558:N562)</f>
        <v>1225</v>
      </c>
      <c r="O610" s="8">
        <f>SUM(O558:O562)</f>
        <v>838</v>
      </c>
      <c r="P610" s="8">
        <f>SUM(P558:P562)</f>
        <v>1294</v>
      </c>
      <c r="Q610" s="8">
        <f>SUM(Q558:Q562)</f>
        <v>1487</v>
      </c>
      <c r="R610" s="8">
        <f>SUM(R558:R562)</f>
        <v>1260</v>
      </c>
      <c r="S610" s="8">
        <f>SUM(S558:S562)</f>
        <v>1230</v>
      </c>
    </row>
    <row r="611">
      <c r="A611" s="15" t="s">
        <v>447</v>
      </c>
      <c r="C611" s="8">
        <f>SUM(C563:C608)</f>
        <v>2310</v>
      </c>
      <c r="D611" s="8">
        <f>SUM(D563:D608)</f>
        <v>2250</v>
      </c>
      <c r="E611" s="8">
        <f>SUM(E563:E608)</f>
        <v>2550</v>
      </c>
      <c r="F611" s="8">
        <f>SUM(F563:F608)</f>
        <v>2890</v>
      </c>
      <c r="G611" s="8">
        <f>SUM(G563:G608)</f>
        <v>2770</v>
      </c>
      <c r="H611" s="8">
        <f>SUM(H563:H608)</f>
        <v>3545</v>
      </c>
      <c r="I611" s="8">
        <f>SUM(I563:I608)</f>
        <v>4080</v>
      </c>
      <c r="J611" s="8">
        <f>SUM(J563:J608)</f>
        <v>4440</v>
      </c>
      <c r="K611" s="8">
        <f>SUM(K563:K608)</f>
        <v>4696</v>
      </c>
      <c r="L611" s="8">
        <f>SUM(L563:L608)</f>
        <v>5465</v>
      </c>
      <c r="M611" s="8">
        <f>SUM(M563:M608)</f>
        <v>6145</v>
      </c>
      <c r="N611" s="8">
        <f>SUM(N563:N608)</f>
        <v>6707</v>
      </c>
      <c r="O611" s="8">
        <f>SUM(O563:O608)</f>
        <v>6835</v>
      </c>
      <c r="P611" s="8">
        <f>SUM(P563:P608)</f>
        <v>7315</v>
      </c>
      <c r="Q611" s="8">
        <f>SUM(Q563:Q608)</f>
        <v>7775</v>
      </c>
      <c r="R611" s="8">
        <f>SUM(R563:R608)</f>
        <v>7900</v>
      </c>
      <c r="S611" s="8">
        <f>SUM(S563:S608)</f>
        <v>8100</v>
      </c>
    </row>
    <row r="612">
      <c r="A612" s="15" t="s">
        <v>448</v>
      </c>
      <c r="C612" s="21">
        <f>C609+C610+C611</f>
        <v>116972</v>
      </c>
      <c r="D612" s="21">
        <f>D609+D610+D611</f>
        <v>118031</v>
      </c>
      <c r="E612" s="21">
        <f>E609+E610+E611</f>
        <v>123239</v>
      </c>
      <c r="F612" s="21">
        <f>F609+F610+F611</f>
        <v>129260</v>
      </c>
      <c r="G612" s="21">
        <f>G609+G610+G611</f>
        <v>124027</v>
      </c>
      <c r="H612" s="21">
        <f>H609+H610+H611</f>
        <v>133845</v>
      </c>
      <c r="I612" s="21">
        <f>I609+I610+I611</f>
        <v>133606</v>
      </c>
      <c r="J612" s="21">
        <f>J609+J610+J611</f>
        <v>134174</v>
      </c>
      <c r="K612" s="21">
        <f>K609+K610+K611</f>
        <v>143364</v>
      </c>
      <c r="L612" s="21">
        <f>L609+L610+L611</f>
        <v>139001</v>
      </c>
      <c r="M612" s="21">
        <f>M609+M610+M611</f>
        <v>144941</v>
      </c>
      <c r="N612" s="21">
        <f>N609+N610+N611</f>
        <v>143583</v>
      </c>
      <c r="O612" s="21">
        <f>O609+O610+O611</f>
        <v>134699</v>
      </c>
      <c r="P612" s="21">
        <f>P609+P610+P611</f>
        <v>143474</v>
      </c>
      <c r="Q612" s="21">
        <f>Q609+Q610+Q611</f>
        <v>147746</v>
      </c>
      <c r="R612" s="21">
        <f>R609+R610+R611</f>
        <v>145942</v>
      </c>
      <c r="S612" s="21">
        <f>S609+S610+S611</f>
        <v>158874</v>
      </c>
    </row>
    <row r="617">
      <c r="A617" s="4" t="s">
        <v>454</v>
      </c>
      <c r="B617" s="3" t="s">
        <v>366</v>
      </c>
      <c r="C617" s="3" t="s">
        <v>41</v>
      </c>
      <c r="D617" s="3" t="s">
        <v>42</v>
      </c>
      <c r="E617" s="3" t="s">
        <v>43</v>
      </c>
      <c r="F617" s="3" t="s">
        <v>44</v>
      </c>
      <c r="G617" s="3" t="s">
        <v>45</v>
      </c>
      <c r="H617" s="3" t="s">
        <v>46</v>
      </c>
      <c r="I617" s="3" t="s">
        <v>47</v>
      </c>
      <c r="J617" s="3" t="s">
        <v>48</v>
      </c>
      <c r="K617" s="3" t="s">
        <v>49</v>
      </c>
      <c r="L617" s="3" t="s">
        <v>50</v>
      </c>
      <c r="M617" s="3" t="s">
        <v>51</v>
      </c>
      <c r="N617" s="3" t="s">
        <v>52</v>
      </c>
      <c r="O617" s="3" t="s">
        <v>53</v>
      </c>
      <c r="P617" s="3" t="s">
        <v>54</v>
      </c>
      <c r="Q617" s="3" t="s">
        <v>55</v>
      </c>
      <c r="R617" s="3" t="s">
        <v>56</v>
      </c>
      <c r="S617" s="3" t="s">
        <v>85</v>
      </c>
    </row>
    <row r="618">
      <c r="A618" s="14" t="s">
        <v>367</v>
      </c>
      <c r="B618" s="2" t="s">
        <v>368</v>
      </c>
      <c r="C618" s="7">
        <v>0</v>
      </c>
      <c r="D618" s="7">
        <v>0</v>
      </c>
      <c r="E618" s="7">
        <v>0</v>
      </c>
      <c r="F618" s="7">
        <v>34</v>
      </c>
      <c r="G618" s="7">
        <v>52</v>
      </c>
      <c r="H618" s="7">
        <v>65</v>
      </c>
      <c r="I618" s="7">
        <v>62</v>
      </c>
      <c r="J618" s="7">
        <v>61</v>
      </c>
      <c r="K618" s="7">
        <v>67</v>
      </c>
      <c r="L618" s="7">
        <v>67</v>
      </c>
      <c r="M618" s="7">
        <v>72</v>
      </c>
      <c r="N618" s="7">
        <v>75</v>
      </c>
      <c r="O618" s="7">
        <v>75</v>
      </c>
      <c r="P618" s="7">
        <v>75</v>
      </c>
      <c r="Q618" s="7">
        <v>90</v>
      </c>
      <c r="R618" s="7">
        <v>90</v>
      </c>
      <c r="S618" s="7">
        <v>90</v>
      </c>
    </row>
    <row r="619">
      <c r="A619" s="14" t="s">
        <v>96</v>
      </c>
      <c r="B619" s="2" t="s">
        <v>368</v>
      </c>
      <c r="C619" s="7">
        <v>350</v>
      </c>
      <c r="D619" s="7">
        <v>450</v>
      </c>
      <c r="E619" s="7">
        <v>824</v>
      </c>
      <c r="F619" s="7">
        <v>648</v>
      </c>
      <c r="G619" s="7">
        <v>590</v>
      </c>
      <c r="H619" s="7">
        <v>630</v>
      </c>
      <c r="I619" s="7">
        <v>1000</v>
      </c>
      <c r="J619" s="7">
        <v>1060</v>
      </c>
      <c r="K619" s="7">
        <v>1160</v>
      </c>
      <c r="L619" s="7">
        <v>700</v>
      </c>
      <c r="M619" s="7">
        <v>550</v>
      </c>
      <c r="N619" s="7">
        <v>550</v>
      </c>
      <c r="O619" s="7">
        <v>499</v>
      </c>
      <c r="P619" s="7">
        <v>800</v>
      </c>
      <c r="Q619" s="7">
        <v>1200</v>
      </c>
      <c r="R619" s="7">
        <v>1300</v>
      </c>
      <c r="S619" s="7">
        <v>1250</v>
      </c>
    </row>
    <row r="620">
      <c r="A620" s="14" t="s">
        <v>369</v>
      </c>
      <c r="B620" s="2" t="s">
        <v>368</v>
      </c>
      <c r="C620" s="7">
        <v>795</v>
      </c>
      <c r="D620" s="7">
        <v>1115</v>
      </c>
      <c r="E620" s="7">
        <v>650</v>
      </c>
      <c r="F620" s="7">
        <v>455</v>
      </c>
      <c r="G620" s="7">
        <v>230</v>
      </c>
      <c r="H620" s="7">
        <v>265</v>
      </c>
      <c r="I620" s="7">
        <v>360</v>
      </c>
      <c r="J620" s="7">
        <v>775</v>
      </c>
      <c r="K620" s="7">
        <v>1111</v>
      </c>
      <c r="L620" s="7">
        <v>980</v>
      </c>
      <c r="M620" s="7">
        <v>1818</v>
      </c>
      <c r="N620" s="7">
        <v>2235</v>
      </c>
      <c r="O620" s="7">
        <v>2185</v>
      </c>
      <c r="P620" s="7">
        <v>1018</v>
      </c>
      <c r="Q620" s="7">
        <v>980</v>
      </c>
      <c r="R620" s="7">
        <v>2454</v>
      </c>
      <c r="S620" s="7">
        <v>2004</v>
      </c>
    </row>
    <row r="621">
      <c r="A621" s="14" t="s">
        <v>370</v>
      </c>
      <c r="B621" s="2" t="s">
        <v>368</v>
      </c>
      <c r="C621" s="7">
        <v>0</v>
      </c>
      <c r="D621" s="7">
        <v>0</v>
      </c>
      <c r="E621" s="7">
        <v>0</v>
      </c>
      <c r="F621" s="7">
        <v>0</v>
      </c>
      <c r="G621" s="7">
        <v>0</v>
      </c>
      <c r="H621" s="7">
        <v>0</v>
      </c>
      <c r="I621" s="7">
        <v>0</v>
      </c>
      <c r="J621" s="7">
        <v>0</v>
      </c>
      <c r="K621" s="7">
        <v>0</v>
      </c>
      <c r="L621" s="7">
        <v>0</v>
      </c>
      <c r="M621" s="7">
        <v>0</v>
      </c>
      <c r="N621" s="7">
        <v>0</v>
      </c>
      <c r="O621" s="7">
        <v>0</v>
      </c>
      <c r="P621" s="7">
        <v>0</v>
      </c>
      <c r="Q621" s="7">
        <v>0</v>
      </c>
      <c r="R621" s="7">
        <v>0</v>
      </c>
      <c r="S621" s="7">
        <v>0</v>
      </c>
    </row>
    <row r="622">
      <c r="A622" s="14" t="s">
        <v>371</v>
      </c>
      <c r="B622" s="2" t="s">
        <v>368</v>
      </c>
      <c r="C622" s="7">
        <v>535</v>
      </c>
      <c r="D622" s="7">
        <v>1305</v>
      </c>
      <c r="E622" s="7">
        <v>1250</v>
      </c>
      <c r="F622" s="7">
        <v>970</v>
      </c>
      <c r="G622" s="7">
        <v>1155</v>
      </c>
      <c r="H622" s="7">
        <v>964</v>
      </c>
      <c r="I622" s="7">
        <v>743</v>
      </c>
      <c r="J622" s="7">
        <v>1751</v>
      </c>
      <c r="K622" s="7">
        <v>1676</v>
      </c>
      <c r="L622" s="7">
        <v>1231</v>
      </c>
      <c r="M622" s="7">
        <v>993</v>
      </c>
      <c r="N622" s="7">
        <v>985</v>
      </c>
      <c r="O622" s="7">
        <v>1347</v>
      </c>
      <c r="P622" s="7">
        <v>1960</v>
      </c>
      <c r="Q622" s="7">
        <v>1600</v>
      </c>
      <c r="R622" s="7">
        <v>1411</v>
      </c>
      <c r="S622" s="7">
        <v>1420</v>
      </c>
    </row>
    <row r="623">
      <c r="A623" s="14" t="s">
        <v>372</v>
      </c>
      <c r="B623" s="2" t="s">
        <v>368</v>
      </c>
      <c r="C623" s="7">
        <v>0</v>
      </c>
      <c r="D623" s="7">
        <v>0</v>
      </c>
      <c r="E623" s="7">
        <v>0</v>
      </c>
      <c r="F623" s="7">
        <v>0</v>
      </c>
      <c r="G623" s="7">
        <v>0</v>
      </c>
      <c r="H623" s="7">
        <v>0</v>
      </c>
      <c r="I623" s="7">
        <v>0</v>
      </c>
      <c r="J623" s="7">
        <v>0</v>
      </c>
      <c r="K623" s="7">
        <v>0</v>
      </c>
      <c r="L623" s="7">
        <v>0</v>
      </c>
      <c r="M623" s="7">
        <v>0</v>
      </c>
      <c r="N623" s="7">
        <v>0</v>
      </c>
      <c r="O623" s="7">
        <v>0</v>
      </c>
      <c r="P623" s="7">
        <v>0</v>
      </c>
      <c r="Q623" s="7">
        <v>0</v>
      </c>
      <c r="R623" s="7">
        <v>0</v>
      </c>
      <c r="S623" s="7">
        <v>0</v>
      </c>
    </row>
    <row r="624">
      <c r="A624" s="14" t="s">
        <v>373</v>
      </c>
      <c r="B624" s="2" t="s">
        <v>368</v>
      </c>
      <c r="C624" s="7">
        <v>820</v>
      </c>
      <c r="D624" s="7">
        <v>892</v>
      </c>
      <c r="E624" s="7">
        <v>1164</v>
      </c>
      <c r="F624" s="7">
        <v>1152</v>
      </c>
      <c r="G624" s="7">
        <v>1205</v>
      </c>
      <c r="H624" s="7">
        <v>1202</v>
      </c>
      <c r="I624" s="7">
        <v>1386</v>
      </c>
      <c r="J624" s="7">
        <v>1472</v>
      </c>
      <c r="K624" s="7">
        <v>1386</v>
      </c>
      <c r="L624" s="7">
        <v>1430</v>
      </c>
      <c r="M624" s="7">
        <v>1345</v>
      </c>
      <c r="N624" s="7">
        <v>1690</v>
      </c>
      <c r="O624" s="7">
        <v>1760</v>
      </c>
      <c r="P624" s="7">
        <v>1363</v>
      </c>
      <c r="Q624" s="7">
        <v>1337</v>
      </c>
      <c r="R624" s="7">
        <v>1333</v>
      </c>
      <c r="S624" s="7">
        <v>1390</v>
      </c>
    </row>
    <row r="625">
      <c r="A625" s="14" t="s">
        <v>102</v>
      </c>
      <c r="B625" s="2" t="s">
        <v>368</v>
      </c>
      <c r="C625" s="7">
        <v>23</v>
      </c>
      <c r="D625" s="7">
        <v>15</v>
      </c>
      <c r="E625" s="7">
        <v>15</v>
      </c>
      <c r="F625" s="7">
        <v>15</v>
      </c>
      <c r="G625" s="7">
        <v>20</v>
      </c>
      <c r="H625" s="7">
        <v>20</v>
      </c>
      <c r="I625" s="7">
        <v>25</v>
      </c>
      <c r="J625" s="7">
        <v>25</v>
      </c>
      <c r="K625" s="7">
        <v>12</v>
      </c>
      <c r="L625" s="7">
        <v>28</v>
      </c>
      <c r="M625" s="7">
        <v>24</v>
      </c>
      <c r="N625" s="7">
        <v>21</v>
      </c>
      <c r="O625" s="7">
        <v>22</v>
      </c>
      <c r="P625" s="7">
        <v>39</v>
      </c>
      <c r="Q625" s="7">
        <v>130</v>
      </c>
      <c r="R625" s="7">
        <v>137</v>
      </c>
      <c r="S625" s="7">
        <v>160</v>
      </c>
    </row>
    <row r="626">
      <c r="A626" s="14" t="s">
        <v>374</v>
      </c>
      <c r="B626" s="2" t="s">
        <v>368</v>
      </c>
      <c r="C626" s="7">
        <v>0</v>
      </c>
      <c r="D626" s="7">
        <v>0</v>
      </c>
      <c r="E626" s="7">
        <v>0</v>
      </c>
      <c r="F626" s="7">
        <v>0</v>
      </c>
      <c r="G626" s="7">
        <v>0</v>
      </c>
      <c r="H626" s="7">
        <v>0</v>
      </c>
      <c r="I626" s="7">
        <v>0</v>
      </c>
      <c r="J626" s="7">
        <v>0</v>
      </c>
      <c r="K626" s="7">
        <v>0</v>
      </c>
      <c r="L626" s="7">
        <v>119</v>
      </c>
      <c r="M626" s="7">
        <v>138</v>
      </c>
      <c r="N626" s="7">
        <v>120</v>
      </c>
      <c r="O626" s="7">
        <v>90</v>
      </c>
      <c r="P626" s="7">
        <v>306</v>
      </c>
      <c r="Q626" s="7">
        <v>75</v>
      </c>
      <c r="R626" s="7">
        <v>80</v>
      </c>
      <c r="S626" s="7">
        <v>84</v>
      </c>
    </row>
    <row r="627">
      <c r="A627" s="14" t="s">
        <v>375</v>
      </c>
      <c r="B627" s="2" t="s">
        <v>368</v>
      </c>
      <c r="C627" s="7">
        <v>1145</v>
      </c>
      <c r="D627" s="7">
        <v>1325</v>
      </c>
      <c r="E627" s="7">
        <v>1135</v>
      </c>
      <c r="F627" s="7">
        <v>1614</v>
      </c>
      <c r="G627" s="7">
        <v>1675</v>
      </c>
      <c r="H627" s="7">
        <v>2450</v>
      </c>
      <c r="I627" s="7">
        <v>1565</v>
      </c>
      <c r="J627" s="7">
        <v>1545</v>
      </c>
      <c r="K627" s="7">
        <v>1768</v>
      </c>
      <c r="L627" s="7">
        <v>1980</v>
      </c>
      <c r="M627" s="7">
        <v>1984</v>
      </c>
      <c r="N627" s="7">
        <v>2125</v>
      </c>
      <c r="O627" s="7">
        <v>2035</v>
      </c>
      <c r="P627" s="7">
        <v>1880</v>
      </c>
      <c r="Q627" s="7">
        <v>2640</v>
      </c>
      <c r="R627" s="7">
        <v>2530</v>
      </c>
      <c r="S627" s="7">
        <v>2500</v>
      </c>
    </row>
    <row r="628">
      <c r="A628" s="14" t="s">
        <v>105</v>
      </c>
      <c r="B628" s="2" t="s">
        <v>368</v>
      </c>
      <c r="C628" s="7">
        <v>200</v>
      </c>
      <c r="D628" s="7">
        <v>180</v>
      </c>
      <c r="E628" s="7">
        <v>185</v>
      </c>
      <c r="F628" s="7">
        <v>215</v>
      </c>
      <c r="G628" s="7">
        <v>185</v>
      </c>
      <c r="H628" s="7">
        <v>190</v>
      </c>
      <c r="I628" s="7">
        <v>225</v>
      </c>
      <c r="J628" s="7">
        <v>240</v>
      </c>
      <c r="K628" s="7">
        <v>249</v>
      </c>
      <c r="L628" s="7">
        <v>304</v>
      </c>
      <c r="M628" s="7">
        <v>361</v>
      </c>
      <c r="N628" s="7">
        <v>349</v>
      </c>
      <c r="O628" s="7">
        <v>350</v>
      </c>
      <c r="P628" s="7">
        <v>445</v>
      </c>
      <c r="Q628" s="7">
        <v>571</v>
      </c>
      <c r="R628" s="7">
        <v>705</v>
      </c>
      <c r="S628" s="7">
        <v>845</v>
      </c>
    </row>
    <row r="629">
      <c r="A629" s="14" t="s">
        <v>106</v>
      </c>
      <c r="B629" s="2" t="s">
        <v>368</v>
      </c>
      <c r="C629" s="7">
        <v>50</v>
      </c>
      <c r="D629" s="7">
        <v>35</v>
      </c>
      <c r="E629" s="7">
        <v>30</v>
      </c>
      <c r="F629" s="7">
        <v>25</v>
      </c>
      <c r="G629" s="7">
        <v>30</v>
      </c>
      <c r="H629" s="7">
        <v>30</v>
      </c>
      <c r="I629" s="7">
        <v>40</v>
      </c>
      <c r="J629" s="7">
        <v>25</v>
      </c>
      <c r="K629" s="7">
        <v>25</v>
      </c>
      <c r="L629" s="7">
        <v>25</v>
      </c>
      <c r="M629" s="7">
        <v>25</v>
      </c>
      <c r="N629" s="7">
        <v>25</v>
      </c>
      <c r="O629" s="7">
        <v>25</v>
      </c>
      <c r="P629" s="7">
        <v>0</v>
      </c>
      <c r="Q629" s="7">
        <v>0</v>
      </c>
      <c r="R629" s="7">
        <v>0</v>
      </c>
      <c r="S629" s="7">
        <v>0</v>
      </c>
    </row>
    <row r="630">
      <c r="A630" s="14" t="s">
        <v>376</v>
      </c>
      <c r="B630" s="2" t="s">
        <v>368</v>
      </c>
      <c r="C630" s="7">
        <v>0</v>
      </c>
      <c r="D630" s="7">
        <v>0</v>
      </c>
      <c r="E630" s="7">
        <v>0</v>
      </c>
      <c r="F630" s="7">
        <v>0</v>
      </c>
      <c r="G630" s="7">
        <v>0</v>
      </c>
      <c r="H630" s="7">
        <v>0</v>
      </c>
      <c r="I630" s="7">
        <v>0</v>
      </c>
      <c r="J630" s="7">
        <v>0</v>
      </c>
      <c r="K630" s="7">
        <v>0</v>
      </c>
      <c r="L630" s="7">
        <v>0</v>
      </c>
      <c r="M630" s="7">
        <v>6</v>
      </c>
      <c r="N630" s="7">
        <v>9</v>
      </c>
      <c r="O630" s="7">
        <v>6</v>
      </c>
      <c r="P630" s="7">
        <v>6</v>
      </c>
      <c r="Q630" s="7">
        <v>6</v>
      </c>
      <c r="R630" s="7">
        <v>6</v>
      </c>
      <c r="S630" s="7">
        <v>6</v>
      </c>
    </row>
    <row r="631">
      <c r="A631" s="14" t="s">
        <v>377</v>
      </c>
      <c r="B631" s="2" t="s">
        <v>368</v>
      </c>
      <c r="C631" s="7">
        <v>1030</v>
      </c>
      <c r="D631" s="7">
        <v>1125</v>
      </c>
      <c r="E631" s="7">
        <v>1375</v>
      </c>
      <c r="F631" s="7">
        <v>1270</v>
      </c>
      <c r="G631" s="7">
        <v>1340</v>
      </c>
      <c r="H631" s="7">
        <v>1440</v>
      </c>
      <c r="I631" s="7">
        <v>1510</v>
      </c>
      <c r="J631" s="7">
        <v>1575</v>
      </c>
      <c r="K631" s="7">
        <v>1875</v>
      </c>
      <c r="L631" s="7">
        <v>1735</v>
      </c>
      <c r="M631" s="7">
        <v>1580</v>
      </c>
      <c r="N631" s="7">
        <v>1725</v>
      </c>
      <c r="O631" s="7">
        <v>1175</v>
      </c>
      <c r="P631" s="7">
        <v>1370</v>
      </c>
      <c r="Q631" s="7">
        <v>1470</v>
      </c>
      <c r="R631" s="7">
        <v>1500</v>
      </c>
      <c r="S631" s="7">
        <v>1600</v>
      </c>
    </row>
    <row r="632">
      <c r="A632" s="14" t="s">
        <v>378</v>
      </c>
      <c r="B632" s="2" t="s">
        <v>368</v>
      </c>
      <c r="C632" s="7">
        <v>0</v>
      </c>
      <c r="D632" s="7">
        <v>0</v>
      </c>
      <c r="E632" s="7">
        <v>0</v>
      </c>
      <c r="F632" s="7">
        <v>0</v>
      </c>
      <c r="G632" s="7">
        <v>0</v>
      </c>
      <c r="H632" s="7">
        <v>0</v>
      </c>
      <c r="I632" s="7">
        <v>0</v>
      </c>
      <c r="J632" s="7">
        <v>0</v>
      </c>
      <c r="K632" s="7">
        <v>0</v>
      </c>
      <c r="L632" s="7">
        <v>0</v>
      </c>
      <c r="M632" s="7">
        <v>0</v>
      </c>
      <c r="N632" s="7">
        <v>0</v>
      </c>
      <c r="O632" s="7">
        <v>0</v>
      </c>
      <c r="P632" s="7">
        <v>0</v>
      </c>
      <c r="Q632" s="7">
        <v>0</v>
      </c>
      <c r="R632" s="7">
        <v>0</v>
      </c>
      <c r="S632" s="7">
        <v>0</v>
      </c>
    </row>
    <row r="633">
      <c r="A633" s="14" t="s">
        <v>110</v>
      </c>
      <c r="B633" s="2" t="s">
        <v>368</v>
      </c>
      <c r="C633" s="7">
        <v>197</v>
      </c>
      <c r="D633" s="7">
        <v>89</v>
      </c>
      <c r="E633" s="7">
        <v>55</v>
      </c>
      <c r="F633" s="7">
        <v>210</v>
      </c>
      <c r="G633" s="7">
        <v>161</v>
      </c>
      <c r="H633" s="7">
        <v>182</v>
      </c>
      <c r="I633" s="7">
        <v>120</v>
      </c>
      <c r="J633" s="7">
        <v>92</v>
      </c>
      <c r="K633" s="7">
        <v>230</v>
      </c>
      <c r="L633" s="7">
        <v>210</v>
      </c>
      <c r="M633" s="7">
        <v>160</v>
      </c>
      <c r="N633" s="7">
        <v>205</v>
      </c>
      <c r="O633" s="7">
        <v>230</v>
      </c>
      <c r="P633" s="7">
        <v>150</v>
      </c>
      <c r="Q633" s="7">
        <v>128</v>
      </c>
      <c r="R633" s="7">
        <v>120</v>
      </c>
      <c r="S633" s="7">
        <v>115</v>
      </c>
    </row>
    <row r="634">
      <c r="A634" s="14" t="s">
        <v>111</v>
      </c>
      <c r="B634" s="2" t="s">
        <v>368</v>
      </c>
      <c r="C634" s="7">
        <v>20</v>
      </c>
      <c r="D634" s="7">
        <v>25</v>
      </c>
      <c r="E634" s="7">
        <v>20</v>
      </c>
      <c r="F634" s="7">
        <v>25</v>
      </c>
      <c r="G634" s="7">
        <v>6</v>
      </c>
      <c r="H634" s="7">
        <v>7</v>
      </c>
      <c r="I634" s="7">
        <v>11</v>
      </c>
      <c r="J634" s="7">
        <v>9</v>
      </c>
      <c r="K634" s="7">
        <v>15</v>
      </c>
      <c r="L634" s="7">
        <v>11</v>
      </c>
      <c r="M634" s="7">
        <v>11</v>
      </c>
      <c r="N634" s="7">
        <v>13</v>
      </c>
      <c r="O634" s="7">
        <v>15</v>
      </c>
      <c r="P634" s="7">
        <v>72</v>
      </c>
      <c r="Q634" s="7">
        <v>73</v>
      </c>
      <c r="R634" s="7">
        <v>75</v>
      </c>
      <c r="S634" s="7">
        <v>75</v>
      </c>
    </row>
    <row r="635">
      <c r="A635" s="14" t="s">
        <v>379</v>
      </c>
      <c r="B635" s="2" t="s">
        <v>368</v>
      </c>
      <c r="C635" s="7">
        <v>1005</v>
      </c>
      <c r="D635" s="7">
        <v>705</v>
      </c>
      <c r="E635" s="7">
        <v>1210</v>
      </c>
      <c r="F635" s="7">
        <v>1615</v>
      </c>
      <c r="G635" s="7">
        <v>1520</v>
      </c>
      <c r="H635" s="7">
        <v>815</v>
      </c>
      <c r="I635" s="7">
        <v>580</v>
      </c>
      <c r="J635" s="7">
        <v>585</v>
      </c>
      <c r="K635" s="7">
        <v>850</v>
      </c>
      <c r="L635" s="7">
        <v>1005</v>
      </c>
      <c r="M635" s="7">
        <v>935</v>
      </c>
      <c r="N635" s="7">
        <v>1065</v>
      </c>
      <c r="O635" s="7">
        <v>930</v>
      </c>
      <c r="P635" s="7">
        <v>1225</v>
      </c>
      <c r="Q635" s="7">
        <v>680</v>
      </c>
      <c r="R635" s="7">
        <v>525</v>
      </c>
      <c r="S635" s="7">
        <v>825</v>
      </c>
    </row>
    <row r="636">
      <c r="A636" s="14" t="s">
        <v>380</v>
      </c>
      <c r="B636" s="2" t="s">
        <v>368</v>
      </c>
      <c r="C636" s="7">
        <v>0</v>
      </c>
      <c r="D636" s="7">
        <v>0</v>
      </c>
      <c r="E636" s="7">
        <v>0</v>
      </c>
      <c r="F636" s="7">
        <v>0</v>
      </c>
      <c r="G636" s="7">
        <v>0</v>
      </c>
      <c r="H636" s="7">
        <v>0</v>
      </c>
      <c r="I636" s="7">
        <v>0</v>
      </c>
      <c r="J636" s="7">
        <v>0</v>
      </c>
      <c r="K636" s="7">
        <v>0</v>
      </c>
      <c r="L636" s="7">
        <v>0</v>
      </c>
      <c r="M636" s="7">
        <v>0</v>
      </c>
      <c r="N636" s="7">
        <v>0</v>
      </c>
      <c r="O636" s="7">
        <v>0</v>
      </c>
      <c r="P636" s="7">
        <v>0</v>
      </c>
      <c r="Q636" s="7">
        <v>0</v>
      </c>
      <c r="R636" s="7">
        <v>0</v>
      </c>
      <c r="S636" s="7">
        <v>0</v>
      </c>
    </row>
    <row r="637">
      <c r="A637" s="14" t="s">
        <v>381</v>
      </c>
      <c r="B637" s="2" t="s">
        <v>368</v>
      </c>
      <c r="C637" s="7">
        <v>204</v>
      </c>
      <c r="D637" s="7">
        <v>181</v>
      </c>
      <c r="E637" s="7">
        <v>170</v>
      </c>
      <c r="F637" s="7">
        <v>200</v>
      </c>
      <c r="G637" s="7">
        <v>180</v>
      </c>
      <c r="H637" s="7">
        <v>200</v>
      </c>
      <c r="I637" s="7">
        <v>200</v>
      </c>
      <c r="J637" s="7">
        <v>215</v>
      </c>
      <c r="K637" s="7">
        <v>226</v>
      </c>
      <c r="L637" s="7">
        <v>283</v>
      </c>
      <c r="M637" s="7">
        <v>235</v>
      </c>
      <c r="N637" s="7">
        <v>221</v>
      </c>
      <c r="O637" s="7">
        <v>240</v>
      </c>
      <c r="P637" s="7">
        <v>259</v>
      </c>
      <c r="Q637" s="7">
        <v>264</v>
      </c>
      <c r="R637" s="7">
        <v>270</v>
      </c>
      <c r="S637" s="7">
        <v>272</v>
      </c>
    </row>
    <row r="638">
      <c r="A638" s="14" t="s">
        <v>115</v>
      </c>
      <c r="B638" s="2" t="s">
        <v>368</v>
      </c>
      <c r="C638" s="7">
        <v>0</v>
      </c>
      <c r="D638" s="7">
        <v>0</v>
      </c>
      <c r="E638" s="7">
        <v>0</v>
      </c>
      <c r="F638" s="7">
        <v>0</v>
      </c>
      <c r="G638" s="7">
        <v>0</v>
      </c>
      <c r="H638" s="7">
        <v>0</v>
      </c>
      <c r="I638" s="7">
        <v>0</v>
      </c>
      <c r="J638" s="7">
        <v>0</v>
      </c>
      <c r="K638" s="7">
        <v>0</v>
      </c>
      <c r="L638" s="7">
        <v>0</v>
      </c>
      <c r="M638" s="7">
        <v>0</v>
      </c>
      <c r="N638" s="7">
        <v>0</v>
      </c>
      <c r="O638" s="7">
        <v>0</v>
      </c>
      <c r="P638" s="7">
        <v>0</v>
      </c>
      <c r="Q638" s="7">
        <v>0</v>
      </c>
      <c r="R638" s="7">
        <v>0</v>
      </c>
      <c r="S638" s="7">
        <v>0</v>
      </c>
    </row>
    <row r="639">
      <c r="A639" s="14" t="s">
        <v>382</v>
      </c>
      <c r="B639" s="2" t="s">
        <v>368</v>
      </c>
      <c r="C639" s="7">
        <v>883</v>
      </c>
      <c r="D639" s="7">
        <v>1225</v>
      </c>
      <c r="E639" s="7">
        <v>1420</v>
      </c>
      <c r="F639" s="7">
        <v>1125</v>
      </c>
      <c r="G639" s="7">
        <v>890</v>
      </c>
      <c r="H639" s="7">
        <v>695</v>
      </c>
      <c r="I639" s="7">
        <v>648</v>
      </c>
      <c r="J639" s="7">
        <v>708</v>
      </c>
      <c r="K639" s="7">
        <v>456</v>
      </c>
      <c r="L639" s="7">
        <v>441</v>
      </c>
      <c r="M639" s="7">
        <v>440</v>
      </c>
      <c r="N639" s="7">
        <v>420</v>
      </c>
      <c r="O639" s="7">
        <v>440</v>
      </c>
      <c r="P639" s="7">
        <v>425</v>
      </c>
      <c r="Q639" s="7">
        <v>425</v>
      </c>
      <c r="R639" s="7">
        <v>425</v>
      </c>
      <c r="S639" s="7">
        <v>425</v>
      </c>
    </row>
    <row r="640">
      <c r="A640" s="14" t="s">
        <v>117</v>
      </c>
      <c r="B640" s="2" t="s">
        <v>368</v>
      </c>
      <c r="C640" s="7">
        <v>0</v>
      </c>
      <c r="D640" s="7">
        <v>0</v>
      </c>
      <c r="E640" s="7">
        <v>0</v>
      </c>
      <c r="F640" s="7">
        <v>0</v>
      </c>
      <c r="G640" s="7">
        <v>0</v>
      </c>
      <c r="H640" s="7">
        <v>0</v>
      </c>
      <c r="I640" s="7">
        <v>0</v>
      </c>
      <c r="J640" s="7">
        <v>0</v>
      </c>
      <c r="K640" s="7">
        <v>0</v>
      </c>
      <c r="L640" s="7">
        <v>0</v>
      </c>
      <c r="M640" s="7">
        <v>0</v>
      </c>
      <c r="N640" s="7">
        <v>0</v>
      </c>
      <c r="O640" s="7">
        <v>0</v>
      </c>
      <c r="P640" s="7">
        <v>0</v>
      </c>
      <c r="Q640" s="7">
        <v>0</v>
      </c>
      <c r="R640" s="7">
        <v>0</v>
      </c>
      <c r="S640" s="7">
        <v>0</v>
      </c>
    </row>
    <row r="641">
      <c r="A641" s="14" t="s">
        <v>118</v>
      </c>
      <c r="B641" s="2" t="s">
        <v>368</v>
      </c>
      <c r="C641" s="7">
        <v>0</v>
      </c>
      <c r="D641" s="7">
        <v>0</v>
      </c>
      <c r="E641" s="7">
        <v>0</v>
      </c>
      <c r="F641" s="7">
        <v>0</v>
      </c>
      <c r="G641" s="7">
        <v>0</v>
      </c>
      <c r="H641" s="7">
        <v>0</v>
      </c>
      <c r="I641" s="7">
        <v>0</v>
      </c>
      <c r="J641" s="7">
        <v>0</v>
      </c>
      <c r="K641" s="7">
        <v>0</v>
      </c>
      <c r="L641" s="7">
        <v>0</v>
      </c>
      <c r="M641" s="7">
        <v>0</v>
      </c>
      <c r="N641" s="7">
        <v>0</v>
      </c>
      <c r="O641" s="7">
        <v>0</v>
      </c>
      <c r="P641" s="7">
        <v>0</v>
      </c>
      <c r="Q641" s="7">
        <v>0</v>
      </c>
      <c r="R641" s="7">
        <v>0</v>
      </c>
      <c r="S641" s="7">
        <v>0</v>
      </c>
    </row>
    <row r="642">
      <c r="A642" s="14" t="s">
        <v>383</v>
      </c>
      <c r="B642" s="2" t="s">
        <v>368</v>
      </c>
      <c r="C642" s="7">
        <v>0</v>
      </c>
      <c r="D642" s="7">
        <v>0</v>
      </c>
      <c r="E642" s="7">
        <v>0</v>
      </c>
      <c r="F642" s="7">
        <v>0</v>
      </c>
      <c r="G642" s="7">
        <v>0</v>
      </c>
      <c r="H642" s="7">
        <v>0</v>
      </c>
      <c r="I642" s="7">
        <v>0</v>
      </c>
      <c r="J642" s="7">
        <v>0</v>
      </c>
      <c r="K642" s="7">
        <v>0</v>
      </c>
      <c r="L642" s="7">
        <v>0</v>
      </c>
      <c r="M642" s="7">
        <v>0</v>
      </c>
      <c r="N642" s="7">
        <v>0</v>
      </c>
      <c r="O642" s="7">
        <v>0</v>
      </c>
      <c r="P642" s="7">
        <v>0</v>
      </c>
      <c r="Q642" s="7">
        <v>0</v>
      </c>
      <c r="R642" s="7">
        <v>0</v>
      </c>
      <c r="S642" s="7">
        <v>0</v>
      </c>
    </row>
    <row r="643">
      <c r="A643" s="14" t="s">
        <v>384</v>
      </c>
      <c r="B643" s="2" t="s">
        <v>368</v>
      </c>
      <c r="C643" s="7">
        <v>0</v>
      </c>
      <c r="D643" s="7">
        <v>0</v>
      </c>
      <c r="E643" s="7">
        <v>0</v>
      </c>
      <c r="F643" s="7">
        <v>0</v>
      </c>
      <c r="G643" s="7">
        <v>0</v>
      </c>
      <c r="H643" s="7">
        <v>0</v>
      </c>
      <c r="I643" s="7">
        <v>0</v>
      </c>
      <c r="J643" s="7">
        <v>0</v>
      </c>
      <c r="K643" s="7">
        <v>0</v>
      </c>
      <c r="L643" s="7">
        <v>0</v>
      </c>
      <c r="M643" s="7">
        <v>0</v>
      </c>
      <c r="N643" s="7">
        <v>0</v>
      </c>
      <c r="O643" s="7">
        <v>0</v>
      </c>
      <c r="P643" s="7">
        <v>0</v>
      </c>
      <c r="Q643" s="7">
        <v>0</v>
      </c>
      <c r="R643" s="7">
        <v>0</v>
      </c>
      <c r="S643" s="7">
        <v>0</v>
      </c>
    </row>
    <row r="644">
      <c r="A644" s="14" t="s">
        <v>121</v>
      </c>
      <c r="B644" s="2" t="s">
        <v>368</v>
      </c>
      <c r="C644" s="7">
        <v>0</v>
      </c>
      <c r="D644" s="7">
        <v>0</v>
      </c>
      <c r="E644" s="7">
        <v>0</v>
      </c>
      <c r="F644" s="7">
        <v>0</v>
      </c>
      <c r="G644" s="7">
        <v>0</v>
      </c>
      <c r="H644" s="7">
        <v>0</v>
      </c>
      <c r="I644" s="7">
        <v>0</v>
      </c>
      <c r="J644" s="7">
        <v>0</v>
      </c>
      <c r="K644" s="7">
        <v>0</v>
      </c>
      <c r="L644" s="7">
        <v>0</v>
      </c>
      <c r="M644" s="7">
        <v>0</v>
      </c>
      <c r="N644" s="7">
        <v>0</v>
      </c>
      <c r="O644" s="7">
        <v>0</v>
      </c>
      <c r="P644" s="7">
        <v>0</v>
      </c>
      <c r="Q644" s="7">
        <v>0</v>
      </c>
      <c r="R644" s="7">
        <v>0</v>
      </c>
      <c r="S644" s="7">
        <v>0</v>
      </c>
    </row>
    <row r="645">
      <c r="A645" s="14" t="s">
        <v>385</v>
      </c>
      <c r="B645" s="2" t="s">
        <v>368</v>
      </c>
      <c r="C645" s="7">
        <v>0</v>
      </c>
      <c r="D645" s="7">
        <v>0</v>
      </c>
      <c r="E645" s="7">
        <v>0</v>
      </c>
      <c r="F645" s="7">
        <v>0</v>
      </c>
      <c r="G645" s="7">
        <v>0</v>
      </c>
      <c r="H645" s="7">
        <v>0</v>
      </c>
      <c r="I645" s="7">
        <v>0</v>
      </c>
      <c r="J645" s="7">
        <v>0</v>
      </c>
      <c r="K645" s="7">
        <v>0</v>
      </c>
      <c r="L645" s="7">
        <v>0</v>
      </c>
      <c r="M645" s="7">
        <v>0</v>
      </c>
      <c r="N645" s="7">
        <v>0</v>
      </c>
      <c r="O645" s="7">
        <v>0</v>
      </c>
      <c r="P645" s="7">
        <v>0</v>
      </c>
      <c r="Q645" s="7">
        <v>0</v>
      </c>
      <c r="R645" s="7">
        <v>0</v>
      </c>
      <c r="S645" s="7">
        <v>0</v>
      </c>
    </row>
    <row r="646">
      <c r="A646" s="14" t="s">
        <v>386</v>
      </c>
      <c r="B646" s="2" t="s">
        <v>368</v>
      </c>
      <c r="C646" s="7">
        <v>0</v>
      </c>
      <c r="D646" s="7">
        <v>0</v>
      </c>
      <c r="E646" s="7">
        <v>0</v>
      </c>
      <c r="F646" s="7">
        <v>0</v>
      </c>
      <c r="G646" s="7">
        <v>0</v>
      </c>
      <c r="H646" s="7">
        <v>0</v>
      </c>
      <c r="I646" s="7">
        <v>0</v>
      </c>
      <c r="J646" s="7">
        <v>0</v>
      </c>
      <c r="K646" s="7">
        <v>0</v>
      </c>
      <c r="L646" s="7">
        <v>0</v>
      </c>
      <c r="M646" s="7">
        <v>0</v>
      </c>
      <c r="N646" s="7">
        <v>0</v>
      </c>
      <c r="O646" s="7">
        <v>0</v>
      </c>
      <c r="P646" s="7">
        <v>0</v>
      </c>
      <c r="Q646" s="7">
        <v>0</v>
      </c>
      <c r="R646" s="7">
        <v>0</v>
      </c>
      <c r="S646" s="7">
        <v>0</v>
      </c>
    </row>
    <row r="647">
      <c r="A647" s="14" t="s">
        <v>124</v>
      </c>
      <c r="B647" s="2" t="s">
        <v>368</v>
      </c>
      <c r="C647" s="7">
        <v>0</v>
      </c>
      <c r="D647" s="7">
        <v>0</v>
      </c>
      <c r="E647" s="7">
        <v>0</v>
      </c>
      <c r="F647" s="7">
        <v>0</v>
      </c>
      <c r="G647" s="7">
        <v>0</v>
      </c>
      <c r="H647" s="7">
        <v>0</v>
      </c>
      <c r="I647" s="7">
        <v>0</v>
      </c>
      <c r="J647" s="7">
        <v>0</v>
      </c>
      <c r="K647" s="7">
        <v>0</v>
      </c>
      <c r="L647" s="7">
        <v>0</v>
      </c>
      <c r="M647" s="7">
        <v>0</v>
      </c>
      <c r="N647" s="7">
        <v>0</v>
      </c>
      <c r="O647" s="7">
        <v>0</v>
      </c>
      <c r="P647" s="7">
        <v>0</v>
      </c>
      <c r="Q647" s="7">
        <v>0</v>
      </c>
      <c r="R647" s="7">
        <v>0</v>
      </c>
      <c r="S647" s="7">
        <v>0</v>
      </c>
    </row>
    <row r="648">
      <c r="A648" s="14" t="s">
        <v>125</v>
      </c>
      <c r="B648" s="2" t="s">
        <v>368</v>
      </c>
      <c r="C648" s="7">
        <v>0</v>
      </c>
      <c r="D648" s="7">
        <v>0</v>
      </c>
      <c r="E648" s="7">
        <v>0</v>
      </c>
      <c r="F648" s="7">
        <v>0</v>
      </c>
      <c r="G648" s="7">
        <v>0</v>
      </c>
      <c r="H648" s="7">
        <v>0</v>
      </c>
      <c r="I648" s="7">
        <v>0</v>
      </c>
      <c r="J648" s="7">
        <v>0</v>
      </c>
      <c r="K648" s="7">
        <v>0</v>
      </c>
      <c r="L648" s="7">
        <v>0</v>
      </c>
      <c r="M648" s="7">
        <v>0</v>
      </c>
      <c r="N648" s="7">
        <v>0</v>
      </c>
      <c r="O648" s="7">
        <v>0</v>
      </c>
      <c r="P648" s="7">
        <v>0</v>
      </c>
      <c r="Q648" s="7">
        <v>0</v>
      </c>
      <c r="R648" s="7">
        <v>0</v>
      </c>
      <c r="S648" s="7">
        <v>0</v>
      </c>
    </row>
    <row r="649">
      <c r="A649" s="14" t="s">
        <v>387</v>
      </c>
      <c r="B649" s="2" t="s">
        <v>368</v>
      </c>
      <c r="C649" s="7">
        <v>0</v>
      </c>
      <c r="D649" s="7">
        <v>0</v>
      </c>
      <c r="E649" s="7">
        <v>0</v>
      </c>
      <c r="F649" s="7">
        <v>0</v>
      </c>
      <c r="G649" s="7">
        <v>0</v>
      </c>
      <c r="H649" s="7">
        <v>0</v>
      </c>
      <c r="I649" s="7">
        <v>0</v>
      </c>
      <c r="J649" s="7">
        <v>0</v>
      </c>
      <c r="K649" s="7">
        <v>0</v>
      </c>
      <c r="L649" s="7">
        <v>0</v>
      </c>
      <c r="M649" s="7">
        <v>0</v>
      </c>
      <c r="N649" s="7">
        <v>0</v>
      </c>
      <c r="O649" s="7">
        <v>0</v>
      </c>
      <c r="P649" s="7">
        <v>0</v>
      </c>
      <c r="Q649" s="7">
        <v>0</v>
      </c>
      <c r="R649" s="7">
        <v>0</v>
      </c>
      <c r="S649" s="7">
        <v>0</v>
      </c>
    </row>
    <row r="650">
      <c r="A650" s="14" t="s">
        <v>127</v>
      </c>
      <c r="B650" s="2" t="s">
        <v>368</v>
      </c>
      <c r="C650" s="7">
        <v>0</v>
      </c>
      <c r="D650" s="7">
        <v>0</v>
      </c>
      <c r="E650" s="7">
        <v>0</v>
      </c>
      <c r="F650" s="7">
        <v>0</v>
      </c>
      <c r="G650" s="7">
        <v>0</v>
      </c>
      <c r="H650" s="7">
        <v>0</v>
      </c>
      <c r="I650" s="7">
        <v>0</v>
      </c>
      <c r="J650" s="7">
        <v>0</v>
      </c>
      <c r="K650" s="7">
        <v>0</v>
      </c>
      <c r="L650" s="7">
        <v>0</v>
      </c>
      <c r="M650" s="7">
        <v>0</v>
      </c>
      <c r="N650" s="7">
        <v>0</v>
      </c>
      <c r="O650" s="7">
        <v>0</v>
      </c>
      <c r="P650" s="7">
        <v>0</v>
      </c>
      <c r="Q650" s="7">
        <v>0</v>
      </c>
      <c r="R650" s="7">
        <v>0</v>
      </c>
      <c r="S650" s="7">
        <v>0</v>
      </c>
    </row>
    <row r="651">
      <c r="A651" s="14" t="s">
        <v>128</v>
      </c>
      <c r="B651" s="2" t="s">
        <v>368</v>
      </c>
      <c r="C651" s="7">
        <v>0</v>
      </c>
      <c r="D651" s="7">
        <v>0</v>
      </c>
      <c r="E651" s="7">
        <v>0</v>
      </c>
      <c r="F651" s="7">
        <v>0</v>
      </c>
      <c r="G651" s="7">
        <v>0</v>
      </c>
      <c r="H651" s="7">
        <v>0</v>
      </c>
      <c r="I651" s="7">
        <v>0</v>
      </c>
      <c r="J651" s="7">
        <v>0</v>
      </c>
      <c r="K651" s="7">
        <v>0</v>
      </c>
      <c r="L651" s="7">
        <v>0</v>
      </c>
      <c r="M651" s="7">
        <v>0</v>
      </c>
      <c r="N651" s="7">
        <v>0</v>
      </c>
      <c r="O651" s="7">
        <v>0</v>
      </c>
      <c r="P651" s="7">
        <v>0</v>
      </c>
      <c r="Q651" s="7">
        <v>0</v>
      </c>
      <c r="R651" s="7">
        <v>0</v>
      </c>
      <c r="S651" s="7">
        <v>0</v>
      </c>
    </row>
    <row r="652">
      <c r="A652" s="14" t="s">
        <v>388</v>
      </c>
      <c r="B652" s="2" t="s">
        <v>368</v>
      </c>
      <c r="C652" s="7">
        <v>0</v>
      </c>
      <c r="D652" s="7">
        <v>0</v>
      </c>
      <c r="E652" s="7">
        <v>0</v>
      </c>
      <c r="F652" s="7">
        <v>0</v>
      </c>
      <c r="G652" s="7">
        <v>0</v>
      </c>
      <c r="H652" s="7">
        <v>0</v>
      </c>
      <c r="I652" s="7">
        <v>0</v>
      </c>
      <c r="J652" s="7">
        <v>0</v>
      </c>
      <c r="K652" s="7">
        <v>0</v>
      </c>
      <c r="L652" s="7">
        <v>0</v>
      </c>
      <c r="M652" s="7">
        <v>0</v>
      </c>
      <c r="N652" s="7">
        <v>0</v>
      </c>
      <c r="O652" s="7">
        <v>0</v>
      </c>
      <c r="P652" s="7">
        <v>0</v>
      </c>
      <c r="Q652" s="7">
        <v>0</v>
      </c>
      <c r="R652" s="7">
        <v>0</v>
      </c>
      <c r="S652" s="7">
        <v>0</v>
      </c>
    </row>
    <row r="653">
      <c r="A653" s="14" t="s">
        <v>389</v>
      </c>
      <c r="B653" s="2" t="s">
        <v>368</v>
      </c>
      <c r="C653" s="7">
        <v>0</v>
      </c>
      <c r="D653" s="7">
        <v>0</v>
      </c>
      <c r="E653" s="7">
        <v>0</v>
      </c>
      <c r="F653" s="7">
        <v>0</v>
      </c>
      <c r="G653" s="7">
        <v>0</v>
      </c>
      <c r="H653" s="7">
        <v>0</v>
      </c>
      <c r="I653" s="7">
        <v>0</v>
      </c>
      <c r="J653" s="7">
        <v>0</v>
      </c>
      <c r="K653" s="7">
        <v>0</v>
      </c>
      <c r="L653" s="7">
        <v>0</v>
      </c>
      <c r="M653" s="7">
        <v>0</v>
      </c>
      <c r="N653" s="7">
        <v>0</v>
      </c>
      <c r="O653" s="7">
        <v>0</v>
      </c>
      <c r="P653" s="7">
        <v>0</v>
      </c>
      <c r="Q653" s="7">
        <v>0</v>
      </c>
      <c r="R653" s="7">
        <v>0</v>
      </c>
      <c r="S653" s="7">
        <v>0</v>
      </c>
    </row>
    <row r="654">
      <c r="A654" s="14" t="s">
        <v>131</v>
      </c>
      <c r="B654" s="2" t="s">
        <v>368</v>
      </c>
      <c r="C654" s="7">
        <v>0</v>
      </c>
      <c r="D654" s="7">
        <v>0</v>
      </c>
      <c r="E654" s="7">
        <v>0</v>
      </c>
      <c r="F654" s="7">
        <v>0</v>
      </c>
      <c r="G654" s="7">
        <v>0</v>
      </c>
      <c r="H654" s="7">
        <v>0</v>
      </c>
      <c r="I654" s="7">
        <v>0</v>
      </c>
      <c r="J654" s="7">
        <v>0</v>
      </c>
      <c r="K654" s="7">
        <v>0</v>
      </c>
      <c r="L654" s="7">
        <v>0</v>
      </c>
      <c r="M654" s="7">
        <v>0</v>
      </c>
      <c r="N654" s="7">
        <v>0</v>
      </c>
      <c r="O654" s="7">
        <v>0</v>
      </c>
      <c r="P654" s="7">
        <v>0</v>
      </c>
      <c r="Q654" s="7">
        <v>0</v>
      </c>
      <c r="R654" s="7">
        <v>0</v>
      </c>
      <c r="S654" s="7">
        <v>0</v>
      </c>
    </row>
    <row r="655">
      <c r="A655" s="14" t="s">
        <v>390</v>
      </c>
      <c r="B655" s="2" t="s">
        <v>368</v>
      </c>
      <c r="C655" s="7">
        <v>0</v>
      </c>
      <c r="D655" s="7">
        <v>0</v>
      </c>
      <c r="E655" s="7">
        <v>0</v>
      </c>
      <c r="F655" s="7">
        <v>0</v>
      </c>
      <c r="G655" s="7">
        <v>0</v>
      </c>
      <c r="H655" s="7">
        <v>0</v>
      </c>
      <c r="I655" s="7">
        <v>0</v>
      </c>
      <c r="J655" s="7">
        <v>0</v>
      </c>
      <c r="K655" s="7">
        <v>0</v>
      </c>
      <c r="L655" s="7">
        <v>0</v>
      </c>
      <c r="M655" s="7">
        <v>0</v>
      </c>
      <c r="N655" s="7">
        <v>0</v>
      </c>
      <c r="O655" s="7">
        <v>0</v>
      </c>
      <c r="P655" s="7">
        <v>0</v>
      </c>
      <c r="Q655" s="7">
        <v>0</v>
      </c>
      <c r="R655" s="7">
        <v>0</v>
      </c>
      <c r="S655" s="7">
        <v>0</v>
      </c>
    </row>
    <row r="656">
      <c r="A656" s="14" t="s">
        <v>133</v>
      </c>
      <c r="B656" s="2" t="s">
        <v>368</v>
      </c>
      <c r="C656" s="7">
        <v>0</v>
      </c>
      <c r="D656" s="7">
        <v>0</v>
      </c>
      <c r="E656" s="7">
        <v>0</v>
      </c>
      <c r="F656" s="7">
        <v>0</v>
      </c>
      <c r="G656" s="7">
        <v>0</v>
      </c>
      <c r="H656" s="7">
        <v>0</v>
      </c>
      <c r="I656" s="7">
        <v>0</v>
      </c>
      <c r="J656" s="7">
        <v>0</v>
      </c>
      <c r="K656" s="7">
        <v>0</v>
      </c>
      <c r="L656" s="7">
        <v>0</v>
      </c>
      <c r="M656" s="7">
        <v>0</v>
      </c>
      <c r="N656" s="7">
        <v>0</v>
      </c>
      <c r="O656" s="7">
        <v>0</v>
      </c>
      <c r="P656" s="7">
        <v>0</v>
      </c>
      <c r="Q656" s="7">
        <v>0</v>
      </c>
      <c r="R656" s="7">
        <v>0</v>
      </c>
      <c r="S656" s="7">
        <v>0</v>
      </c>
    </row>
    <row r="657">
      <c r="A657" s="14" t="s">
        <v>134</v>
      </c>
      <c r="B657" s="2" t="s">
        <v>368</v>
      </c>
      <c r="C657" s="7">
        <v>0</v>
      </c>
      <c r="D657" s="7">
        <v>0</v>
      </c>
      <c r="E657" s="7">
        <v>0</v>
      </c>
      <c r="F657" s="7">
        <v>0</v>
      </c>
      <c r="G657" s="7">
        <v>0</v>
      </c>
      <c r="H657" s="7">
        <v>0</v>
      </c>
      <c r="I657" s="7">
        <v>0</v>
      </c>
      <c r="J657" s="7">
        <v>0</v>
      </c>
      <c r="K657" s="7">
        <v>0</v>
      </c>
      <c r="L657" s="7">
        <v>0</v>
      </c>
      <c r="M657" s="7">
        <v>0</v>
      </c>
      <c r="N657" s="7">
        <v>0</v>
      </c>
      <c r="O657" s="7">
        <v>0</v>
      </c>
      <c r="P657" s="7">
        <v>0</v>
      </c>
      <c r="Q657" s="7">
        <v>0</v>
      </c>
      <c r="R657" s="7">
        <v>0</v>
      </c>
      <c r="S657" s="7">
        <v>0</v>
      </c>
    </row>
    <row r="658">
      <c r="A658" s="14" t="s">
        <v>135</v>
      </c>
      <c r="B658" s="2" t="s">
        <v>368</v>
      </c>
      <c r="C658" s="7">
        <v>0</v>
      </c>
      <c r="D658" s="7">
        <v>0</v>
      </c>
      <c r="E658" s="7">
        <v>0</v>
      </c>
      <c r="F658" s="7">
        <v>0</v>
      </c>
      <c r="G658" s="7">
        <v>0</v>
      </c>
      <c r="H658" s="7">
        <v>0</v>
      </c>
      <c r="I658" s="7">
        <v>0</v>
      </c>
      <c r="J658" s="7">
        <v>0</v>
      </c>
      <c r="K658" s="7">
        <v>0</v>
      </c>
      <c r="L658" s="7">
        <v>0</v>
      </c>
      <c r="M658" s="7">
        <v>0</v>
      </c>
      <c r="N658" s="7">
        <v>0</v>
      </c>
      <c r="O658" s="7">
        <v>0</v>
      </c>
      <c r="P658" s="7">
        <v>0</v>
      </c>
      <c r="Q658" s="7">
        <v>0</v>
      </c>
      <c r="R658" s="7">
        <v>0</v>
      </c>
      <c r="S658" s="7">
        <v>0</v>
      </c>
    </row>
    <row r="659">
      <c r="A659" s="14" t="s">
        <v>391</v>
      </c>
      <c r="B659" s="2" t="s">
        <v>368</v>
      </c>
      <c r="C659" s="7">
        <v>0</v>
      </c>
      <c r="D659" s="7">
        <v>0</v>
      </c>
      <c r="E659" s="7">
        <v>0</v>
      </c>
      <c r="F659" s="7">
        <v>0</v>
      </c>
      <c r="G659" s="7">
        <v>0</v>
      </c>
      <c r="H659" s="7">
        <v>0</v>
      </c>
      <c r="I659" s="7">
        <v>0</v>
      </c>
      <c r="J659" s="7">
        <v>0</v>
      </c>
      <c r="K659" s="7">
        <v>0</v>
      </c>
      <c r="L659" s="7">
        <v>0</v>
      </c>
      <c r="M659" s="7">
        <v>0</v>
      </c>
      <c r="N659" s="7">
        <v>0</v>
      </c>
      <c r="O659" s="7">
        <v>0</v>
      </c>
      <c r="P659" s="7">
        <v>0</v>
      </c>
      <c r="Q659" s="7">
        <v>0</v>
      </c>
      <c r="R659" s="7">
        <v>0</v>
      </c>
      <c r="S659" s="7">
        <v>0</v>
      </c>
    </row>
    <row r="660">
      <c r="A660" s="14" t="s">
        <v>392</v>
      </c>
      <c r="B660" s="2" t="s">
        <v>393</v>
      </c>
      <c r="C660" s="7">
        <v>23110</v>
      </c>
      <c r="D660" s="7">
        <v>23825</v>
      </c>
      <c r="E660" s="7">
        <v>23700</v>
      </c>
      <c r="F660" s="7">
        <v>24915</v>
      </c>
      <c r="G660" s="7">
        <v>23995</v>
      </c>
      <c r="H660" s="7">
        <v>25185</v>
      </c>
      <c r="I660" s="7">
        <v>26470</v>
      </c>
      <c r="J660" s="7">
        <v>24775</v>
      </c>
      <c r="K660" s="7">
        <v>28020</v>
      </c>
      <c r="L660" s="7">
        <v>25060</v>
      </c>
      <c r="M660" s="7">
        <v>25510</v>
      </c>
      <c r="N660" s="7">
        <v>27025</v>
      </c>
      <c r="O660" s="7">
        <v>23905</v>
      </c>
      <c r="P660" s="7">
        <v>23495</v>
      </c>
      <c r="Q660" s="7">
        <v>26095</v>
      </c>
      <c r="R660" s="7">
        <v>25500</v>
      </c>
      <c r="S660" s="7">
        <v>26900</v>
      </c>
    </row>
    <row r="661">
      <c r="A661" s="14" t="s">
        <v>394</v>
      </c>
      <c r="B661" s="2" t="s">
        <v>393</v>
      </c>
      <c r="C661" s="7">
        <v>987</v>
      </c>
      <c r="D661" s="7">
        <v>1095</v>
      </c>
      <c r="E661" s="7">
        <v>1629</v>
      </c>
      <c r="F661" s="7">
        <v>1803</v>
      </c>
      <c r="G661" s="7">
        <v>1901</v>
      </c>
      <c r="H661" s="7">
        <v>2950</v>
      </c>
      <c r="I661" s="7">
        <v>2547</v>
      </c>
      <c r="J661" s="7">
        <v>2620</v>
      </c>
      <c r="K661" s="7">
        <v>2630</v>
      </c>
      <c r="L661" s="7">
        <v>2935</v>
      </c>
      <c r="M661" s="7">
        <v>3810</v>
      </c>
      <c r="N661" s="7">
        <v>4180</v>
      </c>
      <c r="O661" s="7">
        <v>4230</v>
      </c>
      <c r="P661" s="7">
        <v>5485</v>
      </c>
      <c r="Q661" s="7">
        <v>5295</v>
      </c>
      <c r="R661" s="7">
        <v>5750</v>
      </c>
      <c r="S661" s="7">
        <v>6050</v>
      </c>
    </row>
    <row r="662">
      <c r="A662" s="14" t="s">
        <v>395</v>
      </c>
      <c r="B662" s="2" t="s">
        <v>393</v>
      </c>
      <c r="C662" s="7">
        <v>1985</v>
      </c>
      <c r="D662" s="7">
        <v>3280</v>
      </c>
      <c r="E662" s="7">
        <v>3880</v>
      </c>
      <c r="F662" s="7">
        <v>3145</v>
      </c>
      <c r="G662" s="7">
        <v>3755</v>
      </c>
      <c r="H662" s="7">
        <v>6185</v>
      </c>
      <c r="I662" s="7">
        <v>6420</v>
      </c>
      <c r="J662" s="7">
        <v>6100</v>
      </c>
      <c r="K662" s="7">
        <v>6100</v>
      </c>
      <c r="L662" s="7">
        <v>5670</v>
      </c>
      <c r="M662" s="7">
        <v>6160</v>
      </c>
      <c r="N662" s="7">
        <v>6540</v>
      </c>
      <c r="O662" s="7">
        <v>5890</v>
      </c>
      <c r="P662" s="7">
        <v>5940</v>
      </c>
      <c r="Q662" s="7">
        <v>5740</v>
      </c>
      <c r="R662" s="7">
        <v>6075</v>
      </c>
      <c r="S662" s="7">
        <v>6250</v>
      </c>
    </row>
    <row r="663">
      <c r="A663" s="14" t="s">
        <v>396</v>
      </c>
      <c r="B663" s="2" t="s">
        <v>393</v>
      </c>
      <c r="C663" s="7">
        <v>622</v>
      </c>
      <c r="D663" s="7">
        <v>576</v>
      </c>
      <c r="E663" s="7">
        <v>606</v>
      </c>
      <c r="F663" s="7">
        <v>506</v>
      </c>
      <c r="G663" s="7">
        <v>687</v>
      </c>
      <c r="H663" s="7">
        <v>672</v>
      </c>
      <c r="I663" s="7">
        <v>602</v>
      </c>
      <c r="J663" s="7">
        <v>652</v>
      </c>
      <c r="K663" s="7">
        <v>650</v>
      </c>
      <c r="L663" s="7">
        <v>0</v>
      </c>
      <c r="M663" s="7">
        <v>0</v>
      </c>
      <c r="N663" s="7">
        <v>0</v>
      </c>
      <c r="O663" s="7">
        <v>0</v>
      </c>
      <c r="P663" s="7">
        <v>0</v>
      </c>
      <c r="Q663" s="7">
        <v>0</v>
      </c>
      <c r="R663" s="7">
        <v>0</v>
      </c>
      <c r="S663" s="7">
        <v>0</v>
      </c>
    </row>
    <row r="664">
      <c r="A664" s="14" t="s">
        <v>397</v>
      </c>
      <c r="B664" s="2" t="s">
        <v>393</v>
      </c>
      <c r="C664" s="7">
        <v>10</v>
      </c>
      <c r="D664" s="7">
        <v>35</v>
      </c>
      <c r="E664" s="7">
        <v>20</v>
      </c>
      <c r="F664" s="7">
        <v>35</v>
      </c>
      <c r="G664" s="7">
        <v>40</v>
      </c>
      <c r="H664" s="7">
        <v>50</v>
      </c>
      <c r="I664" s="7">
        <v>45</v>
      </c>
      <c r="J664" s="7">
        <v>60</v>
      </c>
      <c r="K664" s="7">
        <v>55</v>
      </c>
      <c r="L664" s="7">
        <v>40</v>
      </c>
      <c r="M664" s="7">
        <v>55</v>
      </c>
      <c r="N664" s="7">
        <v>70</v>
      </c>
      <c r="O664" s="7">
        <v>65</v>
      </c>
      <c r="P664" s="7">
        <v>125</v>
      </c>
      <c r="Q664" s="7">
        <v>50</v>
      </c>
      <c r="R664" s="7">
        <v>120</v>
      </c>
      <c r="S664" s="7">
        <v>130</v>
      </c>
    </row>
    <row r="665">
      <c r="A665" s="14" t="s">
        <v>398</v>
      </c>
      <c r="B665" s="2" t="s">
        <v>399</v>
      </c>
      <c r="C665" s="7">
        <v>44610</v>
      </c>
      <c r="D665" s="7">
        <v>43950</v>
      </c>
      <c r="E665" s="7">
        <v>45070</v>
      </c>
      <c r="F665" s="7">
        <v>44650</v>
      </c>
      <c r="G665" s="7">
        <v>45140</v>
      </c>
      <c r="H665" s="7">
        <v>46150</v>
      </c>
      <c r="I665" s="7">
        <v>43425</v>
      </c>
      <c r="J665" s="7">
        <v>44510</v>
      </c>
      <c r="K665" s="7">
        <v>45890</v>
      </c>
      <c r="L665" s="7">
        <v>44460</v>
      </c>
      <c r="M665" s="7">
        <v>43875</v>
      </c>
      <c r="N665" s="7">
        <v>46615</v>
      </c>
      <c r="O665" s="7">
        <v>44515</v>
      </c>
      <c r="P665" s="7">
        <v>43990</v>
      </c>
      <c r="Q665" s="7">
        <v>46230</v>
      </c>
      <c r="R665" s="7">
        <v>46500</v>
      </c>
      <c r="S665" s="7">
        <v>50000</v>
      </c>
    </row>
    <row r="666">
      <c r="A666" s="14" t="s">
        <v>400</v>
      </c>
      <c r="B666" s="2" t="s">
        <v>399</v>
      </c>
      <c r="C666" s="7">
        <v>7575</v>
      </c>
      <c r="D666" s="7">
        <v>6680</v>
      </c>
      <c r="E666" s="7">
        <v>8405</v>
      </c>
      <c r="F666" s="7">
        <v>7870</v>
      </c>
      <c r="G666" s="7">
        <v>8110</v>
      </c>
      <c r="H666" s="7">
        <v>8195</v>
      </c>
      <c r="I666" s="7">
        <v>8030</v>
      </c>
      <c r="J666" s="7">
        <v>7720</v>
      </c>
      <c r="K666" s="7">
        <v>8320</v>
      </c>
      <c r="L666" s="7">
        <v>7290</v>
      </c>
      <c r="M666" s="7">
        <v>7150</v>
      </c>
      <c r="N666" s="7">
        <v>7415</v>
      </c>
      <c r="O666" s="7">
        <v>6505</v>
      </c>
      <c r="P666" s="7">
        <v>6905</v>
      </c>
      <c r="Q666" s="7">
        <v>6370</v>
      </c>
      <c r="R666" s="7">
        <v>6585</v>
      </c>
      <c r="S666" s="7">
        <v>7000</v>
      </c>
    </row>
    <row r="667">
      <c r="A667" s="14" t="s">
        <v>401</v>
      </c>
      <c r="B667" s="2" t="s">
        <v>399</v>
      </c>
      <c r="C667" s="7">
        <v>4245</v>
      </c>
      <c r="D667" s="7">
        <v>4170</v>
      </c>
      <c r="E667" s="7">
        <v>4230</v>
      </c>
      <c r="F667" s="7">
        <v>4605</v>
      </c>
      <c r="G667" s="7">
        <v>4495</v>
      </c>
      <c r="H667" s="7">
        <v>4545</v>
      </c>
      <c r="I667" s="7">
        <v>4550</v>
      </c>
      <c r="J667" s="7">
        <v>4750</v>
      </c>
      <c r="K667" s="7">
        <v>4885</v>
      </c>
      <c r="L667" s="7">
        <v>4830</v>
      </c>
      <c r="M667" s="7">
        <v>4995</v>
      </c>
      <c r="N667" s="7">
        <v>5330</v>
      </c>
      <c r="O667" s="7">
        <v>5110</v>
      </c>
      <c r="P667" s="7">
        <v>4980</v>
      </c>
      <c r="Q667" s="7">
        <v>5085</v>
      </c>
      <c r="R667" s="7">
        <v>5050</v>
      </c>
      <c r="S667" s="7">
        <v>5100</v>
      </c>
    </row>
    <row r="668">
      <c r="A668" s="14" t="s">
        <v>402</v>
      </c>
      <c r="B668" s="2" t="s">
        <v>399</v>
      </c>
      <c r="C668" s="7">
        <v>0</v>
      </c>
      <c r="D668" s="7">
        <v>0</v>
      </c>
      <c r="E668" s="7">
        <v>0</v>
      </c>
      <c r="F668" s="7">
        <v>0</v>
      </c>
      <c r="G668" s="7">
        <v>0</v>
      </c>
      <c r="H668" s="7">
        <v>0</v>
      </c>
      <c r="I668" s="7">
        <v>4260</v>
      </c>
      <c r="J668" s="7">
        <v>3610</v>
      </c>
      <c r="K668" s="7">
        <v>3875</v>
      </c>
      <c r="L668" s="7">
        <v>3805</v>
      </c>
      <c r="M668" s="7">
        <v>2955</v>
      </c>
      <c r="N668" s="7">
        <v>3985</v>
      </c>
      <c r="O668" s="7">
        <v>3980</v>
      </c>
      <c r="P668" s="7">
        <v>4190</v>
      </c>
      <c r="Q668" s="7">
        <v>4495</v>
      </c>
      <c r="R668" s="7">
        <v>4570</v>
      </c>
      <c r="S668" s="7">
        <v>4850</v>
      </c>
    </row>
    <row r="669">
      <c r="A669" s="14" t="s">
        <v>403</v>
      </c>
      <c r="B669" s="2" t="s">
        <v>399</v>
      </c>
      <c r="C669" s="7">
        <v>4355</v>
      </c>
      <c r="D669" s="7">
        <v>3865</v>
      </c>
      <c r="E669" s="7">
        <v>4130</v>
      </c>
      <c r="F669" s="7">
        <v>4230</v>
      </c>
      <c r="G669" s="7">
        <v>4050</v>
      </c>
      <c r="H669" s="7">
        <v>4395</v>
      </c>
      <c r="I669" s="7">
        <v>4740</v>
      </c>
      <c r="J669" s="7">
        <v>4465</v>
      </c>
      <c r="K669" s="7">
        <v>4945</v>
      </c>
      <c r="L669" s="7">
        <v>4625</v>
      </c>
      <c r="M669" s="7">
        <v>4165</v>
      </c>
      <c r="N669" s="7">
        <v>4055</v>
      </c>
      <c r="O669" s="7">
        <v>4250</v>
      </c>
      <c r="P669" s="7">
        <v>4250</v>
      </c>
      <c r="Q669" s="7">
        <v>4450</v>
      </c>
      <c r="R669" s="7">
        <v>4575</v>
      </c>
      <c r="S669" s="7">
        <v>4800</v>
      </c>
    </row>
    <row r="670">
      <c r="A670" s="14" t="s">
        <v>404</v>
      </c>
      <c r="B670" s="2" t="s">
        <v>399</v>
      </c>
      <c r="C670" s="7">
        <v>1910</v>
      </c>
      <c r="D670" s="7">
        <v>1785</v>
      </c>
      <c r="E670" s="7">
        <v>1825</v>
      </c>
      <c r="F670" s="7">
        <v>2160</v>
      </c>
      <c r="G670" s="7">
        <v>2305</v>
      </c>
      <c r="H670" s="7">
        <v>2465</v>
      </c>
      <c r="I670" s="7">
        <v>2725</v>
      </c>
      <c r="J670" s="7">
        <v>2645</v>
      </c>
      <c r="K670" s="7">
        <v>2770</v>
      </c>
      <c r="L670" s="7">
        <v>2980</v>
      </c>
      <c r="M670" s="7">
        <v>2995</v>
      </c>
      <c r="N670" s="7">
        <v>3405</v>
      </c>
      <c r="O670" s="7">
        <v>3175</v>
      </c>
      <c r="P670" s="7">
        <v>3350</v>
      </c>
      <c r="Q670" s="7">
        <v>3365</v>
      </c>
      <c r="R670" s="7">
        <v>3200</v>
      </c>
      <c r="S670" s="7">
        <v>3400</v>
      </c>
    </row>
    <row r="671">
      <c r="A671" s="14" t="s">
        <v>405</v>
      </c>
      <c r="B671" s="2" t="s">
        <v>399</v>
      </c>
      <c r="C671" s="7">
        <v>1445</v>
      </c>
      <c r="D671" s="7">
        <v>1600</v>
      </c>
      <c r="E671" s="7">
        <v>1660</v>
      </c>
      <c r="F671" s="7">
        <v>1615</v>
      </c>
      <c r="G671" s="7">
        <v>1775</v>
      </c>
      <c r="H671" s="7">
        <v>1785</v>
      </c>
      <c r="I671" s="7">
        <v>1730</v>
      </c>
      <c r="J671" s="7">
        <v>1900</v>
      </c>
      <c r="K671" s="7">
        <v>2040</v>
      </c>
      <c r="L671" s="7">
        <v>1960</v>
      </c>
      <c r="M671" s="7">
        <v>2055</v>
      </c>
      <c r="N671" s="7">
        <v>2305</v>
      </c>
      <c r="O671" s="7">
        <v>2135</v>
      </c>
      <c r="P671" s="7">
        <v>2090</v>
      </c>
      <c r="Q671" s="7">
        <v>2740</v>
      </c>
      <c r="R671" s="7">
        <v>2535</v>
      </c>
      <c r="S671" s="7">
        <v>2650</v>
      </c>
    </row>
    <row r="672">
      <c r="A672" s="14" t="s">
        <v>406</v>
      </c>
      <c r="B672" s="2" t="s">
        <v>399</v>
      </c>
      <c r="C672" s="7">
        <v>1815</v>
      </c>
      <c r="D672" s="7">
        <v>2270</v>
      </c>
      <c r="E672" s="7">
        <v>1945</v>
      </c>
      <c r="F672" s="7">
        <v>2300</v>
      </c>
      <c r="G672" s="7">
        <v>2195</v>
      </c>
      <c r="H672" s="7">
        <v>2320</v>
      </c>
      <c r="I672" s="7">
        <v>2205</v>
      </c>
      <c r="J672" s="7">
        <v>2300</v>
      </c>
      <c r="K672" s="7">
        <v>2340</v>
      </c>
      <c r="L672" s="7">
        <v>2040</v>
      </c>
      <c r="M672" s="7">
        <v>2240</v>
      </c>
      <c r="N672" s="7">
        <v>2090</v>
      </c>
      <c r="O672" s="7">
        <v>2050</v>
      </c>
      <c r="P672" s="7">
        <v>1950</v>
      </c>
      <c r="Q672" s="7">
        <v>2050</v>
      </c>
      <c r="R672" s="7">
        <v>2050</v>
      </c>
      <c r="S672" s="7">
        <v>2050</v>
      </c>
    </row>
    <row r="673">
      <c r="A673" s="14" t="s">
        <v>407</v>
      </c>
      <c r="B673" s="2" t="s">
        <v>399</v>
      </c>
      <c r="C673" s="7">
        <v>340</v>
      </c>
      <c r="D673" s="7">
        <v>375</v>
      </c>
      <c r="E673" s="7">
        <v>490</v>
      </c>
      <c r="F673" s="7">
        <v>505</v>
      </c>
      <c r="G673" s="7">
        <v>675</v>
      </c>
      <c r="H673" s="7">
        <v>710</v>
      </c>
      <c r="I673" s="7">
        <v>960</v>
      </c>
      <c r="J673" s="7">
        <v>865</v>
      </c>
      <c r="K673" s="7">
        <v>1205</v>
      </c>
      <c r="L673" s="7">
        <v>1215</v>
      </c>
      <c r="M673" s="7">
        <v>1165</v>
      </c>
      <c r="N673" s="7">
        <v>1285</v>
      </c>
      <c r="O673" s="7">
        <v>1590</v>
      </c>
      <c r="P673" s="7">
        <v>1545</v>
      </c>
      <c r="Q673" s="7">
        <v>1820</v>
      </c>
      <c r="R673" s="7">
        <v>1750</v>
      </c>
      <c r="S673" s="7">
        <v>1925</v>
      </c>
    </row>
    <row r="674">
      <c r="A674" s="14" t="s">
        <v>408</v>
      </c>
      <c r="B674" s="2" t="s">
        <v>399</v>
      </c>
      <c r="C674" s="7">
        <v>565</v>
      </c>
      <c r="D674" s="7">
        <v>685</v>
      </c>
      <c r="E674" s="7">
        <v>635</v>
      </c>
      <c r="F674" s="7">
        <v>730</v>
      </c>
      <c r="G674" s="7">
        <v>820</v>
      </c>
      <c r="H674" s="7">
        <v>785</v>
      </c>
      <c r="I674" s="7">
        <v>840</v>
      </c>
      <c r="J674" s="7">
        <v>935</v>
      </c>
      <c r="K674" s="7">
        <v>980</v>
      </c>
      <c r="L674" s="7">
        <v>1040</v>
      </c>
      <c r="M674" s="7">
        <v>1200</v>
      </c>
      <c r="N674" s="7">
        <v>1140</v>
      </c>
      <c r="O674" s="7">
        <v>1380</v>
      </c>
      <c r="P674" s="7">
        <v>1375</v>
      </c>
      <c r="Q674" s="7">
        <v>1540</v>
      </c>
      <c r="R674" s="7">
        <v>1350</v>
      </c>
      <c r="S674" s="7">
        <v>1450</v>
      </c>
    </row>
    <row r="675">
      <c r="A675" s="14" t="s">
        <v>409</v>
      </c>
      <c r="B675" s="2" t="s">
        <v>399</v>
      </c>
      <c r="C675" s="7">
        <v>2160</v>
      </c>
      <c r="D675" s="7">
        <v>2140</v>
      </c>
      <c r="E675" s="7">
        <v>2310</v>
      </c>
      <c r="F675" s="7">
        <v>2300</v>
      </c>
      <c r="G675" s="7">
        <v>2420</v>
      </c>
      <c r="H675" s="7">
        <v>2460</v>
      </c>
      <c r="I675" s="7">
        <v>2600</v>
      </c>
      <c r="J675" s="7">
        <v>2750</v>
      </c>
      <c r="K675" s="7">
        <v>2810</v>
      </c>
      <c r="L675" s="7">
        <v>3030</v>
      </c>
      <c r="M675" s="7">
        <v>3450</v>
      </c>
      <c r="N675" s="7">
        <v>3400</v>
      </c>
      <c r="O675" s="7">
        <v>3290</v>
      </c>
      <c r="P675" s="7">
        <v>3345</v>
      </c>
      <c r="Q675" s="7">
        <v>3540</v>
      </c>
      <c r="R675" s="7">
        <v>3500</v>
      </c>
      <c r="S675" s="7">
        <v>3700</v>
      </c>
    </row>
    <row r="676">
      <c r="A676" s="14" t="s">
        <v>410</v>
      </c>
      <c r="B676" s="2" t="s">
        <v>399</v>
      </c>
      <c r="C676" s="7">
        <v>250</v>
      </c>
      <c r="D676" s="7">
        <v>500</v>
      </c>
      <c r="E676" s="7">
        <v>450</v>
      </c>
      <c r="F676" s="7">
        <v>430</v>
      </c>
      <c r="G676" s="7">
        <v>480</v>
      </c>
      <c r="H676" s="7">
        <v>525</v>
      </c>
      <c r="I676" s="7">
        <v>630</v>
      </c>
      <c r="J676" s="7">
        <v>800</v>
      </c>
      <c r="K676" s="7">
        <v>825</v>
      </c>
      <c r="L676" s="7">
        <v>750</v>
      </c>
      <c r="M676" s="7">
        <v>400</v>
      </c>
      <c r="N676" s="7">
        <v>450</v>
      </c>
      <c r="O676" s="7">
        <v>900</v>
      </c>
      <c r="P676" s="7">
        <v>650</v>
      </c>
      <c r="Q676" s="7">
        <v>1175</v>
      </c>
      <c r="R676" s="7">
        <v>1175</v>
      </c>
      <c r="S676" s="7">
        <v>1275</v>
      </c>
    </row>
    <row r="677">
      <c r="A677" s="14" t="s">
        <v>411</v>
      </c>
      <c r="B677" s="2" t="s">
        <v>399</v>
      </c>
      <c r="C677" s="7">
        <v>1685</v>
      </c>
      <c r="D677" s="7">
        <v>1425</v>
      </c>
      <c r="E677" s="7">
        <v>1255</v>
      </c>
      <c r="F677" s="7">
        <v>1155</v>
      </c>
      <c r="G677" s="7">
        <v>1025</v>
      </c>
      <c r="H677" s="7">
        <v>970</v>
      </c>
      <c r="I677" s="7">
        <v>960</v>
      </c>
      <c r="J677" s="7">
        <v>1105</v>
      </c>
      <c r="K677" s="7">
        <v>1145</v>
      </c>
      <c r="L677" s="7">
        <v>1270</v>
      </c>
      <c r="M677" s="7">
        <v>1235</v>
      </c>
      <c r="N677" s="7">
        <v>1300</v>
      </c>
      <c r="O677" s="7">
        <v>1090</v>
      </c>
      <c r="P677" s="7">
        <v>1100</v>
      </c>
      <c r="Q677" s="7">
        <v>1070</v>
      </c>
      <c r="R677" s="7">
        <v>1110</v>
      </c>
      <c r="S677" s="7">
        <v>1150</v>
      </c>
    </row>
    <row r="678">
      <c r="A678" s="14" t="s">
        <v>412</v>
      </c>
      <c r="B678" s="2" t="s">
        <v>399</v>
      </c>
      <c r="C678" s="7">
        <v>555</v>
      </c>
      <c r="D678" s="7">
        <v>715</v>
      </c>
      <c r="E678" s="7">
        <v>705</v>
      </c>
      <c r="F678" s="7">
        <v>620</v>
      </c>
      <c r="G678" s="7">
        <v>635</v>
      </c>
      <c r="H678" s="7">
        <v>670</v>
      </c>
      <c r="I678" s="7">
        <v>660</v>
      </c>
      <c r="J678" s="7">
        <v>825</v>
      </c>
      <c r="K678" s="7">
        <v>845</v>
      </c>
      <c r="L678" s="7">
        <v>710</v>
      </c>
      <c r="M678" s="7">
        <v>880</v>
      </c>
      <c r="N678" s="7">
        <v>990</v>
      </c>
      <c r="O678" s="7">
        <v>805</v>
      </c>
      <c r="P678" s="7">
        <v>840</v>
      </c>
      <c r="Q678" s="7">
        <v>960</v>
      </c>
      <c r="R678" s="7">
        <v>910</v>
      </c>
      <c r="S678" s="7">
        <v>950</v>
      </c>
    </row>
    <row r="679">
      <c r="A679" s="14" t="s">
        <v>413</v>
      </c>
      <c r="B679" s="2" t="s">
        <v>399</v>
      </c>
      <c r="C679" s="7">
        <v>810</v>
      </c>
      <c r="D679" s="7">
        <v>750</v>
      </c>
      <c r="E679" s="7">
        <v>835</v>
      </c>
      <c r="F679" s="7">
        <v>685</v>
      </c>
      <c r="G679" s="7">
        <v>710</v>
      </c>
      <c r="H679" s="7">
        <v>741</v>
      </c>
      <c r="I679" s="7">
        <v>754</v>
      </c>
      <c r="J679" s="7">
        <v>775</v>
      </c>
      <c r="K679" s="7">
        <v>735</v>
      </c>
      <c r="L679" s="7">
        <v>859</v>
      </c>
      <c r="M679" s="7">
        <v>789</v>
      </c>
      <c r="N679" s="7">
        <v>906</v>
      </c>
      <c r="O679" s="7">
        <v>1019</v>
      </c>
      <c r="P679" s="7">
        <v>645</v>
      </c>
      <c r="Q679" s="7">
        <v>881</v>
      </c>
      <c r="R679" s="7">
        <v>815</v>
      </c>
      <c r="S679" s="7">
        <v>865</v>
      </c>
    </row>
    <row r="680">
      <c r="A680" s="14" t="s">
        <v>414</v>
      </c>
      <c r="B680" s="2" t="s">
        <v>399</v>
      </c>
      <c r="C680" s="7">
        <v>305</v>
      </c>
      <c r="D680" s="7">
        <v>305</v>
      </c>
      <c r="E680" s="7">
        <v>365</v>
      </c>
      <c r="F680" s="7">
        <v>380</v>
      </c>
      <c r="G680" s="7">
        <v>445</v>
      </c>
      <c r="H680" s="7">
        <v>535</v>
      </c>
      <c r="I680" s="7">
        <v>570</v>
      </c>
      <c r="J680" s="7">
        <v>590</v>
      </c>
      <c r="K680" s="7">
        <v>610</v>
      </c>
      <c r="L680" s="7">
        <v>690</v>
      </c>
      <c r="M680" s="7">
        <v>660</v>
      </c>
      <c r="N680" s="7">
        <v>695</v>
      </c>
      <c r="O680" s="7">
        <v>690</v>
      </c>
      <c r="P680" s="7">
        <v>740</v>
      </c>
      <c r="Q680" s="7">
        <v>820</v>
      </c>
      <c r="R680" s="7">
        <v>810</v>
      </c>
      <c r="S680" s="7">
        <v>860</v>
      </c>
    </row>
    <row r="681">
      <c r="A681" s="14" t="s">
        <v>415</v>
      </c>
      <c r="B681" s="2" t="s">
        <v>399</v>
      </c>
      <c r="C681" s="7">
        <v>340</v>
      </c>
      <c r="D681" s="7">
        <v>350</v>
      </c>
      <c r="E681" s="7">
        <v>570</v>
      </c>
      <c r="F681" s="7">
        <v>550</v>
      </c>
      <c r="G681" s="7">
        <v>470</v>
      </c>
      <c r="H681" s="7">
        <v>580</v>
      </c>
      <c r="I681" s="7">
        <v>625</v>
      </c>
      <c r="J681" s="7">
        <v>775</v>
      </c>
      <c r="K681" s="7">
        <v>835</v>
      </c>
      <c r="L681" s="7">
        <v>770</v>
      </c>
      <c r="M681" s="7">
        <v>845</v>
      </c>
      <c r="N681" s="7">
        <v>730</v>
      </c>
      <c r="O681" s="7">
        <v>725</v>
      </c>
      <c r="P681" s="7">
        <v>845</v>
      </c>
      <c r="Q681" s="7">
        <v>780</v>
      </c>
      <c r="R681" s="7">
        <v>770</v>
      </c>
      <c r="S681" s="7">
        <v>825</v>
      </c>
    </row>
    <row r="682">
      <c r="A682" s="14" t="s">
        <v>416</v>
      </c>
      <c r="B682" s="2" t="s">
        <v>399</v>
      </c>
      <c r="C682" s="7">
        <v>795</v>
      </c>
      <c r="D682" s="7">
        <v>760</v>
      </c>
      <c r="E682" s="7">
        <v>740</v>
      </c>
      <c r="F682" s="7">
        <v>775</v>
      </c>
      <c r="G682" s="7">
        <v>775</v>
      </c>
      <c r="H682" s="7">
        <v>785</v>
      </c>
      <c r="I682" s="7">
        <v>805</v>
      </c>
      <c r="J682" s="7">
        <v>740</v>
      </c>
      <c r="K682" s="7">
        <v>800</v>
      </c>
      <c r="L682" s="7">
        <v>795</v>
      </c>
      <c r="M682" s="7">
        <v>815</v>
      </c>
      <c r="N682" s="7">
        <v>750</v>
      </c>
      <c r="O682" s="7">
        <v>725</v>
      </c>
      <c r="P682" s="7">
        <v>730</v>
      </c>
      <c r="Q682" s="7">
        <v>805</v>
      </c>
      <c r="R682" s="7">
        <v>795</v>
      </c>
      <c r="S682" s="7">
        <v>820</v>
      </c>
    </row>
    <row r="683">
      <c r="A683" s="14" t="s">
        <v>417</v>
      </c>
      <c r="B683" s="2" t="s">
        <v>399</v>
      </c>
      <c r="C683" s="7">
        <v>245</v>
      </c>
      <c r="D683" s="7">
        <v>260</v>
      </c>
      <c r="E683" s="7">
        <v>200</v>
      </c>
      <c r="F683" s="7">
        <v>190</v>
      </c>
      <c r="G683" s="7">
        <v>145</v>
      </c>
      <c r="H683" s="7">
        <v>295</v>
      </c>
      <c r="I683" s="7">
        <v>405</v>
      </c>
      <c r="J683" s="7">
        <v>710</v>
      </c>
      <c r="K683" s="7">
        <v>515</v>
      </c>
      <c r="L683" s="7">
        <v>305</v>
      </c>
      <c r="M683" s="7">
        <v>425</v>
      </c>
      <c r="N683" s="7">
        <v>635</v>
      </c>
      <c r="O683" s="7">
        <v>800</v>
      </c>
      <c r="P683" s="7">
        <v>1040</v>
      </c>
      <c r="Q683" s="7">
        <v>855</v>
      </c>
      <c r="R683" s="7">
        <v>700</v>
      </c>
      <c r="S683" s="7">
        <v>775</v>
      </c>
    </row>
    <row r="684">
      <c r="A684" s="14" t="s">
        <v>418</v>
      </c>
      <c r="B684" s="2" t="s">
        <v>399</v>
      </c>
      <c r="C684" s="7">
        <v>700</v>
      </c>
      <c r="D684" s="7">
        <v>755</v>
      </c>
      <c r="E684" s="7">
        <v>740</v>
      </c>
      <c r="F684" s="7">
        <v>790</v>
      </c>
      <c r="G684" s="7">
        <v>605</v>
      </c>
      <c r="H684" s="7">
        <v>715</v>
      </c>
      <c r="I684" s="7">
        <v>625</v>
      </c>
      <c r="J684" s="7">
        <v>725</v>
      </c>
      <c r="K684" s="7">
        <v>800</v>
      </c>
      <c r="L684" s="7">
        <v>805</v>
      </c>
      <c r="M684" s="7">
        <v>835</v>
      </c>
      <c r="N684" s="7">
        <v>735</v>
      </c>
      <c r="O684" s="7">
        <v>725</v>
      </c>
      <c r="P684" s="7">
        <v>740</v>
      </c>
      <c r="Q684" s="7">
        <v>675</v>
      </c>
      <c r="R684" s="7">
        <v>680</v>
      </c>
      <c r="S684" s="7">
        <v>725</v>
      </c>
    </row>
    <row r="685">
      <c r="A685" s="14" t="s">
        <v>419</v>
      </c>
      <c r="B685" s="2" t="s">
        <v>399</v>
      </c>
      <c r="C685" s="7">
        <v>535</v>
      </c>
      <c r="D685" s="7">
        <v>500</v>
      </c>
      <c r="E685" s="7">
        <v>545</v>
      </c>
      <c r="F685" s="7">
        <v>545</v>
      </c>
      <c r="G685" s="7">
        <v>565</v>
      </c>
      <c r="H685" s="7">
        <v>600</v>
      </c>
      <c r="I685" s="7">
        <v>585</v>
      </c>
      <c r="J685" s="7">
        <v>715</v>
      </c>
      <c r="K685" s="7">
        <v>710</v>
      </c>
      <c r="L685" s="7">
        <v>660</v>
      </c>
      <c r="M685" s="7">
        <v>715</v>
      </c>
      <c r="N685" s="7">
        <v>880</v>
      </c>
      <c r="O685" s="7">
        <v>650</v>
      </c>
      <c r="P685" s="7">
        <v>620</v>
      </c>
      <c r="Q685" s="7">
        <v>750</v>
      </c>
      <c r="R685" s="7">
        <v>685</v>
      </c>
      <c r="S685" s="7">
        <v>725</v>
      </c>
    </row>
    <row r="686">
      <c r="A686" s="14" t="s">
        <v>420</v>
      </c>
      <c r="B686" s="2" t="s">
        <v>399</v>
      </c>
      <c r="C686" s="7">
        <v>190</v>
      </c>
      <c r="D686" s="7">
        <v>215</v>
      </c>
      <c r="E686" s="7">
        <v>175</v>
      </c>
      <c r="F686" s="7">
        <v>165</v>
      </c>
      <c r="G686" s="7">
        <v>125</v>
      </c>
      <c r="H686" s="7">
        <v>130</v>
      </c>
      <c r="I686" s="7">
        <v>100</v>
      </c>
      <c r="J686" s="7">
        <v>180</v>
      </c>
      <c r="K686" s="7">
        <v>150</v>
      </c>
      <c r="L686" s="7">
        <v>225</v>
      </c>
      <c r="M686" s="7">
        <v>210</v>
      </c>
      <c r="N686" s="7">
        <v>325</v>
      </c>
      <c r="O686" s="7">
        <v>500</v>
      </c>
      <c r="P686" s="7">
        <v>335</v>
      </c>
      <c r="Q686" s="7">
        <v>520</v>
      </c>
      <c r="R686" s="7">
        <v>560</v>
      </c>
      <c r="S686" s="7">
        <v>575</v>
      </c>
    </row>
    <row r="687">
      <c r="A687" s="14" t="s">
        <v>421</v>
      </c>
      <c r="B687" s="2" t="s">
        <v>399</v>
      </c>
      <c r="C687" s="7">
        <v>285</v>
      </c>
      <c r="D687" s="7">
        <v>310</v>
      </c>
      <c r="E687" s="7">
        <v>305</v>
      </c>
      <c r="F687" s="7">
        <v>305</v>
      </c>
      <c r="G687" s="7">
        <v>330</v>
      </c>
      <c r="H687" s="7">
        <v>358</v>
      </c>
      <c r="I687" s="7">
        <v>405</v>
      </c>
      <c r="J687" s="7">
        <v>425</v>
      </c>
      <c r="K687" s="7">
        <v>435</v>
      </c>
      <c r="L687" s="7">
        <v>450</v>
      </c>
      <c r="M687" s="7">
        <v>525</v>
      </c>
      <c r="N687" s="7">
        <v>515</v>
      </c>
      <c r="O687" s="7">
        <v>515</v>
      </c>
      <c r="P687" s="7">
        <v>462</v>
      </c>
      <c r="Q687" s="7">
        <v>505</v>
      </c>
      <c r="R687" s="7">
        <v>515</v>
      </c>
      <c r="S687" s="7">
        <v>540</v>
      </c>
    </row>
    <row r="688">
      <c r="A688" s="14" t="s">
        <v>422</v>
      </c>
      <c r="B688" s="2" t="s">
        <v>399</v>
      </c>
      <c r="C688" s="7">
        <v>300</v>
      </c>
      <c r="D688" s="7">
        <v>340</v>
      </c>
      <c r="E688" s="7">
        <v>340</v>
      </c>
      <c r="F688" s="7">
        <v>350</v>
      </c>
      <c r="G688" s="7">
        <v>350</v>
      </c>
      <c r="H688" s="7">
        <v>360</v>
      </c>
      <c r="I688" s="7">
        <v>335</v>
      </c>
      <c r="J688" s="7">
        <v>340</v>
      </c>
      <c r="K688" s="7">
        <v>345</v>
      </c>
      <c r="L688" s="7">
        <v>330</v>
      </c>
      <c r="M688" s="7">
        <v>345</v>
      </c>
      <c r="N688" s="7">
        <v>305</v>
      </c>
      <c r="O688" s="7">
        <v>305</v>
      </c>
      <c r="P688" s="7">
        <v>300</v>
      </c>
      <c r="Q688" s="7">
        <v>290</v>
      </c>
      <c r="R688" s="7">
        <v>300</v>
      </c>
      <c r="S688" s="7">
        <v>300</v>
      </c>
    </row>
    <row r="689">
      <c r="A689" s="14" t="s">
        <v>423</v>
      </c>
      <c r="B689" s="2" t="s">
        <v>399</v>
      </c>
      <c r="C689" s="7">
        <v>200</v>
      </c>
      <c r="D689" s="7">
        <v>165</v>
      </c>
      <c r="E689" s="7">
        <v>250</v>
      </c>
      <c r="F689" s="7">
        <v>210</v>
      </c>
      <c r="G689" s="7">
        <v>205</v>
      </c>
      <c r="H689" s="7">
        <v>250</v>
      </c>
      <c r="I689" s="7">
        <v>215</v>
      </c>
      <c r="J689" s="7">
        <v>245</v>
      </c>
      <c r="K689" s="7">
        <v>240</v>
      </c>
      <c r="L689" s="7">
        <v>245</v>
      </c>
      <c r="M689" s="7">
        <v>215</v>
      </c>
      <c r="N689" s="7">
        <v>200</v>
      </c>
      <c r="O689" s="7">
        <v>260</v>
      </c>
      <c r="P689" s="7">
        <v>205</v>
      </c>
      <c r="Q689" s="7">
        <v>250</v>
      </c>
      <c r="R689" s="7">
        <v>230</v>
      </c>
      <c r="S689" s="7">
        <v>250</v>
      </c>
    </row>
    <row r="690">
      <c r="A690" s="14" t="s">
        <v>424</v>
      </c>
      <c r="B690" s="2" t="s">
        <v>399</v>
      </c>
      <c r="C690" s="7">
        <v>190</v>
      </c>
      <c r="D690" s="7">
        <v>170</v>
      </c>
      <c r="E690" s="7">
        <v>140</v>
      </c>
      <c r="F690" s="7">
        <v>200</v>
      </c>
      <c r="G690" s="7">
        <v>180</v>
      </c>
      <c r="H690" s="7">
        <v>190</v>
      </c>
      <c r="I690" s="7">
        <v>170</v>
      </c>
      <c r="J690" s="7">
        <v>100</v>
      </c>
      <c r="K690" s="7">
        <v>200</v>
      </c>
      <c r="L690" s="7">
        <v>200</v>
      </c>
      <c r="M690" s="7">
        <v>180</v>
      </c>
      <c r="N690" s="7">
        <v>220</v>
      </c>
      <c r="O690" s="7">
        <v>240</v>
      </c>
      <c r="P690" s="7">
        <v>180</v>
      </c>
      <c r="Q690" s="7">
        <v>200</v>
      </c>
      <c r="R690" s="7">
        <v>220</v>
      </c>
      <c r="S690" s="7">
        <v>230</v>
      </c>
    </row>
    <row r="691">
      <c r="A691" s="14" t="s">
        <v>425</v>
      </c>
      <c r="B691" s="2" t="s">
        <v>399</v>
      </c>
      <c r="C691" s="7">
        <v>85</v>
      </c>
      <c r="D691" s="7">
        <v>100</v>
      </c>
      <c r="E691" s="7">
        <v>75</v>
      </c>
      <c r="F691" s="7">
        <v>90</v>
      </c>
      <c r="G691" s="7">
        <v>100</v>
      </c>
      <c r="H691" s="7">
        <v>100</v>
      </c>
      <c r="I691" s="7">
        <v>105</v>
      </c>
      <c r="J691" s="7">
        <v>105</v>
      </c>
      <c r="K691" s="7">
        <v>100</v>
      </c>
      <c r="L691" s="7">
        <v>90</v>
      </c>
      <c r="M691" s="7">
        <v>100</v>
      </c>
      <c r="N691" s="7">
        <v>85</v>
      </c>
      <c r="O691" s="7">
        <v>35</v>
      </c>
      <c r="P691" s="7">
        <v>20</v>
      </c>
      <c r="Q691" s="7">
        <v>80</v>
      </c>
      <c r="R691" s="7">
        <v>110</v>
      </c>
      <c r="S691" s="7">
        <v>125</v>
      </c>
    </row>
    <row r="692">
      <c r="A692" s="14" t="s">
        <v>426</v>
      </c>
      <c r="B692" s="2" t="s">
        <v>399</v>
      </c>
      <c r="C692" s="7">
        <v>25</v>
      </c>
      <c r="D692" s="7">
        <v>150</v>
      </c>
      <c r="E692" s="7">
        <v>115</v>
      </c>
      <c r="F692" s="7">
        <v>120</v>
      </c>
      <c r="G692" s="7">
        <v>150</v>
      </c>
      <c r="H692" s="7">
        <v>140</v>
      </c>
      <c r="I692" s="7">
        <v>105</v>
      </c>
      <c r="J692" s="7">
        <v>95</v>
      </c>
      <c r="K692" s="7">
        <v>190</v>
      </c>
      <c r="L692" s="7">
        <v>100</v>
      </c>
      <c r="M692" s="7">
        <v>90</v>
      </c>
      <c r="N692" s="7">
        <v>100</v>
      </c>
      <c r="O692" s="7">
        <v>110</v>
      </c>
      <c r="P692" s="7">
        <v>95</v>
      </c>
      <c r="Q692" s="7">
        <v>100</v>
      </c>
      <c r="R692" s="7">
        <v>100</v>
      </c>
      <c r="S692" s="7">
        <v>110</v>
      </c>
    </row>
    <row r="693">
      <c r="A693" s="14" t="s">
        <v>427</v>
      </c>
      <c r="B693" s="2" t="s">
        <v>399</v>
      </c>
      <c r="C693" s="7">
        <v>0</v>
      </c>
      <c r="D693" s="7">
        <v>0</v>
      </c>
      <c r="E693" s="7">
        <v>0</v>
      </c>
      <c r="F693" s="7">
        <v>0</v>
      </c>
      <c r="G693" s="7">
        <v>100</v>
      </c>
      <c r="H693" s="7">
        <v>105</v>
      </c>
      <c r="I693" s="7">
        <v>95</v>
      </c>
      <c r="J693" s="7">
        <v>90</v>
      </c>
      <c r="K693" s="7">
        <v>45</v>
      </c>
      <c r="L693" s="7">
        <v>80</v>
      </c>
      <c r="M693" s="7">
        <v>85</v>
      </c>
      <c r="N693" s="7">
        <v>50</v>
      </c>
      <c r="O693" s="7">
        <v>15</v>
      </c>
      <c r="P693" s="7">
        <v>5</v>
      </c>
      <c r="Q693" s="7">
        <v>35</v>
      </c>
      <c r="R693" s="7">
        <v>75</v>
      </c>
      <c r="S693" s="7">
        <v>100</v>
      </c>
    </row>
    <row r="694">
      <c r="A694" s="14" t="s">
        <v>428</v>
      </c>
      <c r="B694" s="2" t="s">
        <v>399</v>
      </c>
      <c r="C694" s="7">
        <v>55</v>
      </c>
      <c r="D694" s="7">
        <v>60</v>
      </c>
      <c r="E694" s="7">
        <v>60</v>
      </c>
      <c r="F694" s="7">
        <v>75</v>
      </c>
      <c r="G694" s="7">
        <v>75</v>
      </c>
      <c r="H694" s="7">
        <v>75</v>
      </c>
      <c r="I694" s="7">
        <v>80</v>
      </c>
      <c r="J694" s="7">
        <v>80</v>
      </c>
      <c r="K694" s="7">
        <v>90</v>
      </c>
      <c r="L694" s="7">
        <v>80</v>
      </c>
      <c r="M694" s="7">
        <v>85</v>
      </c>
      <c r="N694" s="7">
        <v>95</v>
      </c>
      <c r="O694" s="7">
        <v>95</v>
      </c>
      <c r="P694" s="7">
        <v>80</v>
      </c>
      <c r="Q694" s="7">
        <v>75</v>
      </c>
      <c r="R694" s="7">
        <v>80</v>
      </c>
      <c r="S694" s="7">
        <v>90</v>
      </c>
    </row>
    <row r="695">
      <c r="A695" s="14" t="s">
        <v>429</v>
      </c>
      <c r="B695" s="2" t="s">
        <v>399</v>
      </c>
      <c r="C695" s="7">
        <v>105</v>
      </c>
      <c r="D695" s="7">
        <v>110</v>
      </c>
      <c r="E695" s="7">
        <v>120</v>
      </c>
      <c r="F695" s="7">
        <v>110</v>
      </c>
      <c r="G695" s="7">
        <v>100</v>
      </c>
      <c r="H695" s="7">
        <v>105</v>
      </c>
      <c r="I695" s="7">
        <v>105</v>
      </c>
      <c r="J695" s="7">
        <v>100</v>
      </c>
      <c r="K695" s="7">
        <v>105</v>
      </c>
      <c r="L695" s="7">
        <v>100</v>
      </c>
      <c r="M695" s="7">
        <v>90</v>
      </c>
      <c r="N695" s="7">
        <v>77</v>
      </c>
      <c r="O695" s="7">
        <v>85</v>
      </c>
      <c r="P695" s="7">
        <v>85</v>
      </c>
      <c r="Q695" s="7">
        <v>75</v>
      </c>
      <c r="R695" s="7">
        <v>75</v>
      </c>
      <c r="S695" s="7">
        <v>80</v>
      </c>
    </row>
    <row r="696">
      <c r="A696" s="14" t="s">
        <v>430</v>
      </c>
      <c r="B696" s="2" t="s">
        <v>399</v>
      </c>
      <c r="C696" s="7">
        <v>50</v>
      </c>
      <c r="D696" s="7">
        <v>90</v>
      </c>
      <c r="E696" s="7">
        <v>125</v>
      </c>
      <c r="F696" s="7">
        <v>135</v>
      </c>
      <c r="G696" s="7">
        <v>105</v>
      </c>
      <c r="H696" s="7">
        <v>120</v>
      </c>
      <c r="I696" s="7">
        <v>115</v>
      </c>
      <c r="J696" s="7">
        <v>110</v>
      </c>
      <c r="K696" s="7">
        <v>95</v>
      </c>
      <c r="L696" s="7">
        <v>90</v>
      </c>
      <c r="M696" s="7">
        <v>70</v>
      </c>
      <c r="N696" s="7">
        <v>65</v>
      </c>
      <c r="O696" s="7">
        <v>60</v>
      </c>
      <c r="P696" s="7">
        <v>70</v>
      </c>
      <c r="Q696" s="7">
        <v>65</v>
      </c>
      <c r="R696" s="7">
        <v>70</v>
      </c>
      <c r="S696" s="7">
        <v>75</v>
      </c>
    </row>
    <row r="697">
      <c r="A697" s="14" t="s">
        <v>431</v>
      </c>
      <c r="B697" s="2" t="s">
        <v>399</v>
      </c>
      <c r="C697" s="7">
        <v>15</v>
      </c>
      <c r="D697" s="7">
        <v>15</v>
      </c>
      <c r="E697" s="7">
        <v>20</v>
      </c>
      <c r="F697" s="7">
        <v>20</v>
      </c>
      <c r="G697" s="7">
        <v>15</v>
      </c>
      <c r="H697" s="7">
        <v>20</v>
      </c>
      <c r="I697" s="7">
        <v>15</v>
      </c>
      <c r="J697" s="7">
        <v>20</v>
      </c>
      <c r="K697" s="7">
        <v>20</v>
      </c>
      <c r="L697" s="7">
        <v>20</v>
      </c>
      <c r="M697" s="7">
        <v>35</v>
      </c>
      <c r="N697" s="7">
        <v>40</v>
      </c>
      <c r="O697" s="7">
        <v>35</v>
      </c>
      <c r="P697" s="7">
        <v>35</v>
      </c>
      <c r="Q697" s="7">
        <v>35</v>
      </c>
      <c r="R697" s="7">
        <v>35</v>
      </c>
      <c r="S697" s="7">
        <v>50</v>
      </c>
    </row>
    <row r="698">
      <c r="A698" s="14" t="s">
        <v>432</v>
      </c>
      <c r="B698" s="2" t="s">
        <v>399</v>
      </c>
      <c r="C698" s="7">
        <v>155</v>
      </c>
      <c r="D698" s="7">
        <v>90</v>
      </c>
      <c r="E698" s="7">
        <v>70</v>
      </c>
      <c r="F698" s="7">
        <v>60</v>
      </c>
      <c r="G698" s="7">
        <v>50</v>
      </c>
      <c r="H698" s="7">
        <v>45</v>
      </c>
      <c r="I698" s="7">
        <v>45</v>
      </c>
      <c r="J698" s="7">
        <v>40</v>
      </c>
      <c r="K698" s="7">
        <v>50</v>
      </c>
      <c r="L698" s="7">
        <v>35</v>
      </c>
      <c r="M698" s="7">
        <v>40</v>
      </c>
      <c r="N698" s="7">
        <v>40</v>
      </c>
      <c r="O698" s="7">
        <v>40</v>
      </c>
      <c r="P698" s="7">
        <v>40</v>
      </c>
      <c r="Q698" s="7">
        <v>45</v>
      </c>
      <c r="R698" s="7">
        <v>40</v>
      </c>
      <c r="S698" s="7">
        <v>45</v>
      </c>
    </row>
    <row r="699">
      <c r="A699" s="14" t="s">
        <v>433</v>
      </c>
      <c r="B699" s="2" t="s">
        <v>399</v>
      </c>
      <c r="C699" s="7">
        <v>0</v>
      </c>
      <c r="D699" s="7">
        <v>0</v>
      </c>
      <c r="E699" s="7">
        <v>0</v>
      </c>
      <c r="F699" s="7">
        <v>0</v>
      </c>
      <c r="G699" s="7">
        <v>0</v>
      </c>
      <c r="H699" s="7">
        <v>0</v>
      </c>
      <c r="I699" s="7">
        <v>0</v>
      </c>
      <c r="J699" s="7">
        <v>0</v>
      </c>
      <c r="K699" s="7">
        <v>0</v>
      </c>
      <c r="L699" s="7">
        <v>0</v>
      </c>
      <c r="M699" s="7">
        <v>0</v>
      </c>
      <c r="N699" s="7">
        <v>0</v>
      </c>
      <c r="O699" s="7">
        <v>0</v>
      </c>
      <c r="P699" s="7">
        <v>0</v>
      </c>
      <c r="Q699" s="7">
        <v>0</v>
      </c>
      <c r="R699" s="7">
        <v>0</v>
      </c>
      <c r="S699" s="7">
        <v>0</v>
      </c>
    </row>
    <row r="700">
      <c r="A700" s="14" t="s">
        <v>434</v>
      </c>
      <c r="B700" s="2" t="s">
        <v>399</v>
      </c>
      <c r="C700" s="7">
        <v>0</v>
      </c>
      <c r="D700" s="7">
        <v>0</v>
      </c>
      <c r="E700" s="7">
        <v>0</v>
      </c>
      <c r="F700" s="7">
        <v>0</v>
      </c>
      <c r="G700" s="7">
        <v>0</v>
      </c>
      <c r="H700" s="7">
        <v>0</v>
      </c>
      <c r="I700" s="7">
        <v>0</v>
      </c>
      <c r="J700" s="7">
        <v>0</v>
      </c>
      <c r="K700" s="7">
        <v>0</v>
      </c>
      <c r="L700" s="7">
        <v>0</v>
      </c>
      <c r="M700" s="7">
        <v>0</v>
      </c>
      <c r="N700" s="7">
        <v>0</v>
      </c>
      <c r="O700" s="7">
        <v>0</v>
      </c>
      <c r="P700" s="7">
        <v>0</v>
      </c>
      <c r="Q700" s="7">
        <v>0</v>
      </c>
      <c r="R700" s="7">
        <v>0</v>
      </c>
      <c r="S700" s="7">
        <v>0</v>
      </c>
    </row>
    <row r="701">
      <c r="A701" s="14" t="s">
        <v>435</v>
      </c>
      <c r="B701" s="2" t="s">
        <v>399</v>
      </c>
      <c r="C701" s="7">
        <v>0</v>
      </c>
      <c r="D701" s="7">
        <v>0</v>
      </c>
      <c r="E701" s="7">
        <v>0</v>
      </c>
      <c r="F701" s="7">
        <v>0</v>
      </c>
      <c r="G701" s="7">
        <v>0</v>
      </c>
      <c r="H701" s="7">
        <v>0</v>
      </c>
      <c r="I701" s="7">
        <v>0</v>
      </c>
      <c r="J701" s="7">
        <v>0</v>
      </c>
      <c r="K701" s="7">
        <v>0</v>
      </c>
      <c r="L701" s="7">
        <v>0</v>
      </c>
      <c r="M701" s="7">
        <v>0</v>
      </c>
      <c r="N701" s="7">
        <v>0</v>
      </c>
      <c r="O701" s="7">
        <v>0</v>
      </c>
      <c r="P701" s="7">
        <v>0</v>
      </c>
      <c r="Q701" s="7">
        <v>0</v>
      </c>
      <c r="R701" s="7">
        <v>0</v>
      </c>
      <c r="S701" s="7">
        <v>0</v>
      </c>
    </row>
    <row r="702">
      <c r="A702" s="14" t="s">
        <v>436</v>
      </c>
      <c r="B702" s="2" t="s">
        <v>399</v>
      </c>
      <c r="C702" s="7">
        <v>0</v>
      </c>
      <c r="D702" s="7">
        <v>0</v>
      </c>
      <c r="E702" s="7">
        <v>0</v>
      </c>
      <c r="F702" s="7">
        <v>0</v>
      </c>
      <c r="G702" s="7">
        <v>0</v>
      </c>
      <c r="H702" s="7">
        <v>0</v>
      </c>
      <c r="I702" s="7">
        <v>0</v>
      </c>
      <c r="J702" s="7">
        <v>0</v>
      </c>
      <c r="K702" s="7">
        <v>0</v>
      </c>
      <c r="L702" s="7">
        <v>0</v>
      </c>
      <c r="M702" s="7">
        <v>0</v>
      </c>
      <c r="N702" s="7">
        <v>0</v>
      </c>
      <c r="O702" s="7">
        <v>0</v>
      </c>
      <c r="P702" s="7">
        <v>0</v>
      </c>
      <c r="Q702" s="7">
        <v>0</v>
      </c>
      <c r="R702" s="7">
        <v>0</v>
      </c>
      <c r="S702" s="7">
        <v>0</v>
      </c>
    </row>
    <row r="703">
      <c r="A703" s="14" t="s">
        <v>437</v>
      </c>
      <c r="B703" s="2" t="s">
        <v>399</v>
      </c>
      <c r="C703" s="7">
        <v>0</v>
      </c>
      <c r="D703" s="7">
        <v>0</v>
      </c>
      <c r="E703" s="7">
        <v>0</v>
      </c>
      <c r="F703" s="7">
        <v>0</v>
      </c>
      <c r="G703" s="7">
        <v>0</v>
      </c>
      <c r="H703" s="7">
        <v>0</v>
      </c>
      <c r="I703" s="7">
        <v>0</v>
      </c>
      <c r="J703" s="7">
        <v>0</v>
      </c>
      <c r="K703" s="7">
        <v>0</v>
      </c>
      <c r="L703" s="7">
        <v>0</v>
      </c>
      <c r="M703" s="7">
        <v>0</v>
      </c>
      <c r="N703" s="7">
        <v>0</v>
      </c>
      <c r="O703" s="7">
        <v>0</v>
      </c>
      <c r="P703" s="7">
        <v>0</v>
      </c>
      <c r="Q703" s="7">
        <v>0</v>
      </c>
      <c r="R703" s="7">
        <v>0</v>
      </c>
      <c r="S703" s="7">
        <v>0</v>
      </c>
    </row>
    <row r="704">
      <c r="A704" s="14" t="s">
        <v>438</v>
      </c>
      <c r="B704" s="2" t="s">
        <v>399</v>
      </c>
      <c r="C704" s="7">
        <v>0</v>
      </c>
      <c r="D704" s="7">
        <v>0</v>
      </c>
      <c r="E704" s="7">
        <v>0</v>
      </c>
      <c r="F704" s="7">
        <v>0</v>
      </c>
      <c r="G704" s="7">
        <v>0</v>
      </c>
      <c r="H704" s="7">
        <v>0</v>
      </c>
      <c r="I704" s="7">
        <v>0</v>
      </c>
      <c r="J704" s="7">
        <v>0</v>
      </c>
      <c r="K704" s="7">
        <v>0</v>
      </c>
      <c r="L704" s="7">
        <v>0</v>
      </c>
      <c r="M704" s="7">
        <v>0</v>
      </c>
      <c r="N704" s="7">
        <v>0</v>
      </c>
      <c r="O704" s="7">
        <v>0</v>
      </c>
      <c r="P704" s="7">
        <v>0</v>
      </c>
      <c r="Q704" s="7">
        <v>0</v>
      </c>
      <c r="R704" s="7">
        <v>0</v>
      </c>
      <c r="S704" s="7">
        <v>0</v>
      </c>
    </row>
    <row r="705">
      <c r="A705" s="14" t="s">
        <v>439</v>
      </c>
      <c r="B705" s="2" t="s">
        <v>399</v>
      </c>
      <c r="C705" s="7">
        <v>0</v>
      </c>
      <c r="D705" s="7">
        <v>0</v>
      </c>
      <c r="E705" s="7">
        <v>0</v>
      </c>
      <c r="F705" s="7">
        <v>0</v>
      </c>
      <c r="G705" s="7">
        <v>0</v>
      </c>
      <c r="H705" s="7">
        <v>0</v>
      </c>
      <c r="I705" s="7">
        <v>0</v>
      </c>
      <c r="J705" s="7">
        <v>0</v>
      </c>
      <c r="K705" s="7">
        <v>0</v>
      </c>
      <c r="L705" s="7">
        <v>0</v>
      </c>
      <c r="M705" s="7">
        <v>0</v>
      </c>
      <c r="N705" s="7">
        <v>0</v>
      </c>
      <c r="O705" s="7">
        <v>0</v>
      </c>
      <c r="P705" s="7">
        <v>0</v>
      </c>
      <c r="Q705" s="7">
        <v>0</v>
      </c>
      <c r="R705" s="7">
        <v>0</v>
      </c>
      <c r="S705" s="7">
        <v>0</v>
      </c>
    </row>
    <row r="706">
      <c r="A706" s="14" t="s">
        <v>440</v>
      </c>
      <c r="B706" s="2" t="s">
        <v>399</v>
      </c>
      <c r="C706" s="7">
        <v>0</v>
      </c>
      <c r="D706" s="7">
        <v>0</v>
      </c>
      <c r="E706" s="7">
        <v>0</v>
      </c>
      <c r="F706" s="7">
        <v>0</v>
      </c>
      <c r="G706" s="7">
        <v>0</v>
      </c>
      <c r="H706" s="7">
        <v>0</v>
      </c>
      <c r="I706" s="7">
        <v>0</v>
      </c>
      <c r="J706" s="7">
        <v>0</v>
      </c>
      <c r="K706" s="7">
        <v>0</v>
      </c>
      <c r="L706" s="7">
        <v>0</v>
      </c>
      <c r="M706" s="7">
        <v>0</v>
      </c>
      <c r="N706" s="7">
        <v>0</v>
      </c>
      <c r="O706" s="7">
        <v>0</v>
      </c>
      <c r="P706" s="7">
        <v>0</v>
      </c>
      <c r="Q706" s="7">
        <v>0</v>
      </c>
      <c r="R706" s="7">
        <v>0</v>
      </c>
      <c r="S706" s="7">
        <v>0</v>
      </c>
    </row>
    <row r="707">
      <c r="A707" s="14" t="s">
        <v>441</v>
      </c>
      <c r="B707" s="2" t="s">
        <v>399</v>
      </c>
      <c r="C707" s="7">
        <v>0</v>
      </c>
      <c r="D707" s="7">
        <v>0</v>
      </c>
      <c r="E707" s="7">
        <v>0</v>
      </c>
      <c r="F707" s="7">
        <v>0</v>
      </c>
      <c r="G707" s="7">
        <v>0</v>
      </c>
      <c r="H707" s="7">
        <v>0</v>
      </c>
      <c r="I707" s="7">
        <v>0</v>
      </c>
      <c r="J707" s="7">
        <v>0</v>
      </c>
      <c r="K707" s="7">
        <v>0</v>
      </c>
      <c r="L707" s="7">
        <v>0</v>
      </c>
      <c r="M707" s="7">
        <v>0</v>
      </c>
      <c r="N707" s="7">
        <v>0</v>
      </c>
      <c r="O707" s="7">
        <v>0</v>
      </c>
      <c r="P707" s="7">
        <v>0</v>
      </c>
      <c r="Q707" s="7">
        <v>0</v>
      </c>
      <c r="R707" s="7">
        <v>0</v>
      </c>
      <c r="S707" s="7">
        <v>0</v>
      </c>
    </row>
    <row r="708">
      <c r="A708" s="14" t="s">
        <v>442</v>
      </c>
      <c r="B708" s="2" t="s">
        <v>399</v>
      </c>
      <c r="C708" s="7">
        <v>0</v>
      </c>
      <c r="D708" s="7">
        <v>0</v>
      </c>
      <c r="E708" s="7">
        <v>0</v>
      </c>
      <c r="F708" s="7">
        <v>0</v>
      </c>
      <c r="G708" s="7">
        <v>0</v>
      </c>
      <c r="H708" s="7">
        <v>0</v>
      </c>
      <c r="I708" s="7">
        <v>0</v>
      </c>
      <c r="J708" s="7">
        <v>0</v>
      </c>
      <c r="K708" s="7">
        <v>0</v>
      </c>
      <c r="L708" s="7">
        <v>0</v>
      </c>
      <c r="M708" s="7">
        <v>0</v>
      </c>
      <c r="N708" s="7">
        <v>0</v>
      </c>
      <c r="O708" s="7">
        <v>0</v>
      </c>
      <c r="P708" s="7">
        <v>0</v>
      </c>
      <c r="Q708" s="7">
        <v>0</v>
      </c>
      <c r="R708" s="7">
        <v>0</v>
      </c>
      <c r="S708" s="7">
        <v>0</v>
      </c>
    </row>
    <row r="709">
      <c r="A709" s="14" t="s">
        <v>443</v>
      </c>
      <c r="B709" s="2" t="s">
        <v>399</v>
      </c>
      <c r="C709" s="7">
        <v>0</v>
      </c>
      <c r="D709" s="7">
        <v>0</v>
      </c>
      <c r="E709" s="7">
        <v>0</v>
      </c>
      <c r="F709" s="7">
        <v>0</v>
      </c>
      <c r="G709" s="7">
        <v>0</v>
      </c>
      <c r="H709" s="7">
        <v>0</v>
      </c>
      <c r="I709" s="7">
        <v>0</v>
      </c>
      <c r="J709" s="7">
        <v>0</v>
      </c>
      <c r="K709" s="7">
        <v>0</v>
      </c>
      <c r="L709" s="7">
        <v>0</v>
      </c>
      <c r="M709" s="7">
        <v>0</v>
      </c>
      <c r="N709" s="7">
        <v>0</v>
      </c>
      <c r="O709" s="7">
        <v>0</v>
      </c>
      <c r="P709" s="7">
        <v>0</v>
      </c>
      <c r="Q709" s="7">
        <v>0</v>
      </c>
      <c r="R709" s="7">
        <v>0</v>
      </c>
      <c r="S709" s="7">
        <v>0</v>
      </c>
    </row>
    <row r="710">
      <c r="A710" s="14" t="s">
        <v>444</v>
      </c>
      <c r="B710" s="2" t="s">
        <v>399</v>
      </c>
      <c r="C710" s="7">
        <v>0</v>
      </c>
      <c r="D710" s="7">
        <v>0</v>
      </c>
      <c r="E710" s="7">
        <v>0</v>
      </c>
      <c r="F710" s="7">
        <v>0</v>
      </c>
      <c r="G710" s="7">
        <v>0</v>
      </c>
      <c r="H710" s="7">
        <v>0</v>
      </c>
      <c r="I710" s="7">
        <v>0</v>
      </c>
      <c r="J710" s="7">
        <v>0</v>
      </c>
      <c r="K710" s="7">
        <v>0</v>
      </c>
      <c r="L710" s="7">
        <v>0</v>
      </c>
      <c r="M710" s="7">
        <v>0</v>
      </c>
      <c r="N710" s="7">
        <v>0</v>
      </c>
      <c r="O710" s="7">
        <v>0</v>
      </c>
      <c r="P710" s="7">
        <v>0</v>
      </c>
      <c r="Q710" s="7">
        <v>0</v>
      </c>
      <c r="R710" s="7">
        <v>0</v>
      </c>
      <c r="S710" s="7">
        <v>0</v>
      </c>
    </row>
    <row r="711">
      <c r="A711" s="15" t="s">
        <v>445</v>
      </c>
      <c r="C711" s="8">
        <f>SUM(C618:C659)</f>
        <v>7257</v>
      </c>
      <c r="D711" s="8">
        <f>SUM(D618:D659)</f>
        <v>8667</v>
      </c>
      <c r="E711" s="8">
        <f>SUM(E618:E659)</f>
        <v>9503</v>
      </c>
      <c r="F711" s="8">
        <f>SUM(F618:F659)</f>
        <v>9573</v>
      </c>
      <c r="G711" s="8">
        <f>SUM(G618:G659)</f>
        <v>9239</v>
      </c>
      <c r="H711" s="8">
        <f>SUM(H618:H659)</f>
        <v>9155</v>
      </c>
      <c r="I711" s="8">
        <f>SUM(I618:I659)</f>
        <v>8475</v>
      </c>
      <c r="J711" s="8">
        <f>SUM(J618:J659)</f>
        <v>10138</v>
      </c>
      <c r="K711" s="8">
        <f>SUM(K618:K659)</f>
        <v>11106</v>
      </c>
      <c r="L711" s="8">
        <f>SUM(L618:L659)</f>
        <v>10549</v>
      </c>
      <c r="M711" s="8">
        <f>SUM(M618:M659)</f>
        <v>10677</v>
      </c>
      <c r="N711" s="8">
        <f>SUM(N618:N659)</f>
        <v>11833</v>
      </c>
      <c r="O711" s="8">
        <f>SUM(O618:O659)</f>
        <v>11424</v>
      </c>
      <c r="P711" s="8">
        <f>SUM(P618:P659)</f>
        <v>11393</v>
      </c>
      <c r="Q711" s="8">
        <f>SUM(Q618:Q659)</f>
        <v>11669</v>
      </c>
      <c r="R711" s="8">
        <f>SUM(R618:R659)</f>
        <v>12961</v>
      </c>
      <c r="S711" s="8">
        <f>SUM(S618:S659)</f>
        <v>13061</v>
      </c>
    </row>
    <row r="712">
      <c r="A712" s="15" t="s">
        <v>446</v>
      </c>
      <c r="C712" s="8">
        <f>SUM(C660:C664)</f>
        <v>26714</v>
      </c>
      <c r="D712" s="8">
        <f>SUM(D660:D664)</f>
        <v>28811</v>
      </c>
      <c r="E712" s="8">
        <f>SUM(E660:E664)</f>
        <v>29835</v>
      </c>
      <c r="F712" s="8">
        <f>SUM(F660:F664)</f>
        <v>30404</v>
      </c>
      <c r="G712" s="8">
        <f>SUM(G660:G664)</f>
        <v>30378</v>
      </c>
      <c r="H712" s="8">
        <f>SUM(H660:H664)</f>
        <v>35042</v>
      </c>
      <c r="I712" s="8">
        <f>SUM(I660:I664)</f>
        <v>36084</v>
      </c>
      <c r="J712" s="8">
        <f>SUM(J660:J664)</f>
        <v>34207</v>
      </c>
      <c r="K712" s="8">
        <f>SUM(K660:K664)</f>
        <v>37455</v>
      </c>
      <c r="L712" s="8">
        <f>SUM(L660:L664)</f>
        <v>33705</v>
      </c>
      <c r="M712" s="8">
        <f>SUM(M660:M664)</f>
        <v>35535</v>
      </c>
      <c r="N712" s="8">
        <f>SUM(N660:N664)</f>
        <v>37815</v>
      </c>
      <c r="O712" s="8">
        <f>SUM(O660:O664)</f>
        <v>34090</v>
      </c>
      <c r="P712" s="8">
        <f>SUM(P660:P664)</f>
        <v>35045</v>
      </c>
      <c r="Q712" s="8">
        <f>SUM(Q660:Q664)</f>
        <v>37180</v>
      </c>
      <c r="R712" s="8">
        <f>SUM(R660:R664)</f>
        <v>37445</v>
      </c>
      <c r="S712" s="8">
        <f>SUM(S660:S664)</f>
        <v>39330</v>
      </c>
    </row>
    <row r="713">
      <c r="A713" s="15" t="s">
        <v>447</v>
      </c>
      <c r="C713" s="8">
        <f>SUM(C665:C710)</f>
        <v>76895</v>
      </c>
      <c r="D713" s="8">
        <f>SUM(D665:D710)</f>
        <v>75655</v>
      </c>
      <c r="E713" s="8">
        <f>SUM(E665:E710)</f>
        <v>78900</v>
      </c>
      <c r="F713" s="8">
        <f>SUM(F665:F710)</f>
        <v>78925</v>
      </c>
      <c r="G713" s="8">
        <f>SUM(G665:G710)</f>
        <v>79725</v>
      </c>
      <c r="H713" s="8">
        <f>SUM(H665:H710)</f>
        <v>82224</v>
      </c>
      <c r="I713" s="8">
        <f>SUM(I665:I710)</f>
        <v>84574</v>
      </c>
      <c r="J713" s="8">
        <f>SUM(J665:J710)</f>
        <v>86140</v>
      </c>
      <c r="K713" s="8">
        <f>SUM(K665:K710)</f>
        <v>89945</v>
      </c>
      <c r="L713" s="8">
        <f>SUM(L665:L710)</f>
        <v>86934</v>
      </c>
      <c r="M713" s="8">
        <f>SUM(M665:M710)</f>
        <v>85914</v>
      </c>
      <c r="N713" s="8">
        <f>SUM(N665:N710)</f>
        <v>91213</v>
      </c>
      <c r="O713" s="8">
        <f>SUM(O665:O710)</f>
        <v>88404</v>
      </c>
      <c r="P713" s="8">
        <f>SUM(P665:P710)</f>
        <v>87832</v>
      </c>
      <c r="Q713" s="8">
        <f>SUM(Q665:Q710)</f>
        <v>92731</v>
      </c>
      <c r="R713" s="8">
        <f>SUM(R665:R710)</f>
        <v>92525</v>
      </c>
      <c r="S713" s="8">
        <f>SUM(S665:S710)</f>
        <v>98465</v>
      </c>
    </row>
    <row r="714">
      <c r="A714" s="15" t="s">
        <v>448</v>
      </c>
      <c r="C714" s="21">
        <f>C711+C712+C713</f>
        <v>110866</v>
      </c>
      <c r="D714" s="21">
        <f>D711+D712+D713</f>
        <v>113133</v>
      </c>
      <c r="E714" s="21">
        <f>E711+E712+E713</f>
        <v>118238</v>
      </c>
      <c r="F714" s="21">
        <f>F711+F712+F713</f>
        <v>118902</v>
      </c>
      <c r="G714" s="21">
        <f>G711+G712+G713</f>
        <v>119342</v>
      </c>
      <c r="H714" s="21">
        <f>H711+H712+H713</f>
        <v>126421</v>
      </c>
      <c r="I714" s="21">
        <f>I711+I712+I713</f>
        <v>129133</v>
      </c>
      <c r="J714" s="21">
        <f>J711+J712+J713</f>
        <v>130485</v>
      </c>
      <c r="K714" s="21">
        <f>K711+K712+K713</f>
        <v>138506</v>
      </c>
      <c r="L714" s="21">
        <f>L711+L712+L713</f>
        <v>131188</v>
      </c>
      <c r="M714" s="21">
        <f>M711+M712+M713</f>
        <v>132126</v>
      </c>
      <c r="N714" s="21">
        <f>N711+N712+N713</f>
        <v>140861</v>
      </c>
      <c r="O714" s="21">
        <f>O711+O712+O713</f>
        <v>133918</v>
      </c>
      <c r="P714" s="21">
        <f>P711+P712+P713</f>
        <v>134270</v>
      </c>
      <c r="Q714" s="21">
        <f>Q711+Q712+Q713</f>
        <v>141580</v>
      </c>
      <c r="R714" s="21">
        <f>R711+R712+R713</f>
        <v>142931</v>
      </c>
      <c r="S714" s="21">
        <f>S711+S712+S713</f>
        <v>150856</v>
      </c>
    </row>
    <row r="719">
      <c r="A719" s="4" t="s">
        <v>455</v>
      </c>
      <c r="B719" s="3" t="s">
        <v>366</v>
      </c>
      <c r="C719" s="3" t="s">
        <v>41</v>
      </c>
      <c r="D719" s="3" t="s">
        <v>42</v>
      </c>
      <c r="E719" s="3" t="s">
        <v>43</v>
      </c>
      <c r="F719" s="3" t="s">
        <v>44</v>
      </c>
      <c r="G719" s="3" t="s">
        <v>45</v>
      </c>
      <c r="H719" s="3" t="s">
        <v>46</v>
      </c>
      <c r="I719" s="3" t="s">
        <v>47</v>
      </c>
      <c r="J719" s="3" t="s">
        <v>48</v>
      </c>
      <c r="K719" s="3" t="s">
        <v>49</v>
      </c>
      <c r="L719" s="3" t="s">
        <v>50</v>
      </c>
      <c r="M719" s="3" t="s">
        <v>51</v>
      </c>
      <c r="N719" s="3" t="s">
        <v>52</v>
      </c>
      <c r="O719" s="3" t="s">
        <v>53</v>
      </c>
      <c r="P719" s="3" t="s">
        <v>54</v>
      </c>
      <c r="Q719" s="3" t="s">
        <v>55</v>
      </c>
      <c r="R719" s="3" t="s">
        <v>56</v>
      </c>
      <c r="S719" s="3" t="s">
        <v>85</v>
      </c>
    </row>
    <row r="720">
      <c r="A720" s="14" t="s">
        <v>367</v>
      </c>
      <c r="B720" s="2" t="s">
        <v>368</v>
      </c>
      <c r="C720" s="10">
        <f>IF(C6&gt;0,C108/C6,0)</f>
        <v>0.7669724770642202</v>
      </c>
      <c r="D720" s="10">
        <f>IF(D6&gt;0,D108/D6,0)</f>
        <v>0.7052845528455285</v>
      </c>
      <c r="E720" s="10">
        <f>IF(E6&gt;0,E108/E6,0)</f>
        <v>0.7309027777777778</v>
      </c>
      <c r="F720" s="10">
        <f>IF(F6&gt;0,F108/F6,0)</f>
        <v>0.7307692307692307</v>
      </c>
      <c r="G720" s="10">
        <f>IF(G6&gt;0,G108/G6,0)</f>
        <v>0.6869244935543278</v>
      </c>
      <c r="H720" s="10">
        <f>IF(H6&gt;0,H108/H6,0)</f>
        <v>0.7307692307692307</v>
      </c>
      <c r="I720" s="10">
        <f>IF(I6&gt;0,I108/I6,0)</f>
        <v>0.8128342245989305</v>
      </c>
      <c r="J720" s="10">
        <f>IF(J6&gt;0,J108/J6,0)</f>
        <v>0.7581573896353166</v>
      </c>
      <c r="K720" s="10">
        <f>IF(K6&gt;0,K108/K6,0)</f>
        <v>0.7473684210526316</v>
      </c>
      <c r="L720" s="10">
        <f>IF(L6&gt;0,L108/L6,0)</f>
        <v>0.6942148760330579</v>
      </c>
      <c r="M720" s="10">
        <f>IF(M6&gt;0,M108/M6,0)</f>
        <v>0.7110157367668097</v>
      </c>
      <c r="N720" s="10">
        <f>IF(N6&gt;0,N108/N6,0)</f>
        <v>0.6265060240963856</v>
      </c>
      <c r="O720" s="10">
        <f>IF(O6&gt;0,O108/O6,0)</f>
        <v>0.6357827476038339</v>
      </c>
      <c r="P720" s="10">
        <f>IF(P6&gt;0,P108/P6,0)</f>
        <v>0.6772247360482655</v>
      </c>
      <c r="Q720" s="10">
        <f>IF(Q6&gt;0,Q108/Q6,0)</f>
        <v>0.6793893129770993</v>
      </c>
      <c r="R720" s="10">
        <f>IF(R6&gt;0,R108/R6,0)</f>
        <v>0.6031746031746031</v>
      </c>
      <c r="S720" s="10">
        <f>IF(S6&gt;0,S108/S6,0)</f>
        <v>0.6606397774687065</v>
      </c>
    </row>
    <row r="721">
      <c r="A721" s="14" t="s">
        <v>96</v>
      </c>
      <c r="B721" s="2" t="s">
        <v>368</v>
      </c>
      <c r="C721" s="10">
        <f>IF(C7&gt;0,C109/C7,0)</f>
        <v>0.03347926860674736</v>
      </c>
      <c r="D721" s="10">
        <f>IF(D7&gt;0,D109/D7,0)</f>
        <v>0.03076923076923077</v>
      </c>
      <c r="E721" s="10">
        <f>IF(E7&gt;0,E109/E7,0)</f>
        <v>0.033962264150943396</v>
      </c>
      <c r="F721" s="10">
        <f>IF(F7&gt;0,F109/F7,0)</f>
        <v>0.03938591492642376</v>
      </c>
      <c r="G721" s="10">
        <f>IF(G7&gt;0,G109/G7,0)</f>
        <v>0.03832116788321168</v>
      </c>
      <c r="H721" s="10">
        <f>IF(H7&gt;0,H109/H7,0)</f>
        <v>0.03802281368821293</v>
      </c>
      <c r="I721" s="10">
        <f>IF(I7&gt;0,I109/I7,0)</f>
        <v>0.04119850187265917</v>
      </c>
      <c r="J721" s="10">
        <f>IF(J7&gt;0,J109/J7,0)</f>
        <v>0.03501706484641638</v>
      </c>
      <c r="K721" s="10">
        <f>IF(K7&gt;0,K109/K7,0)</f>
        <v>0.035</v>
      </c>
      <c r="L721" s="10">
        <f>IF(L7&gt;0,L109/L7,0)</f>
        <v>0.03514376996805112</v>
      </c>
      <c r="M721" s="10">
        <f>IF(M7&gt;0,M109/M7,0)</f>
        <v>0.032758620689655175</v>
      </c>
      <c r="N721" s="10">
        <f>IF(N7&gt;0,N109/N7,0)</f>
        <v>0.03483217226092464</v>
      </c>
      <c r="O721" s="10">
        <f>IF(O7&gt;0,O109/O7,0)</f>
        <v>0.0353356890459364</v>
      </c>
      <c r="P721" s="10">
        <f>IF(P7&gt;0,P109/P7,0)</f>
        <v>0.036297640653357534</v>
      </c>
      <c r="Q721" s="10">
        <f>IF(Q7&gt;0,Q109/Q7,0)</f>
        <v>0.034482758620689655</v>
      </c>
      <c r="R721" s="10">
        <f>IF(R7&gt;0,R109/R7,0)</f>
        <v>0.03785488958990536</v>
      </c>
      <c r="S721" s="10">
        <f>IF(S7&gt;0,S109/S7,0)</f>
        <v>0.033846153846153845</v>
      </c>
    </row>
    <row r="722">
      <c r="A722" s="14" t="s">
        <v>369</v>
      </c>
      <c r="B722" s="2" t="s">
        <v>368</v>
      </c>
      <c r="C722" s="10">
        <f>IF(C8&gt;0,C110/C8,0)</f>
        <v>1</v>
      </c>
      <c r="D722" s="10">
        <f>IF(D8&gt;0,D110/D8,0)</f>
        <v>1</v>
      </c>
      <c r="E722" s="10">
        <f>IF(E8&gt;0,E110/E8,0)</f>
        <v>1</v>
      </c>
      <c r="F722" s="10">
        <f>IF(F8&gt;0,F110/F8,0)</f>
        <v>1</v>
      </c>
      <c r="G722" s="10">
        <f>IF(G8&gt;0,G110/G8,0)</f>
        <v>1</v>
      </c>
      <c r="H722" s="10">
        <f>IF(H8&gt;0,H110/H8,0)</f>
        <v>1</v>
      </c>
      <c r="I722" s="10">
        <f>IF(I8&gt;0,I110/I8,0)</f>
        <v>1</v>
      </c>
      <c r="J722" s="10">
        <f>IF(J8&gt;0,J110/J8,0)</f>
        <v>1</v>
      </c>
      <c r="K722" s="10">
        <f>IF(K8&gt;0,K110/K8,0)</f>
        <v>1</v>
      </c>
      <c r="L722" s="10">
        <f>IF(L8&gt;0,L110/L8,0)</f>
        <v>1</v>
      </c>
      <c r="M722" s="10">
        <f>IF(M8&gt;0,M110/M8,0)</f>
        <v>1</v>
      </c>
      <c r="N722" s="10">
        <f>IF(N8&gt;0,N110/N8,0)</f>
        <v>1</v>
      </c>
      <c r="O722" s="10">
        <f>IF(O8&gt;0,O110/O8,0)</f>
        <v>1</v>
      </c>
      <c r="P722" s="10">
        <f>IF(P8&gt;0,P110/P8,0)</f>
        <v>1</v>
      </c>
      <c r="Q722" s="10">
        <f>IF(Q8&gt;0,Q110/Q8,0)</f>
        <v>1</v>
      </c>
      <c r="R722" s="10">
        <f>IF(R8&gt;0,R110/R8,0)</f>
        <v>1</v>
      </c>
      <c r="S722" s="10">
        <f>IF(S8&gt;0,S110/S8,0)</f>
        <v>1</v>
      </c>
    </row>
    <row r="723">
      <c r="A723" s="14" t="s">
        <v>370</v>
      </c>
      <c r="B723" s="2" t="s">
        <v>368</v>
      </c>
      <c r="C723" s="10">
        <f>IF(C9&gt;0,C111/C9,0)</f>
        <v>1</v>
      </c>
      <c r="D723" s="10">
        <f>IF(D9&gt;0,D111/D9,0)</f>
        <v>1</v>
      </c>
      <c r="E723" s="10">
        <f>IF(E9&gt;0,E111/E9,0)</f>
        <v>1</v>
      </c>
      <c r="F723" s="10">
        <f>IF(F9&gt;0,F111/F9,0)</f>
        <v>1</v>
      </c>
      <c r="G723" s="10">
        <f>IF(G9&gt;0,G111/G9,0)</f>
        <v>1</v>
      </c>
      <c r="H723" s="10">
        <f>IF(H9&gt;0,H111/H9,0)</f>
        <v>1</v>
      </c>
      <c r="I723" s="10">
        <f>IF(I9&gt;0,I111/I9,0)</f>
        <v>1</v>
      </c>
      <c r="J723" s="10">
        <f>IF(J9&gt;0,J111/J9,0)</f>
        <v>1</v>
      </c>
      <c r="K723" s="10">
        <f>IF(K9&gt;0,K111/K9,0)</f>
        <v>1</v>
      </c>
      <c r="L723" s="10">
        <f>IF(L9&gt;0,L111/L9,0)</f>
        <v>1</v>
      </c>
      <c r="M723" s="10">
        <f>IF(M9&gt;0,M111/M9,0)</f>
        <v>1</v>
      </c>
      <c r="N723" s="10">
        <f>IF(N9&gt;0,N111/N9,0)</f>
        <v>1</v>
      </c>
      <c r="O723" s="10">
        <f>IF(O9&gt;0,O111/O9,0)</f>
        <v>1</v>
      </c>
      <c r="P723" s="10">
        <f>IF(P9&gt;0,P111/P9,0)</f>
        <v>1</v>
      </c>
      <c r="Q723" s="10">
        <f>IF(Q9&gt;0,Q111/Q9,0)</f>
        <v>1</v>
      </c>
      <c r="R723" s="10">
        <f>IF(R9&gt;0,R111/R9,0)</f>
        <v>1</v>
      </c>
      <c r="S723" s="10">
        <f>IF(S9&gt;0,S111/S9,0)</f>
        <v>1</v>
      </c>
    </row>
    <row r="724">
      <c r="A724" s="14" t="s">
        <v>371</v>
      </c>
      <c r="B724" s="2" t="s">
        <v>368</v>
      </c>
      <c r="C724" s="10">
        <f>IF(C10&gt;0,C112/C10,0)</f>
        <v>0.14745308310991956</v>
      </c>
      <c r="D724" s="10">
        <f>IF(D10&gt;0,D112/D10,0)</f>
        <v>0.16311166875784192</v>
      </c>
      <c r="E724" s="10">
        <f>IF(E10&gt;0,E112/E10,0)</f>
        <v>0.16806722689075632</v>
      </c>
      <c r="F724" s="10">
        <f>IF(F10&gt;0,F112/F10,0)</f>
        <v>0.15966386554621848</v>
      </c>
      <c r="G724" s="10">
        <f>IF(G10&gt;0,G112/G10,0)</f>
        <v>0.12129894937917861</v>
      </c>
      <c r="H724" s="10">
        <f>IF(H10&gt;0,H112/H10,0)</f>
        <v>0.12396694214876033</v>
      </c>
      <c r="I724" s="10">
        <f>IF(I10&gt;0,I112/I10,0)</f>
        <v>0.12264150943396226</v>
      </c>
      <c r="J724" s="10">
        <f>IF(J10&gt;0,J112/J10,0)</f>
        <v>0.09615384615384616</v>
      </c>
      <c r="K724" s="10">
        <f>IF(K10&gt;0,K112/K10,0)</f>
        <v>0.11320754716981132</v>
      </c>
      <c r="L724" s="10">
        <f>IF(L10&gt;0,L112/L10,0)</f>
        <v>0.11682242990654206</v>
      </c>
      <c r="M724" s="10">
        <f>IF(M10&gt;0,M112/M10,0)</f>
        <v>0.12149532710280374</v>
      </c>
      <c r="N724" s="10">
        <f>IF(N10&gt;0,N112/N10,0)</f>
        <v>0.12098298676748583</v>
      </c>
      <c r="O724" s="10">
        <f>IF(O10&gt;0,O112/O10,0)</f>
        <v>0.11214953271028037</v>
      </c>
      <c r="P724" s="10">
        <f>IF(P10&gt;0,P112/P10,0)</f>
        <v>0.1656441717791411</v>
      </c>
      <c r="Q724" s="10">
        <f>IF(Q10&gt;0,Q112/Q10,0)</f>
        <v>0.1308411214953271</v>
      </c>
      <c r="R724" s="10">
        <f>IF(R10&gt;0,R112/R10,0)</f>
        <v>0.11075181891673404</v>
      </c>
      <c r="S724" s="10">
        <f>IF(S10&gt;0,S112/S10,0)</f>
        <v>0.12126537785588752</v>
      </c>
    </row>
    <row r="725">
      <c r="A725" s="14" t="s">
        <v>372</v>
      </c>
      <c r="B725" s="2" t="s">
        <v>368</v>
      </c>
      <c r="C725" s="10">
        <f>IF(C11&gt;0,C113/C11,0)</f>
        <v>0.20049813200498132</v>
      </c>
      <c r="D725" s="10">
        <f>IF(D11&gt;0,D113/D11,0)</f>
        <v>0.2845528455284553</v>
      </c>
      <c r="E725" s="10">
        <f>IF(E11&gt;0,E113/E11,0)</f>
        <v>0.2222222222222222</v>
      </c>
      <c r="F725" s="10">
        <f>IF(F11&gt;0,F113/F11,0)</f>
        <v>0.22077922077922077</v>
      </c>
      <c r="G725" s="10">
        <f>IF(G11&gt;0,G113/G11,0)</f>
        <v>0.22857142857142856</v>
      </c>
      <c r="H725" s="10">
        <f>IF(H11&gt;0,H113/H11,0)</f>
        <v>0.2676056338028169</v>
      </c>
      <c r="I725" s="10">
        <f>IF(I11&gt;0,I113/I11,0)</f>
        <v>0.22564102564102564</v>
      </c>
      <c r="J725" s="10">
        <f>IF(J11&gt;0,J113/J11,0)</f>
        <v>0.2608695652173913</v>
      </c>
      <c r="K725" s="10">
        <f>IF(K11&gt;0,K113/K11,0)</f>
        <v>0.22580645161290322</v>
      </c>
      <c r="L725" s="10">
        <f>IF(L11&gt;0,L113/L11,0)</f>
        <v>0.1872146118721461</v>
      </c>
      <c r="M725" s="10">
        <f>IF(M11&gt;0,M113/M11,0)</f>
        <v>0.11010558069381599</v>
      </c>
      <c r="N725" s="10">
        <f>IF(N11&gt;0,N113/N11,0)</f>
        <v>0.16363636363636364</v>
      </c>
      <c r="O725" s="10">
        <f>IF(O11&gt;0,O113/O11,0)</f>
        <v>0.1507996953541508</v>
      </c>
      <c r="P725" s="10">
        <f>IF(P11&gt;0,P113/P11,0)</f>
        <v>0.15625</v>
      </c>
      <c r="Q725" s="10">
        <f>IF(Q11&gt;0,Q113/Q11,0)</f>
        <v>0.1537313432835821</v>
      </c>
      <c r="R725" s="10">
        <f>IF(R11&gt;0,R113/R11,0)</f>
        <v>0.15785764622973925</v>
      </c>
      <c r="S725" s="10">
        <f>IF(S11&gt;0,S113/S11,0)</f>
        <v>0.1585195530726257</v>
      </c>
    </row>
    <row r="726">
      <c r="A726" s="14" t="s">
        <v>373</v>
      </c>
      <c r="B726" s="2" t="s">
        <v>368</v>
      </c>
      <c r="C726" s="10">
        <f>IF(C12&gt;0,C114/C12,0)</f>
        <v>0.3118172790466733</v>
      </c>
      <c r="D726" s="10">
        <f>IF(D12&gt;0,D114/D12,0)</f>
        <v>0.3231357552581262</v>
      </c>
      <c r="E726" s="10">
        <f>IF(E12&gt;0,E114/E12,0)</f>
        <v>0.3098246275693004</v>
      </c>
      <c r="F726" s="10">
        <f>IF(F12&gt;0,F114/F12,0)</f>
        <v>0.3355665024630542</v>
      </c>
      <c r="G726" s="10">
        <f>IF(G12&gt;0,G114/G12,0)</f>
        <v>0.29963235294117646</v>
      </c>
      <c r="H726" s="10">
        <f>IF(H12&gt;0,H114/H12,0)</f>
        <v>0.2974137931034483</v>
      </c>
      <c r="I726" s="10">
        <f>IF(I12&gt;0,I114/I12,0)</f>
        <v>0.3044230769230769</v>
      </c>
      <c r="J726" s="10">
        <f>IF(J12&gt;0,J114/J12,0)</f>
        <v>0.3006076718571971</v>
      </c>
      <c r="K726" s="10">
        <f>IF(K12&gt;0,K114/K12,0)</f>
        <v>0.2972769953051643</v>
      </c>
      <c r="L726" s="10">
        <f>IF(L12&gt;0,L114/L12,0)</f>
        <v>0.29192671632776324</v>
      </c>
      <c r="M726" s="10">
        <f>IF(M12&gt;0,M114/M12,0)</f>
        <v>0.2963894377582181</v>
      </c>
      <c r="N726" s="10">
        <f>IF(N12&gt;0,N114/N12,0)</f>
        <v>0.27771929824561403</v>
      </c>
      <c r="O726" s="10">
        <f>IF(O12&gt;0,O114/O12,0)</f>
        <v>0.2841315834327595</v>
      </c>
      <c r="P726" s="10">
        <f>IF(P12&gt;0,P114/P12,0)</f>
        <v>0.22560975609756098</v>
      </c>
      <c r="Q726" s="10">
        <f>IF(Q12&gt;0,Q114/Q12,0)</f>
        <v>0.29080706387192606</v>
      </c>
      <c r="R726" s="10">
        <f>IF(R12&gt;0,R114/R12,0)</f>
        <v>0.2690513219284603</v>
      </c>
      <c r="S726" s="10">
        <f>IF(S12&gt;0,S114/S12,0)</f>
        <v>0.254071661237785</v>
      </c>
    </row>
    <row r="727">
      <c r="A727" s="14" t="s">
        <v>102</v>
      </c>
      <c r="B727" s="2" t="s">
        <v>368</v>
      </c>
      <c r="C727" s="10">
        <f>IF(C13&gt;0,C115/C13,0)</f>
        <v>1</v>
      </c>
      <c r="D727" s="10">
        <f>IF(D13&gt;0,D115/D13,0)</f>
        <v>1</v>
      </c>
      <c r="E727" s="10">
        <f>IF(E13&gt;0,E115/E13,0)</f>
        <v>1</v>
      </c>
      <c r="F727" s="10">
        <f>IF(F13&gt;0,F115/F13,0)</f>
        <v>1</v>
      </c>
      <c r="G727" s="10">
        <f>IF(G13&gt;0,G115/G13,0)</f>
        <v>1</v>
      </c>
      <c r="H727" s="10">
        <f>IF(H13&gt;0,H115/H13,0)</f>
        <v>1</v>
      </c>
      <c r="I727" s="10">
        <f>IF(I13&gt;0,I115/I13,0)</f>
        <v>1</v>
      </c>
      <c r="J727" s="10">
        <f>IF(J13&gt;0,J115/J13,0)</f>
        <v>1</v>
      </c>
      <c r="K727" s="10">
        <f>IF(K13&gt;0,K115/K13,0)</f>
        <v>1</v>
      </c>
      <c r="L727" s="10">
        <f>IF(L13&gt;0,L115/L13,0)</f>
        <v>1</v>
      </c>
      <c r="M727" s="10">
        <f>IF(M13&gt;0,M115/M13,0)</f>
        <v>1</v>
      </c>
      <c r="N727" s="10">
        <f>IF(N13&gt;0,N115/N13,0)</f>
        <v>1</v>
      </c>
      <c r="O727" s="10">
        <f>IF(O13&gt;0,O115/O13,0)</f>
        <v>1</v>
      </c>
      <c r="P727" s="10">
        <f>IF(P13&gt;0,P115/P13,0)</f>
        <v>1</v>
      </c>
      <c r="Q727" s="10">
        <f>IF(Q13&gt;0,Q115/Q13,0)</f>
        <v>1</v>
      </c>
      <c r="R727" s="10">
        <f>IF(R13&gt;0,R115/R13,0)</f>
        <v>1</v>
      </c>
      <c r="S727" s="10">
        <f>IF(S13&gt;0,S115/S13,0)</f>
        <v>1</v>
      </c>
    </row>
    <row r="728">
      <c r="A728" s="14" t="s">
        <v>374</v>
      </c>
      <c r="B728" s="2" t="s">
        <v>368</v>
      </c>
      <c r="C728" s="10">
        <f>IF(C14&gt;0,C116/C14,0)</f>
        <v>1</v>
      </c>
      <c r="D728" s="10">
        <f>IF(D14&gt;0,D116/D14,0)</f>
        <v>1</v>
      </c>
      <c r="E728" s="10">
        <f>IF(E14&gt;0,E116/E14,0)</f>
        <v>1</v>
      </c>
      <c r="F728" s="10">
        <f>IF(F14&gt;0,F116/F14,0)</f>
        <v>1</v>
      </c>
      <c r="G728" s="10">
        <f>IF(G14&gt;0,G116/G14,0)</f>
        <v>1</v>
      </c>
      <c r="H728" s="10">
        <f>IF(H14&gt;0,H116/H14,0)</f>
        <v>1</v>
      </c>
      <c r="I728" s="10">
        <f>IF(I14&gt;0,I116/I14,0)</f>
        <v>1</v>
      </c>
      <c r="J728" s="10">
        <f>IF(J14&gt;0,J116/J14,0)</f>
        <v>1</v>
      </c>
      <c r="K728" s="10">
        <f>IF(K14&gt;0,K116/K14,0)</f>
        <v>1</v>
      </c>
      <c r="L728" s="10">
        <f>IF(L14&gt;0,L116/L14,0)</f>
        <v>1</v>
      </c>
      <c r="M728" s="10">
        <f>IF(M14&gt;0,M116/M14,0)</f>
        <v>1</v>
      </c>
      <c r="N728" s="10">
        <f>IF(N14&gt;0,N116/N14,0)</f>
        <v>1</v>
      </c>
      <c r="O728" s="10">
        <f>IF(O14&gt;0,O116/O14,0)</f>
        <v>1</v>
      </c>
      <c r="P728" s="10">
        <f>IF(P14&gt;0,P116/P14,0)</f>
        <v>1</v>
      </c>
      <c r="Q728" s="10">
        <f>IF(Q14&gt;0,Q116/Q14,0)</f>
        <v>1</v>
      </c>
      <c r="R728" s="10">
        <f>IF(R14&gt;0,R116/R14,0)</f>
        <v>1</v>
      </c>
      <c r="S728" s="10">
        <f>IF(S14&gt;0,S116/S14,0)</f>
        <v>1</v>
      </c>
    </row>
    <row r="729">
      <c r="A729" s="14" t="s">
        <v>375</v>
      </c>
      <c r="B729" s="2" t="s">
        <v>368</v>
      </c>
      <c r="C729" s="10">
        <f>IF(C15&gt;0,C117/C15,0)</f>
        <v>0.95</v>
      </c>
      <c r="D729" s="10">
        <f>IF(D15&gt;0,D117/D15,0)</f>
        <v>0.9534883720930233</v>
      </c>
      <c r="E729" s="10">
        <f>IF(E15&gt;0,E117/E15,0)</f>
        <v>0.956989247311828</v>
      </c>
      <c r="F729" s="10">
        <f>IF(F15&gt;0,F117/F15,0)</f>
        <v>0.9493670886075949</v>
      </c>
      <c r="G729" s="10">
        <f>IF(G15&gt;0,G117/G15,0)</f>
        <v>0.9371069182389937</v>
      </c>
      <c r="H729" s="10">
        <f>IF(H15&gt;0,H117/H15,0)</f>
        <v>0.9239130434782609</v>
      </c>
      <c r="I729" s="10">
        <f>IF(I15&gt;0,I117/I15,0)</f>
        <v>0.9393939393939394</v>
      </c>
      <c r="J729" s="10">
        <f>IF(J15&gt;0,J117/J15,0)</f>
        <v>0.95</v>
      </c>
      <c r="K729" s="10">
        <f>IF(K15&gt;0,K117/K15,0)</f>
        <v>0.8732394366197183</v>
      </c>
      <c r="L729" s="10">
        <f>IF(L15&gt;0,L117/L15,0)</f>
        <v>0.8513513513513513</v>
      </c>
      <c r="M729" s="10">
        <f>IF(M15&gt;0,M117/M15,0)</f>
        <v>0.8498583569405099</v>
      </c>
      <c r="N729" s="10">
        <f>IF(N15&gt;0,N117/N15,0)</f>
        <v>0.8556149732620321</v>
      </c>
      <c r="O729" s="10">
        <f>IF(O15&gt;0,O117/O15,0)</f>
        <v>0.846262341325811</v>
      </c>
      <c r="P729" s="10">
        <f>IF(P15&gt;0,P117/P15,0)</f>
        <v>0.8703319502074689</v>
      </c>
      <c r="Q729" s="10">
        <f>IF(Q15&gt;0,Q117/Q15,0)</f>
        <v>0.9134419551934827</v>
      </c>
      <c r="R729" s="10">
        <f>IF(R15&gt;0,R117/R15,0)</f>
        <v>0.8774509803921569</v>
      </c>
      <c r="S729" s="10">
        <f>IF(S15&gt;0,S117/S15,0)</f>
        <v>0.8645707376058042</v>
      </c>
    </row>
    <row r="730">
      <c r="A730" s="14" t="s">
        <v>105</v>
      </c>
      <c r="B730" s="2" t="s">
        <v>368</v>
      </c>
      <c r="C730" s="10">
        <f>IF(C16&gt;0,C118/C16,0)</f>
        <v>0.9974747474747475</v>
      </c>
      <c r="D730" s="10">
        <f>IF(D16&gt;0,D118/D16,0)</f>
        <v>0.9977324263038548</v>
      </c>
      <c r="E730" s="10">
        <f>IF(E16&gt;0,E118/E16,0)</f>
        <v>0.9975062344139651</v>
      </c>
      <c r="F730" s="10">
        <f>IF(F16&gt;0,F118/F16,0)</f>
        <v>0.9957325746799431</v>
      </c>
      <c r="G730" s="10">
        <f>IF(G16&gt;0,G118/G16,0)</f>
        <v>0.9811616954474097</v>
      </c>
      <c r="H730" s="10">
        <f>IF(H16&gt;0,H118/H16,0)</f>
        <v>0.9484066767830045</v>
      </c>
      <c r="I730" s="10">
        <f>IF(I16&gt;0,I118/I16,0)</f>
        <v>0.9523809523809523</v>
      </c>
      <c r="J730" s="10">
        <f>IF(J16&gt;0,J118/J16,0)</f>
        <v>0.9523809523809523</v>
      </c>
      <c r="K730" s="10">
        <f>IF(K16&gt;0,K118/K16,0)</f>
        <v>0.9336870026525199</v>
      </c>
      <c r="L730" s="10">
        <f>IF(L16&gt;0,L118/L16,0)</f>
        <v>0.9643347050754458</v>
      </c>
      <c r="M730" s="10">
        <f>IF(M16&gt;0,M118/M16,0)</f>
        <v>0.9694656488549618</v>
      </c>
      <c r="N730" s="10">
        <f>IF(N16&gt;0,N118/N16,0)</f>
        <v>0.963276836158192</v>
      </c>
      <c r="O730" s="10">
        <f>IF(O16&gt;0,O118/O16,0)</f>
        <v>0.963302752293578</v>
      </c>
      <c r="P730" s="10">
        <f>IF(P16&gt;0,P118/P16,0)</f>
        <v>0.962525223407322</v>
      </c>
      <c r="Q730" s="10">
        <f>IF(Q16&gt;0,Q118/Q16,0)</f>
        <v>0.9602446483180428</v>
      </c>
      <c r="R730" s="10">
        <f>IF(R16&gt;0,R118/R16,0)</f>
        <v>0.9587955625990491</v>
      </c>
      <c r="S730" s="10">
        <f>IF(S16&gt;0,S118/S16,0)</f>
        <v>0.9601226993865031</v>
      </c>
    </row>
    <row r="731">
      <c r="A731" s="14" t="s">
        <v>106</v>
      </c>
      <c r="B731" s="2" t="s">
        <v>368</v>
      </c>
      <c r="C731" s="10">
        <f>IF(C17&gt;0,C119/C17,0)</f>
        <v>1</v>
      </c>
      <c r="D731" s="10">
        <f>IF(D17&gt;0,D119/D17,0)</f>
        <v>1</v>
      </c>
      <c r="E731" s="10">
        <f>IF(E17&gt;0,E119/E17,0)</f>
        <v>1</v>
      </c>
      <c r="F731" s="10">
        <f>IF(F17&gt;0,F119/F17,0)</f>
        <v>1</v>
      </c>
      <c r="G731" s="10">
        <f>IF(G17&gt;0,G119/G17,0)</f>
        <v>0.9882352941176471</v>
      </c>
      <c r="H731" s="10">
        <f>IF(H17&gt;0,H119/H17,0)</f>
        <v>0.9882352941176471</v>
      </c>
      <c r="I731" s="10">
        <f>IF(I17&gt;0,I119/I17,0)</f>
        <v>0.9904761904761905</v>
      </c>
      <c r="J731" s="10">
        <f>IF(J17&gt;0,J119/J17,0)</f>
        <v>0.989010989010989</v>
      </c>
      <c r="K731" s="10">
        <f>IF(K17&gt;0,K119/K17,0)</f>
        <v>0.9830508474576272</v>
      </c>
      <c r="L731" s="10">
        <f>IF(L17&gt;0,L119/L17,0)</f>
        <v>0.9709618874773139</v>
      </c>
      <c r="M731" s="10">
        <f>IF(M17&gt;0,M119/M17,0)</f>
        <v>0.9622641509433962</v>
      </c>
      <c r="N731" s="10">
        <f>IF(N17&gt;0,N119/N17,0)</f>
        <v>0.9577167019027484</v>
      </c>
      <c r="O731" s="10">
        <f>IF(O17&gt;0,O119/O17,0)</f>
        <v>0.9382239382239382</v>
      </c>
      <c r="P731" s="10">
        <f>IF(P17&gt;0,P119/P17,0)</f>
        <v>0.931827865360034</v>
      </c>
      <c r="Q731" s="10">
        <f>IF(Q17&gt;0,Q119/Q17,0)</f>
        <v>0.9398496240601504</v>
      </c>
      <c r="R731" s="10">
        <f>IF(R17&gt;0,R119/R17,0)</f>
        <v>0.9375</v>
      </c>
      <c r="S731" s="10">
        <f>IF(S17&gt;0,S119/S17,0)</f>
        <v>0.9426229508196722</v>
      </c>
    </row>
    <row r="732">
      <c r="A732" s="14" t="s">
        <v>376</v>
      </c>
      <c r="B732" s="2" t="s">
        <v>368</v>
      </c>
      <c r="C732" s="10">
        <f>IF(C18&gt;0,C120/C18,0)</f>
        <v>0.5714285714285714</v>
      </c>
      <c r="D732" s="10">
        <f>IF(D18&gt;0,D120/D18,0)</f>
        <v>0.6460176991150443</v>
      </c>
      <c r="E732" s="10">
        <f>IF(E18&gt;0,E120/E18,0)</f>
        <v>0.5169491525423728</v>
      </c>
      <c r="F732" s="10">
        <f>IF(F18&gt;0,F120/F18,0)</f>
        <v>0.5625</v>
      </c>
      <c r="G732" s="10">
        <f>IF(G18&gt;0,G120/G18,0)</f>
        <v>0.5217391304347826</v>
      </c>
      <c r="H732" s="10">
        <f>IF(H18&gt;0,H120/H18,0)</f>
        <v>0.5454545454545454</v>
      </c>
      <c r="I732" s="10">
        <f>IF(I18&gt;0,I120/I18,0)</f>
        <v>0.5238095238095238</v>
      </c>
      <c r="J732" s="10">
        <f>IF(J18&gt;0,J120/J18,0)</f>
        <v>0.5217391304347826</v>
      </c>
      <c r="K732" s="10">
        <f>IF(K18&gt;0,K120/K18,0)</f>
        <v>0.5416666666666666</v>
      </c>
      <c r="L732" s="10">
        <f>IF(L18&gt;0,L120/L18,0)</f>
        <v>0.5208333333333334</v>
      </c>
      <c r="M732" s="10">
        <f>IF(M18&gt;0,M120/M18,0)</f>
        <v>0.5333333333333333</v>
      </c>
      <c r="N732" s="10">
        <f>IF(N18&gt;0,N120/N18,0)</f>
        <v>0.5416666666666666</v>
      </c>
      <c r="O732" s="10">
        <f>IF(O18&gt;0,O120/O18,0)</f>
        <v>0.5416666666666666</v>
      </c>
      <c r="P732" s="10">
        <f>IF(P18&gt;0,P120/P18,0)</f>
        <v>0.5555555555555556</v>
      </c>
      <c r="Q732" s="10">
        <f>IF(Q18&gt;0,Q120/Q18,0)</f>
        <v>0.5185185185185185</v>
      </c>
      <c r="R732" s="10">
        <f>IF(R18&gt;0,R120/R18,0)</f>
        <v>0.5172413793103449</v>
      </c>
      <c r="S732" s="10">
        <f>IF(S18&gt;0,S120/S18,0)</f>
        <v>0.53125</v>
      </c>
    </row>
    <row r="733">
      <c r="A733" s="14" t="s">
        <v>377</v>
      </c>
      <c r="B733" s="2" t="s">
        <v>368</v>
      </c>
      <c r="C733" s="10">
        <f>IF(C19&gt;0,C121/C19,0)</f>
        <v>0</v>
      </c>
      <c r="D733" s="10">
        <f>IF(D19&gt;0,D121/D19,0)</f>
        <v>0</v>
      </c>
      <c r="E733" s="10">
        <f>IF(E19&gt;0,E121/E19,0)</f>
        <v>0</v>
      </c>
      <c r="F733" s="10">
        <f>IF(F19&gt;0,F121/F19,0)</f>
        <v>0</v>
      </c>
      <c r="G733" s="10">
        <f>IF(G19&gt;0,G121/G19,0)</f>
        <v>0</v>
      </c>
      <c r="H733" s="10">
        <f>IF(H19&gt;0,H121/H19,0)</f>
        <v>0</v>
      </c>
      <c r="I733" s="10">
        <f>IF(I19&gt;0,I121/I19,0)</f>
        <v>0</v>
      </c>
      <c r="J733" s="10">
        <f>IF(J19&gt;0,J121/J19,0)</f>
        <v>0</v>
      </c>
      <c r="K733" s="10">
        <f>IF(K19&gt;0,K121/K19,0)</f>
        <v>0</v>
      </c>
      <c r="L733" s="10">
        <f>IF(L19&gt;0,L121/L19,0)</f>
        <v>0</v>
      </c>
      <c r="M733" s="10">
        <f>IF(M19&gt;0,M121/M19,0)</f>
        <v>0</v>
      </c>
      <c r="N733" s="10">
        <f>IF(N19&gt;0,N121/N19,0)</f>
        <v>0</v>
      </c>
      <c r="O733" s="10">
        <f>IF(O19&gt;0,O121/O19,0)</f>
        <v>0</v>
      </c>
      <c r="P733" s="10">
        <f>IF(P19&gt;0,P121/P19,0)</f>
        <v>0</v>
      </c>
      <c r="Q733" s="10">
        <f>IF(Q19&gt;0,Q121/Q19,0)</f>
        <v>0</v>
      </c>
      <c r="R733" s="10">
        <f>IF(R19&gt;0,R121/R19,0)</f>
        <v>0</v>
      </c>
      <c r="S733" s="10">
        <f>IF(S19&gt;0,S121/S19,0)</f>
        <v>0</v>
      </c>
    </row>
    <row r="734">
      <c r="A734" s="14" t="s">
        <v>378</v>
      </c>
      <c r="B734" s="2" t="s">
        <v>368</v>
      </c>
      <c r="C734" s="10">
        <f>IF(C20&gt;0,C122/C20,0)</f>
        <v>0</v>
      </c>
      <c r="D734" s="10">
        <f>IF(D20&gt;0,D122/D20,0)</f>
        <v>0</v>
      </c>
      <c r="E734" s="10">
        <f>IF(E20&gt;0,E122/E20,0)</f>
        <v>0</v>
      </c>
      <c r="F734" s="10">
        <f>IF(F20&gt;0,F122/F20,0)</f>
        <v>0</v>
      </c>
      <c r="G734" s="10">
        <f>IF(G20&gt;0,G122/G20,0)</f>
        <v>0</v>
      </c>
      <c r="H734" s="10">
        <f>IF(H20&gt;0,H122/H20,0)</f>
        <v>0</v>
      </c>
      <c r="I734" s="10">
        <f>IF(I20&gt;0,I122/I20,0)</f>
        <v>0</v>
      </c>
      <c r="J734" s="10">
        <f>IF(J20&gt;0,J122/J20,0)</f>
        <v>0</v>
      </c>
      <c r="K734" s="10">
        <f>IF(K20&gt;0,K122/K20,0)</f>
        <v>0</v>
      </c>
      <c r="L734" s="10">
        <f>IF(L20&gt;0,L122/L20,0)</f>
        <v>0</v>
      </c>
      <c r="M734" s="10">
        <f>IF(M20&gt;0,M122/M20,0)</f>
        <v>0</v>
      </c>
      <c r="N734" s="10">
        <f>IF(N20&gt;0,N122/N20,0)</f>
        <v>0</v>
      </c>
      <c r="O734" s="10">
        <f>IF(O20&gt;0,O122/O20,0)</f>
        <v>0</v>
      </c>
      <c r="P734" s="10">
        <f>IF(P20&gt;0,P122/P20,0)</f>
        <v>0</v>
      </c>
      <c r="Q734" s="10">
        <f>IF(Q20&gt;0,Q122/Q20,0)</f>
        <v>0</v>
      </c>
      <c r="R734" s="10">
        <f>IF(R20&gt;0,R122/R20,0)</f>
        <v>0</v>
      </c>
      <c r="S734" s="10">
        <f>IF(S20&gt;0,S122/S20,0)</f>
        <v>0</v>
      </c>
    </row>
    <row r="735">
      <c r="A735" s="14" t="s">
        <v>110</v>
      </c>
      <c r="B735" s="2" t="s">
        <v>368</v>
      </c>
      <c r="C735" s="10">
        <f>IF(C21&gt;0,C123/C21,0)</f>
        <v>1</v>
      </c>
      <c r="D735" s="10">
        <f>IF(D21&gt;0,D123/D21,0)</f>
        <v>1</v>
      </c>
      <c r="E735" s="10">
        <f>IF(E21&gt;0,E123/E21,0)</f>
        <v>1</v>
      </c>
      <c r="F735" s="10">
        <f>IF(F21&gt;0,F123/F21,0)</f>
        <v>1</v>
      </c>
      <c r="G735" s="10">
        <f>IF(G21&gt;0,G123/G21,0)</f>
        <v>1</v>
      </c>
      <c r="H735" s="10">
        <f>IF(H21&gt;0,H123/H21,0)</f>
        <v>1</v>
      </c>
      <c r="I735" s="10">
        <f>IF(I21&gt;0,I123/I21,0)</f>
        <v>1</v>
      </c>
      <c r="J735" s="10">
        <f>IF(J21&gt;0,J123/J21,0)</f>
        <v>1</v>
      </c>
      <c r="K735" s="10">
        <f>IF(K21&gt;0,K123/K21,0)</f>
        <v>1</v>
      </c>
      <c r="L735" s="10">
        <f>IF(L21&gt;0,L123/L21,0)</f>
        <v>1</v>
      </c>
      <c r="M735" s="10">
        <f>IF(M21&gt;0,M123/M21,0)</f>
        <v>1</v>
      </c>
      <c r="N735" s="10">
        <f>IF(N21&gt;0,N123/N21,0)</f>
        <v>1</v>
      </c>
      <c r="O735" s="10">
        <f>IF(O21&gt;0,O123/O21,0)</f>
        <v>1</v>
      </c>
      <c r="P735" s="10">
        <f>IF(P21&gt;0,P123/P21,0)</f>
        <v>1</v>
      </c>
      <c r="Q735" s="10">
        <f>IF(Q21&gt;0,Q123/Q21,0)</f>
        <v>1</v>
      </c>
      <c r="R735" s="10">
        <f>IF(R21&gt;0,R123/R21,0)</f>
        <v>1</v>
      </c>
      <c r="S735" s="10">
        <f>IF(S21&gt;0,S123/S21,0)</f>
        <v>1</v>
      </c>
    </row>
    <row r="736">
      <c r="A736" s="14" t="s">
        <v>111</v>
      </c>
      <c r="B736" s="2" t="s">
        <v>368</v>
      </c>
      <c r="C736" s="10">
        <f>IF(C22&gt;0,C124/C22,0)</f>
        <v>1</v>
      </c>
      <c r="D736" s="10">
        <f>IF(D22&gt;0,D124/D22,0)</f>
        <v>1</v>
      </c>
      <c r="E736" s="10">
        <f>IF(E22&gt;0,E124/E22,0)</f>
        <v>1</v>
      </c>
      <c r="F736" s="10">
        <f>IF(F22&gt;0,F124/F22,0)</f>
        <v>1</v>
      </c>
      <c r="G736" s="10">
        <f>IF(G22&gt;0,G124/G22,0)</f>
        <v>1</v>
      </c>
      <c r="H736" s="10">
        <f>IF(H22&gt;0,H124/H22,0)</f>
        <v>1</v>
      </c>
      <c r="I736" s="10">
        <f>IF(I22&gt;0,I124/I22,0)</f>
        <v>1</v>
      </c>
      <c r="J736" s="10">
        <f>IF(J22&gt;0,J124/J22,0)</f>
        <v>1</v>
      </c>
      <c r="K736" s="10">
        <f>IF(K22&gt;0,K124/K22,0)</f>
        <v>1</v>
      </c>
      <c r="L736" s="10">
        <f>IF(L22&gt;0,L124/L22,0)</f>
        <v>1</v>
      </c>
      <c r="M736" s="10">
        <f>IF(M22&gt;0,M124/M22,0)</f>
        <v>1</v>
      </c>
      <c r="N736" s="10">
        <f>IF(N22&gt;0,N124/N22,0)</f>
        <v>1</v>
      </c>
      <c r="O736" s="10">
        <f>IF(O22&gt;0,O124/O22,0)</f>
        <v>1</v>
      </c>
      <c r="P736" s="10">
        <f>IF(P22&gt;0,P124/P22,0)</f>
        <v>1</v>
      </c>
      <c r="Q736" s="10">
        <f>IF(Q22&gt;0,Q124/Q22,0)</f>
        <v>1</v>
      </c>
      <c r="R736" s="10">
        <f>IF(R22&gt;0,R124/R22,0)</f>
        <v>1</v>
      </c>
      <c r="S736" s="10">
        <f>IF(S22&gt;0,S124/S22,0)</f>
        <v>1</v>
      </c>
    </row>
    <row r="737">
      <c r="A737" s="14" t="s">
        <v>379</v>
      </c>
      <c r="B737" s="2" t="s">
        <v>368</v>
      </c>
      <c r="C737" s="10">
        <f>IF(C23&gt;0,C125/C23,0)</f>
        <v>0</v>
      </c>
      <c r="D737" s="10">
        <f>IF(D23&gt;0,D125/D23,0)</f>
        <v>0</v>
      </c>
      <c r="E737" s="10">
        <f>IF(E23&gt;0,E125/E23,0)</f>
        <v>0</v>
      </c>
      <c r="F737" s="10">
        <f>IF(F23&gt;0,F125/F23,0)</f>
        <v>0</v>
      </c>
      <c r="G737" s="10">
        <f>IF(G23&gt;0,G125/G23,0)</f>
        <v>0</v>
      </c>
      <c r="H737" s="10">
        <f>IF(H23&gt;0,H125/H23,0)</f>
        <v>0</v>
      </c>
      <c r="I737" s="10">
        <f>IF(I23&gt;0,I125/I23,0)</f>
        <v>0</v>
      </c>
      <c r="J737" s="10">
        <f>IF(J23&gt;0,J125/J23,0)</f>
        <v>0</v>
      </c>
      <c r="K737" s="10">
        <f>IF(K23&gt;0,K125/K23,0)</f>
        <v>0</v>
      </c>
      <c r="L737" s="10">
        <f>IF(L23&gt;0,L125/L23,0)</f>
        <v>0</v>
      </c>
      <c r="M737" s="10">
        <f>IF(M23&gt;0,M125/M23,0)</f>
        <v>0</v>
      </c>
      <c r="N737" s="10">
        <f>IF(N23&gt;0,N125/N23,0)</f>
        <v>0</v>
      </c>
      <c r="O737" s="10">
        <f>IF(O23&gt;0,O125/O23,0)</f>
        <v>0</v>
      </c>
      <c r="P737" s="10">
        <f>IF(P23&gt;0,P125/P23,0)</f>
        <v>0</v>
      </c>
      <c r="Q737" s="10">
        <f>IF(Q23&gt;0,Q125/Q23,0)</f>
        <v>0</v>
      </c>
      <c r="R737" s="10">
        <f>IF(R23&gt;0,R125/R23,0)</f>
        <v>0</v>
      </c>
      <c r="S737" s="10">
        <f>IF(S23&gt;0,S125/S23,0)</f>
        <v>0</v>
      </c>
    </row>
    <row r="738">
      <c r="A738" s="14" t="s">
        <v>380</v>
      </c>
      <c r="B738" s="2" t="s">
        <v>368</v>
      </c>
      <c r="C738" s="10">
        <f>IF(C24&gt;0,C126/C24,0)</f>
        <v>0.953757225433526</v>
      </c>
      <c r="D738" s="10">
        <f>IF(D24&gt;0,D126/D24,0)</f>
        <v>0.9642857142857143</v>
      </c>
      <c r="E738" s="10">
        <f>IF(E24&gt;0,E126/E24,0)</f>
        <v>0.9393939393939394</v>
      </c>
      <c r="F738" s="10">
        <f>IF(F24&gt;0,F126/F24,0)</f>
        <v>0.9532163742690059</v>
      </c>
      <c r="G738" s="10">
        <f>IF(G24&gt;0,G126/G24,0)</f>
        <v>0.9382716049382716</v>
      </c>
      <c r="H738" s="10">
        <f>IF(H24&gt;0,H126/H24,0)</f>
        <v>0.9333333333333333</v>
      </c>
      <c r="I738" s="10">
        <f>IF(I24&gt;0,I126/I24,0)</f>
        <v>0.9551569506726457</v>
      </c>
      <c r="J738" s="10">
        <f>IF(J24&gt;0,J126/J24,0)</f>
        <v>0.9382716049382716</v>
      </c>
      <c r="K738" s="10">
        <f>IF(K24&gt;0,K126/K24,0)</f>
        <v>0.9481865284974094</v>
      </c>
      <c r="L738" s="10">
        <f>IF(L24&gt;0,L126/L24,0)</f>
        <v>0.9393939393939394</v>
      </c>
      <c r="M738" s="10">
        <f>IF(M24&gt;0,M126/M24,0)</f>
        <v>0.9285714285714286</v>
      </c>
      <c r="N738" s="10">
        <f>IF(N24&gt;0,N126/N24,0)</f>
        <v>0.9354838709677419</v>
      </c>
      <c r="O738" s="10">
        <f>IF(O24&gt;0,O126/O24,0)</f>
        <v>0.9428571428571428</v>
      </c>
      <c r="P738" s="10">
        <f>IF(P24&gt;0,P126/P24,0)</f>
        <v>0.9489795918367347</v>
      </c>
      <c r="Q738" s="10">
        <f>IF(Q24&gt;0,Q126/Q24,0)</f>
        <v>0.9493670886075949</v>
      </c>
      <c r="R738" s="10">
        <f>IF(R24&gt;0,R126/R24,0)</f>
        <v>0.9375</v>
      </c>
      <c r="S738" s="10">
        <f>IF(S24&gt;0,S126/S24,0)</f>
        <v>0.9375</v>
      </c>
    </row>
    <row r="739">
      <c r="A739" s="14" t="s">
        <v>381</v>
      </c>
      <c r="B739" s="2" t="s">
        <v>368</v>
      </c>
      <c r="C739" s="10">
        <f>IF(C25&gt;0,C127/C25,0)</f>
        <v>1</v>
      </c>
      <c r="D739" s="10">
        <f>IF(D25&gt;0,D127/D25,0)</f>
        <v>1</v>
      </c>
      <c r="E739" s="10">
        <f>IF(E25&gt;0,E127/E25,0)</f>
        <v>1</v>
      </c>
      <c r="F739" s="10">
        <f>IF(F25&gt;0,F127/F25,0)</f>
        <v>1</v>
      </c>
      <c r="G739" s="10">
        <f>IF(G25&gt;0,G127/G25,0)</f>
        <v>1</v>
      </c>
      <c r="H739" s="10">
        <f>IF(H25&gt;0,H127/H25,0)</f>
        <v>1</v>
      </c>
      <c r="I739" s="10">
        <f>IF(I25&gt;0,I127/I25,0)</f>
        <v>1</v>
      </c>
      <c r="J739" s="10">
        <f>IF(J25&gt;0,J127/J25,0)</f>
        <v>1</v>
      </c>
      <c r="K739" s="10">
        <f>IF(K25&gt;0,K127/K25,0)</f>
        <v>1</v>
      </c>
      <c r="L739" s="10">
        <f>IF(L25&gt;0,L127/L25,0)</f>
        <v>1</v>
      </c>
      <c r="M739" s="10">
        <f>IF(M25&gt;0,M127/M25,0)</f>
        <v>1</v>
      </c>
      <c r="N739" s="10">
        <f>IF(N25&gt;0,N127/N25,0)</f>
        <v>1</v>
      </c>
      <c r="O739" s="10">
        <f>IF(O25&gt;0,O127/O25,0)</f>
        <v>1</v>
      </c>
      <c r="P739" s="10">
        <f>IF(P25&gt;0,P127/P25,0)</f>
        <v>1</v>
      </c>
      <c r="Q739" s="10">
        <f>IF(Q25&gt;0,Q127/Q25,0)</f>
        <v>1</v>
      </c>
      <c r="R739" s="10">
        <f>IF(R25&gt;0,R127/R25,0)</f>
        <v>1</v>
      </c>
      <c r="S739" s="10">
        <f>IF(S25&gt;0,S127/S25,0)</f>
        <v>1</v>
      </c>
    </row>
    <row r="740">
      <c r="A740" s="14" t="s">
        <v>115</v>
      </c>
      <c r="B740" s="2" t="s">
        <v>368</v>
      </c>
      <c r="C740" s="10">
        <f>IF(C26&gt;0,C128/C26,0)</f>
        <v>0</v>
      </c>
      <c r="D740" s="10">
        <f>IF(D26&gt;0,D128/D26,0)</f>
        <v>0</v>
      </c>
      <c r="E740" s="10">
        <f>IF(E26&gt;0,E128/E26,0)</f>
        <v>0</v>
      </c>
      <c r="F740" s="10">
        <f>IF(F26&gt;0,F128/F26,0)</f>
        <v>0</v>
      </c>
      <c r="G740" s="10">
        <f>IF(G26&gt;0,G128/G26,0)</f>
        <v>0</v>
      </c>
      <c r="H740" s="10">
        <f>IF(H26&gt;0,H128/H26,0)</f>
        <v>0</v>
      </c>
      <c r="I740" s="10">
        <f>IF(I26&gt;0,I128/I26,0)</f>
        <v>0</v>
      </c>
      <c r="J740" s="10">
        <f>IF(J26&gt;0,J128/J26,0)</f>
        <v>0</v>
      </c>
      <c r="K740" s="10">
        <f>IF(K26&gt;0,K128/K26,0)</f>
        <v>0</v>
      </c>
      <c r="L740" s="10">
        <f>IF(L26&gt;0,L128/L26,0)</f>
        <v>0</v>
      </c>
      <c r="M740" s="10">
        <f>IF(M26&gt;0,M128/M26,0)</f>
        <v>0</v>
      </c>
      <c r="N740" s="10">
        <f>IF(N26&gt;0,N128/N26,0)</f>
        <v>0</v>
      </c>
      <c r="O740" s="10">
        <f>IF(O26&gt;0,O128/O26,0)</f>
        <v>0</v>
      </c>
      <c r="P740" s="10">
        <f>IF(P26&gt;0,P128/P26,0)</f>
        <v>0</v>
      </c>
      <c r="Q740" s="10">
        <f>IF(Q26&gt;0,Q128/Q26,0)</f>
        <v>0</v>
      </c>
      <c r="R740" s="10">
        <f>IF(R26&gt;0,R128/R26,0)</f>
        <v>0</v>
      </c>
      <c r="S740" s="10">
        <f>IF(S26&gt;0,S128/S26,0)</f>
        <v>0</v>
      </c>
    </row>
    <row r="741">
      <c r="A741" s="14" t="s">
        <v>382</v>
      </c>
      <c r="B741" s="2" t="s">
        <v>368</v>
      </c>
      <c r="C741" s="10">
        <f>IF(C27&gt;0,C129/C27,0)</f>
        <v>0.6153846153846154</v>
      </c>
      <c r="D741" s="10">
        <f>IF(D27&gt;0,D129/D27,0)</f>
        <v>0.6349206349206349</v>
      </c>
      <c r="E741" s="10">
        <f>IF(E27&gt;0,E129/E27,0)</f>
        <v>0.6774193548387096</v>
      </c>
      <c r="F741" s="10">
        <f>IF(F27&gt;0,F129/F27,0)</f>
        <v>0.6136363636363636</v>
      </c>
      <c r="G741" s="10">
        <f>IF(G27&gt;0,G129/G27,0)</f>
        <v>0.47058823529411764</v>
      </c>
      <c r="H741" s="10">
        <f>IF(H27&gt;0,H129/H27,0)</f>
        <v>0.4444444444444444</v>
      </c>
      <c r="I741" s="10">
        <f>IF(I27&gt;0,I129/I27,0)</f>
        <v>0.4117647058823529</v>
      </c>
      <c r="J741" s="10">
        <f>IF(J27&gt;0,J129/J27,0)</f>
        <v>0.4634146341463415</v>
      </c>
      <c r="K741" s="10">
        <f>IF(K27&gt;0,K129/K27,0)</f>
        <v>0.5490196078431373</v>
      </c>
      <c r="L741" s="10">
        <f>IF(L27&gt;0,L129/L27,0)</f>
        <v>0.5636363636363636</v>
      </c>
      <c r="M741" s="10">
        <f>IF(M27&gt;0,M129/M27,0)</f>
        <v>0.34509803921568627</v>
      </c>
      <c r="N741" s="10">
        <f>IF(N27&gt;0,N129/N27,0)</f>
        <v>0.34615384615384615</v>
      </c>
      <c r="O741" s="10">
        <f>IF(O27&gt;0,O129/O27,0)</f>
        <v>0.3192090395480226</v>
      </c>
      <c r="P741" s="10">
        <f>IF(P27&gt;0,P129/P27,0)</f>
        <v>0.32432432432432434</v>
      </c>
      <c r="Q741" s="10">
        <f>IF(Q27&gt;0,Q129/Q27,0)</f>
        <v>0.29577464788732394</v>
      </c>
      <c r="R741" s="10">
        <f>IF(R27&gt;0,R129/R27,0)</f>
        <v>0.2857142857142857</v>
      </c>
      <c r="S741" s="10">
        <f>IF(S27&gt;0,S129/S27,0)</f>
        <v>0.2857142857142857</v>
      </c>
    </row>
    <row r="742">
      <c r="A742" s="14" t="s">
        <v>117</v>
      </c>
      <c r="B742" s="2" t="s">
        <v>368</v>
      </c>
      <c r="C742" s="10">
        <f>IF(C28&gt;0,C130/C28,0)</f>
        <v>1</v>
      </c>
      <c r="D742" s="10">
        <f>IF(D28&gt;0,D130/D28,0)</f>
        <v>1</v>
      </c>
      <c r="E742" s="10">
        <f>IF(E28&gt;0,E130/E28,0)</f>
        <v>1</v>
      </c>
      <c r="F742" s="10">
        <f>IF(F28&gt;0,F130/F28,0)</f>
        <v>1</v>
      </c>
      <c r="G742" s="10">
        <f>IF(G28&gt;0,G130/G28,0)</f>
        <v>1</v>
      </c>
      <c r="H742" s="10">
        <f>IF(H28&gt;0,H130/H28,0)</f>
        <v>1</v>
      </c>
      <c r="I742" s="10">
        <f>IF(I28&gt;0,I130/I28,0)</f>
        <v>1</v>
      </c>
      <c r="J742" s="10">
        <f>IF(J28&gt;0,J130/J28,0)</f>
        <v>1</v>
      </c>
      <c r="K742" s="10">
        <f>IF(K28&gt;0,K130/K28,0)</f>
        <v>1</v>
      </c>
      <c r="L742" s="10">
        <f>IF(L28&gt;0,L130/L28,0)</f>
        <v>1</v>
      </c>
      <c r="M742" s="10">
        <f>IF(M28&gt;0,M130/M28,0)</f>
        <v>1</v>
      </c>
      <c r="N742" s="10">
        <f>IF(N28&gt;0,N130/N28,0)</f>
        <v>1</v>
      </c>
      <c r="O742" s="10">
        <f>IF(O28&gt;0,O130/O28,0)</f>
        <v>1</v>
      </c>
      <c r="P742" s="10">
        <f>IF(P28&gt;0,P130/P28,0)</f>
        <v>1</v>
      </c>
      <c r="Q742" s="10">
        <f>IF(Q28&gt;0,Q130/Q28,0)</f>
        <v>1</v>
      </c>
      <c r="R742" s="10">
        <f>IF(R28&gt;0,R130/R28,0)</f>
        <v>1</v>
      </c>
      <c r="S742" s="10">
        <f>IF(S28&gt;0,S130/S28,0)</f>
        <v>1</v>
      </c>
    </row>
    <row r="743">
      <c r="A743" s="14" t="s">
        <v>118</v>
      </c>
      <c r="B743" s="2" t="s">
        <v>368</v>
      </c>
      <c r="C743" s="10">
        <f>IF(C29&gt;0,C131/C29,0)</f>
        <v>0.045454545454545456</v>
      </c>
      <c r="D743" s="10">
        <f>IF(D29&gt;0,D131/D29,0)</f>
        <v>0.045454545454545456</v>
      </c>
      <c r="E743" s="10">
        <f>IF(E29&gt;0,E131/E29,0)</f>
        <v>0.047619047619047616</v>
      </c>
      <c r="F743" s="10">
        <f>IF(F29&gt;0,F131/F29,0)</f>
        <v>0.045454545454545456</v>
      </c>
      <c r="G743" s="10">
        <f>IF(G29&gt;0,G131/G29,0)</f>
        <v>0.05</v>
      </c>
      <c r="H743" s="10">
        <f>IF(H29&gt;0,H131/H29,0)</f>
        <v>0.09803921568627451</v>
      </c>
      <c r="I743" s="10">
        <f>IF(I29&gt;0,I131/I29,0)</f>
        <v>0.0847457627118644</v>
      </c>
      <c r="J743" s="10">
        <f>IF(J29&gt;0,J131/J29,0)</f>
        <v>0.1</v>
      </c>
      <c r="K743" s="10">
        <f>IF(K29&gt;0,K131/K29,0)</f>
        <v>0.10714285714285714</v>
      </c>
      <c r="L743" s="10">
        <f>IF(L29&gt;0,L131/L29,0)</f>
        <v>0.07692307692307693</v>
      </c>
      <c r="M743" s="10">
        <f>IF(M29&gt;0,M131/M29,0)</f>
        <v>0.07692307692307693</v>
      </c>
      <c r="N743" s="10">
        <f>IF(N29&gt;0,N131/N29,0)</f>
        <v>0.08333333333333333</v>
      </c>
      <c r="O743" s="10">
        <f>IF(O29&gt;0,O131/O29,0)</f>
        <v>0.07692307692307693</v>
      </c>
      <c r="P743" s="10">
        <f>IF(P29&gt;0,P131/P29,0)</f>
        <v>0.08333333333333333</v>
      </c>
      <c r="Q743" s="10">
        <f>IF(Q29&gt;0,Q131/Q29,0)</f>
        <v>0.08333333333333333</v>
      </c>
      <c r="R743" s="10">
        <f>IF(R29&gt;0,R131/R29,0)</f>
        <v>0.08333333333333333</v>
      </c>
      <c r="S743" s="10">
        <f>IF(S29&gt;0,S131/S29,0)</f>
        <v>0.08333333333333333</v>
      </c>
    </row>
    <row r="744">
      <c r="A744" s="14" t="s">
        <v>383</v>
      </c>
      <c r="B744" s="2" t="s">
        <v>368</v>
      </c>
      <c r="C744" s="10">
        <f>IF(C30&gt;0,C132/C30,0)</f>
        <v>0.1258741258741259</v>
      </c>
      <c r="D744" s="10">
        <f>IF(D30&gt;0,D132/D30,0)</f>
        <v>0.12244897959183673</v>
      </c>
      <c r="E744" s="10">
        <f>IF(E30&gt;0,E132/E30,0)</f>
        <v>0.09345794392523364</v>
      </c>
      <c r="F744" s="10">
        <f>IF(F30&gt;0,F132/F30,0)</f>
        <v>0.11764705882352941</v>
      </c>
      <c r="G744" s="10">
        <f>IF(G30&gt;0,G132/G30,0)</f>
        <v>0.08695652173913043</v>
      </c>
      <c r="H744" s="10">
        <f>IF(H30&gt;0,H132/H30,0)</f>
        <v>0.08</v>
      </c>
      <c r="I744" s="10">
        <f>IF(I30&gt;0,I132/I30,0)</f>
        <v>0.1</v>
      </c>
      <c r="J744" s="10">
        <f>IF(J30&gt;0,J132/J30,0)</f>
        <v>0.11764705882352941</v>
      </c>
      <c r="K744" s="10">
        <f>IF(K30&gt;0,K132/K30,0)</f>
        <v>0.1111111111111111</v>
      </c>
      <c r="L744" s="10">
        <f>IF(L30&gt;0,L132/L30,0)</f>
        <v>0.10526315789473684</v>
      </c>
      <c r="M744" s="10">
        <f>IF(M30&gt;0,M132/M30,0)</f>
        <v>0.125</v>
      </c>
      <c r="N744" s="10">
        <f>IF(N30&gt;0,N132/N30,0)</f>
        <v>0.09090909090909091</v>
      </c>
      <c r="O744" s="10">
        <f>IF(O30&gt;0,O132/O30,0)</f>
        <v>0.18518518518518517</v>
      </c>
      <c r="P744" s="10">
        <f>IF(P30&gt;0,P132/P30,0)</f>
        <v>0.11627906976744186</v>
      </c>
      <c r="Q744" s="10">
        <f>IF(Q30&gt;0,Q132/Q30,0)</f>
        <v>0.12195121951219512</v>
      </c>
      <c r="R744" s="10">
        <f>IF(R30&gt;0,R132/R30,0)</f>
        <v>0.1111111111111111</v>
      </c>
      <c r="S744" s="10">
        <f>IF(S30&gt;0,S132/S30,0)</f>
        <v>0.11627906976744186</v>
      </c>
    </row>
    <row r="745">
      <c r="A745" s="14" t="s">
        <v>384</v>
      </c>
      <c r="B745" s="2" t="s">
        <v>368</v>
      </c>
      <c r="C745" s="10">
        <f>IF(C31&gt;0,C133/C31,0)</f>
        <v>0.37735849056603776</v>
      </c>
      <c r="D745" s="10">
        <f>IF(D31&gt;0,D133/D31,0)</f>
        <v>0.35294117647058826</v>
      </c>
      <c r="E745" s="10">
        <f>IF(E31&gt;0,E133/E31,0)</f>
        <v>0.34782608695652173</v>
      </c>
      <c r="F745" s="10">
        <f>IF(F31&gt;0,F133/F31,0)</f>
        <v>0.2916666666666667</v>
      </c>
      <c r="G745" s="10">
        <f>IF(G31&gt;0,G133/G31,0)</f>
        <v>0.3181818181818182</v>
      </c>
      <c r="H745" s="10">
        <f>IF(H31&gt;0,H133/H31,0)</f>
        <v>0.3181818181818182</v>
      </c>
      <c r="I745" s="10">
        <f>IF(I31&gt;0,I133/I31,0)</f>
        <v>0.30434782608695654</v>
      </c>
      <c r="J745" s="10">
        <f>IF(J31&gt;0,J133/J31,0)</f>
        <v>0.3</v>
      </c>
      <c r="K745" s="10">
        <f>IF(K31&gt;0,K133/K31,0)</f>
        <v>0.2857142857142857</v>
      </c>
      <c r="L745" s="10">
        <f>IF(L31&gt;0,L133/L31,0)</f>
        <v>0.29411764705882354</v>
      </c>
      <c r="M745" s="10">
        <f>IF(M31&gt;0,M133/M31,0)</f>
        <v>0.3</v>
      </c>
      <c r="N745" s="10">
        <f>IF(N31&gt;0,N133/N31,0)</f>
        <v>0.25925925925925924</v>
      </c>
      <c r="O745" s="10">
        <f>IF(O31&gt;0,O133/O31,0)</f>
        <v>0.29411764705882354</v>
      </c>
      <c r="P745" s="10">
        <f>IF(P31&gt;0,P133/P31,0)</f>
        <v>0.3333333333333333</v>
      </c>
      <c r="Q745" s="10">
        <f>IF(Q31&gt;0,Q133/Q31,0)</f>
        <v>0.29411764705882354</v>
      </c>
      <c r="R745" s="10">
        <f>IF(R31&gt;0,R133/R31,0)</f>
        <v>0.3125</v>
      </c>
      <c r="S745" s="10">
        <f>IF(S31&gt;0,S133/S31,0)</f>
        <v>0.3125</v>
      </c>
    </row>
    <row r="746">
      <c r="A746" s="14" t="s">
        <v>121</v>
      </c>
      <c r="B746" s="2" t="s">
        <v>368</v>
      </c>
      <c r="C746" s="10">
        <f>IF(C32&gt;0,C134/C32,0)</f>
        <v>1</v>
      </c>
      <c r="D746" s="10">
        <f>IF(D32&gt;0,D134/D32,0)</f>
        <v>1</v>
      </c>
      <c r="E746" s="10">
        <f>IF(E32&gt;0,E134/E32,0)</f>
        <v>1</v>
      </c>
      <c r="F746" s="10">
        <f>IF(F32&gt;0,F134/F32,0)</f>
        <v>1</v>
      </c>
      <c r="G746" s="10">
        <f>IF(G32&gt;0,G134/G32,0)</f>
        <v>1</v>
      </c>
      <c r="H746" s="10">
        <f>IF(H32&gt;0,H134/H32,0)</f>
        <v>1</v>
      </c>
      <c r="I746" s="10">
        <f>IF(I32&gt;0,I134/I32,0)</f>
        <v>1</v>
      </c>
      <c r="J746" s="10">
        <f>IF(J32&gt;0,J134/J32,0)</f>
        <v>1</v>
      </c>
      <c r="K746" s="10">
        <f>IF(K32&gt;0,K134/K32,0)</f>
        <v>1</v>
      </c>
      <c r="L746" s="10">
        <f>IF(L32&gt;0,L134/L32,0)</f>
        <v>1</v>
      </c>
      <c r="M746" s="10">
        <f>IF(M32&gt;0,M134/M32,0)</f>
        <v>1</v>
      </c>
      <c r="N746" s="10">
        <f>IF(N32&gt;0,N134/N32,0)</f>
        <v>1</v>
      </c>
      <c r="O746" s="10">
        <f>IF(O32&gt;0,O134/O32,0)</f>
        <v>1</v>
      </c>
      <c r="P746" s="10">
        <f>IF(P32&gt;0,P134/P32,0)</f>
        <v>1</v>
      </c>
      <c r="Q746" s="10">
        <f>IF(Q32&gt;0,Q134/Q32,0)</f>
        <v>1</v>
      </c>
      <c r="R746" s="10">
        <f>IF(R32&gt;0,R134/R32,0)</f>
        <v>1</v>
      </c>
      <c r="S746" s="10">
        <f>IF(S32&gt;0,S134/S32,0)</f>
        <v>1</v>
      </c>
    </row>
    <row r="747">
      <c r="A747" s="14" t="s">
        <v>385</v>
      </c>
      <c r="B747" s="2" t="s">
        <v>368</v>
      </c>
      <c r="C747" s="10">
        <f>IF(C33&gt;0,C135/C33,0)</f>
        <v>1</v>
      </c>
      <c r="D747" s="10">
        <f>IF(D33&gt;0,D135/D33,0)</f>
        <v>1</v>
      </c>
      <c r="E747" s="10">
        <f>IF(E33&gt;0,E135/E33,0)</f>
        <v>1</v>
      </c>
      <c r="F747" s="10">
        <f>IF(F33&gt;0,F135/F33,0)</f>
        <v>1</v>
      </c>
      <c r="G747" s="10">
        <f>IF(G33&gt;0,G135/G33,0)</f>
        <v>1</v>
      </c>
      <c r="H747" s="10">
        <f>IF(H33&gt;0,H135/H33,0)</f>
        <v>1</v>
      </c>
      <c r="I747" s="10">
        <f>IF(I33&gt;0,I135/I33,0)</f>
        <v>1</v>
      </c>
      <c r="J747" s="10">
        <f>IF(J33&gt;0,J135/J33,0)</f>
        <v>1</v>
      </c>
      <c r="K747" s="10">
        <f>IF(K33&gt;0,K135/K33,0)</f>
        <v>1</v>
      </c>
      <c r="L747" s="10">
        <f>IF(L33&gt;0,L135/L33,0)</f>
        <v>1</v>
      </c>
      <c r="M747" s="10">
        <f>IF(M33&gt;0,M135/M33,0)</f>
        <v>1</v>
      </c>
      <c r="N747" s="10">
        <f>IF(N33&gt;0,N135/N33,0)</f>
        <v>1</v>
      </c>
      <c r="O747" s="10">
        <f>IF(O33&gt;0,O135/O33,0)</f>
        <v>1</v>
      </c>
      <c r="P747" s="10">
        <f>IF(P33&gt;0,P135/P33,0)</f>
        <v>1</v>
      </c>
      <c r="Q747" s="10">
        <f>IF(Q33&gt;0,Q135/Q33,0)</f>
        <v>1</v>
      </c>
      <c r="R747" s="10">
        <f>IF(R33&gt;0,R135/R33,0)</f>
        <v>1</v>
      </c>
      <c r="S747" s="10">
        <f>IF(S33&gt;0,S135/S33,0)</f>
        <v>1</v>
      </c>
    </row>
    <row r="748">
      <c r="A748" s="14" t="s">
        <v>386</v>
      </c>
      <c r="B748" s="2" t="s">
        <v>368</v>
      </c>
      <c r="C748" s="10">
        <f>IF(C34&gt;0,C136/C34,0)</f>
        <v>0</v>
      </c>
      <c r="D748" s="10">
        <f>IF(D34&gt;0,D136/D34,0)</f>
        <v>0</v>
      </c>
      <c r="E748" s="10">
        <f>IF(E34&gt;0,E136/E34,0)</f>
        <v>0</v>
      </c>
      <c r="F748" s="10">
        <f>IF(F34&gt;0,F136/F34,0)</f>
        <v>0</v>
      </c>
      <c r="G748" s="10">
        <f>IF(G34&gt;0,G136/G34,0)</f>
        <v>0</v>
      </c>
      <c r="H748" s="10">
        <f>IF(H34&gt;0,H136/H34,0)</f>
        <v>0</v>
      </c>
      <c r="I748" s="10">
        <f>IF(I34&gt;0,I136/I34,0)</f>
        <v>0</v>
      </c>
      <c r="J748" s="10">
        <f>IF(J34&gt;0,J136/J34,0)</f>
        <v>0</v>
      </c>
      <c r="K748" s="10">
        <f>IF(K34&gt;0,K136/K34,0)</f>
        <v>0</v>
      </c>
      <c r="L748" s="10">
        <f>IF(L34&gt;0,L136/L34,0)</f>
        <v>0</v>
      </c>
      <c r="M748" s="10">
        <f>IF(M34&gt;0,M136/M34,0)</f>
        <v>0</v>
      </c>
      <c r="N748" s="10">
        <f>IF(N34&gt;0,N136/N34,0)</f>
        <v>0</v>
      </c>
      <c r="O748" s="10">
        <f>IF(O34&gt;0,O136/O34,0)</f>
        <v>0</v>
      </c>
      <c r="P748" s="10">
        <f>IF(P34&gt;0,P136/P34,0)</f>
        <v>0</v>
      </c>
      <c r="Q748" s="10">
        <f>IF(Q34&gt;0,Q136/Q34,0)</f>
        <v>0</v>
      </c>
      <c r="R748" s="10">
        <f>IF(R34&gt;0,R136/R34,0)</f>
        <v>0</v>
      </c>
      <c r="S748" s="10">
        <f>IF(S34&gt;0,S136/S34,0)</f>
        <v>0</v>
      </c>
    </row>
    <row r="749">
      <c r="A749" s="14" t="s">
        <v>124</v>
      </c>
      <c r="B749" s="2" t="s">
        <v>368</v>
      </c>
      <c r="C749" s="10">
        <f>IF(C35&gt;0,C137/C35,0)</f>
        <v>1</v>
      </c>
      <c r="D749" s="10">
        <f>IF(D35&gt;0,D137/D35,0)</f>
        <v>1</v>
      </c>
      <c r="E749" s="10">
        <f>IF(E35&gt;0,E137/E35,0)</f>
        <v>1</v>
      </c>
      <c r="F749" s="10">
        <f>IF(F35&gt;0,F137/F35,0)</f>
        <v>1</v>
      </c>
      <c r="G749" s="10">
        <f>IF(G35&gt;0,G137/G35,0)</f>
        <v>1</v>
      </c>
      <c r="H749" s="10">
        <f>IF(H35&gt;0,H137/H35,0)</f>
        <v>1</v>
      </c>
      <c r="I749" s="10">
        <f>IF(I35&gt;0,I137/I35,0)</f>
        <v>1</v>
      </c>
      <c r="J749" s="10">
        <f>IF(J35&gt;0,J137/J35,0)</f>
        <v>1</v>
      </c>
      <c r="K749" s="10">
        <f>IF(K35&gt;0,K137/K35,0)</f>
        <v>1</v>
      </c>
      <c r="L749" s="10">
        <f>IF(L35&gt;0,L137/L35,0)</f>
        <v>1</v>
      </c>
      <c r="M749" s="10">
        <f>IF(M35&gt;0,M137/M35,0)</f>
        <v>1</v>
      </c>
      <c r="N749" s="10">
        <f>IF(N35&gt;0,N137/N35,0)</f>
        <v>1</v>
      </c>
      <c r="O749" s="10">
        <f>IF(O35&gt;0,O137/O35,0)</f>
        <v>1</v>
      </c>
      <c r="P749" s="10">
        <f>IF(P35&gt;0,P137/P35,0)</f>
        <v>1</v>
      </c>
      <c r="Q749" s="10">
        <f>IF(Q35&gt;0,Q137/Q35,0)</f>
        <v>1</v>
      </c>
      <c r="R749" s="10">
        <f>IF(R35&gt;0,R137/R35,0)</f>
        <v>1</v>
      </c>
      <c r="S749" s="10">
        <f>IF(S35&gt;0,S137/S35,0)</f>
        <v>1</v>
      </c>
    </row>
    <row r="750">
      <c r="A750" s="14" t="s">
        <v>125</v>
      </c>
      <c r="B750" s="2" t="s">
        <v>368</v>
      </c>
      <c r="C750" s="10">
        <f>IF(C36&gt;0,C138/C36,0)</f>
        <v>0</v>
      </c>
      <c r="D750" s="10">
        <f>IF(D36&gt;0,D138/D36,0)</f>
        <v>0</v>
      </c>
      <c r="E750" s="10">
        <f>IF(E36&gt;0,E138/E36,0)</f>
        <v>0</v>
      </c>
      <c r="F750" s="10">
        <f>IF(F36&gt;0,F138/F36,0)</f>
        <v>0</v>
      </c>
      <c r="G750" s="10">
        <f>IF(G36&gt;0,G138/G36,0)</f>
        <v>0</v>
      </c>
      <c r="H750" s="10">
        <f>IF(H36&gt;0,H138/H36,0)</f>
        <v>0</v>
      </c>
      <c r="I750" s="10">
        <f>IF(I36&gt;0,I138/I36,0)</f>
        <v>0</v>
      </c>
      <c r="J750" s="10">
        <f>IF(J36&gt;0,J138/J36,0)</f>
        <v>0</v>
      </c>
      <c r="K750" s="10">
        <f>IF(K36&gt;0,K138/K36,0)</f>
        <v>0</v>
      </c>
      <c r="L750" s="10">
        <f>IF(L36&gt;0,L138/L36,0)</f>
        <v>0</v>
      </c>
      <c r="M750" s="10">
        <f>IF(M36&gt;0,M138/M36,0)</f>
        <v>0</v>
      </c>
      <c r="N750" s="10">
        <f>IF(N36&gt;0,N138/N36,0)</f>
        <v>0</v>
      </c>
      <c r="O750" s="10">
        <f>IF(O36&gt;0,O138/O36,0)</f>
        <v>0</v>
      </c>
      <c r="P750" s="10">
        <f>IF(P36&gt;0,P138/P36,0)</f>
        <v>0</v>
      </c>
      <c r="Q750" s="10">
        <f>IF(Q36&gt;0,Q138/Q36,0)</f>
        <v>0</v>
      </c>
      <c r="R750" s="10">
        <f>IF(R36&gt;0,R138/R36,0)</f>
        <v>0</v>
      </c>
      <c r="S750" s="10">
        <f>IF(S36&gt;0,S138/S36,0)</f>
        <v>0</v>
      </c>
    </row>
    <row r="751">
      <c r="A751" s="14" t="s">
        <v>387</v>
      </c>
      <c r="B751" s="2" t="s">
        <v>368</v>
      </c>
      <c r="C751" s="10">
        <f>IF(C37&gt;0,C139/C37,0)</f>
        <v>1</v>
      </c>
      <c r="D751" s="10">
        <f>IF(D37&gt;0,D139/D37,0)</f>
        <v>1</v>
      </c>
      <c r="E751" s="10">
        <f>IF(E37&gt;0,E139/E37,0)</f>
        <v>1</v>
      </c>
      <c r="F751" s="10">
        <f>IF(F37&gt;0,F139/F37,0)</f>
        <v>1</v>
      </c>
      <c r="G751" s="10">
        <f>IF(G37&gt;0,G139/G37,0)</f>
        <v>1</v>
      </c>
      <c r="H751" s="10">
        <f>IF(H37&gt;0,H139/H37,0)</f>
        <v>1</v>
      </c>
      <c r="I751" s="10">
        <f>IF(I37&gt;0,I139/I37,0)</f>
        <v>1</v>
      </c>
      <c r="J751" s="10">
        <f>IF(J37&gt;0,J139/J37,0)</f>
        <v>1</v>
      </c>
      <c r="K751" s="10">
        <f>IF(K37&gt;0,K139/K37,0)</f>
        <v>1</v>
      </c>
      <c r="L751" s="10">
        <f>IF(L37&gt;0,L139/L37,0)</f>
        <v>1</v>
      </c>
      <c r="M751" s="10">
        <f>IF(M37&gt;0,M139/M37,0)</f>
        <v>1</v>
      </c>
      <c r="N751" s="10">
        <f>IF(N37&gt;0,N139/N37,0)</f>
        <v>1</v>
      </c>
      <c r="O751" s="10">
        <f>IF(O37&gt;0,O139/O37,0)</f>
        <v>1</v>
      </c>
      <c r="P751" s="10">
        <f>IF(P37&gt;0,P139/P37,0)</f>
        <v>1</v>
      </c>
      <c r="Q751" s="10">
        <f>IF(Q37&gt;0,Q139/Q37,0)</f>
        <v>1</v>
      </c>
      <c r="R751" s="10">
        <f>IF(R37&gt;0,R139/R37,0)</f>
        <v>1</v>
      </c>
      <c r="S751" s="10">
        <f>IF(S37&gt;0,S139/S37,0)</f>
        <v>1</v>
      </c>
    </row>
    <row r="752">
      <c r="A752" s="14" t="s">
        <v>127</v>
      </c>
      <c r="B752" s="2" t="s">
        <v>368</v>
      </c>
      <c r="C752" s="10">
        <f>IF(C38&gt;0,C140/C38,0)</f>
        <v>0</v>
      </c>
      <c r="D752" s="10">
        <f>IF(D38&gt;0,D140/D38,0)</f>
        <v>0</v>
      </c>
      <c r="E752" s="10">
        <f>IF(E38&gt;0,E140/E38,0)</f>
        <v>0</v>
      </c>
      <c r="F752" s="10">
        <f>IF(F38&gt;0,F140/F38,0)</f>
        <v>0</v>
      </c>
      <c r="G752" s="10">
        <f>IF(G38&gt;0,G140/G38,0)</f>
        <v>0</v>
      </c>
      <c r="H752" s="10">
        <f>IF(H38&gt;0,H140/H38,0)</f>
        <v>0</v>
      </c>
      <c r="I752" s="10">
        <f>IF(I38&gt;0,I140/I38,0)</f>
        <v>0</v>
      </c>
      <c r="J752" s="10">
        <f>IF(J38&gt;0,J140/J38,0)</f>
        <v>0</v>
      </c>
      <c r="K752" s="10">
        <f>IF(K38&gt;0,K140/K38,0)</f>
        <v>0</v>
      </c>
      <c r="L752" s="10">
        <f>IF(L38&gt;0,L140/L38,0)</f>
        <v>0</v>
      </c>
      <c r="M752" s="10">
        <f>IF(M38&gt;0,M140/M38,0)</f>
        <v>0</v>
      </c>
      <c r="N752" s="10">
        <f>IF(N38&gt;0,N140/N38,0)</f>
        <v>0</v>
      </c>
      <c r="O752" s="10">
        <f>IF(O38&gt;0,O140/O38,0)</f>
        <v>0</v>
      </c>
      <c r="P752" s="10">
        <f>IF(P38&gt;0,P140/P38,0)</f>
        <v>0</v>
      </c>
      <c r="Q752" s="10">
        <f>IF(Q38&gt;0,Q140/Q38,0)</f>
        <v>0</v>
      </c>
      <c r="R752" s="10">
        <f>IF(R38&gt;0,R140/R38,0)</f>
        <v>0</v>
      </c>
      <c r="S752" s="10">
        <f>IF(S38&gt;0,S140/S38,0)</f>
        <v>0</v>
      </c>
    </row>
    <row r="753">
      <c r="A753" s="14" t="s">
        <v>128</v>
      </c>
      <c r="B753" s="2" t="s">
        <v>368</v>
      </c>
      <c r="C753" s="10">
        <f>IF(C39&gt;0,C141/C39,0)</f>
        <v>0</v>
      </c>
      <c r="D753" s="10">
        <f>IF(D39&gt;0,D141/D39,0)</f>
        <v>0</v>
      </c>
      <c r="E753" s="10">
        <f>IF(E39&gt;0,E141/E39,0)</f>
        <v>0</v>
      </c>
      <c r="F753" s="10">
        <f>IF(F39&gt;0,F141/F39,0)</f>
        <v>0</v>
      </c>
      <c r="G753" s="10">
        <f>IF(G39&gt;0,G141/G39,0)</f>
        <v>0</v>
      </c>
      <c r="H753" s="10">
        <f>IF(H39&gt;0,H141/H39,0)</f>
        <v>0</v>
      </c>
      <c r="I753" s="10">
        <f>IF(I39&gt;0,I141/I39,0)</f>
        <v>0</v>
      </c>
      <c r="J753" s="10">
        <f>IF(J39&gt;0,J141/J39,0)</f>
        <v>0</v>
      </c>
      <c r="K753" s="10">
        <f>IF(K39&gt;0,K141/K39,0)</f>
        <v>0</v>
      </c>
      <c r="L753" s="10">
        <f>IF(L39&gt;0,L141/L39,0)</f>
        <v>0</v>
      </c>
      <c r="M753" s="10">
        <f>IF(M39&gt;0,M141/M39,0)</f>
        <v>0</v>
      </c>
      <c r="N753" s="10">
        <f>IF(N39&gt;0,N141/N39,0)</f>
        <v>0</v>
      </c>
      <c r="O753" s="10">
        <f>IF(O39&gt;0,O141/O39,0)</f>
        <v>0</v>
      </c>
      <c r="P753" s="10">
        <f>IF(P39&gt;0,P141/P39,0)</f>
        <v>0</v>
      </c>
      <c r="Q753" s="10">
        <f>IF(Q39&gt;0,Q141/Q39,0)</f>
        <v>0</v>
      </c>
      <c r="R753" s="10">
        <f>IF(R39&gt;0,R141/R39,0)</f>
        <v>0</v>
      </c>
      <c r="S753" s="10">
        <f>IF(S39&gt;0,S141/S39,0)</f>
        <v>0</v>
      </c>
    </row>
    <row r="754">
      <c r="A754" s="14" t="s">
        <v>388</v>
      </c>
      <c r="B754" s="2" t="s">
        <v>368</v>
      </c>
      <c r="C754" s="10">
        <f>IF(C40&gt;0,C142/C40,0)</f>
        <v>1</v>
      </c>
      <c r="D754" s="10">
        <f>IF(D40&gt;0,D142/D40,0)</f>
        <v>1</v>
      </c>
      <c r="E754" s="10">
        <f>IF(E40&gt;0,E142/E40,0)</f>
        <v>1</v>
      </c>
      <c r="F754" s="10">
        <f>IF(F40&gt;0,F142/F40,0)</f>
        <v>1</v>
      </c>
      <c r="G754" s="10">
        <f>IF(G40&gt;0,G142/G40,0)</f>
        <v>1</v>
      </c>
      <c r="H754" s="10">
        <f>IF(H40&gt;0,H142/H40,0)</f>
        <v>1</v>
      </c>
      <c r="I754" s="10">
        <f>IF(I40&gt;0,I142/I40,0)</f>
        <v>1</v>
      </c>
      <c r="J754" s="10">
        <f>IF(J40&gt;0,J142/J40,0)</f>
        <v>1</v>
      </c>
      <c r="K754" s="10">
        <f>IF(K40&gt;0,K142/K40,0)</f>
        <v>1</v>
      </c>
      <c r="L754" s="10">
        <f>IF(L40&gt;0,L142/L40,0)</f>
        <v>1</v>
      </c>
      <c r="M754" s="10">
        <f>IF(M40&gt;0,M142/M40,0)</f>
        <v>1</v>
      </c>
      <c r="N754" s="10">
        <f>IF(N40&gt;0,N142/N40,0)</f>
        <v>1</v>
      </c>
      <c r="O754" s="10">
        <f>IF(O40&gt;0,O142/O40,0)</f>
        <v>1</v>
      </c>
      <c r="P754" s="10">
        <f>IF(P40&gt;0,P142/P40,0)</f>
        <v>1</v>
      </c>
      <c r="Q754" s="10">
        <f>IF(Q40&gt;0,Q142/Q40,0)</f>
        <v>1</v>
      </c>
      <c r="R754" s="10">
        <f>IF(R40&gt;0,R142/R40,0)</f>
        <v>1</v>
      </c>
      <c r="S754" s="10">
        <f>IF(S40&gt;0,S142/S40,0)</f>
        <v>1</v>
      </c>
    </row>
    <row r="755">
      <c r="A755" s="14" t="s">
        <v>389</v>
      </c>
      <c r="B755" s="2" t="s">
        <v>368</v>
      </c>
      <c r="C755" s="10">
        <f>IF(C41&gt;0,C143/C41,0)</f>
        <v>0</v>
      </c>
      <c r="D755" s="10">
        <f>IF(D41&gt;0,D143/D41,0)</f>
        <v>0</v>
      </c>
      <c r="E755" s="10">
        <f>IF(E41&gt;0,E143/E41,0)</f>
        <v>0</v>
      </c>
      <c r="F755" s="10">
        <f>IF(F41&gt;0,F143/F41,0)</f>
        <v>0</v>
      </c>
      <c r="G755" s="10">
        <f>IF(G41&gt;0,G143/G41,0)</f>
        <v>0</v>
      </c>
      <c r="H755" s="10">
        <f>IF(H41&gt;0,H143/H41,0)</f>
        <v>0</v>
      </c>
      <c r="I755" s="10">
        <f>IF(I41&gt;0,I143/I41,0)</f>
        <v>0</v>
      </c>
      <c r="J755" s="10">
        <f>IF(J41&gt;0,J143/J41,0)</f>
        <v>0</v>
      </c>
      <c r="K755" s="10">
        <f>IF(K41&gt;0,K143/K41,0)</f>
        <v>0</v>
      </c>
      <c r="L755" s="10">
        <f>IF(L41&gt;0,L143/L41,0)</f>
        <v>0</v>
      </c>
      <c r="M755" s="10">
        <f>IF(M41&gt;0,M143/M41,0)</f>
        <v>0</v>
      </c>
      <c r="N755" s="10">
        <f>IF(N41&gt;0,N143/N41,0)</f>
        <v>0</v>
      </c>
      <c r="O755" s="10">
        <f>IF(O41&gt;0,O143/O41,0)</f>
        <v>0</v>
      </c>
      <c r="P755" s="10">
        <f>IF(P41&gt;0,P143/P41,0)</f>
        <v>0</v>
      </c>
      <c r="Q755" s="10">
        <f>IF(Q41&gt;0,Q143/Q41,0)</f>
        <v>0</v>
      </c>
      <c r="R755" s="10">
        <f>IF(R41&gt;0,R143/R41,0)</f>
        <v>0</v>
      </c>
      <c r="S755" s="10">
        <f>IF(S41&gt;0,S143/S41,0)</f>
        <v>0</v>
      </c>
    </row>
    <row r="756">
      <c r="A756" s="14" t="s">
        <v>131</v>
      </c>
      <c r="B756" s="2" t="s">
        <v>368</v>
      </c>
      <c r="C756" s="10">
        <f>IF(C42&gt;0,C144/C42,0)</f>
        <v>0</v>
      </c>
      <c r="D756" s="10">
        <f>IF(D42&gt;0,D144/D42,0)</f>
        <v>0</v>
      </c>
      <c r="E756" s="10">
        <f>IF(E42&gt;0,E144/E42,0)</f>
        <v>0</v>
      </c>
      <c r="F756" s="10">
        <f>IF(F42&gt;0,F144/F42,0)</f>
        <v>0</v>
      </c>
      <c r="G756" s="10">
        <f>IF(G42&gt;0,G144/G42,0)</f>
        <v>0</v>
      </c>
      <c r="H756" s="10">
        <f>IF(H42&gt;0,H144/H42,0)</f>
        <v>0</v>
      </c>
      <c r="I756" s="10">
        <f>IF(I42&gt;0,I144/I42,0)</f>
        <v>0</v>
      </c>
      <c r="J756" s="10">
        <f>IF(J42&gt;0,J144/J42,0)</f>
        <v>0</v>
      </c>
      <c r="K756" s="10">
        <f>IF(K42&gt;0,K144/K42,0)</f>
        <v>0</v>
      </c>
      <c r="L756" s="10">
        <f>IF(L42&gt;0,L144/L42,0)</f>
        <v>0</v>
      </c>
      <c r="M756" s="10">
        <f>IF(M42&gt;0,M144/M42,0)</f>
        <v>0</v>
      </c>
      <c r="N756" s="10">
        <f>IF(N42&gt;0,N144/N42,0)</f>
        <v>0</v>
      </c>
      <c r="O756" s="10">
        <f>IF(O42&gt;0,O144/O42,0)</f>
        <v>0</v>
      </c>
      <c r="P756" s="10">
        <f>IF(P42&gt;0,P144/P42,0)</f>
        <v>0</v>
      </c>
      <c r="Q756" s="10">
        <f>IF(Q42&gt;0,Q144/Q42,0)</f>
        <v>0</v>
      </c>
      <c r="R756" s="10">
        <f>IF(R42&gt;0,R144/R42,0)</f>
        <v>0</v>
      </c>
      <c r="S756" s="10">
        <f>IF(S42&gt;0,S144/S42,0)</f>
        <v>0</v>
      </c>
    </row>
    <row r="757">
      <c r="A757" s="14" t="s">
        <v>390</v>
      </c>
      <c r="B757" s="2" t="s">
        <v>368</v>
      </c>
      <c r="C757" s="10">
        <f>IF(C43&gt;0,C145/C43,0)</f>
        <v>1</v>
      </c>
      <c r="D757" s="10">
        <f>IF(D43&gt;0,D145/D43,0)</f>
        <v>1</v>
      </c>
      <c r="E757" s="10">
        <f>IF(E43&gt;0,E145/E43,0)</f>
        <v>1</v>
      </c>
      <c r="F757" s="10">
        <f>IF(F43&gt;0,F145/F43,0)</f>
        <v>1</v>
      </c>
      <c r="G757" s="10">
        <f>IF(G43&gt;0,G145/G43,0)</f>
        <v>1</v>
      </c>
      <c r="H757" s="10">
        <f>IF(H43&gt;0,H145/H43,0)</f>
        <v>0</v>
      </c>
      <c r="I757" s="10">
        <f>IF(I43&gt;0,I145/I43,0)</f>
        <v>0</v>
      </c>
      <c r="J757" s="10">
        <f>IF(J43&gt;0,J145/J43,0)</f>
        <v>0</v>
      </c>
      <c r="K757" s="10">
        <f>IF(K43&gt;0,K145/K43,0)</f>
        <v>0</v>
      </c>
      <c r="L757" s="10">
        <f>IF(L43&gt;0,L145/L43,0)</f>
        <v>0</v>
      </c>
      <c r="M757" s="10">
        <f>IF(M43&gt;0,M145/M43,0)</f>
        <v>0</v>
      </c>
      <c r="N757" s="10">
        <f>IF(N43&gt;0,N145/N43,0)</f>
        <v>0</v>
      </c>
      <c r="O757" s="10">
        <f>IF(O43&gt;0,O145/O43,0)</f>
        <v>0</v>
      </c>
      <c r="P757" s="10">
        <f>IF(P43&gt;0,P145/P43,0)</f>
        <v>0</v>
      </c>
      <c r="Q757" s="10">
        <f>IF(Q43&gt;0,Q145/Q43,0)</f>
        <v>0</v>
      </c>
      <c r="R757" s="10">
        <f>IF(R43&gt;0,R145/R43,0)</f>
        <v>0</v>
      </c>
      <c r="S757" s="10">
        <f>IF(S43&gt;0,S145/S43,0)</f>
        <v>0</v>
      </c>
    </row>
    <row r="758">
      <c r="A758" s="14" t="s">
        <v>133</v>
      </c>
      <c r="B758" s="2" t="s">
        <v>368</v>
      </c>
      <c r="C758" s="10">
        <f>IF(C44&gt;0,C146/C44,0)</f>
        <v>0</v>
      </c>
      <c r="D758" s="10">
        <f>IF(D44&gt;0,D146/D44,0)</f>
        <v>0</v>
      </c>
      <c r="E758" s="10">
        <f>IF(E44&gt;0,E146/E44,0)</f>
        <v>0</v>
      </c>
      <c r="F758" s="10">
        <f>IF(F44&gt;0,F146/F44,0)</f>
        <v>0</v>
      </c>
      <c r="G758" s="10">
        <f>IF(G44&gt;0,G146/G44,0)</f>
        <v>0</v>
      </c>
      <c r="H758" s="10">
        <f>IF(H44&gt;0,H146/H44,0)</f>
        <v>0</v>
      </c>
      <c r="I758" s="10">
        <f>IF(I44&gt;0,I146/I44,0)</f>
        <v>0</v>
      </c>
      <c r="J758" s="10">
        <f>IF(J44&gt;0,J146/J44,0)</f>
        <v>0</v>
      </c>
      <c r="K758" s="10">
        <f>IF(K44&gt;0,K146/K44,0)</f>
        <v>0</v>
      </c>
      <c r="L758" s="10">
        <f>IF(L44&gt;0,L146/L44,0)</f>
        <v>0</v>
      </c>
      <c r="M758" s="10">
        <f>IF(M44&gt;0,M146/M44,0)</f>
        <v>0</v>
      </c>
      <c r="N758" s="10">
        <f>IF(N44&gt;0,N146/N44,0)</f>
        <v>0</v>
      </c>
      <c r="O758" s="10">
        <f>IF(O44&gt;0,O146/O44,0)</f>
        <v>0</v>
      </c>
      <c r="P758" s="10">
        <f>IF(P44&gt;0,P146/P44,0)</f>
        <v>0</v>
      </c>
      <c r="Q758" s="10">
        <f>IF(Q44&gt;0,Q146/Q44,0)</f>
        <v>0</v>
      </c>
      <c r="R758" s="10">
        <f>IF(R44&gt;0,R146/R44,0)</f>
        <v>0</v>
      </c>
      <c r="S758" s="10">
        <f>IF(S44&gt;0,S146/S44,0)</f>
        <v>0</v>
      </c>
    </row>
    <row r="759">
      <c r="A759" s="14" t="s">
        <v>134</v>
      </c>
      <c r="B759" s="2" t="s">
        <v>368</v>
      </c>
      <c r="C759" s="10">
        <f>IF(C45&gt;0,C147/C45,0)</f>
        <v>1</v>
      </c>
      <c r="D759" s="10">
        <f>IF(D45&gt;0,D147/D45,0)</f>
        <v>1</v>
      </c>
      <c r="E759" s="10">
        <f>IF(E45&gt;0,E147/E45,0)</f>
        <v>1</v>
      </c>
      <c r="F759" s="10">
        <f>IF(F45&gt;0,F147/F45,0)</f>
        <v>1</v>
      </c>
      <c r="G759" s="10">
        <f>IF(G45&gt;0,G147/G45,0)</f>
        <v>1</v>
      </c>
      <c r="H759" s="10">
        <f>IF(H45&gt;0,H147/H45,0)</f>
        <v>1</v>
      </c>
      <c r="I759" s="10">
        <f>IF(I45&gt;0,I147/I45,0)</f>
        <v>1</v>
      </c>
      <c r="J759" s="10">
        <f>IF(J45&gt;0,J147/J45,0)</f>
        <v>1</v>
      </c>
      <c r="K759" s="10">
        <f>IF(K45&gt;0,K147/K45,0)</f>
        <v>1</v>
      </c>
      <c r="L759" s="10">
        <f>IF(L45&gt;0,L147/L45,0)</f>
        <v>1</v>
      </c>
      <c r="M759" s="10">
        <f>IF(M45&gt;0,M147/M45,0)</f>
        <v>0</v>
      </c>
      <c r="N759" s="10">
        <f>IF(N45&gt;0,N147/N45,0)</f>
        <v>0</v>
      </c>
      <c r="O759" s="10">
        <f>IF(O45&gt;0,O147/O45,0)</f>
        <v>0</v>
      </c>
      <c r="P759" s="10">
        <f>IF(P45&gt;0,P147/P45,0)</f>
        <v>0</v>
      </c>
      <c r="Q759" s="10">
        <f>IF(Q45&gt;0,Q147/Q45,0)</f>
        <v>0</v>
      </c>
      <c r="R759" s="10">
        <f>IF(R45&gt;0,R147/R45,0)</f>
        <v>0</v>
      </c>
      <c r="S759" s="10">
        <f>IF(S45&gt;0,S147/S45,0)</f>
        <v>0</v>
      </c>
    </row>
    <row r="760">
      <c r="A760" s="14" t="s">
        <v>135</v>
      </c>
      <c r="B760" s="2" t="s">
        <v>368</v>
      </c>
      <c r="C760" s="10">
        <f>IF(C46&gt;0,C148/C46,0)</f>
        <v>0</v>
      </c>
      <c r="D760" s="10">
        <f>IF(D46&gt;0,D148/D46,0)</f>
        <v>0</v>
      </c>
      <c r="E760" s="10">
        <f>IF(E46&gt;0,E148/E46,0)</f>
        <v>0</v>
      </c>
      <c r="F760" s="10">
        <f>IF(F46&gt;0,F148/F46,0)</f>
        <v>0</v>
      </c>
      <c r="G760" s="10">
        <f>IF(G46&gt;0,G148/G46,0)</f>
        <v>0</v>
      </c>
      <c r="H760" s="10">
        <f>IF(H46&gt;0,H148/H46,0)</f>
        <v>0</v>
      </c>
      <c r="I760" s="10">
        <f>IF(I46&gt;0,I148/I46,0)</f>
        <v>0</v>
      </c>
      <c r="J760" s="10">
        <f>IF(J46&gt;0,J148/J46,0)</f>
        <v>0</v>
      </c>
      <c r="K760" s="10">
        <f>IF(K46&gt;0,K148/K46,0)</f>
        <v>0</v>
      </c>
      <c r="L760" s="10">
        <f>IF(L46&gt;0,L148/L46,0)</f>
        <v>0</v>
      </c>
      <c r="M760" s="10">
        <f>IF(M46&gt;0,M148/M46,0)</f>
        <v>0</v>
      </c>
      <c r="N760" s="10">
        <f>IF(N46&gt;0,N148/N46,0)</f>
        <v>0</v>
      </c>
      <c r="O760" s="10">
        <f>IF(O46&gt;0,O148/O46,0)</f>
        <v>0</v>
      </c>
      <c r="P760" s="10">
        <f>IF(P46&gt;0,P148/P46,0)</f>
        <v>0</v>
      </c>
      <c r="Q760" s="10">
        <f>IF(Q46&gt;0,Q148/Q46,0)</f>
        <v>0</v>
      </c>
      <c r="R760" s="10">
        <f>IF(R46&gt;0,R148/R46,0)</f>
        <v>0</v>
      </c>
      <c r="S760" s="10">
        <f>IF(S46&gt;0,S148/S46,0)</f>
        <v>0</v>
      </c>
    </row>
    <row r="761">
      <c r="A761" s="14" t="s">
        <v>391</v>
      </c>
      <c r="B761" s="2" t="s">
        <v>368</v>
      </c>
      <c r="C761" s="10">
        <f>IF(C47&gt;0,C149/C47,0)</f>
        <v>1</v>
      </c>
      <c r="D761" s="10">
        <f>IF(D47&gt;0,D149/D47,0)</f>
        <v>1</v>
      </c>
      <c r="E761" s="10">
        <f>IF(E47&gt;0,E149/E47,0)</f>
        <v>1</v>
      </c>
      <c r="F761" s="10">
        <f>IF(F47&gt;0,F149/F47,0)</f>
        <v>1</v>
      </c>
      <c r="G761" s="10">
        <f>IF(G47&gt;0,G149/G47,0)</f>
        <v>1</v>
      </c>
      <c r="H761" s="10">
        <f>IF(H47&gt;0,H149/H47,0)</f>
        <v>0</v>
      </c>
      <c r="I761" s="10">
        <f>IF(I47&gt;0,I149/I47,0)</f>
        <v>0</v>
      </c>
      <c r="J761" s="10">
        <f>IF(J47&gt;0,J149/J47,0)</f>
        <v>0</v>
      </c>
      <c r="K761" s="10">
        <f>IF(K47&gt;0,K149/K47,0)</f>
        <v>0</v>
      </c>
      <c r="L761" s="10">
        <f>IF(L47&gt;0,L149/L47,0)</f>
        <v>0</v>
      </c>
      <c r="M761" s="10">
        <f>IF(M47&gt;0,M149/M47,0)</f>
        <v>0</v>
      </c>
      <c r="N761" s="10">
        <f>IF(N47&gt;0,N149/N47,0)</f>
        <v>0</v>
      </c>
      <c r="O761" s="10">
        <f>IF(O47&gt;0,O149/O47,0)</f>
        <v>0</v>
      </c>
      <c r="P761" s="10">
        <f>IF(P47&gt;0,P149/P47,0)</f>
        <v>0</v>
      </c>
      <c r="Q761" s="10">
        <f>IF(Q47&gt;0,Q149/Q47,0)</f>
        <v>0</v>
      </c>
      <c r="R761" s="10">
        <f>IF(R47&gt;0,R149/R47,0)</f>
        <v>0</v>
      </c>
      <c r="S761" s="10">
        <f>IF(S47&gt;0,S149/S47,0)</f>
        <v>0</v>
      </c>
    </row>
    <row r="762">
      <c r="A762" s="14" t="s">
        <v>392</v>
      </c>
      <c r="B762" s="2" t="s">
        <v>393</v>
      </c>
      <c r="C762" s="10">
        <v>0</v>
      </c>
      <c r="D762" s="10">
        <v>0</v>
      </c>
      <c r="E762" s="10">
        <v>0</v>
      </c>
      <c r="F762" s="10">
        <v>0</v>
      </c>
      <c r="G762" s="10">
        <v>0</v>
      </c>
      <c r="H762" s="10">
        <v>0</v>
      </c>
      <c r="I762" s="10">
        <v>0</v>
      </c>
      <c r="J762" s="10">
        <v>0</v>
      </c>
      <c r="K762" s="10">
        <v>0</v>
      </c>
      <c r="L762" s="10">
        <v>0</v>
      </c>
      <c r="M762" s="10">
        <v>0</v>
      </c>
      <c r="N762" s="10">
        <v>0</v>
      </c>
      <c r="O762" s="10">
        <v>0</v>
      </c>
      <c r="P762" s="10">
        <v>0</v>
      </c>
      <c r="Q762" s="10">
        <v>0</v>
      </c>
      <c r="R762" s="10">
        <v>0</v>
      </c>
      <c r="S762" s="10">
        <v>0</v>
      </c>
    </row>
    <row r="763">
      <c r="A763" s="14" t="s">
        <v>394</v>
      </c>
      <c r="B763" s="2" t="s">
        <v>393</v>
      </c>
      <c r="C763" s="10">
        <v>0</v>
      </c>
      <c r="D763" s="10">
        <v>0</v>
      </c>
      <c r="E763" s="10">
        <v>0</v>
      </c>
      <c r="F763" s="10">
        <v>0</v>
      </c>
      <c r="G763" s="10">
        <v>0</v>
      </c>
      <c r="H763" s="10">
        <v>0</v>
      </c>
      <c r="I763" s="10">
        <v>0</v>
      </c>
      <c r="J763" s="10">
        <v>0</v>
      </c>
      <c r="K763" s="10">
        <v>0</v>
      </c>
      <c r="L763" s="10">
        <v>0</v>
      </c>
      <c r="M763" s="10">
        <v>0</v>
      </c>
      <c r="N763" s="10">
        <v>0</v>
      </c>
      <c r="O763" s="10">
        <v>0</v>
      </c>
      <c r="P763" s="10">
        <v>0</v>
      </c>
      <c r="Q763" s="10">
        <v>0</v>
      </c>
      <c r="R763" s="10">
        <v>0</v>
      </c>
      <c r="S763" s="10">
        <v>0</v>
      </c>
    </row>
    <row r="764">
      <c r="A764" s="14" t="s">
        <v>395</v>
      </c>
      <c r="B764" s="2" t="s">
        <v>393</v>
      </c>
      <c r="C764" s="10">
        <v>0</v>
      </c>
      <c r="D764" s="10">
        <v>0</v>
      </c>
      <c r="E764" s="10">
        <v>0</v>
      </c>
      <c r="F764" s="10">
        <v>0</v>
      </c>
      <c r="G764" s="10">
        <v>0</v>
      </c>
      <c r="H764" s="10">
        <v>0</v>
      </c>
      <c r="I764" s="10">
        <v>0</v>
      </c>
      <c r="J764" s="10">
        <v>0</v>
      </c>
      <c r="K764" s="10">
        <v>0</v>
      </c>
      <c r="L764" s="10">
        <v>0</v>
      </c>
      <c r="M764" s="10">
        <v>0</v>
      </c>
      <c r="N764" s="10">
        <v>0</v>
      </c>
      <c r="O764" s="10">
        <v>0</v>
      </c>
      <c r="P764" s="10">
        <v>0</v>
      </c>
      <c r="Q764" s="10">
        <v>0</v>
      </c>
      <c r="R764" s="10">
        <v>0</v>
      </c>
      <c r="S764" s="10">
        <v>0</v>
      </c>
    </row>
    <row r="765">
      <c r="A765" s="14" t="s">
        <v>396</v>
      </c>
      <c r="B765" s="2" t="s">
        <v>393</v>
      </c>
      <c r="C765" s="10">
        <v>0</v>
      </c>
      <c r="D765" s="10">
        <v>0</v>
      </c>
      <c r="E765" s="10">
        <v>0</v>
      </c>
      <c r="F765" s="10">
        <v>0</v>
      </c>
      <c r="G765" s="10">
        <v>0</v>
      </c>
      <c r="H765" s="10">
        <v>0</v>
      </c>
      <c r="I765" s="10">
        <v>0</v>
      </c>
      <c r="J765" s="10">
        <v>0</v>
      </c>
      <c r="K765" s="10">
        <v>0</v>
      </c>
      <c r="L765" s="10">
        <v>0</v>
      </c>
      <c r="M765" s="10">
        <v>0</v>
      </c>
      <c r="N765" s="10">
        <v>0</v>
      </c>
      <c r="O765" s="10">
        <v>0</v>
      </c>
      <c r="P765" s="10">
        <v>0</v>
      </c>
      <c r="Q765" s="10">
        <v>0</v>
      </c>
      <c r="R765" s="10">
        <v>0</v>
      </c>
      <c r="S765" s="10">
        <v>0</v>
      </c>
    </row>
    <row r="766">
      <c r="A766" s="14" t="s">
        <v>397</v>
      </c>
      <c r="B766" s="2" t="s">
        <v>393</v>
      </c>
      <c r="C766" s="10">
        <v>0</v>
      </c>
      <c r="D766" s="10">
        <v>0</v>
      </c>
      <c r="E766" s="10">
        <v>0</v>
      </c>
      <c r="F766" s="10">
        <v>0</v>
      </c>
      <c r="G766" s="10">
        <v>0</v>
      </c>
      <c r="H766" s="10">
        <v>0</v>
      </c>
      <c r="I766" s="10">
        <v>0</v>
      </c>
      <c r="J766" s="10">
        <v>0</v>
      </c>
      <c r="K766" s="10">
        <v>0</v>
      </c>
      <c r="L766" s="10">
        <v>0</v>
      </c>
      <c r="M766" s="10">
        <v>0</v>
      </c>
      <c r="N766" s="10">
        <v>0</v>
      </c>
      <c r="O766" s="10">
        <v>0</v>
      </c>
      <c r="P766" s="10">
        <v>0</v>
      </c>
      <c r="Q766" s="10">
        <v>0</v>
      </c>
      <c r="R766" s="10">
        <v>0</v>
      </c>
      <c r="S766" s="10">
        <v>0</v>
      </c>
    </row>
    <row r="767">
      <c r="A767" s="14" t="s">
        <v>398</v>
      </c>
      <c r="B767" s="2" t="s">
        <v>399</v>
      </c>
      <c r="C767" s="10">
        <v>0</v>
      </c>
      <c r="D767" s="10">
        <v>0</v>
      </c>
      <c r="E767" s="10">
        <v>0</v>
      </c>
      <c r="F767" s="10">
        <v>0</v>
      </c>
      <c r="G767" s="10">
        <v>0</v>
      </c>
      <c r="H767" s="10">
        <v>0</v>
      </c>
      <c r="I767" s="10">
        <v>0</v>
      </c>
      <c r="J767" s="10">
        <v>0</v>
      </c>
      <c r="K767" s="10">
        <v>0</v>
      </c>
      <c r="L767" s="10">
        <v>0</v>
      </c>
      <c r="M767" s="10">
        <v>0</v>
      </c>
      <c r="N767" s="10">
        <v>0</v>
      </c>
      <c r="O767" s="10">
        <v>0</v>
      </c>
      <c r="P767" s="10">
        <v>0</v>
      </c>
      <c r="Q767" s="10">
        <v>0</v>
      </c>
      <c r="R767" s="10">
        <v>0</v>
      </c>
      <c r="S767" s="10">
        <v>0</v>
      </c>
    </row>
    <row r="768">
      <c r="A768" s="14" t="s">
        <v>400</v>
      </c>
      <c r="B768" s="2" t="s">
        <v>399</v>
      </c>
      <c r="C768" s="10">
        <v>0</v>
      </c>
      <c r="D768" s="10">
        <v>0</v>
      </c>
      <c r="E768" s="10">
        <v>0</v>
      </c>
      <c r="F768" s="10">
        <v>0</v>
      </c>
      <c r="G768" s="10">
        <v>0</v>
      </c>
      <c r="H768" s="10">
        <v>0</v>
      </c>
      <c r="I768" s="10">
        <v>0</v>
      </c>
      <c r="J768" s="10">
        <v>0</v>
      </c>
      <c r="K768" s="10">
        <v>0</v>
      </c>
      <c r="L768" s="10">
        <v>0</v>
      </c>
      <c r="M768" s="10">
        <v>0</v>
      </c>
      <c r="N768" s="10">
        <v>0</v>
      </c>
      <c r="O768" s="10">
        <v>0</v>
      </c>
      <c r="P768" s="10">
        <v>0</v>
      </c>
      <c r="Q768" s="10">
        <v>0</v>
      </c>
      <c r="R768" s="10">
        <v>0</v>
      </c>
      <c r="S768" s="10">
        <v>0</v>
      </c>
    </row>
    <row r="769">
      <c r="A769" s="14" t="s">
        <v>401</v>
      </c>
      <c r="B769" s="2" t="s">
        <v>399</v>
      </c>
      <c r="C769" s="10">
        <v>0</v>
      </c>
      <c r="D769" s="10">
        <v>0</v>
      </c>
      <c r="E769" s="10">
        <v>0</v>
      </c>
      <c r="F769" s="10">
        <v>0</v>
      </c>
      <c r="G769" s="10">
        <v>0</v>
      </c>
      <c r="H769" s="10">
        <v>0</v>
      </c>
      <c r="I769" s="10">
        <v>0</v>
      </c>
      <c r="J769" s="10">
        <v>0</v>
      </c>
      <c r="K769" s="10">
        <v>0</v>
      </c>
      <c r="L769" s="10">
        <v>0</v>
      </c>
      <c r="M769" s="10">
        <v>0</v>
      </c>
      <c r="N769" s="10">
        <v>0</v>
      </c>
      <c r="O769" s="10">
        <v>0</v>
      </c>
      <c r="P769" s="10">
        <v>0</v>
      </c>
      <c r="Q769" s="10">
        <v>0</v>
      </c>
      <c r="R769" s="10">
        <v>0</v>
      </c>
      <c r="S769" s="10">
        <v>0</v>
      </c>
    </row>
    <row r="770">
      <c r="A770" s="14" t="s">
        <v>402</v>
      </c>
      <c r="B770" s="2" t="s">
        <v>399</v>
      </c>
      <c r="C770" s="10">
        <v>0</v>
      </c>
      <c r="D770" s="10">
        <v>0</v>
      </c>
      <c r="E770" s="10">
        <v>0</v>
      </c>
      <c r="F770" s="10">
        <v>0</v>
      </c>
      <c r="G770" s="10">
        <v>0</v>
      </c>
      <c r="H770" s="10">
        <v>0</v>
      </c>
      <c r="I770" s="10">
        <v>0</v>
      </c>
      <c r="J770" s="10">
        <v>0</v>
      </c>
      <c r="K770" s="10">
        <v>0</v>
      </c>
      <c r="L770" s="10">
        <v>0</v>
      </c>
      <c r="M770" s="10">
        <v>0</v>
      </c>
      <c r="N770" s="10">
        <v>0</v>
      </c>
      <c r="O770" s="10">
        <v>0</v>
      </c>
      <c r="P770" s="10">
        <v>0</v>
      </c>
      <c r="Q770" s="10">
        <v>0</v>
      </c>
      <c r="R770" s="10">
        <v>0</v>
      </c>
      <c r="S770" s="10">
        <v>0</v>
      </c>
    </row>
    <row r="771">
      <c r="A771" s="14" t="s">
        <v>403</v>
      </c>
      <c r="B771" s="2" t="s">
        <v>399</v>
      </c>
      <c r="C771" s="10">
        <v>0</v>
      </c>
      <c r="D771" s="10">
        <v>0</v>
      </c>
      <c r="E771" s="10">
        <v>0</v>
      </c>
      <c r="F771" s="10">
        <v>0</v>
      </c>
      <c r="G771" s="10">
        <v>0</v>
      </c>
      <c r="H771" s="10">
        <v>0</v>
      </c>
      <c r="I771" s="10">
        <v>0</v>
      </c>
      <c r="J771" s="10">
        <v>0</v>
      </c>
      <c r="K771" s="10">
        <v>0</v>
      </c>
      <c r="L771" s="10">
        <v>0</v>
      </c>
      <c r="M771" s="10">
        <v>0</v>
      </c>
      <c r="N771" s="10">
        <v>0</v>
      </c>
      <c r="O771" s="10">
        <v>0</v>
      </c>
      <c r="P771" s="10">
        <v>0</v>
      </c>
      <c r="Q771" s="10">
        <v>0</v>
      </c>
      <c r="R771" s="10">
        <v>0</v>
      </c>
      <c r="S771" s="10">
        <v>0</v>
      </c>
    </row>
    <row r="772">
      <c r="A772" s="14" t="s">
        <v>404</v>
      </c>
      <c r="B772" s="2" t="s">
        <v>399</v>
      </c>
      <c r="C772" s="10">
        <v>0</v>
      </c>
      <c r="D772" s="10">
        <v>0</v>
      </c>
      <c r="E772" s="10">
        <v>0</v>
      </c>
      <c r="F772" s="10">
        <v>0</v>
      </c>
      <c r="G772" s="10">
        <v>0</v>
      </c>
      <c r="H772" s="10">
        <v>0</v>
      </c>
      <c r="I772" s="10">
        <v>0</v>
      </c>
      <c r="J772" s="10">
        <v>0</v>
      </c>
      <c r="K772" s="10">
        <v>0</v>
      </c>
      <c r="L772" s="10">
        <v>0</v>
      </c>
      <c r="M772" s="10">
        <v>0</v>
      </c>
      <c r="N772" s="10">
        <v>0</v>
      </c>
      <c r="O772" s="10">
        <v>0</v>
      </c>
      <c r="P772" s="10">
        <v>0</v>
      </c>
      <c r="Q772" s="10">
        <v>0</v>
      </c>
      <c r="R772" s="10">
        <v>0</v>
      </c>
      <c r="S772" s="10">
        <v>0</v>
      </c>
    </row>
    <row r="773">
      <c r="A773" s="14" t="s">
        <v>405</v>
      </c>
      <c r="B773" s="2" t="s">
        <v>399</v>
      </c>
      <c r="C773" s="10">
        <v>0</v>
      </c>
      <c r="D773" s="10">
        <v>0</v>
      </c>
      <c r="E773" s="10">
        <v>0</v>
      </c>
      <c r="F773" s="10">
        <v>0</v>
      </c>
      <c r="G773" s="10">
        <v>0</v>
      </c>
      <c r="H773" s="10">
        <v>0</v>
      </c>
      <c r="I773" s="10">
        <v>0</v>
      </c>
      <c r="J773" s="10">
        <v>0</v>
      </c>
      <c r="K773" s="10">
        <v>0</v>
      </c>
      <c r="L773" s="10">
        <v>0</v>
      </c>
      <c r="M773" s="10">
        <v>0</v>
      </c>
      <c r="N773" s="10">
        <v>0</v>
      </c>
      <c r="O773" s="10">
        <v>0</v>
      </c>
      <c r="P773" s="10">
        <v>0</v>
      </c>
      <c r="Q773" s="10">
        <v>0</v>
      </c>
      <c r="R773" s="10">
        <v>0</v>
      </c>
      <c r="S773" s="10">
        <v>0</v>
      </c>
    </row>
    <row r="774">
      <c r="A774" s="14" t="s">
        <v>406</v>
      </c>
      <c r="B774" s="2" t="s">
        <v>399</v>
      </c>
      <c r="C774" s="10">
        <v>0</v>
      </c>
      <c r="D774" s="10">
        <v>0</v>
      </c>
      <c r="E774" s="10">
        <v>0</v>
      </c>
      <c r="F774" s="10">
        <v>0</v>
      </c>
      <c r="G774" s="10">
        <v>0</v>
      </c>
      <c r="H774" s="10">
        <v>0</v>
      </c>
      <c r="I774" s="10">
        <v>0</v>
      </c>
      <c r="J774" s="10">
        <v>0</v>
      </c>
      <c r="K774" s="10">
        <v>0</v>
      </c>
      <c r="L774" s="10">
        <v>0</v>
      </c>
      <c r="M774" s="10">
        <v>0</v>
      </c>
      <c r="N774" s="10">
        <v>0</v>
      </c>
      <c r="O774" s="10">
        <v>0</v>
      </c>
      <c r="P774" s="10">
        <v>0</v>
      </c>
      <c r="Q774" s="10">
        <v>0</v>
      </c>
      <c r="R774" s="10">
        <v>0</v>
      </c>
      <c r="S774" s="10">
        <v>0</v>
      </c>
    </row>
    <row r="775">
      <c r="A775" s="14" t="s">
        <v>407</v>
      </c>
      <c r="B775" s="2" t="s">
        <v>399</v>
      </c>
      <c r="C775" s="10">
        <v>0</v>
      </c>
      <c r="D775" s="10">
        <v>0</v>
      </c>
      <c r="E775" s="10">
        <v>0</v>
      </c>
      <c r="F775" s="10">
        <v>0</v>
      </c>
      <c r="G775" s="10">
        <v>0</v>
      </c>
      <c r="H775" s="10">
        <v>0</v>
      </c>
      <c r="I775" s="10">
        <v>0</v>
      </c>
      <c r="J775" s="10">
        <v>0</v>
      </c>
      <c r="K775" s="10">
        <v>0</v>
      </c>
      <c r="L775" s="10">
        <v>0</v>
      </c>
      <c r="M775" s="10">
        <v>0</v>
      </c>
      <c r="N775" s="10">
        <v>0</v>
      </c>
      <c r="O775" s="10">
        <v>0</v>
      </c>
      <c r="P775" s="10">
        <v>0</v>
      </c>
      <c r="Q775" s="10">
        <v>0</v>
      </c>
      <c r="R775" s="10">
        <v>0</v>
      </c>
      <c r="S775" s="10">
        <v>0</v>
      </c>
    </row>
    <row r="776">
      <c r="A776" s="14" t="s">
        <v>408</v>
      </c>
      <c r="B776" s="2" t="s">
        <v>399</v>
      </c>
      <c r="C776" s="10">
        <v>0</v>
      </c>
      <c r="D776" s="10">
        <v>0</v>
      </c>
      <c r="E776" s="10">
        <v>0</v>
      </c>
      <c r="F776" s="10">
        <v>0</v>
      </c>
      <c r="G776" s="10">
        <v>0</v>
      </c>
      <c r="H776" s="10">
        <v>0</v>
      </c>
      <c r="I776" s="10">
        <v>0</v>
      </c>
      <c r="J776" s="10">
        <v>0</v>
      </c>
      <c r="K776" s="10">
        <v>0</v>
      </c>
      <c r="L776" s="10">
        <v>0</v>
      </c>
      <c r="M776" s="10">
        <v>0</v>
      </c>
      <c r="N776" s="10">
        <v>0</v>
      </c>
      <c r="O776" s="10">
        <v>0</v>
      </c>
      <c r="P776" s="10">
        <v>0</v>
      </c>
      <c r="Q776" s="10">
        <v>0</v>
      </c>
      <c r="R776" s="10">
        <v>0</v>
      </c>
      <c r="S776" s="10">
        <v>0</v>
      </c>
    </row>
    <row r="777">
      <c r="A777" s="14" t="s">
        <v>409</v>
      </c>
      <c r="B777" s="2" t="s">
        <v>399</v>
      </c>
      <c r="C777" s="10">
        <v>0</v>
      </c>
      <c r="D777" s="10">
        <v>0</v>
      </c>
      <c r="E777" s="10">
        <v>0</v>
      </c>
      <c r="F777" s="10">
        <v>0</v>
      </c>
      <c r="G777" s="10">
        <v>0</v>
      </c>
      <c r="H777" s="10">
        <v>0</v>
      </c>
      <c r="I777" s="10">
        <v>0</v>
      </c>
      <c r="J777" s="10">
        <v>0</v>
      </c>
      <c r="K777" s="10">
        <v>0</v>
      </c>
      <c r="L777" s="10">
        <v>0</v>
      </c>
      <c r="M777" s="10">
        <v>0</v>
      </c>
      <c r="N777" s="10">
        <v>0</v>
      </c>
      <c r="O777" s="10">
        <v>0</v>
      </c>
      <c r="P777" s="10">
        <v>0</v>
      </c>
      <c r="Q777" s="10">
        <v>0</v>
      </c>
      <c r="R777" s="10">
        <v>0</v>
      </c>
      <c r="S777" s="10">
        <v>0</v>
      </c>
    </row>
    <row r="778">
      <c r="A778" s="14" t="s">
        <v>410</v>
      </c>
      <c r="B778" s="2" t="s">
        <v>399</v>
      </c>
      <c r="C778" s="10">
        <v>0</v>
      </c>
      <c r="D778" s="10">
        <v>0</v>
      </c>
      <c r="E778" s="10">
        <v>0</v>
      </c>
      <c r="F778" s="10">
        <v>0</v>
      </c>
      <c r="G778" s="10">
        <v>0</v>
      </c>
      <c r="H778" s="10">
        <v>0</v>
      </c>
      <c r="I778" s="10">
        <v>0</v>
      </c>
      <c r="J778" s="10">
        <v>0</v>
      </c>
      <c r="K778" s="10">
        <v>0</v>
      </c>
      <c r="L778" s="10">
        <v>0</v>
      </c>
      <c r="M778" s="10">
        <v>0</v>
      </c>
      <c r="N778" s="10">
        <v>0</v>
      </c>
      <c r="O778" s="10">
        <v>0</v>
      </c>
      <c r="P778" s="10">
        <v>0</v>
      </c>
      <c r="Q778" s="10">
        <v>0</v>
      </c>
      <c r="R778" s="10">
        <v>0</v>
      </c>
      <c r="S778" s="10">
        <v>0</v>
      </c>
    </row>
    <row r="779">
      <c r="A779" s="14" t="s">
        <v>411</v>
      </c>
      <c r="B779" s="2" t="s">
        <v>399</v>
      </c>
      <c r="C779" s="10">
        <v>0</v>
      </c>
      <c r="D779" s="10">
        <v>0</v>
      </c>
      <c r="E779" s="10">
        <v>0</v>
      </c>
      <c r="F779" s="10">
        <v>0</v>
      </c>
      <c r="G779" s="10">
        <v>0</v>
      </c>
      <c r="H779" s="10">
        <v>0</v>
      </c>
      <c r="I779" s="10">
        <v>0</v>
      </c>
      <c r="J779" s="10">
        <v>0</v>
      </c>
      <c r="K779" s="10">
        <v>0</v>
      </c>
      <c r="L779" s="10">
        <v>0</v>
      </c>
      <c r="M779" s="10">
        <v>0</v>
      </c>
      <c r="N779" s="10">
        <v>0</v>
      </c>
      <c r="O779" s="10">
        <v>0</v>
      </c>
      <c r="P779" s="10">
        <v>0</v>
      </c>
      <c r="Q779" s="10">
        <v>0</v>
      </c>
      <c r="R779" s="10">
        <v>0</v>
      </c>
      <c r="S779" s="10">
        <v>0</v>
      </c>
    </row>
    <row r="780">
      <c r="A780" s="14" t="s">
        <v>412</v>
      </c>
      <c r="B780" s="2" t="s">
        <v>399</v>
      </c>
      <c r="C780" s="10">
        <v>0</v>
      </c>
      <c r="D780" s="10">
        <v>0</v>
      </c>
      <c r="E780" s="10">
        <v>0</v>
      </c>
      <c r="F780" s="10">
        <v>0</v>
      </c>
      <c r="G780" s="10">
        <v>0</v>
      </c>
      <c r="H780" s="10">
        <v>0</v>
      </c>
      <c r="I780" s="10">
        <v>0</v>
      </c>
      <c r="J780" s="10">
        <v>0</v>
      </c>
      <c r="K780" s="10">
        <v>0</v>
      </c>
      <c r="L780" s="10">
        <v>0</v>
      </c>
      <c r="M780" s="10">
        <v>0</v>
      </c>
      <c r="N780" s="10">
        <v>0</v>
      </c>
      <c r="O780" s="10">
        <v>0</v>
      </c>
      <c r="P780" s="10">
        <v>0</v>
      </c>
      <c r="Q780" s="10">
        <v>0</v>
      </c>
      <c r="R780" s="10">
        <v>0</v>
      </c>
      <c r="S780" s="10">
        <v>0</v>
      </c>
    </row>
    <row r="781">
      <c r="A781" s="14" t="s">
        <v>413</v>
      </c>
      <c r="B781" s="2" t="s">
        <v>399</v>
      </c>
      <c r="C781" s="10">
        <v>0</v>
      </c>
      <c r="D781" s="10">
        <v>0</v>
      </c>
      <c r="E781" s="10">
        <v>0</v>
      </c>
      <c r="F781" s="10">
        <v>0</v>
      </c>
      <c r="G781" s="10">
        <v>0</v>
      </c>
      <c r="H781" s="10">
        <v>0</v>
      </c>
      <c r="I781" s="10">
        <v>0</v>
      </c>
      <c r="J781" s="10">
        <v>0</v>
      </c>
      <c r="K781" s="10">
        <v>0</v>
      </c>
      <c r="L781" s="10">
        <v>0</v>
      </c>
      <c r="M781" s="10">
        <v>0</v>
      </c>
      <c r="N781" s="10">
        <v>0</v>
      </c>
      <c r="O781" s="10">
        <v>0</v>
      </c>
      <c r="P781" s="10">
        <v>0</v>
      </c>
      <c r="Q781" s="10">
        <v>0</v>
      </c>
      <c r="R781" s="10">
        <v>0</v>
      </c>
      <c r="S781" s="10">
        <v>0</v>
      </c>
    </row>
    <row r="782">
      <c r="A782" s="14" t="s">
        <v>414</v>
      </c>
      <c r="B782" s="2" t="s">
        <v>399</v>
      </c>
      <c r="C782" s="10">
        <v>0</v>
      </c>
      <c r="D782" s="10">
        <v>0</v>
      </c>
      <c r="E782" s="10">
        <v>0</v>
      </c>
      <c r="F782" s="10">
        <v>0</v>
      </c>
      <c r="G782" s="10">
        <v>0</v>
      </c>
      <c r="H782" s="10">
        <v>0</v>
      </c>
      <c r="I782" s="10">
        <v>0</v>
      </c>
      <c r="J782" s="10">
        <v>0</v>
      </c>
      <c r="K782" s="10">
        <v>0</v>
      </c>
      <c r="L782" s="10">
        <v>0</v>
      </c>
      <c r="M782" s="10">
        <v>0</v>
      </c>
      <c r="N782" s="10">
        <v>0</v>
      </c>
      <c r="O782" s="10">
        <v>0</v>
      </c>
      <c r="P782" s="10">
        <v>0</v>
      </c>
      <c r="Q782" s="10">
        <v>0</v>
      </c>
      <c r="R782" s="10">
        <v>0</v>
      </c>
      <c r="S782" s="10">
        <v>0</v>
      </c>
    </row>
    <row r="783">
      <c r="A783" s="14" t="s">
        <v>415</v>
      </c>
      <c r="B783" s="2" t="s">
        <v>399</v>
      </c>
      <c r="C783" s="10">
        <v>0</v>
      </c>
      <c r="D783" s="10">
        <v>0</v>
      </c>
      <c r="E783" s="10">
        <v>0</v>
      </c>
      <c r="F783" s="10">
        <v>0</v>
      </c>
      <c r="G783" s="10">
        <v>0</v>
      </c>
      <c r="H783" s="10">
        <v>0</v>
      </c>
      <c r="I783" s="10">
        <v>0</v>
      </c>
      <c r="J783" s="10">
        <v>0</v>
      </c>
      <c r="K783" s="10">
        <v>0</v>
      </c>
      <c r="L783" s="10">
        <v>0</v>
      </c>
      <c r="M783" s="10">
        <v>0</v>
      </c>
      <c r="N783" s="10">
        <v>0</v>
      </c>
      <c r="O783" s="10">
        <v>0</v>
      </c>
      <c r="P783" s="10">
        <v>0</v>
      </c>
      <c r="Q783" s="10">
        <v>0</v>
      </c>
      <c r="R783" s="10">
        <v>0</v>
      </c>
      <c r="S783" s="10">
        <v>0</v>
      </c>
    </row>
    <row r="784">
      <c r="A784" s="14" t="s">
        <v>416</v>
      </c>
      <c r="B784" s="2" t="s">
        <v>399</v>
      </c>
      <c r="C784" s="10">
        <v>0</v>
      </c>
      <c r="D784" s="10">
        <v>0</v>
      </c>
      <c r="E784" s="10">
        <v>0</v>
      </c>
      <c r="F784" s="10">
        <v>0</v>
      </c>
      <c r="G784" s="10">
        <v>0</v>
      </c>
      <c r="H784" s="10">
        <v>0</v>
      </c>
      <c r="I784" s="10">
        <v>0</v>
      </c>
      <c r="J784" s="10">
        <v>0</v>
      </c>
      <c r="K784" s="10">
        <v>0</v>
      </c>
      <c r="L784" s="10">
        <v>0</v>
      </c>
      <c r="M784" s="10">
        <v>0</v>
      </c>
      <c r="N784" s="10">
        <v>0</v>
      </c>
      <c r="O784" s="10">
        <v>0</v>
      </c>
      <c r="P784" s="10">
        <v>0</v>
      </c>
      <c r="Q784" s="10">
        <v>0</v>
      </c>
      <c r="R784" s="10">
        <v>0</v>
      </c>
      <c r="S784" s="10">
        <v>0</v>
      </c>
    </row>
    <row r="785">
      <c r="A785" s="14" t="s">
        <v>417</v>
      </c>
      <c r="B785" s="2" t="s">
        <v>399</v>
      </c>
      <c r="C785" s="10">
        <v>0</v>
      </c>
      <c r="D785" s="10">
        <v>0</v>
      </c>
      <c r="E785" s="10">
        <v>0</v>
      </c>
      <c r="F785" s="10">
        <v>0</v>
      </c>
      <c r="G785" s="10">
        <v>0</v>
      </c>
      <c r="H785" s="10">
        <v>0</v>
      </c>
      <c r="I785" s="10">
        <v>0</v>
      </c>
      <c r="J785" s="10">
        <v>0</v>
      </c>
      <c r="K785" s="10">
        <v>0</v>
      </c>
      <c r="L785" s="10">
        <v>0</v>
      </c>
      <c r="M785" s="10">
        <v>0</v>
      </c>
      <c r="N785" s="10">
        <v>0</v>
      </c>
      <c r="O785" s="10">
        <v>0</v>
      </c>
      <c r="P785" s="10">
        <v>0</v>
      </c>
      <c r="Q785" s="10">
        <v>0</v>
      </c>
      <c r="R785" s="10">
        <v>0</v>
      </c>
      <c r="S785" s="10">
        <v>0</v>
      </c>
    </row>
    <row r="786">
      <c r="A786" s="14" t="s">
        <v>418</v>
      </c>
      <c r="B786" s="2" t="s">
        <v>399</v>
      </c>
      <c r="C786" s="10">
        <v>0</v>
      </c>
      <c r="D786" s="10">
        <v>0</v>
      </c>
      <c r="E786" s="10">
        <v>0</v>
      </c>
      <c r="F786" s="10">
        <v>0</v>
      </c>
      <c r="G786" s="10">
        <v>0</v>
      </c>
      <c r="H786" s="10">
        <v>0</v>
      </c>
      <c r="I786" s="10">
        <v>0</v>
      </c>
      <c r="J786" s="10">
        <v>0</v>
      </c>
      <c r="K786" s="10">
        <v>0</v>
      </c>
      <c r="L786" s="10">
        <v>0</v>
      </c>
      <c r="M786" s="10">
        <v>0</v>
      </c>
      <c r="N786" s="10">
        <v>0</v>
      </c>
      <c r="O786" s="10">
        <v>0</v>
      </c>
      <c r="P786" s="10">
        <v>0</v>
      </c>
      <c r="Q786" s="10">
        <v>0</v>
      </c>
      <c r="R786" s="10">
        <v>0</v>
      </c>
      <c r="S786" s="10">
        <v>0</v>
      </c>
    </row>
    <row r="787">
      <c r="A787" s="14" t="s">
        <v>419</v>
      </c>
      <c r="B787" s="2" t="s">
        <v>399</v>
      </c>
      <c r="C787" s="10">
        <v>0</v>
      </c>
      <c r="D787" s="10">
        <v>0</v>
      </c>
      <c r="E787" s="10">
        <v>0</v>
      </c>
      <c r="F787" s="10">
        <v>0</v>
      </c>
      <c r="G787" s="10">
        <v>0</v>
      </c>
      <c r="H787" s="10">
        <v>0</v>
      </c>
      <c r="I787" s="10">
        <v>0</v>
      </c>
      <c r="J787" s="10">
        <v>0</v>
      </c>
      <c r="K787" s="10">
        <v>0</v>
      </c>
      <c r="L787" s="10">
        <v>0</v>
      </c>
      <c r="M787" s="10">
        <v>0</v>
      </c>
      <c r="N787" s="10">
        <v>0</v>
      </c>
      <c r="O787" s="10">
        <v>0</v>
      </c>
      <c r="P787" s="10">
        <v>0</v>
      </c>
      <c r="Q787" s="10">
        <v>0</v>
      </c>
      <c r="R787" s="10">
        <v>0</v>
      </c>
      <c r="S787" s="10">
        <v>0</v>
      </c>
    </row>
    <row r="788">
      <c r="A788" s="14" t="s">
        <v>420</v>
      </c>
      <c r="B788" s="2" t="s">
        <v>399</v>
      </c>
      <c r="C788" s="10">
        <v>0</v>
      </c>
      <c r="D788" s="10">
        <v>0</v>
      </c>
      <c r="E788" s="10">
        <v>0</v>
      </c>
      <c r="F788" s="10">
        <v>0</v>
      </c>
      <c r="G788" s="10">
        <v>0</v>
      </c>
      <c r="H788" s="10">
        <v>0</v>
      </c>
      <c r="I788" s="10">
        <v>0</v>
      </c>
      <c r="J788" s="10">
        <v>0</v>
      </c>
      <c r="K788" s="10">
        <v>0</v>
      </c>
      <c r="L788" s="10">
        <v>0</v>
      </c>
      <c r="M788" s="10">
        <v>0</v>
      </c>
      <c r="N788" s="10">
        <v>0</v>
      </c>
      <c r="O788" s="10">
        <v>0</v>
      </c>
      <c r="P788" s="10">
        <v>0</v>
      </c>
      <c r="Q788" s="10">
        <v>0</v>
      </c>
      <c r="R788" s="10">
        <v>0</v>
      </c>
      <c r="S788" s="10">
        <v>0</v>
      </c>
    </row>
    <row r="789">
      <c r="A789" s="14" t="s">
        <v>421</v>
      </c>
      <c r="B789" s="2" t="s">
        <v>399</v>
      </c>
      <c r="C789" s="10">
        <v>0</v>
      </c>
      <c r="D789" s="10">
        <v>0</v>
      </c>
      <c r="E789" s="10">
        <v>0</v>
      </c>
      <c r="F789" s="10">
        <v>0</v>
      </c>
      <c r="G789" s="10">
        <v>0</v>
      </c>
      <c r="H789" s="10">
        <v>0</v>
      </c>
      <c r="I789" s="10">
        <v>0</v>
      </c>
      <c r="J789" s="10">
        <v>0</v>
      </c>
      <c r="K789" s="10">
        <v>0</v>
      </c>
      <c r="L789" s="10">
        <v>0</v>
      </c>
      <c r="M789" s="10">
        <v>0</v>
      </c>
      <c r="N789" s="10">
        <v>0</v>
      </c>
      <c r="O789" s="10">
        <v>0</v>
      </c>
      <c r="P789" s="10">
        <v>0</v>
      </c>
      <c r="Q789" s="10">
        <v>0</v>
      </c>
      <c r="R789" s="10">
        <v>0</v>
      </c>
      <c r="S789" s="10">
        <v>0</v>
      </c>
    </row>
    <row r="790">
      <c r="A790" s="14" t="s">
        <v>422</v>
      </c>
      <c r="B790" s="2" t="s">
        <v>399</v>
      </c>
      <c r="C790" s="10">
        <v>0</v>
      </c>
      <c r="D790" s="10">
        <v>0</v>
      </c>
      <c r="E790" s="10">
        <v>0</v>
      </c>
      <c r="F790" s="10">
        <v>0</v>
      </c>
      <c r="G790" s="10">
        <v>0</v>
      </c>
      <c r="H790" s="10">
        <v>0</v>
      </c>
      <c r="I790" s="10">
        <v>0</v>
      </c>
      <c r="J790" s="10">
        <v>0</v>
      </c>
      <c r="K790" s="10">
        <v>0</v>
      </c>
      <c r="L790" s="10">
        <v>0</v>
      </c>
      <c r="M790" s="10">
        <v>0</v>
      </c>
      <c r="N790" s="10">
        <v>0</v>
      </c>
      <c r="O790" s="10">
        <v>0</v>
      </c>
      <c r="P790" s="10">
        <v>0</v>
      </c>
      <c r="Q790" s="10">
        <v>0</v>
      </c>
      <c r="R790" s="10">
        <v>0</v>
      </c>
      <c r="S790" s="10">
        <v>0</v>
      </c>
    </row>
    <row r="791">
      <c r="A791" s="14" t="s">
        <v>423</v>
      </c>
      <c r="B791" s="2" t="s">
        <v>399</v>
      </c>
      <c r="C791" s="10">
        <v>0</v>
      </c>
      <c r="D791" s="10">
        <v>0</v>
      </c>
      <c r="E791" s="10">
        <v>0</v>
      </c>
      <c r="F791" s="10">
        <v>0</v>
      </c>
      <c r="G791" s="10">
        <v>0</v>
      </c>
      <c r="H791" s="10">
        <v>0</v>
      </c>
      <c r="I791" s="10">
        <v>0</v>
      </c>
      <c r="J791" s="10">
        <v>0</v>
      </c>
      <c r="K791" s="10">
        <v>0</v>
      </c>
      <c r="L791" s="10">
        <v>0</v>
      </c>
      <c r="M791" s="10">
        <v>0</v>
      </c>
      <c r="N791" s="10">
        <v>0</v>
      </c>
      <c r="O791" s="10">
        <v>0</v>
      </c>
      <c r="P791" s="10">
        <v>0</v>
      </c>
      <c r="Q791" s="10">
        <v>0</v>
      </c>
      <c r="R791" s="10">
        <v>0</v>
      </c>
      <c r="S791" s="10">
        <v>0</v>
      </c>
    </row>
    <row r="792">
      <c r="A792" s="14" t="s">
        <v>424</v>
      </c>
      <c r="B792" s="2" t="s">
        <v>399</v>
      </c>
      <c r="C792" s="10">
        <v>0</v>
      </c>
      <c r="D792" s="10">
        <v>0</v>
      </c>
      <c r="E792" s="10">
        <v>0</v>
      </c>
      <c r="F792" s="10">
        <v>0</v>
      </c>
      <c r="G792" s="10">
        <v>0</v>
      </c>
      <c r="H792" s="10">
        <v>0</v>
      </c>
      <c r="I792" s="10">
        <v>0</v>
      </c>
      <c r="J792" s="10">
        <v>0</v>
      </c>
      <c r="K792" s="10">
        <v>0</v>
      </c>
      <c r="L792" s="10">
        <v>0</v>
      </c>
      <c r="M792" s="10">
        <v>0</v>
      </c>
      <c r="N792" s="10">
        <v>0</v>
      </c>
      <c r="O792" s="10">
        <v>0</v>
      </c>
      <c r="P792" s="10">
        <v>0</v>
      </c>
      <c r="Q792" s="10">
        <v>0</v>
      </c>
      <c r="R792" s="10">
        <v>0</v>
      </c>
      <c r="S792" s="10">
        <v>0</v>
      </c>
    </row>
    <row r="793">
      <c r="A793" s="14" t="s">
        <v>425</v>
      </c>
      <c r="B793" s="2" t="s">
        <v>399</v>
      </c>
      <c r="C793" s="10">
        <v>0</v>
      </c>
      <c r="D793" s="10">
        <v>0</v>
      </c>
      <c r="E793" s="10">
        <v>0</v>
      </c>
      <c r="F793" s="10">
        <v>0</v>
      </c>
      <c r="G793" s="10">
        <v>0</v>
      </c>
      <c r="H793" s="10">
        <v>0</v>
      </c>
      <c r="I793" s="10">
        <v>0</v>
      </c>
      <c r="J793" s="10">
        <v>0</v>
      </c>
      <c r="K793" s="10">
        <v>0</v>
      </c>
      <c r="L793" s="10">
        <v>0</v>
      </c>
      <c r="M793" s="10">
        <v>0</v>
      </c>
      <c r="N793" s="10">
        <v>0</v>
      </c>
      <c r="O793" s="10">
        <v>0</v>
      </c>
      <c r="P793" s="10">
        <v>0</v>
      </c>
      <c r="Q793" s="10">
        <v>0</v>
      </c>
      <c r="R793" s="10">
        <v>0</v>
      </c>
      <c r="S793" s="10">
        <v>0</v>
      </c>
    </row>
    <row r="794">
      <c r="A794" s="14" t="s">
        <v>426</v>
      </c>
      <c r="B794" s="2" t="s">
        <v>399</v>
      </c>
      <c r="C794" s="10">
        <v>0</v>
      </c>
      <c r="D794" s="10">
        <v>0</v>
      </c>
      <c r="E794" s="10">
        <v>0</v>
      </c>
      <c r="F794" s="10">
        <v>0</v>
      </c>
      <c r="G794" s="10">
        <v>0</v>
      </c>
      <c r="H794" s="10">
        <v>0</v>
      </c>
      <c r="I794" s="10">
        <v>0</v>
      </c>
      <c r="J794" s="10">
        <v>0</v>
      </c>
      <c r="K794" s="10">
        <v>0</v>
      </c>
      <c r="L794" s="10">
        <v>0</v>
      </c>
      <c r="M794" s="10">
        <v>0</v>
      </c>
      <c r="N794" s="10">
        <v>0</v>
      </c>
      <c r="O794" s="10">
        <v>0</v>
      </c>
      <c r="P794" s="10">
        <v>0</v>
      </c>
      <c r="Q794" s="10">
        <v>0</v>
      </c>
      <c r="R794" s="10">
        <v>0</v>
      </c>
      <c r="S794" s="10">
        <v>0</v>
      </c>
    </row>
    <row r="795">
      <c r="A795" s="14" t="s">
        <v>427</v>
      </c>
      <c r="B795" s="2" t="s">
        <v>399</v>
      </c>
      <c r="C795" s="10">
        <v>0</v>
      </c>
      <c r="D795" s="10">
        <v>0</v>
      </c>
      <c r="E795" s="10">
        <v>0</v>
      </c>
      <c r="F795" s="10">
        <v>0</v>
      </c>
      <c r="G795" s="10">
        <v>0</v>
      </c>
      <c r="H795" s="10">
        <v>0</v>
      </c>
      <c r="I795" s="10">
        <v>0</v>
      </c>
      <c r="J795" s="10">
        <v>0</v>
      </c>
      <c r="K795" s="10">
        <v>0</v>
      </c>
      <c r="L795" s="10">
        <v>0</v>
      </c>
      <c r="M795" s="10">
        <v>0</v>
      </c>
      <c r="N795" s="10">
        <v>0</v>
      </c>
      <c r="O795" s="10">
        <v>0</v>
      </c>
      <c r="P795" s="10">
        <v>0</v>
      </c>
      <c r="Q795" s="10">
        <v>0</v>
      </c>
      <c r="R795" s="10">
        <v>0</v>
      </c>
      <c r="S795" s="10">
        <v>0</v>
      </c>
    </row>
    <row r="796">
      <c r="A796" s="14" t="s">
        <v>428</v>
      </c>
      <c r="B796" s="2" t="s">
        <v>399</v>
      </c>
      <c r="C796" s="10">
        <v>0</v>
      </c>
      <c r="D796" s="10">
        <v>0</v>
      </c>
      <c r="E796" s="10">
        <v>0</v>
      </c>
      <c r="F796" s="10">
        <v>0</v>
      </c>
      <c r="G796" s="10">
        <v>0</v>
      </c>
      <c r="H796" s="10">
        <v>0</v>
      </c>
      <c r="I796" s="10">
        <v>0</v>
      </c>
      <c r="J796" s="10">
        <v>0</v>
      </c>
      <c r="K796" s="10">
        <v>0</v>
      </c>
      <c r="L796" s="10">
        <v>0</v>
      </c>
      <c r="M796" s="10">
        <v>0</v>
      </c>
      <c r="N796" s="10">
        <v>0</v>
      </c>
      <c r="O796" s="10">
        <v>0</v>
      </c>
      <c r="P796" s="10">
        <v>0</v>
      </c>
      <c r="Q796" s="10">
        <v>0</v>
      </c>
      <c r="R796" s="10">
        <v>0</v>
      </c>
      <c r="S796" s="10">
        <v>0</v>
      </c>
    </row>
    <row r="797">
      <c r="A797" s="14" t="s">
        <v>429</v>
      </c>
      <c r="B797" s="2" t="s">
        <v>399</v>
      </c>
      <c r="C797" s="10">
        <v>0</v>
      </c>
      <c r="D797" s="10">
        <v>0</v>
      </c>
      <c r="E797" s="10">
        <v>0</v>
      </c>
      <c r="F797" s="10">
        <v>0</v>
      </c>
      <c r="G797" s="10">
        <v>0</v>
      </c>
      <c r="H797" s="10">
        <v>0</v>
      </c>
      <c r="I797" s="10">
        <v>0</v>
      </c>
      <c r="J797" s="10">
        <v>0</v>
      </c>
      <c r="K797" s="10">
        <v>0</v>
      </c>
      <c r="L797" s="10">
        <v>0</v>
      </c>
      <c r="M797" s="10">
        <v>0</v>
      </c>
      <c r="N797" s="10">
        <v>0</v>
      </c>
      <c r="O797" s="10">
        <v>0</v>
      </c>
      <c r="P797" s="10">
        <v>0</v>
      </c>
      <c r="Q797" s="10">
        <v>0</v>
      </c>
      <c r="R797" s="10">
        <v>0</v>
      </c>
      <c r="S797" s="10">
        <v>0</v>
      </c>
    </row>
    <row r="798">
      <c r="A798" s="14" t="s">
        <v>430</v>
      </c>
      <c r="B798" s="2" t="s">
        <v>399</v>
      </c>
      <c r="C798" s="10">
        <v>0</v>
      </c>
      <c r="D798" s="10">
        <v>0</v>
      </c>
      <c r="E798" s="10">
        <v>0</v>
      </c>
      <c r="F798" s="10">
        <v>0</v>
      </c>
      <c r="G798" s="10">
        <v>0</v>
      </c>
      <c r="H798" s="10">
        <v>0</v>
      </c>
      <c r="I798" s="10">
        <v>0</v>
      </c>
      <c r="J798" s="10">
        <v>0</v>
      </c>
      <c r="K798" s="10">
        <v>0</v>
      </c>
      <c r="L798" s="10">
        <v>0</v>
      </c>
      <c r="M798" s="10">
        <v>0</v>
      </c>
      <c r="N798" s="10">
        <v>0</v>
      </c>
      <c r="O798" s="10">
        <v>0</v>
      </c>
      <c r="P798" s="10">
        <v>0</v>
      </c>
      <c r="Q798" s="10">
        <v>0</v>
      </c>
      <c r="R798" s="10">
        <v>0</v>
      </c>
      <c r="S798" s="10">
        <v>0</v>
      </c>
    </row>
    <row r="799">
      <c r="A799" s="14" t="s">
        <v>431</v>
      </c>
      <c r="B799" s="2" t="s">
        <v>399</v>
      </c>
      <c r="C799" s="10">
        <v>0</v>
      </c>
      <c r="D799" s="10">
        <v>0</v>
      </c>
      <c r="E799" s="10">
        <v>0</v>
      </c>
      <c r="F799" s="10">
        <v>0</v>
      </c>
      <c r="G799" s="10">
        <v>0</v>
      </c>
      <c r="H799" s="10">
        <v>0</v>
      </c>
      <c r="I799" s="10">
        <v>0</v>
      </c>
      <c r="J799" s="10">
        <v>0</v>
      </c>
      <c r="K799" s="10">
        <v>0</v>
      </c>
      <c r="L799" s="10">
        <v>0</v>
      </c>
      <c r="M799" s="10">
        <v>0</v>
      </c>
      <c r="N799" s="10">
        <v>0</v>
      </c>
      <c r="O799" s="10">
        <v>0</v>
      </c>
      <c r="P799" s="10">
        <v>0</v>
      </c>
      <c r="Q799" s="10">
        <v>0</v>
      </c>
      <c r="R799" s="10">
        <v>0</v>
      </c>
      <c r="S799" s="10">
        <v>0</v>
      </c>
    </row>
    <row r="800">
      <c r="A800" s="14" t="s">
        <v>432</v>
      </c>
      <c r="B800" s="2" t="s">
        <v>399</v>
      </c>
      <c r="C800" s="10">
        <v>0</v>
      </c>
      <c r="D800" s="10">
        <v>0</v>
      </c>
      <c r="E800" s="10">
        <v>0</v>
      </c>
      <c r="F800" s="10">
        <v>0</v>
      </c>
      <c r="G800" s="10">
        <v>0</v>
      </c>
      <c r="H800" s="10">
        <v>0</v>
      </c>
      <c r="I800" s="10">
        <v>0</v>
      </c>
      <c r="J800" s="10">
        <v>0</v>
      </c>
      <c r="K800" s="10">
        <v>0</v>
      </c>
      <c r="L800" s="10">
        <v>0</v>
      </c>
      <c r="M800" s="10">
        <v>0</v>
      </c>
      <c r="N800" s="10">
        <v>0</v>
      </c>
      <c r="O800" s="10">
        <v>0</v>
      </c>
      <c r="P800" s="10">
        <v>0</v>
      </c>
      <c r="Q800" s="10">
        <v>0</v>
      </c>
      <c r="R800" s="10">
        <v>0</v>
      </c>
      <c r="S800" s="10">
        <v>0</v>
      </c>
    </row>
    <row r="801">
      <c r="A801" s="14" t="s">
        <v>433</v>
      </c>
      <c r="B801" s="2" t="s">
        <v>399</v>
      </c>
      <c r="C801" s="10">
        <v>0</v>
      </c>
      <c r="D801" s="10">
        <v>0</v>
      </c>
      <c r="E801" s="10">
        <v>0</v>
      </c>
      <c r="F801" s="10">
        <v>0</v>
      </c>
      <c r="G801" s="10">
        <v>0</v>
      </c>
      <c r="H801" s="10">
        <v>0</v>
      </c>
      <c r="I801" s="10">
        <v>0</v>
      </c>
      <c r="J801" s="10">
        <v>0</v>
      </c>
      <c r="K801" s="10">
        <v>0</v>
      </c>
      <c r="L801" s="10">
        <v>0</v>
      </c>
      <c r="M801" s="10">
        <v>0</v>
      </c>
      <c r="N801" s="10">
        <v>0</v>
      </c>
      <c r="O801" s="10">
        <v>0</v>
      </c>
      <c r="P801" s="10">
        <v>0</v>
      </c>
      <c r="Q801" s="10">
        <v>0</v>
      </c>
      <c r="R801" s="10">
        <v>0</v>
      </c>
      <c r="S801" s="10">
        <v>0</v>
      </c>
    </row>
    <row r="802">
      <c r="A802" s="14" t="s">
        <v>434</v>
      </c>
      <c r="B802" s="2" t="s">
        <v>399</v>
      </c>
      <c r="C802" s="10">
        <v>0</v>
      </c>
      <c r="D802" s="10">
        <v>0</v>
      </c>
      <c r="E802" s="10">
        <v>0</v>
      </c>
      <c r="F802" s="10">
        <v>0</v>
      </c>
      <c r="G802" s="10">
        <v>0</v>
      </c>
      <c r="H802" s="10">
        <v>0</v>
      </c>
      <c r="I802" s="10">
        <v>0</v>
      </c>
      <c r="J802" s="10">
        <v>0</v>
      </c>
      <c r="K802" s="10">
        <v>0</v>
      </c>
      <c r="L802" s="10">
        <v>0</v>
      </c>
      <c r="M802" s="10">
        <v>0</v>
      </c>
      <c r="N802" s="10">
        <v>0</v>
      </c>
      <c r="O802" s="10">
        <v>0</v>
      </c>
      <c r="P802" s="10">
        <v>0</v>
      </c>
      <c r="Q802" s="10">
        <v>0</v>
      </c>
      <c r="R802" s="10">
        <v>0</v>
      </c>
      <c r="S802" s="10">
        <v>0</v>
      </c>
    </row>
    <row r="803">
      <c r="A803" s="14" t="s">
        <v>435</v>
      </c>
      <c r="B803" s="2" t="s">
        <v>399</v>
      </c>
      <c r="C803" s="10">
        <v>0</v>
      </c>
      <c r="D803" s="10">
        <v>0</v>
      </c>
      <c r="E803" s="10">
        <v>0</v>
      </c>
      <c r="F803" s="10">
        <v>0</v>
      </c>
      <c r="G803" s="10">
        <v>0</v>
      </c>
      <c r="H803" s="10">
        <v>0</v>
      </c>
      <c r="I803" s="10">
        <v>0</v>
      </c>
      <c r="J803" s="10">
        <v>0</v>
      </c>
      <c r="K803" s="10">
        <v>0</v>
      </c>
      <c r="L803" s="10">
        <v>0</v>
      </c>
      <c r="M803" s="10">
        <v>0</v>
      </c>
      <c r="N803" s="10">
        <v>0</v>
      </c>
      <c r="O803" s="10">
        <v>0</v>
      </c>
      <c r="P803" s="10">
        <v>0</v>
      </c>
      <c r="Q803" s="10">
        <v>0</v>
      </c>
      <c r="R803" s="10">
        <v>0</v>
      </c>
      <c r="S803" s="10">
        <v>0</v>
      </c>
    </row>
    <row r="804">
      <c r="A804" s="14" t="s">
        <v>436</v>
      </c>
      <c r="B804" s="2" t="s">
        <v>399</v>
      </c>
      <c r="C804" s="10">
        <v>0</v>
      </c>
      <c r="D804" s="10">
        <v>0</v>
      </c>
      <c r="E804" s="10">
        <v>0</v>
      </c>
      <c r="F804" s="10">
        <v>0</v>
      </c>
      <c r="G804" s="10">
        <v>0</v>
      </c>
      <c r="H804" s="10">
        <v>0</v>
      </c>
      <c r="I804" s="10">
        <v>0</v>
      </c>
      <c r="J804" s="10">
        <v>0</v>
      </c>
      <c r="K804" s="10">
        <v>0</v>
      </c>
      <c r="L804" s="10">
        <v>0</v>
      </c>
      <c r="M804" s="10">
        <v>0</v>
      </c>
      <c r="N804" s="10">
        <v>0</v>
      </c>
      <c r="O804" s="10">
        <v>0</v>
      </c>
      <c r="P804" s="10">
        <v>0</v>
      </c>
      <c r="Q804" s="10">
        <v>0</v>
      </c>
      <c r="R804" s="10">
        <v>0</v>
      </c>
      <c r="S804" s="10">
        <v>0</v>
      </c>
    </row>
    <row r="805">
      <c r="A805" s="14" t="s">
        <v>437</v>
      </c>
      <c r="B805" s="2" t="s">
        <v>399</v>
      </c>
      <c r="C805" s="10">
        <v>0</v>
      </c>
      <c r="D805" s="10">
        <v>0</v>
      </c>
      <c r="E805" s="10">
        <v>0</v>
      </c>
      <c r="F805" s="10">
        <v>0</v>
      </c>
      <c r="G805" s="10">
        <v>0</v>
      </c>
      <c r="H805" s="10">
        <v>0</v>
      </c>
      <c r="I805" s="10">
        <v>0</v>
      </c>
      <c r="J805" s="10">
        <v>0</v>
      </c>
      <c r="K805" s="10">
        <v>0</v>
      </c>
      <c r="L805" s="10">
        <v>0</v>
      </c>
      <c r="M805" s="10">
        <v>0</v>
      </c>
      <c r="N805" s="10">
        <v>0</v>
      </c>
      <c r="O805" s="10">
        <v>0</v>
      </c>
      <c r="P805" s="10">
        <v>0</v>
      </c>
      <c r="Q805" s="10">
        <v>0</v>
      </c>
      <c r="R805" s="10">
        <v>0</v>
      </c>
      <c r="S805" s="10">
        <v>0</v>
      </c>
    </row>
    <row r="806">
      <c r="A806" s="14" t="s">
        <v>438</v>
      </c>
      <c r="B806" s="2" t="s">
        <v>399</v>
      </c>
      <c r="C806" s="10">
        <v>0</v>
      </c>
      <c r="D806" s="10">
        <v>0</v>
      </c>
      <c r="E806" s="10">
        <v>0</v>
      </c>
      <c r="F806" s="10">
        <v>0</v>
      </c>
      <c r="G806" s="10">
        <v>0</v>
      </c>
      <c r="H806" s="10">
        <v>0</v>
      </c>
      <c r="I806" s="10">
        <v>0</v>
      </c>
      <c r="J806" s="10">
        <v>0</v>
      </c>
      <c r="K806" s="10">
        <v>0</v>
      </c>
      <c r="L806" s="10">
        <v>0</v>
      </c>
      <c r="M806" s="10">
        <v>0</v>
      </c>
      <c r="N806" s="10">
        <v>0</v>
      </c>
      <c r="O806" s="10">
        <v>0</v>
      </c>
      <c r="P806" s="10">
        <v>0</v>
      </c>
      <c r="Q806" s="10">
        <v>0</v>
      </c>
      <c r="R806" s="10">
        <v>0</v>
      </c>
      <c r="S806" s="10">
        <v>0</v>
      </c>
    </row>
    <row r="807">
      <c r="A807" s="14" t="s">
        <v>439</v>
      </c>
      <c r="B807" s="2" t="s">
        <v>399</v>
      </c>
      <c r="C807" s="10">
        <v>0</v>
      </c>
      <c r="D807" s="10">
        <v>0</v>
      </c>
      <c r="E807" s="10">
        <v>0</v>
      </c>
      <c r="F807" s="10">
        <v>0</v>
      </c>
      <c r="G807" s="10">
        <v>0</v>
      </c>
      <c r="H807" s="10">
        <v>0</v>
      </c>
      <c r="I807" s="10">
        <v>0</v>
      </c>
      <c r="J807" s="10">
        <v>0</v>
      </c>
      <c r="K807" s="10">
        <v>0</v>
      </c>
      <c r="L807" s="10">
        <v>0</v>
      </c>
      <c r="M807" s="10">
        <v>0</v>
      </c>
      <c r="N807" s="10">
        <v>0</v>
      </c>
      <c r="O807" s="10">
        <v>0</v>
      </c>
      <c r="P807" s="10">
        <v>0</v>
      </c>
      <c r="Q807" s="10">
        <v>0</v>
      </c>
      <c r="R807" s="10">
        <v>0</v>
      </c>
      <c r="S807" s="10">
        <v>0</v>
      </c>
    </row>
    <row r="808">
      <c r="A808" s="14" t="s">
        <v>440</v>
      </c>
      <c r="B808" s="2" t="s">
        <v>399</v>
      </c>
      <c r="C808" s="10">
        <v>0</v>
      </c>
      <c r="D808" s="10">
        <v>0</v>
      </c>
      <c r="E808" s="10">
        <v>0</v>
      </c>
      <c r="F808" s="10">
        <v>0</v>
      </c>
      <c r="G808" s="10">
        <v>0</v>
      </c>
      <c r="H808" s="10">
        <v>0</v>
      </c>
      <c r="I808" s="10">
        <v>0</v>
      </c>
      <c r="J808" s="10">
        <v>0</v>
      </c>
      <c r="K808" s="10">
        <v>0</v>
      </c>
      <c r="L808" s="10">
        <v>0</v>
      </c>
      <c r="M808" s="10">
        <v>0</v>
      </c>
      <c r="N808" s="10">
        <v>0</v>
      </c>
      <c r="O808" s="10">
        <v>0</v>
      </c>
      <c r="P808" s="10">
        <v>0</v>
      </c>
      <c r="Q808" s="10">
        <v>0</v>
      </c>
      <c r="R808" s="10">
        <v>0</v>
      </c>
      <c r="S808" s="10">
        <v>0</v>
      </c>
    </row>
    <row r="809">
      <c r="A809" s="14" t="s">
        <v>441</v>
      </c>
      <c r="B809" s="2" t="s">
        <v>399</v>
      </c>
      <c r="C809" s="10">
        <v>0</v>
      </c>
      <c r="D809" s="10">
        <v>0</v>
      </c>
      <c r="E809" s="10">
        <v>0</v>
      </c>
      <c r="F809" s="10">
        <v>0</v>
      </c>
      <c r="G809" s="10">
        <v>0</v>
      </c>
      <c r="H809" s="10">
        <v>0</v>
      </c>
      <c r="I809" s="10">
        <v>0</v>
      </c>
      <c r="J809" s="10">
        <v>0</v>
      </c>
      <c r="K809" s="10">
        <v>0</v>
      </c>
      <c r="L809" s="10">
        <v>0</v>
      </c>
      <c r="M809" s="10">
        <v>0</v>
      </c>
      <c r="N809" s="10">
        <v>0</v>
      </c>
      <c r="O809" s="10">
        <v>0</v>
      </c>
      <c r="P809" s="10">
        <v>0</v>
      </c>
      <c r="Q809" s="10">
        <v>0</v>
      </c>
      <c r="R809" s="10">
        <v>0</v>
      </c>
      <c r="S809" s="10">
        <v>0</v>
      </c>
    </row>
    <row r="810">
      <c r="A810" s="14" t="s">
        <v>442</v>
      </c>
      <c r="B810" s="2" t="s">
        <v>399</v>
      </c>
      <c r="C810" s="10">
        <v>0</v>
      </c>
      <c r="D810" s="10">
        <v>0</v>
      </c>
      <c r="E810" s="10">
        <v>0</v>
      </c>
      <c r="F810" s="10">
        <v>0</v>
      </c>
      <c r="G810" s="10">
        <v>0</v>
      </c>
      <c r="H810" s="10">
        <v>0</v>
      </c>
      <c r="I810" s="10">
        <v>0</v>
      </c>
      <c r="J810" s="10">
        <v>0</v>
      </c>
      <c r="K810" s="10">
        <v>0</v>
      </c>
      <c r="L810" s="10">
        <v>0</v>
      </c>
      <c r="M810" s="10">
        <v>0</v>
      </c>
      <c r="N810" s="10">
        <v>0</v>
      </c>
      <c r="O810" s="10">
        <v>0</v>
      </c>
      <c r="P810" s="10">
        <v>0</v>
      </c>
      <c r="Q810" s="10">
        <v>0</v>
      </c>
      <c r="R810" s="10">
        <v>0</v>
      </c>
      <c r="S810" s="10">
        <v>0</v>
      </c>
    </row>
    <row r="811">
      <c r="A811" s="14" t="s">
        <v>443</v>
      </c>
      <c r="B811" s="2" t="s">
        <v>399</v>
      </c>
      <c r="C811" s="10">
        <v>0</v>
      </c>
      <c r="D811" s="10">
        <v>0</v>
      </c>
      <c r="E811" s="10">
        <v>0</v>
      </c>
      <c r="F811" s="10">
        <v>0</v>
      </c>
      <c r="G811" s="10">
        <v>0</v>
      </c>
      <c r="H811" s="10">
        <v>0</v>
      </c>
      <c r="I811" s="10">
        <v>0</v>
      </c>
      <c r="J811" s="10">
        <v>0</v>
      </c>
      <c r="K811" s="10">
        <v>0</v>
      </c>
      <c r="L811" s="10">
        <v>0</v>
      </c>
      <c r="M811" s="10">
        <v>0</v>
      </c>
      <c r="N811" s="10">
        <v>0</v>
      </c>
      <c r="O811" s="10">
        <v>0</v>
      </c>
      <c r="P811" s="10">
        <v>0</v>
      </c>
      <c r="Q811" s="10">
        <v>0</v>
      </c>
      <c r="R811" s="10">
        <v>0</v>
      </c>
      <c r="S811" s="10">
        <v>0</v>
      </c>
    </row>
    <row r="812">
      <c r="A812" s="14" t="s">
        <v>444</v>
      </c>
      <c r="B812" s="2" t="s">
        <v>399</v>
      </c>
      <c r="C812" s="10">
        <v>0</v>
      </c>
      <c r="D812" s="10">
        <v>0</v>
      </c>
      <c r="E812" s="10">
        <v>0</v>
      </c>
      <c r="F812" s="10">
        <v>0</v>
      </c>
      <c r="G812" s="10">
        <v>0</v>
      </c>
      <c r="H812" s="10">
        <v>0</v>
      </c>
      <c r="I812" s="10">
        <v>0</v>
      </c>
      <c r="J812" s="10">
        <v>0</v>
      </c>
      <c r="K812" s="10">
        <v>0</v>
      </c>
      <c r="L812" s="10">
        <v>0</v>
      </c>
      <c r="M812" s="10">
        <v>0</v>
      </c>
      <c r="N812" s="10">
        <v>0</v>
      </c>
      <c r="O812" s="10">
        <v>0</v>
      </c>
      <c r="P812" s="10">
        <v>0</v>
      </c>
      <c r="Q812" s="10">
        <v>0</v>
      </c>
      <c r="R812" s="10">
        <v>0</v>
      </c>
      <c r="S812" s="10">
        <v>0</v>
      </c>
    </row>
    <row r="821">
      <c r="A821" s="4" t="s">
        <v>456</v>
      </c>
      <c r="B821" s="3" t="s">
        <v>366</v>
      </c>
      <c r="C821" s="3" t="s">
        <v>41</v>
      </c>
      <c r="D821" s="3" t="s">
        <v>42</v>
      </c>
      <c r="E821" s="3" t="s">
        <v>43</v>
      </c>
      <c r="F821" s="3" t="s">
        <v>44</v>
      </c>
      <c r="G821" s="3" t="s">
        <v>45</v>
      </c>
      <c r="H821" s="3" t="s">
        <v>46</v>
      </c>
      <c r="I821" s="3" t="s">
        <v>47</v>
      </c>
      <c r="J821" s="3" t="s">
        <v>48</v>
      </c>
      <c r="K821" s="3" t="s">
        <v>49</v>
      </c>
      <c r="L821" s="3" t="s">
        <v>50</v>
      </c>
      <c r="M821" s="3" t="s">
        <v>51</v>
      </c>
      <c r="N821" s="3" t="s">
        <v>52</v>
      </c>
      <c r="O821" s="3" t="s">
        <v>53</v>
      </c>
      <c r="P821" s="3" t="s">
        <v>54</v>
      </c>
      <c r="Q821" s="3" t="s">
        <v>55</v>
      </c>
      <c r="R821" s="3" t="s">
        <v>56</v>
      </c>
      <c r="S821" s="3" t="s">
        <v>85</v>
      </c>
    </row>
    <row r="822">
      <c r="A822" s="14" t="s">
        <v>367</v>
      </c>
      <c r="B822" s="2" t="s">
        <v>368</v>
      </c>
      <c r="C822" s="10">
        <f>IF(C6&gt;0,C210/C6,0)</f>
        <v>0.23302752293577983</v>
      </c>
      <c r="D822" s="10">
        <f>IF(D6&gt;0,D210/D6,0)</f>
        <v>0.29471544715447157</v>
      </c>
      <c r="E822" s="10">
        <f>IF(E6&gt;0,E210/E6,0)</f>
        <v>0.2690972222222222</v>
      </c>
      <c r="F822" s="10">
        <f>IF(F6&gt;0,F210/F6,0)</f>
        <v>0.2692307692307692</v>
      </c>
      <c r="G822" s="10">
        <f>IF(G6&gt;0,G210/G6,0)</f>
        <v>0.31307550644567217</v>
      </c>
      <c r="H822" s="10">
        <f>IF(H6&gt;0,H210/H6,0)</f>
        <v>0.2692307692307692</v>
      </c>
      <c r="I822" s="10">
        <f>IF(I6&gt;0,I210/I6,0)</f>
        <v>0.18716577540106952</v>
      </c>
      <c r="J822" s="10">
        <f>IF(J6&gt;0,J210/J6,0)</f>
        <v>0.2418426103646833</v>
      </c>
      <c r="K822" s="10">
        <f>IF(K6&gt;0,K210/K6,0)</f>
        <v>0.25263157894736843</v>
      </c>
      <c r="L822" s="10">
        <f>IF(L6&gt;0,L210/L6,0)</f>
        <v>0.30578512396694213</v>
      </c>
      <c r="M822" s="10">
        <f>IF(M6&gt;0,M210/M6,0)</f>
        <v>0.28898426323319026</v>
      </c>
      <c r="N822" s="10">
        <f>IF(N6&gt;0,N210/N6,0)</f>
        <v>0.37349397590361444</v>
      </c>
      <c r="O822" s="10">
        <f>IF(O6&gt;0,O210/O6,0)</f>
        <v>0.36421725239616615</v>
      </c>
      <c r="P822" s="10">
        <f>IF(P6&gt;0,P210/P6,0)</f>
        <v>0.32277526395173456</v>
      </c>
      <c r="Q822" s="10">
        <f>IF(Q6&gt;0,Q210/Q6,0)</f>
        <v>0.32061068702290074</v>
      </c>
      <c r="R822" s="10">
        <f>IF(R6&gt;0,R210/R6,0)</f>
        <v>0.3968253968253968</v>
      </c>
      <c r="S822" s="10">
        <f>IF(S6&gt;0,S210/S6,0)</f>
        <v>0.33936022253129344</v>
      </c>
    </row>
    <row r="823">
      <c r="A823" s="14" t="s">
        <v>96</v>
      </c>
      <c r="B823" s="2" t="s">
        <v>368</v>
      </c>
      <c r="C823" s="10">
        <f>IF(C7&gt;0,C211/C7,0)</f>
        <v>0.9665207313932527</v>
      </c>
      <c r="D823" s="10">
        <f>IF(D7&gt;0,D211/D7,0)</f>
        <v>0.9692307692307692</v>
      </c>
      <c r="E823" s="10">
        <f>IF(E7&gt;0,E211/E7,0)</f>
        <v>0.9660377358490566</v>
      </c>
      <c r="F823" s="10">
        <f>IF(F7&gt;0,F211/F7,0)</f>
        <v>0.9606140850735763</v>
      </c>
      <c r="G823" s="10">
        <f>IF(G7&gt;0,G211/G7,0)</f>
        <v>0.9616788321167883</v>
      </c>
      <c r="H823" s="10">
        <f>IF(H7&gt;0,H211/H7,0)</f>
        <v>0.9619771863117871</v>
      </c>
      <c r="I823" s="10">
        <f>IF(I7&gt;0,I211/I7,0)</f>
        <v>0.9588014981273408</v>
      </c>
      <c r="J823" s="10">
        <f>IF(J7&gt;0,J211/J7,0)</f>
        <v>0.9649829351535836</v>
      </c>
      <c r="K823" s="10">
        <f>IF(K7&gt;0,K211/K7,0)</f>
        <v>0.965</v>
      </c>
      <c r="L823" s="10">
        <f>IF(L7&gt;0,L211/L7,0)</f>
        <v>0.9648562300319489</v>
      </c>
      <c r="M823" s="10">
        <f>IF(M7&gt;0,M211/M7,0)</f>
        <v>0.9672413793103448</v>
      </c>
      <c r="N823" s="10">
        <f>IF(N7&gt;0,N211/N7,0)</f>
        <v>0.9651678277390754</v>
      </c>
      <c r="O823" s="10">
        <f>IF(O7&gt;0,O211/O7,0)</f>
        <v>0.9646643109540636</v>
      </c>
      <c r="P823" s="10">
        <f>IF(P7&gt;0,P211/P7,0)</f>
        <v>0.9637023593466425</v>
      </c>
      <c r="Q823" s="10">
        <f>IF(Q7&gt;0,Q211/Q7,0)</f>
        <v>0.9655172413793104</v>
      </c>
      <c r="R823" s="10">
        <f>IF(R7&gt;0,R211/R7,0)</f>
        <v>0.9621451104100947</v>
      </c>
      <c r="S823" s="10">
        <f>IF(S7&gt;0,S211/S7,0)</f>
        <v>0.9661538461538461</v>
      </c>
    </row>
    <row r="824">
      <c r="A824" s="14" t="s">
        <v>369</v>
      </c>
      <c r="B824" s="2" t="s">
        <v>368</v>
      </c>
      <c r="C824" s="10">
        <f>IF(C8&gt;0,C212/C8,0)</f>
        <v>0</v>
      </c>
      <c r="D824" s="10">
        <f>IF(D8&gt;0,D212/D8,0)</f>
        <v>0</v>
      </c>
      <c r="E824" s="10">
        <f>IF(E8&gt;0,E212/E8,0)</f>
        <v>0</v>
      </c>
      <c r="F824" s="10">
        <f>IF(F8&gt;0,F212/F8,0)</f>
        <v>0</v>
      </c>
      <c r="G824" s="10">
        <f>IF(G8&gt;0,G212/G8,0)</f>
        <v>0</v>
      </c>
      <c r="H824" s="10">
        <f>IF(H8&gt;0,H212/H8,0)</f>
        <v>0</v>
      </c>
      <c r="I824" s="10">
        <f>IF(I8&gt;0,I212/I8,0)</f>
        <v>0</v>
      </c>
      <c r="J824" s="10">
        <f>IF(J8&gt;0,J212/J8,0)</f>
        <v>0</v>
      </c>
      <c r="K824" s="10">
        <f>IF(K8&gt;0,K212/K8,0)</f>
        <v>0</v>
      </c>
      <c r="L824" s="10">
        <f>IF(L8&gt;0,L212/L8,0)</f>
        <v>0</v>
      </c>
      <c r="M824" s="10">
        <f>IF(M8&gt;0,M212/M8,0)</f>
        <v>0</v>
      </c>
      <c r="N824" s="10">
        <f>IF(N8&gt;0,N212/N8,0)</f>
        <v>0</v>
      </c>
      <c r="O824" s="10">
        <f>IF(O8&gt;0,O212/O8,0)</f>
        <v>0</v>
      </c>
      <c r="P824" s="10">
        <f>IF(P8&gt;0,P212/P8,0)</f>
        <v>0</v>
      </c>
      <c r="Q824" s="10">
        <f>IF(Q8&gt;0,Q212/Q8,0)</f>
        <v>0</v>
      </c>
      <c r="R824" s="10">
        <f>IF(R8&gt;0,R212/R8,0)</f>
        <v>0</v>
      </c>
      <c r="S824" s="10">
        <f>IF(S8&gt;0,S212/S8,0)</f>
        <v>0</v>
      </c>
    </row>
    <row r="825">
      <c r="A825" s="14" t="s">
        <v>370</v>
      </c>
      <c r="B825" s="2" t="s">
        <v>368</v>
      </c>
      <c r="C825" s="10">
        <f>IF(C9&gt;0,C213/C9,0)</f>
        <v>0</v>
      </c>
      <c r="D825" s="10">
        <f>IF(D9&gt;0,D213/D9,0)</f>
        <v>0</v>
      </c>
      <c r="E825" s="10">
        <f>IF(E9&gt;0,E213/E9,0)</f>
        <v>0</v>
      </c>
      <c r="F825" s="10">
        <f>IF(F9&gt;0,F213/F9,0)</f>
        <v>0</v>
      </c>
      <c r="G825" s="10">
        <f>IF(G9&gt;0,G213/G9,0)</f>
        <v>0</v>
      </c>
      <c r="H825" s="10">
        <f>IF(H9&gt;0,H213/H9,0)</f>
        <v>0</v>
      </c>
      <c r="I825" s="10">
        <f>IF(I9&gt;0,I213/I9,0)</f>
        <v>0</v>
      </c>
      <c r="J825" s="10">
        <f>IF(J9&gt;0,J213/J9,0)</f>
        <v>0</v>
      </c>
      <c r="K825" s="10">
        <f>IF(K9&gt;0,K213/K9,0)</f>
        <v>0</v>
      </c>
      <c r="L825" s="10">
        <f>IF(L9&gt;0,L213/L9,0)</f>
        <v>0</v>
      </c>
      <c r="M825" s="10">
        <f>IF(M9&gt;0,M213/M9,0)</f>
        <v>0</v>
      </c>
      <c r="N825" s="10">
        <f>IF(N9&gt;0,N213/N9,0)</f>
        <v>0</v>
      </c>
      <c r="O825" s="10">
        <f>IF(O9&gt;0,O213/O9,0)</f>
        <v>0</v>
      </c>
      <c r="P825" s="10">
        <f>IF(P9&gt;0,P213/P9,0)</f>
        <v>0</v>
      </c>
      <c r="Q825" s="10">
        <f>IF(Q9&gt;0,Q213/Q9,0)</f>
        <v>0</v>
      </c>
      <c r="R825" s="10">
        <f>IF(R9&gt;0,R213/R9,0)</f>
        <v>0</v>
      </c>
      <c r="S825" s="10">
        <f>IF(S9&gt;0,S213/S9,0)</f>
        <v>0</v>
      </c>
    </row>
    <row r="826">
      <c r="A826" s="14" t="s">
        <v>371</v>
      </c>
      <c r="B826" s="2" t="s">
        <v>368</v>
      </c>
      <c r="C826" s="10">
        <f>IF(C10&gt;0,C214/C10,0)</f>
        <v>0.8525469168900804</v>
      </c>
      <c r="D826" s="10">
        <f>IF(D10&gt;0,D214/D10,0)</f>
        <v>0.8368883312421581</v>
      </c>
      <c r="E826" s="10">
        <f>IF(E10&gt;0,E214/E10,0)</f>
        <v>0.8319327731092437</v>
      </c>
      <c r="F826" s="10">
        <f>IF(F10&gt;0,F214/F10,0)</f>
        <v>0.8403361344537815</v>
      </c>
      <c r="G826" s="10">
        <f>IF(G10&gt;0,G214/G10,0)</f>
        <v>0.8787010506208214</v>
      </c>
      <c r="H826" s="10">
        <f>IF(H10&gt;0,H214/H10,0)</f>
        <v>0.8760330578512396</v>
      </c>
      <c r="I826" s="10">
        <f>IF(I10&gt;0,I214/I10,0)</f>
        <v>0.8773584905660378</v>
      </c>
      <c r="J826" s="10">
        <f>IF(J10&gt;0,J214/J10,0)</f>
        <v>0.9038461538461539</v>
      </c>
      <c r="K826" s="10">
        <f>IF(K10&gt;0,K214/K10,0)</f>
        <v>0.8867924528301887</v>
      </c>
      <c r="L826" s="10">
        <f>IF(L10&gt;0,L214/L10,0)</f>
        <v>0.883177570093458</v>
      </c>
      <c r="M826" s="10">
        <f>IF(M10&gt;0,M214/M10,0)</f>
        <v>0.8785046728971962</v>
      </c>
      <c r="N826" s="10">
        <f>IF(N10&gt;0,N214/N10,0)</f>
        <v>0.8790170132325141</v>
      </c>
      <c r="O826" s="10">
        <f>IF(O10&gt;0,O214/O10,0)</f>
        <v>0.8878504672897196</v>
      </c>
      <c r="P826" s="10">
        <f>IF(P10&gt;0,P214/P10,0)</f>
        <v>0.8343558282208589</v>
      </c>
      <c r="Q826" s="10">
        <f>IF(Q10&gt;0,Q214/Q10,0)</f>
        <v>0.8691588785046729</v>
      </c>
      <c r="R826" s="10">
        <f>IF(R10&gt;0,R214/R10,0)</f>
        <v>0.889248181083266</v>
      </c>
      <c r="S826" s="10">
        <f>IF(S10&gt;0,S214/S10,0)</f>
        <v>0.8787346221441125</v>
      </c>
    </row>
    <row r="827">
      <c r="A827" s="14" t="s">
        <v>372</v>
      </c>
      <c r="B827" s="2" t="s">
        <v>368</v>
      </c>
      <c r="C827" s="10">
        <f>IF(C11&gt;0,C215/C11,0)</f>
        <v>0.7995018679950187</v>
      </c>
      <c r="D827" s="10">
        <f>IF(D11&gt;0,D215/D11,0)</f>
        <v>0.7154471544715447</v>
      </c>
      <c r="E827" s="10">
        <f>IF(E11&gt;0,E215/E11,0)</f>
        <v>0.7777777777777778</v>
      </c>
      <c r="F827" s="10">
        <f>IF(F11&gt;0,F215/F11,0)</f>
        <v>0.7792207792207793</v>
      </c>
      <c r="G827" s="10">
        <f>IF(G11&gt;0,G215/G11,0)</f>
        <v>0.7714285714285715</v>
      </c>
      <c r="H827" s="10">
        <f>IF(H11&gt;0,H215/H11,0)</f>
        <v>0.7323943661971831</v>
      </c>
      <c r="I827" s="10">
        <f>IF(I11&gt;0,I215/I11,0)</f>
        <v>0.7743589743589744</v>
      </c>
      <c r="J827" s="10">
        <f>IF(J11&gt;0,J215/J11,0)</f>
        <v>0.7391304347826086</v>
      </c>
      <c r="K827" s="10">
        <f>IF(K11&gt;0,K215/K11,0)</f>
        <v>0.7741935483870968</v>
      </c>
      <c r="L827" s="10">
        <f>IF(L11&gt;0,L215/L11,0)</f>
        <v>0.8127853881278538</v>
      </c>
      <c r="M827" s="10">
        <f>IF(M11&gt;0,M215/M11,0)</f>
        <v>0.889894419306184</v>
      </c>
      <c r="N827" s="10">
        <f>IF(N11&gt;0,N215/N11,0)</f>
        <v>0.8363636363636363</v>
      </c>
      <c r="O827" s="10">
        <f>IF(O11&gt;0,O215/O11,0)</f>
        <v>0.8492003046458492</v>
      </c>
      <c r="P827" s="10">
        <f>IF(P11&gt;0,P215/P11,0)</f>
        <v>0.84375</v>
      </c>
      <c r="Q827" s="10">
        <f>IF(Q11&gt;0,Q215/Q11,0)</f>
        <v>0.8462686567164179</v>
      </c>
      <c r="R827" s="10">
        <f>IF(R11&gt;0,R215/R11,0)</f>
        <v>0.8421423537702607</v>
      </c>
      <c r="S827" s="10">
        <f>IF(S11&gt;0,S215/S11,0)</f>
        <v>0.8414804469273743</v>
      </c>
    </row>
    <row r="828">
      <c r="A828" s="14" t="s">
        <v>373</v>
      </c>
      <c r="B828" s="2" t="s">
        <v>368</v>
      </c>
      <c r="C828" s="10">
        <f>IF(C12&gt;0,C216/C12,0)</f>
        <v>0.6881827209533267</v>
      </c>
      <c r="D828" s="10">
        <f>IF(D12&gt;0,D216/D12,0)</f>
        <v>0.6768642447418738</v>
      </c>
      <c r="E828" s="10">
        <f>IF(E12&gt;0,E216/E12,0)</f>
        <v>0.6901753724306996</v>
      </c>
      <c r="F828" s="10">
        <f>IF(F12&gt;0,F216/F12,0)</f>
        <v>0.6644334975369458</v>
      </c>
      <c r="G828" s="10">
        <f>IF(G12&gt;0,G216/G12,0)</f>
        <v>0.7003676470588235</v>
      </c>
      <c r="H828" s="10">
        <f>IF(H12&gt;0,H216/H12,0)</f>
        <v>0.7025862068965517</v>
      </c>
      <c r="I828" s="10">
        <f>IF(I12&gt;0,I216/I12,0)</f>
        <v>0.6955769230769231</v>
      </c>
      <c r="J828" s="10">
        <f>IF(J12&gt;0,J216/J12,0)</f>
        <v>0.6993923281428028</v>
      </c>
      <c r="K828" s="10">
        <f>IF(K12&gt;0,K216/K12,0)</f>
        <v>0.7027230046948357</v>
      </c>
      <c r="L828" s="10">
        <f>IF(L12&gt;0,L216/L12,0)</f>
        <v>0.7080732836722368</v>
      </c>
      <c r="M828" s="10">
        <f>IF(M12&gt;0,M216/M12,0)</f>
        <v>0.703610562241782</v>
      </c>
      <c r="N828" s="10">
        <f>IF(N12&gt;0,N216/N12,0)</f>
        <v>0.722280701754386</v>
      </c>
      <c r="O828" s="10">
        <f>IF(O12&gt;0,O216/O12,0)</f>
        <v>0.7158684165672405</v>
      </c>
      <c r="P828" s="10">
        <f>IF(P12&gt;0,P216/P12,0)</f>
        <v>0.774390243902439</v>
      </c>
      <c r="Q828" s="10">
        <f>IF(Q12&gt;0,Q216/Q12,0)</f>
        <v>0.709192936128074</v>
      </c>
      <c r="R828" s="10">
        <f>IF(R12&gt;0,R216/R12,0)</f>
        <v>0.7309486780715396</v>
      </c>
      <c r="S828" s="10">
        <f>IF(S12&gt;0,S216/S12,0)</f>
        <v>0.745928338762215</v>
      </c>
    </row>
    <row r="829">
      <c r="A829" s="14" t="s">
        <v>102</v>
      </c>
      <c r="B829" s="2" t="s">
        <v>368</v>
      </c>
      <c r="C829" s="10">
        <f>IF(C13&gt;0,C217/C13,0)</f>
        <v>0</v>
      </c>
      <c r="D829" s="10">
        <f>IF(D13&gt;0,D217/D13,0)</f>
        <v>0</v>
      </c>
      <c r="E829" s="10">
        <f>IF(E13&gt;0,E217/E13,0)</f>
        <v>0</v>
      </c>
      <c r="F829" s="10">
        <f>IF(F13&gt;0,F217/F13,0)</f>
        <v>0</v>
      </c>
      <c r="G829" s="10">
        <f>IF(G13&gt;0,G217/G13,0)</f>
        <v>0</v>
      </c>
      <c r="H829" s="10">
        <f>IF(H13&gt;0,H217/H13,0)</f>
        <v>0</v>
      </c>
      <c r="I829" s="10">
        <f>IF(I13&gt;0,I217/I13,0)</f>
        <v>0</v>
      </c>
      <c r="J829" s="10">
        <f>IF(J13&gt;0,J217/J13,0)</f>
        <v>0</v>
      </c>
      <c r="K829" s="10">
        <f>IF(K13&gt;0,K217/K13,0)</f>
        <v>0</v>
      </c>
      <c r="L829" s="10">
        <f>IF(L13&gt;0,L217/L13,0)</f>
        <v>0</v>
      </c>
      <c r="M829" s="10">
        <f>IF(M13&gt;0,M217/M13,0)</f>
        <v>0</v>
      </c>
      <c r="N829" s="10">
        <f>IF(N13&gt;0,N217/N13,0)</f>
        <v>0</v>
      </c>
      <c r="O829" s="10">
        <f>IF(O13&gt;0,O217/O13,0)</f>
        <v>0</v>
      </c>
      <c r="P829" s="10">
        <f>IF(P13&gt;0,P217/P13,0)</f>
        <v>0</v>
      </c>
      <c r="Q829" s="10">
        <f>IF(Q13&gt;0,Q217/Q13,0)</f>
        <v>0</v>
      </c>
      <c r="R829" s="10">
        <f>IF(R13&gt;0,R217/R13,0)</f>
        <v>0</v>
      </c>
      <c r="S829" s="10">
        <f>IF(S13&gt;0,S217/S13,0)</f>
        <v>0</v>
      </c>
    </row>
    <row r="830">
      <c r="A830" s="14" t="s">
        <v>374</v>
      </c>
      <c r="B830" s="2" t="s">
        <v>368</v>
      </c>
      <c r="C830" s="10">
        <f>IF(C14&gt;0,C218/C14,0)</f>
        <v>0</v>
      </c>
      <c r="D830" s="10">
        <f>IF(D14&gt;0,D218/D14,0)</f>
        <v>0</v>
      </c>
      <c r="E830" s="10">
        <f>IF(E14&gt;0,E218/E14,0)</f>
        <v>0</v>
      </c>
      <c r="F830" s="10">
        <f>IF(F14&gt;0,F218/F14,0)</f>
        <v>0</v>
      </c>
      <c r="G830" s="10">
        <f>IF(G14&gt;0,G218/G14,0)</f>
        <v>0</v>
      </c>
      <c r="H830" s="10">
        <f>IF(H14&gt;0,H218/H14,0)</f>
        <v>0</v>
      </c>
      <c r="I830" s="10">
        <f>IF(I14&gt;0,I218/I14,0)</f>
        <v>0</v>
      </c>
      <c r="J830" s="10">
        <f>IF(J14&gt;0,J218/J14,0)</f>
        <v>0</v>
      </c>
      <c r="K830" s="10">
        <f>IF(K14&gt;0,K218/K14,0)</f>
        <v>0</v>
      </c>
      <c r="L830" s="10">
        <f>IF(L14&gt;0,L218/L14,0)</f>
        <v>0</v>
      </c>
      <c r="M830" s="10">
        <f>IF(M14&gt;0,M218/M14,0)</f>
        <v>0</v>
      </c>
      <c r="N830" s="10">
        <f>IF(N14&gt;0,N218/N14,0)</f>
        <v>0</v>
      </c>
      <c r="O830" s="10">
        <f>IF(O14&gt;0,O218/O14,0)</f>
        <v>0</v>
      </c>
      <c r="P830" s="10">
        <f>IF(P14&gt;0,P218/P14,0)</f>
        <v>0</v>
      </c>
      <c r="Q830" s="10">
        <f>IF(Q14&gt;0,Q218/Q14,0)</f>
        <v>0</v>
      </c>
      <c r="R830" s="10">
        <f>IF(R14&gt;0,R218/R14,0)</f>
        <v>0</v>
      </c>
      <c r="S830" s="10">
        <f>IF(S14&gt;0,S218/S14,0)</f>
        <v>0</v>
      </c>
    </row>
    <row r="831">
      <c r="A831" s="14" t="s">
        <v>375</v>
      </c>
      <c r="B831" s="2" t="s">
        <v>368</v>
      </c>
      <c r="C831" s="10">
        <f>IF(C15&gt;0,C219/C15,0)</f>
        <v>0.05</v>
      </c>
      <c r="D831" s="10">
        <f>IF(D15&gt;0,D219/D15,0)</f>
        <v>0.046511627906976744</v>
      </c>
      <c r="E831" s="10">
        <f>IF(E15&gt;0,E219/E15,0)</f>
        <v>0.043010752688172046</v>
      </c>
      <c r="F831" s="10">
        <f>IF(F15&gt;0,F219/F15,0)</f>
        <v>0.05063291139240506</v>
      </c>
      <c r="G831" s="10">
        <f>IF(G15&gt;0,G219/G15,0)</f>
        <v>0.06289308176100629</v>
      </c>
      <c r="H831" s="10">
        <f>IF(H15&gt;0,H219/H15,0)</f>
        <v>0.07608695652173914</v>
      </c>
      <c r="I831" s="10">
        <f>IF(I15&gt;0,I219/I15,0)</f>
        <v>0.06060606060606061</v>
      </c>
      <c r="J831" s="10">
        <f>IF(J15&gt;0,J219/J15,0)</f>
        <v>0.05</v>
      </c>
      <c r="K831" s="10">
        <f>IF(K15&gt;0,K219/K15,0)</f>
        <v>0.1267605633802817</v>
      </c>
      <c r="L831" s="10">
        <f>IF(L15&gt;0,L219/L15,0)</f>
        <v>0.14864864864864866</v>
      </c>
      <c r="M831" s="10">
        <f>IF(M15&gt;0,M219/M15,0)</f>
        <v>0.1501416430594901</v>
      </c>
      <c r="N831" s="10">
        <f>IF(N15&gt;0,N219/N15,0)</f>
        <v>0.1443850267379679</v>
      </c>
      <c r="O831" s="10">
        <f>IF(O15&gt;0,O219/O15,0)</f>
        <v>0.153737658674189</v>
      </c>
      <c r="P831" s="10">
        <f>IF(P15&gt;0,P219/P15,0)</f>
        <v>0.12966804979253113</v>
      </c>
      <c r="Q831" s="10">
        <f>IF(Q15&gt;0,Q219/Q15,0)</f>
        <v>0.08655804480651731</v>
      </c>
      <c r="R831" s="10">
        <f>IF(R15&gt;0,R219/R15,0)</f>
        <v>0.12254901960784313</v>
      </c>
      <c r="S831" s="10">
        <f>IF(S15&gt;0,S219/S15,0)</f>
        <v>0.1354292623941959</v>
      </c>
    </row>
    <row r="832">
      <c r="A832" s="14" t="s">
        <v>105</v>
      </c>
      <c r="B832" s="2" t="s">
        <v>368</v>
      </c>
      <c r="C832" s="10">
        <f>IF(C16&gt;0,C220/C16,0)</f>
        <v>0.0025252525252525255</v>
      </c>
      <c r="D832" s="10">
        <f>IF(D16&gt;0,D220/D16,0)</f>
        <v>0.0022675736961451248</v>
      </c>
      <c r="E832" s="10">
        <f>IF(E16&gt;0,E220/E16,0)</f>
        <v>0.0024937655860349127</v>
      </c>
      <c r="F832" s="10">
        <f>IF(F16&gt;0,F220/F16,0)</f>
        <v>0.004267425320056899</v>
      </c>
      <c r="G832" s="10">
        <f>IF(G16&gt;0,G220/G16,0)</f>
        <v>0.018838304552590265</v>
      </c>
      <c r="H832" s="10">
        <f>IF(H16&gt;0,H220/H16,0)</f>
        <v>0.051593323216995446</v>
      </c>
      <c r="I832" s="10">
        <f>IF(I16&gt;0,I220/I16,0)</f>
        <v>0.047619047619047616</v>
      </c>
      <c r="J832" s="10">
        <f>IF(J16&gt;0,J220/J16,0)</f>
        <v>0.047619047619047616</v>
      </c>
      <c r="K832" s="10">
        <f>IF(K16&gt;0,K220/K16,0)</f>
        <v>0.06631299734748011</v>
      </c>
      <c r="L832" s="10">
        <f>IF(L16&gt;0,L220/L16,0)</f>
        <v>0.03566529492455418</v>
      </c>
      <c r="M832" s="10">
        <f>IF(M16&gt;0,M220/M16,0)</f>
        <v>0.030534351145038167</v>
      </c>
      <c r="N832" s="10">
        <f>IF(N16&gt;0,N220/N16,0)</f>
        <v>0.03672316384180791</v>
      </c>
      <c r="O832" s="10">
        <f>IF(O16&gt;0,O220/O16,0)</f>
        <v>0.03669724770642202</v>
      </c>
      <c r="P832" s="10">
        <f>IF(P16&gt;0,P220/P16,0)</f>
        <v>0.037474776592678005</v>
      </c>
      <c r="Q832" s="10">
        <f>IF(Q16&gt;0,Q220/Q16,0)</f>
        <v>0.039755351681957186</v>
      </c>
      <c r="R832" s="10">
        <f>IF(R16&gt;0,R220/R16,0)</f>
        <v>0.04120443740095087</v>
      </c>
      <c r="S832" s="10">
        <f>IF(S16&gt;0,S220/S16,0)</f>
        <v>0.03987730061349693</v>
      </c>
    </row>
    <row r="833">
      <c r="A833" s="14" t="s">
        <v>106</v>
      </c>
      <c r="B833" s="2" t="s">
        <v>368</v>
      </c>
      <c r="C833" s="10">
        <f>IF(C17&gt;0,C221/C17,0)</f>
        <v>0</v>
      </c>
      <c r="D833" s="10">
        <f>IF(D17&gt;0,D221/D17,0)</f>
        <v>0</v>
      </c>
      <c r="E833" s="10">
        <f>IF(E17&gt;0,E221/E17,0)</f>
        <v>0</v>
      </c>
      <c r="F833" s="10">
        <f>IF(F17&gt;0,F221/F17,0)</f>
        <v>0</v>
      </c>
      <c r="G833" s="10">
        <f>IF(G17&gt;0,G221/G17,0)</f>
        <v>0.011764705882352941</v>
      </c>
      <c r="H833" s="10">
        <f>IF(H17&gt;0,H221/H17,0)</f>
        <v>0.011764705882352941</v>
      </c>
      <c r="I833" s="10">
        <f>IF(I17&gt;0,I221/I17,0)</f>
        <v>0.009523809523809525</v>
      </c>
      <c r="J833" s="10">
        <f>IF(J17&gt;0,J221/J17,0)</f>
        <v>0.01098901098901099</v>
      </c>
      <c r="K833" s="10">
        <f>IF(K17&gt;0,K221/K17,0)</f>
        <v>0.01694915254237288</v>
      </c>
      <c r="L833" s="10">
        <f>IF(L17&gt;0,L221/L17,0)</f>
        <v>0.029038112522686024</v>
      </c>
      <c r="M833" s="10">
        <f>IF(M17&gt;0,M221/M17,0)</f>
        <v>0.03773584905660377</v>
      </c>
      <c r="N833" s="10">
        <f>IF(N17&gt;0,N221/N17,0)</f>
        <v>0.042283298097251586</v>
      </c>
      <c r="O833" s="10">
        <f>IF(O17&gt;0,O221/O17,0)</f>
        <v>0.06177606177606178</v>
      </c>
      <c r="P833" s="10">
        <f>IF(P17&gt;0,P221/P17,0)</f>
        <v>0.06817213463996591</v>
      </c>
      <c r="Q833" s="10">
        <f>IF(Q17&gt;0,Q221/Q17,0)</f>
        <v>0.06015037593984962</v>
      </c>
      <c r="R833" s="10">
        <f>IF(R17&gt;0,R221/R17,0)</f>
        <v>0.0625</v>
      </c>
      <c r="S833" s="10">
        <f>IF(S17&gt;0,S221/S17,0)</f>
        <v>0.05737704918032787</v>
      </c>
    </row>
    <row r="834">
      <c r="A834" s="14" t="s">
        <v>376</v>
      </c>
      <c r="B834" s="2" t="s">
        <v>368</v>
      </c>
      <c r="C834" s="10">
        <f>IF(C18&gt;0,C222/C18,0)</f>
        <v>0.42857142857142855</v>
      </c>
      <c r="D834" s="10">
        <f>IF(D18&gt;0,D222/D18,0)</f>
        <v>0.35398230088495575</v>
      </c>
      <c r="E834" s="10">
        <f>IF(E18&gt;0,E222/E18,0)</f>
        <v>0.4830508474576271</v>
      </c>
      <c r="F834" s="10">
        <f>IF(F18&gt;0,F222/F18,0)</f>
        <v>0.4375</v>
      </c>
      <c r="G834" s="10">
        <f>IF(G18&gt;0,G222/G18,0)</f>
        <v>0.4782608695652174</v>
      </c>
      <c r="H834" s="10">
        <f>IF(H18&gt;0,H222/H18,0)</f>
        <v>0.45454545454545453</v>
      </c>
      <c r="I834" s="10">
        <f>IF(I18&gt;0,I222/I18,0)</f>
        <v>0.47619047619047616</v>
      </c>
      <c r="J834" s="10">
        <f>IF(J18&gt;0,J222/J18,0)</f>
        <v>0.4782608695652174</v>
      </c>
      <c r="K834" s="10">
        <f>IF(K18&gt;0,K222/K18,0)</f>
        <v>0.4583333333333333</v>
      </c>
      <c r="L834" s="10">
        <f>IF(L18&gt;0,L222/L18,0)</f>
        <v>0.4791666666666667</v>
      </c>
      <c r="M834" s="10">
        <f>IF(M18&gt;0,M222/M18,0)</f>
        <v>0.4666666666666667</v>
      </c>
      <c r="N834" s="10">
        <f>IF(N18&gt;0,N222/N18,0)</f>
        <v>0.4583333333333333</v>
      </c>
      <c r="O834" s="10">
        <f>IF(O18&gt;0,O222/O18,0)</f>
        <v>0.4583333333333333</v>
      </c>
      <c r="P834" s="10">
        <f>IF(P18&gt;0,P222/P18,0)</f>
        <v>0.4444444444444444</v>
      </c>
      <c r="Q834" s="10">
        <f>IF(Q18&gt;0,Q222/Q18,0)</f>
        <v>0.48148148148148145</v>
      </c>
      <c r="R834" s="10">
        <f>IF(R18&gt;0,R222/R18,0)</f>
        <v>0.4827586206896552</v>
      </c>
      <c r="S834" s="10">
        <f>IF(S18&gt;0,S222/S18,0)</f>
        <v>0.46875</v>
      </c>
    </row>
    <row r="835">
      <c r="A835" s="14" t="s">
        <v>377</v>
      </c>
      <c r="B835" s="2" t="s">
        <v>368</v>
      </c>
      <c r="C835" s="10">
        <f>IF(C19&gt;0,C223/C19,0)</f>
        <v>1</v>
      </c>
      <c r="D835" s="10">
        <f>IF(D19&gt;0,D223/D19,0)</f>
        <v>1</v>
      </c>
      <c r="E835" s="10">
        <f>IF(E19&gt;0,E223/E19,0)</f>
        <v>1</v>
      </c>
      <c r="F835" s="10">
        <f>IF(F19&gt;0,F223/F19,0)</f>
        <v>1</v>
      </c>
      <c r="G835" s="10">
        <f>IF(G19&gt;0,G223/G19,0)</f>
        <v>1</v>
      </c>
      <c r="H835" s="10">
        <f>IF(H19&gt;0,H223/H19,0)</f>
        <v>1</v>
      </c>
      <c r="I835" s="10">
        <f>IF(I19&gt;0,I223/I19,0)</f>
        <v>1</v>
      </c>
      <c r="J835" s="10">
        <f>IF(J19&gt;0,J223/J19,0)</f>
        <v>1</v>
      </c>
      <c r="K835" s="10">
        <f>IF(K19&gt;0,K223/K19,0)</f>
        <v>1</v>
      </c>
      <c r="L835" s="10">
        <f>IF(L19&gt;0,L223/L19,0)</f>
        <v>1</v>
      </c>
      <c r="M835" s="10">
        <f>IF(M19&gt;0,M223/M19,0)</f>
        <v>1</v>
      </c>
      <c r="N835" s="10">
        <f>IF(N19&gt;0,N223/N19,0)</f>
        <v>1</v>
      </c>
      <c r="O835" s="10">
        <f>IF(O19&gt;0,O223/O19,0)</f>
        <v>1</v>
      </c>
      <c r="P835" s="10">
        <f>IF(P19&gt;0,P223/P19,0)</f>
        <v>1</v>
      </c>
      <c r="Q835" s="10">
        <f>IF(Q19&gt;0,Q223/Q19,0)</f>
        <v>1</v>
      </c>
      <c r="R835" s="10">
        <f>IF(R19&gt;0,R223/R19,0)</f>
        <v>1</v>
      </c>
      <c r="S835" s="10">
        <f>IF(S19&gt;0,S223/S19,0)</f>
        <v>1</v>
      </c>
    </row>
    <row r="836">
      <c r="A836" s="14" t="s">
        <v>378</v>
      </c>
      <c r="B836" s="2" t="s">
        <v>368</v>
      </c>
      <c r="C836" s="10">
        <f>IF(C20&gt;0,C224/C20,0)</f>
        <v>1</v>
      </c>
      <c r="D836" s="10">
        <f>IF(D20&gt;0,D224/D20,0)</f>
        <v>1</v>
      </c>
      <c r="E836" s="10">
        <f>IF(E20&gt;0,E224/E20,0)</f>
        <v>1</v>
      </c>
      <c r="F836" s="10">
        <f>IF(F20&gt;0,F224/F20,0)</f>
        <v>1</v>
      </c>
      <c r="G836" s="10">
        <f>IF(G20&gt;0,G224/G20,0)</f>
        <v>1</v>
      </c>
      <c r="H836" s="10">
        <f>IF(H20&gt;0,H224/H20,0)</f>
        <v>1</v>
      </c>
      <c r="I836" s="10">
        <f>IF(I20&gt;0,I224/I20,0)</f>
        <v>1</v>
      </c>
      <c r="J836" s="10">
        <f>IF(J20&gt;0,J224/J20,0)</f>
        <v>1</v>
      </c>
      <c r="K836" s="10">
        <f>IF(K20&gt;0,K224/K20,0)</f>
        <v>1</v>
      </c>
      <c r="L836" s="10">
        <f>IF(L20&gt;0,L224/L20,0)</f>
        <v>1</v>
      </c>
      <c r="M836" s="10">
        <f>IF(M20&gt;0,M224/M20,0)</f>
        <v>1</v>
      </c>
      <c r="N836" s="10">
        <f>IF(N20&gt;0,N224/N20,0)</f>
        <v>1</v>
      </c>
      <c r="O836" s="10">
        <f>IF(O20&gt;0,O224/O20,0)</f>
        <v>1</v>
      </c>
      <c r="P836" s="10">
        <f>IF(P20&gt;0,P224/P20,0)</f>
        <v>1</v>
      </c>
      <c r="Q836" s="10">
        <f>IF(Q20&gt;0,Q224/Q20,0)</f>
        <v>1</v>
      </c>
      <c r="R836" s="10">
        <f>IF(R20&gt;0,R224/R20,0)</f>
        <v>1</v>
      </c>
      <c r="S836" s="10">
        <f>IF(S20&gt;0,S224/S20,0)</f>
        <v>1</v>
      </c>
    </row>
    <row r="837">
      <c r="A837" s="14" t="s">
        <v>110</v>
      </c>
      <c r="B837" s="2" t="s">
        <v>368</v>
      </c>
      <c r="C837" s="10">
        <f>IF(C21&gt;0,C225/C21,0)</f>
        <v>0</v>
      </c>
      <c r="D837" s="10">
        <f>IF(D21&gt;0,D225/D21,0)</f>
        <v>0</v>
      </c>
      <c r="E837" s="10">
        <f>IF(E21&gt;0,E225/E21,0)</f>
        <v>0</v>
      </c>
      <c r="F837" s="10">
        <f>IF(F21&gt;0,F225/F21,0)</f>
        <v>0</v>
      </c>
      <c r="G837" s="10">
        <f>IF(G21&gt;0,G225/G21,0)</f>
        <v>0</v>
      </c>
      <c r="H837" s="10">
        <f>IF(H21&gt;0,H225/H21,0)</f>
        <v>0</v>
      </c>
      <c r="I837" s="10">
        <f>IF(I21&gt;0,I225/I21,0)</f>
        <v>0</v>
      </c>
      <c r="J837" s="10">
        <f>IF(J21&gt;0,J225/J21,0)</f>
        <v>0</v>
      </c>
      <c r="K837" s="10">
        <f>IF(K21&gt;0,K225/K21,0)</f>
        <v>0</v>
      </c>
      <c r="L837" s="10">
        <f>IF(L21&gt;0,L225/L21,0)</f>
        <v>0</v>
      </c>
      <c r="M837" s="10">
        <f>IF(M21&gt;0,M225/M21,0)</f>
        <v>0</v>
      </c>
      <c r="N837" s="10">
        <f>IF(N21&gt;0,N225/N21,0)</f>
        <v>0</v>
      </c>
      <c r="O837" s="10">
        <f>IF(O21&gt;0,O225/O21,0)</f>
        <v>0</v>
      </c>
      <c r="P837" s="10">
        <f>IF(P21&gt;0,P225/P21,0)</f>
        <v>0</v>
      </c>
      <c r="Q837" s="10">
        <f>IF(Q21&gt;0,Q225/Q21,0)</f>
        <v>0</v>
      </c>
      <c r="R837" s="10">
        <f>IF(R21&gt;0,R225/R21,0)</f>
        <v>0</v>
      </c>
      <c r="S837" s="10">
        <f>IF(S21&gt;0,S225/S21,0)</f>
        <v>0</v>
      </c>
    </row>
    <row r="838">
      <c r="A838" s="14" t="s">
        <v>111</v>
      </c>
      <c r="B838" s="2" t="s">
        <v>368</v>
      </c>
      <c r="C838" s="10">
        <f>IF(C22&gt;0,C226/C22,0)</f>
        <v>0</v>
      </c>
      <c r="D838" s="10">
        <f>IF(D22&gt;0,D226/D22,0)</f>
        <v>0</v>
      </c>
      <c r="E838" s="10">
        <f>IF(E22&gt;0,E226/E22,0)</f>
        <v>0</v>
      </c>
      <c r="F838" s="10">
        <f>IF(F22&gt;0,F226/F22,0)</f>
        <v>0</v>
      </c>
      <c r="G838" s="10">
        <f>IF(G22&gt;0,G226/G22,0)</f>
        <v>0</v>
      </c>
      <c r="H838" s="10">
        <f>IF(H22&gt;0,H226/H22,0)</f>
        <v>0</v>
      </c>
      <c r="I838" s="10">
        <f>IF(I22&gt;0,I226/I22,0)</f>
        <v>0</v>
      </c>
      <c r="J838" s="10">
        <f>IF(J22&gt;0,J226/J22,0)</f>
        <v>0</v>
      </c>
      <c r="K838" s="10">
        <f>IF(K22&gt;0,K226/K22,0)</f>
        <v>0</v>
      </c>
      <c r="L838" s="10">
        <f>IF(L22&gt;0,L226/L22,0)</f>
        <v>0</v>
      </c>
      <c r="M838" s="10">
        <f>IF(M22&gt;0,M226/M22,0)</f>
        <v>0</v>
      </c>
      <c r="N838" s="10">
        <f>IF(N22&gt;0,N226/N22,0)</f>
        <v>0</v>
      </c>
      <c r="O838" s="10">
        <f>IF(O22&gt;0,O226/O22,0)</f>
        <v>0</v>
      </c>
      <c r="P838" s="10">
        <f>IF(P22&gt;0,P226/P22,0)</f>
        <v>0</v>
      </c>
      <c r="Q838" s="10">
        <f>IF(Q22&gt;0,Q226/Q22,0)</f>
        <v>0</v>
      </c>
      <c r="R838" s="10">
        <f>IF(R22&gt;0,R226/R22,0)</f>
        <v>0</v>
      </c>
      <c r="S838" s="10">
        <f>IF(S22&gt;0,S226/S22,0)</f>
        <v>0</v>
      </c>
    </row>
    <row r="839">
      <c r="A839" s="14" t="s">
        <v>379</v>
      </c>
      <c r="B839" s="2" t="s">
        <v>368</v>
      </c>
      <c r="C839" s="10">
        <f>IF(C23&gt;0,C227/C23,0)</f>
        <v>1</v>
      </c>
      <c r="D839" s="10">
        <f>IF(D23&gt;0,D227/D23,0)</f>
        <v>1</v>
      </c>
      <c r="E839" s="10">
        <f>IF(E23&gt;0,E227/E23,0)</f>
        <v>1</v>
      </c>
      <c r="F839" s="10">
        <f>IF(F23&gt;0,F227/F23,0)</f>
        <v>1</v>
      </c>
      <c r="G839" s="10">
        <f>IF(G23&gt;0,G227/G23,0)</f>
        <v>1</v>
      </c>
      <c r="H839" s="10">
        <f>IF(H23&gt;0,H227/H23,0)</f>
        <v>1</v>
      </c>
      <c r="I839" s="10">
        <f>IF(I23&gt;0,I227/I23,0)</f>
        <v>1</v>
      </c>
      <c r="J839" s="10">
        <f>IF(J23&gt;0,J227/J23,0)</f>
        <v>1</v>
      </c>
      <c r="K839" s="10">
        <f>IF(K23&gt;0,K227/K23,0)</f>
        <v>1</v>
      </c>
      <c r="L839" s="10">
        <f>IF(L23&gt;0,L227/L23,0)</f>
        <v>1</v>
      </c>
      <c r="M839" s="10">
        <f>IF(M23&gt;0,M227/M23,0)</f>
        <v>1</v>
      </c>
      <c r="N839" s="10">
        <f>IF(N23&gt;0,N227/N23,0)</f>
        <v>1</v>
      </c>
      <c r="O839" s="10">
        <f>IF(O23&gt;0,O227/O23,0)</f>
        <v>1</v>
      </c>
      <c r="P839" s="10">
        <f>IF(P23&gt;0,P227/P23,0)</f>
        <v>1</v>
      </c>
      <c r="Q839" s="10">
        <f>IF(Q23&gt;0,Q227/Q23,0)</f>
        <v>1</v>
      </c>
      <c r="R839" s="10">
        <f>IF(R23&gt;0,R227/R23,0)</f>
        <v>1</v>
      </c>
      <c r="S839" s="10">
        <f>IF(S23&gt;0,S227/S23,0)</f>
        <v>1</v>
      </c>
    </row>
    <row r="840">
      <c r="A840" s="14" t="s">
        <v>380</v>
      </c>
      <c r="B840" s="2" t="s">
        <v>368</v>
      </c>
      <c r="C840" s="10">
        <f>IF(C24&gt;0,C228/C24,0)</f>
        <v>0.046242774566473986</v>
      </c>
      <c r="D840" s="10">
        <f>IF(D24&gt;0,D228/D24,0)</f>
        <v>0.03571428571428571</v>
      </c>
      <c r="E840" s="10">
        <f>IF(E24&gt;0,E228/E24,0)</f>
        <v>0.06060606060606061</v>
      </c>
      <c r="F840" s="10">
        <f>IF(F24&gt;0,F228/F24,0)</f>
        <v>0.04678362573099415</v>
      </c>
      <c r="G840" s="10">
        <f>IF(G24&gt;0,G228/G24,0)</f>
        <v>0.06172839506172839</v>
      </c>
      <c r="H840" s="10">
        <f>IF(H24&gt;0,H228/H24,0)</f>
        <v>0.06666666666666667</v>
      </c>
      <c r="I840" s="10">
        <f>IF(I24&gt;0,I228/I24,0)</f>
        <v>0.04484304932735426</v>
      </c>
      <c r="J840" s="10">
        <f>IF(J24&gt;0,J228/J24,0)</f>
        <v>0.06172839506172839</v>
      </c>
      <c r="K840" s="10">
        <f>IF(K24&gt;0,K228/K24,0)</f>
        <v>0.05181347150259067</v>
      </c>
      <c r="L840" s="10">
        <f>IF(L24&gt;0,L228/L24,0)</f>
        <v>0.06060606060606061</v>
      </c>
      <c r="M840" s="10">
        <f>IF(M24&gt;0,M228/M24,0)</f>
        <v>0.07142857142857142</v>
      </c>
      <c r="N840" s="10">
        <f>IF(N24&gt;0,N228/N24,0)</f>
        <v>0.06451612903225806</v>
      </c>
      <c r="O840" s="10">
        <f>IF(O24&gt;0,O228/O24,0)</f>
        <v>0.05714285714285714</v>
      </c>
      <c r="P840" s="10">
        <f>IF(P24&gt;0,P228/P24,0)</f>
        <v>0.05102040816326531</v>
      </c>
      <c r="Q840" s="10">
        <f>IF(Q24&gt;0,Q228/Q24,0)</f>
        <v>0.05063291139240506</v>
      </c>
      <c r="R840" s="10">
        <f>IF(R24&gt;0,R228/R24,0)</f>
        <v>0.0625</v>
      </c>
      <c r="S840" s="10">
        <f>IF(S24&gt;0,S228/S24,0)</f>
        <v>0.0625</v>
      </c>
    </row>
    <row r="841">
      <c r="A841" s="14" t="s">
        <v>381</v>
      </c>
      <c r="B841" s="2" t="s">
        <v>368</v>
      </c>
      <c r="C841" s="10">
        <f>IF(C25&gt;0,C229/C25,0)</f>
        <v>0</v>
      </c>
      <c r="D841" s="10">
        <f>IF(D25&gt;0,D229/D25,0)</f>
        <v>0</v>
      </c>
      <c r="E841" s="10">
        <f>IF(E25&gt;0,E229/E25,0)</f>
        <v>0</v>
      </c>
      <c r="F841" s="10">
        <f>IF(F25&gt;0,F229/F25,0)</f>
        <v>0</v>
      </c>
      <c r="G841" s="10">
        <f>IF(G25&gt;0,G229/G25,0)</f>
        <v>0</v>
      </c>
      <c r="H841" s="10">
        <f>IF(H25&gt;0,H229/H25,0)</f>
        <v>0</v>
      </c>
      <c r="I841" s="10">
        <f>IF(I25&gt;0,I229/I25,0)</f>
        <v>0</v>
      </c>
      <c r="J841" s="10">
        <f>IF(J25&gt;0,J229/J25,0)</f>
        <v>0</v>
      </c>
      <c r="K841" s="10">
        <f>IF(K25&gt;0,K229/K25,0)</f>
        <v>0</v>
      </c>
      <c r="L841" s="10">
        <f>IF(L25&gt;0,L229/L25,0)</f>
        <v>0</v>
      </c>
      <c r="M841" s="10">
        <f>IF(M25&gt;0,M229/M25,0)</f>
        <v>0</v>
      </c>
      <c r="N841" s="10">
        <f>IF(N25&gt;0,N229/N25,0)</f>
        <v>0</v>
      </c>
      <c r="O841" s="10">
        <f>IF(O25&gt;0,O229/O25,0)</f>
        <v>0</v>
      </c>
      <c r="P841" s="10">
        <f>IF(P25&gt;0,P229/P25,0)</f>
        <v>0</v>
      </c>
      <c r="Q841" s="10">
        <f>IF(Q25&gt;0,Q229/Q25,0)</f>
        <v>0</v>
      </c>
      <c r="R841" s="10">
        <f>IF(R25&gt;0,R229/R25,0)</f>
        <v>0</v>
      </c>
      <c r="S841" s="10">
        <f>IF(S25&gt;0,S229/S25,0)</f>
        <v>0</v>
      </c>
    </row>
    <row r="842">
      <c r="A842" s="14" t="s">
        <v>115</v>
      </c>
      <c r="B842" s="2" t="s">
        <v>368</v>
      </c>
      <c r="C842" s="10">
        <f>IF(C26&gt;0,C230/C26,0)</f>
        <v>1</v>
      </c>
      <c r="D842" s="10">
        <f>IF(D26&gt;0,D230/D26,0)</f>
        <v>1</v>
      </c>
      <c r="E842" s="10">
        <f>IF(E26&gt;0,E230/E26,0)</f>
        <v>1</v>
      </c>
      <c r="F842" s="10">
        <f>IF(F26&gt;0,F230/F26,0)</f>
        <v>1</v>
      </c>
      <c r="G842" s="10">
        <f>IF(G26&gt;0,G230/G26,0)</f>
        <v>1</v>
      </c>
      <c r="H842" s="10">
        <f>IF(H26&gt;0,H230/H26,0)</f>
        <v>1</v>
      </c>
      <c r="I842" s="10">
        <f>IF(I26&gt;0,I230/I26,0)</f>
        <v>1</v>
      </c>
      <c r="J842" s="10">
        <f>IF(J26&gt;0,J230/J26,0)</f>
        <v>1</v>
      </c>
      <c r="K842" s="10">
        <f>IF(K26&gt;0,K230/K26,0)</f>
        <v>1</v>
      </c>
      <c r="L842" s="10">
        <f>IF(L26&gt;0,L230/L26,0)</f>
        <v>1</v>
      </c>
      <c r="M842" s="10">
        <f>IF(M26&gt;0,M230/M26,0)</f>
        <v>1</v>
      </c>
      <c r="N842" s="10">
        <f>IF(N26&gt;0,N230/N26,0)</f>
        <v>1</v>
      </c>
      <c r="O842" s="10">
        <f>IF(O26&gt;0,O230/O26,0)</f>
        <v>1</v>
      </c>
      <c r="P842" s="10">
        <f>IF(P26&gt;0,P230/P26,0)</f>
        <v>1</v>
      </c>
      <c r="Q842" s="10">
        <f>IF(Q26&gt;0,Q230/Q26,0)</f>
        <v>1</v>
      </c>
      <c r="R842" s="10">
        <f>IF(R26&gt;0,R230/R26,0)</f>
        <v>1</v>
      </c>
      <c r="S842" s="10">
        <f>IF(S26&gt;0,S230/S26,0)</f>
        <v>1</v>
      </c>
    </row>
    <row r="843">
      <c r="A843" s="14" t="s">
        <v>382</v>
      </c>
      <c r="B843" s="2" t="s">
        <v>368</v>
      </c>
      <c r="C843" s="10">
        <f>IF(C27&gt;0,C231/C27,0)</f>
        <v>0.38461538461538464</v>
      </c>
      <c r="D843" s="10">
        <f>IF(D27&gt;0,D231/D27,0)</f>
        <v>0.36507936507936506</v>
      </c>
      <c r="E843" s="10">
        <f>IF(E27&gt;0,E231/E27,0)</f>
        <v>0.3225806451612903</v>
      </c>
      <c r="F843" s="10">
        <f>IF(F27&gt;0,F231/F27,0)</f>
        <v>0.38636363636363635</v>
      </c>
      <c r="G843" s="10">
        <f>IF(G27&gt;0,G231/G27,0)</f>
        <v>0.5294117647058824</v>
      </c>
      <c r="H843" s="10">
        <f>IF(H27&gt;0,H231/H27,0)</f>
        <v>0.5555555555555556</v>
      </c>
      <c r="I843" s="10">
        <f>IF(I27&gt;0,I231/I27,0)</f>
        <v>0.5882352941176471</v>
      </c>
      <c r="J843" s="10">
        <f>IF(J27&gt;0,J231/J27,0)</f>
        <v>0.5365853658536586</v>
      </c>
      <c r="K843" s="10">
        <f>IF(K27&gt;0,K231/K27,0)</f>
        <v>0.45098039215686275</v>
      </c>
      <c r="L843" s="10">
        <f>IF(L27&gt;0,L231/L27,0)</f>
        <v>0.43636363636363634</v>
      </c>
      <c r="M843" s="10">
        <f>IF(M27&gt;0,M231/M27,0)</f>
        <v>0.6549019607843137</v>
      </c>
      <c r="N843" s="10">
        <f>IF(N27&gt;0,N231/N27,0)</f>
        <v>0.6538461538461539</v>
      </c>
      <c r="O843" s="10">
        <f>IF(O27&gt;0,O231/O27,0)</f>
        <v>0.6807909604519774</v>
      </c>
      <c r="P843" s="10">
        <f>IF(P27&gt;0,P231/P27,0)</f>
        <v>0.6756756756756757</v>
      </c>
      <c r="Q843" s="10">
        <f>IF(Q27&gt;0,Q231/Q27,0)</f>
        <v>0.704225352112676</v>
      </c>
      <c r="R843" s="10">
        <f>IF(R27&gt;0,R231/R27,0)</f>
        <v>0.7142857142857143</v>
      </c>
      <c r="S843" s="10">
        <f>IF(S27&gt;0,S231/S27,0)</f>
        <v>0.7142857142857143</v>
      </c>
    </row>
    <row r="844">
      <c r="A844" s="14" t="s">
        <v>117</v>
      </c>
      <c r="B844" s="2" t="s">
        <v>368</v>
      </c>
      <c r="C844" s="10">
        <f>IF(C28&gt;0,C232/C28,0)</f>
        <v>0</v>
      </c>
      <c r="D844" s="10">
        <f>IF(D28&gt;0,D232/D28,0)</f>
        <v>0</v>
      </c>
      <c r="E844" s="10">
        <f>IF(E28&gt;0,E232/E28,0)</f>
        <v>0</v>
      </c>
      <c r="F844" s="10">
        <f>IF(F28&gt;0,F232/F28,0)</f>
        <v>0</v>
      </c>
      <c r="G844" s="10">
        <f>IF(G28&gt;0,G232/G28,0)</f>
        <v>0</v>
      </c>
      <c r="H844" s="10">
        <f>IF(H28&gt;0,H232/H28,0)</f>
        <v>0</v>
      </c>
      <c r="I844" s="10">
        <f>IF(I28&gt;0,I232/I28,0)</f>
        <v>0</v>
      </c>
      <c r="J844" s="10">
        <f>IF(J28&gt;0,J232/J28,0)</f>
        <v>0</v>
      </c>
      <c r="K844" s="10">
        <f>IF(K28&gt;0,K232/K28,0)</f>
        <v>0</v>
      </c>
      <c r="L844" s="10">
        <f>IF(L28&gt;0,L232/L28,0)</f>
        <v>0</v>
      </c>
      <c r="M844" s="10">
        <f>IF(M28&gt;0,M232/M28,0)</f>
        <v>0</v>
      </c>
      <c r="N844" s="10">
        <f>IF(N28&gt;0,N232/N28,0)</f>
        <v>0</v>
      </c>
      <c r="O844" s="10">
        <f>IF(O28&gt;0,O232/O28,0)</f>
        <v>0</v>
      </c>
      <c r="P844" s="10">
        <f>IF(P28&gt;0,P232/P28,0)</f>
        <v>0</v>
      </c>
      <c r="Q844" s="10">
        <f>IF(Q28&gt;0,Q232/Q28,0)</f>
        <v>0</v>
      </c>
      <c r="R844" s="10">
        <f>IF(R28&gt;0,R232/R28,0)</f>
        <v>0</v>
      </c>
      <c r="S844" s="10">
        <f>IF(S28&gt;0,S232/S28,0)</f>
        <v>0</v>
      </c>
    </row>
    <row r="845">
      <c r="A845" s="14" t="s">
        <v>118</v>
      </c>
      <c r="B845" s="2" t="s">
        <v>368</v>
      </c>
      <c r="C845" s="10">
        <f>IF(C29&gt;0,C233/C29,0)</f>
        <v>0.9545454545454546</v>
      </c>
      <c r="D845" s="10">
        <f>IF(D29&gt;0,D233/D29,0)</f>
        <v>0.9545454545454546</v>
      </c>
      <c r="E845" s="10">
        <f>IF(E29&gt;0,E233/E29,0)</f>
        <v>0.9523809523809523</v>
      </c>
      <c r="F845" s="10">
        <f>IF(F29&gt;0,F233/F29,0)</f>
        <v>0.9545454545454546</v>
      </c>
      <c r="G845" s="10">
        <f>IF(G29&gt;0,G233/G29,0)</f>
        <v>0.95</v>
      </c>
      <c r="H845" s="10">
        <f>IF(H29&gt;0,H233/H29,0)</f>
        <v>0.9019607843137255</v>
      </c>
      <c r="I845" s="10">
        <f>IF(I29&gt;0,I233/I29,0)</f>
        <v>0.9152542372881356</v>
      </c>
      <c r="J845" s="10">
        <f>IF(J29&gt;0,J233/J29,0)</f>
        <v>0.9</v>
      </c>
      <c r="K845" s="10">
        <f>IF(K29&gt;0,K233/K29,0)</f>
        <v>0.8928571428571429</v>
      </c>
      <c r="L845" s="10">
        <f>IF(L29&gt;0,L233/L29,0)</f>
        <v>0.9230769230769231</v>
      </c>
      <c r="M845" s="10">
        <f>IF(M29&gt;0,M233/M29,0)</f>
        <v>0.9230769230769231</v>
      </c>
      <c r="N845" s="10">
        <f>IF(N29&gt;0,N233/N29,0)</f>
        <v>0.9166666666666666</v>
      </c>
      <c r="O845" s="10">
        <f>IF(O29&gt;0,O233/O29,0)</f>
        <v>0.9230769230769231</v>
      </c>
      <c r="P845" s="10">
        <f>IF(P29&gt;0,P233/P29,0)</f>
        <v>0.9166666666666666</v>
      </c>
      <c r="Q845" s="10">
        <f>IF(Q29&gt;0,Q233/Q29,0)</f>
        <v>0.9166666666666666</v>
      </c>
      <c r="R845" s="10">
        <f>IF(R29&gt;0,R233/R29,0)</f>
        <v>0.9166666666666666</v>
      </c>
      <c r="S845" s="10">
        <f>IF(S29&gt;0,S233/S29,0)</f>
        <v>0.9166666666666666</v>
      </c>
    </row>
    <row r="846">
      <c r="A846" s="14" t="s">
        <v>383</v>
      </c>
      <c r="B846" s="2" t="s">
        <v>368</v>
      </c>
      <c r="C846" s="10">
        <f>IF(C30&gt;0,C234/C30,0)</f>
        <v>0.8741258741258742</v>
      </c>
      <c r="D846" s="10">
        <f>IF(D30&gt;0,D234/D30,0)</f>
        <v>0.8775510204081632</v>
      </c>
      <c r="E846" s="10">
        <f>IF(E30&gt;0,E234/E30,0)</f>
        <v>0.9065420560747663</v>
      </c>
      <c r="F846" s="10">
        <f>IF(F30&gt;0,F234/F30,0)</f>
        <v>0.8823529411764706</v>
      </c>
      <c r="G846" s="10">
        <f>IF(G30&gt;0,G234/G30,0)</f>
        <v>0.9130434782608695</v>
      </c>
      <c r="H846" s="10">
        <f>IF(H30&gt;0,H234/H30,0)</f>
        <v>0.92</v>
      </c>
      <c r="I846" s="10">
        <f>IF(I30&gt;0,I234/I30,0)</f>
        <v>0.9</v>
      </c>
      <c r="J846" s="10">
        <f>IF(J30&gt;0,J234/J30,0)</f>
        <v>0.8823529411764706</v>
      </c>
      <c r="K846" s="10">
        <f>IF(K30&gt;0,K234/K30,0)</f>
        <v>0.8888888888888888</v>
      </c>
      <c r="L846" s="10">
        <f>IF(L30&gt;0,L234/L30,0)</f>
        <v>0.8947368421052632</v>
      </c>
      <c r="M846" s="10">
        <f>IF(M30&gt;0,M234/M30,0)</f>
        <v>0.875</v>
      </c>
      <c r="N846" s="10">
        <f>IF(N30&gt;0,N234/N30,0)</f>
        <v>0.9090909090909091</v>
      </c>
      <c r="O846" s="10">
        <f>IF(O30&gt;0,O234/O30,0)</f>
        <v>0.8148148148148148</v>
      </c>
      <c r="P846" s="10">
        <f>IF(P30&gt;0,P234/P30,0)</f>
        <v>0.8837209302325582</v>
      </c>
      <c r="Q846" s="10">
        <f>IF(Q30&gt;0,Q234/Q30,0)</f>
        <v>0.8780487804878049</v>
      </c>
      <c r="R846" s="10">
        <f>IF(R30&gt;0,R234/R30,0)</f>
        <v>0.8888888888888888</v>
      </c>
      <c r="S846" s="10">
        <f>IF(S30&gt;0,S234/S30,0)</f>
        <v>0.8837209302325582</v>
      </c>
    </row>
    <row r="847">
      <c r="A847" s="14" t="s">
        <v>384</v>
      </c>
      <c r="B847" s="2" t="s">
        <v>368</v>
      </c>
      <c r="C847" s="10">
        <f>IF(C31&gt;0,C235/C31,0)</f>
        <v>0.6226415094339622</v>
      </c>
      <c r="D847" s="10">
        <f>IF(D31&gt;0,D235/D31,0)</f>
        <v>0.6470588235294118</v>
      </c>
      <c r="E847" s="10">
        <f>IF(E31&gt;0,E235/E31,0)</f>
        <v>0.6521739130434783</v>
      </c>
      <c r="F847" s="10">
        <f>IF(F31&gt;0,F235/F31,0)</f>
        <v>0.7083333333333334</v>
      </c>
      <c r="G847" s="10">
        <f>IF(G31&gt;0,G235/G31,0)</f>
        <v>0.6818181818181818</v>
      </c>
      <c r="H847" s="10">
        <f>IF(H31&gt;0,H235/H31,0)</f>
        <v>0.6818181818181818</v>
      </c>
      <c r="I847" s="10">
        <f>IF(I31&gt;0,I235/I31,0)</f>
        <v>0.6956521739130435</v>
      </c>
      <c r="J847" s="10">
        <f>IF(J31&gt;0,J235/J31,0)</f>
        <v>0.7</v>
      </c>
      <c r="K847" s="10">
        <f>IF(K31&gt;0,K235/K31,0)</f>
        <v>0.7142857142857143</v>
      </c>
      <c r="L847" s="10">
        <f>IF(L31&gt;0,L235/L31,0)</f>
        <v>0.7058823529411765</v>
      </c>
      <c r="M847" s="10">
        <f>IF(M31&gt;0,M235/M31,0)</f>
        <v>0.7</v>
      </c>
      <c r="N847" s="10">
        <f>IF(N31&gt;0,N235/N31,0)</f>
        <v>0.7407407407407407</v>
      </c>
      <c r="O847" s="10">
        <f>IF(O31&gt;0,O235/O31,0)</f>
        <v>0.7058823529411765</v>
      </c>
      <c r="P847" s="10">
        <f>IF(P31&gt;0,P235/P31,0)</f>
        <v>0.6666666666666666</v>
      </c>
      <c r="Q847" s="10">
        <f>IF(Q31&gt;0,Q235/Q31,0)</f>
        <v>0.7058823529411765</v>
      </c>
      <c r="R847" s="10">
        <f>IF(R31&gt;0,R235/R31,0)</f>
        <v>0.6875</v>
      </c>
      <c r="S847" s="10">
        <f>IF(S31&gt;0,S235/S31,0)</f>
        <v>0.6875</v>
      </c>
    </row>
    <row r="848">
      <c r="A848" s="14" t="s">
        <v>121</v>
      </c>
      <c r="B848" s="2" t="s">
        <v>368</v>
      </c>
      <c r="C848" s="10">
        <f>IF(C32&gt;0,C236/C32,0)</f>
        <v>0</v>
      </c>
      <c r="D848" s="10">
        <f>IF(D32&gt;0,D236/D32,0)</f>
        <v>0</v>
      </c>
      <c r="E848" s="10">
        <f>IF(E32&gt;0,E236/E32,0)</f>
        <v>0</v>
      </c>
      <c r="F848" s="10">
        <f>IF(F32&gt;0,F236/F32,0)</f>
        <v>0</v>
      </c>
      <c r="G848" s="10">
        <f>IF(G32&gt;0,G236/G32,0)</f>
        <v>0</v>
      </c>
      <c r="H848" s="10">
        <f>IF(H32&gt;0,H236/H32,0)</f>
        <v>0</v>
      </c>
      <c r="I848" s="10">
        <f>IF(I32&gt;0,I236/I32,0)</f>
        <v>0</v>
      </c>
      <c r="J848" s="10">
        <f>IF(J32&gt;0,J236/J32,0)</f>
        <v>0</v>
      </c>
      <c r="K848" s="10">
        <f>IF(K32&gt;0,K236/K32,0)</f>
        <v>0</v>
      </c>
      <c r="L848" s="10">
        <f>IF(L32&gt;0,L236/L32,0)</f>
        <v>0</v>
      </c>
      <c r="M848" s="10">
        <f>IF(M32&gt;0,M236/M32,0)</f>
        <v>0</v>
      </c>
      <c r="N848" s="10">
        <f>IF(N32&gt;0,N236/N32,0)</f>
        <v>0</v>
      </c>
      <c r="O848" s="10">
        <f>IF(O32&gt;0,O236/O32,0)</f>
        <v>0</v>
      </c>
      <c r="P848" s="10">
        <f>IF(P32&gt;0,P236/P32,0)</f>
        <v>0</v>
      </c>
      <c r="Q848" s="10">
        <f>IF(Q32&gt;0,Q236/Q32,0)</f>
        <v>0</v>
      </c>
      <c r="R848" s="10">
        <f>IF(R32&gt;0,R236/R32,0)</f>
        <v>0</v>
      </c>
      <c r="S848" s="10">
        <f>IF(S32&gt;0,S236/S32,0)</f>
        <v>0</v>
      </c>
    </row>
    <row r="849">
      <c r="A849" s="14" t="s">
        <v>385</v>
      </c>
      <c r="B849" s="2" t="s">
        <v>368</v>
      </c>
      <c r="C849" s="10">
        <f>IF(C33&gt;0,C237/C33,0)</f>
        <v>0</v>
      </c>
      <c r="D849" s="10">
        <f>IF(D33&gt;0,D237/D33,0)</f>
        <v>0</v>
      </c>
      <c r="E849" s="10">
        <f>IF(E33&gt;0,E237/E33,0)</f>
        <v>0</v>
      </c>
      <c r="F849" s="10">
        <f>IF(F33&gt;0,F237/F33,0)</f>
        <v>0</v>
      </c>
      <c r="G849" s="10">
        <f>IF(G33&gt;0,G237/G33,0)</f>
        <v>0</v>
      </c>
      <c r="H849" s="10">
        <f>IF(H33&gt;0,H237/H33,0)</f>
        <v>0</v>
      </c>
      <c r="I849" s="10">
        <f>IF(I33&gt;0,I237/I33,0)</f>
        <v>0</v>
      </c>
      <c r="J849" s="10">
        <f>IF(J33&gt;0,J237/J33,0)</f>
        <v>0</v>
      </c>
      <c r="K849" s="10">
        <f>IF(K33&gt;0,K237/K33,0)</f>
        <v>0</v>
      </c>
      <c r="L849" s="10">
        <f>IF(L33&gt;0,L237/L33,0)</f>
        <v>0</v>
      </c>
      <c r="M849" s="10">
        <f>IF(M33&gt;0,M237/M33,0)</f>
        <v>0</v>
      </c>
      <c r="N849" s="10">
        <f>IF(N33&gt;0,N237/N33,0)</f>
        <v>0</v>
      </c>
      <c r="O849" s="10">
        <f>IF(O33&gt;0,O237/O33,0)</f>
        <v>0</v>
      </c>
      <c r="P849" s="10">
        <f>IF(P33&gt;0,P237/P33,0)</f>
        <v>0</v>
      </c>
      <c r="Q849" s="10">
        <f>IF(Q33&gt;0,Q237/Q33,0)</f>
        <v>0</v>
      </c>
      <c r="R849" s="10">
        <f>IF(R33&gt;0,R237/R33,0)</f>
        <v>0</v>
      </c>
      <c r="S849" s="10">
        <f>IF(S33&gt;0,S237/S33,0)</f>
        <v>0</v>
      </c>
    </row>
    <row r="850">
      <c r="A850" s="14" t="s">
        <v>386</v>
      </c>
      <c r="B850" s="2" t="s">
        <v>368</v>
      </c>
      <c r="C850" s="10">
        <f>IF(C34&gt;0,C238/C34,0)</f>
        <v>1</v>
      </c>
      <c r="D850" s="10">
        <f>IF(D34&gt;0,D238/D34,0)</f>
        <v>1</v>
      </c>
      <c r="E850" s="10">
        <f>IF(E34&gt;0,E238/E34,0)</f>
        <v>1</v>
      </c>
      <c r="F850" s="10">
        <f>IF(F34&gt;0,F238/F34,0)</f>
        <v>1</v>
      </c>
      <c r="G850" s="10">
        <f>IF(G34&gt;0,G238/G34,0)</f>
        <v>1</v>
      </c>
      <c r="H850" s="10">
        <f>IF(H34&gt;0,H238/H34,0)</f>
        <v>1</v>
      </c>
      <c r="I850" s="10">
        <f>IF(I34&gt;0,I238/I34,0)</f>
        <v>1</v>
      </c>
      <c r="J850" s="10">
        <f>IF(J34&gt;0,J238/J34,0)</f>
        <v>1</v>
      </c>
      <c r="K850" s="10">
        <f>IF(K34&gt;0,K238/K34,0)</f>
        <v>1</v>
      </c>
      <c r="L850" s="10">
        <f>IF(L34&gt;0,L238/L34,0)</f>
        <v>1</v>
      </c>
      <c r="M850" s="10">
        <f>IF(M34&gt;0,M238/M34,0)</f>
        <v>1</v>
      </c>
      <c r="N850" s="10">
        <f>IF(N34&gt;0,N238/N34,0)</f>
        <v>1</v>
      </c>
      <c r="O850" s="10">
        <f>IF(O34&gt;0,O238/O34,0)</f>
        <v>1</v>
      </c>
      <c r="P850" s="10">
        <f>IF(P34&gt;0,P238/P34,0)</f>
        <v>1</v>
      </c>
      <c r="Q850" s="10">
        <f>IF(Q34&gt;0,Q238/Q34,0)</f>
        <v>1</v>
      </c>
      <c r="R850" s="10">
        <f>IF(R34&gt;0,R238/R34,0)</f>
        <v>1</v>
      </c>
      <c r="S850" s="10">
        <f>IF(S34&gt;0,S238/S34,0)</f>
        <v>1</v>
      </c>
    </row>
    <row r="851">
      <c r="A851" s="14" t="s">
        <v>124</v>
      </c>
      <c r="B851" s="2" t="s">
        <v>368</v>
      </c>
      <c r="C851" s="10">
        <f>IF(C35&gt;0,C239/C35,0)</f>
        <v>0</v>
      </c>
      <c r="D851" s="10">
        <f>IF(D35&gt;0,D239/D35,0)</f>
        <v>0</v>
      </c>
      <c r="E851" s="10">
        <f>IF(E35&gt;0,E239/E35,0)</f>
        <v>0</v>
      </c>
      <c r="F851" s="10">
        <f>IF(F35&gt;0,F239/F35,0)</f>
        <v>0</v>
      </c>
      <c r="G851" s="10">
        <f>IF(G35&gt;0,G239/G35,0)</f>
        <v>0</v>
      </c>
      <c r="H851" s="10">
        <f>IF(H35&gt;0,H239/H35,0)</f>
        <v>0</v>
      </c>
      <c r="I851" s="10">
        <f>IF(I35&gt;0,I239/I35,0)</f>
        <v>0</v>
      </c>
      <c r="J851" s="10">
        <f>IF(J35&gt;0,J239/J35,0)</f>
        <v>0</v>
      </c>
      <c r="K851" s="10">
        <f>IF(K35&gt;0,K239/K35,0)</f>
        <v>0</v>
      </c>
      <c r="L851" s="10">
        <f>IF(L35&gt;0,L239/L35,0)</f>
        <v>0</v>
      </c>
      <c r="M851" s="10">
        <f>IF(M35&gt;0,M239/M35,0)</f>
        <v>0</v>
      </c>
      <c r="N851" s="10">
        <f>IF(N35&gt;0,N239/N35,0)</f>
        <v>0</v>
      </c>
      <c r="O851" s="10">
        <f>IF(O35&gt;0,O239/O35,0)</f>
        <v>0</v>
      </c>
      <c r="P851" s="10">
        <f>IF(P35&gt;0,P239/P35,0)</f>
        <v>0</v>
      </c>
      <c r="Q851" s="10">
        <f>IF(Q35&gt;0,Q239/Q35,0)</f>
        <v>0</v>
      </c>
      <c r="R851" s="10">
        <f>IF(R35&gt;0,R239/R35,0)</f>
        <v>0</v>
      </c>
      <c r="S851" s="10">
        <f>IF(S35&gt;0,S239/S35,0)</f>
        <v>0</v>
      </c>
    </row>
    <row r="852">
      <c r="A852" s="14" t="s">
        <v>125</v>
      </c>
      <c r="B852" s="2" t="s">
        <v>368</v>
      </c>
      <c r="C852" s="10">
        <f>IF(C36&gt;0,C240/C36,0)</f>
        <v>1</v>
      </c>
      <c r="D852" s="10">
        <f>IF(D36&gt;0,D240/D36,0)</f>
        <v>1</v>
      </c>
      <c r="E852" s="10">
        <f>IF(E36&gt;0,E240/E36,0)</f>
        <v>1</v>
      </c>
      <c r="F852" s="10">
        <f>IF(F36&gt;0,F240/F36,0)</f>
        <v>1</v>
      </c>
      <c r="G852" s="10">
        <f>IF(G36&gt;0,G240/G36,0)</f>
        <v>1</v>
      </c>
      <c r="H852" s="10">
        <f>IF(H36&gt;0,H240/H36,0)</f>
        <v>1</v>
      </c>
      <c r="I852" s="10">
        <f>IF(I36&gt;0,I240/I36,0)</f>
        <v>1</v>
      </c>
      <c r="J852" s="10">
        <f>IF(J36&gt;0,J240/J36,0)</f>
        <v>1</v>
      </c>
      <c r="K852" s="10">
        <f>IF(K36&gt;0,K240/K36,0)</f>
        <v>1</v>
      </c>
      <c r="L852" s="10">
        <f>IF(L36&gt;0,L240/L36,0)</f>
        <v>1</v>
      </c>
      <c r="M852" s="10">
        <f>IF(M36&gt;0,M240/M36,0)</f>
        <v>1</v>
      </c>
      <c r="N852" s="10">
        <f>IF(N36&gt;0,N240/N36,0)</f>
        <v>1</v>
      </c>
      <c r="O852" s="10">
        <f>IF(O36&gt;0,O240/O36,0)</f>
        <v>1</v>
      </c>
      <c r="P852" s="10">
        <f>IF(P36&gt;0,P240/P36,0)</f>
        <v>1</v>
      </c>
      <c r="Q852" s="10">
        <f>IF(Q36&gt;0,Q240/Q36,0)</f>
        <v>1</v>
      </c>
      <c r="R852" s="10">
        <f>IF(R36&gt;0,R240/R36,0)</f>
        <v>1</v>
      </c>
      <c r="S852" s="10">
        <f>IF(S36&gt;0,S240/S36,0)</f>
        <v>1</v>
      </c>
    </row>
    <row r="853">
      <c r="A853" s="14" t="s">
        <v>387</v>
      </c>
      <c r="B853" s="2" t="s">
        <v>368</v>
      </c>
      <c r="C853" s="10">
        <f>IF(C37&gt;0,C241/C37,0)</f>
        <v>0</v>
      </c>
      <c r="D853" s="10">
        <f>IF(D37&gt;0,D241/D37,0)</f>
        <v>0</v>
      </c>
      <c r="E853" s="10">
        <f>IF(E37&gt;0,E241/E37,0)</f>
        <v>0</v>
      </c>
      <c r="F853" s="10">
        <f>IF(F37&gt;0,F241/F37,0)</f>
        <v>0</v>
      </c>
      <c r="G853" s="10">
        <f>IF(G37&gt;0,G241/G37,0)</f>
        <v>0</v>
      </c>
      <c r="H853" s="10">
        <f>IF(H37&gt;0,H241/H37,0)</f>
        <v>0</v>
      </c>
      <c r="I853" s="10">
        <f>IF(I37&gt;0,I241/I37,0)</f>
        <v>0</v>
      </c>
      <c r="J853" s="10">
        <f>IF(J37&gt;0,J241/J37,0)</f>
        <v>0</v>
      </c>
      <c r="K853" s="10">
        <f>IF(K37&gt;0,K241/K37,0)</f>
        <v>0</v>
      </c>
      <c r="L853" s="10">
        <f>IF(L37&gt;0,L241/L37,0)</f>
        <v>0</v>
      </c>
      <c r="M853" s="10">
        <f>IF(M37&gt;0,M241/M37,0)</f>
        <v>0</v>
      </c>
      <c r="N853" s="10">
        <f>IF(N37&gt;0,N241/N37,0)</f>
        <v>0</v>
      </c>
      <c r="O853" s="10">
        <f>IF(O37&gt;0,O241/O37,0)</f>
        <v>0</v>
      </c>
      <c r="P853" s="10">
        <f>IF(P37&gt;0,P241/P37,0)</f>
        <v>0</v>
      </c>
      <c r="Q853" s="10">
        <f>IF(Q37&gt;0,Q241/Q37,0)</f>
        <v>0</v>
      </c>
      <c r="R853" s="10">
        <f>IF(R37&gt;0,R241/R37,0)</f>
        <v>0</v>
      </c>
      <c r="S853" s="10">
        <f>IF(S37&gt;0,S241/S37,0)</f>
        <v>0</v>
      </c>
    </row>
    <row r="854">
      <c r="A854" s="14" t="s">
        <v>127</v>
      </c>
      <c r="B854" s="2" t="s">
        <v>368</v>
      </c>
      <c r="C854" s="10">
        <f>IF(C38&gt;0,C242/C38,0)</f>
        <v>1</v>
      </c>
      <c r="D854" s="10">
        <f>IF(D38&gt;0,D242/D38,0)</f>
        <v>1</v>
      </c>
      <c r="E854" s="10">
        <f>IF(E38&gt;0,E242/E38,0)</f>
        <v>1</v>
      </c>
      <c r="F854" s="10">
        <f>IF(F38&gt;0,F242/F38,0)</f>
        <v>1</v>
      </c>
      <c r="G854" s="10">
        <f>IF(G38&gt;0,G242/G38,0)</f>
        <v>1</v>
      </c>
      <c r="H854" s="10">
        <f>IF(H38&gt;0,H242/H38,0)</f>
        <v>1</v>
      </c>
      <c r="I854" s="10">
        <f>IF(I38&gt;0,I242/I38,0)</f>
        <v>1</v>
      </c>
      <c r="J854" s="10">
        <f>IF(J38&gt;0,J242/J38,0)</f>
        <v>1</v>
      </c>
      <c r="K854" s="10">
        <f>IF(K38&gt;0,K242/K38,0)</f>
        <v>1</v>
      </c>
      <c r="L854" s="10">
        <f>IF(L38&gt;0,L242/L38,0)</f>
        <v>1</v>
      </c>
      <c r="M854" s="10">
        <f>IF(M38&gt;0,M242/M38,0)</f>
        <v>1</v>
      </c>
      <c r="N854" s="10">
        <f>IF(N38&gt;0,N242/N38,0)</f>
        <v>1</v>
      </c>
      <c r="O854" s="10">
        <f>IF(O38&gt;0,O242/O38,0)</f>
        <v>1</v>
      </c>
      <c r="P854" s="10">
        <f>IF(P38&gt;0,P242/P38,0)</f>
        <v>1</v>
      </c>
      <c r="Q854" s="10">
        <f>IF(Q38&gt;0,Q242/Q38,0)</f>
        <v>1</v>
      </c>
      <c r="R854" s="10">
        <f>IF(R38&gt;0,R242/R38,0)</f>
        <v>1</v>
      </c>
      <c r="S854" s="10">
        <f>IF(S38&gt;0,S242/S38,0)</f>
        <v>1</v>
      </c>
    </row>
    <row r="855">
      <c r="A855" s="14" t="s">
        <v>128</v>
      </c>
      <c r="B855" s="2" t="s">
        <v>368</v>
      </c>
      <c r="C855" s="10">
        <f>IF(C39&gt;0,C243/C39,0)</f>
        <v>1</v>
      </c>
      <c r="D855" s="10">
        <f>IF(D39&gt;0,D243/D39,0)</f>
        <v>1</v>
      </c>
      <c r="E855" s="10">
        <f>IF(E39&gt;0,E243/E39,0)</f>
        <v>1</v>
      </c>
      <c r="F855" s="10">
        <f>IF(F39&gt;0,F243/F39,0)</f>
        <v>1</v>
      </c>
      <c r="G855" s="10">
        <f>IF(G39&gt;0,G243/G39,0)</f>
        <v>1</v>
      </c>
      <c r="H855" s="10">
        <f>IF(H39&gt;0,H243/H39,0)</f>
        <v>1</v>
      </c>
      <c r="I855" s="10">
        <f>IF(I39&gt;0,I243/I39,0)</f>
        <v>1</v>
      </c>
      <c r="J855" s="10">
        <f>IF(J39&gt;0,J243/J39,0)</f>
        <v>1</v>
      </c>
      <c r="K855" s="10">
        <f>IF(K39&gt;0,K243/K39,0)</f>
        <v>1</v>
      </c>
      <c r="L855" s="10">
        <f>IF(L39&gt;0,L243/L39,0)</f>
        <v>1</v>
      </c>
      <c r="M855" s="10">
        <f>IF(M39&gt;0,M243/M39,0)</f>
        <v>1</v>
      </c>
      <c r="N855" s="10">
        <f>IF(N39&gt;0,N243/N39,0)</f>
        <v>1</v>
      </c>
      <c r="O855" s="10">
        <f>IF(O39&gt;0,O243/O39,0)</f>
        <v>1</v>
      </c>
      <c r="P855" s="10">
        <f>IF(P39&gt;0,P243/P39,0)</f>
        <v>1</v>
      </c>
      <c r="Q855" s="10">
        <f>IF(Q39&gt;0,Q243/Q39,0)</f>
        <v>1</v>
      </c>
      <c r="R855" s="10">
        <f>IF(R39&gt;0,R243/R39,0)</f>
        <v>1</v>
      </c>
      <c r="S855" s="10">
        <f>IF(S39&gt;0,S243/S39,0)</f>
        <v>1</v>
      </c>
    </row>
    <row r="856">
      <c r="A856" s="14" t="s">
        <v>388</v>
      </c>
      <c r="B856" s="2" t="s">
        <v>368</v>
      </c>
      <c r="C856" s="10">
        <f>IF(C40&gt;0,C244/C40,0)</f>
        <v>0</v>
      </c>
      <c r="D856" s="10">
        <f>IF(D40&gt;0,D244/D40,0)</f>
        <v>0</v>
      </c>
      <c r="E856" s="10">
        <f>IF(E40&gt;0,E244/E40,0)</f>
        <v>0</v>
      </c>
      <c r="F856" s="10">
        <f>IF(F40&gt;0,F244/F40,0)</f>
        <v>0</v>
      </c>
      <c r="G856" s="10">
        <f>IF(G40&gt;0,G244/G40,0)</f>
        <v>0</v>
      </c>
      <c r="H856" s="10">
        <f>IF(H40&gt;0,H244/H40,0)</f>
        <v>0</v>
      </c>
      <c r="I856" s="10">
        <f>IF(I40&gt;0,I244/I40,0)</f>
        <v>0</v>
      </c>
      <c r="J856" s="10">
        <f>IF(J40&gt;0,J244/J40,0)</f>
        <v>0</v>
      </c>
      <c r="K856" s="10">
        <f>IF(K40&gt;0,K244/K40,0)</f>
        <v>0</v>
      </c>
      <c r="L856" s="10">
        <f>IF(L40&gt;0,L244/L40,0)</f>
        <v>0</v>
      </c>
      <c r="M856" s="10">
        <f>IF(M40&gt;0,M244/M40,0)</f>
        <v>0</v>
      </c>
      <c r="N856" s="10">
        <f>IF(N40&gt;0,N244/N40,0)</f>
        <v>0</v>
      </c>
      <c r="O856" s="10">
        <f>IF(O40&gt;0,O244/O40,0)</f>
        <v>0</v>
      </c>
      <c r="P856" s="10">
        <f>IF(P40&gt;0,P244/P40,0)</f>
        <v>0</v>
      </c>
      <c r="Q856" s="10">
        <f>IF(Q40&gt;0,Q244/Q40,0)</f>
        <v>0</v>
      </c>
      <c r="R856" s="10">
        <f>IF(R40&gt;0,R244/R40,0)</f>
        <v>0</v>
      </c>
      <c r="S856" s="10">
        <f>IF(S40&gt;0,S244/S40,0)</f>
        <v>0</v>
      </c>
    </row>
    <row r="857">
      <c r="A857" s="14" t="s">
        <v>389</v>
      </c>
      <c r="B857" s="2" t="s">
        <v>368</v>
      </c>
      <c r="C857" s="10">
        <f>IF(C41&gt;0,C245/C41,0)</f>
        <v>1</v>
      </c>
      <c r="D857" s="10">
        <f>IF(D41&gt;0,D245/D41,0)</f>
        <v>1</v>
      </c>
      <c r="E857" s="10">
        <f>IF(E41&gt;0,E245/E41,0)</f>
        <v>1</v>
      </c>
      <c r="F857" s="10">
        <f>IF(F41&gt;0,F245/F41,0)</f>
        <v>1</v>
      </c>
      <c r="G857" s="10">
        <f>IF(G41&gt;0,G245/G41,0)</f>
        <v>1</v>
      </c>
      <c r="H857" s="10">
        <f>IF(H41&gt;0,H245/H41,0)</f>
        <v>1</v>
      </c>
      <c r="I857" s="10">
        <f>IF(I41&gt;0,I245/I41,0)</f>
        <v>1</v>
      </c>
      <c r="J857" s="10">
        <f>IF(J41&gt;0,J245/J41,0)</f>
        <v>1</v>
      </c>
      <c r="K857" s="10">
        <f>IF(K41&gt;0,K245/K41,0)</f>
        <v>1</v>
      </c>
      <c r="L857" s="10">
        <f>IF(L41&gt;0,L245/L41,0)</f>
        <v>0</v>
      </c>
      <c r="M857" s="10">
        <f>IF(M41&gt;0,M245/M41,0)</f>
        <v>0</v>
      </c>
      <c r="N857" s="10">
        <f>IF(N41&gt;0,N245/N41,0)</f>
        <v>0</v>
      </c>
      <c r="O857" s="10">
        <f>IF(O41&gt;0,O245/O41,0)</f>
        <v>0</v>
      </c>
      <c r="P857" s="10">
        <f>IF(P41&gt;0,P245/P41,0)</f>
        <v>0</v>
      </c>
      <c r="Q857" s="10">
        <f>IF(Q41&gt;0,Q245/Q41,0)</f>
        <v>0</v>
      </c>
      <c r="R857" s="10">
        <f>IF(R41&gt;0,R245/R41,0)</f>
        <v>0</v>
      </c>
      <c r="S857" s="10">
        <f>IF(S41&gt;0,S245/S41,0)</f>
        <v>0</v>
      </c>
    </row>
    <row r="858">
      <c r="A858" s="14" t="s">
        <v>131</v>
      </c>
      <c r="B858" s="2" t="s">
        <v>368</v>
      </c>
      <c r="C858" s="10">
        <f>IF(C42&gt;0,C246/C42,0)</f>
        <v>1</v>
      </c>
      <c r="D858" s="10">
        <f>IF(D42&gt;0,D246/D42,0)</f>
        <v>1</v>
      </c>
      <c r="E858" s="10">
        <f>IF(E42&gt;0,E246/E42,0)</f>
        <v>1</v>
      </c>
      <c r="F858" s="10">
        <f>IF(F42&gt;0,F246/F42,0)</f>
        <v>1</v>
      </c>
      <c r="G858" s="10">
        <f>IF(G42&gt;0,G246/G42,0)</f>
        <v>1</v>
      </c>
      <c r="H858" s="10">
        <f>IF(H42&gt;0,H246/H42,0)</f>
        <v>1</v>
      </c>
      <c r="I858" s="10">
        <f>IF(I42&gt;0,I246/I42,0)</f>
        <v>1</v>
      </c>
      <c r="J858" s="10">
        <f>IF(J42&gt;0,J246/J42,0)</f>
        <v>1</v>
      </c>
      <c r="K858" s="10">
        <f>IF(K42&gt;0,K246/K42,0)</f>
        <v>0</v>
      </c>
      <c r="L858" s="10">
        <f>IF(L42&gt;0,L246/L42,0)</f>
        <v>0</v>
      </c>
      <c r="M858" s="10">
        <f>IF(M42&gt;0,M246/M42,0)</f>
        <v>0</v>
      </c>
      <c r="N858" s="10">
        <f>IF(N42&gt;0,N246/N42,0)</f>
        <v>0</v>
      </c>
      <c r="O858" s="10">
        <f>IF(O42&gt;0,O246/O42,0)</f>
        <v>0</v>
      </c>
      <c r="P858" s="10">
        <f>IF(P42&gt;0,P246/P42,0)</f>
        <v>0</v>
      </c>
      <c r="Q858" s="10">
        <f>IF(Q42&gt;0,Q246/Q42,0)</f>
        <v>0</v>
      </c>
      <c r="R858" s="10">
        <f>IF(R42&gt;0,R246/R42,0)</f>
        <v>0</v>
      </c>
      <c r="S858" s="10">
        <f>IF(S42&gt;0,S246/S42,0)</f>
        <v>0</v>
      </c>
    </row>
    <row r="859">
      <c r="A859" s="14" t="s">
        <v>390</v>
      </c>
      <c r="B859" s="2" t="s">
        <v>368</v>
      </c>
      <c r="C859" s="10">
        <f>IF(C43&gt;0,C247/C43,0)</f>
        <v>0</v>
      </c>
      <c r="D859" s="10">
        <f>IF(D43&gt;0,D247/D43,0)</f>
        <v>0</v>
      </c>
      <c r="E859" s="10">
        <f>IF(E43&gt;0,E247/E43,0)</f>
        <v>0</v>
      </c>
      <c r="F859" s="10">
        <f>IF(F43&gt;0,F247/F43,0)</f>
        <v>0</v>
      </c>
      <c r="G859" s="10">
        <f>IF(G43&gt;0,G247/G43,0)</f>
        <v>0</v>
      </c>
      <c r="H859" s="10">
        <f>IF(H43&gt;0,H247/H43,0)</f>
        <v>0</v>
      </c>
      <c r="I859" s="10">
        <f>IF(I43&gt;0,I247/I43,0)</f>
        <v>0</v>
      </c>
      <c r="J859" s="10">
        <f>IF(J43&gt;0,J247/J43,0)</f>
        <v>0</v>
      </c>
      <c r="K859" s="10">
        <f>IF(K43&gt;0,K247/K43,0)</f>
        <v>0</v>
      </c>
      <c r="L859" s="10">
        <f>IF(L43&gt;0,L247/L43,0)</f>
        <v>0</v>
      </c>
      <c r="M859" s="10">
        <f>IF(M43&gt;0,M247/M43,0)</f>
        <v>0</v>
      </c>
      <c r="N859" s="10">
        <f>IF(N43&gt;0,N247/N43,0)</f>
        <v>0</v>
      </c>
      <c r="O859" s="10">
        <f>IF(O43&gt;0,O247/O43,0)</f>
        <v>0</v>
      </c>
      <c r="P859" s="10">
        <f>IF(P43&gt;0,P247/P43,0)</f>
        <v>0</v>
      </c>
      <c r="Q859" s="10">
        <f>IF(Q43&gt;0,Q247/Q43,0)</f>
        <v>0</v>
      </c>
      <c r="R859" s="10">
        <f>IF(R43&gt;0,R247/R43,0)</f>
        <v>0</v>
      </c>
      <c r="S859" s="10">
        <f>IF(S43&gt;0,S247/S43,0)</f>
        <v>0</v>
      </c>
    </row>
    <row r="860">
      <c r="A860" s="14" t="s">
        <v>133</v>
      </c>
      <c r="B860" s="2" t="s">
        <v>368</v>
      </c>
      <c r="C860" s="10">
        <f>IF(C44&gt;0,C248/C44,0)</f>
        <v>1</v>
      </c>
      <c r="D860" s="10">
        <f>IF(D44&gt;0,D248/D44,0)</f>
        <v>1</v>
      </c>
      <c r="E860" s="10">
        <f>IF(E44&gt;0,E248/E44,0)</f>
        <v>1</v>
      </c>
      <c r="F860" s="10">
        <f>IF(F44&gt;0,F248/F44,0)</f>
        <v>1</v>
      </c>
      <c r="G860" s="10">
        <f>IF(G44&gt;0,G248/G44,0)</f>
        <v>1</v>
      </c>
      <c r="H860" s="10">
        <f>IF(H44&gt;0,H248/H44,0)</f>
        <v>0</v>
      </c>
      <c r="I860" s="10">
        <f>IF(I44&gt;0,I248/I44,0)</f>
        <v>0</v>
      </c>
      <c r="J860" s="10">
        <f>IF(J44&gt;0,J248/J44,0)</f>
        <v>0</v>
      </c>
      <c r="K860" s="10">
        <f>IF(K44&gt;0,K248/K44,0)</f>
        <v>0</v>
      </c>
      <c r="L860" s="10">
        <f>IF(L44&gt;0,L248/L44,0)</f>
        <v>0</v>
      </c>
      <c r="M860" s="10">
        <f>IF(M44&gt;0,M248/M44,0)</f>
        <v>0</v>
      </c>
      <c r="N860" s="10">
        <f>IF(N44&gt;0,N248/N44,0)</f>
        <v>0</v>
      </c>
      <c r="O860" s="10">
        <f>IF(O44&gt;0,O248/O44,0)</f>
        <v>0</v>
      </c>
      <c r="P860" s="10">
        <f>IF(P44&gt;0,P248/P44,0)</f>
        <v>0</v>
      </c>
      <c r="Q860" s="10">
        <f>IF(Q44&gt;0,Q248/Q44,0)</f>
        <v>0</v>
      </c>
      <c r="R860" s="10">
        <f>IF(R44&gt;0,R248/R44,0)</f>
        <v>0</v>
      </c>
      <c r="S860" s="10">
        <f>IF(S44&gt;0,S248/S44,0)</f>
        <v>0</v>
      </c>
    </row>
    <row r="861">
      <c r="A861" s="14" t="s">
        <v>134</v>
      </c>
      <c r="B861" s="2" t="s">
        <v>368</v>
      </c>
      <c r="C861" s="10">
        <f>IF(C45&gt;0,C249/C45,0)</f>
        <v>0</v>
      </c>
      <c r="D861" s="10">
        <f>IF(D45&gt;0,D249/D45,0)</f>
        <v>0</v>
      </c>
      <c r="E861" s="10">
        <f>IF(E45&gt;0,E249/E45,0)</f>
        <v>0</v>
      </c>
      <c r="F861" s="10">
        <f>IF(F45&gt;0,F249/F45,0)</f>
        <v>0</v>
      </c>
      <c r="G861" s="10">
        <f>IF(G45&gt;0,G249/G45,0)</f>
        <v>0</v>
      </c>
      <c r="H861" s="10">
        <f>IF(H45&gt;0,H249/H45,0)</f>
        <v>0</v>
      </c>
      <c r="I861" s="10">
        <f>IF(I45&gt;0,I249/I45,0)</f>
        <v>0</v>
      </c>
      <c r="J861" s="10">
        <f>IF(J45&gt;0,J249/J45,0)</f>
        <v>0</v>
      </c>
      <c r="K861" s="10">
        <f>IF(K45&gt;0,K249/K45,0)</f>
        <v>0</v>
      </c>
      <c r="L861" s="10">
        <f>IF(L45&gt;0,L249/L45,0)</f>
        <v>0</v>
      </c>
      <c r="M861" s="10">
        <f>IF(M45&gt;0,M249/M45,0)</f>
        <v>0</v>
      </c>
      <c r="N861" s="10">
        <f>IF(N45&gt;0,N249/N45,0)</f>
        <v>0</v>
      </c>
      <c r="O861" s="10">
        <f>IF(O45&gt;0,O249/O45,0)</f>
        <v>0</v>
      </c>
      <c r="P861" s="10">
        <f>IF(P45&gt;0,P249/P45,0)</f>
        <v>0</v>
      </c>
      <c r="Q861" s="10">
        <f>IF(Q45&gt;0,Q249/Q45,0)</f>
        <v>0</v>
      </c>
      <c r="R861" s="10">
        <f>IF(R45&gt;0,R249/R45,0)</f>
        <v>0</v>
      </c>
      <c r="S861" s="10">
        <f>IF(S45&gt;0,S249/S45,0)</f>
        <v>0</v>
      </c>
    </row>
    <row r="862">
      <c r="A862" s="14" t="s">
        <v>135</v>
      </c>
      <c r="B862" s="2" t="s">
        <v>368</v>
      </c>
      <c r="C862" s="10">
        <f>IF(C46&gt;0,C250/C46,0)</f>
        <v>1</v>
      </c>
      <c r="D862" s="10">
        <f>IF(D46&gt;0,D250/D46,0)</f>
        <v>1</v>
      </c>
      <c r="E862" s="10">
        <f>IF(E46&gt;0,E250/E46,0)</f>
        <v>1</v>
      </c>
      <c r="F862" s="10">
        <f>IF(F46&gt;0,F250/F46,0)</f>
        <v>1</v>
      </c>
      <c r="G862" s="10">
        <f>IF(G46&gt;0,G250/G46,0)</f>
        <v>1</v>
      </c>
      <c r="H862" s="10">
        <f>IF(H46&gt;0,H250/H46,0)</f>
        <v>1</v>
      </c>
      <c r="I862" s="10">
        <f>IF(I46&gt;0,I250/I46,0)</f>
        <v>1</v>
      </c>
      <c r="J862" s="10">
        <f>IF(J46&gt;0,J250/J46,0)</f>
        <v>1</v>
      </c>
      <c r="K862" s="10">
        <f>IF(K46&gt;0,K250/K46,0)</f>
        <v>0</v>
      </c>
      <c r="L862" s="10">
        <f>IF(L46&gt;0,L250/L46,0)</f>
        <v>0</v>
      </c>
      <c r="M862" s="10">
        <f>IF(M46&gt;0,M250/M46,0)</f>
        <v>0</v>
      </c>
      <c r="N862" s="10">
        <f>IF(N46&gt;0,N250/N46,0)</f>
        <v>0</v>
      </c>
      <c r="O862" s="10">
        <f>IF(O46&gt;0,O250/O46,0)</f>
        <v>0</v>
      </c>
      <c r="P862" s="10">
        <f>IF(P46&gt;0,P250/P46,0)</f>
        <v>0</v>
      </c>
      <c r="Q862" s="10">
        <f>IF(Q46&gt;0,Q250/Q46,0)</f>
        <v>0</v>
      </c>
      <c r="R862" s="10">
        <f>IF(R46&gt;0,R250/R46,0)</f>
        <v>0</v>
      </c>
      <c r="S862" s="10">
        <f>IF(S46&gt;0,S250/S46,0)</f>
        <v>0</v>
      </c>
    </row>
    <row r="863">
      <c r="A863" s="14" t="s">
        <v>391</v>
      </c>
      <c r="B863" s="2" t="s">
        <v>368</v>
      </c>
      <c r="C863" s="10">
        <f>IF(C47&gt;0,C251/C47,0)</f>
        <v>0</v>
      </c>
      <c r="D863" s="10">
        <f>IF(D47&gt;0,D251/D47,0)</f>
        <v>0</v>
      </c>
      <c r="E863" s="10">
        <f>IF(E47&gt;0,E251/E47,0)</f>
        <v>0</v>
      </c>
      <c r="F863" s="10">
        <f>IF(F47&gt;0,F251/F47,0)</f>
        <v>0</v>
      </c>
      <c r="G863" s="10">
        <f>IF(G47&gt;0,G251/G47,0)</f>
        <v>0</v>
      </c>
      <c r="H863" s="10">
        <f>IF(H47&gt;0,H251/H47,0)</f>
        <v>0</v>
      </c>
      <c r="I863" s="10">
        <f>IF(I47&gt;0,I251/I47,0)</f>
        <v>0</v>
      </c>
      <c r="J863" s="10">
        <f>IF(J47&gt;0,J251/J47,0)</f>
        <v>0</v>
      </c>
      <c r="K863" s="10">
        <f>IF(K47&gt;0,K251/K47,0)</f>
        <v>0</v>
      </c>
      <c r="L863" s="10">
        <f>IF(L47&gt;0,L251/L47,0)</f>
        <v>0</v>
      </c>
      <c r="M863" s="10">
        <f>IF(M47&gt;0,M251/M47,0)</f>
        <v>0</v>
      </c>
      <c r="N863" s="10">
        <f>IF(N47&gt;0,N251/N47,0)</f>
        <v>0</v>
      </c>
      <c r="O863" s="10">
        <f>IF(O47&gt;0,O251/O47,0)</f>
        <v>0</v>
      </c>
      <c r="P863" s="10">
        <f>IF(P47&gt;0,P251/P47,0)</f>
        <v>0</v>
      </c>
      <c r="Q863" s="10">
        <f>IF(Q47&gt;0,Q251/Q47,0)</f>
        <v>0</v>
      </c>
      <c r="R863" s="10">
        <f>IF(R47&gt;0,R251/R47,0)</f>
        <v>0</v>
      </c>
      <c r="S863" s="10">
        <f>IF(S47&gt;0,S251/S47,0)</f>
        <v>0</v>
      </c>
    </row>
    <row r="864">
      <c r="A864" s="14" t="s">
        <v>392</v>
      </c>
      <c r="B864" s="2" t="s">
        <v>393</v>
      </c>
      <c r="C864" s="10">
        <v>0</v>
      </c>
      <c r="D864" s="10">
        <v>0</v>
      </c>
      <c r="E864" s="10">
        <v>0</v>
      </c>
      <c r="F864" s="10">
        <v>0</v>
      </c>
      <c r="G864" s="10">
        <v>0</v>
      </c>
      <c r="H864" s="10">
        <v>0</v>
      </c>
      <c r="I864" s="10">
        <v>0</v>
      </c>
      <c r="J864" s="10">
        <v>0</v>
      </c>
      <c r="K864" s="10">
        <v>0</v>
      </c>
      <c r="L864" s="10">
        <v>0</v>
      </c>
      <c r="M864" s="10">
        <v>0</v>
      </c>
      <c r="N864" s="10">
        <v>0</v>
      </c>
      <c r="O864" s="10">
        <v>0</v>
      </c>
      <c r="P864" s="10">
        <v>0</v>
      </c>
      <c r="Q864" s="10">
        <v>0</v>
      </c>
      <c r="R864" s="10">
        <v>0</v>
      </c>
      <c r="S864" s="10">
        <v>0</v>
      </c>
    </row>
    <row r="865">
      <c r="A865" s="14" t="s">
        <v>394</v>
      </c>
      <c r="B865" s="2" t="s">
        <v>393</v>
      </c>
      <c r="C865" s="10">
        <v>0</v>
      </c>
      <c r="D865" s="10">
        <v>0</v>
      </c>
      <c r="E865" s="10">
        <v>0</v>
      </c>
      <c r="F865" s="10">
        <v>0</v>
      </c>
      <c r="G865" s="10">
        <v>0</v>
      </c>
      <c r="H865" s="10">
        <v>0</v>
      </c>
      <c r="I865" s="10">
        <v>0</v>
      </c>
      <c r="J865" s="10">
        <v>0</v>
      </c>
      <c r="K865" s="10">
        <v>0</v>
      </c>
      <c r="L865" s="10">
        <v>0</v>
      </c>
      <c r="M865" s="10">
        <v>0</v>
      </c>
      <c r="N865" s="10">
        <v>0</v>
      </c>
      <c r="O865" s="10">
        <v>0</v>
      </c>
      <c r="P865" s="10">
        <v>0</v>
      </c>
      <c r="Q865" s="10">
        <v>0</v>
      </c>
      <c r="R865" s="10">
        <v>0</v>
      </c>
      <c r="S865" s="10">
        <v>0</v>
      </c>
    </row>
    <row r="866">
      <c r="A866" s="14" t="s">
        <v>395</v>
      </c>
      <c r="B866" s="2" t="s">
        <v>393</v>
      </c>
      <c r="C866" s="10">
        <v>0</v>
      </c>
      <c r="D866" s="10">
        <v>0</v>
      </c>
      <c r="E866" s="10">
        <v>0</v>
      </c>
      <c r="F866" s="10">
        <v>0</v>
      </c>
      <c r="G866" s="10">
        <v>0</v>
      </c>
      <c r="H866" s="10">
        <v>0</v>
      </c>
      <c r="I866" s="10">
        <v>0</v>
      </c>
      <c r="J866" s="10">
        <v>0</v>
      </c>
      <c r="K866" s="10">
        <v>0</v>
      </c>
      <c r="L866" s="10">
        <v>0</v>
      </c>
      <c r="M866" s="10">
        <v>0</v>
      </c>
      <c r="N866" s="10">
        <v>0</v>
      </c>
      <c r="O866" s="10">
        <v>0</v>
      </c>
      <c r="P866" s="10">
        <v>0</v>
      </c>
      <c r="Q866" s="10">
        <v>0</v>
      </c>
      <c r="R866" s="10">
        <v>0</v>
      </c>
      <c r="S866" s="10">
        <v>0</v>
      </c>
    </row>
    <row r="867">
      <c r="A867" s="14" t="s">
        <v>396</v>
      </c>
      <c r="B867" s="2" t="s">
        <v>393</v>
      </c>
      <c r="C867" s="10">
        <v>0</v>
      </c>
      <c r="D867" s="10">
        <v>0</v>
      </c>
      <c r="E867" s="10">
        <v>0</v>
      </c>
      <c r="F867" s="10">
        <v>0</v>
      </c>
      <c r="G867" s="10">
        <v>0</v>
      </c>
      <c r="H867" s="10">
        <v>0</v>
      </c>
      <c r="I867" s="10">
        <v>0</v>
      </c>
      <c r="J867" s="10">
        <v>0</v>
      </c>
      <c r="K867" s="10">
        <v>0</v>
      </c>
      <c r="L867" s="10">
        <v>0</v>
      </c>
      <c r="M867" s="10">
        <v>0</v>
      </c>
      <c r="N867" s="10">
        <v>0</v>
      </c>
      <c r="O867" s="10">
        <v>0</v>
      </c>
      <c r="P867" s="10">
        <v>0</v>
      </c>
      <c r="Q867" s="10">
        <v>0</v>
      </c>
      <c r="R867" s="10">
        <v>0</v>
      </c>
      <c r="S867" s="10">
        <v>0</v>
      </c>
    </row>
    <row r="868">
      <c r="A868" s="14" t="s">
        <v>397</v>
      </c>
      <c r="B868" s="2" t="s">
        <v>393</v>
      </c>
      <c r="C868" s="10">
        <v>0</v>
      </c>
      <c r="D868" s="10">
        <v>0</v>
      </c>
      <c r="E868" s="10">
        <v>0</v>
      </c>
      <c r="F868" s="10">
        <v>0</v>
      </c>
      <c r="G868" s="10">
        <v>0</v>
      </c>
      <c r="H868" s="10">
        <v>0</v>
      </c>
      <c r="I868" s="10">
        <v>0</v>
      </c>
      <c r="J868" s="10">
        <v>0</v>
      </c>
      <c r="K868" s="10">
        <v>0</v>
      </c>
      <c r="L868" s="10">
        <v>0</v>
      </c>
      <c r="M868" s="10">
        <v>0</v>
      </c>
      <c r="N868" s="10">
        <v>0</v>
      </c>
      <c r="O868" s="10">
        <v>0</v>
      </c>
      <c r="P868" s="10">
        <v>0</v>
      </c>
      <c r="Q868" s="10">
        <v>0</v>
      </c>
      <c r="R868" s="10">
        <v>0</v>
      </c>
      <c r="S868" s="10">
        <v>0</v>
      </c>
    </row>
    <row r="869">
      <c r="A869" s="14" t="s">
        <v>398</v>
      </c>
      <c r="B869" s="2" t="s">
        <v>399</v>
      </c>
      <c r="C869" s="10">
        <v>0</v>
      </c>
      <c r="D869" s="10">
        <v>0</v>
      </c>
      <c r="E869" s="10">
        <v>0</v>
      </c>
      <c r="F869" s="10">
        <v>0</v>
      </c>
      <c r="G869" s="10">
        <v>0</v>
      </c>
      <c r="H869" s="10">
        <v>0</v>
      </c>
      <c r="I869" s="10">
        <v>0</v>
      </c>
      <c r="J869" s="10">
        <v>0</v>
      </c>
      <c r="K869" s="10">
        <v>0</v>
      </c>
      <c r="L869" s="10">
        <v>0</v>
      </c>
      <c r="M869" s="10">
        <v>0</v>
      </c>
      <c r="N869" s="10">
        <v>0</v>
      </c>
      <c r="O869" s="10">
        <v>0</v>
      </c>
      <c r="P869" s="10">
        <v>0</v>
      </c>
      <c r="Q869" s="10">
        <v>0</v>
      </c>
      <c r="R869" s="10">
        <v>0</v>
      </c>
      <c r="S869" s="10">
        <v>0</v>
      </c>
    </row>
    <row r="870">
      <c r="A870" s="14" t="s">
        <v>400</v>
      </c>
      <c r="B870" s="2" t="s">
        <v>399</v>
      </c>
      <c r="C870" s="10">
        <v>0</v>
      </c>
      <c r="D870" s="10">
        <v>0</v>
      </c>
      <c r="E870" s="10">
        <v>0</v>
      </c>
      <c r="F870" s="10">
        <v>0</v>
      </c>
      <c r="G870" s="10">
        <v>0</v>
      </c>
      <c r="H870" s="10">
        <v>0</v>
      </c>
      <c r="I870" s="10">
        <v>0</v>
      </c>
      <c r="J870" s="10">
        <v>0</v>
      </c>
      <c r="K870" s="10">
        <v>0</v>
      </c>
      <c r="L870" s="10">
        <v>0</v>
      </c>
      <c r="M870" s="10">
        <v>0</v>
      </c>
      <c r="N870" s="10">
        <v>0</v>
      </c>
      <c r="O870" s="10">
        <v>0</v>
      </c>
      <c r="P870" s="10">
        <v>0</v>
      </c>
      <c r="Q870" s="10">
        <v>0</v>
      </c>
      <c r="R870" s="10">
        <v>0</v>
      </c>
      <c r="S870" s="10">
        <v>0</v>
      </c>
    </row>
    <row r="871">
      <c r="A871" s="14" t="s">
        <v>401</v>
      </c>
      <c r="B871" s="2" t="s">
        <v>399</v>
      </c>
      <c r="C871" s="10">
        <v>0</v>
      </c>
      <c r="D871" s="10">
        <v>0</v>
      </c>
      <c r="E871" s="10">
        <v>0</v>
      </c>
      <c r="F871" s="10">
        <v>0</v>
      </c>
      <c r="G871" s="10">
        <v>0</v>
      </c>
      <c r="H871" s="10">
        <v>0</v>
      </c>
      <c r="I871" s="10">
        <v>0</v>
      </c>
      <c r="J871" s="10">
        <v>0</v>
      </c>
      <c r="K871" s="10">
        <v>0</v>
      </c>
      <c r="L871" s="10">
        <v>0</v>
      </c>
      <c r="M871" s="10">
        <v>0</v>
      </c>
      <c r="N871" s="10">
        <v>0</v>
      </c>
      <c r="O871" s="10">
        <v>0</v>
      </c>
      <c r="P871" s="10">
        <v>0</v>
      </c>
      <c r="Q871" s="10">
        <v>0</v>
      </c>
      <c r="R871" s="10">
        <v>0</v>
      </c>
      <c r="S871" s="10">
        <v>0</v>
      </c>
    </row>
    <row r="872">
      <c r="A872" s="14" t="s">
        <v>402</v>
      </c>
      <c r="B872" s="2" t="s">
        <v>399</v>
      </c>
      <c r="C872" s="10">
        <v>0</v>
      </c>
      <c r="D872" s="10">
        <v>0</v>
      </c>
      <c r="E872" s="10">
        <v>0</v>
      </c>
      <c r="F872" s="10">
        <v>0</v>
      </c>
      <c r="G872" s="10">
        <v>0</v>
      </c>
      <c r="H872" s="10">
        <v>0</v>
      </c>
      <c r="I872" s="10">
        <v>0</v>
      </c>
      <c r="J872" s="10">
        <v>0</v>
      </c>
      <c r="K872" s="10">
        <v>0</v>
      </c>
      <c r="L872" s="10">
        <v>0</v>
      </c>
      <c r="M872" s="10">
        <v>0</v>
      </c>
      <c r="N872" s="10">
        <v>0</v>
      </c>
      <c r="O872" s="10">
        <v>0</v>
      </c>
      <c r="P872" s="10">
        <v>0</v>
      </c>
      <c r="Q872" s="10">
        <v>0</v>
      </c>
      <c r="R872" s="10">
        <v>0</v>
      </c>
      <c r="S872" s="10">
        <v>0</v>
      </c>
    </row>
    <row r="873">
      <c r="A873" s="14" t="s">
        <v>403</v>
      </c>
      <c r="B873" s="2" t="s">
        <v>399</v>
      </c>
      <c r="C873" s="10">
        <v>0</v>
      </c>
      <c r="D873" s="10">
        <v>0</v>
      </c>
      <c r="E873" s="10">
        <v>0</v>
      </c>
      <c r="F873" s="10">
        <v>0</v>
      </c>
      <c r="G873" s="10">
        <v>0</v>
      </c>
      <c r="H873" s="10">
        <v>0</v>
      </c>
      <c r="I873" s="10">
        <v>0</v>
      </c>
      <c r="J873" s="10">
        <v>0</v>
      </c>
      <c r="K873" s="10">
        <v>0</v>
      </c>
      <c r="L873" s="10">
        <v>0</v>
      </c>
      <c r="M873" s="10">
        <v>0</v>
      </c>
      <c r="N873" s="10">
        <v>0</v>
      </c>
      <c r="O873" s="10">
        <v>0</v>
      </c>
      <c r="P873" s="10">
        <v>0</v>
      </c>
      <c r="Q873" s="10">
        <v>0</v>
      </c>
      <c r="R873" s="10">
        <v>0</v>
      </c>
      <c r="S873" s="10">
        <v>0</v>
      </c>
    </row>
    <row r="874">
      <c r="A874" s="14" t="s">
        <v>404</v>
      </c>
      <c r="B874" s="2" t="s">
        <v>399</v>
      </c>
      <c r="C874" s="10">
        <v>0</v>
      </c>
      <c r="D874" s="10">
        <v>0</v>
      </c>
      <c r="E874" s="10">
        <v>0</v>
      </c>
      <c r="F874" s="10">
        <v>0</v>
      </c>
      <c r="G874" s="10">
        <v>0</v>
      </c>
      <c r="H874" s="10">
        <v>0</v>
      </c>
      <c r="I874" s="10">
        <v>0</v>
      </c>
      <c r="J874" s="10">
        <v>0</v>
      </c>
      <c r="K874" s="10">
        <v>0</v>
      </c>
      <c r="L874" s="10">
        <v>0</v>
      </c>
      <c r="M874" s="10">
        <v>0</v>
      </c>
      <c r="N874" s="10">
        <v>0</v>
      </c>
      <c r="O874" s="10">
        <v>0</v>
      </c>
      <c r="P874" s="10">
        <v>0</v>
      </c>
      <c r="Q874" s="10">
        <v>0</v>
      </c>
      <c r="R874" s="10">
        <v>0</v>
      </c>
      <c r="S874" s="10">
        <v>0</v>
      </c>
    </row>
    <row r="875">
      <c r="A875" s="14" t="s">
        <v>405</v>
      </c>
      <c r="B875" s="2" t="s">
        <v>399</v>
      </c>
      <c r="C875" s="10">
        <v>0</v>
      </c>
      <c r="D875" s="10">
        <v>0</v>
      </c>
      <c r="E875" s="10">
        <v>0</v>
      </c>
      <c r="F875" s="10">
        <v>0</v>
      </c>
      <c r="G875" s="10">
        <v>0</v>
      </c>
      <c r="H875" s="10">
        <v>0</v>
      </c>
      <c r="I875" s="10">
        <v>0</v>
      </c>
      <c r="J875" s="10">
        <v>0</v>
      </c>
      <c r="K875" s="10">
        <v>0</v>
      </c>
      <c r="L875" s="10">
        <v>0</v>
      </c>
      <c r="M875" s="10">
        <v>0</v>
      </c>
      <c r="N875" s="10">
        <v>0</v>
      </c>
      <c r="O875" s="10">
        <v>0</v>
      </c>
      <c r="P875" s="10">
        <v>0</v>
      </c>
      <c r="Q875" s="10">
        <v>0</v>
      </c>
      <c r="R875" s="10">
        <v>0</v>
      </c>
      <c r="S875" s="10">
        <v>0</v>
      </c>
    </row>
    <row r="876">
      <c r="A876" s="14" t="s">
        <v>406</v>
      </c>
      <c r="B876" s="2" t="s">
        <v>399</v>
      </c>
      <c r="C876" s="10">
        <v>0</v>
      </c>
      <c r="D876" s="10">
        <v>0</v>
      </c>
      <c r="E876" s="10">
        <v>0</v>
      </c>
      <c r="F876" s="10">
        <v>0</v>
      </c>
      <c r="G876" s="10">
        <v>0</v>
      </c>
      <c r="H876" s="10">
        <v>0</v>
      </c>
      <c r="I876" s="10">
        <v>0</v>
      </c>
      <c r="J876" s="10">
        <v>0</v>
      </c>
      <c r="K876" s="10">
        <v>0</v>
      </c>
      <c r="L876" s="10">
        <v>0</v>
      </c>
      <c r="M876" s="10">
        <v>0</v>
      </c>
      <c r="N876" s="10">
        <v>0</v>
      </c>
      <c r="O876" s="10">
        <v>0</v>
      </c>
      <c r="P876" s="10">
        <v>0</v>
      </c>
      <c r="Q876" s="10">
        <v>0</v>
      </c>
      <c r="R876" s="10">
        <v>0</v>
      </c>
      <c r="S876" s="10">
        <v>0</v>
      </c>
    </row>
    <row r="877">
      <c r="A877" s="14" t="s">
        <v>407</v>
      </c>
      <c r="B877" s="2" t="s">
        <v>399</v>
      </c>
      <c r="C877" s="10">
        <v>0</v>
      </c>
      <c r="D877" s="10">
        <v>0</v>
      </c>
      <c r="E877" s="10">
        <v>0</v>
      </c>
      <c r="F877" s="10">
        <v>0</v>
      </c>
      <c r="G877" s="10">
        <v>0</v>
      </c>
      <c r="H877" s="10">
        <v>0</v>
      </c>
      <c r="I877" s="10">
        <v>0</v>
      </c>
      <c r="J877" s="10">
        <v>0</v>
      </c>
      <c r="K877" s="10">
        <v>0</v>
      </c>
      <c r="L877" s="10">
        <v>0</v>
      </c>
      <c r="M877" s="10">
        <v>0</v>
      </c>
      <c r="N877" s="10">
        <v>0</v>
      </c>
      <c r="O877" s="10">
        <v>0</v>
      </c>
      <c r="P877" s="10">
        <v>0</v>
      </c>
      <c r="Q877" s="10">
        <v>0</v>
      </c>
      <c r="R877" s="10">
        <v>0</v>
      </c>
      <c r="S877" s="10">
        <v>0</v>
      </c>
    </row>
    <row r="878">
      <c r="A878" s="14" t="s">
        <v>408</v>
      </c>
      <c r="B878" s="2" t="s">
        <v>399</v>
      </c>
      <c r="C878" s="10">
        <v>0</v>
      </c>
      <c r="D878" s="10">
        <v>0</v>
      </c>
      <c r="E878" s="10">
        <v>0</v>
      </c>
      <c r="F878" s="10">
        <v>0</v>
      </c>
      <c r="G878" s="10">
        <v>0</v>
      </c>
      <c r="H878" s="10">
        <v>0</v>
      </c>
      <c r="I878" s="10">
        <v>0</v>
      </c>
      <c r="J878" s="10">
        <v>0</v>
      </c>
      <c r="K878" s="10">
        <v>0</v>
      </c>
      <c r="L878" s="10">
        <v>0</v>
      </c>
      <c r="M878" s="10">
        <v>0</v>
      </c>
      <c r="N878" s="10">
        <v>0</v>
      </c>
      <c r="O878" s="10">
        <v>0</v>
      </c>
      <c r="P878" s="10">
        <v>0</v>
      </c>
      <c r="Q878" s="10">
        <v>0</v>
      </c>
      <c r="R878" s="10">
        <v>0</v>
      </c>
      <c r="S878" s="10">
        <v>0</v>
      </c>
    </row>
    <row r="879">
      <c r="A879" s="14" t="s">
        <v>409</v>
      </c>
      <c r="B879" s="2" t="s">
        <v>399</v>
      </c>
      <c r="C879" s="10">
        <v>0</v>
      </c>
      <c r="D879" s="10">
        <v>0</v>
      </c>
      <c r="E879" s="10">
        <v>0</v>
      </c>
      <c r="F879" s="10">
        <v>0</v>
      </c>
      <c r="G879" s="10">
        <v>0</v>
      </c>
      <c r="H879" s="10">
        <v>0</v>
      </c>
      <c r="I879" s="10">
        <v>0</v>
      </c>
      <c r="J879" s="10">
        <v>0</v>
      </c>
      <c r="K879" s="10">
        <v>0</v>
      </c>
      <c r="L879" s="10">
        <v>0</v>
      </c>
      <c r="M879" s="10">
        <v>0</v>
      </c>
      <c r="N879" s="10">
        <v>0</v>
      </c>
      <c r="O879" s="10">
        <v>0</v>
      </c>
      <c r="P879" s="10">
        <v>0</v>
      </c>
      <c r="Q879" s="10">
        <v>0</v>
      </c>
      <c r="R879" s="10">
        <v>0</v>
      </c>
      <c r="S879" s="10">
        <v>0</v>
      </c>
    </row>
    <row r="880">
      <c r="A880" s="14" t="s">
        <v>410</v>
      </c>
      <c r="B880" s="2" t="s">
        <v>399</v>
      </c>
      <c r="C880" s="10">
        <v>0</v>
      </c>
      <c r="D880" s="10">
        <v>0</v>
      </c>
      <c r="E880" s="10">
        <v>0</v>
      </c>
      <c r="F880" s="10">
        <v>0</v>
      </c>
      <c r="G880" s="10">
        <v>0</v>
      </c>
      <c r="H880" s="10">
        <v>0</v>
      </c>
      <c r="I880" s="10">
        <v>0</v>
      </c>
      <c r="J880" s="10">
        <v>0</v>
      </c>
      <c r="K880" s="10">
        <v>0</v>
      </c>
      <c r="L880" s="10">
        <v>0</v>
      </c>
      <c r="M880" s="10">
        <v>0</v>
      </c>
      <c r="N880" s="10">
        <v>0</v>
      </c>
      <c r="O880" s="10">
        <v>0</v>
      </c>
      <c r="P880" s="10">
        <v>0</v>
      </c>
      <c r="Q880" s="10">
        <v>0</v>
      </c>
      <c r="R880" s="10">
        <v>0</v>
      </c>
      <c r="S880" s="10">
        <v>0</v>
      </c>
    </row>
    <row r="881">
      <c r="A881" s="14" t="s">
        <v>411</v>
      </c>
      <c r="B881" s="2" t="s">
        <v>399</v>
      </c>
      <c r="C881" s="10">
        <v>0</v>
      </c>
      <c r="D881" s="10">
        <v>0</v>
      </c>
      <c r="E881" s="10">
        <v>0</v>
      </c>
      <c r="F881" s="10">
        <v>0</v>
      </c>
      <c r="G881" s="10">
        <v>0</v>
      </c>
      <c r="H881" s="10">
        <v>0</v>
      </c>
      <c r="I881" s="10">
        <v>0</v>
      </c>
      <c r="J881" s="10">
        <v>0</v>
      </c>
      <c r="K881" s="10">
        <v>0</v>
      </c>
      <c r="L881" s="10">
        <v>0</v>
      </c>
      <c r="M881" s="10">
        <v>0</v>
      </c>
      <c r="N881" s="10">
        <v>0</v>
      </c>
      <c r="O881" s="10">
        <v>0</v>
      </c>
      <c r="P881" s="10">
        <v>0</v>
      </c>
      <c r="Q881" s="10">
        <v>0</v>
      </c>
      <c r="R881" s="10">
        <v>0</v>
      </c>
      <c r="S881" s="10">
        <v>0</v>
      </c>
    </row>
    <row r="882">
      <c r="A882" s="14" t="s">
        <v>412</v>
      </c>
      <c r="B882" s="2" t="s">
        <v>399</v>
      </c>
      <c r="C882" s="10">
        <v>0</v>
      </c>
      <c r="D882" s="10">
        <v>0</v>
      </c>
      <c r="E882" s="10">
        <v>0</v>
      </c>
      <c r="F882" s="10">
        <v>0</v>
      </c>
      <c r="G882" s="10">
        <v>0</v>
      </c>
      <c r="H882" s="10">
        <v>0</v>
      </c>
      <c r="I882" s="10">
        <v>0</v>
      </c>
      <c r="J882" s="10">
        <v>0</v>
      </c>
      <c r="K882" s="10">
        <v>0</v>
      </c>
      <c r="L882" s="10">
        <v>0</v>
      </c>
      <c r="M882" s="10">
        <v>0</v>
      </c>
      <c r="N882" s="10">
        <v>0</v>
      </c>
      <c r="O882" s="10">
        <v>0</v>
      </c>
      <c r="P882" s="10">
        <v>0</v>
      </c>
      <c r="Q882" s="10">
        <v>0</v>
      </c>
      <c r="R882" s="10">
        <v>0</v>
      </c>
      <c r="S882" s="10">
        <v>0</v>
      </c>
    </row>
    <row r="883">
      <c r="A883" s="14" t="s">
        <v>413</v>
      </c>
      <c r="B883" s="2" t="s">
        <v>399</v>
      </c>
      <c r="C883" s="10">
        <v>0</v>
      </c>
      <c r="D883" s="10">
        <v>0</v>
      </c>
      <c r="E883" s="10">
        <v>0</v>
      </c>
      <c r="F883" s="10">
        <v>0</v>
      </c>
      <c r="G883" s="10">
        <v>0</v>
      </c>
      <c r="H883" s="10">
        <v>0</v>
      </c>
      <c r="I883" s="10">
        <v>0</v>
      </c>
      <c r="J883" s="10">
        <v>0</v>
      </c>
      <c r="K883" s="10">
        <v>0</v>
      </c>
      <c r="L883" s="10">
        <v>0</v>
      </c>
      <c r="M883" s="10">
        <v>0</v>
      </c>
      <c r="N883" s="10">
        <v>0</v>
      </c>
      <c r="O883" s="10">
        <v>0</v>
      </c>
      <c r="P883" s="10">
        <v>0</v>
      </c>
      <c r="Q883" s="10">
        <v>0</v>
      </c>
      <c r="R883" s="10">
        <v>0</v>
      </c>
      <c r="S883" s="10">
        <v>0</v>
      </c>
    </row>
    <row r="884">
      <c r="A884" s="14" t="s">
        <v>414</v>
      </c>
      <c r="B884" s="2" t="s">
        <v>399</v>
      </c>
      <c r="C884" s="10">
        <v>0</v>
      </c>
      <c r="D884" s="10">
        <v>0</v>
      </c>
      <c r="E884" s="10">
        <v>0</v>
      </c>
      <c r="F884" s="10">
        <v>0</v>
      </c>
      <c r="G884" s="10">
        <v>0</v>
      </c>
      <c r="H884" s="10">
        <v>0</v>
      </c>
      <c r="I884" s="10">
        <v>0</v>
      </c>
      <c r="J884" s="10">
        <v>0</v>
      </c>
      <c r="K884" s="10">
        <v>0</v>
      </c>
      <c r="L884" s="10">
        <v>0</v>
      </c>
      <c r="M884" s="10">
        <v>0</v>
      </c>
      <c r="N884" s="10">
        <v>0</v>
      </c>
      <c r="O884" s="10">
        <v>0</v>
      </c>
      <c r="P884" s="10">
        <v>0</v>
      </c>
      <c r="Q884" s="10">
        <v>0</v>
      </c>
      <c r="R884" s="10">
        <v>0</v>
      </c>
      <c r="S884" s="10">
        <v>0</v>
      </c>
    </row>
    <row r="885">
      <c r="A885" s="14" t="s">
        <v>415</v>
      </c>
      <c r="B885" s="2" t="s">
        <v>399</v>
      </c>
      <c r="C885" s="10">
        <v>0</v>
      </c>
      <c r="D885" s="10">
        <v>0</v>
      </c>
      <c r="E885" s="10">
        <v>0</v>
      </c>
      <c r="F885" s="10">
        <v>0</v>
      </c>
      <c r="G885" s="10">
        <v>0</v>
      </c>
      <c r="H885" s="10">
        <v>0</v>
      </c>
      <c r="I885" s="10">
        <v>0</v>
      </c>
      <c r="J885" s="10">
        <v>0</v>
      </c>
      <c r="K885" s="10">
        <v>0</v>
      </c>
      <c r="L885" s="10">
        <v>0</v>
      </c>
      <c r="M885" s="10">
        <v>0</v>
      </c>
      <c r="N885" s="10">
        <v>0</v>
      </c>
      <c r="O885" s="10">
        <v>0</v>
      </c>
      <c r="P885" s="10">
        <v>0</v>
      </c>
      <c r="Q885" s="10">
        <v>0</v>
      </c>
      <c r="R885" s="10">
        <v>0</v>
      </c>
      <c r="S885" s="10">
        <v>0</v>
      </c>
    </row>
    <row r="886">
      <c r="A886" s="14" t="s">
        <v>416</v>
      </c>
      <c r="B886" s="2" t="s">
        <v>399</v>
      </c>
      <c r="C886" s="10">
        <v>0</v>
      </c>
      <c r="D886" s="10">
        <v>0</v>
      </c>
      <c r="E886" s="10">
        <v>0</v>
      </c>
      <c r="F886" s="10">
        <v>0</v>
      </c>
      <c r="G886" s="10">
        <v>0</v>
      </c>
      <c r="H886" s="10">
        <v>0</v>
      </c>
      <c r="I886" s="10">
        <v>0</v>
      </c>
      <c r="J886" s="10">
        <v>0</v>
      </c>
      <c r="K886" s="10">
        <v>0</v>
      </c>
      <c r="L886" s="10">
        <v>0</v>
      </c>
      <c r="M886" s="10">
        <v>0</v>
      </c>
      <c r="N886" s="10">
        <v>0</v>
      </c>
      <c r="O886" s="10">
        <v>0</v>
      </c>
      <c r="P886" s="10">
        <v>0</v>
      </c>
      <c r="Q886" s="10">
        <v>0</v>
      </c>
      <c r="R886" s="10">
        <v>0</v>
      </c>
      <c r="S886" s="10">
        <v>0</v>
      </c>
    </row>
    <row r="887">
      <c r="A887" s="14" t="s">
        <v>417</v>
      </c>
      <c r="B887" s="2" t="s">
        <v>399</v>
      </c>
      <c r="C887" s="10">
        <v>0</v>
      </c>
      <c r="D887" s="10">
        <v>0</v>
      </c>
      <c r="E887" s="10">
        <v>0</v>
      </c>
      <c r="F887" s="10">
        <v>0</v>
      </c>
      <c r="G887" s="10">
        <v>0</v>
      </c>
      <c r="H887" s="10">
        <v>0</v>
      </c>
      <c r="I887" s="10">
        <v>0</v>
      </c>
      <c r="J887" s="10">
        <v>0</v>
      </c>
      <c r="K887" s="10">
        <v>0</v>
      </c>
      <c r="L887" s="10">
        <v>0</v>
      </c>
      <c r="M887" s="10">
        <v>0</v>
      </c>
      <c r="N887" s="10">
        <v>0</v>
      </c>
      <c r="O887" s="10">
        <v>0</v>
      </c>
      <c r="P887" s="10">
        <v>0</v>
      </c>
      <c r="Q887" s="10">
        <v>0</v>
      </c>
      <c r="R887" s="10">
        <v>0</v>
      </c>
      <c r="S887" s="10">
        <v>0</v>
      </c>
    </row>
    <row r="888">
      <c r="A888" s="14" t="s">
        <v>418</v>
      </c>
      <c r="B888" s="2" t="s">
        <v>399</v>
      </c>
      <c r="C888" s="10">
        <v>0</v>
      </c>
      <c r="D888" s="10">
        <v>0</v>
      </c>
      <c r="E888" s="10">
        <v>0</v>
      </c>
      <c r="F888" s="10">
        <v>0</v>
      </c>
      <c r="G888" s="10">
        <v>0</v>
      </c>
      <c r="H888" s="10">
        <v>0</v>
      </c>
      <c r="I888" s="10">
        <v>0</v>
      </c>
      <c r="J888" s="10">
        <v>0</v>
      </c>
      <c r="K888" s="10">
        <v>0</v>
      </c>
      <c r="L888" s="10">
        <v>0</v>
      </c>
      <c r="M888" s="10">
        <v>0</v>
      </c>
      <c r="N888" s="10">
        <v>0</v>
      </c>
      <c r="O888" s="10">
        <v>0</v>
      </c>
      <c r="P888" s="10">
        <v>0</v>
      </c>
      <c r="Q888" s="10">
        <v>0</v>
      </c>
      <c r="R888" s="10">
        <v>0</v>
      </c>
      <c r="S888" s="10">
        <v>0</v>
      </c>
    </row>
    <row r="889">
      <c r="A889" s="14" t="s">
        <v>419</v>
      </c>
      <c r="B889" s="2" t="s">
        <v>399</v>
      </c>
      <c r="C889" s="10">
        <v>0</v>
      </c>
      <c r="D889" s="10">
        <v>0</v>
      </c>
      <c r="E889" s="10">
        <v>0</v>
      </c>
      <c r="F889" s="10">
        <v>0</v>
      </c>
      <c r="G889" s="10">
        <v>0</v>
      </c>
      <c r="H889" s="10">
        <v>0</v>
      </c>
      <c r="I889" s="10">
        <v>0</v>
      </c>
      <c r="J889" s="10">
        <v>0</v>
      </c>
      <c r="K889" s="10">
        <v>0</v>
      </c>
      <c r="L889" s="10">
        <v>0</v>
      </c>
      <c r="M889" s="10">
        <v>0</v>
      </c>
      <c r="N889" s="10">
        <v>0</v>
      </c>
      <c r="O889" s="10">
        <v>0</v>
      </c>
      <c r="P889" s="10">
        <v>0</v>
      </c>
      <c r="Q889" s="10">
        <v>0</v>
      </c>
      <c r="R889" s="10">
        <v>0</v>
      </c>
      <c r="S889" s="10">
        <v>0</v>
      </c>
    </row>
    <row r="890">
      <c r="A890" s="14" t="s">
        <v>420</v>
      </c>
      <c r="B890" s="2" t="s">
        <v>399</v>
      </c>
      <c r="C890" s="10">
        <v>0</v>
      </c>
      <c r="D890" s="10">
        <v>0</v>
      </c>
      <c r="E890" s="10">
        <v>0</v>
      </c>
      <c r="F890" s="10">
        <v>0</v>
      </c>
      <c r="G890" s="10">
        <v>0</v>
      </c>
      <c r="H890" s="10">
        <v>0</v>
      </c>
      <c r="I890" s="10">
        <v>0</v>
      </c>
      <c r="J890" s="10">
        <v>0</v>
      </c>
      <c r="K890" s="10">
        <v>0</v>
      </c>
      <c r="L890" s="10">
        <v>0</v>
      </c>
      <c r="M890" s="10">
        <v>0</v>
      </c>
      <c r="N890" s="10">
        <v>0</v>
      </c>
      <c r="O890" s="10">
        <v>0</v>
      </c>
      <c r="P890" s="10">
        <v>0</v>
      </c>
      <c r="Q890" s="10">
        <v>0</v>
      </c>
      <c r="R890" s="10">
        <v>0</v>
      </c>
      <c r="S890" s="10">
        <v>0</v>
      </c>
    </row>
    <row r="891">
      <c r="A891" s="14" t="s">
        <v>421</v>
      </c>
      <c r="B891" s="2" t="s">
        <v>399</v>
      </c>
      <c r="C891" s="10">
        <v>0</v>
      </c>
      <c r="D891" s="10">
        <v>0</v>
      </c>
      <c r="E891" s="10">
        <v>0</v>
      </c>
      <c r="F891" s="10">
        <v>0</v>
      </c>
      <c r="G891" s="10">
        <v>0</v>
      </c>
      <c r="H891" s="10">
        <v>0</v>
      </c>
      <c r="I891" s="10">
        <v>0</v>
      </c>
      <c r="J891" s="10">
        <v>0</v>
      </c>
      <c r="K891" s="10">
        <v>0</v>
      </c>
      <c r="L891" s="10">
        <v>0</v>
      </c>
      <c r="M891" s="10">
        <v>0</v>
      </c>
      <c r="N891" s="10">
        <v>0</v>
      </c>
      <c r="O891" s="10">
        <v>0</v>
      </c>
      <c r="P891" s="10">
        <v>0</v>
      </c>
      <c r="Q891" s="10">
        <v>0</v>
      </c>
      <c r="R891" s="10">
        <v>0</v>
      </c>
      <c r="S891" s="10">
        <v>0</v>
      </c>
    </row>
    <row r="892">
      <c r="A892" s="14" t="s">
        <v>422</v>
      </c>
      <c r="B892" s="2" t="s">
        <v>399</v>
      </c>
      <c r="C892" s="10">
        <v>0</v>
      </c>
      <c r="D892" s="10">
        <v>0</v>
      </c>
      <c r="E892" s="10">
        <v>0</v>
      </c>
      <c r="F892" s="10">
        <v>0</v>
      </c>
      <c r="G892" s="10">
        <v>0</v>
      </c>
      <c r="H892" s="10">
        <v>0</v>
      </c>
      <c r="I892" s="10">
        <v>0</v>
      </c>
      <c r="J892" s="10">
        <v>0</v>
      </c>
      <c r="K892" s="10">
        <v>0</v>
      </c>
      <c r="L892" s="10">
        <v>0</v>
      </c>
      <c r="M892" s="10">
        <v>0</v>
      </c>
      <c r="N892" s="10">
        <v>0</v>
      </c>
      <c r="O892" s="10">
        <v>0</v>
      </c>
      <c r="P892" s="10">
        <v>0</v>
      </c>
      <c r="Q892" s="10">
        <v>0</v>
      </c>
      <c r="R892" s="10">
        <v>0</v>
      </c>
      <c r="S892" s="10">
        <v>0</v>
      </c>
    </row>
    <row r="893">
      <c r="A893" s="14" t="s">
        <v>423</v>
      </c>
      <c r="B893" s="2" t="s">
        <v>399</v>
      </c>
      <c r="C893" s="10">
        <v>0</v>
      </c>
      <c r="D893" s="10">
        <v>0</v>
      </c>
      <c r="E893" s="10">
        <v>0</v>
      </c>
      <c r="F893" s="10">
        <v>0</v>
      </c>
      <c r="G893" s="10">
        <v>0</v>
      </c>
      <c r="H893" s="10">
        <v>0</v>
      </c>
      <c r="I893" s="10">
        <v>0</v>
      </c>
      <c r="J893" s="10">
        <v>0</v>
      </c>
      <c r="K893" s="10">
        <v>0</v>
      </c>
      <c r="L893" s="10">
        <v>0</v>
      </c>
      <c r="M893" s="10">
        <v>0</v>
      </c>
      <c r="N893" s="10">
        <v>0</v>
      </c>
      <c r="O893" s="10">
        <v>0</v>
      </c>
      <c r="P893" s="10">
        <v>0</v>
      </c>
      <c r="Q893" s="10">
        <v>0</v>
      </c>
      <c r="R893" s="10">
        <v>0</v>
      </c>
      <c r="S893" s="10">
        <v>0</v>
      </c>
    </row>
    <row r="894">
      <c r="A894" s="14" t="s">
        <v>424</v>
      </c>
      <c r="B894" s="2" t="s">
        <v>399</v>
      </c>
      <c r="C894" s="10">
        <v>0</v>
      </c>
      <c r="D894" s="10">
        <v>0</v>
      </c>
      <c r="E894" s="10">
        <v>0</v>
      </c>
      <c r="F894" s="10">
        <v>0</v>
      </c>
      <c r="G894" s="10">
        <v>0</v>
      </c>
      <c r="H894" s="10">
        <v>0</v>
      </c>
      <c r="I894" s="10">
        <v>0</v>
      </c>
      <c r="J894" s="10">
        <v>0</v>
      </c>
      <c r="K894" s="10">
        <v>0</v>
      </c>
      <c r="L894" s="10">
        <v>0</v>
      </c>
      <c r="M894" s="10">
        <v>0</v>
      </c>
      <c r="N894" s="10">
        <v>0</v>
      </c>
      <c r="O894" s="10">
        <v>0</v>
      </c>
      <c r="P894" s="10">
        <v>0</v>
      </c>
      <c r="Q894" s="10">
        <v>0</v>
      </c>
      <c r="R894" s="10">
        <v>0</v>
      </c>
      <c r="S894" s="10">
        <v>0</v>
      </c>
    </row>
    <row r="895">
      <c r="A895" s="14" t="s">
        <v>425</v>
      </c>
      <c r="B895" s="2" t="s">
        <v>399</v>
      </c>
      <c r="C895" s="10">
        <v>0</v>
      </c>
      <c r="D895" s="10">
        <v>0</v>
      </c>
      <c r="E895" s="10">
        <v>0</v>
      </c>
      <c r="F895" s="10">
        <v>0</v>
      </c>
      <c r="G895" s="10">
        <v>0</v>
      </c>
      <c r="H895" s="10">
        <v>0</v>
      </c>
      <c r="I895" s="10">
        <v>0</v>
      </c>
      <c r="J895" s="10">
        <v>0</v>
      </c>
      <c r="K895" s="10">
        <v>0</v>
      </c>
      <c r="L895" s="10">
        <v>0</v>
      </c>
      <c r="M895" s="10">
        <v>0</v>
      </c>
      <c r="N895" s="10">
        <v>0</v>
      </c>
      <c r="O895" s="10">
        <v>0</v>
      </c>
      <c r="P895" s="10">
        <v>0</v>
      </c>
      <c r="Q895" s="10">
        <v>0</v>
      </c>
      <c r="R895" s="10">
        <v>0</v>
      </c>
      <c r="S895" s="10">
        <v>0</v>
      </c>
    </row>
    <row r="896">
      <c r="A896" s="14" t="s">
        <v>426</v>
      </c>
      <c r="B896" s="2" t="s">
        <v>399</v>
      </c>
      <c r="C896" s="10">
        <v>0</v>
      </c>
      <c r="D896" s="10">
        <v>0</v>
      </c>
      <c r="E896" s="10">
        <v>0</v>
      </c>
      <c r="F896" s="10">
        <v>0</v>
      </c>
      <c r="G896" s="10">
        <v>0</v>
      </c>
      <c r="H896" s="10">
        <v>0</v>
      </c>
      <c r="I896" s="10">
        <v>0</v>
      </c>
      <c r="J896" s="10">
        <v>0</v>
      </c>
      <c r="K896" s="10">
        <v>0</v>
      </c>
      <c r="L896" s="10">
        <v>0</v>
      </c>
      <c r="M896" s="10">
        <v>0</v>
      </c>
      <c r="N896" s="10">
        <v>0</v>
      </c>
      <c r="O896" s="10">
        <v>0</v>
      </c>
      <c r="P896" s="10">
        <v>0</v>
      </c>
      <c r="Q896" s="10">
        <v>0</v>
      </c>
      <c r="R896" s="10">
        <v>0</v>
      </c>
      <c r="S896" s="10">
        <v>0</v>
      </c>
    </row>
    <row r="897">
      <c r="A897" s="14" t="s">
        <v>427</v>
      </c>
      <c r="B897" s="2" t="s">
        <v>399</v>
      </c>
      <c r="C897" s="10">
        <v>0</v>
      </c>
      <c r="D897" s="10">
        <v>0</v>
      </c>
      <c r="E897" s="10">
        <v>0</v>
      </c>
      <c r="F897" s="10">
        <v>0</v>
      </c>
      <c r="G897" s="10">
        <v>0</v>
      </c>
      <c r="H897" s="10">
        <v>0</v>
      </c>
      <c r="I897" s="10">
        <v>0</v>
      </c>
      <c r="J897" s="10">
        <v>0</v>
      </c>
      <c r="K897" s="10">
        <v>0</v>
      </c>
      <c r="L897" s="10">
        <v>0</v>
      </c>
      <c r="M897" s="10">
        <v>0</v>
      </c>
      <c r="N897" s="10">
        <v>0</v>
      </c>
      <c r="O897" s="10">
        <v>0</v>
      </c>
      <c r="P897" s="10">
        <v>0</v>
      </c>
      <c r="Q897" s="10">
        <v>0</v>
      </c>
      <c r="R897" s="10">
        <v>0</v>
      </c>
      <c r="S897" s="10">
        <v>0</v>
      </c>
    </row>
    <row r="898">
      <c r="A898" s="14" t="s">
        <v>428</v>
      </c>
      <c r="B898" s="2" t="s">
        <v>399</v>
      </c>
      <c r="C898" s="10">
        <v>0</v>
      </c>
      <c r="D898" s="10">
        <v>0</v>
      </c>
      <c r="E898" s="10">
        <v>0</v>
      </c>
      <c r="F898" s="10">
        <v>0</v>
      </c>
      <c r="G898" s="10">
        <v>0</v>
      </c>
      <c r="H898" s="10">
        <v>0</v>
      </c>
      <c r="I898" s="10">
        <v>0</v>
      </c>
      <c r="J898" s="10">
        <v>0</v>
      </c>
      <c r="K898" s="10">
        <v>0</v>
      </c>
      <c r="L898" s="10">
        <v>0</v>
      </c>
      <c r="M898" s="10">
        <v>0</v>
      </c>
      <c r="N898" s="10">
        <v>0</v>
      </c>
      <c r="O898" s="10">
        <v>0</v>
      </c>
      <c r="P898" s="10">
        <v>0</v>
      </c>
      <c r="Q898" s="10">
        <v>0</v>
      </c>
      <c r="R898" s="10">
        <v>0</v>
      </c>
      <c r="S898" s="10">
        <v>0</v>
      </c>
    </row>
    <row r="899">
      <c r="A899" s="14" t="s">
        <v>429</v>
      </c>
      <c r="B899" s="2" t="s">
        <v>399</v>
      </c>
      <c r="C899" s="10">
        <v>0</v>
      </c>
      <c r="D899" s="10">
        <v>0</v>
      </c>
      <c r="E899" s="10">
        <v>0</v>
      </c>
      <c r="F899" s="10">
        <v>0</v>
      </c>
      <c r="G899" s="10">
        <v>0</v>
      </c>
      <c r="H899" s="10">
        <v>0</v>
      </c>
      <c r="I899" s="10">
        <v>0</v>
      </c>
      <c r="J899" s="10">
        <v>0</v>
      </c>
      <c r="K899" s="10">
        <v>0</v>
      </c>
      <c r="L899" s="10">
        <v>0</v>
      </c>
      <c r="M899" s="10">
        <v>0</v>
      </c>
      <c r="N899" s="10">
        <v>0</v>
      </c>
      <c r="O899" s="10">
        <v>0</v>
      </c>
      <c r="P899" s="10">
        <v>0</v>
      </c>
      <c r="Q899" s="10">
        <v>0</v>
      </c>
      <c r="R899" s="10">
        <v>0</v>
      </c>
      <c r="S899" s="10">
        <v>0</v>
      </c>
    </row>
    <row r="900">
      <c r="A900" s="14" t="s">
        <v>430</v>
      </c>
      <c r="B900" s="2" t="s">
        <v>399</v>
      </c>
      <c r="C900" s="10">
        <v>0</v>
      </c>
      <c r="D900" s="10">
        <v>0</v>
      </c>
      <c r="E900" s="10">
        <v>0</v>
      </c>
      <c r="F900" s="10">
        <v>0</v>
      </c>
      <c r="G900" s="10">
        <v>0</v>
      </c>
      <c r="H900" s="10">
        <v>0</v>
      </c>
      <c r="I900" s="10">
        <v>0</v>
      </c>
      <c r="J900" s="10">
        <v>0</v>
      </c>
      <c r="K900" s="10">
        <v>0</v>
      </c>
      <c r="L900" s="10">
        <v>0</v>
      </c>
      <c r="M900" s="10">
        <v>0</v>
      </c>
      <c r="N900" s="10">
        <v>0</v>
      </c>
      <c r="O900" s="10">
        <v>0</v>
      </c>
      <c r="P900" s="10">
        <v>0</v>
      </c>
      <c r="Q900" s="10">
        <v>0</v>
      </c>
      <c r="R900" s="10">
        <v>0</v>
      </c>
      <c r="S900" s="10">
        <v>0</v>
      </c>
    </row>
    <row r="901">
      <c r="A901" s="14" t="s">
        <v>431</v>
      </c>
      <c r="B901" s="2" t="s">
        <v>399</v>
      </c>
      <c r="C901" s="10">
        <v>0</v>
      </c>
      <c r="D901" s="10">
        <v>0</v>
      </c>
      <c r="E901" s="10">
        <v>0</v>
      </c>
      <c r="F901" s="10">
        <v>0</v>
      </c>
      <c r="G901" s="10">
        <v>0</v>
      </c>
      <c r="H901" s="10">
        <v>0</v>
      </c>
      <c r="I901" s="10">
        <v>0</v>
      </c>
      <c r="J901" s="10">
        <v>0</v>
      </c>
      <c r="K901" s="10">
        <v>0</v>
      </c>
      <c r="L901" s="10">
        <v>0</v>
      </c>
      <c r="M901" s="10">
        <v>0</v>
      </c>
      <c r="N901" s="10">
        <v>0</v>
      </c>
      <c r="O901" s="10">
        <v>0</v>
      </c>
      <c r="P901" s="10">
        <v>0</v>
      </c>
      <c r="Q901" s="10">
        <v>0</v>
      </c>
      <c r="R901" s="10">
        <v>0</v>
      </c>
      <c r="S901" s="10">
        <v>0</v>
      </c>
    </row>
    <row r="902">
      <c r="A902" s="14" t="s">
        <v>432</v>
      </c>
      <c r="B902" s="2" t="s">
        <v>399</v>
      </c>
      <c r="C902" s="10">
        <v>0</v>
      </c>
      <c r="D902" s="10">
        <v>0</v>
      </c>
      <c r="E902" s="10">
        <v>0</v>
      </c>
      <c r="F902" s="10">
        <v>0</v>
      </c>
      <c r="G902" s="10">
        <v>0</v>
      </c>
      <c r="H902" s="10">
        <v>0</v>
      </c>
      <c r="I902" s="10">
        <v>0</v>
      </c>
      <c r="J902" s="10">
        <v>0</v>
      </c>
      <c r="K902" s="10">
        <v>0</v>
      </c>
      <c r="L902" s="10">
        <v>0</v>
      </c>
      <c r="M902" s="10">
        <v>0</v>
      </c>
      <c r="N902" s="10">
        <v>0</v>
      </c>
      <c r="O902" s="10">
        <v>0</v>
      </c>
      <c r="P902" s="10">
        <v>0</v>
      </c>
      <c r="Q902" s="10">
        <v>0</v>
      </c>
      <c r="R902" s="10">
        <v>0</v>
      </c>
      <c r="S902" s="10">
        <v>0</v>
      </c>
    </row>
    <row r="903">
      <c r="A903" s="14" t="s">
        <v>433</v>
      </c>
      <c r="B903" s="2" t="s">
        <v>399</v>
      </c>
      <c r="C903" s="10">
        <v>0</v>
      </c>
      <c r="D903" s="10">
        <v>0</v>
      </c>
      <c r="E903" s="10">
        <v>0</v>
      </c>
      <c r="F903" s="10">
        <v>0</v>
      </c>
      <c r="G903" s="10">
        <v>0</v>
      </c>
      <c r="H903" s="10">
        <v>0</v>
      </c>
      <c r="I903" s="10">
        <v>0</v>
      </c>
      <c r="J903" s="10">
        <v>0</v>
      </c>
      <c r="K903" s="10">
        <v>0</v>
      </c>
      <c r="L903" s="10">
        <v>0</v>
      </c>
      <c r="M903" s="10">
        <v>0</v>
      </c>
      <c r="N903" s="10">
        <v>0</v>
      </c>
      <c r="O903" s="10">
        <v>0</v>
      </c>
      <c r="P903" s="10">
        <v>0</v>
      </c>
      <c r="Q903" s="10">
        <v>0</v>
      </c>
      <c r="R903" s="10">
        <v>0</v>
      </c>
      <c r="S903" s="10">
        <v>0</v>
      </c>
    </row>
    <row r="904">
      <c r="A904" s="14" t="s">
        <v>434</v>
      </c>
      <c r="B904" s="2" t="s">
        <v>399</v>
      </c>
      <c r="C904" s="10">
        <v>0</v>
      </c>
      <c r="D904" s="10">
        <v>0</v>
      </c>
      <c r="E904" s="10">
        <v>0</v>
      </c>
      <c r="F904" s="10">
        <v>0</v>
      </c>
      <c r="G904" s="10">
        <v>0</v>
      </c>
      <c r="H904" s="10">
        <v>0</v>
      </c>
      <c r="I904" s="10">
        <v>0</v>
      </c>
      <c r="J904" s="10">
        <v>0</v>
      </c>
      <c r="K904" s="10">
        <v>0</v>
      </c>
      <c r="L904" s="10">
        <v>0</v>
      </c>
      <c r="M904" s="10">
        <v>0</v>
      </c>
      <c r="N904" s="10">
        <v>0</v>
      </c>
      <c r="O904" s="10">
        <v>0</v>
      </c>
      <c r="P904" s="10">
        <v>0</v>
      </c>
      <c r="Q904" s="10">
        <v>0</v>
      </c>
      <c r="R904" s="10">
        <v>0</v>
      </c>
      <c r="S904" s="10">
        <v>0</v>
      </c>
    </row>
    <row r="905">
      <c r="A905" s="14" t="s">
        <v>435</v>
      </c>
      <c r="B905" s="2" t="s">
        <v>399</v>
      </c>
      <c r="C905" s="10">
        <v>0</v>
      </c>
      <c r="D905" s="10">
        <v>0</v>
      </c>
      <c r="E905" s="10">
        <v>0</v>
      </c>
      <c r="F905" s="10">
        <v>0</v>
      </c>
      <c r="G905" s="10">
        <v>0</v>
      </c>
      <c r="H905" s="10">
        <v>0</v>
      </c>
      <c r="I905" s="10">
        <v>0</v>
      </c>
      <c r="J905" s="10">
        <v>0</v>
      </c>
      <c r="K905" s="10">
        <v>0</v>
      </c>
      <c r="L905" s="10">
        <v>0</v>
      </c>
      <c r="M905" s="10">
        <v>0</v>
      </c>
      <c r="N905" s="10">
        <v>0</v>
      </c>
      <c r="O905" s="10">
        <v>0</v>
      </c>
      <c r="P905" s="10">
        <v>0</v>
      </c>
      <c r="Q905" s="10">
        <v>0</v>
      </c>
      <c r="R905" s="10">
        <v>0</v>
      </c>
      <c r="S905" s="10">
        <v>0</v>
      </c>
    </row>
    <row r="906">
      <c r="A906" s="14" t="s">
        <v>436</v>
      </c>
      <c r="B906" s="2" t="s">
        <v>399</v>
      </c>
      <c r="C906" s="10">
        <v>0</v>
      </c>
      <c r="D906" s="10">
        <v>0</v>
      </c>
      <c r="E906" s="10">
        <v>0</v>
      </c>
      <c r="F906" s="10">
        <v>0</v>
      </c>
      <c r="G906" s="10">
        <v>0</v>
      </c>
      <c r="H906" s="10">
        <v>0</v>
      </c>
      <c r="I906" s="10">
        <v>0</v>
      </c>
      <c r="J906" s="10">
        <v>0</v>
      </c>
      <c r="K906" s="10">
        <v>0</v>
      </c>
      <c r="L906" s="10">
        <v>0</v>
      </c>
      <c r="M906" s="10">
        <v>0</v>
      </c>
      <c r="N906" s="10">
        <v>0</v>
      </c>
      <c r="O906" s="10">
        <v>0</v>
      </c>
      <c r="P906" s="10">
        <v>0</v>
      </c>
      <c r="Q906" s="10">
        <v>0</v>
      </c>
      <c r="R906" s="10">
        <v>0</v>
      </c>
      <c r="S906" s="10">
        <v>0</v>
      </c>
    </row>
    <row r="907">
      <c r="A907" s="14" t="s">
        <v>437</v>
      </c>
      <c r="B907" s="2" t="s">
        <v>399</v>
      </c>
      <c r="C907" s="10">
        <v>0</v>
      </c>
      <c r="D907" s="10">
        <v>0</v>
      </c>
      <c r="E907" s="10">
        <v>0</v>
      </c>
      <c r="F907" s="10">
        <v>0</v>
      </c>
      <c r="G907" s="10">
        <v>0</v>
      </c>
      <c r="H907" s="10">
        <v>0</v>
      </c>
      <c r="I907" s="10">
        <v>0</v>
      </c>
      <c r="J907" s="10">
        <v>0</v>
      </c>
      <c r="K907" s="10">
        <v>0</v>
      </c>
      <c r="L907" s="10">
        <v>0</v>
      </c>
      <c r="M907" s="10">
        <v>0</v>
      </c>
      <c r="N907" s="10">
        <v>0</v>
      </c>
      <c r="O907" s="10">
        <v>0</v>
      </c>
      <c r="P907" s="10">
        <v>0</v>
      </c>
      <c r="Q907" s="10">
        <v>0</v>
      </c>
      <c r="R907" s="10">
        <v>0</v>
      </c>
      <c r="S907" s="10">
        <v>0</v>
      </c>
    </row>
    <row r="908">
      <c r="A908" s="14" t="s">
        <v>438</v>
      </c>
      <c r="B908" s="2" t="s">
        <v>399</v>
      </c>
      <c r="C908" s="10">
        <v>0</v>
      </c>
      <c r="D908" s="10">
        <v>0</v>
      </c>
      <c r="E908" s="10">
        <v>0</v>
      </c>
      <c r="F908" s="10">
        <v>0</v>
      </c>
      <c r="G908" s="10">
        <v>0</v>
      </c>
      <c r="H908" s="10">
        <v>0</v>
      </c>
      <c r="I908" s="10">
        <v>0</v>
      </c>
      <c r="J908" s="10">
        <v>0</v>
      </c>
      <c r="K908" s="10">
        <v>0</v>
      </c>
      <c r="L908" s="10">
        <v>0</v>
      </c>
      <c r="M908" s="10">
        <v>0</v>
      </c>
      <c r="N908" s="10">
        <v>0</v>
      </c>
      <c r="O908" s="10">
        <v>0</v>
      </c>
      <c r="P908" s="10">
        <v>0</v>
      </c>
      <c r="Q908" s="10">
        <v>0</v>
      </c>
      <c r="R908" s="10">
        <v>0</v>
      </c>
      <c r="S908" s="10">
        <v>0</v>
      </c>
    </row>
    <row r="909">
      <c r="A909" s="14" t="s">
        <v>439</v>
      </c>
      <c r="B909" s="2" t="s">
        <v>399</v>
      </c>
      <c r="C909" s="10">
        <v>0</v>
      </c>
      <c r="D909" s="10">
        <v>0</v>
      </c>
      <c r="E909" s="10">
        <v>0</v>
      </c>
      <c r="F909" s="10">
        <v>0</v>
      </c>
      <c r="G909" s="10">
        <v>0</v>
      </c>
      <c r="H909" s="10">
        <v>0</v>
      </c>
      <c r="I909" s="10">
        <v>0</v>
      </c>
      <c r="J909" s="10">
        <v>0</v>
      </c>
      <c r="K909" s="10">
        <v>0</v>
      </c>
      <c r="L909" s="10">
        <v>0</v>
      </c>
      <c r="M909" s="10">
        <v>0</v>
      </c>
      <c r="N909" s="10">
        <v>0</v>
      </c>
      <c r="O909" s="10">
        <v>0</v>
      </c>
      <c r="P909" s="10">
        <v>0</v>
      </c>
      <c r="Q909" s="10">
        <v>0</v>
      </c>
      <c r="R909" s="10">
        <v>0</v>
      </c>
      <c r="S909" s="10">
        <v>0</v>
      </c>
    </row>
    <row r="910">
      <c r="A910" s="14" t="s">
        <v>440</v>
      </c>
      <c r="B910" s="2" t="s">
        <v>399</v>
      </c>
      <c r="C910" s="10">
        <v>0</v>
      </c>
      <c r="D910" s="10">
        <v>0</v>
      </c>
      <c r="E910" s="10">
        <v>0</v>
      </c>
      <c r="F910" s="10">
        <v>0</v>
      </c>
      <c r="G910" s="10">
        <v>0</v>
      </c>
      <c r="H910" s="10">
        <v>0</v>
      </c>
      <c r="I910" s="10">
        <v>0</v>
      </c>
      <c r="J910" s="10">
        <v>0</v>
      </c>
      <c r="K910" s="10">
        <v>0</v>
      </c>
      <c r="L910" s="10">
        <v>0</v>
      </c>
      <c r="M910" s="10">
        <v>0</v>
      </c>
      <c r="N910" s="10">
        <v>0</v>
      </c>
      <c r="O910" s="10">
        <v>0</v>
      </c>
      <c r="P910" s="10">
        <v>0</v>
      </c>
      <c r="Q910" s="10">
        <v>0</v>
      </c>
      <c r="R910" s="10">
        <v>0</v>
      </c>
      <c r="S910" s="10">
        <v>0</v>
      </c>
    </row>
    <row r="911">
      <c r="A911" s="14" t="s">
        <v>441</v>
      </c>
      <c r="B911" s="2" t="s">
        <v>399</v>
      </c>
      <c r="C911" s="10">
        <v>0</v>
      </c>
      <c r="D911" s="10">
        <v>0</v>
      </c>
      <c r="E911" s="10">
        <v>0</v>
      </c>
      <c r="F911" s="10">
        <v>0</v>
      </c>
      <c r="G911" s="10">
        <v>0</v>
      </c>
      <c r="H911" s="10">
        <v>0</v>
      </c>
      <c r="I911" s="10">
        <v>0</v>
      </c>
      <c r="J911" s="10">
        <v>0</v>
      </c>
      <c r="K911" s="10">
        <v>0</v>
      </c>
      <c r="L911" s="10">
        <v>0</v>
      </c>
      <c r="M911" s="10">
        <v>0</v>
      </c>
      <c r="N911" s="10">
        <v>0</v>
      </c>
      <c r="O911" s="10">
        <v>0</v>
      </c>
      <c r="P911" s="10">
        <v>0</v>
      </c>
      <c r="Q911" s="10">
        <v>0</v>
      </c>
      <c r="R911" s="10">
        <v>0</v>
      </c>
      <c r="S911" s="10">
        <v>0</v>
      </c>
    </row>
    <row r="912">
      <c r="A912" s="14" t="s">
        <v>442</v>
      </c>
      <c r="B912" s="2" t="s">
        <v>399</v>
      </c>
      <c r="C912" s="10">
        <v>0</v>
      </c>
      <c r="D912" s="10">
        <v>0</v>
      </c>
      <c r="E912" s="10">
        <v>0</v>
      </c>
      <c r="F912" s="10">
        <v>0</v>
      </c>
      <c r="G912" s="10">
        <v>0</v>
      </c>
      <c r="H912" s="10">
        <v>0</v>
      </c>
      <c r="I912" s="10">
        <v>0</v>
      </c>
      <c r="J912" s="10">
        <v>0</v>
      </c>
      <c r="K912" s="10">
        <v>0</v>
      </c>
      <c r="L912" s="10">
        <v>0</v>
      </c>
      <c r="M912" s="10">
        <v>0</v>
      </c>
      <c r="N912" s="10">
        <v>0</v>
      </c>
      <c r="O912" s="10">
        <v>0</v>
      </c>
      <c r="P912" s="10">
        <v>0</v>
      </c>
      <c r="Q912" s="10">
        <v>0</v>
      </c>
      <c r="R912" s="10">
        <v>0</v>
      </c>
      <c r="S912" s="10">
        <v>0</v>
      </c>
    </row>
    <row r="913">
      <c r="A913" s="14" t="s">
        <v>443</v>
      </c>
      <c r="B913" s="2" t="s">
        <v>399</v>
      </c>
      <c r="C913" s="10">
        <v>0</v>
      </c>
      <c r="D913" s="10">
        <v>0</v>
      </c>
      <c r="E913" s="10">
        <v>0</v>
      </c>
      <c r="F913" s="10">
        <v>0</v>
      </c>
      <c r="G913" s="10">
        <v>0</v>
      </c>
      <c r="H913" s="10">
        <v>0</v>
      </c>
      <c r="I913" s="10">
        <v>0</v>
      </c>
      <c r="J913" s="10">
        <v>0</v>
      </c>
      <c r="K913" s="10">
        <v>0</v>
      </c>
      <c r="L913" s="10">
        <v>0</v>
      </c>
      <c r="M913" s="10">
        <v>0</v>
      </c>
      <c r="N913" s="10">
        <v>0</v>
      </c>
      <c r="O913" s="10">
        <v>0</v>
      </c>
      <c r="P913" s="10">
        <v>0</v>
      </c>
      <c r="Q913" s="10">
        <v>0</v>
      </c>
      <c r="R913" s="10">
        <v>0</v>
      </c>
      <c r="S913" s="10">
        <v>0</v>
      </c>
    </row>
    <row r="914">
      <c r="A914" s="14" t="s">
        <v>444</v>
      </c>
      <c r="B914" s="2" t="s">
        <v>399</v>
      </c>
      <c r="C914" s="10">
        <v>0</v>
      </c>
      <c r="D914" s="10">
        <v>0</v>
      </c>
      <c r="E914" s="10">
        <v>0</v>
      </c>
      <c r="F914" s="10">
        <v>0</v>
      </c>
      <c r="G914" s="10">
        <v>0</v>
      </c>
      <c r="H914" s="10">
        <v>0</v>
      </c>
      <c r="I914" s="10">
        <v>0</v>
      </c>
      <c r="J914" s="10">
        <v>0</v>
      </c>
      <c r="K914" s="10">
        <v>0</v>
      </c>
      <c r="L914" s="10">
        <v>0</v>
      </c>
      <c r="M914" s="10">
        <v>0</v>
      </c>
      <c r="N914" s="10">
        <v>0</v>
      </c>
      <c r="O914" s="10">
        <v>0</v>
      </c>
      <c r="P914" s="10">
        <v>0</v>
      </c>
      <c r="Q914" s="10">
        <v>0</v>
      </c>
      <c r="R914" s="10">
        <v>0</v>
      </c>
      <c r="S914" s="10">
        <v>0</v>
      </c>
    </row>
    <row r="923">
      <c r="A923" s="4" t="s">
        <v>457</v>
      </c>
      <c r="B923" s="3" t="s">
        <v>366</v>
      </c>
      <c r="C923" s="3" t="s">
        <v>41</v>
      </c>
      <c r="D923" s="3" t="s">
        <v>42</v>
      </c>
      <c r="E923" s="3" t="s">
        <v>43</v>
      </c>
      <c r="F923" s="3" t="s">
        <v>44</v>
      </c>
      <c r="G923" s="3" t="s">
        <v>45</v>
      </c>
      <c r="H923" s="3" t="s">
        <v>46</v>
      </c>
      <c r="I923" s="3" t="s">
        <v>47</v>
      </c>
      <c r="J923" s="3" t="s">
        <v>48</v>
      </c>
      <c r="K923" s="3" t="s">
        <v>49</v>
      </c>
      <c r="L923" s="3" t="s">
        <v>50</v>
      </c>
      <c r="M923" s="3" t="s">
        <v>51</v>
      </c>
      <c r="N923" s="3" t="s">
        <v>52</v>
      </c>
      <c r="O923" s="3" t="s">
        <v>53</v>
      </c>
      <c r="P923" s="3" t="s">
        <v>54</v>
      </c>
      <c r="Q923" s="3" t="s">
        <v>55</v>
      </c>
      <c r="R923" s="3" t="s">
        <v>56</v>
      </c>
      <c r="S923" s="3" t="s">
        <v>85</v>
      </c>
    </row>
    <row r="924">
      <c r="A924" s="14" t="s">
        <v>367</v>
      </c>
      <c r="B924" s="2" t="s">
        <v>368</v>
      </c>
      <c r="C924" s="22">
        <f>IF(C6&gt;0,IF(C720&gt;=0.5,1,0),0)</f>
        <v>1</v>
      </c>
      <c r="D924" s="22">
        <f>IF(D6&gt;0,IF(D720&gt;=0.5,1,0),0)</f>
        <v>1</v>
      </c>
      <c r="E924" s="22">
        <f>IF(E6&gt;0,IF(E720&gt;=0.5,1,0),0)</f>
        <v>1</v>
      </c>
      <c r="F924" s="22">
        <f>IF(F6&gt;0,IF(F720&gt;=0.5,1,0),0)</f>
        <v>1</v>
      </c>
      <c r="G924" s="22">
        <f>IF(G6&gt;0,IF(G720&gt;=0.5,1,0),0)</f>
        <v>1</v>
      </c>
      <c r="H924" s="22">
        <f>IF(H6&gt;0,IF(H720&gt;=0.5,1,0),0)</f>
        <v>1</v>
      </c>
      <c r="I924" s="22">
        <f>IF(I6&gt;0,IF(I720&gt;=0.5,1,0),0)</f>
        <v>1</v>
      </c>
      <c r="J924" s="22">
        <f>IF(J6&gt;0,IF(J720&gt;=0.5,1,0),0)</f>
        <v>1</v>
      </c>
      <c r="K924" s="22">
        <f>IF(K6&gt;0,IF(K720&gt;=0.5,1,0),0)</f>
        <v>1</v>
      </c>
      <c r="L924" s="22">
        <f>IF(L6&gt;0,IF(L720&gt;=0.5,1,0),0)</f>
        <v>1</v>
      </c>
      <c r="M924" s="22">
        <f>IF(M6&gt;0,IF(M720&gt;=0.5,1,0),0)</f>
        <v>1</v>
      </c>
      <c r="N924" s="22">
        <f>IF(N6&gt;0,IF(N720&gt;=0.5,1,0),0)</f>
        <v>1</v>
      </c>
      <c r="O924" s="22">
        <f>IF(O6&gt;0,IF(O720&gt;=0.5,1,0),0)</f>
        <v>1</v>
      </c>
      <c r="P924" s="22">
        <f>IF(P6&gt;0,IF(P720&gt;=0.5,1,0),0)</f>
        <v>1</v>
      </c>
      <c r="Q924" s="22">
        <f>IF(Q6&gt;0,IF(Q720&gt;=0.5,1,0),0)</f>
        <v>1</v>
      </c>
      <c r="R924" s="22">
        <f>IF(R6&gt;0,IF(R720&gt;=0.5,1,0),0)</f>
        <v>1</v>
      </c>
      <c r="S924" s="22">
        <f>IF(S6&gt;0,IF(S720&gt;=0.5,1,0),0)</f>
        <v>1</v>
      </c>
    </row>
    <row r="925">
      <c r="A925" s="14" t="s">
        <v>96</v>
      </c>
      <c r="B925" s="2" t="s">
        <v>368</v>
      </c>
      <c r="C925" s="22">
        <f>IF(C7&gt;0,IF(C721&gt;=0.5,1,0),0)</f>
        <v>0</v>
      </c>
      <c r="D925" s="22">
        <f>IF(D7&gt;0,IF(D721&gt;=0.5,1,0),0)</f>
        <v>0</v>
      </c>
      <c r="E925" s="22">
        <f>IF(E7&gt;0,IF(E721&gt;=0.5,1,0),0)</f>
        <v>0</v>
      </c>
      <c r="F925" s="22">
        <f>IF(F7&gt;0,IF(F721&gt;=0.5,1,0),0)</f>
        <v>0</v>
      </c>
      <c r="G925" s="22">
        <f>IF(G7&gt;0,IF(G721&gt;=0.5,1,0),0)</f>
        <v>0</v>
      </c>
      <c r="H925" s="22">
        <f>IF(H7&gt;0,IF(H721&gt;=0.5,1,0),0)</f>
        <v>0</v>
      </c>
      <c r="I925" s="22">
        <f>IF(I7&gt;0,IF(I721&gt;=0.5,1,0),0)</f>
        <v>0</v>
      </c>
      <c r="J925" s="22">
        <f>IF(J7&gt;0,IF(J721&gt;=0.5,1,0),0)</f>
        <v>0</v>
      </c>
      <c r="K925" s="22">
        <f>IF(K7&gt;0,IF(K721&gt;=0.5,1,0),0)</f>
        <v>0</v>
      </c>
      <c r="L925" s="22">
        <f>IF(L7&gt;0,IF(L721&gt;=0.5,1,0),0)</f>
        <v>0</v>
      </c>
      <c r="M925" s="22">
        <f>IF(M7&gt;0,IF(M721&gt;=0.5,1,0),0)</f>
        <v>0</v>
      </c>
      <c r="N925" s="22">
        <f>IF(N7&gt;0,IF(N721&gt;=0.5,1,0),0)</f>
        <v>0</v>
      </c>
      <c r="O925" s="22">
        <f>IF(O7&gt;0,IF(O721&gt;=0.5,1,0),0)</f>
        <v>0</v>
      </c>
      <c r="P925" s="22">
        <f>IF(P7&gt;0,IF(P721&gt;=0.5,1,0),0)</f>
        <v>0</v>
      </c>
      <c r="Q925" s="22">
        <f>IF(Q7&gt;0,IF(Q721&gt;=0.5,1,0),0)</f>
        <v>0</v>
      </c>
      <c r="R925" s="22">
        <f>IF(R7&gt;0,IF(R721&gt;=0.5,1,0),0)</f>
        <v>0</v>
      </c>
      <c r="S925" s="22">
        <f>IF(S7&gt;0,IF(S721&gt;=0.5,1,0),0)</f>
        <v>0</v>
      </c>
    </row>
    <row r="926">
      <c r="A926" s="14" t="s">
        <v>369</v>
      </c>
      <c r="B926" s="2" t="s">
        <v>368</v>
      </c>
      <c r="C926" s="22">
        <f>IF(C8&gt;0,IF(C722&gt;=0.5,1,0),0)</f>
        <v>1</v>
      </c>
      <c r="D926" s="22">
        <f>IF(D8&gt;0,IF(D722&gt;=0.5,1,0),0)</f>
        <v>1</v>
      </c>
      <c r="E926" s="22">
        <f>IF(E8&gt;0,IF(E722&gt;=0.5,1,0),0)</f>
        <v>1</v>
      </c>
      <c r="F926" s="22">
        <f>IF(F8&gt;0,IF(F722&gt;=0.5,1,0),0)</f>
        <v>1</v>
      </c>
      <c r="G926" s="22">
        <f>IF(G8&gt;0,IF(G722&gt;=0.5,1,0),0)</f>
        <v>1</v>
      </c>
      <c r="H926" s="22">
        <f>IF(H8&gt;0,IF(H722&gt;=0.5,1,0),0)</f>
        <v>1</v>
      </c>
      <c r="I926" s="22">
        <f>IF(I8&gt;0,IF(I722&gt;=0.5,1,0),0)</f>
        <v>1</v>
      </c>
      <c r="J926" s="22">
        <f>IF(J8&gt;0,IF(J722&gt;=0.5,1,0),0)</f>
        <v>1</v>
      </c>
      <c r="K926" s="22">
        <f>IF(K8&gt;0,IF(K722&gt;=0.5,1,0),0)</f>
        <v>1</v>
      </c>
      <c r="L926" s="22">
        <f>IF(L8&gt;0,IF(L722&gt;=0.5,1,0),0)</f>
        <v>1</v>
      </c>
      <c r="M926" s="22">
        <f>IF(M8&gt;0,IF(M722&gt;=0.5,1,0),0)</f>
        <v>1</v>
      </c>
      <c r="N926" s="22">
        <f>IF(N8&gt;0,IF(N722&gt;=0.5,1,0),0)</f>
        <v>1</v>
      </c>
      <c r="O926" s="22">
        <f>IF(O8&gt;0,IF(O722&gt;=0.5,1,0),0)</f>
        <v>1</v>
      </c>
      <c r="P926" s="22">
        <f>IF(P8&gt;0,IF(P722&gt;=0.5,1,0),0)</f>
        <v>1</v>
      </c>
      <c r="Q926" s="22">
        <f>IF(Q8&gt;0,IF(Q722&gt;=0.5,1,0),0)</f>
        <v>1</v>
      </c>
      <c r="R926" s="22">
        <f>IF(R8&gt;0,IF(R722&gt;=0.5,1,0),0)</f>
        <v>1</v>
      </c>
      <c r="S926" s="22">
        <f>IF(S8&gt;0,IF(S722&gt;=0.5,1,0),0)</f>
        <v>1</v>
      </c>
    </row>
    <row r="927">
      <c r="A927" s="14" t="s">
        <v>370</v>
      </c>
      <c r="B927" s="2" t="s">
        <v>368</v>
      </c>
      <c r="C927" s="22">
        <f>IF(C9&gt;0,IF(C723&gt;=0.5,1,0),0)</f>
        <v>1</v>
      </c>
      <c r="D927" s="22">
        <f>IF(D9&gt;0,IF(D723&gt;=0.5,1,0),0)</f>
        <v>1</v>
      </c>
      <c r="E927" s="22">
        <f>IF(E9&gt;0,IF(E723&gt;=0.5,1,0),0)</f>
        <v>1</v>
      </c>
      <c r="F927" s="22">
        <f>IF(F9&gt;0,IF(F723&gt;=0.5,1,0),0)</f>
        <v>1</v>
      </c>
      <c r="G927" s="22">
        <f>IF(G9&gt;0,IF(G723&gt;=0.5,1,0),0)</f>
        <v>1</v>
      </c>
      <c r="H927" s="22">
        <f>IF(H9&gt;0,IF(H723&gt;=0.5,1,0),0)</f>
        <v>1</v>
      </c>
      <c r="I927" s="22">
        <f>IF(I9&gt;0,IF(I723&gt;=0.5,1,0),0)</f>
        <v>1</v>
      </c>
      <c r="J927" s="22">
        <f>IF(J9&gt;0,IF(J723&gt;=0.5,1,0),0)</f>
        <v>1</v>
      </c>
      <c r="K927" s="22">
        <f>IF(K9&gt;0,IF(K723&gt;=0.5,1,0),0)</f>
        <v>1</v>
      </c>
      <c r="L927" s="22">
        <f>IF(L9&gt;0,IF(L723&gt;=0.5,1,0),0)</f>
        <v>1</v>
      </c>
      <c r="M927" s="22">
        <f>IF(M9&gt;0,IF(M723&gt;=0.5,1,0),0)</f>
        <v>1</v>
      </c>
      <c r="N927" s="22">
        <f>IF(N9&gt;0,IF(N723&gt;=0.5,1,0),0)</f>
        <v>1</v>
      </c>
      <c r="O927" s="22">
        <f>IF(O9&gt;0,IF(O723&gt;=0.5,1,0),0)</f>
        <v>1</v>
      </c>
      <c r="P927" s="22">
        <f>IF(P9&gt;0,IF(P723&gt;=0.5,1,0),0)</f>
        <v>1</v>
      </c>
      <c r="Q927" s="22">
        <f>IF(Q9&gt;0,IF(Q723&gt;=0.5,1,0),0)</f>
        <v>1</v>
      </c>
      <c r="R927" s="22">
        <f>IF(R9&gt;0,IF(R723&gt;=0.5,1,0),0)</f>
        <v>1</v>
      </c>
      <c r="S927" s="22">
        <f>IF(S9&gt;0,IF(S723&gt;=0.5,1,0),0)</f>
        <v>1</v>
      </c>
    </row>
    <row r="928">
      <c r="A928" s="14" t="s">
        <v>371</v>
      </c>
      <c r="B928" s="2" t="s">
        <v>368</v>
      </c>
      <c r="C928" s="22">
        <f>IF(C10&gt;0,IF(C724&gt;=0.5,1,0),0)</f>
        <v>0</v>
      </c>
      <c r="D928" s="22">
        <f>IF(D10&gt;0,IF(D724&gt;=0.5,1,0),0)</f>
        <v>0</v>
      </c>
      <c r="E928" s="22">
        <f>IF(E10&gt;0,IF(E724&gt;=0.5,1,0),0)</f>
        <v>0</v>
      </c>
      <c r="F928" s="22">
        <f>IF(F10&gt;0,IF(F724&gt;=0.5,1,0),0)</f>
        <v>0</v>
      </c>
      <c r="G928" s="22">
        <f>IF(G10&gt;0,IF(G724&gt;=0.5,1,0),0)</f>
        <v>0</v>
      </c>
      <c r="H928" s="22">
        <f>IF(H10&gt;0,IF(H724&gt;=0.5,1,0),0)</f>
        <v>0</v>
      </c>
      <c r="I928" s="22">
        <f>IF(I10&gt;0,IF(I724&gt;=0.5,1,0),0)</f>
        <v>0</v>
      </c>
      <c r="J928" s="22">
        <f>IF(J10&gt;0,IF(J724&gt;=0.5,1,0),0)</f>
        <v>0</v>
      </c>
      <c r="K928" s="22">
        <f>IF(K10&gt;0,IF(K724&gt;=0.5,1,0),0)</f>
        <v>0</v>
      </c>
      <c r="L928" s="22">
        <f>IF(L10&gt;0,IF(L724&gt;=0.5,1,0),0)</f>
        <v>0</v>
      </c>
      <c r="M928" s="22">
        <f>IF(M10&gt;0,IF(M724&gt;=0.5,1,0),0)</f>
        <v>0</v>
      </c>
      <c r="N928" s="22">
        <f>IF(N10&gt;0,IF(N724&gt;=0.5,1,0),0)</f>
        <v>0</v>
      </c>
      <c r="O928" s="22">
        <f>IF(O10&gt;0,IF(O724&gt;=0.5,1,0),0)</f>
        <v>0</v>
      </c>
      <c r="P928" s="22">
        <f>IF(P10&gt;0,IF(P724&gt;=0.5,1,0),0)</f>
        <v>0</v>
      </c>
      <c r="Q928" s="22">
        <f>IF(Q10&gt;0,IF(Q724&gt;=0.5,1,0),0)</f>
        <v>0</v>
      </c>
      <c r="R928" s="22">
        <f>IF(R10&gt;0,IF(R724&gt;=0.5,1,0),0)</f>
        <v>0</v>
      </c>
      <c r="S928" s="22">
        <f>IF(S10&gt;0,IF(S724&gt;=0.5,1,0),0)</f>
        <v>0</v>
      </c>
    </row>
    <row r="929">
      <c r="A929" s="14" t="s">
        <v>372</v>
      </c>
      <c r="B929" s="2" t="s">
        <v>368</v>
      </c>
      <c r="C929" s="22">
        <f>IF(C11&gt;0,IF(C725&gt;=0.5,1,0),0)</f>
        <v>0</v>
      </c>
      <c r="D929" s="22">
        <f>IF(D11&gt;0,IF(D725&gt;=0.5,1,0),0)</f>
        <v>0</v>
      </c>
      <c r="E929" s="22">
        <f>IF(E11&gt;0,IF(E725&gt;=0.5,1,0),0)</f>
        <v>0</v>
      </c>
      <c r="F929" s="22">
        <f>IF(F11&gt;0,IF(F725&gt;=0.5,1,0),0)</f>
        <v>0</v>
      </c>
      <c r="G929" s="22">
        <f>IF(G11&gt;0,IF(G725&gt;=0.5,1,0),0)</f>
        <v>0</v>
      </c>
      <c r="H929" s="22">
        <f>IF(H11&gt;0,IF(H725&gt;=0.5,1,0),0)</f>
        <v>0</v>
      </c>
      <c r="I929" s="22">
        <f>IF(I11&gt;0,IF(I725&gt;=0.5,1,0),0)</f>
        <v>0</v>
      </c>
      <c r="J929" s="22">
        <f>IF(J11&gt;0,IF(J725&gt;=0.5,1,0),0)</f>
        <v>0</v>
      </c>
      <c r="K929" s="22">
        <f>IF(K11&gt;0,IF(K725&gt;=0.5,1,0),0)</f>
        <v>0</v>
      </c>
      <c r="L929" s="22">
        <f>IF(L11&gt;0,IF(L725&gt;=0.5,1,0),0)</f>
        <v>0</v>
      </c>
      <c r="M929" s="22">
        <f>IF(M11&gt;0,IF(M725&gt;=0.5,1,0),0)</f>
        <v>0</v>
      </c>
      <c r="N929" s="22">
        <f>IF(N11&gt;0,IF(N725&gt;=0.5,1,0),0)</f>
        <v>0</v>
      </c>
      <c r="O929" s="22">
        <f>IF(O11&gt;0,IF(O725&gt;=0.5,1,0),0)</f>
        <v>0</v>
      </c>
      <c r="P929" s="22">
        <f>IF(P11&gt;0,IF(P725&gt;=0.5,1,0),0)</f>
        <v>0</v>
      </c>
      <c r="Q929" s="22">
        <f>IF(Q11&gt;0,IF(Q725&gt;=0.5,1,0),0)</f>
        <v>0</v>
      </c>
      <c r="R929" s="22">
        <f>IF(R11&gt;0,IF(R725&gt;=0.5,1,0),0)</f>
        <v>0</v>
      </c>
      <c r="S929" s="22">
        <f>IF(S11&gt;0,IF(S725&gt;=0.5,1,0),0)</f>
        <v>0</v>
      </c>
    </row>
    <row r="930">
      <c r="A930" s="14" t="s">
        <v>373</v>
      </c>
      <c r="B930" s="2" t="s">
        <v>368</v>
      </c>
      <c r="C930" s="22">
        <f>IF(C12&gt;0,IF(C726&gt;=0.5,1,0),0)</f>
        <v>0</v>
      </c>
      <c r="D930" s="22">
        <f>IF(D12&gt;0,IF(D726&gt;=0.5,1,0),0)</f>
        <v>0</v>
      </c>
      <c r="E930" s="22">
        <f>IF(E12&gt;0,IF(E726&gt;=0.5,1,0),0)</f>
        <v>0</v>
      </c>
      <c r="F930" s="22">
        <f>IF(F12&gt;0,IF(F726&gt;=0.5,1,0),0)</f>
        <v>0</v>
      </c>
      <c r="G930" s="22">
        <f>IF(G12&gt;0,IF(G726&gt;=0.5,1,0),0)</f>
        <v>0</v>
      </c>
      <c r="H930" s="22">
        <f>IF(H12&gt;0,IF(H726&gt;=0.5,1,0),0)</f>
        <v>0</v>
      </c>
      <c r="I930" s="22">
        <f>IF(I12&gt;0,IF(I726&gt;=0.5,1,0),0)</f>
        <v>0</v>
      </c>
      <c r="J930" s="22">
        <f>IF(J12&gt;0,IF(J726&gt;=0.5,1,0),0)</f>
        <v>0</v>
      </c>
      <c r="K930" s="22">
        <f>IF(K12&gt;0,IF(K726&gt;=0.5,1,0),0)</f>
        <v>0</v>
      </c>
      <c r="L930" s="22">
        <f>IF(L12&gt;0,IF(L726&gt;=0.5,1,0),0)</f>
        <v>0</v>
      </c>
      <c r="M930" s="22">
        <f>IF(M12&gt;0,IF(M726&gt;=0.5,1,0),0)</f>
        <v>0</v>
      </c>
      <c r="N930" s="22">
        <f>IF(N12&gt;0,IF(N726&gt;=0.5,1,0),0)</f>
        <v>0</v>
      </c>
      <c r="O930" s="22">
        <f>IF(O12&gt;0,IF(O726&gt;=0.5,1,0),0)</f>
        <v>0</v>
      </c>
      <c r="P930" s="22">
        <f>IF(P12&gt;0,IF(P726&gt;=0.5,1,0),0)</f>
        <v>0</v>
      </c>
      <c r="Q930" s="22">
        <f>IF(Q12&gt;0,IF(Q726&gt;=0.5,1,0),0)</f>
        <v>0</v>
      </c>
      <c r="R930" s="22">
        <f>IF(R12&gt;0,IF(R726&gt;=0.5,1,0),0)</f>
        <v>0</v>
      </c>
      <c r="S930" s="22">
        <f>IF(S12&gt;0,IF(S726&gt;=0.5,1,0),0)</f>
        <v>0</v>
      </c>
    </row>
    <row r="931">
      <c r="A931" s="14" t="s">
        <v>102</v>
      </c>
      <c r="B931" s="2" t="s">
        <v>368</v>
      </c>
      <c r="C931" s="22">
        <f>IF(C13&gt;0,IF(C727&gt;=0.5,1,0),0)</f>
        <v>1</v>
      </c>
      <c r="D931" s="22">
        <f>IF(D13&gt;0,IF(D727&gt;=0.5,1,0),0)</f>
        <v>1</v>
      </c>
      <c r="E931" s="22">
        <f>IF(E13&gt;0,IF(E727&gt;=0.5,1,0),0)</f>
        <v>1</v>
      </c>
      <c r="F931" s="22">
        <f>IF(F13&gt;0,IF(F727&gt;=0.5,1,0),0)</f>
        <v>1</v>
      </c>
      <c r="G931" s="22">
        <f>IF(G13&gt;0,IF(G727&gt;=0.5,1,0),0)</f>
        <v>1</v>
      </c>
      <c r="H931" s="22">
        <f>IF(H13&gt;0,IF(H727&gt;=0.5,1,0),0)</f>
        <v>1</v>
      </c>
      <c r="I931" s="22">
        <f>IF(I13&gt;0,IF(I727&gt;=0.5,1,0),0)</f>
        <v>1</v>
      </c>
      <c r="J931" s="22">
        <f>IF(J13&gt;0,IF(J727&gt;=0.5,1,0),0)</f>
        <v>1</v>
      </c>
      <c r="K931" s="22">
        <f>IF(K13&gt;0,IF(K727&gt;=0.5,1,0),0)</f>
        <v>1</v>
      </c>
      <c r="L931" s="22">
        <f>IF(L13&gt;0,IF(L727&gt;=0.5,1,0),0)</f>
        <v>1</v>
      </c>
      <c r="M931" s="22">
        <f>IF(M13&gt;0,IF(M727&gt;=0.5,1,0),0)</f>
        <v>1</v>
      </c>
      <c r="N931" s="22">
        <f>IF(N13&gt;0,IF(N727&gt;=0.5,1,0),0)</f>
        <v>1</v>
      </c>
      <c r="O931" s="22">
        <f>IF(O13&gt;0,IF(O727&gt;=0.5,1,0),0)</f>
        <v>1</v>
      </c>
      <c r="P931" s="22">
        <f>IF(P13&gt;0,IF(P727&gt;=0.5,1,0),0)</f>
        <v>1</v>
      </c>
      <c r="Q931" s="22">
        <f>IF(Q13&gt;0,IF(Q727&gt;=0.5,1,0),0)</f>
        <v>1</v>
      </c>
      <c r="R931" s="22">
        <f>IF(R13&gt;0,IF(R727&gt;=0.5,1,0),0)</f>
        <v>1</v>
      </c>
      <c r="S931" s="22">
        <f>IF(S13&gt;0,IF(S727&gt;=0.5,1,0),0)</f>
        <v>1</v>
      </c>
    </row>
    <row r="932">
      <c r="A932" s="14" t="s">
        <v>374</v>
      </c>
      <c r="B932" s="2" t="s">
        <v>368</v>
      </c>
      <c r="C932" s="22">
        <f>IF(C14&gt;0,IF(C728&gt;=0.5,1,0),0)</f>
        <v>1</v>
      </c>
      <c r="D932" s="22">
        <f>IF(D14&gt;0,IF(D728&gt;=0.5,1,0),0)</f>
        <v>1</v>
      </c>
      <c r="E932" s="22">
        <f>IF(E14&gt;0,IF(E728&gt;=0.5,1,0),0)</f>
        <v>1</v>
      </c>
      <c r="F932" s="22">
        <f>IF(F14&gt;0,IF(F728&gt;=0.5,1,0),0)</f>
        <v>1</v>
      </c>
      <c r="G932" s="22">
        <f>IF(G14&gt;0,IF(G728&gt;=0.5,1,0),0)</f>
        <v>1</v>
      </c>
      <c r="H932" s="22">
        <f>IF(H14&gt;0,IF(H728&gt;=0.5,1,0),0)</f>
        <v>1</v>
      </c>
      <c r="I932" s="22">
        <f>IF(I14&gt;0,IF(I728&gt;=0.5,1,0),0)</f>
        <v>1</v>
      </c>
      <c r="J932" s="22">
        <f>IF(J14&gt;0,IF(J728&gt;=0.5,1,0),0)</f>
        <v>1</v>
      </c>
      <c r="K932" s="22">
        <f>IF(K14&gt;0,IF(K728&gt;=0.5,1,0),0)</f>
        <v>1</v>
      </c>
      <c r="L932" s="22">
        <f>IF(L14&gt;0,IF(L728&gt;=0.5,1,0),0)</f>
        <v>1</v>
      </c>
      <c r="M932" s="22">
        <f>IF(M14&gt;0,IF(M728&gt;=0.5,1,0),0)</f>
        <v>1</v>
      </c>
      <c r="N932" s="22">
        <f>IF(N14&gt;0,IF(N728&gt;=0.5,1,0),0)</f>
        <v>1</v>
      </c>
      <c r="O932" s="22">
        <f>IF(O14&gt;0,IF(O728&gt;=0.5,1,0),0)</f>
        <v>1</v>
      </c>
      <c r="P932" s="22">
        <f>IF(P14&gt;0,IF(P728&gt;=0.5,1,0),0)</f>
        <v>1</v>
      </c>
      <c r="Q932" s="22">
        <f>IF(Q14&gt;0,IF(Q728&gt;=0.5,1,0),0)</f>
        <v>1</v>
      </c>
      <c r="R932" s="22">
        <f>IF(R14&gt;0,IF(R728&gt;=0.5,1,0),0)</f>
        <v>1</v>
      </c>
      <c r="S932" s="22">
        <f>IF(S14&gt;0,IF(S728&gt;=0.5,1,0),0)</f>
        <v>1</v>
      </c>
    </row>
    <row r="933">
      <c r="A933" s="14" t="s">
        <v>375</v>
      </c>
      <c r="B933" s="2" t="s">
        <v>368</v>
      </c>
      <c r="C933" s="22">
        <f>IF(C15&gt;0,IF(C729&gt;=0.5,1,0),0)</f>
        <v>1</v>
      </c>
      <c r="D933" s="22">
        <f>IF(D15&gt;0,IF(D729&gt;=0.5,1,0),0)</f>
        <v>1</v>
      </c>
      <c r="E933" s="22">
        <f>IF(E15&gt;0,IF(E729&gt;=0.5,1,0),0)</f>
        <v>1</v>
      </c>
      <c r="F933" s="22">
        <f>IF(F15&gt;0,IF(F729&gt;=0.5,1,0),0)</f>
        <v>1</v>
      </c>
      <c r="G933" s="22">
        <f>IF(G15&gt;0,IF(G729&gt;=0.5,1,0),0)</f>
        <v>1</v>
      </c>
      <c r="H933" s="22">
        <f>IF(H15&gt;0,IF(H729&gt;=0.5,1,0),0)</f>
        <v>1</v>
      </c>
      <c r="I933" s="22">
        <f>IF(I15&gt;0,IF(I729&gt;=0.5,1,0),0)</f>
        <v>1</v>
      </c>
      <c r="J933" s="22">
        <f>IF(J15&gt;0,IF(J729&gt;=0.5,1,0),0)</f>
        <v>1</v>
      </c>
      <c r="K933" s="22">
        <f>IF(K15&gt;0,IF(K729&gt;=0.5,1,0),0)</f>
        <v>1</v>
      </c>
      <c r="L933" s="22">
        <f>IF(L15&gt;0,IF(L729&gt;=0.5,1,0),0)</f>
        <v>1</v>
      </c>
      <c r="M933" s="22">
        <f>IF(M15&gt;0,IF(M729&gt;=0.5,1,0),0)</f>
        <v>1</v>
      </c>
      <c r="N933" s="22">
        <f>IF(N15&gt;0,IF(N729&gt;=0.5,1,0),0)</f>
        <v>1</v>
      </c>
      <c r="O933" s="22">
        <f>IF(O15&gt;0,IF(O729&gt;=0.5,1,0),0)</f>
        <v>1</v>
      </c>
      <c r="P933" s="22">
        <f>IF(P15&gt;0,IF(P729&gt;=0.5,1,0),0)</f>
        <v>1</v>
      </c>
      <c r="Q933" s="22">
        <f>IF(Q15&gt;0,IF(Q729&gt;=0.5,1,0),0)</f>
        <v>1</v>
      </c>
      <c r="R933" s="22">
        <f>IF(R15&gt;0,IF(R729&gt;=0.5,1,0),0)</f>
        <v>1</v>
      </c>
      <c r="S933" s="22">
        <f>IF(S15&gt;0,IF(S729&gt;=0.5,1,0),0)</f>
        <v>1</v>
      </c>
    </row>
    <row r="934">
      <c r="A934" s="14" t="s">
        <v>105</v>
      </c>
      <c r="B934" s="2" t="s">
        <v>368</v>
      </c>
      <c r="C934" s="22">
        <f>IF(C16&gt;0,IF(C730&gt;=0.5,1,0),0)</f>
        <v>1</v>
      </c>
      <c r="D934" s="22">
        <f>IF(D16&gt;0,IF(D730&gt;=0.5,1,0),0)</f>
        <v>1</v>
      </c>
      <c r="E934" s="22">
        <f>IF(E16&gt;0,IF(E730&gt;=0.5,1,0),0)</f>
        <v>1</v>
      </c>
      <c r="F934" s="22">
        <f>IF(F16&gt;0,IF(F730&gt;=0.5,1,0),0)</f>
        <v>1</v>
      </c>
      <c r="G934" s="22">
        <f>IF(G16&gt;0,IF(G730&gt;=0.5,1,0),0)</f>
        <v>1</v>
      </c>
      <c r="H934" s="22">
        <f>IF(H16&gt;0,IF(H730&gt;=0.5,1,0),0)</f>
        <v>1</v>
      </c>
      <c r="I934" s="22">
        <f>IF(I16&gt;0,IF(I730&gt;=0.5,1,0),0)</f>
        <v>1</v>
      </c>
      <c r="J934" s="22">
        <f>IF(J16&gt;0,IF(J730&gt;=0.5,1,0),0)</f>
        <v>1</v>
      </c>
      <c r="K934" s="22">
        <f>IF(K16&gt;0,IF(K730&gt;=0.5,1,0),0)</f>
        <v>1</v>
      </c>
      <c r="L934" s="22">
        <f>IF(L16&gt;0,IF(L730&gt;=0.5,1,0),0)</f>
        <v>1</v>
      </c>
      <c r="M934" s="22">
        <f>IF(M16&gt;0,IF(M730&gt;=0.5,1,0),0)</f>
        <v>1</v>
      </c>
      <c r="N934" s="22">
        <f>IF(N16&gt;0,IF(N730&gt;=0.5,1,0),0)</f>
        <v>1</v>
      </c>
      <c r="O934" s="22">
        <f>IF(O16&gt;0,IF(O730&gt;=0.5,1,0),0)</f>
        <v>1</v>
      </c>
      <c r="P934" s="22">
        <f>IF(P16&gt;0,IF(P730&gt;=0.5,1,0),0)</f>
        <v>1</v>
      </c>
      <c r="Q934" s="22">
        <f>IF(Q16&gt;0,IF(Q730&gt;=0.5,1,0),0)</f>
        <v>1</v>
      </c>
      <c r="R934" s="22">
        <f>IF(R16&gt;0,IF(R730&gt;=0.5,1,0),0)</f>
        <v>1</v>
      </c>
      <c r="S934" s="22">
        <f>IF(S16&gt;0,IF(S730&gt;=0.5,1,0),0)</f>
        <v>1</v>
      </c>
    </row>
    <row r="935">
      <c r="A935" s="14" t="s">
        <v>106</v>
      </c>
      <c r="B935" s="2" t="s">
        <v>368</v>
      </c>
      <c r="C935" s="22">
        <f>IF(C17&gt;0,IF(C731&gt;=0.5,1,0),0)</f>
        <v>1</v>
      </c>
      <c r="D935" s="22">
        <f>IF(D17&gt;0,IF(D731&gt;=0.5,1,0),0)</f>
        <v>1</v>
      </c>
      <c r="E935" s="22">
        <f>IF(E17&gt;0,IF(E731&gt;=0.5,1,0),0)</f>
        <v>1</v>
      </c>
      <c r="F935" s="22">
        <f>IF(F17&gt;0,IF(F731&gt;=0.5,1,0),0)</f>
        <v>1</v>
      </c>
      <c r="G935" s="22">
        <f>IF(G17&gt;0,IF(G731&gt;=0.5,1,0),0)</f>
        <v>1</v>
      </c>
      <c r="H935" s="22">
        <f>IF(H17&gt;0,IF(H731&gt;=0.5,1,0),0)</f>
        <v>1</v>
      </c>
      <c r="I935" s="22">
        <f>IF(I17&gt;0,IF(I731&gt;=0.5,1,0),0)</f>
        <v>1</v>
      </c>
      <c r="J935" s="22">
        <f>IF(J17&gt;0,IF(J731&gt;=0.5,1,0),0)</f>
        <v>1</v>
      </c>
      <c r="K935" s="22">
        <f>IF(K17&gt;0,IF(K731&gt;=0.5,1,0),0)</f>
        <v>1</v>
      </c>
      <c r="L935" s="22">
        <f>IF(L17&gt;0,IF(L731&gt;=0.5,1,0),0)</f>
        <v>1</v>
      </c>
      <c r="M935" s="22">
        <f>IF(M17&gt;0,IF(M731&gt;=0.5,1,0),0)</f>
        <v>1</v>
      </c>
      <c r="N935" s="22">
        <f>IF(N17&gt;0,IF(N731&gt;=0.5,1,0),0)</f>
        <v>1</v>
      </c>
      <c r="O935" s="22">
        <f>IF(O17&gt;0,IF(O731&gt;=0.5,1,0),0)</f>
        <v>1</v>
      </c>
      <c r="P935" s="22">
        <f>IF(P17&gt;0,IF(P731&gt;=0.5,1,0),0)</f>
        <v>1</v>
      </c>
      <c r="Q935" s="22">
        <f>IF(Q17&gt;0,IF(Q731&gt;=0.5,1,0),0)</f>
        <v>1</v>
      </c>
      <c r="R935" s="22">
        <f>IF(R17&gt;0,IF(R731&gt;=0.5,1,0),0)</f>
        <v>1</v>
      </c>
      <c r="S935" s="22">
        <f>IF(S17&gt;0,IF(S731&gt;=0.5,1,0),0)</f>
        <v>1</v>
      </c>
    </row>
    <row r="936">
      <c r="A936" s="14" t="s">
        <v>376</v>
      </c>
      <c r="B936" s="2" t="s">
        <v>368</v>
      </c>
      <c r="C936" s="22">
        <f>IF(C18&gt;0,IF(C732&gt;=0.5,1,0),0)</f>
        <v>1</v>
      </c>
      <c r="D936" s="22">
        <f>IF(D18&gt;0,IF(D732&gt;=0.5,1,0),0)</f>
        <v>1</v>
      </c>
      <c r="E936" s="22">
        <f>IF(E18&gt;0,IF(E732&gt;=0.5,1,0),0)</f>
        <v>1</v>
      </c>
      <c r="F936" s="22">
        <f>IF(F18&gt;0,IF(F732&gt;=0.5,1,0),0)</f>
        <v>1</v>
      </c>
      <c r="G936" s="22">
        <f>IF(G18&gt;0,IF(G732&gt;=0.5,1,0),0)</f>
        <v>1</v>
      </c>
      <c r="H936" s="22">
        <f>IF(H18&gt;0,IF(H732&gt;=0.5,1,0),0)</f>
        <v>1</v>
      </c>
      <c r="I936" s="22">
        <f>IF(I18&gt;0,IF(I732&gt;=0.5,1,0),0)</f>
        <v>1</v>
      </c>
      <c r="J936" s="22">
        <f>IF(J18&gt;0,IF(J732&gt;=0.5,1,0),0)</f>
        <v>1</v>
      </c>
      <c r="K936" s="22">
        <f>IF(K18&gt;0,IF(K732&gt;=0.5,1,0),0)</f>
        <v>1</v>
      </c>
      <c r="L936" s="22">
        <f>IF(L18&gt;0,IF(L732&gt;=0.5,1,0),0)</f>
        <v>1</v>
      </c>
      <c r="M936" s="22">
        <f>IF(M18&gt;0,IF(M732&gt;=0.5,1,0),0)</f>
        <v>1</v>
      </c>
      <c r="N936" s="22">
        <f>IF(N18&gt;0,IF(N732&gt;=0.5,1,0),0)</f>
        <v>1</v>
      </c>
      <c r="O936" s="22">
        <f>IF(O18&gt;0,IF(O732&gt;=0.5,1,0),0)</f>
        <v>1</v>
      </c>
      <c r="P936" s="22">
        <f>IF(P18&gt;0,IF(P732&gt;=0.5,1,0),0)</f>
        <v>1</v>
      </c>
      <c r="Q936" s="22">
        <f>IF(Q18&gt;0,IF(Q732&gt;=0.5,1,0),0)</f>
        <v>1</v>
      </c>
      <c r="R936" s="22">
        <f>IF(R18&gt;0,IF(R732&gt;=0.5,1,0),0)</f>
        <v>1</v>
      </c>
      <c r="S936" s="22">
        <f>IF(S18&gt;0,IF(S732&gt;=0.5,1,0),0)</f>
        <v>1</v>
      </c>
    </row>
    <row r="937">
      <c r="A937" s="14" t="s">
        <v>377</v>
      </c>
      <c r="B937" s="2" t="s">
        <v>368</v>
      </c>
      <c r="C937" s="22">
        <f>IF(C19&gt;0,IF(C733&gt;=0.5,1,0),0)</f>
        <v>0</v>
      </c>
      <c r="D937" s="22">
        <f>IF(D19&gt;0,IF(D733&gt;=0.5,1,0),0)</f>
        <v>0</v>
      </c>
      <c r="E937" s="22">
        <f>IF(E19&gt;0,IF(E733&gt;=0.5,1,0),0)</f>
        <v>0</v>
      </c>
      <c r="F937" s="22">
        <f>IF(F19&gt;0,IF(F733&gt;=0.5,1,0),0)</f>
        <v>0</v>
      </c>
      <c r="G937" s="22">
        <f>IF(G19&gt;0,IF(G733&gt;=0.5,1,0),0)</f>
        <v>0</v>
      </c>
      <c r="H937" s="22">
        <f>IF(H19&gt;0,IF(H733&gt;=0.5,1,0),0)</f>
        <v>0</v>
      </c>
      <c r="I937" s="22">
        <f>IF(I19&gt;0,IF(I733&gt;=0.5,1,0),0)</f>
        <v>0</v>
      </c>
      <c r="J937" s="22">
        <f>IF(J19&gt;0,IF(J733&gt;=0.5,1,0),0)</f>
        <v>0</v>
      </c>
      <c r="K937" s="22">
        <f>IF(K19&gt;0,IF(K733&gt;=0.5,1,0),0)</f>
        <v>0</v>
      </c>
      <c r="L937" s="22">
        <f>IF(L19&gt;0,IF(L733&gt;=0.5,1,0),0)</f>
        <v>0</v>
      </c>
      <c r="M937" s="22">
        <f>IF(M19&gt;0,IF(M733&gt;=0.5,1,0),0)</f>
        <v>0</v>
      </c>
      <c r="N937" s="22">
        <f>IF(N19&gt;0,IF(N733&gt;=0.5,1,0),0)</f>
        <v>0</v>
      </c>
      <c r="O937" s="22">
        <f>IF(O19&gt;0,IF(O733&gt;=0.5,1,0),0)</f>
        <v>0</v>
      </c>
      <c r="P937" s="22">
        <f>IF(P19&gt;0,IF(P733&gt;=0.5,1,0),0)</f>
        <v>0</v>
      </c>
      <c r="Q937" s="22">
        <f>IF(Q19&gt;0,IF(Q733&gt;=0.5,1,0),0)</f>
        <v>0</v>
      </c>
      <c r="R937" s="22">
        <f>IF(R19&gt;0,IF(R733&gt;=0.5,1,0),0)</f>
        <v>0</v>
      </c>
      <c r="S937" s="22">
        <f>IF(S19&gt;0,IF(S733&gt;=0.5,1,0),0)</f>
        <v>0</v>
      </c>
    </row>
    <row r="938">
      <c r="A938" s="14" t="s">
        <v>378</v>
      </c>
      <c r="B938" s="2" t="s">
        <v>368</v>
      </c>
      <c r="C938" s="22">
        <f>IF(C20&gt;0,IF(C734&gt;=0.5,1,0),0)</f>
        <v>0</v>
      </c>
      <c r="D938" s="22">
        <f>IF(D20&gt;0,IF(D734&gt;=0.5,1,0),0)</f>
        <v>0</v>
      </c>
      <c r="E938" s="22">
        <f>IF(E20&gt;0,IF(E734&gt;=0.5,1,0),0)</f>
        <v>0</v>
      </c>
      <c r="F938" s="22">
        <f>IF(F20&gt;0,IF(F734&gt;=0.5,1,0),0)</f>
        <v>0</v>
      </c>
      <c r="G938" s="22">
        <f>IF(G20&gt;0,IF(G734&gt;=0.5,1,0),0)</f>
        <v>0</v>
      </c>
      <c r="H938" s="22">
        <f>IF(H20&gt;0,IF(H734&gt;=0.5,1,0),0)</f>
        <v>0</v>
      </c>
      <c r="I938" s="22">
        <f>IF(I20&gt;0,IF(I734&gt;=0.5,1,0),0)</f>
        <v>0</v>
      </c>
      <c r="J938" s="22">
        <f>IF(J20&gt;0,IF(J734&gt;=0.5,1,0),0)</f>
        <v>0</v>
      </c>
      <c r="K938" s="22">
        <f>IF(K20&gt;0,IF(K734&gt;=0.5,1,0),0)</f>
        <v>0</v>
      </c>
      <c r="L938" s="22">
        <f>IF(L20&gt;0,IF(L734&gt;=0.5,1,0),0)</f>
        <v>0</v>
      </c>
      <c r="M938" s="22">
        <f>IF(M20&gt;0,IF(M734&gt;=0.5,1,0),0)</f>
        <v>0</v>
      </c>
      <c r="N938" s="22">
        <f>IF(N20&gt;0,IF(N734&gt;=0.5,1,0),0)</f>
        <v>0</v>
      </c>
      <c r="O938" s="22">
        <f>IF(O20&gt;0,IF(O734&gt;=0.5,1,0),0)</f>
        <v>0</v>
      </c>
      <c r="P938" s="22">
        <f>IF(P20&gt;0,IF(P734&gt;=0.5,1,0),0)</f>
        <v>0</v>
      </c>
      <c r="Q938" s="22">
        <f>IF(Q20&gt;0,IF(Q734&gt;=0.5,1,0),0)</f>
        <v>0</v>
      </c>
      <c r="R938" s="22">
        <f>IF(R20&gt;0,IF(R734&gt;=0.5,1,0),0)</f>
        <v>0</v>
      </c>
      <c r="S938" s="22">
        <f>IF(S20&gt;0,IF(S734&gt;=0.5,1,0),0)</f>
        <v>0</v>
      </c>
    </row>
    <row r="939">
      <c r="A939" s="14" t="s">
        <v>110</v>
      </c>
      <c r="B939" s="2" t="s">
        <v>368</v>
      </c>
      <c r="C939" s="22">
        <f>IF(C21&gt;0,IF(C735&gt;=0.5,1,0),0)</f>
        <v>1</v>
      </c>
      <c r="D939" s="22">
        <f>IF(D21&gt;0,IF(D735&gt;=0.5,1,0),0)</f>
        <v>1</v>
      </c>
      <c r="E939" s="22">
        <f>IF(E21&gt;0,IF(E735&gt;=0.5,1,0),0)</f>
        <v>1</v>
      </c>
      <c r="F939" s="22">
        <f>IF(F21&gt;0,IF(F735&gt;=0.5,1,0),0)</f>
        <v>1</v>
      </c>
      <c r="G939" s="22">
        <f>IF(G21&gt;0,IF(G735&gt;=0.5,1,0),0)</f>
        <v>1</v>
      </c>
      <c r="H939" s="22">
        <f>IF(H21&gt;0,IF(H735&gt;=0.5,1,0),0)</f>
        <v>1</v>
      </c>
      <c r="I939" s="22">
        <f>IF(I21&gt;0,IF(I735&gt;=0.5,1,0),0)</f>
        <v>1</v>
      </c>
      <c r="J939" s="22">
        <f>IF(J21&gt;0,IF(J735&gt;=0.5,1,0),0)</f>
        <v>1</v>
      </c>
      <c r="K939" s="22">
        <f>IF(K21&gt;0,IF(K735&gt;=0.5,1,0),0)</f>
        <v>1</v>
      </c>
      <c r="L939" s="22">
        <f>IF(L21&gt;0,IF(L735&gt;=0.5,1,0),0)</f>
        <v>1</v>
      </c>
      <c r="M939" s="22">
        <f>IF(M21&gt;0,IF(M735&gt;=0.5,1,0),0)</f>
        <v>1</v>
      </c>
      <c r="N939" s="22">
        <f>IF(N21&gt;0,IF(N735&gt;=0.5,1,0),0)</f>
        <v>1</v>
      </c>
      <c r="O939" s="22">
        <f>IF(O21&gt;0,IF(O735&gt;=0.5,1,0),0)</f>
        <v>1</v>
      </c>
      <c r="P939" s="22">
        <f>IF(P21&gt;0,IF(P735&gt;=0.5,1,0),0)</f>
        <v>1</v>
      </c>
      <c r="Q939" s="22">
        <f>IF(Q21&gt;0,IF(Q735&gt;=0.5,1,0),0)</f>
        <v>1</v>
      </c>
      <c r="R939" s="22">
        <f>IF(R21&gt;0,IF(R735&gt;=0.5,1,0),0)</f>
        <v>1</v>
      </c>
      <c r="S939" s="22">
        <f>IF(S21&gt;0,IF(S735&gt;=0.5,1,0),0)</f>
        <v>1</v>
      </c>
    </row>
    <row r="940">
      <c r="A940" s="14" t="s">
        <v>111</v>
      </c>
      <c r="B940" s="2" t="s">
        <v>368</v>
      </c>
      <c r="C940" s="22">
        <f>IF(C22&gt;0,IF(C736&gt;=0.5,1,0),0)</f>
        <v>1</v>
      </c>
      <c r="D940" s="22">
        <f>IF(D22&gt;0,IF(D736&gt;=0.5,1,0),0)</f>
        <v>1</v>
      </c>
      <c r="E940" s="22">
        <f>IF(E22&gt;0,IF(E736&gt;=0.5,1,0),0)</f>
        <v>1</v>
      </c>
      <c r="F940" s="22">
        <f>IF(F22&gt;0,IF(F736&gt;=0.5,1,0),0)</f>
        <v>1</v>
      </c>
      <c r="G940" s="22">
        <f>IF(G22&gt;0,IF(G736&gt;=0.5,1,0),0)</f>
        <v>1</v>
      </c>
      <c r="H940" s="22">
        <f>IF(H22&gt;0,IF(H736&gt;=0.5,1,0),0)</f>
        <v>1</v>
      </c>
      <c r="I940" s="22">
        <f>IF(I22&gt;0,IF(I736&gt;=0.5,1,0),0)</f>
        <v>1</v>
      </c>
      <c r="J940" s="22">
        <f>IF(J22&gt;0,IF(J736&gt;=0.5,1,0),0)</f>
        <v>1</v>
      </c>
      <c r="K940" s="22">
        <f>IF(K22&gt;0,IF(K736&gt;=0.5,1,0),0)</f>
        <v>1</v>
      </c>
      <c r="L940" s="22">
        <f>IF(L22&gt;0,IF(L736&gt;=0.5,1,0),0)</f>
        <v>1</v>
      </c>
      <c r="M940" s="22">
        <f>IF(M22&gt;0,IF(M736&gt;=0.5,1,0),0)</f>
        <v>1</v>
      </c>
      <c r="N940" s="22">
        <f>IF(N22&gt;0,IF(N736&gt;=0.5,1,0),0)</f>
        <v>1</v>
      </c>
      <c r="O940" s="22">
        <f>IF(O22&gt;0,IF(O736&gt;=0.5,1,0),0)</f>
        <v>1</v>
      </c>
      <c r="P940" s="22">
        <f>IF(P22&gt;0,IF(P736&gt;=0.5,1,0),0)</f>
        <v>1</v>
      </c>
      <c r="Q940" s="22">
        <f>IF(Q22&gt;0,IF(Q736&gt;=0.5,1,0),0)</f>
        <v>1</v>
      </c>
      <c r="R940" s="22">
        <f>IF(R22&gt;0,IF(R736&gt;=0.5,1,0),0)</f>
        <v>1</v>
      </c>
      <c r="S940" s="22">
        <f>IF(S22&gt;0,IF(S736&gt;=0.5,1,0),0)</f>
        <v>1</v>
      </c>
    </row>
    <row r="941">
      <c r="A941" s="14" t="s">
        <v>379</v>
      </c>
      <c r="B941" s="2" t="s">
        <v>368</v>
      </c>
      <c r="C941" s="22">
        <f>IF(C23&gt;0,IF(C737&gt;=0.5,1,0),0)</f>
        <v>0</v>
      </c>
      <c r="D941" s="22">
        <f>IF(D23&gt;0,IF(D737&gt;=0.5,1,0),0)</f>
        <v>0</v>
      </c>
      <c r="E941" s="22">
        <f>IF(E23&gt;0,IF(E737&gt;=0.5,1,0),0)</f>
        <v>0</v>
      </c>
      <c r="F941" s="22">
        <f>IF(F23&gt;0,IF(F737&gt;=0.5,1,0),0)</f>
        <v>0</v>
      </c>
      <c r="G941" s="22">
        <f>IF(G23&gt;0,IF(G737&gt;=0.5,1,0),0)</f>
        <v>0</v>
      </c>
      <c r="H941" s="22">
        <f>IF(H23&gt;0,IF(H737&gt;=0.5,1,0),0)</f>
        <v>0</v>
      </c>
      <c r="I941" s="22">
        <f>IF(I23&gt;0,IF(I737&gt;=0.5,1,0),0)</f>
        <v>0</v>
      </c>
      <c r="J941" s="22">
        <f>IF(J23&gt;0,IF(J737&gt;=0.5,1,0),0)</f>
        <v>0</v>
      </c>
      <c r="K941" s="22">
        <f>IF(K23&gt;0,IF(K737&gt;=0.5,1,0),0)</f>
        <v>0</v>
      </c>
      <c r="L941" s="22">
        <f>IF(L23&gt;0,IF(L737&gt;=0.5,1,0),0)</f>
        <v>0</v>
      </c>
      <c r="M941" s="22">
        <f>IF(M23&gt;0,IF(M737&gt;=0.5,1,0),0)</f>
        <v>0</v>
      </c>
      <c r="N941" s="22">
        <f>IF(N23&gt;0,IF(N737&gt;=0.5,1,0),0)</f>
        <v>0</v>
      </c>
      <c r="O941" s="22">
        <f>IF(O23&gt;0,IF(O737&gt;=0.5,1,0),0)</f>
        <v>0</v>
      </c>
      <c r="P941" s="22">
        <f>IF(P23&gt;0,IF(P737&gt;=0.5,1,0),0)</f>
        <v>0</v>
      </c>
      <c r="Q941" s="22">
        <f>IF(Q23&gt;0,IF(Q737&gt;=0.5,1,0),0)</f>
        <v>0</v>
      </c>
      <c r="R941" s="22">
        <f>IF(R23&gt;0,IF(R737&gt;=0.5,1,0),0)</f>
        <v>0</v>
      </c>
      <c r="S941" s="22">
        <f>IF(S23&gt;0,IF(S737&gt;=0.5,1,0),0)</f>
        <v>0</v>
      </c>
    </row>
    <row r="942">
      <c r="A942" s="14" t="s">
        <v>380</v>
      </c>
      <c r="B942" s="2" t="s">
        <v>368</v>
      </c>
      <c r="C942" s="22">
        <f>IF(C24&gt;0,IF(C738&gt;=0.5,1,0),0)</f>
        <v>1</v>
      </c>
      <c r="D942" s="22">
        <f>IF(D24&gt;0,IF(D738&gt;=0.5,1,0),0)</f>
        <v>1</v>
      </c>
      <c r="E942" s="22">
        <f>IF(E24&gt;0,IF(E738&gt;=0.5,1,0),0)</f>
        <v>1</v>
      </c>
      <c r="F942" s="22">
        <f>IF(F24&gt;0,IF(F738&gt;=0.5,1,0),0)</f>
        <v>1</v>
      </c>
      <c r="G942" s="22">
        <f>IF(G24&gt;0,IF(G738&gt;=0.5,1,0),0)</f>
        <v>1</v>
      </c>
      <c r="H942" s="22">
        <f>IF(H24&gt;0,IF(H738&gt;=0.5,1,0),0)</f>
        <v>1</v>
      </c>
      <c r="I942" s="22">
        <f>IF(I24&gt;0,IF(I738&gt;=0.5,1,0),0)</f>
        <v>1</v>
      </c>
      <c r="J942" s="22">
        <f>IF(J24&gt;0,IF(J738&gt;=0.5,1,0),0)</f>
        <v>1</v>
      </c>
      <c r="K942" s="22">
        <f>IF(K24&gt;0,IF(K738&gt;=0.5,1,0),0)</f>
        <v>1</v>
      </c>
      <c r="L942" s="22">
        <f>IF(L24&gt;0,IF(L738&gt;=0.5,1,0),0)</f>
        <v>1</v>
      </c>
      <c r="M942" s="22">
        <f>IF(M24&gt;0,IF(M738&gt;=0.5,1,0),0)</f>
        <v>1</v>
      </c>
      <c r="N942" s="22">
        <f>IF(N24&gt;0,IF(N738&gt;=0.5,1,0),0)</f>
        <v>1</v>
      </c>
      <c r="O942" s="22">
        <f>IF(O24&gt;0,IF(O738&gt;=0.5,1,0),0)</f>
        <v>1</v>
      </c>
      <c r="P942" s="22">
        <f>IF(P24&gt;0,IF(P738&gt;=0.5,1,0),0)</f>
        <v>1</v>
      </c>
      <c r="Q942" s="22">
        <f>IF(Q24&gt;0,IF(Q738&gt;=0.5,1,0),0)</f>
        <v>1</v>
      </c>
      <c r="R942" s="22">
        <f>IF(R24&gt;0,IF(R738&gt;=0.5,1,0),0)</f>
        <v>1</v>
      </c>
      <c r="S942" s="22">
        <f>IF(S24&gt;0,IF(S738&gt;=0.5,1,0),0)</f>
        <v>1</v>
      </c>
    </row>
    <row r="943">
      <c r="A943" s="14" t="s">
        <v>381</v>
      </c>
      <c r="B943" s="2" t="s">
        <v>368</v>
      </c>
      <c r="C943" s="22">
        <f>IF(C25&gt;0,IF(C739&gt;=0.5,1,0),0)</f>
        <v>1</v>
      </c>
      <c r="D943" s="22">
        <f>IF(D25&gt;0,IF(D739&gt;=0.5,1,0),0)</f>
        <v>1</v>
      </c>
      <c r="E943" s="22">
        <f>IF(E25&gt;0,IF(E739&gt;=0.5,1,0),0)</f>
        <v>1</v>
      </c>
      <c r="F943" s="22">
        <f>IF(F25&gt;0,IF(F739&gt;=0.5,1,0),0)</f>
        <v>1</v>
      </c>
      <c r="G943" s="22">
        <f>IF(G25&gt;0,IF(G739&gt;=0.5,1,0),0)</f>
        <v>1</v>
      </c>
      <c r="H943" s="22">
        <f>IF(H25&gt;0,IF(H739&gt;=0.5,1,0),0)</f>
        <v>1</v>
      </c>
      <c r="I943" s="22">
        <f>IF(I25&gt;0,IF(I739&gt;=0.5,1,0),0)</f>
        <v>1</v>
      </c>
      <c r="J943" s="22">
        <f>IF(J25&gt;0,IF(J739&gt;=0.5,1,0),0)</f>
        <v>1</v>
      </c>
      <c r="K943" s="22">
        <f>IF(K25&gt;0,IF(K739&gt;=0.5,1,0),0)</f>
        <v>1</v>
      </c>
      <c r="L943" s="22">
        <f>IF(L25&gt;0,IF(L739&gt;=0.5,1,0),0)</f>
        <v>1</v>
      </c>
      <c r="M943" s="22">
        <f>IF(M25&gt;0,IF(M739&gt;=0.5,1,0),0)</f>
        <v>1</v>
      </c>
      <c r="N943" s="22">
        <f>IF(N25&gt;0,IF(N739&gt;=0.5,1,0),0)</f>
        <v>1</v>
      </c>
      <c r="O943" s="22">
        <f>IF(O25&gt;0,IF(O739&gt;=0.5,1,0),0)</f>
        <v>1</v>
      </c>
      <c r="P943" s="22">
        <f>IF(P25&gt;0,IF(P739&gt;=0.5,1,0),0)</f>
        <v>1</v>
      </c>
      <c r="Q943" s="22">
        <f>IF(Q25&gt;0,IF(Q739&gt;=0.5,1,0),0)</f>
        <v>1</v>
      </c>
      <c r="R943" s="22">
        <f>IF(R25&gt;0,IF(R739&gt;=0.5,1,0),0)</f>
        <v>1</v>
      </c>
      <c r="S943" s="22">
        <f>IF(S25&gt;0,IF(S739&gt;=0.5,1,0),0)</f>
        <v>1</v>
      </c>
    </row>
    <row r="944">
      <c r="A944" s="14" t="s">
        <v>115</v>
      </c>
      <c r="B944" s="2" t="s">
        <v>368</v>
      </c>
      <c r="C944" s="22">
        <f>IF(C26&gt;0,IF(C740&gt;=0.5,1,0),0)</f>
        <v>0</v>
      </c>
      <c r="D944" s="22">
        <f>IF(D26&gt;0,IF(D740&gt;=0.5,1,0),0)</f>
        <v>0</v>
      </c>
      <c r="E944" s="22">
        <f>IF(E26&gt;0,IF(E740&gt;=0.5,1,0),0)</f>
        <v>0</v>
      </c>
      <c r="F944" s="22">
        <f>IF(F26&gt;0,IF(F740&gt;=0.5,1,0),0)</f>
        <v>0</v>
      </c>
      <c r="G944" s="22">
        <f>IF(G26&gt;0,IF(G740&gt;=0.5,1,0),0)</f>
        <v>0</v>
      </c>
      <c r="H944" s="22">
        <f>IF(H26&gt;0,IF(H740&gt;=0.5,1,0),0)</f>
        <v>0</v>
      </c>
      <c r="I944" s="22">
        <f>IF(I26&gt;0,IF(I740&gt;=0.5,1,0),0)</f>
        <v>0</v>
      </c>
      <c r="J944" s="22">
        <f>IF(J26&gt;0,IF(J740&gt;=0.5,1,0),0)</f>
        <v>0</v>
      </c>
      <c r="K944" s="22">
        <f>IF(K26&gt;0,IF(K740&gt;=0.5,1,0),0)</f>
        <v>0</v>
      </c>
      <c r="L944" s="22">
        <f>IF(L26&gt;0,IF(L740&gt;=0.5,1,0),0)</f>
        <v>0</v>
      </c>
      <c r="M944" s="22">
        <f>IF(M26&gt;0,IF(M740&gt;=0.5,1,0),0)</f>
        <v>0</v>
      </c>
      <c r="N944" s="22">
        <f>IF(N26&gt;0,IF(N740&gt;=0.5,1,0),0)</f>
        <v>0</v>
      </c>
      <c r="O944" s="22">
        <f>IF(O26&gt;0,IF(O740&gt;=0.5,1,0),0)</f>
        <v>0</v>
      </c>
      <c r="P944" s="22">
        <f>IF(P26&gt;0,IF(P740&gt;=0.5,1,0),0)</f>
        <v>0</v>
      </c>
      <c r="Q944" s="22">
        <f>IF(Q26&gt;0,IF(Q740&gt;=0.5,1,0),0)</f>
        <v>0</v>
      </c>
      <c r="R944" s="22">
        <f>IF(R26&gt;0,IF(R740&gt;=0.5,1,0),0)</f>
        <v>0</v>
      </c>
      <c r="S944" s="22">
        <f>IF(S26&gt;0,IF(S740&gt;=0.5,1,0),0)</f>
        <v>0</v>
      </c>
    </row>
    <row r="945">
      <c r="A945" s="14" t="s">
        <v>382</v>
      </c>
      <c r="B945" s="2" t="s">
        <v>368</v>
      </c>
      <c r="C945" s="22">
        <f>IF(C27&gt;0,IF(C741&gt;=0.5,1,0),0)</f>
        <v>1</v>
      </c>
      <c r="D945" s="22">
        <f>IF(D27&gt;0,IF(D741&gt;=0.5,1,0),0)</f>
        <v>1</v>
      </c>
      <c r="E945" s="22">
        <f>IF(E27&gt;0,IF(E741&gt;=0.5,1,0),0)</f>
        <v>1</v>
      </c>
      <c r="F945" s="22">
        <f>IF(F27&gt;0,IF(F741&gt;=0.5,1,0),0)</f>
        <v>1</v>
      </c>
      <c r="G945" s="22">
        <f>IF(G27&gt;0,IF(G741&gt;=0.5,1,0),0)</f>
        <v>0</v>
      </c>
      <c r="H945" s="22">
        <f>IF(H27&gt;0,IF(H741&gt;=0.5,1,0),0)</f>
        <v>0</v>
      </c>
      <c r="I945" s="22">
        <f>IF(I27&gt;0,IF(I741&gt;=0.5,1,0),0)</f>
        <v>0</v>
      </c>
      <c r="J945" s="22">
        <f>IF(J27&gt;0,IF(J741&gt;=0.5,1,0),0)</f>
        <v>0</v>
      </c>
      <c r="K945" s="22">
        <f>IF(K27&gt;0,IF(K741&gt;=0.5,1,0),0)</f>
        <v>1</v>
      </c>
      <c r="L945" s="22">
        <f>IF(L27&gt;0,IF(L741&gt;=0.5,1,0),0)</f>
        <v>1</v>
      </c>
      <c r="M945" s="22">
        <f>IF(M27&gt;0,IF(M741&gt;=0.5,1,0),0)</f>
        <v>0</v>
      </c>
      <c r="N945" s="22">
        <f>IF(N27&gt;0,IF(N741&gt;=0.5,1,0),0)</f>
        <v>0</v>
      </c>
      <c r="O945" s="22">
        <f>IF(O27&gt;0,IF(O741&gt;=0.5,1,0),0)</f>
        <v>0</v>
      </c>
      <c r="P945" s="22">
        <f>IF(P27&gt;0,IF(P741&gt;=0.5,1,0),0)</f>
        <v>0</v>
      </c>
      <c r="Q945" s="22">
        <f>IF(Q27&gt;0,IF(Q741&gt;=0.5,1,0),0)</f>
        <v>0</v>
      </c>
      <c r="R945" s="22">
        <f>IF(R27&gt;0,IF(R741&gt;=0.5,1,0),0)</f>
        <v>0</v>
      </c>
      <c r="S945" s="22">
        <f>IF(S27&gt;0,IF(S741&gt;=0.5,1,0),0)</f>
        <v>0</v>
      </c>
    </row>
    <row r="946">
      <c r="A946" s="14" t="s">
        <v>117</v>
      </c>
      <c r="B946" s="2" t="s">
        <v>368</v>
      </c>
      <c r="C946" s="22">
        <f>IF(C28&gt;0,IF(C742&gt;=0.5,1,0),0)</f>
        <v>1</v>
      </c>
      <c r="D946" s="22">
        <f>IF(D28&gt;0,IF(D742&gt;=0.5,1,0),0)</f>
        <v>1</v>
      </c>
      <c r="E946" s="22">
        <f>IF(E28&gt;0,IF(E742&gt;=0.5,1,0),0)</f>
        <v>1</v>
      </c>
      <c r="F946" s="22">
        <f>IF(F28&gt;0,IF(F742&gt;=0.5,1,0),0)</f>
        <v>1</v>
      </c>
      <c r="G946" s="22">
        <f>IF(G28&gt;0,IF(G742&gt;=0.5,1,0),0)</f>
        <v>1</v>
      </c>
      <c r="H946" s="22">
        <f>IF(H28&gt;0,IF(H742&gt;=0.5,1,0),0)</f>
        <v>1</v>
      </c>
      <c r="I946" s="22">
        <f>IF(I28&gt;0,IF(I742&gt;=0.5,1,0),0)</f>
        <v>1</v>
      </c>
      <c r="J946" s="22">
        <f>IF(J28&gt;0,IF(J742&gt;=0.5,1,0),0)</f>
        <v>1</v>
      </c>
      <c r="K946" s="22">
        <f>IF(K28&gt;0,IF(K742&gt;=0.5,1,0),0)</f>
        <v>1</v>
      </c>
      <c r="L946" s="22">
        <f>IF(L28&gt;0,IF(L742&gt;=0.5,1,0),0)</f>
        <v>1</v>
      </c>
      <c r="M946" s="22">
        <f>IF(M28&gt;0,IF(M742&gt;=0.5,1,0),0)</f>
        <v>1</v>
      </c>
      <c r="N946" s="22">
        <f>IF(N28&gt;0,IF(N742&gt;=0.5,1,0),0)</f>
        <v>1</v>
      </c>
      <c r="O946" s="22">
        <f>IF(O28&gt;0,IF(O742&gt;=0.5,1,0),0)</f>
        <v>1</v>
      </c>
      <c r="P946" s="22">
        <f>IF(P28&gt;0,IF(P742&gt;=0.5,1,0),0)</f>
        <v>1</v>
      </c>
      <c r="Q946" s="22">
        <f>IF(Q28&gt;0,IF(Q742&gt;=0.5,1,0),0)</f>
        <v>1</v>
      </c>
      <c r="R946" s="22">
        <f>IF(R28&gt;0,IF(R742&gt;=0.5,1,0),0)</f>
        <v>1</v>
      </c>
      <c r="S946" s="22">
        <f>IF(S28&gt;0,IF(S742&gt;=0.5,1,0),0)</f>
        <v>1</v>
      </c>
    </row>
    <row r="947">
      <c r="A947" s="14" t="s">
        <v>118</v>
      </c>
      <c r="B947" s="2" t="s">
        <v>368</v>
      </c>
      <c r="C947" s="22">
        <f>IF(C29&gt;0,IF(C743&gt;=0.5,1,0),0)</f>
        <v>0</v>
      </c>
      <c r="D947" s="22">
        <f>IF(D29&gt;0,IF(D743&gt;=0.5,1,0),0)</f>
        <v>0</v>
      </c>
      <c r="E947" s="22">
        <f>IF(E29&gt;0,IF(E743&gt;=0.5,1,0),0)</f>
        <v>0</v>
      </c>
      <c r="F947" s="22">
        <f>IF(F29&gt;0,IF(F743&gt;=0.5,1,0),0)</f>
        <v>0</v>
      </c>
      <c r="G947" s="22">
        <f>IF(G29&gt;0,IF(G743&gt;=0.5,1,0),0)</f>
        <v>0</v>
      </c>
      <c r="H947" s="22">
        <f>IF(H29&gt;0,IF(H743&gt;=0.5,1,0),0)</f>
        <v>0</v>
      </c>
      <c r="I947" s="22">
        <f>IF(I29&gt;0,IF(I743&gt;=0.5,1,0),0)</f>
        <v>0</v>
      </c>
      <c r="J947" s="22">
        <f>IF(J29&gt;0,IF(J743&gt;=0.5,1,0),0)</f>
        <v>0</v>
      </c>
      <c r="K947" s="22">
        <f>IF(K29&gt;0,IF(K743&gt;=0.5,1,0),0)</f>
        <v>0</v>
      </c>
      <c r="L947" s="22">
        <f>IF(L29&gt;0,IF(L743&gt;=0.5,1,0),0)</f>
        <v>0</v>
      </c>
      <c r="M947" s="22">
        <f>IF(M29&gt;0,IF(M743&gt;=0.5,1,0),0)</f>
        <v>0</v>
      </c>
      <c r="N947" s="22">
        <f>IF(N29&gt;0,IF(N743&gt;=0.5,1,0),0)</f>
        <v>0</v>
      </c>
      <c r="O947" s="22">
        <f>IF(O29&gt;0,IF(O743&gt;=0.5,1,0),0)</f>
        <v>0</v>
      </c>
      <c r="P947" s="22">
        <f>IF(P29&gt;0,IF(P743&gt;=0.5,1,0),0)</f>
        <v>0</v>
      </c>
      <c r="Q947" s="22">
        <f>IF(Q29&gt;0,IF(Q743&gt;=0.5,1,0),0)</f>
        <v>0</v>
      </c>
      <c r="R947" s="22">
        <f>IF(R29&gt;0,IF(R743&gt;=0.5,1,0),0)</f>
        <v>0</v>
      </c>
      <c r="S947" s="22">
        <f>IF(S29&gt;0,IF(S743&gt;=0.5,1,0),0)</f>
        <v>0</v>
      </c>
    </row>
    <row r="948">
      <c r="A948" s="14" t="s">
        <v>383</v>
      </c>
      <c r="B948" s="2" t="s">
        <v>368</v>
      </c>
      <c r="C948" s="22">
        <f>IF(C30&gt;0,IF(C744&gt;=0.5,1,0),0)</f>
        <v>0</v>
      </c>
      <c r="D948" s="22">
        <f>IF(D30&gt;0,IF(D744&gt;=0.5,1,0),0)</f>
        <v>0</v>
      </c>
      <c r="E948" s="22">
        <f>IF(E30&gt;0,IF(E744&gt;=0.5,1,0),0)</f>
        <v>0</v>
      </c>
      <c r="F948" s="22">
        <f>IF(F30&gt;0,IF(F744&gt;=0.5,1,0),0)</f>
        <v>0</v>
      </c>
      <c r="G948" s="22">
        <f>IF(G30&gt;0,IF(G744&gt;=0.5,1,0),0)</f>
        <v>0</v>
      </c>
      <c r="H948" s="22">
        <f>IF(H30&gt;0,IF(H744&gt;=0.5,1,0),0)</f>
        <v>0</v>
      </c>
      <c r="I948" s="22">
        <f>IF(I30&gt;0,IF(I744&gt;=0.5,1,0),0)</f>
        <v>0</v>
      </c>
      <c r="J948" s="22">
        <f>IF(J30&gt;0,IF(J744&gt;=0.5,1,0),0)</f>
        <v>0</v>
      </c>
      <c r="K948" s="22">
        <f>IF(K30&gt;0,IF(K744&gt;=0.5,1,0),0)</f>
        <v>0</v>
      </c>
      <c r="L948" s="22">
        <f>IF(L30&gt;0,IF(L744&gt;=0.5,1,0),0)</f>
        <v>0</v>
      </c>
      <c r="M948" s="22">
        <f>IF(M30&gt;0,IF(M744&gt;=0.5,1,0),0)</f>
        <v>0</v>
      </c>
      <c r="N948" s="22">
        <f>IF(N30&gt;0,IF(N744&gt;=0.5,1,0),0)</f>
        <v>0</v>
      </c>
      <c r="O948" s="22">
        <f>IF(O30&gt;0,IF(O744&gt;=0.5,1,0),0)</f>
        <v>0</v>
      </c>
      <c r="P948" s="22">
        <f>IF(P30&gt;0,IF(P744&gt;=0.5,1,0),0)</f>
        <v>0</v>
      </c>
      <c r="Q948" s="22">
        <f>IF(Q30&gt;0,IF(Q744&gt;=0.5,1,0),0)</f>
        <v>0</v>
      </c>
      <c r="R948" s="22">
        <f>IF(R30&gt;0,IF(R744&gt;=0.5,1,0),0)</f>
        <v>0</v>
      </c>
      <c r="S948" s="22">
        <f>IF(S30&gt;0,IF(S744&gt;=0.5,1,0),0)</f>
        <v>0</v>
      </c>
    </row>
    <row r="949">
      <c r="A949" s="14" t="s">
        <v>384</v>
      </c>
      <c r="B949" s="2" t="s">
        <v>368</v>
      </c>
      <c r="C949" s="22">
        <f>IF(C31&gt;0,IF(C745&gt;=0.5,1,0),0)</f>
        <v>0</v>
      </c>
      <c r="D949" s="22">
        <f>IF(D31&gt;0,IF(D745&gt;=0.5,1,0),0)</f>
        <v>0</v>
      </c>
      <c r="E949" s="22">
        <f>IF(E31&gt;0,IF(E745&gt;=0.5,1,0),0)</f>
        <v>0</v>
      </c>
      <c r="F949" s="22">
        <f>IF(F31&gt;0,IF(F745&gt;=0.5,1,0),0)</f>
        <v>0</v>
      </c>
      <c r="G949" s="22">
        <f>IF(G31&gt;0,IF(G745&gt;=0.5,1,0),0)</f>
        <v>0</v>
      </c>
      <c r="H949" s="22">
        <f>IF(H31&gt;0,IF(H745&gt;=0.5,1,0),0)</f>
        <v>0</v>
      </c>
      <c r="I949" s="22">
        <f>IF(I31&gt;0,IF(I745&gt;=0.5,1,0),0)</f>
        <v>0</v>
      </c>
      <c r="J949" s="22">
        <f>IF(J31&gt;0,IF(J745&gt;=0.5,1,0),0)</f>
        <v>0</v>
      </c>
      <c r="K949" s="22">
        <f>IF(K31&gt;0,IF(K745&gt;=0.5,1,0),0)</f>
        <v>0</v>
      </c>
      <c r="L949" s="22">
        <f>IF(L31&gt;0,IF(L745&gt;=0.5,1,0),0)</f>
        <v>0</v>
      </c>
      <c r="M949" s="22">
        <f>IF(M31&gt;0,IF(M745&gt;=0.5,1,0),0)</f>
        <v>0</v>
      </c>
      <c r="N949" s="22">
        <f>IF(N31&gt;0,IF(N745&gt;=0.5,1,0),0)</f>
        <v>0</v>
      </c>
      <c r="O949" s="22">
        <f>IF(O31&gt;0,IF(O745&gt;=0.5,1,0),0)</f>
        <v>0</v>
      </c>
      <c r="P949" s="22">
        <f>IF(P31&gt;0,IF(P745&gt;=0.5,1,0),0)</f>
        <v>0</v>
      </c>
      <c r="Q949" s="22">
        <f>IF(Q31&gt;0,IF(Q745&gt;=0.5,1,0),0)</f>
        <v>0</v>
      </c>
      <c r="R949" s="22">
        <f>IF(R31&gt;0,IF(R745&gt;=0.5,1,0),0)</f>
        <v>0</v>
      </c>
      <c r="S949" s="22">
        <f>IF(S31&gt;0,IF(S745&gt;=0.5,1,0),0)</f>
        <v>0</v>
      </c>
    </row>
    <row r="950">
      <c r="A950" s="14" t="s">
        <v>121</v>
      </c>
      <c r="B950" s="2" t="s">
        <v>368</v>
      </c>
      <c r="C950" s="22">
        <f>IF(C32&gt;0,IF(C746&gt;=0.5,1,0),0)</f>
        <v>1</v>
      </c>
      <c r="D950" s="22">
        <f>IF(D32&gt;0,IF(D746&gt;=0.5,1,0),0)</f>
        <v>1</v>
      </c>
      <c r="E950" s="22">
        <f>IF(E32&gt;0,IF(E746&gt;=0.5,1,0),0)</f>
        <v>1</v>
      </c>
      <c r="F950" s="22">
        <f>IF(F32&gt;0,IF(F746&gt;=0.5,1,0),0)</f>
        <v>1</v>
      </c>
      <c r="G950" s="22">
        <f>IF(G32&gt;0,IF(G746&gt;=0.5,1,0),0)</f>
        <v>1</v>
      </c>
      <c r="H950" s="22">
        <f>IF(H32&gt;0,IF(H746&gt;=0.5,1,0),0)</f>
        <v>1</v>
      </c>
      <c r="I950" s="22">
        <f>IF(I32&gt;0,IF(I746&gt;=0.5,1,0),0)</f>
        <v>1</v>
      </c>
      <c r="J950" s="22">
        <f>IF(J32&gt;0,IF(J746&gt;=0.5,1,0),0)</f>
        <v>1</v>
      </c>
      <c r="K950" s="22">
        <f>IF(K32&gt;0,IF(K746&gt;=0.5,1,0),0)</f>
        <v>1</v>
      </c>
      <c r="L950" s="22">
        <f>IF(L32&gt;0,IF(L746&gt;=0.5,1,0),0)</f>
        <v>1</v>
      </c>
      <c r="M950" s="22">
        <f>IF(M32&gt;0,IF(M746&gt;=0.5,1,0),0)</f>
        <v>1</v>
      </c>
      <c r="N950" s="22">
        <f>IF(N32&gt;0,IF(N746&gt;=0.5,1,0),0)</f>
        <v>1</v>
      </c>
      <c r="O950" s="22">
        <f>IF(O32&gt;0,IF(O746&gt;=0.5,1,0),0)</f>
        <v>1</v>
      </c>
      <c r="P950" s="22">
        <f>IF(P32&gt;0,IF(P746&gt;=0.5,1,0),0)</f>
        <v>1</v>
      </c>
      <c r="Q950" s="22">
        <f>IF(Q32&gt;0,IF(Q746&gt;=0.5,1,0),0)</f>
        <v>1</v>
      </c>
      <c r="R950" s="22">
        <f>IF(R32&gt;0,IF(R746&gt;=0.5,1,0),0)</f>
        <v>1</v>
      </c>
      <c r="S950" s="22">
        <f>IF(S32&gt;0,IF(S746&gt;=0.5,1,0),0)</f>
        <v>1</v>
      </c>
    </row>
    <row r="951">
      <c r="A951" s="14" t="s">
        <v>385</v>
      </c>
      <c r="B951" s="2" t="s">
        <v>368</v>
      </c>
      <c r="C951" s="22">
        <f>IF(C33&gt;0,IF(C747&gt;=0.5,1,0),0)</f>
        <v>1</v>
      </c>
      <c r="D951" s="22">
        <f>IF(D33&gt;0,IF(D747&gt;=0.5,1,0),0)</f>
        <v>1</v>
      </c>
      <c r="E951" s="22">
        <f>IF(E33&gt;0,IF(E747&gt;=0.5,1,0),0)</f>
        <v>1</v>
      </c>
      <c r="F951" s="22">
        <f>IF(F33&gt;0,IF(F747&gt;=0.5,1,0),0)</f>
        <v>1</v>
      </c>
      <c r="G951" s="22">
        <f>IF(G33&gt;0,IF(G747&gt;=0.5,1,0),0)</f>
        <v>1</v>
      </c>
      <c r="H951" s="22">
        <f>IF(H33&gt;0,IF(H747&gt;=0.5,1,0),0)</f>
        <v>1</v>
      </c>
      <c r="I951" s="22">
        <f>IF(I33&gt;0,IF(I747&gt;=0.5,1,0),0)</f>
        <v>1</v>
      </c>
      <c r="J951" s="22">
        <f>IF(J33&gt;0,IF(J747&gt;=0.5,1,0),0)</f>
        <v>1</v>
      </c>
      <c r="K951" s="22">
        <f>IF(K33&gt;0,IF(K747&gt;=0.5,1,0),0)</f>
        <v>1</v>
      </c>
      <c r="L951" s="22">
        <f>IF(L33&gt;0,IF(L747&gt;=0.5,1,0),0)</f>
        <v>1</v>
      </c>
      <c r="M951" s="22">
        <f>IF(M33&gt;0,IF(M747&gt;=0.5,1,0),0)</f>
        <v>1</v>
      </c>
      <c r="N951" s="22">
        <f>IF(N33&gt;0,IF(N747&gt;=0.5,1,0),0)</f>
        <v>1</v>
      </c>
      <c r="O951" s="22">
        <f>IF(O33&gt;0,IF(O747&gt;=0.5,1,0),0)</f>
        <v>1</v>
      </c>
      <c r="P951" s="22">
        <f>IF(P33&gt;0,IF(P747&gt;=0.5,1,0),0)</f>
        <v>1</v>
      </c>
      <c r="Q951" s="22">
        <f>IF(Q33&gt;0,IF(Q747&gt;=0.5,1,0),0)</f>
        <v>1</v>
      </c>
      <c r="R951" s="22">
        <f>IF(R33&gt;0,IF(R747&gt;=0.5,1,0),0)</f>
        <v>1</v>
      </c>
      <c r="S951" s="22">
        <f>IF(S33&gt;0,IF(S747&gt;=0.5,1,0),0)</f>
        <v>1</v>
      </c>
    </row>
    <row r="952">
      <c r="A952" s="14" t="s">
        <v>386</v>
      </c>
      <c r="B952" s="2" t="s">
        <v>368</v>
      </c>
      <c r="C952" s="22">
        <f>IF(C34&gt;0,IF(C748&gt;=0.5,1,0),0)</f>
        <v>0</v>
      </c>
      <c r="D952" s="22">
        <f>IF(D34&gt;0,IF(D748&gt;=0.5,1,0),0)</f>
        <v>0</v>
      </c>
      <c r="E952" s="22">
        <f>IF(E34&gt;0,IF(E748&gt;=0.5,1,0),0)</f>
        <v>0</v>
      </c>
      <c r="F952" s="22">
        <f>IF(F34&gt;0,IF(F748&gt;=0.5,1,0),0)</f>
        <v>0</v>
      </c>
      <c r="G952" s="22">
        <f>IF(G34&gt;0,IF(G748&gt;=0.5,1,0),0)</f>
        <v>0</v>
      </c>
      <c r="H952" s="22">
        <f>IF(H34&gt;0,IF(H748&gt;=0.5,1,0),0)</f>
        <v>0</v>
      </c>
      <c r="I952" s="22">
        <f>IF(I34&gt;0,IF(I748&gt;=0.5,1,0),0)</f>
        <v>0</v>
      </c>
      <c r="J952" s="22">
        <f>IF(J34&gt;0,IF(J748&gt;=0.5,1,0),0)</f>
        <v>0</v>
      </c>
      <c r="K952" s="22">
        <f>IF(K34&gt;0,IF(K748&gt;=0.5,1,0),0)</f>
        <v>0</v>
      </c>
      <c r="L952" s="22">
        <f>IF(L34&gt;0,IF(L748&gt;=0.5,1,0),0)</f>
        <v>0</v>
      </c>
      <c r="M952" s="22">
        <f>IF(M34&gt;0,IF(M748&gt;=0.5,1,0),0)</f>
        <v>0</v>
      </c>
      <c r="N952" s="22">
        <f>IF(N34&gt;0,IF(N748&gt;=0.5,1,0),0)</f>
        <v>0</v>
      </c>
      <c r="O952" s="22">
        <f>IF(O34&gt;0,IF(O748&gt;=0.5,1,0),0)</f>
        <v>0</v>
      </c>
      <c r="P952" s="22">
        <f>IF(P34&gt;0,IF(P748&gt;=0.5,1,0),0)</f>
        <v>0</v>
      </c>
      <c r="Q952" s="22">
        <f>IF(Q34&gt;0,IF(Q748&gt;=0.5,1,0),0)</f>
        <v>0</v>
      </c>
      <c r="R952" s="22">
        <f>IF(R34&gt;0,IF(R748&gt;=0.5,1,0),0)</f>
        <v>0</v>
      </c>
      <c r="S952" s="22">
        <f>IF(S34&gt;0,IF(S748&gt;=0.5,1,0),0)</f>
        <v>0</v>
      </c>
    </row>
    <row r="953">
      <c r="A953" s="14" t="s">
        <v>124</v>
      </c>
      <c r="B953" s="2" t="s">
        <v>368</v>
      </c>
      <c r="C953" s="22">
        <f>IF(C35&gt;0,IF(C749&gt;=0.5,1,0),0)</f>
        <v>1</v>
      </c>
      <c r="D953" s="22">
        <f>IF(D35&gt;0,IF(D749&gt;=0.5,1,0),0)</f>
        <v>1</v>
      </c>
      <c r="E953" s="22">
        <f>IF(E35&gt;0,IF(E749&gt;=0.5,1,0),0)</f>
        <v>1</v>
      </c>
      <c r="F953" s="22">
        <f>IF(F35&gt;0,IF(F749&gt;=0.5,1,0),0)</f>
        <v>1</v>
      </c>
      <c r="G953" s="22">
        <f>IF(G35&gt;0,IF(G749&gt;=0.5,1,0),0)</f>
        <v>1</v>
      </c>
      <c r="H953" s="22">
        <f>IF(H35&gt;0,IF(H749&gt;=0.5,1,0),0)</f>
        <v>1</v>
      </c>
      <c r="I953" s="22">
        <f>IF(I35&gt;0,IF(I749&gt;=0.5,1,0),0)</f>
        <v>1</v>
      </c>
      <c r="J953" s="22">
        <f>IF(J35&gt;0,IF(J749&gt;=0.5,1,0),0)</f>
        <v>1</v>
      </c>
      <c r="K953" s="22">
        <f>IF(K35&gt;0,IF(K749&gt;=0.5,1,0),0)</f>
        <v>1</v>
      </c>
      <c r="L953" s="22">
        <f>IF(L35&gt;0,IF(L749&gt;=0.5,1,0),0)</f>
        <v>1</v>
      </c>
      <c r="M953" s="22">
        <f>IF(M35&gt;0,IF(M749&gt;=0.5,1,0),0)</f>
        <v>1</v>
      </c>
      <c r="N953" s="22">
        <f>IF(N35&gt;0,IF(N749&gt;=0.5,1,0),0)</f>
        <v>1</v>
      </c>
      <c r="O953" s="22">
        <f>IF(O35&gt;0,IF(O749&gt;=0.5,1,0),0)</f>
        <v>1</v>
      </c>
      <c r="P953" s="22">
        <f>IF(P35&gt;0,IF(P749&gt;=0.5,1,0),0)</f>
        <v>1</v>
      </c>
      <c r="Q953" s="22">
        <f>IF(Q35&gt;0,IF(Q749&gt;=0.5,1,0),0)</f>
        <v>1</v>
      </c>
      <c r="R953" s="22">
        <f>IF(R35&gt;0,IF(R749&gt;=0.5,1,0),0)</f>
        <v>1</v>
      </c>
      <c r="S953" s="22">
        <f>IF(S35&gt;0,IF(S749&gt;=0.5,1,0),0)</f>
        <v>1</v>
      </c>
    </row>
    <row r="954">
      <c r="A954" s="14" t="s">
        <v>125</v>
      </c>
      <c r="B954" s="2" t="s">
        <v>368</v>
      </c>
      <c r="C954" s="22">
        <f>IF(C36&gt;0,IF(C750&gt;=0.5,1,0),0)</f>
        <v>0</v>
      </c>
      <c r="D954" s="22">
        <f>IF(D36&gt;0,IF(D750&gt;=0.5,1,0),0)</f>
        <v>0</v>
      </c>
      <c r="E954" s="22">
        <f>IF(E36&gt;0,IF(E750&gt;=0.5,1,0),0)</f>
        <v>0</v>
      </c>
      <c r="F954" s="22">
        <f>IF(F36&gt;0,IF(F750&gt;=0.5,1,0),0)</f>
        <v>0</v>
      </c>
      <c r="G954" s="22">
        <f>IF(G36&gt;0,IF(G750&gt;=0.5,1,0),0)</f>
        <v>0</v>
      </c>
      <c r="H954" s="22">
        <f>IF(H36&gt;0,IF(H750&gt;=0.5,1,0),0)</f>
        <v>0</v>
      </c>
      <c r="I954" s="22">
        <f>IF(I36&gt;0,IF(I750&gt;=0.5,1,0),0)</f>
        <v>0</v>
      </c>
      <c r="J954" s="22">
        <f>IF(J36&gt;0,IF(J750&gt;=0.5,1,0),0)</f>
        <v>0</v>
      </c>
      <c r="K954" s="22">
        <f>IF(K36&gt;0,IF(K750&gt;=0.5,1,0),0)</f>
        <v>0</v>
      </c>
      <c r="L954" s="22">
        <f>IF(L36&gt;0,IF(L750&gt;=0.5,1,0),0)</f>
        <v>0</v>
      </c>
      <c r="M954" s="22">
        <f>IF(M36&gt;0,IF(M750&gt;=0.5,1,0),0)</f>
        <v>0</v>
      </c>
      <c r="N954" s="22">
        <f>IF(N36&gt;0,IF(N750&gt;=0.5,1,0),0)</f>
        <v>0</v>
      </c>
      <c r="O954" s="22">
        <f>IF(O36&gt;0,IF(O750&gt;=0.5,1,0),0)</f>
        <v>0</v>
      </c>
      <c r="P954" s="22">
        <f>IF(P36&gt;0,IF(P750&gt;=0.5,1,0),0)</f>
        <v>0</v>
      </c>
      <c r="Q954" s="22">
        <f>IF(Q36&gt;0,IF(Q750&gt;=0.5,1,0),0)</f>
        <v>0</v>
      </c>
      <c r="R954" s="22">
        <f>IF(R36&gt;0,IF(R750&gt;=0.5,1,0),0)</f>
        <v>0</v>
      </c>
      <c r="S954" s="22">
        <f>IF(S36&gt;0,IF(S750&gt;=0.5,1,0),0)</f>
        <v>0</v>
      </c>
    </row>
    <row r="955">
      <c r="A955" s="14" t="s">
        <v>387</v>
      </c>
      <c r="B955" s="2" t="s">
        <v>368</v>
      </c>
      <c r="C955" s="22">
        <f>IF(C37&gt;0,IF(C751&gt;=0.5,1,0),0)</f>
        <v>1</v>
      </c>
      <c r="D955" s="22">
        <f>IF(D37&gt;0,IF(D751&gt;=0.5,1,0),0)</f>
        <v>1</v>
      </c>
      <c r="E955" s="22">
        <f>IF(E37&gt;0,IF(E751&gt;=0.5,1,0),0)</f>
        <v>1</v>
      </c>
      <c r="F955" s="22">
        <f>IF(F37&gt;0,IF(F751&gt;=0.5,1,0),0)</f>
        <v>1</v>
      </c>
      <c r="G955" s="22">
        <f>IF(G37&gt;0,IF(G751&gt;=0.5,1,0),0)</f>
        <v>1</v>
      </c>
      <c r="H955" s="22">
        <f>IF(H37&gt;0,IF(H751&gt;=0.5,1,0),0)</f>
        <v>1</v>
      </c>
      <c r="I955" s="22">
        <f>IF(I37&gt;0,IF(I751&gt;=0.5,1,0),0)</f>
        <v>1</v>
      </c>
      <c r="J955" s="22">
        <f>IF(J37&gt;0,IF(J751&gt;=0.5,1,0),0)</f>
        <v>1</v>
      </c>
      <c r="K955" s="22">
        <f>IF(K37&gt;0,IF(K751&gt;=0.5,1,0),0)</f>
        <v>1</v>
      </c>
      <c r="L955" s="22">
        <f>IF(L37&gt;0,IF(L751&gt;=0.5,1,0),0)</f>
        <v>1</v>
      </c>
      <c r="M955" s="22">
        <f>IF(M37&gt;0,IF(M751&gt;=0.5,1,0),0)</f>
        <v>1</v>
      </c>
      <c r="N955" s="22">
        <f>IF(N37&gt;0,IF(N751&gt;=0.5,1,0),0)</f>
        <v>1</v>
      </c>
      <c r="O955" s="22">
        <f>IF(O37&gt;0,IF(O751&gt;=0.5,1,0),0)</f>
        <v>1</v>
      </c>
      <c r="P955" s="22">
        <f>IF(P37&gt;0,IF(P751&gt;=0.5,1,0),0)</f>
        <v>1</v>
      </c>
      <c r="Q955" s="22">
        <f>IF(Q37&gt;0,IF(Q751&gt;=0.5,1,0),0)</f>
        <v>1</v>
      </c>
      <c r="R955" s="22">
        <f>IF(R37&gt;0,IF(R751&gt;=0.5,1,0),0)</f>
        <v>1</v>
      </c>
      <c r="S955" s="22">
        <f>IF(S37&gt;0,IF(S751&gt;=0.5,1,0),0)</f>
        <v>1</v>
      </c>
    </row>
    <row r="956">
      <c r="A956" s="14" t="s">
        <v>127</v>
      </c>
      <c r="B956" s="2" t="s">
        <v>368</v>
      </c>
      <c r="C956" s="22">
        <f>IF(C38&gt;0,IF(C752&gt;=0.5,1,0),0)</f>
        <v>0</v>
      </c>
      <c r="D956" s="22">
        <f>IF(D38&gt;0,IF(D752&gt;=0.5,1,0),0)</f>
        <v>0</v>
      </c>
      <c r="E956" s="22">
        <f>IF(E38&gt;0,IF(E752&gt;=0.5,1,0),0)</f>
        <v>0</v>
      </c>
      <c r="F956" s="22">
        <f>IF(F38&gt;0,IF(F752&gt;=0.5,1,0),0)</f>
        <v>0</v>
      </c>
      <c r="G956" s="22">
        <f>IF(G38&gt;0,IF(G752&gt;=0.5,1,0),0)</f>
        <v>0</v>
      </c>
      <c r="H956" s="22">
        <f>IF(H38&gt;0,IF(H752&gt;=0.5,1,0),0)</f>
        <v>0</v>
      </c>
      <c r="I956" s="22">
        <f>IF(I38&gt;0,IF(I752&gt;=0.5,1,0),0)</f>
        <v>0</v>
      </c>
      <c r="J956" s="22">
        <f>IF(J38&gt;0,IF(J752&gt;=0.5,1,0),0)</f>
        <v>0</v>
      </c>
      <c r="K956" s="22">
        <f>IF(K38&gt;0,IF(K752&gt;=0.5,1,0),0)</f>
        <v>0</v>
      </c>
      <c r="L956" s="22">
        <f>IF(L38&gt;0,IF(L752&gt;=0.5,1,0),0)</f>
        <v>0</v>
      </c>
      <c r="M956" s="22">
        <f>IF(M38&gt;0,IF(M752&gt;=0.5,1,0),0)</f>
        <v>0</v>
      </c>
      <c r="N956" s="22">
        <f>IF(N38&gt;0,IF(N752&gt;=0.5,1,0),0)</f>
        <v>0</v>
      </c>
      <c r="O956" s="22">
        <f>IF(O38&gt;0,IF(O752&gt;=0.5,1,0),0)</f>
        <v>0</v>
      </c>
      <c r="P956" s="22">
        <f>IF(P38&gt;0,IF(P752&gt;=0.5,1,0),0)</f>
        <v>0</v>
      </c>
      <c r="Q956" s="22">
        <f>IF(Q38&gt;0,IF(Q752&gt;=0.5,1,0),0)</f>
        <v>0</v>
      </c>
      <c r="R956" s="22">
        <f>IF(R38&gt;0,IF(R752&gt;=0.5,1,0),0)</f>
        <v>0</v>
      </c>
      <c r="S956" s="22">
        <f>IF(S38&gt;0,IF(S752&gt;=0.5,1,0),0)</f>
        <v>0</v>
      </c>
    </row>
    <row r="957">
      <c r="A957" s="14" t="s">
        <v>128</v>
      </c>
      <c r="B957" s="2" t="s">
        <v>368</v>
      </c>
      <c r="C957" s="22">
        <f>IF(C39&gt;0,IF(C753&gt;=0.5,1,0),0)</f>
        <v>0</v>
      </c>
      <c r="D957" s="22">
        <f>IF(D39&gt;0,IF(D753&gt;=0.5,1,0),0)</f>
        <v>0</v>
      </c>
      <c r="E957" s="22">
        <f>IF(E39&gt;0,IF(E753&gt;=0.5,1,0),0)</f>
        <v>0</v>
      </c>
      <c r="F957" s="22">
        <f>IF(F39&gt;0,IF(F753&gt;=0.5,1,0),0)</f>
        <v>0</v>
      </c>
      <c r="G957" s="22">
        <f>IF(G39&gt;0,IF(G753&gt;=0.5,1,0),0)</f>
        <v>0</v>
      </c>
      <c r="H957" s="22">
        <f>IF(H39&gt;0,IF(H753&gt;=0.5,1,0),0)</f>
        <v>0</v>
      </c>
      <c r="I957" s="22">
        <f>IF(I39&gt;0,IF(I753&gt;=0.5,1,0),0)</f>
        <v>0</v>
      </c>
      <c r="J957" s="22">
        <f>IF(J39&gt;0,IF(J753&gt;=0.5,1,0),0)</f>
        <v>0</v>
      </c>
      <c r="K957" s="22">
        <f>IF(K39&gt;0,IF(K753&gt;=0.5,1,0),0)</f>
        <v>0</v>
      </c>
      <c r="L957" s="22">
        <f>IF(L39&gt;0,IF(L753&gt;=0.5,1,0),0)</f>
        <v>0</v>
      </c>
      <c r="M957" s="22">
        <f>IF(M39&gt;0,IF(M753&gt;=0.5,1,0),0)</f>
        <v>0</v>
      </c>
      <c r="N957" s="22">
        <f>IF(N39&gt;0,IF(N753&gt;=0.5,1,0),0)</f>
        <v>0</v>
      </c>
      <c r="O957" s="22">
        <f>IF(O39&gt;0,IF(O753&gt;=0.5,1,0),0)</f>
        <v>0</v>
      </c>
      <c r="P957" s="22">
        <f>IF(P39&gt;0,IF(P753&gt;=0.5,1,0),0)</f>
        <v>0</v>
      </c>
      <c r="Q957" s="22">
        <f>IF(Q39&gt;0,IF(Q753&gt;=0.5,1,0),0)</f>
        <v>0</v>
      </c>
      <c r="R957" s="22">
        <f>IF(R39&gt;0,IF(R753&gt;=0.5,1,0),0)</f>
        <v>0</v>
      </c>
      <c r="S957" s="22">
        <f>IF(S39&gt;0,IF(S753&gt;=0.5,1,0),0)</f>
        <v>0</v>
      </c>
    </row>
    <row r="958">
      <c r="A958" s="14" t="s">
        <v>388</v>
      </c>
      <c r="B958" s="2" t="s">
        <v>368</v>
      </c>
      <c r="C958" s="22">
        <f>IF(C40&gt;0,IF(C754&gt;=0.5,1,0),0)</f>
        <v>1</v>
      </c>
      <c r="D958" s="22">
        <f>IF(D40&gt;0,IF(D754&gt;=0.5,1,0),0)</f>
        <v>1</v>
      </c>
      <c r="E958" s="22">
        <f>IF(E40&gt;0,IF(E754&gt;=0.5,1,0),0)</f>
        <v>1</v>
      </c>
      <c r="F958" s="22">
        <f>IF(F40&gt;0,IF(F754&gt;=0.5,1,0),0)</f>
        <v>1</v>
      </c>
      <c r="G958" s="22">
        <f>IF(G40&gt;0,IF(G754&gt;=0.5,1,0),0)</f>
        <v>1</v>
      </c>
      <c r="H958" s="22">
        <f>IF(H40&gt;0,IF(H754&gt;=0.5,1,0),0)</f>
        <v>1</v>
      </c>
      <c r="I958" s="22">
        <f>IF(I40&gt;0,IF(I754&gt;=0.5,1,0),0)</f>
        <v>1</v>
      </c>
      <c r="J958" s="22">
        <f>IF(J40&gt;0,IF(J754&gt;=0.5,1,0),0)</f>
        <v>1</v>
      </c>
      <c r="K958" s="22">
        <f>IF(K40&gt;0,IF(K754&gt;=0.5,1,0),0)</f>
        <v>1</v>
      </c>
      <c r="L958" s="22">
        <f>IF(L40&gt;0,IF(L754&gt;=0.5,1,0),0)</f>
        <v>1</v>
      </c>
      <c r="M958" s="22">
        <f>IF(M40&gt;0,IF(M754&gt;=0.5,1,0),0)</f>
        <v>1</v>
      </c>
      <c r="N958" s="22">
        <f>IF(N40&gt;0,IF(N754&gt;=0.5,1,0),0)</f>
        <v>1</v>
      </c>
      <c r="O958" s="22">
        <f>IF(O40&gt;0,IF(O754&gt;=0.5,1,0),0)</f>
        <v>1</v>
      </c>
      <c r="P958" s="22">
        <f>IF(P40&gt;0,IF(P754&gt;=0.5,1,0),0)</f>
        <v>1</v>
      </c>
      <c r="Q958" s="22">
        <f>IF(Q40&gt;0,IF(Q754&gt;=0.5,1,0),0)</f>
        <v>1</v>
      </c>
      <c r="R958" s="22">
        <f>IF(R40&gt;0,IF(R754&gt;=0.5,1,0),0)</f>
        <v>1</v>
      </c>
      <c r="S958" s="22">
        <f>IF(S40&gt;0,IF(S754&gt;=0.5,1,0),0)</f>
        <v>1</v>
      </c>
    </row>
    <row r="959">
      <c r="A959" s="14" t="s">
        <v>389</v>
      </c>
      <c r="B959" s="2" t="s">
        <v>368</v>
      </c>
      <c r="C959" s="22">
        <f>IF(C41&gt;0,IF(C755&gt;=0.5,1,0),0)</f>
        <v>0</v>
      </c>
      <c r="D959" s="22">
        <f>IF(D41&gt;0,IF(D755&gt;=0.5,1,0),0)</f>
        <v>0</v>
      </c>
      <c r="E959" s="22">
        <f>IF(E41&gt;0,IF(E755&gt;=0.5,1,0),0)</f>
        <v>0</v>
      </c>
      <c r="F959" s="22">
        <f>IF(F41&gt;0,IF(F755&gt;=0.5,1,0),0)</f>
        <v>0</v>
      </c>
      <c r="G959" s="22">
        <f>IF(G41&gt;0,IF(G755&gt;=0.5,1,0),0)</f>
        <v>0</v>
      </c>
      <c r="H959" s="22">
        <f>IF(H41&gt;0,IF(H755&gt;=0.5,1,0),0)</f>
        <v>0</v>
      </c>
      <c r="I959" s="22">
        <f>IF(I41&gt;0,IF(I755&gt;=0.5,1,0),0)</f>
        <v>0</v>
      </c>
      <c r="J959" s="22">
        <f>IF(J41&gt;0,IF(J755&gt;=0.5,1,0),0)</f>
        <v>0</v>
      </c>
      <c r="K959" s="22">
        <f>IF(K41&gt;0,IF(K755&gt;=0.5,1,0),0)</f>
        <v>0</v>
      </c>
      <c r="L959" s="22">
        <f>IF(L41&gt;0,IF(L755&gt;=0.5,1,0),0)</f>
        <v>0</v>
      </c>
      <c r="M959" s="22">
        <f>IF(M41&gt;0,IF(M755&gt;=0.5,1,0),0)</f>
        <v>0</v>
      </c>
      <c r="N959" s="22">
        <f>IF(N41&gt;0,IF(N755&gt;=0.5,1,0),0)</f>
        <v>0</v>
      </c>
      <c r="O959" s="22">
        <f>IF(O41&gt;0,IF(O755&gt;=0.5,1,0),0)</f>
        <v>0</v>
      </c>
      <c r="P959" s="22">
        <f>IF(P41&gt;0,IF(P755&gt;=0.5,1,0),0)</f>
        <v>0</v>
      </c>
      <c r="Q959" s="22">
        <f>IF(Q41&gt;0,IF(Q755&gt;=0.5,1,0),0)</f>
        <v>0</v>
      </c>
      <c r="R959" s="22">
        <f>IF(R41&gt;0,IF(R755&gt;=0.5,1,0),0)</f>
        <v>0</v>
      </c>
      <c r="S959" s="22">
        <f>IF(S41&gt;0,IF(S755&gt;=0.5,1,0),0)</f>
        <v>0</v>
      </c>
    </row>
    <row r="960">
      <c r="A960" s="14" t="s">
        <v>131</v>
      </c>
      <c r="B960" s="2" t="s">
        <v>368</v>
      </c>
      <c r="C960" s="22">
        <f>IF(C42&gt;0,IF(C756&gt;=0.5,1,0),0)</f>
        <v>0</v>
      </c>
      <c r="D960" s="22">
        <f>IF(D42&gt;0,IF(D756&gt;=0.5,1,0),0)</f>
        <v>0</v>
      </c>
      <c r="E960" s="22">
        <f>IF(E42&gt;0,IF(E756&gt;=0.5,1,0),0)</f>
        <v>0</v>
      </c>
      <c r="F960" s="22">
        <f>IF(F42&gt;0,IF(F756&gt;=0.5,1,0),0)</f>
        <v>0</v>
      </c>
      <c r="G960" s="22">
        <f>IF(G42&gt;0,IF(G756&gt;=0.5,1,0),0)</f>
        <v>0</v>
      </c>
      <c r="H960" s="22">
        <f>IF(H42&gt;0,IF(H756&gt;=0.5,1,0),0)</f>
        <v>0</v>
      </c>
      <c r="I960" s="22">
        <f>IF(I42&gt;0,IF(I756&gt;=0.5,1,0),0)</f>
        <v>0</v>
      </c>
      <c r="J960" s="22">
        <f>IF(J42&gt;0,IF(J756&gt;=0.5,1,0),0)</f>
        <v>0</v>
      </c>
      <c r="K960" s="22">
        <f>IF(K42&gt;0,IF(K756&gt;=0.5,1,0),0)</f>
        <v>0</v>
      </c>
      <c r="L960" s="22">
        <f>IF(L42&gt;0,IF(L756&gt;=0.5,1,0),0)</f>
        <v>0</v>
      </c>
      <c r="M960" s="22">
        <f>IF(M42&gt;0,IF(M756&gt;=0.5,1,0),0)</f>
        <v>0</v>
      </c>
      <c r="N960" s="22">
        <f>IF(N42&gt;0,IF(N756&gt;=0.5,1,0),0)</f>
        <v>0</v>
      </c>
      <c r="O960" s="22">
        <f>IF(O42&gt;0,IF(O756&gt;=0.5,1,0),0)</f>
        <v>0</v>
      </c>
      <c r="P960" s="22">
        <f>IF(P42&gt;0,IF(P756&gt;=0.5,1,0),0)</f>
        <v>0</v>
      </c>
      <c r="Q960" s="22">
        <f>IF(Q42&gt;0,IF(Q756&gt;=0.5,1,0),0)</f>
        <v>0</v>
      </c>
      <c r="R960" s="22">
        <f>IF(R42&gt;0,IF(R756&gt;=0.5,1,0),0)</f>
        <v>0</v>
      </c>
      <c r="S960" s="22">
        <f>IF(S42&gt;0,IF(S756&gt;=0.5,1,0),0)</f>
        <v>0</v>
      </c>
    </row>
    <row r="961">
      <c r="A961" s="14" t="s">
        <v>390</v>
      </c>
      <c r="B961" s="2" t="s">
        <v>368</v>
      </c>
      <c r="C961" s="22">
        <f>IF(C43&gt;0,IF(C757&gt;=0.5,1,0),0)</f>
        <v>1</v>
      </c>
      <c r="D961" s="22">
        <f>IF(D43&gt;0,IF(D757&gt;=0.5,1,0),0)</f>
        <v>1</v>
      </c>
      <c r="E961" s="22">
        <f>IF(E43&gt;0,IF(E757&gt;=0.5,1,0),0)</f>
        <v>1</v>
      </c>
      <c r="F961" s="22">
        <f>IF(F43&gt;0,IF(F757&gt;=0.5,1,0),0)</f>
        <v>1</v>
      </c>
      <c r="G961" s="22">
        <f>IF(G43&gt;0,IF(G757&gt;=0.5,1,0),0)</f>
        <v>1</v>
      </c>
      <c r="H961" s="22">
        <f>IF(H43&gt;0,IF(H757&gt;=0.5,1,0),0)</f>
        <v>0</v>
      </c>
      <c r="I961" s="22">
        <f>IF(I43&gt;0,IF(I757&gt;=0.5,1,0),0)</f>
        <v>0</v>
      </c>
      <c r="J961" s="22">
        <f>IF(J43&gt;0,IF(J757&gt;=0.5,1,0),0)</f>
        <v>0</v>
      </c>
      <c r="K961" s="22">
        <f>IF(K43&gt;0,IF(K757&gt;=0.5,1,0),0)</f>
        <v>0</v>
      </c>
      <c r="L961" s="22">
        <f>IF(L43&gt;0,IF(L757&gt;=0.5,1,0),0)</f>
        <v>0</v>
      </c>
      <c r="M961" s="22">
        <f>IF(M43&gt;0,IF(M757&gt;=0.5,1,0),0)</f>
        <v>0</v>
      </c>
      <c r="N961" s="22">
        <f>IF(N43&gt;0,IF(N757&gt;=0.5,1,0),0)</f>
        <v>0</v>
      </c>
      <c r="O961" s="22">
        <f>IF(O43&gt;0,IF(O757&gt;=0.5,1,0),0)</f>
        <v>0</v>
      </c>
      <c r="P961" s="22">
        <f>IF(P43&gt;0,IF(P757&gt;=0.5,1,0),0)</f>
        <v>0</v>
      </c>
      <c r="Q961" s="22">
        <f>IF(Q43&gt;0,IF(Q757&gt;=0.5,1,0),0)</f>
        <v>0</v>
      </c>
      <c r="R961" s="22">
        <f>IF(R43&gt;0,IF(R757&gt;=0.5,1,0),0)</f>
        <v>0</v>
      </c>
      <c r="S961" s="22">
        <f>IF(S43&gt;0,IF(S757&gt;=0.5,1,0),0)</f>
        <v>0</v>
      </c>
    </row>
    <row r="962">
      <c r="A962" s="14" t="s">
        <v>133</v>
      </c>
      <c r="B962" s="2" t="s">
        <v>368</v>
      </c>
      <c r="C962" s="22">
        <f>IF(C44&gt;0,IF(C758&gt;=0.5,1,0),0)</f>
        <v>0</v>
      </c>
      <c r="D962" s="22">
        <f>IF(D44&gt;0,IF(D758&gt;=0.5,1,0),0)</f>
        <v>0</v>
      </c>
      <c r="E962" s="22">
        <f>IF(E44&gt;0,IF(E758&gt;=0.5,1,0),0)</f>
        <v>0</v>
      </c>
      <c r="F962" s="22">
        <f>IF(F44&gt;0,IF(F758&gt;=0.5,1,0),0)</f>
        <v>0</v>
      </c>
      <c r="G962" s="22">
        <f>IF(G44&gt;0,IF(G758&gt;=0.5,1,0),0)</f>
        <v>0</v>
      </c>
      <c r="H962" s="22">
        <f>IF(H44&gt;0,IF(H758&gt;=0.5,1,0),0)</f>
        <v>0</v>
      </c>
      <c r="I962" s="22">
        <f>IF(I44&gt;0,IF(I758&gt;=0.5,1,0),0)</f>
        <v>0</v>
      </c>
      <c r="J962" s="22">
        <f>IF(J44&gt;0,IF(J758&gt;=0.5,1,0),0)</f>
        <v>0</v>
      </c>
      <c r="K962" s="22">
        <f>IF(K44&gt;0,IF(K758&gt;=0.5,1,0),0)</f>
        <v>0</v>
      </c>
      <c r="L962" s="22">
        <f>IF(L44&gt;0,IF(L758&gt;=0.5,1,0),0)</f>
        <v>0</v>
      </c>
      <c r="M962" s="22">
        <f>IF(M44&gt;0,IF(M758&gt;=0.5,1,0),0)</f>
        <v>0</v>
      </c>
      <c r="N962" s="22">
        <f>IF(N44&gt;0,IF(N758&gt;=0.5,1,0),0)</f>
        <v>0</v>
      </c>
      <c r="O962" s="22">
        <f>IF(O44&gt;0,IF(O758&gt;=0.5,1,0),0)</f>
        <v>0</v>
      </c>
      <c r="P962" s="22">
        <f>IF(P44&gt;0,IF(P758&gt;=0.5,1,0),0)</f>
        <v>0</v>
      </c>
      <c r="Q962" s="22">
        <f>IF(Q44&gt;0,IF(Q758&gt;=0.5,1,0),0)</f>
        <v>0</v>
      </c>
      <c r="R962" s="22">
        <f>IF(R44&gt;0,IF(R758&gt;=0.5,1,0),0)</f>
        <v>0</v>
      </c>
      <c r="S962" s="22">
        <f>IF(S44&gt;0,IF(S758&gt;=0.5,1,0),0)</f>
        <v>0</v>
      </c>
    </row>
    <row r="963">
      <c r="A963" s="14" t="s">
        <v>134</v>
      </c>
      <c r="B963" s="2" t="s">
        <v>368</v>
      </c>
      <c r="C963" s="22">
        <f>IF(C45&gt;0,IF(C759&gt;=0.5,1,0),0)</f>
        <v>1</v>
      </c>
      <c r="D963" s="22">
        <f>IF(D45&gt;0,IF(D759&gt;=0.5,1,0),0)</f>
        <v>1</v>
      </c>
      <c r="E963" s="22">
        <f>IF(E45&gt;0,IF(E759&gt;=0.5,1,0),0)</f>
        <v>1</v>
      </c>
      <c r="F963" s="22">
        <f>IF(F45&gt;0,IF(F759&gt;=0.5,1,0),0)</f>
        <v>1</v>
      </c>
      <c r="G963" s="22">
        <f>IF(G45&gt;0,IF(G759&gt;=0.5,1,0),0)</f>
        <v>1</v>
      </c>
      <c r="H963" s="22">
        <f>IF(H45&gt;0,IF(H759&gt;=0.5,1,0),0)</f>
        <v>1</v>
      </c>
      <c r="I963" s="22">
        <f>IF(I45&gt;0,IF(I759&gt;=0.5,1,0),0)</f>
        <v>1</v>
      </c>
      <c r="J963" s="22">
        <f>IF(J45&gt;0,IF(J759&gt;=0.5,1,0),0)</f>
        <v>1</v>
      </c>
      <c r="K963" s="22">
        <f>IF(K45&gt;0,IF(K759&gt;=0.5,1,0),0)</f>
        <v>1</v>
      </c>
      <c r="L963" s="22">
        <f>IF(L45&gt;0,IF(L759&gt;=0.5,1,0),0)</f>
        <v>1</v>
      </c>
      <c r="M963" s="22">
        <f>IF(M45&gt;0,IF(M759&gt;=0.5,1,0),0)</f>
        <v>0</v>
      </c>
      <c r="N963" s="22">
        <f>IF(N45&gt;0,IF(N759&gt;=0.5,1,0),0)</f>
        <v>0</v>
      </c>
      <c r="O963" s="22">
        <f>IF(O45&gt;0,IF(O759&gt;=0.5,1,0),0)</f>
        <v>0</v>
      </c>
      <c r="P963" s="22">
        <f>IF(P45&gt;0,IF(P759&gt;=0.5,1,0),0)</f>
        <v>0</v>
      </c>
      <c r="Q963" s="22">
        <f>IF(Q45&gt;0,IF(Q759&gt;=0.5,1,0),0)</f>
        <v>0</v>
      </c>
      <c r="R963" s="22">
        <f>IF(R45&gt;0,IF(R759&gt;=0.5,1,0),0)</f>
        <v>0</v>
      </c>
      <c r="S963" s="22">
        <f>IF(S45&gt;0,IF(S759&gt;=0.5,1,0),0)</f>
        <v>0</v>
      </c>
    </row>
    <row r="964">
      <c r="A964" s="14" t="s">
        <v>135</v>
      </c>
      <c r="B964" s="2" t="s">
        <v>368</v>
      </c>
      <c r="C964" s="22">
        <f>IF(C46&gt;0,IF(C760&gt;=0.5,1,0),0)</f>
        <v>0</v>
      </c>
      <c r="D964" s="22">
        <f>IF(D46&gt;0,IF(D760&gt;=0.5,1,0),0)</f>
        <v>0</v>
      </c>
      <c r="E964" s="22">
        <f>IF(E46&gt;0,IF(E760&gt;=0.5,1,0),0)</f>
        <v>0</v>
      </c>
      <c r="F964" s="22">
        <f>IF(F46&gt;0,IF(F760&gt;=0.5,1,0),0)</f>
        <v>0</v>
      </c>
      <c r="G964" s="22">
        <f>IF(G46&gt;0,IF(G760&gt;=0.5,1,0),0)</f>
        <v>0</v>
      </c>
      <c r="H964" s="22">
        <f>IF(H46&gt;0,IF(H760&gt;=0.5,1,0),0)</f>
        <v>0</v>
      </c>
      <c r="I964" s="22">
        <f>IF(I46&gt;0,IF(I760&gt;=0.5,1,0),0)</f>
        <v>0</v>
      </c>
      <c r="J964" s="22">
        <f>IF(J46&gt;0,IF(J760&gt;=0.5,1,0),0)</f>
        <v>0</v>
      </c>
      <c r="K964" s="22">
        <f>IF(K46&gt;0,IF(K760&gt;=0.5,1,0),0)</f>
        <v>0</v>
      </c>
      <c r="L964" s="22">
        <f>IF(L46&gt;0,IF(L760&gt;=0.5,1,0),0)</f>
        <v>0</v>
      </c>
      <c r="M964" s="22">
        <f>IF(M46&gt;0,IF(M760&gt;=0.5,1,0),0)</f>
        <v>0</v>
      </c>
      <c r="N964" s="22">
        <f>IF(N46&gt;0,IF(N760&gt;=0.5,1,0),0)</f>
        <v>0</v>
      </c>
      <c r="O964" s="22">
        <f>IF(O46&gt;0,IF(O760&gt;=0.5,1,0),0)</f>
        <v>0</v>
      </c>
      <c r="P964" s="22">
        <f>IF(P46&gt;0,IF(P760&gt;=0.5,1,0),0)</f>
        <v>0</v>
      </c>
      <c r="Q964" s="22">
        <f>IF(Q46&gt;0,IF(Q760&gt;=0.5,1,0),0)</f>
        <v>0</v>
      </c>
      <c r="R964" s="22">
        <f>IF(R46&gt;0,IF(R760&gt;=0.5,1,0),0)</f>
        <v>0</v>
      </c>
      <c r="S964" s="22">
        <f>IF(S46&gt;0,IF(S760&gt;=0.5,1,0),0)</f>
        <v>0</v>
      </c>
    </row>
    <row r="965">
      <c r="A965" s="14" t="s">
        <v>391</v>
      </c>
      <c r="B965" s="2" t="s">
        <v>368</v>
      </c>
      <c r="C965" s="22">
        <f>IF(C47&gt;0,IF(C761&gt;=0.5,1,0),0)</f>
        <v>1</v>
      </c>
      <c r="D965" s="22">
        <f>IF(D47&gt;0,IF(D761&gt;=0.5,1,0),0)</f>
        <v>1</v>
      </c>
      <c r="E965" s="22">
        <f>IF(E47&gt;0,IF(E761&gt;=0.5,1,0),0)</f>
        <v>1</v>
      </c>
      <c r="F965" s="22">
        <f>IF(F47&gt;0,IF(F761&gt;=0.5,1,0),0)</f>
        <v>1</v>
      </c>
      <c r="G965" s="22">
        <f>IF(G47&gt;0,IF(G761&gt;=0.5,1,0),0)</f>
        <v>1</v>
      </c>
      <c r="H965" s="22">
        <f>IF(H47&gt;0,IF(H761&gt;=0.5,1,0),0)</f>
        <v>0</v>
      </c>
      <c r="I965" s="22">
        <f>IF(I47&gt;0,IF(I761&gt;=0.5,1,0),0)</f>
        <v>0</v>
      </c>
      <c r="J965" s="22">
        <f>IF(J47&gt;0,IF(J761&gt;=0.5,1,0),0)</f>
        <v>0</v>
      </c>
      <c r="K965" s="22">
        <f>IF(K47&gt;0,IF(K761&gt;=0.5,1,0),0)</f>
        <v>0</v>
      </c>
      <c r="L965" s="22">
        <f>IF(L47&gt;0,IF(L761&gt;=0.5,1,0),0)</f>
        <v>0</v>
      </c>
      <c r="M965" s="22">
        <f>IF(M47&gt;0,IF(M761&gt;=0.5,1,0),0)</f>
        <v>0</v>
      </c>
      <c r="N965" s="22">
        <f>IF(N47&gt;0,IF(N761&gt;=0.5,1,0),0)</f>
        <v>0</v>
      </c>
      <c r="O965" s="22">
        <f>IF(O47&gt;0,IF(O761&gt;=0.5,1,0),0)</f>
        <v>0</v>
      </c>
      <c r="P965" s="22">
        <f>IF(P47&gt;0,IF(P761&gt;=0.5,1,0),0)</f>
        <v>0</v>
      </c>
      <c r="Q965" s="22">
        <f>IF(Q47&gt;0,IF(Q761&gt;=0.5,1,0),0)</f>
        <v>0</v>
      </c>
      <c r="R965" s="22">
        <f>IF(R47&gt;0,IF(R761&gt;=0.5,1,0),0)</f>
        <v>0</v>
      </c>
      <c r="S965" s="22">
        <f>IF(S47&gt;0,IF(S761&gt;=0.5,1,0),0)</f>
        <v>0</v>
      </c>
    </row>
    <row r="966">
      <c r="A966" s="14" t="s">
        <v>392</v>
      </c>
      <c r="B966" s="2" t="s">
        <v>393</v>
      </c>
      <c r="C966" s="10">
        <v>0</v>
      </c>
      <c r="D966" s="10">
        <v>0</v>
      </c>
      <c r="E966" s="10">
        <v>0</v>
      </c>
      <c r="F966" s="10">
        <v>0</v>
      </c>
      <c r="G966" s="10">
        <v>0</v>
      </c>
      <c r="H966" s="10">
        <v>0</v>
      </c>
      <c r="I966" s="10">
        <v>0</v>
      </c>
      <c r="J966" s="10">
        <v>0</v>
      </c>
      <c r="K966" s="10">
        <v>0</v>
      </c>
      <c r="L966" s="10">
        <v>0</v>
      </c>
      <c r="M966" s="10">
        <v>0</v>
      </c>
      <c r="N966" s="10">
        <v>0</v>
      </c>
      <c r="O966" s="10">
        <v>0</v>
      </c>
      <c r="P966" s="10">
        <v>0</v>
      </c>
      <c r="Q966" s="10">
        <v>0</v>
      </c>
      <c r="R966" s="10">
        <v>0</v>
      </c>
      <c r="S966" s="10">
        <v>0</v>
      </c>
    </row>
    <row r="967">
      <c r="A967" s="14" t="s">
        <v>394</v>
      </c>
      <c r="B967" s="2" t="s">
        <v>393</v>
      </c>
      <c r="C967" s="10">
        <v>0</v>
      </c>
      <c r="D967" s="10">
        <v>0</v>
      </c>
      <c r="E967" s="10">
        <v>0</v>
      </c>
      <c r="F967" s="10">
        <v>0</v>
      </c>
      <c r="G967" s="10">
        <v>0</v>
      </c>
      <c r="H967" s="10">
        <v>0</v>
      </c>
      <c r="I967" s="10">
        <v>0</v>
      </c>
      <c r="J967" s="10">
        <v>0</v>
      </c>
      <c r="K967" s="10">
        <v>0</v>
      </c>
      <c r="L967" s="10">
        <v>0</v>
      </c>
      <c r="M967" s="10">
        <v>0</v>
      </c>
      <c r="N967" s="10">
        <v>0</v>
      </c>
      <c r="O967" s="10">
        <v>0</v>
      </c>
      <c r="P967" s="10">
        <v>0</v>
      </c>
      <c r="Q967" s="10">
        <v>0</v>
      </c>
      <c r="R967" s="10">
        <v>0</v>
      </c>
      <c r="S967" s="10">
        <v>0</v>
      </c>
    </row>
    <row r="968">
      <c r="A968" s="14" t="s">
        <v>395</v>
      </c>
      <c r="B968" s="2" t="s">
        <v>393</v>
      </c>
      <c r="C968" s="10">
        <v>0</v>
      </c>
      <c r="D968" s="10">
        <v>0</v>
      </c>
      <c r="E968" s="10">
        <v>0</v>
      </c>
      <c r="F968" s="10">
        <v>0</v>
      </c>
      <c r="G968" s="10">
        <v>0</v>
      </c>
      <c r="H968" s="10">
        <v>0</v>
      </c>
      <c r="I968" s="10">
        <v>0</v>
      </c>
      <c r="J968" s="10">
        <v>0</v>
      </c>
      <c r="K968" s="10">
        <v>0</v>
      </c>
      <c r="L968" s="10">
        <v>0</v>
      </c>
      <c r="M968" s="10">
        <v>0</v>
      </c>
      <c r="N968" s="10">
        <v>0</v>
      </c>
      <c r="O968" s="10">
        <v>0</v>
      </c>
      <c r="P968" s="10">
        <v>0</v>
      </c>
      <c r="Q968" s="10">
        <v>0</v>
      </c>
      <c r="R968" s="10">
        <v>0</v>
      </c>
      <c r="S968" s="10">
        <v>0</v>
      </c>
    </row>
    <row r="969">
      <c r="A969" s="14" t="s">
        <v>396</v>
      </c>
      <c r="B969" s="2" t="s">
        <v>393</v>
      </c>
      <c r="C969" s="10">
        <v>0</v>
      </c>
      <c r="D969" s="10">
        <v>0</v>
      </c>
      <c r="E969" s="10">
        <v>0</v>
      </c>
      <c r="F969" s="10">
        <v>0</v>
      </c>
      <c r="G969" s="10">
        <v>0</v>
      </c>
      <c r="H969" s="10">
        <v>0</v>
      </c>
      <c r="I969" s="10">
        <v>0</v>
      </c>
      <c r="J969" s="10">
        <v>0</v>
      </c>
      <c r="K969" s="10">
        <v>0</v>
      </c>
      <c r="L969" s="10">
        <v>0</v>
      </c>
      <c r="M969" s="10">
        <v>0</v>
      </c>
      <c r="N969" s="10">
        <v>0</v>
      </c>
      <c r="O969" s="10">
        <v>0</v>
      </c>
      <c r="P969" s="10">
        <v>0</v>
      </c>
      <c r="Q969" s="10">
        <v>0</v>
      </c>
      <c r="R969" s="10">
        <v>0</v>
      </c>
      <c r="S969" s="10">
        <v>0</v>
      </c>
    </row>
    <row r="970">
      <c r="A970" s="14" t="s">
        <v>397</v>
      </c>
      <c r="B970" s="2" t="s">
        <v>393</v>
      </c>
      <c r="C970" s="10">
        <v>0</v>
      </c>
      <c r="D970" s="10">
        <v>0</v>
      </c>
      <c r="E970" s="10">
        <v>0</v>
      </c>
      <c r="F970" s="10">
        <v>0</v>
      </c>
      <c r="G970" s="10">
        <v>0</v>
      </c>
      <c r="H970" s="10">
        <v>0</v>
      </c>
      <c r="I970" s="10">
        <v>0</v>
      </c>
      <c r="J970" s="10">
        <v>0</v>
      </c>
      <c r="K970" s="10">
        <v>0</v>
      </c>
      <c r="L970" s="10">
        <v>0</v>
      </c>
      <c r="M970" s="10">
        <v>0</v>
      </c>
      <c r="N970" s="10">
        <v>0</v>
      </c>
      <c r="O970" s="10">
        <v>0</v>
      </c>
      <c r="P970" s="10">
        <v>0</v>
      </c>
      <c r="Q970" s="10">
        <v>0</v>
      </c>
      <c r="R970" s="10">
        <v>0</v>
      </c>
      <c r="S970" s="10">
        <v>0</v>
      </c>
    </row>
    <row r="971">
      <c r="A971" s="14" t="s">
        <v>398</v>
      </c>
      <c r="B971" s="2" t="s">
        <v>399</v>
      </c>
      <c r="C971" s="10">
        <v>0</v>
      </c>
      <c r="D971" s="10">
        <v>0</v>
      </c>
      <c r="E971" s="10">
        <v>0</v>
      </c>
      <c r="F971" s="10">
        <v>0</v>
      </c>
      <c r="G971" s="10">
        <v>0</v>
      </c>
      <c r="H971" s="10">
        <v>0</v>
      </c>
      <c r="I971" s="10">
        <v>0</v>
      </c>
      <c r="J971" s="10">
        <v>0</v>
      </c>
      <c r="K971" s="10">
        <v>0</v>
      </c>
      <c r="L971" s="10">
        <v>0</v>
      </c>
      <c r="M971" s="10">
        <v>0</v>
      </c>
      <c r="N971" s="10">
        <v>0</v>
      </c>
      <c r="O971" s="10">
        <v>0</v>
      </c>
      <c r="P971" s="10">
        <v>0</v>
      </c>
      <c r="Q971" s="10">
        <v>0</v>
      </c>
      <c r="R971" s="10">
        <v>0</v>
      </c>
      <c r="S971" s="10">
        <v>0</v>
      </c>
    </row>
    <row r="972">
      <c r="A972" s="14" t="s">
        <v>400</v>
      </c>
      <c r="B972" s="2" t="s">
        <v>399</v>
      </c>
      <c r="C972" s="10">
        <v>0</v>
      </c>
      <c r="D972" s="10">
        <v>0</v>
      </c>
      <c r="E972" s="10">
        <v>0</v>
      </c>
      <c r="F972" s="10">
        <v>0</v>
      </c>
      <c r="G972" s="10">
        <v>0</v>
      </c>
      <c r="H972" s="10">
        <v>0</v>
      </c>
      <c r="I972" s="10">
        <v>0</v>
      </c>
      <c r="J972" s="10">
        <v>0</v>
      </c>
      <c r="K972" s="10">
        <v>0</v>
      </c>
      <c r="L972" s="10">
        <v>0</v>
      </c>
      <c r="M972" s="10">
        <v>0</v>
      </c>
      <c r="N972" s="10">
        <v>0</v>
      </c>
      <c r="O972" s="10">
        <v>0</v>
      </c>
      <c r="P972" s="10">
        <v>0</v>
      </c>
      <c r="Q972" s="10">
        <v>0</v>
      </c>
      <c r="R972" s="10">
        <v>0</v>
      </c>
      <c r="S972" s="10">
        <v>0</v>
      </c>
    </row>
    <row r="973">
      <c r="A973" s="14" t="s">
        <v>401</v>
      </c>
      <c r="B973" s="2" t="s">
        <v>399</v>
      </c>
      <c r="C973" s="10">
        <v>0</v>
      </c>
      <c r="D973" s="10">
        <v>0</v>
      </c>
      <c r="E973" s="10">
        <v>0</v>
      </c>
      <c r="F973" s="10">
        <v>0</v>
      </c>
      <c r="G973" s="10">
        <v>0</v>
      </c>
      <c r="H973" s="10">
        <v>0</v>
      </c>
      <c r="I973" s="10">
        <v>0</v>
      </c>
      <c r="J973" s="10">
        <v>0</v>
      </c>
      <c r="K973" s="10">
        <v>0</v>
      </c>
      <c r="L973" s="10">
        <v>0</v>
      </c>
      <c r="M973" s="10">
        <v>0</v>
      </c>
      <c r="N973" s="10">
        <v>0</v>
      </c>
      <c r="O973" s="10">
        <v>0</v>
      </c>
      <c r="P973" s="10">
        <v>0</v>
      </c>
      <c r="Q973" s="10">
        <v>0</v>
      </c>
      <c r="R973" s="10">
        <v>0</v>
      </c>
      <c r="S973" s="10">
        <v>0</v>
      </c>
    </row>
    <row r="974">
      <c r="A974" s="14" t="s">
        <v>402</v>
      </c>
      <c r="B974" s="2" t="s">
        <v>399</v>
      </c>
      <c r="C974" s="10">
        <v>0</v>
      </c>
      <c r="D974" s="10">
        <v>0</v>
      </c>
      <c r="E974" s="10">
        <v>0</v>
      </c>
      <c r="F974" s="10">
        <v>0</v>
      </c>
      <c r="G974" s="10">
        <v>0</v>
      </c>
      <c r="H974" s="10">
        <v>0</v>
      </c>
      <c r="I974" s="10">
        <v>0</v>
      </c>
      <c r="J974" s="10">
        <v>0</v>
      </c>
      <c r="K974" s="10">
        <v>0</v>
      </c>
      <c r="L974" s="10">
        <v>0</v>
      </c>
      <c r="M974" s="10">
        <v>0</v>
      </c>
      <c r="N974" s="10">
        <v>0</v>
      </c>
      <c r="O974" s="10">
        <v>0</v>
      </c>
      <c r="P974" s="10">
        <v>0</v>
      </c>
      <c r="Q974" s="10">
        <v>0</v>
      </c>
      <c r="R974" s="10">
        <v>0</v>
      </c>
      <c r="S974" s="10">
        <v>0</v>
      </c>
    </row>
    <row r="975">
      <c r="A975" s="14" t="s">
        <v>403</v>
      </c>
      <c r="B975" s="2" t="s">
        <v>399</v>
      </c>
      <c r="C975" s="10">
        <v>0</v>
      </c>
      <c r="D975" s="10">
        <v>0</v>
      </c>
      <c r="E975" s="10">
        <v>0</v>
      </c>
      <c r="F975" s="10">
        <v>0</v>
      </c>
      <c r="G975" s="10">
        <v>0</v>
      </c>
      <c r="H975" s="10">
        <v>0</v>
      </c>
      <c r="I975" s="10">
        <v>0</v>
      </c>
      <c r="J975" s="10">
        <v>0</v>
      </c>
      <c r="K975" s="10">
        <v>0</v>
      </c>
      <c r="L975" s="10">
        <v>0</v>
      </c>
      <c r="M975" s="10">
        <v>0</v>
      </c>
      <c r="N975" s="10">
        <v>0</v>
      </c>
      <c r="O975" s="10">
        <v>0</v>
      </c>
      <c r="P975" s="10">
        <v>0</v>
      </c>
      <c r="Q975" s="10">
        <v>0</v>
      </c>
      <c r="R975" s="10">
        <v>0</v>
      </c>
      <c r="S975" s="10">
        <v>0</v>
      </c>
    </row>
    <row r="976">
      <c r="A976" s="14" t="s">
        <v>404</v>
      </c>
      <c r="B976" s="2" t="s">
        <v>399</v>
      </c>
      <c r="C976" s="10">
        <v>0</v>
      </c>
      <c r="D976" s="10">
        <v>0</v>
      </c>
      <c r="E976" s="10">
        <v>0</v>
      </c>
      <c r="F976" s="10">
        <v>0</v>
      </c>
      <c r="G976" s="10">
        <v>0</v>
      </c>
      <c r="H976" s="10">
        <v>0</v>
      </c>
      <c r="I976" s="10">
        <v>0</v>
      </c>
      <c r="J976" s="10">
        <v>0</v>
      </c>
      <c r="K976" s="10">
        <v>0</v>
      </c>
      <c r="L976" s="10">
        <v>0</v>
      </c>
      <c r="M976" s="10">
        <v>0</v>
      </c>
      <c r="N976" s="10">
        <v>0</v>
      </c>
      <c r="O976" s="10">
        <v>0</v>
      </c>
      <c r="P976" s="10">
        <v>0</v>
      </c>
      <c r="Q976" s="10">
        <v>0</v>
      </c>
      <c r="R976" s="10">
        <v>0</v>
      </c>
      <c r="S976" s="10">
        <v>0</v>
      </c>
    </row>
    <row r="977">
      <c r="A977" s="14" t="s">
        <v>405</v>
      </c>
      <c r="B977" s="2" t="s">
        <v>399</v>
      </c>
      <c r="C977" s="10">
        <v>0</v>
      </c>
      <c r="D977" s="10">
        <v>0</v>
      </c>
      <c r="E977" s="10">
        <v>0</v>
      </c>
      <c r="F977" s="10">
        <v>0</v>
      </c>
      <c r="G977" s="10">
        <v>0</v>
      </c>
      <c r="H977" s="10">
        <v>0</v>
      </c>
      <c r="I977" s="10">
        <v>0</v>
      </c>
      <c r="J977" s="10">
        <v>0</v>
      </c>
      <c r="K977" s="10">
        <v>0</v>
      </c>
      <c r="L977" s="10">
        <v>0</v>
      </c>
      <c r="M977" s="10">
        <v>0</v>
      </c>
      <c r="N977" s="10">
        <v>0</v>
      </c>
      <c r="O977" s="10">
        <v>0</v>
      </c>
      <c r="P977" s="10">
        <v>0</v>
      </c>
      <c r="Q977" s="10">
        <v>0</v>
      </c>
      <c r="R977" s="10">
        <v>0</v>
      </c>
      <c r="S977" s="10">
        <v>0</v>
      </c>
    </row>
    <row r="978">
      <c r="A978" s="14" t="s">
        <v>406</v>
      </c>
      <c r="B978" s="2" t="s">
        <v>399</v>
      </c>
      <c r="C978" s="10">
        <v>0</v>
      </c>
      <c r="D978" s="10">
        <v>0</v>
      </c>
      <c r="E978" s="10">
        <v>0</v>
      </c>
      <c r="F978" s="10">
        <v>0</v>
      </c>
      <c r="G978" s="10">
        <v>0</v>
      </c>
      <c r="H978" s="10">
        <v>0</v>
      </c>
      <c r="I978" s="10">
        <v>0</v>
      </c>
      <c r="J978" s="10">
        <v>0</v>
      </c>
      <c r="K978" s="10">
        <v>0</v>
      </c>
      <c r="L978" s="10">
        <v>0</v>
      </c>
      <c r="M978" s="10">
        <v>0</v>
      </c>
      <c r="N978" s="10">
        <v>0</v>
      </c>
      <c r="O978" s="10">
        <v>0</v>
      </c>
      <c r="P978" s="10">
        <v>0</v>
      </c>
      <c r="Q978" s="10">
        <v>0</v>
      </c>
      <c r="R978" s="10">
        <v>0</v>
      </c>
      <c r="S978" s="10">
        <v>0</v>
      </c>
    </row>
    <row r="979">
      <c r="A979" s="14" t="s">
        <v>407</v>
      </c>
      <c r="B979" s="2" t="s">
        <v>399</v>
      </c>
      <c r="C979" s="10">
        <v>0</v>
      </c>
      <c r="D979" s="10">
        <v>0</v>
      </c>
      <c r="E979" s="10">
        <v>0</v>
      </c>
      <c r="F979" s="10">
        <v>0</v>
      </c>
      <c r="G979" s="10">
        <v>0</v>
      </c>
      <c r="H979" s="10">
        <v>0</v>
      </c>
      <c r="I979" s="10">
        <v>0</v>
      </c>
      <c r="J979" s="10">
        <v>0</v>
      </c>
      <c r="K979" s="10">
        <v>0</v>
      </c>
      <c r="L979" s="10">
        <v>0</v>
      </c>
      <c r="M979" s="10">
        <v>0</v>
      </c>
      <c r="N979" s="10">
        <v>0</v>
      </c>
      <c r="O979" s="10">
        <v>0</v>
      </c>
      <c r="P979" s="10">
        <v>0</v>
      </c>
      <c r="Q979" s="10">
        <v>0</v>
      </c>
      <c r="R979" s="10">
        <v>0</v>
      </c>
      <c r="S979" s="10">
        <v>0</v>
      </c>
    </row>
    <row r="980">
      <c r="A980" s="14" t="s">
        <v>408</v>
      </c>
      <c r="B980" s="2" t="s">
        <v>399</v>
      </c>
      <c r="C980" s="10">
        <v>0</v>
      </c>
      <c r="D980" s="10">
        <v>0</v>
      </c>
      <c r="E980" s="10">
        <v>0</v>
      </c>
      <c r="F980" s="10">
        <v>0</v>
      </c>
      <c r="G980" s="10">
        <v>0</v>
      </c>
      <c r="H980" s="10">
        <v>0</v>
      </c>
      <c r="I980" s="10">
        <v>0</v>
      </c>
      <c r="J980" s="10">
        <v>0</v>
      </c>
      <c r="K980" s="10">
        <v>0</v>
      </c>
      <c r="L980" s="10">
        <v>0</v>
      </c>
      <c r="M980" s="10">
        <v>0</v>
      </c>
      <c r="N980" s="10">
        <v>0</v>
      </c>
      <c r="O980" s="10">
        <v>0</v>
      </c>
      <c r="P980" s="10">
        <v>0</v>
      </c>
      <c r="Q980" s="10">
        <v>0</v>
      </c>
      <c r="R980" s="10">
        <v>0</v>
      </c>
      <c r="S980" s="10">
        <v>0</v>
      </c>
    </row>
    <row r="981">
      <c r="A981" s="14" t="s">
        <v>409</v>
      </c>
      <c r="B981" s="2" t="s">
        <v>399</v>
      </c>
      <c r="C981" s="10">
        <v>0</v>
      </c>
      <c r="D981" s="10">
        <v>0</v>
      </c>
      <c r="E981" s="10">
        <v>0</v>
      </c>
      <c r="F981" s="10">
        <v>0</v>
      </c>
      <c r="G981" s="10">
        <v>0</v>
      </c>
      <c r="H981" s="10">
        <v>0</v>
      </c>
      <c r="I981" s="10">
        <v>0</v>
      </c>
      <c r="J981" s="10">
        <v>0</v>
      </c>
      <c r="K981" s="10">
        <v>0</v>
      </c>
      <c r="L981" s="10">
        <v>0</v>
      </c>
      <c r="M981" s="10">
        <v>0</v>
      </c>
      <c r="N981" s="10">
        <v>0</v>
      </c>
      <c r="O981" s="10">
        <v>0</v>
      </c>
      <c r="P981" s="10">
        <v>0</v>
      </c>
      <c r="Q981" s="10">
        <v>0</v>
      </c>
      <c r="R981" s="10">
        <v>0</v>
      </c>
      <c r="S981" s="10">
        <v>0</v>
      </c>
    </row>
    <row r="982">
      <c r="A982" s="14" t="s">
        <v>410</v>
      </c>
      <c r="B982" s="2" t="s">
        <v>399</v>
      </c>
      <c r="C982" s="10">
        <v>0</v>
      </c>
      <c r="D982" s="10">
        <v>0</v>
      </c>
      <c r="E982" s="10">
        <v>0</v>
      </c>
      <c r="F982" s="10">
        <v>0</v>
      </c>
      <c r="G982" s="10">
        <v>0</v>
      </c>
      <c r="H982" s="10">
        <v>0</v>
      </c>
      <c r="I982" s="10">
        <v>0</v>
      </c>
      <c r="J982" s="10">
        <v>0</v>
      </c>
      <c r="K982" s="10">
        <v>0</v>
      </c>
      <c r="L982" s="10">
        <v>0</v>
      </c>
      <c r="M982" s="10">
        <v>0</v>
      </c>
      <c r="N982" s="10">
        <v>0</v>
      </c>
      <c r="O982" s="10">
        <v>0</v>
      </c>
      <c r="P982" s="10">
        <v>0</v>
      </c>
      <c r="Q982" s="10">
        <v>0</v>
      </c>
      <c r="R982" s="10">
        <v>0</v>
      </c>
      <c r="S982" s="10">
        <v>0</v>
      </c>
    </row>
    <row r="983">
      <c r="A983" s="14" t="s">
        <v>411</v>
      </c>
      <c r="B983" s="2" t="s">
        <v>399</v>
      </c>
      <c r="C983" s="10">
        <v>0</v>
      </c>
      <c r="D983" s="10">
        <v>0</v>
      </c>
      <c r="E983" s="10">
        <v>0</v>
      </c>
      <c r="F983" s="10">
        <v>0</v>
      </c>
      <c r="G983" s="10">
        <v>0</v>
      </c>
      <c r="H983" s="10">
        <v>0</v>
      </c>
      <c r="I983" s="10">
        <v>0</v>
      </c>
      <c r="J983" s="10">
        <v>0</v>
      </c>
      <c r="K983" s="10">
        <v>0</v>
      </c>
      <c r="L983" s="10">
        <v>0</v>
      </c>
      <c r="M983" s="10">
        <v>0</v>
      </c>
      <c r="N983" s="10">
        <v>0</v>
      </c>
      <c r="O983" s="10">
        <v>0</v>
      </c>
      <c r="P983" s="10">
        <v>0</v>
      </c>
      <c r="Q983" s="10">
        <v>0</v>
      </c>
      <c r="R983" s="10">
        <v>0</v>
      </c>
      <c r="S983" s="10">
        <v>0</v>
      </c>
    </row>
    <row r="984">
      <c r="A984" s="14" t="s">
        <v>412</v>
      </c>
      <c r="B984" s="2" t="s">
        <v>399</v>
      </c>
      <c r="C984" s="10">
        <v>0</v>
      </c>
      <c r="D984" s="10">
        <v>0</v>
      </c>
      <c r="E984" s="10">
        <v>0</v>
      </c>
      <c r="F984" s="10">
        <v>0</v>
      </c>
      <c r="G984" s="10">
        <v>0</v>
      </c>
      <c r="H984" s="10">
        <v>0</v>
      </c>
      <c r="I984" s="10">
        <v>0</v>
      </c>
      <c r="J984" s="10">
        <v>0</v>
      </c>
      <c r="K984" s="10">
        <v>0</v>
      </c>
      <c r="L984" s="10">
        <v>0</v>
      </c>
      <c r="M984" s="10">
        <v>0</v>
      </c>
      <c r="N984" s="10">
        <v>0</v>
      </c>
      <c r="O984" s="10">
        <v>0</v>
      </c>
      <c r="P984" s="10">
        <v>0</v>
      </c>
      <c r="Q984" s="10">
        <v>0</v>
      </c>
      <c r="R984" s="10">
        <v>0</v>
      </c>
      <c r="S984" s="10">
        <v>0</v>
      </c>
    </row>
    <row r="985">
      <c r="A985" s="14" t="s">
        <v>413</v>
      </c>
      <c r="B985" s="2" t="s">
        <v>399</v>
      </c>
      <c r="C985" s="10">
        <v>0</v>
      </c>
      <c r="D985" s="10">
        <v>0</v>
      </c>
      <c r="E985" s="10">
        <v>0</v>
      </c>
      <c r="F985" s="10">
        <v>0</v>
      </c>
      <c r="G985" s="10">
        <v>0</v>
      </c>
      <c r="H985" s="10">
        <v>0</v>
      </c>
      <c r="I985" s="10">
        <v>0</v>
      </c>
      <c r="J985" s="10">
        <v>0</v>
      </c>
      <c r="K985" s="10">
        <v>0</v>
      </c>
      <c r="L985" s="10">
        <v>0</v>
      </c>
      <c r="M985" s="10">
        <v>0</v>
      </c>
      <c r="N985" s="10">
        <v>0</v>
      </c>
      <c r="O985" s="10">
        <v>0</v>
      </c>
      <c r="P985" s="10">
        <v>0</v>
      </c>
      <c r="Q985" s="10">
        <v>0</v>
      </c>
      <c r="R985" s="10">
        <v>0</v>
      </c>
      <c r="S985" s="10">
        <v>0</v>
      </c>
    </row>
    <row r="986">
      <c r="A986" s="14" t="s">
        <v>414</v>
      </c>
      <c r="B986" s="2" t="s">
        <v>399</v>
      </c>
      <c r="C986" s="10">
        <v>0</v>
      </c>
      <c r="D986" s="10">
        <v>0</v>
      </c>
      <c r="E986" s="10">
        <v>0</v>
      </c>
      <c r="F986" s="10">
        <v>0</v>
      </c>
      <c r="G986" s="10">
        <v>0</v>
      </c>
      <c r="H986" s="10">
        <v>0</v>
      </c>
      <c r="I986" s="10">
        <v>0</v>
      </c>
      <c r="J986" s="10">
        <v>0</v>
      </c>
      <c r="K986" s="10">
        <v>0</v>
      </c>
      <c r="L986" s="10">
        <v>0</v>
      </c>
      <c r="M986" s="10">
        <v>0</v>
      </c>
      <c r="N986" s="10">
        <v>0</v>
      </c>
      <c r="O986" s="10">
        <v>0</v>
      </c>
      <c r="P986" s="10">
        <v>0</v>
      </c>
      <c r="Q986" s="10">
        <v>0</v>
      </c>
      <c r="R986" s="10">
        <v>0</v>
      </c>
      <c r="S986" s="10">
        <v>0</v>
      </c>
    </row>
    <row r="987">
      <c r="A987" s="14" t="s">
        <v>415</v>
      </c>
      <c r="B987" s="2" t="s">
        <v>399</v>
      </c>
      <c r="C987" s="10">
        <v>0</v>
      </c>
      <c r="D987" s="10">
        <v>0</v>
      </c>
      <c r="E987" s="10">
        <v>0</v>
      </c>
      <c r="F987" s="10">
        <v>0</v>
      </c>
      <c r="G987" s="10">
        <v>0</v>
      </c>
      <c r="H987" s="10">
        <v>0</v>
      </c>
      <c r="I987" s="10">
        <v>0</v>
      </c>
      <c r="J987" s="10">
        <v>0</v>
      </c>
      <c r="K987" s="10">
        <v>0</v>
      </c>
      <c r="L987" s="10">
        <v>0</v>
      </c>
      <c r="M987" s="10">
        <v>0</v>
      </c>
      <c r="N987" s="10">
        <v>0</v>
      </c>
      <c r="O987" s="10">
        <v>0</v>
      </c>
      <c r="P987" s="10">
        <v>0</v>
      </c>
      <c r="Q987" s="10">
        <v>0</v>
      </c>
      <c r="R987" s="10">
        <v>0</v>
      </c>
      <c r="S987" s="10">
        <v>0</v>
      </c>
    </row>
    <row r="988">
      <c r="A988" s="14" t="s">
        <v>416</v>
      </c>
      <c r="B988" s="2" t="s">
        <v>399</v>
      </c>
      <c r="C988" s="10">
        <v>0</v>
      </c>
      <c r="D988" s="10">
        <v>0</v>
      </c>
      <c r="E988" s="10">
        <v>0</v>
      </c>
      <c r="F988" s="10">
        <v>0</v>
      </c>
      <c r="G988" s="10">
        <v>0</v>
      </c>
      <c r="H988" s="10">
        <v>0</v>
      </c>
      <c r="I988" s="10">
        <v>0</v>
      </c>
      <c r="J988" s="10">
        <v>0</v>
      </c>
      <c r="K988" s="10">
        <v>0</v>
      </c>
      <c r="L988" s="10">
        <v>0</v>
      </c>
      <c r="M988" s="10">
        <v>0</v>
      </c>
      <c r="N988" s="10">
        <v>0</v>
      </c>
      <c r="O988" s="10">
        <v>0</v>
      </c>
      <c r="P988" s="10">
        <v>0</v>
      </c>
      <c r="Q988" s="10">
        <v>0</v>
      </c>
      <c r="R988" s="10">
        <v>0</v>
      </c>
      <c r="S988" s="10">
        <v>0</v>
      </c>
    </row>
    <row r="989">
      <c r="A989" s="14" t="s">
        <v>417</v>
      </c>
      <c r="B989" s="2" t="s">
        <v>399</v>
      </c>
      <c r="C989" s="10">
        <v>0</v>
      </c>
      <c r="D989" s="10">
        <v>0</v>
      </c>
      <c r="E989" s="10">
        <v>0</v>
      </c>
      <c r="F989" s="10">
        <v>0</v>
      </c>
      <c r="G989" s="10">
        <v>0</v>
      </c>
      <c r="H989" s="10">
        <v>0</v>
      </c>
      <c r="I989" s="10">
        <v>0</v>
      </c>
      <c r="J989" s="10">
        <v>0</v>
      </c>
      <c r="K989" s="10">
        <v>0</v>
      </c>
      <c r="L989" s="10">
        <v>0</v>
      </c>
      <c r="M989" s="10">
        <v>0</v>
      </c>
      <c r="N989" s="10">
        <v>0</v>
      </c>
      <c r="O989" s="10">
        <v>0</v>
      </c>
      <c r="P989" s="10">
        <v>0</v>
      </c>
      <c r="Q989" s="10">
        <v>0</v>
      </c>
      <c r="R989" s="10">
        <v>0</v>
      </c>
      <c r="S989" s="10">
        <v>0</v>
      </c>
    </row>
    <row r="990">
      <c r="A990" s="14" t="s">
        <v>418</v>
      </c>
      <c r="B990" s="2" t="s">
        <v>399</v>
      </c>
      <c r="C990" s="10">
        <v>0</v>
      </c>
      <c r="D990" s="10">
        <v>0</v>
      </c>
      <c r="E990" s="10">
        <v>0</v>
      </c>
      <c r="F990" s="10">
        <v>0</v>
      </c>
      <c r="G990" s="10">
        <v>0</v>
      </c>
      <c r="H990" s="10">
        <v>0</v>
      </c>
      <c r="I990" s="10">
        <v>0</v>
      </c>
      <c r="J990" s="10">
        <v>0</v>
      </c>
      <c r="K990" s="10">
        <v>0</v>
      </c>
      <c r="L990" s="10">
        <v>0</v>
      </c>
      <c r="M990" s="10">
        <v>0</v>
      </c>
      <c r="N990" s="10">
        <v>0</v>
      </c>
      <c r="O990" s="10">
        <v>0</v>
      </c>
      <c r="P990" s="10">
        <v>0</v>
      </c>
      <c r="Q990" s="10">
        <v>0</v>
      </c>
      <c r="R990" s="10">
        <v>0</v>
      </c>
      <c r="S990" s="10">
        <v>0</v>
      </c>
    </row>
    <row r="991">
      <c r="A991" s="14" t="s">
        <v>419</v>
      </c>
      <c r="B991" s="2" t="s">
        <v>399</v>
      </c>
      <c r="C991" s="10">
        <v>0</v>
      </c>
      <c r="D991" s="10">
        <v>0</v>
      </c>
      <c r="E991" s="10">
        <v>0</v>
      </c>
      <c r="F991" s="10">
        <v>0</v>
      </c>
      <c r="G991" s="10">
        <v>0</v>
      </c>
      <c r="H991" s="10">
        <v>0</v>
      </c>
      <c r="I991" s="10">
        <v>0</v>
      </c>
      <c r="J991" s="10">
        <v>0</v>
      </c>
      <c r="K991" s="10">
        <v>0</v>
      </c>
      <c r="L991" s="10">
        <v>0</v>
      </c>
      <c r="M991" s="10">
        <v>0</v>
      </c>
      <c r="N991" s="10">
        <v>0</v>
      </c>
      <c r="O991" s="10">
        <v>0</v>
      </c>
      <c r="P991" s="10">
        <v>0</v>
      </c>
      <c r="Q991" s="10">
        <v>0</v>
      </c>
      <c r="R991" s="10">
        <v>0</v>
      </c>
      <c r="S991" s="10">
        <v>0</v>
      </c>
    </row>
    <row r="992">
      <c r="A992" s="14" t="s">
        <v>420</v>
      </c>
      <c r="B992" s="2" t="s">
        <v>399</v>
      </c>
      <c r="C992" s="10">
        <v>0</v>
      </c>
      <c r="D992" s="10">
        <v>0</v>
      </c>
      <c r="E992" s="10">
        <v>0</v>
      </c>
      <c r="F992" s="10">
        <v>0</v>
      </c>
      <c r="G992" s="10">
        <v>0</v>
      </c>
      <c r="H992" s="10">
        <v>0</v>
      </c>
      <c r="I992" s="10">
        <v>0</v>
      </c>
      <c r="J992" s="10">
        <v>0</v>
      </c>
      <c r="K992" s="10">
        <v>0</v>
      </c>
      <c r="L992" s="10">
        <v>0</v>
      </c>
      <c r="M992" s="10">
        <v>0</v>
      </c>
      <c r="N992" s="10">
        <v>0</v>
      </c>
      <c r="O992" s="10">
        <v>0</v>
      </c>
      <c r="P992" s="10">
        <v>0</v>
      </c>
      <c r="Q992" s="10">
        <v>0</v>
      </c>
      <c r="R992" s="10">
        <v>0</v>
      </c>
      <c r="S992" s="10">
        <v>0</v>
      </c>
    </row>
    <row r="993">
      <c r="A993" s="14" t="s">
        <v>421</v>
      </c>
      <c r="B993" s="2" t="s">
        <v>399</v>
      </c>
      <c r="C993" s="10">
        <v>0</v>
      </c>
      <c r="D993" s="10">
        <v>0</v>
      </c>
      <c r="E993" s="10">
        <v>0</v>
      </c>
      <c r="F993" s="10">
        <v>0</v>
      </c>
      <c r="G993" s="10">
        <v>0</v>
      </c>
      <c r="H993" s="10">
        <v>0</v>
      </c>
      <c r="I993" s="10">
        <v>0</v>
      </c>
      <c r="J993" s="10">
        <v>0</v>
      </c>
      <c r="K993" s="10">
        <v>0</v>
      </c>
      <c r="L993" s="10">
        <v>0</v>
      </c>
      <c r="M993" s="10">
        <v>0</v>
      </c>
      <c r="N993" s="10">
        <v>0</v>
      </c>
      <c r="O993" s="10">
        <v>0</v>
      </c>
      <c r="P993" s="10">
        <v>0</v>
      </c>
      <c r="Q993" s="10">
        <v>0</v>
      </c>
      <c r="R993" s="10">
        <v>0</v>
      </c>
      <c r="S993" s="10">
        <v>0</v>
      </c>
    </row>
    <row r="994">
      <c r="A994" s="14" t="s">
        <v>422</v>
      </c>
      <c r="B994" s="2" t="s">
        <v>399</v>
      </c>
      <c r="C994" s="10">
        <v>0</v>
      </c>
      <c r="D994" s="10">
        <v>0</v>
      </c>
      <c r="E994" s="10">
        <v>0</v>
      </c>
      <c r="F994" s="10">
        <v>0</v>
      </c>
      <c r="G994" s="10">
        <v>0</v>
      </c>
      <c r="H994" s="10">
        <v>0</v>
      </c>
      <c r="I994" s="10">
        <v>0</v>
      </c>
      <c r="J994" s="10">
        <v>0</v>
      </c>
      <c r="K994" s="10">
        <v>0</v>
      </c>
      <c r="L994" s="10">
        <v>0</v>
      </c>
      <c r="M994" s="10">
        <v>0</v>
      </c>
      <c r="N994" s="10">
        <v>0</v>
      </c>
      <c r="O994" s="10">
        <v>0</v>
      </c>
      <c r="P994" s="10">
        <v>0</v>
      </c>
      <c r="Q994" s="10">
        <v>0</v>
      </c>
      <c r="R994" s="10">
        <v>0</v>
      </c>
      <c r="S994" s="10">
        <v>0</v>
      </c>
    </row>
    <row r="995">
      <c r="A995" s="14" t="s">
        <v>423</v>
      </c>
      <c r="B995" s="2" t="s">
        <v>399</v>
      </c>
      <c r="C995" s="10">
        <v>0</v>
      </c>
      <c r="D995" s="10">
        <v>0</v>
      </c>
      <c r="E995" s="10">
        <v>0</v>
      </c>
      <c r="F995" s="10">
        <v>0</v>
      </c>
      <c r="G995" s="10">
        <v>0</v>
      </c>
      <c r="H995" s="10">
        <v>0</v>
      </c>
      <c r="I995" s="10">
        <v>0</v>
      </c>
      <c r="J995" s="10">
        <v>0</v>
      </c>
      <c r="K995" s="10">
        <v>0</v>
      </c>
      <c r="L995" s="10">
        <v>0</v>
      </c>
      <c r="M995" s="10">
        <v>0</v>
      </c>
      <c r="N995" s="10">
        <v>0</v>
      </c>
      <c r="O995" s="10">
        <v>0</v>
      </c>
      <c r="P995" s="10">
        <v>0</v>
      </c>
      <c r="Q995" s="10">
        <v>0</v>
      </c>
      <c r="R995" s="10">
        <v>0</v>
      </c>
      <c r="S995" s="10">
        <v>0</v>
      </c>
    </row>
    <row r="996">
      <c r="A996" s="14" t="s">
        <v>424</v>
      </c>
      <c r="B996" s="2" t="s">
        <v>399</v>
      </c>
      <c r="C996" s="10">
        <v>0</v>
      </c>
      <c r="D996" s="10">
        <v>0</v>
      </c>
      <c r="E996" s="10">
        <v>0</v>
      </c>
      <c r="F996" s="10">
        <v>0</v>
      </c>
      <c r="G996" s="10">
        <v>0</v>
      </c>
      <c r="H996" s="10">
        <v>0</v>
      </c>
      <c r="I996" s="10">
        <v>0</v>
      </c>
      <c r="J996" s="10">
        <v>0</v>
      </c>
      <c r="K996" s="10">
        <v>0</v>
      </c>
      <c r="L996" s="10">
        <v>0</v>
      </c>
      <c r="M996" s="10">
        <v>0</v>
      </c>
      <c r="N996" s="10">
        <v>0</v>
      </c>
      <c r="O996" s="10">
        <v>0</v>
      </c>
      <c r="P996" s="10">
        <v>0</v>
      </c>
      <c r="Q996" s="10">
        <v>0</v>
      </c>
      <c r="R996" s="10">
        <v>0</v>
      </c>
      <c r="S996" s="10">
        <v>0</v>
      </c>
    </row>
    <row r="997">
      <c r="A997" s="14" t="s">
        <v>425</v>
      </c>
      <c r="B997" s="2" t="s">
        <v>399</v>
      </c>
      <c r="C997" s="10">
        <v>0</v>
      </c>
      <c r="D997" s="10">
        <v>0</v>
      </c>
      <c r="E997" s="10">
        <v>0</v>
      </c>
      <c r="F997" s="10">
        <v>0</v>
      </c>
      <c r="G997" s="10">
        <v>0</v>
      </c>
      <c r="H997" s="10">
        <v>0</v>
      </c>
      <c r="I997" s="10">
        <v>0</v>
      </c>
      <c r="J997" s="10">
        <v>0</v>
      </c>
      <c r="K997" s="10">
        <v>0</v>
      </c>
      <c r="L997" s="10">
        <v>0</v>
      </c>
      <c r="M997" s="10">
        <v>0</v>
      </c>
      <c r="N997" s="10">
        <v>0</v>
      </c>
      <c r="O997" s="10">
        <v>0</v>
      </c>
      <c r="P997" s="10">
        <v>0</v>
      </c>
      <c r="Q997" s="10">
        <v>0</v>
      </c>
      <c r="R997" s="10">
        <v>0</v>
      </c>
      <c r="S997" s="10">
        <v>0</v>
      </c>
    </row>
    <row r="998">
      <c r="A998" s="14" t="s">
        <v>426</v>
      </c>
      <c r="B998" s="2" t="s">
        <v>399</v>
      </c>
      <c r="C998" s="10">
        <v>0</v>
      </c>
      <c r="D998" s="10">
        <v>0</v>
      </c>
      <c r="E998" s="10">
        <v>0</v>
      </c>
      <c r="F998" s="10">
        <v>0</v>
      </c>
      <c r="G998" s="10">
        <v>0</v>
      </c>
      <c r="H998" s="10">
        <v>0</v>
      </c>
      <c r="I998" s="10">
        <v>0</v>
      </c>
      <c r="J998" s="10">
        <v>0</v>
      </c>
      <c r="K998" s="10">
        <v>0</v>
      </c>
      <c r="L998" s="10">
        <v>0</v>
      </c>
      <c r="M998" s="10">
        <v>0</v>
      </c>
      <c r="N998" s="10">
        <v>0</v>
      </c>
      <c r="O998" s="10">
        <v>0</v>
      </c>
      <c r="P998" s="10">
        <v>0</v>
      </c>
      <c r="Q998" s="10">
        <v>0</v>
      </c>
      <c r="R998" s="10">
        <v>0</v>
      </c>
      <c r="S998" s="10">
        <v>0</v>
      </c>
    </row>
    <row r="999">
      <c r="A999" s="14" t="s">
        <v>427</v>
      </c>
      <c r="B999" s="2" t="s">
        <v>399</v>
      </c>
      <c r="C999" s="10">
        <v>0</v>
      </c>
      <c r="D999" s="10">
        <v>0</v>
      </c>
      <c r="E999" s="10">
        <v>0</v>
      </c>
      <c r="F999" s="10">
        <v>0</v>
      </c>
      <c r="G999" s="10">
        <v>0</v>
      </c>
      <c r="H999" s="10">
        <v>0</v>
      </c>
      <c r="I999" s="10">
        <v>0</v>
      </c>
      <c r="J999" s="10">
        <v>0</v>
      </c>
      <c r="K999" s="10">
        <v>0</v>
      </c>
      <c r="L999" s="10">
        <v>0</v>
      </c>
      <c r="M999" s="10">
        <v>0</v>
      </c>
      <c r="N999" s="10">
        <v>0</v>
      </c>
      <c r="O999" s="10">
        <v>0</v>
      </c>
      <c r="P999" s="10">
        <v>0</v>
      </c>
      <c r="Q999" s="10">
        <v>0</v>
      </c>
      <c r="R999" s="10">
        <v>0</v>
      </c>
      <c r="S999" s="10">
        <v>0</v>
      </c>
    </row>
    <row r="1000">
      <c r="A1000" s="14" t="s">
        <v>428</v>
      </c>
      <c r="B1000" s="2" t="s">
        <v>399</v>
      </c>
      <c r="C1000" s="10">
        <v>0</v>
      </c>
      <c r="D1000" s="10">
        <v>0</v>
      </c>
      <c r="E1000" s="10">
        <v>0</v>
      </c>
      <c r="F1000" s="10">
        <v>0</v>
      </c>
      <c r="G1000" s="10">
        <v>0</v>
      </c>
      <c r="H1000" s="10">
        <v>0</v>
      </c>
      <c r="I1000" s="10">
        <v>0</v>
      </c>
      <c r="J1000" s="10">
        <v>0</v>
      </c>
      <c r="K1000" s="10">
        <v>0</v>
      </c>
      <c r="L1000" s="10">
        <v>0</v>
      </c>
      <c r="M1000" s="10">
        <v>0</v>
      </c>
      <c r="N1000" s="10">
        <v>0</v>
      </c>
      <c r="O1000" s="10">
        <v>0</v>
      </c>
      <c r="P1000" s="10">
        <v>0</v>
      </c>
      <c r="Q1000" s="10">
        <v>0</v>
      </c>
      <c r="R1000" s="10">
        <v>0</v>
      </c>
      <c r="S1000" s="10">
        <v>0</v>
      </c>
    </row>
    <row r="1001">
      <c r="A1001" s="14" t="s">
        <v>429</v>
      </c>
      <c r="B1001" s="2" t="s">
        <v>399</v>
      </c>
      <c r="C1001" s="10">
        <v>0</v>
      </c>
      <c r="D1001" s="10">
        <v>0</v>
      </c>
      <c r="E1001" s="10">
        <v>0</v>
      </c>
      <c r="F1001" s="10">
        <v>0</v>
      </c>
      <c r="G1001" s="10">
        <v>0</v>
      </c>
      <c r="H1001" s="10">
        <v>0</v>
      </c>
      <c r="I1001" s="10">
        <v>0</v>
      </c>
      <c r="J1001" s="10">
        <v>0</v>
      </c>
      <c r="K1001" s="10">
        <v>0</v>
      </c>
      <c r="L1001" s="10">
        <v>0</v>
      </c>
      <c r="M1001" s="10">
        <v>0</v>
      </c>
      <c r="N1001" s="10">
        <v>0</v>
      </c>
      <c r="O1001" s="10">
        <v>0</v>
      </c>
      <c r="P1001" s="10">
        <v>0</v>
      </c>
      <c r="Q1001" s="10">
        <v>0</v>
      </c>
      <c r="R1001" s="10">
        <v>0</v>
      </c>
      <c r="S1001" s="10">
        <v>0</v>
      </c>
    </row>
    <row r="1002">
      <c r="A1002" s="14" t="s">
        <v>430</v>
      </c>
      <c r="B1002" s="2" t="s">
        <v>399</v>
      </c>
      <c r="C1002" s="10">
        <v>0</v>
      </c>
      <c r="D1002" s="10">
        <v>0</v>
      </c>
      <c r="E1002" s="10">
        <v>0</v>
      </c>
      <c r="F1002" s="10">
        <v>0</v>
      </c>
      <c r="G1002" s="10">
        <v>0</v>
      </c>
      <c r="H1002" s="10">
        <v>0</v>
      </c>
      <c r="I1002" s="10">
        <v>0</v>
      </c>
      <c r="J1002" s="10">
        <v>0</v>
      </c>
      <c r="K1002" s="10">
        <v>0</v>
      </c>
      <c r="L1002" s="10">
        <v>0</v>
      </c>
      <c r="M1002" s="10">
        <v>0</v>
      </c>
      <c r="N1002" s="10">
        <v>0</v>
      </c>
      <c r="O1002" s="10">
        <v>0</v>
      </c>
      <c r="P1002" s="10">
        <v>0</v>
      </c>
      <c r="Q1002" s="10">
        <v>0</v>
      </c>
      <c r="R1002" s="10">
        <v>0</v>
      </c>
      <c r="S1002" s="10">
        <v>0</v>
      </c>
    </row>
    <row r="1003">
      <c r="A1003" s="14" t="s">
        <v>431</v>
      </c>
      <c r="B1003" s="2" t="s">
        <v>399</v>
      </c>
      <c r="C1003" s="10">
        <v>0</v>
      </c>
      <c r="D1003" s="10">
        <v>0</v>
      </c>
      <c r="E1003" s="10">
        <v>0</v>
      </c>
      <c r="F1003" s="10">
        <v>0</v>
      </c>
      <c r="G1003" s="10">
        <v>0</v>
      </c>
      <c r="H1003" s="10">
        <v>0</v>
      </c>
      <c r="I1003" s="10">
        <v>0</v>
      </c>
      <c r="J1003" s="10">
        <v>0</v>
      </c>
      <c r="K1003" s="10">
        <v>0</v>
      </c>
      <c r="L1003" s="10">
        <v>0</v>
      </c>
      <c r="M1003" s="10">
        <v>0</v>
      </c>
      <c r="N1003" s="10">
        <v>0</v>
      </c>
      <c r="O1003" s="10">
        <v>0</v>
      </c>
      <c r="P1003" s="10">
        <v>0</v>
      </c>
      <c r="Q1003" s="10">
        <v>0</v>
      </c>
      <c r="R1003" s="10">
        <v>0</v>
      </c>
      <c r="S1003" s="10">
        <v>0</v>
      </c>
    </row>
    <row r="1004">
      <c r="A1004" s="14" t="s">
        <v>432</v>
      </c>
      <c r="B1004" s="2" t="s">
        <v>399</v>
      </c>
      <c r="C1004" s="10">
        <v>0</v>
      </c>
      <c r="D1004" s="10">
        <v>0</v>
      </c>
      <c r="E1004" s="10">
        <v>0</v>
      </c>
      <c r="F1004" s="10">
        <v>0</v>
      </c>
      <c r="G1004" s="10">
        <v>0</v>
      </c>
      <c r="H1004" s="10">
        <v>0</v>
      </c>
      <c r="I1004" s="10">
        <v>0</v>
      </c>
      <c r="J1004" s="10">
        <v>0</v>
      </c>
      <c r="K1004" s="10">
        <v>0</v>
      </c>
      <c r="L1004" s="10">
        <v>0</v>
      </c>
      <c r="M1004" s="10">
        <v>0</v>
      </c>
      <c r="N1004" s="10">
        <v>0</v>
      </c>
      <c r="O1004" s="10">
        <v>0</v>
      </c>
      <c r="P1004" s="10">
        <v>0</v>
      </c>
      <c r="Q1004" s="10">
        <v>0</v>
      </c>
      <c r="R1004" s="10">
        <v>0</v>
      </c>
      <c r="S1004" s="10">
        <v>0</v>
      </c>
    </row>
    <row r="1005">
      <c r="A1005" s="14" t="s">
        <v>433</v>
      </c>
      <c r="B1005" s="2" t="s">
        <v>399</v>
      </c>
      <c r="C1005" s="10">
        <v>0</v>
      </c>
      <c r="D1005" s="10">
        <v>0</v>
      </c>
      <c r="E1005" s="10">
        <v>0</v>
      </c>
      <c r="F1005" s="10">
        <v>0</v>
      </c>
      <c r="G1005" s="10">
        <v>0</v>
      </c>
      <c r="H1005" s="10">
        <v>0</v>
      </c>
      <c r="I1005" s="10">
        <v>0</v>
      </c>
      <c r="J1005" s="10">
        <v>0</v>
      </c>
      <c r="K1005" s="10">
        <v>0</v>
      </c>
      <c r="L1005" s="10">
        <v>0</v>
      </c>
      <c r="M1005" s="10">
        <v>0</v>
      </c>
      <c r="N1005" s="10">
        <v>0</v>
      </c>
      <c r="O1005" s="10">
        <v>0</v>
      </c>
      <c r="P1005" s="10">
        <v>0</v>
      </c>
      <c r="Q1005" s="10">
        <v>0</v>
      </c>
      <c r="R1005" s="10">
        <v>0</v>
      </c>
      <c r="S1005" s="10">
        <v>0</v>
      </c>
    </row>
    <row r="1006">
      <c r="A1006" s="14" t="s">
        <v>434</v>
      </c>
      <c r="B1006" s="2" t="s">
        <v>399</v>
      </c>
      <c r="C1006" s="10">
        <v>0</v>
      </c>
      <c r="D1006" s="10">
        <v>0</v>
      </c>
      <c r="E1006" s="10">
        <v>0</v>
      </c>
      <c r="F1006" s="10">
        <v>0</v>
      </c>
      <c r="G1006" s="10">
        <v>0</v>
      </c>
      <c r="H1006" s="10">
        <v>0</v>
      </c>
      <c r="I1006" s="10">
        <v>0</v>
      </c>
      <c r="J1006" s="10">
        <v>0</v>
      </c>
      <c r="K1006" s="10">
        <v>0</v>
      </c>
      <c r="L1006" s="10">
        <v>0</v>
      </c>
      <c r="M1006" s="10">
        <v>0</v>
      </c>
      <c r="N1006" s="10">
        <v>0</v>
      </c>
      <c r="O1006" s="10">
        <v>0</v>
      </c>
      <c r="P1006" s="10">
        <v>0</v>
      </c>
      <c r="Q1006" s="10">
        <v>0</v>
      </c>
      <c r="R1006" s="10">
        <v>0</v>
      </c>
      <c r="S1006" s="10">
        <v>0</v>
      </c>
    </row>
    <row r="1007">
      <c r="A1007" s="14" t="s">
        <v>435</v>
      </c>
      <c r="B1007" s="2" t="s">
        <v>399</v>
      </c>
      <c r="C1007" s="10">
        <v>0</v>
      </c>
      <c r="D1007" s="10">
        <v>0</v>
      </c>
      <c r="E1007" s="10">
        <v>0</v>
      </c>
      <c r="F1007" s="10">
        <v>0</v>
      </c>
      <c r="G1007" s="10">
        <v>0</v>
      </c>
      <c r="H1007" s="10">
        <v>0</v>
      </c>
      <c r="I1007" s="10">
        <v>0</v>
      </c>
      <c r="J1007" s="10">
        <v>0</v>
      </c>
      <c r="K1007" s="10">
        <v>0</v>
      </c>
      <c r="L1007" s="10">
        <v>0</v>
      </c>
      <c r="M1007" s="10">
        <v>0</v>
      </c>
      <c r="N1007" s="10">
        <v>0</v>
      </c>
      <c r="O1007" s="10">
        <v>0</v>
      </c>
      <c r="P1007" s="10">
        <v>0</v>
      </c>
      <c r="Q1007" s="10">
        <v>0</v>
      </c>
      <c r="R1007" s="10">
        <v>0</v>
      </c>
      <c r="S1007" s="10">
        <v>0</v>
      </c>
    </row>
    <row r="1008">
      <c r="A1008" s="14" t="s">
        <v>436</v>
      </c>
      <c r="B1008" s="2" t="s">
        <v>399</v>
      </c>
      <c r="C1008" s="10">
        <v>0</v>
      </c>
      <c r="D1008" s="10">
        <v>0</v>
      </c>
      <c r="E1008" s="10">
        <v>0</v>
      </c>
      <c r="F1008" s="10">
        <v>0</v>
      </c>
      <c r="G1008" s="10">
        <v>0</v>
      </c>
      <c r="H1008" s="10">
        <v>0</v>
      </c>
      <c r="I1008" s="10">
        <v>0</v>
      </c>
      <c r="J1008" s="10">
        <v>0</v>
      </c>
      <c r="K1008" s="10">
        <v>0</v>
      </c>
      <c r="L1008" s="10">
        <v>0</v>
      </c>
      <c r="M1008" s="10">
        <v>0</v>
      </c>
      <c r="N1008" s="10">
        <v>0</v>
      </c>
      <c r="O1008" s="10">
        <v>0</v>
      </c>
      <c r="P1008" s="10">
        <v>0</v>
      </c>
      <c r="Q1008" s="10">
        <v>0</v>
      </c>
      <c r="R1008" s="10">
        <v>0</v>
      </c>
      <c r="S1008" s="10">
        <v>0</v>
      </c>
    </row>
    <row r="1009">
      <c r="A1009" s="14" t="s">
        <v>437</v>
      </c>
      <c r="B1009" s="2" t="s">
        <v>399</v>
      </c>
      <c r="C1009" s="10">
        <v>0</v>
      </c>
      <c r="D1009" s="10">
        <v>0</v>
      </c>
      <c r="E1009" s="10">
        <v>0</v>
      </c>
      <c r="F1009" s="10">
        <v>0</v>
      </c>
      <c r="G1009" s="10">
        <v>0</v>
      </c>
      <c r="H1009" s="10">
        <v>0</v>
      </c>
      <c r="I1009" s="10">
        <v>0</v>
      </c>
      <c r="J1009" s="10">
        <v>0</v>
      </c>
      <c r="K1009" s="10">
        <v>0</v>
      </c>
      <c r="L1009" s="10">
        <v>0</v>
      </c>
      <c r="M1009" s="10">
        <v>0</v>
      </c>
      <c r="N1009" s="10">
        <v>0</v>
      </c>
      <c r="O1009" s="10">
        <v>0</v>
      </c>
      <c r="P1009" s="10">
        <v>0</v>
      </c>
      <c r="Q1009" s="10">
        <v>0</v>
      </c>
      <c r="R1009" s="10">
        <v>0</v>
      </c>
      <c r="S1009" s="10">
        <v>0</v>
      </c>
    </row>
    <row r="1010">
      <c r="A1010" s="14" t="s">
        <v>438</v>
      </c>
      <c r="B1010" s="2" t="s">
        <v>399</v>
      </c>
      <c r="C1010" s="10">
        <v>0</v>
      </c>
      <c r="D1010" s="10">
        <v>0</v>
      </c>
      <c r="E1010" s="10">
        <v>0</v>
      </c>
      <c r="F1010" s="10">
        <v>0</v>
      </c>
      <c r="G1010" s="10">
        <v>0</v>
      </c>
      <c r="H1010" s="10">
        <v>0</v>
      </c>
      <c r="I1010" s="10">
        <v>0</v>
      </c>
      <c r="J1010" s="10">
        <v>0</v>
      </c>
      <c r="K1010" s="10">
        <v>0</v>
      </c>
      <c r="L1010" s="10">
        <v>0</v>
      </c>
      <c r="M1010" s="10">
        <v>0</v>
      </c>
      <c r="N1010" s="10">
        <v>0</v>
      </c>
      <c r="O1010" s="10">
        <v>0</v>
      </c>
      <c r="P1010" s="10">
        <v>0</v>
      </c>
      <c r="Q1010" s="10">
        <v>0</v>
      </c>
      <c r="R1010" s="10">
        <v>0</v>
      </c>
      <c r="S1010" s="10">
        <v>0</v>
      </c>
    </row>
    <row r="1011">
      <c r="A1011" s="14" t="s">
        <v>439</v>
      </c>
      <c r="B1011" s="2" t="s">
        <v>399</v>
      </c>
      <c r="C1011" s="10">
        <v>0</v>
      </c>
      <c r="D1011" s="10">
        <v>0</v>
      </c>
      <c r="E1011" s="10">
        <v>0</v>
      </c>
      <c r="F1011" s="10">
        <v>0</v>
      </c>
      <c r="G1011" s="10">
        <v>0</v>
      </c>
      <c r="H1011" s="10">
        <v>0</v>
      </c>
      <c r="I1011" s="10">
        <v>0</v>
      </c>
      <c r="J1011" s="10">
        <v>0</v>
      </c>
      <c r="K1011" s="10">
        <v>0</v>
      </c>
      <c r="L1011" s="10">
        <v>0</v>
      </c>
      <c r="M1011" s="10">
        <v>0</v>
      </c>
      <c r="N1011" s="10">
        <v>0</v>
      </c>
      <c r="O1011" s="10">
        <v>0</v>
      </c>
      <c r="P1011" s="10">
        <v>0</v>
      </c>
      <c r="Q1011" s="10">
        <v>0</v>
      </c>
      <c r="R1011" s="10">
        <v>0</v>
      </c>
      <c r="S1011" s="10">
        <v>0</v>
      </c>
    </row>
    <row r="1012">
      <c r="A1012" s="14" t="s">
        <v>440</v>
      </c>
      <c r="B1012" s="2" t="s">
        <v>399</v>
      </c>
      <c r="C1012" s="10">
        <v>0</v>
      </c>
      <c r="D1012" s="10">
        <v>0</v>
      </c>
      <c r="E1012" s="10">
        <v>0</v>
      </c>
      <c r="F1012" s="10">
        <v>0</v>
      </c>
      <c r="G1012" s="10">
        <v>0</v>
      </c>
      <c r="H1012" s="10">
        <v>0</v>
      </c>
      <c r="I1012" s="10">
        <v>0</v>
      </c>
      <c r="J1012" s="10">
        <v>0</v>
      </c>
      <c r="K1012" s="10">
        <v>0</v>
      </c>
      <c r="L1012" s="10">
        <v>0</v>
      </c>
      <c r="M1012" s="10">
        <v>0</v>
      </c>
      <c r="N1012" s="10">
        <v>0</v>
      </c>
      <c r="O1012" s="10">
        <v>0</v>
      </c>
      <c r="P1012" s="10">
        <v>0</v>
      </c>
      <c r="Q1012" s="10">
        <v>0</v>
      </c>
      <c r="R1012" s="10">
        <v>0</v>
      </c>
      <c r="S1012" s="10">
        <v>0</v>
      </c>
    </row>
    <row r="1013">
      <c r="A1013" s="14" t="s">
        <v>441</v>
      </c>
      <c r="B1013" s="2" t="s">
        <v>399</v>
      </c>
      <c r="C1013" s="10">
        <v>0</v>
      </c>
      <c r="D1013" s="10">
        <v>0</v>
      </c>
      <c r="E1013" s="10">
        <v>0</v>
      </c>
      <c r="F1013" s="10">
        <v>0</v>
      </c>
      <c r="G1013" s="10">
        <v>0</v>
      </c>
      <c r="H1013" s="10">
        <v>0</v>
      </c>
      <c r="I1013" s="10">
        <v>0</v>
      </c>
      <c r="J1013" s="10">
        <v>0</v>
      </c>
      <c r="K1013" s="10">
        <v>0</v>
      </c>
      <c r="L1013" s="10">
        <v>0</v>
      </c>
      <c r="M1013" s="10">
        <v>0</v>
      </c>
      <c r="N1013" s="10">
        <v>0</v>
      </c>
      <c r="O1013" s="10">
        <v>0</v>
      </c>
      <c r="P1013" s="10">
        <v>0</v>
      </c>
      <c r="Q1013" s="10">
        <v>0</v>
      </c>
      <c r="R1013" s="10">
        <v>0</v>
      </c>
      <c r="S1013" s="10">
        <v>0</v>
      </c>
    </row>
    <row r="1014">
      <c r="A1014" s="14" t="s">
        <v>442</v>
      </c>
      <c r="B1014" s="2" t="s">
        <v>399</v>
      </c>
      <c r="C1014" s="10">
        <v>0</v>
      </c>
      <c r="D1014" s="10">
        <v>0</v>
      </c>
      <c r="E1014" s="10">
        <v>0</v>
      </c>
      <c r="F1014" s="10">
        <v>0</v>
      </c>
      <c r="G1014" s="10">
        <v>0</v>
      </c>
      <c r="H1014" s="10">
        <v>0</v>
      </c>
      <c r="I1014" s="10">
        <v>0</v>
      </c>
      <c r="J1014" s="10">
        <v>0</v>
      </c>
      <c r="K1014" s="10">
        <v>0</v>
      </c>
      <c r="L1014" s="10">
        <v>0</v>
      </c>
      <c r="M1014" s="10">
        <v>0</v>
      </c>
      <c r="N1014" s="10">
        <v>0</v>
      </c>
      <c r="O1014" s="10">
        <v>0</v>
      </c>
      <c r="P1014" s="10">
        <v>0</v>
      </c>
      <c r="Q1014" s="10">
        <v>0</v>
      </c>
      <c r="R1014" s="10">
        <v>0</v>
      </c>
      <c r="S1014" s="10">
        <v>0</v>
      </c>
    </row>
    <row r="1015">
      <c r="A1015" s="14" t="s">
        <v>443</v>
      </c>
      <c r="B1015" s="2" t="s">
        <v>399</v>
      </c>
      <c r="C1015" s="10">
        <v>0</v>
      </c>
      <c r="D1015" s="10">
        <v>0</v>
      </c>
      <c r="E1015" s="10">
        <v>0</v>
      </c>
      <c r="F1015" s="10">
        <v>0</v>
      </c>
      <c r="G1015" s="10">
        <v>0</v>
      </c>
      <c r="H1015" s="10">
        <v>0</v>
      </c>
      <c r="I1015" s="10">
        <v>0</v>
      </c>
      <c r="J1015" s="10">
        <v>0</v>
      </c>
      <c r="K1015" s="10">
        <v>0</v>
      </c>
      <c r="L1015" s="10">
        <v>0</v>
      </c>
      <c r="M1015" s="10">
        <v>0</v>
      </c>
      <c r="N1015" s="10">
        <v>0</v>
      </c>
      <c r="O1015" s="10">
        <v>0</v>
      </c>
      <c r="P1015" s="10">
        <v>0</v>
      </c>
      <c r="Q1015" s="10">
        <v>0</v>
      </c>
      <c r="R1015" s="10">
        <v>0</v>
      </c>
      <c r="S1015" s="10">
        <v>0</v>
      </c>
    </row>
    <row r="1016">
      <c r="A1016" s="14" t="s">
        <v>444</v>
      </c>
      <c r="B1016" s="2" t="s">
        <v>399</v>
      </c>
      <c r="C1016" s="10">
        <v>0</v>
      </c>
      <c r="D1016" s="10">
        <v>0</v>
      </c>
      <c r="E1016" s="10">
        <v>0</v>
      </c>
      <c r="F1016" s="10">
        <v>0</v>
      </c>
      <c r="G1016" s="10">
        <v>0</v>
      </c>
      <c r="H1016" s="10">
        <v>0</v>
      </c>
      <c r="I1016" s="10">
        <v>0</v>
      </c>
      <c r="J1016" s="10">
        <v>0</v>
      </c>
      <c r="K1016" s="10">
        <v>0</v>
      </c>
      <c r="L1016" s="10">
        <v>0</v>
      </c>
      <c r="M1016" s="10">
        <v>0</v>
      </c>
      <c r="N1016" s="10">
        <v>0</v>
      </c>
      <c r="O1016" s="10">
        <v>0</v>
      </c>
      <c r="P1016" s="10">
        <v>0</v>
      </c>
      <c r="Q1016" s="10">
        <v>0</v>
      </c>
      <c r="R1016" s="10">
        <v>0</v>
      </c>
      <c r="S1016" s="10">
        <v>0</v>
      </c>
    </row>
    <row r="1025">
      <c r="A1025" s="4" t="s">
        <v>458</v>
      </c>
      <c r="B1025" s="3" t="s">
        <v>366</v>
      </c>
      <c r="C1025" s="3" t="s">
        <v>41</v>
      </c>
      <c r="D1025" s="3" t="s">
        <v>42</v>
      </c>
      <c r="E1025" s="3" t="s">
        <v>43</v>
      </c>
      <c r="F1025" s="3" t="s">
        <v>44</v>
      </c>
      <c r="G1025" s="3" t="s">
        <v>45</v>
      </c>
      <c r="H1025" s="3" t="s">
        <v>46</v>
      </c>
      <c r="I1025" s="3" t="s">
        <v>47</v>
      </c>
      <c r="J1025" s="3" t="s">
        <v>48</v>
      </c>
      <c r="K1025" s="3" t="s">
        <v>49</v>
      </c>
      <c r="L1025" s="3" t="s">
        <v>50</v>
      </c>
      <c r="M1025" s="3" t="s">
        <v>51</v>
      </c>
      <c r="N1025" s="3" t="s">
        <v>52</v>
      </c>
      <c r="O1025" s="3" t="s">
        <v>53</v>
      </c>
      <c r="P1025" s="3" t="s">
        <v>54</v>
      </c>
      <c r="Q1025" s="3" t="s">
        <v>55</v>
      </c>
      <c r="R1025" s="3" t="s">
        <v>56</v>
      </c>
      <c r="S1025" s="3" t="s">
        <v>85</v>
      </c>
    </row>
    <row r="1026">
      <c r="A1026" s="14" t="s">
        <v>367</v>
      </c>
      <c r="B1026" s="2" t="s">
        <v>368</v>
      </c>
      <c r="C1026" s="22">
        <f>IF(C6&gt;0,IF(C720&lt;0.5,1,0),0)</f>
        <v>0</v>
      </c>
      <c r="D1026" s="22">
        <f>IF(D6&gt;0,IF(D720&lt;0.5,1,0),0)</f>
        <v>0</v>
      </c>
      <c r="E1026" s="22">
        <f>IF(E6&gt;0,IF(E720&lt;0.5,1,0),0)</f>
        <v>0</v>
      </c>
      <c r="F1026" s="22">
        <f>IF(F6&gt;0,IF(F720&lt;0.5,1,0),0)</f>
        <v>0</v>
      </c>
      <c r="G1026" s="22">
        <f>IF(G6&gt;0,IF(G720&lt;0.5,1,0),0)</f>
        <v>0</v>
      </c>
      <c r="H1026" s="22">
        <f>IF(H6&gt;0,IF(H720&lt;0.5,1,0),0)</f>
        <v>0</v>
      </c>
      <c r="I1026" s="22">
        <f>IF(I6&gt;0,IF(I720&lt;0.5,1,0),0)</f>
        <v>0</v>
      </c>
      <c r="J1026" s="22">
        <f>IF(J6&gt;0,IF(J720&lt;0.5,1,0),0)</f>
        <v>0</v>
      </c>
      <c r="K1026" s="22">
        <f>IF(K6&gt;0,IF(K720&lt;0.5,1,0),0)</f>
        <v>0</v>
      </c>
      <c r="L1026" s="22">
        <f>IF(L6&gt;0,IF(L720&lt;0.5,1,0),0)</f>
        <v>0</v>
      </c>
      <c r="M1026" s="22">
        <f>IF(M6&gt;0,IF(M720&lt;0.5,1,0),0)</f>
        <v>0</v>
      </c>
      <c r="N1026" s="22">
        <f>IF(N6&gt;0,IF(N720&lt;0.5,1,0),0)</f>
        <v>0</v>
      </c>
      <c r="O1026" s="22">
        <f>IF(O6&gt;0,IF(O720&lt;0.5,1,0),0)</f>
        <v>0</v>
      </c>
      <c r="P1026" s="22">
        <f>IF(P6&gt;0,IF(P720&lt;0.5,1,0),0)</f>
        <v>0</v>
      </c>
      <c r="Q1026" s="22">
        <f>IF(Q6&gt;0,IF(Q720&lt;0.5,1,0),0)</f>
        <v>0</v>
      </c>
      <c r="R1026" s="22">
        <f>IF(R6&gt;0,IF(R720&lt;0.5,1,0),0)</f>
        <v>0</v>
      </c>
      <c r="S1026" s="22">
        <f>IF(S6&gt;0,IF(S720&lt;0.5,1,0),0)</f>
        <v>0</v>
      </c>
    </row>
    <row r="1027">
      <c r="A1027" s="14" t="s">
        <v>96</v>
      </c>
      <c r="B1027" s="2" t="s">
        <v>368</v>
      </c>
      <c r="C1027" s="22">
        <f>IF(C7&gt;0,IF(C721&lt;0.5,1,0),0)</f>
        <v>1</v>
      </c>
      <c r="D1027" s="22">
        <f>IF(D7&gt;0,IF(D721&lt;0.5,1,0),0)</f>
        <v>1</v>
      </c>
      <c r="E1027" s="22">
        <f>IF(E7&gt;0,IF(E721&lt;0.5,1,0),0)</f>
        <v>1</v>
      </c>
      <c r="F1027" s="22">
        <f>IF(F7&gt;0,IF(F721&lt;0.5,1,0),0)</f>
        <v>1</v>
      </c>
      <c r="G1027" s="22">
        <f>IF(G7&gt;0,IF(G721&lt;0.5,1,0),0)</f>
        <v>1</v>
      </c>
      <c r="H1027" s="22">
        <f>IF(H7&gt;0,IF(H721&lt;0.5,1,0),0)</f>
        <v>1</v>
      </c>
      <c r="I1027" s="22">
        <f>IF(I7&gt;0,IF(I721&lt;0.5,1,0),0)</f>
        <v>1</v>
      </c>
      <c r="J1027" s="22">
        <f>IF(J7&gt;0,IF(J721&lt;0.5,1,0),0)</f>
        <v>1</v>
      </c>
      <c r="K1027" s="22">
        <f>IF(K7&gt;0,IF(K721&lt;0.5,1,0),0)</f>
        <v>1</v>
      </c>
      <c r="L1027" s="22">
        <f>IF(L7&gt;0,IF(L721&lt;0.5,1,0),0)</f>
        <v>1</v>
      </c>
      <c r="M1027" s="22">
        <f>IF(M7&gt;0,IF(M721&lt;0.5,1,0),0)</f>
        <v>1</v>
      </c>
      <c r="N1027" s="22">
        <f>IF(N7&gt;0,IF(N721&lt;0.5,1,0),0)</f>
        <v>1</v>
      </c>
      <c r="O1027" s="22">
        <f>IF(O7&gt;0,IF(O721&lt;0.5,1,0),0)</f>
        <v>1</v>
      </c>
      <c r="P1027" s="22">
        <f>IF(P7&gt;0,IF(P721&lt;0.5,1,0),0)</f>
        <v>1</v>
      </c>
      <c r="Q1027" s="22">
        <f>IF(Q7&gt;0,IF(Q721&lt;0.5,1,0),0)</f>
        <v>1</v>
      </c>
      <c r="R1027" s="22">
        <f>IF(R7&gt;0,IF(R721&lt;0.5,1,0),0)</f>
        <v>1</v>
      </c>
      <c r="S1027" s="22">
        <f>IF(S7&gt;0,IF(S721&lt;0.5,1,0),0)</f>
        <v>1</v>
      </c>
    </row>
    <row r="1028">
      <c r="A1028" s="14" t="s">
        <v>369</v>
      </c>
      <c r="B1028" s="2" t="s">
        <v>368</v>
      </c>
      <c r="C1028" s="22">
        <f>IF(C8&gt;0,IF(C722&lt;0.5,1,0),0)</f>
        <v>0</v>
      </c>
      <c r="D1028" s="22">
        <f>IF(D8&gt;0,IF(D722&lt;0.5,1,0),0)</f>
        <v>0</v>
      </c>
      <c r="E1028" s="22">
        <f>IF(E8&gt;0,IF(E722&lt;0.5,1,0),0)</f>
        <v>0</v>
      </c>
      <c r="F1028" s="22">
        <f>IF(F8&gt;0,IF(F722&lt;0.5,1,0),0)</f>
        <v>0</v>
      </c>
      <c r="G1028" s="22">
        <f>IF(G8&gt;0,IF(G722&lt;0.5,1,0),0)</f>
        <v>0</v>
      </c>
      <c r="H1028" s="22">
        <f>IF(H8&gt;0,IF(H722&lt;0.5,1,0),0)</f>
        <v>0</v>
      </c>
      <c r="I1028" s="22">
        <f>IF(I8&gt;0,IF(I722&lt;0.5,1,0),0)</f>
        <v>0</v>
      </c>
      <c r="J1028" s="22">
        <f>IF(J8&gt;0,IF(J722&lt;0.5,1,0),0)</f>
        <v>0</v>
      </c>
      <c r="K1028" s="22">
        <f>IF(K8&gt;0,IF(K722&lt;0.5,1,0),0)</f>
        <v>0</v>
      </c>
      <c r="L1028" s="22">
        <f>IF(L8&gt;0,IF(L722&lt;0.5,1,0),0)</f>
        <v>0</v>
      </c>
      <c r="M1028" s="22">
        <f>IF(M8&gt;0,IF(M722&lt;0.5,1,0),0)</f>
        <v>0</v>
      </c>
      <c r="N1028" s="22">
        <f>IF(N8&gt;0,IF(N722&lt;0.5,1,0),0)</f>
        <v>0</v>
      </c>
      <c r="O1028" s="22">
        <f>IF(O8&gt;0,IF(O722&lt;0.5,1,0),0)</f>
        <v>0</v>
      </c>
      <c r="P1028" s="22">
        <f>IF(P8&gt;0,IF(P722&lt;0.5,1,0),0)</f>
        <v>0</v>
      </c>
      <c r="Q1028" s="22">
        <f>IF(Q8&gt;0,IF(Q722&lt;0.5,1,0),0)</f>
        <v>0</v>
      </c>
      <c r="R1028" s="22">
        <f>IF(R8&gt;0,IF(R722&lt;0.5,1,0),0)</f>
        <v>0</v>
      </c>
      <c r="S1028" s="22">
        <f>IF(S8&gt;0,IF(S722&lt;0.5,1,0),0)</f>
        <v>0</v>
      </c>
    </row>
    <row r="1029">
      <c r="A1029" s="14" t="s">
        <v>370</v>
      </c>
      <c r="B1029" s="2" t="s">
        <v>368</v>
      </c>
      <c r="C1029" s="22">
        <f>IF(C9&gt;0,IF(C723&lt;0.5,1,0),0)</f>
        <v>0</v>
      </c>
      <c r="D1029" s="22">
        <f>IF(D9&gt;0,IF(D723&lt;0.5,1,0),0)</f>
        <v>0</v>
      </c>
      <c r="E1029" s="22">
        <f>IF(E9&gt;0,IF(E723&lt;0.5,1,0),0)</f>
        <v>0</v>
      </c>
      <c r="F1029" s="22">
        <f>IF(F9&gt;0,IF(F723&lt;0.5,1,0),0)</f>
        <v>0</v>
      </c>
      <c r="G1029" s="22">
        <f>IF(G9&gt;0,IF(G723&lt;0.5,1,0),0)</f>
        <v>0</v>
      </c>
      <c r="H1029" s="22">
        <f>IF(H9&gt;0,IF(H723&lt;0.5,1,0),0)</f>
        <v>0</v>
      </c>
      <c r="I1029" s="22">
        <f>IF(I9&gt;0,IF(I723&lt;0.5,1,0),0)</f>
        <v>0</v>
      </c>
      <c r="J1029" s="22">
        <f>IF(J9&gt;0,IF(J723&lt;0.5,1,0),0)</f>
        <v>0</v>
      </c>
      <c r="K1029" s="22">
        <f>IF(K9&gt;0,IF(K723&lt;0.5,1,0),0)</f>
        <v>0</v>
      </c>
      <c r="L1029" s="22">
        <f>IF(L9&gt;0,IF(L723&lt;0.5,1,0),0)</f>
        <v>0</v>
      </c>
      <c r="M1029" s="22">
        <f>IF(M9&gt;0,IF(M723&lt;0.5,1,0),0)</f>
        <v>0</v>
      </c>
      <c r="N1029" s="22">
        <f>IF(N9&gt;0,IF(N723&lt;0.5,1,0),0)</f>
        <v>0</v>
      </c>
      <c r="O1029" s="22">
        <f>IF(O9&gt;0,IF(O723&lt;0.5,1,0),0)</f>
        <v>0</v>
      </c>
      <c r="P1029" s="22">
        <f>IF(P9&gt;0,IF(P723&lt;0.5,1,0),0)</f>
        <v>0</v>
      </c>
      <c r="Q1029" s="22">
        <f>IF(Q9&gt;0,IF(Q723&lt;0.5,1,0),0)</f>
        <v>0</v>
      </c>
      <c r="R1029" s="22">
        <f>IF(R9&gt;0,IF(R723&lt;0.5,1,0),0)</f>
        <v>0</v>
      </c>
      <c r="S1029" s="22">
        <f>IF(S9&gt;0,IF(S723&lt;0.5,1,0),0)</f>
        <v>0</v>
      </c>
    </row>
    <row r="1030">
      <c r="A1030" s="14" t="s">
        <v>371</v>
      </c>
      <c r="B1030" s="2" t="s">
        <v>368</v>
      </c>
      <c r="C1030" s="22">
        <f>IF(C10&gt;0,IF(C724&lt;0.5,1,0),0)</f>
        <v>1</v>
      </c>
      <c r="D1030" s="22">
        <f>IF(D10&gt;0,IF(D724&lt;0.5,1,0),0)</f>
        <v>1</v>
      </c>
      <c r="E1030" s="22">
        <f>IF(E10&gt;0,IF(E724&lt;0.5,1,0),0)</f>
        <v>1</v>
      </c>
      <c r="F1030" s="22">
        <f>IF(F10&gt;0,IF(F724&lt;0.5,1,0),0)</f>
        <v>1</v>
      </c>
      <c r="G1030" s="22">
        <f>IF(G10&gt;0,IF(G724&lt;0.5,1,0),0)</f>
        <v>1</v>
      </c>
      <c r="H1030" s="22">
        <f>IF(H10&gt;0,IF(H724&lt;0.5,1,0),0)</f>
        <v>1</v>
      </c>
      <c r="I1030" s="22">
        <f>IF(I10&gt;0,IF(I724&lt;0.5,1,0),0)</f>
        <v>1</v>
      </c>
      <c r="J1030" s="22">
        <f>IF(J10&gt;0,IF(J724&lt;0.5,1,0),0)</f>
        <v>1</v>
      </c>
      <c r="K1030" s="22">
        <f>IF(K10&gt;0,IF(K724&lt;0.5,1,0),0)</f>
        <v>1</v>
      </c>
      <c r="L1030" s="22">
        <f>IF(L10&gt;0,IF(L724&lt;0.5,1,0),0)</f>
        <v>1</v>
      </c>
      <c r="M1030" s="22">
        <f>IF(M10&gt;0,IF(M724&lt;0.5,1,0),0)</f>
        <v>1</v>
      </c>
      <c r="N1030" s="22">
        <f>IF(N10&gt;0,IF(N724&lt;0.5,1,0),0)</f>
        <v>1</v>
      </c>
      <c r="O1030" s="22">
        <f>IF(O10&gt;0,IF(O724&lt;0.5,1,0),0)</f>
        <v>1</v>
      </c>
      <c r="P1030" s="22">
        <f>IF(P10&gt;0,IF(P724&lt;0.5,1,0),0)</f>
        <v>1</v>
      </c>
      <c r="Q1030" s="22">
        <f>IF(Q10&gt;0,IF(Q724&lt;0.5,1,0),0)</f>
        <v>1</v>
      </c>
      <c r="R1030" s="22">
        <f>IF(R10&gt;0,IF(R724&lt;0.5,1,0),0)</f>
        <v>1</v>
      </c>
      <c r="S1030" s="22">
        <f>IF(S10&gt;0,IF(S724&lt;0.5,1,0),0)</f>
        <v>1</v>
      </c>
    </row>
    <row r="1031">
      <c r="A1031" s="14" t="s">
        <v>372</v>
      </c>
      <c r="B1031" s="2" t="s">
        <v>368</v>
      </c>
      <c r="C1031" s="22">
        <f>IF(C11&gt;0,IF(C725&lt;0.5,1,0),0)</f>
        <v>1</v>
      </c>
      <c r="D1031" s="22">
        <f>IF(D11&gt;0,IF(D725&lt;0.5,1,0),0)</f>
        <v>1</v>
      </c>
      <c r="E1031" s="22">
        <f>IF(E11&gt;0,IF(E725&lt;0.5,1,0),0)</f>
        <v>1</v>
      </c>
      <c r="F1031" s="22">
        <f>IF(F11&gt;0,IF(F725&lt;0.5,1,0),0)</f>
        <v>1</v>
      </c>
      <c r="G1031" s="22">
        <f>IF(G11&gt;0,IF(G725&lt;0.5,1,0),0)</f>
        <v>1</v>
      </c>
      <c r="H1031" s="22">
        <f>IF(H11&gt;0,IF(H725&lt;0.5,1,0),0)</f>
        <v>1</v>
      </c>
      <c r="I1031" s="22">
        <f>IF(I11&gt;0,IF(I725&lt;0.5,1,0),0)</f>
        <v>1</v>
      </c>
      <c r="J1031" s="22">
        <f>IF(J11&gt;0,IF(J725&lt;0.5,1,0),0)</f>
        <v>1</v>
      </c>
      <c r="K1031" s="22">
        <f>IF(K11&gt;0,IF(K725&lt;0.5,1,0),0)</f>
        <v>1</v>
      </c>
      <c r="L1031" s="22">
        <f>IF(L11&gt;0,IF(L725&lt;0.5,1,0),0)</f>
        <v>1</v>
      </c>
      <c r="M1031" s="22">
        <f>IF(M11&gt;0,IF(M725&lt;0.5,1,0),0)</f>
        <v>1</v>
      </c>
      <c r="N1031" s="22">
        <f>IF(N11&gt;0,IF(N725&lt;0.5,1,0),0)</f>
        <v>1</v>
      </c>
      <c r="O1031" s="22">
        <f>IF(O11&gt;0,IF(O725&lt;0.5,1,0),0)</f>
        <v>1</v>
      </c>
      <c r="P1031" s="22">
        <f>IF(P11&gt;0,IF(P725&lt;0.5,1,0),0)</f>
        <v>1</v>
      </c>
      <c r="Q1031" s="22">
        <f>IF(Q11&gt;0,IF(Q725&lt;0.5,1,0),0)</f>
        <v>1</v>
      </c>
      <c r="R1031" s="22">
        <f>IF(R11&gt;0,IF(R725&lt;0.5,1,0),0)</f>
        <v>1</v>
      </c>
      <c r="S1031" s="22">
        <f>IF(S11&gt;0,IF(S725&lt;0.5,1,0),0)</f>
        <v>1</v>
      </c>
    </row>
    <row r="1032">
      <c r="A1032" s="14" t="s">
        <v>373</v>
      </c>
      <c r="B1032" s="2" t="s">
        <v>368</v>
      </c>
      <c r="C1032" s="22">
        <f>IF(C12&gt;0,IF(C726&lt;0.5,1,0),0)</f>
        <v>1</v>
      </c>
      <c r="D1032" s="22">
        <f>IF(D12&gt;0,IF(D726&lt;0.5,1,0),0)</f>
        <v>1</v>
      </c>
      <c r="E1032" s="22">
        <f>IF(E12&gt;0,IF(E726&lt;0.5,1,0),0)</f>
        <v>1</v>
      </c>
      <c r="F1032" s="22">
        <f>IF(F12&gt;0,IF(F726&lt;0.5,1,0),0)</f>
        <v>1</v>
      </c>
      <c r="G1032" s="22">
        <f>IF(G12&gt;0,IF(G726&lt;0.5,1,0),0)</f>
        <v>1</v>
      </c>
      <c r="H1032" s="22">
        <f>IF(H12&gt;0,IF(H726&lt;0.5,1,0),0)</f>
        <v>1</v>
      </c>
      <c r="I1032" s="22">
        <f>IF(I12&gt;0,IF(I726&lt;0.5,1,0),0)</f>
        <v>1</v>
      </c>
      <c r="J1032" s="22">
        <f>IF(J12&gt;0,IF(J726&lt;0.5,1,0),0)</f>
        <v>1</v>
      </c>
      <c r="K1032" s="22">
        <f>IF(K12&gt;0,IF(K726&lt;0.5,1,0),0)</f>
        <v>1</v>
      </c>
      <c r="L1032" s="22">
        <f>IF(L12&gt;0,IF(L726&lt;0.5,1,0),0)</f>
        <v>1</v>
      </c>
      <c r="M1032" s="22">
        <f>IF(M12&gt;0,IF(M726&lt;0.5,1,0),0)</f>
        <v>1</v>
      </c>
      <c r="N1032" s="22">
        <f>IF(N12&gt;0,IF(N726&lt;0.5,1,0),0)</f>
        <v>1</v>
      </c>
      <c r="O1032" s="22">
        <f>IF(O12&gt;0,IF(O726&lt;0.5,1,0),0)</f>
        <v>1</v>
      </c>
      <c r="P1032" s="22">
        <f>IF(P12&gt;0,IF(P726&lt;0.5,1,0),0)</f>
        <v>1</v>
      </c>
      <c r="Q1032" s="22">
        <f>IF(Q12&gt;0,IF(Q726&lt;0.5,1,0),0)</f>
        <v>1</v>
      </c>
      <c r="R1032" s="22">
        <f>IF(R12&gt;0,IF(R726&lt;0.5,1,0),0)</f>
        <v>1</v>
      </c>
      <c r="S1032" s="22">
        <f>IF(S12&gt;0,IF(S726&lt;0.5,1,0),0)</f>
        <v>1</v>
      </c>
    </row>
    <row r="1033">
      <c r="A1033" s="14" t="s">
        <v>102</v>
      </c>
      <c r="B1033" s="2" t="s">
        <v>368</v>
      </c>
      <c r="C1033" s="22">
        <f>IF(C13&gt;0,IF(C727&lt;0.5,1,0),0)</f>
        <v>0</v>
      </c>
      <c r="D1033" s="22">
        <f>IF(D13&gt;0,IF(D727&lt;0.5,1,0),0)</f>
        <v>0</v>
      </c>
      <c r="E1033" s="22">
        <f>IF(E13&gt;0,IF(E727&lt;0.5,1,0),0)</f>
        <v>0</v>
      </c>
      <c r="F1033" s="22">
        <f>IF(F13&gt;0,IF(F727&lt;0.5,1,0),0)</f>
        <v>0</v>
      </c>
      <c r="G1033" s="22">
        <f>IF(G13&gt;0,IF(G727&lt;0.5,1,0),0)</f>
        <v>0</v>
      </c>
      <c r="H1033" s="22">
        <f>IF(H13&gt;0,IF(H727&lt;0.5,1,0),0)</f>
        <v>0</v>
      </c>
      <c r="I1033" s="22">
        <f>IF(I13&gt;0,IF(I727&lt;0.5,1,0),0)</f>
        <v>0</v>
      </c>
      <c r="J1033" s="22">
        <f>IF(J13&gt;0,IF(J727&lt;0.5,1,0),0)</f>
        <v>0</v>
      </c>
      <c r="K1033" s="22">
        <f>IF(K13&gt;0,IF(K727&lt;0.5,1,0),0)</f>
        <v>0</v>
      </c>
      <c r="L1033" s="22">
        <f>IF(L13&gt;0,IF(L727&lt;0.5,1,0),0)</f>
        <v>0</v>
      </c>
      <c r="M1033" s="22">
        <f>IF(M13&gt;0,IF(M727&lt;0.5,1,0),0)</f>
        <v>0</v>
      </c>
      <c r="N1033" s="22">
        <f>IF(N13&gt;0,IF(N727&lt;0.5,1,0),0)</f>
        <v>0</v>
      </c>
      <c r="O1033" s="22">
        <f>IF(O13&gt;0,IF(O727&lt;0.5,1,0),0)</f>
        <v>0</v>
      </c>
      <c r="P1033" s="22">
        <f>IF(P13&gt;0,IF(P727&lt;0.5,1,0),0)</f>
        <v>0</v>
      </c>
      <c r="Q1033" s="22">
        <f>IF(Q13&gt;0,IF(Q727&lt;0.5,1,0),0)</f>
        <v>0</v>
      </c>
      <c r="R1033" s="22">
        <f>IF(R13&gt;0,IF(R727&lt;0.5,1,0),0)</f>
        <v>0</v>
      </c>
      <c r="S1033" s="22">
        <f>IF(S13&gt;0,IF(S727&lt;0.5,1,0),0)</f>
        <v>0</v>
      </c>
    </row>
    <row r="1034">
      <c r="A1034" s="14" t="s">
        <v>374</v>
      </c>
      <c r="B1034" s="2" t="s">
        <v>368</v>
      </c>
      <c r="C1034" s="22">
        <f>IF(C14&gt;0,IF(C728&lt;0.5,1,0),0)</f>
        <v>0</v>
      </c>
      <c r="D1034" s="22">
        <f>IF(D14&gt;0,IF(D728&lt;0.5,1,0),0)</f>
        <v>0</v>
      </c>
      <c r="E1034" s="22">
        <f>IF(E14&gt;0,IF(E728&lt;0.5,1,0),0)</f>
        <v>0</v>
      </c>
      <c r="F1034" s="22">
        <f>IF(F14&gt;0,IF(F728&lt;0.5,1,0),0)</f>
        <v>0</v>
      </c>
      <c r="G1034" s="22">
        <f>IF(G14&gt;0,IF(G728&lt;0.5,1,0),0)</f>
        <v>0</v>
      </c>
      <c r="H1034" s="22">
        <f>IF(H14&gt;0,IF(H728&lt;0.5,1,0),0)</f>
        <v>0</v>
      </c>
      <c r="I1034" s="22">
        <f>IF(I14&gt;0,IF(I728&lt;0.5,1,0),0)</f>
        <v>0</v>
      </c>
      <c r="J1034" s="22">
        <f>IF(J14&gt;0,IF(J728&lt;0.5,1,0),0)</f>
        <v>0</v>
      </c>
      <c r="K1034" s="22">
        <f>IF(K14&gt;0,IF(K728&lt;0.5,1,0),0)</f>
        <v>0</v>
      </c>
      <c r="L1034" s="22">
        <f>IF(L14&gt;0,IF(L728&lt;0.5,1,0),0)</f>
        <v>0</v>
      </c>
      <c r="M1034" s="22">
        <f>IF(M14&gt;0,IF(M728&lt;0.5,1,0),0)</f>
        <v>0</v>
      </c>
      <c r="N1034" s="22">
        <f>IF(N14&gt;0,IF(N728&lt;0.5,1,0),0)</f>
        <v>0</v>
      </c>
      <c r="O1034" s="22">
        <f>IF(O14&gt;0,IF(O728&lt;0.5,1,0),0)</f>
        <v>0</v>
      </c>
      <c r="P1034" s="22">
        <f>IF(P14&gt;0,IF(P728&lt;0.5,1,0),0)</f>
        <v>0</v>
      </c>
      <c r="Q1034" s="22">
        <f>IF(Q14&gt;0,IF(Q728&lt;0.5,1,0),0)</f>
        <v>0</v>
      </c>
      <c r="R1034" s="22">
        <f>IF(R14&gt;0,IF(R728&lt;0.5,1,0),0)</f>
        <v>0</v>
      </c>
      <c r="S1034" s="22">
        <f>IF(S14&gt;0,IF(S728&lt;0.5,1,0),0)</f>
        <v>0</v>
      </c>
    </row>
    <row r="1035">
      <c r="A1035" s="14" t="s">
        <v>375</v>
      </c>
      <c r="B1035" s="2" t="s">
        <v>368</v>
      </c>
      <c r="C1035" s="22">
        <f>IF(C15&gt;0,IF(C729&lt;0.5,1,0),0)</f>
        <v>0</v>
      </c>
      <c r="D1035" s="22">
        <f>IF(D15&gt;0,IF(D729&lt;0.5,1,0),0)</f>
        <v>0</v>
      </c>
      <c r="E1035" s="22">
        <f>IF(E15&gt;0,IF(E729&lt;0.5,1,0),0)</f>
        <v>0</v>
      </c>
      <c r="F1035" s="22">
        <f>IF(F15&gt;0,IF(F729&lt;0.5,1,0),0)</f>
        <v>0</v>
      </c>
      <c r="G1035" s="22">
        <f>IF(G15&gt;0,IF(G729&lt;0.5,1,0),0)</f>
        <v>0</v>
      </c>
      <c r="H1035" s="22">
        <f>IF(H15&gt;0,IF(H729&lt;0.5,1,0),0)</f>
        <v>0</v>
      </c>
      <c r="I1035" s="22">
        <f>IF(I15&gt;0,IF(I729&lt;0.5,1,0),0)</f>
        <v>0</v>
      </c>
      <c r="J1035" s="22">
        <f>IF(J15&gt;0,IF(J729&lt;0.5,1,0),0)</f>
        <v>0</v>
      </c>
      <c r="K1035" s="22">
        <f>IF(K15&gt;0,IF(K729&lt;0.5,1,0),0)</f>
        <v>0</v>
      </c>
      <c r="L1035" s="22">
        <f>IF(L15&gt;0,IF(L729&lt;0.5,1,0),0)</f>
        <v>0</v>
      </c>
      <c r="M1035" s="22">
        <f>IF(M15&gt;0,IF(M729&lt;0.5,1,0),0)</f>
        <v>0</v>
      </c>
      <c r="N1035" s="22">
        <f>IF(N15&gt;0,IF(N729&lt;0.5,1,0),0)</f>
        <v>0</v>
      </c>
      <c r="O1035" s="22">
        <f>IF(O15&gt;0,IF(O729&lt;0.5,1,0),0)</f>
        <v>0</v>
      </c>
      <c r="P1035" s="22">
        <f>IF(P15&gt;0,IF(P729&lt;0.5,1,0),0)</f>
        <v>0</v>
      </c>
      <c r="Q1035" s="22">
        <f>IF(Q15&gt;0,IF(Q729&lt;0.5,1,0),0)</f>
        <v>0</v>
      </c>
      <c r="R1035" s="22">
        <f>IF(R15&gt;0,IF(R729&lt;0.5,1,0),0)</f>
        <v>0</v>
      </c>
      <c r="S1035" s="22">
        <f>IF(S15&gt;0,IF(S729&lt;0.5,1,0),0)</f>
        <v>0</v>
      </c>
    </row>
    <row r="1036">
      <c r="A1036" s="14" t="s">
        <v>105</v>
      </c>
      <c r="B1036" s="2" t="s">
        <v>368</v>
      </c>
      <c r="C1036" s="22">
        <f>IF(C16&gt;0,IF(C730&lt;0.5,1,0),0)</f>
        <v>0</v>
      </c>
      <c r="D1036" s="22">
        <f>IF(D16&gt;0,IF(D730&lt;0.5,1,0),0)</f>
        <v>0</v>
      </c>
      <c r="E1036" s="22">
        <f>IF(E16&gt;0,IF(E730&lt;0.5,1,0),0)</f>
        <v>0</v>
      </c>
      <c r="F1036" s="22">
        <f>IF(F16&gt;0,IF(F730&lt;0.5,1,0),0)</f>
        <v>0</v>
      </c>
      <c r="G1036" s="22">
        <f>IF(G16&gt;0,IF(G730&lt;0.5,1,0),0)</f>
        <v>0</v>
      </c>
      <c r="H1036" s="22">
        <f>IF(H16&gt;0,IF(H730&lt;0.5,1,0),0)</f>
        <v>0</v>
      </c>
      <c r="I1036" s="22">
        <f>IF(I16&gt;0,IF(I730&lt;0.5,1,0),0)</f>
        <v>0</v>
      </c>
      <c r="J1036" s="22">
        <f>IF(J16&gt;0,IF(J730&lt;0.5,1,0),0)</f>
        <v>0</v>
      </c>
      <c r="K1036" s="22">
        <f>IF(K16&gt;0,IF(K730&lt;0.5,1,0),0)</f>
        <v>0</v>
      </c>
      <c r="L1036" s="22">
        <f>IF(L16&gt;0,IF(L730&lt;0.5,1,0),0)</f>
        <v>0</v>
      </c>
      <c r="M1036" s="22">
        <f>IF(M16&gt;0,IF(M730&lt;0.5,1,0),0)</f>
        <v>0</v>
      </c>
      <c r="N1036" s="22">
        <f>IF(N16&gt;0,IF(N730&lt;0.5,1,0),0)</f>
        <v>0</v>
      </c>
      <c r="O1036" s="22">
        <f>IF(O16&gt;0,IF(O730&lt;0.5,1,0),0)</f>
        <v>0</v>
      </c>
      <c r="P1036" s="22">
        <f>IF(P16&gt;0,IF(P730&lt;0.5,1,0),0)</f>
        <v>0</v>
      </c>
      <c r="Q1036" s="22">
        <f>IF(Q16&gt;0,IF(Q730&lt;0.5,1,0),0)</f>
        <v>0</v>
      </c>
      <c r="R1036" s="22">
        <f>IF(R16&gt;0,IF(R730&lt;0.5,1,0),0)</f>
        <v>0</v>
      </c>
      <c r="S1036" s="22">
        <f>IF(S16&gt;0,IF(S730&lt;0.5,1,0),0)</f>
        <v>0</v>
      </c>
    </row>
    <row r="1037">
      <c r="A1037" s="14" t="s">
        <v>106</v>
      </c>
      <c r="B1037" s="2" t="s">
        <v>368</v>
      </c>
      <c r="C1037" s="22">
        <f>IF(C17&gt;0,IF(C731&lt;0.5,1,0),0)</f>
        <v>0</v>
      </c>
      <c r="D1037" s="22">
        <f>IF(D17&gt;0,IF(D731&lt;0.5,1,0),0)</f>
        <v>0</v>
      </c>
      <c r="E1037" s="22">
        <f>IF(E17&gt;0,IF(E731&lt;0.5,1,0),0)</f>
        <v>0</v>
      </c>
      <c r="F1037" s="22">
        <f>IF(F17&gt;0,IF(F731&lt;0.5,1,0),0)</f>
        <v>0</v>
      </c>
      <c r="G1037" s="22">
        <f>IF(G17&gt;0,IF(G731&lt;0.5,1,0),0)</f>
        <v>0</v>
      </c>
      <c r="H1037" s="22">
        <f>IF(H17&gt;0,IF(H731&lt;0.5,1,0),0)</f>
        <v>0</v>
      </c>
      <c r="I1037" s="22">
        <f>IF(I17&gt;0,IF(I731&lt;0.5,1,0),0)</f>
        <v>0</v>
      </c>
      <c r="J1037" s="22">
        <f>IF(J17&gt;0,IF(J731&lt;0.5,1,0),0)</f>
        <v>0</v>
      </c>
      <c r="K1037" s="22">
        <f>IF(K17&gt;0,IF(K731&lt;0.5,1,0),0)</f>
        <v>0</v>
      </c>
      <c r="L1037" s="22">
        <f>IF(L17&gt;0,IF(L731&lt;0.5,1,0),0)</f>
        <v>0</v>
      </c>
      <c r="M1037" s="22">
        <f>IF(M17&gt;0,IF(M731&lt;0.5,1,0),0)</f>
        <v>0</v>
      </c>
      <c r="N1037" s="22">
        <f>IF(N17&gt;0,IF(N731&lt;0.5,1,0),0)</f>
        <v>0</v>
      </c>
      <c r="O1037" s="22">
        <f>IF(O17&gt;0,IF(O731&lt;0.5,1,0),0)</f>
        <v>0</v>
      </c>
      <c r="P1037" s="22">
        <f>IF(P17&gt;0,IF(P731&lt;0.5,1,0),0)</f>
        <v>0</v>
      </c>
      <c r="Q1037" s="22">
        <f>IF(Q17&gt;0,IF(Q731&lt;0.5,1,0),0)</f>
        <v>0</v>
      </c>
      <c r="R1037" s="22">
        <f>IF(R17&gt;0,IF(R731&lt;0.5,1,0),0)</f>
        <v>0</v>
      </c>
      <c r="S1037" s="22">
        <f>IF(S17&gt;0,IF(S731&lt;0.5,1,0),0)</f>
        <v>0</v>
      </c>
    </row>
    <row r="1038">
      <c r="A1038" s="14" t="s">
        <v>376</v>
      </c>
      <c r="B1038" s="2" t="s">
        <v>368</v>
      </c>
      <c r="C1038" s="22">
        <f>IF(C18&gt;0,IF(C732&lt;0.5,1,0),0)</f>
        <v>0</v>
      </c>
      <c r="D1038" s="22">
        <f>IF(D18&gt;0,IF(D732&lt;0.5,1,0),0)</f>
        <v>0</v>
      </c>
      <c r="E1038" s="22">
        <f>IF(E18&gt;0,IF(E732&lt;0.5,1,0),0)</f>
        <v>0</v>
      </c>
      <c r="F1038" s="22">
        <f>IF(F18&gt;0,IF(F732&lt;0.5,1,0),0)</f>
        <v>0</v>
      </c>
      <c r="G1038" s="22">
        <f>IF(G18&gt;0,IF(G732&lt;0.5,1,0),0)</f>
        <v>0</v>
      </c>
      <c r="H1038" s="22">
        <f>IF(H18&gt;0,IF(H732&lt;0.5,1,0),0)</f>
        <v>0</v>
      </c>
      <c r="I1038" s="22">
        <f>IF(I18&gt;0,IF(I732&lt;0.5,1,0),0)</f>
        <v>0</v>
      </c>
      <c r="J1038" s="22">
        <f>IF(J18&gt;0,IF(J732&lt;0.5,1,0),0)</f>
        <v>0</v>
      </c>
      <c r="K1038" s="22">
        <f>IF(K18&gt;0,IF(K732&lt;0.5,1,0),0)</f>
        <v>0</v>
      </c>
      <c r="L1038" s="22">
        <f>IF(L18&gt;0,IF(L732&lt;0.5,1,0),0)</f>
        <v>0</v>
      </c>
      <c r="M1038" s="22">
        <f>IF(M18&gt;0,IF(M732&lt;0.5,1,0),0)</f>
        <v>0</v>
      </c>
      <c r="N1038" s="22">
        <f>IF(N18&gt;0,IF(N732&lt;0.5,1,0),0)</f>
        <v>0</v>
      </c>
      <c r="O1038" s="22">
        <f>IF(O18&gt;0,IF(O732&lt;0.5,1,0),0)</f>
        <v>0</v>
      </c>
      <c r="P1038" s="22">
        <f>IF(P18&gt;0,IF(P732&lt;0.5,1,0),0)</f>
        <v>0</v>
      </c>
      <c r="Q1038" s="22">
        <f>IF(Q18&gt;0,IF(Q732&lt;0.5,1,0),0)</f>
        <v>0</v>
      </c>
      <c r="R1038" s="22">
        <f>IF(R18&gt;0,IF(R732&lt;0.5,1,0),0)</f>
        <v>0</v>
      </c>
      <c r="S1038" s="22">
        <f>IF(S18&gt;0,IF(S732&lt;0.5,1,0),0)</f>
        <v>0</v>
      </c>
    </row>
    <row r="1039">
      <c r="A1039" s="14" t="s">
        <v>377</v>
      </c>
      <c r="B1039" s="2" t="s">
        <v>368</v>
      </c>
      <c r="C1039" s="22">
        <f>IF(C19&gt;0,IF(C733&lt;0.5,1,0),0)</f>
        <v>1</v>
      </c>
      <c r="D1039" s="22">
        <f>IF(D19&gt;0,IF(D733&lt;0.5,1,0),0)</f>
        <v>1</v>
      </c>
      <c r="E1039" s="22">
        <f>IF(E19&gt;0,IF(E733&lt;0.5,1,0),0)</f>
        <v>1</v>
      </c>
      <c r="F1039" s="22">
        <f>IF(F19&gt;0,IF(F733&lt;0.5,1,0),0)</f>
        <v>1</v>
      </c>
      <c r="G1039" s="22">
        <f>IF(G19&gt;0,IF(G733&lt;0.5,1,0),0)</f>
        <v>1</v>
      </c>
      <c r="H1039" s="22">
        <f>IF(H19&gt;0,IF(H733&lt;0.5,1,0),0)</f>
        <v>1</v>
      </c>
      <c r="I1039" s="22">
        <f>IF(I19&gt;0,IF(I733&lt;0.5,1,0),0)</f>
        <v>1</v>
      </c>
      <c r="J1039" s="22">
        <f>IF(J19&gt;0,IF(J733&lt;0.5,1,0),0)</f>
        <v>1</v>
      </c>
      <c r="K1039" s="22">
        <f>IF(K19&gt;0,IF(K733&lt;0.5,1,0),0)</f>
        <v>1</v>
      </c>
      <c r="L1039" s="22">
        <f>IF(L19&gt;0,IF(L733&lt;0.5,1,0),0)</f>
        <v>1</v>
      </c>
      <c r="M1039" s="22">
        <f>IF(M19&gt;0,IF(M733&lt;0.5,1,0),0)</f>
        <v>1</v>
      </c>
      <c r="N1039" s="22">
        <f>IF(N19&gt;0,IF(N733&lt;0.5,1,0),0)</f>
        <v>1</v>
      </c>
      <c r="O1039" s="22">
        <f>IF(O19&gt;0,IF(O733&lt;0.5,1,0),0)</f>
        <v>1</v>
      </c>
      <c r="P1039" s="22">
        <f>IF(P19&gt;0,IF(P733&lt;0.5,1,0),0)</f>
        <v>1</v>
      </c>
      <c r="Q1039" s="22">
        <f>IF(Q19&gt;0,IF(Q733&lt;0.5,1,0),0)</f>
        <v>1</v>
      </c>
      <c r="R1039" s="22">
        <f>IF(R19&gt;0,IF(R733&lt;0.5,1,0),0)</f>
        <v>1</v>
      </c>
      <c r="S1039" s="22">
        <f>IF(S19&gt;0,IF(S733&lt;0.5,1,0),0)</f>
        <v>1</v>
      </c>
    </row>
    <row r="1040">
      <c r="A1040" s="14" t="s">
        <v>378</v>
      </c>
      <c r="B1040" s="2" t="s">
        <v>368</v>
      </c>
      <c r="C1040" s="22">
        <f>IF(C20&gt;0,IF(C734&lt;0.5,1,0),0)</f>
        <v>1</v>
      </c>
      <c r="D1040" s="22">
        <f>IF(D20&gt;0,IF(D734&lt;0.5,1,0),0)</f>
        <v>1</v>
      </c>
      <c r="E1040" s="22">
        <f>IF(E20&gt;0,IF(E734&lt;0.5,1,0),0)</f>
        <v>1</v>
      </c>
      <c r="F1040" s="22">
        <f>IF(F20&gt;0,IF(F734&lt;0.5,1,0),0)</f>
        <v>1</v>
      </c>
      <c r="G1040" s="22">
        <f>IF(G20&gt;0,IF(G734&lt;0.5,1,0),0)</f>
        <v>1</v>
      </c>
      <c r="H1040" s="22">
        <f>IF(H20&gt;0,IF(H734&lt;0.5,1,0),0)</f>
        <v>1</v>
      </c>
      <c r="I1040" s="22">
        <f>IF(I20&gt;0,IF(I734&lt;0.5,1,0),0)</f>
        <v>1</v>
      </c>
      <c r="J1040" s="22">
        <f>IF(J20&gt;0,IF(J734&lt;0.5,1,0),0)</f>
        <v>1</v>
      </c>
      <c r="K1040" s="22">
        <f>IF(K20&gt;0,IF(K734&lt;0.5,1,0),0)</f>
        <v>1</v>
      </c>
      <c r="L1040" s="22">
        <f>IF(L20&gt;0,IF(L734&lt;0.5,1,0),0)</f>
        <v>1</v>
      </c>
      <c r="M1040" s="22">
        <f>IF(M20&gt;0,IF(M734&lt;0.5,1,0),0)</f>
        <v>1</v>
      </c>
      <c r="N1040" s="22">
        <f>IF(N20&gt;0,IF(N734&lt;0.5,1,0),0)</f>
        <v>1</v>
      </c>
      <c r="O1040" s="22">
        <f>IF(O20&gt;0,IF(O734&lt;0.5,1,0),0)</f>
        <v>1</v>
      </c>
      <c r="P1040" s="22">
        <f>IF(P20&gt;0,IF(P734&lt;0.5,1,0),0)</f>
        <v>1</v>
      </c>
      <c r="Q1040" s="22">
        <f>IF(Q20&gt;0,IF(Q734&lt;0.5,1,0),0)</f>
        <v>1</v>
      </c>
      <c r="R1040" s="22">
        <f>IF(R20&gt;0,IF(R734&lt;0.5,1,0),0)</f>
        <v>1</v>
      </c>
      <c r="S1040" s="22">
        <f>IF(S20&gt;0,IF(S734&lt;0.5,1,0),0)</f>
        <v>1</v>
      </c>
    </row>
    <row r="1041">
      <c r="A1041" s="14" t="s">
        <v>110</v>
      </c>
      <c r="B1041" s="2" t="s">
        <v>368</v>
      </c>
      <c r="C1041" s="22">
        <f>IF(C21&gt;0,IF(C735&lt;0.5,1,0),0)</f>
        <v>0</v>
      </c>
      <c r="D1041" s="22">
        <f>IF(D21&gt;0,IF(D735&lt;0.5,1,0),0)</f>
        <v>0</v>
      </c>
      <c r="E1041" s="22">
        <f>IF(E21&gt;0,IF(E735&lt;0.5,1,0),0)</f>
        <v>0</v>
      </c>
      <c r="F1041" s="22">
        <f>IF(F21&gt;0,IF(F735&lt;0.5,1,0),0)</f>
        <v>0</v>
      </c>
      <c r="G1041" s="22">
        <f>IF(G21&gt;0,IF(G735&lt;0.5,1,0),0)</f>
        <v>0</v>
      </c>
      <c r="H1041" s="22">
        <f>IF(H21&gt;0,IF(H735&lt;0.5,1,0),0)</f>
        <v>0</v>
      </c>
      <c r="I1041" s="22">
        <f>IF(I21&gt;0,IF(I735&lt;0.5,1,0),0)</f>
        <v>0</v>
      </c>
      <c r="J1041" s="22">
        <f>IF(J21&gt;0,IF(J735&lt;0.5,1,0),0)</f>
        <v>0</v>
      </c>
      <c r="K1041" s="22">
        <f>IF(K21&gt;0,IF(K735&lt;0.5,1,0),0)</f>
        <v>0</v>
      </c>
      <c r="L1041" s="22">
        <f>IF(L21&gt;0,IF(L735&lt;0.5,1,0),0)</f>
        <v>0</v>
      </c>
      <c r="M1041" s="22">
        <f>IF(M21&gt;0,IF(M735&lt;0.5,1,0),0)</f>
        <v>0</v>
      </c>
      <c r="N1041" s="22">
        <f>IF(N21&gt;0,IF(N735&lt;0.5,1,0),0)</f>
        <v>0</v>
      </c>
      <c r="O1041" s="22">
        <f>IF(O21&gt;0,IF(O735&lt;0.5,1,0),0)</f>
        <v>0</v>
      </c>
      <c r="P1041" s="22">
        <f>IF(P21&gt;0,IF(P735&lt;0.5,1,0),0)</f>
        <v>0</v>
      </c>
      <c r="Q1041" s="22">
        <f>IF(Q21&gt;0,IF(Q735&lt;0.5,1,0),0)</f>
        <v>0</v>
      </c>
      <c r="R1041" s="22">
        <f>IF(R21&gt;0,IF(R735&lt;0.5,1,0),0)</f>
        <v>0</v>
      </c>
      <c r="S1041" s="22">
        <f>IF(S21&gt;0,IF(S735&lt;0.5,1,0),0)</f>
        <v>0</v>
      </c>
    </row>
    <row r="1042">
      <c r="A1042" s="14" t="s">
        <v>111</v>
      </c>
      <c r="B1042" s="2" t="s">
        <v>368</v>
      </c>
      <c r="C1042" s="22">
        <f>IF(C22&gt;0,IF(C736&lt;0.5,1,0),0)</f>
        <v>0</v>
      </c>
      <c r="D1042" s="22">
        <f>IF(D22&gt;0,IF(D736&lt;0.5,1,0),0)</f>
        <v>0</v>
      </c>
      <c r="E1042" s="22">
        <f>IF(E22&gt;0,IF(E736&lt;0.5,1,0),0)</f>
        <v>0</v>
      </c>
      <c r="F1042" s="22">
        <f>IF(F22&gt;0,IF(F736&lt;0.5,1,0),0)</f>
        <v>0</v>
      </c>
      <c r="G1042" s="22">
        <f>IF(G22&gt;0,IF(G736&lt;0.5,1,0),0)</f>
        <v>0</v>
      </c>
      <c r="H1042" s="22">
        <f>IF(H22&gt;0,IF(H736&lt;0.5,1,0),0)</f>
        <v>0</v>
      </c>
      <c r="I1042" s="22">
        <f>IF(I22&gt;0,IF(I736&lt;0.5,1,0),0)</f>
        <v>0</v>
      </c>
      <c r="J1042" s="22">
        <f>IF(J22&gt;0,IF(J736&lt;0.5,1,0),0)</f>
        <v>0</v>
      </c>
      <c r="K1042" s="22">
        <f>IF(K22&gt;0,IF(K736&lt;0.5,1,0),0)</f>
        <v>0</v>
      </c>
      <c r="L1042" s="22">
        <f>IF(L22&gt;0,IF(L736&lt;0.5,1,0),0)</f>
        <v>0</v>
      </c>
      <c r="M1042" s="22">
        <f>IF(M22&gt;0,IF(M736&lt;0.5,1,0),0)</f>
        <v>0</v>
      </c>
      <c r="N1042" s="22">
        <f>IF(N22&gt;0,IF(N736&lt;0.5,1,0),0)</f>
        <v>0</v>
      </c>
      <c r="O1042" s="22">
        <f>IF(O22&gt;0,IF(O736&lt;0.5,1,0),0)</f>
        <v>0</v>
      </c>
      <c r="P1042" s="22">
        <f>IF(P22&gt;0,IF(P736&lt;0.5,1,0),0)</f>
        <v>0</v>
      </c>
      <c r="Q1042" s="22">
        <f>IF(Q22&gt;0,IF(Q736&lt;0.5,1,0),0)</f>
        <v>0</v>
      </c>
      <c r="R1042" s="22">
        <f>IF(R22&gt;0,IF(R736&lt;0.5,1,0),0)</f>
        <v>0</v>
      </c>
      <c r="S1042" s="22">
        <f>IF(S22&gt;0,IF(S736&lt;0.5,1,0),0)</f>
        <v>0</v>
      </c>
    </row>
    <row r="1043">
      <c r="A1043" s="14" t="s">
        <v>379</v>
      </c>
      <c r="B1043" s="2" t="s">
        <v>368</v>
      </c>
      <c r="C1043" s="22">
        <f>IF(C23&gt;0,IF(C737&lt;0.5,1,0),0)</f>
        <v>1</v>
      </c>
      <c r="D1043" s="22">
        <f>IF(D23&gt;0,IF(D737&lt;0.5,1,0),0)</f>
        <v>1</v>
      </c>
      <c r="E1043" s="22">
        <f>IF(E23&gt;0,IF(E737&lt;0.5,1,0),0)</f>
        <v>1</v>
      </c>
      <c r="F1043" s="22">
        <f>IF(F23&gt;0,IF(F737&lt;0.5,1,0),0)</f>
        <v>1</v>
      </c>
      <c r="G1043" s="22">
        <f>IF(G23&gt;0,IF(G737&lt;0.5,1,0),0)</f>
        <v>1</v>
      </c>
      <c r="H1043" s="22">
        <f>IF(H23&gt;0,IF(H737&lt;0.5,1,0),0)</f>
        <v>1</v>
      </c>
      <c r="I1043" s="22">
        <f>IF(I23&gt;0,IF(I737&lt;0.5,1,0),0)</f>
        <v>1</v>
      </c>
      <c r="J1043" s="22">
        <f>IF(J23&gt;0,IF(J737&lt;0.5,1,0),0)</f>
        <v>1</v>
      </c>
      <c r="K1043" s="22">
        <f>IF(K23&gt;0,IF(K737&lt;0.5,1,0),0)</f>
        <v>1</v>
      </c>
      <c r="L1043" s="22">
        <f>IF(L23&gt;0,IF(L737&lt;0.5,1,0),0)</f>
        <v>1</v>
      </c>
      <c r="M1043" s="22">
        <f>IF(M23&gt;0,IF(M737&lt;0.5,1,0),0)</f>
        <v>1</v>
      </c>
      <c r="N1043" s="22">
        <f>IF(N23&gt;0,IF(N737&lt;0.5,1,0),0)</f>
        <v>1</v>
      </c>
      <c r="O1043" s="22">
        <f>IF(O23&gt;0,IF(O737&lt;0.5,1,0),0)</f>
        <v>1</v>
      </c>
      <c r="P1043" s="22">
        <f>IF(P23&gt;0,IF(P737&lt;0.5,1,0),0)</f>
        <v>1</v>
      </c>
      <c r="Q1043" s="22">
        <f>IF(Q23&gt;0,IF(Q737&lt;0.5,1,0),0)</f>
        <v>1</v>
      </c>
      <c r="R1043" s="22">
        <f>IF(R23&gt;0,IF(R737&lt;0.5,1,0),0)</f>
        <v>1</v>
      </c>
      <c r="S1043" s="22">
        <f>IF(S23&gt;0,IF(S737&lt;0.5,1,0),0)</f>
        <v>1</v>
      </c>
    </row>
    <row r="1044">
      <c r="A1044" s="14" t="s">
        <v>380</v>
      </c>
      <c r="B1044" s="2" t="s">
        <v>368</v>
      </c>
      <c r="C1044" s="22">
        <f>IF(C24&gt;0,IF(C738&lt;0.5,1,0),0)</f>
        <v>0</v>
      </c>
      <c r="D1044" s="22">
        <f>IF(D24&gt;0,IF(D738&lt;0.5,1,0),0)</f>
        <v>0</v>
      </c>
      <c r="E1044" s="22">
        <f>IF(E24&gt;0,IF(E738&lt;0.5,1,0),0)</f>
        <v>0</v>
      </c>
      <c r="F1044" s="22">
        <f>IF(F24&gt;0,IF(F738&lt;0.5,1,0),0)</f>
        <v>0</v>
      </c>
      <c r="G1044" s="22">
        <f>IF(G24&gt;0,IF(G738&lt;0.5,1,0),0)</f>
        <v>0</v>
      </c>
      <c r="H1044" s="22">
        <f>IF(H24&gt;0,IF(H738&lt;0.5,1,0),0)</f>
        <v>0</v>
      </c>
      <c r="I1044" s="22">
        <f>IF(I24&gt;0,IF(I738&lt;0.5,1,0),0)</f>
        <v>0</v>
      </c>
      <c r="J1044" s="22">
        <f>IF(J24&gt;0,IF(J738&lt;0.5,1,0),0)</f>
        <v>0</v>
      </c>
      <c r="K1044" s="22">
        <f>IF(K24&gt;0,IF(K738&lt;0.5,1,0),0)</f>
        <v>0</v>
      </c>
      <c r="L1044" s="22">
        <f>IF(L24&gt;0,IF(L738&lt;0.5,1,0),0)</f>
        <v>0</v>
      </c>
      <c r="M1044" s="22">
        <f>IF(M24&gt;0,IF(M738&lt;0.5,1,0),0)</f>
        <v>0</v>
      </c>
      <c r="N1044" s="22">
        <f>IF(N24&gt;0,IF(N738&lt;0.5,1,0),0)</f>
        <v>0</v>
      </c>
      <c r="O1044" s="22">
        <f>IF(O24&gt;0,IF(O738&lt;0.5,1,0),0)</f>
        <v>0</v>
      </c>
      <c r="P1044" s="22">
        <f>IF(P24&gt;0,IF(P738&lt;0.5,1,0),0)</f>
        <v>0</v>
      </c>
      <c r="Q1044" s="22">
        <f>IF(Q24&gt;0,IF(Q738&lt;0.5,1,0),0)</f>
        <v>0</v>
      </c>
      <c r="R1044" s="22">
        <f>IF(R24&gt;0,IF(R738&lt;0.5,1,0),0)</f>
        <v>0</v>
      </c>
      <c r="S1044" s="22">
        <f>IF(S24&gt;0,IF(S738&lt;0.5,1,0),0)</f>
        <v>0</v>
      </c>
    </row>
    <row r="1045">
      <c r="A1045" s="14" t="s">
        <v>381</v>
      </c>
      <c r="B1045" s="2" t="s">
        <v>368</v>
      </c>
      <c r="C1045" s="22">
        <f>IF(C25&gt;0,IF(C739&lt;0.5,1,0),0)</f>
        <v>0</v>
      </c>
      <c r="D1045" s="22">
        <f>IF(D25&gt;0,IF(D739&lt;0.5,1,0),0)</f>
        <v>0</v>
      </c>
      <c r="E1045" s="22">
        <f>IF(E25&gt;0,IF(E739&lt;0.5,1,0),0)</f>
        <v>0</v>
      </c>
      <c r="F1045" s="22">
        <f>IF(F25&gt;0,IF(F739&lt;0.5,1,0),0)</f>
        <v>0</v>
      </c>
      <c r="G1045" s="22">
        <f>IF(G25&gt;0,IF(G739&lt;0.5,1,0),0)</f>
        <v>0</v>
      </c>
      <c r="H1045" s="22">
        <f>IF(H25&gt;0,IF(H739&lt;0.5,1,0),0)</f>
        <v>0</v>
      </c>
      <c r="I1045" s="22">
        <f>IF(I25&gt;0,IF(I739&lt;0.5,1,0),0)</f>
        <v>0</v>
      </c>
      <c r="J1045" s="22">
        <f>IF(J25&gt;0,IF(J739&lt;0.5,1,0),0)</f>
        <v>0</v>
      </c>
      <c r="K1045" s="22">
        <f>IF(K25&gt;0,IF(K739&lt;0.5,1,0),0)</f>
        <v>0</v>
      </c>
      <c r="L1045" s="22">
        <f>IF(L25&gt;0,IF(L739&lt;0.5,1,0),0)</f>
        <v>0</v>
      </c>
      <c r="M1045" s="22">
        <f>IF(M25&gt;0,IF(M739&lt;0.5,1,0),0)</f>
        <v>0</v>
      </c>
      <c r="N1045" s="22">
        <f>IF(N25&gt;0,IF(N739&lt;0.5,1,0),0)</f>
        <v>0</v>
      </c>
      <c r="O1045" s="22">
        <f>IF(O25&gt;0,IF(O739&lt;0.5,1,0),0)</f>
        <v>0</v>
      </c>
      <c r="P1045" s="22">
        <f>IF(P25&gt;0,IF(P739&lt;0.5,1,0),0)</f>
        <v>0</v>
      </c>
      <c r="Q1045" s="22">
        <f>IF(Q25&gt;0,IF(Q739&lt;0.5,1,0),0)</f>
        <v>0</v>
      </c>
      <c r="R1045" s="22">
        <f>IF(R25&gt;0,IF(R739&lt;0.5,1,0),0)</f>
        <v>0</v>
      </c>
      <c r="S1045" s="22">
        <f>IF(S25&gt;0,IF(S739&lt;0.5,1,0),0)</f>
        <v>0</v>
      </c>
    </row>
    <row r="1046">
      <c r="A1046" s="14" t="s">
        <v>115</v>
      </c>
      <c r="B1046" s="2" t="s">
        <v>368</v>
      </c>
      <c r="C1046" s="22">
        <f>IF(C26&gt;0,IF(C740&lt;0.5,1,0),0)</f>
        <v>1</v>
      </c>
      <c r="D1046" s="22">
        <f>IF(D26&gt;0,IF(D740&lt;0.5,1,0),0)</f>
        <v>1</v>
      </c>
      <c r="E1046" s="22">
        <f>IF(E26&gt;0,IF(E740&lt;0.5,1,0),0)</f>
        <v>1</v>
      </c>
      <c r="F1046" s="22">
        <f>IF(F26&gt;0,IF(F740&lt;0.5,1,0),0)</f>
        <v>1</v>
      </c>
      <c r="G1046" s="22">
        <f>IF(G26&gt;0,IF(G740&lt;0.5,1,0),0)</f>
        <v>1</v>
      </c>
      <c r="H1046" s="22">
        <f>IF(H26&gt;0,IF(H740&lt;0.5,1,0),0)</f>
        <v>1</v>
      </c>
      <c r="I1046" s="22">
        <f>IF(I26&gt;0,IF(I740&lt;0.5,1,0),0)</f>
        <v>1</v>
      </c>
      <c r="J1046" s="22">
        <f>IF(J26&gt;0,IF(J740&lt;0.5,1,0),0)</f>
        <v>1</v>
      </c>
      <c r="K1046" s="22">
        <f>IF(K26&gt;0,IF(K740&lt;0.5,1,0),0)</f>
        <v>1</v>
      </c>
      <c r="L1046" s="22">
        <f>IF(L26&gt;0,IF(L740&lt;0.5,1,0),0)</f>
        <v>1</v>
      </c>
      <c r="M1046" s="22">
        <f>IF(M26&gt;0,IF(M740&lt;0.5,1,0),0)</f>
        <v>1</v>
      </c>
      <c r="N1046" s="22">
        <f>IF(N26&gt;0,IF(N740&lt;0.5,1,0),0)</f>
        <v>1</v>
      </c>
      <c r="O1046" s="22">
        <f>IF(O26&gt;0,IF(O740&lt;0.5,1,0),0)</f>
        <v>1</v>
      </c>
      <c r="P1046" s="22">
        <f>IF(P26&gt;0,IF(P740&lt;0.5,1,0),0)</f>
        <v>1</v>
      </c>
      <c r="Q1046" s="22">
        <f>IF(Q26&gt;0,IF(Q740&lt;0.5,1,0),0)</f>
        <v>1</v>
      </c>
      <c r="R1046" s="22">
        <f>IF(R26&gt;0,IF(R740&lt;0.5,1,0),0)</f>
        <v>1</v>
      </c>
      <c r="S1046" s="22">
        <f>IF(S26&gt;0,IF(S740&lt;0.5,1,0),0)</f>
        <v>1</v>
      </c>
    </row>
    <row r="1047">
      <c r="A1047" s="14" t="s">
        <v>382</v>
      </c>
      <c r="B1047" s="2" t="s">
        <v>368</v>
      </c>
      <c r="C1047" s="22">
        <f>IF(C27&gt;0,IF(C741&lt;0.5,1,0),0)</f>
        <v>0</v>
      </c>
      <c r="D1047" s="22">
        <f>IF(D27&gt;0,IF(D741&lt;0.5,1,0),0)</f>
        <v>0</v>
      </c>
      <c r="E1047" s="22">
        <f>IF(E27&gt;0,IF(E741&lt;0.5,1,0),0)</f>
        <v>0</v>
      </c>
      <c r="F1047" s="22">
        <f>IF(F27&gt;0,IF(F741&lt;0.5,1,0),0)</f>
        <v>0</v>
      </c>
      <c r="G1047" s="22">
        <f>IF(G27&gt;0,IF(G741&lt;0.5,1,0),0)</f>
        <v>1</v>
      </c>
      <c r="H1047" s="22">
        <f>IF(H27&gt;0,IF(H741&lt;0.5,1,0),0)</f>
        <v>1</v>
      </c>
      <c r="I1047" s="22">
        <f>IF(I27&gt;0,IF(I741&lt;0.5,1,0),0)</f>
        <v>1</v>
      </c>
      <c r="J1047" s="22">
        <f>IF(J27&gt;0,IF(J741&lt;0.5,1,0),0)</f>
        <v>1</v>
      </c>
      <c r="K1047" s="22">
        <f>IF(K27&gt;0,IF(K741&lt;0.5,1,0),0)</f>
        <v>0</v>
      </c>
      <c r="L1047" s="22">
        <f>IF(L27&gt;0,IF(L741&lt;0.5,1,0),0)</f>
        <v>0</v>
      </c>
      <c r="M1047" s="22">
        <f>IF(M27&gt;0,IF(M741&lt;0.5,1,0),0)</f>
        <v>1</v>
      </c>
      <c r="N1047" s="22">
        <f>IF(N27&gt;0,IF(N741&lt;0.5,1,0),0)</f>
        <v>1</v>
      </c>
      <c r="O1047" s="22">
        <f>IF(O27&gt;0,IF(O741&lt;0.5,1,0),0)</f>
        <v>1</v>
      </c>
      <c r="P1047" s="22">
        <f>IF(P27&gt;0,IF(P741&lt;0.5,1,0),0)</f>
        <v>1</v>
      </c>
      <c r="Q1047" s="22">
        <f>IF(Q27&gt;0,IF(Q741&lt;0.5,1,0),0)</f>
        <v>1</v>
      </c>
      <c r="R1047" s="22">
        <f>IF(R27&gt;0,IF(R741&lt;0.5,1,0),0)</f>
        <v>1</v>
      </c>
      <c r="S1047" s="22">
        <f>IF(S27&gt;0,IF(S741&lt;0.5,1,0),0)</f>
        <v>1</v>
      </c>
    </row>
    <row r="1048">
      <c r="A1048" s="14" t="s">
        <v>117</v>
      </c>
      <c r="B1048" s="2" t="s">
        <v>368</v>
      </c>
      <c r="C1048" s="22">
        <f>IF(C28&gt;0,IF(C742&lt;0.5,1,0),0)</f>
        <v>0</v>
      </c>
      <c r="D1048" s="22">
        <f>IF(D28&gt;0,IF(D742&lt;0.5,1,0),0)</f>
        <v>0</v>
      </c>
      <c r="E1048" s="22">
        <f>IF(E28&gt;0,IF(E742&lt;0.5,1,0),0)</f>
        <v>0</v>
      </c>
      <c r="F1048" s="22">
        <f>IF(F28&gt;0,IF(F742&lt;0.5,1,0),0)</f>
        <v>0</v>
      </c>
      <c r="G1048" s="22">
        <f>IF(G28&gt;0,IF(G742&lt;0.5,1,0),0)</f>
        <v>0</v>
      </c>
      <c r="H1048" s="22">
        <f>IF(H28&gt;0,IF(H742&lt;0.5,1,0),0)</f>
        <v>0</v>
      </c>
      <c r="I1048" s="22">
        <f>IF(I28&gt;0,IF(I742&lt;0.5,1,0),0)</f>
        <v>0</v>
      </c>
      <c r="J1048" s="22">
        <f>IF(J28&gt;0,IF(J742&lt;0.5,1,0),0)</f>
        <v>0</v>
      </c>
      <c r="K1048" s="22">
        <f>IF(K28&gt;0,IF(K742&lt;0.5,1,0),0)</f>
        <v>0</v>
      </c>
      <c r="L1048" s="22">
        <f>IF(L28&gt;0,IF(L742&lt;0.5,1,0),0)</f>
        <v>0</v>
      </c>
      <c r="M1048" s="22">
        <f>IF(M28&gt;0,IF(M742&lt;0.5,1,0),0)</f>
        <v>0</v>
      </c>
      <c r="N1048" s="22">
        <f>IF(N28&gt;0,IF(N742&lt;0.5,1,0),0)</f>
        <v>0</v>
      </c>
      <c r="O1048" s="22">
        <f>IF(O28&gt;0,IF(O742&lt;0.5,1,0),0)</f>
        <v>0</v>
      </c>
      <c r="P1048" s="22">
        <f>IF(P28&gt;0,IF(P742&lt;0.5,1,0),0)</f>
        <v>0</v>
      </c>
      <c r="Q1048" s="22">
        <f>IF(Q28&gt;0,IF(Q742&lt;0.5,1,0),0)</f>
        <v>0</v>
      </c>
      <c r="R1048" s="22">
        <f>IF(R28&gt;0,IF(R742&lt;0.5,1,0),0)</f>
        <v>0</v>
      </c>
      <c r="S1048" s="22">
        <f>IF(S28&gt;0,IF(S742&lt;0.5,1,0),0)</f>
        <v>0</v>
      </c>
    </row>
    <row r="1049">
      <c r="A1049" s="14" t="s">
        <v>118</v>
      </c>
      <c r="B1049" s="2" t="s">
        <v>368</v>
      </c>
      <c r="C1049" s="22">
        <f>IF(C29&gt;0,IF(C743&lt;0.5,1,0),0)</f>
        <v>1</v>
      </c>
      <c r="D1049" s="22">
        <f>IF(D29&gt;0,IF(D743&lt;0.5,1,0),0)</f>
        <v>1</v>
      </c>
      <c r="E1049" s="22">
        <f>IF(E29&gt;0,IF(E743&lt;0.5,1,0),0)</f>
        <v>1</v>
      </c>
      <c r="F1049" s="22">
        <f>IF(F29&gt;0,IF(F743&lt;0.5,1,0),0)</f>
        <v>1</v>
      </c>
      <c r="G1049" s="22">
        <f>IF(G29&gt;0,IF(G743&lt;0.5,1,0),0)</f>
        <v>1</v>
      </c>
      <c r="H1049" s="22">
        <f>IF(H29&gt;0,IF(H743&lt;0.5,1,0),0)</f>
        <v>1</v>
      </c>
      <c r="I1049" s="22">
        <f>IF(I29&gt;0,IF(I743&lt;0.5,1,0),0)</f>
        <v>1</v>
      </c>
      <c r="J1049" s="22">
        <f>IF(J29&gt;0,IF(J743&lt;0.5,1,0),0)</f>
        <v>1</v>
      </c>
      <c r="K1049" s="22">
        <f>IF(K29&gt;0,IF(K743&lt;0.5,1,0),0)</f>
        <v>1</v>
      </c>
      <c r="L1049" s="22">
        <f>IF(L29&gt;0,IF(L743&lt;0.5,1,0),0)</f>
        <v>1</v>
      </c>
      <c r="M1049" s="22">
        <f>IF(M29&gt;0,IF(M743&lt;0.5,1,0),0)</f>
        <v>1</v>
      </c>
      <c r="N1049" s="22">
        <f>IF(N29&gt;0,IF(N743&lt;0.5,1,0),0)</f>
        <v>1</v>
      </c>
      <c r="O1049" s="22">
        <f>IF(O29&gt;0,IF(O743&lt;0.5,1,0),0)</f>
        <v>1</v>
      </c>
      <c r="P1049" s="22">
        <f>IF(P29&gt;0,IF(P743&lt;0.5,1,0),0)</f>
        <v>1</v>
      </c>
      <c r="Q1049" s="22">
        <f>IF(Q29&gt;0,IF(Q743&lt;0.5,1,0),0)</f>
        <v>1</v>
      </c>
      <c r="R1049" s="22">
        <f>IF(R29&gt;0,IF(R743&lt;0.5,1,0),0)</f>
        <v>1</v>
      </c>
      <c r="S1049" s="22">
        <f>IF(S29&gt;0,IF(S743&lt;0.5,1,0),0)</f>
        <v>1</v>
      </c>
    </row>
    <row r="1050">
      <c r="A1050" s="14" t="s">
        <v>383</v>
      </c>
      <c r="B1050" s="2" t="s">
        <v>368</v>
      </c>
      <c r="C1050" s="22">
        <f>IF(C30&gt;0,IF(C744&lt;0.5,1,0),0)</f>
        <v>1</v>
      </c>
      <c r="D1050" s="22">
        <f>IF(D30&gt;0,IF(D744&lt;0.5,1,0),0)</f>
        <v>1</v>
      </c>
      <c r="E1050" s="22">
        <f>IF(E30&gt;0,IF(E744&lt;0.5,1,0),0)</f>
        <v>1</v>
      </c>
      <c r="F1050" s="22">
        <f>IF(F30&gt;0,IF(F744&lt;0.5,1,0),0)</f>
        <v>1</v>
      </c>
      <c r="G1050" s="22">
        <f>IF(G30&gt;0,IF(G744&lt;0.5,1,0),0)</f>
        <v>1</v>
      </c>
      <c r="H1050" s="22">
        <f>IF(H30&gt;0,IF(H744&lt;0.5,1,0),0)</f>
        <v>1</v>
      </c>
      <c r="I1050" s="22">
        <f>IF(I30&gt;0,IF(I744&lt;0.5,1,0),0)</f>
        <v>1</v>
      </c>
      <c r="J1050" s="22">
        <f>IF(J30&gt;0,IF(J744&lt;0.5,1,0),0)</f>
        <v>1</v>
      </c>
      <c r="K1050" s="22">
        <f>IF(K30&gt;0,IF(K744&lt;0.5,1,0),0)</f>
        <v>1</v>
      </c>
      <c r="L1050" s="22">
        <f>IF(L30&gt;0,IF(L744&lt;0.5,1,0),0)</f>
        <v>1</v>
      </c>
      <c r="M1050" s="22">
        <f>IF(M30&gt;0,IF(M744&lt;0.5,1,0),0)</f>
        <v>1</v>
      </c>
      <c r="N1050" s="22">
        <f>IF(N30&gt;0,IF(N744&lt;0.5,1,0),0)</f>
        <v>1</v>
      </c>
      <c r="O1050" s="22">
        <f>IF(O30&gt;0,IF(O744&lt;0.5,1,0),0)</f>
        <v>1</v>
      </c>
      <c r="P1050" s="22">
        <f>IF(P30&gt;0,IF(P744&lt;0.5,1,0),0)</f>
        <v>1</v>
      </c>
      <c r="Q1050" s="22">
        <f>IF(Q30&gt;0,IF(Q744&lt;0.5,1,0),0)</f>
        <v>1</v>
      </c>
      <c r="R1050" s="22">
        <f>IF(R30&gt;0,IF(R744&lt;0.5,1,0),0)</f>
        <v>1</v>
      </c>
      <c r="S1050" s="22">
        <f>IF(S30&gt;0,IF(S744&lt;0.5,1,0),0)</f>
        <v>1</v>
      </c>
    </row>
    <row r="1051">
      <c r="A1051" s="14" t="s">
        <v>384</v>
      </c>
      <c r="B1051" s="2" t="s">
        <v>368</v>
      </c>
      <c r="C1051" s="22">
        <f>IF(C31&gt;0,IF(C745&lt;0.5,1,0),0)</f>
        <v>1</v>
      </c>
      <c r="D1051" s="22">
        <f>IF(D31&gt;0,IF(D745&lt;0.5,1,0),0)</f>
        <v>1</v>
      </c>
      <c r="E1051" s="22">
        <f>IF(E31&gt;0,IF(E745&lt;0.5,1,0),0)</f>
        <v>1</v>
      </c>
      <c r="F1051" s="22">
        <f>IF(F31&gt;0,IF(F745&lt;0.5,1,0),0)</f>
        <v>1</v>
      </c>
      <c r="G1051" s="22">
        <f>IF(G31&gt;0,IF(G745&lt;0.5,1,0),0)</f>
        <v>1</v>
      </c>
      <c r="H1051" s="22">
        <f>IF(H31&gt;0,IF(H745&lt;0.5,1,0),0)</f>
        <v>1</v>
      </c>
      <c r="I1051" s="22">
        <f>IF(I31&gt;0,IF(I745&lt;0.5,1,0),0)</f>
        <v>1</v>
      </c>
      <c r="J1051" s="22">
        <f>IF(J31&gt;0,IF(J745&lt;0.5,1,0),0)</f>
        <v>1</v>
      </c>
      <c r="K1051" s="22">
        <f>IF(K31&gt;0,IF(K745&lt;0.5,1,0),0)</f>
        <v>1</v>
      </c>
      <c r="L1051" s="22">
        <f>IF(L31&gt;0,IF(L745&lt;0.5,1,0),0)</f>
        <v>1</v>
      </c>
      <c r="M1051" s="22">
        <f>IF(M31&gt;0,IF(M745&lt;0.5,1,0),0)</f>
        <v>1</v>
      </c>
      <c r="N1051" s="22">
        <f>IF(N31&gt;0,IF(N745&lt;0.5,1,0),0)</f>
        <v>1</v>
      </c>
      <c r="O1051" s="22">
        <f>IF(O31&gt;0,IF(O745&lt;0.5,1,0),0)</f>
        <v>1</v>
      </c>
      <c r="P1051" s="22">
        <f>IF(P31&gt;0,IF(P745&lt;0.5,1,0),0)</f>
        <v>1</v>
      </c>
      <c r="Q1051" s="22">
        <f>IF(Q31&gt;0,IF(Q745&lt;0.5,1,0),0)</f>
        <v>1</v>
      </c>
      <c r="R1051" s="22">
        <f>IF(R31&gt;0,IF(R745&lt;0.5,1,0),0)</f>
        <v>1</v>
      </c>
      <c r="S1051" s="22">
        <f>IF(S31&gt;0,IF(S745&lt;0.5,1,0),0)</f>
        <v>1</v>
      </c>
    </row>
    <row r="1052">
      <c r="A1052" s="14" t="s">
        <v>121</v>
      </c>
      <c r="B1052" s="2" t="s">
        <v>368</v>
      </c>
      <c r="C1052" s="22">
        <f>IF(C32&gt;0,IF(C746&lt;0.5,1,0),0)</f>
        <v>0</v>
      </c>
      <c r="D1052" s="22">
        <f>IF(D32&gt;0,IF(D746&lt;0.5,1,0),0)</f>
        <v>0</v>
      </c>
      <c r="E1052" s="22">
        <f>IF(E32&gt;0,IF(E746&lt;0.5,1,0),0)</f>
        <v>0</v>
      </c>
      <c r="F1052" s="22">
        <f>IF(F32&gt;0,IF(F746&lt;0.5,1,0),0)</f>
        <v>0</v>
      </c>
      <c r="G1052" s="22">
        <f>IF(G32&gt;0,IF(G746&lt;0.5,1,0),0)</f>
        <v>0</v>
      </c>
      <c r="H1052" s="22">
        <f>IF(H32&gt;0,IF(H746&lt;0.5,1,0),0)</f>
        <v>0</v>
      </c>
      <c r="I1052" s="22">
        <f>IF(I32&gt;0,IF(I746&lt;0.5,1,0),0)</f>
        <v>0</v>
      </c>
      <c r="J1052" s="22">
        <f>IF(J32&gt;0,IF(J746&lt;0.5,1,0),0)</f>
        <v>0</v>
      </c>
      <c r="K1052" s="22">
        <f>IF(K32&gt;0,IF(K746&lt;0.5,1,0),0)</f>
        <v>0</v>
      </c>
      <c r="L1052" s="22">
        <f>IF(L32&gt;0,IF(L746&lt;0.5,1,0),0)</f>
        <v>0</v>
      </c>
      <c r="M1052" s="22">
        <f>IF(M32&gt;0,IF(M746&lt;0.5,1,0),0)</f>
        <v>0</v>
      </c>
      <c r="N1052" s="22">
        <f>IF(N32&gt;0,IF(N746&lt;0.5,1,0),0)</f>
        <v>0</v>
      </c>
      <c r="O1052" s="22">
        <f>IF(O32&gt;0,IF(O746&lt;0.5,1,0),0)</f>
        <v>0</v>
      </c>
      <c r="P1052" s="22">
        <f>IF(P32&gt;0,IF(P746&lt;0.5,1,0),0)</f>
        <v>0</v>
      </c>
      <c r="Q1052" s="22">
        <f>IF(Q32&gt;0,IF(Q746&lt;0.5,1,0),0)</f>
        <v>0</v>
      </c>
      <c r="R1052" s="22">
        <f>IF(R32&gt;0,IF(R746&lt;0.5,1,0),0)</f>
        <v>0</v>
      </c>
      <c r="S1052" s="22">
        <f>IF(S32&gt;0,IF(S746&lt;0.5,1,0),0)</f>
        <v>0</v>
      </c>
    </row>
    <row r="1053">
      <c r="A1053" s="14" t="s">
        <v>385</v>
      </c>
      <c r="B1053" s="2" t="s">
        <v>368</v>
      </c>
      <c r="C1053" s="22">
        <f>IF(C33&gt;0,IF(C747&lt;0.5,1,0),0)</f>
        <v>0</v>
      </c>
      <c r="D1053" s="22">
        <f>IF(D33&gt;0,IF(D747&lt;0.5,1,0),0)</f>
        <v>0</v>
      </c>
      <c r="E1053" s="22">
        <f>IF(E33&gt;0,IF(E747&lt;0.5,1,0),0)</f>
        <v>0</v>
      </c>
      <c r="F1053" s="22">
        <f>IF(F33&gt;0,IF(F747&lt;0.5,1,0),0)</f>
        <v>0</v>
      </c>
      <c r="G1053" s="22">
        <f>IF(G33&gt;0,IF(G747&lt;0.5,1,0),0)</f>
        <v>0</v>
      </c>
      <c r="H1053" s="22">
        <f>IF(H33&gt;0,IF(H747&lt;0.5,1,0),0)</f>
        <v>0</v>
      </c>
      <c r="I1053" s="22">
        <f>IF(I33&gt;0,IF(I747&lt;0.5,1,0),0)</f>
        <v>0</v>
      </c>
      <c r="J1053" s="22">
        <f>IF(J33&gt;0,IF(J747&lt;0.5,1,0),0)</f>
        <v>0</v>
      </c>
      <c r="K1053" s="22">
        <f>IF(K33&gt;0,IF(K747&lt;0.5,1,0),0)</f>
        <v>0</v>
      </c>
      <c r="L1053" s="22">
        <f>IF(L33&gt;0,IF(L747&lt;0.5,1,0),0)</f>
        <v>0</v>
      </c>
      <c r="M1053" s="22">
        <f>IF(M33&gt;0,IF(M747&lt;0.5,1,0),0)</f>
        <v>0</v>
      </c>
      <c r="N1053" s="22">
        <f>IF(N33&gt;0,IF(N747&lt;0.5,1,0),0)</f>
        <v>0</v>
      </c>
      <c r="O1053" s="22">
        <f>IF(O33&gt;0,IF(O747&lt;0.5,1,0),0)</f>
        <v>0</v>
      </c>
      <c r="P1053" s="22">
        <f>IF(P33&gt;0,IF(P747&lt;0.5,1,0),0)</f>
        <v>0</v>
      </c>
      <c r="Q1053" s="22">
        <f>IF(Q33&gt;0,IF(Q747&lt;0.5,1,0),0)</f>
        <v>0</v>
      </c>
      <c r="R1053" s="22">
        <f>IF(R33&gt;0,IF(R747&lt;0.5,1,0),0)</f>
        <v>0</v>
      </c>
      <c r="S1053" s="22">
        <f>IF(S33&gt;0,IF(S747&lt;0.5,1,0),0)</f>
        <v>0</v>
      </c>
    </row>
    <row r="1054">
      <c r="A1054" s="14" t="s">
        <v>386</v>
      </c>
      <c r="B1054" s="2" t="s">
        <v>368</v>
      </c>
      <c r="C1054" s="22">
        <f>IF(C34&gt;0,IF(C748&lt;0.5,1,0),0)</f>
        <v>1</v>
      </c>
      <c r="D1054" s="22">
        <f>IF(D34&gt;0,IF(D748&lt;0.5,1,0),0)</f>
        <v>1</v>
      </c>
      <c r="E1054" s="22">
        <f>IF(E34&gt;0,IF(E748&lt;0.5,1,0),0)</f>
        <v>1</v>
      </c>
      <c r="F1054" s="22">
        <f>IF(F34&gt;0,IF(F748&lt;0.5,1,0),0)</f>
        <v>1</v>
      </c>
      <c r="G1054" s="22">
        <f>IF(G34&gt;0,IF(G748&lt;0.5,1,0),0)</f>
        <v>1</v>
      </c>
      <c r="H1054" s="22">
        <f>IF(H34&gt;0,IF(H748&lt;0.5,1,0),0)</f>
        <v>1</v>
      </c>
      <c r="I1054" s="22">
        <f>IF(I34&gt;0,IF(I748&lt;0.5,1,0),0)</f>
        <v>1</v>
      </c>
      <c r="J1054" s="22">
        <f>IF(J34&gt;0,IF(J748&lt;0.5,1,0),0)</f>
        <v>1</v>
      </c>
      <c r="K1054" s="22">
        <f>IF(K34&gt;0,IF(K748&lt;0.5,1,0),0)</f>
        <v>1</v>
      </c>
      <c r="L1054" s="22">
        <f>IF(L34&gt;0,IF(L748&lt;0.5,1,0),0)</f>
        <v>1</v>
      </c>
      <c r="M1054" s="22">
        <f>IF(M34&gt;0,IF(M748&lt;0.5,1,0),0)</f>
        <v>1</v>
      </c>
      <c r="N1054" s="22">
        <f>IF(N34&gt;0,IF(N748&lt;0.5,1,0),0)</f>
        <v>1</v>
      </c>
      <c r="O1054" s="22">
        <f>IF(O34&gt;0,IF(O748&lt;0.5,1,0),0)</f>
        <v>1</v>
      </c>
      <c r="P1054" s="22">
        <f>IF(P34&gt;0,IF(P748&lt;0.5,1,0),0)</f>
        <v>1</v>
      </c>
      <c r="Q1054" s="22">
        <f>IF(Q34&gt;0,IF(Q748&lt;0.5,1,0),0)</f>
        <v>1</v>
      </c>
      <c r="R1054" s="22">
        <f>IF(R34&gt;0,IF(R748&lt;0.5,1,0),0)</f>
        <v>1</v>
      </c>
      <c r="S1054" s="22">
        <f>IF(S34&gt;0,IF(S748&lt;0.5,1,0),0)</f>
        <v>1</v>
      </c>
    </row>
    <row r="1055">
      <c r="A1055" s="14" t="s">
        <v>124</v>
      </c>
      <c r="B1055" s="2" t="s">
        <v>368</v>
      </c>
      <c r="C1055" s="22">
        <f>IF(C35&gt;0,IF(C749&lt;0.5,1,0),0)</f>
        <v>0</v>
      </c>
      <c r="D1055" s="22">
        <f>IF(D35&gt;0,IF(D749&lt;0.5,1,0),0)</f>
        <v>0</v>
      </c>
      <c r="E1055" s="22">
        <f>IF(E35&gt;0,IF(E749&lt;0.5,1,0),0)</f>
        <v>0</v>
      </c>
      <c r="F1055" s="22">
        <f>IF(F35&gt;0,IF(F749&lt;0.5,1,0),0)</f>
        <v>0</v>
      </c>
      <c r="G1055" s="22">
        <f>IF(G35&gt;0,IF(G749&lt;0.5,1,0),0)</f>
        <v>0</v>
      </c>
      <c r="H1055" s="22">
        <f>IF(H35&gt;0,IF(H749&lt;0.5,1,0),0)</f>
        <v>0</v>
      </c>
      <c r="I1055" s="22">
        <f>IF(I35&gt;0,IF(I749&lt;0.5,1,0),0)</f>
        <v>0</v>
      </c>
      <c r="J1055" s="22">
        <f>IF(J35&gt;0,IF(J749&lt;0.5,1,0),0)</f>
        <v>0</v>
      </c>
      <c r="K1055" s="22">
        <f>IF(K35&gt;0,IF(K749&lt;0.5,1,0),0)</f>
        <v>0</v>
      </c>
      <c r="L1055" s="22">
        <f>IF(L35&gt;0,IF(L749&lt;0.5,1,0),0)</f>
        <v>0</v>
      </c>
      <c r="M1055" s="22">
        <f>IF(M35&gt;0,IF(M749&lt;0.5,1,0),0)</f>
        <v>0</v>
      </c>
      <c r="N1055" s="22">
        <f>IF(N35&gt;0,IF(N749&lt;0.5,1,0),0)</f>
        <v>0</v>
      </c>
      <c r="O1055" s="22">
        <f>IF(O35&gt;0,IF(O749&lt;0.5,1,0),0)</f>
        <v>0</v>
      </c>
      <c r="P1055" s="22">
        <f>IF(P35&gt;0,IF(P749&lt;0.5,1,0),0)</f>
        <v>0</v>
      </c>
      <c r="Q1055" s="22">
        <f>IF(Q35&gt;0,IF(Q749&lt;0.5,1,0),0)</f>
        <v>0</v>
      </c>
      <c r="R1055" s="22">
        <f>IF(R35&gt;0,IF(R749&lt;0.5,1,0),0)</f>
        <v>0</v>
      </c>
      <c r="S1055" s="22">
        <f>IF(S35&gt;0,IF(S749&lt;0.5,1,0),0)</f>
        <v>0</v>
      </c>
    </row>
    <row r="1056">
      <c r="A1056" s="14" t="s">
        <v>125</v>
      </c>
      <c r="B1056" s="2" t="s">
        <v>368</v>
      </c>
      <c r="C1056" s="22">
        <f>IF(C36&gt;0,IF(C750&lt;0.5,1,0),0)</f>
        <v>1</v>
      </c>
      <c r="D1056" s="22">
        <f>IF(D36&gt;0,IF(D750&lt;0.5,1,0),0)</f>
        <v>1</v>
      </c>
      <c r="E1056" s="22">
        <f>IF(E36&gt;0,IF(E750&lt;0.5,1,0),0)</f>
        <v>1</v>
      </c>
      <c r="F1056" s="22">
        <f>IF(F36&gt;0,IF(F750&lt;0.5,1,0),0)</f>
        <v>1</v>
      </c>
      <c r="G1056" s="22">
        <f>IF(G36&gt;0,IF(G750&lt;0.5,1,0),0)</f>
        <v>1</v>
      </c>
      <c r="H1056" s="22">
        <f>IF(H36&gt;0,IF(H750&lt;0.5,1,0),0)</f>
        <v>1</v>
      </c>
      <c r="I1056" s="22">
        <f>IF(I36&gt;0,IF(I750&lt;0.5,1,0),0)</f>
        <v>1</v>
      </c>
      <c r="J1056" s="22">
        <f>IF(J36&gt;0,IF(J750&lt;0.5,1,0),0)</f>
        <v>1</v>
      </c>
      <c r="K1056" s="22">
        <f>IF(K36&gt;0,IF(K750&lt;0.5,1,0),0)</f>
        <v>1</v>
      </c>
      <c r="L1056" s="22">
        <f>IF(L36&gt;0,IF(L750&lt;0.5,1,0),0)</f>
        <v>1</v>
      </c>
      <c r="M1056" s="22">
        <f>IF(M36&gt;0,IF(M750&lt;0.5,1,0),0)</f>
        <v>1</v>
      </c>
      <c r="N1056" s="22">
        <f>IF(N36&gt;0,IF(N750&lt;0.5,1,0),0)</f>
        <v>1</v>
      </c>
      <c r="O1056" s="22">
        <f>IF(O36&gt;0,IF(O750&lt;0.5,1,0),0)</f>
        <v>1</v>
      </c>
      <c r="P1056" s="22">
        <f>IF(P36&gt;0,IF(P750&lt;0.5,1,0),0)</f>
        <v>1</v>
      </c>
      <c r="Q1056" s="22">
        <f>IF(Q36&gt;0,IF(Q750&lt;0.5,1,0),0)</f>
        <v>1</v>
      </c>
      <c r="R1056" s="22">
        <f>IF(R36&gt;0,IF(R750&lt;0.5,1,0),0)</f>
        <v>1</v>
      </c>
      <c r="S1056" s="22">
        <f>IF(S36&gt;0,IF(S750&lt;0.5,1,0),0)</f>
        <v>1</v>
      </c>
    </row>
    <row r="1057">
      <c r="A1057" s="14" t="s">
        <v>387</v>
      </c>
      <c r="B1057" s="2" t="s">
        <v>368</v>
      </c>
      <c r="C1057" s="22">
        <f>IF(C37&gt;0,IF(C751&lt;0.5,1,0),0)</f>
        <v>0</v>
      </c>
      <c r="D1057" s="22">
        <f>IF(D37&gt;0,IF(D751&lt;0.5,1,0),0)</f>
        <v>0</v>
      </c>
      <c r="E1057" s="22">
        <f>IF(E37&gt;0,IF(E751&lt;0.5,1,0),0)</f>
        <v>0</v>
      </c>
      <c r="F1057" s="22">
        <f>IF(F37&gt;0,IF(F751&lt;0.5,1,0),0)</f>
        <v>0</v>
      </c>
      <c r="G1057" s="22">
        <f>IF(G37&gt;0,IF(G751&lt;0.5,1,0),0)</f>
        <v>0</v>
      </c>
      <c r="H1057" s="22">
        <f>IF(H37&gt;0,IF(H751&lt;0.5,1,0),0)</f>
        <v>0</v>
      </c>
      <c r="I1057" s="22">
        <f>IF(I37&gt;0,IF(I751&lt;0.5,1,0),0)</f>
        <v>0</v>
      </c>
      <c r="J1057" s="22">
        <f>IF(J37&gt;0,IF(J751&lt;0.5,1,0),0)</f>
        <v>0</v>
      </c>
      <c r="K1057" s="22">
        <f>IF(K37&gt;0,IF(K751&lt;0.5,1,0),0)</f>
        <v>0</v>
      </c>
      <c r="L1057" s="22">
        <f>IF(L37&gt;0,IF(L751&lt;0.5,1,0),0)</f>
        <v>0</v>
      </c>
      <c r="M1057" s="22">
        <f>IF(M37&gt;0,IF(M751&lt;0.5,1,0),0)</f>
        <v>0</v>
      </c>
      <c r="N1057" s="22">
        <f>IF(N37&gt;0,IF(N751&lt;0.5,1,0),0)</f>
        <v>0</v>
      </c>
      <c r="O1057" s="22">
        <f>IF(O37&gt;0,IF(O751&lt;0.5,1,0),0)</f>
        <v>0</v>
      </c>
      <c r="P1057" s="22">
        <f>IF(P37&gt;0,IF(P751&lt;0.5,1,0),0)</f>
        <v>0</v>
      </c>
      <c r="Q1057" s="22">
        <f>IF(Q37&gt;0,IF(Q751&lt;0.5,1,0),0)</f>
        <v>0</v>
      </c>
      <c r="R1057" s="22">
        <f>IF(R37&gt;0,IF(R751&lt;0.5,1,0),0)</f>
        <v>0</v>
      </c>
      <c r="S1057" s="22">
        <f>IF(S37&gt;0,IF(S751&lt;0.5,1,0),0)</f>
        <v>0</v>
      </c>
    </row>
    <row r="1058">
      <c r="A1058" s="14" t="s">
        <v>127</v>
      </c>
      <c r="B1058" s="2" t="s">
        <v>368</v>
      </c>
      <c r="C1058" s="22">
        <f>IF(C38&gt;0,IF(C752&lt;0.5,1,0),0)</f>
        <v>1</v>
      </c>
      <c r="D1058" s="22">
        <f>IF(D38&gt;0,IF(D752&lt;0.5,1,0),0)</f>
        <v>1</v>
      </c>
      <c r="E1058" s="22">
        <f>IF(E38&gt;0,IF(E752&lt;0.5,1,0),0)</f>
        <v>1</v>
      </c>
      <c r="F1058" s="22">
        <f>IF(F38&gt;0,IF(F752&lt;0.5,1,0),0)</f>
        <v>1</v>
      </c>
      <c r="G1058" s="22">
        <f>IF(G38&gt;0,IF(G752&lt;0.5,1,0),0)</f>
        <v>1</v>
      </c>
      <c r="H1058" s="22">
        <f>IF(H38&gt;0,IF(H752&lt;0.5,1,0),0)</f>
        <v>1</v>
      </c>
      <c r="I1058" s="22">
        <f>IF(I38&gt;0,IF(I752&lt;0.5,1,0),0)</f>
        <v>1</v>
      </c>
      <c r="J1058" s="22">
        <f>IF(J38&gt;0,IF(J752&lt;0.5,1,0),0)</f>
        <v>1</v>
      </c>
      <c r="K1058" s="22">
        <f>IF(K38&gt;0,IF(K752&lt;0.5,1,0),0)</f>
        <v>1</v>
      </c>
      <c r="L1058" s="22">
        <f>IF(L38&gt;0,IF(L752&lt;0.5,1,0),0)</f>
        <v>1</v>
      </c>
      <c r="M1058" s="22">
        <f>IF(M38&gt;0,IF(M752&lt;0.5,1,0),0)</f>
        <v>1</v>
      </c>
      <c r="N1058" s="22">
        <f>IF(N38&gt;0,IF(N752&lt;0.5,1,0),0)</f>
        <v>1</v>
      </c>
      <c r="O1058" s="22">
        <f>IF(O38&gt;0,IF(O752&lt;0.5,1,0),0)</f>
        <v>1</v>
      </c>
      <c r="P1058" s="22">
        <f>IF(P38&gt;0,IF(P752&lt;0.5,1,0),0)</f>
        <v>1</v>
      </c>
      <c r="Q1058" s="22">
        <f>IF(Q38&gt;0,IF(Q752&lt;0.5,1,0),0)</f>
        <v>1</v>
      </c>
      <c r="R1058" s="22">
        <f>IF(R38&gt;0,IF(R752&lt;0.5,1,0),0)</f>
        <v>1</v>
      </c>
      <c r="S1058" s="22">
        <f>IF(S38&gt;0,IF(S752&lt;0.5,1,0),0)</f>
        <v>1</v>
      </c>
    </row>
    <row r="1059">
      <c r="A1059" s="14" t="s">
        <v>128</v>
      </c>
      <c r="B1059" s="2" t="s">
        <v>368</v>
      </c>
      <c r="C1059" s="22">
        <f>IF(C39&gt;0,IF(C753&lt;0.5,1,0),0)</f>
        <v>1</v>
      </c>
      <c r="D1059" s="22">
        <f>IF(D39&gt;0,IF(D753&lt;0.5,1,0),0)</f>
        <v>1</v>
      </c>
      <c r="E1059" s="22">
        <f>IF(E39&gt;0,IF(E753&lt;0.5,1,0),0)</f>
        <v>1</v>
      </c>
      <c r="F1059" s="22">
        <f>IF(F39&gt;0,IF(F753&lt;0.5,1,0),0)</f>
        <v>1</v>
      </c>
      <c r="G1059" s="22">
        <f>IF(G39&gt;0,IF(G753&lt;0.5,1,0),0)</f>
        <v>1</v>
      </c>
      <c r="H1059" s="22">
        <f>IF(H39&gt;0,IF(H753&lt;0.5,1,0),0)</f>
        <v>1</v>
      </c>
      <c r="I1059" s="22">
        <f>IF(I39&gt;0,IF(I753&lt;0.5,1,0),0)</f>
        <v>1</v>
      </c>
      <c r="J1059" s="22">
        <f>IF(J39&gt;0,IF(J753&lt;0.5,1,0),0)</f>
        <v>1</v>
      </c>
      <c r="K1059" s="22">
        <f>IF(K39&gt;0,IF(K753&lt;0.5,1,0),0)</f>
        <v>1</v>
      </c>
      <c r="L1059" s="22">
        <f>IF(L39&gt;0,IF(L753&lt;0.5,1,0),0)</f>
        <v>1</v>
      </c>
      <c r="M1059" s="22">
        <f>IF(M39&gt;0,IF(M753&lt;0.5,1,0),0)</f>
        <v>1</v>
      </c>
      <c r="N1059" s="22">
        <f>IF(N39&gt;0,IF(N753&lt;0.5,1,0),0)</f>
        <v>1</v>
      </c>
      <c r="O1059" s="22">
        <f>IF(O39&gt;0,IF(O753&lt;0.5,1,0),0)</f>
        <v>1</v>
      </c>
      <c r="P1059" s="22">
        <f>IF(P39&gt;0,IF(P753&lt;0.5,1,0),0)</f>
        <v>1</v>
      </c>
      <c r="Q1059" s="22">
        <f>IF(Q39&gt;0,IF(Q753&lt;0.5,1,0),0)</f>
        <v>1</v>
      </c>
      <c r="R1059" s="22">
        <f>IF(R39&gt;0,IF(R753&lt;0.5,1,0),0)</f>
        <v>1</v>
      </c>
      <c r="S1059" s="22">
        <f>IF(S39&gt;0,IF(S753&lt;0.5,1,0),0)</f>
        <v>1</v>
      </c>
    </row>
    <row r="1060">
      <c r="A1060" s="14" t="s">
        <v>388</v>
      </c>
      <c r="B1060" s="2" t="s">
        <v>368</v>
      </c>
      <c r="C1060" s="22">
        <f>IF(C40&gt;0,IF(C754&lt;0.5,1,0),0)</f>
        <v>0</v>
      </c>
      <c r="D1060" s="22">
        <f>IF(D40&gt;0,IF(D754&lt;0.5,1,0),0)</f>
        <v>0</v>
      </c>
      <c r="E1060" s="22">
        <f>IF(E40&gt;0,IF(E754&lt;0.5,1,0),0)</f>
        <v>0</v>
      </c>
      <c r="F1060" s="22">
        <f>IF(F40&gt;0,IF(F754&lt;0.5,1,0),0)</f>
        <v>0</v>
      </c>
      <c r="G1060" s="22">
        <f>IF(G40&gt;0,IF(G754&lt;0.5,1,0),0)</f>
        <v>0</v>
      </c>
      <c r="H1060" s="22">
        <f>IF(H40&gt;0,IF(H754&lt;0.5,1,0),0)</f>
        <v>0</v>
      </c>
      <c r="I1060" s="22">
        <f>IF(I40&gt;0,IF(I754&lt;0.5,1,0),0)</f>
        <v>0</v>
      </c>
      <c r="J1060" s="22">
        <f>IF(J40&gt;0,IF(J754&lt;0.5,1,0),0)</f>
        <v>0</v>
      </c>
      <c r="K1060" s="22">
        <f>IF(K40&gt;0,IF(K754&lt;0.5,1,0),0)</f>
        <v>0</v>
      </c>
      <c r="L1060" s="22">
        <f>IF(L40&gt;0,IF(L754&lt;0.5,1,0),0)</f>
        <v>0</v>
      </c>
      <c r="M1060" s="22">
        <f>IF(M40&gt;0,IF(M754&lt;0.5,1,0),0)</f>
        <v>0</v>
      </c>
      <c r="N1060" s="22">
        <f>IF(N40&gt;0,IF(N754&lt;0.5,1,0),0)</f>
        <v>0</v>
      </c>
      <c r="O1060" s="22">
        <f>IF(O40&gt;0,IF(O754&lt;0.5,1,0),0)</f>
        <v>0</v>
      </c>
      <c r="P1060" s="22">
        <f>IF(P40&gt;0,IF(P754&lt;0.5,1,0),0)</f>
        <v>0</v>
      </c>
      <c r="Q1060" s="22">
        <f>IF(Q40&gt;0,IF(Q754&lt;0.5,1,0),0)</f>
        <v>0</v>
      </c>
      <c r="R1060" s="22">
        <f>IF(R40&gt;0,IF(R754&lt;0.5,1,0),0)</f>
        <v>0</v>
      </c>
      <c r="S1060" s="22">
        <f>IF(S40&gt;0,IF(S754&lt;0.5,1,0),0)</f>
        <v>0</v>
      </c>
    </row>
    <row r="1061">
      <c r="A1061" s="14" t="s">
        <v>389</v>
      </c>
      <c r="B1061" s="2" t="s">
        <v>368</v>
      </c>
      <c r="C1061" s="22">
        <f>IF(C41&gt;0,IF(C755&lt;0.5,1,0),0)</f>
        <v>1</v>
      </c>
      <c r="D1061" s="22">
        <f>IF(D41&gt;0,IF(D755&lt;0.5,1,0),0)</f>
        <v>1</v>
      </c>
      <c r="E1061" s="22">
        <f>IF(E41&gt;0,IF(E755&lt;0.5,1,0),0)</f>
        <v>1</v>
      </c>
      <c r="F1061" s="22">
        <f>IF(F41&gt;0,IF(F755&lt;0.5,1,0),0)</f>
        <v>1</v>
      </c>
      <c r="G1061" s="22">
        <f>IF(G41&gt;0,IF(G755&lt;0.5,1,0),0)</f>
        <v>1</v>
      </c>
      <c r="H1061" s="22">
        <f>IF(H41&gt;0,IF(H755&lt;0.5,1,0),0)</f>
        <v>1</v>
      </c>
      <c r="I1061" s="22">
        <f>IF(I41&gt;0,IF(I755&lt;0.5,1,0),0)</f>
        <v>1</v>
      </c>
      <c r="J1061" s="22">
        <f>IF(J41&gt;0,IF(J755&lt;0.5,1,0),0)</f>
        <v>1</v>
      </c>
      <c r="K1061" s="22">
        <f>IF(K41&gt;0,IF(K755&lt;0.5,1,0),0)</f>
        <v>1</v>
      </c>
      <c r="L1061" s="22">
        <f>IF(L41&gt;0,IF(L755&lt;0.5,1,0),0)</f>
        <v>0</v>
      </c>
      <c r="M1061" s="22">
        <f>IF(M41&gt;0,IF(M755&lt;0.5,1,0),0)</f>
        <v>0</v>
      </c>
      <c r="N1061" s="22">
        <f>IF(N41&gt;0,IF(N755&lt;0.5,1,0),0)</f>
        <v>0</v>
      </c>
      <c r="O1061" s="22">
        <f>IF(O41&gt;0,IF(O755&lt;0.5,1,0),0)</f>
        <v>0</v>
      </c>
      <c r="P1061" s="22">
        <f>IF(P41&gt;0,IF(P755&lt;0.5,1,0),0)</f>
        <v>0</v>
      </c>
      <c r="Q1061" s="22">
        <f>IF(Q41&gt;0,IF(Q755&lt;0.5,1,0),0)</f>
        <v>0</v>
      </c>
      <c r="R1061" s="22">
        <f>IF(R41&gt;0,IF(R755&lt;0.5,1,0),0)</f>
        <v>0</v>
      </c>
      <c r="S1061" s="22">
        <f>IF(S41&gt;0,IF(S755&lt;0.5,1,0),0)</f>
        <v>0</v>
      </c>
    </row>
    <row r="1062">
      <c r="A1062" s="14" t="s">
        <v>131</v>
      </c>
      <c r="B1062" s="2" t="s">
        <v>368</v>
      </c>
      <c r="C1062" s="22">
        <f>IF(C42&gt;0,IF(C756&lt;0.5,1,0),0)</f>
        <v>1</v>
      </c>
      <c r="D1062" s="22">
        <f>IF(D42&gt;0,IF(D756&lt;0.5,1,0),0)</f>
        <v>1</v>
      </c>
      <c r="E1062" s="22">
        <f>IF(E42&gt;0,IF(E756&lt;0.5,1,0),0)</f>
        <v>1</v>
      </c>
      <c r="F1062" s="22">
        <f>IF(F42&gt;0,IF(F756&lt;0.5,1,0),0)</f>
        <v>1</v>
      </c>
      <c r="G1062" s="22">
        <f>IF(G42&gt;0,IF(G756&lt;0.5,1,0),0)</f>
        <v>1</v>
      </c>
      <c r="H1062" s="22">
        <f>IF(H42&gt;0,IF(H756&lt;0.5,1,0),0)</f>
        <v>1</v>
      </c>
      <c r="I1062" s="22">
        <f>IF(I42&gt;0,IF(I756&lt;0.5,1,0),0)</f>
        <v>1</v>
      </c>
      <c r="J1062" s="22">
        <f>IF(J42&gt;0,IF(J756&lt;0.5,1,0),0)</f>
        <v>1</v>
      </c>
      <c r="K1062" s="22">
        <f>IF(K42&gt;0,IF(K756&lt;0.5,1,0),0)</f>
        <v>0</v>
      </c>
      <c r="L1062" s="22">
        <f>IF(L42&gt;0,IF(L756&lt;0.5,1,0),0)</f>
        <v>0</v>
      </c>
      <c r="M1062" s="22">
        <f>IF(M42&gt;0,IF(M756&lt;0.5,1,0),0)</f>
        <v>0</v>
      </c>
      <c r="N1062" s="22">
        <f>IF(N42&gt;0,IF(N756&lt;0.5,1,0),0)</f>
        <v>0</v>
      </c>
      <c r="O1062" s="22">
        <f>IF(O42&gt;0,IF(O756&lt;0.5,1,0),0)</f>
        <v>0</v>
      </c>
      <c r="P1062" s="22">
        <f>IF(P42&gt;0,IF(P756&lt;0.5,1,0),0)</f>
        <v>0</v>
      </c>
      <c r="Q1062" s="22">
        <f>IF(Q42&gt;0,IF(Q756&lt;0.5,1,0),0)</f>
        <v>0</v>
      </c>
      <c r="R1062" s="22">
        <f>IF(R42&gt;0,IF(R756&lt;0.5,1,0),0)</f>
        <v>0</v>
      </c>
      <c r="S1062" s="22">
        <f>IF(S42&gt;0,IF(S756&lt;0.5,1,0),0)</f>
        <v>0</v>
      </c>
    </row>
    <row r="1063">
      <c r="A1063" s="14" t="s">
        <v>390</v>
      </c>
      <c r="B1063" s="2" t="s">
        <v>368</v>
      </c>
      <c r="C1063" s="22">
        <f>IF(C43&gt;0,IF(C757&lt;0.5,1,0),0)</f>
        <v>0</v>
      </c>
      <c r="D1063" s="22">
        <f>IF(D43&gt;0,IF(D757&lt;0.5,1,0),0)</f>
        <v>0</v>
      </c>
      <c r="E1063" s="22">
        <f>IF(E43&gt;0,IF(E757&lt;0.5,1,0),0)</f>
        <v>0</v>
      </c>
      <c r="F1063" s="22">
        <f>IF(F43&gt;0,IF(F757&lt;0.5,1,0),0)</f>
        <v>0</v>
      </c>
      <c r="G1063" s="22">
        <f>IF(G43&gt;0,IF(G757&lt;0.5,1,0),0)</f>
        <v>0</v>
      </c>
      <c r="H1063" s="22">
        <f>IF(H43&gt;0,IF(H757&lt;0.5,1,0),0)</f>
        <v>0</v>
      </c>
      <c r="I1063" s="22">
        <f>IF(I43&gt;0,IF(I757&lt;0.5,1,0),0)</f>
        <v>0</v>
      </c>
      <c r="J1063" s="22">
        <f>IF(J43&gt;0,IF(J757&lt;0.5,1,0),0)</f>
        <v>0</v>
      </c>
      <c r="K1063" s="22">
        <f>IF(K43&gt;0,IF(K757&lt;0.5,1,0),0)</f>
        <v>0</v>
      </c>
      <c r="L1063" s="22">
        <f>IF(L43&gt;0,IF(L757&lt;0.5,1,0),0)</f>
        <v>0</v>
      </c>
      <c r="M1063" s="22">
        <f>IF(M43&gt;0,IF(M757&lt;0.5,1,0),0)</f>
        <v>0</v>
      </c>
      <c r="N1063" s="22">
        <f>IF(N43&gt;0,IF(N757&lt;0.5,1,0),0)</f>
        <v>0</v>
      </c>
      <c r="O1063" s="22">
        <f>IF(O43&gt;0,IF(O757&lt;0.5,1,0),0)</f>
        <v>0</v>
      </c>
      <c r="P1063" s="22">
        <f>IF(P43&gt;0,IF(P757&lt;0.5,1,0),0)</f>
        <v>0</v>
      </c>
      <c r="Q1063" s="22">
        <f>IF(Q43&gt;0,IF(Q757&lt;0.5,1,0),0)</f>
        <v>0</v>
      </c>
      <c r="R1063" s="22">
        <f>IF(R43&gt;0,IF(R757&lt;0.5,1,0),0)</f>
        <v>0</v>
      </c>
      <c r="S1063" s="22">
        <f>IF(S43&gt;0,IF(S757&lt;0.5,1,0),0)</f>
        <v>0</v>
      </c>
    </row>
    <row r="1064">
      <c r="A1064" s="14" t="s">
        <v>133</v>
      </c>
      <c r="B1064" s="2" t="s">
        <v>368</v>
      </c>
      <c r="C1064" s="22">
        <f>IF(C44&gt;0,IF(C758&lt;0.5,1,0),0)</f>
        <v>1</v>
      </c>
      <c r="D1064" s="22">
        <f>IF(D44&gt;0,IF(D758&lt;0.5,1,0),0)</f>
        <v>1</v>
      </c>
      <c r="E1064" s="22">
        <f>IF(E44&gt;0,IF(E758&lt;0.5,1,0),0)</f>
        <v>1</v>
      </c>
      <c r="F1064" s="22">
        <f>IF(F44&gt;0,IF(F758&lt;0.5,1,0),0)</f>
        <v>1</v>
      </c>
      <c r="G1064" s="22">
        <f>IF(G44&gt;0,IF(G758&lt;0.5,1,0),0)</f>
        <v>1</v>
      </c>
      <c r="H1064" s="22">
        <f>IF(H44&gt;0,IF(H758&lt;0.5,1,0),0)</f>
        <v>0</v>
      </c>
      <c r="I1064" s="22">
        <f>IF(I44&gt;0,IF(I758&lt;0.5,1,0),0)</f>
        <v>0</v>
      </c>
      <c r="J1064" s="22">
        <f>IF(J44&gt;0,IF(J758&lt;0.5,1,0),0)</f>
        <v>0</v>
      </c>
      <c r="K1064" s="22">
        <f>IF(K44&gt;0,IF(K758&lt;0.5,1,0),0)</f>
        <v>0</v>
      </c>
      <c r="L1064" s="22">
        <f>IF(L44&gt;0,IF(L758&lt;0.5,1,0),0)</f>
        <v>0</v>
      </c>
      <c r="M1064" s="22">
        <f>IF(M44&gt;0,IF(M758&lt;0.5,1,0),0)</f>
        <v>0</v>
      </c>
      <c r="N1064" s="22">
        <f>IF(N44&gt;0,IF(N758&lt;0.5,1,0),0)</f>
        <v>0</v>
      </c>
      <c r="O1064" s="22">
        <f>IF(O44&gt;0,IF(O758&lt;0.5,1,0),0)</f>
        <v>0</v>
      </c>
      <c r="P1064" s="22">
        <f>IF(P44&gt;0,IF(P758&lt;0.5,1,0),0)</f>
        <v>0</v>
      </c>
      <c r="Q1064" s="22">
        <f>IF(Q44&gt;0,IF(Q758&lt;0.5,1,0),0)</f>
        <v>0</v>
      </c>
      <c r="R1064" s="22">
        <f>IF(R44&gt;0,IF(R758&lt;0.5,1,0),0)</f>
        <v>0</v>
      </c>
      <c r="S1064" s="22">
        <f>IF(S44&gt;0,IF(S758&lt;0.5,1,0),0)</f>
        <v>0</v>
      </c>
    </row>
    <row r="1065">
      <c r="A1065" s="14" t="s">
        <v>134</v>
      </c>
      <c r="B1065" s="2" t="s">
        <v>368</v>
      </c>
      <c r="C1065" s="22">
        <f>IF(C45&gt;0,IF(C759&lt;0.5,1,0),0)</f>
        <v>0</v>
      </c>
      <c r="D1065" s="22">
        <f>IF(D45&gt;0,IF(D759&lt;0.5,1,0),0)</f>
        <v>0</v>
      </c>
      <c r="E1065" s="22">
        <f>IF(E45&gt;0,IF(E759&lt;0.5,1,0),0)</f>
        <v>0</v>
      </c>
      <c r="F1065" s="22">
        <f>IF(F45&gt;0,IF(F759&lt;0.5,1,0),0)</f>
        <v>0</v>
      </c>
      <c r="G1065" s="22">
        <f>IF(G45&gt;0,IF(G759&lt;0.5,1,0),0)</f>
        <v>0</v>
      </c>
      <c r="H1065" s="22">
        <f>IF(H45&gt;0,IF(H759&lt;0.5,1,0),0)</f>
        <v>0</v>
      </c>
      <c r="I1065" s="22">
        <f>IF(I45&gt;0,IF(I759&lt;0.5,1,0),0)</f>
        <v>0</v>
      </c>
      <c r="J1065" s="22">
        <f>IF(J45&gt;0,IF(J759&lt;0.5,1,0),0)</f>
        <v>0</v>
      </c>
      <c r="K1065" s="22">
        <f>IF(K45&gt;0,IF(K759&lt;0.5,1,0),0)</f>
        <v>0</v>
      </c>
      <c r="L1065" s="22">
        <f>IF(L45&gt;0,IF(L759&lt;0.5,1,0),0)</f>
        <v>0</v>
      </c>
      <c r="M1065" s="22">
        <f>IF(M45&gt;0,IF(M759&lt;0.5,1,0),0)</f>
        <v>0</v>
      </c>
      <c r="N1065" s="22">
        <f>IF(N45&gt;0,IF(N759&lt;0.5,1,0),0)</f>
        <v>0</v>
      </c>
      <c r="O1065" s="22">
        <f>IF(O45&gt;0,IF(O759&lt;0.5,1,0),0)</f>
        <v>0</v>
      </c>
      <c r="P1065" s="22">
        <f>IF(P45&gt;0,IF(P759&lt;0.5,1,0),0)</f>
        <v>0</v>
      </c>
      <c r="Q1065" s="22">
        <f>IF(Q45&gt;0,IF(Q759&lt;0.5,1,0),0)</f>
        <v>0</v>
      </c>
      <c r="R1065" s="22">
        <f>IF(R45&gt;0,IF(R759&lt;0.5,1,0),0)</f>
        <v>0</v>
      </c>
      <c r="S1065" s="22">
        <f>IF(S45&gt;0,IF(S759&lt;0.5,1,0),0)</f>
        <v>0</v>
      </c>
    </row>
    <row r="1066">
      <c r="A1066" s="14" t="s">
        <v>135</v>
      </c>
      <c r="B1066" s="2" t="s">
        <v>368</v>
      </c>
      <c r="C1066" s="22">
        <f>IF(C46&gt;0,IF(C760&lt;0.5,1,0),0)</f>
        <v>1</v>
      </c>
      <c r="D1066" s="22">
        <f>IF(D46&gt;0,IF(D760&lt;0.5,1,0),0)</f>
        <v>1</v>
      </c>
      <c r="E1066" s="22">
        <f>IF(E46&gt;0,IF(E760&lt;0.5,1,0),0)</f>
        <v>1</v>
      </c>
      <c r="F1066" s="22">
        <f>IF(F46&gt;0,IF(F760&lt;0.5,1,0),0)</f>
        <v>1</v>
      </c>
      <c r="G1066" s="22">
        <f>IF(G46&gt;0,IF(G760&lt;0.5,1,0),0)</f>
        <v>1</v>
      </c>
      <c r="H1066" s="22">
        <f>IF(H46&gt;0,IF(H760&lt;0.5,1,0),0)</f>
        <v>1</v>
      </c>
      <c r="I1066" s="22">
        <f>IF(I46&gt;0,IF(I760&lt;0.5,1,0),0)</f>
        <v>1</v>
      </c>
      <c r="J1066" s="22">
        <f>IF(J46&gt;0,IF(J760&lt;0.5,1,0),0)</f>
        <v>1</v>
      </c>
      <c r="K1066" s="22">
        <f>IF(K46&gt;0,IF(K760&lt;0.5,1,0),0)</f>
        <v>0</v>
      </c>
      <c r="L1066" s="22">
        <f>IF(L46&gt;0,IF(L760&lt;0.5,1,0),0)</f>
        <v>0</v>
      </c>
      <c r="M1066" s="22">
        <f>IF(M46&gt;0,IF(M760&lt;0.5,1,0),0)</f>
        <v>0</v>
      </c>
      <c r="N1066" s="22">
        <f>IF(N46&gt;0,IF(N760&lt;0.5,1,0),0)</f>
        <v>0</v>
      </c>
      <c r="O1066" s="22">
        <f>IF(O46&gt;0,IF(O760&lt;0.5,1,0),0)</f>
        <v>0</v>
      </c>
      <c r="P1066" s="22">
        <f>IF(P46&gt;0,IF(P760&lt;0.5,1,0),0)</f>
        <v>0</v>
      </c>
      <c r="Q1066" s="22">
        <f>IF(Q46&gt;0,IF(Q760&lt;0.5,1,0),0)</f>
        <v>0</v>
      </c>
      <c r="R1066" s="22">
        <f>IF(R46&gt;0,IF(R760&lt;0.5,1,0),0)</f>
        <v>0</v>
      </c>
      <c r="S1066" s="22">
        <f>IF(S46&gt;0,IF(S760&lt;0.5,1,0),0)</f>
        <v>0</v>
      </c>
    </row>
    <row r="1067">
      <c r="A1067" s="14" t="s">
        <v>391</v>
      </c>
      <c r="B1067" s="2" t="s">
        <v>368</v>
      </c>
      <c r="C1067" s="22">
        <f>IF(C47&gt;0,IF(C761&lt;0.5,1,0),0)</f>
        <v>0</v>
      </c>
      <c r="D1067" s="22">
        <f>IF(D47&gt;0,IF(D761&lt;0.5,1,0),0)</f>
        <v>0</v>
      </c>
      <c r="E1067" s="22">
        <f>IF(E47&gt;0,IF(E761&lt;0.5,1,0),0)</f>
        <v>0</v>
      </c>
      <c r="F1067" s="22">
        <f>IF(F47&gt;0,IF(F761&lt;0.5,1,0),0)</f>
        <v>0</v>
      </c>
      <c r="G1067" s="22">
        <f>IF(G47&gt;0,IF(G761&lt;0.5,1,0),0)</f>
        <v>0</v>
      </c>
      <c r="H1067" s="22">
        <f>IF(H47&gt;0,IF(H761&lt;0.5,1,0),0)</f>
        <v>0</v>
      </c>
      <c r="I1067" s="22">
        <f>IF(I47&gt;0,IF(I761&lt;0.5,1,0),0)</f>
        <v>0</v>
      </c>
      <c r="J1067" s="22">
        <f>IF(J47&gt;0,IF(J761&lt;0.5,1,0),0)</f>
        <v>0</v>
      </c>
      <c r="K1067" s="22">
        <f>IF(K47&gt;0,IF(K761&lt;0.5,1,0),0)</f>
        <v>0</v>
      </c>
      <c r="L1067" s="22">
        <f>IF(L47&gt;0,IF(L761&lt;0.5,1,0),0)</f>
        <v>0</v>
      </c>
      <c r="M1067" s="22">
        <f>IF(M47&gt;0,IF(M761&lt;0.5,1,0),0)</f>
        <v>0</v>
      </c>
      <c r="N1067" s="22">
        <f>IF(N47&gt;0,IF(N761&lt;0.5,1,0),0)</f>
        <v>0</v>
      </c>
      <c r="O1067" s="22">
        <f>IF(O47&gt;0,IF(O761&lt;0.5,1,0),0)</f>
        <v>0</v>
      </c>
      <c r="P1067" s="22">
        <f>IF(P47&gt;0,IF(P761&lt;0.5,1,0),0)</f>
        <v>0</v>
      </c>
      <c r="Q1067" s="22">
        <f>IF(Q47&gt;0,IF(Q761&lt;0.5,1,0),0)</f>
        <v>0</v>
      </c>
      <c r="R1067" s="22">
        <f>IF(R47&gt;0,IF(R761&lt;0.5,1,0),0)</f>
        <v>0</v>
      </c>
      <c r="S1067" s="22">
        <f>IF(S47&gt;0,IF(S761&lt;0.5,1,0),0)</f>
        <v>0</v>
      </c>
    </row>
    <row r="1068">
      <c r="A1068" s="14" t="s">
        <v>392</v>
      </c>
      <c r="B1068" s="2" t="s">
        <v>393</v>
      </c>
      <c r="C1068" s="10">
        <v>0</v>
      </c>
      <c r="D1068" s="10">
        <v>0</v>
      </c>
      <c r="E1068" s="10">
        <v>0</v>
      </c>
      <c r="F1068" s="10">
        <v>0</v>
      </c>
      <c r="G1068" s="10">
        <v>0</v>
      </c>
      <c r="H1068" s="10">
        <v>0</v>
      </c>
      <c r="I1068" s="10">
        <v>0</v>
      </c>
      <c r="J1068" s="10">
        <v>0</v>
      </c>
      <c r="K1068" s="10">
        <v>0</v>
      </c>
      <c r="L1068" s="10">
        <v>0</v>
      </c>
      <c r="M1068" s="10">
        <v>0</v>
      </c>
      <c r="N1068" s="10">
        <v>0</v>
      </c>
      <c r="O1068" s="10">
        <v>0</v>
      </c>
      <c r="P1068" s="10">
        <v>0</v>
      </c>
      <c r="Q1068" s="10">
        <v>0</v>
      </c>
      <c r="R1068" s="10">
        <v>0</v>
      </c>
      <c r="S1068" s="10">
        <v>0</v>
      </c>
    </row>
    <row r="1069">
      <c r="A1069" s="14" t="s">
        <v>394</v>
      </c>
      <c r="B1069" s="2" t="s">
        <v>393</v>
      </c>
      <c r="C1069" s="10">
        <v>0</v>
      </c>
      <c r="D1069" s="10">
        <v>0</v>
      </c>
      <c r="E1069" s="10">
        <v>0</v>
      </c>
      <c r="F1069" s="10">
        <v>0</v>
      </c>
      <c r="G1069" s="10">
        <v>0</v>
      </c>
      <c r="H1069" s="10">
        <v>0</v>
      </c>
      <c r="I1069" s="10">
        <v>0</v>
      </c>
      <c r="J1069" s="10">
        <v>0</v>
      </c>
      <c r="K1069" s="10">
        <v>0</v>
      </c>
      <c r="L1069" s="10">
        <v>0</v>
      </c>
      <c r="M1069" s="10">
        <v>0</v>
      </c>
      <c r="N1069" s="10">
        <v>0</v>
      </c>
      <c r="O1069" s="10">
        <v>0</v>
      </c>
      <c r="P1069" s="10">
        <v>0</v>
      </c>
      <c r="Q1069" s="10">
        <v>0</v>
      </c>
      <c r="R1069" s="10">
        <v>0</v>
      </c>
      <c r="S1069" s="10">
        <v>0</v>
      </c>
    </row>
    <row r="1070">
      <c r="A1070" s="14" t="s">
        <v>395</v>
      </c>
      <c r="B1070" s="2" t="s">
        <v>393</v>
      </c>
      <c r="C1070" s="10">
        <v>0</v>
      </c>
      <c r="D1070" s="10">
        <v>0</v>
      </c>
      <c r="E1070" s="10">
        <v>0</v>
      </c>
      <c r="F1070" s="10">
        <v>0</v>
      </c>
      <c r="G1070" s="10">
        <v>0</v>
      </c>
      <c r="H1070" s="10">
        <v>0</v>
      </c>
      <c r="I1070" s="10">
        <v>0</v>
      </c>
      <c r="J1070" s="10">
        <v>0</v>
      </c>
      <c r="K1070" s="10">
        <v>0</v>
      </c>
      <c r="L1070" s="10">
        <v>0</v>
      </c>
      <c r="M1070" s="10">
        <v>0</v>
      </c>
      <c r="N1070" s="10">
        <v>0</v>
      </c>
      <c r="O1070" s="10">
        <v>0</v>
      </c>
      <c r="P1070" s="10">
        <v>0</v>
      </c>
      <c r="Q1070" s="10">
        <v>0</v>
      </c>
      <c r="R1070" s="10">
        <v>0</v>
      </c>
      <c r="S1070" s="10">
        <v>0</v>
      </c>
    </row>
    <row r="1071">
      <c r="A1071" s="14" t="s">
        <v>396</v>
      </c>
      <c r="B1071" s="2" t="s">
        <v>393</v>
      </c>
      <c r="C1071" s="10">
        <v>0</v>
      </c>
      <c r="D1071" s="10">
        <v>0</v>
      </c>
      <c r="E1071" s="10">
        <v>0</v>
      </c>
      <c r="F1071" s="10">
        <v>0</v>
      </c>
      <c r="G1071" s="10">
        <v>0</v>
      </c>
      <c r="H1071" s="10">
        <v>0</v>
      </c>
      <c r="I1071" s="10">
        <v>0</v>
      </c>
      <c r="J1071" s="10">
        <v>0</v>
      </c>
      <c r="K1071" s="10">
        <v>0</v>
      </c>
      <c r="L1071" s="10">
        <v>0</v>
      </c>
      <c r="M1071" s="10">
        <v>0</v>
      </c>
      <c r="N1071" s="10">
        <v>0</v>
      </c>
      <c r="O1071" s="10">
        <v>0</v>
      </c>
      <c r="P1071" s="10">
        <v>0</v>
      </c>
      <c r="Q1071" s="10">
        <v>0</v>
      </c>
      <c r="R1071" s="10">
        <v>0</v>
      </c>
      <c r="S1071" s="10">
        <v>0</v>
      </c>
    </row>
    <row r="1072">
      <c r="A1072" s="14" t="s">
        <v>397</v>
      </c>
      <c r="B1072" s="2" t="s">
        <v>393</v>
      </c>
      <c r="C1072" s="10">
        <v>0</v>
      </c>
      <c r="D1072" s="10">
        <v>0</v>
      </c>
      <c r="E1072" s="10">
        <v>0</v>
      </c>
      <c r="F1072" s="10">
        <v>0</v>
      </c>
      <c r="G1072" s="10">
        <v>0</v>
      </c>
      <c r="H1072" s="10">
        <v>0</v>
      </c>
      <c r="I1072" s="10">
        <v>0</v>
      </c>
      <c r="J1072" s="10">
        <v>0</v>
      </c>
      <c r="K1072" s="10">
        <v>0</v>
      </c>
      <c r="L1072" s="10">
        <v>0</v>
      </c>
      <c r="M1072" s="10">
        <v>0</v>
      </c>
      <c r="N1072" s="10">
        <v>0</v>
      </c>
      <c r="O1072" s="10">
        <v>0</v>
      </c>
      <c r="P1072" s="10">
        <v>0</v>
      </c>
      <c r="Q1072" s="10">
        <v>0</v>
      </c>
      <c r="R1072" s="10">
        <v>0</v>
      </c>
      <c r="S1072" s="10">
        <v>0</v>
      </c>
    </row>
    <row r="1073">
      <c r="A1073" s="14" t="s">
        <v>398</v>
      </c>
      <c r="B1073" s="2" t="s">
        <v>399</v>
      </c>
      <c r="C1073" s="10">
        <v>0</v>
      </c>
      <c r="D1073" s="10">
        <v>0</v>
      </c>
      <c r="E1073" s="10">
        <v>0</v>
      </c>
      <c r="F1073" s="10">
        <v>0</v>
      </c>
      <c r="G1073" s="10">
        <v>0</v>
      </c>
      <c r="H1073" s="10">
        <v>0</v>
      </c>
      <c r="I1073" s="10">
        <v>0</v>
      </c>
      <c r="J1073" s="10">
        <v>0</v>
      </c>
      <c r="K1073" s="10">
        <v>0</v>
      </c>
      <c r="L1073" s="10">
        <v>0</v>
      </c>
      <c r="M1073" s="10">
        <v>0</v>
      </c>
      <c r="N1073" s="10">
        <v>0</v>
      </c>
      <c r="O1073" s="10">
        <v>0</v>
      </c>
      <c r="P1073" s="10">
        <v>0</v>
      </c>
      <c r="Q1073" s="10">
        <v>0</v>
      </c>
      <c r="R1073" s="10">
        <v>0</v>
      </c>
      <c r="S1073" s="10">
        <v>0</v>
      </c>
    </row>
    <row r="1074">
      <c r="A1074" s="14" t="s">
        <v>400</v>
      </c>
      <c r="B1074" s="2" t="s">
        <v>399</v>
      </c>
      <c r="C1074" s="10">
        <v>0</v>
      </c>
      <c r="D1074" s="10">
        <v>0</v>
      </c>
      <c r="E1074" s="10">
        <v>0</v>
      </c>
      <c r="F1074" s="10">
        <v>0</v>
      </c>
      <c r="G1074" s="10">
        <v>0</v>
      </c>
      <c r="H1074" s="10">
        <v>0</v>
      </c>
      <c r="I1074" s="10">
        <v>0</v>
      </c>
      <c r="J1074" s="10">
        <v>0</v>
      </c>
      <c r="K1074" s="10">
        <v>0</v>
      </c>
      <c r="L1074" s="10">
        <v>0</v>
      </c>
      <c r="M1074" s="10">
        <v>0</v>
      </c>
      <c r="N1074" s="10">
        <v>0</v>
      </c>
      <c r="O1074" s="10">
        <v>0</v>
      </c>
      <c r="P1074" s="10">
        <v>0</v>
      </c>
      <c r="Q1074" s="10">
        <v>0</v>
      </c>
      <c r="R1074" s="10">
        <v>0</v>
      </c>
      <c r="S1074" s="10">
        <v>0</v>
      </c>
    </row>
    <row r="1075">
      <c r="A1075" s="14" t="s">
        <v>401</v>
      </c>
      <c r="B1075" s="2" t="s">
        <v>399</v>
      </c>
      <c r="C1075" s="10">
        <v>0</v>
      </c>
      <c r="D1075" s="10">
        <v>0</v>
      </c>
      <c r="E1075" s="10">
        <v>0</v>
      </c>
      <c r="F1075" s="10">
        <v>0</v>
      </c>
      <c r="G1075" s="10">
        <v>0</v>
      </c>
      <c r="H1075" s="10">
        <v>0</v>
      </c>
      <c r="I1075" s="10">
        <v>0</v>
      </c>
      <c r="J1075" s="10">
        <v>0</v>
      </c>
      <c r="K1075" s="10">
        <v>0</v>
      </c>
      <c r="L1075" s="10">
        <v>0</v>
      </c>
      <c r="M1075" s="10">
        <v>0</v>
      </c>
      <c r="N1075" s="10">
        <v>0</v>
      </c>
      <c r="O1075" s="10">
        <v>0</v>
      </c>
      <c r="P1075" s="10">
        <v>0</v>
      </c>
      <c r="Q1075" s="10">
        <v>0</v>
      </c>
      <c r="R1075" s="10">
        <v>0</v>
      </c>
      <c r="S1075" s="10">
        <v>0</v>
      </c>
    </row>
    <row r="1076">
      <c r="A1076" s="14" t="s">
        <v>402</v>
      </c>
      <c r="B1076" s="2" t="s">
        <v>399</v>
      </c>
      <c r="C1076" s="10">
        <v>0</v>
      </c>
      <c r="D1076" s="10">
        <v>0</v>
      </c>
      <c r="E1076" s="10">
        <v>0</v>
      </c>
      <c r="F1076" s="10">
        <v>0</v>
      </c>
      <c r="G1076" s="10">
        <v>0</v>
      </c>
      <c r="H1076" s="10">
        <v>0</v>
      </c>
      <c r="I1076" s="10">
        <v>0</v>
      </c>
      <c r="J1076" s="10">
        <v>0</v>
      </c>
      <c r="K1076" s="10">
        <v>0</v>
      </c>
      <c r="L1076" s="10">
        <v>0</v>
      </c>
      <c r="M1076" s="10">
        <v>0</v>
      </c>
      <c r="N1076" s="10">
        <v>0</v>
      </c>
      <c r="O1076" s="10">
        <v>0</v>
      </c>
      <c r="P1076" s="10">
        <v>0</v>
      </c>
      <c r="Q1076" s="10">
        <v>0</v>
      </c>
      <c r="R1076" s="10">
        <v>0</v>
      </c>
      <c r="S1076" s="10">
        <v>0</v>
      </c>
    </row>
    <row r="1077">
      <c r="A1077" s="14" t="s">
        <v>403</v>
      </c>
      <c r="B1077" s="2" t="s">
        <v>399</v>
      </c>
      <c r="C1077" s="10">
        <v>0</v>
      </c>
      <c r="D1077" s="10">
        <v>0</v>
      </c>
      <c r="E1077" s="10">
        <v>0</v>
      </c>
      <c r="F1077" s="10">
        <v>0</v>
      </c>
      <c r="G1077" s="10">
        <v>0</v>
      </c>
      <c r="H1077" s="10">
        <v>0</v>
      </c>
      <c r="I1077" s="10">
        <v>0</v>
      </c>
      <c r="J1077" s="10">
        <v>0</v>
      </c>
      <c r="K1077" s="10">
        <v>0</v>
      </c>
      <c r="L1077" s="10">
        <v>0</v>
      </c>
      <c r="M1077" s="10">
        <v>0</v>
      </c>
      <c r="N1077" s="10">
        <v>0</v>
      </c>
      <c r="O1077" s="10">
        <v>0</v>
      </c>
      <c r="P1077" s="10">
        <v>0</v>
      </c>
      <c r="Q1077" s="10">
        <v>0</v>
      </c>
      <c r="R1077" s="10">
        <v>0</v>
      </c>
      <c r="S1077" s="10">
        <v>0</v>
      </c>
    </row>
    <row r="1078">
      <c r="A1078" s="14" t="s">
        <v>404</v>
      </c>
      <c r="B1078" s="2" t="s">
        <v>399</v>
      </c>
      <c r="C1078" s="10">
        <v>0</v>
      </c>
      <c r="D1078" s="10">
        <v>0</v>
      </c>
      <c r="E1078" s="10">
        <v>0</v>
      </c>
      <c r="F1078" s="10">
        <v>0</v>
      </c>
      <c r="G1078" s="10">
        <v>0</v>
      </c>
      <c r="H1078" s="10">
        <v>0</v>
      </c>
      <c r="I1078" s="10">
        <v>0</v>
      </c>
      <c r="J1078" s="10">
        <v>0</v>
      </c>
      <c r="K1078" s="10">
        <v>0</v>
      </c>
      <c r="L1078" s="10">
        <v>0</v>
      </c>
      <c r="M1078" s="10">
        <v>0</v>
      </c>
      <c r="N1078" s="10">
        <v>0</v>
      </c>
      <c r="O1078" s="10">
        <v>0</v>
      </c>
      <c r="P1078" s="10">
        <v>0</v>
      </c>
      <c r="Q1078" s="10">
        <v>0</v>
      </c>
      <c r="R1078" s="10">
        <v>0</v>
      </c>
      <c r="S1078" s="10">
        <v>0</v>
      </c>
    </row>
    <row r="1079">
      <c r="A1079" s="14" t="s">
        <v>405</v>
      </c>
      <c r="B1079" s="2" t="s">
        <v>399</v>
      </c>
      <c r="C1079" s="10">
        <v>0</v>
      </c>
      <c r="D1079" s="10">
        <v>0</v>
      </c>
      <c r="E1079" s="10">
        <v>0</v>
      </c>
      <c r="F1079" s="10">
        <v>0</v>
      </c>
      <c r="G1079" s="10">
        <v>0</v>
      </c>
      <c r="H1079" s="10">
        <v>0</v>
      </c>
      <c r="I1079" s="10">
        <v>0</v>
      </c>
      <c r="J1079" s="10">
        <v>0</v>
      </c>
      <c r="K1079" s="10">
        <v>0</v>
      </c>
      <c r="L1079" s="10">
        <v>0</v>
      </c>
      <c r="M1079" s="10">
        <v>0</v>
      </c>
      <c r="N1079" s="10">
        <v>0</v>
      </c>
      <c r="O1079" s="10">
        <v>0</v>
      </c>
      <c r="P1079" s="10">
        <v>0</v>
      </c>
      <c r="Q1079" s="10">
        <v>0</v>
      </c>
      <c r="R1079" s="10">
        <v>0</v>
      </c>
      <c r="S1079" s="10">
        <v>0</v>
      </c>
    </row>
    <row r="1080">
      <c r="A1080" s="14" t="s">
        <v>406</v>
      </c>
      <c r="B1080" s="2" t="s">
        <v>399</v>
      </c>
      <c r="C1080" s="10">
        <v>0</v>
      </c>
      <c r="D1080" s="10">
        <v>0</v>
      </c>
      <c r="E1080" s="10">
        <v>0</v>
      </c>
      <c r="F1080" s="10">
        <v>0</v>
      </c>
      <c r="G1080" s="10">
        <v>0</v>
      </c>
      <c r="H1080" s="10">
        <v>0</v>
      </c>
      <c r="I1080" s="10">
        <v>0</v>
      </c>
      <c r="J1080" s="10">
        <v>0</v>
      </c>
      <c r="K1080" s="10">
        <v>0</v>
      </c>
      <c r="L1080" s="10">
        <v>0</v>
      </c>
      <c r="M1080" s="10">
        <v>0</v>
      </c>
      <c r="N1080" s="10">
        <v>0</v>
      </c>
      <c r="O1080" s="10">
        <v>0</v>
      </c>
      <c r="P1080" s="10">
        <v>0</v>
      </c>
      <c r="Q1080" s="10">
        <v>0</v>
      </c>
      <c r="R1080" s="10">
        <v>0</v>
      </c>
      <c r="S1080" s="10">
        <v>0</v>
      </c>
    </row>
    <row r="1081">
      <c r="A1081" s="14" t="s">
        <v>407</v>
      </c>
      <c r="B1081" s="2" t="s">
        <v>399</v>
      </c>
      <c r="C1081" s="10">
        <v>0</v>
      </c>
      <c r="D1081" s="10">
        <v>0</v>
      </c>
      <c r="E1081" s="10">
        <v>0</v>
      </c>
      <c r="F1081" s="10">
        <v>0</v>
      </c>
      <c r="G1081" s="10">
        <v>0</v>
      </c>
      <c r="H1081" s="10">
        <v>0</v>
      </c>
      <c r="I1081" s="10">
        <v>0</v>
      </c>
      <c r="J1081" s="10">
        <v>0</v>
      </c>
      <c r="K1081" s="10">
        <v>0</v>
      </c>
      <c r="L1081" s="10">
        <v>0</v>
      </c>
      <c r="M1081" s="10">
        <v>0</v>
      </c>
      <c r="N1081" s="10">
        <v>0</v>
      </c>
      <c r="O1081" s="10">
        <v>0</v>
      </c>
      <c r="P1081" s="10">
        <v>0</v>
      </c>
      <c r="Q1081" s="10">
        <v>0</v>
      </c>
      <c r="R1081" s="10">
        <v>0</v>
      </c>
      <c r="S1081" s="10">
        <v>0</v>
      </c>
    </row>
    <row r="1082">
      <c r="A1082" s="14" t="s">
        <v>408</v>
      </c>
      <c r="B1082" s="2" t="s">
        <v>399</v>
      </c>
      <c r="C1082" s="10">
        <v>0</v>
      </c>
      <c r="D1082" s="10">
        <v>0</v>
      </c>
      <c r="E1082" s="10">
        <v>0</v>
      </c>
      <c r="F1082" s="10">
        <v>0</v>
      </c>
      <c r="G1082" s="10">
        <v>0</v>
      </c>
      <c r="H1082" s="10">
        <v>0</v>
      </c>
      <c r="I1082" s="10">
        <v>0</v>
      </c>
      <c r="J1082" s="10">
        <v>0</v>
      </c>
      <c r="K1082" s="10">
        <v>0</v>
      </c>
      <c r="L1082" s="10">
        <v>0</v>
      </c>
      <c r="M1082" s="10">
        <v>0</v>
      </c>
      <c r="N1082" s="10">
        <v>0</v>
      </c>
      <c r="O1082" s="10">
        <v>0</v>
      </c>
      <c r="P1082" s="10">
        <v>0</v>
      </c>
      <c r="Q1082" s="10">
        <v>0</v>
      </c>
      <c r="R1082" s="10">
        <v>0</v>
      </c>
      <c r="S1082" s="10">
        <v>0</v>
      </c>
    </row>
    <row r="1083">
      <c r="A1083" s="14" t="s">
        <v>409</v>
      </c>
      <c r="B1083" s="2" t="s">
        <v>399</v>
      </c>
      <c r="C1083" s="10">
        <v>0</v>
      </c>
      <c r="D1083" s="10">
        <v>0</v>
      </c>
      <c r="E1083" s="10">
        <v>0</v>
      </c>
      <c r="F1083" s="10">
        <v>0</v>
      </c>
      <c r="G1083" s="10">
        <v>0</v>
      </c>
      <c r="H1083" s="10">
        <v>0</v>
      </c>
      <c r="I1083" s="10">
        <v>0</v>
      </c>
      <c r="J1083" s="10">
        <v>0</v>
      </c>
      <c r="K1083" s="10">
        <v>0</v>
      </c>
      <c r="L1083" s="10">
        <v>0</v>
      </c>
      <c r="M1083" s="10">
        <v>0</v>
      </c>
      <c r="N1083" s="10">
        <v>0</v>
      </c>
      <c r="O1083" s="10">
        <v>0</v>
      </c>
      <c r="P1083" s="10">
        <v>0</v>
      </c>
      <c r="Q1083" s="10">
        <v>0</v>
      </c>
      <c r="R1083" s="10">
        <v>0</v>
      </c>
      <c r="S1083" s="10">
        <v>0</v>
      </c>
    </row>
    <row r="1084">
      <c r="A1084" s="14" t="s">
        <v>410</v>
      </c>
      <c r="B1084" s="2" t="s">
        <v>399</v>
      </c>
      <c r="C1084" s="10">
        <v>0</v>
      </c>
      <c r="D1084" s="10">
        <v>0</v>
      </c>
      <c r="E1084" s="10">
        <v>0</v>
      </c>
      <c r="F1084" s="10">
        <v>0</v>
      </c>
      <c r="G1084" s="10">
        <v>0</v>
      </c>
      <c r="H1084" s="10">
        <v>0</v>
      </c>
      <c r="I1084" s="10">
        <v>0</v>
      </c>
      <c r="J1084" s="10">
        <v>0</v>
      </c>
      <c r="K1084" s="10">
        <v>0</v>
      </c>
      <c r="L1084" s="10">
        <v>0</v>
      </c>
      <c r="M1084" s="10">
        <v>0</v>
      </c>
      <c r="N1084" s="10">
        <v>0</v>
      </c>
      <c r="O1084" s="10">
        <v>0</v>
      </c>
      <c r="P1084" s="10">
        <v>0</v>
      </c>
      <c r="Q1084" s="10">
        <v>0</v>
      </c>
      <c r="R1084" s="10">
        <v>0</v>
      </c>
      <c r="S1084" s="10">
        <v>0</v>
      </c>
    </row>
    <row r="1085">
      <c r="A1085" s="14" t="s">
        <v>411</v>
      </c>
      <c r="B1085" s="2" t="s">
        <v>399</v>
      </c>
      <c r="C1085" s="10">
        <v>0</v>
      </c>
      <c r="D1085" s="10">
        <v>0</v>
      </c>
      <c r="E1085" s="10">
        <v>0</v>
      </c>
      <c r="F1085" s="10">
        <v>0</v>
      </c>
      <c r="G1085" s="10">
        <v>0</v>
      </c>
      <c r="H1085" s="10">
        <v>0</v>
      </c>
      <c r="I1085" s="10">
        <v>0</v>
      </c>
      <c r="J1085" s="10">
        <v>0</v>
      </c>
      <c r="K1085" s="10">
        <v>0</v>
      </c>
      <c r="L1085" s="10">
        <v>0</v>
      </c>
      <c r="M1085" s="10">
        <v>0</v>
      </c>
      <c r="N1085" s="10">
        <v>0</v>
      </c>
      <c r="O1085" s="10">
        <v>0</v>
      </c>
      <c r="P1085" s="10">
        <v>0</v>
      </c>
      <c r="Q1085" s="10">
        <v>0</v>
      </c>
      <c r="R1085" s="10">
        <v>0</v>
      </c>
      <c r="S1085" s="10">
        <v>0</v>
      </c>
    </row>
    <row r="1086">
      <c r="A1086" s="14" t="s">
        <v>412</v>
      </c>
      <c r="B1086" s="2" t="s">
        <v>399</v>
      </c>
      <c r="C1086" s="10">
        <v>0</v>
      </c>
      <c r="D1086" s="10">
        <v>0</v>
      </c>
      <c r="E1086" s="10">
        <v>0</v>
      </c>
      <c r="F1086" s="10">
        <v>0</v>
      </c>
      <c r="G1086" s="10">
        <v>0</v>
      </c>
      <c r="H1086" s="10">
        <v>0</v>
      </c>
      <c r="I1086" s="10">
        <v>0</v>
      </c>
      <c r="J1086" s="10">
        <v>0</v>
      </c>
      <c r="K1086" s="10">
        <v>0</v>
      </c>
      <c r="L1086" s="10">
        <v>0</v>
      </c>
      <c r="M1086" s="10">
        <v>0</v>
      </c>
      <c r="N1086" s="10">
        <v>0</v>
      </c>
      <c r="O1086" s="10">
        <v>0</v>
      </c>
      <c r="P1086" s="10">
        <v>0</v>
      </c>
      <c r="Q1086" s="10">
        <v>0</v>
      </c>
      <c r="R1086" s="10">
        <v>0</v>
      </c>
      <c r="S1086" s="10">
        <v>0</v>
      </c>
    </row>
    <row r="1087">
      <c r="A1087" s="14" t="s">
        <v>413</v>
      </c>
      <c r="B1087" s="2" t="s">
        <v>399</v>
      </c>
      <c r="C1087" s="10">
        <v>0</v>
      </c>
      <c r="D1087" s="10">
        <v>0</v>
      </c>
      <c r="E1087" s="10">
        <v>0</v>
      </c>
      <c r="F1087" s="10">
        <v>0</v>
      </c>
      <c r="G1087" s="10">
        <v>0</v>
      </c>
      <c r="H1087" s="10">
        <v>0</v>
      </c>
      <c r="I1087" s="10">
        <v>0</v>
      </c>
      <c r="J1087" s="10">
        <v>0</v>
      </c>
      <c r="K1087" s="10">
        <v>0</v>
      </c>
      <c r="L1087" s="10">
        <v>0</v>
      </c>
      <c r="M1087" s="10">
        <v>0</v>
      </c>
      <c r="N1087" s="10">
        <v>0</v>
      </c>
      <c r="O1087" s="10">
        <v>0</v>
      </c>
      <c r="P1087" s="10">
        <v>0</v>
      </c>
      <c r="Q1087" s="10">
        <v>0</v>
      </c>
      <c r="R1087" s="10">
        <v>0</v>
      </c>
      <c r="S1087" s="10">
        <v>0</v>
      </c>
    </row>
    <row r="1088">
      <c r="A1088" s="14" t="s">
        <v>414</v>
      </c>
      <c r="B1088" s="2" t="s">
        <v>399</v>
      </c>
      <c r="C1088" s="10">
        <v>0</v>
      </c>
      <c r="D1088" s="10">
        <v>0</v>
      </c>
      <c r="E1088" s="10">
        <v>0</v>
      </c>
      <c r="F1088" s="10">
        <v>0</v>
      </c>
      <c r="G1088" s="10">
        <v>0</v>
      </c>
      <c r="H1088" s="10">
        <v>0</v>
      </c>
      <c r="I1088" s="10">
        <v>0</v>
      </c>
      <c r="J1088" s="10">
        <v>0</v>
      </c>
      <c r="K1088" s="10">
        <v>0</v>
      </c>
      <c r="L1088" s="10">
        <v>0</v>
      </c>
      <c r="M1088" s="10">
        <v>0</v>
      </c>
      <c r="N1088" s="10">
        <v>0</v>
      </c>
      <c r="O1088" s="10">
        <v>0</v>
      </c>
      <c r="P1088" s="10">
        <v>0</v>
      </c>
      <c r="Q1088" s="10">
        <v>0</v>
      </c>
      <c r="R1088" s="10">
        <v>0</v>
      </c>
      <c r="S1088" s="10">
        <v>0</v>
      </c>
    </row>
    <row r="1089">
      <c r="A1089" s="14" t="s">
        <v>415</v>
      </c>
      <c r="B1089" s="2" t="s">
        <v>399</v>
      </c>
      <c r="C1089" s="10">
        <v>0</v>
      </c>
      <c r="D1089" s="10">
        <v>0</v>
      </c>
      <c r="E1089" s="10">
        <v>0</v>
      </c>
      <c r="F1089" s="10">
        <v>0</v>
      </c>
      <c r="G1089" s="10">
        <v>0</v>
      </c>
      <c r="H1089" s="10">
        <v>0</v>
      </c>
      <c r="I1089" s="10">
        <v>0</v>
      </c>
      <c r="J1089" s="10">
        <v>0</v>
      </c>
      <c r="K1089" s="10">
        <v>0</v>
      </c>
      <c r="L1089" s="10">
        <v>0</v>
      </c>
      <c r="M1089" s="10">
        <v>0</v>
      </c>
      <c r="N1089" s="10">
        <v>0</v>
      </c>
      <c r="O1089" s="10">
        <v>0</v>
      </c>
      <c r="P1089" s="10">
        <v>0</v>
      </c>
      <c r="Q1089" s="10">
        <v>0</v>
      </c>
      <c r="R1089" s="10">
        <v>0</v>
      </c>
      <c r="S1089" s="10">
        <v>0</v>
      </c>
    </row>
    <row r="1090">
      <c r="A1090" s="14" t="s">
        <v>416</v>
      </c>
      <c r="B1090" s="2" t="s">
        <v>399</v>
      </c>
      <c r="C1090" s="10">
        <v>0</v>
      </c>
      <c r="D1090" s="10">
        <v>0</v>
      </c>
      <c r="E1090" s="10">
        <v>0</v>
      </c>
      <c r="F1090" s="10">
        <v>0</v>
      </c>
      <c r="G1090" s="10">
        <v>0</v>
      </c>
      <c r="H1090" s="10">
        <v>0</v>
      </c>
      <c r="I1090" s="10">
        <v>0</v>
      </c>
      <c r="J1090" s="10">
        <v>0</v>
      </c>
      <c r="K1090" s="10">
        <v>0</v>
      </c>
      <c r="L1090" s="10">
        <v>0</v>
      </c>
      <c r="M1090" s="10">
        <v>0</v>
      </c>
      <c r="N1090" s="10">
        <v>0</v>
      </c>
      <c r="O1090" s="10">
        <v>0</v>
      </c>
      <c r="P1090" s="10">
        <v>0</v>
      </c>
      <c r="Q1090" s="10">
        <v>0</v>
      </c>
      <c r="R1090" s="10">
        <v>0</v>
      </c>
      <c r="S1090" s="10">
        <v>0</v>
      </c>
    </row>
    <row r="1091">
      <c r="A1091" s="14" t="s">
        <v>417</v>
      </c>
      <c r="B1091" s="2" t="s">
        <v>399</v>
      </c>
      <c r="C1091" s="10">
        <v>0</v>
      </c>
      <c r="D1091" s="10">
        <v>0</v>
      </c>
      <c r="E1091" s="10">
        <v>0</v>
      </c>
      <c r="F1091" s="10">
        <v>0</v>
      </c>
      <c r="G1091" s="10">
        <v>0</v>
      </c>
      <c r="H1091" s="10">
        <v>0</v>
      </c>
      <c r="I1091" s="10">
        <v>0</v>
      </c>
      <c r="J1091" s="10">
        <v>0</v>
      </c>
      <c r="K1091" s="10">
        <v>0</v>
      </c>
      <c r="L1091" s="10">
        <v>0</v>
      </c>
      <c r="M1091" s="10">
        <v>0</v>
      </c>
      <c r="N1091" s="10">
        <v>0</v>
      </c>
      <c r="O1091" s="10">
        <v>0</v>
      </c>
      <c r="P1091" s="10">
        <v>0</v>
      </c>
      <c r="Q1091" s="10">
        <v>0</v>
      </c>
      <c r="R1091" s="10">
        <v>0</v>
      </c>
      <c r="S1091" s="10">
        <v>0</v>
      </c>
    </row>
    <row r="1092">
      <c r="A1092" s="14" t="s">
        <v>418</v>
      </c>
      <c r="B1092" s="2" t="s">
        <v>399</v>
      </c>
      <c r="C1092" s="10">
        <v>0</v>
      </c>
      <c r="D1092" s="10">
        <v>0</v>
      </c>
      <c r="E1092" s="10">
        <v>0</v>
      </c>
      <c r="F1092" s="10">
        <v>0</v>
      </c>
      <c r="G1092" s="10">
        <v>0</v>
      </c>
      <c r="H1092" s="10">
        <v>0</v>
      </c>
      <c r="I1092" s="10">
        <v>0</v>
      </c>
      <c r="J1092" s="10">
        <v>0</v>
      </c>
      <c r="K1092" s="10">
        <v>0</v>
      </c>
      <c r="L1092" s="10">
        <v>0</v>
      </c>
      <c r="M1092" s="10">
        <v>0</v>
      </c>
      <c r="N1092" s="10">
        <v>0</v>
      </c>
      <c r="O1092" s="10">
        <v>0</v>
      </c>
      <c r="P1092" s="10">
        <v>0</v>
      </c>
      <c r="Q1092" s="10">
        <v>0</v>
      </c>
      <c r="R1092" s="10">
        <v>0</v>
      </c>
      <c r="S1092" s="10">
        <v>0</v>
      </c>
    </row>
    <row r="1093">
      <c r="A1093" s="14" t="s">
        <v>419</v>
      </c>
      <c r="B1093" s="2" t="s">
        <v>399</v>
      </c>
      <c r="C1093" s="10">
        <v>0</v>
      </c>
      <c r="D1093" s="10">
        <v>0</v>
      </c>
      <c r="E1093" s="10">
        <v>0</v>
      </c>
      <c r="F1093" s="10">
        <v>0</v>
      </c>
      <c r="G1093" s="10">
        <v>0</v>
      </c>
      <c r="H1093" s="10">
        <v>0</v>
      </c>
      <c r="I1093" s="10">
        <v>0</v>
      </c>
      <c r="J1093" s="10">
        <v>0</v>
      </c>
      <c r="K1093" s="10">
        <v>0</v>
      </c>
      <c r="L1093" s="10">
        <v>0</v>
      </c>
      <c r="M1093" s="10">
        <v>0</v>
      </c>
      <c r="N1093" s="10">
        <v>0</v>
      </c>
      <c r="O1093" s="10">
        <v>0</v>
      </c>
      <c r="P1093" s="10">
        <v>0</v>
      </c>
      <c r="Q1093" s="10">
        <v>0</v>
      </c>
      <c r="R1093" s="10">
        <v>0</v>
      </c>
      <c r="S1093" s="10">
        <v>0</v>
      </c>
    </row>
    <row r="1094">
      <c r="A1094" s="14" t="s">
        <v>420</v>
      </c>
      <c r="B1094" s="2" t="s">
        <v>399</v>
      </c>
      <c r="C1094" s="10">
        <v>0</v>
      </c>
      <c r="D1094" s="10">
        <v>0</v>
      </c>
      <c r="E1094" s="10">
        <v>0</v>
      </c>
      <c r="F1094" s="10">
        <v>0</v>
      </c>
      <c r="G1094" s="10">
        <v>0</v>
      </c>
      <c r="H1094" s="10">
        <v>0</v>
      </c>
      <c r="I1094" s="10">
        <v>0</v>
      </c>
      <c r="J1094" s="10">
        <v>0</v>
      </c>
      <c r="K1094" s="10">
        <v>0</v>
      </c>
      <c r="L1094" s="10">
        <v>0</v>
      </c>
      <c r="M1094" s="10">
        <v>0</v>
      </c>
      <c r="N1094" s="10">
        <v>0</v>
      </c>
      <c r="O1094" s="10">
        <v>0</v>
      </c>
      <c r="P1094" s="10">
        <v>0</v>
      </c>
      <c r="Q1094" s="10">
        <v>0</v>
      </c>
      <c r="R1094" s="10">
        <v>0</v>
      </c>
      <c r="S1094" s="10">
        <v>0</v>
      </c>
    </row>
    <row r="1095">
      <c r="A1095" s="14" t="s">
        <v>421</v>
      </c>
      <c r="B1095" s="2" t="s">
        <v>399</v>
      </c>
      <c r="C1095" s="10">
        <v>0</v>
      </c>
      <c r="D1095" s="10">
        <v>0</v>
      </c>
      <c r="E1095" s="10">
        <v>0</v>
      </c>
      <c r="F1095" s="10">
        <v>0</v>
      </c>
      <c r="G1095" s="10">
        <v>0</v>
      </c>
      <c r="H1095" s="10">
        <v>0</v>
      </c>
      <c r="I1095" s="10">
        <v>0</v>
      </c>
      <c r="J1095" s="10">
        <v>0</v>
      </c>
      <c r="K1095" s="10">
        <v>0</v>
      </c>
      <c r="L1095" s="10">
        <v>0</v>
      </c>
      <c r="M1095" s="10">
        <v>0</v>
      </c>
      <c r="N1095" s="10">
        <v>0</v>
      </c>
      <c r="O1095" s="10">
        <v>0</v>
      </c>
      <c r="P1095" s="10">
        <v>0</v>
      </c>
      <c r="Q1095" s="10">
        <v>0</v>
      </c>
      <c r="R1095" s="10">
        <v>0</v>
      </c>
      <c r="S1095" s="10">
        <v>0</v>
      </c>
    </row>
    <row r="1096">
      <c r="A1096" s="14" t="s">
        <v>422</v>
      </c>
      <c r="B1096" s="2" t="s">
        <v>399</v>
      </c>
      <c r="C1096" s="10">
        <v>0</v>
      </c>
      <c r="D1096" s="10">
        <v>0</v>
      </c>
      <c r="E1096" s="10">
        <v>0</v>
      </c>
      <c r="F1096" s="10">
        <v>0</v>
      </c>
      <c r="G1096" s="10">
        <v>0</v>
      </c>
      <c r="H1096" s="10">
        <v>0</v>
      </c>
      <c r="I1096" s="10">
        <v>0</v>
      </c>
      <c r="J1096" s="10">
        <v>0</v>
      </c>
      <c r="K1096" s="10">
        <v>0</v>
      </c>
      <c r="L1096" s="10">
        <v>0</v>
      </c>
      <c r="M1096" s="10">
        <v>0</v>
      </c>
      <c r="N1096" s="10">
        <v>0</v>
      </c>
      <c r="O1096" s="10">
        <v>0</v>
      </c>
      <c r="P1096" s="10">
        <v>0</v>
      </c>
      <c r="Q1096" s="10">
        <v>0</v>
      </c>
      <c r="R1096" s="10">
        <v>0</v>
      </c>
      <c r="S1096" s="10">
        <v>0</v>
      </c>
    </row>
    <row r="1097">
      <c r="A1097" s="14" t="s">
        <v>423</v>
      </c>
      <c r="B1097" s="2" t="s">
        <v>399</v>
      </c>
      <c r="C1097" s="10">
        <v>0</v>
      </c>
      <c r="D1097" s="10">
        <v>0</v>
      </c>
      <c r="E1097" s="10">
        <v>0</v>
      </c>
      <c r="F1097" s="10">
        <v>0</v>
      </c>
      <c r="G1097" s="10">
        <v>0</v>
      </c>
      <c r="H1097" s="10">
        <v>0</v>
      </c>
      <c r="I1097" s="10">
        <v>0</v>
      </c>
      <c r="J1097" s="10">
        <v>0</v>
      </c>
      <c r="K1097" s="10">
        <v>0</v>
      </c>
      <c r="L1097" s="10">
        <v>0</v>
      </c>
      <c r="M1097" s="10">
        <v>0</v>
      </c>
      <c r="N1097" s="10">
        <v>0</v>
      </c>
      <c r="O1097" s="10">
        <v>0</v>
      </c>
      <c r="P1097" s="10">
        <v>0</v>
      </c>
      <c r="Q1097" s="10">
        <v>0</v>
      </c>
      <c r="R1097" s="10">
        <v>0</v>
      </c>
      <c r="S1097" s="10">
        <v>0</v>
      </c>
    </row>
    <row r="1098">
      <c r="A1098" s="14" t="s">
        <v>424</v>
      </c>
      <c r="B1098" s="2" t="s">
        <v>399</v>
      </c>
      <c r="C1098" s="10">
        <v>0</v>
      </c>
      <c r="D1098" s="10">
        <v>0</v>
      </c>
      <c r="E1098" s="10">
        <v>0</v>
      </c>
      <c r="F1098" s="10">
        <v>0</v>
      </c>
      <c r="G1098" s="10">
        <v>0</v>
      </c>
      <c r="H1098" s="10">
        <v>0</v>
      </c>
      <c r="I1098" s="10">
        <v>0</v>
      </c>
      <c r="J1098" s="10">
        <v>0</v>
      </c>
      <c r="K1098" s="10">
        <v>0</v>
      </c>
      <c r="L1098" s="10">
        <v>0</v>
      </c>
      <c r="M1098" s="10">
        <v>0</v>
      </c>
      <c r="N1098" s="10">
        <v>0</v>
      </c>
      <c r="O1098" s="10">
        <v>0</v>
      </c>
      <c r="P1098" s="10">
        <v>0</v>
      </c>
      <c r="Q1098" s="10">
        <v>0</v>
      </c>
      <c r="R1098" s="10">
        <v>0</v>
      </c>
      <c r="S1098" s="10">
        <v>0</v>
      </c>
    </row>
    <row r="1099">
      <c r="A1099" s="14" t="s">
        <v>425</v>
      </c>
      <c r="B1099" s="2" t="s">
        <v>399</v>
      </c>
      <c r="C1099" s="10">
        <v>0</v>
      </c>
      <c r="D1099" s="10">
        <v>0</v>
      </c>
      <c r="E1099" s="10">
        <v>0</v>
      </c>
      <c r="F1099" s="10">
        <v>0</v>
      </c>
      <c r="G1099" s="10">
        <v>0</v>
      </c>
      <c r="H1099" s="10">
        <v>0</v>
      </c>
      <c r="I1099" s="10">
        <v>0</v>
      </c>
      <c r="J1099" s="10">
        <v>0</v>
      </c>
      <c r="K1099" s="10">
        <v>0</v>
      </c>
      <c r="L1099" s="10">
        <v>0</v>
      </c>
      <c r="M1099" s="10">
        <v>0</v>
      </c>
      <c r="N1099" s="10">
        <v>0</v>
      </c>
      <c r="O1099" s="10">
        <v>0</v>
      </c>
      <c r="P1099" s="10">
        <v>0</v>
      </c>
      <c r="Q1099" s="10">
        <v>0</v>
      </c>
      <c r="R1099" s="10">
        <v>0</v>
      </c>
      <c r="S1099" s="10">
        <v>0</v>
      </c>
    </row>
    <row r="1100">
      <c r="A1100" s="14" t="s">
        <v>426</v>
      </c>
      <c r="B1100" s="2" t="s">
        <v>399</v>
      </c>
      <c r="C1100" s="10">
        <v>0</v>
      </c>
      <c r="D1100" s="10">
        <v>0</v>
      </c>
      <c r="E1100" s="10">
        <v>0</v>
      </c>
      <c r="F1100" s="10">
        <v>0</v>
      </c>
      <c r="G1100" s="10">
        <v>0</v>
      </c>
      <c r="H1100" s="10">
        <v>0</v>
      </c>
      <c r="I1100" s="10">
        <v>0</v>
      </c>
      <c r="J1100" s="10">
        <v>0</v>
      </c>
      <c r="K1100" s="10">
        <v>0</v>
      </c>
      <c r="L1100" s="10">
        <v>0</v>
      </c>
      <c r="M1100" s="10">
        <v>0</v>
      </c>
      <c r="N1100" s="10">
        <v>0</v>
      </c>
      <c r="O1100" s="10">
        <v>0</v>
      </c>
      <c r="P1100" s="10">
        <v>0</v>
      </c>
      <c r="Q1100" s="10">
        <v>0</v>
      </c>
      <c r="R1100" s="10">
        <v>0</v>
      </c>
      <c r="S1100" s="10">
        <v>0</v>
      </c>
    </row>
    <row r="1101">
      <c r="A1101" s="14" t="s">
        <v>427</v>
      </c>
      <c r="B1101" s="2" t="s">
        <v>399</v>
      </c>
      <c r="C1101" s="10">
        <v>0</v>
      </c>
      <c r="D1101" s="10">
        <v>0</v>
      </c>
      <c r="E1101" s="10">
        <v>0</v>
      </c>
      <c r="F1101" s="10">
        <v>0</v>
      </c>
      <c r="G1101" s="10">
        <v>0</v>
      </c>
      <c r="H1101" s="10">
        <v>0</v>
      </c>
      <c r="I1101" s="10">
        <v>0</v>
      </c>
      <c r="J1101" s="10">
        <v>0</v>
      </c>
      <c r="K1101" s="10">
        <v>0</v>
      </c>
      <c r="L1101" s="10">
        <v>0</v>
      </c>
      <c r="M1101" s="10">
        <v>0</v>
      </c>
      <c r="N1101" s="10">
        <v>0</v>
      </c>
      <c r="O1101" s="10">
        <v>0</v>
      </c>
      <c r="P1101" s="10">
        <v>0</v>
      </c>
      <c r="Q1101" s="10">
        <v>0</v>
      </c>
      <c r="R1101" s="10">
        <v>0</v>
      </c>
      <c r="S1101" s="10">
        <v>0</v>
      </c>
    </row>
    <row r="1102">
      <c r="A1102" s="14" t="s">
        <v>428</v>
      </c>
      <c r="B1102" s="2" t="s">
        <v>399</v>
      </c>
      <c r="C1102" s="10">
        <v>0</v>
      </c>
      <c r="D1102" s="10">
        <v>0</v>
      </c>
      <c r="E1102" s="10">
        <v>0</v>
      </c>
      <c r="F1102" s="10">
        <v>0</v>
      </c>
      <c r="G1102" s="10">
        <v>0</v>
      </c>
      <c r="H1102" s="10">
        <v>0</v>
      </c>
      <c r="I1102" s="10">
        <v>0</v>
      </c>
      <c r="J1102" s="10">
        <v>0</v>
      </c>
      <c r="K1102" s="10">
        <v>0</v>
      </c>
      <c r="L1102" s="10">
        <v>0</v>
      </c>
      <c r="M1102" s="10">
        <v>0</v>
      </c>
      <c r="N1102" s="10">
        <v>0</v>
      </c>
      <c r="O1102" s="10">
        <v>0</v>
      </c>
      <c r="P1102" s="10">
        <v>0</v>
      </c>
      <c r="Q1102" s="10">
        <v>0</v>
      </c>
      <c r="R1102" s="10">
        <v>0</v>
      </c>
      <c r="S1102" s="10">
        <v>0</v>
      </c>
    </row>
    <row r="1103">
      <c r="A1103" s="14" t="s">
        <v>429</v>
      </c>
      <c r="B1103" s="2" t="s">
        <v>399</v>
      </c>
      <c r="C1103" s="10">
        <v>0</v>
      </c>
      <c r="D1103" s="10">
        <v>0</v>
      </c>
      <c r="E1103" s="10">
        <v>0</v>
      </c>
      <c r="F1103" s="10">
        <v>0</v>
      </c>
      <c r="G1103" s="10">
        <v>0</v>
      </c>
      <c r="H1103" s="10">
        <v>0</v>
      </c>
      <c r="I1103" s="10">
        <v>0</v>
      </c>
      <c r="J1103" s="10">
        <v>0</v>
      </c>
      <c r="K1103" s="10">
        <v>0</v>
      </c>
      <c r="L1103" s="10">
        <v>0</v>
      </c>
      <c r="M1103" s="10">
        <v>0</v>
      </c>
      <c r="N1103" s="10">
        <v>0</v>
      </c>
      <c r="O1103" s="10">
        <v>0</v>
      </c>
      <c r="P1103" s="10">
        <v>0</v>
      </c>
      <c r="Q1103" s="10">
        <v>0</v>
      </c>
      <c r="R1103" s="10">
        <v>0</v>
      </c>
      <c r="S1103" s="10">
        <v>0</v>
      </c>
    </row>
    <row r="1104">
      <c r="A1104" s="14" t="s">
        <v>430</v>
      </c>
      <c r="B1104" s="2" t="s">
        <v>399</v>
      </c>
      <c r="C1104" s="10">
        <v>0</v>
      </c>
      <c r="D1104" s="10">
        <v>0</v>
      </c>
      <c r="E1104" s="10">
        <v>0</v>
      </c>
      <c r="F1104" s="10">
        <v>0</v>
      </c>
      <c r="G1104" s="10">
        <v>0</v>
      </c>
      <c r="H1104" s="10">
        <v>0</v>
      </c>
      <c r="I1104" s="10">
        <v>0</v>
      </c>
      <c r="J1104" s="10">
        <v>0</v>
      </c>
      <c r="K1104" s="10">
        <v>0</v>
      </c>
      <c r="L1104" s="10">
        <v>0</v>
      </c>
      <c r="M1104" s="10">
        <v>0</v>
      </c>
      <c r="N1104" s="10">
        <v>0</v>
      </c>
      <c r="O1104" s="10">
        <v>0</v>
      </c>
      <c r="P1104" s="10">
        <v>0</v>
      </c>
      <c r="Q1104" s="10">
        <v>0</v>
      </c>
      <c r="R1104" s="10">
        <v>0</v>
      </c>
      <c r="S1104" s="10">
        <v>0</v>
      </c>
    </row>
    <row r="1105">
      <c r="A1105" s="14" t="s">
        <v>431</v>
      </c>
      <c r="B1105" s="2" t="s">
        <v>399</v>
      </c>
      <c r="C1105" s="10">
        <v>0</v>
      </c>
      <c r="D1105" s="10">
        <v>0</v>
      </c>
      <c r="E1105" s="10">
        <v>0</v>
      </c>
      <c r="F1105" s="10">
        <v>0</v>
      </c>
      <c r="G1105" s="10">
        <v>0</v>
      </c>
      <c r="H1105" s="10">
        <v>0</v>
      </c>
      <c r="I1105" s="10">
        <v>0</v>
      </c>
      <c r="J1105" s="10">
        <v>0</v>
      </c>
      <c r="K1105" s="10">
        <v>0</v>
      </c>
      <c r="L1105" s="10">
        <v>0</v>
      </c>
      <c r="M1105" s="10">
        <v>0</v>
      </c>
      <c r="N1105" s="10">
        <v>0</v>
      </c>
      <c r="O1105" s="10">
        <v>0</v>
      </c>
      <c r="P1105" s="10">
        <v>0</v>
      </c>
      <c r="Q1105" s="10">
        <v>0</v>
      </c>
      <c r="R1105" s="10">
        <v>0</v>
      </c>
      <c r="S1105" s="10">
        <v>0</v>
      </c>
    </row>
    <row r="1106">
      <c r="A1106" s="14" t="s">
        <v>432</v>
      </c>
      <c r="B1106" s="2" t="s">
        <v>399</v>
      </c>
      <c r="C1106" s="10">
        <v>0</v>
      </c>
      <c r="D1106" s="10">
        <v>0</v>
      </c>
      <c r="E1106" s="10">
        <v>0</v>
      </c>
      <c r="F1106" s="10">
        <v>0</v>
      </c>
      <c r="G1106" s="10">
        <v>0</v>
      </c>
      <c r="H1106" s="10">
        <v>0</v>
      </c>
      <c r="I1106" s="10">
        <v>0</v>
      </c>
      <c r="J1106" s="10">
        <v>0</v>
      </c>
      <c r="K1106" s="10">
        <v>0</v>
      </c>
      <c r="L1106" s="10">
        <v>0</v>
      </c>
      <c r="M1106" s="10">
        <v>0</v>
      </c>
      <c r="N1106" s="10">
        <v>0</v>
      </c>
      <c r="O1106" s="10">
        <v>0</v>
      </c>
      <c r="P1106" s="10">
        <v>0</v>
      </c>
      <c r="Q1106" s="10">
        <v>0</v>
      </c>
      <c r="R1106" s="10">
        <v>0</v>
      </c>
      <c r="S1106" s="10">
        <v>0</v>
      </c>
    </row>
    <row r="1107">
      <c r="A1107" s="14" t="s">
        <v>433</v>
      </c>
      <c r="B1107" s="2" t="s">
        <v>399</v>
      </c>
      <c r="C1107" s="10">
        <v>0</v>
      </c>
      <c r="D1107" s="10">
        <v>0</v>
      </c>
      <c r="E1107" s="10">
        <v>0</v>
      </c>
      <c r="F1107" s="10">
        <v>0</v>
      </c>
      <c r="G1107" s="10">
        <v>0</v>
      </c>
      <c r="H1107" s="10">
        <v>0</v>
      </c>
      <c r="I1107" s="10">
        <v>0</v>
      </c>
      <c r="J1107" s="10">
        <v>0</v>
      </c>
      <c r="K1107" s="10">
        <v>0</v>
      </c>
      <c r="L1107" s="10">
        <v>0</v>
      </c>
      <c r="M1107" s="10">
        <v>0</v>
      </c>
      <c r="N1107" s="10">
        <v>0</v>
      </c>
      <c r="O1107" s="10">
        <v>0</v>
      </c>
      <c r="P1107" s="10">
        <v>0</v>
      </c>
      <c r="Q1107" s="10">
        <v>0</v>
      </c>
      <c r="R1107" s="10">
        <v>0</v>
      </c>
      <c r="S1107" s="10">
        <v>0</v>
      </c>
    </row>
    <row r="1108">
      <c r="A1108" s="14" t="s">
        <v>434</v>
      </c>
      <c r="B1108" s="2" t="s">
        <v>399</v>
      </c>
      <c r="C1108" s="10">
        <v>0</v>
      </c>
      <c r="D1108" s="10">
        <v>0</v>
      </c>
      <c r="E1108" s="10">
        <v>0</v>
      </c>
      <c r="F1108" s="10">
        <v>0</v>
      </c>
      <c r="G1108" s="10">
        <v>0</v>
      </c>
      <c r="H1108" s="10">
        <v>0</v>
      </c>
      <c r="I1108" s="10">
        <v>0</v>
      </c>
      <c r="J1108" s="10">
        <v>0</v>
      </c>
      <c r="K1108" s="10">
        <v>0</v>
      </c>
      <c r="L1108" s="10">
        <v>0</v>
      </c>
      <c r="M1108" s="10">
        <v>0</v>
      </c>
      <c r="N1108" s="10">
        <v>0</v>
      </c>
      <c r="O1108" s="10">
        <v>0</v>
      </c>
      <c r="P1108" s="10">
        <v>0</v>
      </c>
      <c r="Q1108" s="10">
        <v>0</v>
      </c>
      <c r="R1108" s="10">
        <v>0</v>
      </c>
      <c r="S1108" s="10">
        <v>0</v>
      </c>
    </row>
    <row r="1109">
      <c r="A1109" s="14" t="s">
        <v>435</v>
      </c>
      <c r="B1109" s="2" t="s">
        <v>399</v>
      </c>
      <c r="C1109" s="10">
        <v>0</v>
      </c>
      <c r="D1109" s="10">
        <v>0</v>
      </c>
      <c r="E1109" s="10">
        <v>0</v>
      </c>
      <c r="F1109" s="10">
        <v>0</v>
      </c>
      <c r="G1109" s="10">
        <v>0</v>
      </c>
      <c r="H1109" s="10">
        <v>0</v>
      </c>
      <c r="I1109" s="10">
        <v>0</v>
      </c>
      <c r="J1109" s="10">
        <v>0</v>
      </c>
      <c r="K1109" s="10">
        <v>0</v>
      </c>
      <c r="L1109" s="10">
        <v>0</v>
      </c>
      <c r="M1109" s="10">
        <v>0</v>
      </c>
      <c r="N1109" s="10">
        <v>0</v>
      </c>
      <c r="O1109" s="10">
        <v>0</v>
      </c>
      <c r="P1109" s="10">
        <v>0</v>
      </c>
      <c r="Q1109" s="10">
        <v>0</v>
      </c>
      <c r="R1109" s="10">
        <v>0</v>
      </c>
      <c r="S1109" s="10">
        <v>0</v>
      </c>
    </row>
    <row r="1110">
      <c r="A1110" s="14" t="s">
        <v>436</v>
      </c>
      <c r="B1110" s="2" t="s">
        <v>399</v>
      </c>
      <c r="C1110" s="10">
        <v>0</v>
      </c>
      <c r="D1110" s="10">
        <v>0</v>
      </c>
      <c r="E1110" s="10">
        <v>0</v>
      </c>
      <c r="F1110" s="10">
        <v>0</v>
      </c>
      <c r="G1110" s="10">
        <v>0</v>
      </c>
      <c r="H1110" s="10">
        <v>0</v>
      </c>
      <c r="I1110" s="10">
        <v>0</v>
      </c>
      <c r="J1110" s="10">
        <v>0</v>
      </c>
      <c r="K1110" s="10">
        <v>0</v>
      </c>
      <c r="L1110" s="10">
        <v>0</v>
      </c>
      <c r="M1110" s="10">
        <v>0</v>
      </c>
      <c r="N1110" s="10">
        <v>0</v>
      </c>
      <c r="O1110" s="10">
        <v>0</v>
      </c>
      <c r="P1110" s="10">
        <v>0</v>
      </c>
      <c r="Q1110" s="10">
        <v>0</v>
      </c>
      <c r="R1110" s="10">
        <v>0</v>
      </c>
      <c r="S1110" s="10">
        <v>0</v>
      </c>
    </row>
    <row r="1111">
      <c r="A1111" s="14" t="s">
        <v>437</v>
      </c>
      <c r="B1111" s="2" t="s">
        <v>399</v>
      </c>
      <c r="C1111" s="10">
        <v>0</v>
      </c>
      <c r="D1111" s="10">
        <v>0</v>
      </c>
      <c r="E1111" s="10">
        <v>0</v>
      </c>
      <c r="F1111" s="10">
        <v>0</v>
      </c>
      <c r="G1111" s="10">
        <v>0</v>
      </c>
      <c r="H1111" s="10">
        <v>0</v>
      </c>
      <c r="I1111" s="10">
        <v>0</v>
      </c>
      <c r="J1111" s="10">
        <v>0</v>
      </c>
      <c r="K1111" s="10">
        <v>0</v>
      </c>
      <c r="L1111" s="10">
        <v>0</v>
      </c>
      <c r="M1111" s="10">
        <v>0</v>
      </c>
      <c r="N1111" s="10">
        <v>0</v>
      </c>
      <c r="O1111" s="10">
        <v>0</v>
      </c>
      <c r="P1111" s="10">
        <v>0</v>
      </c>
      <c r="Q1111" s="10">
        <v>0</v>
      </c>
      <c r="R1111" s="10">
        <v>0</v>
      </c>
      <c r="S1111" s="10">
        <v>0</v>
      </c>
    </row>
    <row r="1112">
      <c r="A1112" s="14" t="s">
        <v>438</v>
      </c>
      <c r="B1112" s="2" t="s">
        <v>399</v>
      </c>
      <c r="C1112" s="10">
        <v>0</v>
      </c>
      <c r="D1112" s="10">
        <v>0</v>
      </c>
      <c r="E1112" s="10">
        <v>0</v>
      </c>
      <c r="F1112" s="10">
        <v>0</v>
      </c>
      <c r="G1112" s="10">
        <v>0</v>
      </c>
      <c r="H1112" s="10">
        <v>0</v>
      </c>
      <c r="I1112" s="10">
        <v>0</v>
      </c>
      <c r="J1112" s="10">
        <v>0</v>
      </c>
      <c r="K1112" s="10">
        <v>0</v>
      </c>
      <c r="L1112" s="10">
        <v>0</v>
      </c>
      <c r="M1112" s="10">
        <v>0</v>
      </c>
      <c r="N1112" s="10">
        <v>0</v>
      </c>
      <c r="O1112" s="10">
        <v>0</v>
      </c>
      <c r="P1112" s="10">
        <v>0</v>
      </c>
      <c r="Q1112" s="10">
        <v>0</v>
      </c>
      <c r="R1112" s="10">
        <v>0</v>
      </c>
      <c r="S1112" s="10">
        <v>0</v>
      </c>
    </row>
    <row r="1113">
      <c r="A1113" s="14" t="s">
        <v>439</v>
      </c>
      <c r="B1113" s="2" t="s">
        <v>399</v>
      </c>
      <c r="C1113" s="10">
        <v>0</v>
      </c>
      <c r="D1113" s="10">
        <v>0</v>
      </c>
      <c r="E1113" s="10">
        <v>0</v>
      </c>
      <c r="F1113" s="10">
        <v>0</v>
      </c>
      <c r="G1113" s="10">
        <v>0</v>
      </c>
      <c r="H1113" s="10">
        <v>0</v>
      </c>
      <c r="I1113" s="10">
        <v>0</v>
      </c>
      <c r="J1113" s="10">
        <v>0</v>
      </c>
      <c r="K1113" s="10">
        <v>0</v>
      </c>
      <c r="L1113" s="10">
        <v>0</v>
      </c>
      <c r="M1113" s="10">
        <v>0</v>
      </c>
      <c r="N1113" s="10">
        <v>0</v>
      </c>
      <c r="O1113" s="10">
        <v>0</v>
      </c>
      <c r="P1113" s="10">
        <v>0</v>
      </c>
      <c r="Q1113" s="10">
        <v>0</v>
      </c>
      <c r="R1113" s="10">
        <v>0</v>
      </c>
      <c r="S1113" s="10">
        <v>0</v>
      </c>
    </row>
    <row r="1114">
      <c r="A1114" s="14" t="s">
        <v>440</v>
      </c>
      <c r="B1114" s="2" t="s">
        <v>399</v>
      </c>
      <c r="C1114" s="10">
        <v>0</v>
      </c>
      <c r="D1114" s="10">
        <v>0</v>
      </c>
      <c r="E1114" s="10">
        <v>0</v>
      </c>
      <c r="F1114" s="10">
        <v>0</v>
      </c>
      <c r="G1114" s="10">
        <v>0</v>
      </c>
      <c r="H1114" s="10">
        <v>0</v>
      </c>
      <c r="I1114" s="10">
        <v>0</v>
      </c>
      <c r="J1114" s="10">
        <v>0</v>
      </c>
      <c r="K1114" s="10">
        <v>0</v>
      </c>
      <c r="L1114" s="10">
        <v>0</v>
      </c>
      <c r="M1114" s="10">
        <v>0</v>
      </c>
      <c r="N1114" s="10">
        <v>0</v>
      </c>
      <c r="O1114" s="10">
        <v>0</v>
      </c>
      <c r="P1114" s="10">
        <v>0</v>
      </c>
      <c r="Q1114" s="10">
        <v>0</v>
      </c>
      <c r="R1114" s="10">
        <v>0</v>
      </c>
      <c r="S1114" s="10">
        <v>0</v>
      </c>
    </row>
    <row r="1115">
      <c r="A1115" s="14" t="s">
        <v>441</v>
      </c>
      <c r="B1115" s="2" t="s">
        <v>399</v>
      </c>
      <c r="C1115" s="10">
        <v>0</v>
      </c>
      <c r="D1115" s="10">
        <v>0</v>
      </c>
      <c r="E1115" s="10">
        <v>0</v>
      </c>
      <c r="F1115" s="10">
        <v>0</v>
      </c>
      <c r="G1115" s="10">
        <v>0</v>
      </c>
      <c r="H1115" s="10">
        <v>0</v>
      </c>
      <c r="I1115" s="10">
        <v>0</v>
      </c>
      <c r="J1115" s="10">
        <v>0</v>
      </c>
      <c r="K1115" s="10">
        <v>0</v>
      </c>
      <c r="L1115" s="10">
        <v>0</v>
      </c>
      <c r="M1115" s="10">
        <v>0</v>
      </c>
      <c r="N1115" s="10">
        <v>0</v>
      </c>
      <c r="O1115" s="10">
        <v>0</v>
      </c>
      <c r="P1115" s="10">
        <v>0</v>
      </c>
      <c r="Q1115" s="10">
        <v>0</v>
      </c>
      <c r="R1115" s="10">
        <v>0</v>
      </c>
      <c r="S1115" s="10">
        <v>0</v>
      </c>
    </row>
    <row r="1116">
      <c r="A1116" s="14" t="s">
        <v>442</v>
      </c>
      <c r="B1116" s="2" t="s">
        <v>399</v>
      </c>
      <c r="C1116" s="10">
        <v>0</v>
      </c>
      <c r="D1116" s="10">
        <v>0</v>
      </c>
      <c r="E1116" s="10">
        <v>0</v>
      </c>
      <c r="F1116" s="10">
        <v>0</v>
      </c>
      <c r="G1116" s="10">
        <v>0</v>
      </c>
      <c r="H1116" s="10">
        <v>0</v>
      </c>
      <c r="I1116" s="10">
        <v>0</v>
      </c>
      <c r="J1116" s="10">
        <v>0</v>
      </c>
      <c r="K1116" s="10">
        <v>0</v>
      </c>
      <c r="L1116" s="10">
        <v>0</v>
      </c>
      <c r="M1116" s="10">
        <v>0</v>
      </c>
      <c r="N1116" s="10">
        <v>0</v>
      </c>
      <c r="O1116" s="10">
        <v>0</v>
      </c>
      <c r="P1116" s="10">
        <v>0</v>
      </c>
      <c r="Q1116" s="10">
        <v>0</v>
      </c>
      <c r="R1116" s="10">
        <v>0</v>
      </c>
      <c r="S1116" s="10">
        <v>0</v>
      </c>
    </row>
    <row r="1117">
      <c r="A1117" s="14" t="s">
        <v>443</v>
      </c>
      <c r="B1117" s="2" t="s">
        <v>399</v>
      </c>
      <c r="C1117" s="10">
        <v>0</v>
      </c>
      <c r="D1117" s="10">
        <v>0</v>
      </c>
      <c r="E1117" s="10">
        <v>0</v>
      </c>
      <c r="F1117" s="10">
        <v>0</v>
      </c>
      <c r="G1117" s="10">
        <v>0</v>
      </c>
      <c r="H1117" s="10">
        <v>0</v>
      </c>
      <c r="I1117" s="10">
        <v>0</v>
      </c>
      <c r="J1117" s="10">
        <v>0</v>
      </c>
      <c r="K1117" s="10">
        <v>0</v>
      </c>
      <c r="L1117" s="10">
        <v>0</v>
      </c>
      <c r="M1117" s="10">
        <v>0</v>
      </c>
      <c r="N1117" s="10">
        <v>0</v>
      </c>
      <c r="O1117" s="10">
        <v>0</v>
      </c>
      <c r="P1117" s="10">
        <v>0</v>
      </c>
      <c r="Q1117" s="10">
        <v>0</v>
      </c>
      <c r="R1117" s="10">
        <v>0</v>
      </c>
      <c r="S1117" s="10">
        <v>0</v>
      </c>
    </row>
    <row r="1118">
      <c r="A1118" s="14" t="s">
        <v>444</v>
      </c>
      <c r="B1118" s="2" t="s">
        <v>399</v>
      </c>
      <c r="C1118" s="10">
        <v>0</v>
      </c>
      <c r="D1118" s="10">
        <v>0</v>
      </c>
      <c r="E1118" s="10">
        <v>0</v>
      </c>
      <c r="F1118" s="10">
        <v>0</v>
      </c>
      <c r="G1118" s="10">
        <v>0</v>
      </c>
      <c r="H1118" s="10">
        <v>0</v>
      </c>
      <c r="I1118" s="10">
        <v>0</v>
      </c>
      <c r="J1118" s="10">
        <v>0</v>
      </c>
      <c r="K1118" s="10">
        <v>0</v>
      </c>
      <c r="L1118" s="10">
        <v>0</v>
      </c>
      <c r="M1118" s="10">
        <v>0</v>
      </c>
      <c r="N1118" s="10">
        <v>0</v>
      </c>
      <c r="O1118" s="10">
        <v>0</v>
      </c>
      <c r="P1118" s="10">
        <v>0</v>
      </c>
      <c r="Q1118" s="10">
        <v>0</v>
      </c>
      <c r="R1118" s="10">
        <v>0</v>
      </c>
      <c r="S1118" s="10">
        <v>0</v>
      </c>
    </row>
    <row r="1127">
      <c r="A1127" s="4" t="s">
        <v>459</v>
      </c>
      <c r="B1127" s="3" t="s">
        <v>366</v>
      </c>
      <c r="C1127" s="3" t="s">
        <v>41</v>
      </c>
      <c r="D1127" s="3" t="s">
        <v>42</v>
      </c>
      <c r="E1127" s="3" t="s">
        <v>43</v>
      </c>
      <c r="F1127" s="3" t="s">
        <v>44</v>
      </c>
      <c r="G1127" s="3" t="s">
        <v>45</v>
      </c>
      <c r="H1127" s="3" t="s">
        <v>46</v>
      </c>
      <c r="I1127" s="3" t="s">
        <v>47</v>
      </c>
      <c r="J1127" s="3" t="s">
        <v>48</v>
      </c>
      <c r="K1127" s="3" t="s">
        <v>49</v>
      </c>
      <c r="L1127" s="3" t="s">
        <v>50</v>
      </c>
      <c r="M1127" s="3" t="s">
        <v>51</v>
      </c>
      <c r="N1127" s="3" t="s">
        <v>52</v>
      </c>
      <c r="O1127" s="3" t="s">
        <v>53</v>
      </c>
      <c r="P1127" s="3" t="s">
        <v>54</v>
      </c>
      <c r="Q1127" s="3" t="s">
        <v>55</v>
      </c>
      <c r="R1127" s="3" t="s">
        <v>56</v>
      </c>
      <c r="S1127" s="3" t="s">
        <v>85</v>
      </c>
    </row>
    <row r="1128">
      <c r="A1128" s="14" t="s">
        <v>367</v>
      </c>
      <c r="B1128" s="2" t="s">
        <v>368</v>
      </c>
      <c r="C1128" s="22">
        <f>IF(C720&gt;=0.9,1,0)</f>
        <v>0</v>
      </c>
      <c r="D1128" s="22">
        <f>IF(D720&gt;=0.9,1,0)</f>
        <v>0</v>
      </c>
      <c r="E1128" s="22">
        <f>IF(E720&gt;=0.9,1,0)</f>
        <v>0</v>
      </c>
      <c r="F1128" s="22">
        <f>IF(F720&gt;=0.9,1,0)</f>
        <v>0</v>
      </c>
      <c r="G1128" s="22">
        <f>IF(G720&gt;=0.9,1,0)</f>
        <v>0</v>
      </c>
      <c r="H1128" s="22">
        <f>IF(H720&gt;=0.9,1,0)</f>
        <v>0</v>
      </c>
      <c r="I1128" s="22">
        <f>IF(I720&gt;=0.9,1,0)</f>
        <v>0</v>
      </c>
      <c r="J1128" s="22">
        <f>IF(J720&gt;=0.9,1,0)</f>
        <v>0</v>
      </c>
      <c r="K1128" s="22">
        <f>IF(K720&gt;=0.9,1,0)</f>
        <v>0</v>
      </c>
      <c r="L1128" s="22">
        <f>IF(L720&gt;=0.9,1,0)</f>
        <v>0</v>
      </c>
      <c r="M1128" s="22">
        <f>IF(M720&gt;=0.9,1,0)</f>
        <v>0</v>
      </c>
      <c r="N1128" s="22">
        <f>IF(N720&gt;=0.9,1,0)</f>
        <v>0</v>
      </c>
      <c r="O1128" s="22">
        <f>IF(O720&gt;=0.9,1,0)</f>
        <v>0</v>
      </c>
      <c r="P1128" s="22">
        <f>IF(P720&gt;=0.9,1,0)</f>
        <v>0</v>
      </c>
      <c r="Q1128" s="22">
        <f>IF(Q720&gt;=0.9,1,0)</f>
        <v>0</v>
      </c>
      <c r="R1128" s="22">
        <f>IF(R720&gt;=0.9,1,0)</f>
        <v>0</v>
      </c>
      <c r="S1128" s="22">
        <f>IF(S720&gt;=0.9,1,0)</f>
        <v>0</v>
      </c>
    </row>
    <row r="1129">
      <c r="A1129" s="14" t="s">
        <v>96</v>
      </c>
      <c r="B1129" s="2" t="s">
        <v>368</v>
      </c>
      <c r="C1129" s="22">
        <f>IF(C721&gt;=0.9,1,0)</f>
        <v>0</v>
      </c>
      <c r="D1129" s="22">
        <f>IF(D721&gt;=0.9,1,0)</f>
        <v>0</v>
      </c>
      <c r="E1129" s="22">
        <f>IF(E721&gt;=0.9,1,0)</f>
        <v>0</v>
      </c>
      <c r="F1129" s="22">
        <f>IF(F721&gt;=0.9,1,0)</f>
        <v>0</v>
      </c>
      <c r="G1129" s="22">
        <f>IF(G721&gt;=0.9,1,0)</f>
        <v>0</v>
      </c>
      <c r="H1129" s="22">
        <f>IF(H721&gt;=0.9,1,0)</f>
        <v>0</v>
      </c>
      <c r="I1129" s="22">
        <f>IF(I721&gt;=0.9,1,0)</f>
        <v>0</v>
      </c>
      <c r="J1129" s="22">
        <f>IF(J721&gt;=0.9,1,0)</f>
        <v>0</v>
      </c>
      <c r="K1129" s="22">
        <f>IF(K721&gt;=0.9,1,0)</f>
        <v>0</v>
      </c>
      <c r="L1129" s="22">
        <f>IF(L721&gt;=0.9,1,0)</f>
        <v>0</v>
      </c>
      <c r="M1129" s="22">
        <f>IF(M721&gt;=0.9,1,0)</f>
        <v>0</v>
      </c>
      <c r="N1129" s="22">
        <f>IF(N721&gt;=0.9,1,0)</f>
        <v>0</v>
      </c>
      <c r="O1129" s="22">
        <f>IF(O721&gt;=0.9,1,0)</f>
        <v>0</v>
      </c>
      <c r="P1129" s="22">
        <f>IF(P721&gt;=0.9,1,0)</f>
        <v>0</v>
      </c>
      <c r="Q1129" s="22">
        <f>IF(Q721&gt;=0.9,1,0)</f>
        <v>0</v>
      </c>
      <c r="R1129" s="22">
        <f>IF(R721&gt;=0.9,1,0)</f>
        <v>0</v>
      </c>
      <c r="S1129" s="22">
        <f>IF(S721&gt;=0.9,1,0)</f>
        <v>0</v>
      </c>
    </row>
    <row r="1130">
      <c r="A1130" s="14" t="s">
        <v>369</v>
      </c>
      <c r="B1130" s="2" t="s">
        <v>368</v>
      </c>
      <c r="C1130" s="22">
        <f>IF(C722&gt;=0.9,1,0)</f>
        <v>1</v>
      </c>
      <c r="D1130" s="22">
        <f>IF(D722&gt;=0.9,1,0)</f>
        <v>1</v>
      </c>
      <c r="E1130" s="22">
        <f>IF(E722&gt;=0.9,1,0)</f>
        <v>1</v>
      </c>
      <c r="F1130" s="22">
        <f>IF(F722&gt;=0.9,1,0)</f>
        <v>1</v>
      </c>
      <c r="G1130" s="22">
        <f>IF(G722&gt;=0.9,1,0)</f>
        <v>1</v>
      </c>
      <c r="H1130" s="22">
        <f>IF(H722&gt;=0.9,1,0)</f>
        <v>1</v>
      </c>
      <c r="I1130" s="22">
        <f>IF(I722&gt;=0.9,1,0)</f>
        <v>1</v>
      </c>
      <c r="J1130" s="22">
        <f>IF(J722&gt;=0.9,1,0)</f>
        <v>1</v>
      </c>
      <c r="K1130" s="22">
        <f>IF(K722&gt;=0.9,1,0)</f>
        <v>1</v>
      </c>
      <c r="L1130" s="22">
        <f>IF(L722&gt;=0.9,1,0)</f>
        <v>1</v>
      </c>
      <c r="M1130" s="22">
        <f>IF(M722&gt;=0.9,1,0)</f>
        <v>1</v>
      </c>
      <c r="N1130" s="22">
        <f>IF(N722&gt;=0.9,1,0)</f>
        <v>1</v>
      </c>
      <c r="O1130" s="22">
        <f>IF(O722&gt;=0.9,1,0)</f>
        <v>1</v>
      </c>
      <c r="P1130" s="22">
        <f>IF(P722&gt;=0.9,1,0)</f>
        <v>1</v>
      </c>
      <c r="Q1130" s="22">
        <f>IF(Q722&gt;=0.9,1,0)</f>
        <v>1</v>
      </c>
      <c r="R1130" s="22">
        <f>IF(R722&gt;=0.9,1,0)</f>
        <v>1</v>
      </c>
      <c r="S1130" s="22">
        <f>IF(S722&gt;=0.9,1,0)</f>
        <v>1</v>
      </c>
    </row>
    <row r="1131">
      <c r="A1131" s="14" t="s">
        <v>370</v>
      </c>
      <c r="B1131" s="2" t="s">
        <v>368</v>
      </c>
      <c r="C1131" s="22">
        <f>IF(C723&gt;=0.9,1,0)</f>
        <v>1</v>
      </c>
      <c r="D1131" s="22">
        <f>IF(D723&gt;=0.9,1,0)</f>
        <v>1</v>
      </c>
      <c r="E1131" s="22">
        <f>IF(E723&gt;=0.9,1,0)</f>
        <v>1</v>
      </c>
      <c r="F1131" s="22">
        <f>IF(F723&gt;=0.9,1,0)</f>
        <v>1</v>
      </c>
      <c r="G1131" s="22">
        <f>IF(G723&gt;=0.9,1,0)</f>
        <v>1</v>
      </c>
      <c r="H1131" s="22">
        <f>IF(H723&gt;=0.9,1,0)</f>
        <v>1</v>
      </c>
      <c r="I1131" s="22">
        <f>IF(I723&gt;=0.9,1,0)</f>
        <v>1</v>
      </c>
      <c r="J1131" s="22">
        <f>IF(J723&gt;=0.9,1,0)</f>
        <v>1</v>
      </c>
      <c r="K1131" s="22">
        <f>IF(K723&gt;=0.9,1,0)</f>
        <v>1</v>
      </c>
      <c r="L1131" s="22">
        <f>IF(L723&gt;=0.9,1,0)</f>
        <v>1</v>
      </c>
      <c r="M1131" s="22">
        <f>IF(M723&gt;=0.9,1,0)</f>
        <v>1</v>
      </c>
      <c r="N1131" s="22">
        <f>IF(N723&gt;=0.9,1,0)</f>
        <v>1</v>
      </c>
      <c r="O1131" s="22">
        <f>IF(O723&gt;=0.9,1,0)</f>
        <v>1</v>
      </c>
      <c r="P1131" s="22">
        <f>IF(P723&gt;=0.9,1,0)</f>
        <v>1</v>
      </c>
      <c r="Q1131" s="22">
        <f>IF(Q723&gt;=0.9,1,0)</f>
        <v>1</v>
      </c>
      <c r="R1131" s="22">
        <f>IF(R723&gt;=0.9,1,0)</f>
        <v>1</v>
      </c>
      <c r="S1131" s="22">
        <f>IF(S723&gt;=0.9,1,0)</f>
        <v>1</v>
      </c>
    </row>
    <row r="1132">
      <c r="A1132" s="14" t="s">
        <v>371</v>
      </c>
      <c r="B1132" s="2" t="s">
        <v>368</v>
      </c>
      <c r="C1132" s="22">
        <f>IF(C724&gt;=0.9,1,0)</f>
        <v>0</v>
      </c>
      <c r="D1132" s="22">
        <f>IF(D724&gt;=0.9,1,0)</f>
        <v>0</v>
      </c>
      <c r="E1132" s="22">
        <f>IF(E724&gt;=0.9,1,0)</f>
        <v>0</v>
      </c>
      <c r="F1132" s="22">
        <f>IF(F724&gt;=0.9,1,0)</f>
        <v>0</v>
      </c>
      <c r="G1132" s="22">
        <f>IF(G724&gt;=0.9,1,0)</f>
        <v>0</v>
      </c>
      <c r="H1132" s="22">
        <f>IF(H724&gt;=0.9,1,0)</f>
        <v>0</v>
      </c>
      <c r="I1132" s="22">
        <f>IF(I724&gt;=0.9,1,0)</f>
        <v>0</v>
      </c>
      <c r="J1132" s="22">
        <f>IF(J724&gt;=0.9,1,0)</f>
        <v>0</v>
      </c>
      <c r="K1132" s="22">
        <f>IF(K724&gt;=0.9,1,0)</f>
        <v>0</v>
      </c>
      <c r="L1132" s="22">
        <f>IF(L724&gt;=0.9,1,0)</f>
        <v>0</v>
      </c>
      <c r="M1132" s="22">
        <f>IF(M724&gt;=0.9,1,0)</f>
        <v>0</v>
      </c>
      <c r="N1132" s="22">
        <f>IF(N724&gt;=0.9,1,0)</f>
        <v>0</v>
      </c>
      <c r="O1132" s="22">
        <f>IF(O724&gt;=0.9,1,0)</f>
        <v>0</v>
      </c>
      <c r="P1132" s="22">
        <f>IF(P724&gt;=0.9,1,0)</f>
        <v>0</v>
      </c>
      <c r="Q1132" s="22">
        <f>IF(Q724&gt;=0.9,1,0)</f>
        <v>0</v>
      </c>
      <c r="R1132" s="22">
        <f>IF(R724&gt;=0.9,1,0)</f>
        <v>0</v>
      </c>
      <c r="S1132" s="22">
        <f>IF(S724&gt;=0.9,1,0)</f>
        <v>0</v>
      </c>
    </row>
    <row r="1133">
      <c r="A1133" s="14" t="s">
        <v>372</v>
      </c>
      <c r="B1133" s="2" t="s">
        <v>368</v>
      </c>
      <c r="C1133" s="22">
        <f>IF(C725&gt;=0.9,1,0)</f>
        <v>0</v>
      </c>
      <c r="D1133" s="22">
        <f>IF(D725&gt;=0.9,1,0)</f>
        <v>0</v>
      </c>
      <c r="E1133" s="22">
        <f>IF(E725&gt;=0.9,1,0)</f>
        <v>0</v>
      </c>
      <c r="F1133" s="22">
        <f>IF(F725&gt;=0.9,1,0)</f>
        <v>0</v>
      </c>
      <c r="G1133" s="22">
        <f>IF(G725&gt;=0.9,1,0)</f>
        <v>0</v>
      </c>
      <c r="H1133" s="22">
        <f>IF(H725&gt;=0.9,1,0)</f>
        <v>0</v>
      </c>
      <c r="I1133" s="22">
        <f>IF(I725&gt;=0.9,1,0)</f>
        <v>0</v>
      </c>
      <c r="J1133" s="22">
        <f>IF(J725&gt;=0.9,1,0)</f>
        <v>0</v>
      </c>
      <c r="K1133" s="22">
        <f>IF(K725&gt;=0.9,1,0)</f>
        <v>0</v>
      </c>
      <c r="L1133" s="22">
        <f>IF(L725&gt;=0.9,1,0)</f>
        <v>0</v>
      </c>
      <c r="M1133" s="22">
        <f>IF(M725&gt;=0.9,1,0)</f>
        <v>0</v>
      </c>
      <c r="N1133" s="22">
        <f>IF(N725&gt;=0.9,1,0)</f>
        <v>0</v>
      </c>
      <c r="O1133" s="22">
        <f>IF(O725&gt;=0.9,1,0)</f>
        <v>0</v>
      </c>
      <c r="P1133" s="22">
        <f>IF(P725&gt;=0.9,1,0)</f>
        <v>0</v>
      </c>
      <c r="Q1133" s="22">
        <f>IF(Q725&gt;=0.9,1,0)</f>
        <v>0</v>
      </c>
      <c r="R1133" s="22">
        <f>IF(R725&gt;=0.9,1,0)</f>
        <v>0</v>
      </c>
      <c r="S1133" s="22">
        <f>IF(S725&gt;=0.9,1,0)</f>
        <v>0</v>
      </c>
    </row>
    <row r="1134">
      <c r="A1134" s="14" t="s">
        <v>373</v>
      </c>
      <c r="B1134" s="2" t="s">
        <v>368</v>
      </c>
      <c r="C1134" s="22">
        <f>IF(C726&gt;=0.9,1,0)</f>
        <v>0</v>
      </c>
      <c r="D1134" s="22">
        <f>IF(D726&gt;=0.9,1,0)</f>
        <v>0</v>
      </c>
      <c r="E1134" s="22">
        <f>IF(E726&gt;=0.9,1,0)</f>
        <v>0</v>
      </c>
      <c r="F1134" s="22">
        <f>IF(F726&gt;=0.9,1,0)</f>
        <v>0</v>
      </c>
      <c r="G1134" s="22">
        <f>IF(G726&gt;=0.9,1,0)</f>
        <v>0</v>
      </c>
      <c r="H1134" s="22">
        <f>IF(H726&gt;=0.9,1,0)</f>
        <v>0</v>
      </c>
      <c r="I1134" s="22">
        <f>IF(I726&gt;=0.9,1,0)</f>
        <v>0</v>
      </c>
      <c r="J1134" s="22">
        <f>IF(J726&gt;=0.9,1,0)</f>
        <v>0</v>
      </c>
      <c r="K1134" s="22">
        <f>IF(K726&gt;=0.9,1,0)</f>
        <v>0</v>
      </c>
      <c r="L1134" s="22">
        <f>IF(L726&gt;=0.9,1,0)</f>
        <v>0</v>
      </c>
      <c r="M1134" s="22">
        <f>IF(M726&gt;=0.9,1,0)</f>
        <v>0</v>
      </c>
      <c r="N1134" s="22">
        <f>IF(N726&gt;=0.9,1,0)</f>
        <v>0</v>
      </c>
      <c r="O1134" s="22">
        <f>IF(O726&gt;=0.9,1,0)</f>
        <v>0</v>
      </c>
      <c r="P1134" s="22">
        <f>IF(P726&gt;=0.9,1,0)</f>
        <v>0</v>
      </c>
      <c r="Q1134" s="22">
        <f>IF(Q726&gt;=0.9,1,0)</f>
        <v>0</v>
      </c>
      <c r="R1134" s="22">
        <f>IF(R726&gt;=0.9,1,0)</f>
        <v>0</v>
      </c>
      <c r="S1134" s="22">
        <f>IF(S726&gt;=0.9,1,0)</f>
        <v>0</v>
      </c>
    </row>
    <row r="1135">
      <c r="A1135" s="14" t="s">
        <v>102</v>
      </c>
      <c r="B1135" s="2" t="s">
        <v>368</v>
      </c>
      <c r="C1135" s="22">
        <f>IF(C727&gt;=0.9,1,0)</f>
        <v>1</v>
      </c>
      <c r="D1135" s="22">
        <f>IF(D727&gt;=0.9,1,0)</f>
        <v>1</v>
      </c>
      <c r="E1135" s="22">
        <f>IF(E727&gt;=0.9,1,0)</f>
        <v>1</v>
      </c>
      <c r="F1135" s="22">
        <f>IF(F727&gt;=0.9,1,0)</f>
        <v>1</v>
      </c>
      <c r="G1135" s="22">
        <f>IF(G727&gt;=0.9,1,0)</f>
        <v>1</v>
      </c>
      <c r="H1135" s="22">
        <f>IF(H727&gt;=0.9,1,0)</f>
        <v>1</v>
      </c>
      <c r="I1135" s="22">
        <f>IF(I727&gt;=0.9,1,0)</f>
        <v>1</v>
      </c>
      <c r="J1135" s="22">
        <f>IF(J727&gt;=0.9,1,0)</f>
        <v>1</v>
      </c>
      <c r="K1135" s="22">
        <f>IF(K727&gt;=0.9,1,0)</f>
        <v>1</v>
      </c>
      <c r="L1135" s="22">
        <f>IF(L727&gt;=0.9,1,0)</f>
        <v>1</v>
      </c>
      <c r="M1135" s="22">
        <f>IF(M727&gt;=0.9,1,0)</f>
        <v>1</v>
      </c>
      <c r="N1135" s="22">
        <f>IF(N727&gt;=0.9,1,0)</f>
        <v>1</v>
      </c>
      <c r="O1135" s="22">
        <f>IF(O727&gt;=0.9,1,0)</f>
        <v>1</v>
      </c>
      <c r="P1135" s="22">
        <f>IF(P727&gt;=0.9,1,0)</f>
        <v>1</v>
      </c>
      <c r="Q1135" s="22">
        <f>IF(Q727&gt;=0.9,1,0)</f>
        <v>1</v>
      </c>
      <c r="R1135" s="22">
        <f>IF(R727&gt;=0.9,1,0)</f>
        <v>1</v>
      </c>
      <c r="S1135" s="22">
        <f>IF(S727&gt;=0.9,1,0)</f>
        <v>1</v>
      </c>
    </row>
    <row r="1136">
      <c r="A1136" s="14" t="s">
        <v>374</v>
      </c>
      <c r="B1136" s="2" t="s">
        <v>368</v>
      </c>
      <c r="C1136" s="22">
        <f>IF(C728&gt;=0.9,1,0)</f>
        <v>1</v>
      </c>
      <c r="D1136" s="22">
        <f>IF(D728&gt;=0.9,1,0)</f>
        <v>1</v>
      </c>
      <c r="E1136" s="22">
        <f>IF(E728&gt;=0.9,1,0)</f>
        <v>1</v>
      </c>
      <c r="F1136" s="22">
        <f>IF(F728&gt;=0.9,1,0)</f>
        <v>1</v>
      </c>
      <c r="G1136" s="22">
        <f>IF(G728&gt;=0.9,1,0)</f>
        <v>1</v>
      </c>
      <c r="H1136" s="22">
        <f>IF(H728&gt;=0.9,1,0)</f>
        <v>1</v>
      </c>
      <c r="I1136" s="22">
        <f>IF(I728&gt;=0.9,1,0)</f>
        <v>1</v>
      </c>
      <c r="J1136" s="22">
        <f>IF(J728&gt;=0.9,1,0)</f>
        <v>1</v>
      </c>
      <c r="K1136" s="22">
        <f>IF(K728&gt;=0.9,1,0)</f>
        <v>1</v>
      </c>
      <c r="L1136" s="22">
        <f>IF(L728&gt;=0.9,1,0)</f>
        <v>1</v>
      </c>
      <c r="M1136" s="22">
        <f>IF(M728&gt;=0.9,1,0)</f>
        <v>1</v>
      </c>
      <c r="N1136" s="22">
        <f>IF(N728&gt;=0.9,1,0)</f>
        <v>1</v>
      </c>
      <c r="O1136" s="22">
        <f>IF(O728&gt;=0.9,1,0)</f>
        <v>1</v>
      </c>
      <c r="P1136" s="22">
        <f>IF(P728&gt;=0.9,1,0)</f>
        <v>1</v>
      </c>
      <c r="Q1136" s="22">
        <f>IF(Q728&gt;=0.9,1,0)</f>
        <v>1</v>
      </c>
      <c r="R1136" s="22">
        <f>IF(R728&gt;=0.9,1,0)</f>
        <v>1</v>
      </c>
      <c r="S1136" s="22">
        <f>IF(S728&gt;=0.9,1,0)</f>
        <v>1</v>
      </c>
    </row>
    <row r="1137">
      <c r="A1137" s="14" t="s">
        <v>375</v>
      </c>
      <c r="B1137" s="2" t="s">
        <v>368</v>
      </c>
      <c r="C1137" s="22">
        <f>IF(C729&gt;=0.9,1,0)</f>
        <v>1</v>
      </c>
      <c r="D1137" s="22">
        <f>IF(D729&gt;=0.9,1,0)</f>
        <v>1</v>
      </c>
      <c r="E1137" s="22">
        <f>IF(E729&gt;=0.9,1,0)</f>
        <v>1</v>
      </c>
      <c r="F1137" s="22">
        <f>IF(F729&gt;=0.9,1,0)</f>
        <v>1</v>
      </c>
      <c r="G1137" s="22">
        <f>IF(G729&gt;=0.9,1,0)</f>
        <v>1</v>
      </c>
      <c r="H1137" s="22">
        <f>IF(H729&gt;=0.9,1,0)</f>
        <v>1</v>
      </c>
      <c r="I1137" s="22">
        <f>IF(I729&gt;=0.9,1,0)</f>
        <v>1</v>
      </c>
      <c r="J1137" s="22">
        <f>IF(J729&gt;=0.9,1,0)</f>
        <v>1</v>
      </c>
      <c r="K1137" s="22">
        <f>IF(K729&gt;=0.9,1,0)</f>
        <v>0</v>
      </c>
      <c r="L1137" s="22">
        <f>IF(L729&gt;=0.9,1,0)</f>
        <v>0</v>
      </c>
      <c r="M1137" s="22">
        <f>IF(M729&gt;=0.9,1,0)</f>
        <v>0</v>
      </c>
      <c r="N1137" s="22">
        <f>IF(N729&gt;=0.9,1,0)</f>
        <v>0</v>
      </c>
      <c r="O1137" s="22">
        <f>IF(O729&gt;=0.9,1,0)</f>
        <v>0</v>
      </c>
      <c r="P1137" s="22">
        <f>IF(P729&gt;=0.9,1,0)</f>
        <v>0</v>
      </c>
      <c r="Q1137" s="22">
        <f>IF(Q729&gt;=0.9,1,0)</f>
        <v>1</v>
      </c>
      <c r="R1137" s="22">
        <f>IF(R729&gt;=0.9,1,0)</f>
        <v>0</v>
      </c>
      <c r="S1137" s="22">
        <f>IF(S729&gt;=0.9,1,0)</f>
        <v>0</v>
      </c>
    </row>
    <row r="1138">
      <c r="A1138" s="14" t="s">
        <v>105</v>
      </c>
      <c r="B1138" s="2" t="s">
        <v>368</v>
      </c>
      <c r="C1138" s="22">
        <f>IF(C730&gt;=0.9,1,0)</f>
        <v>1</v>
      </c>
      <c r="D1138" s="22">
        <f>IF(D730&gt;=0.9,1,0)</f>
        <v>1</v>
      </c>
      <c r="E1138" s="22">
        <f>IF(E730&gt;=0.9,1,0)</f>
        <v>1</v>
      </c>
      <c r="F1138" s="22">
        <f>IF(F730&gt;=0.9,1,0)</f>
        <v>1</v>
      </c>
      <c r="G1138" s="22">
        <f>IF(G730&gt;=0.9,1,0)</f>
        <v>1</v>
      </c>
      <c r="H1138" s="22">
        <f>IF(H730&gt;=0.9,1,0)</f>
        <v>1</v>
      </c>
      <c r="I1138" s="22">
        <f>IF(I730&gt;=0.9,1,0)</f>
        <v>1</v>
      </c>
      <c r="J1138" s="22">
        <f>IF(J730&gt;=0.9,1,0)</f>
        <v>1</v>
      </c>
      <c r="K1138" s="22">
        <f>IF(K730&gt;=0.9,1,0)</f>
        <v>1</v>
      </c>
      <c r="L1138" s="22">
        <f>IF(L730&gt;=0.9,1,0)</f>
        <v>1</v>
      </c>
      <c r="M1138" s="22">
        <f>IF(M730&gt;=0.9,1,0)</f>
        <v>1</v>
      </c>
      <c r="N1138" s="22">
        <f>IF(N730&gt;=0.9,1,0)</f>
        <v>1</v>
      </c>
      <c r="O1138" s="22">
        <f>IF(O730&gt;=0.9,1,0)</f>
        <v>1</v>
      </c>
      <c r="P1138" s="22">
        <f>IF(P730&gt;=0.9,1,0)</f>
        <v>1</v>
      </c>
      <c r="Q1138" s="22">
        <f>IF(Q730&gt;=0.9,1,0)</f>
        <v>1</v>
      </c>
      <c r="R1138" s="22">
        <f>IF(R730&gt;=0.9,1,0)</f>
        <v>1</v>
      </c>
      <c r="S1138" s="22">
        <f>IF(S730&gt;=0.9,1,0)</f>
        <v>1</v>
      </c>
    </row>
    <row r="1139">
      <c r="A1139" s="14" t="s">
        <v>106</v>
      </c>
      <c r="B1139" s="2" t="s">
        <v>368</v>
      </c>
      <c r="C1139" s="22">
        <f>IF(C731&gt;=0.9,1,0)</f>
        <v>1</v>
      </c>
      <c r="D1139" s="22">
        <f>IF(D731&gt;=0.9,1,0)</f>
        <v>1</v>
      </c>
      <c r="E1139" s="22">
        <f>IF(E731&gt;=0.9,1,0)</f>
        <v>1</v>
      </c>
      <c r="F1139" s="22">
        <f>IF(F731&gt;=0.9,1,0)</f>
        <v>1</v>
      </c>
      <c r="G1139" s="22">
        <f>IF(G731&gt;=0.9,1,0)</f>
        <v>1</v>
      </c>
      <c r="H1139" s="22">
        <f>IF(H731&gt;=0.9,1,0)</f>
        <v>1</v>
      </c>
      <c r="I1139" s="22">
        <f>IF(I731&gt;=0.9,1,0)</f>
        <v>1</v>
      </c>
      <c r="J1139" s="22">
        <f>IF(J731&gt;=0.9,1,0)</f>
        <v>1</v>
      </c>
      <c r="K1139" s="22">
        <f>IF(K731&gt;=0.9,1,0)</f>
        <v>1</v>
      </c>
      <c r="L1139" s="22">
        <f>IF(L731&gt;=0.9,1,0)</f>
        <v>1</v>
      </c>
      <c r="M1139" s="22">
        <f>IF(M731&gt;=0.9,1,0)</f>
        <v>1</v>
      </c>
      <c r="N1139" s="22">
        <f>IF(N731&gt;=0.9,1,0)</f>
        <v>1</v>
      </c>
      <c r="O1139" s="22">
        <f>IF(O731&gt;=0.9,1,0)</f>
        <v>1</v>
      </c>
      <c r="P1139" s="22">
        <f>IF(P731&gt;=0.9,1,0)</f>
        <v>1</v>
      </c>
      <c r="Q1139" s="22">
        <f>IF(Q731&gt;=0.9,1,0)</f>
        <v>1</v>
      </c>
      <c r="R1139" s="22">
        <f>IF(R731&gt;=0.9,1,0)</f>
        <v>1</v>
      </c>
      <c r="S1139" s="22">
        <f>IF(S731&gt;=0.9,1,0)</f>
        <v>1</v>
      </c>
    </row>
    <row r="1140">
      <c r="A1140" s="14" t="s">
        <v>376</v>
      </c>
      <c r="B1140" s="2" t="s">
        <v>368</v>
      </c>
      <c r="C1140" s="22">
        <f>IF(C732&gt;=0.9,1,0)</f>
        <v>0</v>
      </c>
      <c r="D1140" s="22">
        <f>IF(D732&gt;=0.9,1,0)</f>
        <v>0</v>
      </c>
      <c r="E1140" s="22">
        <f>IF(E732&gt;=0.9,1,0)</f>
        <v>0</v>
      </c>
      <c r="F1140" s="22">
        <f>IF(F732&gt;=0.9,1,0)</f>
        <v>0</v>
      </c>
      <c r="G1140" s="22">
        <f>IF(G732&gt;=0.9,1,0)</f>
        <v>0</v>
      </c>
      <c r="H1140" s="22">
        <f>IF(H732&gt;=0.9,1,0)</f>
        <v>0</v>
      </c>
      <c r="I1140" s="22">
        <f>IF(I732&gt;=0.9,1,0)</f>
        <v>0</v>
      </c>
      <c r="J1140" s="22">
        <f>IF(J732&gt;=0.9,1,0)</f>
        <v>0</v>
      </c>
      <c r="K1140" s="22">
        <f>IF(K732&gt;=0.9,1,0)</f>
        <v>0</v>
      </c>
      <c r="L1140" s="22">
        <f>IF(L732&gt;=0.9,1,0)</f>
        <v>0</v>
      </c>
      <c r="M1140" s="22">
        <f>IF(M732&gt;=0.9,1,0)</f>
        <v>0</v>
      </c>
      <c r="N1140" s="22">
        <f>IF(N732&gt;=0.9,1,0)</f>
        <v>0</v>
      </c>
      <c r="O1140" s="22">
        <f>IF(O732&gt;=0.9,1,0)</f>
        <v>0</v>
      </c>
      <c r="P1140" s="22">
        <f>IF(P732&gt;=0.9,1,0)</f>
        <v>0</v>
      </c>
      <c r="Q1140" s="22">
        <f>IF(Q732&gt;=0.9,1,0)</f>
        <v>0</v>
      </c>
      <c r="R1140" s="22">
        <f>IF(R732&gt;=0.9,1,0)</f>
        <v>0</v>
      </c>
      <c r="S1140" s="22">
        <f>IF(S732&gt;=0.9,1,0)</f>
        <v>0</v>
      </c>
    </row>
    <row r="1141">
      <c r="A1141" s="14" t="s">
        <v>377</v>
      </c>
      <c r="B1141" s="2" t="s">
        <v>368</v>
      </c>
      <c r="C1141" s="22">
        <f>IF(C733&gt;=0.9,1,0)</f>
        <v>0</v>
      </c>
      <c r="D1141" s="22">
        <f>IF(D733&gt;=0.9,1,0)</f>
        <v>0</v>
      </c>
      <c r="E1141" s="22">
        <f>IF(E733&gt;=0.9,1,0)</f>
        <v>0</v>
      </c>
      <c r="F1141" s="22">
        <f>IF(F733&gt;=0.9,1,0)</f>
        <v>0</v>
      </c>
      <c r="G1141" s="22">
        <f>IF(G733&gt;=0.9,1,0)</f>
        <v>0</v>
      </c>
      <c r="H1141" s="22">
        <f>IF(H733&gt;=0.9,1,0)</f>
        <v>0</v>
      </c>
      <c r="I1141" s="22">
        <f>IF(I733&gt;=0.9,1,0)</f>
        <v>0</v>
      </c>
      <c r="J1141" s="22">
        <f>IF(J733&gt;=0.9,1,0)</f>
        <v>0</v>
      </c>
      <c r="K1141" s="22">
        <f>IF(K733&gt;=0.9,1,0)</f>
        <v>0</v>
      </c>
      <c r="L1141" s="22">
        <f>IF(L733&gt;=0.9,1,0)</f>
        <v>0</v>
      </c>
      <c r="M1141" s="22">
        <f>IF(M733&gt;=0.9,1,0)</f>
        <v>0</v>
      </c>
      <c r="N1141" s="22">
        <f>IF(N733&gt;=0.9,1,0)</f>
        <v>0</v>
      </c>
      <c r="O1141" s="22">
        <f>IF(O733&gt;=0.9,1,0)</f>
        <v>0</v>
      </c>
      <c r="P1141" s="22">
        <f>IF(P733&gt;=0.9,1,0)</f>
        <v>0</v>
      </c>
      <c r="Q1141" s="22">
        <f>IF(Q733&gt;=0.9,1,0)</f>
        <v>0</v>
      </c>
      <c r="R1141" s="22">
        <f>IF(R733&gt;=0.9,1,0)</f>
        <v>0</v>
      </c>
      <c r="S1141" s="22">
        <f>IF(S733&gt;=0.9,1,0)</f>
        <v>0</v>
      </c>
    </row>
    <row r="1142">
      <c r="A1142" s="14" t="s">
        <v>378</v>
      </c>
      <c r="B1142" s="2" t="s">
        <v>368</v>
      </c>
      <c r="C1142" s="22">
        <f>IF(C734&gt;=0.9,1,0)</f>
        <v>0</v>
      </c>
      <c r="D1142" s="22">
        <f>IF(D734&gt;=0.9,1,0)</f>
        <v>0</v>
      </c>
      <c r="E1142" s="22">
        <f>IF(E734&gt;=0.9,1,0)</f>
        <v>0</v>
      </c>
      <c r="F1142" s="22">
        <f>IF(F734&gt;=0.9,1,0)</f>
        <v>0</v>
      </c>
      <c r="G1142" s="22">
        <f>IF(G734&gt;=0.9,1,0)</f>
        <v>0</v>
      </c>
      <c r="H1142" s="22">
        <f>IF(H734&gt;=0.9,1,0)</f>
        <v>0</v>
      </c>
      <c r="I1142" s="22">
        <f>IF(I734&gt;=0.9,1,0)</f>
        <v>0</v>
      </c>
      <c r="J1142" s="22">
        <f>IF(J734&gt;=0.9,1,0)</f>
        <v>0</v>
      </c>
      <c r="K1142" s="22">
        <f>IF(K734&gt;=0.9,1,0)</f>
        <v>0</v>
      </c>
      <c r="L1142" s="22">
        <f>IF(L734&gt;=0.9,1,0)</f>
        <v>0</v>
      </c>
      <c r="M1142" s="22">
        <f>IF(M734&gt;=0.9,1,0)</f>
        <v>0</v>
      </c>
      <c r="N1142" s="22">
        <f>IF(N734&gt;=0.9,1,0)</f>
        <v>0</v>
      </c>
      <c r="O1142" s="22">
        <f>IF(O734&gt;=0.9,1,0)</f>
        <v>0</v>
      </c>
      <c r="P1142" s="22">
        <f>IF(P734&gt;=0.9,1,0)</f>
        <v>0</v>
      </c>
      <c r="Q1142" s="22">
        <f>IF(Q734&gt;=0.9,1,0)</f>
        <v>0</v>
      </c>
      <c r="R1142" s="22">
        <f>IF(R734&gt;=0.9,1,0)</f>
        <v>0</v>
      </c>
      <c r="S1142" s="22">
        <f>IF(S734&gt;=0.9,1,0)</f>
        <v>0</v>
      </c>
    </row>
    <row r="1143">
      <c r="A1143" s="14" t="s">
        <v>110</v>
      </c>
      <c r="B1143" s="2" t="s">
        <v>368</v>
      </c>
      <c r="C1143" s="22">
        <f>IF(C735&gt;=0.9,1,0)</f>
        <v>1</v>
      </c>
      <c r="D1143" s="22">
        <f>IF(D735&gt;=0.9,1,0)</f>
        <v>1</v>
      </c>
      <c r="E1143" s="22">
        <f>IF(E735&gt;=0.9,1,0)</f>
        <v>1</v>
      </c>
      <c r="F1143" s="22">
        <f>IF(F735&gt;=0.9,1,0)</f>
        <v>1</v>
      </c>
      <c r="G1143" s="22">
        <f>IF(G735&gt;=0.9,1,0)</f>
        <v>1</v>
      </c>
      <c r="H1143" s="22">
        <f>IF(H735&gt;=0.9,1,0)</f>
        <v>1</v>
      </c>
      <c r="I1143" s="22">
        <f>IF(I735&gt;=0.9,1,0)</f>
        <v>1</v>
      </c>
      <c r="J1143" s="22">
        <f>IF(J735&gt;=0.9,1,0)</f>
        <v>1</v>
      </c>
      <c r="K1143" s="22">
        <f>IF(K735&gt;=0.9,1,0)</f>
        <v>1</v>
      </c>
      <c r="L1143" s="22">
        <f>IF(L735&gt;=0.9,1,0)</f>
        <v>1</v>
      </c>
      <c r="M1143" s="22">
        <f>IF(M735&gt;=0.9,1,0)</f>
        <v>1</v>
      </c>
      <c r="N1143" s="22">
        <f>IF(N735&gt;=0.9,1,0)</f>
        <v>1</v>
      </c>
      <c r="O1143" s="22">
        <f>IF(O735&gt;=0.9,1,0)</f>
        <v>1</v>
      </c>
      <c r="P1143" s="22">
        <f>IF(P735&gt;=0.9,1,0)</f>
        <v>1</v>
      </c>
      <c r="Q1143" s="22">
        <f>IF(Q735&gt;=0.9,1,0)</f>
        <v>1</v>
      </c>
      <c r="R1143" s="22">
        <f>IF(R735&gt;=0.9,1,0)</f>
        <v>1</v>
      </c>
      <c r="S1143" s="22">
        <f>IF(S735&gt;=0.9,1,0)</f>
        <v>1</v>
      </c>
    </row>
    <row r="1144">
      <c r="A1144" s="14" t="s">
        <v>111</v>
      </c>
      <c r="B1144" s="2" t="s">
        <v>368</v>
      </c>
      <c r="C1144" s="22">
        <f>IF(C736&gt;=0.9,1,0)</f>
        <v>1</v>
      </c>
      <c r="D1144" s="22">
        <f>IF(D736&gt;=0.9,1,0)</f>
        <v>1</v>
      </c>
      <c r="E1144" s="22">
        <f>IF(E736&gt;=0.9,1,0)</f>
        <v>1</v>
      </c>
      <c r="F1144" s="22">
        <f>IF(F736&gt;=0.9,1,0)</f>
        <v>1</v>
      </c>
      <c r="G1144" s="22">
        <f>IF(G736&gt;=0.9,1,0)</f>
        <v>1</v>
      </c>
      <c r="H1144" s="22">
        <f>IF(H736&gt;=0.9,1,0)</f>
        <v>1</v>
      </c>
      <c r="I1144" s="22">
        <f>IF(I736&gt;=0.9,1,0)</f>
        <v>1</v>
      </c>
      <c r="J1144" s="22">
        <f>IF(J736&gt;=0.9,1,0)</f>
        <v>1</v>
      </c>
      <c r="K1144" s="22">
        <f>IF(K736&gt;=0.9,1,0)</f>
        <v>1</v>
      </c>
      <c r="L1144" s="22">
        <f>IF(L736&gt;=0.9,1,0)</f>
        <v>1</v>
      </c>
      <c r="M1144" s="22">
        <f>IF(M736&gt;=0.9,1,0)</f>
        <v>1</v>
      </c>
      <c r="N1144" s="22">
        <f>IF(N736&gt;=0.9,1,0)</f>
        <v>1</v>
      </c>
      <c r="O1144" s="22">
        <f>IF(O736&gt;=0.9,1,0)</f>
        <v>1</v>
      </c>
      <c r="P1144" s="22">
        <f>IF(P736&gt;=0.9,1,0)</f>
        <v>1</v>
      </c>
      <c r="Q1144" s="22">
        <f>IF(Q736&gt;=0.9,1,0)</f>
        <v>1</v>
      </c>
      <c r="R1144" s="22">
        <f>IF(R736&gt;=0.9,1,0)</f>
        <v>1</v>
      </c>
      <c r="S1144" s="22">
        <f>IF(S736&gt;=0.9,1,0)</f>
        <v>1</v>
      </c>
    </row>
    <row r="1145">
      <c r="A1145" s="14" t="s">
        <v>379</v>
      </c>
      <c r="B1145" s="2" t="s">
        <v>368</v>
      </c>
      <c r="C1145" s="22">
        <f>IF(C737&gt;=0.9,1,0)</f>
        <v>0</v>
      </c>
      <c r="D1145" s="22">
        <f>IF(D737&gt;=0.9,1,0)</f>
        <v>0</v>
      </c>
      <c r="E1145" s="22">
        <f>IF(E737&gt;=0.9,1,0)</f>
        <v>0</v>
      </c>
      <c r="F1145" s="22">
        <f>IF(F737&gt;=0.9,1,0)</f>
        <v>0</v>
      </c>
      <c r="G1145" s="22">
        <f>IF(G737&gt;=0.9,1,0)</f>
        <v>0</v>
      </c>
      <c r="H1145" s="22">
        <f>IF(H737&gt;=0.9,1,0)</f>
        <v>0</v>
      </c>
      <c r="I1145" s="22">
        <f>IF(I737&gt;=0.9,1,0)</f>
        <v>0</v>
      </c>
      <c r="J1145" s="22">
        <f>IF(J737&gt;=0.9,1,0)</f>
        <v>0</v>
      </c>
      <c r="K1145" s="22">
        <f>IF(K737&gt;=0.9,1,0)</f>
        <v>0</v>
      </c>
      <c r="L1145" s="22">
        <f>IF(L737&gt;=0.9,1,0)</f>
        <v>0</v>
      </c>
      <c r="M1145" s="22">
        <f>IF(M737&gt;=0.9,1,0)</f>
        <v>0</v>
      </c>
      <c r="N1145" s="22">
        <f>IF(N737&gt;=0.9,1,0)</f>
        <v>0</v>
      </c>
      <c r="O1145" s="22">
        <f>IF(O737&gt;=0.9,1,0)</f>
        <v>0</v>
      </c>
      <c r="P1145" s="22">
        <f>IF(P737&gt;=0.9,1,0)</f>
        <v>0</v>
      </c>
      <c r="Q1145" s="22">
        <f>IF(Q737&gt;=0.9,1,0)</f>
        <v>0</v>
      </c>
      <c r="R1145" s="22">
        <f>IF(R737&gt;=0.9,1,0)</f>
        <v>0</v>
      </c>
      <c r="S1145" s="22">
        <f>IF(S737&gt;=0.9,1,0)</f>
        <v>0</v>
      </c>
    </row>
    <row r="1146">
      <c r="A1146" s="14" t="s">
        <v>380</v>
      </c>
      <c r="B1146" s="2" t="s">
        <v>368</v>
      </c>
      <c r="C1146" s="22">
        <f>IF(C738&gt;=0.9,1,0)</f>
        <v>1</v>
      </c>
      <c r="D1146" s="22">
        <f>IF(D738&gt;=0.9,1,0)</f>
        <v>1</v>
      </c>
      <c r="E1146" s="22">
        <f>IF(E738&gt;=0.9,1,0)</f>
        <v>1</v>
      </c>
      <c r="F1146" s="22">
        <f>IF(F738&gt;=0.9,1,0)</f>
        <v>1</v>
      </c>
      <c r="G1146" s="22">
        <f>IF(G738&gt;=0.9,1,0)</f>
        <v>1</v>
      </c>
      <c r="H1146" s="22">
        <f>IF(H738&gt;=0.9,1,0)</f>
        <v>1</v>
      </c>
      <c r="I1146" s="22">
        <f>IF(I738&gt;=0.9,1,0)</f>
        <v>1</v>
      </c>
      <c r="J1146" s="22">
        <f>IF(J738&gt;=0.9,1,0)</f>
        <v>1</v>
      </c>
      <c r="K1146" s="22">
        <f>IF(K738&gt;=0.9,1,0)</f>
        <v>1</v>
      </c>
      <c r="L1146" s="22">
        <f>IF(L738&gt;=0.9,1,0)</f>
        <v>1</v>
      </c>
      <c r="M1146" s="22">
        <f>IF(M738&gt;=0.9,1,0)</f>
        <v>1</v>
      </c>
      <c r="N1146" s="22">
        <f>IF(N738&gt;=0.9,1,0)</f>
        <v>1</v>
      </c>
      <c r="O1146" s="22">
        <f>IF(O738&gt;=0.9,1,0)</f>
        <v>1</v>
      </c>
      <c r="P1146" s="22">
        <f>IF(P738&gt;=0.9,1,0)</f>
        <v>1</v>
      </c>
      <c r="Q1146" s="22">
        <f>IF(Q738&gt;=0.9,1,0)</f>
        <v>1</v>
      </c>
      <c r="R1146" s="22">
        <f>IF(R738&gt;=0.9,1,0)</f>
        <v>1</v>
      </c>
      <c r="S1146" s="22">
        <f>IF(S738&gt;=0.9,1,0)</f>
        <v>1</v>
      </c>
    </row>
    <row r="1147">
      <c r="A1147" s="14" t="s">
        <v>381</v>
      </c>
      <c r="B1147" s="2" t="s">
        <v>368</v>
      </c>
      <c r="C1147" s="22">
        <f>IF(C739&gt;=0.9,1,0)</f>
        <v>1</v>
      </c>
      <c r="D1147" s="22">
        <f>IF(D739&gt;=0.9,1,0)</f>
        <v>1</v>
      </c>
      <c r="E1147" s="22">
        <f>IF(E739&gt;=0.9,1,0)</f>
        <v>1</v>
      </c>
      <c r="F1147" s="22">
        <f>IF(F739&gt;=0.9,1,0)</f>
        <v>1</v>
      </c>
      <c r="G1147" s="22">
        <f>IF(G739&gt;=0.9,1,0)</f>
        <v>1</v>
      </c>
      <c r="H1147" s="22">
        <f>IF(H739&gt;=0.9,1,0)</f>
        <v>1</v>
      </c>
      <c r="I1147" s="22">
        <f>IF(I739&gt;=0.9,1,0)</f>
        <v>1</v>
      </c>
      <c r="J1147" s="22">
        <f>IF(J739&gt;=0.9,1,0)</f>
        <v>1</v>
      </c>
      <c r="K1147" s="22">
        <f>IF(K739&gt;=0.9,1,0)</f>
        <v>1</v>
      </c>
      <c r="L1147" s="22">
        <f>IF(L739&gt;=0.9,1,0)</f>
        <v>1</v>
      </c>
      <c r="M1147" s="22">
        <f>IF(M739&gt;=0.9,1,0)</f>
        <v>1</v>
      </c>
      <c r="N1147" s="22">
        <f>IF(N739&gt;=0.9,1,0)</f>
        <v>1</v>
      </c>
      <c r="O1147" s="22">
        <f>IF(O739&gt;=0.9,1,0)</f>
        <v>1</v>
      </c>
      <c r="P1147" s="22">
        <f>IF(P739&gt;=0.9,1,0)</f>
        <v>1</v>
      </c>
      <c r="Q1147" s="22">
        <f>IF(Q739&gt;=0.9,1,0)</f>
        <v>1</v>
      </c>
      <c r="R1147" s="22">
        <f>IF(R739&gt;=0.9,1,0)</f>
        <v>1</v>
      </c>
      <c r="S1147" s="22">
        <f>IF(S739&gt;=0.9,1,0)</f>
        <v>1</v>
      </c>
    </row>
    <row r="1148">
      <c r="A1148" s="14" t="s">
        <v>115</v>
      </c>
      <c r="B1148" s="2" t="s">
        <v>368</v>
      </c>
      <c r="C1148" s="22">
        <f>IF(C740&gt;=0.9,1,0)</f>
        <v>0</v>
      </c>
      <c r="D1148" s="22">
        <f>IF(D740&gt;=0.9,1,0)</f>
        <v>0</v>
      </c>
      <c r="E1148" s="22">
        <f>IF(E740&gt;=0.9,1,0)</f>
        <v>0</v>
      </c>
      <c r="F1148" s="22">
        <f>IF(F740&gt;=0.9,1,0)</f>
        <v>0</v>
      </c>
      <c r="G1148" s="22">
        <f>IF(G740&gt;=0.9,1,0)</f>
        <v>0</v>
      </c>
      <c r="H1148" s="22">
        <f>IF(H740&gt;=0.9,1,0)</f>
        <v>0</v>
      </c>
      <c r="I1148" s="22">
        <f>IF(I740&gt;=0.9,1,0)</f>
        <v>0</v>
      </c>
      <c r="J1148" s="22">
        <f>IF(J740&gt;=0.9,1,0)</f>
        <v>0</v>
      </c>
      <c r="K1148" s="22">
        <f>IF(K740&gt;=0.9,1,0)</f>
        <v>0</v>
      </c>
      <c r="L1148" s="22">
        <f>IF(L740&gt;=0.9,1,0)</f>
        <v>0</v>
      </c>
      <c r="M1148" s="22">
        <f>IF(M740&gt;=0.9,1,0)</f>
        <v>0</v>
      </c>
      <c r="N1148" s="22">
        <f>IF(N740&gt;=0.9,1,0)</f>
        <v>0</v>
      </c>
      <c r="O1148" s="22">
        <f>IF(O740&gt;=0.9,1,0)</f>
        <v>0</v>
      </c>
      <c r="P1148" s="22">
        <f>IF(P740&gt;=0.9,1,0)</f>
        <v>0</v>
      </c>
      <c r="Q1148" s="22">
        <f>IF(Q740&gt;=0.9,1,0)</f>
        <v>0</v>
      </c>
      <c r="R1148" s="22">
        <f>IF(R740&gt;=0.9,1,0)</f>
        <v>0</v>
      </c>
      <c r="S1148" s="22">
        <f>IF(S740&gt;=0.9,1,0)</f>
        <v>0</v>
      </c>
    </row>
    <row r="1149">
      <c r="A1149" s="14" t="s">
        <v>382</v>
      </c>
      <c r="B1149" s="2" t="s">
        <v>368</v>
      </c>
      <c r="C1149" s="22">
        <f>IF(C741&gt;=0.9,1,0)</f>
        <v>0</v>
      </c>
      <c r="D1149" s="22">
        <f>IF(D741&gt;=0.9,1,0)</f>
        <v>0</v>
      </c>
      <c r="E1149" s="22">
        <f>IF(E741&gt;=0.9,1,0)</f>
        <v>0</v>
      </c>
      <c r="F1149" s="22">
        <f>IF(F741&gt;=0.9,1,0)</f>
        <v>0</v>
      </c>
      <c r="G1149" s="22">
        <f>IF(G741&gt;=0.9,1,0)</f>
        <v>0</v>
      </c>
      <c r="H1149" s="22">
        <f>IF(H741&gt;=0.9,1,0)</f>
        <v>0</v>
      </c>
      <c r="I1149" s="22">
        <f>IF(I741&gt;=0.9,1,0)</f>
        <v>0</v>
      </c>
      <c r="J1149" s="22">
        <f>IF(J741&gt;=0.9,1,0)</f>
        <v>0</v>
      </c>
      <c r="K1149" s="22">
        <f>IF(K741&gt;=0.9,1,0)</f>
        <v>0</v>
      </c>
      <c r="L1149" s="22">
        <f>IF(L741&gt;=0.9,1,0)</f>
        <v>0</v>
      </c>
      <c r="M1149" s="22">
        <f>IF(M741&gt;=0.9,1,0)</f>
        <v>0</v>
      </c>
      <c r="N1149" s="22">
        <f>IF(N741&gt;=0.9,1,0)</f>
        <v>0</v>
      </c>
      <c r="O1149" s="22">
        <f>IF(O741&gt;=0.9,1,0)</f>
        <v>0</v>
      </c>
      <c r="P1149" s="22">
        <f>IF(P741&gt;=0.9,1,0)</f>
        <v>0</v>
      </c>
      <c r="Q1149" s="22">
        <f>IF(Q741&gt;=0.9,1,0)</f>
        <v>0</v>
      </c>
      <c r="R1149" s="22">
        <f>IF(R741&gt;=0.9,1,0)</f>
        <v>0</v>
      </c>
      <c r="S1149" s="22">
        <f>IF(S741&gt;=0.9,1,0)</f>
        <v>0</v>
      </c>
    </row>
    <row r="1150">
      <c r="A1150" s="14" t="s">
        <v>117</v>
      </c>
      <c r="B1150" s="2" t="s">
        <v>368</v>
      </c>
      <c r="C1150" s="22">
        <f>IF(C742&gt;=0.9,1,0)</f>
        <v>1</v>
      </c>
      <c r="D1150" s="22">
        <f>IF(D742&gt;=0.9,1,0)</f>
        <v>1</v>
      </c>
      <c r="E1150" s="22">
        <f>IF(E742&gt;=0.9,1,0)</f>
        <v>1</v>
      </c>
      <c r="F1150" s="22">
        <f>IF(F742&gt;=0.9,1,0)</f>
        <v>1</v>
      </c>
      <c r="G1150" s="22">
        <f>IF(G742&gt;=0.9,1,0)</f>
        <v>1</v>
      </c>
      <c r="H1150" s="22">
        <f>IF(H742&gt;=0.9,1,0)</f>
        <v>1</v>
      </c>
      <c r="I1150" s="22">
        <f>IF(I742&gt;=0.9,1,0)</f>
        <v>1</v>
      </c>
      <c r="J1150" s="22">
        <f>IF(J742&gt;=0.9,1,0)</f>
        <v>1</v>
      </c>
      <c r="K1150" s="22">
        <f>IF(K742&gt;=0.9,1,0)</f>
        <v>1</v>
      </c>
      <c r="L1150" s="22">
        <f>IF(L742&gt;=0.9,1,0)</f>
        <v>1</v>
      </c>
      <c r="M1150" s="22">
        <f>IF(M742&gt;=0.9,1,0)</f>
        <v>1</v>
      </c>
      <c r="N1150" s="22">
        <f>IF(N742&gt;=0.9,1,0)</f>
        <v>1</v>
      </c>
      <c r="O1150" s="22">
        <f>IF(O742&gt;=0.9,1,0)</f>
        <v>1</v>
      </c>
      <c r="P1150" s="22">
        <f>IF(P742&gt;=0.9,1,0)</f>
        <v>1</v>
      </c>
      <c r="Q1150" s="22">
        <f>IF(Q742&gt;=0.9,1,0)</f>
        <v>1</v>
      </c>
      <c r="R1150" s="22">
        <f>IF(R742&gt;=0.9,1,0)</f>
        <v>1</v>
      </c>
      <c r="S1150" s="22">
        <f>IF(S742&gt;=0.9,1,0)</f>
        <v>1</v>
      </c>
    </row>
    <row r="1151">
      <c r="A1151" s="14" t="s">
        <v>118</v>
      </c>
      <c r="B1151" s="2" t="s">
        <v>368</v>
      </c>
      <c r="C1151" s="22">
        <f>IF(C743&gt;=0.9,1,0)</f>
        <v>0</v>
      </c>
      <c r="D1151" s="22">
        <f>IF(D743&gt;=0.9,1,0)</f>
        <v>0</v>
      </c>
      <c r="E1151" s="22">
        <f>IF(E743&gt;=0.9,1,0)</f>
        <v>0</v>
      </c>
      <c r="F1151" s="22">
        <f>IF(F743&gt;=0.9,1,0)</f>
        <v>0</v>
      </c>
      <c r="G1151" s="22">
        <f>IF(G743&gt;=0.9,1,0)</f>
        <v>0</v>
      </c>
      <c r="H1151" s="22">
        <f>IF(H743&gt;=0.9,1,0)</f>
        <v>0</v>
      </c>
      <c r="I1151" s="22">
        <f>IF(I743&gt;=0.9,1,0)</f>
        <v>0</v>
      </c>
      <c r="J1151" s="22">
        <f>IF(J743&gt;=0.9,1,0)</f>
        <v>0</v>
      </c>
      <c r="K1151" s="22">
        <f>IF(K743&gt;=0.9,1,0)</f>
        <v>0</v>
      </c>
      <c r="L1151" s="22">
        <f>IF(L743&gt;=0.9,1,0)</f>
        <v>0</v>
      </c>
      <c r="M1151" s="22">
        <f>IF(M743&gt;=0.9,1,0)</f>
        <v>0</v>
      </c>
      <c r="N1151" s="22">
        <f>IF(N743&gt;=0.9,1,0)</f>
        <v>0</v>
      </c>
      <c r="O1151" s="22">
        <f>IF(O743&gt;=0.9,1,0)</f>
        <v>0</v>
      </c>
      <c r="P1151" s="22">
        <f>IF(P743&gt;=0.9,1,0)</f>
        <v>0</v>
      </c>
      <c r="Q1151" s="22">
        <f>IF(Q743&gt;=0.9,1,0)</f>
        <v>0</v>
      </c>
      <c r="R1151" s="22">
        <f>IF(R743&gt;=0.9,1,0)</f>
        <v>0</v>
      </c>
      <c r="S1151" s="22">
        <f>IF(S743&gt;=0.9,1,0)</f>
        <v>0</v>
      </c>
    </row>
    <row r="1152">
      <c r="A1152" s="14" t="s">
        <v>383</v>
      </c>
      <c r="B1152" s="2" t="s">
        <v>368</v>
      </c>
      <c r="C1152" s="22">
        <f>IF(C744&gt;=0.9,1,0)</f>
        <v>0</v>
      </c>
      <c r="D1152" s="22">
        <f>IF(D744&gt;=0.9,1,0)</f>
        <v>0</v>
      </c>
      <c r="E1152" s="22">
        <f>IF(E744&gt;=0.9,1,0)</f>
        <v>0</v>
      </c>
      <c r="F1152" s="22">
        <f>IF(F744&gt;=0.9,1,0)</f>
        <v>0</v>
      </c>
      <c r="G1152" s="22">
        <f>IF(G744&gt;=0.9,1,0)</f>
        <v>0</v>
      </c>
      <c r="H1152" s="22">
        <f>IF(H744&gt;=0.9,1,0)</f>
        <v>0</v>
      </c>
      <c r="I1152" s="22">
        <f>IF(I744&gt;=0.9,1,0)</f>
        <v>0</v>
      </c>
      <c r="J1152" s="22">
        <f>IF(J744&gt;=0.9,1,0)</f>
        <v>0</v>
      </c>
      <c r="K1152" s="22">
        <f>IF(K744&gt;=0.9,1,0)</f>
        <v>0</v>
      </c>
      <c r="L1152" s="22">
        <f>IF(L744&gt;=0.9,1,0)</f>
        <v>0</v>
      </c>
      <c r="M1152" s="22">
        <f>IF(M744&gt;=0.9,1,0)</f>
        <v>0</v>
      </c>
      <c r="N1152" s="22">
        <f>IF(N744&gt;=0.9,1,0)</f>
        <v>0</v>
      </c>
      <c r="O1152" s="22">
        <f>IF(O744&gt;=0.9,1,0)</f>
        <v>0</v>
      </c>
      <c r="P1152" s="22">
        <f>IF(P744&gt;=0.9,1,0)</f>
        <v>0</v>
      </c>
      <c r="Q1152" s="22">
        <f>IF(Q744&gt;=0.9,1,0)</f>
        <v>0</v>
      </c>
      <c r="R1152" s="22">
        <f>IF(R744&gt;=0.9,1,0)</f>
        <v>0</v>
      </c>
      <c r="S1152" s="22">
        <f>IF(S744&gt;=0.9,1,0)</f>
        <v>0</v>
      </c>
    </row>
    <row r="1153">
      <c r="A1153" s="14" t="s">
        <v>384</v>
      </c>
      <c r="B1153" s="2" t="s">
        <v>368</v>
      </c>
      <c r="C1153" s="22">
        <f>IF(C745&gt;=0.9,1,0)</f>
        <v>0</v>
      </c>
      <c r="D1153" s="22">
        <f>IF(D745&gt;=0.9,1,0)</f>
        <v>0</v>
      </c>
      <c r="E1153" s="22">
        <f>IF(E745&gt;=0.9,1,0)</f>
        <v>0</v>
      </c>
      <c r="F1153" s="22">
        <f>IF(F745&gt;=0.9,1,0)</f>
        <v>0</v>
      </c>
      <c r="G1153" s="22">
        <f>IF(G745&gt;=0.9,1,0)</f>
        <v>0</v>
      </c>
      <c r="H1153" s="22">
        <f>IF(H745&gt;=0.9,1,0)</f>
        <v>0</v>
      </c>
      <c r="I1153" s="22">
        <f>IF(I745&gt;=0.9,1,0)</f>
        <v>0</v>
      </c>
      <c r="J1153" s="22">
        <f>IF(J745&gt;=0.9,1,0)</f>
        <v>0</v>
      </c>
      <c r="K1153" s="22">
        <f>IF(K745&gt;=0.9,1,0)</f>
        <v>0</v>
      </c>
      <c r="L1153" s="22">
        <f>IF(L745&gt;=0.9,1,0)</f>
        <v>0</v>
      </c>
      <c r="M1153" s="22">
        <f>IF(M745&gt;=0.9,1,0)</f>
        <v>0</v>
      </c>
      <c r="N1153" s="22">
        <f>IF(N745&gt;=0.9,1,0)</f>
        <v>0</v>
      </c>
      <c r="O1153" s="22">
        <f>IF(O745&gt;=0.9,1,0)</f>
        <v>0</v>
      </c>
      <c r="P1153" s="22">
        <f>IF(P745&gt;=0.9,1,0)</f>
        <v>0</v>
      </c>
      <c r="Q1153" s="22">
        <f>IF(Q745&gt;=0.9,1,0)</f>
        <v>0</v>
      </c>
      <c r="R1153" s="22">
        <f>IF(R745&gt;=0.9,1,0)</f>
        <v>0</v>
      </c>
      <c r="S1153" s="22">
        <f>IF(S745&gt;=0.9,1,0)</f>
        <v>0</v>
      </c>
    </row>
    <row r="1154">
      <c r="A1154" s="14" t="s">
        <v>121</v>
      </c>
      <c r="B1154" s="2" t="s">
        <v>368</v>
      </c>
      <c r="C1154" s="22">
        <f>IF(C746&gt;=0.9,1,0)</f>
        <v>1</v>
      </c>
      <c r="D1154" s="22">
        <f>IF(D746&gt;=0.9,1,0)</f>
        <v>1</v>
      </c>
      <c r="E1154" s="22">
        <f>IF(E746&gt;=0.9,1,0)</f>
        <v>1</v>
      </c>
      <c r="F1154" s="22">
        <f>IF(F746&gt;=0.9,1,0)</f>
        <v>1</v>
      </c>
      <c r="G1154" s="22">
        <f>IF(G746&gt;=0.9,1,0)</f>
        <v>1</v>
      </c>
      <c r="H1154" s="22">
        <f>IF(H746&gt;=0.9,1,0)</f>
        <v>1</v>
      </c>
      <c r="I1154" s="22">
        <f>IF(I746&gt;=0.9,1,0)</f>
        <v>1</v>
      </c>
      <c r="J1154" s="22">
        <f>IF(J746&gt;=0.9,1,0)</f>
        <v>1</v>
      </c>
      <c r="K1154" s="22">
        <f>IF(K746&gt;=0.9,1,0)</f>
        <v>1</v>
      </c>
      <c r="L1154" s="22">
        <f>IF(L746&gt;=0.9,1,0)</f>
        <v>1</v>
      </c>
      <c r="M1154" s="22">
        <f>IF(M746&gt;=0.9,1,0)</f>
        <v>1</v>
      </c>
      <c r="N1154" s="22">
        <f>IF(N746&gt;=0.9,1,0)</f>
        <v>1</v>
      </c>
      <c r="O1154" s="22">
        <f>IF(O746&gt;=0.9,1,0)</f>
        <v>1</v>
      </c>
      <c r="P1154" s="22">
        <f>IF(P746&gt;=0.9,1,0)</f>
        <v>1</v>
      </c>
      <c r="Q1154" s="22">
        <f>IF(Q746&gt;=0.9,1,0)</f>
        <v>1</v>
      </c>
      <c r="R1154" s="22">
        <f>IF(R746&gt;=0.9,1,0)</f>
        <v>1</v>
      </c>
      <c r="S1154" s="22">
        <f>IF(S746&gt;=0.9,1,0)</f>
        <v>1</v>
      </c>
    </row>
    <row r="1155">
      <c r="A1155" s="14" t="s">
        <v>385</v>
      </c>
      <c r="B1155" s="2" t="s">
        <v>368</v>
      </c>
      <c r="C1155" s="22">
        <f>IF(C747&gt;=0.9,1,0)</f>
        <v>1</v>
      </c>
      <c r="D1155" s="22">
        <f>IF(D747&gt;=0.9,1,0)</f>
        <v>1</v>
      </c>
      <c r="E1155" s="22">
        <f>IF(E747&gt;=0.9,1,0)</f>
        <v>1</v>
      </c>
      <c r="F1155" s="22">
        <f>IF(F747&gt;=0.9,1,0)</f>
        <v>1</v>
      </c>
      <c r="G1155" s="22">
        <f>IF(G747&gt;=0.9,1,0)</f>
        <v>1</v>
      </c>
      <c r="H1155" s="22">
        <f>IF(H747&gt;=0.9,1,0)</f>
        <v>1</v>
      </c>
      <c r="I1155" s="22">
        <f>IF(I747&gt;=0.9,1,0)</f>
        <v>1</v>
      </c>
      <c r="J1155" s="22">
        <f>IF(J747&gt;=0.9,1,0)</f>
        <v>1</v>
      </c>
      <c r="K1155" s="22">
        <f>IF(K747&gt;=0.9,1,0)</f>
        <v>1</v>
      </c>
      <c r="L1155" s="22">
        <f>IF(L747&gt;=0.9,1,0)</f>
        <v>1</v>
      </c>
      <c r="M1155" s="22">
        <f>IF(M747&gt;=0.9,1,0)</f>
        <v>1</v>
      </c>
      <c r="N1155" s="22">
        <f>IF(N747&gt;=0.9,1,0)</f>
        <v>1</v>
      </c>
      <c r="O1155" s="22">
        <f>IF(O747&gt;=0.9,1,0)</f>
        <v>1</v>
      </c>
      <c r="P1155" s="22">
        <f>IF(P747&gt;=0.9,1,0)</f>
        <v>1</v>
      </c>
      <c r="Q1155" s="22">
        <f>IF(Q747&gt;=0.9,1,0)</f>
        <v>1</v>
      </c>
      <c r="R1155" s="22">
        <f>IF(R747&gt;=0.9,1,0)</f>
        <v>1</v>
      </c>
      <c r="S1155" s="22">
        <f>IF(S747&gt;=0.9,1,0)</f>
        <v>1</v>
      </c>
    </row>
    <row r="1156">
      <c r="A1156" s="14" t="s">
        <v>386</v>
      </c>
      <c r="B1156" s="2" t="s">
        <v>368</v>
      </c>
      <c r="C1156" s="22">
        <f>IF(C748&gt;=0.9,1,0)</f>
        <v>0</v>
      </c>
      <c r="D1156" s="22">
        <f>IF(D748&gt;=0.9,1,0)</f>
        <v>0</v>
      </c>
      <c r="E1156" s="22">
        <f>IF(E748&gt;=0.9,1,0)</f>
        <v>0</v>
      </c>
      <c r="F1156" s="22">
        <f>IF(F748&gt;=0.9,1,0)</f>
        <v>0</v>
      </c>
      <c r="G1156" s="22">
        <f>IF(G748&gt;=0.9,1,0)</f>
        <v>0</v>
      </c>
      <c r="H1156" s="22">
        <f>IF(H748&gt;=0.9,1,0)</f>
        <v>0</v>
      </c>
      <c r="I1156" s="22">
        <f>IF(I748&gt;=0.9,1,0)</f>
        <v>0</v>
      </c>
      <c r="J1156" s="22">
        <f>IF(J748&gt;=0.9,1,0)</f>
        <v>0</v>
      </c>
      <c r="K1156" s="22">
        <f>IF(K748&gt;=0.9,1,0)</f>
        <v>0</v>
      </c>
      <c r="L1156" s="22">
        <f>IF(L748&gt;=0.9,1,0)</f>
        <v>0</v>
      </c>
      <c r="M1156" s="22">
        <f>IF(M748&gt;=0.9,1,0)</f>
        <v>0</v>
      </c>
      <c r="N1156" s="22">
        <f>IF(N748&gt;=0.9,1,0)</f>
        <v>0</v>
      </c>
      <c r="O1156" s="22">
        <f>IF(O748&gt;=0.9,1,0)</f>
        <v>0</v>
      </c>
      <c r="P1156" s="22">
        <f>IF(P748&gt;=0.9,1,0)</f>
        <v>0</v>
      </c>
      <c r="Q1156" s="22">
        <f>IF(Q748&gt;=0.9,1,0)</f>
        <v>0</v>
      </c>
      <c r="R1156" s="22">
        <f>IF(R748&gt;=0.9,1,0)</f>
        <v>0</v>
      </c>
      <c r="S1156" s="22">
        <f>IF(S748&gt;=0.9,1,0)</f>
        <v>0</v>
      </c>
    </row>
    <row r="1157">
      <c r="A1157" s="14" t="s">
        <v>124</v>
      </c>
      <c r="B1157" s="2" t="s">
        <v>368</v>
      </c>
      <c r="C1157" s="22">
        <f>IF(C749&gt;=0.9,1,0)</f>
        <v>1</v>
      </c>
      <c r="D1157" s="22">
        <f>IF(D749&gt;=0.9,1,0)</f>
        <v>1</v>
      </c>
      <c r="E1157" s="22">
        <f>IF(E749&gt;=0.9,1,0)</f>
        <v>1</v>
      </c>
      <c r="F1157" s="22">
        <f>IF(F749&gt;=0.9,1,0)</f>
        <v>1</v>
      </c>
      <c r="G1157" s="22">
        <f>IF(G749&gt;=0.9,1,0)</f>
        <v>1</v>
      </c>
      <c r="H1157" s="22">
        <f>IF(H749&gt;=0.9,1,0)</f>
        <v>1</v>
      </c>
      <c r="I1157" s="22">
        <f>IF(I749&gt;=0.9,1,0)</f>
        <v>1</v>
      </c>
      <c r="J1157" s="22">
        <f>IF(J749&gt;=0.9,1,0)</f>
        <v>1</v>
      </c>
      <c r="K1157" s="22">
        <f>IF(K749&gt;=0.9,1,0)</f>
        <v>1</v>
      </c>
      <c r="L1157" s="22">
        <f>IF(L749&gt;=0.9,1,0)</f>
        <v>1</v>
      </c>
      <c r="M1157" s="22">
        <f>IF(M749&gt;=0.9,1,0)</f>
        <v>1</v>
      </c>
      <c r="N1157" s="22">
        <f>IF(N749&gt;=0.9,1,0)</f>
        <v>1</v>
      </c>
      <c r="O1157" s="22">
        <f>IF(O749&gt;=0.9,1,0)</f>
        <v>1</v>
      </c>
      <c r="P1157" s="22">
        <f>IF(P749&gt;=0.9,1,0)</f>
        <v>1</v>
      </c>
      <c r="Q1157" s="22">
        <f>IF(Q749&gt;=0.9,1,0)</f>
        <v>1</v>
      </c>
      <c r="R1157" s="22">
        <f>IF(R749&gt;=0.9,1,0)</f>
        <v>1</v>
      </c>
      <c r="S1157" s="22">
        <f>IF(S749&gt;=0.9,1,0)</f>
        <v>1</v>
      </c>
    </row>
    <row r="1158">
      <c r="A1158" s="14" t="s">
        <v>125</v>
      </c>
      <c r="B1158" s="2" t="s">
        <v>368</v>
      </c>
      <c r="C1158" s="22">
        <f>IF(C750&gt;=0.9,1,0)</f>
        <v>0</v>
      </c>
      <c r="D1158" s="22">
        <f>IF(D750&gt;=0.9,1,0)</f>
        <v>0</v>
      </c>
      <c r="E1158" s="22">
        <f>IF(E750&gt;=0.9,1,0)</f>
        <v>0</v>
      </c>
      <c r="F1158" s="22">
        <f>IF(F750&gt;=0.9,1,0)</f>
        <v>0</v>
      </c>
      <c r="G1158" s="22">
        <f>IF(G750&gt;=0.9,1,0)</f>
        <v>0</v>
      </c>
      <c r="H1158" s="22">
        <f>IF(H750&gt;=0.9,1,0)</f>
        <v>0</v>
      </c>
      <c r="I1158" s="22">
        <f>IF(I750&gt;=0.9,1,0)</f>
        <v>0</v>
      </c>
      <c r="J1158" s="22">
        <f>IF(J750&gt;=0.9,1,0)</f>
        <v>0</v>
      </c>
      <c r="K1158" s="22">
        <f>IF(K750&gt;=0.9,1,0)</f>
        <v>0</v>
      </c>
      <c r="L1158" s="22">
        <f>IF(L750&gt;=0.9,1,0)</f>
        <v>0</v>
      </c>
      <c r="M1158" s="22">
        <f>IF(M750&gt;=0.9,1,0)</f>
        <v>0</v>
      </c>
      <c r="N1158" s="22">
        <f>IF(N750&gt;=0.9,1,0)</f>
        <v>0</v>
      </c>
      <c r="O1158" s="22">
        <f>IF(O750&gt;=0.9,1,0)</f>
        <v>0</v>
      </c>
      <c r="P1158" s="22">
        <f>IF(P750&gt;=0.9,1,0)</f>
        <v>0</v>
      </c>
      <c r="Q1158" s="22">
        <f>IF(Q750&gt;=0.9,1,0)</f>
        <v>0</v>
      </c>
      <c r="R1158" s="22">
        <f>IF(R750&gt;=0.9,1,0)</f>
        <v>0</v>
      </c>
      <c r="S1158" s="22">
        <f>IF(S750&gt;=0.9,1,0)</f>
        <v>0</v>
      </c>
    </row>
    <row r="1159">
      <c r="A1159" s="14" t="s">
        <v>387</v>
      </c>
      <c r="B1159" s="2" t="s">
        <v>368</v>
      </c>
      <c r="C1159" s="22">
        <f>IF(C751&gt;=0.9,1,0)</f>
        <v>1</v>
      </c>
      <c r="D1159" s="22">
        <f>IF(D751&gt;=0.9,1,0)</f>
        <v>1</v>
      </c>
      <c r="E1159" s="22">
        <f>IF(E751&gt;=0.9,1,0)</f>
        <v>1</v>
      </c>
      <c r="F1159" s="22">
        <f>IF(F751&gt;=0.9,1,0)</f>
        <v>1</v>
      </c>
      <c r="G1159" s="22">
        <f>IF(G751&gt;=0.9,1,0)</f>
        <v>1</v>
      </c>
      <c r="H1159" s="22">
        <f>IF(H751&gt;=0.9,1,0)</f>
        <v>1</v>
      </c>
      <c r="I1159" s="22">
        <f>IF(I751&gt;=0.9,1,0)</f>
        <v>1</v>
      </c>
      <c r="J1159" s="22">
        <f>IF(J751&gt;=0.9,1,0)</f>
        <v>1</v>
      </c>
      <c r="K1159" s="22">
        <f>IF(K751&gt;=0.9,1,0)</f>
        <v>1</v>
      </c>
      <c r="L1159" s="22">
        <f>IF(L751&gt;=0.9,1,0)</f>
        <v>1</v>
      </c>
      <c r="M1159" s="22">
        <f>IF(M751&gt;=0.9,1,0)</f>
        <v>1</v>
      </c>
      <c r="N1159" s="22">
        <f>IF(N751&gt;=0.9,1,0)</f>
        <v>1</v>
      </c>
      <c r="O1159" s="22">
        <f>IF(O751&gt;=0.9,1,0)</f>
        <v>1</v>
      </c>
      <c r="P1159" s="22">
        <f>IF(P751&gt;=0.9,1,0)</f>
        <v>1</v>
      </c>
      <c r="Q1159" s="22">
        <f>IF(Q751&gt;=0.9,1,0)</f>
        <v>1</v>
      </c>
      <c r="R1159" s="22">
        <f>IF(R751&gt;=0.9,1,0)</f>
        <v>1</v>
      </c>
      <c r="S1159" s="22">
        <f>IF(S751&gt;=0.9,1,0)</f>
        <v>1</v>
      </c>
    </row>
    <row r="1160">
      <c r="A1160" s="14" t="s">
        <v>127</v>
      </c>
      <c r="B1160" s="2" t="s">
        <v>368</v>
      </c>
      <c r="C1160" s="22">
        <f>IF(C752&gt;=0.9,1,0)</f>
        <v>0</v>
      </c>
      <c r="D1160" s="22">
        <f>IF(D752&gt;=0.9,1,0)</f>
        <v>0</v>
      </c>
      <c r="E1160" s="22">
        <f>IF(E752&gt;=0.9,1,0)</f>
        <v>0</v>
      </c>
      <c r="F1160" s="22">
        <f>IF(F752&gt;=0.9,1,0)</f>
        <v>0</v>
      </c>
      <c r="G1160" s="22">
        <f>IF(G752&gt;=0.9,1,0)</f>
        <v>0</v>
      </c>
      <c r="H1160" s="22">
        <f>IF(H752&gt;=0.9,1,0)</f>
        <v>0</v>
      </c>
      <c r="I1160" s="22">
        <f>IF(I752&gt;=0.9,1,0)</f>
        <v>0</v>
      </c>
      <c r="J1160" s="22">
        <f>IF(J752&gt;=0.9,1,0)</f>
        <v>0</v>
      </c>
      <c r="K1160" s="22">
        <f>IF(K752&gt;=0.9,1,0)</f>
        <v>0</v>
      </c>
      <c r="L1160" s="22">
        <f>IF(L752&gt;=0.9,1,0)</f>
        <v>0</v>
      </c>
      <c r="M1160" s="22">
        <f>IF(M752&gt;=0.9,1,0)</f>
        <v>0</v>
      </c>
      <c r="N1160" s="22">
        <f>IF(N752&gt;=0.9,1,0)</f>
        <v>0</v>
      </c>
      <c r="O1160" s="22">
        <f>IF(O752&gt;=0.9,1,0)</f>
        <v>0</v>
      </c>
      <c r="P1160" s="22">
        <f>IF(P752&gt;=0.9,1,0)</f>
        <v>0</v>
      </c>
      <c r="Q1160" s="22">
        <f>IF(Q752&gt;=0.9,1,0)</f>
        <v>0</v>
      </c>
      <c r="R1160" s="22">
        <f>IF(R752&gt;=0.9,1,0)</f>
        <v>0</v>
      </c>
      <c r="S1160" s="22">
        <f>IF(S752&gt;=0.9,1,0)</f>
        <v>0</v>
      </c>
    </row>
    <row r="1161">
      <c r="A1161" s="14" t="s">
        <v>128</v>
      </c>
      <c r="B1161" s="2" t="s">
        <v>368</v>
      </c>
      <c r="C1161" s="22">
        <f>IF(C753&gt;=0.9,1,0)</f>
        <v>0</v>
      </c>
      <c r="D1161" s="22">
        <f>IF(D753&gt;=0.9,1,0)</f>
        <v>0</v>
      </c>
      <c r="E1161" s="22">
        <f>IF(E753&gt;=0.9,1,0)</f>
        <v>0</v>
      </c>
      <c r="F1161" s="22">
        <f>IF(F753&gt;=0.9,1,0)</f>
        <v>0</v>
      </c>
      <c r="G1161" s="22">
        <f>IF(G753&gt;=0.9,1,0)</f>
        <v>0</v>
      </c>
      <c r="H1161" s="22">
        <f>IF(H753&gt;=0.9,1,0)</f>
        <v>0</v>
      </c>
      <c r="I1161" s="22">
        <f>IF(I753&gt;=0.9,1,0)</f>
        <v>0</v>
      </c>
      <c r="J1161" s="22">
        <f>IF(J753&gt;=0.9,1,0)</f>
        <v>0</v>
      </c>
      <c r="K1161" s="22">
        <f>IF(K753&gt;=0.9,1,0)</f>
        <v>0</v>
      </c>
      <c r="L1161" s="22">
        <f>IF(L753&gt;=0.9,1,0)</f>
        <v>0</v>
      </c>
      <c r="M1161" s="22">
        <f>IF(M753&gt;=0.9,1,0)</f>
        <v>0</v>
      </c>
      <c r="N1161" s="22">
        <f>IF(N753&gt;=0.9,1,0)</f>
        <v>0</v>
      </c>
      <c r="O1161" s="22">
        <f>IF(O753&gt;=0.9,1,0)</f>
        <v>0</v>
      </c>
      <c r="P1161" s="22">
        <f>IF(P753&gt;=0.9,1,0)</f>
        <v>0</v>
      </c>
      <c r="Q1161" s="22">
        <f>IF(Q753&gt;=0.9,1,0)</f>
        <v>0</v>
      </c>
      <c r="R1161" s="22">
        <f>IF(R753&gt;=0.9,1,0)</f>
        <v>0</v>
      </c>
      <c r="S1161" s="22">
        <f>IF(S753&gt;=0.9,1,0)</f>
        <v>0</v>
      </c>
    </row>
    <row r="1162">
      <c r="A1162" s="14" t="s">
        <v>388</v>
      </c>
      <c r="B1162" s="2" t="s">
        <v>368</v>
      </c>
      <c r="C1162" s="22">
        <f>IF(C754&gt;=0.9,1,0)</f>
        <v>1</v>
      </c>
      <c r="D1162" s="22">
        <f>IF(D754&gt;=0.9,1,0)</f>
        <v>1</v>
      </c>
      <c r="E1162" s="22">
        <f>IF(E754&gt;=0.9,1,0)</f>
        <v>1</v>
      </c>
      <c r="F1162" s="22">
        <f>IF(F754&gt;=0.9,1,0)</f>
        <v>1</v>
      </c>
      <c r="G1162" s="22">
        <f>IF(G754&gt;=0.9,1,0)</f>
        <v>1</v>
      </c>
      <c r="H1162" s="22">
        <f>IF(H754&gt;=0.9,1,0)</f>
        <v>1</v>
      </c>
      <c r="I1162" s="22">
        <f>IF(I754&gt;=0.9,1,0)</f>
        <v>1</v>
      </c>
      <c r="J1162" s="22">
        <f>IF(J754&gt;=0.9,1,0)</f>
        <v>1</v>
      </c>
      <c r="K1162" s="22">
        <f>IF(K754&gt;=0.9,1,0)</f>
        <v>1</v>
      </c>
      <c r="L1162" s="22">
        <f>IF(L754&gt;=0.9,1,0)</f>
        <v>1</v>
      </c>
      <c r="M1162" s="22">
        <f>IF(M754&gt;=0.9,1,0)</f>
        <v>1</v>
      </c>
      <c r="N1162" s="22">
        <f>IF(N754&gt;=0.9,1,0)</f>
        <v>1</v>
      </c>
      <c r="O1162" s="22">
        <f>IF(O754&gt;=0.9,1,0)</f>
        <v>1</v>
      </c>
      <c r="P1162" s="22">
        <f>IF(P754&gt;=0.9,1,0)</f>
        <v>1</v>
      </c>
      <c r="Q1162" s="22">
        <f>IF(Q754&gt;=0.9,1,0)</f>
        <v>1</v>
      </c>
      <c r="R1162" s="22">
        <f>IF(R754&gt;=0.9,1,0)</f>
        <v>1</v>
      </c>
      <c r="S1162" s="22">
        <f>IF(S754&gt;=0.9,1,0)</f>
        <v>1</v>
      </c>
    </row>
    <row r="1163">
      <c r="A1163" s="14" t="s">
        <v>389</v>
      </c>
      <c r="B1163" s="2" t="s">
        <v>368</v>
      </c>
      <c r="C1163" s="22">
        <f>IF(C755&gt;=0.9,1,0)</f>
        <v>0</v>
      </c>
      <c r="D1163" s="22">
        <f>IF(D755&gt;=0.9,1,0)</f>
        <v>0</v>
      </c>
      <c r="E1163" s="22">
        <f>IF(E755&gt;=0.9,1,0)</f>
        <v>0</v>
      </c>
      <c r="F1163" s="22">
        <f>IF(F755&gt;=0.9,1,0)</f>
        <v>0</v>
      </c>
      <c r="G1163" s="22">
        <f>IF(G755&gt;=0.9,1,0)</f>
        <v>0</v>
      </c>
      <c r="H1163" s="22">
        <f>IF(H755&gt;=0.9,1,0)</f>
        <v>0</v>
      </c>
      <c r="I1163" s="22">
        <f>IF(I755&gt;=0.9,1,0)</f>
        <v>0</v>
      </c>
      <c r="J1163" s="22">
        <f>IF(J755&gt;=0.9,1,0)</f>
        <v>0</v>
      </c>
      <c r="K1163" s="22">
        <f>IF(K755&gt;=0.9,1,0)</f>
        <v>0</v>
      </c>
      <c r="L1163" s="22">
        <f>IF(L755&gt;=0.9,1,0)</f>
        <v>0</v>
      </c>
      <c r="M1163" s="22">
        <f>IF(M755&gt;=0.9,1,0)</f>
        <v>0</v>
      </c>
      <c r="N1163" s="22">
        <f>IF(N755&gt;=0.9,1,0)</f>
        <v>0</v>
      </c>
      <c r="O1163" s="22">
        <f>IF(O755&gt;=0.9,1,0)</f>
        <v>0</v>
      </c>
      <c r="P1163" s="22">
        <f>IF(P755&gt;=0.9,1,0)</f>
        <v>0</v>
      </c>
      <c r="Q1163" s="22">
        <f>IF(Q755&gt;=0.9,1,0)</f>
        <v>0</v>
      </c>
      <c r="R1163" s="22">
        <f>IF(R755&gt;=0.9,1,0)</f>
        <v>0</v>
      </c>
      <c r="S1163" s="22">
        <f>IF(S755&gt;=0.9,1,0)</f>
        <v>0</v>
      </c>
    </row>
    <row r="1164">
      <c r="A1164" s="14" t="s">
        <v>131</v>
      </c>
      <c r="B1164" s="2" t="s">
        <v>368</v>
      </c>
      <c r="C1164" s="22">
        <f>IF(C756&gt;=0.9,1,0)</f>
        <v>0</v>
      </c>
      <c r="D1164" s="22">
        <f>IF(D756&gt;=0.9,1,0)</f>
        <v>0</v>
      </c>
      <c r="E1164" s="22">
        <f>IF(E756&gt;=0.9,1,0)</f>
        <v>0</v>
      </c>
      <c r="F1164" s="22">
        <f>IF(F756&gt;=0.9,1,0)</f>
        <v>0</v>
      </c>
      <c r="G1164" s="22">
        <f>IF(G756&gt;=0.9,1,0)</f>
        <v>0</v>
      </c>
      <c r="H1164" s="22">
        <f>IF(H756&gt;=0.9,1,0)</f>
        <v>0</v>
      </c>
      <c r="I1164" s="22">
        <f>IF(I756&gt;=0.9,1,0)</f>
        <v>0</v>
      </c>
      <c r="J1164" s="22">
        <f>IF(J756&gt;=0.9,1,0)</f>
        <v>0</v>
      </c>
      <c r="K1164" s="22">
        <f>IF(K756&gt;=0.9,1,0)</f>
        <v>0</v>
      </c>
      <c r="L1164" s="22">
        <f>IF(L756&gt;=0.9,1,0)</f>
        <v>0</v>
      </c>
      <c r="M1164" s="22">
        <f>IF(M756&gt;=0.9,1,0)</f>
        <v>0</v>
      </c>
      <c r="N1164" s="22">
        <f>IF(N756&gt;=0.9,1,0)</f>
        <v>0</v>
      </c>
      <c r="O1164" s="22">
        <f>IF(O756&gt;=0.9,1,0)</f>
        <v>0</v>
      </c>
      <c r="P1164" s="22">
        <f>IF(P756&gt;=0.9,1,0)</f>
        <v>0</v>
      </c>
      <c r="Q1164" s="22">
        <f>IF(Q756&gt;=0.9,1,0)</f>
        <v>0</v>
      </c>
      <c r="R1164" s="22">
        <f>IF(R756&gt;=0.9,1,0)</f>
        <v>0</v>
      </c>
      <c r="S1164" s="22">
        <f>IF(S756&gt;=0.9,1,0)</f>
        <v>0</v>
      </c>
    </row>
    <row r="1165">
      <c r="A1165" s="14" t="s">
        <v>390</v>
      </c>
      <c r="B1165" s="2" t="s">
        <v>368</v>
      </c>
      <c r="C1165" s="22">
        <f>IF(C757&gt;=0.9,1,0)</f>
        <v>1</v>
      </c>
      <c r="D1165" s="22">
        <f>IF(D757&gt;=0.9,1,0)</f>
        <v>1</v>
      </c>
      <c r="E1165" s="22">
        <f>IF(E757&gt;=0.9,1,0)</f>
        <v>1</v>
      </c>
      <c r="F1165" s="22">
        <f>IF(F757&gt;=0.9,1,0)</f>
        <v>1</v>
      </c>
      <c r="G1165" s="22">
        <f>IF(G757&gt;=0.9,1,0)</f>
        <v>1</v>
      </c>
      <c r="H1165" s="22">
        <f>IF(H757&gt;=0.9,1,0)</f>
        <v>0</v>
      </c>
      <c r="I1165" s="22">
        <f>IF(I757&gt;=0.9,1,0)</f>
        <v>0</v>
      </c>
      <c r="J1165" s="22">
        <f>IF(J757&gt;=0.9,1,0)</f>
        <v>0</v>
      </c>
      <c r="K1165" s="22">
        <f>IF(K757&gt;=0.9,1,0)</f>
        <v>0</v>
      </c>
      <c r="L1165" s="22">
        <f>IF(L757&gt;=0.9,1,0)</f>
        <v>0</v>
      </c>
      <c r="M1165" s="22">
        <f>IF(M757&gt;=0.9,1,0)</f>
        <v>0</v>
      </c>
      <c r="N1165" s="22">
        <f>IF(N757&gt;=0.9,1,0)</f>
        <v>0</v>
      </c>
      <c r="O1165" s="22">
        <f>IF(O757&gt;=0.9,1,0)</f>
        <v>0</v>
      </c>
      <c r="P1165" s="22">
        <f>IF(P757&gt;=0.9,1,0)</f>
        <v>0</v>
      </c>
      <c r="Q1165" s="22">
        <f>IF(Q757&gt;=0.9,1,0)</f>
        <v>0</v>
      </c>
      <c r="R1165" s="22">
        <f>IF(R757&gt;=0.9,1,0)</f>
        <v>0</v>
      </c>
      <c r="S1165" s="22">
        <f>IF(S757&gt;=0.9,1,0)</f>
        <v>0</v>
      </c>
    </row>
    <row r="1166">
      <c r="A1166" s="14" t="s">
        <v>133</v>
      </c>
      <c r="B1166" s="2" t="s">
        <v>368</v>
      </c>
      <c r="C1166" s="22">
        <f>IF(C758&gt;=0.9,1,0)</f>
        <v>0</v>
      </c>
      <c r="D1166" s="22">
        <f>IF(D758&gt;=0.9,1,0)</f>
        <v>0</v>
      </c>
      <c r="E1166" s="22">
        <f>IF(E758&gt;=0.9,1,0)</f>
        <v>0</v>
      </c>
      <c r="F1166" s="22">
        <f>IF(F758&gt;=0.9,1,0)</f>
        <v>0</v>
      </c>
      <c r="G1166" s="22">
        <f>IF(G758&gt;=0.9,1,0)</f>
        <v>0</v>
      </c>
      <c r="H1166" s="22">
        <f>IF(H758&gt;=0.9,1,0)</f>
        <v>0</v>
      </c>
      <c r="I1166" s="22">
        <f>IF(I758&gt;=0.9,1,0)</f>
        <v>0</v>
      </c>
      <c r="J1166" s="22">
        <f>IF(J758&gt;=0.9,1,0)</f>
        <v>0</v>
      </c>
      <c r="K1166" s="22">
        <f>IF(K758&gt;=0.9,1,0)</f>
        <v>0</v>
      </c>
      <c r="L1166" s="22">
        <f>IF(L758&gt;=0.9,1,0)</f>
        <v>0</v>
      </c>
      <c r="M1166" s="22">
        <f>IF(M758&gt;=0.9,1,0)</f>
        <v>0</v>
      </c>
      <c r="N1166" s="22">
        <f>IF(N758&gt;=0.9,1,0)</f>
        <v>0</v>
      </c>
      <c r="O1166" s="22">
        <f>IF(O758&gt;=0.9,1,0)</f>
        <v>0</v>
      </c>
      <c r="P1166" s="22">
        <f>IF(P758&gt;=0.9,1,0)</f>
        <v>0</v>
      </c>
      <c r="Q1166" s="22">
        <f>IF(Q758&gt;=0.9,1,0)</f>
        <v>0</v>
      </c>
      <c r="R1166" s="22">
        <f>IF(R758&gt;=0.9,1,0)</f>
        <v>0</v>
      </c>
      <c r="S1166" s="22">
        <f>IF(S758&gt;=0.9,1,0)</f>
        <v>0</v>
      </c>
    </row>
    <row r="1167">
      <c r="A1167" s="14" t="s">
        <v>134</v>
      </c>
      <c r="B1167" s="2" t="s">
        <v>368</v>
      </c>
      <c r="C1167" s="22">
        <f>IF(C759&gt;=0.9,1,0)</f>
        <v>1</v>
      </c>
      <c r="D1167" s="22">
        <f>IF(D759&gt;=0.9,1,0)</f>
        <v>1</v>
      </c>
      <c r="E1167" s="22">
        <f>IF(E759&gt;=0.9,1,0)</f>
        <v>1</v>
      </c>
      <c r="F1167" s="22">
        <f>IF(F759&gt;=0.9,1,0)</f>
        <v>1</v>
      </c>
      <c r="G1167" s="22">
        <f>IF(G759&gt;=0.9,1,0)</f>
        <v>1</v>
      </c>
      <c r="H1167" s="22">
        <f>IF(H759&gt;=0.9,1,0)</f>
        <v>1</v>
      </c>
      <c r="I1167" s="22">
        <f>IF(I759&gt;=0.9,1,0)</f>
        <v>1</v>
      </c>
      <c r="J1167" s="22">
        <f>IF(J759&gt;=0.9,1,0)</f>
        <v>1</v>
      </c>
      <c r="K1167" s="22">
        <f>IF(K759&gt;=0.9,1,0)</f>
        <v>1</v>
      </c>
      <c r="L1167" s="22">
        <f>IF(L759&gt;=0.9,1,0)</f>
        <v>1</v>
      </c>
      <c r="M1167" s="22">
        <f>IF(M759&gt;=0.9,1,0)</f>
        <v>0</v>
      </c>
      <c r="N1167" s="22">
        <f>IF(N759&gt;=0.9,1,0)</f>
        <v>0</v>
      </c>
      <c r="O1167" s="22">
        <f>IF(O759&gt;=0.9,1,0)</f>
        <v>0</v>
      </c>
      <c r="P1167" s="22">
        <f>IF(P759&gt;=0.9,1,0)</f>
        <v>0</v>
      </c>
      <c r="Q1167" s="22">
        <f>IF(Q759&gt;=0.9,1,0)</f>
        <v>0</v>
      </c>
      <c r="R1167" s="22">
        <f>IF(R759&gt;=0.9,1,0)</f>
        <v>0</v>
      </c>
      <c r="S1167" s="22">
        <f>IF(S759&gt;=0.9,1,0)</f>
        <v>0</v>
      </c>
    </row>
    <row r="1168">
      <c r="A1168" s="14" t="s">
        <v>135</v>
      </c>
      <c r="B1168" s="2" t="s">
        <v>368</v>
      </c>
      <c r="C1168" s="22">
        <f>IF(C760&gt;=0.9,1,0)</f>
        <v>0</v>
      </c>
      <c r="D1168" s="22">
        <f>IF(D760&gt;=0.9,1,0)</f>
        <v>0</v>
      </c>
      <c r="E1168" s="22">
        <f>IF(E760&gt;=0.9,1,0)</f>
        <v>0</v>
      </c>
      <c r="F1168" s="22">
        <f>IF(F760&gt;=0.9,1,0)</f>
        <v>0</v>
      </c>
      <c r="G1168" s="22">
        <f>IF(G760&gt;=0.9,1,0)</f>
        <v>0</v>
      </c>
      <c r="H1168" s="22">
        <f>IF(H760&gt;=0.9,1,0)</f>
        <v>0</v>
      </c>
      <c r="I1168" s="22">
        <f>IF(I760&gt;=0.9,1,0)</f>
        <v>0</v>
      </c>
      <c r="J1168" s="22">
        <f>IF(J760&gt;=0.9,1,0)</f>
        <v>0</v>
      </c>
      <c r="K1168" s="22">
        <f>IF(K760&gt;=0.9,1,0)</f>
        <v>0</v>
      </c>
      <c r="L1168" s="22">
        <f>IF(L760&gt;=0.9,1,0)</f>
        <v>0</v>
      </c>
      <c r="M1168" s="22">
        <f>IF(M760&gt;=0.9,1,0)</f>
        <v>0</v>
      </c>
      <c r="N1168" s="22">
        <f>IF(N760&gt;=0.9,1,0)</f>
        <v>0</v>
      </c>
      <c r="O1168" s="22">
        <f>IF(O760&gt;=0.9,1,0)</f>
        <v>0</v>
      </c>
      <c r="P1168" s="22">
        <f>IF(P760&gt;=0.9,1,0)</f>
        <v>0</v>
      </c>
      <c r="Q1168" s="22">
        <f>IF(Q760&gt;=0.9,1,0)</f>
        <v>0</v>
      </c>
      <c r="R1168" s="22">
        <f>IF(R760&gt;=0.9,1,0)</f>
        <v>0</v>
      </c>
      <c r="S1168" s="22">
        <f>IF(S760&gt;=0.9,1,0)</f>
        <v>0</v>
      </c>
    </row>
    <row r="1169">
      <c r="A1169" s="14" t="s">
        <v>391</v>
      </c>
      <c r="B1169" s="2" t="s">
        <v>368</v>
      </c>
      <c r="C1169" s="22">
        <f>IF(C761&gt;=0.9,1,0)</f>
        <v>1</v>
      </c>
      <c r="D1169" s="22">
        <f>IF(D761&gt;=0.9,1,0)</f>
        <v>1</v>
      </c>
      <c r="E1169" s="22">
        <f>IF(E761&gt;=0.9,1,0)</f>
        <v>1</v>
      </c>
      <c r="F1169" s="22">
        <f>IF(F761&gt;=0.9,1,0)</f>
        <v>1</v>
      </c>
      <c r="G1169" s="22">
        <f>IF(G761&gt;=0.9,1,0)</f>
        <v>1</v>
      </c>
      <c r="H1169" s="22">
        <f>IF(H761&gt;=0.9,1,0)</f>
        <v>0</v>
      </c>
      <c r="I1169" s="22">
        <f>IF(I761&gt;=0.9,1,0)</f>
        <v>0</v>
      </c>
      <c r="J1169" s="22">
        <f>IF(J761&gt;=0.9,1,0)</f>
        <v>0</v>
      </c>
      <c r="K1169" s="22">
        <f>IF(K761&gt;=0.9,1,0)</f>
        <v>0</v>
      </c>
      <c r="L1169" s="22">
        <f>IF(L761&gt;=0.9,1,0)</f>
        <v>0</v>
      </c>
      <c r="M1169" s="22">
        <f>IF(M761&gt;=0.9,1,0)</f>
        <v>0</v>
      </c>
      <c r="N1169" s="22">
        <f>IF(N761&gt;=0.9,1,0)</f>
        <v>0</v>
      </c>
      <c r="O1169" s="22">
        <f>IF(O761&gt;=0.9,1,0)</f>
        <v>0</v>
      </c>
      <c r="P1169" s="22">
        <f>IF(P761&gt;=0.9,1,0)</f>
        <v>0</v>
      </c>
      <c r="Q1169" s="22">
        <f>IF(Q761&gt;=0.9,1,0)</f>
        <v>0</v>
      </c>
      <c r="R1169" s="22">
        <f>IF(R761&gt;=0.9,1,0)</f>
        <v>0</v>
      </c>
      <c r="S1169" s="22">
        <f>IF(S761&gt;=0.9,1,0)</f>
        <v>0</v>
      </c>
    </row>
    <row r="1170">
      <c r="A1170" s="14" t="s">
        <v>392</v>
      </c>
      <c r="B1170" s="2" t="s">
        <v>393</v>
      </c>
      <c r="C1170" s="10">
        <v>0</v>
      </c>
      <c r="D1170" s="10">
        <v>0</v>
      </c>
      <c r="E1170" s="10">
        <v>0</v>
      </c>
      <c r="F1170" s="10">
        <v>0</v>
      </c>
      <c r="G1170" s="10">
        <v>0</v>
      </c>
      <c r="H1170" s="10">
        <v>0</v>
      </c>
      <c r="I1170" s="10">
        <v>0</v>
      </c>
      <c r="J1170" s="10">
        <v>0</v>
      </c>
      <c r="K1170" s="10">
        <v>0</v>
      </c>
      <c r="L1170" s="10">
        <v>0</v>
      </c>
      <c r="M1170" s="10">
        <v>0</v>
      </c>
      <c r="N1170" s="10">
        <v>0</v>
      </c>
      <c r="O1170" s="10">
        <v>0</v>
      </c>
      <c r="P1170" s="10">
        <v>0</v>
      </c>
      <c r="Q1170" s="10">
        <v>0</v>
      </c>
      <c r="R1170" s="10">
        <v>0</v>
      </c>
      <c r="S1170" s="10">
        <v>0</v>
      </c>
    </row>
    <row r="1171">
      <c r="A1171" s="14" t="s">
        <v>394</v>
      </c>
      <c r="B1171" s="2" t="s">
        <v>393</v>
      </c>
      <c r="C1171" s="10">
        <v>0</v>
      </c>
      <c r="D1171" s="10">
        <v>0</v>
      </c>
      <c r="E1171" s="10">
        <v>0</v>
      </c>
      <c r="F1171" s="10">
        <v>0</v>
      </c>
      <c r="G1171" s="10">
        <v>0</v>
      </c>
      <c r="H1171" s="10">
        <v>0</v>
      </c>
      <c r="I1171" s="10">
        <v>0</v>
      </c>
      <c r="J1171" s="10">
        <v>0</v>
      </c>
      <c r="K1171" s="10">
        <v>0</v>
      </c>
      <c r="L1171" s="10">
        <v>0</v>
      </c>
      <c r="M1171" s="10">
        <v>0</v>
      </c>
      <c r="N1171" s="10">
        <v>0</v>
      </c>
      <c r="O1171" s="10">
        <v>0</v>
      </c>
      <c r="P1171" s="10">
        <v>0</v>
      </c>
      <c r="Q1171" s="10">
        <v>0</v>
      </c>
      <c r="R1171" s="10">
        <v>0</v>
      </c>
      <c r="S1171" s="10">
        <v>0</v>
      </c>
    </row>
    <row r="1172">
      <c r="A1172" s="14" t="s">
        <v>395</v>
      </c>
      <c r="B1172" s="2" t="s">
        <v>393</v>
      </c>
      <c r="C1172" s="10">
        <v>0</v>
      </c>
      <c r="D1172" s="10">
        <v>0</v>
      </c>
      <c r="E1172" s="10">
        <v>0</v>
      </c>
      <c r="F1172" s="10">
        <v>0</v>
      </c>
      <c r="G1172" s="10">
        <v>0</v>
      </c>
      <c r="H1172" s="10">
        <v>0</v>
      </c>
      <c r="I1172" s="10">
        <v>0</v>
      </c>
      <c r="J1172" s="10">
        <v>0</v>
      </c>
      <c r="K1172" s="10">
        <v>0</v>
      </c>
      <c r="L1172" s="10">
        <v>0</v>
      </c>
      <c r="M1172" s="10">
        <v>0</v>
      </c>
      <c r="N1172" s="10">
        <v>0</v>
      </c>
      <c r="O1172" s="10">
        <v>0</v>
      </c>
      <c r="P1172" s="10">
        <v>0</v>
      </c>
      <c r="Q1172" s="10">
        <v>0</v>
      </c>
      <c r="R1172" s="10">
        <v>0</v>
      </c>
      <c r="S1172" s="10">
        <v>0</v>
      </c>
    </row>
    <row r="1173">
      <c r="A1173" s="14" t="s">
        <v>396</v>
      </c>
      <c r="B1173" s="2" t="s">
        <v>393</v>
      </c>
      <c r="C1173" s="10">
        <v>0</v>
      </c>
      <c r="D1173" s="10">
        <v>0</v>
      </c>
      <c r="E1173" s="10">
        <v>0</v>
      </c>
      <c r="F1173" s="10">
        <v>0</v>
      </c>
      <c r="G1173" s="10">
        <v>0</v>
      </c>
      <c r="H1173" s="10">
        <v>0</v>
      </c>
      <c r="I1173" s="10">
        <v>0</v>
      </c>
      <c r="J1173" s="10">
        <v>0</v>
      </c>
      <c r="K1173" s="10">
        <v>0</v>
      </c>
      <c r="L1173" s="10">
        <v>0</v>
      </c>
      <c r="M1173" s="10">
        <v>0</v>
      </c>
      <c r="N1173" s="10">
        <v>0</v>
      </c>
      <c r="O1173" s="10">
        <v>0</v>
      </c>
      <c r="P1173" s="10">
        <v>0</v>
      </c>
      <c r="Q1173" s="10">
        <v>0</v>
      </c>
      <c r="R1173" s="10">
        <v>0</v>
      </c>
      <c r="S1173" s="10">
        <v>0</v>
      </c>
    </row>
    <row r="1174">
      <c r="A1174" s="14" t="s">
        <v>397</v>
      </c>
      <c r="B1174" s="2" t="s">
        <v>393</v>
      </c>
      <c r="C1174" s="10">
        <v>0</v>
      </c>
      <c r="D1174" s="10">
        <v>0</v>
      </c>
      <c r="E1174" s="10">
        <v>0</v>
      </c>
      <c r="F1174" s="10">
        <v>0</v>
      </c>
      <c r="G1174" s="10">
        <v>0</v>
      </c>
      <c r="H1174" s="10">
        <v>0</v>
      </c>
      <c r="I1174" s="10">
        <v>0</v>
      </c>
      <c r="J1174" s="10">
        <v>0</v>
      </c>
      <c r="K1174" s="10">
        <v>0</v>
      </c>
      <c r="L1174" s="10">
        <v>0</v>
      </c>
      <c r="M1174" s="10">
        <v>0</v>
      </c>
      <c r="N1174" s="10">
        <v>0</v>
      </c>
      <c r="O1174" s="10">
        <v>0</v>
      </c>
      <c r="P1174" s="10">
        <v>0</v>
      </c>
      <c r="Q1174" s="10">
        <v>0</v>
      </c>
      <c r="R1174" s="10">
        <v>0</v>
      </c>
      <c r="S1174" s="10">
        <v>0</v>
      </c>
    </row>
    <row r="1175">
      <c r="A1175" s="14" t="s">
        <v>398</v>
      </c>
      <c r="B1175" s="2" t="s">
        <v>399</v>
      </c>
      <c r="C1175" s="10">
        <v>0</v>
      </c>
      <c r="D1175" s="10">
        <v>0</v>
      </c>
      <c r="E1175" s="10">
        <v>0</v>
      </c>
      <c r="F1175" s="10">
        <v>0</v>
      </c>
      <c r="G1175" s="10">
        <v>0</v>
      </c>
      <c r="H1175" s="10">
        <v>0</v>
      </c>
      <c r="I1175" s="10">
        <v>0</v>
      </c>
      <c r="J1175" s="10">
        <v>0</v>
      </c>
      <c r="K1175" s="10">
        <v>0</v>
      </c>
      <c r="L1175" s="10">
        <v>0</v>
      </c>
      <c r="M1175" s="10">
        <v>0</v>
      </c>
      <c r="N1175" s="10">
        <v>0</v>
      </c>
      <c r="O1175" s="10">
        <v>0</v>
      </c>
      <c r="P1175" s="10">
        <v>0</v>
      </c>
      <c r="Q1175" s="10">
        <v>0</v>
      </c>
      <c r="R1175" s="10">
        <v>0</v>
      </c>
      <c r="S1175" s="10">
        <v>0</v>
      </c>
    </row>
    <row r="1176">
      <c r="A1176" s="14" t="s">
        <v>400</v>
      </c>
      <c r="B1176" s="2" t="s">
        <v>399</v>
      </c>
      <c r="C1176" s="10">
        <v>0</v>
      </c>
      <c r="D1176" s="10">
        <v>0</v>
      </c>
      <c r="E1176" s="10">
        <v>0</v>
      </c>
      <c r="F1176" s="10">
        <v>0</v>
      </c>
      <c r="G1176" s="10">
        <v>0</v>
      </c>
      <c r="H1176" s="10">
        <v>0</v>
      </c>
      <c r="I1176" s="10">
        <v>0</v>
      </c>
      <c r="J1176" s="10">
        <v>0</v>
      </c>
      <c r="K1176" s="10">
        <v>0</v>
      </c>
      <c r="L1176" s="10">
        <v>0</v>
      </c>
      <c r="M1176" s="10">
        <v>0</v>
      </c>
      <c r="N1176" s="10">
        <v>0</v>
      </c>
      <c r="O1176" s="10">
        <v>0</v>
      </c>
      <c r="P1176" s="10">
        <v>0</v>
      </c>
      <c r="Q1176" s="10">
        <v>0</v>
      </c>
      <c r="R1176" s="10">
        <v>0</v>
      </c>
      <c r="S1176" s="10">
        <v>0</v>
      </c>
    </row>
    <row r="1177">
      <c r="A1177" s="14" t="s">
        <v>401</v>
      </c>
      <c r="B1177" s="2" t="s">
        <v>399</v>
      </c>
      <c r="C1177" s="10">
        <v>0</v>
      </c>
      <c r="D1177" s="10">
        <v>0</v>
      </c>
      <c r="E1177" s="10">
        <v>0</v>
      </c>
      <c r="F1177" s="10">
        <v>0</v>
      </c>
      <c r="G1177" s="10">
        <v>0</v>
      </c>
      <c r="H1177" s="10">
        <v>0</v>
      </c>
      <c r="I1177" s="10">
        <v>0</v>
      </c>
      <c r="J1177" s="10">
        <v>0</v>
      </c>
      <c r="K1177" s="10">
        <v>0</v>
      </c>
      <c r="L1177" s="10">
        <v>0</v>
      </c>
      <c r="M1177" s="10">
        <v>0</v>
      </c>
      <c r="N1177" s="10">
        <v>0</v>
      </c>
      <c r="O1177" s="10">
        <v>0</v>
      </c>
      <c r="P1177" s="10">
        <v>0</v>
      </c>
      <c r="Q1177" s="10">
        <v>0</v>
      </c>
      <c r="R1177" s="10">
        <v>0</v>
      </c>
      <c r="S1177" s="10">
        <v>0</v>
      </c>
    </row>
    <row r="1178">
      <c r="A1178" s="14" t="s">
        <v>402</v>
      </c>
      <c r="B1178" s="2" t="s">
        <v>399</v>
      </c>
      <c r="C1178" s="10">
        <v>0</v>
      </c>
      <c r="D1178" s="10">
        <v>0</v>
      </c>
      <c r="E1178" s="10">
        <v>0</v>
      </c>
      <c r="F1178" s="10">
        <v>0</v>
      </c>
      <c r="G1178" s="10">
        <v>0</v>
      </c>
      <c r="H1178" s="10">
        <v>0</v>
      </c>
      <c r="I1178" s="10">
        <v>0</v>
      </c>
      <c r="J1178" s="10">
        <v>0</v>
      </c>
      <c r="K1178" s="10">
        <v>0</v>
      </c>
      <c r="L1178" s="10">
        <v>0</v>
      </c>
      <c r="M1178" s="10">
        <v>0</v>
      </c>
      <c r="N1178" s="10">
        <v>0</v>
      </c>
      <c r="O1178" s="10">
        <v>0</v>
      </c>
      <c r="P1178" s="10">
        <v>0</v>
      </c>
      <c r="Q1178" s="10">
        <v>0</v>
      </c>
      <c r="R1178" s="10">
        <v>0</v>
      </c>
      <c r="S1178" s="10">
        <v>0</v>
      </c>
    </row>
    <row r="1179">
      <c r="A1179" s="14" t="s">
        <v>403</v>
      </c>
      <c r="B1179" s="2" t="s">
        <v>399</v>
      </c>
      <c r="C1179" s="10">
        <v>0</v>
      </c>
      <c r="D1179" s="10">
        <v>0</v>
      </c>
      <c r="E1179" s="10">
        <v>0</v>
      </c>
      <c r="F1179" s="10">
        <v>0</v>
      </c>
      <c r="G1179" s="10">
        <v>0</v>
      </c>
      <c r="H1179" s="10">
        <v>0</v>
      </c>
      <c r="I1179" s="10">
        <v>0</v>
      </c>
      <c r="J1179" s="10">
        <v>0</v>
      </c>
      <c r="K1179" s="10">
        <v>0</v>
      </c>
      <c r="L1179" s="10">
        <v>0</v>
      </c>
      <c r="M1179" s="10">
        <v>0</v>
      </c>
      <c r="N1179" s="10">
        <v>0</v>
      </c>
      <c r="O1179" s="10">
        <v>0</v>
      </c>
      <c r="P1179" s="10">
        <v>0</v>
      </c>
      <c r="Q1179" s="10">
        <v>0</v>
      </c>
      <c r="R1179" s="10">
        <v>0</v>
      </c>
      <c r="S1179" s="10">
        <v>0</v>
      </c>
    </row>
    <row r="1180">
      <c r="A1180" s="14" t="s">
        <v>404</v>
      </c>
      <c r="B1180" s="2" t="s">
        <v>399</v>
      </c>
      <c r="C1180" s="10">
        <v>0</v>
      </c>
      <c r="D1180" s="10">
        <v>0</v>
      </c>
      <c r="E1180" s="10">
        <v>0</v>
      </c>
      <c r="F1180" s="10">
        <v>0</v>
      </c>
      <c r="G1180" s="10">
        <v>0</v>
      </c>
      <c r="H1180" s="10">
        <v>0</v>
      </c>
      <c r="I1180" s="10">
        <v>0</v>
      </c>
      <c r="J1180" s="10">
        <v>0</v>
      </c>
      <c r="K1180" s="10">
        <v>0</v>
      </c>
      <c r="L1180" s="10">
        <v>0</v>
      </c>
      <c r="M1180" s="10">
        <v>0</v>
      </c>
      <c r="N1180" s="10">
        <v>0</v>
      </c>
      <c r="O1180" s="10">
        <v>0</v>
      </c>
      <c r="P1180" s="10">
        <v>0</v>
      </c>
      <c r="Q1180" s="10">
        <v>0</v>
      </c>
      <c r="R1180" s="10">
        <v>0</v>
      </c>
      <c r="S1180" s="10">
        <v>0</v>
      </c>
    </row>
    <row r="1181">
      <c r="A1181" s="14" t="s">
        <v>405</v>
      </c>
      <c r="B1181" s="2" t="s">
        <v>399</v>
      </c>
      <c r="C1181" s="10">
        <v>0</v>
      </c>
      <c r="D1181" s="10">
        <v>0</v>
      </c>
      <c r="E1181" s="10">
        <v>0</v>
      </c>
      <c r="F1181" s="10">
        <v>0</v>
      </c>
      <c r="G1181" s="10">
        <v>0</v>
      </c>
      <c r="H1181" s="10">
        <v>0</v>
      </c>
      <c r="I1181" s="10">
        <v>0</v>
      </c>
      <c r="J1181" s="10">
        <v>0</v>
      </c>
      <c r="K1181" s="10">
        <v>0</v>
      </c>
      <c r="L1181" s="10">
        <v>0</v>
      </c>
      <c r="M1181" s="10">
        <v>0</v>
      </c>
      <c r="N1181" s="10">
        <v>0</v>
      </c>
      <c r="O1181" s="10">
        <v>0</v>
      </c>
      <c r="P1181" s="10">
        <v>0</v>
      </c>
      <c r="Q1181" s="10">
        <v>0</v>
      </c>
      <c r="R1181" s="10">
        <v>0</v>
      </c>
      <c r="S1181" s="10">
        <v>0</v>
      </c>
    </row>
    <row r="1182">
      <c r="A1182" s="14" t="s">
        <v>406</v>
      </c>
      <c r="B1182" s="2" t="s">
        <v>399</v>
      </c>
      <c r="C1182" s="10">
        <v>0</v>
      </c>
      <c r="D1182" s="10">
        <v>0</v>
      </c>
      <c r="E1182" s="10">
        <v>0</v>
      </c>
      <c r="F1182" s="10">
        <v>0</v>
      </c>
      <c r="G1182" s="10">
        <v>0</v>
      </c>
      <c r="H1182" s="10">
        <v>0</v>
      </c>
      <c r="I1182" s="10">
        <v>0</v>
      </c>
      <c r="J1182" s="10">
        <v>0</v>
      </c>
      <c r="K1182" s="10">
        <v>0</v>
      </c>
      <c r="L1182" s="10">
        <v>0</v>
      </c>
      <c r="M1182" s="10">
        <v>0</v>
      </c>
      <c r="N1182" s="10">
        <v>0</v>
      </c>
      <c r="O1182" s="10">
        <v>0</v>
      </c>
      <c r="P1182" s="10">
        <v>0</v>
      </c>
      <c r="Q1182" s="10">
        <v>0</v>
      </c>
      <c r="R1182" s="10">
        <v>0</v>
      </c>
      <c r="S1182" s="10">
        <v>0</v>
      </c>
    </row>
    <row r="1183">
      <c r="A1183" s="14" t="s">
        <v>407</v>
      </c>
      <c r="B1183" s="2" t="s">
        <v>399</v>
      </c>
      <c r="C1183" s="10">
        <v>0</v>
      </c>
      <c r="D1183" s="10">
        <v>0</v>
      </c>
      <c r="E1183" s="10">
        <v>0</v>
      </c>
      <c r="F1183" s="10">
        <v>0</v>
      </c>
      <c r="G1183" s="10">
        <v>0</v>
      </c>
      <c r="H1183" s="10">
        <v>0</v>
      </c>
      <c r="I1183" s="10">
        <v>0</v>
      </c>
      <c r="J1183" s="10">
        <v>0</v>
      </c>
      <c r="K1183" s="10">
        <v>0</v>
      </c>
      <c r="L1183" s="10">
        <v>0</v>
      </c>
      <c r="M1183" s="10">
        <v>0</v>
      </c>
      <c r="N1183" s="10">
        <v>0</v>
      </c>
      <c r="O1183" s="10">
        <v>0</v>
      </c>
      <c r="P1183" s="10">
        <v>0</v>
      </c>
      <c r="Q1183" s="10">
        <v>0</v>
      </c>
      <c r="R1183" s="10">
        <v>0</v>
      </c>
      <c r="S1183" s="10">
        <v>0</v>
      </c>
    </row>
    <row r="1184">
      <c r="A1184" s="14" t="s">
        <v>408</v>
      </c>
      <c r="B1184" s="2" t="s">
        <v>399</v>
      </c>
      <c r="C1184" s="10">
        <v>0</v>
      </c>
      <c r="D1184" s="10">
        <v>0</v>
      </c>
      <c r="E1184" s="10">
        <v>0</v>
      </c>
      <c r="F1184" s="10">
        <v>0</v>
      </c>
      <c r="G1184" s="10">
        <v>0</v>
      </c>
      <c r="H1184" s="10">
        <v>0</v>
      </c>
      <c r="I1184" s="10">
        <v>0</v>
      </c>
      <c r="J1184" s="10">
        <v>0</v>
      </c>
      <c r="K1184" s="10">
        <v>0</v>
      </c>
      <c r="L1184" s="10">
        <v>0</v>
      </c>
      <c r="M1184" s="10">
        <v>0</v>
      </c>
      <c r="N1184" s="10">
        <v>0</v>
      </c>
      <c r="O1184" s="10">
        <v>0</v>
      </c>
      <c r="P1184" s="10">
        <v>0</v>
      </c>
      <c r="Q1184" s="10">
        <v>0</v>
      </c>
      <c r="R1184" s="10">
        <v>0</v>
      </c>
      <c r="S1184" s="10">
        <v>0</v>
      </c>
    </row>
    <row r="1185">
      <c r="A1185" s="14" t="s">
        <v>409</v>
      </c>
      <c r="B1185" s="2" t="s">
        <v>399</v>
      </c>
      <c r="C1185" s="10">
        <v>0</v>
      </c>
      <c r="D1185" s="10">
        <v>0</v>
      </c>
      <c r="E1185" s="10">
        <v>0</v>
      </c>
      <c r="F1185" s="10">
        <v>0</v>
      </c>
      <c r="G1185" s="10">
        <v>0</v>
      </c>
      <c r="H1185" s="10">
        <v>0</v>
      </c>
      <c r="I1185" s="10">
        <v>0</v>
      </c>
      <c r="J1185" s="10">
        <v>0</v>
      </c>
      <c r="K1185" s="10">
        <v>0</v>
      </c>
      <c r="L1185" s="10">
        <v>0</v>
      </c>
      <c r="M1185" s="10">
        <v>0</v>
      </c>
      <c r="N1185" s="10">
        <v>0</v>
      </c>
      <c r="O1185" s="10">
        <v>0</v>
      </c>
      <c r="P1185" s="10">
        <v>0</v>
      </c>
      <c r="Q1185" s="10">
        <v>0</v>
      </c>
      <c r="R1185" s="10">
        <v>0</v>
      </c>
      <c r="S1185" s="10">
        <v>0</v>
      </c>
    </row>
    <row r="1186">
      <c r="A1186" s="14" t="s">
        <v>410</v>
      </c>
      <c r="B1186" s="2" t="s">
        <v>399</v>
      </c>
      <c r="C1186" s="10">
        <v>0</v>
      </c>
      <c r="D1186" s="10">
        <v>0</v>
      </c>
      <c r="E1186" s="10">
        <v>0</v>
      </c>
      <c r="F1186" s="10">
        <v>0</v>
      </c>
      <c r="G1186" s="10">
        <v>0</v>
      </c>
      <c r="H1186" s="10">
        <v>0</v>
      </c>
      <c r="I1186" s="10">
        <v>0</v>
      </c>
      <c r="J1186" s="10">
        <v>0</v>
      </c>
      <c r="K1186" s="10">
        <v>0</v>
      </c>
      <c r="L1186" s="10">
        <v>0</v>
      </c>
      <c r="M1186" s="10">
        <v>0</v>
      </c>
      <c r="N1186" s="10">
        <v>0</v>
      </c>
      <c r="O1186" s="10">
        <v>0</v>
      </c>
      <c r="P1186" s="10">
        <v>0</v>
      </c>
      <c r="Q1186" s="10">
        <v>0</v>
      </c>
      <c r="R1186" s="10">
        <v>0</v>
      </c>
      <c r="S1186" s="10">
        <v>0</v>
      </c>
    </row>
    <row r="1187">
      <c r="A1187" s="14" t="s">
        <v>411</v>
      </c>
      <c r="B1187" s="2" t="s">
        <v>399</v>
      </c>
      <c r="C1187" s="10">
        <v>0</v>
      </c>
      <c r="D1187" s="10">
        <v>0</v>
      </c>
      <c r="E1187" s="10">
        <v>0</v>
      </c>
      <c r="F1187" s="10">
        <v>0</v>
      </c>
      <c r="G1187" s="10">
        <v>0</v>
      </c>
      <c r="H1187" s="10">
        <v>0</v>
      </c>
      <c r="I1187" s="10">
        <v>0</v>
      </c>
      <c r="J1187" s="10">
        <v>0</v>
      </c>
      <c r="K1187" s="10">
        <v>0</v>
      </c>
      <c r="L1187" s="10">
        <v>0</v>
      </c>
      <c r="M1187" s="10">
        <v>0</v>
      </c>
      <c r="N1187" s="10">
        <v>0</v>
      </c>
      <c r="O1187" s="10">
        <v>0</v>
      </c>
      <c r="P1187" s="10">
        <v>0</v>
      </c>
      <c r="Q1187" s="10">
        <v>0</v>
      </c>
      <c r="R1187" s="10">
        <v>0</v>
      </c>
      <c r="S1187" s="10">
        <v>0</v>
      </c>
    </row>
    <row r="1188">
      <c r="A1188" s="14" t="s">
        <v>412</v>
      </c>
      <c r="B1188" s="2" t="s">
        <v>399</v>
      </c>
      <c r="C1188" s="10">
        <v>0</v>
      </c>
      <c r="D1188" s="10">
        <v>0</v>
      </c>
      <c r="E1188" s="10">
        <v>0</v>
      </c>
      <c r="F1188" s="10">
        <v>0</v>
      </c>
      <c r="G1188" s="10">
        <v>0</v>
      </c>
      <c r="H1188" s="10">
        <v>0</v>
      </c>
      <c r="I1188" s="10">
        <v>0</v>
      </c>
      <c r="J1188" s="10">
        <v>0</v>
      </c>
      <c r="K1188" s="10">
        <v>0</v>
      </c>
      <c r="L1188" s="10">
        <v>0</v>
      </c>
      <c r="M1188" s="10">
        <v>0</v>
      </c>
      <c r="N1188" s="10">
        <v>0</v>
      </c>
      <c r="O1188" s="10">
        <v>0</v>
      </c>
      <c r="P1188" s="10">
        <v>0</v>
      </c>
      <c r="Q1188" s="10">
        <v>0</v>
      </c>
      <c r="R1188" s="10">
        <v>0</v>
      </c>
      <c r="S1188" s="10">
        <v>0</v>
      </c>
    </row>
    <row r="1189">
      <c r="A1189" s="14" t="s">
        <v>413</v>
      </c>
      <c r="B1189" s="2" t="s">
        <v>399</v>
      </c>
      <c r="C1189" s="10">
        <v>0</v>
      </c>
      <c r="D1189" s="10">
        <v>0</v>
      </c>
      <c r="E1189" s="10">
        <v>0</v>
      </c>
      <c r="F1189" s="10">
        <v>0</v>
      </c>
      <c r="G1189" s="10">
        <v>0</v>
      </c>
      <c r="H1189" s="10">
        <v>0</v>
      </c>
      <c r="I1189" s="10">
        <v>0</v>
      </c>
      <c r="J1189" s="10">
        <v>0</v>
      </c>
      <c r="K1189" s="10">
        <v>0</v>
      </c>
      <c r="L1189" s="10">
        <v>0</v>
      </c>
      <c r="M1189" s="10">
        <v>0</v>
      </c>
      <c r="N1189" s="10">
        <v>0</v>
      </c>
      <c r="O1189" s="10">
        <v>0</v>
      </c>
      <c r="P1189" s="10">
        <v>0</v>
      </c>
      <c r="Q1189" s="10">
        <v>0</v>
      </c>
      <c r="R1189" s="10">
        <v>0</v>
      </c>
      <c r="S1189" s="10">
        <v>0</v>
      </c>
    </row>
    <row r="1190">
      <c r="A1190" s="14" t="s">
        <v>414</v>
      </c>
      <c r="B1190" s="2" t="s">
        <v>399</v>
      </c>
      <c r="C1190" s="10">
        <v>0</v>
      </c>
      <c r="D1190" s="10">
        <v>0</v>
      </c>
      <c r="E1190" s="10">
        <v>0</v>
      </c>
      <c r="F1190" s="10">
        <v>0</v>
      </c>
      <c r="G1190" s="10">
        <v>0</v>
      </c>
      <c r="H1190" s="10">
        <v>0</v>
      </c>
      <c r="I1190" s="10">
        <v>0</v>
      </c>
      <c r="J1190" s="10">
        <v>0</v>
      </c>
      <c r="K1190" s="10">
        <v>0</v>
      </c>
      <c r="L1190" s="10">
        <v>0</v>
      </c>
      <c r="M1190" s="10">
        <v>0</v>
      </c>
      <c r="N1190" s="10">
        <v>0</v>
      </c>
      <c r="O1190" s="10">
        <v>0</v>
      </c>
      <c r="P1190" s="10">
        <v>0</v>
      </c>
      <c r="Q1190" s="10">
        <v>0</v>
      </c>
      <c r="R1190" s="10">
        <v>0</v>
      </c>
      <c r="S1190" s="10">
        <v>0</v>
      </c>
    </row>
    <row r="1191">
      <c r="A1191" s="14" t="s">
        <v>415</v>
      </c>
      <c r="B1191" s="2" t="s">
        <v>399</v>
      </c>
      <c r="C1191" s="10">
        <v>0</v>
      </c>
      <c r="D1191" s="10">
        <v>0</v>
      </c>
      <c r="E1191" s="10">
        <v>0</v>
      </c>
      <c r="F1191" s="10">
        <v>0</v>
      </c>
      <c r="G1191" s="10">
        <v>0</v>
      </c>
      <c r="H1191" s="10">
        <v>0</v>
      </c>
      <c r="I1191" s="10">
        <v>0</v>
      </c>
      <c r="J1191" s="10">
        <v>0</v>
      </c>
      <c r="K1191" s="10">
        <v>0</v>
      </c>
      <c r="L1191" s="10">
        <v>0</v>
      </c>
      <c r="M1191" s="10">
        <v>0</v>
      </c>
      <c r="N1191" s="10">
        <v>0</v>
      </c>
      <c r="O1191" s="10">
        <v>0</v>
      </c>
      <c r="P1191" s="10">
        <v>0</v>
      </c>
      <c r="Q1191" s="10">
        <v>0</v>
      </c>
      <c r="R1191" s="10">
        <v>0</v>
      </c>
      <c r="S1191" s="10">
        <v>0</v>
      </c>
    </row>
    <row r="1192">
      <c r="A1192" s="14" t="s">
        <v>416</v>
      </c>
      <c r="B1192" s="2" t="s">
        <v>399</v>
      </c>
      <c r="C1192" s="10">
        <v>0</v>
      </c>
      <c r="D1192" s="10">
        <v>0</v>
      </c>
      <c r="E1192" s="10">
        <v>0</v>
      </c>
      <c r="F1192" s="10">
        <v>0</v>
      </c>
      <c r="G1192" s="10">
        <v>0</v>
      </c>
      <c r="H1192" s="10">
        <v>0</v>
      </c>
      <c r="I1192" s="10">
        <v>0</v>
      </c>
      <c r="J1192" s="10">
        <v>0</v>
      </c>
      <c r="K1192" s="10">
        <v>0</v>
      </c>
      <c r="L1192" s="10">
        <v>0</v>
      </c>
      <c r="M1192" s="10">
        <v>0</v>
      </c>
      <c r="N1192" s="10">
        <v>0</v>
      </c>
      <c r="O1192" s="10">
        <v>0</v>
      </c>
      <c r="P1192" s="10">
        <v>0</v>
      </c>
      <c r="Q1192" s="10">
        <v>0</v>
      </c>
      <c r="R1192" s="10">
        <v>0</v>
      </c>
      <c r="S1192" s="10">
        <v>0</v>
      </c>
    </row>
    <row r="1193">
      <c r="A1193" s="14" t="s">
        <v>417</v>
      </c>
      <c r="B1193" s="2" t="s">
        <v>399</v>
      </c>
      <c r="C1193" s="10">
        <v>0</v>
      </c>
      <c r="D1193" s="10">
        <v>0</v>
      </c>
      <c r="E1193" s="10">
        <v>0</v>
      </c>
      <c r="F1193" s="10">
        <v>0</v>
      </c>
      <c r="G1193" s="10">
        <v>0</v>
      </c>
      <c r="H1193" s="10">
        <v>0</v>
      </c>
      <c r="I1193" s="10">
        <v>0</v>
      </c>
      <c r="J1193" s="10">
        <v>0</v>
      </c>
      <c r="K1193" s="10">
        <v>0</v>
      </c>
      <c r="L1193" s="10">
        <v>0</v>
      </c>
      <c r="M1193" s="10">
        <v>0</v>
      </c>
      <c r="N1193" s="10">
        <v>0</v>
      </c>
      <c r="O1193" s="10">
        <v>0</v>
      </c>
      <c r="P1193" s="10">
        <v>0</v>
      </c>
      <c r="Q1193" s="10">
        <v>0</v>
      </c>
      <c r="R1193" s="10">
        <v>0</v>
      </c>
      <c r="S1193" s="10">
        <v>0</v>
      </c>
    </row>
    <row r="1194">
      <c r="A1194" s="14" t="s">
        <v>418</v>
      </c>
      <c r="B1194" s="2" t="s">
        <v>399</v>
      </c>
      <c r="C1194" s="10">
        <v>0</v>
      </c>
      <c r="D1194" s="10">
        <v>0</v>
      </c>
      <c r="E1194" s="10">
        <v>0</v>
      </c>
      <c r="F1194" s="10">
        <v>0</v>
      </c>
      <c r="G1194" s="10">
        <v>0</v>
      </c>
      <c r="H1194" s="10">
        <v>0</v>
      </c>
      <c r="I1194" s="10">
        <v>0</v>
      </c>
      <c r="J1194" s="10">
        <v>0</v>
      </c>
      <c r="K1194" s="10">
        <v>0</v>
      </c>
      <c r="L1194" s="10">
        <v>0</v>
      </c>
      <c r="M1194" s="10">
        <v>0</v>
      </c>
      <c r="N1194" s="10">
        <v>0</v>
      </c>
      <c r="O1194" s="10">
        <v>0</v>
      </c>
      <c r="P1194" s="10">
        <v>0</v>
      </c>
      <c r="Q1194" s="10">
        <v>0</v>
      </c>
      <c r="R1194" s="10">
        <v>0</v>
      </c>
      <c r="S1194" s="10">
        <v>0</v>
      </c>
    </row>
    <row r="1195">
      <c r="A1195" s="14" t="s">
        <v>419</v>
      </c>
      <c r="B1195" s="2" t="s">
        <v>399</v>
      </c>
      <c r="C1195" s="10">
        <v>0</v>
      </c>
      <c r="D1195" s="10">
        <v>0</v>
      </c>
      <c r="E1195" s="10">
        <v>0</v>
      </c>
      <c r="F1195" s="10">
        <v>0</v>
      </c>
      <c r="G1195" s="10">
        <v>0</v>
      </c>
      <c r="H1195" s="10">
        <v>0</v>
      </c>
      <c r="I1195" s="10">
        <v>0</v>
      </c>
      <c r="J1195" s="10">
        <v>0</v>
      </c>
      <c r="K1195" s="10">
        <v>0</v>
      </c>
      <c r="L1195" s="10">
        <v>0</v>
      </c>
      <c r="M1195" s="10">
        <v>0</v>
      </c>
      <c r="N1195" s="10">
        <v>0</v>
      </c>
      <c r="O1195" s="10">
        <v>0</v>
      </c>
      <c r="P1195" s="10">
        <v>0</v>
      </c>
      <c r="Q1195" s="10">
        <v>0</v>
      </c>
      <c r="R1195" s="10">
        <v>0</v>
      </c>
      <c r="S1195" s="10">
        <v>0</v>
      </c>
    </row>
    <row r="1196">
      <c r="A1196" s="14" t="s">
        <v>420</v>
      </c>
      <c r="B1196" s="2" t="s">
        <v>399</v>
      </c>
      <c r="C1196" s="10">
        <v>0</v>
      </c>
      <c r="D1196" s="10">
        <v>0</v>
      </c>
      <c r="E1196" s="10">
        <v>0</v>
      </c>
      <c r="F1196" s="10">
        <v>0</v>
      </c>
      <c r="G1196" s="10">
        <v>0</v>
      </c>
      <c r="H1196" s="10">
        <v>0</v>
      </c>
      <c r="I1196" s="10">
        <v>0</v>
      </c>
      <c r="J1196" s="10">
        <v>0</v>
      </c>
      <c r="K1196" s="10">
        <v>0</v>
      </c>
      <c r="L1196" s="10">
        <v>0</v>
      </c>
      <c r="M1196" s="10">
        <v>0</v>
      </c>
      <c r="N1196" s="10">
        <v>0</v>
      </c>
      <c r="O1196" s="10">
        <v>0</v>
      </c>
      <c r="P1196" s="10">
        <v>0</v>
      </c>
      <c r="Q1196" s="10">
        <v>0</v>
      </c>
      <c r="R1196" s="10">
        <v>0</v>
      </c>
      <c r="S1196" s="10">
        <v>0</v>
      </c>
    </row>
    <row r="1197">
      <c r="A1197" s="14" t="s">
        <v>421</v>
      </c>
      <c r="B1197" s="2" t="s">
        <v>399</v>
      </c>
      <c r="C1197" s="10">
        <v>0</v>
      </c>
      <c r="D1197" s="10">
        <v>0</v>
      </c>
      <c r="E1197" s="10">
        <v>0</v>
      </c>
      <c r="F1197" s="10">
        <v>0</v>
      </c>
      <c r="G1197" s="10">
        <v>0</v>
      </c>
      <c r="H1197" s="10">
        <v>0</v>
      </c>
      <c r="I1197" s="10">
        <v>0</v>
      </c>
      <c r="J1197" s="10">
        <v>0</v>
      </c>
      <c r="K1197" s="10">
        <v>0</v>
      </c>
      <c r="L1197" s="10">
        <v>0</v>
      </c>
      <c r="M1197" s="10">
        <v>0</v>
      </c>
      <c r="N1197" s="10">
        <v>0</v>
      </c>
      <c r="O1197" s="10">
        <v>0</v>
      </c>
      <c r="P1197" s="10">
        <v>0</v>
      </c>
      <c r="Q1197" s="10">
        <v>0</v>
      </c>
      <c r="R1197" s="10">
        <v>0</v>
      </c>
      <c r="S1197" s="10">
        <v>0</v>
      </c>
    </row>
    <row r="1198">
      <c r="A1198" s="14" t="s">
        <v>422</v>
      </c>
      <c r="B1198" s="2" t="s">
        <v>399</v>
      </c>
      <c r="C1198" s="10">
        <v>0</v>
      </c>
      <c r="D1198" s="10">
        <v>0</v>
      </c>
      <c r="E1198" s="10">
        <v>0</v>
      </c>
      <c r="F1198" s="10">
        <v>0</v>
      </c>
      <c r="G1198" s="10">
        <v>0</v>
      </c>
      <c r="H1198" s="10">
        <v>0</v>
      </c>
      <c r="I1198" s="10">
        <v>0</v>
      </c>
      <c r="J1198" s="10">
        <v>0</v>
      </c>
      <c r="K1198" s="10">
        <v>0</v>
      </c>
      <c r="L1198" s="10">
        <v>0</v>
      </c>
      <c r="M1198" s="10">
        <v>0</v>
      </c>
      <c r="N1198" s="10">
        <v>0</v>
      </c>
      <c r="O1198" s="10">
        <v>0</v>
      </c>
      <c r="P1198" s="10">
        <v>0</v>
      </c>
      <c r="Q1198" s="10">
        <v>0</v>
      </c>
      <c r="R1198" s="10">
        <v>0</v>
      </c>
      <c r="S1198" s="10">
        <v>0</v>
      </c>
    </row>
    <row r="1199">
      <c r="A1199" s="14" t="s">
        <v>423</v>
      </c>
      <c r="B1199" s="2" t="s">
        <v>399</v>
      </c>
      <c r="C1199" s="10">
        <v>0</v>
      </c>
      <c r="D1199" s="10">
        <v>0</v>
      </c>
      <c r="E1199" s="10">
        <v>0</v>
      </c>
      <c r="F1199" s="10">
        <v>0</v>
      </c>
      <c r="G1199" s="10">
        <v>0</v>
      </c>
      <c r="H1199" s="10">
        <v>0</v>
      </c>
      <c r="I1199" s="10">
        <v>0</v>
      </c>
      <c r="J1199" s="10">
        <v>0</v>
      </c>
      <c r="K1199" s="10">
        <v>0</v>
      </c>
      <c r="L1199" s="10">
        <v>0</v>
      </c>
      <c r="M1199" s="10">
        <v>0</v>
      </c>
      <c r="N1199" s="10">
        <v>0</v>
      </c>
      <c r="O1199" s="10">
        <v>0</v>
      </c>
      <c r="P1199" s="10">
        <v>0</v>
      </c>
      <c r="Q1199" s="10">
        <v>0</v>
      </c>
      <c r="R1199" s="10">
        <v>0</v>
      </c>
      <c r="S1199" s="10">
        <v>0</v>
      </c>
    </row>
    <row r="1200">
      <c r="A1200" s="14" t="s">
        <v>424</v>
      </c>
      <c r="B1200" s="2" t="s">
        <v>399</v>
      </c>
      <c r="C1200" s="10">
        <v>0</v>
      </c>
      <c r="D1200" s="10">
        <v>0</v>
      </c>
      <c r="E1200" s="10">
        <v>0</v>
      </c>
      <c r="F1200" s="10">
        <v>0</v>
      </c>
      <c r="G1200" s="10">
        <v>0</v>
      </c>
      <c r="H1200" s="10">
        <v>0</v>
      </c>
      <c r="I1200" s="10">
        <v>0</v>
      </c>
      <c r="J1200" s="10">
        <v>0</v>
      </c>
      <c r="K1200" s="10">
        <v>0</v>
      </c>
      <c r="L1200" s="10">
        <v>0</v>
      </c>
      <c r="M1200" s="10">
        <v>0</v>
      </c>
      <c r="N1200" s="10">
        <v>0</v>
      </c>
      <c r="O1200" s="10">
        <v>0</v>
      </c>
      <c r="P1200" s="10">
        <v>0</v>
      </c>
      <c r="Q1200" s="10">
        <v>0</v>
      </c>
      <c r="R1200" s="10">
        <v>0</v>
      </c>
      <c r="S1200" s="10">
        <v>0</v>
      </c>
    </row>
    <row r="1201">
      <c r="A1201" s="14" t="s">
        <v>425</v>
      </c>
      <c r="B1201" s="2" t="s">
        <v>399</v>
      </c>
      <c r="C1201" s="10">
        <v>0</v>
      </c>
      <c r="D1201" s="10">
        <v>0</v>
      </c>
      <c r="E1201" s="10">
        <v>0</v>
      </c>
      <c r="F1201" s="10">
        <v>0</v>
      </c>
      <c r="G1201" s="10">
        <v>0</v>
      </c>
      <c r="H1201" s="10">
        <v>0</v>
      </c>
      <c r="I1201" s="10">
        <v>0</v>
      </c>
      <c r="J1201" s="10">
        <v>0</v>
      </c>
      <c r="K1201" s="10">
        <v>0</v>
      </c>
      <c r="L1201" s="10">
        <v>0</v>
      </c>
      <c r="M1201" s="10">
        <v>0</v>
      </c>
      <c r="N1201" s="10">
        <v>0</v>
      </c>
      <c r="O1201" s="10">
        <v>0</v>
      </c>
      <c r="P1201" s="10">
        <v>0</v>
      </c>
      <c r="Q1201" s="10">
        <v>0</v>
      </c>
      <c r="R1201" s="10">
        <v>0</v>
      </c>
      <c r="S1201" s="10">
        <v>0</v>
      </c>
    </row>
    <row r="1202">
      <c r="A1202" s="14" t="s">
        <v>426</v>
      </c>
      <c r="B1202" s="2" t="s">
        <v>399</v>
      </c>
      <c r="C1202" s="10">
        <v>0</v>
      </c>
      <c r="D1202" s="10">
        <v>0</v>
      </c>
      <c r="E1202" s="10">
        <v>0</v>
      </c>
      <c r="F1202" s="10">
        <v>0</v>
      </c>
      <c r="G1202" s="10">
        <v>0</v>
      </c>
      <c r="H1202" s="10">
        <v>0</v>
      </c>
      <c r="I1202" s="10">
        <v>0</v>
      </c>
      <c r="J1202" s="10">
        <v>0</v>
      </c>
      <c r="K1202" s="10">
        <v>0</v>
      </c>
      <c r="L1202" s="10">
        <v>0</v>
      </c>
      <c r="M1202" s="10">
        <v>0</v>
      </c>
      <c r="N1202" s="10">
        <v>0</v>
      </c>
      <c r="O1202" s="10">
        <v>0</v>
      </c>
      <c r="P1202" s="10">
        <v>0</v>
      </c>
      <c r="Q1202" s="10">
        <v>0</v>
      </c>
      <c r="R1202" s="10">
        <v>0</v>
      </c>
      <c r="S1202" s="10">
        <v>0</v>
      </c>
    </row>
    <row r="1203">
      <c r="A1203" s="14" t="s">
        <v>427</v>
      </c>
      <c r="B1203" s="2" t="s">
        <v>399</v>
      </c>
      <c r="C1203" s="10">
        <v>0</v>
      </c>
      <c r="D1203" s="10">
        <v>0</v>
      </c>
      <c r="E1203" s="10">
        <v>0</v>
      </c>
      <c r="F1203" s="10">
        <v>0</v>
      </c>
      <c r="G1203" s="10">
        <v>0</v>
      </c>
      <c r="H1203" s="10">
        <v>0</v>
      </c>
      <c r="I1203" s="10">
        <v>0</v>
      </c>
      <c r="J1203" s="10">
        <v>0</v>
      </c>
      <c r="K1203" s="10">
        <v>0</v>
      </c>
      <c r="L1203" s="10">
        <v>0</v>
      </c>
      <c r="M1203" s="10">
        <v>0</v>
      </c>
      <c r="N1203" s="10">
        <v>0</v>
      </c>
      <c r="O1203" s="10">
        <v>0</v>
      </c>
      <c r="P1203" s="10">
        <v>0</v>
      </c>
      <c r="Q1203" s="10">
        <v>0</v>
      </c>
      <c r="R1203" s="10">
        <v>0</v>
      </c>
      <c r="S1203" s="10">
        <v>0</v>
      </c>
    </row>
    <row r="1204">
      <c r="A1204" s="14" t="s">
        <v>428</v>
      </c>
      <c r="B1204" s="2" t="s">
        <v>399</v>
      </c>
      <c r="C1204" s="10">
        <v>0</v>
      </c>
      <c r="D1204" s="10">
        <v>0</v>
      </c>
      <c r="E1204" s="10">
        <v>0</v>
      </c>
      <c r="F1204" s="10">
        <v>0</v>
      </c>
      <c r="G1204" s="10">
        <v>0</v>
      </c>
      <c r="H1204" s="10">
        <v>0</v>
      </c>
      <c r="I1204" s="10">
        <v>0</v>
      </c>
      <c r="J1204" s="10">
        <v>0</v>
      </c>
      <c r="K1204" s="10">
        <v>0</v>
      </c>
      <c r="L1204" s="10">
        <v>0</v>
      </c>
      <c r="M1204" s="10">
        <v>0</v>
      </c>
      <c r="N1204" s="10">
        <v>0</v>
      </c>
      <c r="O1204" s="10">
        <v>0</v>
      </c>
      <c r="P1204" s="10">
        <v>0</v>
      </c>
      <c r="Q1204" s="10">
        <v>0</v>
      </c>
      <c r="R1204" s="10">
        <v>0</v>
      </c>
      <c r="S1204" s="10">
        <v>0</v>
      </c>
    </row>
    <row r="1205">
      <c r="A1205" s="14" t="s">
        <v>429</v>
      </c>
      <c r="B1205" s="2" t="s">
        <v>399</v>
      </c>
      <c r="C1205" s="10">
        <v>0</v>
      </c>
      <c r="D1205" s="10">
        <v>0</v>
      </c>
      <c r="E1205" s="10">
        <v>0</v>
      </c>
      <c r="F1205" s="10">
        <v>0</v>
      </c>
      <c r="G1205" s="10">
        <v>0</v>
      </c>
      <c r="H1205" s="10">
        <v>0</v>
      </c>
      <c r="I1205" s="10">
        <v>0</v>
      </c>
      <c r="J1205" s="10">
        <v>0</v>
      </c>
      <c r="K1205" s="10">
        <v>0</v>
      </c>
      <c r="L1205" s="10">
        <v>0</v>
      </c>
      <c r="M1205" s="10">
        <v>0</v>
      </c>
      <c r="N1205" s="10">
        <v>0</v>
      </c>
      <c r="O1205" s="10">
        <v>0</v>
      </c>
      <c r="P1205" s="10">
        <v>0</v>
      </c>
      <c r="Q1205" s="10">
        <v>0</v>
      </c>
      <c r="R1205" s="10">
        <v>0</v>
      </c>
      <c r="S1205" s="10">
        <v>0</v>
      </c>
    </row>
    <row r="1206">
      <c r="A1206" s="14" t="s">
        <v>430</v>
      </c>
      <c r="B1206" s="2" t="s">
        <v>399</v>
      </c>
      <c r="C1206" s="10">
        <v>0</v>
      </c>
      <c r="D1206" s="10">
        <v>0</v>
      </c>
      <c r="E1206" s="10">
        <v>0</v>
      </c>
      <c r="F1206" s="10">
        <v>0</v>
      </c>
      <c r="G1206" s="10">
        <v>0</v>
      </c>
      <c r="H1206" s="10">
        <v>0</v>
      </c>
      <c r="I1206" s="10">
        <v>0</v>
      </c>
      <c r="J1206" s="10">
        <v>0</v>
      </c>
      <c r="K1206" s="10">
        <v>0</v>
      </c>
      <c r="L1206" s="10">
        <v>0</v>
      </c>
      <c r="M1206" s="10">
        <v>0</v>
      </c>
      <c r="N1206" s="10">
        <v>0</v>
      </c>
      <c r="O1206" s="10">
        <v>0</v>
      </c>
      <c r="P1206" s="10">
        <v>0</v>
      </c>
      <c r="Q1206" s="10">
        <v>0</v>
      </c>
      <c r="R1206" s="10">
        <v>0</v>
      </c>
      <c r="S1206" s="10">
        <v>0</v>
      </c>
    </row>
    <row r="1207">
      <c r="A1207" s="14" t="s">
        <v>431</v>
      </c>
      <c r="B1207" s="2" t="s">
        <v>399</v>
      </c>
      <c r="C1207" s="10">
        <v>0</v>
      </c>
      <c r="D1207" s="10">
        <v>0</v>
      </c>
      <c r="E1207" s="10">
        <v>0</v>
      </c>
      <c r="F1207" s="10">
        <v>0</v>
      </c>
      <c r="G1207" s="10">
        <v>0</v>
      </c>
      <c r="H1207" s="10">
        <v>0</v>
      </c>
      <c r="I1207" s="10">
        <v>0</v>
      </c>
      <c r="J1207" s="10">
        <v>0</v>
      </c>
      <c r="K1207" s="10">
        <v>0</v>
      </c>
      <c r="L1207" s="10">
        <v>0</v>
      </c>
      <c r="M1207" s="10">
        <v>0</v>
      </c>
      <c r="N1207" s="10">
        <v>0</v>
      </c>
      <c r="O1207" s="10">
        <v>0</v>
      </c>
      <c r="P1207" s="10">
        <v>0</v>
      </c>
      <c r="Q1207" s="10">
        <v>0</v>
      </c>
      <c r="R1207" s="10">
        <v>0</v>
      </c>
      <c r="S1207" s="10">
        <v>0</v>
      </c>
    </row>
    <row r="1208">
      <c r="A1208" s="14" t="s">
        <v>432</v>
      </c>
      <c r="B1208" s="2" t="s">
        <v>399</v>
      </c>
      <c r="C1208" s="10">
        <v>0</v>
      </c>
      <c r="D1208" s="10">
        <v>0</v>
      </c>
      <c r="E1208" s="10">
        <v>0</v>
      </c>
      <c r="F1208" s="10">
        <v>0</v>
      </c>
      <c r="G1208" s="10">
        <v>0</v>
      </c>
      <c r="H1208" s="10">
        <v>0</v>
      </c>
      <c r="I1208" s="10">
        <v>0</v>
      </c>
      <c r="J1208" s="10">
        <v>0</v>
      </c>
      <c r="K1208" s="10">
        <v>0</v>
      </c>
      <c r="L1208" s="10">
        <v>0</v>
      </c>
      <c r="M1208" s="10">
        <v>0</v>
      </c>
      <c r="N1208" s="10">
        <v>0</v>
      </c>
      <c r="O1208" s="10">
        <v>0</v>
      </c>
      <c r="P1208" s="10">
        <v>0</v>
      </c>
      <c r="Q1208" s="10">
        <v>0</v>
      </c>
      <c r="R1208" s="10">
        <v>0</v>
      </c>
      <c r="S1208" s="10">
        <v>0</v>
      </c>
    </row>
    <row r="1209">
      <c r="A1209" s="14" t="s">
        <v>433</v>
      </c>
      <c r="B1209" s="2" t="s">
        <v>399</v>
      </c>
      <c r="C1209" s="10">
        <v>0</v>
      </c>
      <c r="D1209" s="10">
        <v>0</v>
      </c>
      <c r="E1209" s="10">
        <v>0</v>
      </c>
      <c r="F1209" s="10">
        <v>0</v>
      </c>
      <c r="G1209" s="10">
        <v>0</v>
      </c>
      <c r="H1209" s="10">
        <v>0</v>
      </c>
      <c r="I1209" s="10">
        <v>0</v>
      </c>
      <c r="J1209" s="10">
        <v>0</v>
      </c>
      <c r="K1209" s="10">
        <v>0</v>
      </c>
      <c r="L1209" s="10">
        <v>0</v>
      </c>
      <c r="M1209" s="10">
        <v>0</v>
      </c>
      <c r="N1209" s="10">
        <v>0</v>
      </c>
      <c r="O1209" s="10">
        <v>0</v>
      </c>
      <c r="P1209" s="10">
        <v>0</v>
      </c>
      <c r="Q1209" s="10">
        <v>0</v>
      </c>
      <c r="R1209" s="10">
        <v>0</v>
      </c>
      <c r="S1209" s="10">
        <v>0</v>
      </c>
    </row>
    <row r="1210">
      <c r="A1210" s="14" t="s">
        <v>434</v>
      </c>
      <c r="B1210" s="2" t="s">
        <v>399</v>
      </c>
      <c r="C1210" s="10">
        <v>0</v>
      </c>
      <c r="D1210" s="10">
        <v>0</v>
      </c>
      <c r="E1210" s="10">
        <v>0</v>
      </c>
      <c r="F1210" s="10">
        <v>0</v>
      </c>
      <c r="G1210" s="10">
        <v>0</v>
      </c>
      <c r="H1210" s="10">
        <v>0</v>
      </c>
      <c r="I1210" s="10">
        <v>0</v>
      </c>
      <c r="J1210" s="10">
        <v>0</v>
      </c>
      <c r="K1210" s="10">
        <v>0</v>
      </c>
      <c r="L1210" s="10">
        <v>0</v>
      </c>
      <c r="M1210" s="10">
        <v>0</v>
      </c>
      <c r="N1210" s="10">
        <v>0</v>
      </c>
      <c r="O1210" s="10">
        <v>0</v>
      </c>
      <c r="P1210" s="10">
        <v>0</v>
      </c>
      <c r="Q1210" s="10">
        <v>0</v>
      </c>
      <c r="R1210" s="10">
        <v>0</v>
      </c>
      <c r="S1210" s="10">
        <v>0</v>
      </c>
    </row>
    <row r="1211">
      <c r="A1211" s="14" t="s">
        <v>435</v>
      </c>
      <c r="B1211" s="2" t="s">
        <v>399</v>
      </c>
      <c r="C1211" s="10">
        <v>0</v>
      </c>
      <c r="D1211" s="10">
        <v>0</v>
      </c>
      <c r="E1211" s="10">
        <v>0</v>
      </c>
      <c r="F1211" s="10">
        <v>0</v>
      </c>
      <c r="G1211" s="10">
        <v>0</v>
      </c>
      <c r="H1211" s="10">
        <v>0</v>
      </c>
      <c r="I1211" s="10">
        <v>0</v>
      </c>
      <c r="J1211" s="10">
        <v>0</v>
      </c>
      <c r="K1211" s="10">
        <v>0</v>
      </c>
      <c r="L1211" s="10">
        <v>0</v>
      </c>
      <c r="M1211" s="10">
        <v>0</v>
      </c>
      <c r="N1211" s="10">
        <v>0</v>
      </c>
      <c r="O1211" s="10">
        <v>0</v>
      </c>
      <c r="P1211" s="10">
        <v>0</v>
      </c>
      <c r="Q1211" s="10">
        <v>0</v>
      </c>
      <c r="R1211" s="10">
        <v>0</v>
      </c>
      <c r="S1211" s="10">
        <v>0</v>
      </c>
    </row>
    <row r="1212">
      <c r="A1212" s="14" t="s">
        <v>436</v>
      </c>
      <c r="B1212" s="2" t="s">
        <v>399</v>
      </c>
      <c r="C1212" s="10">
        <v>0</v>
      </c>
      <c r="D1212" s="10">
        <v>0</v>
      </c>
      <c r="E1212" s="10">
        <v>0</v>
      </c>
      <c r="F1212" s="10">
        <v>0</v>
      </c>
      <c r="G1212" s="10">
        <v>0</v>
      </c>
      <c r="H1212" s="10">
        <v>0</v>
      </c>
      <c r="I1212" s="10">
        <v>0</v>
      </c>
      <c r="J1212" s="10">
        <v>0</v>
      </c>
      <c r="K1212" s="10">
        <v>0</v>
      </c>
      <c r="L1212" s="10">
        <v>0</v>
      </c>
      <c r="M1212" s="10">
        <v>0</v>
      </c>
      <c r="N1212" s="10">
        <v>0</v>
      </c>
      <c r="O1212" s="10">
        <v>0</v>
      </c>
      <c r="P1212" s="10">
        <v>0</v>
      </c>
      <c r="Q1212" s="10">
        <v>0</v>
      </c>
      <c r="R1212" s="10">
        <v>0</v>
      </c>
      <c r="S1212" s="10">
        <v>0</v>
      </c>
    </row>
    <row r="1213">
      <c r="A1213" s="14" t="s">
        <v>437</v>
      </c>
      <c r="B1213" s="2" t="s">
        <v>399</v>
      </c>
      <c r="C1213" s="10">
        <v>0</v>
      </c>
      <c r="D1213" s="10">
        <v>0</v>
      </c>
      <c r="E1213" s="10">
        <v>0</v>
      </c>
      <c r="F1213" s="10">
        <v>0</v>
      </c>
      <c r="G1213" s="10">
        <v>0</v>
      </c>
      <c r="H1213" s="10">
        <v>0</v>
      </c>
      <c r="I1213" s="10">
        <v>0</v>
      </c>
      <c r="J1213" s="10">
        <v>0</v>
      </c>
      <c r="K1213" s="10">
        <v>0</v>
      </c>
      <c r="L1213" s="10">
        <v>0</v>
      </c>
      <c r="M1213" s="10">
        <v>0</v>
      </c>
      <c r="N1213" s="10">
        <v>0</v>
      </c>
      <c r="O1213" s="10">
        <v>0</v>
      </c>
      <c r="P1213" s="10">
        <v>0</v>
      </c>
      <c r="Q1213" s="10">
        <v>0</v>
      </c>
      <c r="R1213" s="10">
        <v>0</v>
      </c>
      <c r="S1213" s="10">
        <v>0</v>
      </c>
    </row>
    <row r="1214">
      <c r="A1214" s="14" t="s">
        <v>438</v>
      </c>
      <c r="B1214" s="2" t="s">
        <v>399</v>
      </c>
      <c r="C1214" s="10">
        <v>0</v>
      </c>
      <c r="D1214" s="10">
        <v>0</v>
      </c>
      <c r="E1214" s="10">
        <v>0</v>
      </c>
      <c r="F1214" s="10">
        <v>0</v>
      </c>
      <c r="G1214" s="10">
        <v>0</v>
      </c>
      <c r="H1214" s="10">
        <v>0</v>
      </c>
      <c r="I1214" s="10">
        <v>0</v>
      </c>
      <c r="J1214" s="10">
        <v>0</v>
      </c>
      <c r="K1214" s="10">
        <v>0</v>
      </c>
      <c r="L1214" s="10">
        <v>0</v>
      </c>
      <c r="M1214" s="10">
        <v>0</v>
      </c>
      <c r="N1214" s="10">
        <v>0</v>
      </c>
      <c r="O1214" s="10">
        <v>0</v>
      </c>
      <c r="P1214" s="10">
        <v>0</v>
      </c>
      <c r="Q1214" s="10">
        <v>0</v>
      </c>
      <c r="R1214" s="10">
        <v>0</v>
      </c>
      <c r="S1214" s="10">
        <v>0</v>
      </c>
    </row>
    <row r="1215">
      <c r="A1215" s="14" t="s">
        <v>439</v>
      </c>
      <c r="B1215" s="2" t="s">
        <v>399</v>
      </c>
      <c r="C1215" s="10">
        <v>0</v>
      </c>
      <c r="D1215" s="10">
        <v>0</v>
      </c>
      <c r="E1215" s="10">
        <v>0</v>
      </c>
      <c r="F1215" s="10">
        <v>0</v>
      </c>
      <c r="G1215" s="10">
        <v>0</v>
      </c>
      <c r="H1215" s="10">
        <v>0</v>
      </c>
      <c r="I1215" s="10">
        <v>0</v>
      </c>
      <c r="J1215" s="10">
        <v>0</v>
      </c>
      <c r="K1215" s="10">
        <v>0</v>
      </c>
      <c r="L1215" s="10">
        <v>0</v>
      </c>
      <c r="M1215" s="10">
        <v>0</v>
      </c>
      <c r="N1215" s="10">
        <v>0</v>
      </c>
      <c r="O1215" s="10">
        <v>0</v>
      </c>
      <c r="P1215" s="10">
        <v>0</v>
      </c>
      <c r="Q1215" s="10">
        <v>0</v>
      </c>
      <c r="R1215" s="10">
        <v>0</v>
      </c>
      <c r="S1215" s="10">
        <v>0</v>
      </c>
    </row>
    <row r="1216">
      <c r="A1216" s="14" t="s">
        <v>440</v>
      </c>
      <c r="B1216" s="2" t="s">
        <v>399</v>
      </c>
      <c r="C1216" s="10">
        <v>0</v>
      </c>
      <c r="D1216" s="10">
        <v>0</v>
      </c>
      <c r="E1216" s="10">
        <v>0</v>
      </c>
      <c r="F1216" s="10">
        <v>0</v>
      </c>
      <c r="G1216" s="10">
        <v>0</v>
      </c>
      <c r="H1216" s="10">
        <v>0</v>
      </c>
      <c r="I1216" s="10">
        <v>0</v>
      </c>
      <c r="J1216" s="10">
        <v>0</v>
      </c>
      <c r="K1216" s="10">
        <v>0</v>
      </c>
      <c r="L1216" s="10">
        <v>0</v>
      </c>
      <c r="M1216" s="10">
        <v>0</v>
      </c>
      <c r="N1216" s="10">
        <v>0</v>
      </c>
      <c r="O1216" s="10">
        <v>0</v>
      </c>
      <c r="P1216" s="10">
        <v>0</v>
      </c>
      <c r="Q1216" s="10">
        <v>0</v>
      </c>
      <c r="R1216" s="10">
        <v>0</v>
      </c>
      <c r="S1216" s="10">
        <v>0</v>
      </c>
    </row>
    <row r="1217">
      <c r="A1217" s="14" t="s">
        <v>441</v>
      </c>
      <c r="B1217" s="2" t="s">
        <v>399</v>
      </c>
      <c r="C1217" s="10">
        <v>0</v>
      </c>
      <c r="D1217" s="10">
        <v>0</v>
      </c>
      <c r="E1217" s="10">
        <v>0</v>
      </c>
      <c r="F1217" s="10">
        <v>0</v>
      </c>
      <c r="G1217" s="10">
        <v>0</v>
      </c>
      <c r="H1217" s="10">
        <v>0</v>
      </c>
      <c r="I1217" s="10">
        <v>0</v>
      </c>
      <c r="J1217" s="10">
        <v>0</v>
      </c>
      <c r="K1217" s="10">
        <v>0</v>
      </c>
      <c r="L1217" s="10">
        <v>0</v>
      </c>
      <c r="M1217" s="10">
        <v>0</v>
      </c>
      <c r="N1217" s="10">
        <v>0</v>
      </c>
      <c r="O1217" s="10">
        <v>0</v>
      </c>
      <c r="P1217" s="10">
        <v>0</v>
      </c>
      <c r="Q1217" s="10">
        <v>0</v>
      </c>
      <c r="R1217" s="10">
        <v>0</v>
      </c>
      <c r="S1217" s="10">
        <v>0</v>
      </c>
    </row>
    <row r="1218">
      <c r="A1218" s="14" t="s">
        <v>442</v>
      </c>
      <c r="B1218" s="2" t="s">
        <v>399</v>
      </c>
      <c r="C1218" s="10">
        <v>0</v>
      </c>
      <c r="D1218" s="10">
        <v>0</v>
      </c>
      <c r="E1218" s="10">
        <v>0</v>
      </c>
      <c r="F1218" s="10">
        <v>0</v>
      </c>
      <c r="G1218" s="10">
        <v>0</v>
      </c>
      <c r="H1218" s="10">
        <v>0</v>
      </c>
      <c r="I1218" s="10">
        <v>0</v>
      </c>
      <c r="J1218" s="10">
        <v>0</v>
      </c>
      <c r="K1218" s="10">
        <v>0</v>
      </c>
      <c r="L1218" s="10">
        <v>0</v>
      </c>
      <c r="M1218" s="10">
        <v>0</v>
      </c>
      <c r="N1218" s="10">
        <v>0</v>
      </c>
      <c r="O1218" s="10">
        <v>0</v>
      </c>
      <c r="P1218" s="10">
        <v>0</v>
      </c>
      <c r="Q1218" s="10">
        <v>0</v>
      </c>
      <c r="R1218" s="10">
        <v>0</v>
      </c>
      <c r="S1218" s="10">
        <v>0</v>
      </c>
    </row>
    <row r="1219">
      <c r="A1219" s="14" t="s">
        <v>443</v>
      </c>
      <c r="B1219" s="2" t="s">
        <v>399</v>
      </c>
      <c r="C1219" s="10">
        <v>0</v>
      </c>
      <c r="D1219" s="10">
        <v>0</v>
      </c>
      <c r="E1219" s="10">
        <v>0</v>
      </c>
      <c r="F1219" s="10">
        <v>0</v>
      </c>
      <c r="G1219" s="10">
        <v>0</v>
      </c>
      <c r="H1219" s="10">
        <v>0</v>
      </c>
      <c r="I1219" s="10">
        <v>0</v>
      </c>
      <c r="J1219" s="10">
        <v>0</v>
      </c>
      <c r="K1219" s="10">
        <v>0</v>
      </c>
      <c r="L1219" s="10">
        <v>0</v>
      </c>
      <c r="M1219" s="10">
        <v>0</v>
      </c>
      <c r="N1219" s="10">
        <v>0</v>
      </c>
      <c r="O1219" s="10">
        <v>0</v>
      </c>
      <c r="P1219" s="10">
        <v>0</v>
      </c>
      <c r="Q1219" s="10">
        <v>0</v>
      </c>
      <c r="R1219" s="10">
        <v>0</v>
      </c>
      <c r="S1219" s="10">
        <v>0</v>
      </c>
    </row>
    <row r="1220">
      <c r="A1220" s="14" t="s">
        <v>444</v>
      </c>
      <c r="B1220" s="2" t="s">
        <v>399</v>
      </c>
      <c r="C1220" s="10">
        <v>0</v>
      </c>
      <c r="D1220" s="10">
        <v>0</v>
      </c>
      <c r="E1220" s="10">
        <v>0</v>
      </c>
      <c r="F1220" s="10">
        <v>0</v>
      </c>
      <c r="G1220" s="10">
        <v>0</v>
      </c>
      <c r="H1220" s="10">
        <v>0</v>
      </c>
      <c r="I1220" s="10">
        <v>0</v>
      </c>
      <c r="J1220" s="10">
        <v>0</v>
      </c>
      <c r="K1220" s="10">
        <v>0</v>
      </c>
      <c r="L1220" s="10">
        <v>0</v>
      </c>
      <c r="M1220" s="10">
        <v>0</v>
      </c>
      <c r="N1220" s="10">
        <v>0</v>
      </c>
      <c r="O1220" s="10">
        <v>0</v>
      </c>
      <c r="P1220" s="10">
        <v>0</v>
      </c>
      <c r="Q1220" s="10">
        <v>0</v>
      </c>
      <c r="R1220" s="10">
        <v>0</v>
      </c>
      <c r="S1220" s="10">
        <v>0</v>
      </c>
    </row>
    <row r="1229">
      <c r="A1229" s="4" t="s">
        <v>460</v>
      </c>
      <c r="B1229" s="3" t="s">
        <v>366</v>
      </c>
      <c r="C1229" s="3" t="s">
        <v>41</v>
      </c>
      <c r="D1229" s="3" t="s">
        <v>42</v>
      </c>
      <c r="E1229" s="3" t="s">
        <v>43</v>
      </c>
      <c r="F1229" s="3" t="s">
        <v>44</v>
      </c>
      <c r="G1229" s="3" t="s">
        <v>45</v>
      </c>
      <c r="H1229" s="3" t="s">
        <v>46</v>
      </c>
      <c r="I1229" s="3" t="s">
        <v>47</v>
      </c>
      <c r="J1229" s="3" t="s">
        <v>48</v>
      </c>
      <c r="K1229" s="3" t="s">
        <v>49</v>
      </c>
      <c r="L1229" s="3" t="s">
        <v>50</v>
      </c>
      <c r="M1229" s="3" t="s">
        <v>51</v>
      </c>
      <c r="N1229" s="3" t="s">
        <v>52</v>
      </c>
      <c r="O1229" s="3" t="s">
        <v>53</v>
      </c>
      <c r="P1229" s="3" t="s">
        <v>54</v>
      </c>
      <c r="Q1229" s="3" t="s">
        <v>55</v>
      </c>
      <c r="R1229" s="3" t="s">
        <v>56</v>
      </c>
      <c r="S1229" s="3" t="s">
        <v>85</v>
      </c>
    </row>
    <row r="1230">
      <c r="A1230" s="14" t="s">
        <v>367</v>
      </c>
      <c r="B1230" s="2" t="s">
        <v>368</v>
      </c>
      <c r="C1230" s="22">
        <f>IF(C822&gt;=0.9,1,0)</f>
        <v>0</v>
      </c>
      <c r="D1230" s="22">
        <f>IF(D822&gt;=0.9,1,0)</f>
        <v>0</v>
      </c>
      <c r="E1230" s="22">
        <f>IF(E822&gt;=0.9,1,0)</f>
        <v>0</v>
      </c>
      <c r="F1230" s="22">
        <f>IF(F822&gt;=0.9,1,0)</f>
        <v>0</v>
      </c>
      <c r="G1230" s="22">
        <f>IF(G822&gt;=0.9,1,0)</f>
        <v>0</v>
      </c>
      <c r="H1230" s="22">
        <f>IF(H822&gt;=0.9,1,0)</f>
        <v>0</v>
      </c>
      <c r="I1230" s="22">
        <f>IF(I822&gt;=0.9,1,0)</f>
        <v>0</v>
      </c>
      <c r="J1230" s="22">
        <f>IF(J822&gt;=0.9,1,0)</f>
        <v>0</v>
      </c>
      <c r="K1230" s="22">
        <f>IF(K822&gt;=0.9,1,0)</f>
        <v>0</v>
      </c>
      <c r="L1230" s="22">
        <f>IF(L822&gt;=0.9,1,0)</f>
        <v>0</v>
      </c>
      <c r="M1230" s="22">
        <f>IF(M822&gt;=0.9,1,0)</f>
        <v>0</v>
      </c>
      <c r="N1230" s="22">
        <f>IF(N822&gt;=0.9,1,0)</f>
        <v>0</v>
      </c>
      <c r="O1230" s="22">
        <f>IF(O822&gt;=0.9,1,0)</f>
        <v>0</v>
      </c>
      <c r="P1230" s="22">
        <f>IF(P822&gt;=0.9,1,0)</f>
        <v>0</v>
      </c>
      <c r="Q1230" s="22">
        <f>IF(Q822&gt;=0.9,1,0)</f>
        <v>0</v>
      </c>
      <c r="R1230" s="22">
        <f>IF(R822&gt;=0.9,1,0)</f>
        <v>0</v>
      </c>
      <c r="S1230" s="22">
        <f>IF(S822&gt;=0.9,1,0)</f>
        <v>0</v>
      </c>
    </row>
    <row r="1231">
      <c r="A1231" s="14" t="s">
        <v>96</v>
      </c>
      <c r="B1231" s="2" t="s">
        <v>368</v>
      </c>
      <c r="C1231" s="22">
        <f>IF(C823&gt;=0.9,1,0)</f>
        <v>1</v>
      </c>
      <c r="D1231" s="22">
        <f>IF(D823&gt;=0.9,1,0)</f>
        <v>1</v>
      </c>
      <c r="E1231" s="22">
        <f>IF(E823&gt;=0.9,1,0)</f>
        <v>1</v>
      </c>
      <c r="F1231" s="22">
        <f>IF(F823&gt;=0.9,1,0)</f>
        <v>1</v>
      </c>
      <c r="G1231" s="22">
        <f>IF(G823&gt;=0.9,1,0)</f>
        <v>1</v>
      </c>
      <c r="H1231" s="22">
        <f>IF(H823&gt;=0.9,1,0)</f>
        <v>1</v>
      </c>
      <c r="I1231" s="22">
        <f>IF(I823&gt;=0.9,1,0)</f>
        <v>1</v>
      </c>
      <c r="J1231" s="22">
        <f>IF(J823&gt;=0.9,1,0)</f>
        <v>1</v>
      </c>
      <c r="K1231" s="22">
        <f>IF(K823&gt;=0.9,1,0)</f>
        <v>1</v>
      </c>
      <c r="L1231" s="22">
        <f>IF(L823&gt;=0.9,1,0)</f>
        <v>1</v>
      </c>
      <c r="M1231" s="22">
        <f>IF(M823&gt;=0.9,1,0)</f>
        <v>1</v>
      </c>
      <c r="N1231" s="22">
        <f>IF(N823&gt;=0.9,1,0)</f>
        <v>1</v>
      </c>
      <c r="O1231" s="22">
        <f>IF(O823&gt;=0.9,1,0)</f>
        <v>1</v>
      </c>
      <c r="P1231" s="22">
        <f>IF(P823&gt;=0.9,1,0)</f>
        <v>1</v>
      </c>
      <c r="Q1231" s="22">
        <f>IF(Q823&gt;=0.9,1,0)</f>
        <v>1</v>
      </c>
      <c r="R1231" s="22">
        <f>IF(R823&gt;=0.9,1,0)</f>
        <v>1</v>
      </c>
      <c r="S1231" s="22">
        <f>IF(S823&gt;=0.9,1,0)</f>
        <v>1</v>
      </c>
    </row>
    <row r="1232">
      <c r="A1232" s="14" t="s">
        <v>369</v>
      </c>
      <c r="B1232" s="2" t="s">
        <v>368</v>
      </c>
      <c r="C1232" s="22">
        <f>IF(C824&gt;=0.9,1,0)</f>
        <v>0</v>
      </c>
      <c r="D1232" s="22">
        <f>IF(D824&gt;=0.9,1,0)</f>
        <v>0</v>
      </c>
      <c r="E1232" s="22">
        <f>IF(E824&gt;=0.9,1,0)</f>
        <v>0</v>
      </c>
      <c r="F1232" s="22">
        <f>IF(F824&gt;=0.9,1,0)</f>
        <v>0</v>
      </c>
      <c r="G1232" s="22">
        <f>IF(G824&gt;=0.9,1,0)</f>
        <v>0</v>
      </c>
      <c r="H1232" s="22">
        <f>IF(H824&gt;=0.9,1,0)</f>
        <v>0</v>
      </c>
      <c r="I1232" s="22">
        <f>IF(I824&gt;=0.9,1,0)</f>
        <v>0</v>
      </c>
      <c r="J1232" s="22">
        <f>IF(J824&gt;=0.9,1,0)</f>
        <v>0</v>
      </c>
      <c r="K1232" s="22">
        <f>IF(K824&gt;=0.9,1,0)</f>
        <v>0</v>
      </c>
      <c r="L1232" s="22">
        <f>IF(L824&gt;=0.9,1,0)</f>
        <v>0</v>
      </c>
      <c r="M1232" s="22">
        <f>IF(M824&gt;=0.9,1,0)</f>
        <v>0</v>
      </c>
      <c r="N1232" s="22">
        <f>IF(N824&gt;=0.9,1,0)</f>
        <v>0</v>
      </c>
      <c r="O1232" s="22">
        <f>IF(O824&gt;=0.9,1,0)</f>
        <v>0</v>
      </c>
      <c r="P1232" s="22">
        <f>IF(P824&gt;=0.9,1,0)</f>
        <v>0</v>
      </c>
      <c r="Q1232" s="22">
        <f>IF(Q824&gt;=0.9,1,0)</f>
        <v>0</v>
      </c>
      <c r="R1232" s="22">
        <f>IF(R824&gt;=0.9,1,0)</f>
        <v>0</v>
      </c>
      <c r="S1232" s="22">
        <f>IF(S824&gt;=0.9,1,0)</f>
        <v>0</v>
      </c>
    </row>
    <row r="1233">
      <c r="A1233" s="14" t="s">
        <v>370</v>
      </c>
      <c r="B1233" s="2" t="s">
        <v>368</v>
      </c>
      <c r="C1233" s="22">
        <f>IF(C825&gt;=0.9,1,0)</f>
        <v>0</v>
      </c>
      <c r="D1233" s="22">
        <f>IF(D825&gt;=0.9,1,0)</f>
        <v>0</v>
      </c>
      <c r="E1233" s="22">
        <f>IF(E825&gt;=0.9,1,0)</f>
        <v>0</v>
      </c>
      <c r="F1233" s="22">
        <f>IF(F825&gt;=0.9,1,0)</f>
        <v>0</v>
      </c>
      <c r="G1233" s="22">
        <f>IF(G825&gt;=0.9,1,0)</f>
        <v>0</v>
      </c>
      <c r="H1233" s="22">
        <f>IF(H825&gt;=0.9,1,0)</f>
        <v>0</v>
      </c>
      <c r="I1233" s="22">
        <f>IF(I825&gt;=0.9,1,0)</f>
        <v>0</v>
      </c>
      <c r="J1233" s="22">
        <f>IF(J825&gt;=0.9,1,0)</f>
        <v>0</v>
      </c>
      <c r="K1233" s="22">
        <f>IF(K825&gt;=0.9,1,0)</f>
        <v>0</v>
      </c>
      <c r="L1233" s="22">
        <f>IF(L825&gt;=0.9,1,0)</f>
        <v>0</v>
      </c>
      <c r="M1233" s="22">
        <f>IF(M825&gt;=0.9,1,0)</f>
        <v>0</v>
      </c>
      <c r="N1233" s="22">
        <f>IF(N825&gt;=0.9,1,0)</f>
        <v>0</v>
      </c>
      <c r="O1233" s="22">
        <f>IF(O825&gt;=0.9,1,0)</f>
        <v>0</v>
      </c>
      <c r="P1233" s="22">
        <f>IF(P825&gt;=0.9,1,0)</f>
        <v>0</v>
      </c>
      <c r="Q1233" s="22">
        <f>IF(Q825&gt;=0.9,1,0)</f>
        <v>0</v>
      </c>
      <c r="R1233" s="22">
        <f>IF(R825&gt;=0.9,1,0)</f>
        <v>0</v>
      </c>
      <c r="S1233" s="22">
        <f>IF(S825&gt;=0.9,1,0)</f>
        <v>0</v>
      </c>
    </row>
    <row r="1234">
      <c r="A1234" s="14" t="s">
        <v>371</v>
      </c>
      <c r="B1234" s="2" t="s">
        <v>368</v>
      </c>
      <c r="C1234" s="22">
        <f>IF(C826&gt;=0.9,1,0)</f>
        <v>0</v>
      </c>
      <c r="D1234" s="22">
        <f>IF(D826&gt;=0.9,1,0)</f>
        <v>0</v>
      </c>
      <c r="E1234" s="22">
        <f>IF(E826&gt;=0.9,1,0)</f>
        <v>0</v>
      </c>
      <c r="F1234" s="22">
        <f>IF(F826&gt;=0.9,1,0)</f>
        <v>0</v>
      </c>
      <c r="G1234" s="22">
        <f>IF(G826&gt;=0.9,1,0)</f>
        <v>0</v>
      </c>
      <c r="H1234" s="22">
        <f>IF(H826&gt;=0.9,1,0)</f>
        <v>0</v>
      </c>
      <c r="I1234" s="22">
        <f>IF(I826&gt;=0.9,1,0)</f>
        <v>0</v>
      </c>
      <c r="J1234" s="22">
        <f>IF(J826&gt;=0.9,1,0)</f>
        <v>1</v>
      </c>
      <c r="K1234" s="22">
        <f>IF(K826&gt;=0.9,1,0)</f>
        <v>0</v>
      </c>
      <c r="L1234" s="22">
        <f>IF(L826&gt;=0.9,1,0)</f>
        <v>0</v>
      </c>
      <c r="M1234" s="22">
        <f>IF(M826&gt;=0.9,1,0)</f>
        <v>0</v>
      </c>
      <c r="N1234" s="22">
        <f>IF(N826&gt;=0.9,1,0)</f>
        <v>0</v>
      </c>
      <c r="O1234" s="22">
        <f>IF(O826&gt;=0.9,1,0)</f>
        <v>0</v>
      </c>
      <c r="P1234" s="22">
        <f>IF(P826&gt;=0.9,1,0)</f>
        <v>0</v>
      </c>
      <c r="Q1234" s="22">
        <f>IF(Q826&gt;=0.9,1,0)</f>
        <v>0</v>
      </c>
      <c r="R1234" s="22">
        <f>IF(R826&gt;=0.9,1,0)</f>
        <v>0</v>
      </c>
      <c r="S1234" s="22">
        <f>IF(S826&gt;=0.9,1,0)</f>
        <v>0</v>
      </c>
    </row>
    <row r="1235">
      <c r="A1235" s="14" t="s">
        <v>372</v>
      </c>
      <c r="B1235" s="2" t="s">
        <v>368</v>
      </c>
      <c r="C1235" s="22">
        <f>IF(C827&gt;=0.9,1,0)</f>
        <v>0</v>
      </c>
      <c r="D1235" s="22">
        <f>IF(D827&gt;=0.9,1,0)</f>
        <v>0</v>
      </c>
      <c r="E1235" s="22">
        <f>IF(E827&gt;=0.9,1,0)</f>
        <v>0</v>
      </c>
      <c r="F1235" s="22">
        <f>IF(F827&gt;=0.9,1,0)</f>
        <v>0</v>
      </c>
      <c r="G1235" s="22">
        <f>IF(G827&gt;=0.9,1,0)</f>
        <v>0</v>
      </c>
      <c r="H1235" s="22">
        <f>IF(H827&gt;=0.9,1,0)</f>
        <v>0</v>
      </c>
      <c r="I1235" s="22">
        <f>IF(I827&gt;=0.9,1,0)</f>
        <v>0</v>
      </c>
      <c r="J1235" s="22">
        <f>IF(J827&gt;=0.9,1,0)</f>
        <v>0</v>
      </c>
      <c r="K1235" s="22">
        <f>IF(K827&gt;=0.9,1,0)</f>
        <v>0</v>
      </c>
      <c r="L1235" s="22">
        <f>IF(L827&gt;=0.9,1,0)</f>
        <v>0</v>
      </c>
      <c r="M1235" s="22">
        <f>IF(M827&gt;=0.9,1,0)</f>
        <v>0</v>
      </c>
      <c r="N1235" s="22">
        <f>IF(N827&gt;=0.9,1,0)</f>
        <v>0</v>
      </c>
      <c r="O1235" s="22">
        <f>IF(O827&gt;=0.9,1,0)</f>
        <v>0</v>
      </c>
      <c r="P1235" s="22">
        <f>IF(P827&gt;=0.9,1,0)</f>
        <v>0</v>
      </c>
      <c r="Q1235" s="22">
        <f>IF(Q827&gt;=0.9,1,0)</f>
        <v>0</v>
      </c>
      <c r="R1235" s="22">
        <f>IF(R827&gt;=0.9,1,0)</f>
        <v>0</v>
      </c>
      <c r="S1235" s="22">
        <f>IF(S827&gt;=0.9,1,0)</f>
        <v>0</v>
      </c>
    </row>
    <row r="1236">
      <c r="A1236" s="14" t="s">
        <v>373</v>
      </c>
      <c r="B1236" s="2" t="s">
        <v>368</v>
      </c>
      <c r="C1236" s="22">
        <f>IF(C828&gt;=0.9,1,0)</f>
        <v>0</v>
      </c>
      <c r="D1236" s="22">
        <f>IF(D828&gt;=0.9,1,0)</f>
        <v>0</v>
      </c>
      <c r="E1236" s="22">
        <f>IF(E828&gt;=0.9,1,0)</f>
        <v>0</v>
      </c>
      <c r="F1236" s="22">
        <f>IF(F828&gt;=0.9,1,0)</f>
        <v>0</v>
      </c>
      <c r="G1236" s="22">
        <f>IF(G828&gt;=0.9,1,0)</f>
        <v>0</v>
      </c>
      <c r="H1236" s="22">
        <f>IF(H828&gt;=0.9,1,0)</f>
        <v>0</v>
      </c>
      <c r="I1236" s="22">
        <f>IF(I828&gt;=0.9,1,0)</f>
        <v>0</v>
      </c>
      <c r="J1236" s="22">
        <f>IF(J828&gt;=0.9,1,0)</f>
        <v>0</v>
      </c>
      <c r="K1236" s="22">
        <f>IF(K828&gt;=0.9,1,0)</f>
        <v>0</v>
      </c>
      <c r="L1236" s="22">
        <f>IF(L828&gt;=0.9,1,0)</f>
        <v>0</v>
      </c>
      <c r="M1236" s="22">
        <f>IF(M828&gt;=0.9,1,0)</f>
        <v>0</v>
      </c>
      <c r="N1236" s="22">
        <f>IF(N828&gt;=0.9,1,0)</f>
        <v>0</v>
      </c>
      <c r="O1236" s="22">
        <f>IF(O828&gt;=0.9,1,0)</f>
        <v>0</v>
      </c>
      <c r="P1236" s="22">
        <f>IF(P828&gt;=0.9,1,0)</f>
        <v>0</v>
      </c>
      <c r="Q1236" s="22">
        <f>IF(Q828&gt;=0.9,1,0)</f>
        <v>0</v>
      </c>
      <c r="R1236" s="22">
        <f>IF(R828&gt;=0.9,1,0)</f>
        <v>0</v>
      </c>
      <c r="S1236" s="22">
        <f>IF(S828&gt;=0.9,1,0)</f>
        <v>0</v>
      </c>
    </row>
    <row r="1237">
      <c r="A1237" s="14" t="s">
        <v>102</v>
      </c>
      <c r="B1237" s="2" t="s">
        <v>368</v>
      </c>
      <c r="C1237" s="22">
        <f>IF(C829&gt;=0.9,1,0)</f>
        <v>0</v>
      </c>
      <c r="D1237" s="22">
        <f>IF(D829&gt;=0.9,1,0)</f>
        <v>0</v>
      </c>
      <c r="E1237" s="22">
        <f>IF(E829&gt;=0.9,1,0)</f>
        <v>0</v>
      </c>
      <c r="F1237" s="22">
        <f>IF(F829&gt;=0.9,1,0)</f>
        <v>0</v>
      </c>
      <c r="G1237" s="22">
        <f>IF(G829&gt;=0.9,1,0)</f>
        <v>0</v>
      </c>
      <c r="H1237" s="22">
        <f>IF(H829&gt;=0.9,1,0)</f>
        <v>0</v>
      </c>
      <c r="I1237" s="22">
        <f>IF(I829&gt;=0.9,1,0)</f>
        <v>0</v>
      </c>
      <c r="J1237" s="22">
        <f>IF(J829&gt;=0.9,1,0)</f>
        <v>0</v>
      </c>
      <c r="K1237" s="22">
        <f>IF(K829&gt;=0.9,1,0)</f>
        <v>0</v>
      </c>
      <c r="L1237" s="22">
        <f>IF(L829&gt;=0.9,1,0)</f>
        <v>0</v>
      </c>
      <c r="M1237" s="22">
        <f>IF(M829&gt;=0.9,1,0)</f>
        <v>0</v>
      </c>
      <c r="N1237" s="22">
        <f>IF(N829&gt;=0.9,1,0)</f>
        <v>0</v>
      </c>
      <c r="O1237" s="22">
        <f>IF(O829&gt;=0.9,1,0)</f>
        <v>0</v>
      </c>
      <c r="P1237" s="22">
        <f>IF(P829&gt;=0.9,1,0)</f>
        <v>0</v>
      </c>
      <c r="Q1237" s="22">
        <f>IF(Q829&gt;=0.9,1,0)</f>
        <v>0</v>
      </c>
      <c r="R1237" s="22">
        <f>IF(R829&gt;=0.9,1,0)</f>
        <v>0</v>
      </c>
      <c r="S1237" s="22">
        <f>IF(S829&gt;=0.9,1,0)</f>
        <v>0</v>
      </c>
    </row>
    <row r="1238">
      <c r="A1238" s="14" t="s">
        <v>374</v>
      </c>
      <c r="B1238" s="2" t="s">
        <v>368</v>
      </c>
      <c r="C1238" s="22">
        <f>IF(C830&gt;=0.9,1,0)</f>
        <v>0</v>
      </c>
      <c r="D1238" s="22">
        <f>IF(D830&gt;=0.9,1,0)</f>
        <v>0</v>
      </c>
      <c r="E1238" s="22">
        <f>IF(E830&gt;=0.9,1,0)</f>
        <v>0</v>
      </c>
      <c r="F1238" s="22">
        <f>IF(F830&gt;=0.9,1,0)</f>
        <v>0</v>
      </c>
      <c r="G1238" s="22">
        <f>IF(G830&gt;=0.9,1,0)</f>
        <v>0</v>
      </c>
      <c r="H1238" s="22">
        <f>IF(H830&gt;=0.9,1,0)</f>
        <v>0</v>
      </c>
      <c r="I1238" s="22">
        <f>IF(I830&gt;=0.9,1,0)</f>
        <v>0</v>
      </c>
      <c r="J1238" s="22">
        <f>IF(J830&gt;=0.9,1,0)</f>
        <v>0</v>
      </c>
      <c r="K1238" s="22">
        <f>IF(K830&gt;=0.9,1,0)</f>
        <v>0</v>
      </c>
      <c r="L1238" s="22">
        <f>IF(L830&gt;=0.9,1,0)</f>
        <v>0</v>
      </c>
      <c r="M1238" s="22">
        <f>IF(M830&gt;=0.9,1,0)</f>
        <v>0</v>
      </c>
      <c r="N1238" s="22">
        <f>IF(N830&gt;=0.9,1,0)</f>
        <v>0</v>
      </c>
      <c r="O1238" s="22">
        <f>IF(O830&gt;=0.9,1,0)</f>
        <v>0</v>
      </c>
      <c r="P1238" s="22">
        <f>IF(P830&gt;=0.9,1,0)</f>
        <v>0</v>
      </c>
      <c r="Q1238" s="22">
        <f>IF(Q830&gt;=0.9,1,0)</f>
        <v>0</v>
      </c>
      <c r="R1238" s="22">
        <f>IF(R830&gt;=0.9,1,0)</f>
        <v>0</v>
      </c>
      <c r="S1238" s="22">
        <f>IF(S830&gt;=0.9,1,0)</f>
        <v>0</v>
      </c>
    </row>
    <row r="1239">
      <c r="A1239" s="14" t="s">
        <v>375</v>
      </c>
      <c r="B1239" s="2" t="s">
        <v>368</v>
      </c>
      <c r="C1239" s="22">
        <f>IF(C831&gt;=0.9,1,0)</f>
        <v>0</v>
      </c>
      <c r="D1239" s="22">
        <f>IF(D831&gt;=0.9,1,0)</f>
        <v>0</v>
      </c>
      <c r="E1239" s="22">
        <f>IF(E831&gt;=0.9,1,0)</f>
        <v>0</v>
      </c>
      <c r="F1239" s="22">
        <f>IF(F831&gt;=0.9,1,0)</f>
        <v>0</v>
      </c>
      <c r="G1239" s="22">
        <f>IF(G831&gt;=0.9,1,0)</f>
        <v>0</v>
      </c>
      <c r="H1239" s="22">
        <f>IF(H831&gt;=0.9,1,0)</f>
        <v>0</v>
      </c>
      <c r="I1239" s="22">
        <f>IF(I831&gt;=0.9,1,0)</f>
        <v>0</v>
      </c>
      <c r="J1239" s="22">
        <f>IF(J831&gt;=0.9,1,0)</f>
        <v>0</v>
      </c>
      <c r="K1239" s="22">
        <f>IF(K831&gt;=0.9,1,0)</f>
        <v>0</v>
      </c>
      <c r="L1239" s="22">
        <f>IF(L831&gt;=0.9,1,0)</f>
        <v>0</v>
      </c>
      <c r="M1239" s="22">
        <f>IF(M831&gt;=0.9,1,0)</f>
        <v>0</v>
      </c>
      <c r="N1239" s="22">
        <f>IF(N831&gt;=0.9,1,0)</f>
        <v>0</v>
      </c>
      <c r="O1239" s="22">
        <f>IF(O831&gt;=0.9,1,0)</f>
        <v>0</v>
      </c>
      <c r="P1239" s="22">
        <f>IF(P831&gt;=0.9,1,0)</f>
        <v>0</v>
      </c>
      <c r="Q1239" s="22">
        <f>IF(Q831&gt;=0.9,1,0)</f>
        <v>0</v>
      </c>
      <c r="R1239" s="22">
        <f>IF(R831&gt;=0.9,1,0)</f>
        <v>0</v>
      </c>
      <c r="S1239" s="22">
        <f>IF(S831&gt;=0.9,1,0)</f>
        <v>0</v>
      </c>
    </row>
    <row r="1240">
      <c r="A1240" s="14" t="s">
        <v>105</v>
      </c>
      <c r="B1240" s="2" t="s">
        <v>368</v>
      </c>
      <c r="C1240" s="22">
        <f>IF(C832&gt;=0.9,1,0)</f>
        <v>0</v>
      </c>
      <c r="D1240" s="22">
        <f>IF(D832&gt;=0.9,1,0)</f>
        <v>0</v>
      </c>
      <c r="E1240" s="22">
        <f>IF(E832&gt;=0.9,1,0)</f>
        <v>0</v>
      </c>
      <c r="F1240" s="22">
        <f>IF(F832&gt;=0.9,1,0)</f>
        <v>0</v>
      </c>
      <c r="G1240" s="22">
        <f>IF(G832&gt;=0.9,1,0)</f>
        <v>0</v>
      </c>
      <c r="H1240" s="22">
        <f>IF(H832&gt;=0.9,1,0)</f>
        <v>0</v>
      </c>
      <c r="I1240" s="22">
        <f>IF(I832&gt;=0.9,1,0)</f>
        <v>0</v>
      </c>
      <c r="J1240" s="22">
        <f>IF(J832&gt;=0.9,1,0)</f>
        <v>0</v>
      </c>
      <c r="K1240" s="22">
        <f>IF(K832&gt;=0.9,1,0)</f>
        <v>0</v>
      </c>
      <c r="L1240" s="22">
        <f>IF(L832&gt;=0.9,1,0)</f>
        <v>0</v>
      </c>
      <c r="M1240" s="22">
        <f>IF(M832&gt;=0.9,1,0)</f>
        <v>0</v>
      </c>
      <c r="N1240" s="22">
        <f>IF(N832&gt;=0.9,1,0)</f>
        <v>0</v>
      </c>
      <c r="O1240" s="22">
        <f>IF(O832&gt;=0.9,1,0)</f>
        <v>0</v>
      </c>
      <c r="P1240" s="22">
        <f>IF(P832&gt;=0.9,1,0)</f>
        <v>0</v>
      </c>
      <c r="Q1240" s="22">
        <f>IF(Q832&gt;=0.9,1,0)</f>
        <v>0</v>
      </c>
      <c r="R1240" s="22">
        <f>IF(R832&gt;=0.9,1,0)</f>
        <v>0</v>
      </c>
      <c r="S1240" s="22">
        <f>IF(S832&gt;=0.9,1,0)</f>
        <v>0</v>
      </c>
    </row>
    <row r="1241">
      <c r="A1241" s="14" t="s">
        <v>106</v>
      </c>
      <c r="B1241" s="2" t="s">
        <v>368</v>
      </c>
      <c r="C1241" s="22">
        <f>IF(C833&gt;=0.9,1,0)</f>
        <v>0</v>
      </c>
      <c r="D1241" s="22">
        <f>IF(D833&gt;=0.9,1,0)</f>
        <v>0</v>
      </c>
      <c r="E1241" s="22">
        <f>IF(E833&gt;=0.9,1,0)</f>
        <v>0</v>
      </c>
      <c r="F1241" s="22">
        <f>IF(F833&gt;=0.9,1,0)</f>
        <v>0</v>
      </c>
      <c r="G1241" s="22">
        <f>IF(G833&gt;=0.9,1,0)</f>
        <v>0</v>
      </c>
      <c r="H1241" s="22">
        <f>IF(H833&gt;=0.9,1,0)</f>
        <v>0</v>
      </c>
      <c r="I1241" s="22">
        <f>IF(I833&gt;=0.9,1,0)</f>
        <v>0</v>
      </c>
      <c r="J1241" s="22">
        <f>IF(J833&gt;=0.9,1,0)</f>
        <v>0</v>
      </c>
      <c r="K1241" s="22">
        <f>IF(K833&gt;=0.9,1,0)</f>
        <v>0</v>
      </c>
      <c r="L1241" s="22">
        <f>IF(L833&gt;=0.9,1,0)</f>
        <v>0</v>
      </c>
      <c r="M1241" s="22">
        <f>IF(M833&gt;=0.9,1,0)</f>
        <v>0</v>
      </c>
      <c r="N1241" s="22">
        <f>IF(N833&gt;=0.9,1,0)</f>
        <v>0</v>
      </c>
      <c r="O1241" s="22">
        <f>IF(O833&gt;=0.9,1,0)</f>
        <v>0</v>
      </c>
      <c r="P1241" s="22">
        <f>IF(P833&gt;=0.9,1,0)</f>
        <v>0</v>
      </c>
      <c r="Q1241" s="22">
        <f>IF(Q833&gt;=0.9,1,0)</f>
        <v>0</v>
      </c>
      <c r="R1241" s="22">
        <f>IF(R833&gt;=0.9,1,0)</f>
        <v>0</v>
      </c>
      <c r="S1241" s="22">
        <f>IF(S833&gt;=0.9,1,0)</f>
        <v>0</v>
      </c>
    </row>
    <row r="1242">
      <c r="A1242" s="14" t="s">
        <v>376</v>
      </c>
      <c r="B1242" s="2" t="s">
        <v>368</v>
      </c>
      <c r="C1242" s="22">
        <f>IF(C834&gt;=0.9,1,0)</f>
        <v>0</v>
      </c>
      <c r="D1242" s="22">
        <f>IF(D834&gt;=0.9,1,0)</f>
        <v>0</v>
      </c>
      <c r="E1242" s="22">
        <f>IF(E834&gt;=0.9,1,0)</f>
        <v>0</v>
      </c>
      <c r="F1242" s="22">
        <f>IF(F834&gt;=0.9,1,0)</f>
        <v>0</v>
      </c>
      <c r="G1242" s="22">
        <f>IF(G834&gt;=0.9,1,0)</f>
        <v>0</v>
      </c>
      <c r="H1242" s="22">
        <f>IF(H834&gt;=0.9,1,0)</f>
        <v>0</v>
      </c>
      <c r="I1242" s="22">
        <f>IF(I834&gt;=0.9,1,0)</f>
        <v>0</v>
      </c>
      <c r="J1242" s="22">
        <f>IF(J834&gt;=0.9,1,0)</f>
        <v>0</v>
      </c>
      <c r="K1242" s="22">
        <f>IF(K834&gt;=0.9,1,0)</f>
        <v>0</v>
      </c>
      <c r="L1242" s="22">
        <f>IF(L834&gt;=0.9,1,0)</f>
        <v>0</v>
      </c>
      <c r="M1242" s="22">
        <f>IF(M834&gt;=0.9,1,0)</f>
        <v>0</v>
      </c>
      <c r="N1242" s="22">
        <f>IF(N834&gt;=0.9,1,0)</f>
        <v>0</v>
      </c>
      <c r="O1242" s="22">
        <f>IF(O834&gt;=0.9,1,0)</f>
        <v>0</v>
      </c>
      <c r="P1242" s="22">
        <f>IF(P834&gt;=0.9,1,0)</f>
        <v>0</v>
      </c>
      <c r="Q1242" s="22">
        <f>IF(Q834&gt;=0.9,1,0)</f>
        <v>0</v>
      </c>
      <c r="R1242" s="22">
        <f>IF(R834&gt;=0.9,1,0)</f>
        <v>0</v>
      </c>
      <c r="S1242" s="22">
        <f>IF(S834&gt;=0.9,1,0)</f>
        <v>0</v>
      </c>
    </row>
    <row r="1243">
      <c r="A1243" s="14" t="s">
        <v>377</v>
      </c>
      <c r="B1243" s="2" t="s">
        <v>368</v>
      </c>
      <c r="C1243" s="22">
        <f>IF(C835&gt;=0.9,1,0)</f>
        <v>1</v>
      </c>
      <c r="D1243" s="22">
        <f>IF(D835&gt;=0.9,1,0)</f>
        <v>1</v>
      </c>
      <c r="E1243" s="22">
        <f>IF(E835&gt;=0.9,1,0)</f>
        <v>1</v>
      </c>
      <c r="F1243" s="22">
        <f>IF(F835&gt;=0.9,1,0)</f>
        <v>1</v>
      </c>
      <c r="G1243" s="22">
        <f>IF(G835&gt;=0.9,1,0)</f>
        <v>1</v>
      </c>
      <c r="H1243" s="22">
        <f>IF(H835&gt;=0.9,1,0)</f>
        <v>1</v>
      </c>
      <c r="I1243" s="22">
        <f>IF(I835&gt;=0.9,1,0)</f>
        <v>1</v>
      </c>
      <c r="J1243" s="22">
        <f>IF(J835&gt;=0.9,1,0)</f>
        <v>1</v>
      </c>
      <c r="K1243" s="22">
        <f>IF(K835&gt;=0.9,1,0)</f>
        <v>1</v>
      </c>
      <c r="L1243" s="22">
        <f>IF(L835&gt;=0.9,1,0)</f>
        <v>1</v>
      </c>
      <c r="M1243" s="22">
        <f>IF(M835&gt;=0.9,1,0)</f>
        <v>1</v>
      </c>
      <c r="N1243" s="22">
        <f>IF(N835&gt;=0.9,1,0)</f>
        <v>1</v>
      </c>
      <c r="O1243" s="22">
        <f>IF(O835&gt;=0.9,1,0)</f>
        <v>1</v>
      </c>
      <c r="P1243" s="22">
        <f>IF(P835&gt;=0.9,1,0)</f>
        <v>1</v>
      </c>
      <c r="Q1243" s="22">
        <f>IF(Q835&gt;=0.9,1,0)</f>
        <v>1</v>
      </c>
      <c r="R1243" s="22">
        <f>IF(R835&gt;=0.9,1,0)</f>
        <v>1</v>
      </c>
      <c r="S1243" s="22">
        <f>IF(S835&gt;=0.9,1,0)</f>
        <v>1</v>
      </c>
    </row>
    <row r="1244">
      <c r="A1244" s="14" t="s">
        <v>378</v>
      </c>
      <c r="B1244" s="2" t="s">
        <v>368</v>
      </c>
      <c r="C1244" s="22">
        <f>IF(C836&gt;=0.9,1,0)</f>
        <v>1</v>
      </c>
      <c r="D1244" s="22">
        <f>IF(D836&gt;=0.9,1,0)</f>
        <v>1</v>
      </c>
      <c r="E1244" s="22">
        <f>IF(E836&gt;=0.9,1,0)</f>
        <v>1</v>
      </c>
      <c r="F1244" s="22">
        <f>IF(F836&gt;=0.9,1,0)</f>
        <v>1</v>
      </c>
      <c r="G1244" s="22">
        <f>IF(G836&gt;=0.9,1,0)</f>
        <v>1</v>
      </c>
      <c r="H1244" s="22">
        <f>IF(H836&gt;=0.9,1,0)</f>
        <v>1</v>
      </c>
      <c r="I1244" s="22">
        <f>IF(I836&gt;=0.9,1,0)</f>
        <v>1</v>
      </c>
      <c r="J1244" s="22">
        <f>IF(J836&gt;=0.9,1,0)</f>
        <v>1</v>
      </c>
      <c r="K1244" s="22">
        <f>IF(K836&gt;=0.9,1,0)</f>
        <v>1</v>
      </c>
      <c r="L1244" s="22">
        <f>IF(L836&gt;=0.9,1,0)</f>
        <v>1</v>
      </c>
      <c r="M1244" s="22">
        <f>IF(M836&gt;=0.9,1,0)</f>
        <v>1</v>
      </c>
      <c r="N1244" s="22">
        <f>IF(N836&gt;=0.9,1,0)</f>
        <v>1</v>
      </c>
      <c r="O1244" s="22">
        <f>IF(O836&gt;=0.9,1,0)</f>
        <v>1</v>
      </c>
      <c r="P1244" s="22">
        <f>IF(P836&gt;=0.9,1,0)</f>
        <v>1</v>
      </c>
      <c r="Q1244" s="22">
        <f>IF(Q836&gt;=0.9,1,0)</f>
        <v>1</v>
      </c>
      <c r="R1244" s="22">
        <f>IF(R836&gt;=0.9,1,0)</f>
        <v>1</v>
      </c>
      <c r="S1244" s="22">
        <f>IF(S836&gt;=0.9,1,0)</f>
        <v>1</v>
      </c>
    </row>
    <row r="1245">
      <c r="A1245" s="14" t="s">
        <v>110</v>
      </c>
      <c r="B1245" s="2" t="s">
        <v>368</v>
      </c>
      <c r="C1245" s="22">
        <f>IF(C837&gt;=0.9,1,0)</f>
        <v>0</v>
      </c>
      <c r="D1245" s="22">
        <f>IF(D837&gt;=0.9,1,0)</f>
        <v>0</v>
      </c>
      <c r="E1245" s="22">
        <f>IF(E837&gt;=0.9,1,0)</f>
        <v>0</v>
      </c>
      <c r="F1245" s="22">
        <f>IF(F837&gt;=0.9,1,0)</f>
        <v>0</v>
      </c>
      <c r="G1245" s="22">
        <f>IF(G837&gt;=0.9,1,0)</f>
        <v>0</v>
      </c>
      <c r="H1245" s="22">
        <f>IF(H837&gt;=0.9,1,0)</f>
        <v>0</v>
      </c>
      <c r="I1245" s="22">
        <f>IF(I837&gt;=0.9,1,0)</f>
        <v>0</v>
      </c>
      <c r="J1245" s="22">
        <f>IF(J837&gt;=0.9,1,0)</f>
        <v>0</v>
      </c>
      <c r="K1245" s="22">
        <f>IF(K837&gt;=0.9,1,0)</f>
        <v>0</v>
      </c>
      <c r="L1245" s="22">
        <f>IF(L837&gt;=0.9,1,0)</f>
        <v>0</v>
      </c>
      <c r="M1245" s="22">
        <f>IF(M837&gt;=0.9,1,0)</f>
        <v>0</v>
      </c>
      <c r="N1245" s="22">
        <f>IF(N837&gt;=0.9,1,0)</f>
        <v>0</v>
      </c>
      <c r="O1245" s="22">
        <f>IF(O837&gt;=0.9,1,0)</f>
        <v>0</v>
      </c>
      <c r="P1245" s="22">
        <f>IF(P837&gt;=0.9,1,0)</f>
        <v>0</v>
      </c>
      <c r="Q1245" s="22">
        <f>IF(Q837&gt;=0.9,1,0)</f>
        <v>0</v>
      </c>
      <c r="R1245" s="22">
        <f>IF(R837&gt;=0.9,1,0)</f>
        <v>0</v>
      </c>
      <c r="S1245" s="22">
        <f>IF(S837&gt;=0.9,1,0)</f>
        <v>0</v>
      </c>
    </row>
    <row r="1246">
      <c r="A1246" s="14" t="s">
        <v>111</v>
      </c>
      <c r="B1246" s="2" t="s">
        <v>368</v>
      </c>
      <c r="C1246" s="22">
        <f>IF(C838&gt;=0.9,1,0)</f>
        <v>0</v>
      </c>
      <c r="D1246" s="22">
        <f>IF(D838&gt;=0.9,1,0)</f>
        <v>0</v>
      </c>
      <c r="E1246" s="22">
        <f>IF(E838&gt;=0.9,1,0)</f>
        <v>0</v>
      </c>
      <c r="F1246" s="22">
        <f>IF(F838&gt;=0.9,1,0)</f>
        <v>0</v>
      </c>
      <c r="G1246" s="22">
        <f>IF(G838&gt;=0.9,1,0)</f>
        <v>0</v>
      </c>
      <c r="H1246" s="22">
        <f>IF(H838&gt;=0.9,1,0)</f>
        <v>0</v>
      </c>
      <c r="I1246" s="22">
        <f>IF(I838&gt;=0.9,1,0)</f>
        <v>0</v>
      </c>
      <c r="J1246" s="22">
        <f>IF(J838&gt;=0.9,1,0)</f>
        <v>0</v>
      </c>
      <c r="K1246" s="22">
        <f>IF(K838&gt;=0.9,1,0)</f>
        <v>0</v>
      </c>
      <c r="L1246" s="22">
        <f>IF(L838&gt;=0.9,1,0)</f>
        <v>0</v>
      </c>
      <c r="M1246" s="22">
        <f>IF(M838&gt;=0.9,1,0)</f>
        <v>0</v>
      </c>
      <c r="N1246" s="22">
        <f>IF(N838&gt;=0.9,1,0)</f>
        <v>0</v>
      </c>
      <c r="O1246" s="22">
        <f>IF(O838&gt;=0.9,1,0)</f>
        <v>0</v>
      </c>
      <c r="P1246" s="22">
        <f>IF(P838&gt;=0.9,1,0)</f>
        <v>0</v>
      </c>
      <c r="Q1246" s="22">
        <f>IF(Q838&gt;=0.9,1,0)</f>
        <v>0</v>
      </c>
      <c r="R1246" s="22">
        <f>IF(R838&gt;=0.9,1,0)</f>
        <v>0</v>
      </c>
      <c r="S1246" s="22">
        <f>IF(S838&gt;=0.9,1,0)</f>
        <v>0</v>
      </c>
    </row>
    <row r="1247">
      <c r="A1247" s="14" t="s">
        <v>379</v>
      </c>
      <c r="B1247" s="2" t="s">
        <v>368</v>
      </c>
      <c r="C1247" s="22">
        <f>IF(C839&gt;=0.9,1,0)</f>
        <v>1</v>
      </c>
      <c r="D1247" s="22">
        <f>IF(D839&gt;=0.9,1,0)</f>
        <v>1</v>
      </c>
      <c r="E1247" s="22">
        <f>IF(E839&gt;=0.9,1,0)</f>
        <v>1</v>
      </c>
      <c r="F1247" s="22">
        <f>IF(F839&gt;=0.9,1,0)</f>
        <v>1</v>
      </c>
      <c r="G1247" s="22">
        <f>IF(G839&gt;=0.9,1,0)</f>
        <v>1</v>
      </c>
      <c r="H1247" s="22">
        <f>IF(H839&gt;=0.9,1,0)</f>
        <v>1</v>
      </c>
      <c r="I1247" s="22">
        <f>IF(I839&gt;=0.9,1,0)</f>
        <v>1</v>
      </c>
      <c r="J1247" s="22">
        <f>IF(J839&gt;=0.9,1,0)</f>
        <v>1</v>
      </c>
      <c r="K1247" s="22">
        <f>IF(K839&gt;=0.9,1,0)</f>
        <v>1</v>
      </c>
      <c r="L1247" s="22">
        <f>IF(L839&gt;=0.9,1,0)</f>
        <v>1</v>
      </c>
      <c r="M1247" s="22">
        <f>IF(M839&gt;=0.9,1,0)</f>
        <v>1</v>
      </c>
      <c r="N1247" s="22">
        <f>IF(N839&gt;=0.9,1,0)</f>
        <v>1</v>
      </c>
      <c r="O1247" s="22">
        <f>IF(O839&gt;=0.9,1,0)</f>
        <v>1</v>
      </c>
      <c r="P1247" s="22">
        <f>IF(P839&gt;=0.9,1,0)</f>
        <v>1</v>
      </c>
      <c r="Q1247" s="22">
        <f>IF(Q839&gt;=0.9,1,0)</f>
        <v>1</v>
      </c>
      <c r="R1247" s="22">
        <f>IF(R839&gt;=0.9,1,0)</f>
        <v>1</v>
      </c>
      <c r="S1247" s="22">
        <f>IF(S839&gt;=0.9,1,0)</f>
        <v>1</v>
      </c>
    </row>
    <row r="1248">
      <c r="A1248" s="14" t="s">
        <v>380</v>
      </c>
      <c r="B1248" s="2" t="s">
        <v>368</v>
      </c>
      <c r="C1248" s="22">
        <f>IF(C840&gt;=0.9,1,0)</f>
        <v>0</v>
      </c>
      <c r="D1248" s="22">
        <f>IF(D840&gt;=0.9,1,0)</f>
        <v>0</v>
      </c>
      <c r="E1248" s="22">
        <f>IF(E840&gt;=0.9,1,0)</f>
        <v>0</v>
      </c>
      <c r="F1248" s="22">
        <f>IF(F840&gt;=0.9,1,0)</f>
        <v>0</v>
      </c>
      <c r="G1248" s="22">
        <f>IF(G840&gt;=0.9,1,0)</f>
        <v>0</v>
      </c>
      <c r="H1248" s="22">
        <f>IF(H840&gt;=0.9,1,0)</f>
        <v>0</v>
      </c>
      <c r="I1248" s="22">
        <f>IF(I840&gt;=0.9,1,0)</f>
        <v>0</v>
      </c>
      <c r="J1248" s="22">
        <f>IF(J840&gt;=0.9,1,0)</f>
        <v>0</v>
      </c>
      <c r="K1248" s="22">
        <f>IF(K840&gt;=0.9,1,0)</f>
        <v>0</v>
      </c>
      <c r="L1248" s="22">
        <f>IF(L840&gt;=0.9,1,0)</f>
        <v>0</v>
      </c>
      <c r="M1248" s="22">
        <f>IF(M840&gt;=0.9,1,0)</f>
        <v>0</v>
      </c>
      <c r="N1248" s="22">
        <f>IF(N840&gt;=0.9,1,0)</f>
        <v>0</v>
      </c>
      <c r="O1248" s="22">
        <f>IF(O840&gt;=0.9,1,0)</f>
        <v>0</v>
      </c>
      <c r="P1248" s="22">
        <f>IF(P840&gt;=0.9,1,0)</f>
        <v>0</v>
      </c>
      <c r="Q1248" s="22">
        <f>IF(Q840&gt;=0.9,1,0)</f>
        <v>0</v>
      </c>
      <c r="R1248" s="22">
        <f>IF(R840&gt;=0.9,1,0)</f>
        <v>0</v>
      </c>
      <c r="S1248" s="22">
        <f>IF(S840&gt;=0.9,1,0)</f>
        <v>0</v>
      </c>
    </row>
    <row r="1249">
      <c r="A1249" s="14" t="s">
        <v>381</v>
      </c>
      <c r="B1249" s="2" t="s">
        <v>368</v>
      </c>
      <c r="C1249" s="22">
        <f>IF(C841&gt;=0.9,1,0)</f>
        <v>0</v>
      </c>
      <c r="D1249" s="22">
        <f>IF(D841&gt;=0.9,1,0)</f>
        <v>0</v>
      </c>
      <c r="E1249" s="22">
        <f>IF(E841&gt;=0.9,1,0)</f>
        <v>0</v>
      </c>
      <c r="F1249" s="22">
        <f>IF(F841&gt;=0.9,1,0)</f>
        <v>0</v>
      </c>
      <c r="G1249" s="22">
        <f>IF(G841&gt;=0.9,1,0)</f>
        <v>0</v>
      </c>
      <c r="H1249" s="22">
        <f>IF(H841&gt;=0.9,1,0)</f>
        <v>0</v>
      </c>
      <c r="I1249" s="22">
        <f>IF(I841&gt;=0.9,1,0)</f>
        <v>0</v>
      </c>
      <c r="J1249" s="22">
        <f>IF(J841&gt;=0.9,1,0)</f>
        <v>0</v>
      </c>
      <c r="K1249" s="22">
        <f>IF(K841&gt;=0.9,1,0)</f>
        <v>0</v>
      </c>
      <c r="L1249" s="22">
        <f>IF(L841&gt;=0.9,1,0)</f>
        <v>0</v>
      </c>
      <c r="M1249" s="22">
        <f>IF(M841&gt;=0.9,1,0)</f>
        <v>0</v>
      </c>
      <c r="N1249" s="22">
        <f>IF(N841&gt;=0.9,1,0)</f>
        <v>0</v>
      </c>
      <c r="O1249" s="22">
        <f>IF(O841&gt;=0.9,1,0)</f>
        <v>0</v>
      </c>
      <c r="P1249" s="22">
        <f>IF(P841&gt;=0.9,1,0)</f>
        <v>0</v>
      </c>
      <c r="Q1249" s="22">
        <f>IF(Q841&gt;=0.9,1,0)</f>
        <v>0</v>
      </c>
      <c r="R1249" s="22">
        <f>IF(R841&gt;=0.9,1,0)</f>
        <v>0</v>
      </c>
      <c r="S1249" s="22">
        <f>IF(S841&gt;=0.9,1,0)</f>
        <v>0</v>
      </c>
    </row>
    <row r="1250">
      <c r="A1250" s="14" t="s">
        <v>115</v>
      </c>
      <c r="B1250" s="2" t="s">
        <v>368</v>
      </c>
      <c r="C1250" s="22">
        <f>IF(C842&gt;=0.9,1,0)</f>
        <v>1</v>
      </c>
      <c r="D1250" s="22">
        <f>IF(D842&gt;=0.9,1,0)</f>
        <v>1</v>
      </c>
      <c r="E1250" s="22">
        <f>IF(E842&gt;=0.9,1,0)</f>
        <v>1</v>
      </c>
      <c r="F1250" s="22">
        <f>IF(F842&gt;=0.9,1,0)</f>
        <v>1</v>
      </c>
      <c r="G1250" s="22">
        <f>IF(G842&gt;=0.9,1,0)</f>
        <v>1</v>
      </c>
      <c r="H1250" s="22">
        <f>IF(H842&gt;=0.9,1,0)</f>
        <v>1</v>
      </c>
      <c r="I1250" s="22">
        <f>IF(I842&gt;=0.9,1,0)</f>
        <v>1</v>
      </c>
      <c r="J1250" s="22">
        <f>IF(J842&gt;=0.9,1,0)</f>
        <v>1</v>
      </c>
      <c r="K1250" s="22">
        <f>IF(K842&gt;=0.9,1,0)</f>
        <v>1</v>
      </c>
      <c r="L1250" s="22">
        <f>IF(L842&gt;=0.9,1,0)</f>
        <v>1</v>
      </c>
      <c r="M1250" s="22">
        <f>IF(M842&gt;=0.9,1,0)</f>
        <v>1</v>
      </c>
      <c r="N1250" s="22">
        <f>IF(N842&gt;=0.9,1,0)</f>
        <v>1</v>
      </c>
      <c r="O1250" s="22">
        <f>IF(O842&gt;=0.9,1,0)</f>
        <v>1</v>
      </c>
      <c r="P1250" s="22">
        <f>IF(P842&gt;=0.9,1,0)</f>
        <v>1</v>
      </c>
      <c r="Q1250" s="22">
        <f>IF(Q842&gt;=0.9,1,0)</f>
        <v>1</v>
      </c>
      <c r="R1250" s="22">
        <f>IF(R842&gt;=0.9,1,0)</f>
        <v>1</v>
      </c>
      <c r="S1250" s="22">
        <f>IF(S842&gt;=0.9,1,0)</f>
        <v>1</v>
      </c>
    </row>
    <row r="1251">
      <c r="A1251" s="14" t="s">
        <v>382</v>
      </c>
      <c r="B1251" s="2" t="s">
        <v>368</v>
      </c>
      <c r="C1251" s="22">
        <f>IF(C843&gt;=0.9,1,0)</f>
        <v>0</v>
      </c>
      <c r="D1251" s="22">
        <f>IF(D843&gt;=0.9,1,0)</f>
        <v>0</v>
      </c>
      <c r="E1251" s="22">
        <f>IF(E843&gt;=0.9,1,0)</f>
        <v>0</v>
      </c>
      <c r="F1251" s="22">
        <f>IF(F843&gt;=0.9,1,0)</f>
        <v>0</v>
      </c>
      <c r="G1251" s="22">
        <f>IF(G843&gt;=0.9,1,0)</f>
        <v>0</v>
      </c>
      <c r="H1251" s="22">
        <f>IF(H843&gt;=0.9,1,0)</f>
        <v>0</v>
      </c>
      <c r="I1251" s="22">
        <f>IF(I843&gt;=0.9,1,0)</f>
        <v>0</v>
      </c>
      <c r="J1251" s="22">
        <f>IF(J843&gt;=0.9,1,0)</f>
        <v>0</v>
      </c>
      <c r="K1251" s="22">
        <f>IF(K843&gt;=0.9,1,0)</f>
        <v>0</v>
      </c>
      <c r="L1251" s="22">
        <f>IF(L843&gt;=0.9,1,0)</f>
        <v>0</v>
      </c>
      <c r="M1251" s="22">
        <f>IF(M843&gt;=0.9,1,0)</f>
        <v>0</v>
      </c>
      <c r="N1251" s="22">
        <f>IF(N843&gt;=0.9,1,0)</f>
        <v>0</v>
      </c>
      <c r="O1251" s="22">
        <f>IF(O843&gt;=0.9,1,0)</f>
        <v>0</v>
      </c>
      <c r="P1251" s="22">
        <f>IF(P843&gt;=0.9,1,0)</f>
        <v>0</v>
      </c>
      <c r="Q1251" s="22">
        <f>IF(Q843&gt;=0.9,1,0)</f>
        <v>0</v>
      </c>
      <c r="R1251" s="22">
        <f>IF(R843&gt;=0.9,1,0)</f>
        <v>0</v>
      </c>
      <c r="S1251" s="22">
        <f>IF(S843&gt;=0.9,1,0)</f>
        <v>0</v>
      </c>
    </row>
    <row r="1252">
      <c r="A1252" s="14" t="s">
        <v>117</v>
      </c>
      <c r="B1252" s="2" t="s">
        <v>368</v>
      </c>
      <c r="C1252" s="22">
        <f>IF(C844&gt;=0.9,1,0)</f>
        <v>0</v>
      </c>
      <c r="D1252" s="22">
        <f>IF(D844&gt;=0.9,1,0)</f>
        <v>0</v>
      </c>
      <c r="E1252" s="22">
        <f>IF(E844&gt;=0.9,1,0)</f>
        <v>0</v>
      </c>
      <c r="F1252" s="22">
        <f>IF(F844&gt;=0.9,1,0)</f>
        <v>0</v>
      </c>
      <c r="G1252" s="22">
        <f>IF(G844&gt;=0.9,1,0)</f>
        <v>0</v>
      </c>
      <c r="H1252" s="22">
        <f>IF(H844&gt;=0.9,1,0)</f>
        <v>0</v>
      </c>
      <c r="I1252" s="22">
        <f>IF(I844&gt;=0.9,1,0)</f>
        <v>0</v>
      </c>
      <c r="J1252" s="22">
        <f>IF(J844&gt;=0.9,1,0)</f>
        <v>0</v>
      </c>
      <c r="K1252" s="22">
        <f>IF(K844&gt;=0.9,1,0)</f>
        <v>0</v>
      </c>
      <c r="L1252" s="22">
        <f>IF(L844&gt;=0.9,1,0)</f>
        <v>0</v>
      </c>
      <c r="M1252" s="22">
        <f>IF(M844&gt;=0.9,1,0)</f>
        <v>0</v>
      </c>
      <c r="N1252" s="22">
        <f>IF(N844&gt;=0.9,1,0)</f>
        <v>0</v>
      </c>
      <c r="O1252" s="22">
        <f>IF(O844&gt;=0.9,1,0)</f>
        <v>0</v>
      </c>
      <c r="P1252" s="22">
        <f>IF(P844&gt;=0.9,1,0)</f>
        <v>0</v>
      </c>
      <c r="Q1252" s="22">
        <f>IF(Q844&gt;=0.9,1,0)</f>
        <v>0</v>
      </c>
      <c r="R1252" s="22">
        <f>IF(R844&gt;=0.9,1,0)</f>
        <v>0</v>
      </c>
      <c r="S1252" s="22">
        <f>IF(S844&gt;=0.9,1,0)</f>
        <v>0</v>
      </c>
    </row>
    <row r="1253">
      <c r="A1253" s="14" t="s">
        <v>118</v>
      </c>
      <c r="B1253" s="2" t="s">
        <v>368</v>
      </c>
      <c r="C1253" s="22">
        <f>IF(C845&gt;=0.9,1,0)</f>
        <v>1</v>
      </c>
      <c r="D1253" s="22">
        <f>IF(D845&gt;=0.9,1,0)</f>
        <v>1</v>
      </c>
      <c r="E1253" s="22">
        <f>IF(E845&gt;=0.9,1,0)</f>
        <v>1</v>
      </c>
      <c r="F1253" s="22">
        <f>IF(F845&gt;=0.9,1,0)</f>
        <v>1</v>
      </c>
      <c r="G1253" s="22">
        <f>IF(G845&gt;=0.9,1,0)</f>
        <v>1</v>
      </c>
      <c r="H1253" s="22">
        <f>IF(H845&gt;=0.9,1,0)</f>
        <v>1</v>
      </c>
      <c r="I1253" s="22">
        <f>IF(I845&gt;=0.9,1,0)</f>
        <v>1</v>
      </c>
      <c r="J1253" s="22">
        <f>IF(J845&gt;=0.9,1,0)</f>
        <v>1</v>
      </c>
      <c r="K1253" s="22">
        <f>IF(K845&gt;=0.9,1,0)</f>
        <v>0</v>
      </c>
      <c r="L1253" s="22">
        <f>IF(L845&gt;=0.9,1,0)</f>
        <v>1</v>
      </c>
      <c r="M1253" s="22">
        <f>IF(M845&gt;=0.9,1,0)</f>
        <v>1</v>
      </c>
      <c r="N1253" s="22">
        <f>IF(N845&gt;=0.9,1,0)</f>
        <v>1</v>
      </c>
      <c r="O1253" s="22">
        <f>IF(O845&gt;=0.9,1,0)</f>
        <v>1</v>
      </c>
      <c r="P1253" s="22">
        <f>IF(P845&gt;=0.9,1,0)</f>
        <v>1</v>
      </c>
      <c r="Q1253" s="22">
        <f>IF(Q845&gt;=0.9,1,0)</f>
        <v>1</v>
      </c>
      <c r="R1253" s="22">
        <f>IF(R845&gt;=0.9,1,0)</f>
        <v>1</v>
      </c>
      <c r="S1253" s="22">
        <f>IF(S845&gt;=0.9,1,0)</f>
        <v>1</v>
      </c>
    </row>
    <row r="1254">
      <c r="A1254" s="14" t="s">
        <v>383</v>
      </c>
      <c r="B1254" s="2" t="s">
        <v>368</v>
      </c>
      <c r="C1254" s="22">
        <f>IF(C846&gt;=0.9,1,0)</f>
        <v>0</v>
      </c>
      <c r="D1254" s="22">
        <f>IF(D846&gt;=0.9,1,0)</f>
        <v>0</v>
      </c>
      <c r="E1254" s="22">
        <f>IF(E846&gt;=0.9,1,0)</f>
        <v>1</v>
      </c>
      <c r="F1254" s="22">
        <f>IF(F846&gt;=0.9,1,0)</f>
        <v>0</v>
      </c>
      <c r="G1254" s="22">
        <f>IF(G846&gt;=0.9,1,0)</f>
        <v>1</v>
      </c>
      <c r="H1254" s="22">
        <f>IF(H846&gt;=0.9,1,0)</f>
        <v>1</v>
      </c>
      <c r="I1254" s="22">
        <f>IF(I846&gt;=0.9,1,0)</f>
        <v>1</v>
      </c>
      <c r="J1254" s="22">
        <f>IF(J846&gt;=0.9,1,0)</f>
        <v>0</v>
      </c>
      <c r="K1254" s="22">
        <f>IF(K846&gt;=0.9,1,0)</f>
        <v>0</v>
      </c>
      <c r="L1254" s="22">
        <f>IF(L846&gt;=0.9,1,0)</f>
        <v>0</v>
      </c>
      <c r="M1254" s="22">
        <f>IF(M846&gt;=0.9,1,0)</f>
        <v>0</v>
      </c>
      <c r="N1254" s="22">
        <f>IF(N846&gt;=0.9,1,0)</f>
        <v>1</v>
      </c>
      <c r="O1254" s="22">
        <f>IF(O846&gt;=0.9,1,0)</f>
        <v>0</v>
      </c>
      <c r="P1254" s="22">
        <f>IF(P846&gt;=0.9,1,0)</f>
        <v>0</v>
      </c>
      <c r="Q1254" s="22">
        <f>IF(Q846&gt;=0.9,1,0)</f>
        <v>0</v>
      </c>
      <c r="R1254" s="22">
        <f>IF(R846&gt;=0.9,1,0)</f>
        <v>0</v>
      </c>
      <c r="S1254" s="22">
        <f>IF(S846&gt;=0.9,1,0)</f>
        <v>0</v>
      </c>
    </row>
    <row r="1255">
      <c r="A1255" s="14" t="s">
        <v>384</v>
      </c>
      <c r="B1255" s="2" t="s">
        <v>368</v>
      </c>
      <c r="C1255" s="22">
        <f>IF(C847&gt;=0.9,1,0)</f>
        <v>0</v>
      </c>
      <c r="D1255" s="22">
        <f>IF(D847&gt;=0.9,1,0)</f>
        <v>0</v>
      </c>
      <c r="E1255" s="22">
        <f>IF(E847&gt;=0.9,1,0)</f>
        <v>0</v>
      </c>
      <c r="F1255" s="22">
        <f>IF(F847&gt;=0.9,1,0)</f>
        <v>0</v>
      </c>
      <c r="G1255" s="22">
        <f>IF(G847&gt;=0.9,1,0)</f>
        <v>0</v>
      </c>
      <c r="H1255" s="22">
        <f>IF(H847&gt;=0.9,1,0)</f>
        <v>0</v>
      </c>
      <c r="I1255" s="22">
        <f>IF(I847&gt;=0.9,1,0)</f>
        <v>0</v>
      </c>
      <c r="J1255" s="22">
        <f>IF(J847&gt;=0.9,1,0)</f>
        <v>0</v>
      </c>
      <c r="K1255" s="22">
        <f>IF(K847&gt;=0.9,1,0)</f>
        <v>0</v>
      </c>
      <c r="L1255" s="22">
        <f>IF(L847&gt;=0.9,1,0)</f>
        <v>0</v>
      </c>
      <c r="M1255" s="22">
        <f>IF(M847&gt;=0.9,1,0)</f>
        <v>0</v>
      </c>
      <c r="N1255" s="22">
        <f>IF(N847&gt;=0.9,1,0)</f>
        <v>0</v>
      </c>
      <c r="O1255" s="22">
        <f>IF(O847&gt;=0.9,1,0)</f>
        <v>0</v>
      </c>
      <c r="P1255" s="22">
        <f>IF(P847&gt;=0.9,1,0)</f>
        <v>0</v>
      </c>
      <c r="Q1255" s="22">
        <f>IF(Q847&gt;=0.9,1,0)</f>
        <v>0</v>
      </c>
      <c r="R1255" s="22">
        <f>IF(R847&gt;=0.9,1,0)</f>
        <v>0</v>
      </c>
      <c r="S1255" s="22">
        <f>IF(S847&gt;=0.9,1,0)</f>
        <v>0</v>
      </c>
    </row>
    <row r="1256">
      <c r="A1256" s="14" t="s">
        <v>121</v>
      </c>
      <c r="B1256" s="2" t="s">
        <v>368</v>
      </c>
      <c r="C1256" s="22">
        <f>IF(C848&gt;=0.9,1,0)</f>
        <v>0</v>
      </c>
      <c r="D1256" s="22">
        <f>IF(D848&gt;=0.9,1,0)</f>
        <v>0</v>
      </c>
      <c r="E1256" s="22">
        <f>IF(E848&gt;=0.9,1,0)</f>
        <v>0</v>
      </c>
      <c r="F1256" s="22">
        <f>IF(F848&gt;=0.9,1,0)</f>
        <v>0</v>
      </c>
      <c r="G1256" s="22">
        <f>IF(G848&gt;=0.9,1,0)</f>
        <v>0</v>
      </c>
      <c r="H1256" s="22">
        <f>IF(H848&gt;=0.9,1,0)</f>
        <v>0</v>
      </c>
      <c r="I1256" s="22">
        <f>IF(I848&gt;=0.9,1,0)</f>
        <v>0</v>
      </c>
      <c r="J1256" s="22">
        <f>IF(J848&gt;=0.9,1,0)</f>
        <v>0</v>
      </c>
      <c r="K1256" s="22">
        <f>IF(K848&gt;=0.9,1,0)</f>
        <v>0</v>
      </c>
      <c r="L1256" s="22">
        <f>IF(L848&gt;=0.9,1,0)</f>
        <v>0</v>
      </c>
      <c r="M1256" s="22">
        <f>IF(M848&gt;=0.9,1,0)</f>
        <v>0</v>
      </c>
      <c r="N1256" s="22">
        <f>IF(N848&gt;=0.9,1,0)</f>
        <v>0</v>
      </c>
      <c r="O1256" s="22">
        <f>IF(O848&gt;=0.9,1,0)</f>
        <v>0</v>
      </c>
      <c r="P1256" s="22">
        <f>IF(P848&gt;=0.9,1,0)</f>
        <v>0</v>
      </c>
      <c r="Q1256" s="22">
        <f>IF(Q848&gt;=0.9,1,0)</f>
        <v>0</v>
      </c>
      <c r="R1256" s="22">
        <f>IF(R848&gt;=0.9,1,0)</f>
        <v>0</v>
      </c>
      <c r="S1256" s="22">
        <f>IF(S848&gt;=0.9,1,0)</f>
        <v>0</v>
      </c>
    </row>
    <row r="1257">
      <c r="A1257" s="14" t="s">
        <v>385</v>
      </c>
      <c r="B1257" s="2" t="s">
        <v>368</v>
      </c>
      <c r="C1257" s="22">
        <f>IF(C849&gt;=0.9,1,0)</f>
        <v>0</v>
      </c>
      <c r="D1257" s="22">
        <f>IF(D849&gt;=0.9,1,0)</f>
        <v>0</v>
      </c>
      <c r="E1257" s="22">
        <f>IF(E849&gt;=0.9,1,0)</f>
        <v>0</v>
      </c>
      <c r="F1257" s="22">
        <f>IF(F849&gt;=0.9,1,0)</f>
        <v>0</v>
      </c>
      <c r="G1257" s="22">
        <f>IF(G849&gt;=0.9,1,0)</f>
        <v>0</v>
      </c>
      <c r="H1257" s="22">
        <f>IF(H849&gt;=0.9,1,0)</f>
        <v>0</v>
      </c>
      <c r="I1257" s="22">
        <f>IF(I849&gt;=0.9,1,0)</f>
        <v>0</v>
      </c>
      <c r="J1257" s="22">
        <f>IF(J849&gt;=0.9,1,0)</f>
        <v>0</v>
      </c>
      <c r="K1257" s="22">
        <f>IF(K849&gt;=0.9,1,0)</f>
        <v>0</v>
      </c>
      <c r="L1257" s="22">
        <f>IF(L849&gt;=0.9,1,0)</f>
        <v>0</v>
      </c>
      <c r="M1257" s="22">
        <f>IF(M849&gt;=0.9,1,0)</f>
        <v>0</v>
      </c>
      <c r="N1257" s="22">
        <f>IF(N849&gt;=0.9,1,0)</f>
        <v>0</v>
      </c>
      <c r="O1257" s="22">
        <f>IF(O849&gt;=0.9,1,0)</f>
        <v>0</v>
      </c>
      <c r="P1257" s="22">
        <f>IF(P849&gt;=0.9,1,0)</f>
        <v>0</v>
      </c>
      <c r="Q1257" s="22">
        <f>IF(Q849&gt;=0.9,1,0)</f>
        <v>0</v>
      </c>
      <c r="R1257" s="22">
        <f>IF(R849&gt;=0.9,1,0)</f>
        <v>0</v>
      </c>
      <c r="S1257" s="22">
        <f>IF(S849&gt;=0.9,1,0)</f>
        <v>0</v>
      </c>
    </row>
    <row r="1258">
      <c r="A1258" s="14" t="s">
        <v>386</v>
      </c>
      <c r="B1258" s="2" t="s">
        <v>368</v>
      </c>
      <c r="C1258" s="22">
        <f>IF(C850&gt;=0.9,1,0)</f>
        <v>1</v>
      </c>
      <c r="D1258" s="22">
        <f>IF(D850&gt;=0.9,1,0)</f>
        <v>1</v>
      </c>
      <c r="E1258" s="22">
        <f>IF(E850&gt;=0.9,1,0)</f>
        <v>1</v>
      </c>
      <c r="F1258" s="22">
        <f>IF(F850&gt;=0.9,1,0)</f>
        <v>1</v>
      </c>
      <c r="G1258" s="22">
        <f>IF(G850&gt;=0.9,1,0)</f>
        <v>1</v>
      </c>
      <c r="H1258" s="22">
        <f>IF(H850&gt;=0.9,1,0)</f>
        <v>1</v>
      </c>
      <c r="I1258" s="22">
        <f>IF(I850&gt;=0.9,1,0)</f>
        <v>1</v>
      </c>
      <c r="J1258" s="22">
        <f>IF(J850&gt;=0.9,1,0)</f>
        <v>1</v>
      </c>
      <c r="K1258" s="22">
        <f>IF(K850&gt;=0.9,1,0)</f>
        <v>1</v>
      </c>
      <c r="L1258" s="22">
        <f>IF(L850&gt;=0.9,1,0)</f>
        <v>1</v>
      </c>
      <c r="M1258" s="22">
        <f>IF(M850&gt;=0.9,1,0)</f>
        <v>1</v>
      </c>
      <c r="N1258" s="22">
        <f>IF(N850&gt;=0.9,1,0)</f>
        <v>1</v>
      </c>
      <c r="O1258" s="22">
        <f>IF(O850&gt;=0.9,1,0)</f>
        <v>1</v>
      </c>
      <c r="P1258" s="22">
        <f>IF(P850&gt;=0.9,1,0)</f>
        <v>1</v>
      </c>
      <c r="Q1258" s="22">
        <f>IF(Q850&gt;=0.9,1,0)</f>
        <v>1</v>
      </c>
      <c r="R1258" s="22">
        <f>IF(R850&gt;=0.9,1,0)</f>
        <v>1</v>
      </c>
      <c r="S1258" s="22">
        <f>IF(S850&gt;=0.9,1,0)</f>
        <v>1</v>
      </c>
    </row>
    <row r="1259">
      <c r="A1259" s="14" t="s">
        <v>124</v>
      </c>
      <c r="B1259" s="2" t="s">
        <v>368</v>
      </c>
      <c r="C1259" s="22">
        <f>IF(C851&gt;=0.9,1,0)</f>
        <v>0</v>
      </c>
      <c r="D1259" s="22">
        <f>IF(D851&gt;=0.9,1,0)</f>
        <v>0</v>
      </c>
      <c r="E1259" s="22">
        <f>IF(E851&gt;=0.9,1,0)</f>
        <v>0</v>
      </c>
      <c r="F1259" s="22">
        <f>IF(F851&gt;=0.9,1,0)</f>
        <v>0</v>
      </c>
      <c r="G1259" s="22">
        <f>IF(G851&gt;=0.9,1,0)</f>
        <v>0</v>
      </c>
      <c r="H1259" s="22">
        <f>IF(H851&gt;=0.9,1,0)</f>
        <v>0</v>
      </c>
      <c r="I1259" s="22">
        <f>IF(I851&gt;=0.9,1,0)</f>
        <v>0</v>
      </c>
      <c r="J1259" s="22">
        <f>IF(J851&gt;=0.9,1,0)</f>
        <v>0</v>
      </c>
      <c r="K1259" s="22">
        <f>IF(K851&gt;=0.9,1,0)</f>
        <v>0</v>
      </c>
      <c r="L1259" s="22">
        <f>IF(L851&gt;=0.9,1,0)</f>
        <v>0</v>
      </c>
      <c r="M1259" s="22">
        <f>IF(M851&gt;=0.9,1,0)</f>
        <v>0</v>
      </c>
      <c r="N1259" s="22">
        <f>IF(N851&gt;=0.9,1,0)</f>
        <v>0</v>
      </c>
      <c r="O1259" s="22">
        <f>IF(O851&gt;=0.9,1,0)</f>
        <v>0</v>
      </c>
      <c r="P1259" s="22">
        <f>IF(P851&gt;=0.9,1,0)</f>
        <v>0</v>
      </c>
      <c r="Q1259" s="22">
        <f>IF(Q851&gt;=0.9,1,0)</f>
        <v>0</v>
      </c>
      <c r="R1259" s="22">
        <f>IF(R851&gt;=0.9,1,0)</f>
        <v>0</v>
      </c>
      <c r="S1259" s="22">
        <f>IF(S851&gt;=0.9,1,0)</f>
        <v>0</v>
      </c>
    </row>
    <row r="1260">
      <c r="A1260" s="14" t="s">
        <v>125</v>
      </c>
      <c r="B1260" s="2" t="s">
        <v>368</v>
      </c>
      <c r="C1260" s="22">
        <f>IF(C852&gt;=0.9,1,0)</f>
        <v>1</v>
      </c>
      <c r="D1260" s="22">
        <f>IF(D852&gt;=0.9,1,0)</f>
        <v>1</v>
      </c>
      <c r="E1260" s="22">
        <f>IF(E852&gt;=0.9,1,0)</f>
        <v>1</v>
      </c>
      <c r="F1260" s="22">
        <f>IF(F852&gt;=0.9,1,0)</f>
        <v>1</v>
      </c>
      <c r="G1260" s="22">
        <f>IF(G852&gt;=0.9,1,0)</f>
        <v>1</v>
      </c>
      <c r="H1260" s="22">
        <f>IF(H852&gt;=0.9,1,0)</f>
        <v>1</v>
      </c>
      <c r="I1260" s="22">
        <f>IF(I852&gt;=0.9,1,0)</f>
        <v>1</v>
      </c>
      <c r="J1260" s="22">
        <f>IF(J852&gt;=0.9,1,0)</f>
        <v>1</v>
      </c>
      <c r="K1260" s="22">
        <f>IF(K852&gt;=0.9,1,0)</f>
        <v>1</v>
      </c>
      <c r="L1260" s="22">
        <f>IF(L852&gt;=0.9,1,0)</f>
        <v>1</v>
      </c>
      <c r="M1260" s="22">
        <f>IF(M852&gt;=0.9,1,0)</f>
        <v>1</v>
      </c>
      <c r="N1260" s="22">
        <f>IF(N852&gt;=0.9,1,0)</f>
        <v>1</v>
      </c>
      <c r="O1260" s="22">
        <f>IF(O852&gt;=0.9,1,0)</f>
        <v>1</v>
      </c>
      <c r="P1260" s="22">
        <f>IF(P852&gt;=0.9,1,0)</f>
        <v>1</v>
      </c>
      <c r="Q1260" s="22">
        <f>IF(Q852&gt;=0.9,1,0)</f>
        <v>1</v>
      </c>
      <c r="R1260" s="22">
        <f>IF(R852&gt;=0.9,1,0)</f>
        <v>1</v>
      </c>
      <c r="S1260" s="22">
        <f>IF(S852&gt;=0.9,1,0)</f>
        <v>1</v>
      </c>
    </row>
    <row r="1261">
      <c r="A1261" s="14" t="s">
        <v>387</v>
      </c>
      <c r="B1261" s="2" t="s">
        <v>368</v>
      </c>
      <c r="C1261" s="22">
        <f>IF(C853&gt;=0.9,1,0)</f>
        <v>0</v>
      </c>
      <c r="D1261" s="22">
        <f>IF(D853&gt;=0.9,1,0)</f>
        <v>0</v>
      </c>
      <c r="E1261" s="22">
        <f>IF(E853&gt;=0.9,1,0)</f>
        <v>0</v>
      </c>
      <c r="F1261" s="22">
        <f>IF(F853&gt;=0.9,1,0)</f>
        <v>0</v>
      </c>
      <c r="G1261" s="22">
        <f>IF(G853&gt;=0.9,1,0)</f>
        <v>0</v>
      </c>
      <c r="H1261" s="22">
        <f>IF(H853&gt;=0.9,1,0)</f>
        <v>0</v>
      </c>
      <c r="I1261" s="22">
        <f>IF(I853&gt;=0.9,1,0)</f>
        <v>0</v>
      </c>
      <c r="J1261" s="22">
        <f>IF(J853&gt;=0.9,1,0)</f>
        <v>0</v>
      </c>
      <c r="K1261" s="22">
        <f>IF(K853&gt;=0.9,1,0)</f>
        <v>0</v>
      </c>
      <c r="L1261" s="22">
        <f>IF(L853&gt;=0.9,1,0)</f>
        <v>0</v>
      </c>
      <c r="M1261" s="22">
        <f>IF(M853&gt;=0.9,1,0)</f>
        <v>0</v>
      </c>
      <c r="N1261" s="22">
        <f>IF(N853&gt;=0.9,1,0)</f>
        <v>0</v>
      </c>
      <c r="O1261" s="22">
        <f>IF(O853&gt;=0.9,1,0)</f>
        <v>0</v>
      </c>
      <c r="P1261" s="22">
        <f>IF(P853&gt;=0.9,1,0)</f>
        <v>0</v>
      </c>
      <c r="Q1261" s="22">
        <f>IF(Q853&gt;=0.9,1,0)</f>
        <v>0</v>
      </c>
      <c r="R1261" s="22">
        <f>IF(R853&gt;=0.9,1,0)</f>
        <v>0</v>
      </c>
      <c r="S1261" s="22">
        <f>IF(S853&gt;=0.9,1,0)</f>
        <v>0</v>
      </c>
    </row>
    <row r="1262">
      <c r="A1262" s="14" t="s">
        <v>127</v>
      </c>
      <c r="B1262" s="2" t="s">
        <v>368</v>
      </c>
      <c r="C1262" s="22">
        <f>IF(C854&gt;=0.9,1,0)</f>
        <v>1</v>
      </c>
      <c r="D1262" s="22">
        <f>IF(D854&gt;=0.9,1,0)</f>
        <v>1</v>
      </c>
      <c r="E1262" s="22">
        <f>IF(E854&gt;=0.9,1,0)</f>
        <v>1</v>
      </c>
      <c r="F1262" s="22">
        <f>IF(F854&gt;=0.9,1,0)</f>
        <v>1</v>
      </c>
      <c r="G1262" s="22">
        <f>IF(G854&gt;=0.9,1,0)</f>
        <v>1</v>
      </c>
      <c r="H1262" s="22">
        <f>IF(H854&gt;=0.9,1,0)</f>
        <v>1</v>
      </c>
      <c r="I1262" s="22">
        <f>IF(I854&gt;=0.9,1,0)</f>
        <v>1</v>
      </c>
      <c r="J1262" s="22">
        <f>IF(J854&gt;=0.9,1,0)</f>
        <v>1</v>
      </c>
      <c r="K1262" s="22">
        <f>IF(K854&gt;=0.9,1,0)</f>
        <v>1</v>
      </c>
      <c r="L1262" s="22">
        <f>IF(L854&gt;=0.9,1,0)</f>
        <v>1</v>
      </c>
      <c r="M1262" s="22">
        <f>IF(M854&gt;=0.9,1,0)</f>
        <v>1</v>
      </c>
      <c r="N1262" s="22">
        <f>IF(N854&gt;=0.9,1,0)</f>
        <v>1</v>
      </c>
      <c r="O1262" s="22">
        <f>IF(O854&gt;=0.9,1,0)</f>
        <v>1</v>
      </c>
      <c r="P1262" s="22">
        <f>IF(P854&gt;=0.9,1,0)</f>
        <v>1</v>
      </c>
      <c r="Q1262" s="22">
        <f>IF(Q854&gt;=0.9,1,0)</f>
        <v>1</v>
      </c>
      <c r="R1262" s="22">
        <f>IF(R854&gt;=0.9,1,0)</f>
        <v>1</v>
      </c>
      <c r="S1262" s="22">
        <f>IF(S854&gt;=0.9,1,0)</f>
        <v>1</v>
      </c>
    </row>
    <row r="1263">
      <c r="A1263" s="14" t="s">
        <v>128</v>
      </c>
      <c r="B1263" s="2" t="s">
        <v>368</v>
      </c>
      <c r="C1263" s="22">
        <f>IF(C855&gt;=0.9,1,0)</f>
        <v>1</v>
      </c>
      <c r="D1263" s="22">
        <f>IF(D855&gt;=0.9,1,0)</f>
        <v>1</v>
      </c>
      <c r="E1263" s="22">
        <f>IF(E855&gt;=0.9,1,0)</f>
        <v>1</v>
      </c>
      <c r="F1263" s="22">
        <f>IF(F855&gt;=0.9,1,0)</f>
        <v>1</v>
      </c>
      <c r="G1263" s="22">
        <f>IF(G855&gt;=0.9,1,0)</f>
        <v>1</v>
      </c>
      <c r="H1263" s="22">
        <f>IF(H855&gt;=0.9,1,0)</f>
        <v>1</v>
      </c>
      <c r="I1263" s="22">
        <f>IF(I855&gt;=0.9,1,0)</f>
        <v>1</v>
      </c>
      <c r="J1263" s="22">
        <f>IF(J855&gt;=0.9,1,0)</f>
        <v>1</v>
      </c>
      <c r="K1263" s="22">
        <f>IF(K855&gt;=0.9,1,0)</f>
        <v>1</v>
      </c>
      <c r="L1263" s="22">
        <f>IF(L855&gt;=0.9,1,0)</f>
        <v>1</v>
      </c>
      <c r="M1263" s="22">
        <f>IF(M855&gt;=0.9,1,0)</f>
        <v>1</v>
      </c>
      <c r="N1263" s="22">
        <f>IF(N855&gt;=0.9,1,0)</f>
        <v>1</v>
      </c>
      <c r="O1263" s="22">
        <f>IF(O855&gt;=0.9,1,0)</f>
        <v>1</v>
      </c>
      <c r="P1263" s="22">
        <f>IF(P855&gt;=0.9,1,0)</f>
        <v>1</v>
      </c>
      <c r="Q1263" s="22">
        <f>IF(Q855&gt;=0.9,1,0)</f>
        <v>1</v>
      </c>
      <c r="R1263" s="22">
        <f>IF(R855&gt;=0.9,1,0)</f>
        <v>1</v>
      </c>
      <c r="S1263" s="22">
        <f>IF(S855&gt;=0.9,1,0)</f>
        <v>1</v>
      </c>
    </row>
    <row r="1264">
      <c r="A1264" s="14" t="s">
        <v>388</v>
      </c>
      <c r="B1264" s="2" t="s">
        <v>368</v>
      </c>
      <c r="C1264" s="22">
        <f>IF(C856&gt;=0.9,1,0)</f>
        <v>0</v>
      </c>
      <c r="D1264" s="22">
        <f>IF(D856&gt;=0.9,1,0)</f>
        <v>0</v>
      </c>
      <c r="E1264" s="22">
        <f>IF(E856&gt;=0.9,1,0)</f>
        <v>0</v>
      </c>
      <c r="F1264" s="22">
        <f>IF(F856&gt;=0.9,1,0)</f>
        <v>0</v>
      </c>
      <c r="G1264" s="22">
        <f>IF(G856&gt;=0.9,1,0)</f>
        <v>0</v>
      </c>
      <c r="H1264" s="22">
        <f>IF(H856&gt;=0.9,1,0)</f>
        <v>0</v>
      </c>
      <c r="I1264" s="22">
        <f>IF(I856&gt;=0.9,1,0)</f>
        <v>0</v>
      </c>
      <c r="J1264" s="22">
        <f>IF(J856&gt;=0.9,1,0)</f>
        <v>0</v>
      </c>
      <c r="K1264" s="22">
        <f>IF(K856&gt;=0.9,1,0)</f>
        <v>0</v>
      </c>
      <c r="L1264" s="22">
        <f>IF(L856&gt;=0.9,1,0)</f>
        <v>0</v>
      </c>
      <c r="M1264" s="22">
        <f>IF(M856&gt;=0.9,1,0)</f>
        <v>0</v>
      </c>
      <c r="N1264" s="22">
        <f>IF(N856&gt;=0.9,1,0)</f>
        <v>0</v>
      </c>
      <c r="O1264" s="22">
        <f>IF(O856&gt;=0.9,1,0)</f>
        <v>0</v>
      </c>
      <c r="P1264" s="22">
        <f>IF(P856&gt;=0.9,1,0)</f>
        <v>0</v>
      </c>
      <c r="Q1264" s="22">
        <f>IF(Q856&gt;=0.9,1,0)</f>
        <v>0</v>
      </c>
      <c r="R1264" s="22">
        <f>IF(R856&gt;=0.9,1,0)</f>
        <v>0</v>
      </c>
      <c r="S1264" s="22">
        <f>IF(S856&gt;=0.9,1,0)</f>
        <v>0</v>
      </c>
    </row>
    <row r="1265">
      <c r="A1265" s="14" t="s">
        <v>389</v>
      </c>
      <c r="B1265" s="2" t="s">
        <v>368</v>
      </c>
      <c r="C1265" s="22">
        <f>IF(C857&gt;=0.9,1,0)</f>
        <v>1</v>
      </c>
      <c r="D1265" s="22">
        <f>IF(D857&gt;=0.9,1,0)</f>
        <v>1</v>
      </c>
      <c r="E1265" s="22">
        <f>IF(E857&gt;=0.9,1,0)</f>
        <v>1</v>
      </c>
      <c r="F1265" s="22">
        <f>IF(F857&gt;=0.9,1,0)</f>
        <v>1</v>
      </c>
      <c r="G1265" s="22">
        <f>IF(G857&gt;=0.9,1,0)</f>
        <v>1</v>
      </c>
      <c r="H1265" s="22">
        <f>IF(H857&gt;=0.9,1,0)</f>
        <v>1</v>
      </c>
      <c r="I1265" s="22">
        <f>IF(I857&gt;=0.9,1,0)</f>
        <v>1</v>
      </c>
      <c r="J1265" s="22">
        <f>IF(J857&gt;=0.9,1,0)</f>
        <v>1</v>
      </c>
      <c r="K1265" s="22">
        <f>IF(K857&gt;=0.9,1,0)</f>
        <v>1</v>
      </c>
      <c r="L1265" s="22">
        <f>IF(L857&gt;=0.9,1,0)</f>
        <v>0</v>
      </c>
      <c r="M1265" s="22">
        <f>IF(M857&gt;=0.9,1,0)</f>
        <v>0</v>
      </c>
      <c r="N1265" s="22">
        <f>IF(N857&gt;=0.9,1,0)</f>
        <v>0</v>
      </c>
      <c r="O1265" s="22">
        <f>IF(O857&gt;=0.9,1,0)</f>
        <v>0</v>
      </c>
      <c r="P1265" s="22">
        <f>IF(P857&gt;=0.9,1,0)</f>
        <v>0</v>
      </c>
      <c r="Q1265" s="22">
        <f>IF(Q857&gt;=0.9,1,0)</f>
        <v>0</v>
      </c>
      <c r="R1265" s="22">
        <f>IF(R857&gt;=0.9,1,0)</f>
        <v>0</v>
      </c>
      <c r="S1265" s="22">
        <f>IF(S857&gt;=0.9,1,0)</f>
        <v>0</v>
      </c>
    </row>
    <row r="1266">
      <c r="A1266" s="14" t="s">
        <v>131</v>
      </c>
      <c r="B1266" s="2" t="s">
        <v>368</v>
      </c>
      <c r="C1266" s="22">
        <f>IF(C858&gt;=0.9,1,0)</f>
        <v>1</v>
      </c>
      <c r="D1266" s="22">
        <f>IF(D858&gt;=0.9,1,0)</f>
        <v>1</v>
      </c>
      <c r="E1266" s="22">
        <f>IF(E858&gt;=0.9,1,0)</f>
        <v>1</v>
      </c>
      <c r="F1266" s="22">
        <f>IF(F858&gt;=0.9,1,0)</f>
        <v>1</v>
      </c>
      <c r="G1266" s="22">
        <f>IF(G858&gt;=0.9,1,0)</f>
        <v>1</v>
      </c>
      <c r="H1266" s="22">
        <f>IF(H858&gt;=0.9,1,0)</f>
        <v>1</v>
      </c>
      <c r="I1266" s="22">
        <f>IF(I858&gt;=0.9,1,0)</f>
        <v>1</v>
      </c>
      <c r="J1266" s="22">
        <f>IF(J858&gt;=0.9,1,0)</f>
        <v>1</v>
      </c>
      <c r="K1266" s="22">
        <f>IF(K858&gt;=0.9,1,0)</f>
        <v>0</v>
      </c>
      <c r="L1266" s="22">
        <f>IF(L858&gt;=0.9,1,0)</f>
        <v>0</v>
      </c>
      <c r="M1266" s="22">
        <f>IF(M858&gt;=0.9,1,0)</f>
        <v>0</v>
      </c>
      <c r="N1266" s="22">
        <f>IF(N858&gt;=0.9,1,0)</f>
        <v>0</v>
      </c>
      <c r="O1266" s="22">
        <f>IF(O858&gt;=0.9,1,0)</f>
        <v>0</v>
      </c>
      <c r="P1266" s="22">
        <f>IF(P858&gt;=0.9,1,0)</f>
        <v>0</v>
      </c>
      <c r="Q1266" s="22">
        <f>IF(Q858&gt;=0.9,1,0)</f>
        <v>0</v>
      </c>
      <c r="R1266" s="22">
        <f>IF(R858&gt;=0.9,1,0)</f>
        <v>0</v>
      </c>
      <c r="S1266" s="22">
        <f>IF(S858&gt;=0.9,1,0)</f>
        <v>0</v>
      </c>
    </row>
    <row r="1267">
      <c r="A1267" s="14" t="s">
        <v>390</v>
      </c>
      <c r="B1267" s="2" t="s">
        <v>368</v>
      </c>
      <c r="C1267" s="22">
        <f>IF(C859&gt;=0.9,1,0)</f>
        <v>0</v>
      </c>
      <c r="D1267" s="22">
        <f>IF(D859&gt;=0.9,1,0)</f>
        <v>0</v>
      </c>
      <c r="E1267" s="22">
        <f>IF(E859&gt;=0.9,1,0)</f>
        <v>0</v>
      </c>
      <c r="F1267" s="22">
        <f>IF(F859&gt;=0.9,1,0)</f>
        <v>0</v>
      </c>
      <c r="G1267" s="22">
        <f>IF(G859&gt;=0.9,1,0)</f>
        <v>0</v>
      </c>
      <c r="H1267" s="22">
        <f>IF(H859&gt;=0.9,1,0)</f>
        <v>0</v>
      </c>
      <c r="I1267" s="22">
        <f>IF(I859&gt;=0.9,1,0)</f>
        <v>0</v>
      </c>
      <c r="J1267" s="22">
        <f>IF(J859&gt;=0.9,1,0)</f>
        <v>0</v>
      </c>
      <c r="K1267" s="22">
        <f>IF(K859&gt;=0.9,1,0)</f>
        <v>0</v>
      </c>
      <c r="L1267" s="22">
        <f>IF(L859&gt;=0.9,1,0)</f>
        <v>0</v>
      </c>
      <c r="M1267" s="22">
        <f>IF(M859&gt;=0.9,1,0)</f>
        <v>0</v>
      </c>
      <c r="N1267" s="22">
        <f>IF(N859&gt;=0.9,1,0)</f>
        <v>0</v>
      </c>
      <c r="O1267" s="22">
        <f>IF(O859&gt;=0.9,1,0)</f>
        <v>0</v>
      </c>
      <c r="P1267" s="22">
        <f>IF(P859&gt;=0.9,1,0)</f>
        <v>0</v>
      </c>
      <c r="Q1267" s="22">
        <f>IF(Q859&gt;=0.9,1,0)</f>
        <v>0</v>
      </c>
      <c r="R1267" s="22">
        <f>IF(R859&gt;=0.9,1,0)</f>
        <v>0</v>
      </c>
      <c r="S1267" s="22">
        <f>IF(S859&gt;=0.9,1,0)</f>
        <v>0</v>
      </c>
    </row>
    <row r="1268">
      <c r="A1268" s="14" t="s">
        <v>133</v>
      </c>
      <c r="B1268" s="2" t="s">
        <v>368</v>
      </c>
      <c r="C1268" s="22">
        <f>IF(C860&gt;=0.9,1,0)</f>
        <v>1</v>
      </c>
      <c r="D1268" s="22">
        <f>IF(D860&gt;=0.9,1,0)</f>
        <v>1</v>
      </c>
      <c r="E1268" s="22">
        <f>IF(E860&gt;=0.9,1,0)</f>
        <v>1</v>
      </c>
      <c r="F1268" s="22">
        <f>IF(F860&gt;=0.9,1,0)</f>
        <v>1</v>
      </c>
      <c r="G1268" s="22">
        <f>IF(G860&gt;=0.9,1,0)</f>
        <v>1</v>
      </c>
      <c r="H1268" s="22">
        <f>IF(H860&gt;=0.9,1,0)</f>
        <v>0</v>
      </c>
      <c r="I1268" s="22">
        <f>IF(I860&gt;=0.9,1,0)</f>
        <v>0</v>
      </c>
      <c r="J1268" s="22">
        <f>IF(J860&gt;=0.9,1,0)</f>
        <v>0</v>
      </c>
      <c r="K1268" s="22">
        <f>IF(K860&gt;=0.9,1,0)</f>
        <v>0</v>
      </c>
      <c r="L1268" s="22">
        <f>IF(L860&gt;=0.9,1,0)</f>
        <v>0</v>
      </c>
      <c r="M1268" s="22">
        <f>IF(M860&gt;=0.9,1,0)</f>
        <v>0</v>
      </c>
      <c r="N1268" s="22">
        <f>IF(N860&gt;=0.9,1,0)</f>
        <v>0</v>
      </c>
      <c r="O1268" s="22">
        <f>IF(O860&gt;=0.9,1,0)</f>
        <v>0</v>
      </c>
      <c r="P1268" s="22">
        <f>IF(P860&gt;=0.9,1,0)</f>
        <v>0</v>
      </c>
      <c r="Q1268" s="22">
        <f>IF(Q860&gt;=0.9,1,0)</f>
        <v>0</v>
      </c>
      <c r="R1268" s="22">
        <f>IF(R860&gt;=0.9,1,0)</f>
        <v>0</v>
      </c>
      <c r="S1268" s="22">
        <f>IF(S860&gt;=0.9,1,0)</f>
        <v>0</v>
      </c>
    </row>
    <row r="1269">
      <c r="A1269" s="14" t="s">
        <v>134</v>
      </c>
      <c r="B1269" s="2" t="s">
        <v>368</v>
      </c>
      <c r="C1269" s="22">
        <f>IF(C861&gt;=0.9,1,0)</f>
        <v>0</v>
      </c>
      <c r="D1269" s="22">
        <f>IF(D861&gt;=0.9,1,0)</f>
        <v>0</v>
      </c>
      <c r="E1269" s="22">
        <f>IF(E861&gt;=0.9,1,0)</f>
        <v>0</v>
      </c>
      <c r="F1269" s="22">
        <f>IF(F861&gt;=0.9,1,0)</f>
        <v>0</v>
      </c>
      <c r="G1269" s="22">
        <f>IF(G861&gt;=0.9,1,0)</f>
        <v>0</v>
      </c>
      <c r="H1269" s="22">
        <f>IF(H861&gt;=0.9,1,0)</f>
        <v>0</v>
      </c>
      <c r="I1269" s="22">
        <f>IF(I861&gt;=0.9,1,0)</f>
        <v>0</v>
      </c>
      <c r="J1269" s="22">
        <f>IF(J861&gt;=0.9,1,0)</f>
        <v>0</v>
      </c>
      <c r="K1269" s="22">
        <f>IF(K861&gt;=0.9,1,0)</f>
        <v>0</v>
      </c>
      <c r="L1269" s="22">
        <f>IF(L861&gt;=0.9,1,0)</f>
        <v>0</v>
      </c>
      <c r="M1269" s="22">
        <f>IF(M861&gt;=0.9,1,0)</f>
        <v>0</v>
      </c>
      <c r="N1269" s="22">
        <f>IF(N861&gt;=0.9,1,0)</f>
        <v>0</v>
      </c>
      <c r="O1269" s="22">
        <f>IF(O861&gt;=0.9,1,0)</f>
        <v>0</v>
      </c>
      <c r="P1269" s="22">
        <f>IF(P861&gt;=0.9,1,0)</f>
        <v>0</v>
      </c>
      <c r="Q1269" s="22">
        <f>IF(Q861&gt;=0.9,1,0)</f>
        <v>0</v>
      </c>
      <c r="R1269" s="22">
        <f>IF(R861&gt;=0.9,1,0)</f>
        <v>0</v>
      </c>
      <c r="S1269" s="22">
        <f>IF(S861&gt;=0.9,1,0)</f>
        <v>0</v>
      </c>
    </row>
    <row r="1270">
      <c r="A1270" s="14" t="s">
        <v>135</v>
      </c>
      <c r="B1270" s="2" t="s">
        <v>368</v>
      </c>
      <c r="C1270" s="22">
        <f>IF(C862&gt;=0.9,1,0)</f>
        <v>1</v>
      </c>
      <c r="D1270" s="22">
        <f>IF(D862&gt;=0.9,1,0)</f>
        <v>1</v>
      </c>
      <c r="E1270" s="22">
        <f>IF(E862&gt;=0.9,1,0)</f>
        <v>1</v>
      </c>
      <c r="F1270" s="22">
        <f>IF(F862&gt;=0.9,1,0)</f>
        <v>1</v>
      </c>
      <c r="G1270" s="22">
        <f>IF(G862&gt;=0.9,1,0)</f>
        <v>1</v>
      </c>
      <c r="H1270" s="22">
        <f>IF(H862&gt;=0.9,1,0)</f>
        <v>1</v>
      </c>
      <c r="I1270" s="22">
        <f>IF(I862&gt;=0.9,1,0)</f>
        <v>1</v>
      </c>
      <c r="J1270" s="22">
        <f>IF(J862&gt;=0.9,1,0)</f>
        <v>1</v>
      </c>
      <c r="K1270" s="22">
        <f>IF(K862&gt;=0.9,1,0)</f>
        <v>0</v>
      </c>
      <c r="L1270" s="22">
        <f>IF(L862&gt;=0.9,1,0)</f>
        <v>0</v>
      </c>
      <c r="M1270" s="22">
        <f>IF(M862&gt;=0.9,1,0)</f>
        <v>0</v>
      </c>
      <c r="N1270" s="22">
        <f>IF(N862&gt;=0.9,1,0)</f>
        <v>0</v>
      </c>
      <c r="O1270" s="22">
        <f>IF(O862&gt;=0.9,1,0)</f>
        <v>0</v>
      </c>
      <c r="P1270" s="22">
        <f>IF(P862&gt;=0.9,1,0)</f>
        <v>0</v>
      </c>
      <c r="Q1270" s="22">
        <f>IF(Q862&gt;=0.9,1,0)</f>
        <v>0</v>
      </c>
      <c r="R1270" s="22">
        <f>IF(R862&gt;=0.9,1,0)</f>
        <v>0</v>
      </c>
      <c r="S1270" s="22">
        <f>IF(S862&gt;=0.9,1,0)</f>
        <v>0</v>
      </c>
    </row>
    <row r="1271">
      <c r="A1271" s="14" t="s">
        <v>391</v>
      </c>
      <c r="B1271" s="2" t="s">
        <v>368</v>
      </c>
      <c r="C1271" s="22">
        <f>IF(C863&gt;=0.9,1,0)</f>
        <v>0</v>
      </c>
      <c r="D1271" s="22">
        <f>IF(D863&gt;=0.9,1,0)</f>
        <v>0</v>
      </c>
      <c r="E1271" s="22">
        <f>IF(E863&gt;=0.9,1,0)</f>
        <v>0</v>
      </c>
      <c r="F1271" s="22">
        <f>IF(F863&gt;=0.9,1,0)</f>
        <v>0</v>
      </c>
      <c r="G1271" s="22">
        <f>IF(G863&gt;=0.9,1,0)</f>
        <v>0</v>
      </c>
      <c r="H1271" s="22">
        <f>IF(H863&gt;=0.9,1,0)</f>
        <v>0</v>
      </c>
      <c r="I1271" s="22">
        <f>IF(I863&gt;=0.9,1,0)</f>
        <v>0</v>
      </c>
      <c r="J1271" s="22">
        <f>IF(J863&gt;=0.9,1,0)</f>
        <v>0</v>
      </c>
      <c r="K1271" s="22">
        <f>IF(K863&gt;=0.9,1,0)</f>
        <v>0</v>
      </c>
      <c r="L1271" s="22">
        <f>IF(L863&gt;=0.9,1,0)</f>
        <v>0</v>
      </c>
      <c r="M1271" s="22">
        <f>IF(M863&gt;=0.9,1,0)</f>
        <v>0</v>
      </c>
      <c r="N1271" s="22">
        <f>IF(N863&gt;=0.9,1,0)</f>
        <v>0</v>
      </c>
      <c r="O1271" s="22">
        <f>IF(O863&gt;=0.9,1,0)</f>
        <v>0</v>
      </c>
      <c r="P1271" s="22">
        <f>IF(P863&gt;=0.9,1,0)</f>
        <v>0</v>
      </c>
      <c r="Q1271" s="22">
        <f>IF(Q863&gt;=0.9,1,0)</f>
        <v>0</v>
      </c>
      <c r="R1271" s="22">
        <f>IF(R863&gt;=0.9,1,0)</f>
        <v>0</v>
      </c>
      <c r="S1271" s="22">
        <f>IF(S863&gt;=0.9,1,0)</f>
        <v>0</v>
      </c>
    </row>
    <row r="1272">
      <c r="A1272" s="14" t="s">
        <v>392</v>
      </c>
      <c r="B1272" s="2" t="s">
        <v>393</v>
      </c>
      <c r="C1272" s="10">
        <v>0</v>
      </c>
      <c r="D1272" s="10">
        <v>0</v>
      </c>
      <c r="E1272" s="10">
        <v>0</v>
      </c>
      <c r="F1272" s="10">
        <v>0</v>
      </c>
      <c r="G1272" s="10">
        <v>0</v>
      </c>
      <c r="H1272" s="10">
        <v>0</v>
      </c>
      <c r="I1272" s="10">
        <v>0</v>
      </c>
      <c r="J1272" s="10">
        <v>0</v>
      </c>
      <c r="K1272" s="10">
        <v>0</v>
      </c>
      <c r="L1272" s="10">
        <v>0</v>
      </c>
      <c r="M1272" s="10">
        <v>0</v>
      </c>
      <c r="N1272" s="10">
        <v>0</v>
      </c>
      <c r="O1272" s="10">
        <v>0</v>
      </c>
      <c r="P1272" s="10">
        <v>0</v>
      </c>
      <c r="Q1272" s="10">
        <v>0</v>
      </c>
      <c r="R1272" s="10">
        <v>0</v>
      </c>
      <c r="S1272" s="10">
        <v>0</v>
      </c>
    </row>
    <row r="1273">
      <c r="A1273" s="14" t="s">
        <v>394</v>
      </c>
      <c r="B1273" s="2" t="s">
        <v>393</v>
      </c>
      <c r="C1273" s="10">
        <v>0</v>
      </c>
      <c r="D1273" s="10">
        <v>0</v>
      </c>
      <c r="E1273" s="10">
        <v>0</v>
      </c>
      <c r="F1273" s="10">
        <v>0</v>
      </c>
      <c r="G1273" s="10">
        <v>0</v>
      </c>
      <c r="H1273" s="10">
        <v>0</v>
      </c>
      <c r="I1273" s="10">
        <v>0</v>
      </c>
      <c r="J1273" s="10">
        <v>0</v>
      </c>
      <c r="K1273" s="10">
        <v>0</v>
      </c>
      <c r="L1273" s="10">
        <v>0</v>
      </c>
      <c r="M1273" s="10">
        <v>0</v>
      </c>
      <c r="N1273" s="10">
        <v>0</v>
      </c>
      <c r="O1273" s="10">
        <v>0</v>
      </c>
      <c r="P1273" s="10">
        <v>0</v>
      </c>
      <c r="Q1273" s="10">
        <v>0</v>
      </c>
      <c r="R1273" s="10">
        <v>0</v>
      </c>
      <c r="S1273" s="10">
        <v>0</v>
      </c>
    </row>
    <row r="1274">
      <c r="A1274" s="14" t="s">
        <v>395</v>
      </c>
      <c r="B1274" s="2" t="s">
        <v>393</v>
      </c>
      <c r="C1274" s="10">
        <v>0</v>
      </c>
      <c r="D1274" s="10">
        <v>0</v>
      </c>
      <c r="E1274" s="10">
        <v>0</v>
      </c>
      <c r="F1274" s="10">
        <v>0</v>
      </c>
      <c r="G1274" s="10">
        <v>0</v>
      </c>
      <c r="H1274" s="10">
        <v>0</v>
      </c>
      <c r="I1274" s="10">
        <v>0</v>
      </c>
      <c r="J1274" s="10">
        <v>0</v>
      </c>
      <c r="K1274" s="10">
        <v>0</v>
      </c>
      <c r="L1274" s="10">
        <v>0</v>
      </c>
      <c r="M1274" s="10">
        <v>0</v>
      </c>
      <c r="N1274" s="10">
        <v>0</v>
      </c>
      <c r="O1274" s="10">
        <v>0</v>
      </c>
      <c r="P1274" s="10">
        <v>0</v>
      </c>
      <c r="Q1274" s="10">
        <v>0</v>
      </c>
      <c r="R1274" s="10">
        <v>0</v>
      </c>
      <c r="S1274" s="10">
        <v>0</v>
      </c>
    </row>
    <row r="1275">
      <c r="A1275" s="14" t="s">
        <v>396</v>
      </c>
      <c r="B1275" s="2" t="s">
        <v>393</v>
      </c>
      <c r="C1275" s="10">
        <v>0</v>
      </c>
      <c r="D1275" s="10">
        <v>0</v>
      </c>
      <c r="E1275" s="10">
        <v>0</v>
      </c>
      <c r="F1275" s="10">
        <v>0</v>
      </c>
      <c r="G1275" s="10">
        <v>0</v>
      </c>
      <c r="H1275" s="10">
        <v>0</v>
      </c>
      <c r="I1275" s="10">
        <v>0</v>
      </c>
      <c r="J1275" s="10">
        <v>0</v>
      </c>
      <c r="K1275" s="10">
        <v>0</v>
      </c>
      <c r="L1275" s="10">
        <v>0</v>
      </c>
      <c r="M1275" s="10">
        <v>0</v>
      </c>
      <c r="N1275" s="10">
        <v>0</v>
      </c>
      <c r="O1275" s="10">
        <v>0</v>
      </c>
      <c r="P1275" s="10">
        <v>0</v>
      </c>
      <c r="Q1275" s="10">
        <v>0</v>
      </c>
      <c r="R1275" s="10">
        <v>0</v>
      </c>
      <c r="S1275" s="10">
        <v>0</v>
      </c>
    </row>
    <row r="1276">
      <c r="A1276" s="14" t="s">
        <v>397</v>
      </c>
      <c r="B1276" s="2" t="s">
        <v>393</v>
      </c>
      <c r="C1276" s="10">
        <v>0</v>
      </c>
      <c r="D1276" s="10">
        <v>0</v>
      </c>
      <c r="E1276" s="10">
        <v>0</v>
      </c>
      <c r="F1276" s="10">
        <v>0</v>
      </c>
      <c r="G1276" s="10">
        <v>0</v>
      </c>
      <c r="H1276" s="10">
        <v>0</v>
      </c>
      <c r="I1276" s="10">
        <v>0</v>
      </c>
      <c r="J1276" s="10">
        <v>0</v>
      </c>
      <c r="K1276" s="10">
        <v>0</v>
      </c>
      <c r="L1276" s="10">
        <v>0</v>
      </c>
      <c r="M1276" s="10">
        <v>0</v>
      </c>
      <c r="N1276" s="10">
        <v>0</v>
      </c>
      <c r="O1276" s="10">
        <v>0</v>
      </c>
      <c r="P1276" s="10">
        <v>0</v>
      </c>
      <c r="Q1276" s="10">
        <v>0</v>
      </c>
      <c r="R1276" s="10">
        <v>0</v>
      </c>
      <c r="S1276" s="10">
        <v>0</v>
      </c>
    </row>
    <row r="1277">
      <c r="A1277" s="14" t="s">
        <v>398</v>
      </c>
      <c r="B1277" s="2" t="s">
        <v>399</v>
      </c>
      <c r="C1277" s="10">
        <v>0</v>
      </c>
      <c r="D1277" s="10">
        <v>0</v>
      </c>
      <c r="E1277" s="10">
        <v>0</v>
      </c>
      <c r="F1277" s="10">
        <v>0</v>
      </c>
      <c r="G1277" s="10">
        <v>0</v>
      </c>
      <c r="H1277" s="10">
        <v>0</v>
      </c>
      <c r="I1277" s="10">
        <v>0</v>
      </c>
      <c r="J1277" s="10">
        <v>0</v>
      </c>
      <c r="K1277" s="10">
        <v>0</v>
      </c>
      <c r="L1277" s="10">
        <v>0</v>
      </c>
      <c r="M1277" s="10">
        <v>0</v>
      </c>
      <c r="N1277" s="10">
        <v>0</v>
      </c>
      <c r="O1277" s="10">
        <v>0</v>
      </c>
      <c r="P1277" s="10">
        <v>0</v>
      </c>
      <c r="Q1277" s="10">
        <v>0</v>
      </c>
      <c r="R1277" s="10">
        <v>0</v>
      </c>
      <c r="S1277" s="10">
        <v>0</v>
      </c>
    </row>
    <row r="1278">
      <c r="A1278" s="14" t="s">
        <v>400</v>
      </c>
      <c r="B1278" s="2" t="s">
        <v>399</v>
      </c>
      <c r="C1278" s="10">
        <v>0</v>
      </c>
      <c r="D1278" s="10">
        <v>0</v>
      </c>
      <c r="E1278" s="10">
        <v>0</v>
      </c>
      <c r="F1278" s="10">
        <v>0</v>
      </c>
      <c r="G1278" s="10">
        <v>0</v>
      </c>
      <c r="H1278" s="10">
        <v>0</v>
      </c>
      <c r="I1278" s="10">
        <v>0</v>
      </c>
      <c r="J1278" s="10">
        <v>0</v>
      </c>
      <c r="K1278" s="10">
        <v>0</v>
      </c>
      <c r="L1278" s="10">
        <v>0</v>
      </c>
      <c r="M1278" s="10">
        <v>0</v>
      </c>
      <c r="N1278" s="10">
        <v>0</v>
      </c>
      <c r="O1278" s="10">
        <v>0</v>
      </c>
      <c r="P1278" s="10">
        <v>0</v>
      </c>
      <c r="Q1278" s="10">
        <v>0</v>
      </c>
      <c r="R1278" s="10">
        <v>0</v>
      </c>
      <c r="S1278" s="10">
        <v>0</v>
      </c>
    </row>
    <row r="1279">
      <c r="A1279" s="14" t="s">
        <v>401</v>
      </c>
      <c r="B1279" s="2" t="s">
        <v>399</v>
      </c>
      <c r="C1279" s="10">
        <v>0</v>
      </c>
      <c r="D1279" s="10">
        <v>0</v>
      </c>
      <c r="E1279" s="10">
        <v>0</v>
      </c>
      <c r="F1279" s="10">
        <v>0</v>
      </c>
      <c r="G1279" s="10">
        <v>0</v>
      </c>
      <c r="H1279" s="10">
        <v>0</v>
      </c>
      <c r="I1279" s="10">
        <v>0</v>
      </c>
      <c r="J1279" s="10">
        <v>0</v>
      </c>
      <c r="K1279" s="10">
        <v>0</v>
      </c>
      <c r="L1279" s="10">
        <v>0</v>
      </c>
      <c r="M1279" s="10">
        <v>0</v>
      </c>
      <c r="N1279" s="10">
        <v>0</v>
      </c>
      <c r="O1279" s="10">
        <v>0</v>
      </c>
      <c r="P1279" s="10">
        <v>0</v>
      </c>
      <c r="Q1279" s="10">
        <v>0</v>
      </c>
      <c r="R1279" s="10">
        <v>0</v>
      </c>
      <c r="S1279" s="10">
        <v>0</v>
      </c>
    </row>
    <row r="1280">
      <c r="A1280" s="14" t="s">
        <v>402</v>
      </c>
      <c r="B1280" s="2" t="s">
        <v>399</v>
      </c>
      <c r="C1280" s="10">
        <v>0</v>
      </c>
      <c r="D1280" s="10">
        <v>0</v>
      </c>
      <c r="E1280" s="10">
        <v>0</v>
      </c>
      <c r="F1280" s="10">
        <v>0</v>
      </c>
      <c r="G1280" s="10">
        <v>0</v>
      </c>
      <c r="H1280" s="10">
        <v>0</v>
      </c>
      <c r="I1280" s="10">
        <v>0</v>
      </c>
      <c r="J1280" s="10">
        <v>0</v>
      </c>
      <c r="K1280" s="10">
        <v>0</v>
      </c>
      <c r="L1280" s="10">
        <v>0</v>
      </c>
      <c r="M1280" s="10">
        <v>0</v>
      </c>
      <c r="N1280" s="10">
        <v>0</v>
      </c>
      <c r="O1280" s="10">
        <v>0</v>
      </c>
      <c r="P1280" s="10">
        <v>0</v>
      </c>
      <c r="Q1280" s="10">
        <v>0</v>
      </c>
      <c r="R1280" s="10">
        <v>0</v>
      </c>
      <c r="S1280" s="10">
        <v>0</v>
      </c>
    </row>
    <row r="1281">
      <c r="A1281" s="14" t="s">
        <v>403</v>
      </c>
      <c r="B1281" s="2" t="s">
        <v>399</v>
      </c>
      <c r="C1281" s="10">
        <v>0</v>
      </c>
      <c r="D1281" s="10">
        <v>0</v>
      </c>
      <c r="E1281" s="10">
        <v>0</v>
      </c>
      <c r="F1281" s="10">
        <v>0</v>
      </c>
      <c r="G1281" s="10">
        <v>0</v>
      </c>
      <c r="H1281" s="10">
        <v>0</v>
      </c>
      <c r="I1281" s="10">
        <v>0</v>
      </c>
      <c r="J1281" s="10">
        <v>0</v>
      </c>
      <c r="K1281" s="10">
        <v>0</v>
      </c>
      <c r="L1281" s="10">
        <v>0</v>
      </c>
      <c r="M1281" s="10">
        <v>0</v>
      </c>
      <c r="N1281" s="10">
        <v>0</v>
      </c>
      <c r="O1281" s="10">
        <v>0</v>
      </c>
      <c r="P1281" s="10">
        <v>0</v>
      </c>
      <c r="Q1281" s="10">
        <v>0</v>
      </c>
      <c r="R1281" s="10">
        <v>0</v>
      </c>
      <c r="S1281" s="10">
        <v>0</v>
      </c>
    </row>
    <row r="1282">
      <c r="A1282" s="14" t="s">
        <v>404</v>
      </c>
      <c r="B1282" s="2" t="s">
        <v>399</v>
      </c>
      <c r="C1282" s="10">
        <v>0</v>
      </c>
      <c r="D1282" s="10">
        <v>0</v>
      </c>
      <c r="E1282" s="10">
        <v>0</v>
      </c>
      <c r="F1282" s="10">
        <v>0</v>
      </c>
      <c r="G1282" s="10">
        <v>0</v>
      </c>
      <c r="H1282" s="10">
        <v>0</v>
      </c>
      <c r="I1282" s="10">
        <v>0</v>
      </c>
      <c r="J1282" s="10">
        <v>0</v>
      </c>
      <c r="K1282" s="10">
        <v>0</v>
      </c>
      <c r="L1282" s="10">
        <v>0</v>
      </c>
      <c r="M1282" s="10">
        <v>0</v>
      </c>
      <c r="N1282" s="10">
        <v>0</v>
      </c>
      <c r="O1282" s="10">
        <v>0</v>
      </c>
      <c r="P1282" s="10">
        <v>0</v>
      </c>
      <c r="Q1282" s="10">
        <v>0</v>
      </c>
      <c r="R1282" s="10">
        <v>0</v>
      </c>
      <c r="S1282" s="10">
        <v>0</v>
      </c>
    </row>
    <row r="1283">
      <c r="A1283" s="14" t="s">
        <v>405</v>
      </c>
      <c r="B1283" s="2" t="s">
        <v>399</v>
      </c>
      <c r="C1283" s="10">
        <v>0</v>
      </c>
      <c r="D1283" s="10">
        <v>0</v>
      </c>
      <c r="E1283" s="10">
        <v>0</v>
      </c>
      <c r="F1283" s="10">
        <v>0</v>
      </c>
      <c r="G1283" s="10">
        <v>0</v>
      </c>
      <c r="H1283" s="10">
        <v>0</v>
      </c>
      <c r="I1283" s="10">
        <v>0</v>
      </c>
      <c r="J1283" s="10">
        <v>0</v>
      </c>
      <c r="K1283" s="10">
        <v>0</v>
      </c>
      <c r="L1283" s="10">
        <v>0</v>
      </c>
      <c r="M1283" s="10">
        <v>0</v>
      </c>
      <c r="N1283" s="10">
        <v>0</v>
      </c>
      <c r="O1283" s="10">
        <v>0</v>
      </c>
      <c r="P1283" s="10">
        <v>0</v>
      </c>
      <c r="Q1283" s="10">
        <v>0</v>
      </c>
      <c r="R1283" s="10">
        <v>0</v>
      </c>
      <c r="S1283" s="10">
        <v>0</v>
      </c>
    </row>
    <row r="1284">
      <c r="A1284" s="14" t="s">
        <v>406</v>
      </c>
      <c r="B1284" s="2" t="s">
        <v>399</v>
      </c>
      <c r="C1284" s="10">
        <v>0</v>
      </c>
      <c r="D1284" s="10">
        <v>0</v>
      </c>
      <c r="E1284" s="10">
        <v>0</v>
      </c>
      <c r="F1284" s="10">
        <v>0</v>
      </c>
      <c r="G1284" s="10">
        <v>0</v>
      </c>
      <c r="H1284" s="10">
        <v>0</v>
      </c>
      <c r="I1284" s="10">
        <v>0</v>
      </c>
      <c r="J1284" s="10">
        <v>0</v>
      </c>
      <c r="K1284" s="10">
        <v>0</v>
      </c>
      <c r="L1284" s="10">
        <v>0</v>
      </c>
      <c r="M1284" s="10">
        <v>0</v>
      </c>
      <c r="N1284" s="10">
        <v>0</v>
      </c>
      <c r="O1284" s="10">
        <v>0</v>
      </c>
      <c r="P1284" s="10">
        <v>0</v>
      </c>
      <c r="Q1284" s="10">
        <v>0</v>
      </c>
      <c r="R1284" s="10">
        <v>0</v>
      </c>
      <c r="S1284" s="10">
        <v>0</v>
      </c>
    </row>
    <row r="1285">
      <c r="A1285" s="14" t="s">
        <v>407</v>
      </c>
      <c r="B1285" s="2" t="s">
        <v>399</v>
      </c>
      <c r="C1285" s="10">
        <v>0</v>
      </c>
      <c r="D1285" s="10">
        <v>0</v>
      </c>
      <c r="E1285" s="10">
        <v>0</v>
      </c>
      <c r="F1285" s="10">
        <v>0</v>
      </c>
      <c r="G1285" s="10">
        <v>0</v>
      </c>
      <c r="H1285" s="10">
        <v>0</v>
      </c>
      <c r="I1285" s="10">
        <v>0</v>
      </c>
      <c r="J1285" s="10">
        <v>0</v>
      </c>
      <c r="K1285" s="10">
        <v>0</v>
      </c>
      <c r="L1285" s="10">
        <v>0</v>
      </c>
      <c r="M1285" s="10">
        <v>0</v>
      </c>
      <c r="N1285" s="10">
        <v>0</v>
      </c>
      <c r="O1285" s="10">
        <v>0</v>
      </c>
      <c r="P1285" s="10">
        <v>0</v>
      </c>
      <c r="Q1285" s="10">
        <v>0</v>
      </c>
      <c r="R1285" s="10">
        <v>0</v>
      </c>
      <c r="S1285" s="10">
        <v>0</v>
      </c>
    </row>
    <row r="1286">
      <c r="A1286" s="14" t="s">
        <v>408</v>
      </c>
      <c r="B1286" s="2" t="s">
        <v>399</v>
      </c>
      <c r="C1286" s="10">
        <v>0</v>
      </c>
      <c r="D1286" s="10">
        <v>0</v>
      </c>
      <c r="E1286" s="10">
        <v>0</v>
      </c>
      <c r="F1286" s="10">
        <v>0</v>
      </c>
      <c r="G1286" s="10">
        <v>0</v>
      </c>
      <c r="H1286" s="10">
        <v>0</v>
      </c>
      <c r="I1286" s="10">
        <v>0</v>
      </c>
      <c r="J1286" s="10">
        <v>0</v>
      </c>
      <c r="K1286" s="10">
        <v>0</v>
      </c>
      <c r="L1286" s="10">
        <v>0</v>
      </c>
      <c r="M1286" s="10">
        <v>0</v>
      </c>
      <c r="N1286" s="10">
        <v>0</v>
      </c>
      <c r="O1286" s="10">
        <v>0</v>
      </c>
      <c r="P1286" s="10">
        <v>0</v>
      </c>
      <c r="Q1286" s="10">
        <v>0</v>
      </c>
      <c r="R1286" s="10">
        <v>0</v>
      </c>
      <c r="S1286" s="10">
        <v>0</v>
      </c>
    </row>
    <row r="1287">
      <c r="A1287" s="14" t="s">
        <v>409</v>
      </c>
      <c r="B1287" s="2" t="s">
        <v>399</v>
      </c>
      <c r="C1287" s="10">
        <v>0</v>
      </c>
      <c r="D1287" s="10">
        <v>0</v>
      </c>
      <c r="E1287" s="10">
        <v>0</v>
      </c>
      <c r="F1287" s="10">
        <v>0</v>
      </c>
      <c r="G1287" s="10">
        <v>0</v>
      </c>
      <c r="H1287" s="10">
        <v>0</v>
      </c>
      <c r="I1287" s="10">
        <v>0</v>
      </c>
      <c r="J1287" s="10">
        <v>0</v>
      </c>
      <c r="K1287" s="10">
        <v>0</v>
      </c>
      <c r="L1287" s="10">
        <v>0</v>
      </c>
      <c r="M1287" s="10">
        <v>0</v>
      </c>
      <c r="N1287" s="10">
        <v>0</v>
      </c>
      <c r="O1287" s="10">
        <v>0</v>
      </c>
      <c r="P1287" s="10">
        <v>0</v>
      </c>
      <c r="Q1287" s="10">
        <v>0</v>
      </c>
      <c r="R1287" s="10">
        <v>0</v>
      </c>
      <c r="S1287" s="10">
        <v>0</v>
      </c>
    </row>
    <row r="1288">
      <c r="A1288" s="14" t="s">
        <v>410</v>
      </c>
      <c r="B1288" s="2" t="s">
        <v>399</v>
      </c>
      <c r="C1288" s="10">
        <v>0</v>
      </c>
      <c r="D1288" s="10">
        <v>0</v>
      </c>
      <c r="E1288" s="10">
        <v>0</v>
      </c>
      <c r="F1288" s="10">
        <v>0</v>
      </c>
      <c r="G1288" s="10">
        <v>0</v>
      </c>
      <c r="H1288" s="10">
        <v>0</v>
      </c>
      <c r="I1288" s="10">
        <v>0</v>
      </c>
      <c r="J1288" s="10">
        <v>0</v>
      </c>
      <c r="K1288" s="10">
        <v>0</v>
      </c>
      <c r="L1288" s="10">
        <v>0</v>
      </c>
      <c r="M1288" s="10">
        <v>0</v>
      </c>
      <c r="N1288" s="10">
        <v>0</v>
      </c>
      <c r="O1288" s="10">
        <v>0</v>
      </c>
      <c r="P1288" s="10">
        <v>0</v>
      </c>
      <c r="Q1288" s="10">
        <v>0</v>
      </c>
      <c r="R1288" s="10">
        <v>0</v>
      </c>
      <c r="S1288" s="10">
        <v>0</v>
      </c>
    </row>
    <row r="1289">
      <c r="A1289" s="14" t="s">
        <v>411</v>
      </c>
      <c r="B1289" s="2" t="s">
        <v>399</v>
      </c>
      <c r="C1289" s="10">
        <v>0</v>
      </c>
      <c r="D1289" s="10">
        <v>0</v>
      </c>
      <c r="E1289" s="10">
        <v>0</v>
      </c>
      <c r="F1289" s="10">
        <v>0</v>
      </c>
      <c r="G1289" s="10">
        <v>0</v>
      </c>
      <c r="H1289" s="10">
        <v>0</v>
      </c>
      <c r="I1289" s="10">
        <v>0</v>
      </c>
      <c r="J1289" s="10">
        <v>0</v>
      </c>
      <c r="K1289" s="10">
        <v>0</v>
      </c>
      <c r="L1289" s="10">
        <v>0</v>
      </c>
      <c r="M1289" s="10">
        <v>0</v>
      </c>
      <c r="N1289" s="10">
        <v>0</v>
      </c>
      <c r="O1289" s="10">
        <v>0</v>
      </c>
      <c r="P1289" s="10">
        <v>0</v>
      </c>
      <c r="Q1289" s="10">
        <v>0</v>
      </c>
      <c r="R1289" s="10">
        <v>0</v>
      </c>
      <c r="S1289" s="10">
        <v>0</v>
      </c>
    </row>
    <row r="1290">
      <c r="A1290" s="14" t="s">
        <v>412</v>
      </c>
      <c r="B1290" s="2" t="s">
        <v>399</v>
      </c>
      <c r="C1290" s="10">
        <v>0</v>
      </c>
      <c r="D1290" s="10">
        <v>0</v>
      </c>
      <c r="E1290" s="10">
        <v>0</v>
      </c>
      <c r="F1290" s="10">
        <v>0</v>
      </c>
      <c r="G1290" s="10">
        <v>0</v>
      </c>
      <c r="H1290" s="10">
        <v>0</v>
      </c>
      <c r="I1290" s="10">
        <v>0</v>
      </c>
      <c r="J1290" s="10">
        <v>0</v>
      </c>
      <c r="K1290" s="10">
        <v>0</v>
      </c>
      <c r="L1290" s="10">
        <v>0</v>
      </c>
      <c r="M1290" s="10">
        <v>0</v>
      </c>
      <c r="N1290" s="10">
        <v>0</v>
      </c>
      <c r="O1290" s="10">
        <v>0</v>
      </c>
      <c r="P1290" s="10">
        <v>0</v>
      </c>
      <c r="Q1290" s="10">
        <v>0</v>
      </c>
      <c r="R1290" s="10">
        <v>0</v>
      </c>
      <c r="S1290" s="10">
        <v>0</v>
      </c>
    </row>
    <row r="1291">
      <c r="A1291" s="14" t="s">
        <v>413</v>
      </c>
      <c r="B1291" s="2" t="s">
        <v>399</v>
      </c>
      <c r="C1291" s="10">
        <v>0</v>
      </c>
      <c r="D1291" s="10">
        <v>0</v>
      </c>
      <c r="E1291" s="10">
        <v>0</v>
      </c>
      <c r="F1291" s="10">
        <v>0</v>
      </c>
      <c r="G1291" s="10">
        <v>0</v>
      </c>
      <c r="H1291" s="10">
        <v>0</v>
      </c>
      <c r="I1291" s="10">
        <v>0</v>
      </c>
      <c r="J1291" s="10">
        <v>0</v>
      </c>
      <c r="K1291" s="10">
        <v>0</v>
      </c>
      <c r="L1291" s="10">
        <v>0</v>
      </c>
      <c r="M1291" s="10">
        <v>0</v>
      </c>
      <c r="N1291" s="10">
        <v>0</v>
      </c>
      <c r="O1291" s="10">
        <v>0</v>
      </c>
      <c r="P1291" s="10">
        <v>0</v>
      </c>
      <c r="Q1291" s="10">
        <v>0</v>
      </c>
      <c r="R1291" s="10">
        <v>0</v>
      </c>
      <c r="S1291" s="10">
        <v>0</v>
      </c>
    </row>
    <row r="1292">
      <c r="A1292" s="14" t="s">
        <v>414</v>
      </c>
      <c r="B1292" s="2" t="s">
        <v>399</v>
      </c>
      <c r="C1292" s="10">
        <v>0</v>
      </c>
      <c r="D1292" s="10">
        <v>0</v>
      </c>
      <c r="E1292" s="10">
        <v>0</v>
      </c>
      <c r="F1292" s="10">
        <v>0</v>
      </c>
      <c r="G1292" s="10">
        <v>0</v>
      </c>
      <c r="H1292" s="10">
        <v>0</v>
      </c>
      <c r="I1292" s="10">
        <v>0</v>
      </c>
      <c r="J1292" s="10">
        <v>0</v>
      </c>
      <c r="K1292" s="10">
        <v>0</v>
      </c>
      <c r="L1292" s="10">
        <v>0</v>
      </c>
      <c r="M1292" s="10">
        <v>0</v>
      </c>
      <c r="N1292" s="10">
        <v>0</v>
      </c>
      <c r="O1292" s="10">
        <v>0</v>
      </c>
      <c r="P1292" s="10">
        <v>0</v>
      </c>
      <c r="Q1292" s="10">
        <v>0</v>
      </c>
      <c r="R1292" s="10">
        <v>0</v>
      </c>
      <c r="S1292" s="10">
        <v>0</v>
      </c>
    </row>
    <row r="1293">
      <c r="A1293" s="14" t="s">
        <v>415</v>
      </c>
      <c r="B1293" s="2" t="s">
        <v>399</v>
      </c>
      <c r="C1293" s="10">
        <v>0</v>
      </c>
      <c r="D1293" s="10">
        <v>0</v>
      </c>
      <c r="E1293" s="10">
        <v>0</v>
      </c>
      <c r="F1293" s="10">
        <v>0</v>
      </c>
      <c r="G1293" s="10">
        <v>0</v>
      </c>
      <c r="H1293" s="10">
        <v>0</v>
      </c>
      <c r="I1293" s="10">
        <v>0</v>
      </c>
      <c r="J1293" s="10">
        <v>0</v>
      </c>
      <c r="K1293" s="10">
        <v>0</v>
      </c>
      <c r="L1293" s="10">
        <v>0</v>
      </c>
      <c r="M1293" s="10">
        <v>0</v>
      </c>
      <c r="N1293" s="10">
        <v>0</v>
      </c>
      <c r="O1293" s="10">
        <v>0</v>
      </c>
      <c r="P1293" s="10">
        <v>0</v>
      </c>
      <c r="Q1293" s="10">
        <v>0</v>
      </c>
      <c r="R1293" s="10">
        <v>0</v>
      </c>
      <c r="S1293" s="10">
        <v>0</v>
      </c>
    </row>
    <row r="1294">
      <c r="A1294" s="14" t="s">
        <v>416</v>
      </c>
      <c r="B1294" s="2" t="s">
        <v>399</v>
      </c>
      <c r="C1294" s="10">
        <v>0</v>
      </c>
      <c r="D1294" s="10">
        <v>0</v>
      </c>
      <c r="E1294" s="10">
        <v>0</v>
      </c>
      <c r="F1294" s="10">
        <v>0</v>
      </c>
      <c r="G1294" s="10">
        <v>0</v>
      </c>
      <c r="H1294" s="10">
        <v>0</v>
      </c>
      <c r="I1294" s="10">
        <v>0</v>
      </c>
      <c r="J1294" s="10">
        <v>0</v>
      </c>
      <c r="K1294" s="10">
        <v>0</v>
      </c>
      <c r="L1294" s="10">
        <v>0</v>
      </c>
      <c r="M1294" s="10">
        <v>0</v>
      </c>
      <c r="N1294" s="10">
        <v>0</v>
      </c>
      <c r="O1294" s="10">
        <v>0</v>
      </c>
      <c r="P1294" s="10">
        <v>0</v>
      </c>
      <c r="Q1294" s="10">
        <v>0</v>
      </c>
      <c r="R1294" s="10">
        <v>0</v>
      </c>
      <c r="S1294" s="10">
        <v>0</v>
      </c>
    </row>
    <row r="1295">
      <c r="A1295" s="14" t="s">
        <v>417</v>
      </c>
      <c r="B1295" s="2" t="s">
        <v>399</v>
      </c>
      <c r="C1295" s="10">
        <v>0</v>
      </c>
      <c r="D1295" s="10">
        <v>0</v>
      </c>
      <c r="E1295" s="10">
        <v>0</v>
      </c>
      <c r="F1295" s="10">
        <v>0</v>
      </c>
      <c r="G1295" s="10">
        <v>0</v>
      </c>
      <c r="H1295" s="10">
        <v>0</v>
      </c>
      <c r="I1295" s="10">
        <v>0</v>
      </c>
      <c r="J1295" s="10">
        <v>0</v>
      </c>
      <c r="K1295" s="10">
        <v>0</v>
      </c>
      <c r="L1295" s="10">
        <v>0</v>
      </c>
      <c r="M1295" s="10">
        <v>0</v>
      </c>
      <c r="N1295" s="10">
        <v>0</v>
      </c>
      <c r="O1295" s="10">
        <v>0</v>
      </c>
      <c r="P1295" s="10">
        <v>0</v>
      </c>
      <c r="Q1295" s="10">
        <v>0</v>
      </c>
      <c r="R1295" s="10">
        <v>0</v>
      </c>
      <c r="S1295" s="10">
        <v>0</v>
      </c>
    </row>
    <row r="1296">
      <c r="A1296" s="14" t="s">
        <v>418</v>
      </c>
      <c r="B1296" s="2" t="s">
        <v>399</v>
      </c>
      <c r="C1296" s="10">
        <v>0</v>
      </c>
      <c r="D1296" s="10">
        <v>0</v>
      </c>
      <c r="E1296" s="10">
        <v>0</v>
      </c>
      <c r="F1296" s="10">
        <v>0</v>
      </c>
      <c r="G1296" s="10">
        <v>0</v>
      </c>
      <c r="H1296" s="10">
        <v>0</v>
      </c>
      <c r="I1296" s="10">
        <v>0</v>
      </c>
      <c r="J1296" s="10">
        <v>0</v>
      </c>
      <c r="K1296" s="10">
        <v>0</v>
      </c>
      <c r="L1296" s="10">
        <v>0</v>
      </c>
      <c r="M1296" s="10">
        <v>0</v>
      </c>
      <c r="N1296" s="10">
        <v>0</v>
      </c>
      <c r="O1296" s="10">
        <v>0</v>
      </c>
      <c r="P1296" s="10">
        <v>0</v>
      </c>
      <c r="Q1296" s="10">
        <v>0</v>
      </c>
      <c r="R1296" s="10">
        <v>0</v>
      </c>
      <c r="S1296" s="10">
        <v>0</v>
      </c>
    </row>
    <row r="1297">
      <c r="A1297" s="14" t="s">
        <v>419</v>
      </c>
      <c r="B1297" s="2" t="s">
        <v>399</v>
      </c>
      <c r="C1297" s="10">
        <v>0</v>
      </c>
      <c r="D1297" s="10">
        <v>0</v>
      </c>
      <c r="E1297" s="10">
        <v>0</v>
      </c>
      <c r="F1297" s="10">
        <v>0</v>
      </c>
      <c r="G1297" s="10">
        <v>0</v>
      </c>
      <c r="H1297" s="10">
        <v>0</v>
      </c>
      <c r="I1297" s="10">
        <v>0</v>
      </c>
      <c r="J1297" s="10">
        <v>0</v>
      </c>
      <c r="K1297" s="10">
        <v>0</v>
      </c>
      <c r="L1297" s="10">
        <v>0</v>
      </c>
      <c r="M1297" s="10">
        <v>0</v>
      </c>
      <c r="N1297" s="10">
        <v>0</v>
      </c>
      <c r="O1297" s="10">
        <v>0</v>
      </c>
      <c r="P1297" s="10">
        <v>0</v>
      </c>
      <c r="Q1297" s="10">
        <v>0</v>
      </c>
      <c r="R1297" s="10">
        <v>0</v>
      </c>
      <c r="S1297" s="10">
        <v>0</v>
      </c>
    </row>
    <row r="1298">
      <c r="A1298" s="14" t="s">
        <v>420</v>
      </c>
      <c r="B1298" s="2" t="s">
        <v>399</v>
      </c>
      <c r="C1298" s="10">
        <v>0</v>
      </c>
      <c r="D1298" s="10">
        <v>0</v>
      </c>
      <c r="E1298" s="10">
        <v>0</v>
      </c>
      <c r="F1298" s="10">
        <v>0</v>
      </c>
      <c r="G1298" s="10">
        <v>0</v>
      </c>
      <c r="H1298" s="10">
        <v>0</v>
      </c>
      <c r="I1298" s="10">
        <v>0</v>
      </c>
      <c r="J1298" s="10">
        <v>0</v>
      </c>
      <c r="K1298" s="10">
        <v>0</v>
      </c>
      <c r="L1298" s="10">
        <v>0</v>
      </c>
      <c r="M1298" s="10">
        <v>0</v>
      </c>
      <c r="N1298" s="10">
        <v>0</v>
      </c>
      <c r="O1298" s="10">
        <v>0</v>
      </c>
      <c r="P1298" s="10">
        <v>0</v>
      </c>
      <c r="Q1298" s="10">
        <v>0</v>
      </c>
      <c r="R1298" s="10">
        <v>0</v>
      </c>
      <c r="S1298" s="10">
        <v>0</v>
      </c>
    </row>
    <row r="1299">
      <c r="A1299" s="14" t="s">
        <v>421</v>
      </c>
      <c r="B1299" s="2" t="s">
        <v>399</v>
      </c>
      <c r="C1299" s="10">
        <v>0</v>
      </c>
      <c r="D1299" s="10">
        <v>0</v>
      </c>
      <c r="E1299" s="10">
        <v>0</v>
      </c>
      <c r="F1299" s="10">
        <v>0</v>
      </c>
      <c r="G1299" s="10">
        <v>0</v>
      </c>
      <c r="H1299" s="10">
        <v>0</v>
      </c>
      <c r="I1299" s="10">
        <v>0</v>
      </c>
      <c r="J1299" s="10">
        <v>0</v>
      </c>
      <c r="K1299" s="10">
        <v>0</v>
      </c>
      <c r="L1299" s="10">
        <v>0</v>
      </c>
      <c r="M1299" s="10">
        <v>0</v>
      </c>
      <c r="N1299" s="10">
        <v>0</v>
      </c>
      <c r="O1299" s="10">
        <v>0</v>
      </c>
      <c r="P1299" s="10">
        <v>0</v>
      </c>
      <c r="Q1299" s="10">
        <v>0</v>
      </c>
      <c r="R1299" s="10">
        <v>0</v>
      </c>
      <c r="S1299" s="10">
        <v>0</v>
      </c>
    </row>
    <row r="1300">
      <c r="A1300" s="14" t="s">
        <v>422</v>
      </c>
      <c r="B1300" s="2" t="s">
        <v>399</v>
      </c>
      <c r="C1300" s="10">
        <v>0</v>
      </c>
      <c r="D1300" s="10">
        <v>0</v>
      </c>
      <c r="E1300" s="10">
        <v>0</v>
      </c>
      <c r="F1300" s="10">
        <v>0</v>
      </c>
      <c r="G1300" s="10">
        <v>0</v>
      </c>
      <c r="H1300" s="10">
        <v>0</v>
      </c>
      <c r="I1300" s="10">
        <v>0</v>
      </c>
      <c r="J1300" s="10">
        <v>0</v>
      </c>
      <c r="K1300" s="10">
        <v>0</v>
      </c>
      <c r="L1300" s="10">
        <v>0</v>
      </c>
      <c r="M1300" s="10">
        <v>0</v>
      </c>
      <c r="N1300" s="10">
        <v>0</v>
      </c>
      <c r="O1300" s="10">
        <v>0</v>
      </c>
      <c r="P1300" s="10">
        <v>0</v>
      </c>
      <c r="Q1300" s="10">
        <v>0</v>
      </c>
      <c r="R1300" s="10">
        <v>0</v>
      </c>
      <c r="S1300" s="10">
        <v>0</v>
      </c>
    </row>
    <row r="1301">
      <c r="A1301" s="14" t="s">
        <v>423</v>
      </c>
      <c r="B1301" s="2" t="s">
        <v>399</v>
      </c>
      <c r="C1301" s="10">
        <v>0</v>
      </c>
      <c r="D1301" s="10">
        <v>0</v>
      </c>
      <c r="E1301" s="10">
        <v>0</v>
      </c>
      <c r="F1301" s="10">
        <v>0</v>
      </c>
      <c r="G1301" s="10">
        <v>0</v>
      </c>
      <c r="H1301" s="10">
        <v>0</v>
      </c>
      <c r="I1301" s="10">
        <v>0</v>
      </c>
      <c r="J1301" s="10">
        <v>0</v>
      </c>
      <c r="K1301" s="10">
        <v>0</v>
      </c>
      <c r="L1301" s="10">
        <v>0</v>
      </c>
      <c r="M1301" s="10">
        <v>0</v>
      </c>
      <c r="N1301" s="10">
        <v>0</v>
      </c>
      <c r="O1301" s="10">
        <v>0</v>
      </c>
      <c r="P1301" s="10">
        <v>0</v>
      </c>
      <c r="Q1301" s="10">
        <v>0</v>
      </c>
      <c r="R1301" s="10">
        <v>0</v>
      </c>
      <c r="S1301" s="10">
        <v>0</v>
      </c>
    </row>
    <row r="1302">
      <c r="A1302" s="14" t="s">
        <v>424</v>
      </c>
      <c r="B1302" s="2" t="s">
        <v>399</v>
      </c>
      <c r="C1302" s="10">
        <v>0</v>
      </c>
      <c r="D1302" s="10">
        <v>0</v>
      </c>
      <c r="E1302" s="10">
        <v>0</v>
      </c>
      <c r="F1302" s="10">
        <v>0</v>
      </c>
      <c r="G1302" s="10">
        <v>0</v>
      </c>
      <c r="H1302" s="10">
        <v>0</v>
      </c>
      <c r="I1302" s="10">
        <v>0</v>
      </c>
      <c r="J1302" s="10">
        <v>0</v>
      </c>
      <c r="K1302" s="10">
        <v>0</v>
      </c>
      <c r="L1302" s="10">
        <v>0</v>
      </c>
      <c r="M1302" s="10">
        <v>0</v>
      </c>
      <c r="N1302" s="10">
        <v>0</v>
      </c>
      <c r="O1302" s="10">
        <v>0</v>
      </c>
      <c r="P1302" s="10">
        <v>0</v>
      </c>
      <c r="Q1302" s="10">
        <v>0</v>
      </c>
      <c r="R1302" s="10">
        <v>0</v>
      </c>
      <c r="S1302" s="10">
        <v>0</v>
      </c>
    </row>
    <row r="1303">
      <c r="A1303" s="14" t="s">
        <v>425</v>
      </c>
      <c r="B1303" s="2" t="s">
        <v>399</v>
      </c>
      <c r="C1303" s="10">
        <v>0</v>
      </c>
      <c r="D1303" s="10">
        <v>0</v>
      </c>
      <c r="E1303" s="10">
        <v>0</v>
      </c>
      <c r="F1303" s="10">
        <v>0</v>
      </c>
      <c r="G1303" s="10">
        <v>0</v>
      </c>
      <c r="H1303" s="10">
        <v>0</v>
      </c>
      <c r="I1303" s="10">
        <v>0</v>
      </c>
      <c r="J1303" s="10">
        <v>0</v>
      </c>
      <c r="K1303" s="10">
        <v>0</v>
      </c>
      <c r="L1303" s="10">
        <v>0</v>
      </c>
      <c r="M1303" s="10">
        <v>0</v>
      </c>
      <c r="N1303" s="10">
        <v>0</v>
      </c>
      <c r="O1303" s="10">
        <v>0</v>
      </c>
      <c r="P1303" s="10">
        <v>0</v>
      </c>
      <c r="Q1303" s="10">
        <v>0</v>
      </c>
      <c r="R1303" s="10">
        <v>0</v>
      </c>
      <c r="S1303" s="10">
        <v>0</v>
      </c>
    </row>
    <row r="1304">
      <c r="A1304" s="14" t="s">
        <v>426</v>
      </c>
      <c r="B1304" s="2" t="s">
        <v>399</v>
      </c>
      <c r="C1304" s="10">
        <v>0</v>
      </c>
      <c r="D1304" s="10">
        <v>0</v>
      </c>
      <c r="E1304" s="10">
        <v>0</v>
      </c>
      <c r="F1304" s="10">
        <v>0</v>
      </c>
      <c r="G1304" s="10">
        <v>0</v>
      </c>
      <c r="H1304" s="10">
        <v>0</v>
      </c>
      <c r="I1304" s="10">
        <v>0</v>
      </c>
      <c r="J1304" s="10">
        <v>0</v>
      </c>
      <c r="K1304" s="10">
        <v>0</v>
      </c>
      <c r="L1304" s="10">
        <v>0</v>
      </c>
      <c r="M1304" s="10">
        <v>0</v>
      </c>
      <c r="N1304" s="10">
        <v>0</v>
      </c>
      <c r="O1304" s="10">
        <v>0</v>
      </c>
      <c r="P1304" s="10">
        <v>0</v>
      </c>
      <c r="Q1304" s="10">
        <v>0</v>
      </c>
      <c r="R1304" s="10">
        <v>0</v>
      </c>
      <c r="S1304" s="10">
        <v>0</v>
      </c>
    </row>
    <row r="1305">
      <c r="A1305" s="14" t="s">
        <v>427</v>
      </c>
      <c r="B1305" s="2" t="s">
        <v>399</v>
      </c>
      <c r="C1305" s="10">
        <v>0</v>
      </c>
      <c r="D1305" s="10">
        <v>0</v>
      </c>
      <c r="E1305" s="10">
        <v>0</v>
      </c>
      <c r="F1305" s="10">
        <v>0</v>
      </c>
      <c r="G1305" s="10">
        <v>0</v>
      </c>
      <c r="H1305" s="10">
        <v>0</v>
      </c>
      <c r="I1305" s="10">
        <v>0</v>
      </c>
      <c r="J1305" s="10">
        <v>0</v>
      </c>
      <c r="K1305" s="10">
        <v>0</v>
      </c>
      <c r="L1305" s="10">
        <v>0</v>
      </c>
      <c r="M1305" s="10">
        <v>0</v>
      </c>
      <c r="N1305" s="10">
        <v>0</v>
      </c>
      <c r="O1305" s="10">
        <v>0</v>
      </c>
      <c r="P1305" s="10">
        <v>0</v>
      </c>
      <c r="Q1305" s="10">
        <v>0</v>
      </c>
      <c r="R1305" s="10">
        <v>0</v>
      </c>
      <c r="S1305" s="10">
        <v>0</v>
      </c>
    </row>
    <row r="1306">
      <c r="A1306" s="14" t="s">
        <v>428</v>
      </c>
      <c r="B1306" s="2" t="s">
        <v>399</v>
      </c>
      <c r="C1306" s="10">
        <v>0</v>
      </c>
      <c r="D1306" s="10">
        <v>0</v>
      </c>
      <c r="E1306" s="10">
        <v>0</v>
      </c>
      <c r="F1306" s="10">
        <v>0</v>
      </c>
      <c r="G1306" s="10">
        <v>0</v>
      </c>
      <c r="H1306" s="10">
        <v>0</v>
      </c>
      <c r="I1306" s="10">
        <v>0</v>
      </c>
      <c r="J1306" s="10">
        <v>0</v>
      </c>
      <c r="K1306" s="10">
        <v>0</v>
      </c>
      <c r="L1306" s="10">
        <v>0</v>
      </c>
      <c r="M1306" s="10">
        <v>0</v>
      </c>
      <c r="N1306" s="10">
        <v>0</v>
      </c>
      <c r="O1306" s="10">
        <v>0</v>
      </c>
      <c r="P1306" s="10">
        <v>0</v>
      </c>
      <c r="Q1306" s="10">
        <v>0</v>
      </c>
      <c r="R1306" s="10">
        <v>0</v>
      </c>
      <c r="S1306" s="10">
        <v>0</v>
      </c>
    </row>
    <row r="1307">
      <c r="A1307" s="14" t="s">
        <v>429</v>
      </c>
      <c r="B1307" s="2" t="s">
        <v>399</v>
      </c>
      <c r="C1307" s="10">
        <v>0</v>
      </c>
      <c r="D1307" s="10">
        <v>0</v>
      </c>
      <c r="E1307" s="10">
        <v>0</v>
      </c>
      <c r="F1307" s="10">
        <v>0</v>
      </c>
      <c r="G1307" s="10">
        <v>0</v>
      </c>
      <c r="H1307" s="10">
        <v>0</v>
      </c>
      <c r="I1307" s="10">
        <v>0</v>
      </c>
      <c r="J1307" s="10">
        <v>0</v>
      </c>
      <c r="K1307" s="10">
        <v>0</v>
      </c>
      <c r="L1307" s="10">
        <v>0</v>
      </c>
      <c r="M1307" s="10">
        <v>0</v>
      </c>
      <c r="N1307" s="10">
        <v>0</v>
      </c>
      <c r="O1307" s="10">
        <v>0</v>
      </c>
      <c r="P1307" s="10">
        <v>0</v>
      </c>
      <c r="Q1307" s="10">
        <v>0</v>
      </c>
      <c r="R1307" s="10">
        <v>0</v>
      </c>
      <c r="S1307" s="10">
        <v>0</v>
      </c>
    </row>
    <row r="1308">
      <c r="A1308" s="14" t="s">
        <v>430</v>
      </c>
      <c r="B1308" s="2" t="s">
        <v>399</v>
      </c>
      <c r="C1308" s="10">
        <v>0</v>
      </c>
      <c r="D1308" s="10">
        <v>0</v>
      </c>
      <c r="E1308" s="10">
        <v>0</v>
      </c>
      <c r="F1308" s="10">
        <v>0</v>
      </c>
      <c r="G1308" s="10">
        <v>0</v>
      </c>
      <c r="H1308" s="10">
        <v>0</v>
      </c>
      <c r="I1308" s="10">
        <v>0</v>
      </c>
      <c r="J1308" s="10">
        <v>0</v>
      </c>
      <c r="K1308" s="10">
        <v>0</v>
      </c>
      <c r="L1308" s="10">
        <v>0</v>
      </c>
      <c r="M1308" s="10">
        <v>0</v>
      </c>
      <c r="N1308" s="10">
        <v>0</v>
      </c>
      <c r="O1308" s="10">
        <v>0</v>
      </c>
      <c r="P1308" s="10">
        <v>0</v>
      </c>
      <c r="Q1308" s="10">
        <v>0</v>
      </c>
      <c r="R1308" s="10">
        <v>0</v>
      </c>
      <c r="S1308" s="10">
        <v>0</v>
      </c>
    </row>
    <row r="1309">
      <c r="A1309" s="14" t="s">
        <v>431</v>
      </c>
      <c r="B1309" s="2" t="s">
        <v>399</v>
      </c>
      <c r="C1309" s="10">
        <v>0</v>
      </c>
      <c r="D1309" s="10">
        <v>0</v>
      </c>
      <c r="E1309" s="10">
        <v>0</v>
      </c>
      <c r="F1309" s="10">
        <v>0</v>
      </c>
      <c r="G1309" s="10">
        <v>0</v>
      </c>
      <c r="H1309" s="10">
        <v>0</v>
      </c>
      <c r="I1309" s="10">
        <v>0</v>
      </c>
      <c r="J1309" s="10">
        <v>0</v>
      </c>
      <c r="K1309" s="10">
        <v>0</v>
      </c>
      <c r="L1309" s="10">
        <v>0</v>
      </c>
      <c r="M1309" s="10">
        <v>0</v>
      </c>
      <c r="N1309" s="10">
        <v>0</v>
      </c>
      <c r="O1309" s="10">
        <v>0</v>
      </c>
      <c r="P1309" s="10">
        <v>0</v>
      </c>
      <c r="Q1309" s="10">
        <v>0</v>
      </c>
      <c r="R1309" s="10">
        <v>0</v>
      </c>
      <c r="S1309" s="10">
        <v>0</v>
      </c>
    </row>
    <row r="1310">
      <c r="A1310" s="14" t="s">
        <v>432</v>
      </c>
      <c r="B1310" s="2" t="s">
        <v>399</v>
      </c>
      <c r="C1310" s="10">
        <v>0</v>
      </c>
      <c r="D1310" s="10">
        <v>0</v>
      </c>
      <c r="E1310" s="10">
        <v>0</v>
      </c>
      <c r="F1310" s="10">
        <v>0</v>
      </c>
      <c r="G1310" s="10">
        <v>0</v>
      </c>
      <c r="H1310" s="10">
        <v>0</v>
      </c>
      <c r="I1310" s="10">
        <v>0</v>
      </c>
      <c r="J1310" s="10">
        <v>0</v>
      </c>
      <c r="K1310" s="10">
        <v>0</v>
      </c>
      <c r="L1310" s="10">
        <v>0</v>
      </c>
      <c r="M1310" s="10">
        <v>0</v>
      </c>
      <c r="N1310" s="10">
        <v>0</v>
      </c>
      <c r="O1310" s="10">
        <v>0</v>
      </c>
      <c r="P1310" s="10">
        <v>0</v>
      </c>
      <c r="Q1310" s="10">
        <v>0</v>
      </c>
      <c r="R1310" s="10">
        <v>0</v>
      </c>
      <c r="S1310" s="10">
        <v>0</v>
      </c>
    </row>
    <row r="1311">
      <c r="A1311" s="14" t="s">
        <v>433</v>
      </c>
      <c r="B1311" s="2" t="s">
        <v>399</v>
      </c>
      <c r="C1311" s="10">
        <v>0</v>
      </c>
      <c r="D1311" s="10">
        <v>0</v>
      </c>
      <c r="E1311" s="10">
        <v>0</v>
      </c>
      <c r="F1311" s="10">
        <v>0</v>
      </c>
      <c r="G1311" s="10">
        <v>0</v>
      </c>
      <c r="H1311" s="10">
        <v>0</v>
      </c>
      <c r="I1311" s="10">
        <v>0</v>
      </c>
      <c r="J1311" s="10">
        <v>0</v>
      </c>
      <c r="K1311" s="10">
        <v>0</v>
      </c>
      <c r="L1311" s="10">
        <v>0</v>
      </c>
      <c r="M1311" s="10">
        <v>0</v>
      </c>
      <c r="N1311" s="10">
        <v>0</v>
      </c>
      <c r="O1311" s="10">
        <v>0</v>
      </c>
      <c r="P1311" s="10">
        <v>0</v>
      </c>
      <c r="Q1311" s="10">
        <v>0</v>
      </c>
      <c r="R1311" s="10">
        <v>0</v>
      </c>
      <c r="S1311" s="10">
        <v>0</v>
      </c>
    </row>
    <row r="1312">
      <c r="A1312" s="14" t="s">
        <v>434</v>
      </c>
      <c r="B1312" s="2" t="s">
        <v>399</v>
      </c>
      <c r="C1312" s="10">
        <v>0</v>
      </c>
      <c r="D1312" s="10">
        <v>0</v>
      </c>
      <c r="E1312" s="10">
        <v>0</v>
      </c>
      <c r="F1312" s="10">
        <v>0</v>
      </c>
      <c r="G1312" s="10">
        <v>0</v>
      </c>
      <c r="H1312" s="10">
        <v>0</v>
      </c>
      <c r="I1312" s="10">
        <v>0</v>
      </c>
      <c r="J1312" s="10">
        <v>0</v>
      </c>
      <c r="K1312" s="10">
        <v>0</v>
      </c>
      <c r="L1312" s="10">
        <v>0</v>
      </c>
      <c r="M1312" s="10">
        <v>0</v>
      </c>
      <c r="N1312" s="10">
        <v>0</v>
      </c>
      <c r="O1312" s="10">
        <v>0</v>
      </c>
      <c r="P1312" s="10">
        <v>0</v>
      </c>
      <c r="Q1312" s="10">
        <v>0</v>
      </c>
      <c r="R1312" s="10">
        <v>0</v>
      </c>
      <c r="S1312" s="10">
        <v>0</v>
      </c>
    </row>
    <row r="1313">
      <c r="A1313" s="14" t="s">
        <v>435</v>
      </c>
      <c r="B1313" s="2" t="s">
        <v>399</v>
      </c>
      <c r="C1313" s="10">
        <v>0</v>
      </c>
      <c r="D1313" s="10">
        <v>0</v>
      </c>
      <c r="E1313" s="10">
        <v>0</v>
      </c>
      <c r="F1313" s="10">
        <v>0</v>
      </c>
      <c r="G1313" s="10">
        <v>0</v>
      </c>
      <c r="H1313" s="10">
        <v>0</v>
      </c>
      <c r="I1313" s="10">
        <v>0</v>
      </c>
      <c r="J1313" s="10">
        <v>0</v>
      </c>
      <c r="K1313" s="10">
        <v>0</v>
      </c>
      <c r="L1313" s="10">
        <v>0</v>
      </c>
      <c r="M1313" s="10">
        <v>0</v>
      </c>
      <c r="N1313" s="10">
        <v>0</v>
      </c>
      <c r="O1313" s="10">
        <v>0</v>
      </c>
      <c r="P1313" s="10">
        <v>0</v>
      </c>
      <c r="Q1313" s="10">
        <v>0</v>
      </c>
      <c r="R1313" s="10">
        <v>0</v>
      </c>
      <c r="S1313" s="10">
        <v>0</v>
      </c>
    </row>
    <row r="1314">
      <c r="A1314" s="14" t="s">
        <v>436</v>
      </c>
      <c r="B1314" s="2" t="s">
        <v>399</v>
      </c>
      <c r="C1314" s="10">
        <v>0</v>
      </c>
      <c r="D1314" s="10">
        <v>0</v>
      </c>
      <c r="E1314" s="10">
        <v>0</v>
      </c>
      <c r="F1314" s="10">
        <v>0</v>
      </c>
      <c r="G1314" s="10">
        <v>0</v>
      </c>
      <c r="H1314" s="10">
        <v>0</v>
      </c>
      <c r="I1314" s="10">
        <v>0</v>
      </c>
      <c r="J1314" s="10">
        <v>0</v>
      </c>
      <c r="K1314" s="10">
        <v>0</v>
      </c>
      <c r="L1314" s="10">
        <v>0</v>
      </c>
      <c r="M1314" s="10">
        <v>0</v>
      </c>
      <c r="N1314" s="10">
        <v>0</v>
      </c>
      <c r="O1314" s="10">
        <v>0</v>
      </c>
      <c r="P1314" s="10">
        <v>0</v>
      </c>
      <c r="Q1314" s="10">
        <v>0</v>
      </c>
      <c r="R1314" s="10">
        <v>0</v>
      </c>
      <c r="S1314" s="10">
        <v>0</v>
      </c>
    </row>
    <row r="1315">
      <c r="A1315" s="14" t="s">
        <v>437</v>
      </c>
      <c r="B1315" s="2" t="s">
        <v>399</v>
      </c>
      <c r="C1315" s="10">
        <v>0</v>
      </c>
      <c r="D1315" s="10">
        <v>0</v>
      </c>
      <c r="E1315" s="10">
        <v>0</v>
      </c>
      <c r="F1315" s="10">
        <v>0</v>
      </c>
      <c r="G1315" s="10">
        <v>0</v>
      </c>
      <c r="H1315" s="10">
        <v>0</v>
      </c>
      <c r="I1315" s="10">
        <v>0</v>
      </c>
      <c r="J1315" s="10">
        <v>0</v>
      </c>
      <c r="K1315" s="10">
        <v>0</v>
      </c>
      <c r="L1315" s="10">
        <v>0</v>
      </c>
      <c r="M1315" s="10">
        <v>0</v>
      </c>
      <c r="N1315" s="10">
        <v>0</v>
      </c>
      <c r="O1315" s="10">
        <v>0</v>
      </c>
      <c r="P1315" s="10">
        <v>0</v>
      </c>
      <c r="Q1315" s="10">
        <v>0</v>
      </c>
      <c r="R1315" s="10">
        <v>0</v>
      </c>
      <c r="S1315" s="10">
        <v>0</v>
      </c>
    </row>
    <row r="1316">
      <c r="A1316" s="14" t="s">
        <v>438</v>
      </c>
      <c r="B1316" s="2" t="s">
        <v>399</v>
      </c>
      <c r="C1316" s="10">
        <v>0</v>
      </c>
      <c r="D1316" s="10">
        <v>0</v>
      </c>
      <c r="E1316" s="10">
        <v>0</v>
      </c>
      <c r="F1316" s="10">
        <v>0</v>
      </c>
      <c r="G1316" s="10">
        <v>0</v>
      </c>
      <c r="H1316" s="10">
        <v>0</v>
      </c>
      <c r="I1316" s="10">
        <v>0</v>
      </c>
      <c r="J1316" s="10">
        <v>0</v>
      </c>
      <c r="K1316" s="10">
        <v>0</v>
      </c>
      <c r="L1316" s="10">
        <v>0</v>
      </c>
      <c r="M1316" s="10">
        <v>0</v>
      </c>
      <c r="N1316" s="10">
        <v>0</v>
      </c>
      <c r="O1316" s="10">
        <v>0</v>
      </c>
      <c r="P1316" s="10">
        <v>0</v>
      </c>
      <c r="Q1316" s="10">
        <v>0</v>
      </c>
      <c r="R1316" s="10">
        <v>0</v>
      </c>
      <c r="S1316" s="10">
        <v>0</v>
      </c>
    </row>
    <row r="1317">
      <c r="A1317" s="14" t="s">
        <v>439</v>
      </c>
      <c r="B1317" s="2" t="s">
        <v>399</v>
      </c>
      <c r="C1317" s="10">
        <v>0</v>
      </c>
      <c r="D1317" s="10">
        <v>0</v>
      </c>
      <c r="E1317" s="10">
        <v>0</v>
      </c>
      <c r="F1317" s="10">
        <v>0</v>
      </c>
      <c r="G1317" s="10">
        <v>0</v>
      </c>
      <c r="H1317" s="10">
        <v>0</v>
      </c>
      <c r="I1317" s="10">
        <v>0</v>
      </c>
      <c r="J1317" s="10">
        <v>0</v>
      </c>
      <c r="K1317" s="10">
        <v>0</v>
      </c>
      <c r="L1317" s="10">
        <v>0</v>
      </c>
      <c r="M1317" s="10">
        <v>0</v>
      </c>
      <c r="N1317" s="10">
        <v>0</v>
      </c>
      <c r="O1317" s="10">
        <v>0</v>
      </c>
      <c r="P1317" s="10">
        <v>0</v>
      </c>
      <c r="Q1317" s="10">
        <v>0</v>
      </c>
      <c r="R1317" s="10">
        <v>0</v>
      </c>
      <c r="S1317" s="10">
        <v>0</v>
      </c>
    </row>
    <row r="1318">
      <c r="A1318" s="14" t="s">
        <v>440</v>
      </c>
      <c r="B1318" s="2" t="s">
        <v>399</v>
      </c>
      <c r="C1318" s="10">
        <v>0</v>
      </c>
      <c r="D1318" s="10">
        <v>0</v>
      </c>
      <c r="E1318" s="10">
        <v>0</v>
      </c>
      <c r="F1318" s="10">
        <v>0</v>
      </c>
      <c r="G1318" s="10">
        <v>0</v>
      </c>
      <c r="H1318" s="10">
        <v>0</v>
      </c>
      <c r="I1318" s="10">
        <v>0</v>
      </c>
      <c r="J1318" s="10">
        <v>0</v>
      </c>
      <c r="K1318" s="10">
        <v>0</v>
      </c>
      <c r="L1318" s="10">
        <v>0</v>
      </c>
      <c r="M1318" s="10">
        <v>0</v>
      </c>
      <c r="N1318" s="10">
        <v>0</v>
      </c>
      <c r="O1318" s="10">
        <v>0</v>
      </c>
      <c r="P1318" s="10">
        <v>0</v>
      </c>
      <c r="Q1318" s="10">
        <v>0</v>
      </c>
      <c r="R1318" s="10">
        <v>0</v>
      </c>
      <c r="S1318" s="10">
        <v>0</v>
      </c>
    </row>
    <row r="1319">
      <c r="A1319" s="14" t="s">
        <v>441</v>
      </c>
      <c r="B1319" s="2" t="s">
        <v>399</v>
      </c>
      <c r="C1319" s="10">
        <v>0</v>
      </c>
      <c r="D1319" s="10">
        <v>0</v>
      </c>
      <c r="E1319" s="10">
        <v>0</v>
      </c>
      <c r="F1319" s="10">
        <v>0</v>
      </c>
      <c r="G1319" s="10">
        <v>0</v>
      </c>
      <c r="H1319" s="10">
        <v>0</v>
      </c>
      <c r="I1319" s="10">
        <v>0</v>
      </c>
      <c r="J1319" s="10">
        <v>0</v>
      </c>
      <c r="K1319" s="10">
        <v>0</v>
      </c>
      <c r="L1319" s="10">
        <v>0</v>
      </c>
      <c r="M1319" s="10">
        <v>0</v>
      </c>
      <c r="N1319" s="10">
        <v>0</v>
      </c>
      <c r="O1319" s="10">
        <v>0</v>
      </c>
      <c r="P1319" s="10">
        <v>0</v>
      </c>
      <c r="Q1319" s="10">
        <v>0</v>
      </c>
      <c r="R1319" s="10">
        <v>0</v>
      </c>
      <c r="S1319" s="10">
        <v>0</v>
      </c>
    </row>
    <row r="1320">
      <c r="A1320" s="14" t="s">
        <v>442</v>
      </c>
      <c r="B1320" s="2" t="s">
        <v>399</v>
      </c>
      <c r="C1320" s="10">
        <v>0</v>
      </c>
      <c r="D1320" s="10">
        <v>0</v>
      </c>
      <c r="E1320" s="10">
        <v>0</v>
      </c>
      <c r="F1320" s="10">
        <v>0</v>
      </c>
      <c r="G1320" s="10">
        <v>0</v>
      </c>
      <c r="H1320" s="10">
        <v>0</v>
      </c>
      <c r="I1320" s="10">
        <v>0</v>
      </c>
      <c r="J1320" s="10">
        <v>0</v>
      </c>
      <c r="K1320" s="10">
        <v>0</v>
      </c>
      <c r="L1320" s="10">
        <v>0</v>
      </c>
      <c r="M1320" s="10">
        <v>0</v>
      </c>
      <c r="N1320" s="10">
        <v>0</v>
      </c>
      <c r="O1320" s="10">
        <v>0</v>
      </c>
      <c r="P1320" s="10">
        <v>0</v>
      </c>
      <c r="Q1320" s="10">
        <v>0</v>
      </c>
      <c r="R1320" s="10">
        <v>0</v>
      </c>
      <c r="S1320" s="10">
        <v>0</v>
      </c>
    </row>
    <row r="1321">
      <c r="A1321" s="14" t="s">
        <v>443</v>
      </c>
      <c r="B1321" s="2" t="s">
        <v>399</v>
      </c>
      <c r="C1321" s="10">
        <v>0</v>
      </c>
      <c r="D1321" s="10">
        <v>0</v>
      </c>
      <c r="E1321" s="10">
        <v>0</v>
      </c>
      <c r="F1321" s="10">
        <v>0</v>
      </c>
      <c r="G1321" s="10">
        <v>0</v>
      </c>
      <c r="H1321" s="10">
        <v>0</v>
      </c>
      <c r="I1321" s="10">
        <v>0</v>
      </c>
      <c r="J1321" s="10">
        <v>0</v>
      </c>
      <c r="K1321" s="10">
        <v>0</v>
      </c>
      <c r="L1321" s="10">
        <v>0</v>
      </c>
      <c r="M1321" s="10">
        <v>0</v>
      </c>
      <c r="N1321" s="10">
        <v>0</v>
      </c>
      <c r="O1321" s="10">
        <v>0</v>
      </c>
      <c r="P1321" s="10">
        <v>0</v>
      </c>
      <c r="Q1321" s="10">
        <v>0</v>
      </c>
      <c r="R1321" s="10">
        <v>0</v>
      </c>
      <c r="S1321" s="10">
        <v>0</v>
      </c>
    </row>
    <row r="1322">
      <c r="A1322" s="14" t="s">
        <v>444</v>
      </c>
      <c r="B1322" s="2" t="s">
        <v>399</v>
      </c>
      <c r="C1322" s="10">
        <v>0</v>
      </c>
      <c r="D1322" s="10">
        <v>0</v>
      </c>
      <c r="E1322" s="10">
        <v>0</v>
      </c>
      <c r="F1322" s="10">
        <v>0</v>
      </c>
      <c r="G1322" s="10">
        <v>0</v>
      </c>
      <c r="H1322" s="10">
        <v>0</v>
      </c>
      <c r="I1322" s="10">
        <v>0</v>
      </c>
      <c r="J1322" s="10">
        <v>0</v>
      </c>
      <c r="K1322" s="10">
        <v>0</v>
      </c>
      <c r="L1322" s="10">
        <v>0</v>
      </c>
      <c r="M1322" s="10">
        <v>0</v>
      </c>
      <c r="N1322" s="10">
        <v>0</v>
      </c>
      <c r="O1322" s="10">
        <v>0</v>
      </c>
      <c r="P1322" s="10">
        <v>0</v>
      </c>
      <c r="Q1322" s="10">
        <v>0</v>
      </c>
      <c r="R1322" s="10">
        <v>0</v>
      </c>
      <c r="S1322" s="10">
        <v>0</v>
      </c>
    </row>
  </sheetData>
  <pageMargins left="0.5" right="0.5" top="0.75" bottom="0.75" header="0.3" footer="0.3"/>
  <pageSetup orientation="landscape"/>
</worksheet>
</file>

<file path=xl/worksheets/sheet11.xml><?xml version="1.0" encoding="utf-8"?>
<worksheet xmlns="http://schemas.openxmlformats.org/spreadsheetml/2006/main" xmlns:r="http://schemas.openxmlformats.org/officeDocument/2006/relationships">
  <sheetPr>
    <tabColor rgb="FFC00000"/>
  </sheetPr>
  <dimension ref="A1:L195"/>
  <sheetViews>
    <sheetView workbookViewId="0">
      <pane ySplit="4" topLeftCell="A5" activePane="bottomLeft" state="frozen"/>
      <selection pane="bottomLeft" activeCell="A5" sqref="A5"/>
    </sheetView>
  </sheetViews>
  <sheetFormatPr defaultRowHeight="12.75"/>
  <cols>
    <col min="1" max="1" width="11" customWidth="1"/>
    <col min="2" max="2" width="10" customWidth="1"/>
    <col min="3" max="3" width="12" customWidth="1"/>
    <col min="4" max="4" width="12" customWidth="1"/>
    <col min="5" max="5" width="12" customWidth="1"/>
    <col min="6" max="6" width="16" customWidth="1"/>
    <col min="7" max="7" width="3" customWidth="1"/>
    <col min="8" max="8" width="11" customWidth="1"/>
    <col min="9" max="9" width="12" customWidth="1"/>
    <col min="10" max="10" width="12" customWidth="1"/>
    <col min="11" max="11" width="12" customWidth="1"/>
    <col min="12" max="12" width="8" customWidth="1"/>
  </cols>
  <sheetData>
    <row r="1">
      <c r="A1" s="1" t="s">
        <v>461</v>
      </c>
    </row>
    <row r="2">
      <c r="A2" s="2" t="s">
        <v>462</v>
      </c>
    </row>
    <row r="3">
      <c r="A3" s="2" t="s">
        <v>463</v>
      </c>
    </row>
    <row r="4" ht="36" customHeight="1">
      <c r="A4" s="3" t="s">
        <v>464</v>
      </c>
      <c r="B4" s="3" t="s">
        <v>27</v>
      </c>
      <c r="C4" s="3" t="s">
        <v>465</v>
      </c>
      <c r="D4" s="3" t="s">
        <v>466</v>
      </c>
      <c r="E4" s="3" t="s">
        <v>467</v>
      </c>
      <c r="F4" s="3" t="s">
        <v>468</v>
      </c>
      <c r="H4" s="3" t="s">
        <v>27</v>
      </c>
      <c r="I4" s="3" t="s">
        <v>469</v>
      </c>
      <c r="J4" s="3" t="s">
        <v>470</v>
      </c>
      <c r="K4" s="3" t="s">
        <v>471</v>
      </c>
      <c r="L4" s="3" t="s">
        <v>286</v>
      </c>
    </row>
    <row r="5">
      <c r="A5" s="20">
        <v>40452</v>
      </c>
      <c r="B5" s="23" t="s">
        <v>41</v>
      </c>
      <c r="C5" s="9">
        <v>190.43</v>
      </c>
      <c r="D5" s="9">
        <v>80.08</v>
      </c>
      <c r="E5" s="7">
        <f>D5*22.0462262</f>
        <v>1765.461794096</v>
      </c>
      <c r="F5" s="2" t="s">
        <v>472</v>
      </c>
      <c r="H5" s="5" t="s">
        <v>41</v>
      </c>
      <c r="I5" s="9">
        <f>AVERAGE(C5:C16)</f>
        <v>249.65999999999997</v>
      </c>
      <c r="J5" s="9">
        <f>AVERAGE(D5:D16)</f>
        <v>100.65583333333332</v>
      </c>
      <c r="K5" s="7">
        <f>AVERAGE(E5:E16)</f>
        <v>2219.0812700161664</v>
      </c>
      <c r="L5" s="22">
        <f>COUNT(C5:C16)</f>
        <v>12</v>
      </c>
    </row>
    <row r="6">
      <c r="A6" s="20">
        <v>40483</v>
      </c>
      <c r="B6" s="23" t="s">
        <v>41</v>
      </c>
      <c r="C6" s="9">
        <v>206.92</v>
      </c>
      <c r="D6" s="9">
        <v>86.4</v>
      </c>
      <c r="E6" s="7">
        <f>D6*22.0462262</f>
        <v>1904.79394368</v>
      </c>
      <c r="F6" s="2" t="s">
        <v>473</v>
      </c>
      <c r="H6" s="5" t="s">
        <v>42</v>
      </c>
      <c r="I6" s="9">
        <f>AVERAGE(C17:C28)</f>
        <v>197.8416666666667</v>
      </c>
      <c r="J6" s="9">
        <f>AVERAGE(D17:D28)</f>
        <v>91.38416666666667</v>
      </c>
      <c r="K6" s="7">
        <f>AVERAGE(E17:E28)</f>
        <v>2014.6760094318333</v>
      </c>
      <c r="L6" s="22">
        <f>COUNT(C17:C28)</f>
        <v>12</v>
      </c>
    </row>
    <row r="7">
      <c r="A7" s="20">
        <v>40513</v>
      </c>
      <c r="B7" s="23" t="s">
        <v>41</v>
      </c>
      <c r="C7" s="9">
        <v>221.51</v>
      </c>
      <c r="D7" s="9">
        <v>88.7</v>
      </c>
      <c r="E7" s="7">
        <f>D7*22.0462262</f>
        <v>1955.50026394</v>
      </c>
      <c r="F7" s="2" t="s">
        <v>474</v>
      </c>
      <c r="H7" s="5" t="s">
        <v>43</v>
      </c>
      <c r="I7" s="9">
        <f>AVERAGE(C29:C40)</f>
        <v>140.69833333333332</v>
      </c>
      <c r="J7" s="9">
        <f>AVERAGE(D29:D40)</f>
        <v>88.48083333333334</v>
      </c>
      <c r="K7" s="7">
        <f>AVERAGE(E29:E40)</f>
        <v>1950.6684660311666</v>
      </c>
      <c r="L7" s="22">
        <f>COUNT(C29:C40)</f>
        <v>12</v>
      </c>
    </row>
    <row r="8">
      <c r="A8" s="20">
        <v>40544</v>
      </c>
      <c r="B8" s="23" t="s">
        <v>41</v>
      </c>
      <c r="C8" s="9">
        <v>238.05</v>
      </c>
      <c r="D8" s="9">
        <v>96.02</v>
      </c>
      <c r="E8" s="7">
        <f>D8*22.0462262</f>
        <v>2116.878639724</v>
      </c>
      <c r="F8" s="2" t="s">
        <v>474</v>
      </c>
      <c r="H8" s="5" t="s">
        <v>44</v>
      </c>
      <c r="I8" s="9">
        <f>AVERAGE(C41:C52)</f>
        <v>161.4675</v>
      </c>
      <c r="J8" s="9">
        <f>AVERAGE(D41:D52)</f>
        <v>85.87416666666667</v>
      </c>
      <c r="K8" s="7">
        <f>AVERAGE(E41:E52)</f>
        <v>1893.2013030698333</v>
      </c>
      <c r="L8" s="22">
        <f>COUNT(C41:C52)</f>
        <v>12</v>
      </c>
    </row>
    <row r="9">
      <c r="A9" s="20">
        <v>40575</v>
      </c>
      <c r="B9" s="23" t="s">
        <v>41</v>
      </c>
      <c r="C9" s="9">
        <v>261.41</v>
      </c>
      <c r="D9" s="9">
        <v>104.53</v>
      </c>
      <c r="E9" s="7">
        <f>D9*22.0462262</f>
        <v>2304.492024686</v>
      </c>
      <c r="F9" s="2" t="s">
        <v>474</v>
      </c>
      <c r="H9" s="5" t="s">
        <v>45</v>
      </c>
      <c r="I9" s="9">
        <f>AVERAGE(C53:C64)</f>
        <v>154.02083333333334</v>
      </c>
      <c r="J9" s="9">
        <f>AVERAGE(D53:D64)</f>
        <v>83.91083333333333</v>
      </c>
      <c r="K9" s="7">
        <f>AVERAGE(E53:E64)</f>
        <v>1849.9172122971665</v>
      </c>
      <c r="L9" s="22">
        <f>COUNT(C53:C64)</f>
        <v>12</v>
      </c>
    </row>
    <row r="10">
      <c r="A10" s="20">
        <v>40603</v>
      </c>
      <c r="B10" s="23" t="s">
        <v>41</v>
      </c>
      <c r="C10" s="9">
        <v>274.1</v>
      </c>
      <c r="D10" s="9">
        <v>111.36</v>
      </c>
      <c r="E10" s="7">
        <f>D10*22.0462262</f>
        <v>2455.067749632</v>
      </c>
      <c r="F10" s="2" t="s">
        <v>474</v>
      </c>
      <c r="H10" s="5" t="s">
        <v>46</v>
      </c>
      <c r="I10" s="9">
        <f>AVERAGE(C65:C76)</f>
        <v>131.83249999999998</v>
      </c>
      <c r="J10" s="9">
        <f>AVERAGE(D65:D76)</f>
        <v>74.06833333333334</v>
      </c>
      <c r="K10" s="7">
        <f>AVERAGE(E65:E76)</f>
        <v>1632.9272309236667</v>
      </c>
      <c r="L10" s="22">
        <f>COUNT(C65:C76)</f>
        <v>12</v>
      </c>
    </row>
    <row r="11">
      <c r="A11" s="20">
        <v>40634</v>
      </c>
      <c r="B11" s="23" t="s">
        <v>41</v>
      </c>
      <c r="C11" s="9">
        <v>285.58</v>
      </c>
      <c r="D11" s="9">
        <v>111.34</v>
      </c>
      <c r="E11" s="7">
        <f>D11*22.0462262</f>
        <v>2454.626825108</v>
      </c>
      <c r="F11" s="2" t="s">
        <v>474</v>
      </c>
      <c r="H11" s="5" t="s">
        <v>47</v>
      </c>
      <c r="I11" s="9">
        <f>AVERAGE(C77:C88)</f>
        <v>143.7716666666667</v>
      </c>
      <c r="J11" s="9">
        <f>AVERAGE(D77:D88)</f>
        <v>95.12333333333335</v>
      </c>
      <c r="K11" s="7">
        <f>AVERAGE(E77:E88)</f>
        <v>2097.110523564667</v>
      </c>
      <c r="L11" s="22">
        <f>COUNT(C77:C88)</f>
        <v>12</v>
      </c>
    </row>
    <row r="12">
      <c r="A12" s="20">
        <v>40664</v>
      </c>
      <c r="B12" s="23" t="s">
        <v>41</v>
      </c>
      <c r="C12" s="9">
        <v>277.72</v>
      </c>
      <c r="D12" s="9">
        <v>116.76</v>
      </c>
      <c r="E12" s="7">
        <f>D12*22.0462262</f>
        <v>2574.117371112</v>
      </c>
      <c r="F12" s="2" t="s">
        <v>474</v>
      </c>
      <c r="H12" s="5" t="s">
        <v>48</v>
      </c>
      <c r="I12" s="9">
        <f>AVERAGE(C89:C100)</f>
        <v>120.60083333333334</v>
      </c>
      <c r="J12" s="9">
        <f>AVERAGE(D89:D100)</f>
        <v>78.28500000000001</v>
      </c>
      <c r="K12" s="7">
        <f>AVERAGE(E89:E100)</f>
        <v>1725.8888180669999</v>
      </c>
      <c r="L12" s="22">
        <f>COUNT(C89:C100)</f>
        <v>12</v>
      </c>
    </row>
    <row r="13">
      <c r="A13" s="20">
        <v>40695</v>
      </c>
      <c r="B13" s="23" t="s">
        <v>41</v>
      </c>
      <c r="C13" s="9">
        <v>262.52</v>
      </c>
      <c r="D13" s="9">
        <v>110.51</v>
      </c>
      <c r="E13" s="7">
        <f>D13*22.0462262</f>
        <v>2436.328457362</v>
      </c>
      <c r="F13" s="2" t="s">
        <v>474</v>
      </c>
      <c r="H13" s="5" t="s">
        <v>49</v>
      </c>
      <c r="I13" s="9">
        <f>AVERAGE(C101:C112)</f>
        <v>104.98083333333334</v>
      </c>
      <c r="J13" s="9">
        <f>AVERAGE(D101:D112)</f>
        <v>67.53249999999998</v>
      </c>
      <c r="K13" s="7">
        <f>AVERAGE(E101:E112)</f>
        <v>1488.8367708514998</v>
      </c>
      <c r="L13" s="22">
        <f>COUNT(C101:C112)</f>
        <v>12</v>
      </c>
    </row>
    <row r="14">
      <c r="A14" s="20">
        <v>40725</v>
      </c>
      <c r="B14" s="23" t="s">
        <v>41</v>
      </c>
      <c r="C14" s="9">
        <v>255.9</v>
      </c>
      <c r="D14" s="9">
        <v>103.36</v>
      </c>
      <c r="E14" s="7">
        <f>D14*22.0462262</f>
        <v>2278.697940032</v>
      </c>
      <c r="F14" s="2" t="s">
        <v>474</v>
      </c>
      <c r="H14" s="5" t="s">
        <v>50</v>
      </c>
      <c r="I14" s="9">
        <f>AVERAGE(C113:C124)</f>
        <v>113.23666666666666</v>
      </c>
      <c r="J14" s="9">
        <f>AVERAGE(D113:D124)</f>
        <v>59.22083333333333</v>
      </c>
      <c r="K14" s="7">
        <f>AVERAGE(E113:E124)</f>
        <v>1305.5958874191667</v>
      </c>
      <c r="L14" s="22">
        <f>COUNT(C113:C124)</f>
        <v>12</v>
      </c>
    </row>
    <row r="15">
      <c r="A15" s="20">
        <v>40756</v>
      </c>
      <c r="B15" s="23" t="s">
        <v>41</v>
      </c>
      <c r="C15" s="9">
        <v>260.39</v>
      </c>
      <c r="D15" s="9">
        <v>102.71</v>
      </c>
      <c r="E15" s="7">
        <f>D15*22.0462262</f>
        <v>2264.3678930019996</v>
      </c>
      <c r="F15" s="2" t="s">
        <v>474</v>
      </c>
      <c r="H15" s="5" t="s">
        <v>51</v>
      </c>
      <c r="I15" s="9">
        <f>AVERAGE(C125:C136)</f>
        <v>143.75333333333336</v>
      </c>
      <c r="J15" s="9">
        <f>AVERAGE(D125:D136)</f>
        <v>69.89583333333333</v>
      </c>
      <c r="K15" s="7">
        <f>AVERAGE(E125:E136)</f>
        <v>1540.9393521041666</v>
      </c>
      <c r="L15" s="22">
        <f>COUNT(C125:C136)</f>
        <v>12</v>
      </c>
    </row>
    <row r="16">
      <c r="A16" s="20">
        <v>40787</v>
      </c>
      <c r="B16" s="23" t="s">
        <v>41</v>
      </c>
      <c r="C16" s="9">
        <v>261.39</v>
      </c>
      <c r="D16" s="9">
        <v>96.1</v>
      </c>
      <c r="E16" s="7">
        <f>D16*22.0462262</f>
        <v>2118.6423378199997</v>
      </c>
      <c r="F16" s="2" t="s">
        <v>474</v>
      </c>
      <c r="H16" s="5" t="s">
        <v>52</v>
      </c>
      <c r="I16" s="9">
        <f>AVERAGE(C137:C148)</f>
        <v>224.0875</v>
      </c>
      <c r="J16" s="9">
        <f>AVERAGE(D137:D148)</f>
        <v>97.52916666666668</v>
      </c>
      <c r="K16" s="7">
        <f>AVERAGE(E137:E148)</f>
        <v>2150.1500694308334</v>
      </c>
      <c r="L16" s="22">
        <f>COUNT(C137:C148)</f>
        <v>12</v>
      </c>
    </row>
    <row r="17">
      <c r="A17" s="20">
        <v>40817</v>
      </c>
      <c r="B17" s="23" t="s">
        <v>42</v>
      </c>
      <c r="C17" s="9">
        <v>236.74</v>
      </c>
      <c r="D17" s="9">
        <v>88.64</v>
      </c>
      <c r="E17" s="7">
        <f>D17*22.0462262</f>
        <v>1954.177490368</v>
      </c>
      <c r="F17" s="2" t="s">
        <v>475</v>
      </c>
      <c r="H17" s="5" t="s">
        <v>53</v>
      </c>
      <c r="I17" s="9">
        <f>AVERAGE(C149:C160)</f>
        <v>171.18999999999997</v>
      </c>
      <c r="J17" s="9">
        <f>AVERAGE(D149:D160)</f>
        <v>100.565</v>
      </c>
      <c r="K17" s="7">
        <f>AVERAGE(E149:E160)</f>
        <v>2217.078737803</v>
      </c>
      <c r="L17" s="22">
        <f>COUNT(C149:C160)</f>
        <v>12</v>
      </c>
    </row>
    <row r="18">
      <c r="A18" s="20">
        <v>40848</v>
      </c>
      <c r="B18" s="23" t="s">
        <v>42</v>
      </c>
      <c r="C18" s="9">
        <v>235.25</v>
      </c>
      <c r="D18" s="9">
        <v>85.78</v>
      </c>
      <c r="E18" s="7">
        <f>D18*22.0462262</f>
        <v>1891.125283436</v>
      </c>
      <c r="F18" s="2" t="s">
        <v>476</v>
      </c>
      <c r="H18" s="5" t="s">
        <v>54</v>
      </c>
      <c r="I18" s="9">
        <f>AVERAGE(C161:C172)</f>
        <v>204.00166666666667</v>
      </c>
      <c r="J18" s="9">
        <f>AVERAGE(D161:D172)</f>
        <v>158.95000000000002</v>
      </c>
      <c r="K18" s="7">
        <f>AVERAGE(E161:E172)</f>
        <v>3504.24765449</v>
      </c>
      <c r="L18" s="22">
        <f>COUNT(C161:C172)</f>
        <v>12</v>
      </c>
    </row>
    <row r="19">
      <c r="A19" s="20">
        <v>40878</v>
      </c>
      <c r="B19" s="23" t="s">
        <v>42</v>
      </c>
      <c r="C19" s="9">
        <v>227.23</v>
      </c>
      <c r="D19" s="9">
        <v>87.65</v>
      </c>
      <c r="E19" s="7">
        <f>D19*22.0462262</f>
        <v>1932.35172643</v>
      </c>
      <c r="F19" s="2" t="s">
        <v>477</v>
      </c>
      <c r="H19" s="5" t="s">
        <v>55</v>
      </c>
      <c r="I19" s="9">
        <f>AVERAGE(C173:C184)</f>
        <v>333.06</v>
      </c>
      <c r="J19" s="9">
        <f>AVERAGE(D173:D184)</f>
        <v>213.2675</v>
      </c>
      <c r="K19" s="7">
        <f>AVERAGE(E173:E184)</f>
        <v>4701.7435461085</v>
      </c>
      <c r="L19" s="22">
        <f>COUNT(C173:C184)</f>
        <v>12</v>
      </c>
    </row>
    <row r="20">
      <c r="A20" s="20">
        <v>40909</v>
      </c>
      <c r="B20" s="23" t="s">
        <v>42</v>
      </c>
      <c r="C20" s="9">
        <v>227.5</v>
      </c>
      <c r="D20" s="9">
        <v>84.19</v>
      </c>
      <c r="E20" s="7">
        <f>D20*22.0462262</f>
        <v>1856.0717837779998</v>
      </c>
      <c r="F20" s="2" t="s">
        <v>478</v>
      </c>
      <c r="H20" s="5" t="s">
        <v>56</v>
      </c>
      <c r="I20" s="9">
        <f>AVERAGE(C185:C195)</f>
        <v>312.21</v>
      </c>
      <c r="J20" s="9">
        <f>AVERAGE(D185:D195)</f>
        <v>171.8418181818182</v>
      </c>
      <c r="K20" s="7">
        <f>AVERAGE(E185:E195)</f>
        <v>3788.463594255636</v>
      </c>
      <c r="L20" s="22">
        <f>COUNT(C185:C195)</f>
        <v>11</v>
      </c>
    </row>
    <row r="21">
      <c r="A21" s="20">
        <v>40940</v>
      </c>
      <c r="B21" s="23" t="s">
        <v>42</v>
      </c>
      <c r="C21" s="9">
        <v>212.09</v>
      </c>
      <c r="D21" s="9">
        <v>88.69</v>
      </c>
      <c r="E21" s="7">
        <f>D21*22.0462262</f>
        <v>1955.279801678</v>
      </c>
      <c r="F21" s="2" t="s">
        <v>479</v>
      </c>
      <c r="H21" s="5" t="s">
        <v>85</v>
      </c>
      <c r="I21" s="2" t="s">
        <v>480</v>
      </c>
    </row>
    <row r="22">
      <c r="A22" s="20">
        <v>40969</v>
      </c>
      <c r="B22" s="23" t="s">
        <v>42</v>
      </c>
      <c r="C22" s="9">
        <v>188.78</v>
      </c>
      <c r="D22" s="9">
        <v>91.37</v>
      </c>
      <c r="E22" s="7">
        <f>D22*22.0462262</f>
        <v>2014.3636878940001</v>
      </c>
      <c r="F22" s="2" t="s">
        <v>481</v>
      </c>
    </row>
    <row r="23">
      <c r="A23" s="20">
        <v>41000</v>
      </c>
      <c r="B23" s="23" t="s">
        <v>42</v>
      </c>
      <c r="C23" s="9">
        <v>181.75</v>
      </c>
      <c r="D23" s="9">
        <v>91.81</v>
      </c>
      <c r="E23" s="7">
        <f>D23*22.0462262</f>
        <v>2024.064027422</v>
      </c>
      <c r="F23" s="2" t="s">
        <v>482</v>
      </c>
    </row>
    <row r="24">
      <c r="A24" s="20">
        <v>41030</v>
      </c>
      <c r="B24" s="23" t="s">
        <v>42</v>
      </c>
      <c r="C24" s="9">
        <v>176.5</v>
      </c>
      <c r="D24" s="9">
        <v>96.82</v>
      </c>
      <c r="E24" s="7">
        <f>D24*22.0462262</f>
        <v>2134.5156206839997</v>
      </c>
      <c r="F24" s="2" t="s">
        <v>483</v>
      </c>
    </row>
    <row r="25">
      <c r="A25" s="20">
        <v>41061</v>
      </c>
      <c r="B25" s="23" t="s">
        <v>42</v>
      </c>
      <c r="C25" s="9">
        <v>159.93</v>
      </c>
      <c r="D25" s="9">
        <v>94.75</v>
      </c>
      <c r="E25" s="7">
        <f>D25*22.0462262</f>
        <v>2088.87993245</v>
      </c>
      <c r="F25" s="2" t="s">
        <v>484</v>
      </c>
    </row>
    <row r="26">
      <c r="A26" s="20">
        <v>41091</v>
      </c>
      <c r="B26" s="23" t="s">
        <v>42</v>
      </c>
      <c r="C26" s="9">
        <v>183.2</v>
      </c>
      <c r="D26" s="9">
        <v>96.14</v>
      </c>
      <c r="E26" s="7">
        <f>D26*22.0462262</f>
        <v>2119.524186868</v>
      </c>
      <c r="F26" s="2" t="s">
        <v>485</v>
      </c>
    </row>
    <row r="27">
      <c r="A27" s="20">
        <v>41122</v>
      </c>
      <c r="B27" s="23" t="s">
        <v>42</v>
      </c>
      <c r="C27" s="9">
        <v>169.77</v>
      </c>
      <c r="D27" s="9">
        <v>96.12</v>
      </c>
      <c r="E27" s="7">
        <f>D27*22.0462262</f>
        <v>2119.083262344</v>
      </c>
      <c r="F27" s="2" t="s">
        <v>486</v>
      </c>
    </row>
    <row r="28">
      <c r="A28" s="20">
        <v>41153</v>
      </c>
      <c r="B28" s="23" t="s">
        <v>42</v>
      </c>
      <c r="C28" s="9">
        <v>175.36</v>
      </c>
      <c r="D28" s="9">
        <v>94.65</v>
      </c>
      <c r="E28" s="7">
        <f>D28*22.0462262</f>
        <v>2086.67530983</v>
      </c>
      <c r="F28" s="2" t="s">
        <v>487</v>
      </c>
    </row>
    <row r="29">
      <c r="A29" s="20">
        <v>41183</v>
      </c>
      <c r="B29" s="23" t="s">
        <v>43</v>
      </c>
      <c r="C29" s="9">
        <v>170.43</v>
      </c>
      <c r="D29" s="9">
        <v>94.66</v>
      </c>
      <c r="E29" s="7">
        <f>D29*22.0462262</f>
        <v>2086.895772092</v>
      </c>
      <c r="F29" s="2" t="s">
        <v>488</v>
      </c>
    </row>
    <row r="30">
      <c r="A30" s="20">
        <v>41214</v>
      </c>
      <c r="B30" s="23" t="s">
        <v>43</v>
      </c>
      <c r="C30" s="9">
        <v>155.72</v>
      </c>
      <c r="D30" s="9">
        <v>87.32</v>
      </c>
      <c r="E30" s="7">
        <f>D30*22.0462262</f>
        <v>1925.0764717839998</v>
      </c>
      <c r="F30" s="2" t="s">
        <v>489</v>
      </c>
    </row>
    <row r="31">
      <c r="A31" s="20">
        <v>41244</v>
      </c>
      <c r="B31" s="23" t="s">
        <v>43</v>
      </c>
      <c r="C31" s="9">
        <v>149.58</v>
      </c>
      <c r="D31" s="9">
        <v>85.94</v>
      </c>
      <c r="E31" s="7">
        <f>D31*22.0462262</f>
        <v>1894.652679628</v>
      </c>
      <c r="F31" s="2" t="s">
        <v>490</v>
      </c>
    </row>
    <row r="32">
      <c r="A32" s="20">
        <v>41275</v>
      </c>
      <c r="B32" s="23" t="s">
        <v>43</v>
      </c>
      <c r="C32" s="9">
        <v>154.28</v>
      </c>
      <c r="D32" s="9">
        <v>88.85</v>
      </c>
      <c r="E32" s="7">
        <f>D32*22.0462262</f>
        <v>1958.8071978699998</v>
      </c>
      <c r="F32" s="2" t="s">
        <v>491</v>
      </c>
    </row>
    <row r="33">
      <c r="A33" s="20">
        <v>41306</v>
      </c>
      <c r="B33" s="23" t="s">
        <v>43</v>
      </c>
      <c r="C33" s="9">
        <v>144.89</v>
      </c>
      <c r="D33" s="9">
        <v>94.41</v>
      </c>
      <c r="E33" s="7">
        <f>D33*22.0462262</f>
        <v>2081.3842155419998</v>
      </c>
      <c r="F33" s="2" t="s">
        <v>491</v>
      </c>
    </row>
    <row r="34">
      <c r="A34" s="20">
        <v>41334</v>
      </c>
      <c r="B34" s="23" t="s">
        <v>43</v>
      </c>
      <c r="C34" s="9">
        <v>141.43</v>
      </c>
      <c r="D34" s="9">
        <v>97.22</v>
      </c>
      <c r="E34" s="7">
        <f>D34*22.0462262</f>
        <v>2143.3341111639998</v>
      </c>
      <c r="F34" s="2" t="s">
        <v>492</v>
      </c>
    </row>
    <row r="35">
      <c r="A35" s="20">
        <v>41365</v>
      </c>
      <c r="B35" s="23" t="s">
        <v>43</v>
      </c>
      <c r="C35" s="9">
        <v>139.91</v>
      </c>
      <c r="D35" s="9">
        <v>93.15</v>
      </c>
      <c r="E35" s="7">
        <f>D35*22.0462262</f>
        <v>2053.60597053</v>
      </c>
      <c r="F35" s="2" t="s">
        <v>492</v>
      </c>
    </row>
    <row r="36">
      <c r="A36" s="20">
        <v>41395</v>
      </c>
      <c r="B36" s="23" t="s">
        <v>43</v>
      </c>
      <c r="C36" s="9">
        <v>138.64</v>
      </c>
      <c r="D36" s="9">
        <v>91.07</v>
      </c>
      <c r="E36" s="7">
        <f>D36*22.0462262</f>
        <v>2007.7498200339999</v>
      </c>
      <c r="F36" s="2" t="s">
        <v>493</v>
      </c>
    </row>
    <row r="37">
      <c r="A37" s="20">
        <v>41426</v>
      </c>
      <c r="B37" s="23" t="s">
        <v>43</v>
      </c>
      <c r="C37" s="9">
        <v>126.37</v>
      </c>
      <c r="D37" s="9">
        <v>81.82</v>
      </c>
      <c r="E37" s="7">
        <f>D37*22.0462262</f>
        <v>1803.8222276839997</v>
      </c>
      <c r="F37" s="2" t="s">
        <v>494</v>
      </c>
    </row>
    <row r="38">
      <c r="A38" s="20">
        <v>41456</v>
      </c>
      <c r="B38" s="23" t="s">
        <v>43</v>
      </c>
      <c r="C38" s="9">
        <v>125.27</v>
      </c>
      <c r="D38" s="9">
        <v>85.34</v>
      </c>
      <c r="E38" s="7">
        <f>D38*22.0462262</f>
        <v>1881.424943908</v>
      </c>
      <c r="F38" s="2" t="s">
        <v>495</v>
      </c>
    </row>
    <row r="39">
      <c r="A39" s="20">
        <v>41487</v>
      </c>
      <c r="B39" s="23" t="s">
        <v>43</v>
      </c>
      <c r="C39" s="9">
        <v>122.31</v>
      </c>
      <c r="D39" s="9">
        <v>84.1</v>
      </c>
      <c r="E39" s="7">
        <f>D39*22.0462262</f>
        <v>1854.0876234199998</v>
      </c>
      <c r="F39" s="2" t="s">
        <v>496</v>
      </c>
    </row>
    <row r="40">
      <c r="A40" s="20">
        <v>41518</v>
      </c>
      <c r="B40" s="23" t="s">
        <v>43</v>
      </c>
      <c r="C40" s="9">
        <v>119.55</v>
      </c>
      <c r="D40" s="9">
        <v>77.89</v>
      </c>
      <c r="E40" s="7">
        <f>D40*22.0462262</f>
        <v>1717.180558718</v>
      </c>
      <c r="F40" s="2" t="s">
        <v>497</v>
      </c>
    </row>
    <row r="41">
      <c r="A41" s="20">
        <v>41548</v>
      </c>
      <c r="B41" s="23" t="s">
        <v>44</v>
      </c>
      <c r="C41" s="9">
        <v>117.05</v>
      </c>
      <c r="D41" s="9">
        <v>73.47</v>
      </c>
      <c r="E41" s="7">
        <f>D41*22.0462262</f>
        <v>1619.7362389139998</v>
      </c>
      <c r="F41" s="2" t="s">
        <v>498</v>
      </c>
    </row>
    <row r="42">
      <c r="A42" s="20">
        <v>41579</v>
      </c>
      <c r="B42" s="23" t="s">
        <v>44</v>
      </c>
      <c r="C42" s="9">
        <v>109.1</v>
      </c>
      <c r="D42" s="9">
        <v>69.32</v>
      </c>
      <c r="E42" s="7">
        <f>D42*22.0462262</f>
        <v>1528.244400184</v>
      </c>
      <c r="F42" s="2" t="s">
        <v>498</v>
      </c>
    </row>
    <row r="43">
      <c r="A43" s="20">
        <v>41609</v>
      </c>
      <c r="B43" s="23" t="s">
        <v>44</v>
      </c>
      <c r="C43" s="9">
        <v>114.12</v>
      </c>
      <c r="D43" s="9">
        <v>76.74</v>
      </c>
      <c r="E43" s="7">
        <f>D43*22.0462262</f>
        <v>1691.8273985879998</v>
      </c>
      <c r="F43" s="2" t="s">
        <v>498</v>
      </c>
    </row>
    <row r="44">
      <c r="A44" s="20">
        <v>41640</v>
      </c>
      <c r="B44" s="23" t="s">
        <v>44</v>
      </c>
      <c r="C44" s="9">
        <v>120.92</v>
      </c>
      <c r="D44" s="9">
        <v>77.25</v>
      </c>
      <c r="E44" s="7">
        <f>D44*22.0462262</f>
        <v>1703.07097395</v>
      </c>
      <c r="F44" s="2" t="s">
        <v>498</v>
      </c>
    </row>
    <row r="45">
      <c r="A45" s="20">
        <v>41671</v>
      </c>
      <c r="B45" s="23" t="s">
        <v>44</v>
      </c>
      <c r="C45" s="9">
        <v>156.68</v>
      </c>
      <c r="D45" s="9">
        <v>85.12</v>
      </c>
      <c r="E45" s="7">
        <f>D45*22.0462262</f>
        <v>1876.574774144</v>
      </c>
      <c r="F45" s="2" t="s">
        <v>498</v>
      </c>
    </row>
    <row r="46">
      <c r="A46" s="20">
        <v>41699</v>
      </c>
      <c r="B46" s="23" t="s">
        <v>44</v>
      </c>
      <c r="C46" s="9">
        <v>190.66</v>
      </c>
      <c r="D46" s="9">
        <v>95.53</v>
      </c>
      <c r="E46" s="7">
        <f>D46*22.0462262</f>
        <v>2106.075988886</v>
      </c>
      <c r="F46" s="2" t="s">
        <v>498</v>
      </c>
    </row>
    <row r="47">
      <c r="A47" s="20">
        <v>41730</v>
      </c>
      <c r="B47" s="23" t="s">
        <v>44</v>
      </c>
      <c r="C47" s="9">
        <v>200.39</v>
      </c>
      <c r="D47" s="9">
        <v>96.12</v>
      </c>
      <c r="E47" s="7">
        <f>D47*22.0462262</f>
        <v>2119.083262344</v>
      </c>
      <c r="F47" s="2" t="s">
        <v>498</v>
      </c>
    </row>
    <row r="48">
      <c r="A48" s="20">
        <v>41760</v>
      </c>
      <c r="B48" s="23" t="s">
        <v>44</v>
      </c>
      <c r="C48" s="9">
        <v>191.07</v>
      </c>
      <c r="D48" s="9">
        <v>93.83</v>
      </c>
      <c r="E48" s="7">
        <f>D48*22.0462262</f>
        <v>2068.597404346</v>
      </c>
      <c r="F48" s="2" t="s">
        <v>498</v>
      </c>
    </row>
    <row r="49">
      <c r="A49" s="20">
        <v>41791</v>
      </c>
      <c r="B49" s="23" t="s">
        <v>44</v>
      </c>
      <c r="C49" s="9">
        <v>175.81</v>
      </c>
      <c r="D49" s="9">
        <v>89.4</v>
      </c>
      <c r="E49" s="7">
        <f>D49*22.0462262</f>
        <v>1970.93262228</v>
      </c>
      <c r="F49" s="2" t="s">
        <v>498</v>
      </c>
    </row>
    <row r="50">
      <c r="A50" s="20">
        <v>41821</v>
      </c>
      <c r="B50" s="23" t="s">
        <v>44</v>
      </c>
      <c r="C50" s="9">
        <v>175.74</v>
      </c>
      <c r="D50" s="9">
        <v>91.83</v>
      </c>
      <c r="E50" s="7">
        <f>D50*22.0462262</f>
        <v>2024.504951946</v>
      </c>
      <c r="F50" s="2" t="s">
        <v>498</v>
      </c>
    </row>
    <row r="51">
      <c r="A51" s="20">
        <v>41852</v>
      </c>
      <c r="B51" s="23" t="s">
        <v>44</v>
      </c>
      <c r="C51" s="9">
        <v>193.98</v>
      </c>
      <c r="D51" s="9">
        <v>90.64</v>
      </c>
      <c r="E51" s="7">
        <f>D51*22.0462262</f>
        <v>1998.269942768</v>
      </c>
      <c r="F51" s="2" t="s">
        <v>498</v>
      </c>
    </row>
    <row r="52">
      <c r="A52" s="20">
        <v>41883</v>
      </c>
      <c r="B52" s="23" t="s">
        <v>44</v>
      </c>
      <c r="C52" s="9">
        <v>192.09</v>
      </c>
      <c r="D52" s="9">
        <v>91.24</v>
      </c>
      <c r="E52" s="7">
        <f>D52*22.0462262</f>
        <v>2011.4976784879998</v>
      </c>
      <c r="F52" s="2" t="s">
        <v>499</v>
      </c>
    </row>
    <row r="53">
      <c r="A53" s="20">
        <v>41913</v>
      </c>
      <c r="B53" s="23" t="s">
        <v>45</v>
      </c>
      <c r="C53" s="9">
        <v>210.12</v>
      </c>
      <c r="D53" s="9">
        <v>95.51</v>
      </c>
      <c r="E53" s="7">
        <f>D53*22.0462262</f>
        <v>2105.635064362</v>
      </c>
      <c r="F53" s="2" t="s">
        <v>500</v>
      </c>
    </row>
    <row r="54">
      <c r="A54" s="20">
        <v>41944</v>
      </c>
      <c r="B54" s="23" t="s">
        <v>45</v>
      </c>
      <c r="C54" s="9">
        <v>192.33</v>
      </c>
      <c r="D54" s="9">
        <v>93.6</v>
      </c>
      <c r="E54" s="7">
        <f>D54*22.0462262</f>
        <v>2063.52677232</v>
      </c>
      <c r="F54" s="2" t="s">
        <v>500</v>
      </c>
    </row>
    <row r="55">
      <c r="A55" s="20">
        <v>41974</v>
      </c>
      <c r="B55" s="23" t="s">
        <v>45</v>
      </c>
      <c r="C55" s="9">
        <v>177.82</v>
      </c>
      <c r="D55" s="9">
        <v>89.86</v>
      </c>
      <c r="E55" s="7">
        <f>D55*22.0462262</f>
        <v>1981.073886332</v>
      </c>
      <c r="F55" s="2" t="s">
        <v>501</v>
      </c>
    </row>
    <row r="56">
      <c r="A56" s="20">
        <v>42005</v>
      </c>
      <c r="B56" s="23" t="s">
        <v>45</v>
      </c>
      <c r="C56" s="9">
        <v>173.19</v>
      </c>
      <c r="D56" s="9">
        <v>89.33</v>
      </c>
      <c r="E56" s="7">
        <f>D56*22.0462262</f>
        <v>1969.389386446</v>
      </c>
      <c r="F56" s="2" t="s">
        <v>501</v>
      </c>
    </row>
    <row r="57">
      <c r="A57" s="20">
        <v>42036</v>
      </c>
      <c r="B57" s="23" t="s">
        <v>45</v>
      </c>
      <c r="C57" s="9">
        <v>159.55</v>
      </c>
      <c r="D57" s="9">
        <v>89.76</v>
      </c>
      <c r="E57" s="7">
        <f>D57*22.0462262</f>
        <v>1978.869263712</v>
      </c>
      <c r="F57" s="2" t="s">
        <v>501</v>
      </c>
    </row>
    <row r="58">
      <c r="A58" s="20">
        <v>42064</v>
      </c>
      <c r="B58" s="23" t="s">
        <v>45</v>
      </c>
      <c r="C58" s="9">
        <v>139.7</v>
      </c>
      <c r="D58" s="9">
        <v>82.94</v>
      </c>
      <c r="E58" s="7">
        <f>D58*22.0462262</f>
        <v>1828.514001028</v>
      </c>
      <c r="F58" s="2" t="s">
        <v>502</v>
      </c>
    </row>
    <row r="59">
      <c r="A59" s="20">
        <v>42095</v>
      </c>
      <c r="B59" s="23" t="s">
        <v>45</v>
      </c>
      <c r="C59" s="9">
        <v>141.79</v>
      </c>
      <c r="D59" s="9">
        <v>82.71</v>
      </c>
      <c r="E59" s="7">
        <f>D59*22.0462262</f>
        <v>1823.4433690019998</v>
      </c>
      <c r="F59" s="2" t="s">
        <v>502</v>
      </c>
    </row>
    <row r="60">
      <c r="A60" s="20">
        <v>42125</v>
      </c>
      <c r="B60" s="23" t="s">
        <v>45</v>
      </c>
      <c r="C60" s="9">
        <v>135.22</v>
      </c>
      <c r="D60" s="9">
        <v>78.03</v>
      </c>
      <c r="E60" s="7">
        <f>D60*22.0462262</f>
        <v>1720.267030386</v>
      </c>
      <c r="F60" s="2" t="s">
        <v>502</v>
      </c>
    </row>
    <row r="61">
      <c r="A61" s="20">
        <v>42156</v>
      </c>
      <c r="B61" s="23" t="s">
        <v>45</v>
      </c>
      <c r="C61" s="9">
        <v>135.86</v>
      </c>
      <c r="D61" s="9">
        <v>80.25</v>
      </c>
      <c r="E61" s="7">
        <f>D61*22.0462262</f>
        <v>1769.2096525499999</v>
      </c>
      <c r="F61" s="2" t="s">
        <v>503</v>
      </c>
    </row>
    <row r="62">
      <c r="A62" s="20">
        <v>42186</v>
      </c>
      <c r="B62" s="23" t="s">
        <v>45</v>
      </c>
      <c r="C62" s="9">
        <v>128.59</v>
      </c>
      <c r="D62" s="9">
        <v>77.16</v>
      </c>
      <c r="E62" s="7">
        <f>D62*22.0462262</f>
        <v>1701.086813592</v>
      </c>
      <c r="F62" s="2" t="s">
        <v>504</v>
      </c>
    </row>
    <row r="63">
      <c r="A63" s="20">
        <v>42217</v>
      </c>
      <c r="B63" s="23" t="s">
        <v>45</v>
      </c>
      <c r="C63" s="9">
        <v>132.42</v>
      </c>
      <c r="D63" s="9">
        <v>76.25</v>
      </c>
      <c r="E63" s="7">
        <f>D63*22.0462262</f>
        <v>1681.02474775</v>
      </c>
      <c r="F63" s="2" t="s">
        <v>505</v>
      </c>
    </row>
    <row r="64">
      <c r="A64" s="20">
        <v>42248</v>
      </c>
      <c r="B64" s="23" t="s">
        <v>45</v>
      </c>
      <c r="C64" s="9">
        <v>121.66</v>
      </c>
      <c r="D64" s="9">
        <v>71.53</v>
      </c>
      <c r="E64" s="7">
        <f>D64*22.0462262</f>
        <v>1576.966560086</v>
      </c>
      <c r="F64" s="2" t="s">
        <v>505</v>
      </c>
    </row>
    <row r="65">
      <c r="A65" s="20">
        <v>42278</v>
      </c>
      <c r="B65" s="23" t="s">
        <v>46</v>
      </c>
      <c r="C65" s="9">
        <v>129.45</v>
      </c>
      <c r="D65" s="9">
        <v>72.89</v>
      </c>
      <c r="E65" s="7">
        <f>D65*22.0462262</f>
        <v>1606.949427718</v>
      </c>
      <c r="F65" s="2" t="s">
        <v>506</v>
      </c>
    </row>
    <row r="66">
      <c r="A66" s="20">
        <v>42309</v>
      </c>
      <c r="B66" s="23" t="s">
        <v>46</v>
      </c>
      <c r="C66" s="9">
        <v>122.35</v>
      </c>
      <c r="D66" s="9">
        <v>72.04</v>
      </c>
      <c r="E66" s="7">
        <f>D66*22.0462262</f>
        <v>1588.210135448</v>
      </c>
      <c r="F66" s="2" t="s">
        <v>506</v>
      </c>
    </row>
    <row r="67">
      <c r="A67" s="20">
        <v>42339</v>
      </c>
      <c r="B67" s="23" t="s">
        <v>46</v>
      </c>
      <c r="C67" s="9">
        <v>123.77</v>
      </c>
      <c r="D67" s="9">
        <v>70.02</v>
      </c>
      <c r="E67" s="7">
        <f>D67*22.0462262</f>
        <v>1543.676758524</v>
      </c>
      <c r="F67" s="2" t="s">
        <v>506</v>
      </c>
    </row>
    <row r="68">
      <c r="A68" s="20">
        <v>42370</v>
      </c>
      <c r="B68" s="23" t="s">
        <v>46</v>
      </c>
      <c r="C68" s="9">
        <v>120.2</v>
      </c>
      <c r="D68" s="9">
        <v>65.67</v>
      </c>
      <c r="E68" s="7">
        <f>D68*22.0462262</f>
        <v>1447.775674554</v>
      </c>
      <c r="F68" s="2" t="s">
        <v>506</v>
      </c>
    </row>
    <row r="69">
      <c r="A69" s="20">
        <v>42401</v>
      </c>
      <c r="B69" s="23" t="s">
        <v>46</v>
      </c>
      <c r="C69" s="9">
        <v>119.25</v>
      </c>
      <c r="D69" s="9">
        <v>64.96</v>
      </c>
      <c r="E69" s="7">
        <f>D69*22.0462262</f>
        <v>1432.1228539519998</v>
      </c>
      <c r="F69" s="2" t="s">
        <v>506</v>
      </c>
    </row>
    <row r="70">
      <c r="A70" s="20">
        <v>42430</v>
      </c>
      <c r="B70" s="23" t="s">
        <v>46</v>
      </c>
      <c r="C70" s="9">
        <v>127.33</v>
      </c>
      <c r="D70" s="9">
        <v>66.17</v>
      </c>
      <c r="E70" s="7">
        <f>D70*22.0462262</f>
        <v>1458.798787654</v>
      </c>
      <c r="F70" s="2" t="s">
        <v>506</v>
      </c>
    </row>
    <row r="71">
      <c r="A71" s="20">
        <v>42461</v>
      </c>
      <c r="B71" s="23" t="s">
        <v>46</v>
      </c>
      <c r="C71" s="9">
        <v>125.34</v>
      </c>
      <c r="D71" s="9">
        <v>70.9</v>
      </c>
      <c r="E71" s="7">
        <f>D71*22.0462262</f>
        <v>1563.0774375800002</v>
      </c>
      <c r="F71" s="2" t="s">
        <v>506</v>
      </c>
    </row>
    <row r="72">
      <c r="A72" s="20">
        <v>42491</v>
      </c>
      <c r="B72" s="23" t="s">
        <v>46</v>
      </c>
      <c r="C72" s="9">
        <v>126.8</v>
      </c>
      <c r="D72" s="9">
        <v>75.11</v>
      </c>
      <c r="E72" s="7">
        <f>D72*22.0462262</f>
        <v>1655.892049882</v>
      </c>
      <c r="F72" s="2" t="s">
        <v>506</v>
      </c>
    </row>
    <row r="73">
      <c r="A73" s="20">
        <v>42522</v>
      </c>
      <c r="B73" s="23" t="s">
        <v>46</v>
      </c>
      <c r="C73" s="9">
        <v>139.1</v>
      </c>
      <c r="D73" s="9">
        <v>76.87</v>
      </c>
      <c r="E73" s="7">
        <f>D73*22.0462262</f>
        <v>1694.6934079940002</v>
      </c>
      <c r="F73" s="2" t="s">
        <v>506</v>
      </c>
    </row>
    <row r="74">
      <c r="A74" s="20">
        <v>42552</v>
      </c>
      <c r="B74" s="23" t="s">
        <v>46</v>
      </c>
      <c r="C74" s="9">
        <v>148.16</v>
      </c>
      <c r="D74" s="9">
        <v>82.09</v>
      </c>
      <c r="E74" s="7">
        <f>D74*22.0462262</f>
        <v>1809.774708758</v>
      </c>
      <c r="F74" s="2" t="s">
        <v>506</v>
      </c>
    </row>
    <row r="75">
      <c r="A75" s="20">
        <v>42583</v>
      </c>
      <c r="B75" s="23" t="s">
        <v>46</v>
      </c>
      <c r="C75" s="9">
        <v>145.37</v>
      </c>
      <c r="D75" s="9">
        <v>83.47</v>
      </c>
      <c r="E75" s="7">
        <f>D75*22.0462262</f>
        <v>1840.1985009139999</v>
      </c>
      <c r="F75" s="2" t="s">
        <v>506</v>
      </c>
    </row>
    <row r="76">
      <c r="A76" s="20">
        <v>42614</v>
      </c>
      <c r="B76" s="23" t="s">
        <v>46</v>
      </c>
      <c r="C76" s="9">
        <v>154.87</v>
      </c>
      <c r="D76" s="9">
        <v>88.63</v>
      </c>
      <c r="E76" s="7">
        <f>D76*22.0462262</f>
        <v>1953.9570281059998</v>
      </c>
      <c r="F76" s="2" t="s">
        <v>507</v>
      </c>
    </row>
    <row r="77">
      <c r="A77" s="20">
        <v>42644</v>
      </c>
      <c r="B77" s="23" t="s">
        <v>47</v>
      </c>
      <c r="C77" s="9">
        <v>160.07</v>
      </c>
      <c r="D77" s="9">
        <v>95.3</v>
      </c>
      <c r="E77" s="7">
        <f>D77*22.0462262</f>
        <v>2101.00535686</v>
      </c>
      <c r="F77" s="2" t="s">
        <v>507</v>
      </c>
    </row>
    <row r="78">
      <c r="A78" s="20">
        <v>42675</v>
      </c>
      <c r="B78" s="23" t="s">
        <v>47</v>
      </c>
      <c r="C78" s="9">
        <v>165.24</v>
      </c>
      <c r="D78" s="9">
        <v>95.4</v>
      </c>
      <c r="E78" s="7">
        <f>D78*22.0462262</f>
        <v>2103.20997948</v>
      </c>
      <c r="F78" s="2" t="s">
        <v>507</v>
      </c>
    </row>
    <row r="79">
      <c r="A79" s="20">
        <v>42705</v>
      </c>
      <c r="B79" s="23" t="s">
        <v>47</v>
      </c>
      <c r="C79" s="9">
        <v>143.04</v>
      </c>
      <c r="D79" s="9">
        <v>93.66</v>
      </c>
      <c r="E79" s="7">
        <f>D79*22.0462262</f>
        <v>2064.8495458919997</v>
      </c>
      <c r="F79" s="2" t="s">
        <v>507</v>
      </c>
    </row>
    <row r="80">
      <c r="A80" s="20">
        <v>42736</v>
      </c>
      <c r="B80" s="23" t="s">
        <v>47</v>
      </c>
      <c r="C80" s="9">
        <v>152.24</v>
      </c>
      <c r="D80" s="9">
        <v>100.24</v>
      </c>
      <c r="E80" s="7">
        <f>D80*22.0462262</f>
        <v>2209.913714288</v>
      </c>
      <c r="F80" s="2" t="s">
        <v>507</v>
      </c>
    </row>
    <row r="81">
      <c r="A81" s="20">
        <v>42767</v>
      </c>
      <c r="B81" s="23" t="s">
        <v>47</v>
      </c>
      <c r="C81" s="9">
        <v>148.64</v>
      </c>
      <c r="D81" s="9">
        <v>98.46</v>
      </c>
      <c r="E81" s="7">
        <f>D81*22.0462262</f>
        <v>2170.6714316519997</v>
      </c>
      <c r="F81" s="2" t="s">
        <v>507</v>
      </c>
    </row>
    <row r="82">
      <c r="A82" s="20">
        <v>42795</v>
      </c>
      <c r="B82" s="23" t="s">
        <v>47</v>
      </c>
      <c r="C82" s="9">
        <v>143.38</v>
      </c>
      <c r="D82" s="9">
        <v>99.01</v>
      </c>
      <c r="E82" s="7">
        <f>D82*22.0462262</f>
        <v>2182.796856062</v>
      </c>
      <c r="F82" s="2" t="s">
        <v>507</v>
      </c>
    </row>
    <row r="83">
      <c r="A83" s="20">
        <v>42826</v>
      </c>
      <c r="B83" s="23" t="s">
        <v>47</v>
      </c>
      <c r="C83" s="9">
        <v>139.25</v>
      </c>
      <c r="D83" s="9">
        <v>95.34</v>
      </c>
      <c r="E83" s="7">
        <f>D83*22.0462262</f>
        <v>2101.887205908</v>
      </c>
      <c r="F83" s="2" t="s">
        <v>507</v>
      </c>
    </row>
    <row r="84">
      <c r="A84" s="20">
        <v>42856</v>
      </c>
      <c r="B84" s="23" t="s">
        <v>47</v>
      </c>
      <c r="C84" s="9">
        <v>135.45</v>
      </c>
      <c r="D84" s="9">
        <v>90.35</v>
      </c>
      <c r="E84" s="7">
        <f>D84*22.0462262</f>
        <v>1991.87653717</v>
      </c>
      <c r="F84" s="2" t="s">
        <v>507</v>
      </c>
    </row>
    <row r="85">
      <c r="A85" s="20">
        <v>42887</v>
      </c>
      <c r="B85" s="23" t="s">
        <v>47</v>
      </c>
      <c r="C85" s="9">
        <v>128.18</v>
      </c>
      <c r="D85" s="9">
        <v>93.11</v>
      </c>
      <c r="E85" s="7">
        <f>D85*22.0462262</f>
        <v>2052.724121482</v>
      </c>
      <c r="F85" s="2" t="s">
        <v>507</v>
      </c>
    </row>
    <row r="86">
      <c r="A86" s="20">
        <v>42917</v>
      </c>
      <c r="B86" s="23" t="s">
        <v>47</v>
      </c>
      <c r="C86" s="9">
        <v>135.71</v>
      </c>
      <c r="D86" s="9">
        <v>96.03</v>
      </c>
      <c r="E86" s="7">
        <f>D86*22.0462262</f>
        <v>2117.099101986</v>
      </c>
      <c r="F86" s="2" t="s">
        <v>507</v>
      </c>
    </row>
    <row r="87">
      <c r="A87" s="20">
        <v>42948</v>
      </c>
      <c r="B87" s="23" t="s">
        <v>47</v>
      </c>
      <c r="C87" s="9">
        <v>138.11</v>
      </c>
      <c r="D87" s="9">
        <v>94.89</v>
      </c>
      <c r="E87" s="7">
        <f>D87*22.0462262</f>
        <v>2091.966404118</v>
      </c>
      <c r="F87" s="2" t="s">
        <v>507</v>
      </c>
    </row>
    <row r="88">
      <c r="A88" s="20">
        <v>42979</v>
      </c>
      <c r="B88" s="23" t="s">
        <v>47</v>
      </c>
      <c r="C88" s="9">
        <v>135.95</v>
      </c>
      <c r="D88" s="9">
        <v>89.69</v>
      </c>
      <c r="E88" s="7">
        <f>D88*22.0462262</f>
        <v>1977.3260278779999</v>
      </c>
      <c r="F88" s="2" t="s">
        <v>508</v>
      </c>
    </row>
    <row r="89">
      <c r="A89" s="20">
        <v>43009</v>
      </c>
      <c r="B89" s="23" t="s">
        <v>48</v>
      </c>
      <c r="C89" s="9">
        <v>131</v>
      </c>
      <c r="D89" s="9">
        <v>88.38</v>
      </c>
      <c r="E89" s="7">
        <f>D89*22.0462262</f>
        <v>1948.4454715559998</v>
      </c>
      <c r="F89" s="2" t="s">
        <v>508</v>
      </c>
    </row>
    <row r="90">
      <c r="A90" s="20">
        <v>43040</v>
      </c>
      <c r="B90" s="23" t="s">
        <v>48</v>
      </c>
      <c r="C90" s="9">
        <v>129.96</v>
      </c>
      <c r="D90" s="9">
        <v>81.46</v>
      </c>
      <c r="E90" s="7">
        <f>D90*22.0462262</f>
        <v>1795.885586252</v>
      </c>
      <c r="F90" s="2" t="s">
        <v>508</v>
      </c>
    </row>
    <row r="91">
      <c r="A91" s="20">
        <v>43070</v>
      </c>
      <c r="B91" s="23" t="s">
        <v>48</v>
      </c>
      <c r="C91" s="9">
        <v>125.25</v>
      </c>
      <c r="D91" s="9">
        <v>78.3</v>
      </c>
      <c r="E91" s="7">
        <f>D91*22.0462262</f>
        <v>1726.21951146</v>
      </c>
      <c r="F91" s="2" t="s">
        <v>508</v>
      </c>
    </row>
    <row r="92">
      <c r="A92" s="20">
        <v>43101</v>
      </c>
      <c r="B92" s="23" t="s">
        <v>48</v>
      </c>
      <c r="C92" s="9">
        <v>127.65</v>
      </c>
      <c r="D92" s="9">
        <v>78.9</v>
      </c>
      <c r="E92" s="7">
        <f>D92*22.0462262</f>
        <v>1739.44724718</v>
      </c>
      <c r="F92" s="2" t="s">
        <v>508</v>
      </c>
    </row>
    <row r="93">
      <c r="A93" s="20">
        <v>43132</v>
      </c>
      <c r="B93" s="23" t="s">
        <v>48</v>
      </c>
      <c r="C93" s="9">
        <v>123.82</v>
      </c>
      <c r="D93" s="9">
        <v>80.38</v>
      </c>
      <c r="E93" s="7">
        <f>D93*22.0462262</f>
        <v>1772.075661956</v>
      </c>
      <c r="F93" s="2" t="s">
        <v>508</v>
      </c>
    </row>
    <row r="94">
      <c r="A94" s="20">
        <v>43160</v>
      </c>
      <c r="B94" s="23" t="s">
        <v>48</v>
      </c>
      <c r="C94" s="9">
        <v>121.66</v>
      </c>
      <c r="D94" s="9">
        <v>79.86</v>
      </c>
      <c r="E94" s="7">
        <f>D94*22.0462262</f>
        <v>1760.611624332</v>
      </c>
      <c r="F94" s="2" t="s">
        <v>508</v>
      </c>
    </row>
    <row r="95">
      <c r="A95" s="20">
        <v>43191</v>
      </c>
      <c r="B95" s="23" t="s">
        <v>48</v>
      </c>
      <c r="C95" s="9">
        <v>120.17</v>
      </c>
      <c r="D95" s="9">
        <v>79.36</v>
      </c>
      <c r="E95" s="7">
        <f>D95*22.0462262</f>
        <v>1749.588511232</v>
      </c>
      <c r="F95" s="2" t="s">
        <v>508</v>
      </c>
    </row>
    <row r="96">
      <c r="A96" s="20">
        <v>43221</v>
      </c>
      <c r="B96" s="23" t="s">
        <v>48</v>
      </c>
      <c r="C96" s="9">
        <v>122.5</v>
      </c>
      <c r="D96" s="9">
        <v>79.85</v>
      </c>
      <c r="E96" s="7">
        <f>D96*22.0462262</f>
        <v>1760.3911620699998</v>
      </c>
      <c r="F96" s="2" t="s">
        <v>508</v>
      </c>
    </row>
    <row r="97">
      <c r="A97" s="20">
        <v>43252</v>
      </c>
      <c r="B97" s="23" t="s">
        <v>48</v>
      </c>
      <c r="C97" s="9">
        <v>120.19</v>
      </c>
      <c r="D97" s="9">
        <v>77.4</v>
      </c>
      <c r="E97" s="7">
        <f>D97*22.0462262</f>
        <v>1706.37790788</v>
      </c>
      <c r="F97" s="2" t="s">
        <v>508</v>
      </c>
    </row>
    <row r="98">
      <c r="A98" s="20">
        <v>43282</v>
      </c>
      <c r="B98" s="23" t="s">
        <v>48</v>
      </c>
      <c r="C98" s="9">
        <v>114.06</v>
      </c>
      <c r="D98" s="9">
        <v>75.56</v>
      </c>
      <c r="E98" s="7">
        <f>D98*22.0462262</f>
        <v>1665.812851672</v>
      </c>
      <c r="F98" s="2" t="s">
        <v>508</v>
      </c>
    </row>
    <row r="99">
      <c r="A99" s="20">
        <v>43313</v>
      </c>
      <c r="B99" s="23" t="s">
        <v>48</v>
      </c>
      <c r="C99" s="9">
        <v>108.12</v>
      </c>
      <c r="D99" s="9">
        <v>71.94</v>
      </c>
      <c r="E99" s="7">
        <f>D99*22.0462262</f>
        <v>1586.0055128279998</v>
      </c>
      <c r="F99" s="2" t="s">
        <v>508</v>
      </c>
    </row>
    <row r="100">
      <c r="A100" s="20">
        <v>43344</v>
      </c>
      <c r="B100" s="23" t="s">
        <v>48</v>
      </c>
      <c r="C100" s="9">
        <v>102.83</v>
      </c>
      <c r="D100" s="9">
        <v>68.03</v>
      </c>
      <c r="E100" s="7">
        <f>D100*22.0462262</f>
        <v>1499.804768386</v>
      </c>
      <c r="F100" s="2" t="s">
        <v>509</v>
      </c>
    </row>
    <row r="101">
      <c r="A101" s="20">
        <v>43374</v>
      </c>
      <c r="B101" s="23" t="s">
        <v>49</v>
      </c>
      <c r="C101" s="9">
        <v>119.73</v>
      </c>
      <c r="D101" s="9">
        <v>77.16</v>
      </c>
      <c r="E101" s="7">
        <f>D101*22.0462262</f>
        <v>1701.086813592</v>
      </c>
      <c r="F101" s="2" t="s">
        <v>510</v>
      </c>
    </row>
    <row r="102">
      <c r="A102" s="20">
        <v>43405</v>
      </c>
      <c r="B102" s="23" t="s">
        <v>49</v>
      </c>
      <c r="C102" s="9">
        <v>117.06</v>
      </c>
      <c r="D102" s="9">
        <v>75.23</v>
      </c>
      <c r="E102" s="7">
        <f>D102*22.0462262</f>
        <v>1658.537597026</v>
      </c>
      <c r="F102" s="2" t="s">
        <v>511</v>
      </c>
    </row>
    <row r="103">
      <c r="A103" s="20">
        <v>43435</v>
      </c>
      <c r="B103" s="23" t="s">
        <v>49</v>
      </c>
      <c r="C103" s="9">
        <v>105.79</v>
      </c>
      <c r="D103" s="9">
        <v>69.59</v>
      </c>
      <c r="E103" s="7">
        <f>D103*22.0462262</f>
        <v>1534.196881258</v>
      </c>
      <c r="F103" s="2" t="s">
        <v>512</v>
      </c>
    </row>
    <row r="104">
      <c r="A104" s="20">
        <v>43466</v>
      </c>
      <c r="B104" s="23" t="s">
        <v>49</v>
      </c>
      <c r="C104" s="9">
        <v>107.93</v>
      </c>
      <c r="D104" s="9">
        <v>70.32</v>
      </c>
      <c r="E104" s="7">
        <f>D104*22.0462262</f>
        <v>1550.2906263839998</v>
      </c>
      <c r="F104" s="2" t="s">
        <v>513</v>
      </c>
    </row>
    <row r="105">
      <c r="A105" s="20">
        <v>43497</v>
      </c>
      <c r="B105" s="23" t="s">
        <v>49</v>
      </c>
      <c r="C105" s="9">
        <v>104.12</v>
      </c>
      <c r="D105" s="9">
        <v>70.52</v>
      </c>
      <c r="E105" s="7">
        <f>D105*22.0462262</f>
        <v>1554.6998716239998</v>
      </c>
      <c r="F105" s="2" t="s">
        <v>514</v>
      </c>
    </row>
    <row r="106">
      <c r="A106" s="20">
        <v>43525</v>
      </c>
      <c r="B106" s="23" t="s">
        <v>49</v>
      </c>
      <c r="C106" s="9">
        <v>98.84</v>
      </c>
      <c r="D106" s="9">
        <v>68.61</v>
      </c>
      <c r="E106" s="7">
        <f>D106*22.0462262</f>
        <v>1512.591579582</v>
      </c>
      <c r="F106" s="2" t="s">
        <v>515</v>
      </c>
    </row>
    <row r="107">
      <c r="A107" s="20">
        <v>43556</v>
      </c>
      <c r="B107" s="23" t="s">
        <v>49</v>
      </c>
      <c r="C107" s="9">
        <v>95.31</v>
      </c>
      <c r="D107" s="9">
        <v>65.06</v>
      </c>
      <c r="E107" s="7">
        <f>D107*22.0462262</f>
        <v>1434.327476572</v>
      </c>
      <c r="F107" s="2" t="s">
        <v>516</v>
      </c>
    </row>
    <row r="108">
      <c r="A108" s="20">
        <v>43586</v>
      </c>
      <c r="B108" s="23" t="s">
        <v>49</v>
      </c>
      <c r="C108" s="9">
        <v>94.86</v>
      </c>
      <c r="D108" s="9">
        <v>62.45</v>
      </c>
      <c r="E108" s="7">
        <f>D108*22.0462262</f>
        <v>1376.78682619</v>
      </c>
      <c r="F108" s="2" t="s">
        <v>517</v>
      </c>
    </row>
    <row r="109">
      <c r="A109" s="20">
        <v>43617</v>
      </c>
      <c r="B109" s="23" t="s">
        <v>49</v>
      </c>
      <c r="C109" s="9">
        <v>104.44</v>
      </c>
      <c r="D109" s="9">
        <v>65.41</v>
      </c>
      <c r="E109" s="7">
        <f>D109*22.0462262</f>
        <v>1442.0436557419998</v>
      </c>
      <c r="F109" s="2" t="s">
        <v>517</v>
      </c>
    </row>
    <row r="110">
      <c r="A110" s="20">
        <v>43647</v>
      </c>
      <c r="B110" s="23" t="s">
        <v>49</v>
      </c>
      <c r="C110" s="9">
        <v>109.01</v>
      </c>
      <c r="D110" s="9">
        <v>64.83</v>
      </c>
      <c r="E110" s="7">
        <f>D110*22.0462262</f>
        <v>1429.256844546</v>
      </c>
      <c r="F110" s="2" t="s">
        <v>517</v>
      </c>
    </row>
    <row r="111">
      <c r="A111" s="20">
        <v>43678</v>
      </c>
      <c r="B111" s="23" t="s">
        <v>49</v>
      </c>
      <c r="C111" s="9">
        <v>99.87</v>
      </c>
      <c r="D111" s="9">
        <v>60.9</v>
      </c>
      <c r="E111" s="7">
        <f>D111*22.0462262</f>
        <v>1342.61517558</v>
      </c>
      <c r="F111" s="2" t="s">
        <v>517</v>
      </c>
    </row>
    <row r="112">
      <c r="A112" s="20">
        <v>43709</v>
      </c>
      <c r="B112" s="23" t="s">
        <v>49</v>
      </c>
      <c r="C112" s="9">
        <v>102.81</v>
      </c>
      <c r="D112" s="9">
        <v>60.31</v>
      </c>
      <c r="E112" s="7">
        <f>D112*22.0462262</f>
        <v>1329.607902122</v>
      </c>
      <c r="F112" s="2" t="s">
        <v>517</v>
      </c>
    </row>
    <row r="113">
      <c r="A113" s="20">
        <v>43739</v>
      </c>
      <c r="B113" s="23" t="s">
        <v>50</v>
      </c>
      <c r="C113" s="9">
        <v>102.41</v>
      </c>
      <c r="D113" s="9">
        <v>58.34</v>
      </c>
      <c r="E113" s="7">
        <f>D113*22.0462262</f>
        <v>1286.176836508</v>
      </c>
      <c r="F113" s="2" t="s">
        <v>517</v>
      </c>
    </row>
    <row r="114">
      <c r="A114" s="20">
        <v>43770</v>
      </c>
      <c r="B114" s="23" t="s">
        <v>50</v>
      </c>
      <c r="C114" s="9">
        <v>113.31</v>
      </c>
      <c r="D114" s="9">
        <v>63</v>
      </c>
      <c r="E114" s="7">
        <f>D114*22.0462262</f>
        <v>1388.9122505999999</v>
      </c>
      <c r="F114" s="2" t="s">
        <v>517</v>
      </c>
    </row>
    <row r="115">
      <c r="A115" s="20">
        <v>43800</v>
      </c>
      <c r="B115" s="23" t="s">
        <v>50</v>
      </c>
      <c r="C115" s="9">
        <v>131.44</v>
      </c>
      <c r="D115" s="9">
        <v>63.87</v>
      </c>
      <c r="E115" s="7">
        <f>D115*22.0462262</f>
        <v>1408.0924673939999</v>
      </c>
      <c r="F115" s="2" t="s">
        <v>517</v>
      </c>
    </row>
    <row r="116">
      <c r="A116" s="20">
        <v>43831</v>
      </c>
      <c r="B116" s="23" t="s">
        <v>50</v>
      </c>
      <c r="C116" s="9">
        <v>117.05</v>
      </c>
      <c r="D116" s="9">
        <v>61.03</v>
      </c>
      <c r="E116" s="7">
        <f>D116*22.0462262</f>
        <v>1345.481184986</v>
      </c>
      <c r="F116" s="2" t="s">
        <v>517</v>
      </c>
    </row>
    <row r="117">
      <c r="A117" s="20">
        <v>43862</v>
      </c>
      <c r="B117" s="23" t="s">
        <v>50</v>
      </c>
      <c r="C117" s="9">
        <v>106.69</v>
      </c>
      <c r="D117" s="9">
        <v>59.02</v>
      </c>
      <c r="E117" s="7">
        <f>D117*22.0462262</f>
        <v>1301.168270324</v>
      </c>
      <c r="F117" s="2" t="s">
        <v>517</v>
      </c>
    </row>
    <row r="118">
      <c r="A118" s="20">
        <v>43891</v>
      </c>
      <c r="B118" s="23" t="s">
        <v>50</v>
      </c>
      <c r="C118" s="9">
        <v>116.09</v>
      </c>
      <c r="D118" s="9">
        <v>57.39</v>
      </c>
      <c r="E118" s="7">
        <f>D118*22.0462262</f>
        <v>1265.232921618</v>
      </c>
      <c r="F118" s="2" t="s">
        <v>518</v>
      </c>
    </row>
    <row r="119">
      <c r="A119" s="20">
        <v>43922</v>
      </c>
      <c r="B119" s="23" t="s">
        <v>50</v>
      </c>
      <c r="C119" s="9">
        <v>115.55</v>
      </c>
      <c r="D119" s="9">
        <v>54.4</v>
      </c>
      <c r="E119" s="7">
        <f>D119*22.0462262</f>
        <v>1199.31470528</v>
      </c>
      <c r="F119" s="2" t="s">
        <v>518</v>
      </c>
    </row>
    <row r="120">
      <c r="A120" s="20">
        <v>43952</v>
      </c>
      <c r="B120" s="23" t="s">
        <v>50</v>
      </c>
      <c r="C120" s="9">
        <v>107.54</v>
      </c>
      <c r="D120" s="9">
        <v>54.67</v>
      </c>
      <c r="E120" s="7">
        <f>D120*22.0462262</f>
        <v>1205.267186354</v>
      </c>
      <c r="F120" s="2" t="s">
        <v>518</v>
      </c>
    </row>
    <row r="121">
      <c r="A121" s="20">
        <v>43983</v>
      </c>
      <c r="B121" s="23" t="s">
        <v>50</v>
      </c>
      <c r="C121" s="9">
        <v>99.5</v>
      </c>
      <c r="D121" s="9">
        <v>54.77</v>
      </c>
      <c r="E121" s="7">
        <f>D121*22.0462262</f>
        <v>1207.471808974</v>
      </c>
      <c r="F121" s="2" t="s">
        <v>518</v>
      </c>
    </row>
    <row r="122">
      <c r="A122" s="20">
        <v>44013</v>
      </c>
      <c r="B122" s="23" t="s">
        <v>50</v>
      </c>
      <c r="C122" s="9">
        <v>106.2</v>
      </c>
      <c r="D122" s="9">
        <v>57.92</v>
      </c>
      <c r="E122" s="7">
        <f>D122*22.0462262</f>
        <v>1276.917421504</v>
      </c>
      <c r="F122" s="2" t="s">
        <v>519</v>
      </c>
    </row>
    <row r="123">
      <c r="A123" s="20">
        <v>44044</v>
      </c>
      <c r="B123" s="23" t="s">
        <v>50</v>
      </c>
      <c r="C123" s="9">
        <v>120.98</v>
      </c>
      <c r="D123" s="9">
        <v>62.89</v>
      </c>
      <c r="E123" s="7">
        <f>D123*22.0462262</f>
        <v>1386.487165718</v>
      </c>
      <c r="F123" s="2" t="s">
        <v>520</v>
      </c>
    </row>
    <row r="124">
      <c r="A124" s="20">
        <v>44075</v>
      </c>
      <c r="B124" s="23" t="s">
        <v>50</v>
      </c>
      <c r="C124" s="9">
        <v>122.08</v>
      </c>
      <c r="D124" s="9">
        <v>63.35</v>
      </c>
      <c r="E124" s="7">
        <f>D124*22.0462262</f>
        <v>1396.62842977</v>
      </c>
      <c r="F124" s="2" t="s">
        <v>521</v>
      </c>
    </row>
    <row r="125">
      <c r="A125" s="20">
        <v>44105</v>
      </c>
      <c r="B125" s="23" t="s">
        <v>51</v>
      </c>
      <c r="C125" s="9">
        <v>110.7</v>
      </c>
      <c r="D125" s="9">
        <v>59.14</v>
      </c>
      <c r="E125" s="7">
        <f>D125*22.0462262</f>
        <v>1303.813817468</v>
      </c>
      <c r="F125" s="2" t="s">
        <v>522</v>
      </c>
    </row>
    <row r="126">
      <c r="A126" s="20">
        <v>44136</v>
      </c>
      <c r="B126" s="23" t="s">
        <v>51</v>
      </c>
      <c r="C126" s="9">
        <v>115.48</v>
      </c>
      <c r="D126" s="9">
        <v>62.82</v>
      </c>
      <c r="E126" s="7">
        <f>D126*22.0462262</f>
        <v>1384.943929884</v>
      </c>
      <c r="F126" s="2" t="s">
        <v>522</v>
      </c>
    </row>
    <row r="127">
      <c r="A127" s="20">
        <v>44166</v>
      </c>
      <c r="B127" s="23" t="s">
        <v>51</v>
      </c>
      <c r="C127" s="9">
        <v>124.46</v>
      </c>
      <c r="D127" s="9">
        <v>62.41</v>
      </c>
      <c r="E127" s="7">
        <f>D127*22.0462262</f>
        <v>1375.904977142</v>
      </c>
      <c r="F127" s="2" t="s">
        <v>522</v>
      </c>
    </row>
    <row r="128">
      <c r="A128" s="20">
        <v>44197</v>
      </c>
      <c r="B128" s="23" t="s">
        <v>51</v>
      </c>
      <c r="C128" s="9">
        <v>127.59</v>
      </c>
      <c r="D128" s="9">
        <v>60.54</v>
      </c>
      <c r="E128" s="7">
        <f>D128*22.0462262</f>
        <v>1334.678534148</v>
      </c>
      <c r="F128" s="2" t="s">
        <v>522</v>
      </c>
    </row>
    <row r="129">
      <c r="A129" s="20">
        <v>44228</v>
      </c>
      <c r="B129" s="23" t="s">
        <v>51</v>
      </c>
      <c r="C129" s="9">
        <v>129.69</v>
      </c>
      <c r="D129" s="9">
        <v>63.07</v>
      </c>
      <c r="E129" s="7">
        <f>D129*22.0462262</f>
        <v>1390.455486434</v>
      </c>
      <c r="F129" s="2" t="s">
        <v>522</v>
      </c>
    </row>
    <row r="130">
      <c r="A130" s="20">
        <v>44256</v>
      </c>
      <c r="B130" s="23" t="s">
        <v>51</v>
      </c>
      <c r="C130" s="9">
        <v>131.72</v>
      </c>
      <c r="D130" s="9">
        <v>63.9</v>
      </c>
      <c r="E130" s="7">
        <f>D130*22.0462262</f>
        <v>1408.75385418</v>
      </c>
      <c r="F130" s="2" t="s">
        <v>522</v>
      </c>
    </row>
    <row r="131">
      <c r="A131" s="20">
        <v>44287</v>
      </c>
      <c r="B131" s="23" t="s">
        <v>51</v>
      </c>
      <c r="C131" s="9">
        <v>134.77</v>
      </c>
      <c r="D131" s="9">
        <v>63.76</v>
      </c>
      <c r="E131" s="7">
        <f>D131*22.0462262</f>
        <v>1405.667382512</v>
      </c>
      <c r="F131" s="2" t="s">
        <v>522</v>
      </c>
    </row>
    <row r="132">
      <c r="A132" s="20">
        <v>44317</v>
      </c>
      <c r="B132" s="23" t="s">
        <v>51</v>
      </c>
      <c r="C132" s="9">
        <v>152.42</v>
      </c>
      <c r="D132" s="9">
        <v>69.15</v>
      </c>
      <c r="E132" s="7">
        <f>D132*22.0462262</f>
        <v>1524.49654173</v>
      </c>
      <c r="F132" s="2" t="s">
        <v>522</v>
      </c>
    </row>
    <row r="133">
      <c r="A133" s="20">
        <v>44348</v>
      </c>
      <c r="B133" s="23" t="s">
        <v>51</v>
      </c>
      <c r="C133" s="9">
        <v>156.43</v>
      </c>
      <c r="D133" s="9">
        <v>73.16</v>
      </c>
      <c r="E133" s="7">
        <f>D133*22.0462262</f>
        <v>1612.9019087919999</v>
      </c>
      <c r="F133" s="2" t="s">
        <v>522</v>
      </c>
    </row>
    <row r="134">
      <c r="A134" s="20">
        <v>44378</v>
      </c>
      <c r="B134" s="23" t="s">
        <v>51</v>
      </c>
      <c r="C134" s="9">
        <v>168.55</v>
      </c>
      <c r="D134" s="9">
        <v>81.17</v>
      </c>
      <c r="E134" s="7">
        <f>D134*22.0462262</f>
        <v>1789.492180654</v>
      </c>
      <c r="F134" s="2" t="s">
        <v>522</v>
      </c>
    </row>
    <row r="135">
      <c r="A135" s="20">
        <v>44409</v>
      </c>
      <c r="B135" s="23" t="s">
        <v>51</v>
      </c>
      <c r="C135" s="9">
        <v>181.93</v>
      </c>
      <c r="D135" s="9">
        <v>84.72</v>
      </c>
      <c r="E135" s="7">
        <f>D135*22.0462262</f>
        <v>1867.756283664</v>
      </c>
      <c r="F135" s="2" t="s">
        <v>522</v>
      </c>
    </row>
    <row r="136">
      <c r="A136" s="20">
        <v>44440</v>
      </c>
      <c r="B136" s="23" t="s">
        <v>51</v>
      </c>
      <c r="C136" s="9">
        <v>191.3</v>
      </c>
      <c r="D136" s="9">
        <v>94.91</v>
      </c>
      <c r="E136" s="7">
        <f>D136*22.0462262</f>
        <v>2092.407328642</v>
      </c>
      <c r="F136" s="2" t="s">
        <v>522</v>
      </c>
    </row>
    <row r="137">
      <c r="A137" s="20">
        <v>44470</v>
      </c>
      <c r="B137" s="23" t="s">
        <v>52</v>
      </c>
      <c r="C137" s="9">
        <v>206.05</v>
      </c>
      <c r="D137" s="9">
        <v>96.36</v>
      </c>
      <c r="E137" s="7">
        <f>D137*22.0462262</f>
        <v>2124.374356632</v>
      </c>
      <c r="F137" s="2" t="s">
        <v>523</v>
      </c>
    </row>
    <row r="138">
      <c r="A138" s="20">
        <v>44501</v>
      </c>
      <c r="B138" s="23" t="s">
        <v>52</v>
      </c>
      <c r="C138" s="9">
        <v>223.94</v>
      </c>
      <c r="D138" s="9">
        <v>100.3</v>
      </c>
      <c r="E138" s="7">
        <f>D138*22.0462262</f>
        <v>2211.2364878599997</v>
      </c>
      <c r="F138" s="2" t="s">
        <v>523</v>
      </c>
    </row>
    <row r="139">
      <c r="A139" s="20">
        <v>44531</v>
      </c>
      <c r="B139" s="23" t="s">
        <v>52</v>
      </c>
      <c r="C139" s="9">
        <v>234.14</v>
      </c>
      <c r="D139" s="9">
        <v>104.14</v>
      </c>
      <c r="E139" s="7">
        <f>D139*22.0462262</f>
        <v>2295.893996468</v>
      </c>
      <c r="F139" s="2" t="s">
        <v>523</v>
      </c>
    </row>
    <row r="140">
      <c r="A140" s="20">
        <v>44562</v>
      </c>
      <c r="B140" s="23" t="s">
        <v>52</v>
      </c>
      <c r="C140" s="9">
        <v>236.13</v>
      </c>
      <c r="D140" s="9">
        <v>101.06</v>
      </c>
      <c r="E140" s="7">
        <f>D140*22.0462262</f>
        <v>2227.991619772</v>
      </c>
      <c r="F140" s="2" t="s">
        <v>523</v>
      </c>
    </row>
    <row r="141">
      <c r="A141" s="20">
        <v>44593</v>
      </c>
      <c r="B141" s="23" t="s">
        <v>52</v>
      </c>
      <c r="C141" s="9">
        <v>245.38</v>
      </c>
      <c r="D141" s="9">
        <v>100.58</v>
      </c>
      <c r="E141" s="7">
        <f>D141*22.0462262</f>
        <v>2217.409431196</v>
      </c>
      <c r="F141" s="2" t="s">
        <v>523</v>
      </c>
    </row>
    <row r="142">
      <c r="A142" s="20">
        <v>44621</v>
      </c>
      <c r="B142" s="23" t="s">
        <v>52</v>
      </c>
      <c r="C142" s="9">
        <v>222.44</v>
      </c>
      <c r="D142" s="9">
        <v>95.21</v>
      </c>
      <c r="E142" s="7">
        <f>D142*22.0462262</f>
        <v>2099.021196502</v>
      </c>
      <c r="F142" s="2" t="s">
        <v>523</v>
      </c>
    </row>
    <row r="143">
      <c r="A143" s="20">
        <v>44652</v>
      </c>
      <c r="B143" s="23" t="s">
        <v>52</v>
      </c>
      <c r="C143" s="9">
        <v>225.37</v>
      </c>
      <c r="D143" s="9">
        <v>95.07</v>
      </c>
      <c r="E143" s="7">
        <f>D143*22.0462262</f>
        <v>2095.934724834</v>
      </c>
      <c r="F143" s="2" t="s">
        <v>523</v>
      </c>
    </row>
    <row r="144">
      <c r="A144" s="20">
        <v>44682</v>
      </c>
      <c r="B144" s="23" t="s">
        <v>52</v>
      </c>
      <c r="C144" s="9">
        <v>218.61</v>
      </c>
      <c r="D144" s="9">
        <v>94.31</v>
      </c>
      <c r="E144" s="7">
        <f>D144*22.0462262</f>
        <v>2079.179592922</v>
      </c>
      <c r="F144" s="2" t="s">
        <v>523</v>
      </c>
    </row>
    <row r="145">
      <c r="A145" s="20">
        <v>44713</v>
      </c>
      <c r="B145" s="23" t="s">
        <v>52</v>
      </c>
      <c r="C145" s="9">
        <v>229.38</v>
      </c>
      <c r="D145" s="9">
        <v>94.48</v>
      </c>
      <c r="E145" s="7">
        <f>D145*22.0462262</f>
        <v>2082.927451376</v>
      </c>
      <c r="F145" s="2" t="s">
        <v>523</v>
      </c>
    </row>
    <row r="146">
      <c r="A146" s="20">
        <v>44743</v>
      </c>
      <c r="B146" s="23" t="s">
        <v>52</v>
      </c>
      <c r="C146" s="9">
        <v>210.84</v>
      </c>
      <c r="D146" s="9">
        <v>89.6</v>
      </c>
      <c r="E146" s="7">
        <f>D146*22.0462262</f>
        <v>1975.3418675199998</v>
      </c>
      <c r="F146" s="2" t="s">
        <v>523</v>
      </c>
    </row>
    <row r="147">
      <c r="A147" s="20">
        <v>44774</v>
      </c>
      <c r="B147" s="23" t="s">
        <v>52</v>
      </c>
      <c r="C147" s="9">
        <v>218.53</v>
      </c>
      <c r="D147" s="9">
        <v>98.75</v>
      </c>
      <c r="E147" s="7">
        <f>D147*22.0462262</f>
        <v>2177.06483725</v>
      </c>
      <c r="F147" s="2" t="s">
        <v>524</v>
      </c>
    </row>
    <row r="148">
      <c r="A148" s="20">
        <v>44805</v>
      </c>
      <c r="B148" s="23" t="s">
        <v>52</v>
      </c>
      <c r="C148" s="9">
        <v>218.24</v>
      </c>
      <c r="D148" s="9">
        <v>100.49</v>
      </c>
      <c r="E148" s="7">
        <f>D148*22.0462262</f>
        <v>2215.425270838</v>
      </c>
      <c r="F148" s="2" t="s">
        <v>524</v>
      </c>
    </row>
    <row r="149">
      <c r="A149" s="20">
        <v>44835</v>
      </c>
      <c r="B149" s="23" t="s">
        <v>53</v>
      </c>
      <c r="C149" s="9">
        <v>191.72</v>
      </c>
      <c r="D149" s="9">
        <v>92.16</v>
      </c>
      <c r="E149" s="7">
        <f>D149*22.0462262</f>
        <v>2031.7802065919998</v>
      </c>
      <c r="F149" s="2" t="s">
        <v>524</v>
      </c>
    </row>
    <row r="150">
      <c r="A150" s="20">
        <v>44866</v>
      </c>
      <c r="B150" s="23" t="s">
        <v>53</v>
      </c>
      <c r="C150" s="9">
        <v>164.8</v>
      </c>
      <c r="D150" s="9">
        <v>82.67</v>
      </c>
      <c r="E150" s="7">
        <f>D150*22.0462262</f>
        <v>1822.561519954</v>
      </c>
      <c r="F150" s="2" t="s">
        <v>524</v>
      </c>
    </row>
    <row r="151">
      <c r="A151" s="20">
        <v>44896</v>
      </c>
      <c r="B151" s="23" t="s">
        <v>53</v>
      </c>
      <c r="C151" s="9">
        <v>166.21</v>
      </c>
      <c r="D151" s="9">
        <v>83.95</v>
      </c>
      <c r="E151" s="7">
        <f>D151*22.0462262</f>
        <v>1850.78068949</v>
      </c>
      <c r="F151" s="2" t="s">
        <v>525</v>
      </c>
    </row>
    <row r="152">
      <c r="A152" s="20">
        <v>44927</v>
      </c>
      <c r="B152" s="23" t="s">
        <v>53</v>
      </c>
      <c r="C152" s="9">
        <v>159.8</v>
      </c>
      <c r="D152" s="9">
        <v>85.82</v>
      </c>
      <c r="E152" s="7">
        <f>D152*22.0462262</f>
        <v>1892.0071324839998</v>
      </c>
      <c r="F152" s="2" t="s">
        <v>525</v>
      </c>
    </row>
    <row r="153">
      <c r="A153" s="20">
        <v>44958</v>
      </c>
      <c r="B153" s="23" t="s">
        <v>53</v>
      </c>
      <c r="C153" s="9">
        <v>180.93</v>
      </c>
      <c r="D153" s="9">
        <v>94.26</v>
      </c>
      <c r="E153" s="7">
        <f>D153*22.0462262</f>
        <v>2078.077281612</v>
      </c>
      <c r="F153" s="2" t="s">
        <v>525</v>
      </c>
    </row>
    <row r="154">
      <c r="A154" s="20">
        <v>44986</v>
      </c>
      <c r="B154" s="23" t="s">
        <v>53</v>
      </c>
      <c r="C154" s="9">
        <v>176.17</v>
      </c>
      <c r="D154" s="9">
        <v>96.6</v>
      </c>
      <c r="E154" s="7">
        <f>D154*22.0462262</f>
        <v>2129.66545092</v>
      </c>
      <c r="F154" s="2" t="s">
        <v>526</v>
      </c>
    </row>
    <row r="155">
      <c r="A155" s="20">
        <v>45017</v>
      </c>
      <c r="B155" s="23" t="s">
        <v>53</v>
      </c>
      <c r="C155" s="9">
        <v>187.3</v>
      </c>
      <c r="D155" s="9">
        <v>105.43</v>
      </c>
      <c r="E155" s="7">
        <f>D155*22.0462262</f>
        <v>2324.3336282660002</v>
      </c>
      <c r="F155" s="2" t="s">
        <v>526</v>
      </c>
    </row>
    <row r="156">
      <c r="A156" s="20">
        <v>45047</v>
      </c>
      <c r="B156" s="23" t="s">
        <v>53</v>
      </c>
      <c r="C156" s="9">
        <v>183.13</v>
      </c>
      <c r="D156" s="9">
        <v>112.56</v>
      </c>
      <c r="E156" s="7">
        <f>D156*22.0462262</f>
        <v>2481.523221072</v>
      </c>
      <c r="F156" s="2" t="s">
        <v>526</v>
      </c>
    </row>
    <row r="157">
      <c r="A157" s="20">
        <v>45078</v>
      </c>
      <c r="B157" s="23" t="s">
        <v>53</v>
      </c>
      <c r="C157" s="9">
        <v>174.54</v>
      </c>
      <c r="D157" s="9">
        <v>119.23</v>
      </c>
      <c r="E157" s="7">
        <f>D157*22.0462262</f>
        <v>2628.571549826</v>
      </c>
      <c r="F157" s="2" t="s">
        <v>526</v>
      </c>
    </row>
    <row r="158">
      <c r="A158" s="20">
        <v>45108</v>
      </c>
      <c r="B158" s="23" t="s">
        <v>53</v>
      </c>
      <c r="C158" s="9">
        <v>159.57</v>
      </c>
      <c r="D158" s="9">
        <v>113.62</v>
      </c>
      <c r="E158" s="7">
        <f>D158*22.0462262</f>
        <v>2504.892220844</v>
      </c>
      <c r="F158" s="2" t="s">
        <v>527</v>
      </c>
    </row>
    <row r="159">
      <c r="A159" s="20">
        <v>45139</v>
      </c>
      <c r="B159" s="23" t="s">
        <v>53</v>
      </c>
      <c r="C159" s="9">
        <v>156.56</v>
      </c>
      <c r="D159" s="9">
        <v>111.34</v>
      </c>
      <c r="E159" s="7">
        <f>D159*22.0462262</f>
        <v>2454.626825108</v>
      </c>
      <c r="F159" s="2" t="s">
        <v>527</v>
      </c>
    </row>
    <row r="160">
      <c r="A160" s="20">
        <v>45170</v>
      </c>
      <c r="B160" s="23" t="s">
        <v>53</v>
      </c>
      <c r="C160" s="9">
        <v>153.55</v>
      </c>
      <c r="D160" s="9">
        <v>109.14</v>
      </c>
      <c r="E160" s="7">
        <f>D160*22.0462262</f>
        <v>2406.125127468</v>
      </c>
      <c r="F160" s="2" t="s">
        <v>527</v>
      </c>
    </row>
    <row r="161">
      <c r="A161" s="20">
        <v>45200</v>
      </c>
      <c r="B161" s="23" t="s">
        <v>54</v>
      </c>
      <c r="C161" s="9">
        <v>155.91</v>
      </c>
      <c r="D161" s="9">
        <v>105.4</v>
      </c>
      <c r="E161" s="7">
        <f>D161*22.0462262</f>
        <v>2323.67224148</v>
      </c>
      <c r="F161" s="2" t="s">
        <v>527</v>
      </c>
    </row>
    <row r="162">
      <c r="A162" s="20">
        <v>45231</v>
      </c>
      <c r="B162" s="23" t="s">
        <v>54</v>
      </c>
      <c r="C162" s="9">
        <v>170.25</v>
      </c>
      <c r="D162" s="9">
        <v>110.45</v>
      </c>
      <c r="E162" s="7">
        <f>D162*22.0462262</f>
        <v>2435.00568379</v>
      </c>
      <c r="F162" s="2" t="s">
        <v>527</v>
      </c>
    </row>
    <row r="163">
      <c r="A163" s="20">
        <v>45261</v>
      </c>
      <c r="B163" s="23" t="s">
        <v>54</v>
      </c>
      <c r="C163" s="9">
        <v>186.67</v>
      </c>
      <c r="D163" s="9">
        <v>123.91</v>
      </c>
      <c r="E163" s="7">
        <f>D163*22.0462262</f>
        <v>2731.7478884419997</v>
      </c>
      <c r="F163" s="2" t="s">
        <v>527</v>
      </c>
    </row>
    <row r="164">
      <c r="A164" s="20">
        <v>45292</v>
      </c>
      <c r="B164" s="23" t="s">
        <v>54</v>
      </c>
      <c r="C164" s="9">
        <v>183.06</v>
      </c>
      <c r="D164" s="9">
        <v>135.84</v>
      </c>
      <c r="E164" s="7">
        <f>D164*22.0462262</f>
        <v>2994.759367008</v>
      </c>
      <c r="F164" s="2" t="s">
        <v>527</v>
      </c>
    </row>
    <row r="165">
      <c r="A165" s="20">
        <v>45323</v>
      </c>
      <c r="B165" s="23" t="s">
        <v>54</v>
      </c>
      <c r="C165" s="9">
        <v>185.37</v>
      </c>
      <c r="D165" s="9">
        <v>142.43</v>
      </c>
      <c r="E165" s="7">
        <f>D165*22.0462262</f>
        <v>3140.043997666</v>
      </c>
      <c r="F165" s="2" t="s">
        <v>527</v>
      </c>
    </row>
    <row r="166">
      <c r="A166" s="20">
        <v>45352</v>
      </c>
      <c r="B166" s="23" t="s">
        <v>54</v>
      </c>
      <c r="C166" s="9">
        <v>184.59</v>
      </c>
      <c r="D166" s="9">
        <v>148.53</v>
      </c>
      <c r="E166" s="7">
        <f>D166*22.0462262</f>
        <v>3274.525977486</v>
      </c>
      <c r="F166" s="2" t="s">
        <v>527</v>
      </c>
    </row>
    <row r="167">
      <c r="A167" s="20">
        <v>45383</v>
      </c>
      <c r="B167" s="23" t="s">
        <v>54</v>
      </c>
      <c r="C167" s="9">
        <v>217.97</v>
      </c>
      <c r="D167" s="9">
        <v>176.04</v>
      </c>
      <c r="E167" s="7">
        <f>D167*22.0462262</f>
        <v>3881.0176602479996</v>
      </c>
      <c r="F167" s="2" t="s">
        <v>527</v>
      </c>
    </row>
    <row r="168">
      <c r="A168" s="20">
        <v>45413</v>
      </c>
      <c r="B168" s="23" t="s">
        <v>54</v>
      </c>
      <c r="C168" s="9">
        <v>208.86</v>
      </c>
      <c r="D168" s="9">
        <v>165.11</v>
      </c>
      <c r="E168" s="7">
        <f>D168*22.0462262</f>
        <v>3640.0524078820004</v>
      </c>
      <c r="F168" s="2" t="s">
        <v>527</v>
      </c>
    </row>
    <row r="169">
      <c r="A169" s="20">
        <v>45444</v>
      </c>
      <c r="B169" s="23" t="s">
        <v>54</v>
      </c>
      <c r="C169" s="9">
        <v>226.47</v>
      </c>
      <c r="D169" s="9">
        <v>182.82</v>
      </c>
      <c r="E169" s="7">
        <f>D169*22.0462262</f>
        <v>4030.491073884</v>
      </c>
      <c r="F169" s="2" t="s">
        <v>528</v>
      </c>
    </row>
    <row r="170">
      <c r="A170" s="20">
        <v>45474</v>
      </c>
      <c r="B170" s="23" t="s">
        <v>54</v>
      </c>
      <c r="C170" s="9">
        <v>235.15</v>
      </c>
      <c r="D170" s="9">
        <v>193.93</v>
      </c>
      <c r="E170" s="7">
        <f>D170*22.0462262</f>
        <v>4275.424646966</v>
      </c>
      <c r="F170" s="2" t="s">
        <v>529</v>
      </c>
    </row>
    <row r="171">
      <c r="A171" s="20">
        <v>45505</v>
      </c>
      <c r="B171" s="23" t="s">
        <v>54</v>
      </c>
      <c r="C171" s="9">
        <v>239.29</v>
      </c>
      <c r="D171" s="9">
        <v>197.81</v>
      </c>
      <c r="E171" s="7">
        <f>D171*22.0462262</f>
        <v>4360.964004622</v>
      </c>
      <c r="F171" s="2" t="s">
        <v>530</v>
      </c>
    </row>
    <row r="172">
      <c r="A172" s="20">
        <v>45536</v>
      </c>
      <c r="B172" s="23" t="s">
        <v>54</v>
      </c>
      <c r="C172" s="9">
        <v>254.43</v>
      </c>
      <c r="D172" s="9">
        <v>225.13</v>
      </c>
      <c r="E172" s="7">
        <f>D172*22.0462262</f>
        <v>4963.266904405999</v>
      </c>
      <c r="F172" s="2" t="s">
        <v>531</v>
      </c>
    </row>
    <row r="173">
      <c r="A173" s="20">
        <v>45566</v>
      </c>
      <c r="B173" s="23" t="s">
        <v>55</v>
      </c>
      <c r="C173" s="9">
        <v>250.62</v>
      </c>
      <c r="D173" s="9">
        <v>207.11</v>
      </c>
      <c r="E173" s="7">
        <f>D173*22.0462262</f>
        <v>4565.993908282</v>
      </c>
      <c r="F173" s="2" t="s">
        <v>532</v>
      </c>
    </row>
    <row r="174">
      <c r="A174" s="20">
        <v>45597</v>
      </c>
      <c r="B174" s="23" t="s">
        <v>55</v>
      </c>
      <c r="C174" s="9">
        <v>277.04</v>
      </c>
      <c r="D174" s="9">
        <v>214.43</v>
      </c>
      <c r="E174" s="7">
        <f>D174*22.0462262</f>
        <v>4727.372284066</v>
      </c>
      <c r="F174" s="2" t="s">
        <v>532</v>
      </c>
    </row>
    <row r="175">
      <c r="A175" s="20">
        <v>45627</v>
      </c>
      <c r="B175" s="23" t="s">
        <v>55</v>
      </c>
      <c r="C175" s="9">
        <v>317</v>
      </c>
      <c r="D175" s="9">
        <v>226.28</v>
      </c>
      <c r="E175" s="7">
        <f>D175*22.0462262</f>
        <v>4988.6200645359995</v>
      </c>
      <c r="F175" s="2" t="s">
        <v>532</v>
      </c>
    </row>
    <row r="176">
      <c r="A176" s="20">
        <v>45658</v>
      </c>
      <c r="B176" s="23" t="s">
        <v>55</v>
      </c>
      <c r="C176" s="9">
        <v>328.94</v>
      </c>
      <c r="D176" s="9">
        <v>234.33</v>
      </c>
      <c r="E176" s="7">
        <f>D176*22.0462262</f>
        <v>5166.092185446</v>
      </c>
      <c r="F176" s="2" t="s">
        <v>532</v>
      </c>
    </row>
    <row r="177">
      <c r="A177" s="20">
        <v>45689</v>
      </c>
      <c r="B177" s="23" t="s">
        <v>55</v>
      </c>
      <c r="C177" s="9">
        <v>388.18</v>
      </c>
      <c r="D177" s="9">
        <v>253.48</v>
      </c>
      <c r="E177" s="7">
        <f>D177*22.0462262</f>
        <v>5588.277417175999</v>
      </c>
      <c r="F177" s="2" t="s">
        <v>532</v>
      </c>
    </row>
    <row r="178">
      <c r="A178" s="20">
        <v>45717</v>
      </c>
      <c r="B178" s="23" t="s">
        <v>55</v>
      </c>
      <c r="C178" s="9">
        <v>382.75</v>
      </c>
      <c r="D178" s="9">
        <v>247.63</v>
      </c>
      <c r="E178" s="7">
        <f>D178*22.0462262</f>
        <v>5459.306993906</v>
      </c>
      <c r="F178" s="2" t="s">
        <v>532</v>
      </c>
    </row>
    <row r="179">
      <c r="A179" s="20">
        <v>45748</v>
      </c>
      <c r="B179" s="23" t="s">
        <v>55</v>
      </c>
      <c r="C179" s="9">
        <v>370.37</v>
      </c>
      <c r="D179" s="9">
        <v>235.69</v>
      </c>
      <c r="E179" s="7">
        <f>D179*22.0462262</f>
        <v>5196.075053078</v>
      </c>
      <c r="F179" s="2" t="s">
        <v>532</v>
      </c>
    </row>
    <row r="180">
      <c r="A180" s="20">
        <v>45778</v>
      </c>
      <c r="B180" s="23" t="s">
        <v>55</v>
      </c>
      <c r="C180" s="9">
        <v>368.21</v>
      </c>
      <c r="D180" s="9">
        <v>224.63</v>
      </c>
      <c r="E180" s="7">
        <f>D180*22.0462262</f>
        <v>4952.243791305999</v>
      </c>
      <c r="F180" s="2" t="s">
        <v>532</v>
      </c>
    </row>
    <row r="181">
      <c r="A181" s="20">
        <v>45809</v>
      </c>
      <c r="B181" s="23" t="s">
        <v>55</v>
      </c>
      <c r="C181" s="9">
        <v>329.56</v>
      </c>
      <c r="D181" s="9">
        <v>183.21</v>
      </c>
      <c r="E181" s="7">
        <f>D181*22.0462262</f>
        <v>4039.089102102</v>
      </c>
      <c r="F181" s="2" t="s">
        <v>532</v>
      </c>
    </row>
    <row r="182">
      <c r="A182" s="20">
        <v>45839</v>
      </c>
      <c r="B182" s="23" t="s">
        <v>55</v>
      </c>
      <c r="C182" s="9">
        <v>289.17</v>
      </c>
      <c r="D182" s="9">
        <v>153.43</v>
      </c>
      <c r="E182" s="7">
        <f>D182*22.0462262</f>
        <v>3382.552485866</v>
      </c>
      <c r="F182" s="2" t="s">
        <v>532</v>
      </c>
    </row>
    <row r="183">
      <c r="A183" s="20">
        <v>45870</v>
      </c>
      <c r="B183" s="23" t="s">
        <v>55</v>
      </c>
      <c r="C183" s="9">
        <v>328.57</v>
      </c>
      <c r="D183" s="9">
        <v>181.43</v>
      </c>
      <c r="E183" s="7">
        <f>D183*22.0462262</f>
        <v>3999.846819466</v>
      </c>
      <c r="F183" s="2" t="s">
        <v>532</v>
      </c>
    </row>
    <row r="184">
      <c r="A184" s="20">
        <v>45901</v>
      </c>
      <c r="B184" s="23" t="s">
        <v>55</v>
      </c>
      <c r="C184" s="9">
        <v>366.31</v>
      </c>
      <c r="D184" s="9">
        <v>197.56</v>
      </c>
      <c r="E184" s="7">
        <f>D184*22.0462262</f>
        <v>4355.452448072</v>
      </c>
      <c r="F184" s="2" t="s">
        <v>533</v>
      </c>
    </row>
    <row r="185">
      <c r="A185" s="20">
        <v>45931</v>
      </c>
      <c r="B185" s="23" t="s">
        <v>56</v>
      </c>
      <c r="C185" s="9">
        <v>366</v>
      </c>
      <c r="D185" s="9">
        <v>202.16</v>
      </c>
      <c r="E185" s="7">
        <f>D185*22.0462262</f>
        <v>4456.865088592</v>
      </c>
      <c r="F185" s="2" t="s">
        <v>533</v>
      </c>
    </row>
    <row r="186">
      <c r="A186" s="20">
        <v>45962</v>
      </c>
      <c r="B186" s="23" t="s">
        <v>56</v>
      </c>
      <c r="C186" s="9">
        <v>373.57</v>
      </c>
      <c r="D186" s="9">
        <v>202.33</v>
      </c>
      <c r="E186" s="7">
        <f>D186*22.0462262</f>
        <v>4460.612947046</v>
      </c>
      <c r="F186" s="2" t="s">
        <v>533</v>
      </c>
    </row>
    <row r="187">
      <c r="A187" s="20">
        <v>45992</v>
      </c>
      <c r="B187" s="23" t="s">
        <v>56</v>
      </c>
      <c r="C187" s="9">
        <v>347.71</v>
      </c>
      <c r="D187" s="9">
        <v>178.87</v>
      </c>
      <c r="E187" s="7">
        <f>D187*22.0462262</f>
        <v>3943.408480394</v>
      </c>
      <c r="F187" s="2" t="s">
        <v>533</v>
      </c>
    </row>
    <row r="188">
      <c r="A188" s="20">
        <v>46023</v>
      </c>
      <c r="B188" s="23" t="s">
        <v>56</v>
      </c>
      <c r="C188" s="9">
        <v>334.99</v>
      </c>
      <c r="D188" s="9">
        <v>180.23</v>
      </c>
      <c r="E188" s="7">
        <f>D188*22.0462262</f>
        <v>3973.391348026</v>
      </c>
      <c r="F188" s="2" t="s">
        <v>533</v>
      </c>
    </row>
    <row r="189">
      <c r="A189" s="20">
        <v>46054</v>
      </c>
      <c r="B189" s="23" t="s">
        <v>56</v>
      </c>
      <c r="C189" s="9">
        <v>288.76</v>
      </c>
      <c r="D189" s="9">
        <v>166.06</v>
      </c>
      <c r="E189" s="7">
        <f>D189*22.0462262</f>
        <v>3660.996322772</v>
      </c>
      <c r="F189" s="2" t="s">
        <v>533</v>
      </c>
    </row>
    <row r="190">
      <c r="A190" s="20">
        <v>46082</v>
      </c>
      <c r="B190" s="23" t="s">
        <v>56</v>
      </c>
      <c r="C190" s="9">
        <v>290.18</v>
      </c>
      <c r="D190" s="9">
        <v>161.91</v>
      </c>
      <c r="E190" s="7">
        <f>D190*22.0462262</f>
        <v>3569.504484042</v>
      </c>
      <c r="F190" s="2" t="s">
        <v>533</v>
      </c>
    </row>
    <row r="191">
      <c r="A191" s="20">
        <v>46113</v>
      </c>
      <c r="B191" s="23" t="s">
        <v>56</v>
      </c>
      <c r="C191" s="9">
        <v>284.63</v>
      </c>
      <c r="D191" s="9">
        <v>150.65</v>
      </c>
      <c r="E191" s="7">
        <f>D191*22.0462262</f>
        <v>3321.26397703</v>
      </c>
      <c r="F191" s="2" t="s">
        <v>533</v>
      </c>
    </row>
    <row r="192">
      <c r="A192" s="20">
        <v>46143</v>
      </c>
      <c r="B192" s="23" t="s">
        <v>56</v>
      </c>
      <c r="C192" s="9">
        <v>268.18</v>
      </c>
      <c r="D192" s="9">
        <v>151.79</v>
      </c>
      <c r="E192" s="7">
        <f>D192*22.0462262</f>
        <v>3346.3966748979997</v>
      </c>
      <c r="F192" s="2" t="s">
        <v>533</v>
      </c>
    </row>
    <row r="193">
      <c r="A193" s="20">
        <v>46174</v>
      </c>
      <c r="B193" s="23" t="s">
        <v>56</v>
      </c>
      <c r="C193" s="9">
        <v>256.75</v>
      </c>
      <c r="D193" s="9">
        <v>155.9</v>
      </c>
      <c r="E193" s="7">
        <f>D193*22.0462262</f>
        <v>3437.0066645800002</v>
      </c>
      <c r="F193" s="2" t="s">
        <v>533</v>
      </c>
    </row>
    <row r="194">
      <c r="A194" s="20">
        <v>46204</v>
      </c>
      <c r="B194" s="23" t="s">
        <v>56</v>
      </c>
      <c r="C194" s="9">
        <v>310.34</v>
      </c>
      <c r="D194" s="9">
        <v>172.73</v>
      </c>
      <c r="E194" s="7">
        <f>D194*22.0462262</f>
        <v>3808.0446515259996</v>
      </c>
      <c r="F194" s="2" t="s">
        <v>533</v>
      </c>
    </row>
    <row r="195">
      <c r="A195" s="20">
        <v>46235</v>
      </c>
      <c r="B195" s="23" t="s">
        <v>56</v>
      </c>
      <c r="C195" s="9">
        <v>313.2</v>
      </c>
      <c r="D195" s="9">
        <v>167.63</v>
      </c>
      <c r="E195" s="7">
        <f>D195*22.0462262</f>
        <v>3695.608897906</v>
      </c>
      <c r="F195" s="2" t="s">
        <v>533</v>
      </c>
    </row>
  </sheetData>
  <pageMargins left="0.5" right="0.5" top="0.75" bottom="0.75" header="0.3" footer="0.3"/>
  <pageSetup orientation="landscape"/>
</worksheet>
</file>

<file path=xl/worksheets/sheet12.xml><?xml version="1.0" encoding="utf-8"?>
<worksheet xmlns="http://schemas.openxmlformats.org/spreadsheetml/2006/main" xmlns:r="http://schemas.openxmlformats.org/officeDocument/2006/relationships">
  <sheetPr>
    <tabColor rgb="FF5E7497"/>
  </sheetPr>
  <dimension ref="A1:K175"/>
  <sheetViews>
    <sheetView workbookViewId="0">
      <pane ySplit="4" topLeftCell="A5" activePane="bottomLeft" state="frozen"/>
      <selection pane="bottomLeft" activeCell="A5" sqref="A5"/>
    </sheetView>
  </sheetViews>
  <sheetFormatPr defaultRowHeight="12.75"/>
  <cols>
    <col min="1" max="1" width="11" customWidth="1"/>
    <col min="2" max="2" width="12" customWidth="1"/>
    <col min="3" max="3" width="12" customWidth="1"/>
    <col min="4" max="4" width="16" customWidth="1"/>
    <col min="5" max="5" width="3" customWidth="1"/>
    <col min="6" max="6" width="11" customWidth="1"/>
    <col min="7" max="7" width="10" customWidth="1"/>
    <col min="8" max="8" width="12" customWidth="1"/>
    <col min="9" max="9" width="12" customWidth="1"/>
    <col min="10" max="10" width="12" customWidth="1"/>
    <col min="11" max="11" width="12" customWidth="1"/>
  </cols>
  <sheetData>
    <row r="1">
      <c r="A1" s="1" t="s">
        <v>534</v>
      </c>
    </row>
    <row r="2">
      <c r="A2" s="2" t="s">
        <v>535</v>
      </c>
    </row>
    <row r="3">
      <c r="A3" s="2" t="s">
        <v>536</v>
      </c>
    </row>
    <row r="4" ht="40" customHeight="1">
      <c r="A4" s="3" t="s">
        <v>464</v>
      </c>
      <c r="B4" s="3" t="s">
        <v>537</v>
      </c>
      <c r="C4" s="3" t="s">
        <v>538</v>
      </c>
      <c r="D4" s="3" t="s">
        <v>468</v>
      </c>
      <c r="F4" s="3" t="s">
        <v>27</v>
      </c>
      <c r="G4" s="3" t="s">
        <v>539</v>
      </c>
      <c r="H4" s="3" t="s">
        <v>540</v>
      </c>
      <c r="I4" s="3" t="s">
        <v>541</v>
      </c>
      <c r="J4" s="3" t="s">
        <v>542</v>
      </c>
      <c r="K4" s="3" t="s">
        <v>543</v>
      </c>
    </row>
    <row r="5">
      <c r="A5" s="20">
        <v>41061</v>
      </c>
      <c r="B5" s="13">
        <v>1.82</v>
      </c>
      <c r="C5" s="13">
        <v>2.73</v>
      </c>
      <c r="D5" s="2" t="s">
        <v>484</v>
      </c>
      <c r="F5" s="5" t="s">
        <v>41</v>
      </c>
      <c r="G5" s="2" t="s">
        <v>480</v>
      </c>
    </row>
    <row r="6">
      <c r="A6" s="20">
        <v>41091</v>
      </c>
      <c r="B6" s="13">
        <v>1.99</v>
      </c>
      <c r="C6" s="13">
        <v>2.51</v>
      </c>
      <c r="D6" s="2" t="s">
        <v>485</v>
      </c>
      <c r="F6" s="5" t="s">
        <v>42</v>
      </c>
      <c r="G6" s="23" t="s">
        <v>544</v>
      </c>
      <c r="H6" s="13">
        <f>B8</f>
        <v>2.43</v>
      </c>
      <c r="I6" s="13">
        <f>C8</f>
        <v>2.17</v>
      </c>
    </row>
    <row r="7">
      <c r="A7" s="20">
        <v>41122</v>
      </c>
      <c r="B7" s="13">
        <v>2.22</v>
      </c>
      <c r="C7" s="13">
        <v>2.39</v>
      </c>
      <c r="D7" s="2" t="s">
        <v>486</v>
      </c>
      <c r="F7" s="5" t="s">
        <v>43</v>
      </c>
      <c r="G7" s="23" t="s">
        <v>545</v>
      </c>
      <c r="H7" s="13">
        <f>B20</f>
        <v>3.13</v>
      </c>
      <c r="I7" s="13">
        <f>C20</f>
        <v>1.01</v>
      </c>
      <c r="J7" s="13">
        <f>B11</f>
        <v>2.9</v>
      </c>
      <c r="K7" s="13">
        <f>C11</f>
        <v>1.78</v>
      </c>
    </row>
    <row r="8">
      <c r="A8" s="20">
        <v>41153</v>
      </c>
      <c r="B8" s="13">
        <v>2.43</v>
      </c>
      <c r="C8" s="13">
        <v>2.17</v>
      </c>
      <c r="D8" s="2" t="s">
        <v>487</v>
      </c>
      <c r="F8" s="5" t="s">
        <v>44</v>
      </c>
      <c r="G8" s="23" t="s">
        <v>546</v>
      </c>
      <c r="H8" s="13">
        <f>B32</f>
        <v>2.68</v>
      </c>
      <c r="I8" s="13">
        <f>C32</f>
        <v>1.88</v>
      </c>
      <c r="J8" s="13">
        <f>B23</f>
        <v>3.06</v>
      </c>
      <c r="K8" s="13">
        <f>C23</f>
        <v>0.5</v>
      </c>
    </row>
    <row r="9">
      <c r="A9" s="20">
        <v>41183</v>
      </c>
      <c r="B9" s="13">
        <v>2.72</v>
      </c>
      <c r="C9" s="13">
        <v>1.94</v>
      </c>
      <c r="D9" s="2" t="s">
        <v>488</v>
      </c>
      <c r="F9" s="5" t="s">
        <v>45</v>
      </c>
      <c r="G9" s="23" t="s">
        <v>547</v>
      </c>
      <c r="H9" s="13">
        <f>B44</f>
        <v>2.28</v>
      </c>
      <c r="I9" s="13">
        <f>C44</f>
        <v>3.43</v>
      </c>
      <c r="J9" s="13">
        <f>B35</f>
        <v>2.6</v>
      </c>
      <c r="K9" s="13">
        <f>C35</f>
        <v>2.12</v>
      </c>
    </row>
    <row r="10">
      <c r="A10" s="20">
        <v>41214</v>
      </c>
      <c r="B10" s="13">
        <v>2.82</v>
      </c>
      <c r="C10" s="13">
        <v>1.82</v>
      </c>
      <c r="D10" s="2" t="s">
        <v>489</v>
      </c>
      <c r="F10" s="5" t="s">
        <v>46</v>
      </c>
      <c r="G10" s="23" t="s">
        <v>548</v>
      </c>
      <c r="H10" s="13">
        <f>B56</f>
        <v>1.42</v>
      </c>
      <c r="I10" s="13">
        <f>C56</f>
        <v>2.32</v>
      </c>
      <c r="J10" s="13">
        <f>B47</f>
        <v>1.95</v>
      </c>
      <c r="K10" s="13">
        <f>C47</f>
        <v>3.31</v>
      </c>
    </row>
    <row r="11">
      <c r="A11" s="20">
        <v>41244</v>
      </c>
      <c r="B11" s="13">
        <v>2.9</v>
      </c>
      <c r="C11" s="13">
        <v>1.78</v>
      </c>
      <c r="D11" s="2" t="s">
        <v>490</v>
      </c>
      <c r="F11" s="5" t="s">
        <v>47</v>
      </c>
      <c r="G11" s="23" t="s">
        <v>549</v>
      </c>
      <c r="H11" s="13">
        <f>B68</f>
        <v>2.03</v>
      </c>
      <c r="I11" s="13">
        <f>C68</f>
        <v>2.52</v>
      </c>
      <c r="J11" s="13">
        <f>B59</f>
        <v>1.4</v>
      </c>
      <c r="K11" s="13">
        <f>C59</f>
        <v>2.39</v>
      </c>
    </row>
    <row r="12">
      <c r="A12" s="20">
        <v>41275</v>
      </c>
      <c r="B12" s="13">
        <v>2.96</v>
      </c>
      <c r="C12" s="13">
        <v>1.77</v>
      </c>
      <c r="D12" s="2" t="s">
        <v>491</v>
      </c>
      <c r="F12" s="5" t="s">
        <v>48</v>
      </c>
      <c r="G12" s="23" t="s">
        <v>550</v>
      </c>
      <c r="H12" s="13">
        <f>B80</f>
        <v>2.7</v>
      </c>
      <c r="I12" s="13">
        <f>C80</f>
        <v>1.51</v>
      </c>
      <c r="J12" s="13">
        <f>B71</f>
        <v>2.23</v>
      </c>
      <c r="K12" s="13">
        <f>C71</f>
        <v>2.09</v>
      </c>
    </row>
    <row r="13">
      <c r="A13" s="20">
        <v>41306</v>
      </c>
      <c r="B13" s="13">
        <v>3.03</v>
      </c>
      <c r="C13" s="13">
        <v>1.89</v>
      </c>
      <c r="D13" s="2" t="s">
        <v>491</v>
      </c>
      <c r="F13" s="5" t="s">
        <v>49</v>
      </c>
      <c r="G13" s="23" t="s">
        <v>551</v>
      </c>
      <c r="H13" s="13">
        <f>B92</f>
        <v>2.6</v>
      </c>
      <c r="I13" s="13">
        <f>C92</f>
        <v>2.62</v>
      </c>
      <c r="J13" s="13">
        <f>B83</f>
        <v>2.8</v>
      </c>
      <c r="K13" s="13">
        <f>C83</f>
        <v>1.88</v>
      </c>
    </row>
    <row r="14">
      <c r="A14" s="20">
        <v>41334</v>
      </c>
      <c r="B14" s="13">
        <v>3.09</v>
      </c>
      <c r="C14" s="13">
        <v>2.05</v>
      </c>
      <c r="D14" s="2" t="s">
        <v>492</v>
      </c>
      <c r="F14" s="5" t="s">
        <v>50</v>
      </c>
      <c r="G14" s="23" t="s">
        <v>552</v>
      </c>
      <c r="H14" s="13">
        <f>B104</f>
        <v>1.26</v>
      </c>
      <c r="I14" s="13">
        <f>C104</f>
        <v>1.85</v>
      </c>
      <c r="J14" s="13">
        <f>B95</f>
        <v>2.32</v>
      </c>
      <c r="K14" s="13">
        <f>C95</f>
        <v>2.54</v>
      </c>
    </row>
    <row r="15">
      <c r="A15" s="20">
        <v>41365</v>
      </c>
      <c r="B15" s="13">
        <v>3.1</v>
      </c>
      <c r="C15" s="13">
        <v>2.11</v>
      </c>
      <c r="D15" s="2" t="s">
        <v>492</v>
      </c>
      <c r="F15" s="5" t="s">
        <v>51</v>
      </c>
      <c r="G15" s="23" t="s">
        <v>553</v>
      </c>
      <c r="H15" s="13">
        <f>B116</f>
        <v>2.27</v>
      </c>
      <c r="I15" s="13">
        <f>C116</f>
        <v>2.1</v>
      </c>
      <c r="J15" s="13">
        <f>B107</f>
        <v>1.52</v>
      </c>
      <c r="K15" s="13">
        <f>C107</f>
        <v>2.31</v>
      </c>
    </row>
    <row r="16">
      <c r="A16" s="20">
        <v>41395</v>
      </c>
      <c r="B16" s="13">
        <v>3.11</v>
      </c>
      <c r="C16" s="13">
        <v>2.08</v>
      </c>
      <c r="D16" s="2" t="s">
        <v>493</v>
      </c>
      <c r="F16" s="5" t="s">
        <v>52</v>
      </c>
      <c r="G16" s="23" t="s">
        <v>554</v>
      </c>
      <c r="H16" s="13">
        <f>B128</f>
        <v>0.45</v>
      </c>
      <c r="I16" s="13">
        <f>C128</f>
        <v>1.59</v>
      </c>
      <c r="J16" s="13">
        <f>B119</f>
        <v>1.66</v>
      </c>
      <c r="K16" s="13">
        <f>C119</f>
        <v>1.66</v>
      </c>
    </row>
    <row r="17">
      <c r="A17" s="20">
        <v>41426</v>
      </c>
      <c r="B17" s="13">
        <v>3.09</v>
      </c>
      <c r="C17" s="13">
        <v>2</v>
      </c>
      <c r="D17" s="2" t="s">
        <v>494</v>
      </c>
      <c r="F17" s="5" t="s">
        <v>53</v>
      </c>
      <c r="G17" s="23" t="s">
        <v>555</v>
      </c>
      <c r="H17" s="13">
        <f>B140</f>
        <v>0.49</v>
      </c>
      <c r="I17" s="13">
        <f>C140</f>
        <v>0.73</v>
      </c>
      <c r="J17" s="13">
        <f>B131</f>
        <v>0.87</v>
      </c>
      <c r="K17" s="13">
        <f>C131</f>
        <v>1.08</v>
      </c>
    </row>
    <row r="18">
      <c r="A18" s="20">
        <v>41456</v>
      </c>
      <c r="B18" s="13">
        <v>3.11</v>
      </c>
      <c r="C18" s="13">
        <v>1.64</v>
      </c>
      <c r="D18" s="2" t="s">
        <v>495</v>
      </c>
      <c r="F18" s="5" t="s">
        <v>54</v>
      </c>
      <c r="G18" s="23" t="s">
        <v>556</v>
      </c>
      <c r="H18" s="13">
        <f>B152</f>
        <v>0.87</v>
      </c>
      <c r="I18" s="13">
        <f>C152</f>
        <v>0.74</v>
      </c>
      <c r="J18" s="13">
        <f>B143</f>
        <v>0.28</v>
      </c>
      <c r="K18" s="13">
        <f>C143</f>
        <v>0.57</v>
      </c>
    </row>
    <row r="19">
      <c r="A19" s="20">
        <v>41487</v>
      </c>
      <c r="B19" s="13">
        <v>3.15</v>
      </c>
      <c r="C19" s="13">
        <v>1.32</v>
      </c>
      <c r="D19" s="2" t="s">
        <v>495</v>
      </c>
      <c r="F19" s="5" t="s">
        <v>55</v>
      </c>
      <c r="G19" s="23" t="s">
        <v>557</v>
      </c>
      <c r="H19" s="13">
        <f>B164</f>
        <v>0.62</v>
      </c>
      <c r="I19" s="13">
        <f>C164</f>
        <v>1.08</v>
      </c>
      <c r="J19" s="13">
        <f>B155</f>
        <v>1.03</v>
      </c>
      <c r="K19" s="13">
        <f>C155</f>
        <v>0.73</v>
      </c>
    </row>
    <row r="20">
      <c r="A20" s="20">
        <v>41518</v>
      </c>
      <c r="B20" s="13">
        <v>3.13</v>
      </c>
      <c r="C20" s="13">
        <v>1.01</v>
      </c>
      <c r="D20" s="2" t="s">
        <v>497</v>
      </c>
      <c r="F20" s="5" t="s">
        <v>56</v>
      </c>
      <c r="G20" s="23" t="s">
        <v>558</v>
      </c>
      <c r="H20" s="13">
        <f>B175</f>
        <v>0.24</v>
      </c>
      <c r="I20" s="13">
        <f>C175</f>
        <v>0.83</v>
      </c>
      <c r="J20" s="13">
        <f>B167</f>
        <v>0.48</v>
      </c>
      <c r="K20" s="13">
        <f>C167</f>
        <v>0.71</v>
      </c>
    </row>
    <row r="21">
      <c r="A21" s="20">
        <v>41548</v>
      </c>
      <c r="B21" s="13">
        <v>3.07</v>
      </c>
      <c r="C21" s="13">
        <v>0.89</v>
      </c>
      <c r="D21" s="2" t="s">
        <v>498</v>
      </c>
      <c r="F21" s="5" t="s">
        <v>85</v>
      </c>
      <c r="G21" s="2" t="s">
        <v>480</v>
      </c>
    </row>
    <row r="22">
      <c r="A22" s="20">
        <v>41579</v>
      </c>
      <c r="B22" s="13">
        <v>3.02</v>
      </c>
      <c r="C22" s="13">
        <v>0.77</v>
      </c>
      <c r="D22" s="2" t="s">
        <v>498</v>
      </c>
    </row>
    <row r="23">
      <c r="A23" s="20">
        <v>41609</v>
      </c>
      <c r="B23" s="13">
        <v>3.06</v>
      </c>
      <c r="C23" s="13">
        <v>0.5</v>
      </c>
      <c r="D23" s="2" t="s">
        <v>498</v>
      </c>
    </row>
    <row r="24">
      <c r="A24" s="20">
        <v>41640</v>
      </c>
      <c r="B24" s="13">
        <v>3</v>
      </c>
      <c r="C24" s="13">
        <v>0.46</v>
      </c>
      <c r="D24" s="2" t="s">
        <v>498</v>
      </c>
    </row>
    <row r="25">
      <c r="A25" s="20">
        <v>41671</v>
      </c>
      <c r="B25" s="13">
        <v>2.95</v>
      </c>
      <c r="C25" s="13">
        <v>0.4</v>
      </c>
      <c r="D25" s="2" t="s">
        <v>498</v>
      </c>
    </row>
    <row r="26">
      <c r="A26" s="20">
        <v>41699</v>
      </c>
      <c r="B26" s="13">
        <v>2.92</v>
      </c>
      <c r="C26" s="13">
        <v>0.32</v>
      </c>
      <c r="D26" s="2" t="s">
        <v>498</v>
      </c>
    </row>
    <row r="27">
      <c r="A27" s="20">
        <v>41730</v>
      </c>
      <c r="B27" s="13">
        <v>2.9</v>
      </c>
      <c r="C27" s="13">
        <v>0.27</v>
      </c>
      <c r="D27" s="2" t="s">
        <v>498</v>
      </c>
    </row>
    <row r="28">
      <c r="A28" s="20">
        <v>41760</v>
      </c>
      <c r="B28" s="13">
        <v>2.87</v>
      </c>
      <c r="C28" s="13">
        <v>0.85</v>
      </c>
      <c r="D28" s="2" t="s">
        <v>498</v>
      </c>
    </row>
    <row r="29">
      <c r="A29" s="20">
        <v>41791</v>
      </c>
      <c r="B29" s="13">
        <v>2.83</v>
      </c>
      <c r="C29" s="13">
        <v>1.12</v>
      </c>
      <c r="D29" s="2" t="s">
        <v>498</v>
      </c>
    </row>
    <row r="30">
      <c r="A30" s="20">
        <v>41821</v>
      </c>
      <c r="B30" s="13">
        <v>2.79</v>
      </c>
      <c r="C30" s="13">
        <v>1.28</v>
      </c>
      <c r="D30" s="2" t="s">
        <v>498</v>
      </c>
    </row>
    <row r="31">
      <c r="A31" s="20">
        <v>41852</v>
      </c>
      <c r="B31" s="13">
        <v>2.71</v>
      </c>
      <c r="C31" s="13">
        <v>1.41</v>
      </c>
      <c r="D31" s="2" t="s">
        <v>498</v>
      </c>
    </row>
    <row r="32">
      <c r="A32" s="20">
        <v>41883</v>
      </c>
      <c r="B32" s="13">
        <v>2.68</v>
      </c>
      <c r="C32" s="13">
        <v>1.88</v>
      </c>
      <c r="D32" s="2" t="s">
        <v>499</v>
      </c>
    </row>
    <row r="33">
      <c r="A33" s="20">
        <v>41913</v>
      </c>
      <c r="B33" s="13">
        <v>2.67</v>
      </c>
      <c r="C33" s="13">
        <v>2.02</v>
      </c>
      <c r="D33" s="2" t="s">
        <v>500</v>
      </c>
    </row>
    <row r="34">
      <c r="A34" s="20">
        <v>41944</v>
      </c>
      <c r="B34" s="13">
        <v>2.63</v>
      </c>
      <c r="C34" s="13">
        <v>2.08</v>
      </c>
      <c r="D34" s="2" t="s">
        <v>500</v>
      </c>
    </row>
    <row r="35">
      <c r="A35" s="20">
        <v>41974</v>
      </c>
      <c r="B35" s="13">
        <v>2.6</v>
      </c>
      <c r="C35" s="13">
        <v>2.12</v>
      </c>
      <c r="D35" s="2" t="s">
        <v>500</v>
      </c>
    </row>
    <row r="36">
      <c r="A36" s="20">
        <v>42005</v>
      </c>
      <c r="B36" s="13">
        <v>2.55</v>
      </c>
      <c r="C36" s="13">
        <v>2.35</v>
      </c>
      <c r="D36" s="2" t="s">
        <v>500</v>
      </c>
    </row>
    <row r="37">
      <c r="A37" s="20">
        <v>42036</v>
      </c>
      <c r="B37" s="13">
        <v>2.56</v>
      </c>
      <c r="C37" s="13">
        <v>2.55</v>
      </c>
      <c r="D37" s="2" t="s">
        <v>500</v>
      </c>
    </row>
    <row r="38">
      <c r="A38" s="20">
        <v>42064</v>
      </c>
      <c r="B38" s="13">
        <v>2.6</v>
      </c>
      <c r="C38" s="13">
        <v>2.84</v>
      </c>
      <c r="D38" s="2" t="s">
        <v>502</v>
      </c>
    </row>
    <row r="39">
      <c r="A39" s="20">
        <v>42095</v>
      </c>
      <c r="B39" s="13">
        <v>2.56</v>
      </c>
      <c r="C39" s="13">
        <v>2.93</v>
      </c>
      <c r="D39" s="2" t="s">
        <v>502</v>
      </c>
    </row>
    <row r="40">
      <c r="A40" s="20">
        <v>42125</v>
      </c>
      <c r="B40" s="13">
        <v>2.41</v>
      </c>
      <c r="C40" s="13">
        <v>3.02</v>
      </c>
      <c r="D40" s="2" t="s">
        <v>502</v>
      </c>
    </row>
    <row r="41">
      <c r="A41" s="20">
        <v>42156</v>
      </c>
      <c r="B41" s="13">
        <v>2.43</v>
      </c>
      <c r="C41" s="13">
        <v>3.12</v>
      </c>
      <c r="D41" s="2" t="s">
        <v>503</v>
      </c>
    </row>
    <row r="42">
      <c r="A42" s="20">
        <v>42186</v>
      </c>
      <c r="B42" s="13">
        <v>2.38</v>
      </c>
      <c r="C42" s="13">
        <v>3.35</v>
      </c>
      <c r="D42" s="2" t="s">
        <v>504</v>
      </c>
    </row>
    <row r="43">
      <c r="A43" s="20">
        <v>42217</v>
      </c>
      <c r="B43" s="13">
        <v>2.36</v>
      </c>
      <c r="C43" s="13">
        <v>3.43</v>
      </c>
      <c r="D43" s="2" t="s">
        <v>505</v>
      </c>
    </row>
    <row r="44">
      <c r="A44" s="20">
        <v>42248</v>
      </c>
      <c r="B44" s="13">
        <v>2.28</v>
      </c>
      <c r="C44" s="13">
        <v>3.43</v>
      </c>
      <c r="D44" s="2" t="s">
        <v>505</v>
      </c>
    </row>
    <row r="45">
      <c r="A45" s="20">
        <v>42278</v>
      </c>
      <c r="B45" s="13">
        <v>2.15</v>
      </c>
      <c r="C45" s="13">
        <v>3.37</v>
      </c>
      <c r="D45" s="2" t="s">
        <v>506</v>
      </c>
    </row>
    <row r="46">
      <c r="A46" s="20">
        <v>42309</v>
      </c>
      <c r="B46" s="13">
        <v>2.08</v>
      </c>
      <c r="C46" s="13">
        <v>3.35</v>
      </c>
      <c r="D46" s="2" t="s">
        <v>506</v>
      </c>
    </row>
    <row r="47">
      <c r="A47" s="20">
        <v>42339</v>
      </c>
      <c r="B47" s="13">
        <v>1.95</v>
      </c>
      <c r="C47" s="13">
        <v>3.31</v>
      </c>
      <c r="D47" s="2" t="s">
        <v>506</v>
      </c>
    </row>
    <row r="48">
      <c r="A48" s="20">
        <v>42370</v>
      </c>
      <c r="B48" s="13">
        <v>1.82</v>
      </c>
      <c r="C48" s="13">
        <v>3.23</v>
      </c>
      <c r="D48" s="2" t="s">
        <v>506</v>
      </c>
    </row>
    <row r="49">
      <c r="A49" s="20">
        <v>42401</v>
      </c>
      <c r="B49" s="13">
        <v>1.76</v>
      </c>
      <c r="C49" s="13">
        <v>3.04</v>
      </c>
      <c r="D49" s="2" t="s">
        <v>559</v>
      </c>
    </row>
    <row r="50">
      <c r="A50" s="20">
        <v>42430</v>
      </c>
      <c r="B50" s="13">
        <v>1.62</v>
      </c>
      <c r="C50" s="13">
        <v>2.92</v>
      </c>
      <c r="D50" s="2" t="s">
        <v>560</v>
      </c>
    </row>
    <row r="51">
      <c r="A51" s="20">
        <v>42461</v>
      </c>
      <c r="B51" s="13">
        <v>1.58</v>
      </c>
      <c r="C51" s="13">
        <v>2.78</v>
      </c>
      <c r="D51" s="2" t="s">
        <v>560</v>
      </c>
    </row>
    <row r="52">
      <c r="A52" s="20">
        <v>42491</v>
      </c>
      <c r="B52" s="13">
        <v>1.53</v>
      </c>
      <c r="C52" s="13">
        <v>2.64</v>
      </c>
      <c r="D52" s="2" t="s">
        <v>561</v>
      </c>
    </row>
    <row r="53">
      <c r="A53" s="20">
        <v>42522</v>
      </c>
      <c r="B53" s="13">
        <v>1.48</v>
      </c>
      <c r="C53" s="13">
        <v>2.53</v>
      </c>
      <c r="D53" s="2" t="s">
        <v>562</v>
      </c>
    </row>
    <row r="54">
      <c r="A54" s="20">
        <v>42552</v>
      </c>
      <c r="B54" s="13">
        <v>1.45</v>
      </c>
      <c r="C54" s="13">
        <v>2.45</v>
      </c>
      <c r="D54" s="2" t="s">
        <v>563</v>
      </c>
    </row>
    <row r="55">
      <c r="A55" s="20">
        <v>42583</v>
      </c>
      <c r="B55" s="13">
        <v>1.45</v>
      </c>
      <c r="C55" s="13">
        <v>2.37</v>
      </c>
      <c r="D55" s="2" t="s">
        <v>564</v>
      </c>
    </row>
    <row r="56">
      <c r="A56" s="20">
        <v>42614</v>
      </c>
      <c r="B56" s="13">
        <v>1.42</v>
      </c>
      <c r="C56" s="13">
        <v>2.32</v>
      </c>
      <c r="D56" s="2" t="s">
        <v>507</v>
      </c>
    </row>
    <row r="57">
      <c r="A57" s="20">
        <v>42644</v>
      </c>
      <c r="B57" s="13">
        <v>1.44</v>
      </c>
      <c r="C57" s="13">
        <v>2.28</v>
      </c>
      <c r="D57" s="2" t="s">
        <v>507</v>
      </c>
    </row>
    <row r="58">
      <c r="A58" s="20">
        <v>42675</v>
      </c>
      <c r="B58" s="13">
        <v>1.42</v>
      </c>
      <c r="C58" s="13">
        <v>2.38</v>
      </c>
      <c r="D58" s="2" t="s">
        <v>507</v>
      </c>
    </row>
    <row r="59">
      <c r="A59" s="20">
        <v>42705</v>
      </c>
      <c r="B59" s="13">
        <v>1.4</v>
      </c>
      <c r="C59" s="13">
        <v>2.39</v>
      </c>
      <c r="D59" s="2" t="s">
        <v>507</v>
      </c>
    </row>
    <row r="60">
      <c r="A60" s="20">
        <v>42736</v>
      </c>
      <c r="B60" s="13">
        <v>1.45</v>
      </c>
      <c r="C60" s="13">
        <v>2.73</v>
      </c>
      <c r="D60" s="2" t="s">
        <v>507</v>
      </c>
    </row>
    <row r="61">
      <c r="A61" s="20">
        <v>42767</v>
      </c>
      <c r="B61" s="13">
        <v>1.49</v>
      </c>
      <c r="C61" s="13">
        <v>2.8</v>
      </c>
      <c r="D61" s="2" t="s">
        <v>507</v>
      </c>
    </row>
    <row r="62">
      <c r="A62" s="20">
        <v>42795</v>
      </c>
      <c r="B62" s="13">
        <v>1.53</v>
      </c>
      <c r="C62" s="13">
        <v>2.85</v>
      </c>
      <c r="D62" s="2" t="s">
        <v>507</v>
      </c>
    </row>
    <row r="63">
      <c r="A63" s="20">
        <v>42826</v>
      </c>
      <c r="B63" s="13">
        <v>1.58</v>
      </c>
      <c r="C63" s="13">
        <v>2.87</v>
      </c>
      <c r="D63" s="2" t="s">
        <v>507</v>
      </c>
    </row>
    <row r="64">
      <c r="A64" s="20">
        <v>42856</v>
      </c>
      <c r="B64" s="13">
        <v>1.65</v>
      </c>
      <c r="C64" s="13">
        <v>2.87</v>
      </c>
      <c r="D64" s="2" t="s">
        <v>507</v>
      </c>
    </row>
    <row r="65">
      <c r="A65" s="20">
        <v>42887</v>
      </c>
      <c r="B65" s="13">
        <v>1.7</v>
      </c>
      <c r="C65" s="13">
        <v>2.81</v>
      </c>
      <c r="D65" s="2" t="s">
        <v>507</v>
      </c>
    </row>
    <row r="66">
      <c r="A66" s="20">
        <v>42917</v>
      </c>
      <c r="B66" s="13">
        <v>1.73</v>
      </c>
      <c r="C66" s="13">
        <v>2.63</v>
      </c>
      <c r="D66" s="2" t="s">
        <v>507</v>
      </c>
    </row>
    <row r="67">
      <c r="A67" s="20">
        <v>42948</v>
      </c>
      <c r="B67" s="13">
        <v>1.86</v>
      </c>
      <c r="C67" s="13">
        <v>2.52</v>
      </c>
      <c r="D67" s="2" t="s">
        <v>507</v>
      </c>
    </row>
    <row r="68">
      <c r="A68" s="20">
        <v>42979</v>
      </c>
      <c r="B68" s="13">
        <v>2.03</v>
      </c>
      <c r="C68" s="13">
        <v>2.52</v>
      </c>
      <c r="D68" s="2" t="s">
        <v>508</v>
      </c>
    </row>
    <row r="69">
      <c r="A69" s="20">
        <v>43009</v>
      </c>
      <c r="B69" s="13">
        <v>2.15</v>
      </c>
      <c r="C69" s="13">
        <v>2.19</v>
      </c>
      <c r="D69" s="2" t="s">
        <v>508</v>
      </c>
    </row>
    <row r="70">
      <c r="A70" s="20">
        <v>43040</v>
      </c>
      <c r="B70" s="13">
        <v>2.17</v>
      </c>
      <c r="C70" s="13">
        <v>2.2</v>
      </c>
      <c r="D70" s="2" t="s">
        <v>508</v>
      </c>
    </row>
    <row r="71">
      <c r="A71" s="20">
        <v>43070</v>
      </c>
      <c r="B71" s="13">
        <v>2.23</v>
      </c>
      <c r="C71" s="13">
        <v>2.09</v>
      </c>
      <c r="D71" s="2" t="s">
        <v>508</v>
      </c>
    </row>
    <row r="72">
      <c r="A72" s="20">
        <v>43101</v>
      </c>
      <c r="B72" s="13">
        <v>2.24</v>
      </c>
      <c r="C72" s="13">
        <v>1.79</v>
      </c>
      <c r="D72" s="2" t="s">
        <v>508</v>
      </c>
    </row>
    <row r="73">
      <c r="A73" s="20">
        <v>43132</v>
      </c>
      <c r="B73" s="13">
        <v>2.14</v>
      </c>
      <c r="C73" s="13">
        <v>1.52</v>
      </c>
      <c r="D73" s="2" t="s">
        <v>508</v>
      </c>
    </row>
    <row r="74">
      <c r="A74" s="20">
        <v>43160</v>
      </c>
      <c r="B74" s="13">
        <v>2.21</v>
      </c>
      <c r="C74" s="13">
        <v>1.37</v>
      </c>
      <c r="D74" s="2" t="s">
        <v>508</v>
      </c>
    </row>
    <row r="75">
      <c r="A75" s="20">
        <v>43191</v>
      </c>
      <c r="B75" s="13">
        <v>2.26</v>
      </c>
      <c r="C75" s="13">
        <v>1.32</v>
      </c>
      <c r="D75" s="2" t="s">
        <v>508</v>
      </c>
    </row>
    <row r="76">
      <c r="A76" s="20">
        <v>43221</v>
      </c>
      <c r="B76" s="13">
        <v>2.28</v>
      </c>
      <c r="C76" s="13">
        <v>1.34</v>
      </c>
      <c r="D76" s="2" t="s">
        <v>508</v>
      </c>
    </row>
    <row r="77">
      <c r="A77" s="20">
        <v>43252</v>
      </c>
      <c r="B77" s="13">
        <v>2.33</v>
      </c>
      <c r="C77" s="13">
        <v>1.14</v>
      </c>
      <c r="D77" s="2" t="s">
        <v>508</v>
      </c>
    </row>
    <row r="78">
      <c r="A78" s="20">
        <v>43282</v>
      </c>
      <c r="B78" s="13">
        <v>2.33</v>
      </c>
      <c r="C78" s="13">
        <v>1.28</v>
      </c>
      <c r="D78" s="2" t="s">
        <v>508</v>
      </c>
    </row>
    <row r="79">
      <c r="A79" s="20">
        <v>43313</v>
      </c>
      <c r="B79" s="13">
        <v>2.51</v>
      </c>
      <c r="C79" s="13">
        <v>1.26</v>
      </c>
      <c r="D79" s="2" t="s">
        <v>508</v>
      </c>
    </row>
    <row r="80">
      <c r="A80" s="20">
        <v>43344</v>
      </c>
      <c r="B80" s="13">
        <v>2.7</v>
      </c>
      <c r="C80" s="13">
        <v>1.51</v>
      </c>
      <c r="D80" s="2" t="s">
        <v>509</v>
      </c>
    </row>
    <row r="81">
      <c r="A81" s="20">
        <v>43374</v>
      </c>
      <c r="B81" s="13">
        <v>2.78</v>
      </c>
      <c r="C81" s="13">
        <v>1.58</v>
      </c>
      <c r="D81" s="2" t="s">
        <v>510</v>
      </c>
    </row>
    <row r="82">
      <c r="A82" s="20">
        <v>43405</v>
      </c>
      <c r="B82" s="13">
        <v>2.79</v>
      </c>
      <c r="C82" s="13">
        <v>1.77</v>
      </c>
      <c r="D82" s="2" t="s">
        <v>511</v>
      </c>
    </row>
    <row r="83">
      <c r="A83" s="20">
        <v>43435</v>
      </c>
      <c r="B83" s="13">
        <v>2.8</v>
      </c>
      <c r="C83" s="13">
        <v>1.88</v>
      </c>
      <c r="D83" s="2" t="s">
        <v>512</v>
      </c>
    </row>
    <row r="84">
      <c r="A84" s="20">
        <v>43466</v>
      </c>
      <c r="B84" s="13">
        <v>2.82</v>
      </c>
      <c r="C84" s="13">
        <v>2.08</v>
      </c>
      <c r="D84" s="2" t="s">
        <v>512</v>
      </c>
    </row>
    <row r="85">
      <c r="A85" s="20">
        <v>43497</v>
      </c>
      <c r="B85" s="13">
        <v>2.83</v>
      </c>
      <c r="C85" s="13">
        <v>2.01</v>
      </c>
      <c r="D85" s="2" t="s">
        <v>513</v>
      </c>
    </row>
    <row r="86">
      <c r="A86" s="20">
        <v>43525</v>
      </c>
      <c r="B86" s="13">
        <v>2.84</v>
      </c>
      <c r="C86" s="13">
        <v>1.97</v>
      </c>
      <c r="D86" s="2" t="s">
        <v>514</v>
      </c>
    </row>
    <row r="87">
      <c r="A87" s="20">
        <v>43556</v>
      </c>
      <c r="B87" s="13">
        <v>2.81</v>
      </c>
      <c r="C87" s="13">
        <v>1.98</v>
      </c>
      <c r="D87" s="2" t="s">
        <v>514</v>
      </c>
    </row>
    <row r="88">
      <c r="A88" s="20">
        <v>43586</v>
      </c>
      <c r="B88" s="13">
        <v>2.73</v>
      </c>
      <c r="C88" s="13">
        <v>2.11</v>
      </c>
      <c r="D88" s="2" t="s">
        <v>516</v>
      </c>
    </row>
    <row r="89">
      <c r="A89" s="20">
        <v>43617</v>
      </c>
      <c r="B89" s="13">
        <v>2.7</v>
      </c>
      <c r="C89" s="13">
        <v>2.18</v>
      </c>
      <c r="D89" s="2" t="s">
        <v>517</v>
      </c>
    </row>
    <row r="90">
      <c r="A90" s="20">
        <v>43647</v>
      </c>
      <c r="B90" s="13">
        <v>2.7</v>
      </c>
      <c r="C90" s="13">
        <v>2.47</v>
      </c>
      <c r="D90" s="2" t="s">
        <v>517</v>
      </c>
    </row>
    <row r="91">
      <c r="A91" s="20">
        <v>43678</v>
      </c>
      <c r="B91" s="13">
        <v>2.66</v>
      </c>
      <c r="C91" s="13">
        <v>2.6</v>
      </c>
      <c r="D91" s="2" t="s">
        <v>517</v>
      </c>
    </row>
    <row r="92">
      <c r="A92" s="20">
        <v>43709</v>
      </c>
      <c r="B92" s="13">
        <v>2.6</v>
      </c>
      <c r="C92" s="13">
        <v>2.62</v>
      </c>
      <c r="D92" s="2" t="s">
        <v>517</v>
      </c>
    </row>
    <row r="93">
      <c r="A93" s="20">
        <v>43739</v>
      </c>
      <c r="B93" s="13">
        <v>2.55</v>
      </c>
      <c r="C93" s="13">
        <v>2.69</v>
      </c>
      <c r="D93" s="2" t="s">
        <v>517</v>
      </c>
    </row>
    <row r="94">
      <c r="A94" s="20">
        <v>43770</v>
      </c>
      <c r="B94" s="13">
        <v>2.42</v>
      </c>
      <c r="C94" s="13">
        <v>2.64</v>
      </c>
      <c r="D94" s="2" t="s">
        <v>517</v>
      </c>
    </row>
    <row r="95">
      <c r="A95" s="20">
        <v>43800</v>
      </c>
      <c r="B95" s="13">
        <v>2.32</v>
      </c>
      <c r="C95" s="13">
        <v>2.54</v>
      </c>
      <c r="D95" s="2" t="s">
        <v>517</v>
      </c>
    </row>
    <row r="96">
      <c r="A96" s="20">
        <v>43831</v>
      </c>
      <c r="B96" s="13">
        <v>2.49</v>
      </c>
      <c r="C96" s="13">
        <v>2.45</v>
      </c>
      <c r="D96" s="2" t="s">
        <v>517</v>
      </c>
    </row>
    <row r="97">
      <c r="A97" s="20">
        <v>43862</v>
      </c>
      <c r="B97" s="13">
        <v>2.45</v>
      </c>
      <c r="C97" s="13">
        <v>2.57</v>
      </c>
      <c r="D97" s="2" t="s">
        <v>517</v>
      </c>
    </row>
    <row r="98">
      <c r="A98" s="20">
        <v>43891</v>
      </c>
      <c r="B98" s="13">
        <v>2.29</v>
      </c>
      <c r="C98" s="13">
        <v>2.44</v>
      </c>
      <c r="D98" s="2" t="s">
        <v>517</v>
      </c>
    </row>
    <row r="99">
      <c r="A99" s="20">
        <v>43922</v>
      </c>
      <c r="B99" s="13">
        <v>2.11</v>
      </c>
      <c r="C99" s="13">
        <v>2.31</v>
      </c>
      <c r="D99" s="2" t="s">
        <v>518</v>
      </c>
    </row>
    <row r="100">
      <c r="A100" s="20">
        <v>43952</v>
      </c>
      <c r="B100" s="13">
        <v>2.01</v>
      </c>
      <c r="C100" s="13">
        <v>2.18</v>
      </c>
      <c r="D100" s="2" t="s">
        <v>518</v>
      </c>
    </row>
    <row r="101">
      <c r="A101" s="20">
        <v>43983</v>
      </c>
      <c r="B101" s="13">
        <v>1.9</v>
      </c>
      <c r="C101" s="13">
        <v>1.99</v>
      </c>
      <c r="D101" s="2" t="s">
        <v>518</v>
      </c>
    </row>
    <row r="102">
      <c r="A102" s="20">
        <v>44013</v>
      </c>
      <c r="B102" s="13">
        <v>1.82</v>
      </c>
      <c r="C102" s="13">
        <v>1.9</v>
      </c>
      <c r="D102" s="2" t="s">
        <v>518</v>
      </c>
    </row>
    <row r="103">
      <c r="A103" s="20">
        <v>44044</v>
      </c>
      <c r="B103" s="13">
        <v>1.45</v>
      </c>
      <c r="C103" s="13">
        <v>1.85</v>
      </c>
      <c r="D103" s="2" t="s">
        <v>519</v>
      </c>
    </row>
    <row r="104">
      <c r="A104" s="20">
        <v>44075</v>
      </c>
      <c r="B104" s="13">
        <v>1.26</v>
      </c>
      <c r="C104" s="13">
        <v>1.85</v>
      </c>
      <c r="D104" s="2" t="s">
        <v>519</v>
      </c>
    </row>
    <row r="105">
      <c r="A105" s="20">
        <v>44105</v>
      </c>
      <c r="B105" s="13">
        <v>1.3</v>
      </c>
      <c r="C105" s="13">
        <v>2.04</v>
      </c>
      <c r="D105" s="2" t="s">
        <v>521</v>
      </c>
    </row>
    <row r="106">
      <c r="A106" s="20">
        <v>44136</v>
      </c>
      <c r="B106" s="13">
        <v>1.4</v>
      </c>
      <c r="C106" s="13">
        <v>2.24</v>
      </c>
      <c r="D106" s="2" t="s">
        <v>521</v>
      </c>
    </row>
    <row r="107">
      <c r="A107" s="20">
        <v>44166</v>
      </c>
      <c r="B107" s="13">
        <v>1.52</v>
      </c>
      <c r="C107" s="13">
        <v>2.31</v>
      </c>
      <c r="D107" s="2" t="s">
        <v>521</v>
      </c>
    </row>
    <row r="108">
      <c r="A108" s="20">
        <v>44197</v>
      </c>
      <c r="B108" s="13">
        <v>1.75</v>
      </c>
      <c r="C108" s="13">
        <v>2.4</v>
      </c>
      <c r="D108" s="2" t="s">
        <v>521</v>
      </c>
    </row>
    <row r="109">
      <c r="A109" s="20">
        <v>44228</v>
      </c>
      <c r="B109" s="13">
        <v>1.92</v>
      </c>
      <c r="C109" s="13">
        <v>2.44</v>
      </c>
      <c r="D109" s="2" t="s">
        <v>521</v>
      </c>
    </row>
    <row r="110">
      <c r="A110" s="20">
        <v>44256</v>
      </c>
      <c r="B110" s="13">
        <v>1.97</v>
      </c>
      <c r="C110" s="13">
        <v>2.5</v>
      </c>
      <c r="D110" s="2" t="s">
        <v>521</v>
      </c>
    </row>
    <row r="111">
      <c r="A111" s="20">
        <v>44287</v>
      </c>
      <c r="B111" s="13">
        <v>2.07</v>
      </c>
      <c r="C111" s="13">
        <v>2.53</v>
      </c>
      <c r="D111" s="2" t="s">
        <v>521</v>
      </c>
    </row>
    <row r="112">
      <c r="A112" s="20">
        <v>44317</v>
      </c>
      <c r="B112" s="13">
        <v>2.21</v>
      </c>
      <c r="C112" s="13">
        <v>2.67</v>
      </c>
      <c r="D112" s="2" t="s">
        <v>521</v>
      </c>
    </row>
    <row r="113">
      <c r="A113" s="20">
        <v>44348</v>
      </c>
      <c r="B113" s="13">
        <v>2.33</v>
      </c>
      <c r="C113" s="13">
        <v>2.53</v>
      </c>
      <c r="D113" s="2" t="s">
        <v>521</v>
      </c>
    </row>
    <row r="114">
      <c r="A114" s="20">
        <v>44378</v>
      </c>
      <c r="B114" s="13">
        <v>2.32</v>
      </c>
      <c r="C114" s="13">
        <v>2.43</v>
      </c>
      <c r="D114" s="2" t="s">
        <v>521</v>
      </c>
    </row>
    <row r="115">
      <c r="A115" s="20">
        <v>44409</v>
      </c>
      <c r="B115" s="13">
        <v>2.31</v>
      </c>
      <c r="C115" s="13">
        <v>2.31</v>
      </c>
      <c r="D115" s="2" t="s">
        <v>521</v>
      </c>
    </row>
    <row r="116">
      <c r="A116" s="20">
        <v>44440</v>
      </c>
      <c r="B116" s="13">
        <v>2.27</v>
      </c>
      <c r="C116" s="13">
        <v>2.1</v>
      </c>
      <c r="D116" s="2" t="s">
        <v>521</v>
      </c>
    </row>
    <row r="117">
      <c r="A117" s="20">
        <v>44470</v>
      </c>
      <c r="B117" s="13">
        <v>2.01</v>
      </c>
      <c r="C117" s="13">
        <v>1.97</v>
      </c>
      <c r="D117" s="2" t="s">
        <v>523</v>
      </c>
    </row>
    <row r="118">
      <c r="A118" s="20">
        <v>44501</v>
      </c>
      <c r="B118" s="13">
        <v>1.71</v>
      </c>
      <c r="C118" s="13">
        <v>1.78</v>
      </c>
      <c r="D118" s="2" t="s">
        <v>523</v>
      </c>
    </row>
    <row r="119">
      <c r="A119" s="20">
        <v>44531</v>
      </c>
      <c r="B119" s="13">
        <v>1.66</v>
      </c>
      <c r="C119" s="13">
        <v>1.66</v>
      </c>
      <c r="D119" s="2" t="s">
        <v>523</v>
      </c>
    </row>
    <row r="120">
      <c r="A120" s="20">
        <v>44562</v>
      </c>
      <c r="B120" s="13">
        <v>1.39</v>
      </c>
      <c r="C120" s="13">
        <v>1.57</v>
      </c>
      <c r="D120" s="2" t="s">
        <v>523</v>
      </c>
    </row>
    <row r="121">
      <c r="A121" s="20">
        <v>44593</v>
      </c>
      <c r="B121" s="13">
        <v>1.08</v>
      </c>
      <c r="C121" s="13">
        <v>1.54</v>
      </c>
      <c r="D121" s="2" t="s">
        <v>523</v>
      </c>
    </row>
    <row r="122">
      <c r="A122" s="20">
        <v>44621</v>
      </c>
      <c r="B122" s="13">
        <v>1.23</v>
      </c>
      <c r="C122" s="13">
        <v>1.63</v>
      </c>
      <c r="D122" s="2" t="s">
        <v>523</v>
      </c>
    </row>
    <row r="123">
      <c r="A123" s="20">
        <v>44652</v>
      </c>
      <c r="B123" s="13">
        <v>1.2</v>
      </c>
      <c r="C123" s="13">
        <v>1.56</v>
      </c>
      <c r="D123" s="2" t="s">
        <v>523</v>
      </c>
    </row>
    <row r="124">
      <c r="A124" s="20">
        <v>44682</v>
      </c>
      <c r="B124" s="13">
        <v>1.16</v>
      </c>
      <c r="C124" s="13">
        <v>1.71</v>
      </c>
      <c r="D124" s="2" t="s">
        <v>523</v>
      </c>
    </row>
    <row r="125">
      <c r="A125" s="20">
        <v>44713</v>
      </c>
      <c r="B125" s="13">
        <v>1.04</v>
      </c>
      <c r="C125" s="13">
        <v>1.76</v>
      </c>
      <c r="D125" s="2" t="s">
        <v>523</v>
      </c>
    </row>
    <row r="126">
      <c r="A126" s="20">
        <v>44743</v>
      </c>
      <c r="B126" s="13">
        <v>0.77</v>
      </c>
      <c r="C126" s="13">
        <v>1.8</v>
      </c>
      <c r="D126" s="2" t="s">
        <v>523</v>
      </c>
    </row>
    <row r="127">
      <c r="A127" s="20">
        <v>44774</v>
      </c>
      <c r="B127" s="13">
        <v>0.72</v>
      </c>
      <c r="C127" s="13">
        <v>1.61</v>
      </c>
      <c r="D127" s="2" t="s">
        <v>523</v>
      </c>
    </row>
    <row r="128">
      <c r="A128" s="20">
        <v>44805</v>
      </c>
      <c r="B128" s="13">
        <v>0.45</v>
      </c>
      <c r="C128" s="13">
        <v>1.59</v>
      </c>
      <c r="D128" s="2" t="s">
        <v>523</v>
      </c>
    </row>
    <row r="129">
      <c r="A129" s="20">
        <v>44835</v>
      </c>
      <c r="B129" s="13">
        <v>0.41</v>
      </c>
      <c r="C129" s="13">
        <v>1.52</v>
      </c>
      <c r="D129" s="2" t="s">
        <v>524</v>
      </c>
    </row>
    <row r="130">
      <c r="A130" s="20">
        <v>44866</v>
      </c>
      <c r="B130" s="13">
        <v>0.59</v>
      </c>
      <c r="C130" s="13">
        <v>1.45</v>
      </c>
      <c r="D130" s="2" t="s">
        <v>565</v>
      </c>
    </row>
    <row r="131">
      <c r="A131" s="20">
        <v>44896</v>
      </c>
      <c r="B131" s="13">
        <v>0.87</v>
      </c>
      <c r="C131" s="13">
        <v>1.08</v>
      </c>
      <c r="D131" s="2" t="s">
        <v>565</v>
      </c>
    </row>
    <row r="132">
      <c r="A132" s="20">
        <v>44927</v>
      </c>
      <c r="B132" s="13">
        <v>0.91</v>
      </c>
      <c r="C132" s="13">
        <v>1.04</v>
      </c>
      <c r="D132" s="2" t="s">
        <v>525</v>
      </c>
    </row>
    <row r="133">
      <c r="A133" s="20">
        <v>44958</v>
      </c>
      <c r="B133" s="13">
        <v>0.86</v>
      </c>
      <c r="C133" s="13">
        <v>1.19</v>
      </c>
      <c r="D133" s="2" t="s">
        <v>525</v>
      </c>
    </row>
    <row r="134">
      <c r="A134" s="20">
        <v>44986</v>
      </c>
      <c r="B134" s="13">
        <v>0.8</v>
      </c>
      <c r="C134" s="13">
        <v>1.27</v>
      </c>
      <c r="D134" s="2" t="s">
        <v>525</v>
      </c>
    </row>
    <row r="135">
      <c r="A135" s="20">
        <v>45017</v>
      </c>
      <c r="B135" s="13">
        <v>0.74</v>
      </c>
      <c r="C135" s="13">
        <v>1.31</v>
      </c>
      <c r="D135" s="2" t="s">
        <v>526</v>
      </c>
    </row>
    <row r="136">
      <c r="A136" s="20">
        <v>45047</v>
      </c>
      <c r="B136" s="13">
        <v>0.66</v>
      </c>
      <c r="C136" s="13">
        <v>1.39</v>
      </c>
      <c r="D136" s="2" t="s">
        <v>526</v>
      </c>
    </row>
    <row r="137">
      <c r="A137" s="20">
        <v>45078</v>
      </c>
      <c r="B137" s="13">
        <v>0.6</v>
      </c>
      <c r="C137" s="13">
        <v>1.25</v>
      </c>
      <c r="D137" s="2" t="s">
        <v>526</v>
      </c>
    </row>
    <row r="138">
      <c r="A138" s="20">
        <v>45108</v>
      </c>
      <c r="B138" s="13">
        <v>0.58</v>
      </c>
      <c r="C138" s="13">
        <v>0.89</v>
      </c>
      <c r="D138" s="2" t="s">
        <v>527</v>
      </c>
    </row>
    <row r="139">
      <c r="A139" s="20">
        <v>45139</v>
      </c>
      <c r="B139" s="13">
        <v>0.57</v>
      </c>
      <c r="C139" s="13">
        <v>0.58</v>
      </c>
      <c r="D139" s="2" t="s">
        <v>527</v>
      </c>
    </row>
    <row r="140">
      <c r="A140" s="20">
        <v>45170</v>
      </c>
      <c r="B140" s="13">
        <v>0.49</v>
      </c>
      <c r="C140" s="13">
        <v>0.73</v>
      </c>
      <c r="D140" s="2" t="s">
        <v>527</v>
      </c>
    </row>
    <row r="141">
      <c r="A141" s="20">
        <v>45200</v>
      </c>
      <c r="B141" s="13">
        <v>0.44</v>
      </c>
      <c r="C141" s="13">
        <v>0.67</v>
      </c>
      <c r="D141" s="2" t="s">
        <v>527</v>
      </c>
    </row>
    <row r="142">
      <c r="A142" s="20">
        <v>45231</v>
      </c>
      <c r="B142" s="13">
        <v>0.32</v>
      </c>
      <c r="C142" s="13">
        <v>0.34</v>
      </c>
      <c r="D142" s="2" t="s">
        <v>527</v>
      </c>
    </row>
    <row r="143">
      <c r="A143" s="20">
        <v>45261</v>
      </c>
      <c r="B143" s="13">
        <v>0.28</v>
      </c>
      <c r="C143" s="13">
        <v>0.57</v>
      </c>
      <c r="D143" s="2" t="s">
        <v>527</v>
      </c>
    </row>
    <row r="144">
      <c r="A144" s="20">
        <v>45292</v>
      </c>
      <c r="B144" s="13">
        <v>0.27</v>
      </c>
      <c r="C144" s="13">
        <v>0.48</v>
      </c>
      <c r="D144" s="2" t="s">
        <v>527</v>
      </c>
    </row>
    <row r="145">
      <c r="A145" s="20">
        <v>45323</v>
      </c>
      <c r="B145" s="13">
        <v>0.35</v>
      </c>
      <c r="C145" s="13">
        <v>0.4</v>
      </c>
      <c r="D145" s="2" t="s">
        <v>527</v>
      </c>
    </row>
    <row r="146">
      <c r="A146" s="20">
        <v>45352</v>
      </c>
      <c r="B146" s="13">
        <v>0.63</v>
      </c>
      <c r="C146" s="13">
        <v>0.49</v>
      </c>
      <c r="D146" s="2" t="s">
        <v>527</v>
      </c>
    </row>
    <row r="147">
      <c r="A147" s="20">
        <v>45383</v>
      </c>
      <c r="B147" s="13">
        <v>0.64</v>
      </c>
      <c r="C147" s="13">
        <v>0.63</v>
      </c>
      <c r="D147" s="2" t="s">
        <v>527</v>
      </c>
    </row>
    <row r="148">
      <c r="A148" s="20">
        <v>45413</v>
      </c>
      <c r="B148" s="13">
        <v>0.84</v>
      </c>
      <c r="C148" s="13">
        <v>0.78</v>
      </c>
      <c r="D148" s="2" t="s">
        <v>528</v>
      </c>
    </row>
    <row r="149">
      <c r="A149" s="20">
        <v>45444</v>
      </c>
      <c r="B149" s="13">
        <v>0.86</v>
      </c>
      <c r="C149" s="13">
        <v>0.97</v>
      </c>
      <c r="D149" s="2" t="s">
        <v>528</v>
      </c>
    </row>
    <row r="150">
      <c r="A150" s="20">
        <v>45474</v>
      </c>
      <c r="B150" s="13">
        <v>0.87</v>
      </c>
      <c r="C150" s="13">
        <v>0.99</v>
      </c>
      <c r="D150" s="2" t="s">
        <v>529</v>
      </c>
    </row>
    <row r="151">
      <c r="A151" s="20">
        <v>45505</v>
      </c>
      <c r="B151" s="13">
        <v>0.91</v>
      </c>
      <c r="C151" s="13">
        <v>1.01</v>
      </c>
      <c r="D151" s="2" t="s">
        <v>530</v>
      </c>
    </row>
    <row r="152">
      <c r="A152" s="20">
        <v>45536</v>
      </c>
      <c r="B152" s="13">
        <v>0.87</v>
      </c>
      <c r="C152" s="13">
        <v>0.74</v>
      </c>
      <c r="D152" s="2" t="s">
        <v>531</v>
      </c>
    </row>
    <row r="153">
      <c r="A153" s="20">
        <v>45566</v>
      </c>
      <c r="B153" s="13">
        <v>0.91</v>
      </c>
      <c r="C153" s="13">
        <v>0.66</v>
      </c>
      <c r="D153" s="2" t="s">
        <v>532</v>
      </c>
    </row>
    <row r="154">
      <c r="A154" s="20">
        <v>45597</v>
      </c>
      <c r="B154" s="13">
        <v>0.95</v>
      </c>
      <c r="C154" s="13">
        <v>0.65</v>
      </c>
      <c r="D154" s="2" t="s">
        <v>532</v>
      </c>
    </row>
    <row r="155">
      <c r="A155" s="20">
        <v>45627</v>
      </c>
      <c r="B155" s="13">
        <v>1.03</v>
      </c>
      <c r="C155" s="13">
        <v>0.73</v>
      </c>
      <c r="D155" s="2" t="s">
        <v>532</v>
      </c>
    </row>
    <row r="156">
      <c r="A156" s="20">
        <v>45658</v>
      </c>
      <c r="B156" s="13">
        <v>0.91</v>
      </c>
      <c r="C156" s="13">
        <v>0.76</v>
      </c>
      <c r="D156" s="2" t="s">
        <v>532</v>
      </c>
    </row>
    <row r="157">
      <c r="A157" s="20">
        <v>45689</v>
      </c>
      <c r="B157" s="13">
        <v>0.84</v>
      </c>
      <c r="C157" s="13">
        <v>0.72</v>
      </c>
      <c r="D157" s="2" t="s">
        <v>532</v>
      </c>
    </row>
    <row r="158">
      <c r="A158" s="20">
        <v>45717</v>
      </c>
      <c r="B158" s="13">
        <v>0.8</v>
      </c>
      <c r="C158" s="13">
        <v>0.74</v>
      </c>
      <c r="D158" s="2" t="s">
        <v>532</v>
      </c>
    </row>
    <row r="159">
      <c r="A159" s="20">
        <v>45748</v>
      </c>
      <c r="B159" s="13">
        <v>0.85</v>
      </c>
      <c r="C159" s="13">
        <v>0.71</v>
      </c>
      <c r="D159" s="2" t="s">
        <v>532</v>
      </c>
    </row>
    <row r="160">
      <c r="A160" s="20">
        <v>45778</v>
      </c>
      <c r="B160" s="13">
        <v>0.93</v>
      </c>
      <c r="C160" s="13">
        <v>0.92</v>
      </c>
      <c r="D160" s="2" t="s">
        <v>532</v>
      </c>
    </row>
    <row r="161">
      <c r="A161" s="20">
        <v>45809</v>
      </c>
      <c r="B161" s="13">
        <v>0.91</v>
      </c>
      <c r="C161" s="13">
        <v>0.87</v>
      </c>
      <c r="D161" s="2" t="s">
        <v>532</v>
      </c>
    </row>
    <row r="162">
      <c r="A162" s="20">
        <v>45839</v>
      </c>
      <c r="B162" s="13">
        <v>0.83</v>
      </c>
      <c r="C162" s="13">
        <v>1.18</v>
      </c>
      <c r="D162" s="2" t="s">
        <v>532</v>
      </c>
    </row>
    <row r="163">
      <c r="A163" s="20">
        <v>45870</v>
      </c>
      <c r="B163" s="13">
        <v>0.77</v>
      </c>
      <c r="C163" s="13">
        <v>1.13</v>
      </c>
      <c r="D163" s="2" t="s">
        <v>532</v>
      </c>
    </row>
    <row r="164">
      <c r="A164" s="20">
        <v>45901</v>
      </c>
      <c r="B164" s="13">
        <v>0.62</v>
      </c>
      <c r="C164" s="13">
        <v>1.08</v>
      </c>
      <c r="D164" s="2" t="s">
        <v>533</v>
      </c>
    </row>
    <row r="165">
      <c r="A165" s="20">
        <v>45931</v>
      </c>
      <c r="B165" s="13">
        <v>0.47</v>
      </c>
      <c r="C165" s="13">
        <v>1.01</v>
      </c>
      <c r="D165" s="2" t="s">
        <v>533</v>
      </c>
    </row>
    <row r="166">
      <c r="A166" s="20">
        <v>45962</v>
      </c>
      <c r="B166" s="13">
        <v>0.44</v>
      </c>
      <c r="C166" s="13">
        <v>0.73</v>
      </c>
      <c r="D166" s="2" t="s">
        <v>533</v>
      </c>
    </row>
    <row r="167">
      <c r="A167" s="20">
        <v>45992</v>
      </c>
      <c r="B167" s="13">
        <v>0.48</v>
      </c>
      <c r="C167" s="13">
        <v>0.71</v>
      </c>
      <c r="D167" s="2" t="s">
        <v>533</v>
      </c>
    </row>
    <row r="168">
      <c r="A168" s="20">
        <v>46023</v>
      </c>
      <c r="B168" s="13">
        <v>0.46</v>
      </c>
      <c r="C168" s="13">
        <v>0.76</v>
      </c>
      <c r="D168" s="2" t="s">
        <v>533</v>
      </c>
    </row>
    <row r="169">
      <c r="A169" s="20">
        <v>46054</v>
      </c>
      <c r="B169" s="13">
        <v>0.52</v>
      </c>
      <c r="C169" s="13">
        <v>0.76</v>
      </c>
      <c r="D169" s="2" t="s">
        <v>533</v>
      </c>
    </row>
    <row r="170">
      <c r="A170" s="20">
        <v>46082</v>
      </c>
      <c r="B170" s="13">
        <v>0.61</v>
      </c>
      <c r="C170" s="13">
        <v>0.68</v>
      </c>
      <c r="D170" s="2" t="s">
        <v>533</v>
      </c>
    </row>
    <row r="171">
      <c r="A171" s="20">
        <v>46113</v>
      </c>
      <c r="B171" s="13">
        <v>0.55</v>
      </c>
      <c r="C171" s="13">
        <v>0.65</v>
      </c>
      <c r="D171" s="2" t="s">
        <v>533</v>
      </c>
    </row>
    <row r="172">
      <c r="A172" s="20">
        <v>46143</v>
      </c>
      <c r="B172" s="13">
        <v>0.48</v>
      </c>
      <c r="C172" s="13">
        <v>0.64</v>
      </c>
      <c r="D172" s="2" t="s">
        <v>533</v>
      </c>
    </row>
    <row r="173">
      <c r="A173" s="20">
        <v>46174</v>
      </c>
      <c r="B173" s="13">
        <v>0.41</v>
      </c>
      <c r="C173" s="13">
        <v>0.68</v>
      </c>
      <c r="D173" s="2" t="s">
        <v>533</v>
      </c>
    </row>
    <row r="174">
      <c r="A174" s="20">
        <v>46204</v>
      </c>
      <c r="B174" s="13">
        <v>0.29</v>
      </c>
      <c r="C174" s="13">
        <v>0.69</v>
      </c>
      <c r="D174" s="2" t="s">
        <v>533</v>
      </c>
    </row>
    <row r="175">
      <c r="A175" s="20">
        <v>46235</v>
      </c>
      <c r="B175" s="13">
        <v>0.24</v>
      </c>
      <c r="C175" s="13">
        <v>0.83</v>
      </c>
      <c r="D175" s="2" t="s">
        <v>533</v>
      </c>
    </row>
  </sheetData>
  <pageMargins left="0.5" right="0.5"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12</vt:i4>
      </vt:variant>
    </vt:vector>
  </HeadingPairs>
  <TitlesOfParts>
    <vt:vector size="12" baseType="lpstr">
      <vt:lpstr>Lisez-moi</vt:lpstr>
      <vt:lpstr>1_Monde</vt:lpstr>
      <vt:lpstr>2_Arabica</vt:lpstr>
      <vt:lpstr>3_Robusta</vt:lpstr>
      <vt:lpstr>4_STU_pays</vt:lpstr>
      <vt:lpstr>5_Analyse</vt:lpstr>
      <vt:lpstr>6_Situations</vt:lpstr>
      <vt:lpstr>7_Bresil_arabica</vt:lpstr>
      <vt:lpstr>8_Graphiques_pays</vt:lpstr>
      <vt:lpstr>Donnees_USDA</vt:lpstr>
      <vt:lpstr>Prix_ICE</vt:lpstr>
      <vt:lpstr>Stocks_certifies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Bilan STU café et prix</dc:title>
  <dc:creator>Claude</dc:creator>
  <dcterms:created xsi:type="dcterms:W3CDTF">2026-10-01T08:08:03Z</dcterms:created>
  <dcterms:modified xsi:type="dcterms:W3CDTF">2026-10-01T08:08:03Z</dcterms:modified>
</cp:coreProperties>
</file>