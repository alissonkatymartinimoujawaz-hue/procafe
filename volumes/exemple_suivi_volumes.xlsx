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Parametres" sheetId="2" state="visible" r:id="rId2"/>
    <sheet name="Cecafe_brut" sheetId="3" state="visible" r:id="rId3"/>
    <sheet name="Jour_vs_veille" sheetId="4" state="visible" r:id="rId4"/>
    <sheet name="Cumul_mensuel" sheetId="5" state="visible" r:id="rId5"/>
    <sheet name="Annees" sheetId="6" state="visible" r:id="rId6"/>
    <sheet name="Depot_log" sheetId="7" state="visible" r:id="rId7"/>
  </sheets>
  <definedNames>
    <definedName name="_xlnm._FilterDatabase" localSheetId="2" hidden="1">'Cecafe_brut'!$A$1:$T$69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6F4E37"/>
      <sz val="14"/>
    </font>
    <font>
      <name val="Arial"/>
      <i val="1"/>
      <color rgb="007A6F66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i val="1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6F4E37"/>
      </patternFill>
    </fill>
    <fill>
      <patternFill patternType="solid">
        <fgColor rgb="00FFFF00"/>
      </patternFill>
    </fill>
    <fill>
      <patternFill patternType="solid">
        <fgColor rgb="00F3EBE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3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1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5" fontId="10" fillId="0" borderId="1" pivotButton="0" quotePrefix="0" xfId="0"/>
    <xf numFmtId="0" fontId="10" fillId="0" borderId="1" pivotButton="0" quotePrefix="0" xfId="0"/>
    <xf numFmtId="3" fontId="6" fillId="0" borderId="1" pivotButton="0" quotePrefix="0" xfId="0"/>
    <xf numFmtId="3" fontId="7" fillId="0" borderId="1" pivotButton="0" quotePrefix="0" xfId="0"/>
    <xf numFmtId="165" fontId="10" fillId="4" borderId="1" pivotButton="0" quotePrefix="0" xfId="0"/>
    <xf numFmtId="0" fontId="10" fillId="4" borderId="1" pivotButton="0" quotePrefix="0" xfId="0"/>
    <xf numFmtId="3" fontId="6" fillId="4" borderId="1" pivotButton="0" quotePrefix="0" xfId="0"/>
    <xf numFmtId="3" fontId="7" fillId="4" borderId="1" pivotButton="0" quotePrefix="0" xfId="0"/>
    <xf numFmtId="0" fontId="8" fillId="0" borderId="0" pivotButton="0" quotePrefix="0" xfId="0"/>
    <xf numFmtId="165" fontId="9" fillId="0" borderId="0" pivotButton="0" quotePrefix="0" xfId="0"/>
    <xf numFmtId="3" fontId="10" fillId="0" borderId="1" pivotButton="0" quotePrefix="0" xfId="0"/>
    <xf numFmtId="166" fontId="10" fillId="0" borderId="1" pivotButton="0" quotePrefix="0" xfId="0"/>
    <xf numFmtId="3" fontId="10" fillId="0" borderId="0" pivotButton="0" quotePrefix="0" xfId="0"/>
    <xf numFmtId="3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Jour contre veille (sacs)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'Jour_vs_veille'!M7</f>
            </strRef>
          </tx>
          <spPr>
            <a:ln>
              <a:prstDash val="solid"/>
            </a:ln>
          </spPr>
          <cat>
            <numRef>
              <f>'Jour_vs_veille'!$L$8:$L$10</f>
            </numRef>
          </cat>
          <val>
            <numRef>
              <f>'Jour_vs_veille'!$M$8:$M$10</f>
            </numRef>
          </val>
        </ser>
        <ser>
          <idx val="1"/>
          <order val="1"/>
          <tx>
            <strRef>
              <f>'Jour_vs_veille'!N7</f>
            </strRef>
          </tx>
          <spPr>
            <a:ln>
              <a:prstDash val="solid"/>
            </a:ln>
          </spPr>
          <cat>
            <numRef>
              <f>'Jour_vs_veille'!$L$8:$L$10</f>
            </numRef>
          </cat>
          <val>
            <numRef>
              <f>'Jour_vs_veille'!$N$8:$N$10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Certificats / embarquements par jour</a:t>
            </a:r>
          </a:p>
        </rich>
      </tx>
    </title>
    <plotArea>
      <lineChart>
        <grouping val="standard"/>
        <ser>
          <idx val="0"/>
          <order val="0"/>
          <tx>
            <strRef>
              <f>'Jour_vs_veille'!B7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'Jour_vs_veille'!$A$8:$A$11</f>
            </numRef>
          </cat>
          <val>
            <numRef>
              <f>'Jour_vs_veille'!$B$8:$B$11</f>
            </numRef>
          </val>
        </ser>
        <ser>
          <idx val="1"/>
          <order val="1"/>
          <tx>
            <strRef>
              <f>'Jour_vs_veille'!C7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'Jour_vs_veille'!$A$8:$A$11</f>
            </numRef>
          </cat>
          <val>
            <numRef>
              <f>'Jour_vs_veille'!$C$8:$C$11</f>
            </numRef>
          </val>
        </ser>
        <ser>
          <idx val="2"/>
          <order val="2"/>
          <tx>
            <strRef>
              <f>'Jour_vs_veille'!D7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'Jour_vs_veille'!$A$8:$A$11</f>
            </numRef>
          </cat>
          <val>
            <numRef>
              <f>'Jour_vs_veille'!$D$8:$D$11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 des certificats par jour du mois</a:t>
            </a:r>
          </a:p>
        </rich>
      </tx>
    </title>
    <plotArea>
      <lineChart>
        <grouping val="standard"/>
        <ser>
          <idx val="0"/>
          <order val="0"/>
          <tx>
            <strRef>
              <f>'Cumul_mensuel'!B7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'Cumul_mensuel'!$A$8:$A$38</f>
            </numRef>
          </cat>
          <val>
            <numRef>
              <f>'Cumul_mensuel'!$B$8:$B$38</f>
            </numRef>
          </val>
        </ser>
        <ser>
          <idx val="1"/>
          <order val="1"/>
          <tx>
            <strRef>
              <f>'Cumul_mensuel'!C7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'Cumul_mensuel'!$A$8:$A$38</f>
            </numRef>
          </cat>
          <val>
            <numRef>
              <f>'Cumul_mensuel'!$C$8:$C$38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jour du 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mensuel des certificats par année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'Annees'!B7</f>
            </strRef>
          </tx>
          <spPr>
            <a:ln>
              <a:prstDash val="solid"/>
            </a:ln>
          </spPr>
          <cat>
            <numRef>
              <f>'Annees'!$A$8:$A$19</f>
            </numRef>
          </cat>
          <val>
            <numRef>
              <f>'Annees'!$B$8:$B$19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calculé par dépôt</a:t>
            </a:r>
          </a:p>
        </rich>
      </tx>
    </title>
    <plotArea>
      <lineChart>
        <grouping val="standard"/>
        <ser>
          <idx val="0"/>
          <order val="0"/>
          <tx>
            <v>Armazém Varginha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'Depot_log'!$A$5:$A$14</f>
            </numRef>
          </cat>
          <val>
            <numRef>
              <f>'Depot_log'!$I$5:$I$14</f>
            </numRef>
          </val>
        </ser>
        <ser>
          <idx val="1"/>
          <order val="1"/>
          <tx>
            <v>Armazém Vitória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'Depot_log'!$A$5:$A$14</f>
            </numRef>
          </cat>
          <val>
            <numRef>
              <f>'Depot_log'!$I$15:$I$24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Suivi quotidien des volumes de café — exemple de ce que produit le dossier volumes/</t>
        </is>
      </c>
    </row>
    <row r="2">
      <c r="A2" s="2" t="inlineStr">
        <is>
          <t>Généré le 2026-09-06 · unité : sacs de 60 kg</t>
        </is>
      </c>
    </row>
    <row r="3"/>
    <row r="4">
      <c r="A4" s="3" t="inlineStr">
        <is>
          <t>Ce classeur montre le résultat attendu du suivi automatique. Il reprend la logique de volumes.html.</t>
        </is>
      </c>
      <c r="B4" s="4" t="n"/>
    </row>
    <row r="5">
      <c r="A5" s="3" t="inlineStr"/>
      <c r="B5" s="4" t="n"/>
    </row>
    <row r="6">
      <c r="A6" s="5" t="inlineStr">
        <is>
          <t>Onglet</t>
        </is>
      </c>
      <c r="B6" s="6" t="inlineStr">
        <is>
          <t>Contenu</t>
        </is>
      </c>
    </row>
    <row r="7">
      <c r="A7" s="3" t="inlineStr">
        <is>
          <t>Parametres</t>
        </is>
      </c>
      <c r="B7" s="7" t="inlineStr">
        <is>
          <t>Unité et type de café utilisés par les onglets d’analyse (cellules jaunes).</t>
        </is>
      </c>
    </row>
    <row r="8">
      <c r="A8" s="3" t="inlineStr">
        <is>
          <t>Cecafe_brut</t>
        </is>
      </c>
      <c r="B8" s="7" t="inlineStr">
        <is>
          <t>Une ligne par jour × tableau (certificats, dédouanement, embarquement) × unité, telle que le script fetch_cecafe.py l’enregistre chaque soir.</t>
        </is>
      </c>
    </row>
    <row r="9">
      <c r="A9" s="3" t="inlineStr">
        <is>
          <t>Jour_vs_veille</t>
        </is>
      </c>
      <c r="B9" s="7" t="inlineStr">
        <is>
          <t>Pour l’unité et le type choisis dans Parametres : mouvement du jour par étape, veille, variation. Graphique jour contre veille.</t>
        </is>
      </c>
    </row>
    <row r="10">
      <c r="A10" s="3" t="inlineStr">
        <is>
          <t>Cumul_mensuel</t>
        </is>
      </c>
      <c r="B10" s="7" t="inlineStr">
        <is>
          <t>Cumul des certificats par jour du mois : mois en cours, mois précédent (colonne « mois précédent » de Cecafé), et mêmes mois d’autres années quand ils existent.</t>
        </is>
      </c>
    </row>
    <row r="11">
      <c r="A11" s="3" t="inlineStr">
        <is>
          <t>Annees</t>
        </is>
      </c>
      <c r="B11" s="7" t="inlineStr">
        <is>
          <t>Total mensuel des certificats, matrice mois × année (dernier cumul observé dans le mois).</t>
        </is>
      </c>
    </row>
    <row r="12">
      <c r="A12" s="3" t="inlineStr">
        <is>
          <t>Depot_log</t>
        </is>
      </c>
      <c r="B12" s="7" t="inlineStr">
        <is>
          <t>Journal manuel de tes dépôts (entrées / sorties / stock mesuré) avec solde courant calculé.</t>
        </is>
      </c>
    </row>
    <row r="13">
      <c r="A13" s="8" t="inlineStr"/>
      <c r="B13" s="4" t="n"/>
    </row>
    <row r="14">
      <c r="A14" s="9" t="inlineStr">
        <is>
          <t>Couleurs</t>
        </is>
      </c>
      <c r="B14" s="7" t="inlineStr"/>
    </row>
    <row r="15">
      <c r="A15" s="10" t="inlineStr">
        <is>
          <t>Jaune</t>
        </is>
      </c>
      <c r="B15" s="7" t="inlineStr">
        <is>
          <t>cellule à modifier (choix d’unité, de type, saisie de journal).</t>
        </is>
      </c>
    </row>
    <row r="16">
      <c r="A16" s="3" t="inlineStr">
        <is>
          <t>Bleu</t>
        </is>
      </c>
      <c r="B16" s="7" t="inlineStr">
        <is>
          <t>valeur saisie ou importée (données brutes).</t>
        </is>
      </c>
    </row>
    <row r="17">
      <c r="A17" s="3" t="inlineStr">
        <is>
          <t>Noir</t>
        </is>
      </c>
      <c r="B17" s="7" t="inlineStr">
        <is>
          <t>formule — ne pas écraser.</t>
        </is>
      </c>
    </row>
    <row r="18">
      <c r="A18" s="8" t="inlineStr"/>
      <c r="B18" s="4" t="n"/>
    </row>
    <row r="19">
      <c r="A19" s="8" t="inlineStr">
        <is>
          <t>Données</t>
        </is>
      </c>
      <c r="B19" s="7" t="inlineStr"/>
    </row>
    <row r="20">
      <c r="A20" s="3" t="inlineStr">
        <is>
          <t>4 septembre 2026</t>
        </is>
      </c>
      <c r="B20" s="7" t="inlineStr">
        <is>
          <t>chiffres réels transcrits de la capture d’écran de la page Cecafé (date supposée).</t>
        </is>
      </c>
    </row>
    <row r="21">
      <c r="A21" s="3" t="inlineStr">
        <is>
          <t>1 à 3 septembre 2026</t>
        </is>
      </c>
      <c r="B21" s="7" t="inlineStr">
        <is>
          <t>chiffres FICTIFS, construits pour que le cumul retombe sur les valeurs réelles du 4, uniquement pour montrer les graphiques. Colonne « source » = EXEMPLE.</t>
        </is>
      </c>
    </row>
    <row r="22">
      <c r="A22" s="3" t="inlineStr">
        <is>
          <t>Août 2026</t>
        </is>
      </c>
      <c r="B22" s="7" t="inlineStr">
        <is>
          <t>reconstruit à partir de la colonne « mois précédent » de Cecafé (même jour du mois précédent).</t>
        </is>
      </c>
    </row>
    <row r="23">
      <c r="A23" s="3" t="inlineStr"/>
      <c r="B23" s="4" t="n"/>
    </row>
    <row r="24">
      <c r="A24" s="3" t="inlineStr">
        <is>
          <t>Source</t>
        </is>
      </c>
      <c r="B24" s="7" t="inlineStr">
        <is>
          <t>Cecafé — Resumo Diário das Exportações : https://www.cecafe.com.br/dados-estatisticos/exportacoes-brasileiras/resumo-diario/</t>
        </is>
      </c>
    </row>
    <row r="25">
      <c r="A25" s="3" t="inlineStr">
        <is>
          <t>Automatisation</t>
        </is>
      </c>
      <c r="B25" s="7" t="inlineStr">
        <is>
          <t>GitHub Actions (.github/workflows/cecafe-daily.yml) lit la page du lundi au vendredi à 18h30 heure de Brasília et ajoute la ligne du jour. Le CSV volumes/cecafe_daily.csv s’ouvre directement dans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60" customWidth="1" min="3" max="3"/>
  </cols>
  <sheetData>
    <row r="1">
      <c r="A1" s="1" t="inlineStr">
        <is>
          <t>Paramètres des onglets d’analyse</t>
        </is>
      </c>
    </row>
    <row r="2">
      <c r="A2" s="2" t="inlineStr">
        <is>
          <t>Modifie les deux cellules jaunes ; tous les onglets Jour_vs_veille, Cumul_mensuel et Annees suivent.</t>
        </is>
      </c>
    </row>
    <row r="3"/>
    <row r="4">
      <c r="A4" s="8" t="inlineStr">
        <is>
          <t>Unité</t>
        </is>
      </c>
      <c r="B4" s="11" t="inlineStr">
        <is>
          <t>total</t>
        </is>
      </c>
      <c r="C4" s="2" t="inlineStr">
        <is>
          <t>total · santos · vitoria · minas · rio · salvador · others</t>
        </is>
      </c>
    </row>
    <row r="5">
      <c r="A5" s="8" t="inlineStr">
        <is>
          <t>Type</t>
        </is>
      </c>
      <c r="B5" s="11" t="inlineStr">
        <is>
          <t>total</t>
        </is>
      </c>
      <c r="C5" s="2" t="inlineStr">
        <is>
          <t>total · arabica · conilon · soluble</t>
        </is>
      </c>
    </row>
    <row r="6"/>
    <row r="7">
      <c r="A7" s="8" t="inlineStr">
        <is>
          <t>Unités</t>
        </is>
      </c>
    </row>
    <row r="8">
      <c r="A8" s="12" t="inlineStr">
        <is>
          <t>total</t>
        </is>
      </c>
      <c r="B8" s="12" t="inlineStr">
        <is>
          <t>Brésil, toutes unités</t>
        </is>
      </c>
    </row>
    <row r="9">
      <c r="A9" s="12" t="inlineStr">
        <is>
          <t>santos</t>
        </is>
      </c>
      <c r="B9" s="12" t="inlineStr">
        <is>
          <t>Santos (SP)</t>
        </is>
      </c>
    </row>
    <row r="10">
      <c r="A10" s="12" t="inlineStr">
        <is>
          <t>vitoria</t>
        </is>
      </c>
      <c r="B10" s="12" t="inlineStr">
        <is>
          <t>Vitória (ES)</t>
        </is>
      </c>
    </row>
    <row r="11">
      <c r="A11" s="12" t="inlineStr">
        <is>
          <t>minas</t>
        </is>
      </c>
      <c r="B11" s="12" t="inlineStr">
        <is>
          <t>REDEX / EADI Minas Gerais</t>
        </is>
      </c>
    </row>
    <row r="12">
      <c r="A12" s="12" t="inlineStr">
        <is>
          <t>rio</t>
        </is>
      </c>
      <c r="B12" s="12" t="inlineStr">
        <is>
          <t>Rio de Janeiro</t>
        </is>
      </c>
    </row>
    <row r="13">
      <c r="A13" s="12" t="inlineStr">
        <is>
          <t>salvador</t>
        </is>
      </c>
      <c r="B13" s="12" t="inlineStr">
        <is>
          <t>Salvador</t>
        </is>
      </c>
    </row>
    <row r="14">
      <c r="A14" s="12" t="inlineStr">
        <is>
          <t>others</t>
        </is>
      </c>
      <c r="B14" s="12" t="inlineStr">
        <is>
          <t>Autres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0" customWidth="1" min="17" max="17"/>
    <col width="11" customWidth="1" min="18" max="18"/>
    <col width="11" customWidth="1" min="19" max="19"/>
    <col width="11" customWidth="1" min="20" max="20"/>
  </cols>
  <sheetData>
    <row r="1">
      <c r="A1" s="13" t="inlineStr">
        <is>
          <t>date</t>
        </is>
      </c>
      <c r="B1" s="13" t="inlineStr">
        <is>
          <t>table</t>
        </is>
      </c>
      <c r="C1" s="13" t="inlineStr">
        <is>
          <t>unit</t>
        </is>
      </c>
      <c r="D1" s="13" t="inlineStr">
        <is>
          <t>unit_label</t>
        </is>
      </c>
      <c r="E1" s="13" t="inlineStr">
        <is>
          <t>arabica_day</t>
        </is>
      </c>
      <c r="F1" s="13" t="inlineStr">
        <is>
          <t>conilon_day</t>
        </is>
      </c>
      <c r="G1" s="13" t="inlineStr">
        <is>
          <t>soluble_day</t>
        </is>
      </c>
      <c r="H1" s="13" t="inlineStr">
        <is>
          <t>total_day</t>
        </is>
      </c>
      <c r="I1" s="13" t="inlineStr">
        <is>
          <t>arabica_cum</t>
        </is>
      </c>
      <c r="J1" s="13" t="inlineStr">
        <is>
          <t>conilon_cum</t>
        </is>
      </c>
      <c r="K1" s="13" t="inlineStr">
        <is>
          <t>soluble_cum</t>
        </is>
      </c>
      <c r="L1" s="13" t="inlineStr">
        <is>
          <t>total_cum</t>
        </is>
      </c>
      <c r="M1" s="13" t="inlineStr">
        <is>
          <t>arabica_prev</t>
        </is>
      </c>
      <c r="N1" s="13" t="inlineStr">
        <is>
          <t>conilon_prev</t>
        </is>
      </c>
      <c r="O1" s="13" t="inlineStr">
        <is>
          <t>soluble_prev</t>
        </is>
      </c>
      <c r="P1" s="13" t="inlineStr">
        <is>
          <t>total_prev</t>
        </is>
      </c>
      <c r="Q1" s="13" t="inlineStr">
        <is>
          <t>source</t>
        </is>
      </c>
      <c r="R1" s="13" t="inlineStr">
        <is>
          <t>sel_day (type choisi)</t>
        </is>
      </c>
      <c r="S1" s="13" t="inlineStr">
        <is>
          <t>sel_cum (type choisi)</t>
        </is>
      </c>
      <c r="T1" s="13" t="inlineStr">
        <is>
          <t>sel_prev (type choisi)</t>
        </is>
      </c>
    </row>
    <row r="2">
      <c r="A2" s="14" t="n">
        <v>46266</v>
      </c>
      <c r="B2" s="15" t="inlineStr">
        <is>
          <t>certificates</t>
        </is>
      </c>
      <c r="C2" s="15" t="inlineStr">
        <is>
          <t>minas</t>
        </is>
      </c>
      <c r="D2" s="15" t="inlineStr">
        <is>
          <t>REDEX and EADI (MINAS GERAIS)</t>
        </is>
      </c>
      <c r="E2" s="16" t="n">
        <v>9680</v>
      </c>
      <c r="F2" s="16" t="n">
        <v>0</v>
      </c>
      <c r="G2" s="16" t="n">
        <v>0</v>
      </c>
      <c r="H2" s="16" t="n">
        <v>9680</v>
      </c>
      <c r="I2" s="16" t="n">
        <v>9680</v>
      </c>
      <c r="J2" s="16" t="n">
        <v>0</v>
      </c>
      <c r="K2" s="16" t="n">
        <v>0</v>
      </c>
      <c r="L2" s="16" t="n">
        <v>9680</v>
      </c>
      <c r="M2" s="16" t="n">
        <v>5692</v>
      </c>
      <c r="N2" s="16" t="n">
        <v>0</v>
      </c>
      <c r="O2" s="16" t="n">
        <v>0</v>
      </c>
      <c r="P2" s="16" t="n">
        <v>5692</v>
      </c>
      <c r="Q2" s="15" t="inlineStr">
        <is>
          <t>EXEMPLE (fictif)</t>
        </is>
      </c>
      <c r="R2" s="17">
        <f>IF(Parametres!$B$5="arabica",E2,IF(Parametres!$B$5="conilon",F2,IF(Parametres!$B$5="soluble",G2,H2)))</f>
        <v/>
      </c>
      <c r="S2" s="17">
        <f>IF(Parametres!$B$5="arabica",I2,IF(Parametres!$B$5="conilon",J2,IF(Parametres!$B$5="soluble",K2,L2)))</f>
        <v/>
      </c>
      <c r="T2" s="17">
        <f>IF(Parametres!$B$5="arabica",M2,IF(Parametres!$B$5="conilon",N2,IF(Parametres!$B$5="soluble",O2,P2)))</f>
        <v/>
      </c>
    </row>
    <row r="3">
      <c r="A3" s="14" t="n">
        <v>46266</v>
      </c>
      <c r="B3" s="15" t="inlineStr">
        <is>
          <t>certificates</t>
        </is>
      </c>
      <c r="C3" s="15" t="inlineStr">
        <is>
          <t>others</t>
        </is>
      </c>
      <c r="D3" s="15" t="inlineStr">
        <is>
          <t>OTHERS</t>
        </is>
      </c>
      <c r="E3" s="16" t="n">
        <v>958</v>
      </c>
      <c r="F3" s="16" t="n">
        <v>623</v>
      </c>
      <c r="G3" s="16" t="n">
        <v>2731</v>
      </c>
      <c r="H3" s="16" t="n">
        <v>4312</v>
      </c>
      <c r="I3" s="16" t="n">
        <v>958</v>
      </c>
      <c r="J3" s="16" t="n">
        <v>623</v>
      </c>
      <c r="K3" s="16" t="n">
        <v>2731</v>
      </c>
      <c r="L3" s="16" t="n">
        <v>4312</v>
      </c>
      <c r="M3" s="16" t="n">
        <v>5352</v>
      </c>
      <c r="N3" s="16" t="n">
        <v>1435</v>
      </c>
      <c r="O3" s="16" t="n">
        <v>3121</v>
      </c>
      <c r="P3" s="16" t="n">
        <v>9908</v>
      </c>
      <c r="Q3" s="15" t="inlineStr">
        <is>
          <t>EXEMPLE (fictif)</t>
        </is>
      </c>
      <c r="R3" s="17">
        <f>IF(Parametres!$B$5="arabica",E3,IF(Parametres!$B$5="conilon",F3,IF(Parametres!$B$5="soluble",G3,H3)))</f>
        <v/>
      </c>
      <c r="S3" s="17">
        <f>IF(Parametres!$B$5="arabica",I3,IF(Parametres!$B$5="conilon",J3,IF(Parametres!$B$5="soluble",K3,L3)))</f>
        <v/>
      </c>
      <c r="T3" s="17">
        <f>IF(Parametres!$B$5="arabica",M3,IF(Parametres!$B$5="conilon",N3,IF(Parametres!$B$5="soluble",O3,P3)))</f>
        <v/>
      </c>
    </row>
    <row r="4">
      <c r="A4" s="14" t="n">
        <v>46266</v>
      </c>
      <c r="B4" s="15" t="inlineStr">
        <is>
          <t>certificates</t>
        </is>
      </c>
      <c r="C4" s="15" t="inlineStr">
        <is>
          <t>rio</t>
        </is>
      </c>
      <c r="D4" s="15" t="inlineStr">
        <is>
          <t>RIO DE JANEIRO</t>
        </is>
      </c>
      <c r="E4" s="16" t="n">
        <v>12769</v>
      </c>
      <c r="F4" s="16" t="n">
        <v>715</v>
      </c>
      <c r="G4" s="16" t="n">
        <v>2339</v>
      </c>
      <c r="H4" s="16" t="n">
        <v>15823</v>
      </c>
      <c r="I4" s="16" t="n">
        <v>12769</v>
      </c>
      <c r="J4" s="16" t="n">
        <v>715</v>
      </c>
      <c r="K4" s="16" t="n">
        <v>2339</v>
      </c>
      <c r="L4" s="16" t="n">
        <v>15823</v>
      </c>
      <c r="M4" s="16" t="n">
        <v>22040</v>
      </c>
      <c r="N4" s="16" t="n">
        <v>1487</v>
      </c>
      <c r="O4" s="16" t="n">
        <v>1148</v>
      </c>
      <c r="P4" s="16" t="n">
        <v>24675</v>
      </c>
      <c r="Q4" s="15" t="inlineStr">
        <is>
          <t>EXEMPLE (fictif)</t>
        </is>
      </c>
      <c r="R4" s="17">
        <f>IF(Parametres!$B$5="arabica",E4,IF(Parametres!$B$5="conilon",F4,IF(Parametres!$B$5="soluble",G4,H4)))</f>
        <v/>
      </c>
      <c r="S4" s="17">
        <f>IF(Parametres!$B$5="arabica",I4,IF(Parametres!$B$5="conilon",J4,IF(Parametres!$B$5="soluble",K4,L4)))</f>
        <v/>
      </c>
      <c r="T4" s="17">
        <f>IF(Parametres!$B$5="arabica",M4,IF(Parametres!$B$5="conilon",N4,IF(Parametres!$B$5="soluble",O4,P4)))</f>
        <v/>
      </c>
    </row>
    <row r="5">
      <c r="A5" s="14" t="n">
        <v>46266</v>
      </c>
      <c r="B5" s="15" t="inlineStr">
        <is>
          <t>certificates</t>
        </is>
      </c>
      <c r="C5" s="15" t="inlineStr">
        <is>
          <t>salvador</t>
        </is>
      </c>
      <c r="D5" s="15" t="inlineStr">
        <is>
          <t>SALVADOR</t>
        </is>
      </c>
      <c r="E5" s="16" t="n">
        <v>2308</v>
      </c>
      <c r="F5" s="16" t="n">
        <v>0</v>
      </c>
      <c r="G5" s="16" t="n">
        <v>0</v>
      </c>
      <c r="H5" s="16" t="n">
        <v>2308</v>
      </c>
      <c r="I5" s="16" t="n">
        <v>2308</v>
      </c>
      <c r="J5" s="16" t="n">
        <v>0</v>
      </c>
      <c r="K5" s="16" t="n">
        <v>0</v>
      </c>
      <c r="L5" s="16" t="n">
        <v>2308</v>
      </c>
      <c r="M5" s="16" t="n">
        <v>353</v>
      </c>
      <c r="N5" s="16" t="n">
        <v>272</v>
      </c>
      <c r="O5" s="16" t="n">
        <v>0</v>
      </c>
      <c r="P5" s="16" t="n">
        <v>625</v>
      </c>
      <c r="Q5" s="15" t="inlineStr">
        <is>
          <t>EXEMPLE (fictif)</t>
        </is>
      </c>
      <c r="R5" s="17">
        <f>IF(Parametres!$B$5="arabica",E5,IF(Parametres!$B$5="conilon",F5,IF(Parametres!$B$5="soluble",G5,H5)))</f>
        <v/>
      </c>
      <c r="S5" s="17">
        <f>IF(Parametres!$B$5="arabica",I5,IF(Parametres!$B$5="conilon",J5,IF(Parametres!$B$5="soluble",K5,L5)))</f>
        <v/>
      </c>
      <c r="T5" s="17">
        <f>IF(Parametres!$B$5="arabica",M5,IF(Parametres!$B$5="conilon",N5,IF(Parametres!$B$5="soluble",O5,P5)))</f>
        <v/>
      </c>
    </row>
    <row r="6">
      <c r="A6" s="14" t="n">
        <v>46266</v>
      </c>
      <c r="B6" s="15" t="inlineStr">
        <is>
          <t>certificates</t>
        </is>
      </c>
      <c r="C6" s="15" t="inlineStr">
        <is>
          <t>santos</t>
        </is>
      </c>
      <c r="D6" s="15" t="inlineStr">
        <is>
          <t>SANTOS</t>
        </is>
      </c>
      <c r="E6" s="16" t="n">
        <v>90288</v>
      </c>
      <c r="F6" s="16" t="n">
        <v>2820</v>
      </c>
      <c r="G6" s="16" t="n">
        <v>7010</v>
      </c>
      <c r="H6" s="16" t="n">
        <v>100118</v>
      </c>
      <c r="I6" s="16" t="n">
        <v>90288</v>
      </c>
      <c r="J6" s="16" t="n">
        <v>2820</v>
      </c>
      <c r="K6" s="16" t="n">
        <v>7010</v>
      </c>
      <c r="L6" s="16" t="n">
        <v>100118</v>
      </c>
      <c r="M6" s="16" t="n">
        <v>65195</v>
      </c>
      <c r="N6" s="16" t="n">
        <v>3050</v>
      </c>
      <c r="O6" s="16" t="n">
        <v>9155</v>
      </c>
      <c r="P6" s="16" t="n">
        <v>77400</v>
      </c>
      <c r="Q6" s="15" t="inlineStr">
        <is>
          <t>EXEMPLE (fictif)</t>
        </is>
      </c>
      <c r="R6" s="17">
        <f>IF(Parametres!$B$5="arabica",E6,IF(Parametres!$B$5="conilon",F6,IF(Parametres!$B$5="soluble",G6,H6)))</f>
        <v/>
      </c>
      <c r="S6" s="17">
        <f>IF(Parametres!$B$5="arabica",I6,IF(Parametres!$B$5="conilon",J6,IF(Parametres!$B$5="soluble",K6,L6)))</f>
        <v/>
      </c>
      <c r="T6" s="17">
        <f>IF(Parametres!$B$5="arabica",M6,IF(Parametres!$B$5="conilon",N6,IF(Parametres!$B$5="soluble",O6,P6)))</f>
        <v/>
      </c>
    </row>
    <row r="7">
      <c r="A7" s="18" t="n">
        <v>46266</v>
      </c>
      <c r="B7" s="19" t="inlineStr">
        <is>
          <t>certificates</t>
        </is>
      </c>
      <c r="C7" s="19" t="inlineStr">
        <is>
          <t>total</t>
        </is>
      </c>
      <c r="D7" s="19" t="inlineStr">
        <is>
          <t>TOTAIS</t>
        </is>
      </c>
      <c r="E7" s="20" t="n">
        <v>118269</v>
      </c>
      <c r="F7" s="20" t="n">
        <v>51176</v>
      </c>
      <c r="G7" s="20" t="n">
        <v>12080</v>
      </c>
      <c r="H7" s="20" t="n">
        <v>181525</v>
      </c>
      <c r="I7" s="20" t="n">
        <v>118269</v>
      </c>
      <c r="J7" s="20" t="n">
        <v>51176</v>
      </c>
      <c r="K7" s="20" t="n">
        <v>12080</v>
      </c>
      <c r="L7" s="20" t="n">
        <v>181525</v>
      </c>
      <c r="M7" s="20" t="n">
        <v>99803</v>
      </c>
      <c r="N7" s="20" t="n">
        <v>9414</v>
      </c>
      <c r="O7" s="20" t="n">
        <v>16954</v>
      </c>
      <c r="P7" s="20" t="n">
        <v>126171</v>
      </c>
      <c r="Q7" s="19" t="inlineStr">
        <is>
          <t>EXEMPLE (fictif)</t>
        </is>
      </c>
      <c r="R7" s="21">
        <f>IF(Parametres!$B$5="arabica",E7,IF(Parametres!$B$5="conilon",F7,IF(Parametres!$B$5="soluble",G7,H7)))</f>
        <v/>
      </c>
      <c r="S7" s="21">
        <f>IF(Parametres!$B$5="arabica",I7,IF(Parametres!$B$5="conilon",J7,IF(Parametres!$B$5="soluble",K7,L7)))</f>
        <v/>
      </c>
      <c r="T7" s="21">
        <f>IF(Parametres!$B$5="arabica",M7,IF(Parametres!$B$5="conilon",N7,IF(Parametres!$B$5="soluble",O7,P7)))</f>
        <v/>
      </c>
    </row>
    <row r="8">
      <c r="A8" s="14" t="n">
        <v>46266</v>
      </c>
      <c r="B8" s="15" t="inlineStr">
        <is>
          <t>certificates</t>
        </is>
      </c>
      <c r="C8" s="15" t="inlineStr">
        <is>
          <t>vitoria</t>
        </is>
      </c>
      <c r="D8" s="15" t="inlineStr">
        <is>
          <t>VICTORY</t>
        </is>
      </c>
      <c r="E8" s="16" t="n">
        <v>2266</v>
      </c>
      <c r="F8" s="16" t="n">
        <v>47018</v>
      </c>
      <c r="G8" s="16" t="n">
        <v>0</v>
      </c>
      <c r="H8" s="16" t="n">
        <v>49284</v>
      </c>
      <c r="I8" s="16" t="n">
        <v>2266</v>
      </c>
      <c r="J8" s="16" t="n">
        <v>47018</v>
      </c>
      <c r="K8" s="16" t="n">
        <v>0</v>
      </c>
      <c r="L8" s="16" t="n">
        <v>49284</v>
      </c>
      <c r="M8" s="16" t="n">
        <v>1171</v>
      </c>
      <c r="N8" s="16" t="n">
        <v>3170</v>
      </c>
      <c r="O8" s="16" t="n">
        <v>3530</v>
      </c>
      <c r="P8" s="16" t="n">
        <v>7871</v>
      </c>
      <c r="Q8" s="15" t="inlineStr">
        <is>
          <t>EXEMPLE (fictif)</t>
        </is>
      </c>
      <c r="R8" s="17">
        <f>IF(Parametres!$B$5="arabica",E8,IF(Parametres!$B$5="conilon",F8,IF(Parametres!$B$5="soluble",G8,H8)))</f>
        <v/>
      </c>
      <c r="S8" s="17">
        <f>IF(Parametres!$B$5="arabica",I8,IF(Parametres!$B$5="conilon",J8,IF(Parametres!$B$5="soluble",K8,L8)))</f>
        <v/>
      </c>
      <c r="T8" s="17">
        <f>IF(Parametres!$B$5="arabica",M8,IF(Parametres!$B$5="conilon",N8,IF(Parametres!$B$5="soluble",O8,P8)))</f>
        <v/>
      </c>
    </row>
    <row r="9">
      <c r="A9" s="14" t="n">
        <v>46266</v>
      </c>
      <c r="B9" s="15" t="inlineStr">
        <is>
          <t>customs</t>
        </is>
      </c>
      <c r="C9" s="15" t="inlineStr">
        <is>
          <t>minas</t>
        </is>
      </c>
      <c r="D9" s="15" t="inlineStr">
        <is>
          <t>REDEX and EADI (MINAS GERAIS)</t>
        </is>
      </c>
      <c r="E9" s="16" t="n">
        <v>1555</v>
      </c>
      <c r="F9" s="16" t="n">
        <v>0</v>
      </c>
      <c r="G9" s="16" t="n">
        <v>0</v>
      </c>
      <c r="H9" s="16" t="n">
        <v>1555</v>
      </c>
      <c r="I9" s="16" t="n">
        <v>1555</v>
      </c>
      <c r="J9" s="16" t="n">
        <v>0</v>
      </c>
      <c r="K9" s="16" t="n">
        <v>0</v>
      </c>
      <c r="L9" s="16" t="n">
        <v>1555</v>
      </c>
      <c r="M9" s="16" t="n">
        <v>3900</v>
      </c>
      <c r="N9" s="16" t="n">
        <v>0</v>
      </c>
      <c r="O9" s="16" t="n">
        <v>0</v>
      </c>
      <c r="P9" s="16" t="n">
        <v>3900</v>
      </c>
      <c r="Q9" s="15" t="inlineStr">
        <is>
          <t>EXEMPLE (fictif)</t>
        </is>
      </c>
      <c r="R9" s="17">
        <f>IF(Parametres!$B$5="arabica",E9,IF(Parametres!$B$5="conilon",F9,IF(Parametres!$B$5="soluble",G9,H9)))</f>
        <v/>
      </c>
      <c r="S9" s="17">
        <f>IF(Parametres!$B$5="arabica",I9,IF(Parametres!$B$5="conilon",J9,IF(Parametres!$B$5="soluble",K9,L9)))</f>
        <v/>
      </c>
      <c r="T9" s="17">
        <f>IF(Parametres!$B$5="arabica",M9,IF(Parametres!$B$5="conilon",N9,IF(Parametres!$B$5="soluble",O9,P9)))</f>
        <v/>
      </c>
    </row>
    <row r="10">
      <c r="A10" s="14" t="n">
        <v>46266</v>
      </c>
      <c r="B10" s="15" t="inlineStr">
        <is>
          <t>customs</t>
        </is>
      </c>
      <c r="C10" s="15" t="inlineStr">
        <is>
          <t>others</t>
        </is>
      </c>
      <c r="D10" s="15" t="inlineStr">
        <is>
          <t>OTHERS</t>
        </is>
      </c>
      <c r="E10" s="16" t="n">
        <v>254</v>
      </c>
      <c r="F10" s="16" t="n">
        <v>268</v>
      </c>
      <c r="G10" s="16" t="n">
        <v>167</v>
      </c>
      <c r="H10" s="16" t="n">
        <v>689</v>
      </c>
      <c r="I10" s="16" t="n">
        <v>254</v>
      </c>
      <c r="J10" s="16" t="n">
        <v>268</v>
      </c>
      <c r="K10" s="16" t="n">
        <v>167</v>
      </c>
      <c r="L10" s="16" t="n">
        <v>689</v>
      </c>
      <c r="M10" s="16" t="n">
        <v>2518</v>
      </c>
      <c r="N10" s="16" t="n">
        <v>239</v>
      </c>
      <c r="O10" s="16" t="n">
        <v>1175</v>
      </c>
      <c r="P10" s="16" t="n">
        <v>3932</v>
      </c>
      <c r="Q10" s="15" t="inlineStr">
        <is>
          <t>EXEMPLE (fictif)</t>
        </is>
      </c>
      <c r="R10" s="17">
        <f>IF(Parametres!$B$5="arabica",E10,IF(Parametres!$B$5="conilon",F10,IF(Parametres!$B$5="soluble",G10,H10)))</f>
        <v/>
      </c>
      <c r="S10" s="17">
        <f>IF(Parametres!$B$5="arabica",I10,IF(Parametres!$B$5="conilon",J10,IF(Parametres!$B$5="soluble",K10,L10)))</f>
        <v/>
      </c>
      <c r="T10" s="17">
        <f>IF(Parametres!$B$5="arabica",M10,IF(Parametres!$B$5="conilon",N10,IF(Parametres!$B$5="soluble",O10,P10)))</f>
        <v/>
      </c>
    </row>
    <row r="11">
      <c r="A11" s="14" t="n">
        <v>46266</v>
      </c>
      <c r="B11" s="15" t="inlineStr">
        <is>
          <t>customs</t>
        </is>
      </c>
      <c r="C11" s="15" t="inlineStr">
        <is>
          <t>rio</t>
        </is>
      </c>
      <c r="D11" s="15" t="inlineStr">
        <is>
          <t>RIO DE JANEIRO</t>
        </is>
      </c>
      <c r="E11" s="16" t="n">
        <v>3216</v>
      </c>
      <c r="F11" s="16" t="n">
        <v>0</v>
      </c>
      <c r="G11" s="16" t="n">
        <v>458</v>
      </c>
      <c r="H11" s="16" t="n">
        <v>3674</v>
      </c>
      <c r="I11" s="16" t="n">
        <v>3216</v>
      </c>
      <c r="J11" s="16" t="n">
        <v>0</v>
      </c>
      <c r="K11" s="16" t="n">
        <v>458</v>
      </c>
      <c r="L11" s="16" t="n">
        <v>3674</v>
      </c>
      <c r="M11" s="16" t="n">
        <v>21951</v>
      </c>
      <c r="N11" s="16" t="n">
        <v>1090</v>
      </c>
      <c r="O11" s="16" t="n">
        <v>1148</v>
      </c>
      <c r="P11" s="16" t="n">
        <v>24189</v>
      </c>
      <c r="Q11" s="15" t="inlineStr">
        <is>
          <t>EXEMPLE (fictif)</t>
        </is>
      </c>
      <c r="R11" s="17">
        <f>IF(Parametres!$B$5="arabica",E11,IF(Parametres!$B$5="conilon",F11,IF(Parametres!$B$5="soluble",G11,H11)))</f>
        <v/>
      </c>
      <c r="S11" s="17">
        <f>IF(Parametres!$B$5="arabica",I11,IF(Parametres!$B$5="conilon",J11,IF(Parametres!$B$5="soluble",K11,L11)))</f>
        <v/>
      </c>
      <c r="T11" s="17">
        <f>IF(Parametres!$B$5="arabica",M11,IF(Parametres!$B$5="conilon",N11,IF(Parametres!$B$5="soluble",O11,P11)))</f>
        <v/>
      </c>
    </row>
    <row r="12">
      <c r="A12" s="14" t="n">
        <v>46266</v>
      </c>
      <c r="B12" s="15" t="inlineStr">
        <is>
          <t>customs</t>
        </is>
      </c>
      <c r="C12" s="15" t="inlineStr">
        <is>
          <t>santos</t>
        </is>
      </c>
      <c r="D12" s="15" t="inlineStr">
        <is>
          <t>SANTOS</t>
        </is>
      </c>
      <c r="E12" s="16" t="n">
        <v>30006</v>
      </c>
      <c r="F12" s="16" t="n">
        <v>1000</v>
      </c>
      <c r="G12" s="16" t="n">
        <v>194</v>
      </c>
      <c r="H12" s="16" t="n">
        <v>31200</v>
      </c>
      <c r="I12" s="16" t="n">
        <v>30006</v>
      </c>
      <c r="J12" s="16" t="n">
        <v>1000</v>
      </c>
      <c r="K12" s="16" t="n">
        <v>194</v>
      </c>
      <c r="L12" s="16" t="n">
        <v>31200</v>
      </c>
      <c r="M12" s="16" t="n">
        <v>58190</v>
      </c>
      <c r="N12" s="16" t="n">
        <v>3050</v>
      </c>
      <c r="O12" s="16" t="n">
        <v>2177</v>
      </c>
      <c r="P12" s="16" t="n">
        <v>63417</v>
      </c>
      <c r="Q12" s="15" t="inlineStr">
        <is>
          <t>EXEMPLE (fictif)</t>
        </is>
      </c>
      <c r="R12" s="17">
        <f>IF(Parametres!$B$5="arabica",E12,IF(Parametres!$B$5="conilon",F12,IF(Parametres!$B$5="soluble",G12,H12)))</f>
        <v/>
      </c>
      <c r="S12" s="17">
        <f>IF(Parametres!$B$5="arabica",I12,IF(Parametres!$B$5="conilon",J12,IF(Parametres!$B$5="soluble",K12,L12)))</f>
        <v/>
      </c>
      <c r="T12" s="17">
        <f>IF(Parametres!$B$5="arabica",M12,IF(Parametres!$B$5="conilon",N12,IF(Parametres!$B$5="soluble",O12,P12)))</f>
        <v/>
      </c>
    </row>
    <row r="13">
      <c r="A13" s="18" t="n">
        <v>46266</v>
      </c>
      <c r="B13" s="19" t="inlineStr">
        <is>
          <t>customs</t>
        </is>
      </c>
      <c r="C13" s="19" t="inlineStr">
        <is>
          <t>total</t>
        </is>
      </c>
      <c r="D13" s="19" t="inlineStr">
        <is>
          <t>TOTAIS</t>
        </is>
      </c>
      <c r="E13" s="20" t="n">
        <v>35031</v>
      </c>
      <c r="F13" s="20" t="n">
        <v>5292</v>
      </c>
      <c r="G13" s="20" t="n">
        <v>819</v>
      </c>
      <c r="H13" s="20" t="n">
        <v>41142</v>
      </c>
      <c r="I13" s="20" t="n">
        <v>35031</v>
      </c>
      <c r="J13" s="20" t="n">
        <v>5292</v>
      </c>
      <c r="K13" s="20" t="n">
        <v>819</v>
      </c>
      <c r="L13" s="20" t="n">
        <v>41142</v>
      </c>
      <c r="M13" s="20" t="n">
        <v>86647</v>
      </c>
      <c r="N13" s="20" t="n">
        <v>6309</v>
      </c>
      <c r="O13" s="20" t="n">
        <v>4500</v>
      </c>
      <c r="P13" s="20" t="n">
        <v>97456</v>
      </c>
      <c r="Q13" s="19" t="inlineStr">
        <is>
          <t>EXEMPLE (fictif)</t>
        </is>
      </c>
      <c r="R13" s="21">
        <f>IF(Parametres!$B$5="arabica",E13,IF(Parametres!$B$5="conilon",F13,IF(Parametres!$B$5="soluble",G13,H13)))</f>
        <v/>
      </c>
      <c r="S13" s="21">
        <f>IF(Parametres!$B$5="arabica",I13,IF(Parametres!$B$5="conilon",J13,IF(Parametres!$B$5="soluble",K13,L13)))</f>
        <v/>
      </c>
      <c r="T13" s="21">
        <f>IF(Parametres!$B$5="arabica",M13,IF(Parametres!$B$5="conilon",N13,IF(Parametres!$B$5="soluble",O13,P13)))</f>
        <v/>
      </c>
    </row>
    <row r="14">
      <c r="A14" s="14" t="n">
        <v>46266</v>
      </c>
      <c r="B14" s="15" t="inlineStr">
        <is>
          <t>customs</t>
        </is>
      </c>
      <c r="C14" s="15" t="inlineStr">
        <is>
          <t>vitoria</t>
        </is>
      </c>
      <c r="D14" s="15" t="inlineStr">
        <is>
          <t>VICTORY</t>
        </is>
      </c>
      <c r="E14" s="16" t="n">
        <v>0</v>
      </c>
      <c r="F14" s="16" t="n">
        <v>4024</v>
      </c>
      <c r="G14" s="16" t="n">
        <v>0</v>
      </c>
      <c r="H14" s="16" t="n">
        <v>4024</v>
      </c>
      <c r="I14" s="16" t="n">
        <v>0</v>
      </c>
      <c r="J14" s="16" t="n">
        <v>4024</v>
      </c>
      <c r="K14" s="16" t="n">
        <v>0</v>
      </c>
      <c r="L14" s="16" t="n">
        <v>4024</v>
      </c>
      <c r="M14" s="16" t="n">
        <v>88</v>
      </c>
      <c r="N14" s="16" t="n">
        <v>1930</v>
      </c>
      <c r="O14" s="16" t="n">
        <v>0</v>
      </c>
      <c r="P14" s="16" t="n">
        <v>2018</v>
      </c>
      <c r="Q14" s="15" t="inlineStr">
        <is>
          <t>EXEMPLE (fictif)</t>
        </is>
      </c>
      <c r="R14" s="17">
        <f>IF(Parametres!$B$5="arabica",E14,IF(Parametres!$B$5="conilon",F14,IF(Parametres!$B$5="soluble",G14,H14)))</f>
        <v/>
      </c>
      <c r="S14" s="17">
        <f>IF(Parametres!$B$5="arabica",I14,IF(Parametres!$B$5="conilon",J14,IF(Parametres!$B$5="soluble",K14,L14)))</f>
        <v/>
      </c>
      <c r="T14" s="17">
        <f>IF(Parametres!$B$5="arabica",M14,IF(Parametres!$B$5="conilon",N14,IF(Parametres!$B$5="soluble",O14,P14)))</f>
        <v/>
      </c>
    </row>
    <row r="15">
      <c r="A15" s="14" t="n">
        <v>46266</v>
      </c>
      <c r="B15" s="15" t="inlineStr">
        <is>
          <t>shipment</t>
        </is>
      </c>
      <c r="C15" s="15" t="inlineStr">
        <is>
          <t>others</t>
        </is>
      </c>
      <c r="D15" s="15" t="inlineStr">
        <is>
          <t>OTHERS</t>
        </is>
      </c>
      <c r="E15" s="16" t="n">
        <v>254</v>
      </c>
      <c r="F15" s="16" t="n">
        <v>268</v>
      </c>
      <c r="G15" s="16" t="n">
        <v>167</v>
      </c>
      <c r="H15" s="16" t="n">
        <v>689</v>
      </c>
      <c r="I15" s="16" t="n">
        <v>254</v>
      </c>
      <c r="J15" s="16" t="n">
        <v>268</v>
      </c>
      <c r="K15" s="16" t="n">
        <v>167</v>
      </c>
      <c r="L15" s="16" t="n">
        <v>689</v>
      </c>
      <c r="M15" s="16" t="n">
        <v>277</v>
      </c>
      <c r="N15" s="16" t="n">
        <v>239</v>
      </c>
      <c r="O15" s="16" t="n">
        <v>1175</v>
      </c>
      <c r="P15" s="16" t="n">
        <v>1691</v>
      </c>
      <c r="Q15" s="15" t="inlineStr">
        <is>
          <t>EXEMPLE (fictif)</t>
        </is>
      </c>
      <c r="R15" s="17">
        <f>IF(Parametres!$B$5="arabica",E15,IF(Parametres!$B$5="conilon",F15,IF(Parametres!$B$5="soluble",G15,H15)))</f>
        <v/>
      </c>
      <c r="S15" s="17">
        <f>IF(Parametres!$B$5="arabica",I15,IF(Parametres!$B$5="conilon",J15,IF(Parametres!$B$5="soluble",K15,L15)))</f>
        <v/>
      </c>
      <c r="T15" s="17">
        <f>IF(Parametres!$B$5="arabica",M15,IF(Parametres!$B$5="conilon",N15,IF(Parametres!$B$5="soluble",O15,P15)))</f>
        <v/>
      </c>
    </row>
    <row r="16">
      <c r="A16" s="14" t="n">
        <v>46266</v>
      </c>
      <c r="B16" s="15" t="inlineStr">
        <is>
          <t>shipment</t>
        </is>
      </c>
      <c r="C16" s="15" t="inlineStr">
        <is>
          <t>rio</t>
        </is>
      </c>
      <c r="D16" s="15" t="inlineStr">
        <is>
          <t>RIO DE JANEIRO</t>
        </is>
      </c>
      <c r="E16" s="16" t="n">
        <v>3216</v>
      </c>
      <c r="F16" s="16" t="n">
        <v>0</v>
      </c>
      <c r="G16" s="16" t="n">
        <v>458</v>
      </c>
      <c r="H16" s="16" t="n">
        <v>3674</v>
      </c>
      <c r="I16" s="16" t="n">
        <v>3216</v>
      </c>
      <c r="J16" s="16" t="n">
        <v>0</v>
      </c>
      <c r="K16" s="16" t="n">
        <v>458</v>
      </c>
      <c r="L16" s="16" t="n">
        <v>3674</v>
      </c>
      <c r="M16" s="16" t="n">
        <v>21918</v>
      </c>
      <c r="N16" s="16" t="n">
        <v>1274</v>
      </c>
      <c r="O16" s="16" t="n">
        <v>1148</v>
      </c>
      <c r="P16" s="16" t="n">
        <v>24340</v>
      </c>
      <c r="Q16" s="15" t="inlineStr">
        <is>
          <t>EXEMPLE (fictif)</t>
        </is>
      </c>
      <c r="R16" s="17">
        <f>IF(Parametres!$B$5="arabica",E16,IF(Parametres!$B$5="conilon",F16,IF(Parametres!$B$5="soluble",G16,H16)))</f>
        <v/>
      </c>
      <c r="S16" s="17">
        <f>IF(Parametres!$B$5="arabica",I16,IF(Parametres!$B$5="conilon",J16,IF(Parametres!$B$5="soluble",K16,L16)))</f>
        <v/>
      </c>
      <c r="T16" s="17">
        <f>IF(Parametres!$B$5="arabica",M16,IF(Parametres!$B$5="conilon",N16,IF(Parametres!$B$5="soluble",O16,P16)))</f>
        <v/>
      </c>
    </row>
    <row r="17">
      <c r="A17" s="14" t="n">
        <v>46266</v>
      </c>
      <c r="B17" s="15" t="inlineStr">
        <is>
          <t>shipment</t>
        </is>
      </c>
      <c r="C17" s="15" t="inlineStr">
        <is>
          <t>santos</t>
        </is>
      </c>
      <c r="D17" s="15" t="inlineStr">
        <is>
          <t>SANTOS</t>
        </is>
      </c>
      <c r="E17" s="16" t="n">
        <v>31561</v>
      </c>
      <c r="F17" s="16" t="n">
        <v>5024</v>
      </c>
      <c r="G17" s="16" t="n">
        <v>194</v>
      </c>
      <c r="H17" s="16" t="n">
        <v>36779</v>
      </c>
      <c r="I17" s="16" t="n">
        <v>31561</v>
      </c>
      <c r="J17" s="16" t="n">
        <v>5024</v>
      </c>
      <c r="K17" s="16" t="n">
        <v>194</v>
      </c>
      <c r="L17" s="16" t="n">
        <v>36779</v>
      </c>
      <c r="M17" s="16" t="n">
        <v>64453</v>
      </c>
      <c r="N17" s="16" t="n">
        <v>4797</v>
      </c>
      <c r="O17" s="16" t="n">
        <v>2177</v>
      </c>
      <c r="P17" s="16" t="n">
        <v>71427</v>
      </c>
      <c r="Q17" s="15" t="inlineStr">
        <is>
          <t>EXEMPLE (fictif)</t>
        </is>
      </c>
      <c r="R17" s="17">
        <f>IF(Parametres!$B$5="arabica",E17,IF(Parametres!$B$5="conilon",F17,IF(Parametres!$B$5="soluble",G17,H17)))</f>
        <v/>
      </c>
      <c r="S17" s="17">
        <f>IF(Parametres!$B$5="arabica",I17,IF(Parametres!$B$5="conilon",J17,IF(Parametres!$B$5="soluble",K17,L17)))</f>
        <v/>
      </c>
      <c r="T17" s="17">
        <f>IF(Parametres!$B$5="arabica",M17,IF(Parametres!$B$5="conilon",N17,IF(Parametres!$B$5="soluble",O17,P17)))</f>
        <v/>
      </c>
    </row>
    <row r="18">
      <c r="A18" s="18" t="n">
        <v>46266</v>
      </c>
      <c r="B18" s="19" t="inlineStr">
        <is>
          <t>shipment</t>
        </is>
      </c>
      <c r="C18" s="19" t="inlineStr">
        <is>
          <t>total</t>
        </is>
      </c>
      <c r="D18" s="19" t="inlineStr">
        <is>
          <t>TOTAIS</t>
        </is>
      </c>
      <c r="E18" s="20" t="n">
        <v>35031</v>
      </c>
      <c r="F18" s="20" t="n">
        <v>5292</v>
      </c>
      <c r="G18" s="20" t="n">
        <v>819</v>
      </c>
      <c r="H18" s="20" t="n">
        <v>41142</v>
      </c>
      <c r="I18" s="20" t="n">
        <v>35031</v>
      </c>
      <c r="J18" s="20" t="n">
        <v>5292</v>
      </c>
      <c r="K18" s="20" t="n">
        <v>819</v>
      </c>
      <c r="L18" s="20" t="n">
        <v>41142</v>
      </c>
      <c r="M18" s="20" t="n">
        <v>86648</v>
      </c>
      <c r="N18" s="20" t="n">
        <v>6310</v>
      </c>
      <c r="O18" s="20" t="n">
        <v>4500</v>
      </c>
      <c r="P18" s="20" t="n">
        <v>97458</v>
      </c>
      <c r="Q18" s="19" t="inlineStr">
        <is>
          <t>EXEMPLE (fictif)</t>
        </is>
      </c>
      <c r="R18" s="21">
        <f>IF(Parametres!$B$5="arabica",E18,IF(Parametres!$B$5="conilon",F18,IF(Parametres!$B$5="soluble",G18,H18)))</f>
        <v/>
      </c>
      <c r="S18" s="21">
        <f>IF(Parametres!$B$5="arabica",I18,IF(Parametres!$B$5="conilon",J18,IF(Parametres!$B$5="soluble",K18,L18)))</f>
        <v/>
      </c>
      <c r="T18" s="21">
        <f>IF(Parametres!$B$5="arabica",M18,IF(Parametres!$B$5="conilon",N18,IF(Parametres!$B$5="soluble",O18,P18)))</f>
        <v/>
      </c>
    </row>
    <row r="19">
      <c r="A19" s="14" t="n">
        <v>46267</v>
      </c>
      <c r="B19" s="15" t="inlineStr">
        <is>
          <t>certificates</t>
        </is>
      </c>
      <c r="C19" s="15" t="inlineStr">
        <is>
          <t>minas</t>
        </is>
      </c>
      <c r="D19" s="15" t="inlineStr">
        <is>
          <t>REDEX and EADI (MINAS GERAIS)</t>
        </is>
      </c>
      <c r="E19" s="16" t="n">
        <v>12261</v>
      </c>
      <c r="F19" s="16" t="n">
        <v>0</v>
      </c>
      <c r="G19" s="16" t="n">
        <v>0</v>
      </c>
      <c r="H19" s="16" t="n">
        <v>12261</v>
      </c>
      <c r="I19" s="16" t="n">
        <v>21941</v>
      </c>
      <c r="J19" s="16" t="n">
        <v>0</v>
      </c>
      <c r="K19" s="16" t="n">
        <v>0</v>
      </c>
      <c r="L19" s="16" t="n">
        <v>21941</v>
      </c>
      <c r="M19" s="16" t="n">
        <v>12903</v>
      </c>
      <c r="N19" s="16" t="n">
        <v>0</v>
      </c>
      <c r="O19" s="16" t="n">
        <v>0</v>
      </c>
      <c r="P19" s="16" t="n">
        <v>12903</v>
      </c>
      <c r="Q19" s="15" t="inlineStr">
        <is>
          <t>EXEMPLE (fictif)</t>
        </is>
      </c>
      <c r="R19" s="17">
        <f>IF(Parametres!$B$5="arabica",E19,IF(Parametres!$B$5="conilon",F19,IF(Parametres!$B$5="soluble",G19,H19)))</f>
        <v/>
      </c>
      <c r="S19" s="17">
        <f>IF(Parametres!$B$5="arabica",I19,IF(Parametres!$B$5="conilon",J19,IF(Parametres!$B$5="soluble",K19,L19)))</f>
        <v/>
      </c>
      <c r="T19" s="17">
        <f>IF(Parametres!$B$5="arabica",M19,IF(Parametres!$B$5="conilon",N19,IF(Parametres!$B$5="soluble",O19,P19)))</f>
        <v/>
      </c>
    </row>
    <row r="20">
      <c r="A20" s="14" t="n">
        <v>46267</v>
      </c>
      <c r="B20" s="15" t="inlineStr">
        <is>
          <t>certificates</t>
        </is>
      </c>
      <c r="C20" s="15" t="inlineStr">
        <is>
          <t>others</t>
        </is>
      </c>
      <c r="D20" s="15" t="inlineStr">
        <is>
          <t>OTHERS</t>
        </is>
      </c>
      <c r="E20" s="16" t="n">
        <v>1214</v>
      </c>
      <c r="F20" s="16" t="n">
        <v>790</v>
      </c>
      <c r="G20" s="16" t="n">
        <v>3460</v>
      </c>
      <c r="H20" s="16" t="n">
        <v>5464</v>
      </c>
      <c r="I20" s="16" t="n">
        <v>2172</v>
      </c>
      <c r="J20" s="16" t="n">
        <v>1413</v>
      </c>
      <c r="K20" s="16" t="n">
        <v>6191</v>
      </c>
      <c r="L20" s="16" t="n">
        <v>9776</v>
      </c>
      <c r="M20" s="16" t="n">
        <v>12130</v>
      </c>
      <c r="N20" s="16" t="n">
        <v>3253</v>
      </c>
      <c r="O20" s="16" t="n">
        <v>7074</v>
      </c>
      <c r="P20" s="16" t="n">
        <v>22457</v>
      </c>
      <c r="Q20" s="15" t="inlineStr">
        <is>
          <t>EXEMPLE (fictif)</t>
        </is>
      </c>
      <c r="R20" s="17">
        <f>IF(Parametres!$B$5="arabica",E20,IF(Parametres!$B$5="conilon",F20,IF(Parametres!$B$5="soluble",G20,H20)))</f>
        <v/>
      </c>
      <c r="S20" s="17">
        <f>IF(Parametres!$B$5="arabica",I20,IF(Parametres!$B$5="conilon",J20,IF(Parametres!$B$5="soluble",K20,L20)))</f>
        <v/>
      </c>
      <c r="T20" s="17">
        <f>IF(Parametres!$B$5="arabica",M20,IF(Parametres!$B$5="conilon",N20,IF(Parametres!$B$5="soluble",O20,P20)))</f>
        <v/>
      </c>
    </row>
    <row r="21">
      <c r="A21" s="14" t="n">
        <v>46267</v>
      </c>
      <c r="B21" s="15" t="inlineStr">
        <is>
          <t>certificates</t>
        </is>
      </c>
      <c r="C21" s="15" t="inlineStr">
        <is>
          <t>rio</t>
        </is>
      </c>
      <c r="D21" s="15" t="inlineStr">
        <is>
          <t>RIO DE JANEIRO</t>
        </is>
      </c>
      <c r="E21" s="16" t="n">
        <v>16174</v>
      </c>
      <c r="F21" s="16" t="n">
        <v>905</v>
      </c>
      <c r="G21" s="16" t="n">
        <v>2963</v>
      </c>
      <c r="H21" s="16" t="n">
        <v>20042</v>
      </c>
      <c r="I21" s="16" t="n">
        <v>28943</v>
      </c>
      <c r="J21" s="16" t="n">
        <v>1620</v>
      </c>
      <c r="K21" s="16" t="n">
        <v>5302</v>
      </c>
      <c r="L21" s="16" t="n">
        <v>35865</v>
      </c>
      <c r="M21" s="16" t="n">
        <v>49957</v>
      </c>
      <c r="N21" s="16" t="n">
        <v>3371</v>
      </c>
      <c r="O21" s="16" t="n">
        <v>2602</v>
      </c>
      <c r="P21" s="16" t="n">
        <v>55930</v>
      </c>
      <c r="Q21" s="15" t="inlineStr">
        <is>
          <t>EXEMPLE (fictif)</t>
        </is>
      </c>
      <c r="R21" s="17">
        <f>IF(Parametres!$B$5="arabica",E21,IF(Parametres!$B$5="conilon",F21,IF(Parametres!$B$5="soluble",G21,H21)))</f>
        <v/>
      </c>
      <c r="S21" s="17">
        <f>IF(Parametres!$B$5="arabica",I21,IF(Parametres!$B$5="conilon",J21,IF(Parametres!$B$5="soluble",K21,L21)))</f>
        <v/>
      </c>
      <c r="T21" s="17">
        <f>IF(Parametres!$B$5="arabica",M21,IF(Parametres!$B$5="conilon",N21,IF(Parametres!$B$5="soluble",O21,P21)))</f>
        <v/>
      </c>
    </row>
    <row r="22">
      <c r="A22" s="14" t="n">
        <v>46267</v>
      </c>
      <c r="B22" s="15" t="inlineStr">
        <is>
          <t>certificates</t>
        </is>
      </c>
      <c r="C22" s="15" t="inlineStr">
        <is>
          <t>salvador</t>
        </is>
      </c>
      <c r="D22" s="15" t="inlineStr">
        <is>
          <t>SALVADOR</t>
        </is>
      </c>
      <c r="E22" s="16" t="n">
        <v>2924</v>
      </c>
      <c r="F22" s="16" t="n">
        <v>0</v>
      </c>
      <c r="G22" s="16" t="n">
        <v>0</v>
      </c>
      <c r="H22" s="16" t="n">
        <v>2924</v>
      </c>
      <c r="I22" s="16" t="n">
        <v>5232</v>
      </c>
      <c r="J22" s="16" t="n">
        <v>0</v>
      </c>
      <c r="K22" s="16" t="n">
        <v>0</v>
      </c>
      <c r="L22" s="16" t="n">
        <v>5232</v>
      </c>
      <c r="M22" s="16" t="n">
        <v>801</v>
      </c>
      <c r="N22" s="16" t="n">
        <v>617</v>
      </c>
      <c r="O22" s="16" t="n">
        <v>0</v>
      </c>
      <c r="P22" s="16" t="n">
        <v>1418</v>
      </c>
      <c r="Q22" s="15" t="inlineStr">
        <is>
          <t>EXEMPLE (fictif)</t>
        </is>
      </c>
      <c r="R22" s="17">
        <f>IF(Parametres!$B$5="arabica",E22,IF(Parametres!$B$5="conilon",F22,IF(Parametres!$B$5="soluble",G22,H22)))</f>
        <v/>
      </c>
      <c r="S22" s="17">
        <f>IF(Parametres!$B$5="arabica",I22,IF(Parametres!$B$5="conilon",J22,IF(Parametres!$B$5="soluble",K22,L22)))</f>
        <v/>
      </c>
      <c r="T22" s="17">
        <f>IF(Parametres!$B$5="arabica",M22,IF(Parametres!$B$5="conilon",N22,IF(Parametres!$B$5="soluble",O22,P22)))</f>
        <v/>
      </c>
    </row>
    <row r="23">
      <c r="A23" s="14" t="n">
        <v>46267</v>
      </c>
      <c r="B23" s="15" t="inlineStr">
        <is>
          <t>certificates</t>
        </is>
      </c>
      <c r="C23" s="15" t="inlineStr">
        <is>
          <t>santos</t>
        </is>
      </c>
      <c r="D23" s="15" t="inlineStr">
        <is>
          <t>SANTOS</t>
        </is>
      </c>
      <c r="E23" s="16" t="n">
        <v>114365</v>
      </c>
      <c r="F23" s="16" t="n">
        <v>3572</v>
      </c>
      <c r="G23" s="16" t="n">
        <v>8879</v>
      </c>
      <c r="H23" s="16" t="n">
        <v>126816</v>
      </c>
      <c r="I23" s="16" t="n">
        <v>204653</v>
      </c>
      <c r="J23" s="16" t="n">
        <v>6392</v>
      </c>
      <c r="K23" s="16" t="n">
        <v>15889</v>
      </c>
      <c r="L23" s="16" t="n">
        <v>226934</v>
      </c>
      <c r="M23" s="16" t="n">
        <v>147775</v>
      </c>
      <c r="N23" s="16" t="n">
        <v>6914</v>
      </c>
      <c r="O23" s="16" t="n">
        <v>20751</v>
      </c>
      <c r="P23" s="16" t="n">
        <v>175440</v>
      </c>
      <c r="Q23" s="15" t="inlineStr">
        <is>
          <t>EXEMPLE (fictif)</t>
        </is>
      </c>
      <c r="R23" s="17">
        <f>IF(Parametres!$B$5="arabica",E23,IF(Parametres!$B$5="conilon",F23,IF(Parametres!$B$5="soluble",G23,H23)))</f>
        <v/>
      </c>
      <c r="S23" s="17">
        <f>IF(Parametres!$B$5="arabica",I23,IF(Parametres!$B$5="conilon",J23,IF(Parametres!$B$5="soluble",K23,L23)))</f>
        <v/>
      </c>
      <c r="T23" s="17">
        <f>IF(Parametres!$B$5="arabica",M23,IF(Parametres!$B$5="conilon",N23,IF(Parametres!$B$5="soluble",O23,P23)))</f>
        <v/>
      </c>
    </row>
    <row r="24">
      <c r="A24" s="18" t="n">
        <v>46267</v>
      </c>
      <c r="B24" s="19" t="inlineStr">
        <is>
          <t>certificates</t>
        </is>
      </c>
      <c r="C24" s="19" t="inlineStr">
        <is>
          <t>total</t>
        </is>
      </c>
      <c r="D24" s="19" t="inlineStr">
        <is>
          <t>TOTAIS</t>
        </is>
      </c>
      <c r="E24" s="20" t="n">
        <v>149809</v>
      </c>
      <c r="F24" s="20" t="n">
        <v>64824</v>
      </c>
      <c r="G24" s="20" t="n">
        <v>15302</v>
      </c>
      <c r="H24" s="20" t="n">
        <v>229935</v>
      </c>
      <c r="I24" s="20" t="n">
        <v>268078</v>
      </c>
      <c r="J24" s="20" t="n">
        <v>116000</v>
      </c>
      <c r="K24" s="20" t="n">
        <v>27382</v>
      </c>
      <c r="L24" s="20" t="n">
        <v>411460</v>
      </c>
      <c r="M24" s="20" t="n">
        <v>226221</v>
      </c>
      <c r="N24" s="20" t="n">
        <v>21341</v>
      </c>
      <c r="O24" s="20" t="n">
        <v>38429</v>
      </c>
      <c r="P24" s="20" t="n">
        <v>285991</v>
      </c>
      <c r="Q24" s="19" t="inlineStr">
        <is>
          <t>EXEMPLE (fictif)</t>
        </is>
      </c>
      <c r="R24" s="21">
        <f>IF(Parametres!$B$5="arabica",E24,IF(Parametres!$B$5="conilon",F24,IF(Parametres!$B$5="soluble",G24,H24)))</f>
        <v/>
      </c>
      <c r="S24" s="21">
        <f>IF(Parametres!$B$5="arabica",I24,IF(Parametres!$B$5="conilon",J24,IF(Parametres!$B$5="soluble",K24,L24)))</f>
        <v/>
      </c>
      <c r="T24" s="21">
        <f>IF(Parametres!$B$5="arabica",M24,IF(Parametres!$B$5="conilon",N24,IF(Parametres!$B$5="soluble",O24,P24)))</f>
        <v/>
      </c>
    </row>
    <row r="25">
      <c r="A25" s="14" t="n">
        <v>46267</v>
      </c>
      <c r="B25" s="15" t="inlineStr">
        <is>
          <t>certificates</t>
        </is>
      </c>
      <c r="C25" s="15" t="inlineStr">
        <is>
          <t>vitoria</t>
        </is>
      </c>
      <c r="D25" s="15" t="inlineStr">
        <is>
          <t>VICTORY</t>
        </is>
      </c>
      <c r="E25" s="16" t="n">
        <v>2871</v>
      </c>
      <c r="F25" s="16" t="n">
        <v>59557</v>
      </c>
      <c r="G25" s="16" t="n">
        <v>0</v>
      </c>
      <c r="H25" s="16" t="n">
        <v>62428</v>
      </c>
      <c r="I25" s="16" t="n">
        <v>5137</v>
      </c>
      <c r="J25" s="16" t="n">
        <v>106575</v>
      </c>
      <c r="K25" s="16" t="n">
        <v>0</v>
      </c>
      <c r="L25" s="16" t="n">
        <v>111712</v>
      </c>
      <c r="M25" s="16" t="n">
        <v>2655</v>
      </c>
      <c r="N25" s="16" t="n">
        <v>7186</v>
      </c>
      <c r="O25" s="16" t="n">
        <v>8002</v>
      </c>
      <c r="P25" s="16" t="n">
        <v>17843</v>
      </c>
      <c r="Q25" s="15" t="inlineStr">
        <is>
          <t>EXEMPLE (fictif)</t>
        </is>
      </c>
      <c r="R25" s="17">
        <f>IF(Parametres!$B$5="arabica",E25,IF(Parametres!$B$5="conilon",F25,IF(Parametres!$B$5="soluble",G25,H25)))</f>
        <v/>
      </c>
      <c r="S25" s="17">
        <f>IF(Parametres!$B$5="arabica",I25,IF(Parametres!$B$5="conilon",J25,IF(Parametres!$B$5="soluble",K25,L25)))</f>
        <v/>
      </c>
      <c r="T25" s="17">
        <f>IF(Parametres!$B$5="arabica",M25,IF(Parametres!$B$5="conilon",N25,IF(Parametres!$B$5="soluble",O25,P25)))</f>
        <v/>
      </c>
    </row>
    <row r="26">
      <c r="A26" s="14" t="n">
        <v>46267</v>
      </c>
      <c r="B26" s="15" t="inlineStr">
        <is>
          <t>customs</t>
        </is>
      </c>
      <c r="C26" s="15" t="inlineStr">
        <is>
          <t>minas</t>
        </is>
      </c>
      <c r="D26" s="15" t="inlineStr">
        <is>
          <t>REDEX and EADI (MINAS GERAIS)</t>
        </is>
      </c>
      <c r="E26" s="16" t="n">
        <v>1970</v>
      </c>
      <c r="F26" s="16" t="n">
        <v>0</v>
      </c>
      <c r="G26" s="16" t="n">
        <v>0</v>
      </c>
      <c r="H26" s="16" t="n">
        <v>1970</v>
      </c>
      <c r="I26" s="16" t="n">
        <v>3525</v>
      </c>
      <c r="J26" s="16" t="n">
        <v>0</v>
      </c>
      <c r="K26" s="16" t="n">
        <v>0</v>
      </c>
      <c r="L26" s="16" t="n">
        <v>3525</v>
      </c>
      <c r="M26" s="16" t="n">
        <v>8840</v>
      </c>
      <c r="N26" s="16" t="n">
        <v>0</v>
      </c>
      <c r="O26" s="16" t="n">
        <v>0</v>
      </c>
      <c r="P26" s="16" t="n">
        <v>8840</v>
      </c>
      <c r="Q26" s="15" t="inlineStr">
        <is>
          <t>EXEMPLE (fictif)</t>
        </is>
      </c>
      <c r="R26" s="17">
        <f>IF(Parametres!$B$5="arabica",E26,IF(Parametres!$B$5="conilon",F26,IF(Parametres!$B$5="soluble",G26,H26)))</f>
        <v/>
      </c>
      <c r="S26" s="17">
        <f>IF(Parametres!$B$5="arabica",I26,IF(Parametres!$B$5="conilon",J26,IF(Parametres!$B$5="soluble",K26,L26)))</f>
        <v/>
      </c>
      <c r="T26" s="17">
        <f>IF(Parametres!$B$5="arabica",M26,IF(Parametres!$B$5="conilon",N26,IF(Parametres!$B$5="soluble",O26,P26)))</f>
        <v/>
      </c>
    </row>
    <row r="27">
      <c r="A27" s="14" t="n">
        <v>46267</v>
      </c>
      <c r="B27" s="15" t="inlineStr">
        <is>
          <t>customs</t>
        </is>
      </c>
      <c r="C27" s="15" t="inlineStr">
        <is>
          <t>others</t>
        </is>
      </c>
      <c r="D27" s="15" t="inlineStr">
        <is>
          <t>OTHERS</t>
        </is>
      </c>
      <c r="E27" s="16" t="n">
        <v>321</v>
      </c>
      <c r="F27" s="16" t="n">
        <v>339</v>
      </c>
      <c r="G27" s="16" t="n">
        <v>212</v>
      </c>
      <c r="H27" s="16" t="n">
        <v>872</v>
      </c>
      <c r="I27" s="16" t="n">
        <v>575</v>
      </c>
      <c r="J27" s="16" t="n">
        <v>607</v>
      </c>
      <c r="K27" s="16" t="n">
        <v>379</v>
      </c>
      <c r="L27" s="16" t="n">
        <v>1561</v>
      </c>
      <c r="M27" s="16" t="n">
        <v>5707</v>
      </c>
      <c r="N27" s="16" t="n">
        <v>542</v>
      </c>
      <c r="O27" s="16" t="n">
        <v>2663</v>
      </c>
      <c r="P27" s="16" t="n">
        <v>8912</v>
      </c>
      <c r="Q27" s="15" t="inlineStr">
        <is>
          <t>EXEMPLE (fictif)</t>
        </is>
      </c>
      <c r="R27" s="17">
        <f>IF(Parametres!$B$5="arabica",E27,IF(Parametres!$B$5="conilon",F27,IF(Parametres!$B$5="soluble",G27,H27)))</f>
        <v/>
      </c>
      <c r="S27" s="17">
        <f>IF(Parametres!$B$5="arabica",I27,IF(Parametres!$B$5="conilon",J27,IF(Parametres!$B$5="soluble",K27,L27)))</f>
        <v/>
      </c>
      <c r="T27" s="17">
        <f>IF(Parametres!$B$5="arabica",M27,IF(Parametres!$B$5="conilon",N27,IF(Parametres!$B$5="soluble",O27,P27)))</f>
        <v/>
      </c>
    </row>
    <row r="28">
      <c r="A28" s="14" t="n">
        <v>46267</v>
      </c>
      <c r="B28" s="15" t="inlineStr">
        <is>
          <t>customs</t>
        </is>
      </c>
      <c r="C28" s="15" t="inlineStr">
        <is>
          <t>rio</t>
        </is>
      </c>
      <c r="D28" s="15" t="inlineStr">
        <is>
          <t>RIO DE JANEIRO</t>
        </is>
      </c>
      <c r="E28" s="16" t="n">
        <v>4074</v>
      </c>
      <c r="F28" s="16" t="n">
        <v>0</v>
      </c>
      <c r="G28" s="16" t="n">
        <v>581</v>
      </c>
      <c r="H28" s="16" t="n">
        <v>4655</v>
      </c>
      <c r="I28" s="16" t="n">
        <v>7290</v>
      </c>
      <c r="J28" s="16" t="n">
        <v>0</v>
      </c>
      <c r="K28" s="16" t="n">
        <v>1039</v>
      </c>
      <c r="L28" s="16" t="n">
        <v>8329</v>
      </c>
      <c r="M28" s="16" t="n">
        <v>49755</v>
      </c>
      <c r="N28" s="16" t="n">
        <v>2470</v>
      </c>
      <c r="O28" s="16" t="n">
        <v>2602</v>
      </c>
      <c r="P28" s="16" t="n">
        <v>54827</v>
      </c>
      <c r="Q28" s="15" t="inlineStr">
        <is>
          <t>EXEMPLE (fictif)</t>
        </is>
      </c>
      <c r="R28" s="17">
        <f>IF(Parametres!$B$5="arabica",E28,IF(Parametres!$B$5="conilon",F28,IF(Parametres!$B$5="soluble",G28,H28)))</f>
        <v/>
      </c>
      <c r="S28" s="17">
        <f>IF(Parametres!$B$5="arabica",I28,IF(Parametres!$B$5="conilon",J28,IF(Parametres!$B$5="soluble",K28,L28)))</f>
        <v/>
      </c>
      <c r="T28" s="17">
        <f>IF(Parametres!$B$5="arabica",M28,IF(Parametres!$B$5="conilon",N28,IF(Parametres!$B$5="soluble",O28,P28)))</f>
        <v/>
      </c>
    </row>
    <row r="29">
      <c r="A29" s="14" t="n">
        <v>46267</v>
      </c>
      <c r="B29" s="15" t="inlineStr">
        <is>
          <t>customs</t>
        </is>
      </c>
      <c r="C29" s="15" t="inlineStr">
        <is>
          <t>santos</t>
        </is>
      </c>
      <c r="D29" s="15" t="inlineStr">
        <is>
          <t>SANTOS</t>
        </is>
      </c>
      <c r="E29" s="16" t="n">
        <v>38007</v>
      </c>
      <c r="F29" s="16" t="n">
        <v>1267</v>
      </c>
      <c r="G29" s="16" t="n">
        <v>246</v>
      </c>
      <c r="H29" s="16" t="n">
        <v>39520</v>
      </c>
      <c r="I29" s="16" t="n">
        <v>68013</v>
      </c>
      <c r="J29" s="16" t="n">
        <v>2267</v>
      </c>
      <c r="K29" s="16" t="n">
        <v>440</v>
      </c>
      <c r="L29" s="16" t="n">
        <v>70720</v>
      </c>
      <c r="M29" s="16" t="n">
        <v>131897</v>
      </c>
      <c r="N29" s="16" t="n">
        <v>6914</v>
      </c>
      <c r="O29" s="16" t="n">
        <v>4933</v>
      </c>
      <c r="P29" s="16" t="n">
        <v>143744</v>
      </c>
      <c r="Q29" s="15" t="inlineStr">
        <is>
          <t>EXEMPLE (fictif)</t>
        </is>
      </c>
      <c r="R29" s="17">
        <f>IF(Parametres!$B$5="arabica",E29,IF(Parametres!$B$5="conilon",F29,IF(Parametres!$B$5="soluble",G29,H29)))</f>
        <v/>
      </c>
      <c r="S29" s="17">
        <f>IF(Parametres!$B$5="arabica",I29,IF(Parametres!$B$5="conilon",J29,IF(Parametres!$B$5="soluble",K29,L29)))</f>
        <v/>
      </c>
      <c r="T29" s="17">
        <f>IF(Parametres!$B$5="arabica",M29,IF(Parametres!$B$5="conilon",N29,IF(Parametres!$B$5="soluble",O29,P29)))</f>
        <v/>
      </c>
    </row>
    <row r="30">
      <c r="A30" s="18" t="n">
        <v>46267</v>
      </c>
      <c r="B30" s="19" t="inlineStr">
        <is>
          <t>customs</t>
        </is>
      </c>
      <c r="C30" s="19" t="inlineStr">
        <is>
          <t>total</t>
        </is>
      </c>
      <c r="D30" s="19" t="inlineStr">
        <is>
          <t>TOTAIS</t>
        </is>
      </c>
      <c r="E30" s="20" t="n">
        <v>44372</v>
      </c>
      <c r="F30" s="20" t="n">
        <v>6703</v>
      </c>
      <c r="G30" s="20" t="n">
        <v>1039</v>
      </c>
      <c r="H30" s="20" t="n">
        <v>52114</v>
      </c>
      <c r="I30" s="20" t="n">
        <v>79403</v>
      </c>
      <c r="J30" s="20" t="n">
        <v>11995</v>
      </c>
      <c r="K30" s="20" t="n">
        <v>1858</v>
      </c>
      <c r="L30" s="20" t="n">
        <v>93256</v>
      </c>
      <c r="M30" s="20" t="n">
        <v>196399</v>
      </c>
      <c r="N30" s="20" t="n">
        <v>14301</v>
      </c>
      <c r="O30" s="20" t="n">
        <v>10198</v>
      </c>
      <c r="P30" s="20" t="n">
        <v>220898</v>
      </c>
      <c r="Q30" s="19" t="inlineStr">
        <is>
          <t>EXEMPLE (fictif)</t>
        </is>
      </c>
      <c r="R30" s="21">
        <f>IF(Parametres!$B$5="arabica",E30,IF(Parametres!$B$5="conilon",F30,IF(Parametres!$B$5="soluble",G30,H30)))</f>
        <v/>
      </c>
      <c r="S30" s="21">
        <f>IF(Parametres!$B$5="arabica",I30,IF(Parametres!$B$5="conilon",J30,IF(Parametres!$B$5="soluble",K30,L30)))</f>
        <v/>
      </c>
      <c r="T30" s="21">
        <f>IF(Parametres!$B$5="arabica",M30,IF(Parametres!$B$5="conilon",N30,IF(Parametres!$B$5="soluble",O30,P30)))</f>
        <v/>
      </c>
    </row>
    <row r="31">
      <c r="A31" s="14" t="n">
        <v>46267</v>
      </c>
      <c r="B31" s="15" t="inlineStr">
        <is>
          <t>customs</t>
        </is>
      </c>
      <c r="C31" s="15" t="inlineStr">
        <is>
          <t>vitoria</t>
        </is>
      </c>
      <c r="D31" s="15" t="inlineStr">
        <is>
          <t>VICTORY</t>
        </is>
      </c>
      <c r="E31" s="16" t="n">
        <v>0</v>
      </c>
      <c r="F31" s="16" t="n">
        <v>5097</v>
      </c>
      <c r="G31" s="16" t="n">
        <v>0</v>
      </c>
      <c r="H31" s="16" t="n">
        <v>5097</v>
      </c>
      <c r="I31" s="16" t="n">
        <v>0</v>
      </c>
      <c r="J31" s="16" t="n">
        <v>9121</v>
      </c>
      <c r="K31" s="16" t="n">
        <v>0</v>
      </c>
      <c r="L31" s="16" t="n">
        <v>9121</v>
      </c>
      <c r="M31" s="16" t="n">
        <v>200</v>
      </c>
      <c r="N31" s="16" t="n">
        <v>4375</v>
      </c>
      <c r="O31" s="16" t="n">
        <v>0</v>
      </c>
      <c r="P31" s="16" t="n">
        <v>4575</v>
      </c>
      <c r="Q31" s="15" t="inlineStr">
        <is>
          <t>EXEMPLE (fictif)</t>
        </is>
      </c>
      <c r="R31" s="17">
        <f>IF(Parametres!$B$5="arabica",E31,IF(Parametres!$B$5="conilon",F31,IF(Parametres!$B$5="soluble",G31,H31)))</f>
        <v/>
      </c>
      <c r="S31" s="17">
        <f>IF(Parametres!$B$5="arabica",I31,IF(Parametres!$B$5="conilon",J31,IF(Parametres!$B$5="soluble",K31,L31)))</f>
        <v/>
      </c>
      <c r="T31" s="17">
        <f>IF(Parametres!$B$5="arabica",M31,IF(Parametres!$B$5="conilon",N31,IF(Parametres!$B$5="soluble",O31,P31)))</f>
        <v/>
      </c>
    </row>
    <row r="32">
      <c r="A32" s="14" t="n">
        <v>46267</v>
      </c>
      <c r="B32" s="15" t="inlineStr">
        <is>
          <t>shipment</t>
        </is>
      </c>
      <c r="C32" s="15" t="inlineStr">
        <is>
          <t>others</t>
        </is>
      </c>
      <c r="D32" s="15" t="inlineStr">
        <is>
          <t>OTHERS</t>
        </is>
      </c>
      <c r="E32" s="16" t="n">
        <v>321</v>
      </c>
      <c r="F32" s="16" t="n">
        <v>339</v>
      </c>
      <c r="G32" s="16" t="n">
        <v>212</v>
      </c>
      <c r="H32" s="16" t="n">
        <v>872</v>
      </c>
      <c r="I32" s="16" t="n">
        <v>575</v>
      </c>
      <c r="J32" s="16" t="n">
        <v>607</v>
      </c>
      <c r="K32" s="16" t="n">
        <v>379</v>
      </c>
      <c r="L32" s="16" t="n">
        <v>1561</v>
      </c>
      <c r="M32" s="16" t="n">
        <v>627</v>
      </c>
      <c r="N32" s="16" t="n">
        <v>542</v>
      </c>
      <c r="O32" s="16" t="n">
        <v>2663</v>
      </c>
      <c r="P32" s="16" t="n">
        <v>3832</v>
      </c>
      <c r="Q32" s="15" t="inlineStr">
        <is>
          <t>EXEMPLE (fictif)</t>
        </is>
      </c>
      <c r="R32" s="17">
        <f>IF(Parametres!$B$5="arabica",E32,IF(Parametres!$B$5="conilon",F32,IF(Parametres!$B$5="soluble",G32,H32)))</f>
        <v/>
      </c>
      <c r="S32" s="17">
        <f>IF(Parametres!$B$5="arabica",I32,IF(Parametres!$B$5="conilon",J32,IF(Parametres!$B$5="soluble",K32,L32)))</f>
        <v/>
      </c>
      <c r="T32" s="17">
        <f>IF(Parametres!$B$5="arabica",M32,IF(Parametres!$B$5="conilon",N32,IF(Parametres!$B$5="soluble",O32,P32)))</f>
        <v/>
      </c>
    </row>
    <row r="33">
      <c r="A33" s="14" t="n">
        <v>46267</v>
      </c>
      <c r="B33" s="15" t="inlineStr">
        <is>
          <t>shipment</t>
        </is>
      </c>
      <c r="C33" s="15" t="inlineStr">
        <is>
          <t>rio</t>
        </is>
      </c>
      <c r="D33" s="15" t="inlineStr">
        <is>
          <t>RIO DE JANEIRO</t>
        </is>
      </c>
      <c r="E33" s="16" t="n">
        <v>4074</v>
      </c>
      <c r="F33" s="16" t="n">
        <v>0</v>
      </c>
      <c r="G33" s="16" t="n">
        <v>581</v>
      </c>
      <c r="H33" s="16" t="n">
        <v>4655</v>
      </c>
      <c r="I33" s="16" t="n">
        <v>7290</v>
      </c>
      <c r="J33" s="16" t="n">
        <v>0</v>
      </c>
      <c r="K33" s="16" t="n">
        <v>1039</v>
      </c>
      <c r="L33" s="16" t="n">
        <v>8329</v>
      </c>
      <c r="M33" s="16" t="n">
        <v>49680</v>
      </c>
      <c r="N33" s="16" t="n">
        <v>2887</v>
      </c>
      <c r="O33" s="16" t="n">
        <v>2602</v>
      </c>
      <c r="P33" s="16" t="n">
        <v>55169</v>
      </c>
      <c r="Q33" s="15" t="inlineStr">
        <is>
          <t>EXEMPLE (fictif)</t>
        </is>
      </c>
      <c r="R33" s="17">
        <f>IF(Parametres!$B$5="arabica",E33,IF(Parametres!$B$5="conilon",F33,IF(Parametres!$B$5="soluble",G33,H33)))</f>
        <v/>
      </c>
      <c r="S33" s="17">
        <f>IF(Parametres!$B$5="arabica",I33,IF(Parametres!$B$5="conilon",J33,IF(Parametres!$B$5="soluble",K33,L33)))</f>
        <v/>
      </c>
      <c r="T33" s="17">
        <f>IF(Parametres!$B$5="arabica",M33,IF(Parametres!$B$5="conilon",N33,IF(Parametres!$B$5="soluble",O33,P33)))</f>
        <v/>
      </c>
    </row>
    <row r="34">
      <c r="A34" s="14" t="n">
        <v>46267</v>
      </c>
      <c r="B34" s="15" t="inlineStr">
        <is>
          <t>shipment</t>
        </is>
      </c>
      <c r="C34" s="15" t="inlineStr">
        <is>
          <t>santos</t>
        </is>
      </c>
      <c r="D34" s="15" t="inlineStr">
        <is>
          <t>SANTOS</t>
        </is>
      </c>
      <c r="E34" s="16" t="n">
        <v>39977</v>
      </c>
      <c r="F34" s="16" t="n">
        <v>6364</v>
      </c>
      <c r="G34" s="16" t="n">
        <v>246</v>
      </c>
      <c r="H34" s="16" t="n">
        <v>46587</v>
      </c>
      <c r="I34" s="16" t="n">
        <v>71538</v>
      </c>
      <c r="J34" s="16" t="n">
        <v>11388</v>
      </c>
      <c r="K34" s="16" t="n">
        <v>440</v>
      </c>
      <c r="L34" s="16" t="n">
        <v>83366</v>
      </c>
      <c r="M34" s="16" t="n">
        <v>146093</v>
      </c>
      <c r="N34" s="16" t="n">
        <v>10872</v>
      </c>
      <c r="O34" s="16" t="n">
        <v>4933</v>
      </c>
      <c r="P34" s="16" t="n">
        <v>161898</v>
      </c>
      <c r="Q34" s="15" t="inlineStr">
        <is>
          <t>EXEMPLE (fictif)</t>
        </is>
      </c>
      <c r="R34" s="17">
        <f>IF(Parametres!$B$5="arabica",E34,IF(Parametres!$B$5="conilon",F34,IF(Parametres!$B$5="soluble",G34,H34)))</f>
        <v/>
      </c>
      <c r="S34" s="17">
        <f>IF(Parametres!$B$5="arabica",I34,IF(Parametres!$B$5="conilon",J34,IF(Parametres!$B$5="soluble",K34,L34)))</f>
        <v/>
      </c>
      <c r="T34" s="17">
        <f>IF(Parametres!$B$5="arabica",M34,IF(Parametres!$B$5="conilon",N34,IF(Parametres!$B$5="soluble",O34,P34)))</f>
        <v/>
      </c>
    </row>
    <row r="35">
      <c r="A35" s="18" t="n">
        <v>46267</v>
      </c>
      <c r="B35" s="19" t="inlineStr">
        <is>
          <t>shipment</t>
        </is>
      </c>
      <c r="C35" s="19" t="inlineStr">
        <is>
          <t>total</t>
        </is>
      </c>
      <c r="D35" s="19" t="inlineStr">
        <is>
          <t>TOTAIS</t>
        </is>
      </c>
      <c r="E35" s="20" t="n">
        <v>44372</v>
      </c>
      <c r="F35" s="20" t="n">
        <v>6703</v>
      </c>
      <c r="G35" s="20" t="n">
        <v>1039</v>
      </c>
      <c r="H35" s="20" t="n">
        <v>52114</v>
      </c>
      <c r="I35" s="20" t="n">
        <v>79403</v>
      </c>
      <c r="J35" s="20" t="n">
        <v>11995</v>
      </c>
      <c r="K35" s="20" t="n">
        <v>1858</v>
      </c>
      <c r="L35" s="20" t="n">
        <v>93256</v>
      </c>
      <c r="M35" s="20" t="n">
        <v>196400</v>
      </c>
      <c r="N35" s="20" t="n">
        <v>14301</v>
      </c>
      <c r="O35" s="20" t="n">
        <v>10198</v>
      </c>
      <c r="P35" s="20" t="n">
        <v>220899</v>
      </c>
      <c r="Q35" s="19" t="inlineStr">
        <is>
          <t>EXEMPLE (fictif)</t>
        </is>
      </c>
      <c r="R35" s="21">
        <f>IF(Parametres!$B$5="arabica",E35,IF(Parametres!$B$5="conilon",F35,IF(Parametres!$B$5="soluble",G35,H35)))</f>
        <v/>
      </c>
      <c r="S35" s="21">
        <f>IF(Parametres!$B$5="arabica",I35,IF(Parametres!$B$5="conilon",J35,IF(Parametres!$B$5="soluble",K35,L35)))</f>
        <v/>
      </c>
      <c r="T35" s="21">
        <f>IF(Parametres!$B$5="arabica",M35,IF(Parametres!$B$5="conilon",N35,IF(Parametres!$B$5="soluble",O35,P35)))</f>
        <v/>
      </c>
    </row>
    <row r="36">
      <c r="A36" s="14" t="n">
        <v>46268</v>
      </c>
      <c r="B36" s="15" t="inlineStr">
        <is>
          <t>certificates</t>
        </is>
      </c>
      <c r="C36" s="15" t="inlineStr">
        <is>
          <t>minas</t>
        </is>
      </c>
      <c r="D36" s="15" t="inlineStr">
        <is>
          <t>REDEX and EADI (MINAS GERAIS)</t>
        </is>
      </c>
      <c r="E36" s="16" t="n">
        <v>10325</v>
      </c>
      <c r="F36" s="16" t="n">
        <v>0</v>
      </c>
      <c r="G36" s="16" t="n">
        <v>0</v>
      </c>
      <c r="H36" s="16" t="n">
        <v>10325</v>
      </c>
      <c r="I36" s="16" t="n">
        <v>32266</v>
      </c>
      <c r="J36" s="16" t="n">
        <v>0</v>
      </c>
      <c r="K36" s="16" t="n">
        <v>0</v>
      </c>
      <c r="L36" s="16" t="n">
        <v>32266</v>
      </c>
      <c r="M36" s="16" t="n">
        <v>18975</v>
      </c>
      <c r="N36" s="16" t="n">
        <v>0</v>
      </c>
      <c r="O36" s="16" t="n">
        <v>0</v>
      </c>
      <c r="P36" s="16" t="n">
        <v>18975</v>
      </c>
      <c r="Q36" s="15" t="inlineStr">
        <is>
          <t>EXEMPLE (fictif)</t>
        </is>
      </c>
      <c r="R36" s="17">
        <f>IF(Parametres!$B$5="arabica",E36,IF(Parametres!$B$5="conilon",F36,IF(Parametres!$B$5="soluble",G36,H36)))</f>
        <v/>
      </c>
      <c r="S36" s="17">
        <f>IF(Parametres!$B$5="arabica",I36,IF(Parametres!$B$5="conilon",J36,IF(Parametres!$B$5="soluble",K36,L36)))</f>
        <v/>
      </c>
      <c r="T36" s="17">
        <f>IF(Parametres!$B$5="arabica",M36,IF(Parametres!$B$5="conilon",N36,IF(Parametres!$B$5="soluble",O36,P36)))</f>
        <v/>
      </c>
    </row>
    <row r="37">
      <c r="A37" s="14" t="n">
        <v>46268</v>
      </c>
      <c r="B37" s="15" t="inlineStr">
        <is>
          <t>certificates</t>
        </is>
      </c>
      <c r="C37" s="15" t="inlineStr">
        <is>
          <t>others</t>
        </is>
      </c>
      <c r="D37" s="15" t="inlineStr">
        <is>
          <t>OTHERS</t>
        </is>
      </c>
      <c r="E37" s="16" t="n">
        <v>1022</v>
      </c>
      <c r="F37" s="16" t="n">
        <v>665</v>
      </c>
      <c r="G37" s="16" t="n">
        <v>2913</v>
      </c>
      <c r="H37" s="16" t="n">
        <v>4600</v>
      </c>
      <c r="I37" s="16" t="n">
        <v>3194</v>
      </c>
      <c r="J37" s="16" t="n">
        <v>2078</v>
      </c>
      <c r="K37" s="16" t="n">
        <v>9104</v>
      </c>
      <c r="L37" s="16" t="n">
        <v>14376</v>
      </c>
      <c r="M37" s="16" t="n">
        <v>17839</v>
      </c>
      <c r="N37" s="16" t="n">
        <v>4784</v>
      </c>
      <c r="O37" s="16" t="n">
        <v>10403</v>
      </c>
      <c r="P37" s="16" t="n">
        <v>33026</v>
      </c>
      <c r="Q37" s="15" t="inlineStr">
        <is>
          <t>EXEMPLE (fictif)</t>
        </is>
      </c>
      <c r="R37" s="17">
        <f>IF(Parametres!$B$5="arabica",E37,IF(Parametres!$B$5="conilon",F37,IF(Parametres!$B$5="soluble",G37,H37)))</f>
        <v/>
      </c>
      <c r="S37" s="17">
        <f>IF(Parametres!$B$5="arabica",I37,IF(Parametres!$B$5="conilon",J37,IF(Parametres!$B$5="soluble",K37,L37)))</f>
        <v/>
      </c>
      <c r="T37" s="17">
        <f>IF(Parametres!$B$5="arabica",M37,IF(Parametres!$B$5="conilon",N37,IF(Parametres!$B$5="soluble",O37,P37)))</f>
        <v/>
      </c>
    </row>
    <row r="38">
      <c r="A38" s="14" t="n">
        <v>46268</v>
      </c>
      <c r="B38" s="15" t="inlineStr">
        <is>
          <t>certificates</t>
        </is>
      </c>
      <c r="C38" s="15" t="inlineStr">
        <is>
          <t>rio</t>
        </is>
      </c>
      <c r="D38" s="15" t="inlineStr">
        <is>
          <t>RIO DE JANEIRO</t>
        </is>
      </c>
      <c r="E38" s="16" t="n">
        <v>13620</v>
      </c>
      <c r="F38" s="16" t="n">
        <v>762</v>
      </c>
      <c r="G38" s="16" t="n">
        <v>2495</v>
      </c>
      <c r="H38" s="16" t="n">
        <v>16877</v>
      </c>
      <c r="I38" s="16" t="n">
        <v>42563</v>
      </c>
      <c r="J38" s="16" t="n">
        <v>2382</v>
      </c>
      <c r="K38" s="16" t="n">
        <v>7797</v>
      </c>
      <c r="L38" s="16" t="n">
        <v>52742</v>
      </c>
      <c r="M38" s="16" t="n">
        <v>73466</v>
      </c>
      <c r="N38" s="16" t="n">
        <v>4957</v>
      </c>
      <c r="O38" s="16" t="n">
        <v>3827</v>
      </c>
      <c r="P38" s="16" t="n">
        <v>82250</v>
      </c>
      <c r="Q38" s="15" t="inlineStr">
        <is>
          <t>EXEMPLE (fictif)</t>
        </is>
      </c>
      <c r="R38" s="17">
        <f>IF(Parametres!$B$5="arabica",E38,IF(Parametres!$B$5="conilon",F38,IF(Parametres!$B$5="soluble",G38,H38)))</f>
        <v/>
      </c>
      <c r="S38" s="17">
        <f>IF(Parametres!$B$5="arabica",I38,IF(Parametres!$B$5="conilon",J38,IF(Parametres!$B$5="soluble",K38,L38)))</f>
        <v/>
      </c>
      <c r="T38" s="17">
        <f>IF(Parametres!$B$5="arabica",M38,IF(Parametres!$B$5="conilon",N38,IF(Parametres!$B$5="soluble",O38,P38)))</f>
        <v/>
      </c>
    </row>
    <row r="39">
      <c r="A39" s="14" t="n">
        <v>46268</v>
      </c>
      <c r="B39" s="15" t="inlineStr">
        <is>
          <t>certificates</t>
        </is>
      </c>
      <c r="C39" s="15" t="inlineStr">
        <is>
          <t>salvador</t>
        </is>
      </c>
      <c r="D39" s="15" t="inlineStr">
        <is>
          <t>SALVADOR</t>
        </is>
      </c>
      <c r="E39" s="16" t="n">
        <v>2462</v>
      </c>
      <c r="F39" s="16" t="n">
        <v>0</v>
      </c>
      <c r="G39" s="16" t="n">
        <v>0</v>
      </c>
      <c r="H39" s="16" t="n">
        <v>2462</v>
      </c>
      <c r="I39" s="16" t="n">
        <v>7694</v>
      </c>
      <c r="J39" s="16" t="n">
        <v>0</v>
      </c>
      <c r="K39" s="16" t="n">
        <v>0</v>
      </c>
      <c r="L39" s="16" t="n">
        <v>7694</v>
      </c>
      <c r="M39" s="16" t="n">
        <v>1178</v>
      </c>
      <c r="N39" s="16" t="n">
        <v>907</v>
      </c>
      <c r="O39" s="16" t="n">
        <v>0</v>
      </c>
      <c r="P39" s="16" t="n">
        <v>2085</v>
      </c>
      <c r="Q39" s="15" t="inlineStr">
        <is>
          <t>EXEMPLE (fictif)</t>
        </is>
      </c>
      <c r="R39" s="17">
        <f>IF(Parametres!$B$5="arabica",E39,IF(Parametres!$B$5="conilon",F39,IF(Parametres!$B$5="soluble",G39,H39)))</f>
        <v/>
      </c>
      <c r="S39" s="17">
        <f>IF(Parametres!$B$5="arabica",I39,IF(Parametres!$B$5="conilon",J39,IF(Parametres!$B$5="soluble",K39,L39)))</f>
        <v/>
      </c>
      <c r="T39" s="17">
        <f>IF(Parametres!$B$5="arabica",M39,IF(Parametres!$B$5="conilon",N39,IF(Parametres!$B$5="soluble",O39,P39)))</f>
        <v/>
      </c>
    </row>
    <row r="40">
      <c r="A40" s="14" t="n">
        <v>46268</v>
      </c>
      <c r="B40" s="15" t="inlineStr">
        <is>
          <t>certificates</t>
        </is>
      </c>
      <c r="C40" s="15" t="inlineStr">
        <is>
          <t>santos</t>
        </is>
      </c>
      <c r="D40" s="15" t="inlineStr">
        <is>
          <t>SANTOS</t>
        </is>
      </c>
      <c r="E40" s="16" t="n">
        <v>96308</v>
      </c>
      <c r="F40" s="16" t="n">
        <v>3008</v>
      </c>
      <c r="G40" s="16" t="n">
        <v>7477</v>
      </c>
      <c r="H40" s="16" t="n">
        <v>106793</v>
      </c>
      <c r="I40" s="16" t="n">
        <v>300961</v>
      </c>
      <c r="J40" s="16" t="n">
        <v>9400</v>
      </c>
      <c r="K40" s="16" t="n">
        <v>23366</v>
      </c>
      <c r="L40" s="16" t="n">
        <v>333727</v>
      </c>
      <c r="M40" s="16" t="n">
        <v>217317</v>
      </c>
      <c r="N40" s="16" t="n">
        <v>10168</v>
      </c>
      <c r="O40" s="16" t="n">
        <v>30515</v>
      </c>
      <c r="P40" s="16" t="n">
        <v>258000</v>
      </c>
      <c r="Q40" s="15" t="inlineStr">
        <is>
          <t>EXEMPLE (fictif)</t>
        </is>
      </c>
      <c r="R40" s="17">
        <f>IF(Parametres!$B$5="arabica",E40,IF(Parametres!$B$5="conilon",F40,IF(Parametres!$B$5="soluble",G40,H40)))</f>
        <v/>
      </c>
      <c r="S40" s="17">
        <f>IF(Parametres!$B$5="arabica",I40,IF(Parametres!$B$5="conilon",J40,IF(Parametres!$B$5="soluble",K40,L40)))</f>
        <v/>
      </c>
      <c r="T40" s="17">
        <f>IF(Parametres!$B$5="arabica",M40,IF(Parametres!$B$5="conilon",N40,IF(Parametres!$B$5="soluble",O40,P40)))</f>
        <v/>
      </c>
    </row>
    <row r="41">
      <c r="A41" s="18" t="n">
        <v>46268</v>
      </c>
      <c r="B41" s="19" t="inlineStr">
        <is>
          <t>certificates</t>
        </is>
      </c>
      <c r="C41" s="19" t="inlineStr">
        <is>
          <t>total</t>
        </is>
      </c>
      <c r="D41" s="19" t="inlineStr">
        <is>
          <t>TOTAIS</t>
        </is>
      </c>
      <c r="E41" s="20" t="n">
        <v>126155</v>
      </c>
      <c r="F41" s="20" t="n">
        <v>54588</v>
      </c>
      <c r="G41" s="20" t="n">
        <v>12885</v>
      </c>
      <c r="H41" s="20" t="n">
        <v>193628</v>
      </c>
      <c r="I41" s="20" t="n">
        <v>394233</v>
      </c>
      <c r="J41" s="20" t="n">
        <v>170588</v>
      </c>
      <c r="K41" s="20" t="n">
        <v>40267</v>
      </c>
      <c r="L41" s="20" t="n">
        <v>605088</v>
      </c>
      <c r="M41" s="20" t="n">
        <v>332679</v>
      </c>
      <c r="N41" s="20" t="n">
        <v>31384</v>
      </c>
      <c r="O41" s="20" t="n">
        <v>56513</v>
      </c>
      <c r="P41" s="20" t="n">
        <v>420576</v>
      </c>
      <c r="Q41" s="19" t="inlineStr">
        <is>
          <t>EXEMPLE (fictif)</t>
        </is>
      </c>
      <c r="R41" s="21">
        <f>IF(Parametres!$B$5="arabica",E41,IF(Parametres!$B$5="conilon",F41,IF(Parametres!$B$5="soluble",G41,H41)))</f>
        <v/>
      </c>
      <c r="S41" s="21">
        <f>IF(Parametres!$B$5="arabica",I41,IF(Parametres!$B$5="conilon",J41,IF(Parametres!$B$5="soluble",K41,L41)))</f>
        <v/>
      </c>
      <c r="T41" s="21">
        <f>IF(Parametres!$B$5="arabica",M41,IF(Parametres!$B$5="conilon",N41,IF(Parametres!$B$5="soluble",O41,P41)))</f>
        <v/>
      </c>
    </row>
    <row r="42">
      <c r="A42" s="14" t="n">
        <v>46268</v>
      </c>
      <c r="B42" s="15" t="inlineStr">
        <is>
          <t>certificates</t>
        </is>
      </c>
      <c r="C42" s="15" t="inlineStr">
        <is>
          <t>vitoria</t>
        </is>
      </c>
      <c r="D42" s="15" t="inlineStr">
        <is>
          <t>VICTORY</t>
        </is>
      </c>
      <c r="E42" s="16" t="n">
        <v>2418</v>
      </c>
      <c r="F42" s="16" t="n">
        <v>50153</v>
      </c>
      <c r="G42" s="16" t="n">
        <v>0</v>
      </c>
      <c r="H42" s="16" t="n">
        <v>52571</v>
      </c>
      <c r="I42" s="16" t="n">
        <v>7555</v>
      </c>
      <c r="J42" s="16" t="n">
        <v>156728</v>
      </c>
      <c r="K42" s="16" t="n">
        <v>0</v>
      </c>
      <c r="L42" s="16" t="n">
        <v>164283</v>
      </c>
      <c r="M42" s="16" t="n">
        <v>3904</v>
      </c>
      <c r="N42" s="16" t="n">
        <v>10568</v>
      </c>
      <c r="O42" s="16" t="n">
        <v>11768</v>
      </c>
      <c r="P42" s="16" t="n">
        <v>26240</v>
      </c>
      <c r="Q42" s="15" t="inlineStr">
        <is>
          <t>EXEMPLE (fictif)</t>
        </is>
      </c>
      <c r="R42" s="17">
        <f>IF(Parametres!$B$5="arabica",E42,IF(Parametres!$B$5="conilon",F42,IF(Parametres!$B$5="soluble",G42,H42)))</f>
        <v/>
      </c>
      <c r="S42" s="17">
        <f>IF(Parametres!$B$5="arabica",I42,IF(Parametres!$B$5="conilon",J42,IF(Parametres!$B$5="soluble",K42,L42)))</f>
        <v/>
      </c>
      <c r="T42" s="17">
        <f>IF(Parametres!$B$5="arabica",M42,IF(Parametres!$B$5="conilon",N42,IF(Parametres!$B$5="soluble",O42,P42)))</f>
        <v/>
      </c>
    </row>
    <row r="43">
      <c r="A43" s="14" t="n">
        <v>46268</v>
      </c>
      <c r="B43" s="15" t="inlineStr">
        <is>
          <t>customs</t>
        </is>
      </c>
      <c r="C43" s="15" t="inlineStr">
        <is>
          <t>minas</t>
        </is>
      </c>
      <c r="D43" s="15" t="inlineStr">
        <is>
          <t>REDEX and EADI (MINAS GERAIS)</t>
        </is>
      </c>
      <c r="E43" s="16" t="n">
        <v>1659</v>
      </c>
      <c r="F43" s="16" t="n">
        <v>0</v>
      </c>
      <c r="G43" s="16" t="n">
        <v>0</v>
      </c>
      <c r="H43" s="16" t="n">
        <v>1659</v>
      </c>
      <c r="I43" s="16" t="n">
        <v>5184</v>
      </c>
      <c r="J43" s="16" t="n">
        <v>0</v>
      </c>
      <c r="K43" s="16" t="n">
        <v>0</v>
      </c>
      <c r="L43" s="16" t="n">
        <v>5184</v>
      </c>
      <c r="M43" s="16" t="n">
        <v>13001</v>
      </c>
      <c r="N43" s="16" t="n">
        <v>0</v>
      </c>
      <c r="O43" s="16" t="n">
        <v>0</v>
      </c>
      <c r="P43" s="16" t="n">
        <v>13001</v>
      </c>
      <c r="Q43" s="15" t="inlineStr">
        <is>
          <t>EXEMPLE (fictif)</t>
        </is>
      </c>
      <c r="R43" s="17">
        <f>IF(Parametres!$B$5="arabica",E43,IF(Parametres!$B$5="conilon",F43,IF(Parametres!$B$5="soluble",G43,H43)))</f>
        <v/>
      </c>
      <c r="S43" s="17">
        <f>IF(Parametres!$B$5="arabica",I43,IF(Parametres!$B$5="conilon",J43,IF(Parametres!$B$5="soluble",K43,L43)))</f>
        <v/>
      </c>
      <c r="T43" s="17">
        <f>IF(Parametres!$B$5="arabica",M43,IF(Parametres!$B$5="conilon",N43,IF(Parametres!$B$5="soluble",O43,P43)))</f>
        <v/>
      </c>
    </row>
    <row r="44">
      <c r="A44" s="14" t="n">
        <v>46268</v>
      </c>
      <c r="B44" s="15" t="inlineStr">
        <is>
          <t>customs</t>
        </is>
      </c>
      <c r="C44" s="15" t="inlineStr">
        <is>
          <t>others</t>
        </is>
      </c>
      <c r="D44" s="15" t="inlineStr">
        <is>
          <t>OTHERS</t>
        </is>
      </c>
      <c r="E44" s="16" t="n">
        <v>271</v>
      </c>
      <c r="F44" s="16" t="n">
        <v>285</v>
      </c>
      <c r="G44" s="16" t="n">
        <v>179</v>
      </c>
      <c r="H44" s="16" t="n">
        <v>735</v>
      </c>
      <c r="I44" s="16" t="n">
        <v>846</v>
      </c>
      <c r="J44" s="16" t="n">
        <v>892</v>
      </c>
      <c r="K44" s="16" t="n">
        <v>558</v>
      </c>
      <c r="L44" s="16" t="n">
        <v>2296</v>
      </c>
      <c r="M44" s="16" t="n">
        <v>8393</v>
      </c>
      <c r="N44" s="16" t="n">
        <v>797</v>
      </c>
      <c r="O44" s="16" t="n">
        <v>3916</v>
      </c>
      <c r="P44" s="16" t="n">
        <v>13106</v>
      </c>
      <c r="Q44" s="15" t="inlineStr">
        <is>
          <t>EXEMPLE (fictif)</t>
        </is>
      </c>
      <c r="R44" s="17">
        <f>IF(Parametres!$B$5="arabica",E44,IF(Parametres!$B$5="conilon",F44,IF(Parametres!$B$5="soluble",G44,H44)))</f>
        <v/>
      </c>
      <c r="S44" s="17">
        <f>IF(Parametres!$B$5="arabica",I44,IF(Parametres!$B$5="conilon",J44,IF(Parametres!$B$5="soluble",K44,L44)))</f>
        <v/>
      </c>
      <c r="T44" s="17">
        <f>IF(Parametres!$B$5="arabica",M44,IF(Parametres!$B$5="conilon",N44,IF(Parametres!$B$5="soluble",O44,P44)))</f>
        <v/>
      </c>
    </row>
    <row r="45">
      <c r="A45" s="14" t="n">
        <v>46268</v>
      </c>
      <c r="B45" s="15" t="inlineStr">
        <is>
          <t>customs</t>
        </is>
      </c>
      <c r="C45" s="15" t="inlineStr">
        <is>
          <t>rio</t>
        </is>
      </c>
      <c r="D45" s="15" t="inlineStr">
        <is>
          <t>RIO DE JANEIRO</t>
        </is>
      </c>
      <c r="E45" s="16" t="n">
        <v>3430</v>
      </c>
      <c r="F45" s="16" t="n">
        <v>0</v>
      </c>
      <c r="G45" s="16" t="n">
        <v>489</v>
      </c>
      <c r="H45" s="16" t="n">
        <v>3919</v>
      </c>
      <c r="I45" s="16" t="n">
        <v>10720</v>
      </c>
      <c r="J45" s="16" t="n">
        <v>0</v>
      </c>
      <c r="K45" s="16" t="n">
        <v>1528</v>
      </c>
      <c r="L45" s="16" t="n">
        <v>12248</v>
      </c>
      <c r="M45" s="16" t="n">
        <v>73169</v>
      </c>
      <c r="N45" s="16" t="n">
        <v>3632</v>
      </c>
      <c r="O45" s="16" t="n">
        <v>3827</v>
      </c>
      <c r="P45" s="16" t="n">
        <v>80628</v>
      </c>
      <c r="Q45" s="15" t="inlineStr">
        <is>
          <t>EXEMPLE (fictif)</t>
        </is>
      </c>
      <c r="R45" s="17">
        <f>IF(Parametres!$B$5="arabica",E45,IF(Parametres!$B$5="conilon",F45,IF(Parametres!$B$5="soluble",G45,H45)))</f>
        <v/>
      </c>
      <c r="S45" s="17">
        <f>IF(Parametres!$B$5="arabica",I45,IF(Parametres!$B$5="conilon",J45,IF(Parametres!$B$5="soluble",K45,L45)))</f>
        <v/>
      </c>
      <c r="T45" s="17">
        <f>IF(Parametres!$B$5="arabica",M45,IF(Parametres!$B$5="conilon",N45,IF(Parametres!$B$5="soluble",O45,P45)))</f>
        <v/>
      </c>
    </row>
    <row r="46">
      <c r="A46" s="14" t="n">
        <v>46268</v>
      </c>
      <c r="B46" s="15" t="inlineStr">
        <is>
          <t>customs</t>
        </is>
      </c>
      <c r="C46" s="15" t="inlineStr">
        <is>
          <t>santos</t>
        </is>
      </c>
      <c r="D46" s="15" t="inlineStr">
        <is>
          <t>SANTOS</t>
        </is>
      </c>
      <c r="E46" s="16" t="n">
        <v>32006</v>
      </c>
      <c r="F46" s="16" t="n">
        <v>1067</v>
      </c>
      <c r="G46" s="16" t="n">
        <v>207</v>
      </c>
      <c r="H46" s="16" t="n">
        <v>33280</v>
      </c>
      <c r="I46" s="16" t="n">
        <v>100019</v>
      </c>
      <c r="J46" s="16" t="n">
        <v>3334</v>
      </c>
      <c r="K46" s="16" t="n">
        <v>647</v>
      </c>
      <c r="L46" s="16" t="n">
        <v>104000</v>
      </c>
      <c r="M46" s="16" t="n">
        <v>193966</v>
      </c>
      <c r="N46" s="16" t="n">
        <v>10168</v>
      </c>
      <c r="O46" s="16" t="n">
        <v>7255</v>
      </c>
      <c r="P46" s="16" t="n">
        <v>211389</v>
      </c>
      <c r="Q46" s="15" t="inlineStr">
        <is>
          <t>EXEMPLE (fictif)</t>
        </is>
      </c>
      <c r="R46" s="17">
        <f>IF(Parametres!$B$5="arabica",E46,IF(Parametres!$B$5="conilon",F46,IF(Parametres!$B$5="soluble",G46,H46)))</f>
        <v/>
      </c>
      <c r="S46" s="17">
        <f>IF(Parametres!$B$5="arabica",I46,IF(Parametres!$B$5="conilon",J46,IF(Parametres!$B$5="soluble",K46,L46)))</f>
        <v/>
      </c>
      <c r="T46" s="17">
        <f>IF(Parametres!$B$5="arabica",M46,IF(Parametres!$B$5="conilon",N46,IF(Parametres!$B$5="soluble",O46,P46)))</f>
        <v/>
      </c>
    </row>
    <row r="47">
      <c r="A47" s="18" t="n">
        <v>46268</v>
      </c>
      <c r="B47" s="19" t="inlineStr">
        <is>
          <t>customs</t>
        </is>
      </c>
      <c r="C47" s="19" t="inlineStr">
        <is>
          <t>total</t>
        </is>
      </c>
      <c r="D47" s="19" t="inlineStr">
        <is>
          <t>TOTAIS</t>
        </is>
      </c>
      <c r="E47" s="20" t="n">
        <v>37366</v>
      </c>
      <c r="F47" s="20" t="n">
        <v>5644</v>
      </c>
      <c r="G47" s="20" t="n">
        <v>875</v>
      </c>
      <c r="H47" s="20" t="n">
        <v>43885</v>
      </c>
      <c r="I47" s="20" t="n">
        <v>116769</v>
      </c>
      <c r="J47" s="20" t="n">
        <v>17639</v>
      </c>
      <c r="K47" s="20" t="n">
        <v>2733</v>
      </c>
      <c r="L47" s="20" t="n">
        <v>137141</v>
      </c>
      <c r="M47" s="20" t="n">
        <v>288823</v>
      </c>
      <c r="N47" s="20" t="n">
        <v>21031</v>
      </c>
      <c r="O47" s="20" t="n">
        <v>14998</v>
      </c>
      <c r="P47" s="20" t="n">
        <v>324852</v>
      </c>
      <c r="Q47" s="19" t="inlineStr">
        <is>
          <t>EXEMPLE (fictif)</t>
        </is>
      </c>
      <c r="R47" s="21">
        <f>IF(Parametres!$B$5="arabica",E47,IF(Parametres!$B$5="conilon",F47,IF(Parametres!$B$5="soluble",G47,H47)))</f>
        <v/>
      </c>
      <c r="S47" s="21">
        <f>IF(Parametres!$B$5="arabica",I47,IF(Parametres!$B$5="conilon",J47,IF(Parametres!$B$5="soluble",K47,L47)))</f>
        <v/>
      </c>
      <c r="T47" s="21">
        <f>IF(Parametres!$B$5="arabica",M47,IF(Parametres!$B$5="conilon",N47,IF(Parametres!$B$5="soluble",O47,P47)))</f>
        <v/>
      </c>
    </row>
    <row r="48">
      <c r="A48" s="14" t="n">
        <v>46268</v>
      </c>
      <c r="B48" s="15" t="inlineStr">
        <is>
          <t>customs</t>
        </is>
      </c>
      <c r="C48" s="15" t="inlineStr">
        <is>
          <t>vitoria</t>
        </is>
      </c>
      <c r="D48" s="15" t="inlineStr">
        <is>
          <t>VICTORY</t>
        </is>
      </c>
      <c r="E48" s="16" t="n">
        <v>0</v>
      </c>
      <c r="F48" s="16" t="n">
        <v>4292</v>
      </c>
      <c r="G48" s="16" t="n">
        <v>0</v>
      </c>
      <c r="H48" s="16" t="n">
        <v>4292</v>
      </c>
      <c r="I48" s="16" t="n">
        <v>0</v>
      </c>
      <c r="J48" s="16" t="n">
        <v>13413</v>
      </c>
      <c r="K48" s="16" t="n">
        <v>0</v>
      </c>
      <c r="L48" s="16" t="n">
        <v>13413</v>
      </c>
      <c r="M48" s="16" t="n">
        <v>294</v>
      </c>
      <c r="N48" s="16" t="n">
        <v>6434</v>
      </c>
      <c r="O48" s="16" t="n">
        <v>0</v>
      </c>
      <c r="P48" s="16" t="n">
        <v>6728</v>
      </c>
      <c r="Q48" s="15" t="inlineStr">
        <is>
          <t>EXEMPLE (fictif)</t>
        </is>
      </c>
      <c r="R48" s="17">
        <f>IF(Parametres!$B$5="arabica",E48,IF(Parametres!$B$5="conilon",F48,IF(Parametres!$B$5="soluble",G48,H48)))</f>
        <v/>
      </c>
      <c r="S48" s="17">
        <f>IF(Parametres!$B$5="arabica",I48,IF(Parametres!$B$5="conilon",J48,IF(Parametres!$B$5="soluble",K48,L48)))</f>
        <v/>
      </c>
      <c r="T48" s="17">
        <f>IF(Parametres!$B$5="arabica",M48,IF(Parametres!$B$5="conilon",N48,IF(Parametres!$B$5="soluble",O48,P48)))</f>
        <v/>
      </c>
    </row>
    <row r="49">
      <c r="A49" s="14" t="n">
        <v>46268</v>
      </c>
      <c r="B49" s="15" t="inlineStr">
        <is>
          <t>shipment</t>
        </is>
      </c>
      <c r="C49" s="15" t="inlineStr">
        <is>
          <t>others</t>
        </is>
      </c>
      <c r="D49" s="15" t="inlineStr">
        <is>
          <t>OTHERS</t>
        </is>
      </c>
      <c r="E49" s="16" t="n">
        <v>271</v>
      </c>
      <c r="F49" s="16" t="n">
        <v>285</v>
      </c>
      <c r="G49" s="16" t="n">
        <v>179</v>
      </c>
      <c r="H49" s="16" t="n">
        <v>735</v>
      </c>
      <c r="I49" s="16" t="n">
        <v>846</v>
      </c>
      <c r="J49" s="16" t="n">
        <v>892</v>
      </c>
      <c r="K49" s="16" t="n">
        <v>558</v>
      </c>
      <c r="L49" s="16" t="n">
        <v>2296</v>
      </c>
      <c r="M49" s="16" t="n">
        <v>923</v>
      </c>
      <c r="N49" s="16" t="n">
        <v>797</v>
      </c>
      <c r="O49" s="16" t="n">
        <v>3916</v>
      </c>
      <c r="P49" s="16" t="n">
        <v>5636</v>
      </c>
      <c r="Q49" s="15" t="inlineStr">
        <is>
          <t>EXEMPLE (fictif)</t>
        </is>
      </c>
      <c r="R49" s="17">
        <f>IF(Parametres!$B$5="arabica",E49,IF(Parametres!$B$5="conilon",F49,IF(Parametres!$B$5="soluble",G49,H49)))</f>
        <v/>
      </c>
      <c r="S49" s="17">
        <f>IF(Parametres!$B$5="arabica",I49,IF(Parametres!$B$5="conilon",J49,IF(Parametres!$B$5="soluble",K49,L49)))</f>
        <v/>
      </c>
      <c r="T49" s="17">
        <f>IF(Parametres!$B$5="arabica",M49,IF(Parametres!$B$5="conilon",N49,IF(Parametres!$B$5="soluble",O49,P49)))</f>
        <v/>
      </c>
    </row>
    <row r="50">
      <c r="A50" s="14" t="n">
        <v>46268</v>
      </c>
      <c r="B50" s="15" t="inlineStr">
        <is>
          <t>shipment</t>
        </is>
      </c>
      <c r="C50" s="15" t="inlineStr">
        <is>
          <t>rio</t>
        </is>
      </c>
      <c r="D50" s="15" t="inlineStr">
        <is>
          <t>RIO DE JANEIRO</t>
        </is>
      </c>
      <c r="E50" s="16" t="n">
        <v>3430</v>
      </c>
      <c r="F50" s="16" t="n">
        <v>0</v>
      </c>
      <c r="G50" s="16" t="n">
        <v>489</v>
      </c>
      <c r="H50" s="16" t="n">
        <v>3919</v>
      </c>
      <c r="I50" s="16" t="n">
        <v>10720</v>
      </c>
      <c r="J50" s="16" t="n">
        <v>0</v>
      </c>
      <c r="K50" s="16" t="n">
        <v>1528</v>
      </c>
      <c r="L50" s="16" t="n">
        <v>12248</v>
      </c>
      <c r="M50" s="16" t="n">
        <v>73059</v>
      </c>
      <c r="N50" s="16" t="n">
        <v>4246</v>
      </c>
      <c r="O50" s="16" t="n">
        <v>3827</v>
      </c>
      <c r="P50" s="16" t="n">
        <v>81132</v>
      </c>
      <c r="Q50" s="15" t="inlineStr">
        <is>
          <t>EXEMPLE (fictif)</t>
        </is>
      </c>
      <c r="R50" s="17">
        <f>IF(Parametres!$B$5="arabica",E50,IF(Parametres!$B$5="conilon",F50,IF(Parametres!$B$5="soluble",G50,H50)))</f>
        <v/>
      </c>
      <c r="S50" s="17">
        <f>IF(Parametres!$B$5="arabica",I50,IF(Parametres!$B$5="conilon",J50,IF(Parametres!$B$5="soluble",K50,L50)))</f>
        <v/>
      </c>
      <c r="T50" s="17">
        <f>IF(Parametres!$B$5="arabica",M50,IF(Parametres!$B$5="conilon",N50,IF(Parametres!$B$5="soluble",O50,P50)))</f>
        <v/>
      </c>
    </row>
    <row r="51">
      <c r="A51" s="14" t="n">
        <v>46268</v>
      </c>
      <c r="B51" s="15" t="inlineStr">
        <is>
          <t>shipment</t>
        </is>
      </c>
      <c r="C51" s="15" t="inlineStr">
        <is>
          <t>santos</t>
        </is>
      </c>
      <c r="D51" s="15" t="inlineStr">
        <is>
          <t>SANTOS</t>
        </is>
      </c>
      <c r="E51" s="16" t="n">
        <v>33665</v>
      </c>
      <c r="F51" s="16" t="n">
        <v>5359</v>
      </c>
      <c r="G51" s="16" t="n">
        <v>207</v>
      </c>
      <c r="H51" s="16" t="n">
        <v>39231</v>
      </c>
      <c r="I51" s="16" t="n">
        <v>105203</v>
      </c>
      <c r="J51" s="16" t="n">
        <v>16747</v>
      </c>
      <c r="K51" s="16" t="n">
        <v>647</v>
      </c>
      <c r="L51" s="16" t="n">
        <v>122597</v>
      </c>
      <c r="M51" s="16" t="n">
        <v>214842</v>
      </c>
      <c r="N51" s="16" t="n">
        <v>15989</v>
      </c>
      <c r="O51" s="16" t="n">
        <v>7255</v>
      </c>
      <c r="P51" s="16" t="n">
        <v>238086</v>
      </c>
      <c r="Q51" s="15" t="inlineStr">
        <is>
          <t>EXEMPLE (fictif)</t>
        </is>
      </c>
      <c r="R51" s="17">
        <f>IF(Parametres!$B$5="arabica",E51,IF(Parametres!$B$5="conilon",F51,IF(Parametres!$B$5="soluble",G51,H51)))</f>
        <v/>
      </c>
      <c r="S51" s="17">
        <f>IF(Parametres!$B$5="arabica",I51,IF(Parametres!$B$5="conilon",J51,IF(Parametres!$B$5="soluble",K51,L51)))</f>
        <v/>
      </c>
      <c r="T51" s="17">
        <f>IF(Parametres!$B$5="arabica",M51,IF(Parametres!$B$5="conilon",N51,IF(Parametres!$B$5="soluble",O51,P51)))</f>
        <v/>
      </c>
    </row>
    <row r="52">
      <c r="A52" s="18" t="n">
        <v>46268</v>
      </c>
      <c r="B52" s="19" t="inlineStr">
        <is>
          <t>shipment</t>
        </is>
      </c>
      <c r="C52" s="19" t="inlineStr">
        <is>
          <t>total</t>
        </is>
      </c>
      <c r="D52" s="19" t="inlineStr">
        <is>
          <t>TOTAIS</t>
        </is>
      </c>
      <c r="E52" s="20" t="n">
        <v>37366</v>
      </c>
      <c r="F52" s="20" t="n">
        <v>5644</v>
      </c>
      <c r="G52" s="20" t="n">
        <v>875</v>
      </c>
      <c r="H52" s="20" t="n">
        <v>43885</v>
      </c>
      <c r="I52" s="20" t="n">
        <v>116769</v>
      </c>
      <c r="J52" s="20" t="n">
        <v>17639</v>
      </c>
      <c r="K52" s="20" t="n">
        <v>2733</v>
      </c>
      <c r="L52" s="20" t="n">
        <v>137141</v>
      </c>
      <c r="M52" s="20" t="n">
        <v>288824</v>
      </c>
      <c r="N52" s="20" t="n">
        <v>21032</v>
      </c>
      <c r="O52" s="20" t="n">
        <v>14998</v>
      </c>
      <c r="P52" s="20" t="n">
        <v>324854</v>
      </c>
      <c r="Q52" s="19" t="inlineStr">
        <is>
          <t>EXEMPLE (fictif)</t>
        </is>
      </c>
      <c r="R52" s="21">
        <f>IF(Parametres!$B$5="arabica",E52,IF(Parametres!$B$5="conilon",F52,IF(Parametres!$B$5="soluble",G52,H52)))</f>
        <v/>
      </c>
      <c r="S52" s="21">
        <f>IF(Parametres!$B$5="arabica",I52,IF(Parametres!$B$5="conilon",J52,IF(Parametres!$B$5="soluble",K52,L52)))</f>
        <v/>
      </c>
      <c r="T52" s="21">
        <f>IF(Parametres!$B$5="arabica",M52,IF(Parametres!$B$5="conilon",N52,IF(Parametres!$B$5="soluble",O52,P52)))</f>
        <v/>
      </c>
    </row>
    <row r="53">
      <c r="A53" s="14" t="n">
        <v>46269</v>
      </c>
      <c r="B53" s="15" t="inlineStr">
        <is>
          <t>certificates</t>
        </is>
      </c>
      <c r="C53" s="15" t="inlineStr">
        <is>
          <t>minas</t>
        </is>
      </c>
      <c r="D53" s="15" t="inlineStr">
        <is>
          <t>REDEX and EADI (MINAS GERAIS)</t>
        </is>
      </c>
      <c r="E53" s="16" t="n">
        <v>966</v>
      </c>
      <c r="F53" s="16" t="n">
        <v>0</v>
      </c>
      <c r="G53" s="16" t="n">
        <v>0</v>
      </c>
      <c r="H53" s="16" t="n">
        <v>966</v>
      </c>
      <c r="I53" s="16" t="n">
        <v>33232</v>
      </c>
      <c r="J53" s="16" t="n">
        <v>0</v>
      </c>
      <c r="K53" s="16" t="n">
        <v>0</v>
      </c>
      <c r="L53" s="16" t="n">
        <v>33232</v>
      </c>
      <c r="M53" s="16" t="n">
        <v>20625</v>
      </c>
      <c r="N53" s="16" t="n">
        <v>0</v>
      </c>
      <c r="O53" s="16" t="n">
        <v>0</v>
      </c>
      <c r="P53" s="16" t="n">
        <v>20625</v>
      </c>
      <c r="Q53" s="15" t="inlineStr">
        <is>
          <t>Cecafé Resumo Diário (capture)</t>
        </is>
      </c>
      <c r="R53" s="17">
        <f>IF(Parametres!$B$5="arabica",E53,IF(Parametres!$B$5="conilon",F53,IF(Parametres!$B$5="soluble",G53,H53)))</f>
        <v/>
      </c>
      <c r="S53" s="17">
        <f>IF(Parametres!$B$5="arabica",I53,IF(Parametres!$B$5="conilon",J53,IF(Parametres!$B$5="soluble",K53,L53)))</f>
        <v/>
      </c>
      <c r="T53" s="17">
        <f>IF(Parametres!$B$5="arabica",M53,IF(Parametres!$B$5="conilon",N53,IF(Parametres!$B$5="soluble",O53,P53)))</f>
        <v/>
      </c>
    </row>
    <row r="54">
      <c r="A54" s="14" t="n">
        <v>46269</v>
      </c>
      <c r="B54" s="15" t="inlineStr">
        <is>
          <t>certificates</t>
        </is>
      </c>
      <c r="C54" s="15" t="inlineStr">
        <is>
          <t>others</t>
        </is>
      </c>
      <c r="D54" s="15" t="inlineStr">
        <is>
          <t>OTHERS</t>
        </is>
      </c>
      <c r="E54" s="16" t="n">
        <v>4066</v>
      </c>
      <c r="F54" s="16" t="n">
        <v>0</v>
      </c>
      <c r="G54" s="16" t="n">
        <v>35</v>
      </c>
      <c r="H54" s="16" t="n">
        <v>4101</v>
      </c>
      <c r="I54" s="16" t="n">
        <v>7260</v>
      </c>
      <c r="J54" s="16" t="n">
        <v>2078</v>
      </c>
      <c r="K54" s="16" t="n">
        <v>9139</v>
      </c>
      <c r="L54" s="16" t="n">
        <v>18477</v>
      </c>
      <c r="M54" s="16" t="n">
        <v>19390</v>
      </c>
      <c r="N54" s="16" t="n">
        <v>5200</v>
      </c>
      <c r="O54" s="16" t="n">
        <v>11308</v>
      </c>
      <c r="P54" s="16" t="n">
        <v>35898</v>
      </c>
      <c r="Q54" s="15" t="inlineStr">
        <is>
          <t>Cecafé Resumo Diário (capture)</t>
        </is>
      </c>
      <c r="R54" s="17">
        <f>IF(Parametres!$B$5="arabica",E54,IF(Parametres!$B$5="conilon",F54,IF(Parametres!$B$5="soluble",G54,H54)))</f>
        <v/>
      </c>
      <c r="S54" s="17">
        <f>IF(Parametres!$B$5="arabica",I54,IF(Parametres!$B$5="conilon",J54,IF(Parametres!$B$5="soluble",K54,L54)))</f>
        <v/>
      </c>
      <c r="T54" s="17">
        <f>IF(Parametres!$B$5="arabica",M54,IF(Parametres!$B$5="conilon",N54,IF(Parametres!$B$5="soluble",O54,P54)))</f>
        <v/>
      </c>
    </row>
    <row r="55">
      <c r="A55" s="14" t="n">
        <v>46269</v>
      </c>
      <c r="B55" s="15" t="inlineStr">
        <is>
          <t>certificates</t>
        </is>
      </c>
      <c r="C55" s="15" t="inlineStr">
        <is>
          <t>rio</t>
        </is>
      </c>
      <c r="D55" s="15" t="inlineStr">
        <is>
          <t>RIO DE JANEIRO</t>
        </is>
      </c>
      <c r="E55" s="16" t="n">
        <v>4187</v>
      </c>
      <c r="F55" s="16" t="n">
        <v>1734</v>
      </c>
      <c r="G55" s="16" t="n">
        <v>0</v>
      </c>
      <c r="H55" s="16" t="n">
        <v>5921</v>
      </c>
      <c r="I55" s="16" t="n">
        <v>46750</v>
      </c>
      <c r="J55" s="16" t="n">
        <v>4116</v>
      </c>
      <c r="K55" s="16" t="n">
        <v>7798</v>
      </c>
      <c r="L55" s="16" t="n">
        <v>58664</v>
      </c>
      <c r="M55" s="16" t="n">
        <v>79854</v>
      </c>
      <c r="N55" s="16" t="n">
        <v>5388</v>
      </c>
      <c r="O55" s="16" t="n">
        <v>4160</v>
      </c>
      <c r="P55" s="16" t="n">
        <v>89402</v>
      </c>
      <c r="Q55" s="15" t="inlineStr">
        <is>
          <t>Cecafé Resumo Diário (capture)</t>
        </is>
      </c>
      <c r="R55" s="17">
        <f>IF(Parametres!$B$5="arabica",E55,IF(Parametres!$B$5="conilon",F55,IF(Parametres!$B$5="soluble",G55,H55)))</f>
        <v/>
      </c>
      <c r="S55" s="17">
        <f>IF(Parametres!$B$5="arabica",I55,IF(Parametres!$B$5="conilon",J55,IF(Parametres!$B$5="soluble",K55,L55)))</f>
        <v/>
      </c>
      <c r="T55" s="17">
        <f>IF(Parametres!$B$5="arabica",M55,IF(Parametres!$B$5="conilon",N55,IF(Parametres!$B$5="soluble",O55,P55)))</f>
        <v/>
      </c>
    </row>
    <row r="56">
      <c r="A56" s="14" t="n">
        <v>46269</v>
      </c>
      <c r="B56" s="15" t="inlineStr">
        <is>
          <t>certificates</t>
        </is>
      </c>
      <c r="C56" s="15" t="inlineStr">
        <is>
          <t>salvador</t>
        </is>
      </c>
      <c r="D56" s="15" t="inlineStr">
        <is>
          <t>SALVADOR</t>
        </is>
      </c>
      <c r="E56" s="16" t="n">
        <v>0</v>
      </c>
      <c r="F56" s="16" t="n">
        <v>0</v>
      </c>
      <c r="G56" s="16" t="n">
        <v>0</v>
      </c>
      <c r="H56" s="16" t="n">
        <v>0</v>
      </c>
      <c r="I56" s="16" t="n">
        <v>7694</v>
      </c>
      <c r="J56" s="16" t="n">
        <v>0</v>
      </c>
      <c r="K56" s="16" t="n">
        <v>0</v>
      </c>
      <c r="L56" s="16" t="n">
        <v>7694</v>
      </c>
      <c r="M56" s="16" t="n">
        <v>1280</v>
      </c>
      <c r="N56" s="16" t="n">
        <v>986</v>
      </c>
      <c r="O56" s="16" t="n">
        <v>0</v>
      </c>
      <c r="P56" s="16" t="n">
        <v>2266</v>
      </c>
      <c r="Q56" s="15" t="inlineStr">
        <is>
          <t>Cecafé Resumo Diário (capture)</t>
        </is>
      </c>
      <c r="R56" s="17">
        <f>IF(Parametres!$B$5="arabica",E56,IF(Parametres!$B$5="conilon",F56,IF(Parametres!$B$5="soluble",G56,H56)))</f>
        <v/>
      </c>
      <c r="S56" s="17">
        <f>IF(Parametres!$B$5="arabica",I56,IF(Parametres!$B$5="conilon",J56,IF(Parametres!$B$5="soluble",K56,L56)))</f>
        <v/>
      </c>
      <c r="T56" s="17">
        <f>IF(Parametres!$B$5="arabica",M56,IF(Parametres!$B$5="conilon",N56,IF(Parametres!$B$5="soluble",O56,P56)))</f>
        <v/>
      </c>
    </row>
    <row r="57">
      <c r="A57" s="14" t="n">
        <v>46269</v>
      </c>
      <c r="B57" s="15" t="inlineStr">
        <is>
          <t>certificates</t>
        </is>
      </c>
      <c r="C57" s="15" t="inlineStr">
        <is>
          <t>santos</t>
        </is>
      </c>
      <c r="D57" s="15" t="inlineStr">
        <is>
          <t>SANTOS</t>
        </is>
      </c>
      <c r="E57" s="16" t="n">
        <v>54939</v>
      </c>
      <c r="F57" s="16" t="n">
        <v>16666</v>
      </c>
      <c r="G57" s="16" t="n">
        <v>40</v>
      </c>
      <c r="H57" s="16" t="n">
        <v>71645</v>
      </c>
      <c r="I57" s="16" t="n">
        <v>355900</v>
      </c>
      <c r="J57" s="16" t="n">
        <v>26066</v>
      </c>
      <c r="K57" s="16" t="n">
        <v>23406</v>
      </c>
      <c r="L57" s="16" t="n">
        <v>405372</v>
      </c>
      <c r="M57" s="16" t="n">
        <v>236214</v>
      </c>
      <c r="N57" s="16" t="n">
        <v>11052</v>
      </c>
      <c r="O57" s="16" t="n">
        <v>33169</v>
      </c>
      <c r="P57" s="16" t="n">
        <v>280435</v>
      </c>
      <c r="Q57" s="15" t="inlineStr">
        <is>
          <t>Cecafé Resumo Diário (capture)</t>
        </is>
      </c>
      <c r="R57" s="17">
        <f>IF(Parametres!$B$5="arabica",E57,IF(Parametres!$B$5="conilon",F57,IF(Parametres!$B$5="soluble",G57,H57)))</f>
        <v/>
      </c>
      <c r="S57" s="17">
        <f>IF(Parametres!$B$5="arabica",I57,IF(Parametres!$B$5="conilon",J57,IF(Parametres!$B$5="soluble",K57,L57)))</f>
        <v/>
      </c>
      <c r="T57" s="17">
        <f>IF(Parametres!$B$5="arabica",M57,IF(Parametres!$B$5="conilon",N57,IF(Parametres!$B$5="soluble",O57,P57)))</f>
        <v/>
      </c>
    </row>
    <row r="58">
      <c r="A58" s="18" t="n">
        <v>46269</v>
      </c>
      <c r="B58" s="19" t="inlineStr">
        <is>
          <t>certificates</t>
        </is>
      </c>
      <c r="C58" s="19" t="inlineStr">
        <is>
          <t>total</t>
        </is>
      </c>
      <c r="D58" s="19" t="inlineStr">
        <is>
          <t>TOTALS</t>
        </is>
      </c>
      <c r="E58" s="20" t="n">
        <v>65103</v>
      </c>
      <c r="F58" s="20" t="n">
        <v>29353</v>
      </c>
      <c r="G58" s="20" t="n">
        <v>75</v>
      </c>
      <c r="H58" s="20" t="n">
        <v>94531</v>
      </c>
      <c r="I58" s="20" t="n">
        <v>459336</v>
      </c>
      <c r="J58" s="20" t="n">
        <v>199941</v>
      </c>
      <c r="K58" s="20" t="n">
        <v>40343</v>
      </c>
      <c r="L58" s="20" t="n">
        <v>699620</v>
      </c>
      <c r="M58" s="20" t="n">
        <v>361607</v>
      </c>
      <c r="N58" s="20" t="n">
        <v>34113</v>
      </c>
      <c r="O58" s="20" t="n">
        <v>61428</v>
      </c>
      <c r="P58" s="20" t="n">
        <v>457148</v>
      </c>
      <c r="Q58" s="19" t="inlineStr">
        <is>
          <t>Cecafé Resumo Diário (capture)</t>
        </is>
      </c>
      <c r="R58" s="21">
        <f>IF(Parametres!$B$5="arabica",E58,IF(Parametres!$B$5="conilon",F58,IF(Parametres!$B$5="soluble",G58,H58)))</f>
        <v/>
      </c>
      <c r="S58" s="21">
        <f>IF(Parametres!$B$5="arabica",I58,IF(Parametres!$B$5="conilon",J58,IF(Parametres!$B$5="soluble",K58,L58)))</f>
        <v/>
      </c>
      <c r="T58" s="21">
        <f>IF(Parametres!$B$5="arabica",M58,IF(Parametres!$B$5="conilon",N58,IF(Parametres!$B$5="soluble",O58,P58)))</f>
        <v/>
      </c>
    </row>
    <row r="59">
      <c r="A59" s="14" t="n">
        <v>46269</v>
      </c>
      <c r="B59" s="15" t="inlineStr">
        <is>
          <t>certificates</t>
        </is>
      </c>
      <c r="C59" s="15" t="inlineStr">
        <is>
          <t>vitoria</t>
        </is>
      </c>
      <c r="D59" s="15" t="inlineStr">
        <is>
          <t>VICTORY</t>
        </is>
      </c>
      <c r="E59" s="16" t="n">
        <v>945</v>
      </c>
      <c r="F59" s="16" t="n">
        <v>10953</v>
      </c>
      <c r="G59" s="16" t="n">
        <v>0</v>
      </c>
      <c r="H59" s="16" t="n">
        <v>11898</v>
      </c>
      <c r="I59" s="16" t="n">
        <v>8500</v>
      </c>
      <c r="J59" s="16" t="n">
        <v>167681</v>
      </c>
      <c r="K59" s="16" t="n">
        <v>0</v>
      </c>
      <c r="L59" s="16" t="n">
        <v>176181</v>
      </c>
      <c r="M59" s="16" t="n">
        <v>4244</v>
      </c>
      <c r="N59" s="16" t="n">
        <v>11487</v>
      </c>
      <c r="O59" s="16" t="n">
        <v>12791</v>
      </c>
      <c r="P59" s="16" t="n">
        <v>28522</v>
      </c>
      <c r="Q59" s="15" t="inlineStr">
        <is>
          <t>Cecafé Resumo Diário (capture)</t>
        </is>
      </c>
      <c r="R59" s="17">
        <f>IF(Parametres!$B$5="arabica",E59,IF(Parametres!$B$5="conilon",F59,IF(Parametres!$B$5="soluble",G59,H59)))</f>
        <v/>
      </c>
      <c r="S59" s="17">
        <f>IF(Parametres!$B$5="arabica",I59,IF(Parametres!$B$5="conilon",J59,IF(Parametres!$B$5="soluble",K59,L59)))</f>
        <v/>
      </c>
      <c r="T59" s="17">
        <f>IF(Parametres!$B$5="arabica",M59,IF(Parametres!$B$5="conilon",N59,IF(Parametres!$B$5="soluble",O59,P59)))</f>
        <v/>
      </c>
    </row>
    <row r="60">
      <c r="A60" s="14" t="n">
        <v>46269</v>
      </c>
      <c r="B60" s="15" t="inlineStr">
        <is>
          <t>customs</t>
        </is>
      </c>
      <c r="C60" s="15" t="inlineStr">
        <is>
          <t>minas</t>
        </is>
      </c>
      <c r="D60" s="15" t="inlineStr">
        <is>
          <t>REDEX and EADI (MINAS GERAIS)</t>
        </is>
      </c>
      <c r="E60" s="16" t="n">
        <v>491</v>
      </c>
      <c r="F60" s="16" t="n">
        <v>0</v>
      </c>
      <c r="G60" s="16" t="n">
        <v>0</v>
      </c>
      <c r="H60" s="16" t="n">
        <v>491</v>
      </c>
      <c r="I60" s="16" t="n">
        <v>5674</v>
      </c>
      <c r="J60" s="16" t="n">
        <v>0</v>
      </c>
      <c r="K60" s="16" t="n">
        <v>0</v>
      </c>
      <c r="L60" s="16" t="n">
        <v>5674</v>
      </c>
      <c r="M60" s="16" t="n">
        <v>14131</v>
      </c>
      <c r="N60" s="16" t="n">
        <v>0</v>
      </c>
      <c r="O60" s="16" t="n">
        <v>0</v>
      </c>
      <c r="P60" s="16" t="n">
        <v>14131</v>
      </c>
      <c r="Q60" s="15" t="inlineStr">
        <is>
          <t>Cecafé Resumo Diário (capture)</t>
        </is>
      </c>
      <c r="R60" s="17">
        <f>IF(Parametres!$B$5="arabica",E60,IF(Parametres!$B$5="conilon",F60,IF(Parametres!$B$5="soluble",G60,H60)))</f>
        <v/>
      </c>
      <c r="S60" s="17">
        <f>IF(Parametres!$B$5="arabica",I60,IF(Parametres!$B$5="conilon",J60,IF(Parametres!$B$5="soluble",K60,L60)))</f>
        <v/>
      </c>
      <c r="T60" s="17">
        <f>IF(Parametres!$B$5="arabica",M60,IF(Parametres!$B$5="conilon",N60,IF(Parametres!$B$5="soluble",O60,P60)))</f>
        <v/>
      </c>
    </row>
    <row r="61">
      <c r="A61" s="14" t="n">
        <v>46269</v>
      </c>
      <c r="B61" s="15" t="inlineStr">
        <is>
          <t>customs</t>
        </is>
      </c>
      <c r="C61" s="15" t="inlineStr">
        <is>
          <t>others</t>
        </is>
      </c>
      <c r="D61" s="15" t="inlineStr">
        <is>
          <t>OTHERS</t>
        </is>
      </c>
      <c r="E61" s="16" t="n">
        <v>0</v>
      </c>
      <c r="F61" s="16" t="n">
        <v>0</v>
      </c>
      <c r="G61" s="16" t="n">
        <v>0</v>
      </c>
      <c r="H61" s="16" t="n">
        <v>0</v>
      </c>
      <c r="I61" s="16" t="n">
        <v>846</v>
      </c>
      <c r="J61" s="16" t="n">
        <v>892</v>
      </c>
      <c r="K61" s="16" t="n">
        <v>558</v>
      </c>
      <c r="L61" s="16" t="n">
        <v>2296</v>
      </c>
      <c r="M61" s="16" t="n">
        <v>9123</v>
      </c>
      <c r="N61" s="16" t="n">
        <v>866</v>
      </c>
      <c r="O61" s="16" t="n">
        <v>4256</v>
      </c>
      <c r="P61" s="16" t="n">
        <v>14245</v>
      </c>
      <c r="Q61" s="15" t="inlineStr">
        <is>
          <t>Cecafé Resumo Diário (capture)</t>
        </is>
      </c>
      <c r="R61" s="17">
        <f>IF(Parametres!$B$5="arabica",E61,IF(Parametres!$B$5="conilon",F61,IF(Parametres!$B$5="soluble",G61,H61)))</f>
        <v/>
      </c>
      <c r="S61" s="17">
        <f>IF(Parametres!$B$5="arabica",I61,IF(Parametres!$B$5="conilon",J61,IF(Parametres!$B$5="soluble",K61,L61)))</f>
        <v/>
      </c>
      <c r="T61" s="17">
        <f>IF(Parametres!$B$5="arabica",M61,IF(Parametres!$B$5="conilon",N61,IF(Parametres!$B$5="soluble",O61,P61)))</f>
        <v/>
      </c>
    </row>
    <row r="62">
      <c r="A62" s="14" t="n">
        <v>46269</v>
      </c>
      <c r="B62" s="15" t="inlineStr">
        <is>
          <t>customs</t>
        </is>
      </c>
      <c r="C62" s="15" t="inlineStr">
        <is>
          <t>rio</t>
        </is>
      </c>
      <c r="D62" s="15" t="inlineStr">
        <is>
          <t>RIO DE JANEIRO</t>
        </is>
      </c>
      <c r="E62" s="16" t="n">
        <v>3320</v>
      </c>
      <c r="F62" s="16" t="n">
        <v>1734</v>
      </c>
      <c r="G62" s="16" t="n">
        <v>0</v>
      </c>
      <c r="H62" s="16" t="n">
        <v>5054</v>
      </c>
      <c r="I62" s="16" t="n">
        <v>14040</v>
      </c>
      <c r="J62" s="16" t="n">
        <v>1734</v>
      </c>
      <c r="K62" s="16" t="n">
        <v>1528</v>
      </c>
      <c r="L62" s="16" t="n">
        <v>17302</v>
      </c>
      <c r="M62" s="16" t="n">
        <v>79532</v>
      </c>
      <c r="N62" s="16" t="n">
        <v>3948</v>
      </c>
      <c r="O62" s="16" t="n">
        <v>4160</v>
      </c>
      <c r="P62" s="16" t="n">
        <v>87640</v>
      </c>
      <c r="Q62" s="15" t="inlineStr">
        <is>
          <t>Cecafé Resumo Diário (capture)</t>
        </is>
      </c>
      <c r="R62" s="17">
        <f>IF(Parametres!$B$5="arabica",E62,IF(Parametres!$B$5="conilon",F62,IF(Parametres!$B$5="soluble",G62,H62)))</f>
        <v/>
      </c>
      <c r="S62" s="17">
        <f>IF(Parametres!$B$5="arabica",I62,IF(Parametres!$B$5="conilon",J62,IF(Parametres!$B$5="soluble",K62,L62)))</f>
        <v/>
      </c>
      <c r="T62" s="17">
        <f>IF(Parametres!$B$5="arabica",M62,IF(Parametres!$B$5="conilon",N62,IF(Parametres!$B$5="soluble",O62,P62)))</f>
        <v/>
      </c>
    </row>
    <row r="63">
      <c r="A63" s="14" t="n">
        <v>46269</v>
      </c>
      <c r="B63" s="15" t="inlineStr">
        <is>
          <t>customs</t>
        </is>
      </c>
      <c r="C63" s="15" t="inlineStr">
        <is>
          <t>santos</t>
        </is>
      </c>
      <c r="D63" s="15" t="inlineStr">
        <is>
          <t>SANTOS</t>
        </is>
      </c>
      <c r="E63" s="16" t="n">
        <v>13195</v>
      </c>
      <c r="F63" s="16" t="n">
        <v>0</v>
      </c>
      <c r="G63" s="16" t="n">
        <v>0</v>
      </c>
      <c r="H63" s="16" t="n">
        <v>13195</v>
      </c>
      <c r="I63" s="16" t="n">
        <v>113214</v>
      </c>
      <c r="J63" s="16" t="n">
        <v>3333</v>
      </c>
      <c r="K63" s="16" t="n">
        <v>647</v>
      </c>
      <c r="L63" s="16" t="n">
        <v>117194</v>
      </c>
      <c r="M63" s="16" t="n">
        <v>210833</v>
      </c>
      <c r="N63" s="16" t="n">
        <v>11052</v>
      </c>
      <c r="O63" s="16" t="n">
        <v>7886</v>
      </c>
      <c r="P63" s="16" t="n">
        <v>229771</v>
      </c>
      <c r="Q63" s="15" t="inlineStr">
        <is>
          <t>Cecafé Resumo Diário (capture)</t>
        </is>
      </c>
      <c r="R63" s="17">
        <f>IF(Parametres!$B$5="arabica",E63,IF(Parametres!$B$5="conilon",F63,IF(Parametres!$B$5="soluble",G63,H63)))</f>
        <v/>
      </c>
      <c r="S63" s="17">
        <f>IF(Parametres!$B$5="arabica",I63,IF(Parametres!$B$5="conilon",J63,IF(Parametres!$B$5="soluble",K63,L63)))</f>
        <v/>
      </c>
      <c r="T63" s="17">
        <f>IF(Parametres!$B$5="arabica",M63,IF(Parametres!$B$5="conilon",N63,IF(Parametres!$B$5="soluble",O63,P63)))</f>
        <v/>
      </c>
    </row>
    <row r="64">
      <c r="A64" s="18" t="n">
        <v>46269</v>
      </c>
      <c r="B64" s="19" t="inlineStr">
        <is>
          <t>customs</t>
        </is>
      </c>
      <c r="C64" s="19" t="inlineStr">
        <is>
          <t>total</t>
        </is>
      </c>
      <c r="D64" s="19" t="inlineStr">
        <is>
          <t>TOTALS</t>
        </is>
      </c>
      <c r="E64" s="20" t="n">
        <v>17951</v>
      </c>
      <c r="F64" s="20" t="n">
        <v>5067</v>
      </c>
      <c r="G64" s="20" t="n">
        <v>0</v>
      </c>
      <c r="H64" s="20" t="n">
        <v>23018</v>
      </c>
      <c r="I64" s="20" t="n">
        <v>134719</v>
      </c>
      <c r="J64" s="20" t="n">
        <v>22706</v>
      </c>
      <c r="K64" s="20" t="n">
        <v>2733</v>
      </c>
      <c r="L64" s="20" t="n">
        <v>160158</v>
      </c>
      <c r="M64" s="20" t="n">
        <v>313939</v>
      </c>
      <c r="N64" s="20" t="n">
        <v>22860</v>
      </c>
      <c r="O64" s="20" t="n">
        <v>16302</v>
      </c>
      <c r="P64" s="20" t="n">
        <v>353101</v>
      </c>
      <c r="Q64" s="19" t="inlineStr">
        <is>
          <t>Cecafé Resumo Diário (capture)</t>
        </is>
      </c>
      <c r="R64" s="21">
        <f>IF(Parametres!$B$5="arabica",E64,IF(Parametres!$B$5="conilon",F64,IF(Parametres!$B$5="soluble",G64,H64)))</f>
        <v/>
      </c>
      <c r="S64" s="21">
        <f>IF(Parametres!$B$5="arabica",I64,IF(Parametres!$B$5="conilon",J64,IF(Parametres!$B$5="soluble",K64,L64)))</f>
        <v/>
      </c>
      <c r="T64" s="21">
        <f>IF(Parametres!$B$5="arabica",M64,IF(Parametres!$B$5="conilon",N64,IF(Parametres!$B$5="soluble",O64,P64)))</f>
        <v/>
      </c>
    </row>
    <row r="65">
      <c r="A65" s="14" t="n">
        <v>46269</v>
      </c>
      <c r="B65" s="15" t="inlineStr">
        <is>
          <t>customs</t>
        </is>
      </c>
      <c r="C65" s="15" t="inlineStr">
        <is>
          <t>vitoria</t>
        </is>
      </c>
      <c r="D65" s="15" t="inlineStr">
        <is>
          <t>VICTORY</t>
        </is>
      </c>
      <c r="E65" s="16" t="n">
        <v>945</v>
      </c>
      <c r="F65" s="16" t="n">
        <v>3333</v>
      </c>
      <c r="G65" s="16" t="n">
        <v>0</v>
      </c>
      <c r="H65" s="16" t="n">
        <v>4278</v>
      </c>
      <c r="I65" s="16" t="n">
        <v>945</v>
      </c>
      <c r="J65" s="16" t="n">
        <v>16747</v>
      </c>
      <c r="K65" s="16" t="n">
        <v>0</v>
      </c>
      <c r="L65" s="16" t="n">
        <v>17692</v>
      </c>
      <c r="M65" s="16" t="n">
        <v>320</v>
      </c>
      <c r="N65" s="16" t="n">
        <v>6994</v>
      </c>
      <c r="O65" s="16" t="n">
        <v>0</v>
      </c>
      <c r="P65" s="16" t="n">
        <v>7314</v>
      </c>
      <c r="Q65" s="15" t="inlineStr">
        <is>
          <t>Cecafé Resumo Diário (capture)</t>
        </is>
      </c>
      <c r="R65" s="17">
        <f>IF(Parametres!$B$5="arabica",E65,IF(Parametres!$B$5="conilon",F65,IF(Parametres!$B$5="soluble",G65,H65)))</f>
        <v/>
      </c>
      <c r="S65" s="17">
        <f>IF(Parametres!$B$5="arabica",I65,IF(Parametres!$B$5="conilon",J65,IF(Parametres!$B$5="soluble",K65,L65)))</f>
        <v/>
      </c>
      <c r="T65" s="17">
        <f>IF(Parametres!$B$5="arabica",M65,IF(Parametres!$B$5="conilon",N65,IF(Parametres!$B$5="soluble",O65,P65)))</f>
        <v/>
      </c>
    </row>
    <row r="66">
      <c r="A66" s="14" t="n">
        <v>46269</v>
      </c>
      <c r="B66" s="15" t="inlineStr">
        <is>
          <t>shipment</t>
        </is>
      </c>
      <c r="C66" s="15" t="inlineStr">
        <is>
          <t>others</t>
        </is>
      </c>
      <c r="D66" s="15" t="inlineStr">
        <is>
          <t>OTHERS</t>
        </is>
      </c>
      <c r="E66" s="16" t="n">
        <v>0</v>
      </c>
      <c r="F66" s="16" t="n">
        <v>0</v>
      </c>
      <c r="G66" s="16" t="n">
        <v>0</v>
      </c>
      <c r="H66" s="16" t="n">
        <v>0</v>
      </c>
      <c r="I66" s="16" t="n">
        <v>846</v>
      </c>
      <c r="J66" s="16" t="n">
        <v>892</v>
      </c>
      <c r="K66" s="16" t="n">
        <v>558</v>
      </c>
      <c r="L66" s="16" t="n">
        <v>2296</v>
      </c>
      <c r="M66" s="16" t="n">
        <v>1003</v>
      </c>
      <c r="N66" s="16" t="n">
        <v>866</v>
      </c>
      <c r="O66" s="16" t="n">
        <v>4256</v>
      </c>
      <c r="P66" s="16" t="n">
        <v>6125</v>
      </c>
      <c r="Q66" s="15" t="inlineStr">
        <is>
          <t>Cecafé Resumo Diário (capture)</t>
        </is>
      </c>
      <c r="R66" s="17">
        <f>IF(Parametres!$B$5="arabica",E66,IF(Parametres!$B$5="conilon",F66,IF(Parametres!$B$5="soluble",G66,H66)))</f>
        <v/>
      </c>
      <c r="S66" s="17">
        <f>IF(Parametres!$B$5="arabica",I66,IF(Parametres!$B$5="conilon",J66,IF(Parametres!$B$5="soluble",K66,L66)))</f>
        <v/>
      </c>
      <c r="T66" s="17">
        <f>IF(Parametres!$B$5="arabica",M66,IF(Parametres!$B$5="conilon",N66,IF(Parametres!$B$5="soluble",O66,P66)))</f>
        <v/>
      </c>
    </row>
    <row r="67">
      <c r="A67" s="14" t="n">
        <v>46269</v>
      </c>
      <c r="B67" s="15" t="inlineStr">
        <is>
          <t>shipment</t>
        </is>
      </c>
      <c r="C67" s="15" t="inlineStr">
        <is>
          <t>rio</t>
        </is>
      </c>
      <c r="D67" s="15" t="inlineStr">
        <is>
          <t>RIO DE JANEIRO</t>
        </is>
      </c>
      <c r="E67" s="16" t="n">
        <v>3320</v>
      </c>
      <c r="F67" s="16" t="n">
        <v>1734</v>
      </c>
      <c r="G67" s="16" t="n">
        <v>0</v>
      </c>
      <c r="H67" s="16" t="n">
        <v>5054</v>
      </c>
      <c r="I67" s="16" t="n">
        <v>14040</v>
      </c>
      <c r="J67" s="16" t="n">
        <v>1734</v>
      </c>
      <c r="K67" s="16" t="n">
        <v>1528</v>
      </c>
      <c r="L67" s="16" t="n">
        <v>17302</v>
      </c>
      <c r="M67" s="16" t="n">
        <v>79412</v>
      </c>
      <c r="N67" s="16" t="n">
        <v>4615</v>
      </c>
      <c r="O67" s="16" t="n">
        <v>4160</v>
      </c>
      <c r="P67" s="16" t="n">
        <v>88187</v>
      </c>
      <c r="Q67" s="15" t="inlineStr">
        <is>
          <t>Cecafé Resumo Diário (capture)</t>
        </is>
      </c>
      <c r="R67" s="17">
        <f>IF(Parametres!$B$5="arabica",E67,IF(Parametres!$B$5="conilon",F67,IF(Parametres!$B$5="soluble",G67,H67)))</f>
        <v/>
      </c>
      <c r="S67" s="17">
        <f>IF(Parametres!$B$5="arabica",I67,IF(Parametres!$B$5="conilon",J67,IF(Parametres!$B$5="soluble",K67,L67)))</f>
        <v/>
      </c>
      <c r="T67" s="17">
        <f>IF(Parametres!$B$5="arabica",M67,IF(Parametres!$B$5="conilon",N67,IF(Parametres!$B$5="soluble",O67,P67)))</f>
        <v/>
      </c>
    </row>
    <row r="68">
      <c r="A68" s="14" t="n">
        <v>46269</v>
      </c>
      <c r="B68" s="15" t="inlineStr">
        <is>
          <t>shipment</t>
        </is>
      </c>
      <c r="C68" s="15" t="inlineStr">
        <is>
          <t>santos</t>
        </is>
      </c>
      <c r="D68" s="15" t="inlineStr">
        <is>
          <t>SANTOS</t>
        </is>
      </c>
      <c r="E68" s="16" t="n">
        <v>14631</v>
      </c>
      <c r="F68" s="16" t="n">
        <v>3333</v>
      </c>
      <c r="G68" s="16" t="n">
        <v>0</v>
      </c>
      <c r="H68" s="16" t="n">
        <v>17964</v>
      </c>
      <c r="I68" s="16" t="n">
        <v>119833</v>
      </c>
      <c r="J68" s="16" t="n">
        <v>20080</v>
      </c>
      <c r="K68" s="16" t="n">
        <v>647</v>
      </c>
      <c r="L68" s="16" t="n">
        <v>140560</v>
      </c>
      <c r="M68" s="16" t="n">
        <v>233524</v>
      </c>
      <c r="N68" s="16" t="n">
        <v>17379</v>
      </c>
      <c r="O68" s="16" t="n">
        <v>7886</v>
      </c>
      <c r="P68" s="16" t="n">
        <v>258789</v>
      </c>
      <c r="Q68" s="15" t="inlineStr">
        <is>
          <t>Cecafé Resumo Diário (capture)</t>
        </is>
      </c>
      <c r="R68" s="17">
        <f>IF(Parametres!$B$5="arabica",E68,IF(Parametres!$B$5="conilon",F68,IF(Parametres!$B$5="soluble",G68,H68)))</f>
        <v/>
      </c>
      <c r="S68" s="17">
        <f>IF(Parametres!$B$5="arabica",I68,IF(Parametres!$B$5="conilon",J68,IF(Parametres!$B$5="soluble",K68,L68)))</f>
        <v/>
      </c>
      <c r="T68" s="17">
        <f>IF(Parametres!$B$5="arabica",M68,IF(Parametres!$B$5="conilon",N68,IF(Parametres!$B$5="soluble",O68,P68)))</f>
        <v/>
      </c>
    </row>
    <row r="69">
      <c r="A69" s="18" t="n">
        <v>46269</v>
      </c>
      <c r="B69" s="19" t="inlineStr">
        <is>
          <t>shipment</t>
        </is>
      </c>
      <c r="C69" s="19" t="inlineStr">
        <is>
          <t>total</t>
        </is>
      </c>
      <c r="D69" s="19" t="inlineStr">
        <is>
          <t>TOTALS</t>
        </is>
      </c>
      <c r="E69" s="20" t="n">
        <v>17951</v>
      </c>
      <c r="F69" s="20" t="n">
        <v>5067</v>
      </c>
      <c r="G69" s="20" t="n">
        <v>0</v>
      </c>
      <c r="H69" s="20" t="n">
        <v>23018</v>
      </c>
      <c r="I69" s="20" t="n">
        <v>134719</v>
      </c>
      <c r="J69" s="20" t="n">
        <v>22706</v>
      </c>
      <c r="K69" s="20" t="n">
        <v>2733</v>
      </c>
      <c r="L69" s="20" t="n">
        <v>160158</v>
      </c>
      <c r="M69" s="20" t="n">
        <v>313939</v>
      </c>
      <c r="N69" s="20" t="n">
        <v>22860</v>
      </c>
      <c r="O69" s="20" t="n">
        <v>16302</v>
      </c>
      <c r="P69" s="20" t="n">
        <v>353101</v>
      </c>
      <c r="Q69" s="19" t="inlineStr">
        <is>
          <t>Cecafé Resumo Diário (capture)</t>
        </is>
      </c>
      <c r="R69" s="21">
        <f>IF(Parametres!$B$5="arabica",E69,IF(Parametres!$B$5="conilon",F69,IF(Parametres!$B$5="soluble",G69,H69)))</f>
        <v/>
      </c>
      <c r="S69" s="21">
        <f>IF(Parametres!$B$5="arabica",I69,IF(Parametres!$B$5="conilon",J69,IF(Parametres!$B$5="soluble",K69,L69)))</f>
        <v/>
      </c>
      <c r="T69" s="21">
        <f>IF(Parametres!$B$5="arabica",M69,IF(Parametres!$B$5="conilon",N69,IF(Parametres!$B$5="soluble",O69,P69)))</f>
        <v/>
      </c>
    </row>
  </sheetData>
  <autoFilter ref="A1:T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Mouvement du jour par étape — jour contre veille</t>
        </is>
      </c>
    </row>
    <row r="2">
      <c r="A2" s="2" t="inlineStr">
        <is>
          <t>Unité et type : onglet Parametres.</t>
        </is>
      </c>
    </row>
    <row r="3"/>
    <row r="4">
      <c r="A4" s="8" t="inlineStr">
        <is>
          <t>Unité</t>
        </is>
      </c>
      <c r="B4" s="22">
        <f>Parametres!$B$4</f>
        <v/>
      </c>
    </row>
    <row r="5">
      <c r="A5" s="8" t="inlineStr">
        <is>
          <t>Type</t>
        </is>
      </c>
      <c r="B5" s="22">
        <f>Parametres!$B$5</f>
        <v/>
      </c>
    </row>
    <row r="6">
      <c r="M6" s="23">
        <f>A10</f>
        <v/>
      </c>
      <c r="N6" s="23">
        <f>A11</f>
        <v/>
      </c>
    </row>
    <row r="7">
      <c r="A7" s="13" t="inlineStr">
        <is>
          <t>Date</t>
        </is>
      </c>
      <c r="B7" s="13" t="inlineStr">
        <is>
          <t>Certificats (jour)</t>
        </is>
      </c>
      <c r="C7" s="13" t="inlineStr">
        <is>
          <t>Dédouanés (jour)</t>
        </is>
      </c>
      <c r="D7" s="13" t="inlineStr">
        <is>
          <t>Embarqués (jour)</t>
        </is>
      </c>
      <c r="E7" s="13" t="inlineStr">
        <is>
          <t>Certificats veille</t>
        </is>
      </c>
      <c r="F7" s="13" t="inlineStr">
        <is>
          <t>Variation</t>
        </is>
      </c>
      <c r="G7" s="13" t="inlineStr">
        <is>
          <t>Variation %</t>
        </is>
      </c>
      <c r="H7" s="13" t="inlineStr">
        <is>
          <t>Certificats cumul mois</t>
        </is>
      </c>
      <c r="I7" s="13" t="inlineStr">
        <is>
          <t>Embarqués cumul mois</t>
        </is>
      </c>
      <c r="J7" s="13" t="inlineStr">
        <is>
          <t>Certifiés − embarqués</t>
        </is>
      </c>
      <c r="L7" s="5" t="inlineStr">
        <is>
          <t>Étape</t>
        </is>
      </c>
      <c r="M7" s="5" t="inlineStr">
        <is>
          <t>Veille</t>
        </is>
      </c>
      <c r="N7" s="5" t="inlineStr">
        <is>
          <t>Aujourd’hui</t>
        </is>
      </c>
    </row>
    <row r="8">
      <c r="A8" s="14" t="n">
        <v>46266</v>
      </c>
      <c r="B8" s="24">
        <f>SUMIFS(Cecafe_brut!$R$2:$R$69,Cecafe_brut!$A$2:$A$69,$A8,Cecafe_brut!$B$2:$B$69,"certificates",Cecafe_brut!$C$2:$C$69,Parametres!$B$4)</f>
        <v/>
      </c>
      <c r="C8" s="24">
        <f>SUMIFS(Cecafe_brut!$R$2:$R$69,Cecafe_brut!$A$2:$A$69,$A8,Cecafe_brut!$B$2:$B$69,"customs",Cecafe_brut!$C$2:$C$69,Parametres!$B$4)</f>
        <v/>
      </c>
      <c r="D8" s="24">
        <f>SUMIFS(Cecafe_brut!$R$2:$R$69,Cecafe_brut!$A$2:$A$69,$A8,Cecafe_brut!$B$2:$B$69,"shipment",Cecafe_brut!$C$2:$C$69,Parametres!$B$4)</f>
        <v/>
      </c>
      <c r="E8" s="24">
        <f>""</f>
        <v/>
      </c>
      <c r="F8" s="24">
        <f>IF(E8="","",B8-E8)</f>
        <v/>
      </c>
      <c r="G8" s="25">
        <f>IF(OR(E8="",E8=0),"",B8/E8-1)</f>
        <v/>
      </c>
      <c r="H8" s="24">
        <f>SUMIFS(Cecafe_brut!$S$2:$S$69,Cecafe_brut!$A$2:$A$69,$A8,Cecafe_brut!$B$2:$B$69,"certificates",Cecafe_brut!$C$2:$C$69,Parametres!$B$4)</f>
        <v/>
      </c>
      <c r="I8" s="24">
        <f>SUMIFS(Cecafe_brut!$S$2:$S$69,Cecafe_brut!$A$2:$A$69,$A8,Cecafe_brut!$B$2:$B$69,"shipment",Cecafe_brut!$C$2:$C$69,Parametres!$B$4)</f>
        <v/>
      </c>
      <c r="J8" s="24">
        <f>H8-I8</f>
        <v/>
      </c>
      <c r="L8" s="12" t="inlineStr">
        <is>
          <t>Certificats</t>
        </is>
      </c>
      <c r="M8" s="26">
        <f>B10</f>
        <v/>
      </c>
      <c r="N8" s="26">
        <f>B11</f>
        <v/>
      </c>
    </row>
    <row r="9">
      <c r="A9" s="14" t="n">
        <v>46267</v>
      </c>
      <c r="B9" s="24">
        <f>SUMIFS(Cecafe_brut!$R$2:$R$69,Cecafe_brut!$A$2:$A$69,$A9,Cecafe_brut!$B$2:$B$69,"certificates",Cecafe_brut!$C$2:$C$69,Parametres!$B$4)</f>
        <v/>
      </c>
      <c r="C9" s="24">
        <f>SUMIFS(Cecafe_brut!$R$2:$R$69,Cecafe_brut!$A$2:$A$69,$A9,Cecafe_brut!$B$2:$B$69,"customs",Cecafe_brut!$C$2:$C$69,Parametres!$B$4)</f>
        <v/>
      </c>
      <c r="D9" s="24">
        <f>SUMIFS(Cecafe_brut!$R$2:$R$69,Cecafe_brut!$A$2:$A$69,$A9,Cecafe_brut!$B$2:$B$69,"shipment",Cecafe_brut!$C$2:$C$69,Parametres!$B$4)</f>
        <v/>
      </c>
      <c r="E9" s="24">
        <f>IF(ROW()=8,"",B8)</f>
        <v/>
      </c>
      <c r="F9" s="24">
        <f>IF(E9="","",B9-E9)</f>
        <v/>
      </c>
      <c r="G9" s="25">
        <f>IF(OR(E9="",E9=0),"",B9/E9-1)</f>
        <v/>
      </c>
      <c r="H9" s="24">
        <f>SUMIFS(Cecafe_brut!$S$2:$S$69,Cecafe_brut!$A$2:$A$69,$A9,Cecafe_brut!$B$2:$B$69,"certificates",Cecafe_brut!$C$2:$C$69,Parametres!$B$4)</f>
        <v/>
      </c>
      <c r="I9" s="24">
        <f>SUMIFS(Cecafe_brut!$S$2:$S$69,Cecafe_brut!$A$2:$A$69,$A9,Cecafe_brut!$B$2:$B$69,"shipment",Cecafe_brut!$C$2:$C$69,Parametres!$B$4)</f>
        <v/>
      </c>
      <c r="J9" s="24">
        <f>H9-I9</f>
        <v/>
      </c>
      <c r="L9" s="12" t="inlineStr">
        <is>
          <t>Dédouanés</t>
        </is>
      </c>
      <c r="M9" s="26">
        <f>C10</f>
        <v/>
      </c>
      <c r="N9" s="26">
        <f>C11</f>
        <v/>
      </c>
    </row>
    <row r="10">
      <c r="A10" s="14" t="n">
        <v>46268</v>
      </c>
      <c r="B10" s="24">
        <f>SUMIFS(Cecafe_brut!$R$2:$R$69,Cecafe_brut!$A$2:$A$69,$A10,Cecafe_brut!$B$2:$B$69,"certificates",Cecafe_brut!$C$2:$C$69,Parametres!$B$4)</f>
        <v/>
      </c>
      <c r="C10" s="24">
        <f>SUMIFS(Cecafe_brut!$R$2:$R$69,Cecafe_brut!$A$2:$A$69,$A10,Cecafe_brut!$B$2:$B$69,"customs",Cecafe_brut!$C$2:$C$69,Parametres!$B$4)</f>
        <v/>
      </c>
      <c r="D10" s="24">
        <f>SUMIFS(Cecafe_brut!$R$2:$R$69,Cecafe_brut!$A$2:$A$69,$A10,Cecafe_brut!$B$2:$B$69,"shipment",Cecafe_brut!$C$2:$C$69,Parametres!$B$4)</f>
        <v/>
      </c>
      <c r="E10" s="24">
        <f>IF(ROW()=8,"",B9)</f>
        <v/>
      </c>
      <c r="F10" s="24">
        <f>IF(E10="","",B10-E10)</f>
        <v/>
      </c>
      <c r="G10" s="25">
        <f>IF(OR(E10="",E10=0),"",B10/E10-1)</f>
        <v/>
      </c>
      <c r="H10" s="24">
        <f>SUMIFS(Cecafe_brut!$S$2:$S$69,Cecafe_brut!$A$2:$A$69,$A10,Cecafe_brut!$B$2:$B$69,"certificates",Cecafe_brut!$C$2:$C$69,Parametres!$B$4)</f>
        <v/>
      </c>
      <c r="I10" s="24">
        <f>SUMIFS(Cecafe_brut!$S$2:$S$69,Cecafe_brut!$A$2:$A$69,$A10,Cecafe_brut!$B$2:$B$69,"shipment",Cecafe_brut!$C$2:$C$69,Parametres!$B$4)</f>
        <v/>
      </c>
      <c r="J10" s="24">
        <f>H10-I10</f>
        <v/>
      </c>
      <c r="L10" s="12" t="inlineStr">
        <is>
          <t>Embarqués</t>
        </is>
      </c>
      <c r="M10" s="26">
        <f>D10</f>
        <v/>
      </c>
      <c r="N10" s="26">
        <f>D11</f>
        <v/>
      </c>
    </row>
    <row r="11">
      <c r="A11" s="14" t="n">
        <v>46269</v>
      </c>
      <c r="B11" s="24">
        <f>SUMIFS(Cecafe_brut!$R$2:$R$69,Cecafe_brut!$A$2:$A$69,$A11,Cecafe_brut!$B$2:$B$69,"certificates",Cecafe_brut!$C$2:$C$69,Parametres!$B$4)</f>
        <v/>
      </c>
      <c r="C11" s="24">
        <f>SUMIFS(Cecafe_brut!$R$2:$R$69,Cecafe_brut!$A$2:$A$69,$A11,Cecafe_brut!$B$2:$B$69,"customs",Cecafe_brut!$C$2:$C$69,Parametres!$B$4)</f>
        <v/>
      </c>
      <c r="D11" s="24">
        <f>SUMIFS(Cecafe_brut!$R$2:$R$69,Cecafe_brut!$A$2:$A$69,$A11,Cecafe_brut!$B$2:$B$69,"shipment",Cecafe_brut!$C$2:$C$69,Parametres!$B$4)</f>
        <v/>
      </c>
      <c r="E11" s="24">
        <f>IF(ROW()=8,"",B10)</f>
        <v/>
      </c>
      <c r="F11" s="24">
        <f>IF(E11="","",B11-E11)</f>
        <v/>
      </c>
      <c r="G11" s="25">
        <f>IF(OR(E11="",E11=0),"",B11/E11-1)</f>
        <v/>
      </c>
      <c r="H11" s="24">
        <f>SUMIFS(Cecafe_brut!$S$2:$S$69,Cecafe_brut!$A$2:$A$69,$A11,Cecafe_brut!$B$2:$B$69,"certificates",Cecafe_brut!$C$2:$C$69,Parametres!$B$4)</f>
        <v/>
      </c>
      <c r="I11" s="24">
        <f>SUMIFS(Cecafe_brut!$S$2:$S$69,Cecafe_brut!$A$2:$A$69,$A11,Cecafe_brut!$B$2:$B$69,"shipment",Cecafe_brut!$C$2:$C$69,Parametres!$B$4)</f>
        <v/>
      </c>
      <c r="J11" s="24">
        <f>H11-I11</f>
        <v/>
      </c>
    </row>
    <row r="12"/>
    <row r="13">
      <c r="A13" s="2" t="inlineStr">
        <is>
          <t>Lecture : « Certifiés − embarqués » = café export avec certificat d’origine mais pas encore embarqué, c’est-à-dire en attente dans les entrepôts portuaires et intérieurs.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</cols>
  <sheetData>
    <row r="1">
      <c r="A1" s="1" t="inlineStr">
        <is>
          <t>Certificats d’origine — cumul par jour du mois</t>
        </is>
      </c>
    </row>
    <row r="2">
      <c r="A2" s="2" t="inlineStr">
        <is>
          <t>Mois en cours vs mois précédent vs mêmes mois d’autres années. Unité et type : onglet Parametres.</t>
        </is>
      </c>
    </row>
    <row r="3"/>
    <row r="4">
      <c r="A4" s="8" t="inlineStr">
        <is>
          <t>Unité</t>
        </is>
      </c>
      <c r="B4" s="22">
        <f>Parametres!$B$4</f>
        <v/>
      </c>
    </row>
    <row r="5">
      <c r="A5" s="8" t="inlineStr">
        <is>
          <t>Type</t>
        </is>
      </c>
      <c r="B5" s="22">
        <f>Parametres!$B$5</f>
        <v/>
      </c>
    </row>
    <row r="6"/>
    <row r="7">
      <c r="A7" s="13" t="inlineStr">
        <is>
          <t>Jour du mois</t>
        </is>
      </c>
      <c r="B7" s="13" t="inlineStr">
        <is>
          <t>2026-08 (colonne mois précédent Cecafé)</t>
        </is>
      </c>
      <c r="C7" s="13" t="inlineStr">
        <is>
          <t>2026-09 (cumul quotidien)</t>
        </is>
      </c>
    </row>
    <row r="8">
      <c r="A8" s="15" t="n">
        <v>1</v>
      </c>
      <c r="B8" s="24">
        <f>IF(COUNTIFS(Cecafe_brut!$A$2:$A$69,DATE(2026,9,1),Cecafe_brut!$B$2:$B$69,"certificates",Cecafe_brut!$C$2:$C$69,Parametres!$B$4)=0,NA(),SUMIFS(Cecafe_brut!$T$2:$T$69,Cecafe_brut!$A$2:$A$69,DATE(2026,9,1),Cecafe_brut!$B$2:$B$69,"certificates",Cecafe_brut!$C$2:$C$69,Parametres!$B$4))</f>
        <v/>
      </c>
      <c r="C8" s="24">
        <f>IF(COUNTIFS(Cecafe_brut!$A$2:$A$69,DATE(2026,9,1),Cecafe_brut!$B$2:$B$69,"certificates",Cecafe_brut!$C$2:$C$69,Parametres!$B$4)=0,NA(),SUMIFS(Cecafe_brut!$S$2:$S$69,Cecafe_brut!$A$2:$A$69,DATE(2026,9,1),Cecafe_brut!$B$2:$B$69,"certificates",Cecafe_brut!$C$2:$C$69,Parametres!$B$4))</f>
        <v/>
      </c>
    </row>
    <row r="9">
      <c r="A9" s="15" t="n">
        <v>2</v>
      </c>
      <c r="B9" s="24">
        <f>IF(COUNTIFS(Cecafe_brut!$A$2:$A$69,DATE(2026,9,2),Cecafe_brut!$B$2:$B$69,"certificates",Cecafe_brut!$C$2:$C$69,Parametres!$B$4)=0,NA(),SUMIFS(Cecafe_brut!$T$2:$T$69,Cecafe_brut!$A$2:$A$69,DATE(2026,9,2),Cecafe_brut!$B$2:$B$69,"certificates",Cecafe_brut!$C$2:$C$69,Parametres!$B$4))</f>
        <v/>
      </c>
      <c r="C9" s="24">
        <f>IF(COUNTIFS(Cecafe_brut!$A$2:$A$69,DATE(2026,9,2),Cecafe_brut!$B$2:$B$69,"certificates",Cecafe_brut!$C$2:$C$69,Parametres!$B$4)=0,NA(),SUMIFS(Cecafe_brut!$S$2:$S$69,Cecafe_brut!$A$2:$A$69,DATE(2026,9,2),Cecafe_brut!$B$2:$B$69,"certificates",Cecafe_brut!$C$2:$C$69,Parametres!$B$4))</f>
        <v/>
      </c>
    </row>
    <row r="10">
      <c r="A10" s="15" t="n">
        <v>3</v>
      </c>
      <c r="B10" s="24">
        <f>IF(COUNTIFS(Cecafe_brut!$A$2:$A$69,DATE(2026,9,3),Cecafe_brut!$B$2:$B$69,"certificates",Cecafe_brut!$C$2:$C$69,Parametres!$B$4)=0,NA(),SUMIFS(Cecafe_brut!$T$2:$T$69,Cecafe_brut!$A$2:$A$69,DATE(2026,9,3),Cecafe_brut!$B$2:$B$69,"certificates",Cecafe_brut!$C$2:$C$69,Parametres!$B$4))</f>
        <v/>
      </c>
      <c r="C10" s="24">
        <f>IF(COUNTIFS(Cecafe_brut!$A$2:$A$69,DATE(2026,9,3),Cecafe_brut!$B$2:$B$69,"certificates",Cecafe_brut!$C$2:$C$69,Parametres!$B$4)=0,NA(),SUMIFS(Cecafe_brut!$S$2:$S$69,Cecafe_brut!$A$2:$A$69,DATE(2026,9,3),Cecafe_brut!$B$2:$B$69,"certificates",Cecafe_brut!$C$2:$C$69,Parametres!$B$4))</f>
        <v/>
      </c>
    </row>
    <row r="11">
      <c r="A11" s="15" t="n">
        <v>4</v>
      </c>
      <c r="B11" s="24">
        <f>IF(COUNTIFS(Cecafe_brut!$A$2:$A$69,DATE(2026,9,4),Cecafe_brut!$B$2:$B$69,"certificates",Cecafe_brut!$C$2:$C$69,Parametres!$B$4)=0,NA(),SUMIFS(Cecafe_brut!$T$2:$T$69,Cecafe_brut!$A$2:$A$69,DATE(2026,9,4),Cecafe_brut!$B$2:$B$69,"certificates",Cecafe_brut!$C$2:$C$69,Parametres!$B$4))</f>
        <v/>
      </c>
      <c r="C11" s="24">
        <f>IF(COUNTIFS(Cecafe_brut!$A$2:$A$69,DATE(2026,9,4),Cecafe_brut!$B$2:$B$69,"certificates",Cecafe_brut!$C$2:$C$69,Parametres!$B$4)=0,NA(),SUMIFS(Cecafe_brut!$S$2:$S$69,Cecafe_brut!$A$2:$A$69,DATE(2026,9,4),Cecafe_brut!$B$2:$B$69,"certificates",Cecafe_brut!$C$2:$C$69,Parametres!$B$4))</f>
        <v/>
      </c>
    </row>
    <row r="12">
      <c r="A12" s="15" t="n">
        <v>5</v>
      </c>
      <c r="B12" s="24">
        <f>IF(COUNTIFS(Cecafe_brut!$A$2:$A$69,DATE(2026,9,5),Cecafe_brut!$B$2:$B$69,"certificates",Cecafe_brut!$C$2:$C$69,Parametres!$B$4)=0,NA(),SUMIFS(Cecafe_brut!$T$2:$T$69,Cecafe_brut!$A$2:$A$69,DATE(2026,9,5),Cecafe_brut!$B$2:$B$69,"certificates",Cecafe_brut!$C$2:$C$69,Parametres!$B$4))</f>
        <v/>
      </c>
      <c r="C12" s="24">
        <f>IF(COUNTIFS(Cecafe_brut!$A$2:$A$69,DATE(2026,9,5),Cecafe_brut!$B$2:$B$69,"certificates",Cecafe_brut!$C$2:$C$69,Parametres!$B$4)=0,NA(),SUMIFS(Cecafe_brut!$S$2:$S$69,Cecafe_brut!$A$2:$A$69,DATE(2026,9,5),Cecafe_brut!$B$2:$B$69,"certificates",Cecafe_brut!$C$2:$C$69,Parametres!$B$4))</f>
        <v/>
      </c>
    </row>
    <row r="13">
      <c r="A13" s="15" t="n">
        <v>6</v>
      </c>
      <c r="B13" s="24">
        <f>IF(COUNTIFS(Cecafe_brut!$A$2:$A$69,DATE(2026,9,6),Cecafe_brut!$B$2:$B$69,"certificates",Cecafe_brut!$C$2:$C$69,Parametres!$B$4)=0,NA(),SUMIFS(Cecafe_brut!$T$2:$T$69,Cecafe_brut!$A$2:$A$69,DATE(2026,9,6),Cecafe_brut!$B$2:$B$69,"certificates",Cecafe_brut!$C$2:$C$69,Parametres!$B$4))</f>
        <v/>
      </c>
      <c r="C13" s="24">
        <f>IF(COUNTIFS(Cecafe_brut!$A$2:$A$69,DATE(2026,9,6),Cecafe_brut!$B$2:$B$69,"certificates",Cecafe_brut!$C$2:$C$69,Parametres!$B$4)=0,NA(),SUMIFS(Cecafe_brut!$S$2:$S$69,Cecafe_brut!$A$2:$A$69,DATE(2026,9,6),Cecafe_brut!$B$2:$B$69,"certificates",Cecafe_brut!$C$2:$C$69,Parametres!$B$4))</f>
        <v/>
      </c>
    </row>
    <row r="14">
      <c r="A14" s="15" t="n">
        <v>7</v>
      </c>
      <c r="B14" s="24">
        <f>IF(COUNTIFS(Cecafe_brut!$A$2:$A$69,DATE(2026,9,7),Cecafe_brut!$B$2:$B$69,"certificates",Cecafe_brut!$C$2:$C$69,Parametres!$B$4)=0,NA(),SUMIFS(Cecafe_brut!$T$2:$T$69,Cecafe_brut!$A$2:$A$69,DATE(2026,9,7),Cecafe_brut!$B$2:$B$69,"certificates",Cecafe_brut!$C$2:$C$69,Parametres!$B$4))</f>
        <v/>
      </c>
      <c r="C14" s="24">
        <f>IF(COUNTIFS(Cecafe_brut!$A$2:$A$69,DATE(2026,9,7),Cecafe_brut!$B$2:$B$69,"certificates",Cecafe_brut!$C$2:$C$69,Parametres!$B$4)=0,NA(),SUMIFS(Cecafe_brut!$S$2:$S$69,Cecafe_brut!$A$2:$A$69,DATE(2026,9,7),Cecafe_brut!$B$2:$B$69,"certificates",Cecafe_brut!$C$2:$C$69,Parametres!$B$4))</f>
        <v/>
      </c>
    </row>
    <row r="15">
      <c r="A15" s="15" t="n">
        <v>8</v>
      </c>
      <c r="B15" s="24">
        <f>IF(COUNTIFS(Cecafe_brut!$A$2:$A$69,DATE(2026,9,8),Cecafe_brut!$B$2:$B$69,"certificates",Cecafe_brut!$C$2:$C$69,Parametres!$B$4)=0,NA(),SUMIFS(Cecafe_brut!$T$2:$T$69,Cecafe_brut!$A$2:$A$69,DATE(2026,9,8),Cecafe_brut!$B$2:$B$69,"certificates",Cecafe_brut!$C$2:$C$69,Parametres!$B$4))</f>
        <v/>
      </c>
      <c r="C15" s="24">
        <f>IF(COUNTIFS(Cecafe_brut!$A$2:$A$69,DATE(2026,9,8),Cecafe_brut!$B$2:$B$69,"certificates",Cecafe_brut!$C$2:$C$69,Parametres!$B$4)=0,NA(),SUMIFS(Cecafe_brut!$S$2:$S$69,Cecafe_brut!$A$2:$A$69,DATE(2026,9,8),Cecafe_brut!$B$2:$B$69,"certificates",Cecafe_brut!$C$2:$C$69,Parametres!$B$4))</f>
        <v/>
      </c>
    </row>
    <row r="16">
      <c r="A16" s="15" t="n">
        <v>9</v>
      </c>
      <c r="B16" s="24">
        <f>IF(COUNTIFS(Cecafe_brut!$A$2:$A$69,DATE(2026,9,9),Cecafe_brut!$B$2:$B$69,"certificates",Cecafe_brut!$C$2:$C$69,Parametres!$B$4)=0,NA(),SUMIFS(Cecafe_brut!$T$2:$T$69,Cecafe_brut!$A$2:$A$69,DATE(2026,9,9),Cecafe_brut!$B$2:$B$69,"certificates",Cecafe_brut!$C$2:$C$69,Parametres!$B$4))</f>
        <v/>
      </c>
      <c r="C16" s="24">
        <f>IF(COUNTIFS(Cecafe_brut!$A$2:$A$69,DATE(2026,9,9),Cecafe_brut!$B$2:$B$69,"certificates",Cecafe_brut!$C$2:$C$69,Parametres!$B$4)=0,NA(),SUMIFS(Cecafe_brut!$S$2:$S$69,Cecafe_brut!$A$2:$A$69,DATE(2026,9,9),Cecafe_brut!$B$2:$B$69,"certificates",Cecafe_brut!$C$2:$C$69,Parametres!$B$4))</f>
        <v/>
      </c>
    </row>
    <row r="17">
      <c r="A17" s="15" t="n">
        <v>10</v>
      </c>
      <c r="B17" s="24">
        <f>IF(COUNTIFS(Cecafe_brut!$A$2:$A$69,DATE(2026,9,10),Cecafe_brut!$B$2:$B$69,"certificates",Cecafe_brut!$C$2:$C$69,Parametres!$B$4)=0,NA(),SUMIFS(Cecafe_brut!$T$2:$T$69,Cecafe_brut!$A$2:$A$69,DATE(2026,9,10),Cecafe_brut!$B$2:$B$69,"certificates",Cecafe_brut!$C$2:$C$69,Parametres!$B$4))</f>
        <v/>
      </c>
      <c r="C17" s="24">
        <f>IF(COUNTIFS(Cecafe_brut!$A$2:$A$69,DATE(2026,9,10),Cecafe_brut!$B$2:$B$69,"certificates",Cecafe_brut!$C$2:$C$69,Parametres!$B$4)=0,NA(),SUMIFS(Cecafe_brut!$S$2:$S$69,Cecafe_brut!$A$2:$A$69,DATE(2026,9,10),Cecafe_brut!$B$2:$B$69,"certificates",Cecafe_brut!$C$2:$C$69,Parametres!$B$4))</f>
        <v/>
      </c>
    </row>
    <row r="18">
      <c r="A18" s="15" t="n">
        <v>11</v>
      </c>
      <c r="B18" s="24">
        <f>IF(COUNTIFS(Cecafe_brut!$A$2:$A$69,DATE(2026,9,11),Cecafe_brut!$B$2:$B$69,"certificates",Cecafe_brut!$C$2:$C$69,Parametres!$B$4)=0,NA(),SUMIFS(Cecafe_brut!$T$2:$T$69,Cecafe_brut!$A$2:$A$69,DATE(2026,9,11),Cecafe_brut!$B$2:$B$69,"certificates",Cecafe_brut!$C$2:$C$69,Parametres!$B$4))</f>
        <v/>
      </c>
      <c r="C18" s="24">
        <f>IF(COUNTIFS(Cecafe_brut!$A$2:$A$69,DATE(2026,9,11),Cecafe_brut!$B$2:$B$69,"certificates",Cecafe_brut!$C$2:$C$69,Parametres!$B$4)=0,NA(),SUMIFS(Cecafe_brut!$S$2:$S$69,Cecafe_brut!$A$2:$A$69,DATE(2026,9,11),Cecafe_brut!$B$2:$B$69,"certificates",Cecafe_brut!$C$2:$C$69,Parametres!$B$4))</f>
        <v/>
      </c>
    </row>
    <row r="19">
      <c r="A19" s="15" t="n">
        <v>12</v>
      </c>
      <c r="B19" s="24">
        <f>IF(COUNTIFS(Cecafe_brut!$A$2:$A$69,DATE(2026,9,12),Cecafe_brut!$B$2:$B$69,"certificates",Cecafe_brut!$C$2:$C$69,Parametres!$B$4)=0,NA(),SUMIFS(Cecafe_brut!$T$2:$T$69,Cecafe_brut!$A$2:$A$69,DATE(2026,9,12),Cecafe_brut!$B$2:$B$69,"certificates",Cecafe_brut!$C$2:$C$69,Parametres!$B$4))</f>
        <v/>
      </c>
      <c r="C19" s="24">
        <f>IF(COUNTIFS(Cecafe_brut!$A$2:$A$69,DATE(2026,9,12),Cecafe_brut!$B$2:$B$69,"certificates",Cecafe_brut!$C$2:$C$69,Parametres!$B$4)=0,NA(),SUMIFS(Cecafe_brut!$S$2:$S$69,Cecafe_brut!$A$2:$A$69,DATE(2026,9,12),Cecafe_brut!$B$2:$B$69,"certificates",Cecafe_brut!$C$2:$C$69,Parametres!$B$4))</f>
        <v/>
      </c>
    </row>
    <row r="20">
      <c r="A20" s="15" t="n">
        <v>13</v>
      </c>
      <c r="B20" s="24">
        <f>IF(COUNTIFS(Cecafe_brut!$A$2:$A$69,DATE(2026,9,13),Cecafe_brut!$B$2:$B$69,"certificates",Cecafe_brut!$C$2:$C$69,Parametres!$B$4)=0,NA(),SUMIFS(Cecafe_brut!$T$2:$T$69,Cecafe_brut!$A$2:$A$69,DATE(2026,9,13),Cecafe_brut!$B$2:$B$69,"certificates",Cecafe_brut!$C$2:$C$69,Parametres!$B$4))</f>
        <v/>
      </c>
      <c r="C20" s="24">
        <f>IF(COUNTIFS(Cecafe_brut!$A$2:$A$69,DATE(2026,9,13),Cecafe_brut!$B$2:$B$69,"certificates",Cecafe_brut!$C$2:$C$69,Parametres!$B$4)=0,NA(),SUMIFS(Cecafe_brut!$S$2:$S$69,Cecafe_brut!$A$2:$A$69,DATE(2026,9,13),Cecafe_brut!$B$2:$B$69,"certificates",Cecafe_brut!$C$2:$C$69,Parametres!$B$4))</f>
        <v/>
      </c>
    </row>
    <row r="21">
      <c r="A21" s="15" t="n">
        <v>14</v>
      </c>
      <c r="B21" s="24">
        <f>IF(COUNTIFS(Cecafe_brut!$A$2:$A$69,DATE(2026,9,14),Cecafe_brut!$B$2:$B$69,"certificates",Cecafe_brut!$C$2:$C$69,Parametres!$B$4)=0,NA(),SUMIFS(Cecafe_brut!$T$2:$T$69,Cecafe_brut!$A$2:$A$69,DATE(2026,9,14),Cecafe_brut!$B$2:$B$69,"certificates",Cecafe_brut!$C$2:$C$69,Parametres!$B$4))</f>
        <v/>
      </c>
      <c r="C21" s="24">
        <f>IF(COUNTIFS(Cecafe_brut!$A$2:$A$69,DATE(2026,9,14),Cecafe_brut!$B$2:$B$69,"certificates",Cecafe_brut!$C$2:$C$69,Parametres!$B$4)=0,NA(),SUMIFS(Cecafe_brut!$S$2:$S$69,Cecafe_brut!$A$2:$A$69,DATE(2026,9,14),Cecafe_brut!$B$2:$B$69,"certificates",Cecafe_brut!$C$2:$C$69,Parametres!$B$4))</f>
        <v/>
      </c>
    </row>
    <row r="22">
      <c r="A22" s="15" t="n">
        <v>15</v>
      </c>
      <c r="B22" s="24">
        <f>IF(COUNTIFS(Cecafe_brut!$A$2:$A$69,DATE(2026,9,15),Cecafe_brut!$B$2:$B$69,"certificates",Cecafe_brut!$C$2:$C$69,Parametres!$B$4)=0,NA(),SUMIFS(Cecafe_brut!$T$2:$T$69,Cecafe_brut!$A$2:$A$69,DATE(2026,9,15),Cecafe_brut!$B$2:$B$69,"certificates",Cecafe_brut!$C$2:$C$69,Parametres!$B$4))</f>
        <v/>
      </c>
      <c r="C22" s="24">
        <f>IF(COUNTIFS(Cecafe_brut!$A$2:$A$69,DATE(2026,9,15),Cecafe_brut!$B$2:$B$69,"certificates",Cecafe_brut!$C$2:$C$69,Parametres!$B$4)=0,NA(),SUMIFS(Cecafe_brut!$S$2:$S$69,Cecafe_brut!$A$2:$A$69,DATE(2026,9,15),Cecafe_brut!$B$2:$B$69,"certificates",Cecafe_brut!$C$2:$C$69,Parametres!$B$4))</f>
        <v/>
      </c>
    </row>
    <row r="23">
      <c r="A23" s="15" t="n">
        <v>16</v>
      </c>
      <c r="B23" s="24">
        <f>IF(COUNTIFS(Cecafe_brut!$A$2:$A$69,DATE(2026,9,16),Cecafe_brut!$B$2:$B$69,"certificates",Cecafe_brut!$C$2:$C$69,Parametres!$B$4)=0,NA(),SUMIFS(Cecafe_brut!$T$2:$T$69,Cecafe_brut!$A$2:$A$69,DATE(2026,9,16),Cecafe_brut!$B$2:$B$69,"certificates",Cecafe_brut!$C$2:$C$69,Parametres!$B$4))</f>
        <v/>
      </c>
      <c r="C23" s="24">
        <f>IF(COUNTIFS(Cecafe_brut!$A$2:$A$69,DATE(2026,9,16),Cecafe_brut!$B$2:$B$69,"certificates",Cecafe_brut!$C$2:$C$69,Parametres!$B$4)=0,NA(),SUMIFS(Cecafe_brut!$S$2:$S$69,Cecafe_brut!$A$2:$A$69,DATE(2026,9,16),Cecafe_brut!$B$2:$B$69,"certificates",Cecafe_brut!$C$2:$C$69,Parametres!$B$4))</f>
        <v/>
      </c>
    </row>
    <row r="24">
      <c r="A24" s="15" t="n">
        <v>17</v>
      </c>
      <c r="B24" s="24">
        <f>IF(COUNTIFS(Cecafe_brut!$A$2:$A$69,DATE(2026,9,17),Cecafe_brut!$B$2:$B$69,"certificates",Cecafe_brut!$C$2:$C$69,Parametres!$B$4)=0,NA(),SUMIFS(Cecafe_brut!$T$2:$T$69,Cecafe_brut!$A$2:$A$69,DATE(2026,9,17),Cecafe_brut!$B$2:$B$69,"certificates",Cecafe_brut!$C$2:$C$69,Parametres!$B$4))</f>
        <v/>
      </c>
      <c r="C24" s="24">
        <f>IF(COUNTIFS(Cecafe_brut!$A$2:$A$69,DATE(2026,9,17),Cecafe_brut!$B$2:$B$69,"certificates",Cecafe_brut!$C$2:$C$69,Parametres!$B$4)=0,NA(),SUMIFS(Cecafe_brut!$S$2:$S$69,Cecafe_brut!$A$2:$A$69,DATE(2026,9,17),Cecafe_brut!$B$2:$B$69,"certificates",Cecafe_brut!$C$2:$C$69,Parametres!$B$4))</f>
        <v/>
      </c>
    </row>
    <row r="25">
      <c r="A25" s="15" t="n">
        <v>18</v>
      </c>
      <c r="B25" s="24">
        <f>IF(COUNTIFS(Cecafe_brut!$A$2:$A$69,DATE(2026,9,18),Cecafe_brut!$B$2:$B$69,"certificates",Cecafe_brut!$C$2:$C$69,Parametres!$B$4)=0,NA(),SUMIFS(Cecafe_brut!$T$2:$T$69,Cecafe_brut!$A$2:$A$69,DATE(2026,9,18),Cecafe_brut!$B$2:$B$69,"certificates",Cecafe_brut!$C$2:$C$69,Parametres!$B$4))</f>
        <v/>
      </c>
      <c r="C25" s="24">
        <f>IF(COUNTIFS(Cecafe_brut!$A$2:$A$69,DATE(2026,9,18),Cecafe_brut!$B$2:$B$69,"certificates",Cecafe_brut!$C$2:$C$69,Parametres!$B$4)=0,NA(),SUMIFS(Cecafe_brut!$S$2:$S$69,Cecafe_brut!$A$2:$A$69,DATE(2026,9,18),Cecafe_brut!$B$2:$B$69,"certificates",Cecafe_brut!$C$2:$C$69,Parametres!$B$4))</f>
        <v/>
      </c>
    </row>
    <row r="26">
      <c r="A26" s="15" t="n">
        <v>19</v>
      </c>
      <c r="B26" s="24">
        <f>IF(COUNTIFS(Cecafe_brut!$A$2:$A$69,DATE(2026,9,19),Cecafe_brut!$B$2:$B$69,"certificates",Cecafe_brut!$C$2:$C$69,Parametres!$B$4)=0,NA(),SUMIFS(Cecafe_brut!$T$2:$T$69,Cecafe_brut!$A$2:$A$69,DATE(2026,9,19),Cecafe_brut!$B$2:$B$69,"certificates",Cecafe_brut!$C$2:$C$69,Parametres!$B$4))</f>
        <v/>
      </c>
      <c r="C26" s="24">
        <f>IF(COUNTIFS(Cecafe_brut!$A$2:$A$69,DATE(2026,9,19),Cecafe_brut!$B$2:$B$69,"certificates",Cecafe_brut!$C$2:$C$69,Parametres!$B$4)=0,NA(),SUMIFS(Cecafe_brut!$S$2:$S$69,Cecafe_brut!$A$2:$A$69,DATE(2026,9,19),Cecafe_brut!$B$2:$B$69,"certificates",Cecafe_brut!$C$2:$C$69,Parametres!$B$4))</f>
        <v/>
      </c>
    </row>
    <row r="27">
      <c r="A27" s="15" t="n">
        <v>20</v>
      </c>
      <c r="B27" s="24">
        <f>IF(COUNTIFS(Cecafe_brut!$A$2:$A$69,DATE(2026,9,20),Cecafe_brut!$B$2:$B$69,"certificates",Cecafe_brut!$C$2:$C$69,Parametres!$B$4)=0,NA(),SUMIFS(Cecafe_brut!$T$2:$T$69,Cecafe_brut!$A$2:$A$69,DATE(2026,9,20),Cecafe_brut!$B$2:$B$69,"certificates",Cecafe_brut!$C$2:$C$69,Parametres!$B$4))</f>
        <v/>
      </c>
      <c r="C27" s="24">
        <f>IF(COUNTIFS(Cecafe_brut!$A$2:$A$69,DATE(2026,9,20),Cecafe_brut!$B$2:$B$69,"certificates",Cecafe_brut!$C$2:$C$69,Parametres!$B$4)=0,NA(),SUMIFS(Cecafe_brut!$S$2:$S$69,Cecafe_brut!$A$2:$A$69,DATE(2026,9,20),Cecafe_brut!$B$2:$B$69,"certificates",Cecafe_brut!$C$2:$C$69,Parametres!$B$4))</f>
        <v/>
      </c>
    </row>
    <row r="28">
      <c r="A28" s="15" t="n">
        <v>21</v>
      </c>
      <c r="B28" s="24">
        <f>IF(COUNTIFS(Cecafe_brut!$A$2:$A$69,DATE(2026,9,21),Cecafe_brut!$B$2:$B$69,"certificates",Cecafe_brut!$C$2:$C$69,Parametres!$B$4)=0,NA(),SUMIFS(Cecafe_brut!$T$2:$T$69,Cecafe_brut!$A$2:$A$69,DATE(2026,9,21),Cecafe_brut!$B$2:$B$69,"certificates",Cecafe_brut!$C$2:$C$69,Parametres!$B$4))</f>
        <v/>
      </c>
      <c r="C28" s="24">
        <f>IF(COUNTIFS(Cecafe_brut!$A$2:$A$69,DATE(2026,9,21),Cecafe_brut!$B$2:$B$69,"certificates",Cecafe_brut!$C$2:$C$69,Parametres!$B$4)=0,NA(),SUMIFS(Cecafe_brut!$S$2:$S$69,Cecafe_brut!$A$2:$A$69,DATE(2026,9,21),Cecafe_brut!$B$2:$B$69,"certificates",Cecafe_brut!$C$2:$C$69,Parametres!$B$4))</f>
        <v/>
      </c>
    </row>
    <row r="29">
      <c r="A29" s="15" t="n">
        <v>22</v>
      </c>
      <c r="B29" s="24">
        <f>IF(COUNTIFS(Cecafe_brut!$A$2:$A$69,DATE(2026,9,22),Cecafe_brut!$B$2:$B$69,"certificates",Cecafe_brut!$C$2:$C$69,Parametres!$B$4)=0,NA(),SUMIFS(Cecafe_brut!$T$2:$T$69,Cecafe_brut!$A$2:$A$69,DATE(2026,9,22),Cecafe_brut!$B$2:$B$69,"certificates",Cecafe_brut!$C$2:$C$69,Parametres!$B$4))</f>
        <v/>
      </c>
      <c r="C29" s="24">
        <f>IF(COUNTIFS(Cecafe_brut!$A$2:$A$69,DATE(2026,9,22),Cecafe_brut!$B$2:$B$69,"certificates",Cecafe_brut!$C$2:$C$69,Parametres!$B$4)=0,NA(),SUMIFS(Cecafe_brut!$S$2:$S$69,Cecafe_brut!$A$2:$A$69,DATE(2026,9,22),Cecafe_brut!$B$2:$B$69,"certificates",Cecafe_brut!$C$2:$C$69,Parametres!$B$4))</f>
        <v/>
      </c>
    </row>
    <row r="30">
      <c r="A30" s="15" t="n">
        <v>23</v>
      </c>
      <c r="B30" s="24">
        <f>IF(COUNTIFS(Cecafe_brut!$A$2:$A$69,DATE(2026,9,23),Cecafe_brut!$B$2:$B$69,"certificates",Cecafe_brut!$C$2:$C$69,Parametres!$B$4)=0,NA(),SUMIFS(Cecafe_brut!$T$2:$T$69,Cecafe_brut!$A$2:$A$69,DATE(2026,9,23),Cecafe_brut!$B$2:$B$69,"certificates",Cecafe_brut!$C$2:$C$69,Parametres!$B$4))</f>
        <v/>
      </c>
      <c r="C30" s="24">
        <f>IF(COUNTIFS(Cecafe_brut!$A$2:$A$69,DATE(2026,9,23),Cecafe_brut!$B$2:$B$69,"certificates",Cecafe_brut!$C$2:$C$69,Parametres!$B$4)=0,NA(),SUMIFS(Cecafe_brut!$S$2:$S$69,Cecafe_brut!$A$2:$A$69,DATE(2026,9,23),Cecafe_brut!$B$2:$B$69,"certificates",Cecafe_brut!$C$2:$C$69,Parametres!$B$4))</f>
        <v/>
      </c>
    </row>
    <row r="31">
      <c r="A31" s="15" t="n">
        <v>24</v>
      </c>
      <c r="B31" s="24">
        <f>IF(COUNTIFS(Cecafe_brut!$A$2:$A$69,DATE(2026,9,24),Cecafe_brut!$B$2:$B$69,"certificates",Cecafe_brut!$C$2:$C$69,Parametres!$B$4)=0,NA(),SUMIFS(Cecafe_brut!$T$2:$T$69,Cecafe_brut!$A$2:$A$69,DATE(2026,9,24),Cecafe_brut!$B$2:$B$69,"certificates",Cecafe_brut!$C$2:$C$69,Parametres!$B$4))</f>
        <v/>
      </c>
      <c r="C31" s="24">
        <f>IF(COUNTIFS(Cecafe_brut!$A$2:$A$69,DATE(2026,9,24),Cecafe_brut!$B$2:$B$69,"certificates",Cecafe_brut!$C$2:$C$69,Parametres!$B$4)=0,NA(),SUMIFS(Cecafe_brut!$S$2:$S$69,Cecafe_brut!$A$2:$A$69,DATE(2026,9,24),Cecafe_brut!$B$2:$B$69,"certificates",Cecafe_brut!$C$2:$C$69,Parametres!$B$4))</f>
        <v/>
      </c>
    </row>
    <row r="32">
      <c r="A32" s="15" t="n">
        <v>25</v>
      </c>
      <c r="B32" s="24">
        <f>IF(COUNTIFS(Cecafe_brut!$A$2:$A$69,DATE(2026,9,25),Cecafe_brut!$B$2:$B$69,"certificates",Cecafe_brut!$C$2:$C$69,Parametres!$B$4)=0,NA(),SUMIFS(Cecafe_brut!$T$2:$T$69,Cecafe_brut!$A$2:$A$69,DATE(2026,9,25),Cecafe_brut!$B$2:$B$69,"certificates",Cecafe_brut!$C$2:$C$69,Parametres!$B$4))</f>
        <v/>
      </c>
      <c r="C32" s="24">
        <f>IF(COUNTIFS(Cecafe_brut!$A$2:$A$69,DATE(2026,9,25),Cecafe_brut!$B$2:$B$69,"certificates",Cecafe_brut!$C$2:$C$69,Parametres!$B$4)=0,NA(),SUMIFS(Cecafe_brut!$S$2:$S$69,Cecafe_brut!$A$2:$A$69,DATE(2026,9,25),Cecafe_brut!$B$2:$B$69,"certificates",Cecafe_brut!$C$2:$C$69,Parametres!$B$4))</f>
        <v/>
      </c>
    </row>
    <row r="33">
      <c r="A33" s="15" t="n">
        <v>26</v>
      </c>
      <c r="B33" s="24">
        <f>IF(COUNTIFS(Cecafe_brut!$A$2:$A$69,DATE(2026,9,26),Cecafe_brut!$B$2:$B$69,"certificates",Cecafe_brut!$C$2:$C$69,Parametres!$B$4)=0,NA(),SUMIFS(Cecafe_brut!$T$2:$T$69,Cecafe_brut!$A$2:$A$69,DATE(2026,9,26),Cecafe_brut!$B$2:$B$69,"certificates",Cecafe_brut!$C$2:$C$69,Parametres!$B$4))</f>
        <v/>
      </c>
      <c r="C33" s="24">
        <f>IF(COUNTIFS(Cecafe_brut!$A$2:$A$69,DATE(2026,9,26),Cecafe_brut!$B$2:$B$69,"certificates",Cecafe_brut!$C$2:$C$69,Parametres!$B$4)=0,NA(),SUMIFS(Cecafe_brut!$S$2:$S$69,Cecafe_brut!$A$2:$A$69,DATE(2026,9,26),Cecafe_brut!$B$2:$B$69,"certificates",Cecafe_brut!$C$2:$C$69,Parametres!$B$4))</f>
        <v/>
      </c>
    </row>
    <row r="34">
      <c r="A34" s="15" t="n">
        <v>27</v>
      </c>
      <c r="B34" s="24">
        <f>IF(COUNTIFS(Cecafe_brut!$A$2:$A$69,DATE(2026,9,27),Cecafe_brut!$B$2:$B$69,"certificates",Cecafe_brut!$C$2:$C$69,Parametres!$B$4)=0,NA(),SUMIFS(Cecafe_brut!$T$2:$T$69,Cecafe_brut!$A$2:$A$69,DATE(2026,9,27),Cecafe_brut!$B$2:$B$69,"certificates",Cecafe_brut!$C$2:$C$69,Parametres!$B$4))</f>
        <v/>
      </c>
      <c r="C34" s="24">
        <f>IF(COUNTIFS(Cecafe_brut!$A$2:$A$69,DATE(2026,9,27),Cecafe_brut!$B$2:$B$69,"certificates",Cecafe_brut!$C$2:$C$69,Parametres!$B$4)=0,NA(),SUMIFS(Cecafe_brut!$S$2:$S$69,Cecafe_brut!$A$2:$A$69,DATE(2026,9,27),Cecafe_brut!$B$2:$B$69,"certificates",Cecafe_brut!$C$2:$C$69,Parametres!$B$4))</f>
        <v/>
      </c>
    </row>
    <row r="35">
      <c r="A35" s="15" t="n">
        <v>28</v>
      </c>
      <c r="B35" s="24">
        <f>IF(COUNTIFS(Cecafe_brut!$A$2:$A$69,DATE(2026,9,28),Cecafe_brut!$B$2:$B$69,"certificates",Cecafe_brut!$C$2:$C$69,Parametres!$B$4)=0,NA(),SUMIFS(Cecafe_brut!$T$2:$T$69,Cecafe_brut!$A$2:$A$69,DATE(2026,9,28),Cecafe_brut!$B$2:$B$69,"certificates",Cecafe_brut!$C$2:$C$69,Parametres!$B$4))</f>
        <v/>
      </c>
      <c r="C35" s="24">
        <f>IF(COUNTIFS(Cecafe_brut!$A$2:$A$69,DATE(2026,9,28),Cecafe_brut!$B$2:$B$69,"certificates",Cecafe_brut!$C$2:$C$69,Parametres!$B$4)=0,NA(),SUMIFS(Cecafe_brut!$S$2:$S$69,Cecafe_brut!$A$2:$A$69,DATE(2026,9,28),Cecafe_brut!$B$2:$B$69,"certificates",Cecafe_brut!$C$2:$C$69,Parametres!$B$4))</f>
        <v/>
      </c>
    </row>
    <row r="36">
      <c r="A36" s="15" t="n">
        <v>29</v>
      </c>
      <c r="B36" s="24">
        <f>IF(COUNTIFS(Cecafe_brut!$A$2:$A$69,DATE(2026,9,29),Cecafe_brut!$B$2:$B$69,"certificates",Cecafe_brut!$C$2:$C$69,Parametres!$B$4)=0,NA(),SUMIFS(Cecafe_brut!$T$2:$T$69,Cecafe_brut!$A$2:$A$69,DATE(2026,9,29),Cecafe_brut!$B$2:$B$69,"certificates",Cecafe_brut!$C$2:$C$69,Parametres!$B$4))</f>
        <v/>
      </c>
      <c r="C36" s="24">
        <f>IF(COUNTIFS(Cecafe_brut!$A$2:$A$69,DATE(2026,9,29),Cecafe_brut!$B$2:$B$69,"certificates",Cecafe_brut!$C$2:$C$69,Parametres!$B$4)=0,NA(),SUMIFS(Cecafe_brut!$S$2:$S$69,Cecafe_brut!$A$2:$A$69,DATE(2026,9,29),Cecafe_brut!$B$2:$B$69,"certificates",Cecafe_brut!$C$2:$C$69,Parametres!$B$4))</f>
        <v/>
      </c>
    </row>
    <row r="37">
      <c r="A37" s="15" t="n">
        <v>30</v>
      </c>
      <c r="B37" s="24">
        <f>IF(COUNTIFS(Cecafe_brut!$A$2:$A$69,DATE(2026,9,30),Cecafe_brut!$B$2:$B$69,"certificates",Cecafe_brut!$C$2:$C$69,Parametres!$B$4)=0,NA(),SUMIFS(Cecafe_brut!$T$2:$T$69,Cecafe_brut!$A$2:$A$69,DATE(2026,9,30),Cecafe_brut!$B$2:$B$69,"certificates",Cecafe_brut!$C$2:$C$69,Parametres!$B$4))</f>
        <v/>
      </c>
      <c r="C37" s="24">
        <f>IF(COUNTIFS(Cecafe_brut!$A$2:$A$69,DATE(2026,9,30),Cecafe_brut!$B$2:$B$69,"certificates",Cecafe_brut!$C$2:$C$69,Parametres!$B$4)=0,NA(),SUMIFS(Cecafe_brut!$S$2:$S$69,Cecafe_brut!$A$2:$A$69,DATE(2026,9,30),Cecafe_brut!$B$2:$B$69,"certificates",Cecafe_brut!$C$2:$C$69,Parametres!$B$4))</f>
        <v/>
      </c>
    </row>
    <row r="38">
      <c r="A38" s="15" t="n">
        <v>31</v>
      </c>
      <c r="B38" s="24">
        <f>IF(COUNTIFS(Cecafe_brut!$A$2:$A$69,DATE(2026,9,31),Cecafe_brut!$B$2:$B$69,"certificates",Cecafe_brut!$C$2:$C$69,Parametres!$B$4)=0,NA(),SUMIFS(Cecafe_brut!$T$2:$T$69,Cecafe_brut!$A$2:$A$69,DATE(2026,9,31),Cecafe_brut!$B$2:$B$69,"certificates",Cecafe_brut!$C$2:$C$69,Parametres!$B$4))</f>
        <v/>
      </c>
      <c r="C38" s="24">
        <f>IF(COUNTIFS(Cecafe_brut!$A$2:$A$69,DATE(2026,9,31),Cecafe_brut!$B$2:$B$69,"certificates",Cecafe_brut!$C$2:$C$69,Parametres!$B$4)=0,NA(),SUMIFS(Cecafe_brut!$S$2:$S$69,Cecafe_brut!$A$2:$A$69,DATE(2026,9,31),Cecafe_brut!$B$2:$B$69,"certificates",Cecafe_brut!$C$2:$C$69,Parametres!$B$4))</f>
        <v/>
      </c>
    </row>
    <row r="39"/>
    <row r="40">
      <c r="A40" s="2" t="inlineStr">
        <is>
          <t>Les cellules #N/A sont des jours sans donnée : Excel les ignore dans le graphique. Les mêmes mois des années précédentes s’ajouteront comme colonnes au fur et à mesure de la collecte.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Certificats d’origine — total mensuel par année</t>
        </is>
      </c>
    </row>
    <row r="2">
      <c r="A2" s="2" t="inlineStr">
        <is>
          <t>Dernier cumul observé dans le mois (mois en cours = partiel). Unité et type : onglet Parametres.</t>
        </is>
      </c>
    </row>
    <row r="3"/>
    <row r="4">
      <c r="A4" s="8" t="inlineStr">
        <is>
          <t>Unité</t>
        </is>
      </c>
      <c r="B4" s="22">
        <f>Parametres!$B$4</f>
        <v/>
      </c>
    </row>
    <row r="5">
      <c r="A5" s="8" t="inlineStr">
        <is>
          <t>Type</t>
        </is>
      </c>
      <c r="B5" s="22">
        <f>Parametres!$B$5</f>
        <v/>
      </c>
    </row>
    <row r="6"/>
    <row r="7">
      <c r="A7" s="13" t="inlineStr">
        <is>
          <t>Mois</t>
        </is>
      </c>
      <c r="B7" s="13" t="inlineStr">
        <is>
          <t>2026</t>
        </is>
      </c>
    </row>
    <row r="8">
      <c r="A8" s="15" t="inlineStr">
        <is>
          <t>Jan</t>
        </is>
      </c>
      <c r="B8" s="24">
        <f>IF(SUMPRODUCT((Cecafe_brut!$A$2:$A$69&gt;=DATE(2026,1,1))*(Cecafe_brut!$A$2:$A$69&lt;DATE(2026,1+1,1))*(Cecafe_brut!$B$2:$B$69="certificates")*(Cecafe_brut!$C$2:$C$69=Parametres!$B$4))=0,NA(),SUMPRODUCT(MAX((Cecafe_brut!$A$2:$A$69&gt;=DATE(2026,1,1))*(Cecafe_brut!$A$2:$A$69&lt;DATE(2026,1+1,1))*(Cecafe_brut!$B$2:$B$69="certificates")*(Cecafe_brut!$C$2:$C$69=Parametres!$B$4)*Cecafe_brut!$S$2:$S$69)))</f>
        <v/>
      </c>
    </row>
    <row r="9">
      <c r="A9" s="15" t="inlineStr">
        <is>
          <t>Fév</t>
        </is>
      </c>
      <c r="B9" s="24">
        <f>IF(SUMPRODUCT((Cecafe_brut!$A$2:$A$69&gt;=DATE(2026,2,1))*(Cecafe_brut!$A$2:$A$69&lt;DATE(2026,2+1,1))*(Cecafe_brut!$B$2:$B$69="certificates")*(Cecafe_brut!$C$2:$C$69=Parametres!$B$4))=0,NA(),SUMPRODUCT(MAX((Cecafe_brut!$A$2:$A$69&gt;=DATE(2026,2,1))*(Cecafe_brut!$A$2:$A$69&lt;DATE(2026,2+1,1))*(Cecafe_brut!$B$2:$B$69="certificates")*(Cecafe_brut!$C$2:$C$69=Parametres!$B$4)*Cecafe_brut!$S$2:$S$69)))</f>
        <v/>
      </c>
    </row>
    <row r="10">
      <c r="A10" s="15" t="inlineStr">
        <is>
          <t>Mar</t>
        </is>
      </c>
      <c r="B10" s="24">
        <f>IF(SUMPRODUCT((Cecafe_brut!$A$2:$A$69&gt;=DATE(2026,3,1))*(Cecafe_brut!$A$2:$A$69&lt;DATE(2026,3+1,1))*(Cecafe_brut!$B$2:$B$69="certificates")*(Cecafe_brut!$C$2:$C$69=Parametres!$B$4))=0,NA(),SUMPRODUCT(MAX((Cecafe_brut!$A$2:$A$69&gt;=DATE(2026,3,1))*(Cecafe_brut!$A$2:$A$69&lt;DATE(2026,3+1,1))*(Cecafe_brut!$B$2:$B$69="certificates")*(Cecafe_brut!$C$2:$C$69=Parametres!$B$4)*Cecafe_brut!$S$2:$S$69)))</f>
        <v/>
      </c>
    </row>
    <row r="11">
      <c r="A11" s="15" t="inlineStr">
        <is>
          <t>Avr</t>
        </is>
      </c>
      <c r="B11" s="24">
        <f>IF(SUMPRODUCT((Cecafe_brut!$A$2:$A$69&gt;=DATE(2026,4,1))*(Cecafe_brut!$A$2:$A$69&lt;DATE(2026,4+1,1))*(Cecafe_brut!$B$2:$B$69="certificates")*(Cecafe_brut!$C$2:$C$69=Parametres!$B$4))=0,NA(),SUMPRODUCT(MAX((Cecafe_brut!$A$2:$A$69&gt;=DATE(2026,4,1))*(Cecafe_brut!$A$2:$A$69&lt;DATE(2026,4+1,1))*(Cecafe_brut!$B$2:$B$69="certificates")*(Cecafe_brut!$C$2:$C$69=Parametres!$B$4)*Cecafe_brut!$S$2:$S$69)))</f>
        <v/>
      </c>
    </row>
    <row r="12">
      <c r="A12" s="15" t="inlineStr">
        <is>
          <t>Mai</t>
        </is>
      </c>
      <c r="B12" s="24">
        <f>IF(SUMPRODUCT((Cecafe_brut!$A$2:$A$69&gt;=DATE(2026,5,1))*(Cecafe_brut!$A$2:$A$69&lt;DATE(2026,5+1,1))*(Cecafe_brut!$B$2:$B$69="certificates")*(Cecafe_brut!$C$2:$C$69=Parametres!$B$4))=0,NA(),SUMPRODUCT(MAX((Cecafe_brut!$A$2:$A$69&gt;=DATE(2026,5,1))*(Cecafe_brut!$A$2:$A$69&lt;DATE(2026,5+1,1))*(Cecafe_brut!$B$2:$B$69="certificates")*(Cecafe_brut!$C$2:$C$69=Parametres!$B$4)*Cecafe_brut!$S$2:$S$69)))</f>
        <v/>
      </c>
    </row>
    <row r="13">
      <c r="A13" s="15" t="inlineStr">
        <is>
          <t>Juin</t>
        </is>
      </c>
      <c r="B13" s="24">
        <f>IF(SUMPRODUCT((Cecafe_brut!$A$2:$A$69&gt;=DATE(2026,6,1))*(Cecafe_brut!$A$2:$A$69&lt;DATE(2026,6+1,1))*(Cecafe_brut!$B$2:$B$69="certificates")*(Cecafe_brut!$C$2:$C$69=Parametres!$B$4))=0,NA(),SUMPRODUCT(MAX((Cecafe_brut!$A$2:$A$69&gt;=DATE(2026,6,1))*(Cecafe_brut!$A$2:$A$69&lt;DATE(2026,6+1,1))*(Cecafe_brut!$B$2:$B$69="certificates")*(Cecafe_brut!$C$2:$C$69=Parametres!$B$4)*Cecafe_brut!$S$2:$S$69)))</f>
        <v/>
      </c>
    </row>
    <row r="14">
      <c r="A14" s="15" t="inlineStr">
        <is>
          <t>Juil</t>
        </is>
      </c>
      <c r="B14" s="24">
        <f>IF(SUMPRODUCT((Cecafe_brut!$A$2:$A$69&gt;=DATE(2026,7,1))*(Cecafe_brut!$A$2:$A$69&lt;DATE(2026,7+1,1))*(Cecafe_brut!$B$2:$B$69="certificates")*(Cecafe_brut!$C$2:$C$69=Parametres!$B$4))=0,NA(),SUMPRODUCT(MAX((Cecafe_brut!$A$2:$A$69&gt;=DATE(2026,7,1))*(Cecafe_brut!$A$2:$A$69&lt;DATE(2026,7+1,1))*(Cecafe_brut!$B$2:$B$69="certificates")*(Cecafe_brut!$C$2:$C$69=Parametres!$B$4)*Cecafe_brut!$S$2:$S$69)))</f>
        <v/>
      </c>
    </row>
    <row r="15">
      <c r="A15" s="15" t="inlineStr">
        <is>
          <t>Août</t>
        </is>
      </c>
      <c r="B15" s="24">
        <f>IF(SUMPRODUCT((Cecafe_brut!$A$2:$A$69&gt;=DATE(2026,8,1))*(Cecafe_brut!$A$2:$A$69&lt;DATE(2026,8+1,1))*(Cecafe_brut!$B$2:$B$69="certificates")*(Cecafe_brut!$C$2:$C$69=Parametres!$B$4))=0,NA(),SUMPRODUCT(MAX((Cecafe_brut!$A$2:$A$69&gt;=DATE(2026,8,1))*(Cecafe_brut!$A$2:$A$69&lt;DATE(2026,8+1,1))*(Cecafe_brut!$B$2:$B$69="certificates")*(Cecafe_brut!$C$2:$C$69=Parametres!$B$4)*Cecafe_brut!$S$2:$S$69)))</f>
        <v/>
      </c>
    </row>
    <row r="16">
      <c r="A16" s="15" t="inlineStr">
        <is>
          <t>Sep</t>
        </is>
      </c>
      <c r="B16" s="24">
        <f>IF(SUMPRODUCT((Cecafe_brut!$A$2:$A$69&gt;=DATE(2026,9,1))*(Cecafe_brut!$A$2:$A$69&lt;DATE(2026,9+1,1))*(Cecafe_brut!$B$2:$B$69="certificates")*(Cecafe_brut!$C$2:$C$69=Parametres!$B$4))=0,NA(),SUMPRODUCT(MAX((Cecafe_brut!$A$2:$A$69&gt;=DATE(2026,9,1))*(Cecafe_brut!$A$2:$A$69&lt;DATE(2026,9+1,1))*(Cecafe_brut!$B$2:$B$69="certificates")*(Cecafe_brut!$C$2:$C$69=Parametres!$B$4)*Cecafe_brut!$S$2:$S$69)))</f>
        <v/>
      </c>
    </row>
    <row r="17">
      <c r="A17" s="15" t="inlineStr">
        <is>
          <t>Oct</t>
        </is>
      </c>
      <c r="B17" s="24">
        <f>IF(SUMPRODUCT((Cecafe_brut!$A$2:$A$69&gt;=DATE(2026,10,1))*(Cecafe_brut!$A$2:$A$69&lt;DATE(2026,10+1,1))*(Cecafe_brut!$B$2:$B$69="certificates")*(Cecafe_brut!$C$2:$C$69=Parametres!$B$4))=0,NA(),SUMPRODUCT(MAX((Cecafe_brut!$A$2:$A$69&gt;=DATE(2026,10,1))*(Cecafe_brut!$A$2:$A$69&lt;DATE(2026,10+1,1))*(Cecafe_brut!$B$2:$B$69="certificates")*(Cecafe_brut!$C$2:$C$69=Parametres!$B$4)*Cecafe_brut!$S$2:$S$69)))</f>
        <v/>
      </c>
    </row>
    <row r="18">
      <c r="A18" s="15" t="inlineStr">
        <is>
          <t>Nov</t>
        </is>
      </c>
      <c r="B18" s="24">
        <f>IF(SUMPRODUCT((Cecafe_brut!$A$2:$A$69&gt;=DATE(2026,11,1))*(Cecafe_brut!$A$2:$A$69&lt;DATE(2026,11+1,1))*(Cecafe_brut!$B$2:$B$69="certificates")*(Cecafe_brut!$C$2:$C$69=Parametres!$B$4))=0,NA(),SUMPRODUCT(MAX((Cecafe_brut!$A$2:$A$69&gt;=DATE(2026,11,1))*(Cecafe_brut!$A$2:$A$69&lt;DATE(2026,11+1,1))*(Cecafe_brut!$B$2:$B$69="certificates")*(Cecafe_brut!$C$2:$C$69=Parametres!$B$4)*Cecafe_brut!$S$2:$S$69)))</f>
        <v/>
      </c>
    </row>
    <row r="19">
      <c r="A19" s="15" t="inlineStr">
        <is>
          <t>Déc</t>
        </is>
      </c>
      <c r="B19" s="24">
        <f>IF(SUMPRODUCT((Cecafe_brut!$A$2:$A$69&gt;=DATE(2026,12,1))*(Cecafe_brut!$A$2:$A$69&lt;DATE(2026,12+1,1))*(Cecafe_brut!$B$2:$B$69="certificates")*(Cecafe_brut!$C$2:$C$69=Parametres!$B$4))=0,NA(),SUMPRODUCT(MAX((Cecafe_brut!$A$2:$A$69&gt;=DATE(2026,12,1))*(Cecafe_brut!$A$2:$A$69&lt;DATE(2026,12+1,1))*(Cecafe_brut!$B$2:$B$69="certificates")*(Cecafe_brut!$C$2:$C$69=Parametres!$B$4)*Cecafe_brut!$S$2:$S$69)))</f>
        <v/>
      </c>
    </row>
    <row r="20"/>
    <row r="21">
      <c r="A21" s="2" t="inlineStr">
        <is>
          <t>Une colonne par année apparaîtra automatiquement dans la page web ; ici, ajoute une colonne par année collectée.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14" customWidth="1" min="4" max="4"/>
    <col width="14" customWidth="1" min="5" max="5"/>
    <col width="18" customWidth="1" min="6" max="6"/>
    <col width="12" customWidth="1" min="7" max="7"/>
    <col width="30" customWidth="1" min="8" max="8"/>
    <col width="18" customWidth="1" min="9" max="9"/>
  </cols>
  <sheetData>
    <row r="1">
      <c r="A1" s="1" t="inlineStr">
        <is>
          <t>Journal manuel des dépôts (volumes/daily_log.csv)</t>
        </is>
      </c>
    </row>
    <row r="2">
      <c r="A2" s="2" t="inlineStr">
        <is>
          <t>Saisis dans les colonnes jaunes ; le stock courant est calculé : stock précédent + entrées − sorties, ou stock mesuré s’il est renseigné.</t>
        </is>
      </c>
    </row>
    <row r="3"/>
    <row r="4">
      <c r="A4" s="13" t="inlineStr">
        <is>
          <t>Date</t>
        </is>
      </c>
      <c r="B4" s="13" t="inlineStr">
        <is>
          <t>État</t>
        </is>
      </c>
      <c r="C4" s="13" t="inlineStr">
        <is>
          <t>Site</t>
        </is>
      </c>
      <c r="D4" s="13" t="inlineStr">
        <is>
          <t>Entrées (sacs)</t>
        </is>
      </c>
      <c r="E4" s="13" t="inlineStr">
        <is>
          <t>Sorties (sacs)</t>
        </is>
      </c>
      <c r="F4" s="13" t="inlineStr">
        <is>
          <t>Stock mesuré (sacs)</t>
        </is>
      </c>
      <c r="G4" s="13" t="inlineStr">
        <is>
          <t>Source</t>
        </is>
      </c>
      <c r="H4" s="13" t="inlineStr">
        <is>
          <t>Note</t>
        </is>
      </c>
      <c r="I4" s="13" t="inlineStr">
        <is>
          <t>Stock calculé (sacs)</t>
        </is>
      </c>
    </row>
    <row r="5">
      <c r="A5" s="14" t="n">
        <v>46258</v>
      </c>
      <c r="B5" s="15" t="inlineStr">
        <is>
          <t>MG</t>
        </is>
      </c>
      <c r="C5" s="15" t="inlineStr">
        <is>
          <t>Armazém Varginha</t>
        </is>
      </c>
      <c r="D5" s="27" t="n">
        <v>1200</v>
      </c>
      <c r="E5" s="27" t="n">
        <v>300</v>
      </c>
      <c r="F5" s="27" t="n">
        <v>9800</v>
      </c>
      <c r="G5" s="15" t="inlineStr">
        <is>
          <t>example</t>
        </is>
      </c>
      <c r="H5" s="15" t="inlineStr">
        <is>
          <t>opening physical count</t>
        </is>
      </c>
      <c r="I5" s="24">
        <f>IF(F5&lt;&gt;"",F5,IF(AND(ROW()&gt;5,C4=C5),I4,0)+N(D5)-N(E5))</f>
        <v/>
      </c>
    </row>
    <row r="6">
      <c r="A6" s="14" t="n">
        <v>46259</v>
      </c>
      <c r="B6" s="15" t="inlineStr">
        <is>
          <t>MG</t>
        </is>
      </c>
      <c r="C6" s="15" t="inlineStr">
        <is>
          <t>Armazém Varginha</t>
        </is>
      </c>
      <c r="D6" s="27" t="n">
        <v>950</v>
      </c>
      <c r="E6" s="27" t="n">
        <v>420</v>
      </c>
      <c r="F6" s="27" t="n"/>
      <c r="G6" s="15" t="inlineStr">
        <is>
          <t>example</t>
        </is>
      </c>
      <c r="H6" s="15" t="inlineStr"/>
      <c r="I6" s="24">
        <f>IF(F6&lt;&gt;"",F6,IF(AND(ROW()&gt;5,C5=C6),I5,0)+N(D6)-N(E6))</f>
        <v/>
      </c>
    </row>
    <row r="7">
      <c r="A7" s="14" t="n">
        <v>46260</v>
      </c>
      <c r="B7" s="15" t="inlineStr">
        <is>
          <t>MG</t>
        </is>
      </c>
      <c r="C7" s="15" t="inlineStr">
        <is>
          <t>Armazém Varginha</t>
        </is>
      </c>
      <c r="D7" s="27" t="n">
        <v>1100</v>
      </c>
      <c r="E7" s="27" t="n">
        <v>600</v>
      </c>
      <c r="F7" s="27" t="n"/>
      <c r="G7" s="15" t="inlineStr">
        <is>
          <t>example</t>
        </is>
      </c>
      <c r="H7" s="15" t="inlineStr"/>
      <c r="I7" s="24">
        <f>IF(F7&lt;&gt;"",F7,IF(AND(ROW()&gt;5,C6=C7),I6,0)+N(D7)-N(E7))</f>
        <v/>
      </c>
    </row>
    <row r="8">
      <c r="A8" s="14" t="n">
        <v>46261</v>
      </c>
      <c r="B8" s="15" t="inlineStr">
        <is>
          <t>MG</t>
        </is>
      </c>
      <c r="C8" s="15" t="inlineStr">
        <is>
          <t>Armazém Varginha</t>
        </is>
      </c>
      <c r="D8" s="27" t="n">
        <v>800</v>
      </c>
      <c r="E8" s="27" t="n">
        <v>900</v>
      </c>
      <c r="F8" s="27" t="n"/>
      <c r="G8" s="15" t="inlineStr">
        <is>
          <t>example</t>
        </is>
      </c>
      <c r="H8" s="15" t="inlineStr">
        <is>
          <t>truck to Santos</t>
        </is>
      </c>
      <c r="I8" s="24">
        <f>IF(F8&lt;&gt;"",F8,IF(AND(ROW()&gt;5,C7=C8),I7,0)+N(D8)-N(E8))</f>
        <v/>
      </c>
    </row>
    <row r="9">
      <c r="A9" s="14" t="n">
        <v>46262</v>
      </c>
      <c r="B9" s="15" t="inlineStr">
        <is>
          <t>MG</t>
        </is>
      </c>
      <c r="C9" s="15" t="inlineStr">
        <is>
          <t>Armazém Varginha</t>
        </is>
      </c>
      <c r="D9" s="27" t="n">
        <v>600</v>
      </c>
      <c r="E9" s="27" t="n">
        <v>250</v>
      </c>
      <c r="F9" s="27" t="n">
        <v>10500</v>
      </c>
      <c r="G9" s="15" t="inlineStr">
        <is>
          <t>example</t>
        </is>
      </c>
      <c r="H9" s="15" t="inlineStr">
        <is>
          <t>physical count end of day</t>
        </is>
      </c>
      <c r="I9" s="24">
        <f>IF(F9&lt;&gt;"",F9,IF(AND(ROW()&gt;5,C8=C9),I8,0)+N(D9)-N(E9))</f>
        <v/>
      </c>
    </row>
    <row r="10">
      <c r="A10" s="14" t="n">
        <v>46265</v>
      </c>
      <c r="B10" s="15" t="inlineStr">
        <is>
          <t>MG</t>
        </is>
      </c>
      <c r="C10" s="15" t="inlineStr">
        <is>
          <t>Armazém Varginha</t>
        </is>
      </c>
      <c r="D10" s="27" t="n">
        <v>700</v>
      </c>
      <c r="E10" s="27" t="n">
        <v>1200</v>
      </c>
      <c r="F10" s="27" t="n"/>
      <c r="G10" s="15" t="inlineStr">
        <is>
          <t>example</t>
        </is>
      </c>
      <c r="H10" s="15" t="inlineStr"/>
      <c r="I10" s="24">
        <f>IF(F10&lt;&gt;"",F10,IF(AND(ROW()&gt;5,C9=C10),I9,0)+N(D10)-N(E10))</f>
        <v/>
      </c>
    </row>
    <row r="11">
      <c r="A11" s="14" t="n">
        <v>46266</v>
      </c>
      <c r="B11" s="15" t="inlineStr">
        <is>
          <t>MG</t>
        </is>
      </c>
      <c r="C11" s="15" t="inlineStr">
        <is>
          <t>Armazém Varginha</t>
        </is>
      </c>
      <c r="D11" s="27" t="n">
        <v>400</v>
      </c>
      <c r="E11" s="27" t="n">
        <v>800</v>
      </c>
      <c r="F11" s="27" t="n"/>
      <c r="G11" s="15" t="inlineStr">
        <is>
          <t>example</t>
        </is>
      </c>
      <c r="H11" s="15" t="inlineStr"/>
      <c r="I11" s="24">
        <f>IF(F11&lt;&gt;"",F11,IF(AND(ROW()&gt;5,C10=C11),I10,0)+N(D11)-N(E11))</f>
        <v/>
      </c>
    </row>
    <row r="12">
      <c r="A12" s="14" t="n">
        <v>46267</v>
      </c>
      <c r="B12" s="15" t="inlineStr">
        <is>
          <t>MG</t>
        </is>
      </c>
      <c r="C12" s="15" t="inlineStr">
        <is>
          <t>Armazém Varginha</t>
        </is>
      </c>
      <c r="D12" s="27" t="n">
        <v>500</v>
      </c>
      <c r="E12" s="27" t="n">
        <v>350</v>
      </c>
      <c r="F12" s="27" t="n"/>
      <c r="G12" s="15" t="inlineStr">
        <is>
          <t>example</t>
        </is>
      </c>
      <c r="H12" s="15" t="inlineStr"/>
      <c r="I12" s="24">
        <f>IF(F12&lt;&gt;"",F12,IF(AND(ROW()&gt;5,C11=C12),I11,0)+N(D12)-N(E12))</f>
        <v/>
      </c>
    </row>
    <row r="13">
      <c r="A13" s="14" t="n">
        <v>46268</v>
      </c>
      <c r="B13" s="15" t="inlineStr">
        <is>
          <t>MG</t>
        </is>
      </c>
      <c r="C13" s="15" t="inlineStr">
        <is>
          <t>Armazém Varginha</t>
        </is>
      </c>
      <c r="D13" s="27" t="n">
        <v>300</v>
      </c>
      <c r="E13" s="27" t="n">
        <v>700</v>
      </c>
      <c r="F13" s="27" t="n"/>
      <c r="G13" s="15" t="inlineStr">
        <is>
          <t>example</t>
        </is>
      </c>
      <c r="H13" s="15" t="inlineStr"/>
      <c r="I13" s="24">
        <f>IF(F13&lt;&gt;"",F13,IF(AND(ROW()&gt;5,C12=C13),I12,0)+N(D13)-N(E13))</f>
        <v/>
      </c>
    </row>
    <row r="14">
      <c r="A14" s="14" t="n">
        <v>46269</v>
      </c>
      <c r="B14" s="15" t="inlineStr">
        <is>
          <t>MG</t>
        </is>
      </c>
      <c r="C14" s="15" t="inlineStr">
        <is>
          <t>Armazém Varginha</t>
        </is>
      </c>
      <c r="D14" s="27" t="n">
        <v>250</v>
      </c>
      <c r="E14" s="27" t="n">
        <v>400</v>
      </c>
      <c r="F14" s="27" t="n"/>
      <c r="G14" s="15" t="inlineStr">
        <is>
          <t>example</t>
        </is>
      </c>
      <c r="H14" s="15" t="inlineStr"/>
      <c r="I14" s="24">
        <f>IF(F14&lt;&gt;"",F14,IF(AND(ROW()&gt;5,C13=C14),I13,0)+N(D14)-N(E14))</f>
        <v/>
      </c>
    </row>
    <row r="15">
      <c r="A15" s="14" t="n">
        <v>46258</v>
      </c>
      <c r="B15" s="15" t="inlineStr">
        <is>
          <t>ES</t>
        </is>
      </c>
      <c r="C15" s="15" t="inlineStr">
        <is>
          <t>Armazém Vitória</t>
        </is>
      </c>
      <c r="D15" s="27" t="n">
        <v>2000</v>
      </c>
      <c r="E15" s="27" t="n">
        <v>1500</v>
      </c>
      <c r="F15" s="27" t="n">
        <v>25500</v>
      </c>
      <c r="G15" s="15" t="inlineStr">
        <is>
          <t>example</t>
        </is>
      </c>
      <c r="H15" s="15" t="inlineStr">
        <is>
          <t>opening physical count (conilon)</t>
        </is>
      </c>
      <c r="I15" s="24">
        <f>IF(F15&lt;&gt;"",F15,IF(AND(ROW()&gt;5,C14=C15),I14,0)+N(D15)-N(E15))</f>
        <v/>
      </c>
    </row>
    <row r="16">
      <c r="A16" s="14" t="n">
        <v>46259</v>
      </c>
      <c r="B16" s="15" t="inlineStr">
        <is>
          <t>ES</t>
        </is>
      </c>
      <c r="C16" s="15" t="inlineStr">
        <is>
          <t>Armazém Vitória</t>
        </is>
      </c>
      <c r="D16" s="27" t="n">
        <v>1800</v>
      </c>
      <c r="E16" s="27" t="n">
        <v>2200</v>
      </c>
      <c r="F16" s="27" t="n"/>
      <c r="G16" s="15" t="inlineStr">
        <is>
          <t>example</t>
        </is>
      </c>
      <c r="H16" s="15" t="inlineStr"/>
      <c r="I16" s="24">
        <f>IF(F16&lt;&gt;"",F16,IF(AND(ROW()&gt;5,C15=C16),I15,0)+N(D16)-N(E16))</f>
        <v/>
      </c>
    </row>
    <row r="17">
      <c r="A17" s="14" t="n">
        <v>46260</v>
      </c>
      <c r="B17" s="15" t="inlineStr">
        <is>
          <t>ES</t>
        </is>
      </c>
      <c r="C17" s="15" t="inlineStr">
        <is>
          <t>Armazém Vitória</t>
        </is>
      </c>
      <c r="D17" s="27" t="n">
        <v>1500</v>
      </c>
      <c r="E17" s="27" t="n">
        <v>900</v>
      </c>
      <c r="F17" s="27" t="n"/>
      <c r="G17" s="15" t="inlineStr">
        <is>
          <t>example</t>
        </is>
      </c>
      <c r="H17" s="15" t="inlineStr"/>
      <c r="I17" s="24">
        <f>IF(F17&lt;&gt;"",F17,IF(AND(ROW()&gt;5,C16=C17),I16,0)+N(D17)-N(E17))</f>
        <v/>
      </c>
    </row>
    <row r="18">
      <c r="A18" s="14" t="n">
        <v>46261</v>
      </c>
      <c r="B18" s="15" t="inlineStr">
        <is>
          <t>ES</t>
        </is>
      </c>
      <c r="C18" s="15" t="inlineStr">
        <is>
          <t>Armazém Vitória</t>
        </is>
      </c>
      <c r="D18" s="27" t="n">
        <v>1200</v>
      </c>
      <c r="E18" s="27" t="n">
        <v>2600</v>
      </c>
      <c r="F18" s="27" t="n"/>
      <c r="G18" s="15" t="inlineStr">
        <is>
          <t>example</t>
        </is>
      </c>
      <c r="H18" s="15" t="inlineStr">
        <is>
          <t>vessel loading</t>
        </is>
      </c>
      <c r="I18" s="24">
        <f>IF(F18&lt;&gt;"",F18,IF(AND(ROW()&gt;5,C17=C18),I17,0)+N(D18)-N(E18))</f>
        <v/>
      </c>
    </row>
    <row r="19">
      <c r="A19" s="14" t="n">
        <v>46262</v>
      </c>
      <c r="B19" s="15" t="inlineStr">
        <is>
          <t>ES</t>
        </is>
      </c>
      <c r="C19" s="15" t="inlineStr">
        <is>
          <t>Armazém Vitória</t>
        </is>
      </c>
      <c r="D19" s="27" t="n">
        <v>900</v>
      </c>
      <c r="E19" s="27" t="n">
        <v>1100</v>
      </c>
      <c r="F19" s="27" t="n">
        <v>24000</v>
      </c>
      <c r="G19" s="15" t="inlineStr">
        <is>
          <t>example</t>
        </is>
      </c>
      <c r="H19" s="15" t="inlineStr">
        <is>
          <t>physical count end of day</t>
        </is>
      </c>
      <c r="I19" s="24">
        <f>IF(F19&lt;&gt;"",F19,IF(AND(ROW()&gt;5,C18=C19),I18,0)+N(D19)-N(E19))</f>
        <v/>
      </c>
    </row>
    <row r="20">
      <c r="A20" s="14" t="n">
        <v>46265</v>
      </c>
      <c r="B20" s="15" t="inlineStr">
        <is>
          <t>ES</t>
        </is>
      </c>
      <c r="C20" s="15" t="inlineStr">
        <is>
          <t>Armazém Vitória</t>
        </is>
      </c>
      <c r="D20" s="27" t="n">
        <v>700</v>
      </c>
      <c r="E20" s="27" t="n">
        <v>1900</v>
      </c>
      <c r="F20" s="27" t="n"/>
      <c r="G20" s="15" t="inlineStr">
        <is>
          <t>example</t>
        </is>
      </c>
      <c r="H20" s="15" t="inlineStr"/>
      <c r="I20" s="24">
        <f>IF(F20&lt;&gt;"",F20,IF(AND(ROW()&gt;5,C19=C20),I19,0)+N(D20)-N(E20))</f>
        <v/>
      </c>
    </row>
    <row r="21">
      <c r="A21" s="14" t="n">
        <v>46266</v>
      </c>
      <c r="B21" s="15" t="inlineStr">
        <is>
          <t>ES</t>
        </is>
      </c>
      <c r="C21" s="15" t="inlineStr">
        <is>
          <t>Armazém Vitória</t>
        </is>
      </c>
      <c r="D21" s="27" t="n">
        <v>600</v>
      </c>
      <c r="E21" s="27" t="n">
        <v>1300</v>
      </c>
      <c r="F21" s="27" t="n"/>
      <c r="G21" s="15" t="inlineStr">
        <is>
          <t>example</t>
        </is>
      </c>
      <c r="H21" s="15" t="inlineStr"/>
      <c r="I21" s="24">
        <f>IF(F21&lt;&gt;"",F21,IF(AND(ROW()&gt;5,C20=C21),I20,0)+N(D21)-N(E21))</f>
        <v/>
      </c>
    </row>
    <row r="22">
      <c r="A22" s="14" t="n">
        <v>46267</v>
      </c>
      <c r="B22" s="15" t="inlineStr">
        <is>
          <t>ES</t>
        </is>
      </c>
      <c r="C22" s="15" t="inlineStr">
        <is>
          <t>Armazém Vitória</t>
        </is>
      </c>
      <c r="D22" s="27" t="n">
        <v>800</v>
      </c>
      <c r="E22" s="27" t="n">
        <v>700</v>
      </c>
      <c r="F22" s="27" t="n"/>
      <c r="G22" s="15" t="inlineStr">
        <is>
          <t>example</t>
        </is>
      </c>
      <c r="H22" s="15" t="inlineStr"/>
      <c r="I22" s="24">
        <f>IF(F22&lt;&gt;"",F22,IF(AND(ROW()&gt;5,C21=C22),I21,0)+N(D22)-N(E22))</f>
        <v/>
      </c>
    </row>
    <row r="23">
      <c r="A23" s="14" t="n">
        <v>46268</v>
      </c>
      <c r="B23" s="15" t="inlineStr">
        <is>
          <t>ES</t>
        </is>
      </c>
      <c r="C23" s="15" t="inlineStr">
        <is>
          <t>Armazém Vitória</t>
        </is>
      </c>
      <c r="D23" s="27" t="n">
        <v>500</v>
      </c>
      <c r="E23" s="27" t="n">
        <v>1500</v>
      </c>
      <c r="F23" s="27" t="n"/>
      <c r="G23" s="15" t="inlineStr">
        <is>
          <t>example</t>
        </is>
      </c>
      <c r="H23" s="15" t="inlineStr"/>
      <c r="I23" s="24">
        <f>IF(F23&lt;&gt;"",F23,IF(AND(ROW()&gt;5,C22=C23),I22,0)+N(D23)-N(E23))</f>
        <v/>
      </c>
    </row>
    <row r="24">
      <c r="A24" s="14" t="n">
        <v>46269</v>
      </c>
      <c r="B24" s="15" t="inlineStr">
        <is>
          <t>ES</t>
        </is>
      </c>
      <c r="C24" s="15" t="inlineStr">
        <is>
          <t>Armazém Vitória</t>
        </is>
      </c>
      <c r="D24" s="27" t="n">
        <v>400</v>
      </c>
      <c r="E24" s="27" t="n">
        <v>900</v>
      </c>
      <c r="F24" s="27" t="n"/>
      <c r="G24" s="15" t="inlineStr">
        <is>
          <t>example</t>
        </is>
      </c>
      <c r="H24" s="15" t="inlineStr"/>
      <c r="I24" s="24">
        <f>IF(F24&lt;&gt;"",F24,IF(AND(ROW()&gt;5,C23=C24),I23,0)+N(D24)-N(E24))</f>
        <v/>
      </c>
    </row>
    <row r="25"/>
    <row r="26">
      <c r="A26" s="2" t="inlineStr">
        <is>
          <t>Lignes « example » = fictives. Trie par site puis par date pour que le solde courant s’enchaîne.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2026-09-06T14:33:19Z</dcterms:created>
  <dcterms:modified xsi:type="dcterms:W3CDTF">2026-09-06T14:33:19Z</dcterms:modified>
</cp:coreProperties>
</file>