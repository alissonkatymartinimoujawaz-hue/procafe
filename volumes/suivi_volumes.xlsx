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ez-moi" sheetId="1" state="visible" r:id="rId1"/>
    <sheet name="Parametres" sheetId="2" state="visible" r:id="rId2"/>
    <sheet name="Cecafe_brut" sheetId="3" state="visible" r:id="rId3"/>
    <sheet name="Jour_vs_veille" sheetId="4" state="visible" r:id="rId4"/>
    <sheet name="Cumul_mensuel" sheetId="5" state="visible" r:id="rId5"/>
    <sheet name="Annees" sheetId="6" state="visible" r:id="rId6"/>
    <sheet name="Depot_log" sheetId="7" state="visible" r:id="rId7"/>
  </sheets>
  <definedNames>
    <definedName name="_xlnm._FilterDatabase" localSheetId="2" hidden="1">'Cecafe_brut'!$A$1:$T$18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0.0%"/>
  </numFmts>
  <fonts count="11">
    <font>
      <name val="Calibri"/>
      <family val="2"/>
      <color theme="1"/>
      <sz val="11"/>
      <scheme val="minor"/>
    </font>
    <font>
      <name val="Arial"/>
      <b val="1"/>
      <color rgb="006F4E37"/>
      <sz val="14"/>
    </font>
    <font>
      <name val="Arial"/>
      <i val="1"/>
      <color rgb="007A6F66"/>
      <sz val="10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color rgb="000000FF"/>
      <sz val="10"/>
    </font>
    <font>
      <name val="Arial"/>
      <color rgb="00000000"/>
      <sz val="10"/>
    </font>
    <font>
      <name val="Arial"/>
      <color rgb="00008000"/>
      <sz val="10"/>
    </font>
    <font>
      <name val="Arial"/>
      <i val="1"/>
      <sz val="10"/>
    </font>
    <font>
      <name val="Arial"/>
      <color theme="1"/>
      <sz val="11"/>
    </font>
  </fonts>
  <fills count="5">
    <fill>
      <patternFill/>
    </fill>
    <fill>
      <patternFill patternType="gray125"/>
    </fill>
    <fill>
      <patternFill patternType="solid">
        <fgColor rgb="006F4E37"/>
      </patternFill>
    </fill>
    <fill>
      <patternFill patternType="solid">
        <fgColor rgb="00FFFF00"/>
      </patternFill>
    </fill>
    <fill>
      <patternFill patternType="solid">
        <fgColor rgb="00F3EBE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2" borderId="0" pivotButton="0" quotePrefix="0" xfId="0"/>
    <xf numFmtId="0" fontId="5" fillId="2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4" fillId="3" borderId="0" pivotButton="0" quotePrefix="0" xfId="0"/>
    <xf numFmtId="0" fontId="6" fillId="0" borderId="0" pivotButton="0" quotePrefix="0" xfId="0"/>
    <xf numFmtId="0" fontId="6" fillId="3" borderId="0" pivotButton="0" quotePrefix="0" xfId="0"/>
    <xf numFmtId="0" fontId="10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165" fontId="10" fillId="0" borderId="1" pivotButton="0" quotePrefix="0" xfId="0"/>
    <xf numFmtId="0" fontId="10" fillId="0" borderId="1" pivotButton="0" quotePrefix="0" xfId="0"/>
    <xf numFmtId="3" fontId="6" fillId="0" borderId="1" pivotButton="0" quotePrefix="0" xfId="0"/>
    <xf numFmtId="3" fontId="7" fillId="0" borderId="1" pivotButton="0" quotePrefix="0" xfId="0"/>
    <xf numFmtId="165" fontId="10" fillId="4" borderId="1" pivotButton="0" quotePrefix="0" xfId="0"/>
    <xf numFmtId="0" fontId="10" fillId="4" borderId="1" pivotButton="0" quotePrefix="0" xfId="0"/>
    <xf numFmtId="3" fontId="6" fillId="4" borderId="1" pivotButton="0" quotePrefix="0" xfId="0"/>
    <xf numFmtId="3" fontId="7" fillId="4" borderId="1" pivotButton="0" quotePrefix="0" xfId="0"/>
    <xf numFmtId="0" fontId="8" fillId="0" borderId="0" pivotButton="0" quotePrefix="0" xfId="0"/>
    <xf numFmtId="165" fontId="9" fillId="0" borderId="0" pivotButton="0" quotePrefix="0" xfId="0"/>
    <xf numFmtId="3" fontId="10" fillId="0" borderId="1" pivotButton="0" quotePrefix="0" xfId="0"/>
    <xf numFmtId="166" fontId="10" fillId="0" borderId="1" pivotButton="0" quotePrefix="0" xfId="0"/>
    <xf numFmtId="3" fontId="10" fillId="0" borderId="0" pivotButton="0" quotePrefix="0" xfId="0"/>
    <xf numFmtId="165" fontId="6" fillId="3" borderId="1" pivotButton="0" quotePrefix="0" xfId="0"/>
    <xf numFmtId="0" fontId="6" fillId="3" borderId="1" pivotButton="0" quotePrefix="0" xfId="0"/>
    <xf numFmtId="3" fontId="6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Jour contre veille (sacs)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'Jour_vs_veille'!M7</f>
            </strRef>
          </tx>
          <spPr>
            <a:ln>
              <a:prstDash val="solid"/>
            </a:ln>
          </spPr>
          <cat>
            <numRef>
              <f>'Jour_vs_veille'!$L$8:$L$10</f>
            </numRef>
          </cat>
          <val>
            <numRef>
              <f>'Jour_vs_veille'!$M$8:$M$10</f>
            </numRef>
          </val>
        </ser>
        <ser>
          <idx val="1"/>
          <order val="1"/>
          <tx>
            <strRef>
              <f>'Jour_vs_veille'!N7</f>
            </strRef>
          </tx>
          <spPr>
            <a:ln>
              <a:prstDash val="solid"/>
            </a:ln>
          </spPr>
          <cat>
            <numRef>
              <f>'Jour_vs_veille'!$L$8:$L$10</f>
            </numRef>
          </cat>
          <val>
            <numRef>
              <f>'Jour_vs_veille'!$N$8:$N$10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sacs 60 kg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Certificats / embarquements par jour</a:t>
            </a:r>
          </a:p>
        </rich>
      </tx>
    </title>
    <plotArea>
      <lineChart>
        <grouping val="standard"/>
        <ser>
          <idx val="0"/>
          <order val="0"/>
          <tx>
            <strRef>
              <f>'Jour_vs_veille'!B7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'Jour_vs_veille'!$A$8</f>
            </numRef>
          </cat>
          <val>
            <numRef>
              <f>'Jour_vs_veille'!$B$8</f>
            </numRef>
          </val>
        </ser>
        <ser>
          <idx val="1"/>
          <order val="1"/>
          <tx>
            <strRef>
              <f>'Jour_vs_veille'!C7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'Jour_vs_veille'!$A$8</f>
            </numRef>
          </cat>
          <val>
            <numRef>
              <f>'Jour_vs_veille'!$C$8</f>
            </numRef>
          </val>
        </ser>
        <ser>
          <idx val="2"/>
          <order val="2"/>
          <tx>
            <strRef>
              <f>'Jour_vs_veille'!D7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'Jour_vs_veille'!$A$8</f>
            </numRef>
          </cat>
          <val>
            <numRef>
              <f>'Jour_vs_veille'!$D$8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sacs 60 kg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Cumul des certificats par jour du mois</a:t>
            </a:r>
          </a:p>
        </rich>
      </tx>
    </title>
    <plotArea>
      <lineChart>
        <grouping val="standard"/>
        <ser>
          <idx val="0"/>
          <order val="0"/>
          <tx>
            <strRef>
              <f>'Cumul_mensuel'!B7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'Cumul_mensuel'!$A$8:$A$38</f>
            </numRef>
          </cat>
          <val>
            <numRef>
              <f>'Cumul_mensuel'!$B$8:$B$38</f>
            </numRef>
          </val>
        </ser>
        <ser>
          <idx val="1"/>
          <order val="1"/>
          <tx>
            <strRef>
              <f>'Cumul_mensuel'!C7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'Cumul_mensuel'!$A$8:$A$38</f>
            </numRef>
          </cat>
          <val>
            <numRef>
              <f>'Cumul_mensuel'!$C$8:$C$38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jour du mois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sacs 60 kg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Total mensuel des certificats par année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'Annees'!B7</f>
            </strRef>
          </tx>
          <spPr>
            <a:ln>
              <a:prstDash val="solid"/>
            </a:ln>
          </spPr>
          <cat>
            <numRef>
              <f>'Annees'!$A$8:$A$19</f>
            </numRef>
          </cat>
          <val>
            <numRef>
              <f>'Annees'!$B$8:$B$19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sacs 60 kg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11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6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6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4" customWidth="1" min="1" max="1"/>
    <col width="120" customWidth="1" min="2" max="2"/>
  </cols>
  <sheetData>
    <row r="1">
      <c r="A1" s="1" t="inlineStr">
        <is>
          <t>Suivi quotidien des volumes de café — exemple de ce que produit le dossier volumes/</t>
        </is>
      </c>
    </row>
    <row r="2">
      <c r="A2" s="2" t="inlineStr">
        <is>
          <t>Généré le 2026-09-06 · unité : sacs de 60 kg</t>
        </is>
      </c>
    </row>
    <row r="3"/>
    <row r="4">
      <c r="A4" s="3" t="inlineStr">
        <is>
          <t>Ce classeur montre le résultat attendu du suivi automatique. Il reprend la logique de volumes.html.</t>
        </is>
      </c>
      <c r="B4" s="4" t="n"/>
    </row>
    <row r="5">
      <c r="A5" s="3" t="inlineStr"/>
      <c r="B5" s="4" t="n"/>
    </row>
    <row r="6">
      <c r="A6" s="5" t="inlineStr">
        <is>
          <t>Onglet</t>
        </is>
      </c>
      <c r="B6" s="6" t="inlineStr">
        <is>
          <t>Contenu</t>
        </is>
      </c>
    </row>
    <row r="7">
      <c r="A7" s="3" t="inlineStr">
        <is>
          <t>Parametres</t>
        </is>
      </c>
      <c r="B7" s="7" t="inlineStr">
        <is>
          <t>Unité et type de café utilisés par les onglets d’analyse (cellules jaunes).</t>
        </is>
      </c>
    </row>
    <row r="8">
      <c r="A8" s="3" t="inlineStr">
        <is>
          <t>Cecafe_brut</t>
        </is>
      </c>
      <c r="B8" s="7" t="inlineStr">
        <is>
          <t>Une ligne par jour × tableau (certificats, dédouanement, embarquement) × unité, telle que le script fetch_cecafe.py l’enregistre chaque soir.</t>
        </is>
      </c>
    </row>
    <row r="9">
      <c r="A9" s="3" t="inlineStr">
        <is>
          <t>Jour_vs_veille</t>
        </is>
      </c>
      <c r="B9" s="7" t="inlineStr">
        <is>
          <t>Pour l’unité et le type choisis dans Parametres : mouvement du jour par étape, veille, variation. Graphique jour contre veille.</t>
        </is>
      </c>
    </row>
    <row r="10">
      <c r="A10" s="3" t="inlineStr">
        <is>
          <t>Cumul_mensuel</t>
        </is>
      </c>
      <c r="B10" s="7" t="inlineStr">
        <is>
          <t>Cumul des certificats par jour du mois : mois en cours, mois précédent (colonne « mois précédent » de Cecafé), et mêmes mois d’autres années quand ils existent.</t>
        </is>
      </c>
    </row>
    <row r="11">
      <c r="A11" s="3" t="inlineStr">
        <is>
          <t>Annees</t>
        </is>
      </c>
      <c r="B11" s="7" t="inlineStr">
        <is>
          <t>Total mensuel des certificats, matrice mois × année (dernier cumul observé dans le mois).</t>
        </is>
      </c>
    </row>
    <row r="12">
      <c r="A12" s="3" t="inlineStr">
        <is>
          <t>Depot_log</t>
        </is>
      </c>
      <c r="B12" s="7" t="inlineStr">
        <is>
          <t>Journal manuel de tes dépôts (entrées / sorties / stock mesuré) avec solde courant calculé. Vide : à remplir avec tes chiffres.</t>
        </is>
      </c>
    </row>
    <row r="13">
      <c r="A13" s="8" t="inlineStr"/>
      <c r="B13" s="4" t="n"/>
    </row>
    <row r="14">
      <c r="A14" s="9" t="inlineStr">
        <is>
          <t>Couleurs</t>
        </is>
      </c>
      <c r="B14" s="7" t="inlineStr"/>
    </row>
    <row r="15">
      <c r="A15" s="10" t="inlineStr">
        <is>
          <t>Jaune</t>
        </is>
      </c>
      <c r="B15" s="7" t="inlineStr">
        <is>
          <t>cellule à modifier (choix d’unité, de type, saisie de journal).</t>
        </is>
      </c>
    </row>
    <row r="16">
      <c r="A16" s="3" t="inlineStr">
        <is>
          <t>Bleu</t>
        </is>
      </c>
      <c r="B16" s="7" t="inlineStr">
        <is>
          <t>valeur saisie ou importée (données brutes).</t>
        </is>
      </c>
    </row>
    <row r="17">
      <c r="A17" s="3" t="inlineStr">
        <is>
          <t>Noir</t>
        </is>
      </c>
      <c r="B17" s="7" t="inlineStr">
        <is>
          <t>formule — ne pas écraser.</t>
        </is>
      </c>
    </row>
    <row r="18">
      <c r="A18" s="8" t="inlineStr"/>
      <c r="B18" s="4" t="n"/>
    </row>
    <row r="19">
      <c r="A19" s="8" t="inlineStr">
        <is>
          <t>Données</t>
        </is>
      </c>
      <c r="B19" s="7" t="inlineStr"/>
    </row>
    <row r="20">
      <c r="A20" s="3" t="inlineStr">
        <is>
          <t>4 septembre 2026</t>
        </is>
      </c>
      <c r="B20" s="7" t="inlineStr">
        <is>
          <t>seule journée disponible : chiffres réels transcrits de la capture d’écran de la page Cecafé (date supposée). Rien de fictif dans ce classeur.</t>
        </is>
      </c>
    </row>
    <row r="21">
      <c r="A21" s="3" t="inlineStr">
        <is>
          <t>Août 2026</t>
        </is>
      </c>
      <c r="B21" s="7" t="inlineStr">
        <is>
          <t>un seul point, issu de la colonne « mois précédent » de Cecafé (même jour du mois précédent), donc réel aussi.</t>
        </is>
      </c>
    </row>
    <row r="22">
      <c r="A22" s="3" t="inlineStr">
        <is>
          <t>Jours suivants</t>
        </is>
      </c>
      <c r="B22" s="7" t="inlineStr">
        <is>
          <t>les onglets se remplissent à mesure que le script ajoute une journée ; les colonnes « veille » et « variation » resteront vides tant qu’il n’y a qu’un jour.</t>
        </is>
      </c>
    </row>
    <row r="23">
      <c r="A23" s="3" t="inlineStr"/>
      <c r="B23" s="4" t="n"/>
    </row>
    <row r="24">
      <c r="A24" s="3" t="inlineStr">
        <is>
          <t>Source</t>
        </is>
      </c>
      <c r="B24" s="7" t="inlineStr">
        <is>
          <t>Cecafé — Resumo Diário das Exportações : https://www.cecafe.com.br/dados-estatisticos/exportacoes-brasileiras/resumo-diario/</t>
        </is>
      </c>
    </row>
    <row r="25">
      <c r="A25" s="3" t="inlineStr">
        <is>
          <t>Automatisation</t>
        </is>
      </c>
      <c r="B25" s="7" t="inlineStr">
        <is>
          <t>GitHub Actions (.github/workflows/cecafe-daily.yml) lit la page du lundi au vendredi à 18h30 heure de Brasília et ajoute la ligne du jour. Le CSV volumes/cecafe_daily.csv s’ouvre directement dans Excel.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60" customWidth="1" min="3" max="3"/>
  </cols>
  <sheetData>
    <row r="1">
      <c r="A1" s="1" t="inlineStr">
        <is>
          <t>Paramètres des onglets d’analyse</t>
        </is>
      </c>
    </row>
    <row r="2">
      <c r="A2" s="2" t="inlineStr">
        <is>
          <t>Modifie les deux cellules jaunes ; tous les onglets Jour_vs_veille, Cumul_mensuel et Annees suivent.</t>
        </is>
      </c>
    </row>
    <row r="3"/>
    <row r="4">
      <c r="A4" s="8" t="inlineStr">
        <is>
          <t>Unité</t>
        </is>
      </c>
      <c r="B4" s="11" t="inlineStr">
        <is>
          <t>total</t>
        </is>
      </c>
      <c r="C4" s="2" t="inlineStr">
        <is>
          <t>total · santos · vitoria · minas · rio · salvador · others</t>
        </is>
      </c>
    </row>
    <row r="5">
      <c r="A5" s="8" t="inlineStr">
        <is>
          <t>Type</t>
        </is>
      </c>
      <c r="B5" s="11" t="inlineStr">
        <is>
          <t>total</t>
        </is>
      </c>
      <c r="C5" s="2" t="inlineStr">
        <is>
          <t>total · arabica · conilon · soluble</t>
        </is>
      </c>
    </row>
    <row r="6"/>
    <row r="7">
      <c r="A7" s="8" t="inlineStr">
        <is>
          <t>Unités</t>
        </is>
      </c>
    </row>
    <row r="8">
      <c r="A8" s="12" t="inlineStr">
        <is>
          <t>total</t>
        </is>
      </c>
      <c r="B8" s="12" t="inlineStr">
        <is>
          <t>Brésil, toutes unités</t>
        </is>
      </c>
    </row>
    <row r="9">
      <c r="A9" s="12" t="inlineStr">
        <is>
          <t>santos</t>
        </is>
      </c>
      <c r="B9" s="12" t="inlineStr">
        <is>
          <t>Santos (SP)</t>
        </is>
      </c>
    </row>
    <row r="10">
      <c r="A10" s="12" t="inlineStr">
        <is>
          <t>vitoria</t>
        </is>
      </c>
      <c r="B10" s="12" t="inlineStr">
        <is>
          <t>Vitória (ES)</t>
        </is>
      </c>
    </row>
    <row r="11">
      <c r="A11" s="12" t="inlineStr">
        <is>
          <t>minas</t>
        </is>
      </c>
      <c r="B11" s="12" t="inlineStr">
        <is>
          <t>REDEX / EADI Minas Gerais</t>
        </is>
      </c>
    </row>
    <row r="12">
      <c r="A12" s="12" t="inlineStr">
        <is>
          <t>rio</t>
        </is>
      </c>
      <c r="B12" s="12" t="inlineStr">
        <is>
          <t>Rio de Janeiro</t>
        </is>
      </c>
    </row>
    <row r="13">
      <c r="A13" s="12" t="inlineStr">
        <is>
          <t>salvador</t>
        </is>
      </c>
      <c r="B13" s="12" t="inlineStr">
        <is>
          <t>Salvador</t>
        </is>
      </c>
    </row>
    <row r="14">
      <c r="A14" s="12" t="inlineStr">
        <is>
          <t>others</t>
        </is>
      </c>
      <c r="B14" s="12" t="inlineStr">
        <is>
          <t>Autres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9" customWidth="1" min="3" max="3"/>
    <col width="3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30" customWidth="1" min="17" max="17"/>
    <col width="11" customWidth="1" min="18" max="18"/>
    <col width="11" customWidth="1" min="19" max="19"/>
    <col width="11" customWidth="1" min="20" max="20"/>
  </cols>
  <sheetData>
    <row r="1">
      <c r="A1" s="13" t="inlineStr">
        <is>
          <t>date</t>
        </is>
      </c>
      <c r="B1" s="13" t="inlineStr">
        <is>
          <t>table</t>
        </is>
      </c>
      <c r="C1" s="13" t="inlineStr">
        <is>
          <t>unit</t>
        </is>
      </c>
      <c r="D1" s="13" t="inlineStr">
        <is>
          <t>unit_label</t>
        </is>
      </c>
      <c r="E1" s="13" t="inlineStr">
        <is>
          <t>arabica_day</t>
        </is>
      </c>
      <c r="F1" s="13" t="inlineStr">
        <is>
          <t>conilon_day</t>
        </is>
      </c>
      <c r="G1" s="13" t="inlineStr">
        <is>
          <t>soluble_day</t>
        </is>
      </c>
      <c r="H1" s="13" t="inlineStr">
        <is>
          <t>total_day</t>
        </is>
      </c>
      <c r="I1" s="13" t="inlineStr">
        <is>
          <t>arabica_cum</t>
        </is>
      </c>
      <c r="J1" s="13" t="inlineStr">
        <is>
          <t>conilon_cum</t>
        </is>
      </c>
      <c r="K1" s="13" t="inlineStr">
        <is>
          <t>soluble_cum</t>
        </is>
      </c>
      <c r="L1" s="13" t="inlineStr">
        <is>
          <t>total_cum</t>
        </is>
      </c>
      <c r="M1" s="13" t="inlineStr">
        <is>
          <t>arabica_prev</t>
        </is>
      </c>
      <c r="N1" s="13" t="inlineStr">
        <is>
          <t>conilon_prev</t>
        </is>
      </c>
      <c r="O1" s="13" t="inlineStr">
        <is>
          <t>soluble_prev</t>
        </is>
      </c>
      <c r="P1" s="13" t="inlineStr">
        <is>
          <t>total_prev</t>
        </is>
      </c>
      <c r="Q1" s="13" t="inlineStr">
        <is>
          <t>source</t>
        </is>
      </c>
      <c r="R1" s="13" t="inlineStr">
        <is>
          <t>sel_day (type choisi)</t>
        </is>
      </c>
      <c r="S1" s="13" t="inlineStr">
        <is>
          <t>sel_cum (type choisi)</t>
        </is>
      </c>
      <c r="T1" s="13" t="inlineStr">
        <is>
          <t>sel_prev (type choisi)</t>
        </is>
      </c>
    </row>
    <row r="2">
      <c r="A2" s="14" t="n">
        <v>46269</v>
      </c>
      <c r="B2" s="15" t="inlineStr">
        <is>
          <t>certificates</t>
        </is>
      </c>
      <c r="C2" s="15" t="inlineStr">
        <is>
          <t>minas</t>
        </is>
      </c>
      <c r="D2" s="15" t="inlineStr">
        <is>
          <t>REDEX and EADI (MINAS GERAIS)</t>
        </is>
      </c>
      <c r="E2" s="16" t="n">
        <v>966</v>
      </c>
      <c r="F2" s="16" t="n">
        <v>0</v>
      </c>
      <c r="G2" s="16" t="n">
        <v>0</v>
      </c>
      <c r="H2" s="16" t="n">
        <v>966</v>
      </c>
      <c r="I2" s="16" t="n">
        <v>33232</v>
      </c>
      <c r="J2" s="16" t="n">
        <v>0</v>
      </c>
      <c r="K2" s="16" t="n">
        <v>0</v>
      </c>
      <c r="L2" s="16" t="n">
        <v>33232</v>
      </c>
      <c r="M2" s="16" t="n">
        <v>20625</v>
      </c>
      <c r="N2" s="16" t="n">
        <v>0</v>
      </c>
      <c r="O2" s="16" t="n">
        <v>0</v>
      </c>
      <c r="P2" s="16" t="n">
        <v>20625</v>
      </c>
      <c r="Q2" s="15" t="inlineStr">
        <is>
          <t>Cecafé Resumo Diário (capture du site, date supposée 04/09/2026)</t>
        </is>
      </c>
      <c r="R2" s="17">
        <f>IF(Parametres!$B$5="arabica",E2,IF(Parametres!$B$5="conilon",F2,IF(Parametres!$B$5="soluble",G2,H2)))</f>
        <v/>
      </c>
      <c r="S2" s="17">
        <f>IF(Parametres!$B$5="arabica",I2,IF(Parametres!$B$5="conilon",J2,IF(Parametres!$B$5="soluble",K2,L2)))</f>
        <v/>
      </c>
      <c r="T2" s="17">
        <f>IF(Parametres!$B$5="arabica",M2,IF(Parametres!$B$5="conilon",N2,IF(Parametres!$B$5="soluble",O2,P2)))</f>
        <v/>
      </c>
    </row>
    <row r="3">
      <c r="A3" s="14" t="n">
        <v>46269</v>
      </c>
      <c r="B3" s="15" t="inlineStr">
        <is>
          <t>certificates</t>
        </is>
      </c>
      <c r="C3" s="15" t="inlineStr">
        <is>
          <t>others</t>
        </is>
      </c>
      <c r="D3" s="15" t="inlineStr">
        <is>
          <t>OTHERS</t>
        </is>
      </c>
      <c r="E3" s="16" t="n">
        <v>4066</v>
      </c>
      <c r="F3" s="16" t="n">
        <v>0</v>
      </c>
      <c r="G3" s="16" t="n">
        <v>35</v>
      </c>
      <c r="H3" s="16" t="n">
        <v>4101</v>
      </c>
      <c r="I3" s="16" t="n">
        <v>7260</v>
      </c>
      <c r="J3" s="16" t="n">
        <v>2078</v>
      </c>
      <c r="K3" s="16" t="n">
        <v>9139</v>
      </c>
      <c r="L3" s="16" t="n">
        <v>18477</v>
      </c>
      <c r="M3" s="16" t="n">
        <v>19390</v>
      </c>
      <c r="N3" s="16" t="n">
        <v>5200</v>
      </c>
      <c r="O3" s="16" t="n">
        <v>11308</v>
      </c>
      <c r="P3" s="16" t="n">
        <v>35898</v>
      </c>
      <c r="Q3" s="15" t="inlineStr">
        <is>
          <t>Cecafé Resumo Diário (capture du site, date supposée 04/09/2026)</t>
        </is>
      </c>
      <c r="R3" s="17">
        <f>IF(Parametres!$B$5="arabica",E3,IF(Parametres!$B$5="conilon",F3,IF(Parametres!$B$5="soluble",G3,H3)))</f>
        <v/>
      </c>
      <c r="S3" s="17">
        <f>IF(Parametres!$B$5="arabica",I3,IF(Parametres!$B$5="conilon",J3,IF(Parametres!$B$5="soluble",K3,L3)))</f>
        <v/>
      </c>
      <c r="T3" s="17">
        <f>IF(Parametres!$B$5="arabica",M3,IF(Parametres!$B$5="conilon",N3,IF(Parametres!$B$5="soluble",O3,P3)))</f>
        <v/>
      </c>
    </row>
    <row r="4">
      <c r="A4" s="14" t="n">
        <v>46269</v>
      </c>
      <c r="B4" s="15" t="inlineStr">
        <is>
          <t>certificates</t>
        </is>
      </c>
      <c r="C4" s="15" t="inlineStr">
        <is>
          <t>rio</t>
        </is>
      </c>
      <c r="D4" s="15" t="inlineStr">
        <is>
          <t>RIO DE JANEIRO</t>
        </is>
      </c>
      <c r="E4" s="16" t="n">
        <v>4187</v>
      </c>
      <c r="F4" s="16" t="n">
        <v>1734</v>
      </c>
      <c r="G4" s="16" t="n">
        <v>0</v>
      </c>
      <c r="H4" s="16" t="n">
        <v>5921</v>
      </c>
      <c r="I4" s="16" t="n">
        <v>46750</v>
      </c>
      <c r="J4" s="16" t="n">
        <v>4116</v>
      </c>
      <c r="K4" s="16" t="n">
        <v>7798</v>
      </c>
      <c r="L4" s="16" t="n">
        <v>58664</v>
      </c>
      <c r="M4" s="16" t="n">
        <v>79854</v>
      </c>
      <c r="N4" s="16" t="n">
        <v>5388</v>
      </c>
      <c r="O4" s="16" t="n">
        <v>4160</v>
      </c>
      <c r="P4" s="16" t="n">
        <v>89402</v>
      </c>
      <c r="Q4" s="15" t="inlineStr">
        <is>
          <t>Cecafé Resumo Diário (capture du site, date supposée 04/09/2026)</t>
        </is>
      </c>
      <c r="R4" s="17">
        <f>IF(Parametres!$B$5="arabica",E4,IF(Parametres!$B$5="conilon",F4,IF(Parametres!$B$5="soluble",G4,H4)))</f>
        <v/>
      </c>
      <c r="S4" s="17">
        <f>IF(Parametres!$B$5="arabica",I4,IF(Parametres!$B$5="conilon",J4,IF(Parametres!$B$5="soluble",K4,L4)))</f>
        <v/>
      </c>
      <c r="T4" s="17">
        <f>IF(Parametres!$B$5="arabica",M4,IF(Parametres!$B$5="conilon",N4,IF(Parametres!$B$5="soluble",O4,P4)))</f>
        <v/>
      </c>
    </row>
    <row r="5">
      <c r="A5" s="14" t="n">
        <v>46269</v>
      </c>
      <c r="B5" s="15" t="inlineStr">
        <is>
          <t>certificates</t>
        </is>
      </c>
      <c r="C5" s="15" t="inlineStr">
        <is>
          <t>salvador</t>
        </is>
      </c>
      <c r="D5" s="15" t="inlineStr">
        <is>
          <t>SALVADOR</t>
        </is>
      </c>
      <c r="E5" s="16" t="n">
        <v>0</v>
      </c>
      <c r="F5" s="16" t="n">
        <v>0</v>
      </c>
      <c r="G5" s="16" t="n">
        <v>0</v>
      </c>
      <c r="H5" s="16" t="n">
        <v>0</v>
      </c>
      <c r="I5" s="16" t="n">
        <v>7694</v>
      </c>
      <c r="J5" s="16" t="n">
        <v>0</v>
      </c>
      <c r="K5" s="16" t="n">
        <v>0</v>
      </c>
      <c r="L5" s="16" t="n">
        <v>7694</v>
      </c>
      <c r="M5" s="16" t="n">
        <v>1280</v>
      </c>
      <c r="N5" s="16" t="n">
        <v>986</v>
      </c>
      <c r="O5" s="16" t="n">
        <v>0</v>
      </c>
      <c r="P5" s="16" t="n">
        <v>2266</v>
      </c>
      <c r="Q5" s="15" t="inlineStr">
        <is>
          <t>Cecafé Resumo Diário (capture du site, date supposée 04/09/2026)</t>
        </is>
      </c>
      <c r="R5" s="17">
        <f>IF(Parametres!$B$5="arabica",E5,IF(Parametres!$B$5="conilon",F5,IF(Parametres!$B$5="soluble",G5,H5)))</f>
        <v/>
      </c>
      <c r="S5" s="17">
        <f>IF(Parametres!$B$5="arabica",I5,IF(Parametres!$B$5="conilon",J5,IF(Parametres!$B$5="soluble",K5,L5)))</f>
        <v/>
      </c>
      <c r="T5" s="17">
        <f>IF(Parametres!$B$5="arabica",M5,IF(Parametres!$B$5="conilon",N5,IF(Parametres!$B$5="soluble",O5,P5)))</f>
        <v/>
      </c>
    </row>
    <row r="6">
      <c r="A6" s="14" t="n">
        <v>46269</v>
      </c>
      <c r="B6" s="15" t="inlineStr">
        <is>
          <t>certificates</t>
        </is>
      </c>
      <c r="C6" s="15" t="inlineStr">
        <is>
          <t>santos</t>
        </is>
      </c>
      <c r="D6" s="15" t="inlineStr">
        <is>
          <t>SANTOS</t>
        </is>
      </c>
      <c r="E6" s="16" t="n">
        <v>54939</v>
      </c>
      <c r="F6" s="16" t="n">
        <v>16666</v>
      </c>
      <c r="G6" s="16" t="n">
        <v>40</v>
      </c>
      <c r="H6" s="16" t="n">
        <v>71645</v>
      </c>
      <c r="I6" s="16" t="n">
        <v>355900</v>
      </c>
      <c r="J6" s="16" t="n">
        <v>26066</v>
      </c>
      <c r="K6" s="16" t="n">
        <v>23406</v>
      </c>
      <c r="L6" s="16" t="n">
        <v>405372</v>
      </c>
      <c r="M6" s="16" t="n">
        <v>236214</v>
      </c>
      <c r="N6" s="16" t="n">
        <v>11052</v>
      </c>
      <c r="O6" s="16" t="n">
        <v>33169</v>
      </c>
      <c r="P6" s="16" t="n">
        <v>280435</v>
      </c>
      <c r="Q6" s="15" t="inlineStr">
        <is>
          <t>Cecafé Resumo Diário (capture du site, date supposée 04/09/2026)</t>
        </is>
      </c>
      <c r="R6" s="17">
        <f>IF(Parametres!$B$5="arabica",E6,IF(Parametres!$B$5="conilon",F6,IF(Parametres!$B$5="soluble",G6,H6)))</f>
        <v/>
      </c>
      <c r="S6" s="17">
        <f>IF(Parametres!$B$5="arabica",I6,IF(Parametres!$B$5="conilon",J6,IF(Parametres!$B$5="soluble",K6,L6)))</f>
        <v/>
      </c>
      <c r="T6" s="17">
        <f>IF(Parametres!$B$5="arabica",M6,IF(Parametres!$B$5="conilon",N6,IF(Parametres!$B$5="soluble",O6,P6)))</f>
        <v/>
      </c>
    </row>
    <row r="7">
      <c r="A7" s="18" t="n">
        <v>46269</v>
      </c>
      <c r="B7" s="19" t="inlineStr">
        <is>
          <t>certificates</t>
        </is>
      </c>
      <c r="C7" s="19" t="inlineStr">
        <is>
          <t>total</t>
        </is>
      </c>
      <c r="D7" s="19" t="inlineStr">
        <is>
          <t>TOTALS</t>
        </is>
      </c>
      <c r="E7" s="20" t="n">
        <v>65103</v>
      </c>
      <c r="F7" s="20" t="n">
        <v>29353</v>
      </c>
      <c r="G7" s="20" t="n">
        <v>75</v>
      </c>
      <c r="H7" s="20" t="n">
        <v>94531</v>
      </c>
      <c r="I7" s="20" t="n">
        <v>459336</v>
      </c>
      <c r="J7" s="20" t="n">
        <v>199941</v>
      </c>
      <c r="K7" s="20" t="n">
        <v>40343</v>
      </c>
      <c r="L7" s="20" t="n">
        <v>699620</v>
      </c>
      <c r="M7" s="20" t="n">
        <v>361607</v>
      </c>
      <c r="N7" s="20" t="n">
        <v>34113</v>
      </c>
      <c r="O7" s="20" t="n">
        <v>61428</v>
      </c>
      <c r="P7" s="20" t="n">
        <v>457148</v>
      </c>
      <c r="Q7" s="19" t="inlineStr">
        <is>
          <t>Cecafé Resumo Diário (capture du site, date supposée 04/09/2026)</t>
        </is>
      </c>
      <c r="R7" s="21">
        <f>IF(Parametres!$B$5="arabica",E7,IF(Parametres!$B$5="conilon",F7,IF(Parametres!$B$5="soluble",G7,H7)))</f>
        <v/>
      </c>
      <c r="S7" s="21">
        <f>IF(Parametres!$B$5="arabica",I7,IF(Parametres!$B$5="conilon",J7,IF(Parametres!$B$5="soluble",K7,L7)))</f>
        <v/>
      </c>
      <c r="T7" s="21">
        <f>IF(Parametres!$B$5="arabica",M7,IF(Parametres!$B$5="conilon",N7,IF(Parametres!$B$5="soluble",O7,P7)))</f>
        <v/>
      </c>
    </row>
    <row r="8">
      <c r="A8" s="14" t="n">
        <v>46269</v>
      </c>
      <c r="B8" s="15" t="inlineStr">
        <is>
          <t>certificates</t>
        </is>
      </c>
      <c r="C8" s="15" t="inlineStr">
        <is>
          <t>vitoria</t>
        </is>
      </c>
      <c r="D8" s="15" t="inlineStr">
        <is>
          <t>VICTORY</t>
        </is>
      </c>
      <c r="E8" s="16" t="n">
        <v>945</v>
      </c>
      <c r="F8" s="16" t="n">
        <v>10953</v>
      </c>
      <c r="G8" s="16" t="n">
        <v>0</v>
      </c>
      <c r="H8" s="16" t="n">
        <v>11898</v>
      </c>
      <c r="I8" s="16" t="n">
        <v>8500</v>
      </c>
      <c r="J8" s="16" t="n">
        <v>167681</v>
      </c>
      <c r="K8" s="16" t="n">
        <v>0</v>
      </c>
      <c r="L8" s="16" t="n">
        <v>176181</v>
      </c>
      <c r="M8" s="16" t="n">
        <v>4244</v>
      </c>
      <c r="N8" s="16" t="n">
        <v>11487</v>
      </c>
      <c r="O8" s="16" t="n">
        <v>12791</v>
      </c>
      <c r="P8" s="16" t="n">
        <v>28522</v>
      </c>
      <c r="Q8" s="15" t="inlineStr">
        <is>
          <t>Cecafé Resumo Diário (capture du site, date supposée 04/09/2026)</t>
        </is>
      </c>
      <c r="R8" s="17">
        <f>IF(Parametres!$B$5="arabica",E8,IF(Parametres!$B$5="conilon",F8,IF(Parametres!$B$5="soluble",G8,H8)))</f>
        <v/>
      </c>
      <c r="S8" s="17">
        <f>IF(Parametres!$B$5="arabica",I8,IF(Parametres!$B$5="conilon",J8,IF(Parametres!$B$5="soluble",K8,L8)))</f>
        <v/>
      </c>
      <c r="T8" s="17">
        <f>IF(Parametres!$B$5="arabica",M8,IF(Parametres!$B$5="conilon",N8,IF(Parametres!$B$5="soluble",O8,P8)))</f>
        <v/>
      </c>
    </row>
    <row r="9">
      <c r="A9" s="14" t="n">
        <v>46269</v>
      </c>
      <c r="B9" s="15" t="inlineStr">
        <is>
          <t>customs</t>
        </is>
      </c>
      <c r="C9" s="15" t="inlineStr">
        <is>
          <t>minas</t>
        </is>
      </c>
      <c r="D9" s="15" t="inlineStr">
        <is>
          <t>REDEX and EADI (MINAS GERAIS)</t>
        </is>
      </c>
      <c r="E9" s="16" t="n">
        <v>491</v>
      </c>
      <c r="F9" s="16" t="n">
        <v>0</v>
      </c>
      <c r="G9" s="16" t="n">
        <v>0</v>
      </c>
      <c r="H9" s="16" t="n">
        <v>491</v>
      </c>
      <c r="I9" s="16" t="n">
        <v>5674</v>
      </c>
      <c r="J9" s="16" t="n">
        <v>0</v>
      </c>
      <c r="K9" s="16" t="n">
        <v>0</v>
      </c>
      <c r="L9" s="16" t="n">
        <v>5674</v>
      </c>
      <c r="M9" s="16" t="n">
        <v>14131</v>
      </c>
      <c r="N9" s="16" t="n">
        <v>0</v>
      </c>
      <c r="O9" s="16" t="n">
        <v>0</v>
      </c>
      <c r="P9" s="16" t="n">
        <v>14131</v>
      </c>
      <c r="Q9" s="15" t="inlineStr">
        <is>
          <t>Cecafé Resumo Diário (capture du site, date supposée 04/09/2026)</t>
        </is>
      </c>
      <c r="R9" s="17">
        <f>IF(Parametres!$B$5="arabica",E9,IF(Parametres!$B$5="conilon",F9,IF(Parametres!$B$5="soluble",G9,H9)))</f>
        <v/>
      </c>
      <c r="S9" s="17">
        <f>IF(Parametres!$B$5="arabica",I9,IF(Parametres!$B$5="conilon",J9,IF(Parametres!$B$5="soluble",K9,L9)))</f>
        <v/>
      </c>
      <c r="T9" s="17">
        <f>IF(Parametres!$B$5="arabica",M9,IF(Parametres!$B$5="conilon",N9,IF(Parametres!$B$5="soluble",O9,P9)))</f>
        <v/>
      </c>
    </row>
    <row r="10">
      <c r="A10" s="14" t="n">
        <v>46269</v>
      </c>
      <c r="B10" s="15" t="inlineStr">
        <is>
          <t>customs</t>
        </is>
      </c>
      <c r="C10" s="15" t="inlineStr">
        <is>
          <t>others</t>
        </is>
      </c>
      <c r="D10" s="15" t="inlineStr">
        <is>
          <t>OTHERS</t>
        </is>
      </c>
      <c r="E10" s="16" t="n">
        <v>0</v>
      </c>
      <c r="F10" s="16" t="n">
        <v>0</v>
      </c>
      <c r="G10" s="16" t="n">
        <v>0</v>
      </c>
      <c r="H10" s="16" t="n">
        <v>0</v>
      </c>
      <c r="I10" s="16" t="n">
        <v>846</v>
      </c>
      <c r="J10" s="16" t="n">
        <v>892</v>
      </c>
      <c r="K10" s="16" t="n">
        <v>558</v>
      </c>
      <c r="L10" s="16" t="n">
        <v>2296</v>
      </c>
      <c r="M10" s="16" t="n">
        <v>9123</v>
      </c>
      <c r="N10" s="16" t="n">
        <v>866</v>
      </c>
      <c r="O10" s="16" t="n">
        <v>4256</v>
      </c>
      <c r="P10" s="16" t="n">
        <v>14245</v>
      </c>
      <c r="Q10" s="15" t="inlineStr">
        <is>
          <t>Cecafé Resumo Diário (capture du site, date supposée 04/09/2026)</t>
        </is>
      </c>
      <c r="R10" s="17">
        <f>IF(Parametres!$B$5="arabica",E10,IF(Parametres!$B$5="conilon",F10,IF(Parametres!$B$5="soluble",G10,H10)))</f>
        <v/>
      </c>
      <c r="S10" s="17">
        <f>IF(Parametres!$B$5="arabica",I10,IF(Parametres!$B$5="conilon",J10,IF(Parametres!$B$5="soluble",K10,L10)))</f>
        <v/>
      </c>
      <c r="T10" s="17">
        <f>IF(Parametres!$B$5="arabica",M10,IF(Parametres!$B$5="conilon",N10,IF(Parametres!$B$5="soluble",O10,P10)))</f>
        <v/>
      </c>
    </row>
    <row r="11">
      <c r="A11" s="14" t="n">
        <v>46269</v>
      </c>
      <c r="B11" s="15" t="inlineStr">
        <is>
          <t>customs</t>
        </is>
      </c>
      <c r="C11" s="15" t="inlineStr">
        <is>
          <t>rio</t>
        </is>
      </c>
      <c r="D11" s="15" t="inlineStr">
        <is>
          <t>RIO DE JANEIRO</t>
        </is>
      </c>
      <c r="E11" s="16" t="n">
        <v>3320</v>
      </c>
      <c r="F11" s="16" t="n">
        <v>1734</v>
      </c>
      <c r="G11" s="16" t="n">
        <v>0</v>
      </c>
      <c r="H11" s="16" t="n">
        <v>5054</v>
      </c>
      <c r="I11" s="16" t="n">
        <v>14040</v>
      </c>
      <c r="J11" s="16" t="n">
        <v>1734</v>
      </c>
      <c r="K11" s="16" t="n">
        <v>1528</v>
      </c>
      <c r="L11" s="16" t="n">
        <v>17302</v>
      </c>
      <c r="M11" s="16" t="n">
        <v>79532</v>
      </c>
      <c r="N11" s="16" t="n">
        <v>3948</v>
      </c>
      <c r="O11" s="16" t="n">
        <v>4160</v>
      </c>
      <c r="P11" s="16" t="n">
        <v>87640</v>
      </c>
      <c r="Q11" s="15" t="inlineStr">
        <is>
          <t>Cecafé Resumo Diário (capture du site, date supposée 04/09/2026)</t>
        </is>
      </c>
      <c r="R11" s="17">
        <f>IF(Parametres!$B$5="arabica",E11,IF(Parametres!$B$5="conilon",F11,IF(Parametres!$B$5="soluble",G11,H11)))</f>
        <v/>
      </c>
      <c r="S11" s="17">
        <f>IF(Parametres!$B$5="arabica",I11,IF(Parametres!$B$5="conilon",J11,IF(Parametres!$B$5="soluble",K11,L11)))</f>
        <v/>
      </c>
      <c r="T11" s="17">
        <f>IF(Parametres!$B$5="arabica",M11,IF(Parametres!$B$5="conilon",N11,IF(Parametres!$B$5="soluble",O11,P11)))</f>
        <v/>
      </c>
    </row>
    <row r="12">
      <c r="A12" s="14" t="n">
        <v>46269</v>
      </c>
      <c r="B12" s="15" t="inlineStr">
        <is>
          <t>customs</t>
        </is>
      </c>
      <c r="C12" s="15" t="inlineStr">
        <is>
          <t>santos</t>
        </is>
      </c>
      <c r="D12" s="15" t="inlineStr">
        <is>
          <t>SANTOS</t>
        </is>
      </c>
      <c r="E12" s="16" t="n">
        <v>13195</v>
      </c>
      <c r="F12" s="16" t="n">
        <v>0</v>
      </c>
      <c r="G12" s="16" t="n">
        <v>0</v>
      </c>
      <c r="H12" s="16" t="n">
        <v>13195</v>
      </c>
      <c r="I12" s="16" t="n">
        <v>113214</v>
      </c>
      <c r="J12" s="16" t="n">
        <v>3333</v>
      </c>
      <c r="K12" s="16" t="n">
        <v>647</v>
      </c>
      <c r="L12" s="16" t="n">
        <v>117194</v>
      </c>
      <c r="M12" s="16" t="n">
        <v>210833</v>
      </c>
      <c r="N12" s="16" t="n">
        <v>11052</v>
      </c>
      <c r="O12" s="16" t="n">
        <v>7886</v>
      </c>
      <c r="P12" s="16" t="n">
        <v>229771</v>
      </c>
      <c r="Q12" s="15" t="inlineStr">
        <is>
          <t>Cecafé Resumo Diário (capture du site, date supposée 04/09/2026)</t>
        </is>
      </c>
      <c r="R12" s="17">
        <f>IF(Parametres!$B$5="arabica",E12,IF(Parametres!$B$5="conilon",F12,IF(Parametres!$B$5="soluble",G12,H12)))</f>
        <v/>
      </c>
      <c r="S12" s="17">
        <f>IF(Parametres!$B$5="arabica",I12,IF(Parametres!$B$5="conilon",J12,IF(Parametres!$B$5="soluble",K12,L12)))</f>
        <v/>
      </c>
      <c r="T12" s="17">
        <f>IF(Parametres!$B$5="arabica",M12,IF(Parametres!$B$5="conilon",N12,IF(Parametres!$B$5="soluble",O12,P12)))</f>
        <v/>
      </c>
    </row>
    <row r="13">
      <c r="A13" s="18" t="n">
        <v>46269</v>
      </c>
      <c r="B13" s="19" t="inlineStr">
        <is>
          <t>customs</t>
        </is>
      </c>
      <c r="C13" s="19" t="inlineStr">
        <is>
          <t>total</t>
        </is>
      </c>
      <c r="D13" s="19" t="inlineStr">
        <is>
          <t>TOTALS</t>
        </is>
      </c>
      <c r="E13" s="20" t="n">
        <v>17951</v>
      </c>
      <c r="F13" s="20" t="n">
        <v>5067</v>
      </c>
      <c r="G13" s="20" t="n">
        <v>0</v>
      </c>
      <c r="H13" s="20" t="n">
        <v>23018</v>
      </c>
      <c r="I13" s="20" t="n">
        <v>134719</v>
      </c>
      <c r="J13" s="20" t="n">
        <v>22706</v>
      </c>
      <c r="K13" s="20" t="n">
        <v>2733</v>
      </c>
      <c r="L13" s="20" t="n">
        <v>160158</v>
      </c>
      <c r="M13" s="20" t="n">
        <v>313939</v>
      </c>
      <c r="N13" s="20" t="n">
        <v>22860</v>
      </c>
      <c r="O13" s="20" t="n">
        <v>16302</v>
      </c>
      <c r="P13" s="20" t="n">
        <v>353101</v>
      </c>
      <c r="Q13" s="19" t="inlineStr">
        <is>
          <t>Cecafé Resumo Diário (capture du site, date supposée 04/09/2026)</t>
        </is>
      </c>
      <c r="R13" s="21">
        <f>IF(Parametres!$B$5="arabica",E13,IF(Parametres!$B$5="conilon",F13,IF(Parametres!$B$5="soluble",G13,H13)))</f>
        <v/>
      </c>
      <c r="S13" s="21">
        <f>IF(Parametres!$B$5="arabica",I13,IF(Parametres!$B$5="conilon",J13,IF(Parametres!$B$5="soluble",K13,L13)))</f>
        <v/>
      </c>
      <c r="T13" s="21">
        <f>IF(Parametres!$B$5="arabica",M13,IF(Parametres!$B$5="conilon",N13,IF(Parametres!$B$5="soluble",O13,P13)))</f>
        <v/>
      </c>
    </row>
    <row r="14">
      <c r="A14" s="14" t="n">
        <v>46269</v>
      </c>
      <c r="B14" s="15" t="inlineStr">
        <is>
          <t>customs</t>
        </is>
      </c>
      <c r="C14" s="15" t="inlineStr">
        <is>
          <t>vitoria</t>
        </is>
      </c>
      <c r="D14" s="15" t="inlineStr">
        <is>
          <t>VICTORY</t>
        </is>
      </c>
      <c r="E14" s="16" t="n">
        <v>945</v>
      </c>
      <c r="F14" s="16" t="n">
        <v>3333</v>
      </c>
      <c r="G14" s="16" t="n">
        <v>0</v>
      </c>
      <c r="H14" s="16" t="n">
        <v>4278</v>
      </c>
      <c r="I14" s="16" t="n">
        <v>945</v>
      </c>
      <c r="J14" s="16" t="n">
        <v>16747</v>
      </c>
      <c r="K14" s="16" t="n">
        <v>0</v>
      </c>
      <c r="L14" s="16" t="n">
        <v>17692</v>
      </c>
      <c r="M14" s="16" t="n">
        <v>320</v>
      </c>
      <c r="N14" s="16" t="n">
        <v>6994</v>
      </c>
      <c r="O14" s="16" t="n">
        <v>0</v>
      </c>
      <c r="P14" s="16" t="n">
        <v>7314</v>
      </c>
      <c r="Q14" s="15" t="inlineStr">
        <is>
          <t>Cecafé Resumo Diário (capture du site, date supposée 04/09/2026)</t>
        </is>
      </c>
      <c r="R14" s="17">
        <f>IF(Parametres!$B$5="arabica",E14,IF(Parametres!$B$5="conilon",F14,IF(Parametres!$B$5="soluble",G14,H14)))</f>
        <v/>
      </c>
      <c r="S14" s="17">
        <f>IF(Parametres!$B$5="arabica",I14,IF(Parametres!$B$5="conilon",J14,IF(Parametres!$B$5="soluble",K14,L14)))</f>
        <v/>
      </c>
      <c r="T14" s="17">
        <f>IF(Parametres!$B$5="arabica",M14,IF(Parametres!$B$5="conilon",N14,IF(Parametres!$B$5="soluble",O14,P14)))</f>
        <v/>
      </c>
    </row>
    <row r="15">
      <c r="A15" s="14" t="n">
        <v>46269</v>
      </c>
      <c r="B15" s="15" t="inlineStr">
        <is>
          <t>shipment</t>
        </is>
      </c>
      <c r="C15" s="15" t="inlineStr">
        <is>
          <t>others</t>
        </is>
      </c>
      <c r="D15" s="15" t="inlineStr">
        <is>
          <t>OTHERS</t>
        </is>
      </c>
      <c r="E15" s="16" t="n">
        <v>0</v>
      </c>
      <c r="F15" s="16" t="n">
        <v>0</v>
      </c>
      <c r="G15" s="16" t="n">
        <v>0</v>
      </c>
      <c r="H15" s="16" t="n">
        <v>0</v>
      </c>
      <c r="I15" s="16" t="n">
        <v>846</v>
      </c>
      <c r="J15" s="16" t="n">
        <v>892</v>
      </c>
      <c r="K15" s="16" t="n">
        <v>558</v>
      </c>
      <c r="L15" s="16" t="n">
        <v>2296</v>
      </c>
      <c r="M15" s="16" t="n">
        <v>1003</v>
      </c>
      <c r="N15" s="16" t="n">
        <v>866</v>
      </c>
      <c r="O15" s="16" t="n">
        <v>4256</v>
      </c>
      <c r="P15" s="16" t="n">
        <v>6125</v>
      </c>
      <c r="Q15" s="15" t="inlineStr">
        <is>
          <t>Cecafé Resumo Diário (capture du site, date supposée 04/09/2026)</t>
        </is>
      </c>
      <c r="R15" s="17">
        <f>IF(Parametres!$B$5="arabica",E15,IF(Parametres!$B$5="conilon",F15,IF(Parametres!$B$5="soluble",G15,H15)))</f>
        <v/>
      </c>
      <c r="S15" s="17">
        <f>IF(Parametres!$B$5="arabica",I15,IF(Parametres!$B$5="conilon",J15,IF(Parametres!$B$5="soluble",K15,L15)))</f>
        <v/>
      </c>
      <c r="T15" s="17">
        <f>IF(Parametres!$B$5="arabica",M15,IF(Parametres!$B$5="conilon",N15,IF(Parametres!$B$5="soluble",O15,P15)))</f>
        <v/>
      </c>
    </row>
    <row r="16">
      <c r="A16" s="14" t="n">
        <v>46269</v>
      </c>
      <c r="B16" s="15" t="inlineStr">
        <is>
          <t>shipment</t>
        </is>
      </c>
      <c r="C16" s="15" t="inlineStr">
        <is>
          <t>rio</t>
        </is>
      </c>
      <c r="D16" s="15" t="inlineStr">
        <is>
          <t>RIO DE JANEIRO</t>
        </is>
      </c>
      <c r="E16" s="16" t="n">
        <v>3320</v>
      </c>
      <c r="F16" s="16" t="n">
        <v>1734</v>
      </c>
      <c r="G16" s="16" t="n">
        <v>0</v>
      </c>
      <c r="H16" s="16" t="n">
        <v>5054</v>
      </c>
      <c r="I16" s="16" t="n">
        <v>14040</v>
      </c>
      <c r="J16" s="16" t="n">
        <v>1734</v>
      </c>
      <c r="K16" s="16" t="n">
        <v>1528</v>
      </c>
      <c r="L16" s="16" t="n">
        <v>17302</v>
      </c>
      <c r="M16" s="16" t="n">
        <v>79412</v>
      </c>
      <c r="N16" s="16" t="n">
        <v>4615</v>
      </c>
      <c r="O16" s="16" t="n">
        <v>4160</v>
      </c>
      <c r="P16" s="16" t="n">
        <v>88187</v>
      </c>
      <c r="Q16" s="15" t="inlineStr">
        <is>
          <t>Cecafé Resumo Diário (capture du site, date supposée 04/09/2026)</t>
        </is>
      </c>
      <c r="R16" s="17">
        <f>IF(Parametres!$B$5="arabica",E16,IF(Parametres!$B$5="conilon",F16,IF(Parametres!$B$5="soluble",G16,H16)))</f>
        <v/>
      </c>
      <c r="S16" s="17">
        <f>IF(Parametres!$B$5="arabica",I16,IF(Parametres!$B$5="conilon",J16,IF(Parametres!$B$5="soluble",K16,L16)))</f>
        <v/>
      </c>
      <c r="T16" s="17">
        <f>IF(Parametres!$B$5="arabica",M16,IF(Parametres!$B$5="conilon",N16,IF(Parametres!$B$5="soluble",O16,P16)))</f>
        <v/>
      </c>
    </row>
    <row r="17">
      <c r="A17" s="14" t="n">
        <v>46269</v>
      </c>
      <c r="B17" s="15" t="inlineStr">
        <is>
          <t>shipment</t>
        </is>
      </c>
      <c r="C17" s="15" t="inlineStr">
        <is>
          <t>santos</t>
        </is>
      </c>
      <c r="D17" s="15" t="inlineStr">
        <is>
          <t>SANTOS</t>
        </is>
      </c>
      <c r="E17" s="16" t="n">
        <v>14631</v>
      </c>
      <c r="F17" s="16" t="n">
        <v>3333</v>
      </c>
      <c r="G17" s="16" t="n">
        <v>0</v>
      </c>
      <c r="H17" s="16" t="n">
        <v>17964</v>
      </c>
      <c r="I17" s="16" t="n">
        <v>119833</v>
      </c>
      <c r="J17" s="16" t="n">
        <v>20080</v>
      </c>
      <c r="K17" s="16" t="n">
        <v>647</v>
      </c>
      <c r="L17" s="16" t="n">
        <v>140560</v>
      </c>
      <c r="M17" s="16" t="n">
        <v>233524</v>
      </c>
      <c r="N17" s="16" t="n">
        <v>17379</v>
      </c>
      <c r="O17" s="16" t="n">
        <v>7886</v>
      </c>
      <c r="P17" s="16" t="n">
        <v>258789</v>
      </c>
      <c r="Q17" s="15" t="inlineStr">
        <is>
          <t>Cecafé Resumo Diário (capture du site, date supposée 04/09/2026)</t>
        </is>
      </c>
      <c r="R17" s="17">
        <f>IF(Parametres!$B$5="arabica",E17,IF(Parametres!$B$5="conilon",F17,IF(Parametres!$B$5="soluble",G17,H17)))</f>
        <v/>
      </c>
      <c r="S17" s="17">
        <f>IF(Parametres!$B$5="arabica",I17,IF(Parametres!$B$5="conilon",J17,IF(Parametres!$B$5="soluble",K17,L17)))</f>
        <v/>
      </c>
      <c r="T17" s="17">
        <f>IF(Parametres!$B$5="arabica",M17,IF(Parametres!$B$5="conilon",N17,IF(Parametres!$B$5="soluble",O17,P17)))</f>
        <v/>
      </c>
    </row>
    <row r="18">
      <c r="A18" s="18" t="n">
        <v>46269</v>
      </c>
      <c r="B18" s="19" t="inlineStr">
        <is>
          <t>shipment</t>
        </is>
      </c>
      <c r="C18" s="19" t="inlineStr">
        <is>
          <t>total</t>
        </is>
      </c>
      <c r="D18" s="19" t="inlineStr">
        <is>
          <t>TOTALS</t>
        </is>
      </c>
      <c r="E18" s="20" t="n">
        <v>17951</v>
      </c>
      <c r="F18" s="20" t="n">
        <v>5067</v>
      </c>
      <c r="G18" s="20" t="n">
        <v>0</v>
      </c>
      <c r="H18" s="20" t="n">
        <v>23018</v>
      </c>
      <c r="I18" s="20" t="n">
        <v>134719</v>
      </c>
      <c r="J18" s="20" t="n">
        <v>22706</v>
      </c>
      <c r="K18" s="20" t="n">
        <v>2733</v>
      </c>
      <c r="L18" s="20" t="n">
        <v>160158</v>
      </c>
      <c r="M18" s="20" t="n">
        <v>313939</v>
      </c>
      <c r="N18" s="20" t="n">
        <v>22860</v>
      </c>
      <c r="O18" s="20" t="n">
        <v>16302</v>
      </c>
      <c r="P18" s="20" t="n">
        <v>353101</v>
      </c>
      <c r="Q18" s="19" t="inlineStr">
        <is>
          <t>Cecafé Resumo Diário (capture du site, date supposée 04/09/2026)</t>
        </is>
      </c>
      <c r="R18" s="21">
        <f>IF(Parametres!$B$5="arabica",E18,IF(Parametres!$B$5="conilon",F18,IF(Parametres!$B$5="soluble",G18,H18)))</f>
        <v/>
      </c>
      <c r="S18" s="21">
        <f>IF(Parametres!$B$5="arabica",I18,IF(Parametres!$B$5="conilon",J18,IF(Parametres!$B$5="soluble",K18,L18)))</f>
        <v/>
      </c>
      <c r="T18" s="21">
        <f>IF(Parametres!$B$5="arabica",M18,IF(Parametres!$B$5="conilon",N18,IF(Parametres!$B$5="soluble",O18,P18)))</f>
        <v/>
      </c>
    </row>
  </sheetData>
  <autoFilter ref="A1:T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  <col width="12" customWidth="1" min="6" max="6"/>
    <col width="12" customWidth="1" min="7" max="7"/>
    <col width="20" customWidth="1" min="8" max="8"/>
    <col width="20" customWidth="1" min="9" max="9"/>
    <col width="20" customWidth="1" min="10" max="10"/>
  </cols>
  <sheetData>
    <row r="1">
      <c r="A1" s="1" t="inlineStr">
        <is>
          <t>Mouvement du jour par étape — jour contre veille</t>
        </is>
      </c>
    </row>
    <row r="2">
      <c r="A2" s="2" t="inlineStr">
        <is>
          <t>Unité et type : onglet Parametres.</t>
        </is>
      </c>
    </row>
    <row r="3"/>
    <row r="4">
      <c r="A4" s="8" t="inlineStr">
        <is>
          <t>Unité</t>
        </is>
      </c>
      <c r="B4" s="22">
        <f>Parametres!$B$4</f>
        <v/>
      </c>
    </row>
    <row r="5">
      <c r="A5" s="8" t="inlineStr">
        <is>
          <t>Type</t>
        </is>
      </c>
      <c r="B5" s="22">
        <f>Parametres!$B$5</f>
        <v/>
      </c>
    </row>
    <row r="6">
      <c r="M6" s="23">
        <f>A7</f>
        <v/>
      </c>
      <c r="N6" s="23">
        <f>A8</f>
        <v/>
      </c>
    </row>
    <row r="7">
      <c r="A7" s="13" t="inlineStr">
        <is>
          <t>Date</t>
        </is>
      </c>
      <c r="B7" s="13" t="inlineStr">
        <is>
          <t>Certificats (jour)</t>
        </is>
      </c>
      <c r="C7" s="13" t="inlineStr">
        <is>
          <t>Dédouanés (jour)</t>
        </is>
      </c>
      <c r="D7" s="13" t="inlineStr">
        <is>
          <t>Embarqués (jour)</t>
        </is>
      </c>
      <c r="E7" s="13" t="inlineStr">
        <is>
          <t>Certificats veille</t>
        </is>
      </c>
      <c r="F7" s="13" t="inlineStr">
        <is>
          <t>Variation</t>
        </is>
      </c>
      <c r="G7" s="13" t="inlineStr">
        <is>
          <t>Variation %</t>
        </is>
      </c>
      <c r="H7" s="13" t="inlineStr">
        <is>
          <t>Certificats cumul mois</t>
        </is>
      </c>
      <c r="I7" s="13" t="inlineStr">
        <is>
          <t>Embarqués cumul mois</t>
        </is>
      </c>
      <c r="J7" s="13" t="inlineStr">
        <is>
          <t>Certifiés − embarqués</t>
        </is>
      </c>
      <c r="L7" s="5" t="inlineStr">
        <is>
          <t>Étape</t>
        </is>
      </c>
      <c r="M7" s="5" t="inlineStr">
        <is>
          <t>Veille</t>
        </is>
      </c>
      <c r="N7" s="5" t="inlineStr">
        <is>
          <t>Aujourd’hui</t>
        </is>
      </c>
    </row>
    <row r="8">
      <c r="A8" s="14" t="n">
        <v>46269</v>
      </c>
      <c r="B8" s="24">
        <f>SUMIFS(Cecafe_brut!$R$2:$R$18,Cecafe_brut!$A$2:$A$18,$A8,Cecafe_brut!$B$2:$B$18,"certificates",Cecafe_brut!$C$2:$C$18,Parametres!$B$4)</f>
        <v/>
      </c>
      <c r="C8" s="24">
        <f>SUMIFS(Cecafe_brut!$R$2:$R$18,Cecafe_brut!$A$2:$A$18,$A8,Cecafe_brut!$B$2:$B$18,"customs",Cecafe_brut!$C$2:$C$18,Parametres!$B$4)</f>
        <v/>
      </c>
      <c r="D8" s="24">
        <f>SUMIFS(Cecafe_brut!$R$2:$R$18,Cecafe_brut!$A$2:$A$18,$A8,Cecafe_brut!$B$2:$B$18,"shipment",Cecafe_brut!$C$2:$C$18,Parametres!$B$4)</f>
        <v/>
      </c>
      <c r="E8" s="24">
        <f>""</f>
        <v/>
      </c>
      <c r="F8" s="24">
        <f>IF(E8="","",B8-E8)</f>
        <v/>
      </c>
      <c r="G8" s="25">
        <f>IF(OR(E8="",E8=0),"",B8/E8-1)</f>
        <v/>
      </c>
      <c r="H8" s="24">
        <f>SUMIFS(Cecafe_brut!$S$2:$S$18,Cecafe_brut!$A$2:$A$18,$A8,Cecafe_brut!$B$2:$B$18,"certificates",Cecafe_brut!$C$2:$C$18,Parametres!$B$4)</f>
        <v/>
      </c>
      <c r="I8" s="24">
        <f>SUMIFS(Cecafe_brut!$S$2:$S$18,Cecafe_brut!$A$2:$A$18,$A8,Cecafe_brut!$B$2:$B$18,"shipment",Cecafe_brut!$C$2:$C$18,Parametres!$B$4)</f>
        <v/>
      </c>
      <c r="J8" s="24">
        <f>H8-I8</f>
        <v/>
      </c>
      <c r="L8" s="12" t="inlineStr">
        <is>
          <t>Certificats</t>
        </is>
      </c>
      <c r="M8" s="26">
        <f>B7</f>
        <v/>
      </c>
      <c r="N8" s="26">
        <f>B8</f>
        <v/>
      </c>
    </row>
    <row r="9">
      <c r="L9" s="12" t="inlineStr">
        <is>
          <t>Dédouanés</t>
        </is>
      </c>
      <c r="M9" s="26">
        <f>C7</f>
        <v/>
      </c>
      <c r="N9" s="26">
        <f>C8</f>
        <v/>
      </c>
    </row>
    <row r="10">
      <c r="A10" s="2" t="inlineStr">
        <is>
          <t>Lecture : « Certifiés − embarqués » = café export avec certificat d’origine mais pas encore embarqué, c’est-à-dire en attente dans les entrepôts portuaires et intérieurs.</t>
        </is>
      </c>
      <c r="L10" s="12" t="inlineStr">
        <is>
          <t>Embarqués</t>
        </is>
      </c>
      <c r="M10" s="26">
        <f>D7</f>
        <v/>
      </c>
      <c r="N10" s="26">
        <f>D8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34" customWidth="1" min="3" max="3"/>
  </cols>
  <sheetData>
    <row r="1">
      <c r="A1" s="1" t="inlineStr">
        <is>
          <t>Certificats d’origine — cumul par jour du mois</t>
        </is>
      </c>
    </row>
    <row r="2">
      <c r="A2" s="2" t="inlineStr">
        <is>
          <t>Mois en cours vs mois précédent vs mêmes mois d’autres années. Unité et type : onglet Parametres.</t>
        </is>
      </c>
    </row>
    <row r="3"/>
    <row r="4">
      <c r="A4" s="8" t="inlineStr">
        <is>
          <t>Unité</t>
        </is>
      </c>
      <c r="B4" s="22">
        <f>Parametres!$B$4</f>
        <v/>
      </c>
    </row>
    <row r="5">
      <c r="A5" s="8" t="inlineStr">
        <is>
          <t>Type</t>
        </is>
      </c>
      <c r="B5" s="22">
        <f>Parametres!$B$5</f>
        <v/>
      </c>
    </row>
    <row r="6"/>
    <row r="7">
      <c r="A7" s="13" t="inlineStr">
        <is>
          <t>Jour du mois</t>
        </is>
      </c>
      <c r="B7" s="13" t="inlineStr">
        <is>
          <t>2026-08 (colonne mois précédent Cecafé)</t>
        </is>
      </c>
      <c r="C7" s="13" t="inlineStr">
        <is>
          <t>2026-09 (cumul quotidien)</t>
        </is>
      </c>
    </row>
    <row r="8">
      <c r="A8" s="15" t="n">
        <v>1</v>
      </c>
      <c r="B8" s="24">
        <f>IF(COUNTIFS(Cecafe_brut!$A$2:$A$18,DATE(2026,9,1),Cecafe_brut!$B$2:$B$18,"certificates",Cecafe_brut!$C$2:$C$18,Parametres!$B$4)=0,NA(),SUMIFS(Cecafe_brut!$T$2:$T$18,Cecafe_brut!$A$2:$A$18,DATE(2026,9,1),Cecafe_brut!$B$2:$B$18,"certificates",Cecafe_brut!$C$2:$C$18,Parametres!$B$4))</f>
        <v/>
      </c>
      <c r="C8" s="24">
        <f>IF(COUNTIFS(Cecafe_brut!$A$2:$A$18,DATE(2026,9,1),Cecafe_brut!$B$2:$B$18,"certificates",Cecafe_brut!$C$2:$C$18,Parametres!$B$4)=0,NA(),SUMIFS(Cecafe_brut!$S$2:$S$18,Cecafe_brut!$A$2:$A$18,DATE(2026,9,1),Cecafe_brut!$B$2:$B$18,"certificates",Cecafe_brut!$C$2:$C$18,Parametres!$B$4))</f>
        <v/>
      </c>
    </row>
    <row r="9">
      <c r="A9" s="15" t="n">
        <v>2</v>
      </c>
      <c r="B9" s="24">
        <f>IF(COUNTIFS(Cecafe_brut!$A$2:$A$18,DATE(2026,9,2),Cecafe_brut!$B$2:$B$18,"certificates",Cecafe_brut!$C$2:$C$18,Parametres!$B$4)=0,NA(),SUMIFS(Cecafe_brut!$T$2:$T$18,Cecafe_brut!$A$2:$A$18,DATE(2026,9,2),Cecafe_brut!$B$2:$B$18,"certificates",Cecafe_brut!$C$2:$C$18,Parametres!$B$4))</f>
        <v/>
      </c>
      <c r="C9" s="24">
        <f>IF(COUNTIFS(Cecafe_brut!$A$2:$A$18,DATE(2026,9,2),Cecafe_brut!$B$2:$B$18,"certificates",Cecafe_brut!$C$2:$C$18,Parametres!$B$4)=0,NA(),SUMIFS(Cecafe_brut!$S$2:$S$18,Cecafe_brut!$A$2:$A$18,DATE(2026,9,2),Cecafe_brut!$B$2:$B$18,"certificates",Cecafe_brut!$C$2:$C$18,Parametres!$B$4))</f>
        <v/>
      </c>
    </row>
    <row r="10">
      <c r="A10" s="15" t="n">
        <v>3</v>
      </c>
      <c r="B10" s="24">
        <f>IF(COUNTIFS(Cecafe_brut!$A$2:$A$18,DATE(2026,9,3),Cecafe_brut!$B$2:$B$18,"certificates",Cecafe_brut!$C$2:$C$18,Parametres!$B$4)=0,NA(),SUMIFS(Cecafe_brut!$T$2:$T$18,Cecafe_brut!$A$2:$A$18,DATE(2026,9,3),Cecafe_brut!$B$2:$B$18,"certificates",Cecafe_brut!$C$2:$C$18,Parametres!$B$4))</f>
        <v/>
      </c>
      <c r="C10" s="24">
        <f>IF(COUNTIFS(Cecafe_brut!$A$2:$A$18,DATE(2026,9,3),Cecafe_brut!$B$2:$B$18,"certificates",Cecafe_brut!$C$2:$C$18,Parametres!$B$4)=0,NA(),SUMIFS(Cecafe_brut!$S$2:$S$18,Cecafe_brut!$A$2:$A$18,DATE(2026,9,3),Cecafe_brut!$B$2:$B$18,"certificates",Cecafe_brut!$C$2:$C$18,Parametres!$B$4))</f>
        <v/>
      </c>
    </row>
    <row r="11">
      <c r="A11" s="15" t="n">
        <v>4</v>
      </c>
      <c r="B11" s="24">
        <f>IF(COUNTIFS(Cecafe_brut!$A$2:$A$18,DATE(2026,9,4),Cecafe_brut!$B$2:$B$18,"certificates",Cecafe_brut!$C$2:$C$18,Parametres!$B$4)=0,NA(),SUMIFS(Cecafe_brut!$T$2:$T$18,Cecafe_brut!$A$2:$A$18,DATE(2026,9,4),Cecafe_brut!$B$2:$B$18,"certificates",Cecafe_brut!$C$2:$C$18,Parametres!$B$4))</f>
        <v/>
      </c>
      <c r="C11" s="24">
        <f>IF(COUNTIFS(Cecafe_brut!$A$2:$A$18,DATE(2026,9,4),Cecafe_brut!$B$2:$B$18,"certificates",Cecafe_brut!$C$2:$C$18,Parametres!$B$4)=0,NA(),SUMIFS(Cecafe_brut!$S$2:$S$18,Cecafe_brut!$A$2:$A$18,DATE(2026,9,4),Cecafe_brut!$B$2:$B$18,"certificates",Cecafe_brut!$C$2:$C$18,Parametres!$B$4))</f>
        <v/>
      </c>
    </row>
    <row r="12">
      <c r="A12" s="15" t="n">
        <v>5</v>
      </c>
      <c r="B12" s="24">
        <f>IF(COUNTIFS(Cecafe_brut!$A$2:$A$18,DATE(2026,9,5),Cecafe_brut!$B$2:$B$18,"certificates",Cecafe_brut!$C$2:$C$18,Parametres!$B$4)=0,NA(),SUMIFS(Cecafe_brut!$T$2:$T$18,Cecafe_brut!$A$2:$A$18,DATE(2026,9,5),Cecafe_brut!$B$2:$B$18,"certificates",Cecafe_brut!$C$2:$C$18,Parametres!$B$4))</f>
        <v/>
      </c>
      <c r="C12" s="24">
        <f>IF(COUNTIFS(Cecafe_brut!$A$2:$A$18,DATE(2026,9,5),Cecafe_brut!$B$2:$B$18,"certificates",Cecafe_brut!$C$2:$C$18,Parametres!$B$4)=0,NA(),SUMIFS(Cecafe_brut!$S$2:$S$18,Cecafe_brut!$A$2:$A$18,DATE(2026,9,5),Cecafe_brut!$B$2:$B$18,"certificates",Cecafe_brut!$C$2:$C$18,Parametres!$B$4))</f>
        <v/>
      </c>
    </row>
    <row r="13">
      <c r="A13" s="15" t="n">
        <v>6</v>
      </c>
      <c r="B13" s="24">
        <f>IF(COUNTIFS(Cecafe_brut!$A$2:$A$18,DATE(2026,9,6),Cecafe_brut!$B$2:$B$18,"certificates",Cecafe_brut!$C$2:$C$18,Parametres!$B$4)=0,NA(),SUMIFS(Cecafe_brut!$T$2:$T$18,Cecafe_brut!$A$2:$A$18,DATE(2026,9,6),Cecafe_brut!$B$2:$B$18,"certificates",Cecafe_brut!$C$2:$C$18,Parametres!$B$4))</f>
        <v/>
      </c>
      <c r="C13" s="24">
        <f>IF(COUNTIFS(Cecafe_brut!$A$2:$A$18,DATE(2026,9,6),Cecafe_brut!$B$2:$B$18,"certificates",Cecafe_brut!$C$2:$C$18,Parametres!$B$4)=0,NA(),SUMIFS(Cecafe_brut!$S$2:$S$18,Cecafe_brut!$A$2:$A$18,DATE(2026,9,6),Cecafe_brut!$B$2:$B$18,"certificates",Cecafe_brut!$C$2:$C$18,Parametres!$B$4))</f>
        <v/>
      </c>
    </row>
    <row r="14">
      <c r="A14" s="15" t="n">
        <v>7</v>
      </c>
      <c r="B14" s="24">
        <f>IF(COUNTIFS(Cecafe_brut!$A$2:$A$18,DATE(2026,9,7),Cecafe_brut!$B$2:$B$18,"certificates",Cecafe_brut!$C$2:$C$18,Parametres!$B$4)=0,NA(),SUMIFS(Cecafe_brut!$T$2:$T$18,Cecafe_brut!$A$2:$A$18,DATE(2026,9,7),Cecafe_brut!$B$2:$B$18,"certificates",Cecafe_brut!$C$2:$C$18,Parametres!$B$4))</f>
        <v/>
      </c>
      <c r="C14" s="24">
        <f>IF(COUNTIFS(Cecafe_brut!$A$2:$A$18,DATE(2026,9,7),Cecafe_brut!$B$2:$B$18,"certificates",Cecafe_brut!$C$2:$C$18,Parametres!$B$4)=0,NA(),SUMIFS(Cecafe_brut!$S$2:$S$18,Cecafe_brut!$A$2:$A$18,DATE(2026,9,7),Cecafe_brut!$B$2:$B$18,"certificates",Cecafe_brut!$C$2:$C$18,Parametres!$B$4))</f>
        <v/>
      </c>
    </row>
    <row r="15">
      <c r="A15" s="15" t="n">
        <v>8</v>
      </c>
      <c r="B15" s="24">
        <f>IF(COUNTIFS(Cecafe_brut!$A$2:$A$18,DATE(2026,9,8),Cecafe_brut!$B$2:$B$18,"certificates",Cecafe_brut!$C$2:$C$18,Parametres!$B$4)=0,NA(),SUMIFS(Cecafe_brut!$T$2:$T$18,Cecafe_brut!$A$2:$A$18,DATE(2026,9,8),Cecafe_brut!$B$2:$B$18,"certificates",Cecafe_brut!$C$2:$C$18,Parametres!$B$4))</f>
        <v/>
      </c>
      <c r="C15" s="24">
        <f>IF(COUNTIFS(Cecafe_brut!$A$2:$A$18,DATE(2026,9,8),Cecafe_brut!$B$2:$B$18,"certificates",Cecafe_brut!$C$2:$C$18,Parametres!$B$4)=0,NA(),SUMIFS(Cecafe_brut!$S$2:$S$18,Cecafe_brut!$A$2:$A$18,DATE(2026,9,8),Cecafe_brut!$B$2:$B$18,"certificates",Cecafe_brut!$C$2:$C$18,Parametres!$B$4))</f>
        <v/>
      </c>
    </row>
    <row r="16">
      <c r="A16" s="15" t="n">
        <v>9</v>
      </c>
      <c r="B16" s="24">
        <f>IF(COUNTIFS(Cecafe_brut!$A$2:$A$18,DATE(2026,9,9),Cecafe_brut!$B$2:$B$18,"certificates",Cecafe_brut!$C$2:$C$18,Parametres!$B$4)=0,NA(),SUMIFS(Cecafe_brut!$T$2:$T$18,Cecafe_brut!$A$2:$A$18,DATE(2026,9,9),Cecafe_brut!$B$2:$B$18,"certificates",Cecafe_brut!$C$2:$C$18,Parametres!$B$4))</f>
        <v/>
      </c>
      <c r="C16" s="24">
        <f>IF(COUNTIFS(Cecafe_brut!$A$2:$A$18,DATE(2026,9,9),Cecafe_brut!$B$2:$B$18,"certificates",Cecafe_brut!$C$2:$C$18,Parametres!$B$4)=0,NA(),SUMIFS(Cecafe_brut!$S$2:$S$18,Cecafe_brut!$A$2:$A$18,DATE(2026,9,9),Cecafe_brut!$B$2:$B$18,"certificates",Cecafe_brut!$C$2:$C$18,Parametres!$B$4))</f>
        <v/>
      </c>
    </row>
    <row r="17">
      <c r="A17" s="15" t="n">
        <v>10</v>
      </c>
      <c r="B17" s="24">
        <f>IF(COUNTIFS(Cecafe_brut!$A$2:$A$18,DATE(2026,9,10),Cecafe_brut!$B$2:$B$18,"certificates",Cecafe_brut!$C$2:$C$18,Parametres!$B$4)=0,NA(),SUMIFS(Cecafe_brut!$T$2:$T$18,Cecafe_brut!$A$2:$A$18,DATE(2026,9,10),Cecafe_brut!$B$2:$B$18,"certificates",Cecafe_brut!$C$2:$C$18,Parametres!$B$4))</f>
        <v/>
      </c>
      <c r="C17" s="24">
        <f>IF(COUNTIFS(Cecafe_brut!$A$2:$A$18,DATE(2026,9,10),Cecafe_brut!$B$2:$B$18,"certificates",Cecafe_brut!$C$2:$C$18,Parametres!$B$4)=0,NA(),SUMIFS(Cecafe_brut!$S$2:$S$18,Cecafe_brut!$A$2:$A$18,DATE(2026,9,10),Cecafe_brut!$B$2:$B$18,"certificates",Cecafe_brut!$C$2:$C$18,Parametres!$B$4))</f>
        <v/>
      </c>
    </row>
    <row r="18">
      <c r="A18" s="15" t="n">
        <v>11</v>
      </c>
      <c r="B18" s="24">
        <f>IF(COUNTIFS(Cecafe_brut!$A$2:$A$18,DATE(2026,9,11),Cecafe_brut!$B$2:$B$18,"certificates",Cecafe_brut!$C$2:$C$18,Parametres!$B$4)=0,NA(),SUMIFS(Cecafe_brut!$T$2:$T$18,Cecafe_brut!$A$2:$A$18,DATE(2026,9,11),Cecafe_brut!$B$2:$B$18,"certificates",Cecafe_brut!$C$2:$C$18,Parametres!$B$4))</f>
        <v/>
      </c>
      <c r="C18" s="24">
        <f>IF(COUNTIFS(Cecafe_brut!$A$2:$A$18,DATE(2026,9,11),Cecafe_brut!$B$2:$B$18,"certificates",Cecafe_brut!$C$2:$C$18,Parametres!$B$4)=0,NA(),SUMIFS(Cecafe_brut!$S$2:$S$18,Cecafe_brut!$A$2:$A$18,DATE(2026,9,11),Cecafe_brut!$B$2:$B$18,"certificates",Cecafe_brut!$C$2:$C$18,Parametres!$B$4))</f>
        <v/>
      </c>
    </row>
    <row r="19">
      <c r="A19" s="15" t="n">
        <v>12</v>
      </c>
      <c r="B19" s="24">
        <f>IF(COUNTIFS(Cecafe_brut!$A$2:$A$18,DATE(2026,9,12),Cecafe_brut!$B$2:$B$18,"certificates",Cecafe_brut!$C$2:$C$18,Parametres!$B$4)=0,NA(),SUMIFS(Cecafe_brut!$T$2:$T$18,Cecafe_brut!$A$2:$A$18,DATE(2026,9,12),Cecafe_brut!$B$2:$B$18,"certificates",Cecafe_brut!$C$2:$C$18,Parametres!$B$4))</f>
        <v/>
      </c>
      <c r="C19" s="24">
        <f>IF(COUNTIFS(Cecafe_brut!$A$2:$A$18,DATE(2026,9,12),Cecafe_brut!$B$2:$B$18,"certificates",Cecafe_brut!$C$2:$C$18,Parametres!$B$4)=0,NA(),SUMIFS(Cecafe_brut!$S$2:$S$18,Cecafe_brut!$A$2:$A$18,DATE(2026,9,12),Cecafe_brut!$B$2:$B$18,"certificates",Cecafe_brut!$C$2:$C$18,Parametres!$B$4))</f>
        <v/>
      </c>
    </row>
    <row r="20">
      <c r="A20" s="15" t="n">
        <v>13</v>
      </c>
      <c r="B20" s="24">
        <f>IF(COUNTIFS(Cecafe_brut!$A$2:$A$18,DATE(2026,9,13),Cecafe_brut!$B$2:$B$18,"certificates",Cecafe_brut!$C$2:$C$18,Parametres!$B$4)=0,NA(),SUMIFS(Cecafe_brut!$T$2:$T$18,Cecafe_brut!$A$2:$A$18,DATE(2026,9,13),Cecafe_brut!$B$2:$B$18,"certificates",Cecafe_brut!$C$2:$C$18,Parametres!$B$4))</f>
        <v/>
      </c>
      <c r="C20" s="24">
        <f>IF(COUNTIFS(Cecafe_brut!$A$2:$A$18,DATE(2026,9,13),Cecafe_brut!$B$2:$B$18,"certificates",Cecafe_brut!$C$2:$C$18,Parametres!$B$4)=0,NA(),SUMIFS(Cecafe_brut!$S$2:$S$18,Cecafe_brut!$A$2:$A$18,DATE(2026,9,13),Cecafe_brut!$B$2:$B$18,"certificates",Cecafe_brut!$C$2:$C$18,Parametres!$B$4))</f>
        <v/>
      </c>
    </row>
    <row r="21">
      <c r="A21" s="15" t="n">
        <v>14</v>
      </c>
      <c r="B21" s="24">
        <f>IF(COUNTIFS(Cecafe_brut!$A$2:$A$18,DATE(2026,9,14),Cecafe_brut!$B$2:$B$18,"certificates",Cecafe_brut!$C$2:$C$18,Parametres!$B$4)=0,NA(),SUMIFS(Cecafe_brut!$T$2:$T$18,Cecafe_brut!$A$2:$A$18,DATE(2026,9,14),Cecafe_brut!$B$2:$B$18,"certificates",Cecafe_brut!$C$2:$C$18,Parametres!$B$4))</f>
        <v/>
      </c>
      <c r="C21" s="24">
        <f>IF(COUNTIFS(Cecafe_brut!$A$2:$A$18,DATE(2026,9,14),Cecafe_brut!$B$2:$B$18,"certificates",Cecafe_brut!$C$2:$C$18,Parametres!$B$4)=0,NA(),SUMIFS(Cecafe_brut!$S$2:$S$18,Cecafe_brut!$A$2:$A$18,DATE(2026,9,14),Cecafe_brut!$B$2:$B$18,"certificates",Cecafe_brut!$C$2:$C$18,Parametres!$B$4))</f>
        <v/>
      </c>
    </row>
    <row r="22">
      <c r="A22" s="15" t="n">
        <v>15</v>
      </c>
      <c r="B22" s="24">
        <f>IF(COUNTIFS(Cecafe_brut!$A$2:$A$18,DATE(2026,9,15),Cecafe_brut!$B$2:$B$18,"certificates",Cecafe_brut!$C$2:$C$18,Parametres!$B$4)=0,NA(),SUMIFS(Cecafe_brut!$T$2:$T$18,Cecafe_brut!$A$2:$A$18,DATE(2026,9,15),Cecafe_brut!$B$2:$B$18,"certificates",Cecafe_brut!$C$2:$C$18,Parametres!$B$4))</f>
        <v/>
      </c>
      <c r="C22" s="24">
        <f>IF(COUNTIFS(Cecafe_brut!$A$2:$A$18,DATE(2026,9,15),Cecafe_brut!$B$2:$B$18,"certificates",Cecafe_brut!$C$2:$C$18,Parametres!$B$4)=0,NA(),SUMIFS(Cecafe_brut!$S$2:$S$18,Cecafe_brut!$A$2:$A$18,DATE(2026,9,15),Cecafe_brut!$B$2:$B$18,"certificates",Cecafe_brut!$C$2:$C$18,Parametres!$B$4))</f>
        <v/>
      </c>
    </row>
    <row r="23">
      <c r="A23" s="15" t="n">
        <v>16</v>
      </c>
      <c r="B23" s="24">
        <f>IF(COUNTIFS(Cecafe_brut!$A$2:$A$18,DATE(2026,9,16),Cecafe_brut!$B$2:$B$18,"certificates",Cecafe_brut!$C$2:$C$18,Parametres!$B$4)=0,NA(),SUMIFS(Cecafe_brut!$T$2:$T$18,Cecafe_brut!$A$2:$A$18,DATE(2026,9,16),Cecafe_brut!$B$2:$B$18,"certificates",Cecafe_brut!$C$2:$C$18,Parametres!$B$4))</f>
        <v/>
      </c>
      <c r="C23" s="24">
        <f>IF(COUNTIFS(Cecafe_brut!$A$2:$A$18,DATE(2026,9,16),Cecafe_brut!$B$2:$B$18,"certificates",Cecafe_brut!$C$2:$C$18,Parametres!$B$4)=0,NA(),SUMIFS(Cecafe_brut!$S$2:$S$18,Cecafe_brut!$A$2:$A$18,DATE(2026,9,16),Cecafe_brut!$B$2:$B$18,"certificates",Cecafe_brut!$C$2:$C$18,Parametres!$B$4))</f>
        <v/>
      </c>
    </row>
    <row r="24">
      <c r="A24" s="15" t="n">
        <v>17</v>
      </c>
      <c r="B24" s="24">
        <f>IF(COUNTIFS(Cecafe_brut!$A$2:$A$18,DATE(2026,9,17),Cecafe_brut!$B$2:$B$18,"certificates",Cecafe_brut!$C$2:$C$18,Parametres!$B$4)=0,NA(),SUMIFS(Cecafe_brut!$T$2:$T$18,Cecafe_brut!$A$2:$A$18,DATE(2026,9,17),Cecafe_brut!$B$2:$B$18,"certificates",Cecafe_brut!$C$2:$C$18,Parametres!$B$4))</f>
        <v/>
      </c>
      <c r="C24" s="24">
        <f>IF(COUNTIFS(Cecafe_brut!$A$2:$A$18,DATE(2026,9,17),Cecafe_brut!$B$2:$B$18,"certificates",Cecafe_brut!$C$2:$C$18,Parametres!$B$4)=0,NA(),SUMIFS(Cecafe_brut!$S$2:$S$18,Cecafe_brut!$A$2:$A$18,DATE(2026,9,17),Cecafe_brut!$B$2:$B$18,"certificates",Cecafe_brut!$C$2:$C$18,Parametres!$B$4))</f>
        <v/>
      </c>
    </row>
    <row r="25">
      <c r="A25" s="15" t="n">
        <v>18</v>
      </c>
      <c r="B25" s="24">
        <f>IF(COUNTIFS(Cecafe_brut!$A$2:$A$18,DATE(2026,9,18),Cecafe_brut!$B$2:$B$18,"certificates",Cecafe_brut!$C$2:$C$18,Parametres!$B$4)=0,NA(),SUMIFS(Cecafe_brut!$T$2:$T$18,Cecafe_brut!$A$2:$A$18,DATE(2026,9,18),Cecafe_brut!$B$2:$B$18,"certificates",Cecafe_brut!$C$2:$C$18,Parametres!$B$4))</f>
        <v/>
      </c>
      <c r="C25" s="24">
        <f>IF(COUNTIFS(Cecafe_brut!$A$2:$A$18,DATE(2026,9,18),Cecafe_brut!$B$2:$B$18,"certificates",Cecafe_brut!$C$2:$C$18,Parametres!$B$4)=0,NA(),SUMIFS(Cecafe_brut!$S$2:$S$18,Cecafe_brut!$A$2:$A$18,DATE(2026,9,18),Cecafe_brut!$B$2:$B$18,"certificates",Cecafe_brut!$C$2:$C$18,Parametres!$B$4))</f>
        <v/>
      </c>
    </row>
    <row r="26">
      <c r="A26" s="15" t="n">
        <v>19</v>
      </c>
      <c r="B26" s="24">
        <f>IF(COUNTIFS(Cecafe_brut!$A$2:$A$18,DATE(2026,9,19),Cecafe_brut!$B$2:$B$18,"certificates",Cecafe_brut!$C$2:$C$18,Parametres!$B$4)=0,NA(),SUMIFS(Cecafe_brut!$T$2:$T$18,Cecafe_brut!$A$2:$A$18,DATE(2026,9,19),Cecafe_brut!$B$2:$B$18,"certificates",Cecafe_brut!$C$2:$C$18,Parametres!$B$4))</f>
        <v/>
      </c>
      <c r="C26" s="24">
        <f>IF(COUNTIFS(Cecafe_brut!$A$2:$A$18,DATE(2026,9,19),Cecafe_brut!$B$2:$B$18,"certificates",Cecafe_brut!$C$2:$C$18,Parametres!$B$4)=0,NA(),SUMIFS(Cecafe_brut!$S$2:$S$18,Cecafe_brut!$A$2:$A$18,DATE(2026,9,19),Cecafe_brut!$B$2:$B$18,"certificates",Cecafe_brut!$C$2:$C$18,Parametres!$B$4))</f>
        <v/>
      </c>
    </row>
    <row r="27">
      <c r="A27" s="15" t="n">
        <v>20</v>
      </c>
      <c r="B27" s="24">
        <f>IF(COUNTIFS(Cecafe_brut!$A$2:$A$18,DATE(2026,9,20),Cecafe_brut!$B$2:$B$18,"certificates",Cecafe_brut!$C$2:$C$18,Parametres!$B$4)=0,NA(),SUMIFS(Cecafe_brut!$T$2:$T$18,Cecafe_brut!$A$2:$A$18,DATE(2026,9,20),Cecafe_brut!$B$2:$B$18,"certificates",Cecafe_brut!$C$2:$C$18,Parametres!$B$4))</f>
        <v/>
      </c>
      <c r="C27" s="24">
        <f>IF(COUNTIFS(Cecafe_brut!$A$2:$A$18,DATE(2026,9,20),Cecafe_brut!$B$2:$B$18,"certificates",Cecafe_brut!$C$2:$C$18,Parametres!$B$4)=0,NA(),SUMIFS(Cecafe_brut!$S$2:$S$18,Cecafe_brut!$A$2:$A$18,DATE(2026,9,20),Cecafe_brut!$B$2:$B$18,"certificates",Cecafe_brut!$C$2:$C$18,Parametres!$B$4))</f>
        <v/>
      </c>
    </row>
    <row r="28">
      <c r="A28" s="15" t="n">
        <v>21</v>
      </c>
      <c r="B28" s="24">
        <f>IF(COUNTIFS(Cecafe_brut!$A$2:$A$18,DATE(2026,9,21),Cecafe_brut!$B$2:$B$18,"certificates",Cecafe_brut!$C$2:$C$18,Parametres!$B$4)=0,NA(),SUMIFS(Cecafe_brut!$T$2:$T$18,Cecafe_brut!$A$2:$A$18,DATE(2026,9,21),Cecafe_brut!$B$2:$B$18,"certificates",Cecafe_brut!$C$2:$C$18,Parametres!$B$4))</f>
        <v/>
      </c>
      <c r="C28" s="24">
        <f>IF(COUNTIFS(Cecafe_brut!$A$2:$A$18,DATE(2026,9,21),Cecafe_brut!$B$2:$B$18,"certificates",Cecafe_brut!$C$2:$C$18,Parametres!$B$4)=0,NA(),SUMIFS(Cecafe_brut!$S$2:$S$18,Cecafe_brut!$A$2:$A$18,DATE(2026,9,21),Cecafe_brut!$B$2:$B$18,"certificates",Cecafe_brut!$C$2:$C$18,Parametres!$B$4))</f>
        <v/>
      </c>
    </row>
    <row r="29">
      <c r="A29" s="15" t="n">
        <v>22</v>
      </c>
      <c r="B29" s="24">
        <f>IF(COUNTIFS(Cecafe_brut!$A$2:$A$18,DATE(2026,9,22),Cecafe_brut!$B$2:$B$18,"certificates",Cecafe_brut!$C$2:$C$18,Parametres!$B$4)=0,NA(),SUMIFS(Cecafe_brut!$T$2:$T$18,Cecafe_brut!$A$2:$A$18,DATE(2026,9,22),Cecafe_brut!$B$2:$B$18,"certificates",Cecafe_brut!$C$2:$C$18,Parametres!$B$4))</f>
        <v/>
      </c>
      <c r="C29" s="24">
        <f>IF(COUNTIFS(Cecafe_brut!$A$2:$A$18,DATE(2026,9,22),Cecafe_brut!$B$2:$B$18,"certificates",Cecafe_brut!$C$2:$C$18,Parametres!$B$4)=0,NA(),SUMIFS(Cecafe_brut!$S$2:$S$18,Cecafe_brut!$A$2:$A$18,DATE(2026,9,22),Cecafe_brut!$B$2:$B$18,"certificates",Cecafe_brut!$C$2:$C$18,Parametres!$B$4))</f>
        <v/>
      </c>
    </row>
    <row r="30">
      <c r="A30" s="15" t="n">
        <v>23</v>
      </c>
      <c r="B30" s="24">
        <f>IF(COUNTIFS(Cecafe_brut!$A$2:$A$18,DATE(2026,9,23),Cecafe_brut!$B$2:$B$18,"certificates",Cecafe_brut!$C$2:$C$18,Parametres!$B$4)=0,NA(),SUMIFS(Cecafe_brut!$T$2:$T$18,Cecafe_brut!$A$2:$A$18,DATE(2026,9,23),Cecafe_brut!$B$2:$B$18,"certificates",Cecafe_brut!$C$2:$C$18,Parametres!$B$4))</f>
        <v/>
      </c>
      <c r="C30" s="24">
        <f>IF(COUNTIFS(Cecafe_brut!$A$2:$A$18,DATE(2026,9,23),Cecafe_brut!$B$2:$B$18,"certificates",Cecafe_brut!$C$2:$C$18,Parametres!$B$4)=0,NA(),SUMIFS(Cecafe_brut!$S$2:$S$18,Cecafe_brut!$A$2:$A$18,DATE(2026,9,23),Cecafe_brut!$B$2:$B$18,"certificates",Cecafe_brut!$C$2:$C$18,Parametres!$B$4))</f>
        <v/>
      </c>
    </row>
    <row r="31">
      <c r="A31" s="15" t="n">
        <v>24</v>
      </c>
      <c r="B31" s="24">
        <f>IF(COUNTIFS(Cecafe_brut!$A$2:$A$18,DATE(2026,9,24),Cecafe_brut!$B$2:$B$18,"certificates",Cecafe_brut!$C$2:$C$18,Parametres!$B$4)=0,NA(),SUMIFS(Cecafe_brut!$T$2:$T$18,Cecafe_brut!$A$2:$A$18,DATE(2026,9,24),Cecafe_brut!$B$2:$B$18,"certificates",Cecafe_brut!$C$2:$C$18,Parametres!$B$4))</f>
        <v/>
      </c>
      <c r="C31" s="24">
        <f>IF(COUNTIFS(Cecafe_brut!$A$2:$A$18,DATE(2026,9,24),Cecafe_brut!$B$2:$B$18,"certificates",Cecafe_brut!$C$2:$C$18,Parametres!$B$4)=0,NA(),SUMIFS(Cecafe_brut!$S$2:$S$18,Cecafe_brut!$A$2:$A$18,DATE(2026,9,24),Cecafe_brut!$B$2:$B$18,"certificates",Cecafe_brut!$C$2:$C$18,Parametres!$B$4))</f>
        <v/>
      </c>
    </row>
    <row r="32">
      <c r="A32" s="15" t="n">
        <v>25</v>
      </c>
      <c r="B32" s="24">
        <f>IF(COUNTIFS(Cecafe_brut!$A$2:$A$18,DATE(2026,9,25),Cecafe_brut!$B$2:$B$18,"certificates",Cecafe_brut!$C$2:$C$18,Parametres!$B$4)=0,NA(),SUMIFS(Cecafe_brut!$T$2:$T$18,Cecafe_brut!$A$2:$A$18,DATE(2026,9,25),Cecafe_brut!$B$2:$B$18,"certificates",Cecafe_brut!$C$2:$C$18,Parametres!$B$4))</f>
        <v/>
      </c>
      <c r="C32" s="24">
        <f>IF(COUNTIFS(Cecafe_brut!$A$2:$A$18,DATE(2026,9,25),Cecafe_brut!$B$2:$B$18,"certificates",Cecafe_brut!$C$2:$C$18,Parametres!$B$4)=0,NA(),SUMIFS(Cecafe_brut!$S$2:$S$18,Cecafe_brut!$A$2:$A$18,DATE(2026,9,25),Cecafe_brut!$B$2:$B$18,"certificates",Cecafe_brut!$C$2:$C$18,Parametres!$B$4))</f>
        <v/>
      </c>
    </row>
    <row r="33">
      <c r="A33" s="15" t="n">
        <v>26</v>
      </c>
      <c r="B33" s="24">
        <f>IF(COUNTIFS(Cecafe_brut!$A$2:$A$18,DATE(2026,9,26),Cecafe_brut!$B$2:$B$18,"certificates",Cecafe_brut!$C$2:$C$18,Parametres!$B$4)=0,NA(),SUMIFS(Cecafe_brut!$T$2:$T$18,Cecafe_brut!$A$2:$A$18,DATE(2026,9,26),Cecafe_brut!$B$2:$B$18,"certificates",Cecafe_brut!$C$2:$C$18,Parametres!$B$4))</f>
        <v/>
      </c>
      <c r="C33" s="24">
        <f>IF(COUNTIFS(Cecafe_brut!$A$2:$A$18,DATE(2026,9,26),Cecafe_brut!$B$2:$B$18,"certificates",Cecafe_brut!$C$2:$C$18,Parametres!$B$4)=0,NA(),SUMIFS(Cecafe_brut!$S$2:$S$18,Cecafe_brut!$A$2:$A$18,DATE(2026,9,26),Cecafe_brut!$B$2:$B$18,"certificates",Cecafe_brut!$C$2:$C$18,Parametres!$B$4))</f>
        <v/>
      </c>
    </row>
    <row r="34">
      <c r="A34" s="15" t="n">
        <v>27</v>
      </c>
      <c r="B34" s="24">
        <f>IF(COUNTIFS(Cecafe_brut!$A$2:$A$18,DATE(2026,9,27),Cecafe_brut!$B$2:$B$18,"certificates",Cecafe_brut!$C$2:$C$18,Parametres!$B$4)=0,NA(),SUMIFS(Cecafe_brut!$T$2:$T$18,Cecafe_brut!$A$2:$A$18,DATE(2026,9,27),Cecafe_brut!$B$2:$B$18,"certificates",Cecafe_brut!$C$2:$C$18,Parametres!$B$4))</f>
        <v/>
      </c>
      <c r="C34" s="24">
        <f>IF(COUNTIFS(Cecafe_brut!$A$2:$A$18,DATE(2026,9,27),Cecafe_brut!$B$2:$B$18,"certificates",Cecafe_brut!$C$2:$C$18,Parametres!$B$4)=0,NA(),SUMIFS(Cecafe_brut!$S$2:$S$18,Cecafe_brut!$A$2:$A$18,DATE(2026,9,27),Cecafe_brut!$B$2:$B$18,"certificates",Cecafe_brut!$C$2:$C$18,Parametres!$B$4))</f>
        <v/>
      </c>
    </row>
    <row r="35">
      <c r="A35" s="15" t="n">
        <v>28</v>
      </c>
      <c r="B35" s="24">
        <f>IF(COUNTIFS(Cecafe_brut!$A$2:$A$18,DATE(2026,9,28),Cecafe_brut!$B$2:$B$18,"certificates",Cecafe_brut!$C$2:$C$18,Parametres!$B$4)=0,NA(),SUMIFS(Cecafe_brut!$T$2:$T$18,Cecafe_brut!$A$2:$A$18,DATE(2026,9,28),Cecafe_brut!$B$2:$B$18,"certificates",Cecafe_brut!$C$2:$C$18,Parametres!$B$4))</f>
        <v/>
      </c>
      <c r="C35" s="24">
        <f>IF(COUNTIFS(Cecafe_brut!$A$2:$A$18,DATE(2026,9,28),Cecafe_brut!$B$2:$B$18,"certificates",Cecafe_brut!$C$2:$C$18,Parametres!$B$4)=0,NA(),SUMIFS(Cecafe_brut!$S$2:$S$18,Cecafe_brut!$A$2:$A$18,DATE(2026,9,28),Cecafe_brut!$B$2:$B$18,"certificates",Cecafe_brut!$C$2:$C$18,Parametres!$B$4))</f>
        <v/>
      </c>
    </row>
    <row r="36">
      <c r="A36" s="15" t="n">
        <v>29</v>
      </c>
      <c r="B36" s="24">
        <f>IF(COUNTIFS(Cecafe_brut!$A$2:$A$18,DATE(2026,9,29),Cecafe_brut!$B$2:$B$18,"certificates",Cecafe_brut!$C$2:$C$18,Parametres!$B$4)=0,NA(),SUMIFS(Cecafe_brut!$T$2:$T$18,Cecafe_brut!$A$2:$A$18,DATE(2026,9,29),Cecafe_brut!$B$2:$B$18,"certificates",Cecafe_brut!$C$2:$C$18,Parametres!$B$4))</f>
        <v/>
      </c>
      <c r="C36" s="24">
        <f>IF(COUNTIFS(Cecafe_brut!$A$2:$A$18,DATE(2026,9,29),Cecafe_brut!$B$2:$B$18,"certificates",Cecafe_brut!$C$2:$C$18,Parametres!$B$4)=0,NA(),SUMIFS(Cecafe_brut!$S$2:$S$18,Cecafe_brut!$A$2:$A$18,DATE(2026,9,29),Cecafe_brut!$B$2:$B$18,"certificates",Cecafe_brut!$C$2:$C$18,Parametres!$B$4))</f>
        <v/>
      </c>
    </row>
    <row r="37">
      <c r="A37" s="15" t="n">
        <v>30</v>
      </c>
      <c r="B37" s="24">
        <f>IF(COUNTIFS(Cecafe_brut!$A$2:$A$18,DATE(2026,9,30),Cecafe_brut!$B$2:$B$18,"certificates",Cecafe_brut!$C$2:$C$18,Parametres!$B$4)=0,NA(),SUMIFS(Cecafe_brut!$T$2:$T$18,Cecafe_brut!$A$2:$A$18,DATE(2026,9,30),Cecafe_brut!$B$2:$B$18,"certificates",Cecafe_brut!$C$2:$C$18,Parametres!$B$4))</f>
        <v/>
      </c>
      <c r="C37" s="24">
        <f>IF(COUNTIFS(Cecafe_brut!$A$2:$A$18,DATE(2026,9,30),Cecafe_brut!$B$2:$B$18,"certificates",Cecafe_brut!$C$2:$C$18,Parametres!$B$4)=0,NA(),SUMIFS(Cecafe_brut!$S$2:$S$18,Cecafe_brut!$A$2:$A$18,DATE(2026,9,30),Cecafe_brut!$B$2:$B$18,"certificates",Cecafe_brut!$C$2:$C$18,Parametres!$B$4))</f>
        <v/>
      </c>
    </row>
    <row r="38">
      <c r="A38" s="15" t="n">
        <v>31</v>
      </c>
      <c r="B38" s="24">
        <f>IF(COUNTIFS(Cecafe_brut!$A$2:$A$18,DATE(2026,9,31),Cecafe_brut!$B$2:$B$18,"certificates",Cecafe_brut!$C$2:$C$18,Parametres!$B$4)=0,NA(),SUMIFS(Cecafe_brut!$T$2:$T$18,Cecafe_brut!$A$2:$A$18,DATE(2026,9,31),Cecafe_brut!$B$2:$B$18,"certificates",Cecafe_brut!$C$2:$C$18,Parametres!$B$4))</f>
        <v/>
      </c>
      <c r="C38" s="24">
        <f>IF(COUNTIFS(Cecafe_brut!$A$2:$A$18,DATE(2026,9,31),Cecafe_brut!$B$2:$B$18,"certificates",Cecafe_brut!$C$2:$C$18,Parametres!$B$4)=0,NA(),SUMIFS(Cecafe_brut!$S$2:$S$18,Cecafe_brut!$A$2:$A$18,DATE(2026,9,31),Cecafe_brut!$B$2:$B$18,"certificates",Cecafe_brut!$C$2:$C$18,Parametres!$B$4))</f>
        <v/>
      </c>
    </row>
    <row r="39"/>
    <row r="40">
      <c r="A40" s="2" t="inlineStr">
        <is>
          <t>Les cellules #N/A sont des jours sans donnée : Excel les ignore dans le graphique. Les mêmes mois des années précédentes s’ajouteront comme colonnes au fur et à mesure de la collecte.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</cols>
  <sheetData>
    <row r="1">
      <c r="A1" s="1" t="inlineStr">
        <is>
          <t>Certificats d’origine — total mensuel par année</t>
        </is>
      </c>
    </row>
    <row r="2">
      <c r="A2" s="2" t="inlineStr">
        <is>
          <t>Dernier cumul observé dans le mois (mois en cours = partiel). Unité et type : onglet Parametres.</t>
        </is>
      </c>
    </row>
    <row r="3"/>
    <row r="4">
      <c r="A4" s="8" t="inlineStr">
        <is>
          <t>Unité</t>
        </is>
      </c>
      <c r="B4" s="22">
        <f>Parametres!$B$4</f>
        <v/>
      </c>
    </row>
    <row r="5">
      <c r="A5" s="8" t="inlineStr">
        <is>
          <t>Type</t>
        </is>
      </c>
      <c r="B5" s="22">
        <f>Parametres!$B$5</f>
        <v/>
      </c>
    </row>
    <row r="6"/>
    <row r="7">
      <c r="A7" s="13" t="inlineStr">
        <is>
          <t>Mois</t>
        </is>
      </c>
      <c r="B7" s="13" t="inlineStr">
        <is>
          <t>2026</t>
        </is>
      </c>
    </row>
    <row r="8">
      <c r="A8" s="15" t="inlineStr">
        <is>
          <t>Jan</t>
        </is>
      </c>
      <c r="B8" s="24">
        <f>IF(SUMPRODUCT((Cecafe_brut!$A$2:$A$18&gt;=DATE(2026,1,1))*(Cecafe_brut!$A$2:$A$18&lt;DATE(2026,1+1,1))*(Cecafe_brut!$B$2:$B$18="certificates")*(Cecafe_brut!$C$2:$C$18=Parametres!$B$4))=0,NA(),SUMPRODUCT(MAX((Cecafe_brut!$A$2:$A$18&gt;=DATE(2026,1,1))*(Cecafe_brut!$A$2:$A$18&lt;DATE(2026,1+1,1))*(Cecafe_brut!$B$2:$B$18="certificates")*(Cecafe_brut!$C$2:$C$18=Parametres!$B$4)*Cecafe_brut!$S$2:$S$18)))</f>
        <v/>
      </c>
    </row>
    <row r="9">
      <c r="A9" s="15" t="inlineStr">
        <is>
          <t>Fév</t>
        </is>
      </c>
      <c r="B9" s="24">
        <f>IF(SUMPRODUCT((Cecafe_brut!$A$2:$A$18&gt;=DATE(2026,2,1))*(Cecafe_brut!$A$2:$A$18&lt;DATE(2026,2+1,1))*(Cecafe_brut!$B$2:$B$18="certificates")*(Cecafe_brut!$C$2:$C$18=Parametres!$B$4))=0,NA(),SUMPRODUCT(MAX((Cecafe_brut!$A$2:$A$18&gt;=DATE(2026,2,1))*(Cecafe_brut!$A$2:$A$18&lt;DATE(2026,2+1,1))*(Cecafe_brut!$B$2:$B$18="certificates")*(Cecafe_brut!$C$2:$C$18=Parametres!$B$4)*Cecafe_brut!$S$2:$S$18)))</f>
        <v/>
      </c>
    </row>
    <row r="10">
      <c r="A10" s="15" t="inlineStr">
        <is>
          <t>Mar</t>
        </is>
      </c>
      <c r="B10" s="24">
        <f>IF(SUMPRODUCT((Cecafe_brut!$A$2:$A$18&gt;=DATE(2026,3,1))*(Cecafe_brut!$A$2:$A$18&lt;DATE(2026,3+1,1))*(Cecafe_brut!$B$2:$B$18="certificates")*(Cecafe_brut!$C$2:$C$18=Parametres!$B$4))=0,NA(),SUMPRODUCT(MAX((Cecafe_brut!$A$2:$A$18&gt;=DATE(2026,3,1))*(Cecafe_brut!$A$2:$A$18&lt;DATE(2026,3+1,1))*(Cecafe_brut!$B$2:$B$18="certificates")*(Cecafe_brut!$C$2:$C$18=Parametres!$B$4)*Cecafe_brut!$S$2:$S$18)))</f>
        <v/>
      </c>
    </row>
    <row r="11">
      <c r="A11" s="15" t="inlineStr">
        <is>
          <t>Avr</t>
        </is>
      </c>
      <c r="B11" s="24">
        <f>IF(SUMPRODUCT((Cecafe_brut!$A$2:$A$18&gt;=DATE(2026,4,1))*(Cecafe_brut!$A$2:$A$18&lt;DATE(2026,4+1,1))*(Cecafe_brut!$B$2:$B$18="certificates")*(Cecafe_brut!$C$2:$C$18=Parametres!$B$4))=0,NA(),SUMPRODUCT(MAX((Cecafe_brut!$A$2:$A$18&gt;=DATE(2026,4,1))*(Cecafe_brut!$A$2:$A$18&lt;DATE(2026,4+1,1))*(Cecafe_brut!$B$2:$B$18="certificates")*(Cecafe_brut!$C$2:$C$18=Parametres!$B$4)*Cecafe_brut!$S$2:$S$18)))</f>
        <v/>
      </c>
    </row>
    <row r="12">
      <c r="A12" s="15" t="inlineStr">
        <is>
          <t>Mai</t>
        </is>
      </c>
      <c r="B12" s="24">
        <f>IF(SUMPRODUCT((Cecafe_brut!$A$2:$A$18&gt;=DATE(2026,5,1))*(Cecafe_brut!$A$2:$A$18&lt;DATE(2026,5+1,1))*(Cecafe_brut!$B$2:$B$18="certificates")*(Cecafe_brut!$C$2:$C$18=Parametres!$B$4))=0,NA(),SUMPRODUCT(MAX((Cecafe_brut!$A$2:$A$18&gt;=DATE(2026,5,1))*(Cecafe_brut!$A$2:$A$18&lt;DATE(2026,5+1,1))*(Cecafe_brut!$B$2:$B$18="certificates")*(Cecafe_brut!$C$2:$C$18=Parametres!$B$4)*Cecafe_brut!$S$2:$S$18)))</f>
        <v/>
      </c>
    </row>
    <row r="13">
      <c r="A13" s="15" t="inlineStr">
        <is>
          <t>Juin</t>
        </is>
      </c>
      <c r="B13" s="24">
        <f>IF(SUMPRODUCT((Cecafe_brut!$A$2:$A$18&gt;=DATE(2026,6,1))*(Cecafe_brut!$A$2:$A$18&lt;DATE(2026,6+1,1))*(Cecafe_brut!$B$2:$B$18="certificates")*(Cecafe_brut!$C$2:$C$18=Parametres!$B$4))=0,NA(),SUMPRODUCT(MAX((Cecafe_brut!$A$2:$A$18&gt;=DATE(2026,6,1))*(Cecafe_brut!$A$2:$A$18&lt;DATE(2026,6+1,1))*(Cecafe_brut!$B$2:$B$18="certificates")*(Cecafe_brut!$C$2:$C$18=Parametres!$B$4)*Cecafe_brut!$S$2:$S$18)))</f>
        <v/>
      </c>
    </row>
    <row r="14">
      <c r="A14" s="15" t="inlineStr">
        <is>
          <t>Juil</t>
        </is>
      </c>
      <c r="B14" s="24">
        <f>IF(SUMPRODUCT((Cecafe_brut!$A$2:$A$18&gt;=DATE(2026,7,1))*(Cecafe_brut!$A$2:$A$18&lt;DATE(2026,7+1,1))*(Cecafe_brut!$B$2:$B$18="certificates")*(Cecafe_brut!$C$2:$C$18=Parametres!$B$4))=0,NA(),SUMPRODUCT(MAX((Cecafe_brut!$A$2:$A$18&gt;=DATE(2026,7,1))*(Cecafe_brut!$A$2:$A$18&lt;DATE(2026,7+1,1))*(Cecafe_brut!$B$2:$B$18="certificates")*(Cecafe_brut!$C$2:$C$18=Parametres!$B$4)*Cecafe_brut!$S$2:$S$18)))</f>
        <v/>
      </c>
    </row>
    <row r="15">
      <c r="A15" s="15" t="inlineStr">
        <is>
          <t>Août</t>
        </is>
      </c>
      <c r="B15" s="24">
        <f>IF(SUMPRODUCT((Cecafe_brut!$A$2:$A$18&gt;=DATE(2026,8,1))*(Cecafe_brut!$A$2:$A$18&lt;DATE(2026,8+1,1))*(Cecafe_brut!$B$2:$B$18="certificates")*(Cecafe_brut!$C$2:$C$18=Parametres!$B$4))=0,NA(),SUMPRODUCT(MAX((Cecafe_brut!$A$2:$A$18&gt;=DATE(2026,8,1))*(Cecafe_brut!$A$2:$A$18&lt;DATE(2026,8+1,1))*(Cecafe_brut!$B$2:$B$18="certificates")*(Cecafe_brut!$C$2:$C$18=Parametres!$B$4)*Cecafe_brut!$S$2:$S$18)))</f>
        <v/>
      </c>
    </row>
    <row r="16">
      <c r="A16" s="15" t="inlineStr">
        <is>
          <t>Sep</t>
        </is>
      </c>
      <c r="B16" s="24">
        <f>IF(SUMPRODUCT((Cecafe_brut!$A$2:$A$18&gt;=DATE(2026,9,1))*(Cecafe_brut!$A$2:$A$18&lt;DATE(2026,9+1,1))*(Cecafe_brut!$B$2:$B$18="certificates")*(Cecafe_brut!$C$2:$C$18=Parametres!$B$4))=0,NA(),SUMPRODUCT(MAX((Cecafe_brut!$A$2:$A$18&gt;=DATE(2026,9,1))*(Cecafe_brut!$A$2:$A$18&lt;DATE(2026,9+1,1))*(Cecafe_brut!$B$2:$B$18="certificates")*(Cecafe_brut!$C$2:$C$18=Parametres!$B$4)*Cecafe_brut!$S$2:$S$18)))</f>
        <v/>
      </c>
    </row>
    <row r="17">
      <c r="A17" s="15" t="inlineStr">
        <is>
          <t>Oct</t>
        </is>
      </c>
      <c r="B17" s="24">
        <f>IF(SUMPRODUCT((Cecafe_brut!$A$2:$A$18&gt;=DATE(2026,10,1))*(Cecafe_brut!$A$2:$A$18&lt;DATE(2026,10+1,1))*(Cecafe_brut!$B$2:$B$18="certificates")*(Cecafe_brut!$C$2:$C$18=Parametres!$B$4))=0,NA(),SUMPRODUCT(MAX((Cecafe_brut!$A$2:$A$18&gt;=DATE(2026,10,1))*(Cecafe_brut!$A$2:$A$18&lt;DATE(2026,10+1,1))*(Cecafe_brut!$B$2:$B$18="certificates")*(Cecafe_brut!$C$2:$C$18=Parametres!$B$4)*Cecafe_brut!$S$2:$S$18)))</f>
        <v/>
      </c>
    </row>
    <row r="18">
      <c r="A18" s="15" t="inlineStr">
        <is>
          <t>Nov</t>
        </is>
      </c>
      <c r="B18" s="24">
        <f>IF(SUMPRODUCT((Cecafe_brut!$A$2:$A$18&gt;=DATE(2026,11,1))*(Cecafe_brut!$A$2:$A$18&lt;DATE(2026,11+1,1))*(Cecafe_brut!$B$2:$B$18="certificates")*(Cecafe_brut!$C$2:$C$18=Parametres!$B$4))=0,NA(),SUMPRODUCT(MAX((Cecafe_brut!$A$2:$A$18&gt;=DATE(2026,11,1))*(Cecafe_brut!$A$2:$A$18&lt;DATE(2026,11+1,1))*(Cecafe_brut!$B$2:$B$18="certificates")*(Cecafe_brut!$C$2:$C$18=Parametres!$B$4)*Cecafe_brut!$S$2:$S$18)))</f>
        <v/>
      </c>
    </row>
    <row r="19">
      <c r="A19" s="15" t="inlineStr">
        <is>
          <t>Déc</t>
        </is>
      </c>
      <c r="B19" s="24">
        <f>IF(SUMPRODUCT((Cecafe_brut!$A$2:$A$18&gt;=DATE(2026,12,1))*(Cecafe_brut!$A$2:$A$18&lt;DATE(2026,12+1,1))*(Cecafe_brut!$B$2:$B$18="certificates")*(Cecafe_brut!$C$2:$C$18=Parametres!$B$4))=0,NA(),SUMPRODUCT(MAX((Cecafe_brut!$A$2:$A$18&gt;=DATE(2026,12,1))*(Cecafe_brut!$A$2:$A$18&lt;DATE(2026,12+1,1))*(Cecafe_brut!$B$2:$B$18="certificates")*(Cecafe_brut!$C$2:$C$18=Parametres!$B$4)*Cecafe_brut!$S$2:$S$18)))</f>
        <v/>
      </c>
    </row>
    <row r="20"/>
    <row r="21">
      <c r="A21" s="2" t="inlineStr">
        <is>
          <t>Une colonne par année apparaîtra automatiquement dans la page web ; ici, ajoute une colonne par année collectée.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20" customWidth="1" min="3" max="3"/>
    <col width="14" customWidth="1" min="4" max="4"/>
    <col width="14" customWidth="1" min="5" max="5"/>
    <col width="18" customWidth="1" min="6" max="6"/>
    <col width="12" customWidth="1" min="7" max="7"/>
    <col width="30" customWidth="1" min="8" max="8"/>
    <col width="18" customWidth="1" min="9" max="9"/>
  </cols>
  <sheetData>
    <row r="1">
      <c r="A1" s="1" t="inlineStr">
        <is>
          <t>Journal manuel des dépôts (volumes/daily_log.csv)</t>
        </is>
      </c>
    </row>
    <row r="2">
      <c r="A2" s="2" t="inlineStr">
        <is>
          <t>Saisis dans les colonnes jaunes ; le stock courant est calculé : stock précédent + entrées − sorties, ou stock mesuré s’il est renseigné.</t>
        </is>
      </c>
    </row>
    <row r="3"/>
    <row r="4">
      <c r="A4" s="13" t="inlineStr">
        <is>
          <t>Date</t>
        </is>
      </c>
      <c r="B4" s="13" t="inlineStr">
        <is>
          <t>État</t>
        </is>
      </c>
      <c r="C4" s="13" t="inlineStr">
        <is>
          <t>Site</t>
        </is>
      </c>
      <c r="D4" s="13" t="inlineStr">
        <is>
          <t>Entrées (sacs)</t>
        </is>
      </c>
      <c r="E4" s="13" t="inlineStr">
        <is>
          <t>Sorties (sacs)</t>
        </is>
      </c>
      <c r="F4" s="13" t="inlineStr">
        <is>
          <t>Stock mesuré (sacs)</t>
        </is>
      </c>
      <c r="G4" s="13" t="inlineStr">
        <is>
          <t>Source</t>
        </is>
      </c>
      <c r="H4" s="13" t="inlineStr">
        <is>
          <t>Note</t>
        </is>
      </c>
      <c r="I4" s="13" t="inlineStr">
        <is>
          <t>Stock calculé (sacs)</t>
        </is>
      </c>
    </row>
    <row r="5">
      <c r="A5" s="27" t="n"/>
      <c r="B5" s="28" t="n"/>
      <c r="C5" s="28" t="n"/>
      <c r="D5" s="29" t="n"/>
      <c r="E5" s="29" t="n"/>
      <c r="F5" s="29" t="n"/>
      <c r="G5" s="28" t="n"/>
      <c r="H5" s="28" t="n"/>
      <c r="I5" s="17">
        <f>IF(A5="","",IF(F5&lt;&gt;"",F5,IF(AND(ROW()&gt;5,C4=C5),N(I4),0)+N(D5)-N(E5)))</f>
        <v/>
      </c>
    </row>
    <row r="6">
      <c r="A6" s="27" t="n"/>
      <c r="B6" s="28" t="n"/>
      <c r="C6" s="28" t="n"/>
      <c r="D6" s="29" t="n"/>
      <c r="E6" s="29" t="n"/>
      <c r="F6" s="29" t="n"/>
      <c r="G6" s="28" t="n"/>
      <c r="H6" s="28" t="n"/>
      <c r="I6" s="17">
        <f>IF(A6="","",IF(F6&lt;&gt;"",F6,IF(AND(ROW()&gt;5,C5=C6),N(I5),0)+N(D6)-N(E6)))</f>
        <v/>
      </c>
    </row>
    <row r="7">
      <c r="A7" s="27" t="n"/>
      <c r="B7" s="28" t="n"/>
      <c r="C7" s="28" t="n"/>
      <c r="D7" s="29" t="n"/>
      <c r="E7" s="29" t="n"/>
      <c r="F7" s="29" t="n"/>
      <c r="G7" s="28" t="n"/>
      <c r="H7" s="28" t="n"/>
      <c r="I7" s="17">
        <f>IF(A7="","",IF(F7&lt;&gt;"",F7,IF(AND(ROW()&gt;5,C6=C7),N(I6),0)+N(D7)-N(E7)))</f>
        <v/>
      </c>
    </row>
    <row r="8">
      <c r="A8" s="27" t="n"/>
      <c r="B8" s="28" t="n"/>
      <c r="C8" s="28" t="n"/>
      <c r="D8" s="29" t="n"/>
      <c r="E8" s="29" t="n"/>
      <c r="F8" s="29" t="n"/>
      <c r="G8" s="28" t="n"/>
      <c r="H8" s="28" t="n"/>
      <c r="I8" s="17">
        <f>IF(A8="","",IF(F8&lt;&gt;"",F8,IF(AND(ROW()&gt;5,C7=C8),N(I7),0)+N(D8)-N(E8)))</f>
        <v/>
      </c>
    </row>
    <row r="9">
      <c r="A9" s="27" t="n"/>
      <c r="B9" s="28" t="n"/>
      <c r="C9" s="28" t="n"/>
      <c r="D9" s="29" t="n"/>
      <c r="E9" s="29" t="n"/>
      <c r="F9" s="29" t="n"/>
      <c r="G9" s="28" t="n"/>
      <c r="H9" s="28" t="n"/>
      <c r="I9" s="17">
        <f>IF(A9="","",IF(F9&lt;&gt;"",F9,IF(AND(ROW()&gt;5,C8=C9),N(I8),0)+N(D9)-N(E9)))</f>
        <v/>
      </c>
    </row>
    <row r="10">
      <c r="A10" s="27" t="n"/>
      <c r="B10" s="28" t="n"/>
      <c r="C10" s="28" t="n"/>
      <c r="D10" s="29" t="n"/>
      <c r="E10" s="29" t="n"/>
      <c r="F10" s="29" t="n"/>
      <c r="G10" s="28" t="n"/>
      <c r="H10" s="28" t="n"/>
      <c r="I10" s="17">
        <f>IF(A10="","",IF(F10&lt;&gt;"",F10,IF(AND(ROW()&gt;5,C9=C10),N(I9),0)+N(D10)-N(E10)))</f>
        <v/>
      </c>
    </row>
    <row r="11">
      <c r="A11" s="27" t="n"/>
      <c r="B11" s="28" t="n"/>
      <c r="C11" s="28" t="n"/>
      <c r="D11" s="29" t="n"/>
      <c r="E11" s="29" t="n"/>
      <c r="F11" s="29" t="n"/>
      <c r="G11" s="28" t="n"/>
      <c r="H11" s="28" t="n"/>
      <c r="I11" s="17">
        <f>IF(A11="","",IF(F11&lt;&gt;"",F11,IF(AND(ROW()&gt;5,C10=C11),N(I10),0)+N(D11)-N(E11)))</f>
        <v/>
      </c>
    </row>
    <row r="12">
      <c r="A12" s="27" t="n"/>
      <c r="B12" s="28" t="n"/>
      <c r="C12" s="28" t="n"/>
      <c r="D12" s="29" t="n"/>
      <c r="E12" s="29" t="n"/>
      <c r="F12" s="29" t="n"/>
      <c r="G12" s="28" t="n"/>
      <c r="H12" s="28" t="n"/>
      <c r="I12" s="17">
        <f>IF(A12="","",IF(F12&lt;&gt;"",F12,IF(AND(ROW()&gt;5,C11=C12),N(I11),0)+N(D12)-N(E12)))</f>
        <v/>
      </c>
    </row>
    <row r="13">
      <c r="A13" s="27" t="n"/>
      <c r="B13" s="28" t="n"/>
      <c r="C13" s="28" t="n"/>
      <c r="D13" s="29" t="n"/>
      <c r="E13" s="29" t="n"/>
      <c r="F13" s="29" t="n"/>
      <c r="G13" s="28" t="n"/>
      <c r="H13" s="28" t="n"/>
      <c r="I13" s="17">
        <f>IF(A13="","",IF(F13&lt;&gt;"",F13,IF(AND(ROW()&gt;5,C12=C13),N(I12),0)+N(D13)-N(E13)))</f>
        <v/>
      </c>
    </row>
    <row r="14">
      <c r="A14" s="27" t="n"/>
      <c r="B14" s="28" t="n"/>
      <c r="C14" s="28" t="n"/>
      <c r="D14" s="29" t="n"/>
      <c r="E14" s="29" t="n"/>
      <c r="F14" s="29" t="n"/>
      <c r="G14" s="28" t="n"/>
      <c r="H14" s="28" t="n"/>
      <c r="I14" s="17">
        <f>IF(A14="","",IF(F14&lt;&gt;"",F14,IF(AND(ROW()&gt;5,C13=C14),N(I13),0)+N(D14)-N(E14)))</f>
        <v/>
      </c>
    </row>
    <row r="15">
      <c r="A15" s="27" t="n"/>
      <c r="B15" s="28" t="n"/>
      <c r="C15" s="28" t="n"/>
      <c r="D15" s="29" t="n"/>
      <c r="E15" s="29" t="n"/>
      <c r="F15" s="29" t="n"/>
      <c r="G15" s="28" t="n"/>
      <c r="H15" s="28" t="n"/>
      <c r="I15" s="17">
        <f>IF(A15="","",IF(F15&lt;&gt;"",F15,IF(AND(ROW()&gt;5,C14=C15),N(I14),0)+N(D15)-N(E15)))</f>
        <v/>
      </c>
    </row>
    <row r="16">
      <c r="A16" s="27" t="n"/>
      <c r="B16" s="28" t="n"/>
      <c r="C16" s="28" t="n"/>
      <c r="D16" s="29" t="n"/>
      <c r="E16" s="29" t="n"/>
      <c r="F16" s="29" t="n"/>
      <c r="G16" s="28" t="n"/>
      <c r="H16" s="28" t="n"/>
      <c r="I16" s="17">
        <f>IF(A16="","",IF(F16&lt;&gt;"",F16,IF(AND(ROW()&gt;5,C15=C16),N(I15),0)+N(D16)-N(E16)))</f>
        <v/>
      </c>
    </row>
    <row r="17">
      <c r="A17" s="27" t="n"/>
      <c r="B17" s="28" t="n"/>
      <c r="C17" s="28" t="n"/>
      <c r="D17" s="29" t="n"/>
      <c r="E17" s="29" t="n"/>
      <c r="F17" s="29" t="n"/>
      <c r="G17" s="28" t="n"/>
      <c r="H17" s="28" t="n"/>
      <c r="I17" s="17">
        <f>IF(A17="","",IF(F17&lt;&gt;"",F17,IF(AND(ROW()&gt;5,C16=C17),N(I16),0)+N(D17)-N(E17)))</f>
        <v/>
      </c>
    </row>
    <row r="18">
      <c r="A18" s="27" t="n"/>
      <c r="B18" s="28" t="n"/>
      <c r="C18" s="28" t="n"/>
      <c r="D18" s="29" t="n"/>
      <c r="E18" s="29" t="n"/>
      <c r="F18" s="29" t="n"/>
      <c r="G18" s="28" t="n"/>
      <c r="H18" s="28" t="n"/>
      <c r="I18" s="17">
        <f>IF(A18="","",IF(F18&lt;&gt;"",F18,IF(AND(ROW()&gt;5,C17=C18),N(I17),0)+N(D18)-N(E18)))</f>
        <v/>
      </c>
    </row>
    <row r="19">
      <c r="A19" s="27" t="n"/>
      <c r="B19" s="28" t="n"/>
      <c r="C19" s="28" t="n"/>
      <c r="D19" s="29" t="n"/>
      <c r="E19" s="29" t="n"/>
      <c r="F19" s="29" t="n"/>
      <c r="G19" s="28" t="n"/>
      <c r="H19" s="28" t="n"/>
      <c r="I19" s="17">
        <f>IF(A19="","",IF(F19&lt;&gt;"",F19,IF(AND(ROW()&gt;5,C18=C19),N(I18),0)+N(D19)-N(E19)))</f>
        <v/>
      </c>
    </row>
    <row r="20">
      <c r="A20" s="27" t="n"/>
      <c r="B20" s="28" t="n"/>
      <c r="C20" s="28" t="n"/>
      <c r="D20" s="29" t="n"/>
      <c r="E20" s="29" t="n"/>
      <c r="F20" s="29" t="n"/>
      <c r="G20" s="28" t="n"/>
      <c r="H20" s="28" t="n"/>
      <c r="I20" s="17">
        <f>IF(A20="","",IF(F20&lt;&gt;"",F20,IF(AND(ROW()&gt;5,C19=C20),N(I19),0)+N(D20)-N(E20)))</f>
        <v/>
      </c>
    </row>
    <row r="21">
      <c r="A21" s="27" t="n"/>
      <c r="B21" s="28" t="n"/>
      <c r="C21" s="28" t="n"/>
      <c r="D21" s="29" t="n"/>
      <c r="E21" s="29" t="n"/>
      <c r="F21" s="29" t="n"/>
      <c r="G21" s="28" t="n"/>
      <c r="H21" s="28" t="n"/>
      <c r="I21" s="17">
        <f>IF(A21="","",IF(F21&lt;&gt;"",F21,IF(AND(ROW()&gt;5,C20=C21),N(I20),0)+N(D21)-N(E21)))</f>
        <v/>
      </c>
    </row>
    <row r="22">
      <c r="A22" s="27" t="n"/>
      <c r="B22" s="28" t="n"/>
      <c r="C22" s="28" t="n"/>
      <c r="D22" s="29" t="n"/>
      <c r="E22" s="29" t="n"/>
      <c r="F22" s="29" t="n"/>
      <c r="G22" s="28" t="n"/>
      <c r="H22" s="28" t="n"/>
      <c r="I22" s="17">
        <f>IF(A22="","",IF(F22&lt;&gt;"",F22,IF(AND(ROW()&gt;5,C21=C22),N(I21),0)+N(D22)-N(E22)))</f>
        <v/>
      </c>
    </row>
    <row r="23">
      <c r="A23" s="27" t="n"/>
      <c r="B23" s="28" t="n"/>
      <c r="C23" s="28" t="n"/>
      <c r="D23" s="29" t="n"/>
      <c r="E23" s="29" t="n"/>
      <c r="F23" s="29" t="n"/>
      <c r="G23" s="28" t="n"/>
      <c r="H23" s="28" t="n"/>
      <c r="I23" s="17">
        <f>IF(A23="","",IF(F23&lt;&gt;"",F23,IF(AND(ROW()&gt;5,C22=C23),N(I22),0)+N(D23)-N(E23)))</f>
        <v/>
      </c>
    </row>
    <row r="24">
      <c r="A24" s="27" t="n"/>
      <c r="B24" s="28" t="n"/>
      <c r="C24" s="28" t="n"/>
      <c r="D24" s="29" t="n"/>
      <c r="E24" s="29" t="n"/>
      <c r="F24" s="29" t="n"/>
      <c r="G24" s="28" t="n"/>
      <c r="H24" s="28" t="n"/>
      <c r="I24" s="17">
        <f>IF(A24="","",IF(F24&lt;&gt;"",F24,IF(AND(ROW()&gt;5,C23=C24),N(I23),0)+N(D24)-N(E24)))</f>
        <v/>
      </c>
    </row>
    <row r="25">
      <c r="A25" s="27" t="n"/>
      <c r="B25" s="28" t="n"/>
      <c r="C25" s="28" t="n"/>
      <c r="D25" s="29" t="n"/>
      <c r="E25" s="29" t="n"/>
      <c r="F25" s="29" t="n"/>
      <c r="G25" s="28" t="n"/>
      <c r="H25" s="28" t="n"/>
      <c r="I25" s="17">
        <f>IF(A25="","",IF(F25&lt;&gt;"",F25,IF(AND(ROW()&gt;5,C24=C25),N(I24),0)+N(D25)-N(E25)))</f>
        <v/>
      </c>
    </row>
    <row r="26">
      <c r="A26" s="27" t="n"/>
      <c r="B26" s="28" t="n"/>
      <c r="C26" s="28" t="n"/>
      <c r="D26" s="29" t="n"/>
      <c r="E26" s="29" t="n"/>
      <c r="F26" s="29" t="n"/>
      <c r="G26" s="28" t="n"/>
      <c r="H26" s="28" t="n"/>
      <c r="I26" s="17">
        <f>IF(A26="","",IF(F26&lt;&gt;"",F26,IF(AND(ROW()&gt;5,C25=C26),N(I25),0)+N(D26)-N(E26)))</f>
        <v/>
      </c>
    </row>
    <row r="27">
      <c r="A27" s="27" t="n"/>
      <c r="B27" s="28" t="n"/>
      <c r="C27" s="28" t="n"/>
      <c r="D27" s="29" t="n"/>
      <c r="E27" s="29" t="n"/>
      <c r="F27" s="29" t="n"/>
      <c r="G27" s="28" t="n"/>
      <c r="H27" s="28" t="n"/>
      <c r="I27" s="17">
        <f>IF(A27="","",IF(F27&lt;&gt;"",F27,IF(AND(ROW()&gt;5,C26=C27),N(I26),0)+N(D27)-N(E27)))</f>
        <v/>
      </c>
    </row>
    <row r="28">
      <c r="A28" s="27" t="n"/>
      <c r="B28" s="28" t="n"/>
      <c r="C28" s="28" t="n"/>
      <c r="D28" s="29" t="n"/>
      <c r="E28" s="29" t="n"/>
      <c r="F28" s="29" t="n"/>
      <c r="G28" s="28" t="n"/>
      <c r="H28" s="28" t="n"/>
      <c r="I28" s="17">
        <f>IF(A28="","",IF(F28&lt;&gt;"",F28,IF(AND(ROW()&gt;5,C27=C28),N(I27),0)+N(D28)-N(E28)))</f>
        <v/>
      </c>
    </row>
    <row r="29">
      <c r="A29" s="27" t="n"/>
      <c r="B29" s="28" t="n"/>
      <c r="C29" s="28" t="n"/>
      <c r="D29" s="29" t="n"/>
      <c r="E29" s="29" t="n"/>
      <c r="F29" s="29" t="n"/>
      <c r="G29" s="28" t="n"/>
      <c r="H29" s="28" t="n"/>
      <c r="I29" s="17">
        <f>IF(A29="","",IF(F29&lt;&gt;"",F29,IF(AND(ROW()&gt;5,C28=C29),N(I28),0)+N(D29)-N(E29)))</f>
        <v/>
      </c>
    </row>
    <row r="30">
      <c r="A30" s="27" t="n"/>
      <c r="B30" s="28" t="n"/>
      <c r="C30" s="28" t="n"/>
      <c r="D30" s="29" t="n"/>
      <c r="E30" s="29" t="n"/>
      <c r="F30" s="29" t="n"/>
      <c r="G30" s="28" t="n"/>
      <c r="H30" s="28" t="n"/>
      <c r="I30" s="17">
        <f>IF(A30="","",IF(F30&lt;&gt;"",F30,IF(AND(ROW()&gt;5,C29=C30),N(I29),0)+N(D30)-N(E30)))</f>
        <v/>
      </c>
    </row>
    <row r="31">
      <c r="A31" s="27" t="n"/>
      <c r="B31" s="28" t="n"/>
      <c r="C31" s="28" t="n"/>
      <c r="D31" s="29" t="n"/>
      <c r="E31" s="29" t="n"/>
      <c r="F31" s="29" t="n"/>
      <c r="G31" s="28" t="n"/>
      <c r="H31" s="28" t="n"/>
      <c r="I31" s="17">
        <f>IF(A31="","",IF(F31&lt;&gt;"",F31,IF(AND(ROW()&gt;5,C30=C31),N(I30),0)+N(D31)-N(E31)))</f>
        <v/>
      </c>
    </row>
    <row r="32">
      <c r="A32" s="27" t="n"/>
      <c r="B32" s="28" t="n"/>
      <c r="C32" s="28" t="n"/>
      <c r="D32" s="29" t="n"/>
      <c r="E32" s="29" t="n"/>
      <c r="F32" s="29" t="n"/>
      <c r="G32" s="28" t="n"/>
      <c r="H32" s="28" t="n"/>
      <c r="I32" s="17">
        <f>IF(A32="","",IF(F32&lt;&gt;"",F32,IF(AND(ROW()&gt;5,C31=C32),N(I31),0)+N(D32)-N(E32)))</f>
        <v/>
      </c>
    </row>
    <row r="33">
      <c r="A33" s="27" t="n"/>
      <c r="B33" s="28" t="n"/>
      <c r="C33" s="28" t="n"/>
      <c r="D33" s="29" t="n"/>
      <c r="E33" s="29" t="n"/>
      <c r="F33" s="29" t="n"/>
      <c r="G33" s="28" t="n"/>
      <c r="H33" s="28" t="n"/>
      <c r="I33" s="17">
        <f>IF(A33="","",IF(F33&lt;&gt;"",F33,IF(AND(ROW()&gt;5,C32=C33),N(I32),0)+N(D33)-N(E33)))</f>
        <v/>
      </c>
    </row>
    <row r="34">
      <c r="A34" s="27" t="n"/>
      <c r="B34" s="28" t="n"/>
      <c r="C34" s="28" t="n"/>
      <c r="D34" s="29" t="n"/>
      <c r="E34" s="29" t="n"/>
      <c r="F34" s="29" t="n"/>
      <c r="G34" s="28" t="n"/>
      <c r="H34" s="28" t="n"/>
      <c r="I34" s="17">
        <f>IF(A34="","",IF(F34&lt;&gt;"",F34,IF(AND(ROW()&gt;5,C33=C34),N(I33),0)+N(D34)-N(E34)))</f>
        <v/>
      </c>
    </row>
    <row r="35"/>
    <row r="36">
      <c r="A36" s="2" t="inlineStr">
        <is>
          <t>Une ligne par site et par jour, triée par site puis par date. Stock calculé = stock mesuré s’il est saisi, sinon stock précédent du même site + entrées − sorties.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2026-09-06T14:42:53Z</dcterms:created>
  <dcterms:modified xsi:type="dcterms:W3CDTF">2026-09-06T14:42:53Z</dcterms:modified>
</cp:coreProperties>
</file>