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Donnees" sheetId="2" state="visible" r:id="rId2"/>
    <sheet name="Arabica" sheetId="3" state="visible" r:id="rId3"/>
    <sheet name="Robusta" sheetId="4" state="visible" r:id="rId4"/>
  </sheets>
  <definedNames>
    <definedName name="_xlnm._FilterDatabase" localSheetId="1" hidden="1">'Donnees'!$A$1:$Q$18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+0.0%;-0.0%;0.0%"/>
  </numFmts>
  <fonts count="7">
    <font>
      <name val="Calibri"/>
      <family val="2"/>
      <color theme="1"/>
      <sz val="11"/>
      <scheme val="minor"/>
    </font>
    <font>
      <name val="Arial"/>
      <b val="1"/>
      <color rgb="006F4E37"/>
      <sz val="14"/>
    </font>
    <font>
      <name val="Arial"/>
      <i val="1"/>
      <color rgb="007A6F6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6F4E37"/>
      </patternFill>
    </fill>
    <fill>
      <patternFill patternType="solid">
        <fgColor rgb="00F3EBE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pivotButton="0" quotePrefix="0" xfId="0"/>
    <xf numFmtId="0" fontId="0" fillId="0" borderId="1" pivotButton="0" quotePrefix="0" xfId="0"/>
    <xf numFmtId="3" fontId="5" fillId="0" borderId="1" pivotButton="0" quotePrefix="0" xfId="0"/>
    <xf numFmtId="165" fontId="0" fillId="3" borderId="1" pivotButton="0" quotePrefix="0" xfId="0"/>
    <xf numFmtId="0" fontId="0" fillId="3" borderId="1" pivotButton="0" quotePrefix="0" xfId="0"/>
    <xf numFmtId="3" fontId="5" fillId="3" borderId="1" pivotButton="0" quotePrefix="0" xfId="0"/>
    <xf numFmtId="0" fontId="4" fillId="0" borderId="0" pivotButton="0" quotePrefix="0" xfId="0"/>
    <xf numFmtId="165" fontId="5" fillId="4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4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3" fontId="0" fillId="0" borderId="1" pivotButton="0" quotePrefix="0" xfId="0"/>
    <xf numFmtId="166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1E8449"/>
      </font>
    </dxf>
    <dxf>
      <font>
        <name val="Arial"/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Arabica — mouvement du jour (rouge), cumul du mois (vert), variation % vs mois précédent (bleu, axe droit)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du jour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'Arabica'!$A$14:$A$16</f>
            </numRef>
          </cat>
          <val>
            <numRef>
              <f>'Arabica'!$B$14:$B$16</f>
            </numRef>
          </val>
        </ser>
        <ser>
          <idx val="1"/>
          <order val="1"/>
          <tx>
            <v>Cumul du mois</v>
          </tx>
          <spPr>
            <a:solidFill>
              <a:srgbClr val="2E8B57"/>
            </a:solidFill>
            <a:ln>
              <a:solidFill>
                <a:srgbClr val="2E8B57"/>
              </a:solidFill>
              <a:prstDash val="solid"/>
            </a:ln>
          </spPr>
          <cat>
            <numRef>
              <f>'Arabica'!$A$14:$A$16</f>
            </numRef>
          </cat>
          <val>
            <numRef>
              <f>'Arabica'!$D$14:$D$16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Variation % vs mois précédent</v>
          </tx>
          <spPr>
            <a:ln w="22000">
              <a:solidFill>
                <a:srgbClr val="1F4E9C"/>
              </a:solidFill>
              <a:prstDash val="solid"/>
            </a:ln>
          </spPr>
          <marker>
            <symbol val="circle"/>
            <size val="6"/>
            <spPr>
              <a:solidFill>
                <a:srgbClr val="1F4E9C"/>
              </a:solidFill>
              <a:ln>
                <a:solidFill>
                  <a:srgbClr val="1F4E9C"/>
                </a:solidFill>
                <a:prstDash val="solid"/>
              </a:ln>
            </spPr>
          </marker>
          <val>
            <numRef>
              <f>'Arabica'!$F$14:$F$16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variation vs mois précédent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Arabica — mouvement du jour par port : certificats, dédouanés, embarqués</a:t>
            </a:r>
          </a:p>
        </rich>
      </tx>
    </title>
    <plotArea>
      <barChart>
        <barDir val="col"/>
        <grouping val="clustered"/>
        <ser>
          <idx val="0"/>
          <order val="0"/>
          <tx>
            <v>Certificats J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'Arabica'!$A$20:$A$25</f>
            </numRef>
          </cat>
          <val>
            <numRef>
              <f>'Arabica'!$B$20:$B$25</f>
            </numRef>
          </val>
        </ser>
        <ser>
          <idx val="1"/>
          <order val="1"/>
          <tx>
            <v>Dédouanés J</v>
          </tx>
          <spPr>
            <a:solidFill>
              <a:srgbClr val="E07B6B"/>
            </a:solidFill>
            <a:ln>
              <a:solidFill>
                <a:srgbClr val="E07B6B"/>
              </a:solidFill>
              <a:prstDash val="solid"/>
            </a:ln>
          </spPr>
          <cat>
            <numRef>
              <f>'Arabica'!$A$20:$A$25</f>
            </numRef>
          </cat>
          <val>
            <numRef>
              <f>'Arabica'!$C$20:$C$25</f>
            </numRef>
          </val>
        </ser>
        <ser>
          <idx val="2"/>
          <order val="2"/>
          <tx>
            <v>Embarqués J</v>
          </tx>
          <spPr>
            <a:solidFill>
              <a:srgbClr val="F2B8B0"/>
            </a:solidFill>
            <a:ln>
              <a:solidFill>
                <a:srgbClr val="F2B8B0"/>
              </a:solidFill>
              <a:prstDash val="solid"/>
            </a:ln>
          </spPr>
          <cat>
            <numRef>
              <f>'Arabica'!$A$20:$A$25</f>
            </numRef>
          </cat>
          <val>
            <numRef>
              <f>'Arabica'!$D$20:$D$25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Arabica — variation % du cumul vs mois précédent, par port</a:t>
            </a:r>
          </a:p>
        </rich>
      </tx>
    </title>
    <plotArea>
      <barChart>
        <barDir val="col"/>
        <grouping val="clustered"/>
        <ser>
          <idx val="0"/>
          <order val="0"/>
          <tx>
            <v>Certificats</v>
          </tx>
          <spPr>
            <a:solidFill>
              <a:srgbClr val="1F4E9C"/>
            </a:solidFill>
            <a:ln>
              <a:solidFill>
                <a:srgbClr val="1F4E9C"/>
              </a:solidFill>
              <a:prstDash val="solid"/>
            </a:ln>
          </spPr>
          <cat>
            <numRef>
              <f>'Arabica'!$A$20:$A$25</f>
            </numRef>
          </cat>
          <val>
            <numRef>
              <f>'Arabica'!$E$20:$E$25</f>
            </numRef>
          </val>
        </ser>
        <ser>
          <idx val="1"/>
          <order val="1"/>
          <tx>
            <v>Dédouanés</v>
          </tx>
          <spPr>
            <a:solidFill>
              <a:srgbClr val="2F6FBF"/>
            </a:solidFill>
            <a:ln>
              <a:solidFill>
                <a:srgbClr val="2F6FBF"/>
              </a:solidFill>
              <a:prstDash val="solid"/>
            </a:ln>
          </spPr>
          <cat>
            <numRef>
              <f>'Arabica'!$A$20:$A$25</f>
            </numRef>
          </cat>
          <val>
            <numRef>
              <f>'Arabica'!$F$20:$F$25</f>
            </numRef>
          </val>
        </ser>
        <ser>
          <idx val="2"/>
          <order val="2"/>
          <tx>
            <v>Embarqués</v>
          </tx>
          <spPr>
            <a:solidFill>
              <a:srgbClr val="9DC3F0"/>
            </a:solidFill>
            <a:ln>
              <a:solidFill>
                <a:srgbClr val="9DC3F0"/>
              </a:solidFill>
              <a:prstDash val="solid"/>
            </a:ln>
          </spPr>
          <cat>
            <numRef>
              <f>'Arabica'!$A$20:$A$25</f>
            </numRef>
          </cat>
          <val>
            <numRef>
              <f>'Arabica'!$G$20:$G$25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variation vs mois précédent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Arabica — cumul du mois (rouges) vs même période du mois précédent (bleus)</a:t>
            </a:r>
          </a:p>
        </rich>
      </tx>
    </title>
    <plotArea>
      <barChart>
        <barDir val="col"/>
        <grouping val="clustered"/>
        <ser>
          <idx val="0"/>
          <order val="0"/>
          <tx>
            <v>Certificats cumul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'Arabica'!$A$30:$A$35</f>
            </numRef>
          </cat>
          <val>
            <numRef>
              <f>'Arabica'!$B$30:$B$35</f>
            </numRef>
          </val>
        </ser>
        <ser>
          <idx val="1"/>
          <order val="1"/>
          <tx>
            <v>Certificats mois préc.</v>
          </tx>
          <spPr>
            <a:solidFill>
              <a:srgbClr val="1F4E9C"/>
            </a:solidFill>
            <a:ln>
              <a:solidFill>
                <a:srgbClr val="1F4E9C"/>
              </a:solidFill>
              <a:prstDash val="solid"/>
            </a:ln>
          </spPr>
          <cat>
            <numRef>
              <f>'Arabica'!$A$30:$A$35</f>
            </numRef>
          </cat>
          <val>
            <numRef>
              <f>'Arabica'!$C$30:$C$35</f>
            </numRef>
          </val>
        </ser>
        <ser>
          <idx val="2"/>
          <order val="2"/>
          <tx>
            <v>Dédouanés cumul</v>
          </tx>
          <spPr>
            <a:solidFill>
              <a:srgbClr val="E07B6B"/>
            </a:solidFill>
            <a:ln>
              <a:solidFill>
                <a:srgbClr val="E07B6B"/>
              </a:solidFill>
              <a:prstDash val="solid"/>
            </a:ln>
          </spPr>
          <cat>
            <numRef>
              <f>'Arabica'!$A$30:$A$35</f>
            </numRef>
          </cat>
          <val>
            <numRef>
              <f>'Arabica'!$D$30:$D$35</f>
            </numRef>
          </val>
        </ser>
        <ser>
          <idx val="3"/>
          <order val="3"/>
          <tx>
            <v>Dédouanés mois préc.</v>
          </tx>
          <spPr>
            <a:solidFill>
              <a:srgbClr val="2F6FBF"/>
            </a:solidFill>
            <a:ln>
              <a:solidFill>
                <a:srgbClr val="2F6FBF"/>
              </a:solidFill>
              <a:prstDash val="solid"/>
            </a:ln>
          </spPr>
          <cat>
            <numRef>
              <f>'Arabica'!$A$30:$A$35</f>
            </numRef>
          </cat>
          <val>
            <numRef>
              <f>'Arabica'!$E$30:$E$35</f>
            </numRef>
          </val>
        </ser>
        <ser>
          <idx val="4"/>
          <order val="4"/>
          <tx>
            <v>Embarqués cumul</v>
          </tx>
          <spPr>
            <a:solidFill>
              <a:srgbClr val="F2B8B0"/>
            </a:solidFill>
            <a:ln>
              <a:solidFill>
                <a:srgbClr val="F2B8B0"/>
              </a:solidFill>
              <a:prstDash val="solid"/>
            </a:ln>
          </spPr>
          <cat>
            <numRef>
              <f>'Arabica'!$A$30:$A$35</f>
            </numRef>
          </cat>
          <val>
            <numRef>
              <f>'Arabica'!$F$30:$F$35</f>
            </numRef>
          </val>
        </ser>
        <ser>
          <idx val="5"/>
          <order val="5"/>
          <tx>
            <v>Embarqués mois préc.</v>
          </tx>
          <spPr>
            <a:solidFill>
              <a:srgbClr val="9DC3F0"/>
            </a:solidFill>
            <a:ln>
              <a:solidFill>
                <a:srgbClr val="9DC3F0"/>
              </a:solidFill>
              <a:prstDash val="solid"/>
            </a:ln>
          </spPr>
          <cat>
            <numRef>
              <f>'Arabica'!$A$30:$A$35</f>
            </numRef>
          </cat>
          <val>
            <numRef>
              <f>'Arabica'!$G$30:$G$35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Arabica — historique quotidien (rouges) et variation % vs mois précédent (bleus, axe droit)</a:t>
            </a:r>
          </a:p>
        </rich>
      </tx>
    </title>
    <plotArea>
      <barChart>
        <barDir val="col"/>
        <grouping val="clustered"/>
        <ser>
          <idx val="0"/>
          <order val="0"/>
          <tx>
            <v>Certificats J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'Arabica'!$A$40</f>
            </numRef>
          </cat>
          <val>
            <numRef>
              <f>'Arabica'!$B$40</f>
            </numRef>
          </val>
        </ser>
        <ser>
          <idx val="1"/>
          <order val="1"/>
          <tx>
            <v>Dédouanés J</v>
          </tx>
          <spPr>
            <a:solidFill>
              <a:srgbClr val="E07B6B"/>
            </a:solidFill>
            <a:ln>
              <a:solidFill>
                <a:srgbClr val="E07B6B"/>
              </a:solidFill>
              <a:prstDash val="solid"/>
            </a:ln>
          </spPr>
          <cat>
            <numRef>
              <f>'Arabica'!$A$40</f>
            </numRef>
          </cat>
          <val>
            <numRef>
              <f>'Arabica'!$C$40</f>
            </numRef>
          </val>
        </ser>
        <ser>
          <idx val="2"/>
          <order val="2"/>
          <tx>
            <v>Embarqués J</v>
          </tx>
          <spPr>
            <a:solidFill>
              <a:srgbClr val="F2B8B0"/>
            </a:solidFill>
            <a:ln>
              <a:solidFill>
                <a:srgbClr val="F2B8B0"/>
              </a:solidFill>
              <a:prstDash val="solid"/>
            </a:ln>
          </spPr>
          <cat>
            <numRef>
              <f>'Arabica'!$A$40</f>
            </numRef>
          </cat>
          <val>
            <numRef>
              <f>'Arabica'!$D$40</f>
            </numRef>
          </val>
        </ser>
        <gapWidth val="150"/>
        <axId val="10"/>
        <axId val="100"/>
      </barChart>
      <lineChart>
        <grouping val="standard"/>
        <ser>
          <idx val="3"/>
          <order val="3"/>
          <tx>
            <v>Var. % certificats</v>
          </tx>
          <spPr>
            <a:ln w="22000">
              <a:solidFill>
                <a:srgbClr val="1F4E9C"/>
              </a:solidFill>
              <a:prstDash val="solid"/>
            </a:ln>
          </spPr>
          <marker>
            <symbol val="circle"/>
            <size val="6"/>
            <spPr>
              <a:solidFill>
                <a:srgbClr val="1F4E9C"/>
              </a:solidFill>
              <a:ln>
                <a:solidFill>
                  <a:srgbClr val="1F4E9C"/>
                </a:solidFill>
                <a:prstDash val="solid"/>
              </a:ln>
            </spPr>
          </marker>
          <val>
            <numRef>
              <f>'Arabica'!$H$40</f>
            </numRef>
          </val>
          <smooth val="0"/>
        </ser>
        <ser>
          <idx val="4"/>
          <order val="4"/>
          <tx>
            <v>Var. % embarqués</v>
          </tx>
          <spPr>
            <a:ln w="22000">
              <a:solidFill>
                <a:srgbClr val="9DC3F0"/>
              </a:solidFill>
              <a:prstDash val="solid"/>
            </a:ln>
          </spPr>
          <marker>
            <symbol val="circle"/>
            <size val="6"/>
            <spPr>
              <a:solidFill>
                <a:srgbClr val="9DC3F0"/>
              </a:solidFill>
              <a:ln>
                <a:solidFill>
                  <a:srgbClr val="9DC3F0"/>
                </a:solidFill>
                <a:prstDash val="solid"/>
              </a:ln>
            </spPr>
          </marker>
          <val>
            <numRef>
              <f>'Arabica'!$I$40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variation vs mois précédent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Robusta — mouvement du jour (rouge), cumul du mois (vert), variation % vs mois précédent (bleu, axe droit)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du jour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'Robusta'!$A$14:$A$16</f>
            </numRef>
          </cat>
          <val>
            <numRef>
              <f>'Robusta'!$B$14:$B$16</f>
            </numRef>
          </val>
        </ser>
        <ser>
          <idx val="1"/>
          <order val="1"/>
          <tx>
            <v>Cumul du mois</v>
          </tx>
          <spPr>
            <a:solidFill>
              <a:srgbClr val="2E8B57"/>
            </a:solidFill>
            <a:ln>
              <a:solidFill>
                <a:srgbClr val="2E8B57"/>
              </a:solidFill>
              <a:prstDash val="solid"/>
            </a:ln>
          </spPr>
          <cat>
            <numRef>
              <f>'Robusta'!$A$14:$A$16</f>
            </numRef>
          </cat>
          <val>
            <numRef>
              <f>'Robusta'!$D$14:$D$16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Variation % vs mois précédent</v>
          </tx>
          <spPr>
            <a:ln w="22000">
              <a:solidFill>
                <a:srgbClr val="1F4E9C"/>
              </a:solidFill>
              <a:prstDash val="solid"/>
            </a:ln>
          </spPr>
          <marker>
            <symbol val="circle"/>
            <size val="6"/>
            <spPr>
              <a:solidFill>
                <a:srgbClr val="1F4E9C"/>
              </a:solidFill>
              <a:ln>
                <a:solidFill>
                  <a:srgbClr val="1F4E9C"/>
                </a:solidFill>
                <a:prstDash val="solid"/>
              </a:ln>
            </spPr>
          </marker>
          <val>
            <numRef>
              <f>'Robusta'!$F$14:$F$16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variation vs mois précédent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Robusta — mouvement du jour par port : certificats, dédouanés, embarqués</a:t>
            </a:r>
          </a:p>
        </rich>
      </tx>
    </title>
    <plotArea>
      <barChart>
        <barDir val="col"/>
        <grouping val="clustered"/>
        <ser>
          <idx val="0"/>
          <order val="0"/>
          <tx>
            <v>Certificats J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'Robusta'!$A$20:$A$25</f>
            </numRef>
          </cat>
          <val>
            <numRef>
              <f>'Robusta'!$B$20:$B$25</f>
            </numRef>
          </val>
        </ser>
        <ser>
          <idx val="1"/>
          <order val="1"/>
          <tx>
            <v>Dédouanés J</v>
          </tx>
          <spPr>
            <a:solidFill>
              <a:srgbClr val="E07B6B"/>
            </a:solidFill>
            <a:ln>
              <a:solidFill>
                <a:srgbClr val="E07B6B"/>
              </a:solidFill>
              <a:prstDash val="solid"/>
            </a:ln>
          </spPr>
          <cat>
            <numRef>
              <f>'Robusta'!$A$20:$A$25</f>
            </numRef>
          </cat>
          <val>
            <numRef>
              <f>'Robusta'!$C$20:$C$25</f>
            </numRef>
          </val>
        </ser>
        <ser>
          <idx val="2"/>
          <order val="2"/>
          <tx>
            <v>Embarqués J</v>
          </tx>
          <spPr>
            <a:solidFill>
              <a:srgbClr val="F2B8B0"/>
            </a:solidFill>
            <a:ln>
              <a:solidFill>
                <a:srgbClr val="F2B8B0"/>
              </a:solidFill>
              <a:prstDash val="solid"/>
            </a:ln>
          </spPr>
          <cat>
            <numRef>
              <f>'Robusta'!$A$20:$A$25</f>
            </numRef>
          </cat>
          <val>
            <numRef>
              <f>'Robusta'!$D$20:$D$25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Robusta — variation % du cumul vs mois précédent, par port</a:t>
            </a:r>
          </a:p>
        </rich>
      </tx>
    </title>
    <plotArea>
      <barChart>
        <barDir val="col"/>
        <grouping val="clustered"/>
        <ser>
          <idx val="0"/>
          <order val="0"/>
          <tx>
            <v>Certificats</v>
          </tx>
          <spPr>
            <a:solidFill>
              <a:srgbClr val="1F4E9C"/>
            </a:solidFill>
            <a:ln>
              <a:solidFill>
                <a:srgbClr val="1F4E9C"/>
              </a:solidFill>
              <a:prstDash val="solid"/>
            </a:ln>
          </spPr>
          <cat>
            <numRef>
              <f>'Robusta'!$A$20:$A$25</f>
            </numRef>
          </cat>
          <val>
            <numRef>
              <f>'Robusta'!$E$20:$E$25</f>
            </numRef>
          </val>
        </ser>
        <ser>
          <idx val="1"/>
          <order val="1"/>
          <tx>
            <v>Dédouanés</v>
          </tx>
          <spPr>
            <a:solidFill>
              <a:srgbClr val="2F6FBF"/>
            </a:solidFill>
            <a:ln>
              <a:solidFill>
                <a:srgbClr val="2F6FBF"/>
              </a:solidFill>
              <a:prstDash val="solid"/>
            </a:ln>
          </spPr>
          <cat>
            <numRef>
              <f>'Robusta'!$A$20:$A$25</f>
            </numRef>
          </cat>
          <val>
            <numRef>
              <f>'Robusta'!$F$20:$F$25</f>
            </numRef>
          </val>
        </ser>
        <ser>
          <idx val="2"/>
          <order val="2"/>
          <tx>
            <v>Embarqués</v>
          </tx>
          <spPr>
            <a:solidFill>
              <a:srgbClr val="9DC3F0"/>
            </a:solidFill>
            <a:ln>
              <a:solidFill>
                <a:srgbClr val="9DC3F0"/>
              </a:solidFill>
              <a:prstDash val="solid"/>
            </a:ln>
          </spPr>
          <cat>
            <numRef>
              <f>'Robusta'!$A$20:$A$25</f>
            </numRef>
          </cat>
          <val>
            <numRef>
              <f>'Robusta'!$G$20:$G$25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variation vs mois précédent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Robusta — cumul du mois (rouges) vs même période du mois précédent (bleus)</a:t>
            </a:r>
          </a:p>
        </rich>
      </tx>
    </title>
    <plotArea>
      <barChart>
        <barDir val="col"/>
        <grouping val="clustered"/>
        <ser>
          <idx val="0"/>
          <order val="0"/>
          <tx>
            <v>Certificats cumul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'Robusta'!$A$30:$A$35</f>
            </numRef>
          </cat>
          <val>
            <numRef>
              <f>'Robusta'!$B$30:$B$35</f>
            </numRef>
          </val>
        </ser>
        <ser>
          <idx val="1"/>
          <order val="1"/>
          <tx>
            <v>Certificats mois préc.</v>
          </tx>
          <spPr>
            <a:solidFill>
              <a:srgbClr val="1F4E9C"/>
            </a:solidFill>
            <a:ln>
              <a:solidFill>
                <a:srgbClr val="1F4E9C"/>
              </a:solidFill>
              <a:prstDash val="solid"/>
            </a:ln>
          </spPr>
          <cat>
            <numRef>
              <f>'Robusta'!$A$30:$A$35</f>
            </numRef>
          </cat>
          <val>
            <numRef>
              <f>'Robusta'!$C$30:$C$35</f>
            </numRef>
          </val>
        </ser>
        <ser>
          <idx val="2"/>
          <order val="2"/>
          <tx>
            <v>Dédouanés cumul</v>
          </tx>
          <spPr>
            <a:solidFill>
              <a:srgbClr val="E07B6B"/>
            </a:solidFill>
            <a:ln>
              <a:solidFill>
                <a:srgbClr val="E07B6B"/>
              </a:solidFill>
              <a:prstDash val="solid"/>
            </a:ln>
          </spPr>
          <cat>
            <numRef>
              <f>'Robusta'!$A$30:$A$35</f>
            </numRef>
          </cat>
          <val>
            <numRef>
              <f>'Robusta'!$D$30:$D$35</f>
            </numRef>
          </val>
        </ser>
        <ser>
          <idx val="3"/>
          <order val="3"/>
          <tx>
            <v>Dédouanés mois préc.</v>
          </tx>
          <spPr>
            <a:solidFill>
              <a:srgbClr val="2F6FBF"/>
            </a:solidFill>
            <a:ln>
              <a:solidFill>
                <a:srgbClr val="2F6FBF"/>
              </a:solidFill>
              <a:prstDash val="solid"/>
            </a:ln>
          </spPr>
          <cat>
            <numRef>
              <f>'Robusta'!$A$30:$A$35</f>
            </numRef>
          </cat>
          <val>
            <numRef>
              <f>'Robusta'!$E$30:$E$35</f>
            </numRef>
          </val>
        </ser>
        <ser>
          <idx val="4"/>
          <order val="4"/>
          <tx>
            <v>Embarqués cumul</v>
          </tx>
          <spPr>
            <a:solidFill>
              <a:srgbClr val="F2B8B0"/>
            </a:solidFill>
            <a:ln>
              <a:solidFill>
                <a:srgbClr val="F2B8B0"/>
              </a:solidFill>
              <a:prstDash val="solid"/>
            </a:ln>
          </spPr>
          <cat>
            <numRef>
              <f>'Robusta'!$A$30:$A$35</f>
            </numRef>
          </cat>
          <val>
            <numRef>
              <f>'Robusta'!$F$30:$F$35</f>
            </numRef>
          </val>
        </ser>
        <ser>
          <idx val="5"/>
          <order val="5"/>
          <tx>
            <v>Embarqués mois préc.</v>
          </tx>
          <spPr>
            <a:solidFill>
              <a:srgbClr val="9DC3F0"/>
            </a:solidFill>
            <a:ln>
              <a:solidFill>
                <a:srgbClr val="9DC3F0"/>
              </a:solidFill>
              <a:prstDash val="solid"/>
            </a:ln>
          </spPr>
          <cat>
            <numRef>
              <f>'Robusta'!$A$30:$A$35</f>
            </numRef>
          </cat>
          <val>
            <numRef>
              <f>'Robusta'!$G$30:$G$35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Robusta — historique quotidien (rouges) et variation % vs mois précédent (bleus, axe droit)</a:t>
            </a:r>
          </a:p>
        </rich>
      </tx>
    </title>
    <plotArea>
      <barChart>
        <barDir val="col"/>
        <grouping val="clustered"/>
        <ser>
          <idx val="0"/>
          <order val="0"/>
          <tx>
            <v>Certificats J</v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'Robusta'!$A$40</f>
            </numRef>
          </cat>
          <val>
            <numRef>
              <f>'Robusta'!$B$40</f>
            </numRef>
          </val>
        </ser>
        <ser>
          <idx val="1"/>
          <order val="1"/>
          <tx>
            <v>Dédouanés J</v>
          </tx>
          <spPr>
            <a:solidFill>
              <a:srgbClr val="E07B6B"/>
            </a:solidFill>
            <a:ln>
              <a:solidFill>
                <a:srgbClr val="E07B6B"/>
              </a:solidFill>
              <a:prstDash val="solid"/>
            </a:ln>
          </spPr>
          <cat>
            <numRef>
              <f>'Robusta'!$A$40</f>
            </numRef>
          </cat>
          <val>
            <numRef>
              <f>'Robusta'!$C$40</f>
            </numRef>
          </val>
        </ser>
        <ser>
          <idx val="2"/>
          <order val="2"/>
          <tx>
            <v>Embarqués J</v>
          </tx>
          <spPr>
            <a:solidFill>
              <a:srgbClr val="F2B8B0"/>
            </a:solidFill>
            <a:ln>
              <a:solidFill>
                <a:srgbClr val="F2B8B0"/>
              </a:solidFill>
              <a:prstDash val="solid"/>
            </a:ln>
          </spPr>
          <cat>
            <numRef>
              <f>'Robusta'!$A$40</f>
            </numRef>
          </cat>
          <val>
            <numRef>
              <f>'Robusta'!$D$40</f>
            </numRef>
          </val>
        </ser>
        <gapWidth val="150"/>
        <axId val="10"/>
        <axId val="100"/>
      </barChart>
      <lineChart>
        <grouping val="standard"/>
        <ser>
          <idx val="3"/>
          <order val="3"/>
          <tx>
            <v>Var. % certificats</v>
          </tx>
          <spPr>
            <a:ln w="22000">
              <a:solidFill>
                <a:srgbClr val="1F4E9C"/>
              </a:solidFill>
              <a:prstDash val="solid"/>
            </a:ln>
          </spPr>
          <marker>
            <symbol val="circle"/>
            <size val="6"/>
            <spPr>
              <a:solidFill>
                <a:srgbClr val="1F4E9C"/>
              </a:solidFill>
              <a:ln>
                <a:solidFill>
                  <a:srgbClr val="1F4E9C"/>
                </a:solidFill>
                <a:prstDash val="solid"/>
              </a:ln>
            </spPr>
          </marker>
          <val>
            <numRef>
              <f>'Robusta'!$H$40</f>
            </numRef>
          </val>
          <smooth val="0"/>
        </ser>
        <ser>
          <idx val="4"/>
          <order val="4"/>
          <tx>
            <v>Var. % embarqués</v>
          </tx>
          <spPr>
            <a:ln w="22000">
              <a:solidFill>
                <a:srgbClr val="9DC3F0"/>
              </a:solidFill>
              <a:prstDash val="solid"/>
            </a:ln>
          </spPr>
          <marker>
            <symbol val="circle"/>
            <size val="6"/>
            <spPr>
              <a:solidFill>
                <a:srgbClr val="9DC3F0"/>
              </a:solidFill>
              <a:ln>
                <a:solidFill>
                  <a:srgbClr val="9DC3F0"/>
                </a:solidFill>
                <a:prstDash val="solid"/>
              </a:ln>
            </spPr>
          </marker>
          <val>
            <numRef>
              <f>'Robusta'!$I$40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variation vs mois précédent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Relationship Type="http://schemas.openxmlformats.org/officeDocument/2006/relationships/chart" Target="/xl/charts/chart9.xml" Id="rId4" /><Relationship Type="http://schemas.openxmlformats.org/officeDocument/2006/relationships/chart" Target="/xl/charts/chart10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11</row>
      <rowOff>0</rowOff>
    </from>
    <ext cx="720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31</row>
      <rowOff>0</rowOff>
    </from>
    <ext cx="720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51</row>
      <rowOff>0</rowOff>
    </from>
    <ext cx="720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71</row>
      <rowOff>0</rowOff>
    </from>
    <ext cx="7200000" cy="34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91</row>
      <rowOff>0</rowOff>
    </from>
    <ext cx="7200000" cy="34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11</row>
      <rowOff>0</rowOff>
    </from>
    <ext cx="720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31</row>
      <rowOff>0</rowOff>
    </from>
    <ext cx="720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51</row>
      <rowOff>0</rowOff>
    </from>
    <ext cx="720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71</row>
      <rowOff>0</rowOff>
    </from>
    <ext cx="7200000" cy="34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91</row>
      <rowOff>0</rowOff>
    </from>
    <ext cx="7200000" cy="34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70" customWidth="1" min="3" max="3"/>
  </cols>
  <sheetData>
    <row r="1">
      <c r="A1" s="1" t="inlineStr">
        <is>
          <t>Comment lire le « Resumo Diário » de Cecafé</t>
        </is>
      </c>
    </row>
    <row r="2">
      <c r="A2" s="2" t="inlineStr">
        <is>
          <t>Cecafé = conseil des exportateurs de café du Brésil. Unité : sacs de 60 kg. Une publication par jour ouvré.</t>
        </is>
      </c>
    </row>
    <row r="4">
      <c r="A4" s="3" t="inlineStr">
        <is>
          <t>Étape (tableau de la page)</t>
        </is>
      </c>
      <c r="B4" s="3" t="inlineStr">
        <is>
          <t>Ce que c'est</t>
        </is>
      </c>
      <c r="C4" s="3" t="inlineStr">
        <is>
          <t>Comment le lire</t>
        </is>
      </c>
    </row>
    <row r="5" ht="62" customHeight="1">
      <c r="A5" s="4" t="inlineStr">
        <is>
          <t>1. Certificats d'origine émis</t>
        </is>
      </c>
      <c r="B5" s="5" t="inlineStr">
        <is>
          <t>Le certificat est émis quand un exportateur a une VENTE conclue et un lot prêt, en entrepôt. Le café est vendu, la paperasse export existe, mais il n'a pas bougé.</t>
        </is>
      </c>
      <c r="C5" s="5" t="inlineStr">
        <is>
          <t>Signal le plus précoce. « Vente faite, café prêt. » Indique la demande et ce qui va partir dans les 1 à 3 semaines.</t>
        </is>
      </c>
    </row>
    <row r="6" ht="62" customHeight="1">
      <c r="A6" s="4" t="inlineStr">
        <is>
          <t>2. Dédouanement (customs clearance)</t>
        </is>
      </c>
      <c r="B6" s="5" t="inlineStr">
        <is>
          <t>Le lot est passé en douane au bureau indiqué (port ou entrepôt douanier intérieur comme REDEX/EADI Minas). Il est libéré pour partir.</t>
        </is>
      </c>
      <c r="C6" s="5" t="inlineStr">
        <is>
          <t>« Prêt à partir. » Le total dédouané du jour est égal au total embarqué : c'est le même café vu par le bureau de douane.</t>
        </is>
      </c>
    </row>
    <row r="7" ht="62" customHeight="1">
      <c r="A7" s="4" t="inlineStr">
        <is>
          <t>3. Embarquement (shipment)</t>
        </is>
      </c>
      <c r="B7" s="5" t="inlineStr">
        <is>
          <t>Le lot est chargé sur le navire ou le camion. Sortie physique réelle du pays.</t>
        </is>
      </c>
      <c r="C7" s="5" t="inlineStr">
        <is>
          <t>« Parti pour de vrai. » Vu par le point d'embarquement : Santos, Rio, autres. Le café dédouané à Vitória ou dans le Minas part le plus souvent par Santos.</t>
        </is>
      </c>
    </row>
    <row r="9">
      <c r="A9" s="3" t="inlineStr">
        <is>
          <t>Bloc de colonnes</t>
        </is>
      </c>
      <c r="B9" s="3" t="inlineStr">
        <is>
          <t>Signification</t>
        </is>
      </c>
      <c r="C9" s="3" t="inlineStr">
        <is>
          <t>Comment le lire</t>
        </is>
      </c>
    </row>
    <row r="10" ht="46" customHeight="1">
      <c r="A10" s="4" t="inlineStr">
        <is>
          <t>Mouvement du jour</t>
        </is>
      </c>
      <c r="B10" s="5" t="inlineStr">
        <is>
          <t>Sacs traités ce jour ouvré.</t>
        </is>
      </c>
      <c r="C10" s="5" t="inlineStr">
        <is>
          <t>À comparer à la veille et à la moyenne des jours précédents. Un lundi ou une fin de mois sont plus chargés.</t>
        </is>
      </c>
    </row>
    <row r="11" ht="46" customHeight="1">
      <c r="A11" s="4" t="inlineStr">
        <is>
          <t>Cumul (acumulado)</t>
        </is>
      </c>
      <c r="B11" s="5" t="inlineStr">
        <is>
          <t>Total depuis le 1er du mois jusqu'au jour affiché.</t>
        </is>
      </c>
      <c r="C11" s="5" t="inlineStr">
        <is>
          <t>En fin de mois, c'est le total mensuel, à vérifier avec le rapport mensuel Cecafé.</t>
        </is>
      </c>
    </row>
    <row r="12" ht="46" customHeight="1">
      <c r="A12" s="4" t="inlineStr">
        <is>
          <t>Mois précédent (mês anterior)</t>
        </is>
      </c>
      <c r="B12" s="5" t="inlineStr">
        <is>
          <t>Même période du mois précédent : les mêmes premiers jours, pas le mois entier.</t>
        </is>
      </c>
      <c r="C12" s="5" t="inlineStr">
        <is>
          <t>Variation % = cumul ÷ mois précédent − 1. Positif = rythme plus rapide que le mois dernier.</t>
        </is>
      </c>
    </row>
    <row r="14">
      <c r="A14" s="3" t="inlineStr">
        <is>
          <t>Lecture</t>
        </is>
      </c>
      <c r="B14" s="3" t="inlineStr">
        <is>
          <t>Ce que ça dit</t>
        </is>
      </c>
      <c r="C14" s="3" t="inlineStr"/>
    </row>
    <row r="15" ht="40" customHeight="1">
      <c r="A15" s="4" t="inlineStr">
        <is>
          <t>Certifiés − embarqués (cumul)</t>
        </is>
      </c>
      <c r="B15" s="5" t="inlineStr">
        <is>
          <t>Café vendu à l'export mais pas encore parti : il attend dans les entrepôts portuaires et intérieurs. S'il monte, la file d'attente grossit ; s'il baisse, les embarquements rattrapent.</t>
        </is>
      </c>
      <c r="C15" s="5" t="n"/>
    </row>
    <row r="16" ht="40" customHeight="1">
      <c r="A16" s="4" t="inlineStr">
        <is>
          <t>Certificats en hausse, embarquements en baisse vs mois précédent</t>
        </is>
      </c>
      <c r="B16" s="5" t="inlineStr">
        <is>
          <t>Les ventes accélèrent, la sortie physique traîne : congestion logistique, gros volumes à venir.</t>
        </is>
      </c>
      <c r="C16" s="5" t="n"/>
    </row>
    <row r="17" ht="40" customHeight="1">
      <c r="A17" s="4" t="inlineStr">
        <is>
          <t>Vitória (ES)</t>
        </is>
      </c>
      <c r="B17" s="5" t="inlineStr">
        <is>
          <t>Port de l'Espírito Santo : surtout du conilon (robusta). Ligne à suivre pour l'ES.</t>
        </is>
      </c>
      <c r="C17" s="5" t="n"/>
    </row>
    <row r="18" ht="40" customHeight="1">
      <c r="A18" s="4" t="inlineStr">
        <is>
          <t>REDEX / EADI Minas Gerais</t>
        </is>
      </c>
      <c r="B18" s="5" t="inlineStr">
        <is>
          <t>Entrepôts douaniers intérieurs du Minas. Certifié − dédouané = café vendu qui attend encore dans le Minas. Indicateur le plus direct de mouvement d'entrepôt au Minas.</t>
        </is>
      </c>
      <c r="C18" s="5" t="n"/>
    </row>
    <row r="19" ht="40" customHeight="1">
      <c r="A19" s="4" t="inlineStr">
        <is>
          <t>Ne dit pas</t>
        </is>
      </c>
      <c r="B19" s="5" t="inlineStr">
        <is>
          <t>Le stock total des entrepôts du MG ou de l'ES : seule la part déjà vendue à l'export apparaît ici. Café des producteurs, coopératives non vendues et marché intérieur sont absents.</t>
        </is>
      </c>
      <c r="C19" s="5" t="n"/>
    </row>
    <row r="20" ht="40" customHeight="1">
      <c r="A20" s="4" t="inlineStr">
        <is>
          <t>Méthode</t>
        </is>
      </c>
      <c r="B20" s="5" t="inlineStr">
        <is>
          <t>Jamais un jour isolé. Suivre chaque jour, comparer le cumul à la même période du mois précédent, puis au même mois de l'année précédente quand l'historique existera.</t>
        </is>
      </c>
      <c r="C20" s="5" t="n"/>
    </row>
    <row r="22">
      <c r="A22" s="2" t="inlineStr">
        <is>
          <t>Traduction du navigateur : « Victory » = Vitória, « Conillon » = conilon (robusta brésilien), « Redex and EADI » = entrepôts douaniers intérieurs.</t>
        </is>
      </c>
    </row>
    <row r="23">
      <c r="A23" s="2" t="inlineStr">
        <is>
          <t>Source : https://www.cecafe.com.br/dados-estatisticos/exportacoes-brasileiras/resumo-diario/</t>
        </is>
      </c>
    </row>
    <row r="24">
      <c r="A24" s="2" t="inlineStr">
        <is>
          <t>Onglets Arabica / Robusta : la cellule jaune « Date affichée » pilote tout ; par défaut le dernier jour saisi, tu peux y taper n'importe quelle date présente dans Donnees.</t>
        </is>
      </c>
    </row>
  </sheetData>
  <mergeCells count="6">
    <mergeCell ref="B16:C16"/>
    <mergeCell ref="B15:C15"/>
    <mergeCell ref="B19:C19"/>
    <mergeCell ref="B20:C20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4" customWidth="1" min="17" max="17"/>
  </cols>
  <sheetData>
    <row r="1">
      <c r="A1" s="3" t="inlineStr">
        <is>
          <t>date</t>
        </is>
      </c>
      <c r="B1" s="3" t="inlineStr">
        <is>
          <t>table</t>
        </is>
      </c>
      <c r="C1" s="3" t="inlineStr">
        <is>
          <t>unit</t>
        </is>
      </c>
      <c r="D1" s="3" t="inlineStr">
        <is>
          <t>unit_label</t>
        </is>
      </c>
      <c r="E1" s="3" t="inlineStr">
        <is>
          <t>arabica_day</t>
        </is>
      </c>
      <c r="F1" s="3" t="inlineStr">
        <is>
          <t>conilon_day</t>
        </is>
      </c>
      <c r="G1" s="3" t="inlineStr">
        <is>
          <t>soluble_day</t>
        </is>
      </c>
      <c r="H1" s="3" t="inlineStr">
        <is>
          <t>total_day</t>
        </is>
      </c>
      <c r="I1" s="3" t="inlineStr">
        <is>
          <t>arabica_cum</t>
        </is>
      </c>
      <c r="J1" s="3" t="inlineStr">
        <is>
          <t>conilon_cum</t>
        </is>
      </c>
      <c r="K1" s="3" t="inlineStr">
        <is>
          <t>soluble_cum</t>
        </is>
      </c>
      <c r="L1" s="3" t="inlineStr">
        <is>
          <t>total_cum</t>
        </is>
      </c>
      <c r="M1" s="3" t="inlineStr">
        <is>
          <t>arabica_prev</t>
        </is>
      </c>
      <c r="N1" s="3" t="inlineStr">
        <is>
          <t>conilon_prev</t>
        </is>
      </c>
      <c r="O1" s="3" t="inlineStr">
        <is>
          <t>soluble_prev</t>
        </is>
      </c>
      <c r="P1" s="3" t="inlineStr">
        <is>
          <t>total_prev</t>
        </is>
      </c>
      <c r="Q1" s="3" t="inlineStr">
        <is>
          <t>source</t>
        </is>
      </c>
    </row>
    <row r="2">
      <c r="A2" s="6" t="n">
        <v>46269</v>
      </c>
      <c r="B2" s="7" t="inlineStr">
        <is>
          <t>certificates</t>
        </is>
      </c>
      <c r="C2" s="7" t="inlineStr">
        <is>
          <t>minas</t>
        </is>
      </c>
      <c r="D2" s="7" t="inlineStr">
        <is>
          <t>REDEX and EADI (MINAS GERAIS)</t>
        </is>
      </c>
      <c r="E2" s="8" t="n">
        <v>966</v>
      </c>
      <c r="F2" s="8" t="n">
        <v>0</v>
      </c>
      <c r="G2" s="8" t="n">
        <v>0</v>
      </c>
      <c r="H2" s="8" t="n">
        <v>966</v>
      </c>
      <c r="I2" s="8" t="n">
        <v>33232</v>
      </c>
      <c r="J2" s="8" t="n">
        <v>0</v>
      </c>
      <c r="K2" s="8" t="n">
        <v>0</v>
      </c>
      <c r="L2" s="8" t="n">
        <v>33232</v>
      </c>
      <c r="M2" s="8" t="n">
        <v>20625</v>
      </c>
      <c r="N2" s="8" t="n">
        <v>0</v>
      </c>
      <c r="O2" s="8" t="n">
        <v>0</v>
      </c>
      <c r="P2" s="8" t="n">
        <v>20625</v>
      </c>
      <c r="Q2" s="7" t="inlineStr">
        <is>
          <t>cecafe_daily.csv</t>
        </is>
      </c>
    </row>
    <row r="3">
      <c r="A3" s="6" t="n">
        <v>46269</v>
      </c>
      <c r="B3" s="7" t="inlineStr">
        <is>
          <t>certificates</t>
        </is>
      </c>
      <c r="C3" s="7" t="inlineStr">
        <is>
          <t>others</t>
        </is>
      </c>
      <c r="D3" s="7" t="inlineStr">
        <is>
          <t>OTHERS</t>
        </is>
      </c>
      <c r="E3" s="8" t="n">
        <v>4066</v>
      </c>
      <c r="F3" s="8" t="n">
        <v>0</v>
      </c>
      <c r="G3" s="8" t="n">
        <v>35</v>
      </c>
      <c r="H3" s="8" t="n">
        <v>4101</v>
      </c>
      <c r="I3" s="8" t="n">
        <v>7260</v>
      </c>
      <c r="J3" s="8" t="n">
        <v>2078</v>
      </c>
      <c r="K3" s="8" t="n">
        <v>9139</v>
      </c>
      <c r="L3" s="8" t="n">
        <v>18477</v>
      </c>
      <c r="M3" s="8" t="n">
        <v>19390</v>
      </c>
      <c r="N3" s="8" t="n">
        <v>5200</v>
      </c>
      <c r="O3" s="8" t="n">
        <v>11308</v>
      </c>
      <c r="P3" s="8" t="n">
        <v>35898</v>
      </c>
      <c r="Q3" s="7" t="inlineStr">
        <is>
          <t>cecafe_daily.csv</t>
        </is>
      </c>
    </row>
    <row r="4">
      <c r="A4" s="6" t="n">
        <v>46269</v>
      </c>
      <c r="B4" s="7" t="inlineStr">
        <is>
          <t>certificates</t>
        </is>
      </c>
      <c r="C4" s="7" t="inlineStr">
        <is>
          <t>rio</t>
        </is>
      </c>
      <c r="D4" s="7" t="inlineStr">
        <is>
          <t>RIO DE JANEIRO</t>
        </is>
      </c>
      <c r="E4" s="8" t="n">
        <v>4187</v>
      </c>
      <c r="F4" s="8" t="n">
        <v>1734</v>
      </c>
      <c r="G4" s="8" t="n">
        <v>0</v>
      </c>
      <c r="H4" s="8" t="n">
        <v>5921</v>
      </c>
      <c r="I4" s="8" t="n">
        <v>46750</v>
      </c>
      <c r="J4" s="8" t="n">
        <v>4116</v>
      </c>
      <c r="K4" s="8" t="n">
        <v>7798</v>
      </c>
      <c r="L4" s="8" t="n">
        <v>58664</v>
      </c>
      <c r="M4" s="8" t="n">
        <v>79854</v>
      </c>
      <c r="N4" s="8" t="n">
        <v>5388</v>
      </c>
      <c r="O4" s="8" t="n">
        <v>4160</v>
      </c>
      <c r="P4" s="8" t="n">
        <v>89402</v>
      </c>
      <c r="Q4" s="7" t="inlineStr">
        <is>
          <t>cecafe_daily.csv</t>
        </is>
      </c>
    </row>
    <row r="5">
      <c r="A5" s="6" t="n">
        <v>46269</v>
      </c>
      <c r="B5" s="7" t="inlineStr">
        <is>
          <t>certificates</t>
        </is>
      </c>
      <c r="C5" s="7" t="inlineStr">
        <is>
          <t>salvador</t>
        </is>
      </c>
      <c r="D5" s="7" t="inlineStr">
        <is>
          <t>SALVADOR</t>
        </is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7694</v>
      </c>
      <c r="J5" s="8" t="n">
        <v>0</v>
      </c>
      <c r="K5" s="8" t="n">
        <v>0</v>
      </c>
      <c r="L5" s="8" t="n">
        <v>7694</v>
      </c>
      <c r="M5" s="8" t="n">
        <v>1280</v>
      </c>
      <c r="N5" s="8" t="n">
        <v>986</v>
      </c>
      <c r="O5" s="8" t="n">
        <v>0</v>
      </c>
      <c r="P5" s="8" t="n">
        <v>2266</v>
      </c>
      <c r="Q5" s="7" t="inlineStr">
        <is>
          <t>cecafe_daily.csv</t>
        </is>
      </c>
    </row>
    <row r="6">
      <c r="A6" s="6" t="n">
        <v>46269</v>
      </c>
      <c r="B6" s="7" t="inlineStr">
        <is>
          <t>certificates</t>
        </is>
      </c>
      <c r="C6" s="7" t="inlineStr">
        <is>
          <t>santos</t>
        </is>
      </c>
      <c r="D6" s="7" t="inlineStr">
        <is>
          <t>SANTOS</t>
        </is>
      </c>
      <c r="E6" s="8" t="n">
        <v>54939</v>
      </c>
      <c r="F6" s="8" t="n">
        <v>16666</v>
      </c>
      <c r="G6" s="8" t="n">
        <v>40</v>
      </c>
      <c r="H6" s="8" t="n">
        <v>71645</v>
      </c>
      <c r="I6" s="8" t="n">
        <v>355900</v>
      </c>
      <c r="J6" s="8" t="n">
        <v>26066</v>
      </c>
      <c r="K6" s="8" t="n">
        <v>23406</v>
      </c>
      <c r="L6" s="8" t="n">
        <v>405372</v>
      </c>
      <c r="M6" s="8" t="n">
        <v>236214</v>
      </c>
      <c r="N6" s="8" t="n">
        <v>11052</v>
      </c>
      <c r="O6" s="8" t="n">
        <v>33169</v>
      </c>
      <c r="P6" s="8" t="n">
        <v>280435</v>
      </c>
      <c r="Q6" s="7" t="inlineStr">
        <is>
          <t>cecafe_daily.csv</t>
        </is>
      </c>
    </row>
    <row r="7">
      <c r="A7" s="9" t="n">
        <v>46269</v>
      </c>
      <c r="B7" s="10" t="inlineStr">
        <is>
          <t>certificates</t>
        </is>
      </c>
      <c r="C7" s="10" t="inlineStr">
        <is>
          <t>total</t>
        </is>
      </c>
      <c r="D7" s="10" t="inlineStr">
        <is>
          <t>TOTALS</t>
        </is>
      </c>
      <c r="E7" s="11" t="n">
        <v>65103</v>
      </c>
      <c r="F7" s="11" t="n">
        <v>29353</v>
      </c>
      <c r="G7" s="11" t="n">
        <v>75</v>
      </c>
      <c r="H7" s="11" t="n">
        <v>94531</v>
      </c>
      <c r="I7" s="11" t="n">
        <v>459336</v>
      </c>
      <c r="J7" s="11" t="n">
        <v>199941</v>
      </c>
      <c r="K7" s="11" t="n">
        <v>40343</v>
      </c>
      <c r="L7" s="11" t="n">
        <v>699620</v>
      </c>
      <c r="M7" s="11" t="n">
        <v>361607</v>
      </c>
      <c r="N7" s="11" t="n">
        <v>34113</v>
      </c>
      <c r="O7" s="11" t="n">
        <v>61428</v>
      </c>
      <c r="P7" s="11" t="n">
        <v>457148</v>
      </c>
      <c r="Q7" s="10" t="inlineStr">
        <is>
          <t>cecafe_daily.csv</t>
        </is>
      </c>
    </row>
    <row r="8">
      <c r="A8" s="6" t="n">
        <v>46269</v>
      </c>
      <c r="B8" s="7" t="inlineStr">
        <is>
          <t>certificates</t>
        </is>
      </c>
      <c r="C8" s="7" t="inlineStr">
        <is>
          <t>vitoria</t>
        </is>
      </c>
      <c r="D8" s="7" t="inlineStr">
        <is>
          <t>VICTORY</t>
        </is>
      </c>
      <c r="E8" s="8" t="n">
        <v>945</v>
      </c>
      <c r="F8" s="8" t="n">
        <v>10953</v>
      </c>
      <c r="G8" s="8" t="n">
        <v>0</v>
      </c>
      <c r="H8" s="8" t="n">
        <v>11898</v>
      </c>
      <c r="I8" s="8" t="n">
        <v>8500</v>
      </c>
      <c r="J8" s="8" t="n">
        <v>167681</v>
      </c>
      <c r="K8" s="8" t="n">
        <v>0</v>
      </c>
      <c r="L8" s="8" t="n">
        <v>176181</v>
      </c>
      <c r="M8" s="8" t="n">
        <v>4244</v>
      </c>
      <c r="N8" s="8" t="n">
        <v>11487</v>
      </c>
      <c r="O8" s="8" t="n">
        <v>12791</v>
      </c>
      <c r="P8" s="8" t="n">
        <v>28522</v>
      </c>
      <c r="Q8" s="7" t="inlineStr">
        <is>
          <t>cecafe_daily.csv</t>
        </is>
      </c>
    </row>
    <row r="9">
      <c r="A9" s="6" t="n">
        <v>46269</v>
      </c>
      <c r="B9" s="7" t="inlineStr">
        <is>
          <t>customs</t>
        </is>
      </c>
      <c r="C9" s="7" t="inlineStr">
        <is>
          <t>minas</t>
        </is>
      </c>
      <c r="D9" s="7" t="inlineStr">
        <is>
          <t>REDEX and EADI (MINAS GERAIS)</t>
        </is>
      </c>
      <c r="E9" s="8" t="n">
        <v>491</v>
      </c>
      <c r="F9" s="8" t="n">
        <v>0</v>
      </c>
      <c r="G9" s="8" t="n">
        <v>0</v>
      </c>
      <c r="H9" s="8" t="n">
        <v>491</v>
      </c>
      <c r="I9" s="8" t="n">
        <v>5674</v>
      </c>
      <c r="J9" s="8" t="n">
        <v>0</v>
      </c>
      <c r="K9" s="8" t="n">
        <v>0</v>
      </c>
      <c r="L9" s="8" t="n">
        <v>5674</v>
      </c>
      <c r="M9" s="8" t="n">
        <v>14131</v>
      </c>
      <c r="N9" s="8" t="n">
        <v>0</v>
      </c>
      <c r="O9" s="8" t="n">
        <v>0</v>
      </c>
      <c r="P9" s="8" t="n">
        <v>14131</v>
      </c>
      <c r="Q9" s="7" t="inlineStr">
        <is>
          <t>cecafe_daily.csv</t>
        </is>
      </c>
    </row>
    <row r="10">
      <c r="A10" s="6" t="n">
        <v>46269</v>
      </c>
      <c r="B10" s="7" t="inlineStr">
        <is>
          <t>customs</t>
        </is>
      </c>
      <c r="C10" s="7" t="inlineStr">
        <is>
          <t>others</t>
        </is>
      </c>
      <c r="D10" s="7" t="inlineStr">
        <is>
          <t>OTHERS</t>
        </is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846</v>
      </c>
      <c r="J10" s="8" t="n">
        <v>892</v>
      </c>
      <c r="K10" s="8" t="n">
        <v>558</v>
      </c>
      <c r="L10" s="8" t="n">
        <v>2296</v>
      </c>
      <c r="M10" s="8" t="n">
        <v>9123</v>
      </c>
      <c r="N10" s="8" t="n">
        <v>866</v>
      </c>
      <c r="O10" s="8" t="n">
        <v>4256</v>
      </c>
      <c r="P10" s="8" t="n">
        <v>14245</v>
      </c>
      <c r="Q10" s="7" t="inlineStr">
        <is>
          <t>cecafe_daily.csv</t>
        </is>
      </c>
    </row>
    <row r="11">
      <c r="A11" s="6" t="n">
        <v>46269</v>
      </c>
      <c r="B11" s="7" t="inlineStr">
        <is>
          <t>customs</t>
        </is>
      </c>
      <c r="C11" s="7" t="inlineStr">
        <is>
          <t>rio</t>
        </is>
      </c>
      <c r="D11" s="7" t="inlineStr">
        <is>
          <t>RIO DE JANEIRO</t>
        </is>
      </c>
      <c r="E11" s="8" t="n">
        <v>3320</v>
      </c>
      <c r="F11" s="8" t="n">
        <v>1734</v>
      </c>
      <c r="G11" s="8" t="n">
        <v>0</v>
      </c>
      <c r="H11" s="8" t="n">
        <v>5054</v>
      </c>
      <c r="I11" s="8" t="n">
        <v>14040</v>
      </c>
      <c r="J11" s="8" t="n">
        <v>1734</v>
      </c>
      <c r="K11" s="8" t="n">
        <v>1528</v>
      </c>
      <c r="L11" s="8" t="n">
        <v>17302</v>
      </c>
      <c r="M11" s="8" t="n">
        <v>79532</v>
      </c>
      <c r="N11" s="8" t="n">
        <v>3948</v>
      </c>
      <c r="O11" s="8" t="n">
        <v>4160</v>
      </c>
      <c r="P11" s="8" t="n">
        <v>87640</v>
      </c>
      <c r="Q11" s="7" t="inlineStr">
        <is>
          <t>cecafe_daily.csv</t>
        </is>
      </c>
    </row>
    <row r="12">
      <c r="A12" s="6" t="n">
        <v>46269</v>
      </c>
      <c r="B12" s="7" t="inlineStr">
        <is>
          <t>customs</t>
        </is>
      </c>
      <c r="C12" s="7" t="inlineStr">
        <is>
          <t>santos</t>
        </is>
      </c>
      <c r="D12" s="7" t="inlineStr">
        <is>
          <t>SANTOS</t>
        </is>
      </c>
      <c r="E12" s="8" t="n">
        <v>13195</v>
      </c>
      <c r="F12" s="8" t="n">
        <v>0</v>
      </c>
      <c r="G12" s="8" t="n">
        <v>0</v>
      </c>
      <c r="H12" s="8" t="n">
        <v>13195</v>
      </c>
      <c r="I12" s="8" t="n">
        <v>113214</v>
      </c>
      <c r="J12" s="8" t="n">
        <v>3333</v>
      </c>
      <c r="K12" s="8" t="n">
        <v>647</v>
      </c>
      <c r="L12" s="8" t="n">
        <v>117194</v>
      </c>
      <c r="M12" s="8" t="n">
        <v>210833</v>
      </c>
      <c r="N12" s="8" t="n">
        <v>11052</v>
      </c>
      <c r="O12" s="8" t="n">
        <v>7886</v>
      </c>
      <c r="P12" s="8" t="n">
        <v>229771</v>
      </c>
      <c r="Q12" s="7" t="inlineStr">
        <is>
          <t>cecafe_daily.csv</t>
        </is>
      </c>
    </row>
    <row r="13">
      <c r="A13" s="9" t="n">
        <v>46269</v>
      </c>
      <c r="B13" s="10" t="inlineStr">
        <is>
          <t>customs</t>
        </is>
      </c>
      <c r="C13" s="10" t="inlineStr">
        <is>
          <t>total</t>
        </is>
      </c>
      <c r="D13" s="10" t="inlineStr">
        <is>
          <t>TOTALS</t>
        </is>
      </c>
      <c r="E13" s="11" t="n">
        <v>17951</v>
      </c>
      <c r="F13" s="11" t="n">
        <v>5067</v>
      </c>
      <c r="G13" s="11" t="n">
        <v>0</v>
      </c>
      <c r="H13" s="11" t="n">
        <v>23018</v>
      </c>
      <c r="I13" s="11" t="n">
        <v>134719</v>
      </c>
      <c r="J13" s="11" t="n">
        <v>22706</v>
      </c>
      <c r="K13" s="11" t="n">
        <v>2733</v>
      </c>
      <c r="L13" s="11" t="n">
        <v>160158</v>
      </c>
      <c r="M13" s="11" t="n">
        <v>313939</v>
      </c>
      <c r="N13" s="11" t="n">
        <v>22860</v>
      </c>
      <c r="O13" s="11" t="n">
        <v>16302</v>
      </c>
      <c r="P13" s="11" t="n">
        <v>353101</v>
      </c>
      <c r="Q13" s="10" t="inlineStr">
        <is>
          <t>cecafe_daily.csv</t>
        </is>
      </c>
    </row>
    <row r="14">
      <c r="A14" s="6" t="n">
        <v>46269</v>
      </c>
      <c r="B14" s="7" t="inlineStr">
        <is>
          <t>customs</t>
        </is>
      </c>
      <c r="C14" s="7" t="inlineStr">
        <is>
          <t>vitoria</t>
        </is>
      </c>
      <c r="D14" s="7" t="inlineStr">
        <is>
          <t>VICTORY</t>
        </is>
      </c>
      <c r="E14" s="8" t="n">
        <v>945</v>
      </c>
      <c r="F14" s="8" t="n">
        <v>3333</v>
      </c>
      <c r="G14" s="8" t="n">
        <v>0</v>
      </c>
      <c r="H14" s="8" t="n">
        <v>4278</v>
      </c>
      <c r="I14" s="8" t="n">
        <v>945</v>
      </c>
      <c r="J14" s="8" t="n">
        <v>16747</v>
      </c>
      <c r="K14" s="8" t="n">
        <v>0</v>
      </c>
      <c r="L14" s="8" t="n">
        <v>17692</v>
      </c>
      <c r="M14" s="8" t="n">
        <v>320</v>
      </c>
      <c r="N14" s="8" t="n">
        <v>6994</v>
      </c>
      <c r="O14" s="8" t="n">
        <v>0</v>
      </c>
      <c r="P14" s="8" t="n">
        <v>7314</v>
      </c>
      <c r="Q14" s="7" t="inlineStr">
        <is>
          <t>cecafe_daily.csv</t>
        </is>
      </c>
    </row>
    <row r="15">
      <c r="A15" s="6" t="n">
        <v>46269</v>
      </c>
      <c r="B15" s="7" t="inlineStr">
        <is>
          <t>shipment</t>
        </is>
      </c>
      <c r="C15" s="7" t="inlineStr">
        <is>
          <t>others</t>
        </is>
      </c>
      <c r="D15" s="7" t="inlineStr">
        <is>
          <t>OTHERS</t>
        </is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846</v>
      </c>
      <c r="J15" s="8" t="n">
        <v>892</v>
      </c>
      <c r="K15" s="8" t="n">
        <v>558</v>
      </c>
      <c r="L15" s="8" t="n">
        <v>2296</v>
      </c>
      <c r="M15" s="8" t="n">
        <v>1003</v>
      </c>
      <c r="N15" s="8" t="n">
        <v>866</v>
      </c>
      <c r="O15" s="8" t="n">
        <v>4256</v>
      </c>
      <c r="P15" s="8" t="n">
        <v>6125</v>
      </c>
      <c r="Q15" s="7" t="inlineStr">
        <is>
          <t>cecafe_daily.csv</t>
        </is>
      </c>
    </row>
    <row r="16">
      <c r="A16" s="6" t="n">
        <v>46269</v>
      </c>
      <c r="B16" s="7" t="inlineStr">
        <is>
          <t>shipment</t>
        </is>
      </c>
      <c r="C16" s="7" t="inlineStr">
        <is>
          <t>rio</t>
        </is>
      </c>
      <c r="D16" s="7" t="inlineStr">
        <is>
          <t>RIO DE JANEIRO</t>
        </is>
      </c>
      <c r="E16" s="8" t="n">
        <v>3320</v>
      </c>
      <c r="F16" s="8" t="n">
        <v>1734</v>
      </c>
      <c r="G16" s="8" t="n">
        <v>0</v>
      </c>
      <c r="H16" s="8" t="n">
        <v>5054</v>
      </c>
      <c r="I16" s="8" t="n">
        <v>14040</v>
      </c>
      <c r="J16" s="8" t="n">
        <v>1734</v>
      </c>
      <c r="K16" s="8" t="n">
        <v>1528</v>
      </c>
      <c r="L16" s="8" t="n">
        <v>17302</v>
      </c>
      <c r="M16" s="8" t="n">
        <v>79412</v>
      </c>
      <c r="N16" s="8" t="n">
        <v>4615</v>
      </c>
      <c r="O16" s="8" t="n">
        <v>4160</v>
      </c>
      <c r="P16" s="8" t="n">
        <v>88187</v>
      </c>
      <c r="Q16" s="7" t="inlineStr">
        <is>
          <t>cecafe_daily.csv</t>
        </is>
      </c>
    </row>
    <row r="17">
      <c r="A17" s="6" t="n">
        <v>46269</v>
      </c>
      <c r="B17" s="7" t="inlineStr">
        <is>
          <t>shipment</t>
        </is>
      </c>
      <c r="C17" s="7" t="inlineStr">
        <is>
          <t>santos</t>
        </is>
      </c>
      <c r="D17" s="7" t="inlineStr">
        <is>
          <t>SANTOS</t>
        </is>
      </c>
      <c r="E17" s="8" t="n">
        <v>14631</v>
      </c>
      <c r="F17" s="8" t="n">
        <v>3333</v>
      </c>
      <c r="G17" s="8" t="n">
        <v>0</v>
      </c>
      <c r="H17" s="8" t="n">
        <v>17964</v>
      </c>
      <c r="I17" s="8" t="n">
        <v>119833</v>
      </c>
      <c r="J17" s="8" t="n">
        <v>20080</v>
      </c>
      <c r="K17" s="8" t="n">
        <v>647</v>
      </c>
      <c r="L17" s="8" t="n">
        <v>140560</v>
      </c>
      <c r="M17" s="8" t="n">
        <v>233524</v>
      </c>
      <c r="N17" s="8" t="n">
        <v>17379</v>
      </c>
      <c r="O17" s="8" t="n">
        <v>7886</v>
      </c>
      <c r="P17" s="8" t="n">
        <v>258789</v>
      </c>
      <c r="Q17" s="7" t="inlineStr">
        <is>
          <t>cecafe_daily.csv</t>
        </is>
      </c>
    </row>
    <row r="18">
      <c r="A18" s="9" t="n">
        <v>46269</v>
      </c>
      <c r="B18" s="10" t="inlineStr">
        <is>
          <t>shipment</t>
        </is>
      </c>
      <c r="C18" s="10" t="inlineStr">
        <is>
          <t>total</t>
        </is>
      </c>
      <c r="D18" s="10" t="inlineStr">
        <is>
          <t>TOTALS</t>
        </is>
      </c>
      <c r="E18" s="11" t="n">
        <v>17951</v>
      </c>
      <c r="F18" s="11" t="n">
        <v>5067</v>
      </c>
      <c r="G18" s="11" t="n">
        <v>0</v>
      </c>
      <c r="H18" s="11" t="n">
        <v>23018</v>
      </c>
      <c r="I18" s="11" t="n">
        <v>134719</v>
      </c>
      <c r="J18" s="11" t="n">
        <v>22706</v>
      </c>
      <c r="K18" s="11" t="n">
        <v>2733</v>
      </c>
      <c r="L18" s="11" t="n">
        <v>160158</v>
      </c>
      <c r="M18" s="11" t="n">
        <v>313939</v>
      </c>
      <c r="N18" s="11" t="n">
        <v>22860</v>
      </c>
      <c r="O18" s="11" t="n">
        <v>16302</v>
      </c>
      <c r="P18" s="11" t="n">
        <v>353101</v>
      </c>
      <c r="Q18" s="10" t="inlineStr">
        <is>
          <t>cecafe_daily.csv</t>
        </is>
      </c>
    </row>
    <row r="20">
      <c r="A20" s="2" t="inlineStr">
        <is>
          <t>Colle ici les nouvelles journées (même format que volumes/cecafe_daily.csv). Les onglets Arabica et Robusta se mettent à jour seuls.</t>
        </is>
      </c>
    </row>
  </sheetData>
  <autoFilter ref="A1:Q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18" customWidth="1" min="8" max="8"/>
    <col width="18" customWidth="1" min="9" max="9"/>
  </cols>
  <sheetData>
    <row r="1">
      <c r="A1" s="1" t="inlineStr">
        <is>
          <t>Arabica — mouvement du jour, ports, cumul</t>
        </is>
      </c>
    </row>
    <row r="2">
      <c r="A2" s="2" t="inlineStr">
        <is>
          <t>Cecafé Resumo Diário · arabica · sacs de 60 kg · tout est calculé à partir de l'onglet Donnees</t>
        </is>
      </c>
    </row>
    <row r="4">
      <c r="A4" s="12" t="inlineStr">
        <is>
          <t>Date affichée</t>
        </is>
      </c>
      <c r="B4" s="13">
        <f>MAX(Donnees!$A$2:$A$5000)</f>
        <v/>
      </c>
      <c r="C4" s="2" t="inlineStr">
        <is>
          <t>← par défaut le dernier jour saisi ; tape une autre date (présente dans Donnees) pour la revoir</t>
        </is>
      </c>
    </row>
    <row r="5">
      <c r="A5" s="12" t="inlineStr">
        <is>
          <t>Veille (jour précédent saisi)</t>
        </is>
      </c>
      <c r="B5" s="14">
        <f>IF(MAX(INDEX((Donnees!$A$2:$A$5000&lt;$B$4)*Donnees!$A$2:$A$5000,0))=0,"",MAX(INDEX((Donnees!$A$2:$A$5000&lt;$B$4)*Donnees!$A$2:$A$5000,0)))</f>
        <v/>
      </c>
    </row>
    <row r="6">
      <c r="A6" s="12" t="inlineStr">
        <is>
          <t>Dernier jour saisi</t>
        </is>
      </c>
      <c r="B6" s="14">
        <f>MAX(Donnees!$A$2:$A$5000)</f>
        <v/>
      </c>
    </row>
    <row r="7">
      <c r="A7" s="15" t="inlineStr">
        <is>
          <t>ARABICA — résumé (les noms de mois suivent la date affichée)</t>
        </is>
      </c>
    </row>
    <row r="8">
      <c r="A8" s="3" t="inlineStr">
        <is>
          <t>Type</t>
        </is>
      </c>
      <c r="B8" s="3" t="inlineStr">
        <is>
          <t>Mouvement du jour</t>
        </is>
      </c>
      <c r="C8" s="3">
        <f>CHOOSE(MONTH($B$4),"Janvier","Février","Mars","Avril","Mai","Juin","Juillet","Août","Septembre","Octobre","Novembre","Décembre")&amp;" "&amp;YEAR($B$4)</f>
        <v/>
      </c>
      <c r="D8" s="3">
        <f>CHOOSE(MONTH(DATE(YEAR($B$4),MONTH($B$4)+(-1),1)),"Janvier","Février","Mars","Avril","Mai","Juin","Juillet","Août","Septembre","Octobre","Novembre","Décembre")&amp;" "&amp;YEAR(DATE(YEAR($B$4),MONTH($B$4)+(-1),1))</f>
        <v/>
      </c>
      <c r="E8" s="3" t="inlineStr">
        <is>
          <t>Variation (%)</t>
        </is>
      </c>
    </row>
    <row r="9">
      <c r="A9" s="16" t="inlineStr">
        <is>
          <t>ÉMISSION (certificats)</t>
        </is>
      </c>
      <c r="B9" s="17">
        <f>SUMIFS(Donnees!$E$2:$E$5000,Donnees!$A$2:$A$5000,$B$4,Donnees!$B$2:$B$5000,"certificates",Donnees!$C$2:$C$5000,"total")</f>
        <v/>
      </c>
      <c r="C9" s="17">
        <f>SUMIFS(Donnees!$I$2:$I$5000,Donnees!$A$2:$A$5000,$B$4,Donnees!$B$2:$B$5000,"certificates",Donnees!$C$2:$C$5000,"total")</f>
        <v/>
      </c>
      <c r="D9" s="17">
        <f>SUMIFS(Donnees!$M$2:$M$5000,Donnees!$A$2:$A$5000,$B$4,Donnees!$B$2:$B$5000,"certificates",Donnees!$C$2:$C$5000,"total")</f>
        <v/>
      </c>
      <c r="E9" s="18">
        <f>IF(D9=0,NA(),C9/D9-1)</f>
        <v/>
      </c>
    </row>
    <row r="10">
      <c r="A10" s="16" t="inlineStr">
        <is>
          <t>EMBARQUE</t>
        </is>
      </c>
      <c r="B10" s="17">
        <f>SUMIFS(Donnees!$E$2:$E$5000,Donnees!$A$2:$A$5000,$B$4,Donnees!$B$2:$B$5000,"shipment",Donnees!$C$2:$C$5000,"total")</f>
        <v/>
      </c>
      <c r="C10" s="17">
        <f>SUMIFS(Donnees!$I$2:$I$5000,Donnees!$A$2:$A$5000,$B$4,Donnees!$B$2:$B$5000,"shipment",Donnees!$C$2:$C$5000,"total")</f>
        <v/>
      </c>
      <c r="D10" s="17">
        <f>SUMIFS(Donnees!$M$2:$M$5000,Donnees!$A$2:$A$5000,$B$4,Donnees!$B$2:$B$5000,"shipment",Donnees!$C$2:$C$5000,"total")</f>
        <v/>
      </c>
      <c r="E10" s="18">
        <f>IF(D10=0,NA(),C10/D10-1)</f>
        <v/>
      </c>
    </row>
    <row r="11">
      <c r="A11" s="2" t="inlineStr">
        <is>
          <t>Dédouanement = embarquement en total : même café vu par la douane. Colonne mois précédent = même période du mois précédent.</t>
        </is>
      </c>
    </row>
    <row r="12">
      <c r="A12" s="15" t="inlineStr">
        <is>
          <t>1. Par étape, toutes unités : jour J, veille, cumul du mois, variation % vs mois précédent</t>
        </is>
      </c>
    </row>
    <row r="13">
      <c r="A13" s="3" t="inlineStr">
        <is>
          <t>Étape</t>
        </is>
      </c>
      <c r="B13" s="3" t="inlineStr">
        <is>
          <t>Jour J</t>
        </is>
      </c>
      <c r="C13" s="3" t="inlineStr">
        <is>
          <t>Veille</t>
        </is>
      </c>
      <c r="D13" s="3">
        <f>"Cumul "&amp;CHOOSE(MONTH($B$4),"Janvier","Février","Mars","Avril","Mai","Juin","Juillet","Août","Septembre","Octobre","Novembre","Décembre")&amp;" "&amp;YEAR($B$4)</f>
        <v/>
      </c>
      <c r="E13" s="3">
        <f>CHOOSE(MONTH(DATE(YEAR($B$4),MONTH($B$4)+(-1),1)),"Janvier","Février","Mars","Avril","Mai","Juin","Juillet","Août","Septembre","Octobre","Novembre","Décembre")&amp;" "&amp;YEAR(DATE(YEAR($B$4),MONTH($B$4)+(-1),1))&amp;" (même période)"</f>
        <v/>
      </c>
      <c r="F13" s="3" t="inlineStr">
        <is>
          <t>Variation % vs mois précédent</t>
        </is>
      </c>
      <c r="G13" s="3" t="inlineStr">
        <is>
          <t>Certifiés − embarqués (cumul)</t>
        </is>
      </c>
    </row>
    <row r="14">
      <c r="A14" s="7" t="inlineStr">
        <is>
          <t>Certificats d'origine</t>
        </is>
      </c>
      <c r="B14" s="19">
        <f>SUMIFS(Donnees!$E$2:$E$5000,Donnees!$A$2:$A$5000,$B$4,Donnees!$B$2:$B$5000,"certificates",Donnees!$C$2:$C$5000,"total")</f>
        <v/>
      </c>
      <c r="C14" s="19">
        <f>IF($B$5="",NA(),SUMIFS(Donnees!$E$2:$E$5000,Donnees!$A$2:$A$5000,$B$5,Donnees!$B$2:$B$5000,"certificates",Donnees!$C$2:$C$5000,"total"))</f>
        <v/>
      </c>
      <c r="D14" s="19">
        <f>SUMIFS(Donnees!$I$2:$I$5000,Donnees!$A$2:$A$5000,$B$4,Donnees!$B$2:$B$5000,"certificates",Donnees!$C$2:$C$5000,"total")</f>
        <v/>
      </c>
      <c r="E14" s="19">
        <f>SUMIFS(Donnees!$M$2:$M$5000,Donnees!$A$2:$A$5000,$B$4,Donnees!$B$2:$B$5000,"certificates",Donnees!$C$2:$C$5000,"total")</f>
        <v/>
      </c>
      <c r="F14" s="20">
        <f>IF(E14=0,NA(),D14/E14-1)</f>
        <v/>
      </c>
      <c r="G14" s="19">
        <f>D14-D16</f>
        <v/>
      </c>
    </row>
    <row r="15">
      <c r="A15" s="7" t="inlineStr">
        <is>
          <t>Dédouanement</t>
        </is>
      </c>
      <c r="B15" s="19">
        <f>SUMIFS(Donnees!$E$2:$E$5000,Donnees!$A$2:$A$5000,$B$4,Donnees!$B$2:$B$5000,"customs",Donnees!$C$2:$C$5000,"total")</f>
        <v/>
      </c>
      <c r="C15" s="19">
        <f>IF($B$5="",NA(),SUMIFS(Donnees!$E$2:$E$5000,Donnees!$A$2:$A$5000,$B$5,Donnees!$B$2:$B$5000,"customs",Donnees!$C$2:$C$5000,"total"))</f>
        <v/>
      </c>
      <c r="D15" s="19">
        <f>SUMIFS(Donnees!$I$2:$I$5000,Donnees!$A$2:$A$5000,$B$4,Donnees!$B$2:$B$5000,"customs",Donnees!$C$2:$C$5000,"total")</f>
        <v/>
      </c>
      <c r="E15" s="19">
        <f>SUMIFS(Donnees!$M$2:$M$5000,Donnees!$A$2:$A$5000,$B$4,Donnees!$B$2:$B$5000,"customs",Donnees!$C$2:$C$5000,"total")</f>
        <v/>
      </c>
      <c r="F15" s="20">
        <f>IF(E15=0,NA(),D15/E15-1)</f>
        <v/>
      </c>
      <c r="G15" s="21" t="inlineStr">
        <is>
          <t>café vendu, pas encore parti</t>
        </is>
      </c>
    </row>
    <row r="16">
      <c r="A16" s="7" t="inlineStr">
        <is>
          <t>Embarquement</t>
        </is>
      </c>
      <c r="B16" s="19">
        <f>SUMIFS(Donnees!$E$2:$E$5000,Donnees!$A$2:$A$5000,$B$4,Donnees!$B$2:$B$5000,"shipment",Donnees!$C$2:$C$5000,"total")</f>
        <v/>
      </c>
      <c r="C16" s="19">
        <f>IF($B$5="",NA(),SUMIFS(Donnees!$E$2:$E$5000,Donnees!$A$2:$A$5000,$B$5,Donnees!$B$2:$B$5000,"shipment",Donnees!$C$2:$C$5000,"total"))</f>
        <v/>
      </c>
      <c r="D16" s="19">
        <f>SUMIFS(Donnees!$I$2:$I$5000,Donnees!$A$2:$A$5000,$B$4,Donnees!$B$2:$B$5000,"shipment",Donnees!$C$2:$C$5000,"total")</f>
        <v/>
      </c>
      <c r="E16" s="19">
        <f>SUMIFS(Donnees!$M$2:$M$5000,Donnees!$A$2:$A$5000,$B$4,Donnees!$B$2:$B$5000,"shipment",Donnees!$C$2:$C$5000,"total")</f>
        <v/>
      </c>
      <c r="F16" s="20">
        <f>IF(E16=0,NA(),D16/E16-1)</f>
        <v/>
      </c>
      <c r="G16" s="7" t="n"/>
    </row>
    <row r="18">
      <c r="A18" s="15" t="inlineStr">
        <is>
          <t>2 et 3. Par port : mouvement du jour (graphique 2) et variation % du cumul vs mois précédent (graphique 3)</t>
        </is>
      </c>
    </row>
    <row r="19">
      <c r="A19" s="3" t="inlineStr">
        <is>
          <t>Port / unité</t>
        </is>
      </c>
      <c r="B19" s="3" t="inlineStr">
        <is>
          <t>Certificats J</t>
        </is>
      </c>
      <c r="C19" s="3" t="inlineStr">
        <is>
          <t>Dédouanés J</t>
        </is>
      </c>
      <c r="D19" s="3" t="inlineStr">
        <is>
          <t>Embarqués J</t>
        </is>
      </c>
      <c r="E19" s="3" t="inlineStr">
        <is>
          <t>Var. % certificats</t>
        </is>
      </c>
      <c r="F19" s="3" t="inlineStr">
        <is>
          <t>Var. % dédouanés</t>
        </is>
      </c>
      <c r="G19" s="3" t="inlineStr">
        <is>
          <t>Var. % embarqués</t>
        </is>
      </c>
    </row>
    <row r="20">
      <c r="A20" s="7" t="inlineStr">
        <is>
          <t>Santos</t>
        </is>
      </c>
      <c r="B20" s="19">
        <f>SUMIFS(Donnees!$E$2:$E$5000,Donnees!$A$2:$A$5000,$B$4,Donnees!$B$2:$B$5000,"certificates",Donnees!$C$2:$C$5000,"santos")</f>
        <v/>
      </c>
      <c r="C20" s="19">
        <f>SUMIFS(Donnees!$E$2:$E$5000,Donnees!$A$2:$A$5000,$B$4,Donnees!$B$2:$B$5000,"customs",Donnees!$C$2:$C$5000,"santos")</f>
        <v/>
      </c>
      <c r="D20" s="19">
        <f>SUMIFS(Donnees!$E$2:$E$5000,Donnees!$A$2:$A$5000,$B$4,Donnees!$B$2:$B$5000,"shipment",Donnees!$C$2:$C$5000,"santos")</f>
        <v/>
      </c>
      <c r="E20" s="20">
        <f>IF(SUMIFS(Donnees!$M$2:$M$5000,Donnees!$A$2:$A$5000,$B$4,Donnees!$B$2:$B$5000,"certificates",Donnees!$C$2:$C$5000,"santos")=0,NA(),SUMIFS(Donnees!$I$2:$I$5000,Donnees!$A$2:$A$5000,$B$4,Donnees!$B$2:$B$5000,"certificates",Donnees!$C$2:$C$5000,"santos")/SUMIFS(Donnees!$M$2:$M$5000,Donnees!$A$2:$A$5000,$B$4,Donnees!$B$2:$B$5000,"certificates",Donnees!$C$2:$C$5000,"santos")-1)</f>
        <v/>
      </c>
      <c r="F20" s="20">
        <f>IF(SUMIFS(Donnees!$M$2:$M$5000,Donnees!$A$2:$A$5000,$B$4,Donnees!$B$2:$B$5000,"customs",Donnees!$C$2:$C$5000,"santos")=0,NA(),SUMIFS(Donnees!$I$2:$I$5000,Donnees!$A$2:$A$5000,$B$4,Donnees!$B$2:$B$5000,"customs",Donnees!$C$2:$C$5000,"santos")/SUMIFS(Donnees!$M$2:$M$5000,Donnees!$A$2:$A$5000,$B$4,Donnees!$B$2:$B$5000,"customs",Donnees!$C$2:$C$5000,"santos")-1)</f>
        <v/>
      </c>
      <c r="G20" s="20">
        <f>IF(SUMIFS(Donnees!$M$2:$M$5000,Donnees!$A$2:$A$5000,$B$4,Donnees!$B$2:$B$5000,"shipment",Donnees!$C$2:$C$5000,"santos")=0,NA(),SUMIFS(Donnees!$I$2:$I$5000,Donnees!$A$2:$A$5000,$B$4,Donnees!$B$2:$B$5000,"shipment",Donnees!$C$2:$C$5000,"santos")/SUMIFS(Donnees!$M$2:$M$5000,Donnees!$A$2:$A$5000,$B$4,Donnees!$B$2:$B$5000,"shipment",Donnees!$C$2:$C$5000,"santos")-1)</f>
        <v/>
      </c>
    </row>
    <row r="21">
      <c r="A21" s="7" t="inlineStr">
        <is>
          <t>Vitória (ES)</t>
        </is>
      </c>
      <c r="B21" s="19">
        <f>SUMIFS(Donnees!$E$2:$E$5000,Donnees!$A$2:$A$5000,$B$4,Donnees!$B$2:$B$5000,"certificates",Donnees!$C$2:$C$5000,"vitoria")</f>
        <v/>
      </c>
      <c r="C21" s="19">
        <f>SUMIFS(Donnees!$E$2:$E$5000,Donnees!$A$2:$A$5000,$B$4,Donnees!$B$2:$B$5000,"customs",Donnees!$C$2:$C$5000,"vitoria")</f>
        <v/>
      </c>
      <c r="D21" s="19">
        <f>SUMIFS(Donnees!$E$2:$E$5000,Donnees!$A$2:$A$5000,$B$4,Donnees!$B$2:$B$5000,"shipment",Donnees!$C$2:$C$5000,"vitoria")</f>
        <v/>
      </c>
      <c r="E21" s="20">
        <f>IF(SUMIFS(Donnees!$M$2:$M$5000,Donnees!$A$2:$A$5000,$B$4,Donnees!$B$2:$B$5000,"certificates",Donnees!$C$2:$C$5000,"vitoria")=0,NA(),SUMIFS(Donnees!$I$2:$I$5000,Donnees!$A$2:$A$5000,$B$4,Donnees!$B$2:$B$5000,"certificates",Donnees!$C$2:$C$5000,"vitoria")/SUMIFS(Donnees!$M$2:$M$5000,Donnees!$A$2:$A$5000,$B$4,Donnees!$B$2:$B$5000,"certificates",Donnees!$C$2:$C$5000,"vitoria")-1)</f>
        <v/>
      </c>
      <c r="F21" s="20">
        <f>IF(SUMIFS(Donnees!$M$2:$M$5000,Donnees!$A$2:$A$5000,$B$4,Donnees!$B$2:$B$5000,"customs",Donnees!$C$2:$C$5000,"vitoria")=0,NA(),SUMIFS(Donnees!$I$2:$I$5000,Donnees!$A$2:$A$5000,$B$4,Donnees!$B$2:$B$5000,"customs",Donnees!$C$2:$C$5000,"vitoria")/SUMIFS(Donnees!$M$2:$M$5000,Donnees!$A$2:$A$5000,$B$4,Donnees!$B$2:$B$5000,"customs",Donnees!$C$2:$C$5000,"vitoria")-1)</f>
        <v/>
      </c>
      <c r="G21" s="20">
        <f>IF(SUMIFS(Donnees!$M$2:$M$5000,Donnees!$A$2:$A$5000,$B$4,Donnees!$B$2:$B$5000,"shipment",Donnees!$C$2:$C$5000,"vitoria")=0,NA(),SUMIFS(Donnees!$I$2:$I$5000,Donnees!$A$2:$A$5000,$B$4,Donnees!$B$2:$B$5000,"shipment",Donnees!$C$2:$C$5000,"vitoria")/SUMIFS(Donnees!$M$2:$M$5000,Donnees!$A$2:$A$5000,$B$4,Donnees!$B$2:$B$5000,"shipment",Donnees!$C$2:$C$5000,"vitoria")-1)</f>
        <v/>
      </c>
    </row>
    <row r="22">
      <c r="A22" s="7" t="inlineStr">
        <is>
          <t>Rio de Janeiro</t>
        </is>
      </c>
      <c r="B22" s="19">
        <f>SUMIFS(Donnees!$E$2:$E$5000,Donnees!$A$2:$A$5000,$B$4,Donnees!$B$2:$B$5000,"certificates",Donnees!$C$2:$C$5000,"rio")</f>
        <v/>
      </c>
      <c r="C22" s="19">
        <f>SUMIFS(Donnees!$E$2:$E$5000,Donnees!$A$2:$A$5000,$B$4,Donnees!$B$2:$B$5000,"customs",Donnees!$C$2:$C$5000,"rio")</f>
        <v/>
      </c>
      <c r="D22" s="19">
        <f>SUMIFS(Donnees!$E$2:$E$5000,Donnees!$A$2:$A$5000,$B$4,Donnees!$B$2:$B$5000,"shipment",Donnees!$C$2:$C$5000,"rio")</f>
        <v/>
      </c>
      <c r="E22" s="20">
        <f>IF(SUMIFS(Donnees!$M$2:$M$5000,Donnees!$A$2:$A$5000,$B$4,Donnees!$B$2:$B$5000,"certificates",Donnees!$C$2:$C$5000,"rio")=0,NA(),SUMIFS(Donnees!$I$2:$I$5000,Donnees!$A$2:$A$5000,$B$4,Donnees!$B$2:$B$5000,"certificates",Donnees!$C$2:$C$5000,"rio")/SUMIFS(Donnees!$M$2:$M$5000,Donnees!$A$2:$A$5000,$B$4,Donnees!$B$2:$B$5000,"certificates",Donnees!$C$2:$C$5000,"rio")-1)</f>
        <v/>
      </c>
      <c r="F22" s="20">
        <f>IF(SUMIFS(Donnees!$M$2:$M$5000,Donnees!$A$2:$A$5000,$B$4,Donnees!$B$2:$B$5000,"customs",Donnees!$C$2:$C$5000,"rio")=0,NA(),SUMIFS(Donnees!$I$2:$I$5000,Donnees!$A$2:$A$5000,$B$4,Donnees!$B$2:$B$5000,"customs",Donnees!$C$2:$C$5000,"rio")/SUMIFS(Donnees!$M$2:$M$5000,Donnees!$A$2:$A$5000,$B$4,Donnees!$B$2:$B$5000,"customs",Donnees!$C$2:$C$5000,"rio")-1)</f>
        <v/>
      </c>
      <c r="G22" s="20">
        <f>IF(SUMIFS(Donnees!$M$2:$M$5000,Donnees!$A$2:$A$5000,$B$4,Donnees!$B$2:$B$5000,"shipment",Donnees!$C$2:$C$5000,"rio")=0,NA(),SUMIFS(Donnees!$I$2:$I$5000,Donnees!$A$2:$A$5000,$B$4,Donnees!$B$2:$B$5000,"shipment",Donnees!$C$2:$C$5000,"rio")/SUMIFS(Donnees!$M$2:$M$5000,Donnees!$A$2:$A$5000,$B$4,Donnees!$B$2:$B$5000,"shipment",Donnees!$C$2:$C$5000,"rio")-1)</f>
        <v/>
      </c>
    </row>
    <row r="23">
      <c r="A23" s="7" t="inlineStr">
        <is>
          <t>REDEX / EADI Minas Gerais</t>
        </is>
      </c>
      <c r="B23" s="19">
        <f>SUMIFS(Donnees!$E$2:$E$5000,Donnees!$A$2:$A$5000,$B$4,Donnees!$B$2:$B$5000,"certificates",Donnees!$C$2:$C$5000,"minas")</f>
        <v/>
      </c>
      <c r="C23" s="19">
        <f>SUMIFS(Donnees!$E$2:$E$5000,Donnees!$A$2:$A$5000,$B$4,Donnees!$B$2:$B$5000,"customs",Donnees!$C$2:$C$5000,"minas")</f>
        <v/>
      </c>
      <c r="D23" s="19">
        <f>SUMIFS(Donnees!$E$2:$E$5000,Donnees!$A$2:$A$5000,$B$4,Donnees!$B$2:$B$5000,"shipment",Donnees!$C$2:$C$5000,"minas")</f>
        <v/>
      </c>
      <c r="E23" s="20">
        <f>IF(SUMIFS(Donnees!$M$2:$M$5000,Donnees!$A$2:$A$5000,$B$4,Donnees!$B$2:$B$5000,"certificates",Donnees!$C$2:$C$5000,"minas")=0,NA(),SUMIFS(Donnees!$I$2:$I$5000,Donnees!$A$2:$A$5000,$B$4,Donnees!$B$2:$B$5000,"certificates",Donnees!$C$2:$C$5000,"minas")/SUMIFS(Donnees!$M$2:$M$5000,Donnees!$A$2:$A$5000,$B$4,Donnees!$B$2:$B$5000,"certificates",Donnees!$C$2:$C$5000,"minas")-1)</f>
        <v/>
      </c>
      <c r="F23" s="20">
        <f>IF(SUMIFS(Donnees!$M$2:$M$5000,Donnees!$A$2:$A$5000,$B$4,Donnees!$B$2:$B$5000,"customs",Donnees!$C$2:$C$5000,"minas")=0,NA(),SUMIFS(Donnees!$I$2:$I$5000,Donnees!$A$2:$A$5000,$B$4,Donnees!$B$2:$B$5000,"customs",Donnees!$C$2:$C$5000,"minas")/SUMIFS(Donnees!$M$2:$M$5000,Donnees!$A$2:$A$5000,$B$4,Donnees!$B$2:$B$5000,"customs",Donnees!$C$2:$C$5000,"minas")-1)</f>
        <v/>
      </c>
      <c r="G23" s="20">
        <f>IF(SUMIFS(Donnees!$M$2:$M$5000,Donnees!$A$2:$A$5000,$B$4,Donnees!$B$2:$B$5000,"shipment",Donnees!$C$2:$C$5000,"minas")=0,NA(),SUMIFS(Donnees!$I$2:$I$5000,Donnees!$A$2:$A$5000,$B$4,Donnees!$B$2:$B$5000,"shipment",Donnees!$C$2:$C$5000,"minas")/SUMIFS(Donnees!$M$2:$M$5000,Donnees!$A$2:$A$5000,$B$4,Donnees!$B$2:$B$5000,"shipment",Donnees!$C$2:$C$5000,"minas")-1)</f>
        <v/>
      </c>
    </row>
    <row r="24">
      <c r="A24" s="7" t="inlineStr">
        <is>
          <t>Salvador</t>
        </is>
      </c>
      <c r="B24" s="19">
        <f>SUMIFS(Donnees!$E$2:$E$5000,Donnees!$A$2:$A$5000,$B$4,Donnees!$B$2:$B$5000,"certificates",Donnees!$C$2:$C$5000,"salvador")</f>
        <v/>
      </c>
      <c r="C24" s="19">
        <f>SUMIFS(Donnees!$E$2:$E$5000,Donnees!$A$2:$A$5000,$B$4,Donnees!$B$2:$B$5000,"customs",Donnees!$C$2:$C$5000,"salvador")</f>
        <v/>
      </c>
      <c r="D24" s="19">
        <f>SUMIFS(Donnees!$E$2:$E$5000,Donnees!$A$2:$A$5000,$B$4,Donnees!$B$2:$B$5000,"shipment",Donnees!$C$2:$C$5000,"salvador")</f>
        <v/>
      </c>
      <c r="E24" s="20">
        <f>IF(SUMIFS(Donnees!$M$2:$M$5000,Donnees!$A$2:$A$5000,$B$4,Donnees!$B$2:$B$5000,"certificates",Donnees!$C$2:$C$5000,"salvador")=0,NA(),SUMIFS(Donnees!$I$2:$I$5000,Donnees!$A$2:$A$5000,$B$4,Donnees!$B$2:$B$5000,"certificates",Donnees!$C$2:$C$5000,"salvador")/SUMIFS(Donnees!$M$2:$M$5000,Donnees!$A$2:$A$5000,$B$4,Donnees!$B$2:$B$5000,"certificates",Donnees!$C$2:$C$5000,"salvador")-1)</f>
        <v/>
      </c>
      <c r="F24" s="20">
        <f>IF(SUMIFS(Donnees!$M$2:$M$5000,Donnees!$A$2:$A$5000,$B$4,Donnees!$B$2:$B$5000,"customs",Donnees!$C$2:$C$5000,"salvador")=0,NA(),SUMIFS(Donnees!$I$2:$I$5000,Donnees!$A$2:$A$5000,$B$4,Donnees!$B$2:$B$5000,"customs",Donnees!$C$2:$C$5000,"salvador")/SUMIFS(Donnees!$M$2:$M$5000,Donnees!$A$2:$A$5000,$B$4,Donnees!$B$2:$B$5000,"customs",Donnees!$C$2:$C$5000,"salvador")-1)</f>
        <v/>
      </c>
      <c r="G24" s="20">
        <f>IF(SUMIFS(Donnees!$M$2:$M$5000,Donnees!$A$2:$A$5000,$B$4,Donnees!$B$2:$B$5000,"shipment",Donnees!$C$2:$C$5000,"salvador")=0,NA(),SUMIFS(Donnees!$I$2:$I$5000,Donnees!$A$2:$A$5000,$B$4,Donnees!$B$2:$B$5000,"shipment",Donnees!$C$2:$C$5000,"salvador")/SUMIFS(Donnees!$M$2:$M$5000,Donnees!$A$2:$A$5000,$B$4,Donnees!$B$2:$B$5000,"shipment",Donnees!$C$2:$C$5000,"salvador")-1)</f>
        <v/>
      </c>
    </row>
    <row r="25">
      <c r="A25" s="7" t="inlineStr">
        <is>
          <t>Autres</t>
        </is>
      </c>
      <c r="B25" s="19">
        <f>SUMIFS(Donnees!$E$2:$E$5000,Donnees!$A$2:$A$5000,$B$4,Donnees!$B$2:$B$5000,"certificates",Donnees!$C$2:$C$5000,"others")</f>
        <v/>
      </c>
      <c r="C25" s="19">
        <f>SUMIFS(Donnees!$E$2:$E$5000,Donnees!$A$2:$A$5000,$B$4,Donnees!$B$2:$B$5000,"customs",Donnees!$C$2:$C$5000,"others")</f>
        <v/>
      </c>
      <c r="D25" s="19">
        <f>SUMIFS(Donnees!$E$2:$E$5000,Donnees!$A$2:$A$5000,$B$4,Donnees!$B$2:$B$5000,"shipment",Donnees!$C$2:$C$5000,"others")</f>
        <v/>
      </c>
      <c r="E25" s="20">
        <f>IF(SUMIFS(Donnees!$M$2:$M$5000,Donnees!$A$2:$A$5000,$B$4,Donnees!$B$2:$B$5000,"certificates",Donnees!$C$2:$C$5000,"others")=0,NA(),SUMIFS(Donnees!$I$2:$I$5000,Donnees!$A$2:$A$5000,$B$4,Donnees!$B$2:$B$5000,"certificates",Donnees!$C$2:$C$5000,"others")/SUMIFS(Donnees!$M$2:$M$5000,Donnees!$A$2:$A$5000,$B$4,Donnees!$B$2:$B$5000,"certificates",Donnees!$C$2:$C$5000,"others")-1)</f>
        <v/>
      </c>
      <c r="F25" s="20">
        <f>IF(SUMIFS(Donnees!$M$2:$M$5000,Donnees!$A$2:$A$5000,$B$4,Donnees!$B$2:$B$5000,"customs",Donnees!$C$2:$C$5000,"others")=0,NA(),SUMIFS(Donnees!$I$2:$I$5000,Donnees!$A$2:$A$5000,$B$4,Donnees!$B$2:$B$5000,"customs",Donnees!$C$2:$C$5000,"others")/SUMIFS(Donnees!$M$2:$M$5000,Donnees!$A$2:$A$5000,$B$4,Donnees!$B$2:$B$5000,"customs",Donnees!$C$2:$C$5000,"others")-1)</f>
        <v/>
      </c>
      <c r="G25" s="20">
        <f>IF(SUMIFS(Donnees!$M$2:$M$5000,Donnees!$A$2:$A$5000,$B$4,Donnees!$B$2:$B$5000,"shipment",Donnees!$C$2:$C$5000,"others")=0,NA(),SUMIFS(Donnees!$I$2:$I$5000,Donnees!$A$2:$A$5000,$B$4,Donnees!$B$2:$B$5000,"shipment",Donnees!$C$2:$C$5000,"others")/SUMIFS(Donnees!$M$2:$M$5000,Donnees!$A$2:$A$5000,$B$4,Donnees!$B$2:$B$5000,"shipment",Donnees!$C$2:$C$5000,"others")-1)</f>
        <v/>
      </c>
    </row>
    <row r="26">
      <c r="A26" s="2" t="inlineStr">
        <is>
          <t>Vitória et REDEX/EADI Minas n'ont pas de ligne « embarquement » sur la page : leur café part par Santos. #N/A = pas de valeur le mois précédent.</t>
        </is>
      </c>
    </row>
    <row r="28">
      <c r="A28" s="15" t="inlineStr">
        <is>
          <t>4. Par port, cumul du mois (rouge) contre même période du mois précédent (bleu)</t>
        </is>
      </c>
    </row>
    <row r="29">
      <c r="A29" s="3" t="inlineStr">
        <is>
          <t>Port / unité</t>
        </is>
      </c>
      <c r="B29" s="3" t="inlineStr">
        <is>
          <t>Certificats cumul</t>
        </is>
      </c>
      <c r="C29" s="3" t="inlineStr">
        <is>
          <t>Certificats mois préc.</t>
        </is>
      </c>
      <c r="D29" s="3" t="inlineStr">
        <is>
          <t>Dédouanés cumul</t>
        </is>
      </c>
      <c r="E29" s="3" t="inlineStr">
        <is>
          <t>Dédouanés mois préc.</t>
        </is>
      </c>
      <c r="F29" s="3" t="inlineStr">
        <is>
          <t>Embarqués cumul</t>
        </is>
      </c>
      <c r="G29" s="3" t="inlineStr">
        <is>
          <t>Embarqués mois préc.</t>
        </is>
      </c>
    </row>
    <row r="30">
      <c r="A30" s="7" t="inlineStr">
        <is>
          <t>Santos</t>
        </is>
      </c>
      <c r="B30" s="19">
        <f>SUMIFS(Donnees!$I$2:$I$5000,Donnees!$A$2:$A$5000,$B$4,Donnees!$B$2:$B$5000,"certificates",Donnees!$C$2:$C$5000,"santos")</f>
        <v/>
      </c>
      <c r="C30" s="19">
        <f>SUMIFS(Donnees!$M$2:$M$5000,Donnees!$A$2:$A$5000,$B$4,Donnees!$B$2:$B$5000,"certificates",Donnees!$C$2:$C$5000,"santos")</f>
        <v/>
      </c>
      <c r="D30" s="19">
        <f>SUMIFS(Donnees!$I$2:$I$5000,Donnees!$A$2:$A$5000,$B$4,Donnees!$B$2:$B$5000,"customs",Donnees!$C$2:$C$5000,"santos")</f>
        <v/>
      </c>
      <c r="E30" s="19">
        <f>SUMIFS(Donnees!$M$2:$M$5000,Donnees!$A$2:$A$5000,$B$4,Donnees!$B$2:$B$5000,"customs",Donnees!$C$2:$C$5000,"santos")</f>
        <v/>
      </c>
      <c r="F30" s="19">
        <f>SUMIFS(Donnees!$I$2:$I$5000,Donnees!$A$2:$A$5000,$B$4,Donnees!$B$2:$B$5000,"shipment",Donnees!$C$2:$C$5000,"santos")</f>
        <v/>
      </c>
      <c r="G30" s="19">
        <f>SUMIFS(Donnees!$M$2:$M$5000,Donnees!$A$2:$A$5000,$B$4,Donnees!$B$2:$B$5000,"shipment",Donnees!$C$2:$C$5000,"santos")</f>
        <v/>
      </c>
    </row>
    <row r="31">
      <c r="A31" s="7" t="inlineStr">
        <is>
          <t>Vitória (ES)</t>
        </is>
      </c>
      <c r="B31" s="19">
        <f>SUMIFS(Donnees!$I$2:$I$5000,Donnees!$A$2:$A$5000,$B$4,Donnees!$B$2:$B$5000,"certificates",Donnees!$C$2:$C$5000,"vitoria")</f>
        <v/>
      </c>
      <c r="C31" s="19">
        <f>SUMIFS(Donnees!$M$2:$M$5000,Donnees!$A$2:$A$5000,$B$4,Donnees!$B$2:$B$5000,"certificates",Donnees!$C$2:$C$5000,"vitoria")</f>
        <v/>
      </c>
      <c r="D31" s="19">
        <f>SUMIFS(Donnees!$I$2:$I$5000,Donnees!$A$2:$A$5000,$B$4,Donnees!$B$2:$B$5000,"customs",Donnees!$C$2:$C$5000,"vitoria")</f>
        <v/>
      </c>
      <c r="E31" s="19">
        <f>SUMIFS(Donnees!$M$2:$M$5000,Donnees!$A$2:$A$5000,$B$4,Donnees!$B$2:$B$5000,"customs",Donnees!$C$2:$C$5000,"vitoria")</f>
        <v/>
      </c>
      <c r="F31" s="19">
        <f>SUMIFS(Donnees!$I$2:$I$5000,Donnees!$A$2:$A$5000,$B$4,Donnees!$B$2:$B$5000,"shipment",Donnees!$C$2:$C$5000,"vitoria")</f>
        <v/>
      </c>
      <c r="G31" s="19">
        <f>SUMIFS(Donnees!$M$2:$M$5000,Donnees!$A$2:$A$5000,$B$4,Donnees!$B$2:$B$5000,"shipment",Donnees!$C$2:$C$5000,"vitoria")</f>
        <v/>
      </c>
    </row>
    <row r="32">
      <c r="A32" s="7" t="inlineStr">
        <is>
          <t>Rio de Janeiro</t>
        </is>
      </c>
      <c r="B32" s="19">
        <f>SUMIFS(Donnees!$I$2:$I$5000,Donnees!$A$2:$A$5000,$B$4,Donnees!$B$2:$B$5000,"certificates",Donnees!$C$2:$C$5000,"rio")</f>
        <v/>
      </c>
      <c r="C32" s="19">
        <f>SUMIFS(Donnees!$M$2:$M$5000,Donnees!$A$2:$A$5000,$B$4,Donnees!$B$2:$B$5000,"certificates",Donnees!$C$2:$C$5000,"rio")</f>
        <v/>
      </c>
      <c r="D32" s="19">
        <f>SUMIFS(Donnees!$I$2:$I$5000,Donnees!$A$2:$A$5000,$B$4,Donnees!$B$2:$B$5000,"customs",Donnees!$C$2:$C$5000,"rio")</f>
        <v/>
      </c>
      <c r="E32" s="19">
        <f>SUMIFS(Donnees!$M$2:$M$5000,Donnees!$A$2:$A$5000,$B$4,Donnees!$B$2:$B$5000,"customs",Donnees!$C$2:$C$5000,"rio")</f>
        <v/>
      </c>
      <c r="F32" s="19">
        <f>SUMIFS(Donnees!$I$2:$I$5000,Donnees!$A$2:$A$5000,$B$4,Donnees!$B$2:$B$5000,"shipment",Donnees!$C$2:$C$5000,"rio")</f>
        <v/>
      </c>
      <c r="G32" s="19">
        <f>SUMIFS(Donnees!$M$2:$M$5000,Donnees!$A$2:$A$5000,$B$4,Donnees!$B$2:$B$5000,"shipment",Donnees!$C$2:$C$5000,"rio")</f>
        <v/>
      </c>
    </row>
    <row r="33">
      <c r="A33" s="7" t="inlineStr">
        <is>
          <t>REDEX / EADI Minas Gerais</t>
        </is>
      </c>
      <c r="B33" s="19">
        <f>SUMIFS(Donnees!$I$2:$I$5000,Donnees!$A$2:$A$5000,$B$4,Donnees!$B$2:$B$5000,"certificates",Donnees!$C$2:$C$5000,"minas")</f>
        <v/>
      </c>
      <c r="C33" s="19">
        <f>SUMIFS(Donnees!$M$2:$M$5000,Donnees!$A$2:$A$5000,$B$4,Donnees!$B$2:$B$5000,"certificates",Donnees!$C$2:$C$5000,"minas")</f>
        <v/>
      </c>
      <c r="D33" s="19">
        <f>SUMIFS(Donnees!$I$2:$I$5000,Donnees!$A$2:$A$5000,$B$4,Donnees!$B$2:$B$5000,"customs",Donnees!$C$2:$C$5000,"minas")</f>
        <v/>
      </c>
      <c r="E33" s="19">
        <f>SUMIFS(Donnees!$M$2:$M$5000,Donnees!$A$2:$A$5000,$B$4,Donnees!$B$2:$B$5000,"customs",Donnees!$C$2:$C$5000,"minas")</f>
        <v/>
      </c>
      <c r="F33" s="19">
        <f>SUMIFS(Donnees!$I$2:$I$5000,Donnees!$A$2:$A$5000,$B$4,Donnees!$B$2:$B$5000,"shipment",Donnees!$C$2:$C$5000,"minas")</f>
        <v/>
      </c>
      <c r="G33" s="19">
        <f>SUMIFS(Donnees!$M$2:$M$5000,Donnees!$A$2:$A$5000,$B$4,Donnees!$B$2:$B$5000,"shipment",Donnees!$C$2:$C$5000,"minas")</f>
        <v/>
      </c>
    </row>
    <row r="34">
      <c r="A34" s="7" t="inlineStr">
        <is>
          <t>Salvador</t>
        </is>
      </c>
      <c r="B34" s="19">
        <f>SUMIFS(Donnees!$I$2:$I$5000,Donnees!$A$2:$A$5000,$B$4,Donnees!$B$2:$B$5000,"certificates",Donnees!$C$2:$C$5000,"salvador")</f>
        <v/>
      </c>
      <c r="C34" s="19">
        <f>SUMIFS(Donnees!$M$2:$M$5000,Donnees!$A$2:$A$5000,$B$4,Donnees!$B$2:$B$5000,"certificates",Donnees!$C$2:$C$5000,"salvador")</f>
        <v/>
      </c>
      <c r="D34" s="19">
        <f>SUMIFS(Donnees!$I$2:$I$5000,Donnees!$A$2:$A$5000,$B$4,Donnees!$B$2:$B$5000,"customs",Donnees!$C$2:$C$5000,"salvador")</f>
        <v/>
      </c>
      <c r="E34" s="19">
        <f>SUMIFS(Donnees!$M$2:$M$5000,Donnees!$A$2:$A$5000,$B$4,Donnees!$B$2:$B$5000,"customs",Donnees!$C$2:$C$5000,"salvador")</f>
        <v/>
      </c>
      <c r="F34" s="19">
        <f>SUMIFS(Donnees!$I$2:$I$5000,Donnees!$A$2:$A$5000,$B$4,Donnees!$B$2:$B$5000,"shipment",Donnees!$C$2:$C$5000,"salvador")</f>
        <v/>
      </c>
      <c r="G34" s="19">
        <f>SUMIFS(Donnees!$M$2:$M$5000,Donnees!$A$2:$A$5000,$B$4,Donnees!$B$2:$B$5000,"shipment",Donnees!$C$2:$C$5000,"salvador")</f>
        <v/>
      </c>
    </row>
    <row r="35">
      <c r="A35" s="7" t="inlineStr">
        <is>
          <t>Autres</t>
        </is>
      </c>
      <c r="B35" s="19">
        <f>SUMIFS(Donnees!$I$2:$I$5000,Donnees!$A$2:$A$5000,$B$4,Donnees!$B$2:$B$5000,"certificates",Donnees!$C$2:$C$5000,"others")</f>
        <v/>
      </c>
      <c r="C35" s="19">
        <f>SUMIFS(Donnees!$M$2:$M$5000,Donnees!$A$2:$A$5000,$B$4,Donnees!$B$2:$B$5000,"certificates",Donnees!$C$2:$C$5000,"others")</f>
        <v/>
      </c>
      <c r="D35" s="19">
        <f>SUMIFS(Donnees!$I$2:$I$5000,Donnees!$A$2:$A$5000,$B$4,Donnees!$B$2:$B$5000,"customs",Donnees!$C$2:$C$5000,"others")</f>
        <v/>
      </c>
      <c r="E35" s="19">
        <f>SUMIFS(Donnees!$M$2:$M$5000,Donnees!$A$2:$A$5000,$B$4,Donnees!$B$2:$B$5000,"customs",Donnees!$C$2:$C$5000,"others")</f>
        <v/>
      </c>
      <c r="F35" s="19">
        <f>SUMIFS(Donnees!$I$2:$I$5000,Donnees!$A$2:$A$5000,$B$4,Donnees!$B$2:$B$5000,"shipment",Donnees!$C$2:$C$5000,"others")</f>
        <v/>
      </c>
      <c r="G35" s="19">
        <f>SUMIFS(Donnees!$M$2:$M$5000,Donnees!$A$2:$A$5000,$B$4,Donnees!$B$2:$B$5000,"shipment",Donnees!$C$2:$C$5000,"others")</f>
        <v/>
      </c>
    </row>
    <row r="38">
      <c r="A38" s="15" t="inlineStr">
        <is>
          <t>5. Historique jour par jour (toutes unités)</t>
        </is>
      </c>
    </row>
    <row r="39">
      <c r="A39" s="3" t="inlineStr">
        <is>
          <t>Date</t>
        </is>
      </c>
      <c r="B39" s="3" t="inlineStr">
        <is>
          <t>Certificats J</t>
        </is>
      </c>
      <c r="C39" s="3" t="inlineStr">
        <is>
          <t>Dédouanés J</t>
        </is>
      </c>
      <c r="D39" s="3" t="inlineStr">
        <is>
          <t>Embarqués J</t>
        </is>
      </c>
      <c r="E39" s="3" t="inlineStr">
        <is>
          <t>Certificats cumul</t>
        </is>
      </c>
      <c r="F39" s="3" t="inlineStr">
        <is>
          <t>Embarqués cumul</t>
        </is>
      </c>
      <c r="G39" s="3" t="inlineStr">
        <is>
          <t>Certifiés − embarqués</t>
        </is>
      </c>
      <c r="H39" s="3" t="inlineStr">
        <is>
          <t>Var. % certificats vs mois préc.</t>
        </is>
      </c>
      <c r="I39" s="3" t="inlineStr">
        <is>
          <t>Var. % embarqués vs mois préc.</t>
        </is>
      </c>
    </row>
    <row r="40">
      <c r="A40" s="6" t="n">
        <v>46269</v>
      </c>
      <c r="B40" s="19">
        <f>SUMIFS(Donnees!$E$2:$E$5000,Donnees!$A$2:$A$5000,$A40,Donnees!$B$2:$B$5000,"certificates",Donnees!$C$2:$C$5000,"total")</f>
        <v/>
      </c>
      <c r="C40" s="19">
        <f>SUMIFS(Donnees!$E$2:$E$5000,Donnees!$A$2:$A$5000,$A40,Donnees!$B$2:$B$5000,"customs",Donnees!$C$2:$C$5000,"total")</f>
        <v/>
      </c>
      <c r="D40" s="19">
        <f>SUMIFS(Donnees!$E$2:$E$5000,Donnees!$A$2:$A$5000,$A40,Donnees!$B$2:$B$5000,"shipment",Donnees!$C$2:$C$5000,"total")</f>
        <v/>
      </c>
      <c r="E40" s="19">
        <f>SUMIFS(Donnees!$I$2:$I$5000,Donnees!$A$2:$A$5000,$A40,Donnees!$B$2:$B$5000,"certificates",Donnees!$C$2:$C$5000,"total")</f>
        <v/>
      </c>
      <c r="F40" s="19">
        <f>SUMIFS(Donnees!$I$2:$I$5000,Donnees!$A$2:$A$5000,$A40,Donnees!$B$2:$B$5000,"shipment",Donnees!$C$2:$C$5000,"total")</f>
        <v/>
      </c>
      <c r="G40" s="19">
        <f>E40-F40</f>
        <v/>
      </c>
      <c r="H40" s="20">
        <f>IF(SUMIFS(Donnees!$M$2:$M$5000,Donnees!$A$2:$A$5000,$A40,Donnees!$B$2:$B$5000,"certificates",Donnees!$C$2:$C$5000,"total")=0,NA(),E40/SUMIFS(Donnees!$M$2:$M$5000,Donnees!$A$2:$A$5000,$A40,Donnees!$B$2:$B$5000,"certificates",Donnees!$C$2:$C$5000,"total")-1)</f>
        <v/>
      </c>
      <c r="I40" s="20">
        <f>IF(SUMIFS(Donnees!$M$2:$M$5000,Donnees!$A$2:$A$5000,$A40,Donnees!$B$2:$B$5000,"shipment",Donnees!$C$2:$C$5000,"total")=0,NA(),F40/SUMIFS(Donnees!$M$2:$M$5000,Donnees!$A$2:$A$5000,$A40,Donnees!$B$2:$B$5000,"shipment",Donnees!$C$2:$C$5000,"total")-1)</f>
        <v/>
      </c>
    </row>
    <row r="41">
      <c r="A41" s="2" t="inlineStr">
        <is>
          <t>Le script build_xlsx.py ajoute une ligne par nouvelle journée. Si tu colles des jours à la main dans Donnees, ajoute aussi la date ici (colonne A), les formules de la ligne au-dessus se copient.</t>
        </is>
      </c>
    </row>
  </sheetData>
  <conditionalFormatting sqref="E9:E1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18" customWidth="1" min="8" max="8"/>
    <col width="18" customWidth="1" min="9" max="9"/>
  </cols>
  <sheetData>
    <row r="1">
      <c r="A1" s="1" t="inlineStr">
        <is>
          <t>Robusta — mouvement du jour, ports, cumul</t>
        </is>
      </c>
    </row>
    <row r="2">
      <c r="A2" s="2" t="inlineStr">
        <is>
          <t>Cecafé Resumo Diário · conilon (robusta) · sacs de 60 kg · tout est calculé à partir de l'onglet Donnees</t>
        </is>
      </c>
    </row>
    <row r="4">
      <c r="A4" s="12" t="inlineStr">
        <is>
          <t>Date affichée</t>
        </is>
      </c>
      <c r="B4" s="13">
        <f>MAX(Donnees!$A$2:$A$5000)</f>
        <v/>
      </c>
      <c r="C4" s="2" t="inlineStr">
        <is>
          <t>← par défaut le dernier jour saisi ; tape une autre date (présente dans Donnees) pour la revoir</t>
        </is>
      </c>
    </row>
    <row r="5">
      <c r="A5" s="12" t="inlineStr">
        <is>
          <t>Veille (jour précédent saisi)</t>
        </is>
      </c>
      <c r="B5" s="14">
        <f>IF(MAX(INDEX((Donnees!$A$2:$A$5000&lt;$B$4)*Donnees!$A$2:$A$5000,0))=0,"",MAX(INDEX((Donnees!$A$2:$A$5000&lt;$B$4)*Donnees!$A$2:$A$5000,0)))</f>
        <v/>
      </c>
    </row>
    <row r="6">
      <c r="A6" s="12" t="inlineStr">
        <is>
          <t>Dernier jour saisi</t>
        </is>
      </c>
      <c r="B6" s="14">
        <f>MAX(Donnees!$A$2:$A$5000)</f>
        <v/>
      </c>
    </row>
    <row r="7">
      <c r="A7" s="15" t="inlineStr">
        <is>
          <t>ROBUSTA — résumé (les noms de mois suivent la date affichée)</t>
        </is>
      </c>
    </row>
    <row r="8">
      <c r="A8" s="3" t="inlineStr">
        <is>
          <t>Type</t>
        </is>
      </c>
      <c r="B8" s="3" t="inlineStr">
        <is>
          <t>Mouvement du jour</t>
        </is>
      </c>
      <c r="C8" s="3">
        <f>CHOOSE(MONTH($B$4),"Janvier","Février","Mars","Avril","Mai","Juin","Juillet","Août","Septembre","Octobre","Novembre","Décembre")&amp;" "&amp;YEAR($B$4)</f>
        <v/>
      </c>
      <c r="D8" s="3">
        <f>CHOOSE(MONTH(DATE(YEAR($B$4),MONTH($B$4)+(-1),1)),"Janvier","Février","Mars","Avril","Mai","Juin","Juillet","Août","Septembre","Octobre","Novembre","Décembre")&amp;" "&amp;YEAR(DATE(YEAR($B$4),MONTH($B$4)+(-1),1))</f>
        <v/>
      </c>
      <c r="E8" s="3" t="inlineStr">
        <is>
          <t>Variation (%)</t>
        </is>
      </c>
    </row>
    <row r="9">
      <c r="A9" s="16" t="inlineStr">
        <is>
          <t>ÉMISSION (certificats)</t>
        </is>
      </c>
      <c r="B9" s="17">
        <f>SUMIFS(Donnees!$F$2:$F$5000,Donnees!$A$2:$A$5000,$B$4,Donnees!$B$2:$B$5000,"certificates",Donnees!$C$2:$C$5000,"total")</f>
        <v/>
      </c>
      <c r="C9" s="17">
        <f>SUMIFS(Donnees!$J$2:$J$5000,Donnees!$A$2:$A$5000,$B$4,Donnees!$B$2:$B$5000,"certificates",Donnees!$C$2:$C$5000,"total")</f>
        <v/>
      </c>
      <c r="D9" s="17">
        <f>SUMIFS(Donnees!$N$2:$N$5000,Donnees!$A$2:$A$5000,$B$4,Donnees!$B$2:$B$5000,"certificates",Donnees!$C$2:$C$5000,"total")</f>
        <v/>
      </c>
      <c r="E9" s="18">
        <f>IF(D9=0,NA(),C9/D9-1)</f>
        <v/>
      </c>
    </row>
    <row r="10">
      <c r="A10" s="16" t="inlineStr">
        <is>
          <t>EMBARQUE</t>
        </is>
      </c>
      <c r="B10" s="17">
        <f>SUMIFS(Donnees!$F$2:$F$5000,Donnees!$A$2:$A$5000,$B$4,Donnees!$B$2:$B$5000,"shipment",Donnees!$C$2:$C$5000,"total")</f>
        <v/>
      </c>
      <c r="C10" s="17">
        <f>SUMIFS(Donnees!$J$2:$J$5000,Donnees!$A$2:$A$5000,$B$4,Donnees!$B$2:$B$5000,"shipment",Donnees!$C$2:$C$5000,"total")</f>
        <v/>
      </c>
      <c r="D10" s="17">
        <f>SUMIFS(Donnees!$N$2:$N$5000,Donnees!$A$2:$A$5000,$B$4,Donnees!$B$2:$B$5000,"shipment",Donnees!$C$2:$C$5000,"total")</f>
        <v/>
      </c>
      <c r="E10" s="18">
        <f>IF(D10=0,NA(),C10/D10-1)</f>
        <v/>
      </c>
    </row>
    <row r="11">
      <c r="A11" s="2" t="inlineStr">
        <is>
          <t>Dédouanement = embarquement en total : même café vu par la douane. Colonne mois précédent = même période du mois précédent.</t>
        </is>
      </c>
    </row>
    <row r="12">
      <c r="A12" s="15" t="inlineStr">
        <is>
          <t>1. Par étape, toutes unités : jour J, veille, cumul du mois, variation % vs mois précédent</t>
        </is>
      </c>
    </row>
    <row r="13">
      <c r="A13" s="3" t="inlineStr">
        <is>
          <t>Étape</t>
        </is>
      </c>
      <c r="B13" s="3" t="inlineStr">
        <is>
          <t>Jour J</t>
        </is>
      </c>
      <c r="C13" s="3" t="inlineStr">
        <is>
          <t>Veille</t>
        </is>
      </c>
      <c r="D13" s="3">
        <f>"Cumul "&amp;CHOOSE(MONTH($B$4),"Janvier","Février","Mars","Avril","Mai","Juin","Juillet","Août","Septembre","Octobre","Novembre","Décembre")&amp;" "&amp;YEAR($B$4)</f>
        <v/>
      </c>
      <c r="E13" s="3">
        <f>CHOOSE(MONTH(DATE(YEAR($B$4),MONTH($B$4)+(-1),1)),"Janvier","Février","Mars","Avril","Mai","Juin","Juillet","Août","Septembre","Octobre","Novembre","Décembre")&amp;" "&amp;YEAR(DATE(YEAR($B$4),MONTH($B$4)+(-1),1))&amp;" (même période)"</f>
        <v/>
      </c>
      <c r="F13" s="3" t="inlineStr">
        <is>
          <t>Variation % vs mois précédent</t>
        </is>
      </c>
      <c r="G13" s="3" t="inlineStr">
        <is>
          <t>Certifiés − embarqués (cumul)</t>
        </is>
      </c>
    </row>
    <row r="14">
      <c r="A14" s="7" t="inlineStr">
        <is>
          <t>Certificats d'origine</t>
        </is>
      </c>
      <c r="B14" s="19">
        <f>SUMIFS(Donnees!$F$2:$F$5000,Donnees!$A$2:$A$5000,$B$4,Donnees!$B$2:$B$5000,"certificates",Donnees!$C$2:$C$5000,"total")</f>
        <v/>
      </c>
      <c r="C14" s="19">
        <f>IF($B$5="",NA(),SUMIFS(Donnees!$F$2:$F$5000,Donnees!$A$2:$A$5000,$B$5,Donnees!$B$2:$B$5000,"certificates",Donnees!$C$2:$C$5000,"total"))</f>
        <v/>
      </c>
      <c r="D14" s="19">
        <f>SUMIFS(Donnees!$J$2:$J$5000,Donnees!$A$2:$A$5000,$B$4,Donnees!$B$2:$B$5000,"certificates",Donnees!$C$2:$C$5000,"total")</f>
        <v/>
      </c>
      <c r="E14" s="19">
        <f>SUMIFS(Donnees!$N$2:$N$5000,Donnees!$A$2:$A$5000,$B$4,Donnees!$B$2:$B$5000,"certificates",Donnees!$C$2:$C$5000,"total")</f>
        <v/>
      </c>
      <c r="F14" s="20">
        <f>IF(E14=0,NA(),D14/E14-1)</f>
        <v/>
      </c>
      <c r="G14" s="19">
        <f>D14-D16</f>
        <v/>
      </c>
    </row>
    <row r="15">
      <c r="A15" s="7" t="inlineStr">
        <is>
          <t>Dédouanement</t>
        </is>
      </c>
      <c r="B15" s="19">
        <f>SUMIFS(Donnees!$F$2:$F$5000,Donnees!$A$2:$A$5000,$B$4,Donnees!$B$2:$B$5000,"customs",Donnees!$C$2:$C$5000,"total")</f>
        <v/>
      </c>
      <c r="C15" s="19">
        <f>IF($B$5="",NA(),SUMIFS(Donnees!$F$2:$F$5000,Donnees!$A$2:$A$5000,$B$5,Donnees!$B$2:$B$5000,"customs",Donnees!$C$2:$C$5000,"total"))</f>
        <v/>
      </c>
      <c r="D15" s="19">
        <f>SUMIFS(Donnees!$J$2:$J$5000,Donnees!$A$2:$A$5000,$B$4,Donnees!$B$2:$B$5000,"customs",Donnees!$C$2:$C$5000,"total")</f>
        <v/>
      </c>
      <c r="E15" s="19">
        <f>SUMIFS(Donnees!$N$2:$N$5000,Donnees!$A$2:$A$5000,$B$4,Donnees!$B$2:$B$5000,"customs",Donnees!$C$2:$C$5000,"total")</f>
        <v/>
      </c>
      <c r="F15" s="20">
        <f>IF(E15=0,NA(),D15/E15-1)</f>
        <v/>
      </c>
      <c r="G15" s="21" t="inlineStr">
        <is>
          <t>café vendu, pas encore parti</t>
        </is>
      </c>
    </row>
    <row r="16">
      <c r="A16" s="7" t="inlineStr">
        <is>
          <t>Embarquement</t>
        </is>
      </c>
      <c r="B16" s="19">
        <f>SUMIFS(Donnees!$F$2:$F$5000,Donnees!$A$2:$A$5000,$B$4,Donnees!$B$2:$B$5000,"shipment",Donnees!$C$2:$C$5000,"total")</f>
        <v/>
      </c>
      <c r="C16" s="19">
        <f>IF($B$5="",NA(),SUMIFS(Donnees!$F$2:$F$5000,Donnees!$A$2:$A$5000,$B$5,Donnees!$B$2:$B$5000,"shipment",Donnees!$C$2:$C$5000,"total"))</f>
        <v/>
      </c>
      <c r="D16" s="19">
        <f>SUMIFS(Donnees!$J$2:$J$5000,Donnees!$A$2:$A$5000,$B$4,Donnees!$B$2:$B$5000,"shipment",Donnees!$C$2:$C$5000,"total")</f>
        <v/>
      </c>
      <c r="E16" s="19">
        <f>SUMIFS(Donnees!$N$2:$N$5000,Donnees!$A$2:$A$5000,$B$4,Donnees!$B$2:$B$5000,"shipment",Donnees!$C$2:$C$5000,"total")</f>
        <v/>
      </c>
      <c r="F16" s="20">
        <f>IF(E16=0,NA(),D16/E16-1)</f>
        <v/>
      </c>
      <c r="G16" s="7" t="n"/>
    </row>
    <row r="18">
      <c r="A18" s="15" t="inlineStr">
        <is>
          <t>2 et 3. Par port : mouvement du jour (graphique 2) et variation % du cumul vs mois précédent (graphique 3)</t>
        </is>
      </c>
    </row>
    <row r="19">
      <c r="A19" s="3" t="inlineStr">
        <is>
          <t>Port / unité</t>
        </is>
      </c>
      <c r="B19" s="3" t="inlineStr">
        <is>
          <t>Certificats J</t>
        </is>
      </c>
      <c r="C19" s="3" t="inlineStr">
        <is>
          <t>Dédouanés J</t>
        </is>
      </c>
      <c r="D19" s="3" t="inlineStr">
        <is>
          <t>Embarqués J</t>
        </is>
      </c>
      <c r="E19" s="3" t="inlineStr">
        <is>
          <t>Var. % certificats</t>
        </is>
      </c>
      <c r="F19" s="3" t="inlineStr">
        <is>
          <t>Var. % dédouanés</t>
        </is>
      </c>
      <c r="G19" s="3" t="inlineStr">
        <is>
          <t>Var. % embarqués</t>
        </is>
      </c>
    </row>
    <row r="20">
      <c r="A20" s="7" t="inlineStr">
        <is>
          <t>Santos</t>
        </is>
      </c>
      <c r="B20" s="19">
        <f>SUMIFS(Donnees!$F$2:$F$5000,Donnees!$A$2:$A$5000,$B$4,Donnees!$B$2:$B$5000,"certificates",Donnees!$C$2:$C$5000,"santos")</f>
        <v/>
      </c>
      <c r="C20" s="19">
        <f>SUMIFS(Donnees!$F$2:$F$5000,Donnees!$A$2:$A$5000,$B$4,Donnees!$B$2:$B$5000,"customs",Donnees!$C$2:$C$5000,"santos")</f>
        <v/>
      </c>
      <c r="D20" s="19">
        <f>SUMIFS(Donnees!$F$2:$F$5000,Donnees!$A$2:$A$5000,$B$4,Donnees!$B$2:$B$5000,"shipment",Donnees!$C$2:$C$5000,"santos")</f>
        <v/>
      </c>
      <c r="E20" s="20">
        <f>IF(SUMIFS(Donnees!$N$2:$N$5000,Donnees!$A$2:$A$5000,$B$4,Donnees!$B$2:$B$5000,"certificates",Donnees!$C$2:$C$5000,"santos")=0,NA(),SUMIFS(Donnees!$J$2:$J$5000,Donnees!$A$2:$A$5000,$B$4,Donnees!$B$2:$B$5000,"certificates",Donnees!$C$2:$C$5000,"santos")/SUMIFS(Donnees!$N$2:$N$5000,Donnees!$A$2:$A$5000,$B$4,Donnees!$B$2:$B$5000,"certificates",Donnees!$C$2:$C$5000,"santos")-1)</f>
        <v/>
      </c>
      <c r="F20" s="20">
        <f>IF(SUMIFS(Donnees!$N$2:$N$5000,Donnees!$A$2:$A$5000,$B$4,Donnees!$B$2:$B$5000,"customs",Donnees!$C$2:$C$5000,"santos")=0,NA(),SUMIFS(Donnees!$J$2:$J$5000,Donnees!$A$2:$A$5000,$B$4,Donnees!$B$2:$B$5000,"customs",Donnees!$C$2:$C$5000,"santos")/SUMIFS(Donnees!$N$2:$N$5000,Donnees!$A$2:$A$5000,$B$4,Donnees!$B$2:$B$5000,"customs",Donnees!$C$2:$C$5000,"santos")-1)</f>
        <v/>
      </c>
      <c r="G20" s="20">
        <f>IF(SUMIFS(Donnees!$N$2:$N$5000,Donnees!$A$2:$A$5000,$B$4,Donnees!$B$2:$B$5000,"shipment",Donnees!$C$2:$C$5000,"santos")=0,NA(),SUMIFS(Donnees!$J$2:$J$5000,Donnees!$A$2:$A$5000,$B$4,Donnees!$B$2:$B$5000,"shipment",Donnees!$C$2:$C$5000,"santos")/SUMIFS(Donnees!$N$2:$N$5000,Donnees!$A$2:$A$5000,$B$4,Donnees!$B$2:$B$5000,"shipment",Donnees!$C$2:$C$5000,"santos")-1)</f>
        <v/>
      </c>
    </row>
    <row r="21">
      <c r="A21" s="7" t="inlineStr">
        <is>
          <t>Vitória (ES)</t>
        </is>
      </c>
      <c r="B21" s="19">
        <f>SUMIFS(Donnees!$F$2:$F$5000,Donnees!$A$2:$A$5000,$B$4,Donnees!$B$2:$B$5000,"certificates",Donnees!$C$2:$C$5000,"vitoria")</f>
        <v/>
      </c>
      <c r="C21" s="19">
        <f>SUMIFS(Donnees!$F$2:$F$5000,Donnees!$A$2:$A$5000,$B$4,Donnees!$B$2:$B$5000,"customs",Donnees!$C$2:$C$5000,"vitoria")</f>
        <v/>
      </c>
      <c r="D21" s="19">
        <f>SUMIFS(Donnees!$F$2:$F$5000,Donnees!$A$2:$A$5000,$B$4,Donnees!$B$2:$B$5000,"shipment",Donnees!$C$2:$C$5000,"vitoria")</f>
        <v/>
      </c>
      <c r="E21" s="20">
        <f>IF(SUMIFS(Donnees!$N$2:$N$5000,Donnees!$A$2:$A$5000,$B$4,Donnees!$B$2:$B$5000,"certificates",Donnees!$C$2:$C$5000,"vitoria")=0,NA(),SUMIFS(Donnees!$J$2:$J$5000,Donnees!$A$2:$A$5000,$B$4,Donnees!$B$2:$B$5000,"certificates",Donnees!$C$2:$C$5000,"vitoria")/SUMIFS(Donnees!$N$2:$N$5000,Donnees!$A$2:$A$5000,$B$4,Donnees!$B$2:$B$5000,"certificates",Donnees!$C$2:$C$5000,"vitoria")-1)</f>
        <v/>
      </c>
      <c r="F21" s="20">
        <f>IF(SUMIFS(Donnees!$N$2:$N$5000,Donnees!$A$2:$A$5000,$B$4,Donnees!$B$2:$B$5000,"customs",Donnees!$C$2:$C$5000,"vitoria")=0,NA(),SUMIFS(Donnees!$J$2:$J$5000,Donnees!$A$2:$A$5000,$B$4,Donnees!$B$2:$B$5000,"customs",Donnees!$C$2:$C$5000,"vitoria")/SUMIFS(Donnees!$N$2:$N$5000,Donnees!$A$2:$A$5000,$B$4,Donnees!$B$2:$B$5000,"customs",Donnees!$C$2:$C$5000,"vitoria")-1)</f>
        <v/>
      </c>
      <c r="G21" s="20">
        <f>IF(SUMIFS(Donnees!$N$2:$N$5000,Donnees!$A$2:$A$5000,$B$4,Donnees!$B$2:$B$5000,"shipment",Donnees!$C$2:$C$5000,"vitoria")=0,NA(),SUMIFS(Donnees!$J$2:$J$5000,Donnees!$A$2:$A$5000,$B$4,Donnees!$B$2:$B$5000,"shipment",Donnees!$C$2:$C$5000,"vitoria")/SUMIFS(Donnees!$N$2:$N$5000,Donnees!$A$2:$A$5000,$B$4,Donnees!$B$2:$B$5000,"shipment",Donnees!$C$2:$C$5000,"vitoria")-1)</f>
        <v/>
      </c>
    </row>
    <row r="22">
      <c r="A22" s="7" t="inlineStr">
        <is>
          <t>Rio de Janeiro</t>
        </is>
      </c>
      <c r="B22" s="19">
        <f>SUMIFS(Donnees!$F$2:$F$5000,Donnees!$A$2:$A$5000,$B$4,Donnees!$B$2:$B$5000,"certificates",Donnees!$C$2:$C$5000,"rio")</f>
        <v/>
      </c>
      <c r="C22" s="19">
        <f>SUMIFS(Donnees!$F$2:$F$5000,Donnees!$A$2:$A$5000,$B$4,Donnees!$B$2:$B$5000,"customs",Donnees!$C$2:$C$5000,"rio")</f>
        <v/>
      </c>
      <c r="D22" s="19">
        <f>SUMIFS(Donnees!$F$2:$F$5000,Donnees!$A$2:$A$5000,$B$4,Donnees!$B$2:$B$5000,"shipment",Donnees!$C$2:$C$5000,"rio")</f>
        <v/>
      </c>
      <c r="E22" s="20">
        <f>IF(SUMIFS(Donnees!$N$2:$N$5000,Donnees!$A$2:$A$5000,$B$4,Donnees!$B$2:$B$5000,"certificates",Donnees!$C$2:$C$5000,"rio")=0,NA(),SUMIFS(Donnees!$J$2:$J$5000,Donnees!$A$2:$A$5000,$B$4,Donnees!$B$2:$B$5000,"certificates",Donnees!$C$2:$C$5000,"rio")/SUMIFS(Donnees!$N$2:$N$5000,Donnees!$A$2:$A$5000,$B$4,Donnees!$B$2:$B$5000,"certificates",Donnees!$C$2:$C$5000,"rio")-1)</f>
        <v/>
      </c>
      <c r="F22" s="20">
        <f>IF(SUMIFS(Donnees!$N$2:$N$5000,Donnees!$A$2:$A$5000,$B$4,Donnees!$B$2:$B$5000,"customs",Donnees!$C$2:$C$5000,"rio")=0,NA(),SUMIFS(Donnees!$J$2:$J$5000,Donnees!$A$2:$A$5000,$B$4,Donnees!$B$2:$B$5000,"customs",Donnees!$C$2:$C$5000,"rio")/SUMIFS(Donnees!$N$2:$N$5000,Donnees!$A$2:$A$5000,$B$4,Donnees!$B$2:$B$5000,"customs",Donnees!$C$2:$C$5000,"rio")-1)</f>
        <v/>
      </c>
      <c r="G22" s="20">
        <f>IF(SUMIFS(Donnees!$N$2:$N$5000,Donnees!$A$2:$A$5000,$B$4,Donnees!$B$2:$B$5000,"shipment",Donnees!$C$2:$C$5000,"rio")=0,NA(),SUMIFS(Donnees!$J$2:$J$5000,Donnees!$A$2:$A$5000,$B$4,Donnees!$B$2:$B$5000,"shipment",Donnees!$C$2:$C$5000,"rio")/SUMIFS(Donnees!$N$2:$N$5000,Donnees!$A$2:$A$5000,$B$4,Donnees!$B$2:$B$5000,"shipment",Donnees!$C$2:$C$5000,"rio")-1)</f>
        <v/>
      </c>
    </row>
    <row r="23">
      <c r="A23" s="7" t="inlineStr">
        <is>
          <t>REDEX / EADI Minas Gerais</t>
        </is>
      </c>
      <c r="B23" s="19">
        <f>SUMIFS(Donnees!$F$2:$F$5000,Donnees!$A$2:$A$5000,$B$4,Donnees!$B$2:$B$5000,"certificates",Donnees!$C$2:$C$5000,"minas")</f>
        <v/>
      </c>
      <c r="C23" s="19">
        <f>SUMIFS(Donnees!$F$2:$F$5000,Donnees!$A$2:$A$5000,$B$4,Donnees!$B$2:$B$5000,"customs",Donnees!$C$2:$C$5000,"minas")</f>
        <v/>
      </c>
      <c r="D23" s="19">
        <f>SUMIFS(Donnees!$F$2:$F$5000,Donnees!$A$2:$A$5000,$B$4,Donnees!$B$2:$B$5000,"shipment",Donnees!$C$2:$C$5000,"minas")</f>
        <v/>
      </c>
      <c r="E23" s="20">
        <f>IF(SUMIFS(Donnees!$N$2:$N$5000,Donnees!$A$2:$A$5000,$B$4,Donnees!$B$2:$B$5000,"certificates",Donnees!$C$2:$C$5000,"minas")=0,NA(),SUMIFS(Donnees!$J$2:$J$5000,Donnees!$A$2:$A$5000,$B$4,Donnees!$B$2:$B$5000,"certificates",Donnees!$C$2:$C$5000,"minas")/SUMIFS(Donnees!$N$2:$N$5000,Donnees!$A$2:$A$5000,$B$4,Donnees!$B$2:$B$5000,"certificates",Donnees!$C$2:$C$5000,"minas")-1)</f>
        <v/>
      </c>
      <c r="F23" s="20">
        <f>IF(SUMIFS(Donnees!$N$2:$N$5000,Donnees!$A$2:$A$5000,$B$4,Donnees!$B$2:$B$5000,"customs",Donnees!$C$2:$C$5000,"minas")=0,NA(),SUMIFS(Donnees!$J$2:$J$5000,Donnees!$A$2:$A$5000,$B$4,Donnees!$B$2:$B$5000,"customs",Donnees!$C$2:$C$5000,"minas")/SUMIFS(Donnees!$N$2:$N$5000,Donnees!$A$2:$A$5000,$B$4,Donnees!$B$2:$B$5000,"customs",Donnees!$C$2:$C$5000,"minas")-1)</f>
        <v/>
      </c>
      <c r="G23" s="20">
        <f>IF(SUMIFS(Donnees!$N$2:$N$5000,Donnees!$A$2:$A$5000,$B$4,Donnees!$B$2:$B$5000,"shipment",Donnees!$C$2:$C$5000,"minas")=0,NA(),SUMIFS(Donnees!$J$2:$J$5000,Donnees!$A$2:$A$5000,$B$4,Donnees!$B$2:$B$5000,"shipment",Donnees!$C$2:$C$5000,"minas")/SUMIFS(Donnees!$N$2:$N$5000,Donnees!$A$2:$A$5000,$B$4,Donnees!$B$2:$B$5000,"shipment",Donnees!$C$2:$C$5000,"minas")-1)</f>
        <v/>
      </c>
    </row>
    <row r="24">
      <c r="A24" s="7" t="inlineStr">
        <is>
          <t>Salvador</t>
        </is>
      </c>
      <c r="B24" s="19">
        <f>SUMIFS(Donnees!$F$2:$F$5000,Donnees!$A$2:$A$5000,$B$4,Donnees!$B$2:$B$5000,"certificates",Donnees!$C$2:$C$5000,"salvador")</f>
        <v/>
      </c>
      <c r="C24" s="19">
        <f>SUMIFS(Donnees!$F$2:$F$5000,Donnees!$A$2:$A$5000,$B$4,Donnees!$B$2:$B$5000,"customs",Donnees!$C$2:$C$5000,"salvador")</f>
        <v/>
      </c>
      <c r="D24" s="19">
        <f>SUMIFS(Donnees!$F$2:$F$5000,Donnees!$A$2:$A$5000,$B$4,Donnees!$B$2:$B$5000,"shipment",Donnees!$C$2:$C$5000,"salvador")</f>
        <v/>
      </c>
      <c r="E24" s="20">
        <f>IF(SUMIFS(Donnees!$N$2:$N$5000,Donnees!$A$2:$A$5000,$B$4,Donnees!$B$2:$B$5000,"certificates",Donnees!$C$2:$C$5000,"salvador")=0,NA(),SUMIFS(Donnees!$J$2:$J$5000,Donnees!$A$2:$A$5000,$B$4,Donnees!$B$2:$B$5000,"certificates",Donnees!$C$2:$C$5000,"salvador")/SUMIFS(Donnees!$N$2:$N$5000,Donnees!$A$2:$A$5000,$B$4,Donnees!$B$2:$B$5000,"certificates",Donnees!$C$2:$C$5000,"salvador")-1)</f>
        <v/>
      </c>
      <c r="F24" s="20">
        <f>IF(SUMIFS(Donnees!$N$2:$N$5000,Donnees!$A$2:$A$5000,$B$4,Donnees!$B$2:$B$5000,"customs",Donnees!$C$2:$C$5000,"salvador")=0,NA(),SUMIFS(Donnees!$J$2:$J$5000,Donnees!$A$2:$A$5000,$B$4,Donnees!$B$2:$B$5000,"customs",Donnees!$C$2:$C$5000,"salvador")/SUMIFS(Donnees!$N$2:$N$5000,Donnees!$A$2:$A$5000,$B$4,Donnees!$B$2:$B$5000,"customs",Donnees!$C$2:$C$5000,"salvador")-1)</f>
        <v/>
      </c>
      <c r="G24" s="20">
        <f>IF(SUMIFS(Donnees!$N$2:$N$5000,Donnees!$A$2:$A$5000,$B$4,Donnees!$B$2:$B$5000,"shipment",Donnees!$C$2:$C$5000,"salvador")=0,NA(),SUMIFS(Donnees!$J$2:$J$5000,Donnees!$A$2:$A$5000,$B$4,Donnees!$B$2:$B$5000,"shipment",Donnees!$C$2:$C$5000,"salvador")/SUMIFS(Donnees!$N$2:$N$5000,Donnees!$A$2:$A$5000,$B$4,Donnees!$B$2:$B$5000,"shipment",Donnees!$C$2:$C$5000,"salvador")-1)</f>
        <v/>
      </c>
    </row>
    <row r="25">
      <c r="A25" s="7" t="inlineStr">
        <is>
          <t>Autres</t>
        </is>
      </c>
      <c r="B25" s="19">
        <f>SUMIFS(Donnees!$F$2:$F$5000,Donnees!$A$2:$A$5000,$B$4,Donnees!$B$2:$B$5000,"certificates",Donnees!$C$2:$C$5000,"others")</f>
        <v/>
      </c>
      <c r="C25" s="19">
        <f>SUMIFS(Donnees!$F$2:$F$5000,Donnees!$A$2:$A$5000,$B$4,Donnees!$B$2:$B$5000,"customs",Donnees!$C$2:$C$5000,"others")</f>
        <v/>
      </c>
      <c r="D25" s="19">
        <f>SUMIFS(Donnees!$F$2:$F$5000,Donnees!$A$2:$A$5000,$B$4,Donnees!$B$2:$B$5000,"shipment",Donnees!$C$2:$C$5000,"others")</f>
        <v/>
      </c>
      <c r="E25" s="20">
        <f>IF(SUMIFS(Donnees!$N$2:$N$5000,Donnees!$A$2:$A$5000,$B$4,Donnees!$B$2:$B$5000,"certificates",Donnees!$C$2:$C$5000,"others")=0,NA(),SUMIFS(Donnees!$J$2:$J$5000,Donnees!$A$2:$A$5000,$B$4,Donnees!$B$2:$B$5000,"certificates",Donnees!$C$2:$C$5000,"others")/SUMIFS(Donnees!$N$2:$N$5000,Donnees!$A$2:$A$5000,$B$4,Donnees!$B$2:$B$5000,"certificates",Donnees!$C$2:$C$5000,"others")-1)</f>
        <v/>
      </c>
      <c r="F25" s="20">
        <f>IF(SUMIFS(Donnees!$N$2:$N$5000,Donnees!$A$2:$A$5000,$B$4,Donnees!$B$2:$B$5000,"customs",Donnees!$C$2:$C$5000,"others")=0,NA(),SUMIFS(Donnees!$J$2:$J$5000,Donnees!$A$2:$A$5000,$B$4,Donnees!$B$2:$B$5000,"customs",Donnees!$C$2:$C$5000,"others")/SUMIFS(Donnees!$N$2:$N$5000,Donnees!$A$2:$A$5000,$B$4,Donnees!$B$2:$B$5000,"customs",Donnees!$C$2:$C$5000,"others")-1)</f>
        <v/>
      </c>
      <c r="G25" s="20">
        <f>IF(SUMIFS(Donnees!$N$2:$N$5000,Donnees!$A$2:$A$5000,$B$4,Donnees!$B$2:$B$5000,"shipment",Donnees!$C$2:$C$5000,"others")=0,NA(),SUMIFS(Donnees!$J$2:$J$5000,Donnees!$A$2:$A$5000,$B$4,Donnees!$B$2:$B$5000,"shipment",Donnees!$C$2:$C$5000,"others")/SUMIFS(Donnees!$N$2:$N$5000,Donnees!$A$2:$A$5000,$B$4,Donnees!$B$2:$B$5000,"shipment",Donnees!$C$2:$C$5000,"others")-1)</f>
        <v/>
      </c>
    </row>
    <row r="26">
      <c r="A26" s="2" t="inlineStr">
        <is>
          <t>Vitória et REDEX/EADI Minas n'ont pas de ligne « embarquement » sur la page : leur café part par Santos. #N/A = pas de valeur le mois précédent.</t>
        </is>
      </c>
    </row>
    <row r="28">
      <c r="A28" s="15" t="inlineStr">
        <is>
          <t>4. Par port, cumul du mois (rouge) contre même période du mois précédent (bleu)</t>
        </is>
      </c>
    </row>
    <row r="29">
      <c r="A29" s="3" t="inlineStr">
        <is>
          <t>Port / unité</t>
        </is>
      </c>
      <c r="B29" s="3" t="inlineStr">
        <is>
          <t>Certificats cumul</t>
        </is>
      </c>
      <c r="C29" s="3" t="inlineStr">
        <is>
          <t>Certificats mois préc.</t>
        </is>
      </c>
      <c r="D29" s="3" t="inlineStr">
        <is>
          <t>Dédouanés cumul</t>
        </is>
      </c>
      <c r="E29" s="3" t="inlineStr">
        <is>
          <t>Dédouanés mois préc.</t>
        </is>
      </c>
      <c r="F29" s="3" t="inlineStr">
        <is>
          <t>Embarqués cumul</t>
        </is>
      </c>
      <c r="G29" s="3" t="inlineStr">
        <is>
          <t>Embarqués mois préc.</t>
        </is>
      </c>
    </row>
    <row r="30">
      <c r="A30" s="7" t="inlineStr">
        <is>
          <t>Santos</t>
        </is>
      </c>
      <c r="B30" s="19">
        <f>SUMIFS(Donnees!$J$2:$J$5000,Donnees!$A$2:$A$5000,$B$4,Donnees!$B$2:$B$5000,"certificates",Donnees!$C$2:$C$5000,"santos")</f>
        <v/>
      </c>
      <c r="C30" s="19">
        <f>SUMIFS(Donnees!$N$2:$N$5000,Donnees!$A$2:$A$5000,$B$4,Donnees!$B$2:$B$5000,"certificates",Donnees!$C$2:$C$5000,"santos")</f>
        <v/>
      </c>
      <c r="D30" s="19">
        <f>SUMIFS(Donnees!$J$2:$J$5000,Donnees!$A$2:$A$5000,$B$4,Donnees!$B$2:$B$5000,"customs",Donnees!$C$2:$C$5000,"santos")</f>
        <v/>
      </c>
      <c r="E30" s="19">
        <f>SUMIFS(Donnees!$N$2:$N$5000,Donnees!$A$2:$A$5000,$B$4,Donnees!$B$2:$B$5000,"customs",Donnees!$C$2:$C$5000,"santos")</f>
        <v/>
      </c>
      <c r="F30" s="19">
        <f>SUMIFS(Donnees!$J$2:$J$5000,Donnees!$A$2:$A$5000,$B$4,Donnees!$B$2:$B$5000,"shipment",Donnees!$C$2:$C$5000,"santos")</f>
        <v/>
      </c>
      <c r="G30" s="19">
        <f>SUMIFS(Donnees!$N$2:$N$5000,Donnees!$A$2:$A$5000,$B$4,Donnees!$B$2:$B$5000,"shipment",Donnees!$C$2:$C$5000,"santos")</f>
        <v/>
      </c>
    </row>
    <row r="31">
      <c r="A31" s="7" t="inlineStr">
        <is>
          <t>Vitória (ES)</t>
        </is>
      </c>
      <c r="B31" s="19">
        <f>SUMIFS(Donnees!$J$2:$J$5000,Donnees!$A$2:$A$5000,$B$4,Donnees!$B$2:$B$5000,"certificates",Donnees!$C$2:$C$5000,"vitoria")</f>
        <v/>
      </c>
      <c r="C31" s="19">
        <f>SUMIFS(Donnees!$N$2:$N$5000,Donnees!$A$2:$A$5000,$B$4,Donnees!$B$2:$B$5000,"certificates",Donnees!$C$2:$C$5000,"vitoria")</f>
        <v/>
      </c>
      <c r="D31" s="19">
        <f>SUMIFS(Donnees!$J$2:$J$5000,Donnees!$A$2:$A$5000,$B$4,Donnees!$B$2:$B$5000,"customs",Donnees!$C$2:$C$5000,"vitoria")</f>
        <v/>
      </c>
      <c r="E31" s="19">
        <f>SUMIFS(Donnees!$N$2:$N$5000,Donnees!$A$2:$A$5000,$B$4,Donnees!$B$2:$B$5000,"customs",Donnees!$C$2:$C$5000,"vitoria")</f>
        <v/>
      </c>
      <c r="F31" s="19">
        <f>SUMIFS(Donnees!$J$2:$J$5000,Donnees!$A$2:$A$5000,$B$4,Donnees!$B$2:$B$5000,"shipment",Donnees!$C$2:$C$5000,"vitoria")</f>
        <v/>
      </c>
      <c r="G31" s="19">
        <f>SUMIFS(Donnees!$N$2:$N$5000,Donnees!$A$2:$A$5000,$B$4,Donnees!$B$2:$B$5000,"shipment",Donnees!$C$2:$C$5000,"vitoria")</f>
        <v/>
      </c>
    </row>
    <row r="32">
      <c r="A32" s="7" t="inlineStr">
        <is>
          <t>Rio de Janeiro</t>
        </is>
      </c>
      <c r="B32" s="19">
        <f>SUMIFS(Donnees!$J$2:$J$5000,Donnees!$A$2:$A$5000,$B$4,Donnees!$B$2:$B$5000,"certificates",Donnees!$C$2:$C$5000,"rio")</f>
        <v/>
      </c>
      <c r="C32" s="19">
        <f>SUMIFS(Donnees!$N$2:$N$5000,Donnees!$A$2:$A$5000,$B$4,Donnees!$B$2:$B$5000,"certificates",Donnees!$C$2:$C$5000,"rio")</f>
        <v/>
      </c>
      <c r="D32" s="19">
        <f>SUMIFS(Donnees!$J$2:$J$5000,Donnees!$A$2:$A$5000,$B$4,Donnees!$B$2:$B$5000,"customs",Donnees!$C$2:$C$5000,"rio")</f>
        <v/>
      </c>
      <c r="E32" s="19">
        <f>SUMIFS(Donnees!$N$2:$N$5000,Donnees!$A$2:$A$5000,$B$4,Donnees!$B$2:$B$5000,"customs",Donnees!$C$2:$C$5000,"rio")</f>
        <v/>
      </c>
      <c r="F32" s="19">
        <f>SUMIFS(Donnees!$J$2:$J$5000,Donnees!$A$2:$A$5000,$B$4,Donnees!$B$2:$B$5000,"shipment",Donnees!$C$2:$C$5000,"rio")</f>
        <v/>
      </c>
      <c r="G32" s="19">
        <f>SUMIFS(Donnees!$N$2:$N$5000,Donnees!$A$2:$A$5000,$B$4,Donnees!$B$2:$B$5000,"shipment",Donnees!$C$2:$C$5000,"rio")</f>
        <v/>
      </c>
    </row>
    <row r="33">
      <c r="A33" s="7" t="inlineStr">
        <is>
          <t>REDEX / EADI Minas Gerais</t>
        </is>
      </c>
      <c r="B33" s="19">
        <f>SUMIFS(Donnees!$J$2:$J$5000,Donnees!$A$2:$A$5000,$B$4,Donnees!$B$2:$B$5000,"certificates",Donnees!$C$2:$C$5000,"minas")</f>
        <v/>
      </c>
      <c r="C33" s="19">
        <f>SUMIFS(Donnees!$N$2:$N$5000,Donnees!$A$2:$A$5000,$B$4,Donnees!$B$2:$B$5000,"certificates",Donnees!$C$2:$C$5000,"minas")</f>
        <v/>
      </c>
      <c r="D33" s="19">
        <f>SUMIFS(Donnees!$J$2:$J$5000,Donnees!$A$2:$A$5000,$B$4,Donnees!$B$2:$B$5000,"customs",Donnees!$C$2:$C$5000,"minas")</f>
        <v/>
      </c>
      <c r="E33" s="19">
        <f>SUMIFS(Donnees!$N$2:$N$5000,Donnees!$A$2:$A$5000,$B$4,Donnees!$B$2:$B$5000,"customs",Donnees!$C$2:$C$5000,"minas")</f>
        <v/>
      </c>
      <c r="F33" s="19">
        <f>SUMIFS(Donnees!$J$2:$J$5000,Donnees!$A$2:$A$5000,$B$4,Donnees!$B$2:$B$5000,"shipment",Donnees!$C$2:$C$5000,"minas")</f>
        <v/>
      </c>
      <c r="G33" s="19">
        <f>SUMIFS(Donnees!$N$2:$N$5000,Donnees!$A$2:$A$5000,$B$4,Donnees!$B$2:$B$5000,"shipment",Donnees!$C$2:$C$5000,"minas")</f>
        <v/>
      </c>
    </row>
    <row r="34">
      <c r="A34" s="7" t="inlineStr">
        <is>
          <t>Salvador</t>
        </is>
      </c>
      <c r="B34" s="19">
        <f>SUMIFS(Donnees!$J$2:$J$5000,Donnees!$A$2:$A$5000,$B$4,Donnees!$B$2:$B$5000,"certificates",Donnees!$C$2:$C$5000,"salvador")</f>
        <v/>
      </c>
      <c r="C34" s="19">
        <f>SUMIFS(Donnees!$N$2:$N$5000,Donnees!$A$2:$A$5000,$B$4,Donnees!$B$2:$B$5000,"certificates",Donnees!$C$2:$C$5000,"salvador")</f>
        <v/>
      </c>
      <c r="D34" s="19">
        <f>SUMIFS(Donnees!$J$2:$J$5000,Donnees!$A$2:$A$5000,$B$4,Donnees!$B$2:$B$5000,"customs",Donnees!$C$2:$C$5000,"salvador")</f>
        <v/>
      </c>
      <c r="E34" s="19">
        <f>SUMIFS(Donnees!$N$2:$N$5000,Donnees!$A$2:$A$5000,$B$4,Donnees!$B$2:$B$5000,"customs",Donnees!$C$2:$C$5000,"salvador")</f>
        <v/>
      </c>
      <c r="F34" s="19">
        <f>SUMIFS(Donnees!$J$2:$J$5000,Donnees!$A$2:$A$5000,$B$4,Donnees!$B$2:$B$5000,"shipment",Donnees!$C$2:$C$5000,"salvador")</f>
        <v/>
      </c>
      <c r="G34" s="19">
        <f>SUMIFS(Donnees!$N$2:$N$5000,Donnees!$A$2:$A$5000,$B$4,Donnees!$B$2:$B$5000,"shipment",Donnees!$C$2:$C$5000,"salvador")</f>
        <v/>
      </c>
    </row>
    <row r="35">
      <c r="A35" s="7" t="inlineStr">
        <is>
          <t>Autres</t>
        </is>
      </c>
      <c r="B35" s="19">
        <f>SUMIFS(Donnees!$J$2:$J$5000,Donnees!$A$2:$A$5000,$B$4,Donnees!$B$2:$B$5000,"certificates",Donnees!$C$2:$C$5000,"others")</f>
        <v/>
      </c>
      <c r="C35" s="19">
        <f>SUMIFS(Donnees!$N$2:$N$5000,Donnees!$A$2:$A$5000,$B$4,Donnees!$B$2:$B$5000,"certificates",Donnees!$C$2:$C$5000,"others")</f>
        <v/>
      </c>
      <c r="D35" s="19">
        <f>SUMIFS(Donnees!$J$2:$J$5000,Donnees!$A$2:$A$5000,$B$4,Donnees!$B$2:$B$5000,"customs",Donnees!$C$2:$C$5000,"others")</f>
        <v/>
      </c>
      <c r="E35" s="19">
        <f>SUMIFS(Donnees!$N$2:$N$5000,Donnees!$A$2:$A$5000,$B$4,Donnees!$B$2:$B$5000,"customs",Donnees!$C$2:$C$5000,"others")</f>
        <v/>
      </c>
      <c r="F35" s="19">
        <f>SUMIFS(Donnees!$J$2:$J$5000,Donnees!$A$2:$A$5000,$B$4,Donnees!$B$2:$B$5000,"shipment",Donnees!$C$2:$C$5000,"others")</f>
        <v/>
      </c>
      <c r="G35" s="19">
        <f>SUMIFS(Donnees!$N$2:$N$5000,Donnees!$A$2:$A$5000,$B$4,Donnees!$B$2:$B$5000,"shipment",Donnees!$C$2:$C$5000,"others")</f>
        <v/>
      </c>
    </row>
    <row r="38">
      <c r="A38" s="15" t="inlineStr">
        <is>
          <t>5. Historique jour par jour (toutes unités)</t>
        </is>
      </c>
    </row>
    <row r="39">
      <c r="A39" s="3" t="inlineStr">
        <is>
          <t>Date</t>
        </is>
      </c>
      <c r="B39" s="3" t="inlineStr">
        <is>
          <t>Certificats J</t>
        </is>
      </c>
      <c r="C39" s="3" t="inlineStr">
        <is>
          <t>Dédouanés J</t>
        </is>
      </c>
      <c r="D39" s="3" t="inlineStr">
        <is>
          <t>Embarqués J</t>
        </is>
      </c>
      <c r="E39" s="3" t="inlineStr">
        <is>
          <t>Certificats cumul</t>
        </is>
      </c>
      <c r="F39" s="3" t="inlineStr">
        <is>
          <t>Embarqués cumul</t>
        </is>
      </c>
      <c r="G39" s="3" t="inlineStr">
        <is>
          <t>Certifiés − embarqués</t>
        </is>
      </c>
      <c r="H39" s="3" t="inlineStr">
        <is>
          <t>Var. % certificats vs mois préc.</t>
        </is>
      </c>
      <c r="I39" s="3" t="inlineStr">
        <is>
          <t>Var. % embarqués vs mois préc.</t>
        </is>
      </c>
    </row>
    <row r="40">
      <c r="A40" s="6" t="n">
        <v>46269</v>
      </c>
      <c r="B40" s="19">
        <f>SUMIFS(Donnees!$F$2:$F$5000,Donnees!$A$2:$A$5000,$A40,Donnees!$B$2:$B$5000,"certificates",Donnees!$C$2:$C$5000,"total")</f>
        <v/>
      </c>
      <c r="C40" s="19">
        <f>SUMIFS(Donnees!$F$2:$F$5000,Donnees!$A$2:$A$5000,$A40,Donnees!$B$2:$B$5000,"customs",Donnees!$C$2:$C$5000,"total")</f>
        <v/>
      </c>
      <c r="D40" s="19">
        <f>SUMIFS(Donnees!$F$2:$F$5000,Donnees!$A$2:$A$5000,$A40,Donnees!$B$2:$B$5000,"shipment",Donnees!$C$2:$C$5000,"total")</f>
        <v/>
      </c>
      <c r="E40" s="19">
        <f>SUMIFS(Donnees!$J$2:$J$5000,Donnees!$A$2:$A$5000,$A40,Donnees!$B$2:$B$5000,"certificates",Donnees!$C$2:$C$5000,"total")</f>
        <v/>
      </c>
      <c r="F40" s="19">
        <f>SUMIFS(Donnees!$J$2:$J$5000,Donnees!$A$2:$A$5000,$A40,Donnees!$B$2:$B$5000,"shipment",Donnees!$C$2:$C$5000,"total")</f>
        <v/>
      </c>
      <c r="G40" s="19">
        <f>E40-F40</f>
        <v/>
      </c>
      <c r="H40" s="20">
        <f>IF(SUMIFS(Donnees!$N$2:$N$5000,Donnees!$A$2:$A$5000,$A40,Donnees!$B$2:$B$5000,"certificates",Donnees!$C$2:$C$5000,"total")=0,NA(),E40/SUMIFS(Donnees!$N$2:$N$5000,Donnees!$A$2:$A$5000,$A40,Donnees!$B$2:$B$5000,"certificates",Donnees!$C$2:$C$5000,"total")-1)</f>
        <v/>
      </c>
      <c r="I40" s="20">
        <f>IF(SUMIFS(Donnees!$N$2:$N$5000,Donnees!$A$2:$A$5000,$A40,Donnees!$B$2:$B$5000,"shipment",Donnees!$C$2:$C$5000,"total")=0,NA(),F40/SUMIFS(Donnees!$N$2:$N$5000,Donnees!$A$2:$A$5000,$A40,Donnees!$B$2:$B$5000,"shipment",Donnees!$C$2:$C$5000,"total")-1)</f>
        <v/>
      </c>
    </row>
    <row r="41">
      <c r="A41" s="2" t="inlineStr">
        <is>
          <t>Le script build_xlsx.py ajoute une ligne par nouvelle journée. Si tu colles des jours à la main dans Donnees, ajoute aussi la date ici (colonne A), les formules de la ligne au-dessus se copient.</t>
        </is>
      </c>
    </row>
  </sheetData>
  <conditionalFormatting sqref="E9:E1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2026-09-06T16:16:58Z</dcterms:created>
  <dcterms:modified xsi:type="dcterms:W3CDTF">2026-09-06T16:16:58Z</dcterms:modified>
</cp:coreProperties>
</file>