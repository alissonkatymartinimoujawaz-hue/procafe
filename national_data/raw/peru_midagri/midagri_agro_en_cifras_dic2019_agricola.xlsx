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BOETÍN EL AGRO EN CIFRA - DICIEMBRE 2019\"/>
    </mc:Choice>
  </mc:AlternateContent>
  <bookViews>
    <workbookView xWindow="-15" yWindow="-15" windowWidth="29595" windowHeight="19005" tabRatio="744" firstSheet="3" activeTab="9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agricola!$A$1:$B$18</definedName>
    <definedName name="_xlnm.Print_Area" localSheetId="1">'c-1'!$A$1:$H$24</definedName>
    <definedName name="_xlnm.Print_Area" localSheetId="11">'c-10'!$A$1:$H$39</definedName>
    <definedName name="_xlnm.Print_Area" localSheetId="12">'c-11'!$A$1:$H$37</definedName>
    <definedName name="_xlnm.Print_Area" localSheetId="13">'c-12'!$A$1:$G$36</definedName>
    <definedName name="_xlnm.Print_Area" localSheetId="14">'c-13'!$A$1:$AI$64</definedName>
    <definedName name="_xlnm.Print_Area" localSheetId="15">'c-14'!$A$1:$P$65</definedName>
    <definedName name="_xlnm.Print_Area" localSheetId="16">'c-15'!$A$1:$O$69</definedName>
    <definedName name="_xlnm.Print_Area" localSheetId="17">'c-16'!$A$1:$AJ$63</definedName>
    <definedName name="_xlnm.Print_Area" localSheetId="18">'c-17'!$A$1:$O$71</definedName>
    <definedName name="_xlnm.Print_Area" localSheetId="19">'c-18'!$A$1:$BL$61</definedName>
    <definedName name="_xlnm.Print_Area" localSheetId="20">'c-19'!$A$1:$O$121</definedName>
    <definedName name="_xlnm.Print_Area" localSheetId="2">'C-2'!$A$1:$G$19</definedName>
    <definedName name="_xlnm.Print_Area" localSheetId="21">'c-20'!$A$1:$AI$64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'c-6'!$A$1:$V$97</definedName>
    <definedName name="_xlnm.Print_Area" localSheetId="7">'c-7'!$A$1:$W$96</definedName>
    <definedName name="_xlnm.Print_Area" localSheetId="8">'c-8'!$A$1:$AE$96</definedName>
    <definedName name="_xlnm.Print_Area" localSheetId="9">'C-9'!$A$1:$G$57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52511" concurrentCalc="0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6" i="27" l="1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  <c r="E5" i="27"/>
  <c r="B5" i="27"/>
  <c r="M19" i="5"/>
</calcChain>
</file>

<file path=xl/sharedStrings.xml><?xml version="1.0" encoding="utf-8"?>
<sst xmlns="http://schemas.openxmlformats.org/spreadsheetml/2006/main" count="3123" uniqueCount="528">
  <si>
    <t xml:space="preserve">Perú. Superficie sembrada de principales cultivos transitorios por región según mes, campaña agrícola: 2017/18 y 2018/19  </t>
  </si>
  <si>
    <t xml:space="preserve">Sector/Subsector </t>
    <phoneticPr fontId="10" type="noConversion"/>
  </si>
  <si>
    <t>C.8   PERÚ: VARIACIÓN PORCENTUAL DEL VALOR DE LA PRODUCCIÓN (VBP) AGROPECUARIA, POR SUBSECTORES Y PRINCIPALES PRODUCTOS, ENERO - DICIEMBRE 2000 - 2019</t>
    <phoneticPr fontId="10" type="noConversion"/>
  </si>
  <si>
    <t xml:space="preserve"> </t>
    <phoneticPr fontId="10" type="noConversion"/>
  </si>
  <si>
    <t>1&lt;</t>
    <phoneticPr fontId="10" type="noConversion"/>
  </si>
  <si>
    <t xml:space="preserve">                                                       </t>
    <phoneticPr fontId="10" type="noConversion"/>
  </si>
  <si>
    <t xml:space="preserve">                                                                 </t>
    <phoneticPr fontId="10" type="noConversion"/>
  </si>
  <si>
    <t xml:space="preserve">                                            </t>
    <phoneticPr fontId="10" type="noConversion"/>
  </si>
  <si>
    <t xml:space="preserve">                                                                                                        </t>
    <phoneticPr fontId="10" type="noConversion"/>
  </si>
  <si>
    <t xml:space="preserve">                       </t>
    <phoneticPr fontId="10" type="noConversion"/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</si>
  <si>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</si>
  <si>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</si>
  <si>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</si>
  <si>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</si>
  <si>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p: Preliminar                       2: Peso de animales en pie</t>
  </si>
  <si>
    <t xml:space="preserve">p: Preliminar                       </t>
  </si>
  <si>
    <t>p:  Preliminar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</si>
  <si>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</si>
  <si>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</si>
  <si>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</si>
  <si>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</si>
  <si>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</si>
  <si>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</si>
  <si>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</si>
  <si>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</si>
  <si>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</si>
  <si>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</si>
  <si>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</si>
  <si>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</si>
  <si>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</si>
  <si>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</si>
  <si>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</si>
  <si>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</si>
  <si>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</si>
  <si>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</si>
  <si>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</si>
  <si>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</si>
  <si>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>p/  Preliminar</t>
  </si>
  <si>
    <t xml:space="preserve"> 1/. Incluye alimentos para conejos, pavos, patos, peces, equinos, etc.</t>
  </si>
  <si>
    <t>Elaboración : MINAGRI-DGESEP (DEA)</t>
  </si>
  <si>
    <t xml:space="preserve">          (Kilogramos/Hectárea)</t>
  </si>
  <si>
    <t xml:space="preserve">         CAMPAÑA AGRÍCOLA: AGOSTO-DICIEMBRE 2017-2018/2018-2019</t>
  </si>
  <si>
    <t xml:space="preserve">          ENERO-DICIEMBRE  2018-2019</t>
  </si>
  <si>
    <t xml:space="preserve">          ENERO-DICIEMBRE 2018-2019 </t>
  </si>
  <si>
    <t>C.18  PERÚ: PRODUCCIÓN DE PRINCIPALES CULTIVOS POR REGIÓN, ENERO-DICIEMBRE 2018-2019</t>
  </si>
  <si>
    <t>C.19  PERÚ: PRODUCCIÓN DE PRINCIPALES CULTIVOS POR MES. ENERO-DICIEMBRE 2018-2019</t>
  </si>
  <si>
    <t xml:space="preserve">          ENERO-DICIEMBRE 2018-2019</t>
  </si>
  <si>
    <t>Ene-Dic</t>
  </si>
  <si>
    <t>Ago-Dic</t>
  </si>
  <si>
    <t xml:space="preserve">         CAMPAÑA AGRÍCOLA: DICIEMBRE- 2018-2019 / 2019-2020</t>
  </si>
  <si>
    <t>Ají</t>
    <phoneticPr fontId="10" type="noConversion"/>
  </si>
  <si>
    <t>Apurímac</t>
  </si>
  <si>
    <t>0.0</t>
  </si>
  <si>
    <t xml:space="preserve">C.14  PERÚ: SUPERFICIE SEMBRADA DE PRINCIPALES CULTIVOS TRANSITORIOS POR REGIÓN, SEGÚN MES </t>
    <phoneticPr fontId="10" type="noConversion"/>
  </si>
  <si>
    <t>csigue…</t>
    <phoneticPr fontId="10" type="noConversion"/>
  </si>
  <si>
    <t>vvvvvvvvvv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</si>
  <si>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</si>
  <si>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</si>
  <si>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</si>
  <si>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</si>
  <si>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</si>
  <si>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</si>
  <si>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</si>
  <si>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</si>
  <si>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</si>
  <si>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</si>
  <si>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</si>
  <si>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</si>
  <si>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</si>
  <si>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 </t>
    <phoneticPr fontId="10" type="noConversion"/>
  </si>
  <si>
    <t xml:space="preserve">C.10   PERÚ: SIEMBRAS DE PRINCIPALES CULTIVOS TRANSITORIOS POR REGIÓN SEGÚN CAMPAÑA AGRÍCOLA </t>
    <phoneticPr fontId="10" type="noConversion"/>
  </si>
  <si>
    <t xml:space="preserve">      </t>
    <phoneticPr fontId="10" type="noConversion"/>
  </si>
  <si>
    <t xml:space="preserve">          SEGÚN CAMPAÑA AGRÍCOLA: AGOSTO-DICIEMBRE 2013-14…2019-20</t>
    <phoneticPr fontId="10" type="noConversion"/>
  </si>
  <si>
    <t>C.11  PERÚ: SUPERFICIE SEMBRADA DE PRINCIPALES CULTIVOS TRANSITORIOS,</t>
    <phoneticPr fontId="10" type="noConversion"/>
  </si>
  <si>
    <t>2018-19p</t>
  </si>
  <si>
    <t>2019-20p</t>
  </si>
  <si>
    <t xml:space="preserve">Perú: Siembras de los principales cultivos transitorios por región según campaña agrícola: Agosto - Diciembre 2013 - 14 …        2018-19 (hectáreas) </t>
  </si>
  <si>
    <t xml:space="preserve">Perú: Superficie cosechada de principales cultivos transitorios por región. Enero - Diciembre 2018- 2019 </t>
  </si>
  <si>
    <t xml:space="preserve">Perú: Superficie cosechada de principales cultivos transitorios, según mes, Enero - Diciembre 2018 - 2019 </t>
  </si>
  <si>
    <t xml:space="preserve">Perú: Producción de principales cultivos, por región, Enero - Diciembre 2018 - 2019 (toneladas) </t>
  </si>
  <si>
    <t>INDICADORES PRODUCTIVOS AGRÍCOLAS</t>
  </si>
  <si>
    <t>17/16</t>
  </si>
  <si>
    <r>
      <t>18/17</t>
    </r>
    <r>
      <rPr>
        <b/>
        <vertAlign val="superscript"/>
        <sz val="7"/>
        <color indexed="8"/>
        <rFont val="Arial Narrow"/>
        <family val="2"/>
      </rPr>
      <t>p</t>
    </r>
  </si>
  <si>
    <r>
      <t>19/18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</si>
  <si>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</si>
  <si>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</si>
  <si>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t>p: Preliminar</t>
  </si>
  <si>
    <t xml:space="preserve">     San Martín</t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</si>
  <si>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</si>
  <si>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</si>
  <si>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</si>
  <si>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t>Perú: Valor  Bruto de la Producción  Agropecuaria, por región, Enero - Diciembre 2018/2019 (Millones de  soles a precios 2007 )</t>
  </si>
  <si>
    <t>Perú: Valor de la Producción Agropecuaria, por subsectores y principales productos, Enero - Diciembre 2018-2019 (Millones de soles a precios 2007)</t>
  </si>
  <si>
    <t>Perú: Producción Agropecuaria, por  subsectores y principales productos, Enero - Diciembre 2018/2019 (Miles de toneladas)</t>
  </si>
  <si>
    <t>Perú: Valor de la Producción agropecuaria (VBP), por subsectores y principales productos, Enero - Diciembre  2000/2019 (Millones de soles a precio 2007)</t>
  </si>
  <si>
    <t>Sector / Producto</t>
  </si>
  <si>
    <r>
      <t>2018</t>
    </r>
    <r>
      <rPr>
        <b/>
        <vertAlign val="superscript"/>
        <sz val="8"/>
        <color indexed="8"/>
        <rFont val="Arial Narrow"/>
        <family val="2"/>
      </rPr>
      <t>p/</t>
    </r>
  </si>
  <si>
    <r>
      <t>2019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</si>
  <si>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</si>
  <si>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</si>
  <si>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</si>
  <si>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</si>
  <si>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</si>
  <si>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</si>
  <si>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</si>
  <si>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</si>
  <si>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</si>
  <si>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</si>
  <si>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>p/ Preliminar</t>
  </si>
  <si>
    <t xml:space="preserve">Fuente: Direcciones Regionales de Agricultura </t>
  </si>
  <si>
    <t>Elaboración: MINAGRI - DGESEP (DEA)</t>
    <phoneticPr fontId="12" type="noConversion"/>
  </si>
  <si>
    <t xml:space="preserve">        POR PRODUCTOS TERMINADOS</t>
  </si>
  <si>
    <t xml:space="preserve">  </t>
  </si>
  <si>
    <t xml:space="preserve">     Productos</t>
  </si>
  <si>
    <r>
      <t>2018</t>
    </r>
    <r>
      <rPr>
        <b/>
        <vertAlign val="superscript"/>
        <sz val="8"/>
        <color indexed="8"/>
        <rFont val="Arial Narrow"/>
        <family val="2"/>
      </rPr>
      <t xml:space="preserve"> p/</t>
    </r>
  </si>
  <si>
    <r>
      <t xml:space="preserve">2019 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</si>
  <si>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</si>
  <si>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</si>
  <si>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</si>
  <si>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</si>
  <si>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</si>
  <si>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</si>
  <si>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</si>
  <si>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</si>
  <si>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</si>
  <si>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</si>
  <si>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</si>
  <si>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</si>
  <si>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indexed="8"/>
        <rFont val="Arial Narrow"/>
        <family val="2"/>
      </rPr>
      <t xml:space="preserve"> 1/</t>
    </r>
  </si>
  <si>
    <t xml:space="preserve">    Azúcar</t>
  </si>
  <si>
    <t xml:space="preserve">Embutidos  y Carnes Preparadas </t>
  </si>
  <si>
    <t xml:space="preserve">    Carne ahumada</t>
    <phoneticPr fontId="12" type="noConversion"/>
  </si>
  <si>
    <t xml:space="preserve">    Chorizo</t>
  </si>
  <si>
    <t>Perú: Variación porcentual de superficie sembrada de los principales cultivos transitorios, según campaña agrícola,   Agosto - Diciembre 2013-14…2018-19</t>
  </si>
  <si>
    <t xml:space="preserve">Perú: Producción de principales cultivos, por mes. Enero - Diciembre 2018 - 2019 </t>
  </si>
  <si>
    <t xml:space="preserve">          AGOSTO-DICIEMBRE 2013-14…2019-20</t>
  </si>
  <si>
    <t xml:space="preserve">          TRANSITORIOS, SEGÚN CAMPAÑA AGRÍCOLA AGOSTO - DICIEMBRE 2013-14 ….2019-20 </t>
  </si>
  <si>
    <t xml:space="preserve">         CAMPAÑA AGRÍCOLA: AGOSTO-DICIEMBRE 2018-2019 / 2019-2020</t>
  </si>
  <si>
    <t xml:space="preserve">          CAMPAÑA AGRÍCOLA: AGOSTO-DICIEMBRE 2019-20/2018-19</t>
  </si>
  <si>
    <t>Total Nacional</t>
    <phoneticPr fontId="10" type="noConversion"/>
  </si>
  <si>
    <t>91/90</t>
  </si>
  <si>
    <t>92/91</t>
  </si>
  <si>
    <t>93/92</t>
  </si>
  <si>
    <t>94/93</t>
  </si>
  <si>
    <t>95/94</t>
  </si>
  <si>
    <t>96/95</t>
  </si>
  <si>
    <t>97/96</t>
  </si>
  <si>
    <t>98/97</t>
  </si>
  <si>
    <t>99/98</t>
  </si>
  <si>
    <t>00/99</t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</si>
  <si>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</si>
  <si>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</si>
  <si>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</si>
  <si>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</si>
  <si>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</si>
  <si>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</si>
  <si>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</si>
  <si>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</si>
  <si>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</si>
  <si>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</si>
  <si>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</si>
  <si>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</si>
  <si>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</si>
  <si>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</si>
  <si>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</si>
  <si>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>C.15  PERÚ: SUPERFICIE SEMBRADA DE PRINCIPALES CULTIVOS TRANSITORIOS POR CULTIVO SEGÚN MES</t>
  </si>
  <si>
    <r>
      <t xml:space="preserve">2018 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</si>
  <si>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2019 </t>
    </r>
    <r>
      <rPr>
        <b/>
        <vertAlign val="superscript"/>
        <sz val="8"/>
        <color indexed="8"/>
        <rFont val="Arial Narrow"/>
        <family val="2"/>
      </rPr>
      <t>p</t>
    </r>
  </si>
  <si>
    <r>
      <t>2018</t>
    </r>
    <r>
      <rPr>
        <b/>
        <vertAlign val="superscript"/>
        <sz val="8"/>
        <color indexed="8"/>
        <rFont val="Arial Narrow"/>
        <family val="2"/>
      </rPr>
      <t>p</t>
    </r>
  </si>
  <si>
    <r>
      <t>2019</t>
    </r>
    <r>
      <rPr>
        <b/>
        <vertAlign val="superscript"/>
        <sz val="8"/>
        <color indexed="8"/>
        <rFont val="Arial Narrow"/>
        <family val="2"/>
      </rPr>
      <t>p</t>
    </r>
  </si>
  <si>
    <r>
      <t>2018</t>
    </r>
    <r>
      <rPr>
        <vertAlign val="superscript"/>
        <sz val="8"/>
        <color indexed="8"/>
        <rFont val="Arial Narrow"/>
        <family val="2"/>
      </rPr>
      <t>p</t>
    </r>
  </si>
  <si>
    <r>
      <t>2019</t>
    </r>
    <r>
      <rPr>
        <vertAlign val="superscript"/>
        <sz val="8"/>
        <color indexed="8"/>
        <rFont val="Arial Narrow"/>
        <family val="2"/>
      </rPr>
      <t>p</t>
    </r>
  </si>
  <si>
    <t xml:space="preserve">          (hectáreas)</t>
  </si>
  <si>
    <r>
      <t>18-19</t>
    </r>
    <r>
      <rPr>
        <b/>
        <vertAlign val="superscript"/>
        <sz val="8"/>
        <color indexed="8"/>
        <rFont val="Arial Narrow"/>
        <family val="2"/>
      </rPr>
      <t>p</t>
    </r>
  </si>
  <si>
    <r>
      <t>19-20</t>
    </r>
    <r>
      <rPr>
        <b/>
        <vertAlign val="superscript"/>
        <sz val="8"/>
        <color indexed="8"/>
        <rFont val="Arial Narrow"/>
        <family val="2"/>
      </rPr>
      <t>p</t>
    </r>
  </si>
  <si>
    <r>
      <t>2018-19/2017-18</t>
    </r>
    <r>
      <rPr>
        <b/>
        <vertAlign val="superscript"/>
        <sz val="8"/>
        <color indexed="8"/>
        <rFont val="Arial Narrow"/>
        <family val="2"/>
      </rPr>
      <t>p</t>
    </r>
  </si>
  <si>
    <r>
      <t>2019-20/2018-19</t>
    </r>
    <r>
      <rPr>
        <b/>
        <vertAlign val="superscript"/>
        <sz val="8"/>
        <color indexed="8"/>
        <rFont val="Arial Narrow"/>
        <family val="2"/>
      </rPr>
      <t>p</t>
    </r>
  </si>
  <si>
    <t>2016-17/2015-16</t>
  </si>
  <si>
    <t>2017-18/2016-17</t>
  </si>
  <si>
    <t>2016-17</t>
  </si>
  <si>
    <t>2017-18</t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</si>
  <si>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</si>
  <si>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</si>
  <si>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t>Perú: Superficie sembrada de principales cultivos transitorios por región, campaña agrícola: Agosto - Diciembre  2017-2018/ 2018-2019 (hectáreas).</t>
  </si>
  <si>
    <t>Perú: Superficie sembrada de principales cultivos transitorios, según campaña agrícola, Agosto - Diciembre 2013 -14..2018-19 (hectáreas)</t>
  </si>
  <si>
    <t>Perú: Superficie sembrada de principales cultivos transitorios por cultivo según mes campaña agricola 2017/2018 y 2018/2019 (hectáreas)</t>
  </si>
  <si>
    <t xml:space="preserve">Perú: Evaluación de la Producción Agroindustrial de principales actividades, según producto terminado, Enero -Diciembre 2018/2019  (Millones de soles a precios 2007) 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</si>
  <si>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</si>
  <si>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</si>
  <si>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</si>
  <si>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</si>
  <si>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</si>
  <si>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</si>
  <si>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</si>
  <si>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</si>
  <si>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</si>
  <si>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</si>
  <si>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</si>
  <si>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</si>
  <si>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</si>
  <si>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</si>
  <si>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</si>
  <si>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</si>
  <si>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</si>
  <si>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</si>
  <si>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</si>
  <si>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</si>
  <si>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</si>
  <si>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</si>
  <si>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</si>
  <si>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</si>
  <si>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</si>
  <si>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</si>
  <si>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</si>
  <si>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</si>
  <si>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</si>
  <si>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</si>
  <si>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</si>
  <si>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</si>
  <si>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</si>
  <si>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</si>
  <si>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</si>
  <si>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</si>
  <si>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</si>
  <si>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</si>
  <si>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</si>
  <si>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</si>
  <si>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</si>
  <si>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</si>
  <si>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</si>
  <si>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</si>
  <si>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</si>
  <si>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</si>
  <si>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</si>
  <si>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</si>
  <si>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Maiz  chala</t>
  </si>
  <si>
    <t>Maíz  amiláceo</t>
  </si>
  <si>
    <t>Cebada  grano</t>
  </si>
  <si>
    <t>Arveja  seca</t>
  </si>
  <si>
    <t>Perú: Producción agropecuaria, por subsectores  y  principales productos, Enero - Diciembre 2000/2019 (Miles de toneladas)</t>
  </si>
  <si>
    <t>Perú: Variación porcentual del Valor de la Producción Agropecuaria, por subsectores y principales productos,  Enero - Diciembre 2000-2019</t>
  </si>
  <si>
    <t>Enero-Diciembre</t>
  </si>
  <si>
    <t>Diciembre</t>
  </si>
  <si>
    <t>C.1  PERÚ: VALOR BRUTO DE LA PRODUCCIÓN AGROPECUARIA POR SUBSECTORES, ENERO-DICIEMBRE 2018-2019</t>
  </si>
  <si>
    <t xml:space="preserve">C.3   PERÚ: VALOR BRUTO DE LA PRODUCCIÓN AGROPECUARIA, POR REGIÓN, ENERO-DICIEMBRE 2018-2019 </t>
  </si>
  <si>
    <t>Enero -Diciembre</t>
  </si>
  <si>
    <t xml:space="preserve">        PRINCIPALES PRODUCTOS.  ENERO-DICIEMBRE  2018-2019</t>
  </si>
  <si>
    <t xml:space="preserve"> Enero - Diciembre</t>
  </si>
  <si>
    <t xml:space="preserve">        ENERO-DICIEMBRE 2018-2019</t>
  </si>
  <si>
    <t>C.6   PERÚ: VALOR DE LA PRODUCCIÓN (VBP) AGROPECUARIA POR SUBSECTORES Y PRINCIPALES PRODUCTOS, ENERO-DICIEMBRE 2000-2019</t>
  </si>
  <si>
    <t>C.7   PERÚ: PRODUCCIÓN AGROPECUARIA POR SUBSECTORES Y PRINCIPALES PRODUCTOS, ENERO-DICIEMBRE 2000-2019</t>
  </si>
  <si>
    <t xml:space="preserve"> 2002 </t>
  </si>
  <si>
    <t>Olluco</t>
  </si>
  <si>
    <t>Palma aceitera</t>
  </si>
  <si>
    <t>Ave</t>
  </si>
  <si>
    <t>Ovino</t>
  </si>
  <si>
    <t xml:space="preserve">C.13  PERÚ: SUPERFICIE SEMBRADA DE PRINCIPALES CULTIVOS TRANSITORIOS, POR REGIÓN                                                                                                       </t>
  </si>
  <si>
    <t>2019</t>
  </si>
  <si>
    <t>Maíz  chala</t>
  </si>
  <si>
    <t>Arveja  verde</t>
  </si>
  <si>
    <t>Sub Sector Agrícola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</si>
  <si>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</si>
  <si>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</si>
  <si>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</si>
  <si>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</si>
  <si>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</si>
  <si>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</si>
  <si>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</si>
  <si>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</si>
  <si>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</si>
  <si>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</si>
  <si>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</si>
  <si>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</si>
  <si>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</si>
  <si>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</si>
  <si>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</si>
  <si>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</si>
  <si>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</si>
  <si>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</si>
  <si>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</si>
  <si>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</si>
  <si>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</si>
  <si>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</si>
  <si>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</si>
  <si>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</si>
  <si>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</si>
  <si>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</si>
  <si>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</si>
  <si>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</si>
  <si>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</si>
  <si>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</si>
  <si>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</si>
  <si>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</si>
  <si>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</si>
  <si>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</si>
  <si>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</si>
  <si>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</si>
  <si>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</si>
  <si>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</si>
  <si>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</si>
  <si>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</si>
  <si>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</si>
  <si>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</si>
  <si>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</si>
  <si>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</si>
  <si>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</si>
  <si>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</si>
  <si>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</si>
  <si>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</si>
  <si>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</si>
  <si>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</si>
  <si>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</si>
  <si>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19-20</t>
  </si>
  <si>
    <t>sigue</t>
  </si>
  <si>
    <t>Perú: Valor  de la Producción Agropecuaria, por subsectores. Enero - Diciembre 2018/2019 (Millones de soles a precios 2007)</t>
  </si>
  <si>
    <t>May</t>
  </si>
  <si>
    <t>Jun</t>
  </si>
  <si>
    <t>Jul</t>
  </si>
  <si>
    <t>Nacional</t>
  </si>
  <si>
    <t>Arándanos</t>
  </si>
  <si>
    <t>Pecana</t>
  </si>
  <si>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</si>
  <si>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</si>
  <si>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</si>
  <si>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AGRÍCOLA</t>
    <phoneticPr fontId="10" type="noConversion"/>
  </si>
  <si>
    <t>PECUARIO</t>
    <phoneticPr fontId="10" type="noConversion"/>
  </si>
  <si>
    <t>sigue…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</si>
  <si>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</si>
  <si>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</si>
  <si>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</si>
  <si>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</si>
  <si>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     (Hectárea)</t>
    <phoneticPr fontId="6" type="noConversion"/>
  </si>
  <si>
    <t xml:space="preserve"> -     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</si>
  <si>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</si>
  <si>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</si>
  <si>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</si>
  <si>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</si>
  <si>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</si>
  <si>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</si>
  <si>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</si>
  <si>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</si>
  <si>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</si>
  <si>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</si>
  <si>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</si>
  <si>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</si>
  <si>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</si>
  <si>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</si>
  <si>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</si>
  <si>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</si>
  <si>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</si>
  <si>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</si>
  <si>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</si>
  <si>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</si>
  <si>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</si>
  <si>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</si>
  <si>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</si>
  <si>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</si>
  <si>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</si>
  <si>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C.16  PERÚ: SUPERFICIE COSECHADA DE PRINCIPALES CULTIVOS TRANSITORIOS POR REGIÓN</t>
  </si>
  <si>
    <t>continúa C.15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</si>
  <si>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</si>
  <si>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</si>
  <si>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</si>
  <si>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</si>
  <si>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</si>
  <si>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</si>
  <si>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</si>
  <si>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</si>
  <si>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</si>
  <si>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</si>
  <si>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</si>
  <si>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</si>
  <si>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</si>
  <si>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Zonas Geográficas </t>
  </si>
  <si>
    <t>Manzana</t>
  </si>
  <si>
    <t>Ajo</t>
  </si>
  <si>
    <t>18-19</t>
  </si>
  <si>
    <t>13/12</t>
  </si>
  <si>
    <t>Elaboración: MINAGRI - DGESEP (DEA)</t>
  </si>
  <si>
    <t>Elaboración: MINAGRI-DGESEP (DEA)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</si>
  <si>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</si>
  <si>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</si>
  <si>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</si>
  <si>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</si>
  <si>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</si>
  <si>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</si>
  <si>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</si>
  <si>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</si>
  <si>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</si>
  <si>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</si>
  <si>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</si>
  <si>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</si>
  <si>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</si>
  <si>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</si>
  <si>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</si>
  <si>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</si>
  <si>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</si>
  <si>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</si>
  <si>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</si>
  <si>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</si>
  <si>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</si>
  <si>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</si>
  <si>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</si>
  <si>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</si>
  <si>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</si>
  <si>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</si>
  <si>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</si>
  <si>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</si>
  <si>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</si>
  <si>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</si>
  <si>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</si>
  <si>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</si>
  <si>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</si>
  <si>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</si>
  <si>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</si>
  <si>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</si>
  <si>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</si>
  <si>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</si>
  <si>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</si>
  <si>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</si>
  <si>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</si>
  <si>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</si>
  <si>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</si>
  <si>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</si>
  <si>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</si>
  <si>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</si>
  <si>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</si>
  <si>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</si>
  <si>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</si>
  <si>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</si>
  <si>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</si>
  <si>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</si>
  <si>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</si>
  <si>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</si>
  <si>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</si>
  <si>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</si>
  <si>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</si>
  <si>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</si>
  <si>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</si>
  <si>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        (Hectárea)</t>
  </si>
  <si>
    <t>2018</t>
  </si>
  <si>
    <t>-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</si>
  <si>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</si>
  <si>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</si>
  <si>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</si>
  <si>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</si>
  <si>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</si>
  <si>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</si>
  <si>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</si>
  <si>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</si>
  <si>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</si>
  <si>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</si>
  <si>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</si>
  <si>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</si>
  <si>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</si>
  <si>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</si>
  <si>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</si>
  <si>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</si>
  <si>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</si>
  <si>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</si>
  <si>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</si>
  <si>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</si>
  <si>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</si>
  <si>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>Total</t>
  </si>
  <si>
    <t>C.8   PERÚ: VARIACIÓN PORCENTUAL DEL VALOR DE LA PRODUCCIÓN (VBP) AGROPECUARIA, POR SUBSECTORES Y PRINCIPALES PRODUCTOS, ENERO 2000-2019</t>
  </si>
  <si>
    <t>C.9   EVALUACIÓN DE LA PRODUCCIÓN AGROINDUSTRIAL DE LAS PRINCIPALES ACTIVIDADES</t>
    <phoneticPr fontId="10" type="noConversion"/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</si>
  <si>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</si>
  <si>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</si>
  <si>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</si>
  <si>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</si>
  <si>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</si>
  <si>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</si>
  <si>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</si>
  <si>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</si>
  <si>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</si>
  <si>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</si>
  <si>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</si>
  <si>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</si>
  <si>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</si>
  <si>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</si>
  <si>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</si>
  <si>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>Fibra Alpaca</t>
  </si>
  <si>
    <t>Fibra Llama</t>
  </si>
  <si>
    <t xml:space="preserve">     Cusco</t>
  </si>
  <si>
    <t>SECTOR AGROPECUARIO</t>
    <phoneticPr fontId="10" type="noConversion"/>
  </si>
  <si>
    <t>sigue…</t>
    <phoneticPr fontId="10" type="noConversion"/>
  </si>
  <si>
    <t>AGROPECUARIA</t>
    <phoneticPr fontId="10" type="noConversion"/>
  </si>
  <si>
    <t>Ago-Jul</t>
    <phoneticPr fontId="10" type="noConversion"/>
  </si>
  <si>
    <t>sigue…</t>
    <phoneticPr fontId="10" type="noConversion"/>
  </si>
  <si>
    <t xml:space="preserve"> 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</si>
  <si>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</si>
  <si>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</si>
  <si>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</si>
  <si>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</si>
  <si>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</si>
  <si>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</si>
  <si>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</si>
  <si>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</si>
  <si>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</si>
  <si>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</si>
  <si>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</si>
  <si>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</si>
  <si>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</si>
  <si>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</si>
  <si>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</si>
  <si>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17-18</t>
  </si>
  <si>
    <t xml:space="preserve">          (Tonelada)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</si>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</sst>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General_)"/>
    <numFmt numFmtId="168" formatCode="0_)"/>
    <numFmt numFmtId="169" formatCode="#,##0.000"/>
    <numFmt numFmtId="170" formatCode="0.0_)"/>
    <numFmt numFmtId="171" formatCode="#,##0.0_);\(#,##0.0\)"/>
    <numFmt numFmtId="172" formatCode="0.000_)"/>
    <numFmt numFmtId="173" formatCode="0.00_)"/>
    <numFmt numFmtId="174" formatCode="0.000000_)"/>
    <numFmt numFmtId="175" formatCode="0.0000_)"/>
    <numFmt numFmtId="176" formatCode="0.0000000000000000"/>
    <numFmt numFmtId="177" formatCode="0.000000000000000"/>
    <numFmt numFmtId="178" formatCode="0.000000000000000_)"/>
    <numFmt numFmtId="179" formatCode="0.00000000000000000000000_)"/>
    <numFmt numFmtId="180" formatCode="#,##0.000_);\(#,##0.000\)"/>
    <numFmt numFmtId="181" formatCode="_ * #,##0.0_ ;_ * \-#,##0.0_ ;_ * &quot;-&quot;_ ;_ @_ "/>
    <numFmt numFmtId="182" formatCode="_ * #,##0.000_ ;_ * \-#,##0.000_ ;_ * &quot;-&quot;_ ;_ @_ "/>
    <numFmt numFmtId="183" formatCode="#,##0.0"/>
    <numFmt numFmtId="184" formatCode="0.0"/>
    <numFmt numFmtId="185" formatCode="0.0____"/>
    <numFmt numFmtId="186" formatCode="#,##0.000____"/>
    <numFmt numFmtId="187" formatCode="#,##0.000__________"/>
    <numFmt numFmtId="188" formatCode="#,##0__"/>
    <numFmt numFmtId="189" formatCode="#,##0______"/>
    <numFmt numFmtId="190" formatCode="0.0____________"/>
    <numFmt numFmtId="191" formatCode="#,##0____"/>
    <numFmt numFmtId="192" formatCode="#,##0________"/>
    <numFmt numFmtId="193" formatCode="#,##0.0__"/>
    <numFmt numFmtId="194" formatCode="#,##0.0____"/>
    <numFmt numFmtId="195" formatCode="#,##0.000____________"/>
    <numFmt numFmtId="196" formatCode="#,##0.0______________________"/>
    <numFmt numFmtId="197" formatCode="_ * #,##0_ ;_ * \-#,##0_ ;_ * &quot;-&quot;??_ ;_ @_ "/>
    <numFmt numFmtId="198" formatCode="_ * #,##0.0_ ;_ * \-#,##0.0_ ;_ * &quot;-&quot;??_ ;_ @_ "/>
    <numFmt numFmtId="199" formatCode="0.0______"/>
    <numFmt numFmtId="200" formatCode="#,##0.000________"/>
    <numFmt numFmtId="201" formatCode="0.0________"/>
    <numFmt numFmtId="202" formatCode="#,##0__________"/>
  </numFmts>
  <fonts count="30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vertAlign val="superscript"/>
      <sz val="8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indexed="49"/>
        <bgColor indexed="8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49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7" fontId="2" fillId="0" borderId="0"/>
    <xf numFmtId="168" fontId="6" fillId="0" borderId="0"/>
    <xf numFmtId="167" fontId="7" fillId="0" borderId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603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84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9" fontId="16" fillId="0" borderId="0" xfId="0" applyNumberFormat="1" applyFont="1" applyFill="1" applyAlignment="1" applyProtection="1">
      <alignment vertical="center"/>
    </xf>
    <xf numFmtId="170" fontId="16" fillId="0" borderId="0" xfId="0" applyNumberFormat="1" applyFont="1" applyFill="1" applyProtection="1"/>
    <xf numFmtId="167" fontId="16" fillId="0" borderId="0" xfId="0" applyNumberFormat="1" applyFont="1" applyFill="1" applyAlignment="1" applyProtection="1">
      <alignment horizontal="left"/>
    </xf>
    <xf numFmtId="172" fontId="16" fillId="0" borderId="0" xfId="0" applyNumberFormat="1" applyFont="1" applyFill="1" applyProtection="1"/>
    <xf numFmtId="0" fontId="16" fillId="0" borderId="0" xfId="0" applyFont="1" applyFill="1" applyAlignment="1">
      <alignment horizontal="center" vertical="center"/>
    </xf>
    <xf numFmtId="0" fontId="16" fillId="0" borderId="2" xfId="0" applyFont="1" applyFill="1" applyBorder="1" applyAlignment="1">
      <alignment vertical="center"/>
    </xf>
    <xf numFmtId="39" fontId="16" fillId="0" borderId="0" xfId="0" applyNumberFormat="1" applyFont="1" applyFill="1" applyAlignment="1" applyProtection="1">
      <alignment horizontal="left" vertical="center"/>
    </xf>
    <xf numFmtId="37" fontId="16" fillId="0" borderId="0" xfId="0" quotePrefix="1" applyNumberFormat="1" applyFont="1" applyFill="1" applyAlignment="1" applyProtection="1">
      <alignment horizontal="center" vertical="center"/>
    </xf>
    <xf numFmtId="39" fontId="16" fillId="0" borderId="2" xfId="0" applyNumberFormat="1" applyFont="1" applyFill="1" applyBorder="1" applyAlignment="1" applyProtection="1">
      <alignment horizontal="left" vertical="center"/>
    </xf>
    <xf numFmtId="37" fontId="16" fillId="0" borderId="2" xfId="0" quotePrefix="1" applyNumberFormat="1" applyFont="1" applyFill="1" applyBorder="1" applyAlignment="1" applyProtection="1">
      <alignment horizontal="center" vertical="center"/>
    </xf>
    <xf numFmtId="0" fontId="11" fillId="0" borderId="0" xfId="0" applyFont="1"/>
    <xf numFmtId="0" fontId="16" fillId="0" borderId="0" xfId="0" applyFont="1" applyFill="1" applyAlignment="1">
      <alignment vertical="center"/>
    </xf>
    <xf numFmtId="37" fontId="16" fillId="0" borderId="0" xfId="0" quotePrefix="1" applyNumberFormat="1" applyFont="1" applyFill="1" applyBorder="1" applyAlignment="1" applyProtection="1">
      <alignment horizontal="center" vertical="center"/>
    </xf>
    <xf numFmtId="0" fontId="11" fillId="0" borderId="0" xfId="0" applyFont="1" applyAlignment="1">
      <alignment vertical="center"/>
    </xf>
    <xf numFmtId="39" fontId="16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6" fillId="0" borderId="0" xfId="0" quotePrefix="1" applyNumberFormat="1" applyFont="1" applyFill="1" applyAlignment="1" applyProtection="1">
      <alignment horizontal="center" vertical="center"/>
    </xf>
    <xf numFmtId="39" fontId="16" fillId="0" borderId="2" xfId="0" quotePrefix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vertical="center"/>
    </xf>
    <xf numFmtId="167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7" fontId="16" fillId="0" borderId="0" xfId="0" applyNumberFormat="1" applyFont="1" applyFill="1" applyBorder="1" applyAlignment="1" applyProtection="1">
      <alignment horizontal="left" vertical="center"/>
    </xf>
    <xf numFmtId="167" fontId="16" fillId="0" borderId="2" xfId="0" applyNumberFormat="1" applyFont="1" applyFill="1" applyBorder="1" applyAlignment="1" applyProtection="1">
      <alignment horizontal="left" vertical="center"/>
    </xf>
    <xf numFmtId="167" fontId="16" fillId="0" borderId="0" xfId="0" applyNumberFormat="1" applyFont="1" applyFill="1" applyAlignment="1" applyProtection="1">
      <alignment horizontal="left" vertical="center"/>
    </xf>
    <xf numFmtId="0" fontId="18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7" fontId="15" fillId="0" borderId="0" xfId="0" applyNumberFormat="1" applyFont="1" applyFill="1" applyAlignment="1" applyProtection="1">
      <alignment horizontal="left"/>
    </xf>
    <xf numFmtId="170" fontId="15" fillId="0" borderId="0" xfId="0" applyNumberFormat="1" applyFont="1" applyFill="1" applyAlignment="1" applyProtection="1">
      <alignment vertical="center"/>
    </xf>
    <xf numFmtId="0" fontId="15" fillId="0" borderId="0" xfId="0" applyFont="1" applyFill="1"/>
    <xf numFmtId="170" fontId="16" fillId="0" borderId="0" xfId="0" applyNumberFormat="1" applyFont="1" applyFill="1" applyAlignment="1" applyProtection="1">
      <alignment vertical="center"/>
    </xf>
    <xf numFmtId="170" fontId="16" fillId="0" borderId="0" xfId="0" applyNumberFormat="1" applyFont="1" applyFill="1" applyAlignment="1" applyProtection="1">
      <alignment horizontal="right" vertical="center"/>
    </xf>
    <xf numFmtId="0" fontId="15" fillId="0" borderId="0" xfId="0" applyFont="1" applyFill="1" applyBorder="1"/>
    <xf numFmtId="171" fontId="15" fillId="0" borderId="0" xfId="0" applyNumberFormat="1" applyFont="1" applyFill="1" applyBorder="1" applyProtection="1">
      <protection locked="0"/>
    </xf>
    <xf numFmtId="0" fontId="18" fillId="0" borderId="0" xfId="0" applyFont="1" applyFill="1"/>
    <xf numFmtId="0" fontId="16" fillId="0" borderId="0" xfId="0" applyFont="1" applyFill="1" applyBorder="1"/>
    <xf numFmtId="168" fontId="15" fillId="0" borderId="0" xfId="0" quotePrefix="1" applyNumberFormat="1" applyFont="1" applyFill="1" applyBorder="1" applyAlignment="1" applyProtection="1">
      <alignment horizontal="right" vertical="center"/>
    </xf>
    <xf numFmtId="172" fontId="15" fillId="0" borderId="0" xfId="0" applyNumberFormat="1" applyFont="1" applyFill="1" applyProtection="1"/>
    <xf numFmtId="180" fontId="16" fillId="0" borderId="0" xfId="0" applyNumberFormat="1" applyFont="1" applyFill="1" applyProtection="1">
      <protection locked="0"/>
    </xf>
    <xf numFmtId="171" fontId="16" fillId="0" borderId="0" xfId="0" applyNumberFormat="1" applyFont="1" applyFill="1" applyProtection="1">
      <protection locked="0"/>
    </xf>
    <xf numFmtId="167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Border="1" applyAlignment="1">
      <alignment vertical="center"/>
    </xf>
    <xf numFmtId="0" fontId="16" fillId="0" borderId="0" xfId="0" applyFont="1" applyBorder="1" applyAlignment="1"/>
    <xf numFmtId="0" fontId="16" fillId="0" borderId="0" xfId="0" applyFont="1" applyAlignment="1"/>
    <xf numFmtId="172" fontId="15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Fill="1" applyAlignment="1" applyProtection="1"/>
    <xf numFmtId="171" fontId="15" fillId="0" borderId="0" xfId="0" applyNumberFormat="1" applyFont="1" applyFill="1" applyAlignment="1" applyProtection="1">
      <alignment vertical="center"/>
    </xf>
    <xf numFmtId="170" fontId="16" fillId="0" borderId="0" xfId="0" applyNumberFormat="1" applyFont="1" applyProtection="1"/>
    <xf numFmtId="175" fontId="15" fillId="0" borderId="0" xfId="0" applyNumberFormat="1" applyFont="1" applyFill="1" applyAlignment="1" applyProtection="1">
      <alignment vertical="center"/>
    </xf>
    <xf numFmtId="171" fontId="16" fillId="0" borderId="0" xfId="0" applyNumberFormat="1" applyFont="1" applyProtection="1"/>
    <xf numFmtId="171" fontId="16" fillId="0" borderId="0" xfId="0" applyNumberFormat="1" applyFont="1" applyFill="1" applyAlignment="1" applyProtection="1">
      <alignment vertical="center"/>
    </xf>
    <xf numFmtId="170" fontId="16" fillId="0" borderId="0" xfId="0" quotePrefix="1" applyNumberFormat="1" applyFont="1" applyFill="1" applyAlignment="1" applyProtection="1">
      <alignment horizontal="right" vertical="center"/>
    </xf>
    <xf numFmtId="176" fontId="16" fillId="0" borderId="0" xfId="0" quotePrefix="1" applyNumberFormat="1" applyFont="1" applyFill="1" applyAlignment="1" applyProtection="1">
      <alignment horizontal="right" vertical="center"/>
    </xf>
    <xf numFmtId="0" fontId="16" fillId="0" borderId="0" xfId="0" applyFont="1" applyFill="1" applyBorder="1" applyAlignment="1">
      <alignment vertical="center"/>
    </xf>
    <xf numFmtId="178" fontId="16" fillId="0" borderId="0" xfId="0" applyNumberFormat="1" applyFont="1" applyFill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Alignment="1">
      <alignment vertical="center"/>
    </xf>
    <xf numFmtId="179" fontId="16" fillId="0" borderId="0" xfId="0" applyNumberFormat="1" applyFont="1" applyFill="1" applyAlignment="1" applyProtection="1">
      <alignment vertical="center"/>
    </xf>
    <xf numFmtId="172" fontId="16" fillId="0" borderId="0" xfId="0" applyNumberFormat="1" applyFont="1"/>
    <xf numFmtId="168" fontId="16" fillId="0" borderId="0" xfId="0" applyNumberFormat="1" applyFont="1" applyFill="1" applyAlignment="1" applyProtection="1">
      <alignment vertical="center"/>
    </xf>
    <xf numFmtId="167" fontId="16" fillId="0" borderId="0" xfId="0" quotePrefix="1" applyNumberFormat="1" applyFont="1" applyFill="1" applyAlignment="1" applyProtection="1">
      <alignment horizontal="left" vertical="center"/>
    </xf>
    <xf numFmtId="172" fontId="16" fillId="0" borderId="0" xfId="0" applyNumberFormat="1" applyFont="1" applyFill="1" applyAlignment="1" applyProtection="1">
      <alignment vertical="center"/>
    </xf>
    <xf numFmtId="180" fontId="16" fillId="0" borderId="0" xfId="0" applyNumberFormat="1" applyFont="1" applyProtection="1"/>
    <xf numFmtId="181" fontId="16" fillId="0" borderId="0" xfId="2" applyNumberFormat="1" applyFont="1" applyFill="1" applyAlignment="1" applyProtection="1">
      <alignment horizontal="left" vertical="center"/>
    </xf>
    <xf numFmtId="174" fontId="16" fillId="0" borderId="0" xfId="0" applyNumberFormat="1" applyFont="1" applyFill="1"/>
    <xf numFmtId="182" fontId="16" fillId="0" borderId="0" xfId="0" applyNumberFormat="1" applyFont="1"/>
    <xf numFmtId="167" fontId="16" fillId="0" borderId="0" xfId="0" applyNumberFormat="1" applyFont="1" applyFill="1" applyAlignment="1" applyProtection="1">
      <alignment horizontal="left" vertical="center" indent="2"/>
    </xf>
    <xf numFmtId="167" fontId="16" fillId="0" borderId="0" xfId="0" quotePrefix="1" applyNumberFormat="1" applyFont="1" applyFill="1" applyAlignment="1" applyProtection="1">
      <alignment horizontal="left" vertical="center" indent="2"/>
    </xf>
    <xf numFmtId="174" fontId="15" fillId="0" borderId="0" xfId="0" applyNumberFormat="1" applyFont="1" applyBorder="1" applyAlignment="1">
      <alignment horizontal="centerContinuous" vertical="center"/>
    </xf>
    <xf numFmtId="183" fontId="16" fillId="0" borderId="0" xfId="0" applyNumberFormat="1" applyFont="1" applyFill="1" applyAlignment="1" applyProtection="1">
      <alignment vertical="center"/>
    </xf>
    <xf numFmtId="175" fontId="16" fillId="0" borderId="0" xfId="0" applyNumberFormat="1" applyFont="1"/>
    <xf numFmtId="0" fontId="15" fillId="0" borderId="0" xfId="0" applyFont="1" applyFill="1" applyAlignment="1">
      <alignment vertical="center"/>
    </xf>
    <xf numFmtId="0" fontId="16" fillId="0" borderId="0" xfId="0" applyFont="1" applyFill="1" applyBorder="1" applyAlignment="1">
      <alignment horizontal="left"/>
    </xf>
    <xf numFmtId="167" fontId="16" fillId="2" borderId="0" xfId="0" applyNumberFormat="1" applyFont="1" applyFill="1" applyAlignment="1" applyProtection="1">
      <alignment horizontal="left" vertical="center"/>
    </xf>
    <xf numFmtId="4" fontId="16" fillId="2" borderId="0" xfId="0" applyNumberFormat="1" applyFont="1" applyFill="1" applyBorder="1" applyAlignment="1" applyProtection="1"/>
    <xf numFmtId="167" fontId="16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7" fontId="16" fillId="0" borderId="0" xfId="0" applyNumberFormat="1" applyFont="1" applyFill="1" applyAlignment="1" applyProtection="1">
      <alignment horizontal="center" vertical="center"/>
      <protection locked="0"/>
    </xf>
    <xf numFmtId="167" fontId="16" fillId="0" borderId="0" xfId="0" applyNumberFormat="1" applyFont="1" applyFill="1" applyAlignment="1" applyProtection="1">
      <alignment horizontal="center" vertical="center"/>
    </xf>
    <xf numFmtId="0" fontId="15" fillId="0" borderId="0" xfId="0" applyFont="1" applyAlignment="1">
      <alignment vertical="center"/>
    </xf>
    <xf numFmtId="0" fontId="16" fillId="0" borderId="2" xfId="0" applyFont="1" applyBorder="1" applyAlignment="1">
      <alignment vertical="center"/>
    </xf>
    <xf numFmtId="167" fontId="15" fillId="0" borderId="0" xfId="4" applyNumberFormat="1" applyFont="1" applyFill="1" applyAlignment="1" applyProtection="1">
      <alignment vertical="center"/>
      <protection locked="0"/>
    </xf>
    <xf numFmtId="167" fontId="15" fillId="0" borderId="0" xfId="0" applyNumberFormat="1" applyFont="1" applyFill="1" applyAlignment="1" applyProtection="1">
      <alignment horizontal="left"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8" fillId="0" borderId="4" xfId="0" applyFont="1" applyFill="1" applyBorder="1" applyAlignment="1" applyProtection="1">
      <alignment horizontal="center" vertical="center"/>
    </xf>
    <xf numFmtId="0" fontId="18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7" fontId="15" fillId="0" borderId="0" xfId="0" applyNumberFormat="1" applyFont="1" applyFill="1" applyAlignment="1" applyProtection="1">
      <alignment horizontal="center"/>
    </xf>
    <xf numFmtId="0" fontId="15" fillId="0" borderId="0" xfId="0" applyFont="1" applyAlignment="1"/>
    <xf numFmtId="170" fontId="15" fillId="0" borderId="0" xfId="0" applyNumberFormat="1" applyFont="1" applyProtection="1"/>
    <xf numFmtId="173" fontId="16" fillId="2" borderId="0" xfId="0" applyNumberFormat="1" applyFont="1" applyFill="1" applyBorder="1" applyAlignment="1" applyProtection="1"/>
    <xf numFmtId="167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8" fontId="20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8" fontId="16" fillId="0" borderId="0" xfId="0" applyNumberFormat="1" applyFont="1"/>
    <xf numFmtId="0" fontId="16" fillId="0" borderId="0" xfId="0" applyFont="1" applyAlignment="1" applyProtection="1">
      <alignment horizontal="left"/>
    </xf>
    <xf numFmtId="0" fontId="16" fillId="0" borderId="0" xfId="0" applyFont="1" applyAlignment="1" applyProtection="1">
      <alignment horizontal="center"/>
    </xf>
    <xf numFmtId="0" fontId="16" fillId="0" borderId="2" xfId="0" applyFont="1" applyBorder="1" applyAlignment="1" applyProtection="1">
      <alignment horizontal="center"/>
    </xf>
    <xf numFmtId="0" fontId="16" fillId="0" borderId="0" xfId="0" applyFont="1" applyBorder="1"/>
    <xf numFmtId="0" fontId="16" fillId="0" borderId="0" xfId="0" applyFont="1" applyBorder="1" applyAlignment="1" applyProtection="1">
      <alignment horizontal="center"/>
    </xf>
    <xf numFmtId="0" fontId="16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5" fillId="0" borderId="0" xfId="0" quotePrefix="1" applyNumberFormat="1" applyFont="1" applyAlignment="1" applyProtection="1">
      <alignment horizontal="left" vertical="center"/>
    </xf>
    <xf numFmtId="37" fontId="16" fillId="0" borderId="0" xfId="0" applyNumberFormat="1" applyFont="1" applyAlignment="1" applyProtection="1">
      <alignment horizontal="left" vertical="center"/>
    </xf>
    <xf numFmtId="37" fontId="16" fillId="0" borderId="11" xfId="0" quotePrefix="1" applyNumberFormat="1" applyFont="1" applyBorder="1" applyAlignment="1" applyProtection="1">
      <alignment horizontal="center" vertical="center"/>
    </xf>
    <xf numFmtId="3" fontId="16" fillId="0" borderId="0" xfId="0" applyNumberFormat="1" applyFont="1" applyBorder="1" applyAlignment="1" applyProtection="1">
      <alignment horizontal="right" vertical="center"/>
    </xf>
    <xf numFmtId="37" fontId="16" fillId="0" borderId="0" xfId="0" quotePrefix="1" applyNumberFormat="1" applyFont="1" applyBorder="1" applyAlignment="1" applyProtection="1">
      <alignment horizontal="center" vertical="center"/>
    </xf>
    <xf numFmtId="37" fontId="16" fillId="0" borderId="0" xfId="0" applyNumberFormat="1" applyFont="1" applyBorder="1" applyAlignment="1" applyProtection="1">
      <alignment horizontal="left" vertical="center"/>
    </xf>
    <xf numFmtId="37" fontId="16" fillId="0" borderId="2" xfId="0" quotePrefix="1" applyNumberFormat="1" applyFont="1" applyBorder="1" applyAlignment="1" applyProtection="1">
      <alignment horizontal="center" vertical="center"/>
    </xf>
    <xf numFmtId="0" fontId="21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72" fontId="16" fillId="0" borderId="0" xfId="0" applyNumberFormat="1" applyFont="1" applyProtection="1"/>
    <xf numFmtId="170" fontId="16" fillId="0" borderId="0" xfId="0" applyNumberFormat="1" applyFont="1" applyAlignment="1" applyProtection="1">
      <alignment horizontal="right"/>
    </xf>
    <xf numFmtId="176" fontId="16" fillId="0" borderId="0" xfId="3" applyNumberFormat="1" applyFont="1"/>
    <xf numFmtId="177" fontId="16" fillId="0" borderId="0" xfId="3" applyNumberFormat="1" applyFont="1" applyBorder="1"/>
    <xf numFmtId="0" fontId="12" fillId="2" borderId="0" xfId="0" applyFont="1" applyFill="1"/>
    <xf numFmtId="0" fontId="16" fillId="2" borderId="0" xfId="0" applyFont="1" applyFill="1" applyBorder="1"/>
    <xf numFmtId="0" fontId="15" fillId="2" borderId="0" xfId="0" applyFont="1" applyFill="1"/>
    <xf numFmtId="170" fontId="16" fillId="2" borderId="0" xfId="0" applyNumberFormat="1" applyFont="1" applyFill="1"/>
    <xf numFmtId="4" fontId="16" fillId="2" borderId="0" xfId="0" applyNumberFormat="1" applyFont="1" applyFill="1"/>
    <xf numFmtId="0" fontId="11" fillId="4" borderId="2" xfId="0" applyFont="1" applyFill="1" applyBorder="1" applyAlignment="1">
      <alignment horizontal="centerContinuous" vertical="center"/>
    </xf>
    <xf numFmtId="171" fontId="16" fillId="0" borderId="0" xfId="0" applyNumberFormat="1" applyFont="1" applyFill="1" applyBorder="1" applyAlignment="1" applyProtection="1">
      <alignment vertical="center"/>
    </xf>
    <xf numFmtId="167" fontId="16" fillId="0" borderId="0" xfId="4" applyNumberFormat="1" applyFont="1" applyFill="1" applyBorder="1" applyAlignment="1" applyProtection="1">
      <alignment horizontal="left" vertical="center"/>
      <protection locked="0"/>
    </xf>
    <xf numFmtId="167" fontId="16" fillId="0" borderId="0" xfId="4" applyFont="1" applyFill="1" applyBorder="1" applyAlignment="1" applyProtection="1">
      <alignment horizontal="left" vertical="center"/>
      <protection locked="0"/>
    </xf>
    <xf numFmtId="167" fontId="16" fillId="0" borderId="0" xfId="4" applyFont="1" applyFill="1" applyBorder="1" applyAlignment="1" applyProtection="1">
      <alignment horizontal="left" vertical="center" wrapText="1"/>
      <protection locked="0"/>
    </xf>
    <xf numFmtId="167" fontId="16" fillId="0" borderId="0" xfId="4" quotePrefix="1" applyNumberFormat="1" applyFont="1" applyFill="1" applyBorder="1" applyAlignment="1" applyProtection="1">
      <alignment horizontal="left" vertical="center"/>
      <protection locked="0"/>
    </xf>
    <xf numFmtId="167" fontId="19" fillId="3" borderId="12" xfId="0" applyNumberFormat="1" applyFont="1" applyFill="1" applyBorder="1" applyAlignment="1" applyProtection="1">
      <alignment horizontal="centerContinuous" vertical="center"/>
    </xf>
    <xf numFmtId="168" fontId="15" fillId="3" borderId="12" xfId="0" quotePrefix="1" applyNumberFormat="1" applyFont="1" applyFill="1" applyBorder="1" applyAlignment="1" applyProtection="1">
      <alignment horizontal="center" vertical="center"/>
    </xf>
    <xf numFmtId="168" fontId="15" fillId="3" borderId="9" xfId="0" applyNumberFormat="1" applyFont="1" applyFill="1" applyBorder="1" applyAlignment="1" applyProtection="1">
      <alignment horizontal="centerContinuous" vertical="center"/>
    </xf>
    <xf numFmtId="168" fontId="15" fillId="3" borderId="15" xfId="0" applyNumberFormat="1" applyFont="1" applyFill="1" applyBorder="1" applyAlignment="1" applyProtection="1">
      <alignment horizontal="centerContinuous" vertical="center"/>
    </xf>
    <xf numFmtId="0" fontId="15" fillId="3" borderId="10" xfId="0" applyFont="1" applyFill="1" applyBorder="1" applyAlignment="1">
      <alignment horizontal="centerContinuous" vertical="center"/>
    </xf>
    <xf numFmtId="0" fontId="15" fillId="3" borderId="9" xfId="0" applyFont="1" applyFill="1" applyBorder="1" applyAlignment="1">
      <alignment horizontal="left" vertical="center"/>
    </xf>
    <xf numFmtId="175" fontId="15" fillId="3" borderId="10" xfId="0" applyNumberFormat="1" applyFont="1" applyFill="1" applyBorder="1" applyAlignment="1">
      <alignment vertical="center"/>
    </xf>
    <xf numFmtId="183" fontId="20" fillId="0" borderId="0" xfId="0" applyNumberFormat="1" applyFont="1" applyFill="1" applyAlignment="1" applyProtection="1">
      <alignment horizontal="right" vertical="center"/>
    </xf>
    <xf numFmtId="0" fontId="19" fillId="0" borderId="0" xfId="0" applyFont="1" applyFill="1" applyAlignment="1">
      <alignment vertical="center"/>
    </xf>
    <xf numFmtId="167" fontId="15" fillId="5" borderId="0" xfId="0" applyNumberFormat="1" applyFont="1" applyFill="1" applyAlignment="1" applyProtection="1">
      <alignment horizontal="left" vertical="center"/>
    </xf>
    <xf numFmtId="171" fontId="15" fillId="5" borderId="0" xfId="0" applyNumberFormat="1" applyFont="1" applyFill="1" applyAlignment="1" applyProtection="1">
      <alignment vertical="center"/>
    </xf>
    <xf numFmtId="186" fontId="15" fillId="4" borderId="2" xfId="0" applyNumberFormat="1" applyFont="1" applyFill="1" applyBorder="1" applyAlignment="1" applyProtection="1">
      <alignment vertical="center"/>
    </xf>
    <xf numFmtId="186" fontId="15" fillId="5" borderId="0" xfId="0" applyNumberFormat="1" applyFont="1" applyFill="1" applyAlignment="1" applyProtection="1">
      <alignment vertical="center"/>
    </xf>
    <xf numFmtId="186" fontId="16" fillId="0" borderId="0" xfId="0" applyNumberFormat="1" applyFont="1" applyFill="1" applyAlignment="1" applyProtection="1">
      <alignment vertical="center"/>
    </xf>
    <xf numFmtId="186" fontId="16" fillId="0" borderId="2" xfId="0" applyNumberFormat="1" applyFont="1" applyFill="1" applyBorder="1" applyAlignment="1" applyProtection="1">
      <alignment vertical="center"/>
    </xf>
    <xf numFmtId="186" fontId="16" fillId="0" borderId="0" xfId="0" applyNumberFormat="1" applyFont="1" applyFill="1" applyBorder="1" applyAlignment="1" applyProtection="1">
      <alignment vertical="center"/>
    </xf>
    <xf numFmtId="168" fontId="20" fillId="0" borderId="0" xfId="0" applyNumberFormat="1" applyFont="1" applyFill="1" applyAlignment="1" applyProtection="1"/>
    <xf numFmtId="0" fontId="23" fillId="0" borderId="0" xfId="0" applyFont="1" applyFill="1" applyAlignment="1">
      <alignment vertical="center"/>
    </xf>
    <xf numFmtId="167" fontId="16" fillId="0" borderId="2" xfId="4" applyFont="1" applyFill="1" applyBorder="1" applyAlignment="1" applyProtection="1">
      <alignment horizontal="left" vertical="center"/>
      <protection locked="0"/>
    </xf>
    <xf numFmtId="49" fontId="16" fillId="0" borderId="0" xfId="0" applyNumberFormat="1" applyFont="1" applyFill="1" applyBorder="1" applyAlignment="1">
      <alignment horizontal="left" vertical="center"/>
    </xf>
    <xf numFmtId="167" fontId="15" fillId="4" borderId="0" xfId="0" applyNumberFormat="1" applyFont="1" applyFill="1" applyAlignment="1" applyProtection="1">
      <alignment horizontal="left" vertical="center"/>
    </xf>
    <xf numFmtId="168" fontId="16" fillId="4" borderId="0" xfId="0" applyNumberFormat="1" applyFont="1" applyFill="1" applyAlignment="1" applyProtection="1">
      <alignment vertical="center"/>
    </xf>
    <xf numFmtId="186" fontId="15" fillId="4" borderId="0" xfId="0" applyNumberFormat="1" applyFont="1" applyFill="1" applyBorder="1" applyAlignment="1" applyProtection="1">
      <alignment vertical="center"/>
    </xf>
    <xf numFmtId="168" fontId="15" fillId="3" borderId="10" xfId="0" applyNumberFormat="1" applyFont="1" applyFill="1" applyBorder="1" applyAlignment="1" applyProtection="1">
      <alignment horizontal="centerContinuous" vertical="center"/>
    </xf>
    <xf numFmtId="0" fontId="14" fillId="0" borderId="0" xfId="0" applyFont="1" applyFill="1" applyAlignment="1">
      <alignment vertical="center"/>
    </xf>
    <xf numFmtId="167" fontId="20" fillId="0" borderId="0" xfId="0" quotePrefix="1" applyNumberFormat="1" applyFont="1" applyFill="1" applyAlignment="1" applyProtection="1">
      <alignment horizontal="left"/>
    </xf>
    <xf numFmtId="170" fontId="20" fillId="0" borderId="0" xfId="0" applyNumberFormat="1" applyFont="1" applyFill="1" applyAlignment="1" applyProtection="1">
      <alignment vertical="center"/>
    </xf>
    <xf numFmtId="181" fontId="20" fillId="0" borderId="0" xfId="2" applyNumberFormat="1" applyFont="1" applyFill="1" applyAlignment="1" applyProtection="1">
      <alignment horizontal="left" vertical="center"/>
    </xf>
    <xf numFmtId="187" fontId="16" fillId="0" borderId="0" xfId="0" applyNumberFormat="1" applyFont="1" applyFill="1" applyAlignment="1" applyProtection="1">
      <alignment vertical="center"/>
    </xf>
    <xf numFmtId="172" fontId="16" fillId="0" borderId="0" xfId="0" applyNumberFormat="1" applyFont="1" applyFill="1" applyBorder="1"/>
    <xf numFmtId="172" fontId="20" fillId="0" borderId="0" xfId="0" applyNumberFormat="1" applyFont="1" applyFill="1" applyProtection="1"/>
    <xf numFmtId="168" fontId="19" fillId="3" borderId="12" xfId="0" applyNumberFormat="1" applyFont="1" applyFill="1" applyBorder="1" applyAlignment="1" applyProtection="1">
      <alignment horizontal="centerContinuous" vertical="center"/>
    </xf>
    <xf numFmtId="168" fontId="19" fillId="3" borderId="12" xfId="0" quotePrefix="1" applyNumberFormat="1" applyFont="1" applyFill="1" applyBorder="1" applyAlignment="1" applyProtection="1">
      <alignment horizontal="center" vertical="center"/>
    </xf>
    <xf numFmtId="0" fontId="24" fillId="0" borderId="0" xfId="0" applyFont="1" applyFill="1"/>
    <xf numFmtId="167" fontId="19" fillId="4" borderId="2" xfId="0" applyNumberFormat="1" applyFont="1" applyFill="1" applyBorder="1" applyAlignment="1" applyProtection="1">
      <alignment horizontal="centerContinuous" vertical="center"/>
    </xf>
    <xf numFmtId="167" fontId="19" fillId="5" borderId="0" xfId="0" applyNumberFormat="1" applyFont="1" applyFill="1" applyAlignment="1" applyProtection="1">
      <alignment horizontal="left"/>
    </xf>
    <xf numFmtId="171" fontId="19" fillId="5" borderId="0" xfId="0" applyNumberFormat="1" applyFont="1" applyFill="1" applyProtection="1"/>
    <xf numFmtId="172" fontId="19" fillId="0" borderId="0" xfId="0" applyNumberFormat="1" applyFont="1" applyFill="1" applyProtection="1"/>
    <xf numFmtId="0" fontId="19" fillId="0" borderId="0" xfId="0" applyFont="1" applyFill="1"/>
    <xf numFmtId="167" fontId="24" fillId="0" borderId="0" xfId="0" applyNumberFormat="1" applyFont="1" applyFill="1" applyAlignment="1" applyProtection="1">
      <alignment horizontal="left" vertical="center"/>
    </xf>
    <xf numFmtId="172" fontId="24" fillId="0" borderId="0" xfId="0" applyNumberFormat="1" applyFont="1" applyFill="1" applyProtection="1"/>
    <xf numFmtId="171" fontId="24" fillId="0" borderId="0" xfId="0" applyNumberFormat="1" applyFont="1" applyFill="1" applyProtection="1"/>
    <xf numFmtId="180" fontId="19" fillId="0" borderId="0" xfId="0" applyNumberFormat="1" applyFont="1" applyFill="1" applyProtection="1"/>
    <xf numFmtId="0" fontId="24" fillId="0" borderId="2" xfId="0" applyFont="1" applyFill="1" applyBorder="1"/>
    <xf numFmtId="167" fontId="24" fillId="0" borderId="2" xfId="0" applyNumberFormat="1" applyFont="1" applyFill="1" applyBorder="1" applyAlignment="1" applyProtection="1">
      <alignment horizontal="left" vertical="center"/>
    </xf>
    <xf numFmtId="167" fontId="24" fillId="0" borderId="11" xfId="0" applyNumberFormat="1" applyFont="1" applyFill="1" applyBorder="1" applyAlignment="1" applyProtection="1">
      <alignment horizontal="left" vertical="center"/>
    </xf>
    <xf numFmtId="167" fontId="24" fillId="0" borderId="0" xfId="0" applyNumberFormat="1" applyFont="1" applyFill="1" applyBorder="1" applyAlignment="1" applyProtection="1">
      <alignment horizontal="left" vertical="center"/>
    </xf>
    <xf numFmtId="172" fontId="24" fillId="0" borderId="0" xfId="0" applyNumberFormat="1" applyFont="1" applyFill="1" applyBorder="1" applyProtection="1"/>
    <xf numFmtId="167" fontId="24" fillId="0" borderId="0" xfId="0" applyNumberFormat="1" applyFont="1" applyFill="1" applyBorder="1" applyAlignment="1" applyProtection="1">
      <alignment horizontal="left"/>
    </xf>
    <xf numFmtId="167" fontId="19" fillId="0" borderId="0" xfId="0" applyNumberFormat="1" applyFont="1" applyFill="1" applyBorder="1" applyAlignment="1" applyProtection="1">
      <alignment horizontal="left"/>
    </xf>
    <xf numFmtId="168" fontId="24" fillId="0" borderId="0" xfId="0" applyNumberFormat="1" applyFont="1" applyFill="1" applyBorder="1" applyProtection="1"/>
    <xf numFmtId="0" fontId="24" fillId="0" borderId="0" xfId="0" applyFont="1" applyFill="1" applyBorder="1"/>
    <xf numFmtId="0" fontId="15" fillId="4" borderId="2" xfId="0" applyFont="1" applyFill="1" applyBorder="1" applyAlignment="1">
      <alignment horizontal="centerContinuous" vertical="center"/>
    </xf>
    <xf numFmtId="167" fontId="19" fillId="5" borderId="0" xfId="0" applyNumberFormat="1" applyFont="1" applyFill="1" applyBorder="1" applyAlignment="1" applyProtection="1">
      <alignment horizontal="left"/>
    </xf>
    <xf numFmtId="0" fontId="19" fillId="5" borderId="0" xfId="0" applyFont="1" applyFill="1" applyBorder="1"/>
    <xf numFmtId="167" fontId="19" fillId="0" borderId="0" xfId="0" applyNumberFormat="1" applyFont="1" applyFill="1" applyAlignment="1" applyProtection="1">
      <alignment horizontal="left"/>
    </xf>
    <xf numFmtId="0" fontId="25" fillId="0" borderId="0" xfId="0" applyFont="1" applyFill="1"/>
    <xf numFmtId="167" fontId="25" fillId="0" borderId="0" xfId="0" applyNumberFormat="1" applyFont="1" applyFill="1" applyAlignment="1" applyProtection="1">
      <alignment horizontal="left"/>
    </xf>
    <xf numFmtId="171" fontId="19" fillId="0" borderId="0" xfId="0" applyNumberFormat="1" applyFont="1" applyFill="1" applyProtection="1"/>
    <xf numFmtId="0" fontId="24" fillId="0" borderId="11" xfId="0" applyFont="1" applyFill="1" applyBorder="1"/>
    <xf numFmtId="167" fontId="24" fillId="0" borderId="0" xfId="0" applyNumberFormat="1" applyFont="1" applyFill="1" applyAlignment="1" applyProtection="1">
      <alignment horizontal="left"/>
    </xf>
    <xf numFmtId="168" fontId="24" fillId="0" borderId="0" xfId="0" applyNumberFormat="1" applyFont="1" applyFill="1" applyProtection="1"/>
    <xf numFmtId="168" fontId="19" fillId="3" borderId="16" xfId="0" applyNumberFormat="1" applyFont="1" applyFill="1" applyBorder="1" applyAlignment="1" applyProtection="1">
      <alignment horizontal="right" vertical="center"/>
    </xf>
    <xf numFmtId="168" fontId="19" fillId="3" borderId="16" xfId="0" quotePrefix="1" applyNumberFormat="1" applyFont="1" applyFill="1" applyBorder="1" applyAlignment="1" applyProtection="1">
      <alignment horizontal="right" vertical="center"/>
    </xf>
    <xf numFmtId="170" fontId="19" fillId="4" borderId="2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>
      <alignment horizontal="left" vertical="center"/>
    </xf>
    <xf numFmtId="170" fontId="24" fillId="0" borderId="0" xfId="0" applyNumberFormat="1" applyFont="1" applyFill="1" applyAlignment="1" applyProtection="1">
      <alignment vertical="center"/>
    </xf>
    <xf numFmtId="171" fontId="24" fillId="0" borderId="0" xfId="0" applyNumberFormat="1" applyFont="1" applyFill="1" applyAlignment="1" applyProtection="1">
      <alignment vertical="center"/>
    </xf>
    <xf numFmtId="0" fontId="24" fillId="0" borderId="0" xfId="0" applyFont="1" applyFill="1" applyAlignment="1">
      <alignment vertical="center"/>
    </xf>
    <xf numFmtId="0" fontId="24" fillId="0" borderId="2" xfId="0" applyFont="1" applyFill="1" applyBorder="1" applyAlignment="1">
      <alignment vertical="center"/>
    </xf>
    <xf numFmtId="170" fontId="24" fillId="0" borderId="2" xfId="0" applyNumberFormat="1" applyFont="1" applyFill="1" applyBorder="1" applyAlignment="1" applyProtection="1">
      <alignment vertical="center"/>
    </xf>
    <xf numFmtId="167" fontId="19" fillId="5" borderId="0" xfId="0" applyNumberFormat="1" applyFont="1" applyFill="1" applyAlignment="1" applyProtection="1">
      <alignment horizontal="left" vertical="center"/>
    </xf>
    <xf numFmtId="171" fontId="19" fillId="5" borderId="0" xfId="0" applyNumberFormat="1" applyFont="1" applyFill="1" applyAlignment="1" applyProtection="1">
      <alignment vertical="center"/>
    </xf>
    <xf numFmtId="170" fontId="19" fillId="5" borderId="0" xfId="0" applyNumberFormat="1" applyFont="1" applyFill="1" applyAlignment="1" applyProtection="1">
      <alignment vertical="center"/>
    </xf>
    <xf numFmtId="168" fontId="24" fillId="0" borderId="0" xfId="0" applyNumberFormat="1" applyFont="1" applyFill="1" applyAlignment="1" applyProtection="1">
      <alignment vertical="center"/>
    </xf>
    <xf numFmtId="0" fontId="19" fillId="5" borderId="0" xfId="0" applyFont="1" applyFill="1" applyAlignment="1">
      <alignment vertical="center"/>
    </xf>
    <xf numFmtId="0" fontId="20" fillId="0" borderId="0" xfId="0" applyFont="1"/>
    <xf numFmtId="49" fontId="15" fillId="3" borderId="12" xfId="0" applyNumberFormat="1" applyFont="1" applyFill="1" applyBorder="1" applyAlignment="1" applyProtection="1">
      <alignment horizontal="center" vertical="center" wrapText="1"/>
    </xf>
    <xf numFmtId="189" fontId="16" fillId="0" borderId="0" xfId="0" applyNumberFormat="1" applyFont="1" applyFill="1" applyAlignment="1" applyProtection="1">
      <alignment vertical="center"/>
    </xf>
    <xf numFmtId="0" fontId="20" fillId="0" borderId="0" xfId="0" applyFont="1" applyAlignment="1">
      <alignment vertical="center"/>
    </xf>
    <xf numFmtId="167" fontId="16" fillId="0" borderId="17" xfId="0" applyNumberFormat="1" applyFont="1" applyFill="1" applyBorder="1" applyAlignment="1" applyProtection="1">
      <alignment horizontal="left" vertical="center"/>
    </xf>
    <xf numFmtId="167" fontId="11" fillId="4" borderId="18" xfId="0" applyNumberFormat="1" applyFont="1" applyFill="1" applyBorder="1" applyAlignment="1" applyProtection="1">
      <alignment horizontal="center" vertical="center"/>
    </xf>
    <xf numFmtId="167" fontId="11" fillId="4" borderId="19" xfId="0" applyNumberFormat="1" applyFont="1" applyFill="1" applyBorder="1" applyAlignment="1" applyProtection="1">
      <alignment horizontal="center" vertical="center"/>
    </xf>
    <xf numFmtId="190" fontId="15" fillId="4" borderId="19" xfId="0" applyNumberFormat="1" applyFont="1" applyFill="1" applyBorder="1" applyAlignment="1">
      <alignment vertical="center"/>
    </xf>
    <xf numFmtId="190" fontId="16" fillId="0" borderId="0" xfId="0" applyNumberFormat="1" applyFont="1" applyFill="1" applyAlignment="1">
      <alignment vertical="center"/>
    </xf>
    <xf numFmtId="190" fontId="16" fillId="0" borderId="2" xfId="0" applyNumberFormat="1" applyFont="1" applyFill="1" applyBorder="1" applyAlignment="1">
      <alignment vertical="center"/>
    </xf>
    <xf numFmtId="168" fontId="20" fillId="0" borderId="0" xfId="5" applyFont="1" applyFill="1" applyAlignment="1">
      <alignment horizontal="left" vertical="center"/>
    </xf>
    <xf numFmtId="39" fontId="15" fillId="4" borderId="2" xfId="0" quotePrefix="1" applyNumberFormat="1" applyFont="1" applyFill="1" applyBorder="1" applyAlignment="1" applyProtection="1">
      <alignment horizontal="center" vertical="center"/>
    </xf>
    <xf numFmtId="188" fontId="16" fillId="0" borderId="0" xfId="0" applyNumberFormat="1" applyFont="1" applyFill="1" applyBorder="1" applyAlignment="1" applyProtection="1">
      <alignment horizontal="right" vertical="center"/>
    </xf>
    <xf numFmtId="191" fontId="16" fillId="0" borderId="0" xfId="0" applyNumberFormat="1" applyFont="1" applyFill="1" applyAlignment="1" applyProtection="1">
      <alignment horizontal="right" vertical="center"/>
    </xf>
    <xf numFmtId="191" fontId="16" fillId="0" borderId="2" xfId="0" applyNumberFormat="1" applyFont="1" applyFill="1" applyBorder="1" applyAlignment="1" applyProtection="1">
      <alignment horizontal="right" vertical="center"/>
    </xf>
    <xf numFmtId="191" fontId="15" fillId="4" borderId="0" xfId="0" applyNumberFormat="1" applyFont="1" applyFill="1" applyBorder="1" applyAlignment="1" applyProtection="1">
      <alignment vertical="center"/>
    </xf>
    <xf numFmtId="37" fontId="15" fillId="3" borderId="12" xfId="0" applyNumberFormat="1" applyFont="1" applyFill="1" applyBorder="1" applyAlignment="1" applyProtection="1">
      <alignment horizontal="center" vertical="center"/>
    </xf>
    <xf numFmtId="37" fontId="15" fillId="3" borderId="12" xfId="0" applyNumberFormat="1" applyFont="1" applyFill="1" applyBorder="1" applyAlignment="1" applyProtection="1">
      <alignment horizontal="center" vertical="center" wrapText="1"/>
    </xf>
    <xf numFmtId="37" fontId="16" fillId="0" borderId="11" xfId="0" applyNumberFormat="1" applyFont="1" applyBorder="1" applyAlignment="1" applyProtection="1">
      <alignment horizontal="left" vertical="center"/>
    </xf>
    <xf numFmtId="3" fontId="16" fillId="0" borderId="11" xfId="0" applyNumberFormat="1" applyFont="1" applyBorder="1" applyAlignment="1" applyProtection="1">
      <alignment horizontal="right" vertical="center"/>
    </xf>
    <xf numFmtId="183" fontId="20" fillId="0" borderId="11" xfId="0" applyNumberFormat="1" applyFont="1" applyFill="1" applyBorder="1" applyAlignment="1" applyProtection="1">
      <alignment horizontal="right" vertical="center"/>
    </xf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Fill="1" applyAlignment="1"/>
    <xf numFmtId="0" fontId="16" fillId="0" borderId="0" xfId="0" applyFont="1" applyAlignment="1" applyProtection="1">
      <alignment horizontal="left" vertical="center"/>
    </xf>
    <xf numFmtId="0" fontId="16" fillId="0" borderId="0" xfId="0" applyFont="1" applyAlignment="1" applyProtection="1">
      <alignment horizontal="center"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 applyProtection="1">
      <alignment horizontal="left" vertical="center"/>
    </xf>
    <xf numFmtId="0" fontId="16" fillId="0" borderId="2" xfId="0" applyFont="1" applyBorder="1" applyAlignment="1" applyProtection="1">
      <alignment horizontal="center" vertical="center"/>
    </xf>
    <xf numFmtId="37" fontId="15" fillId="4" borderId="11" xfId="0" quotePrefix="1" applyNumberFormat="1" applyFont="1" applyFill="1" applyBorder="1" applyAlignment="1" applyProtection="1">
      <alignment horizontal="center" vertical="center"/>
    </xf>
    <xf numFmtId="37" fontId="15" fillId="4" borderId="2" xfId="0" quotePrefix="1" applyNumberFormat="1" applyFont="1" applyFill="1" applyBorder="1" applyAlignment="1" applyProtection="1">
      <alignment horizontal="center" vertical="center"/>
    </xf>
    <xf numFmtId="37" fontId="15" fillId="4" borderId="0" xfId="0" quotePrefix="1" applyNumberFormat="1" applyFont="1" applyFill="1" applyBorder="1" applyAlignment="1" applyProtection="1">
      <alignment horizontal="center" vertical="center"/>
    </xf>
    <xf numFmtId="183" fontId="20" fillId="0" borderId="0" xfId="0" applyNumberFormat="1" applyFont="1" applyAlignment="1">
      <alignment horizontal="right" vertical="center"/>
    </xf>
    <xf numFmtId="0" fontId="15" fillId="3" borderId="12" xfId="0" applyFont="1" applyFill="1" applyBorder="1" applyAlignment="1" applyProtection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188" fontId="16" fillId="0" borderId="0" xfId="0" applyNumberFormat="1" applyFont="1" applyAlignment="1" applyProtection="1">
      <alignment vertical="center"/>
      <protection locked="0"/>
    </xf>
    <xf numFmtId="188" fontId="16" fillId="0" borderId="2" xfId="0" applyNumberFormat="1" applyFont="1" applyBorder="1" applyAlignment="1" applyProtection="1">
      <alignment vertical="center"/>
      <protection locked="0"/>
    </xf>
    <xf numFmtId="0" fontId="20" fillId="0" borderId="0" xfId="0" applyFont="1" applyAlignment="1"/>
    <xf numFmtId="0" fontId="20" fillId="0" borderId="0" xfId="0" applyFont="1" applyFill="1" applyAlignment="1" applyProtection="1">
      <alignment horizontal="left"/>
    </xf>
    <xf numFmtId="168" fontId="20" fillId="0" borderId="0" xfId="0" applyNumberFormat="1" applyFont="1" applyFill="1" applyAlignment="1" applyProtection="1">
      <protection locked="0"/>
    </xf>
    <xf numFmtId="1" fontId="20" fillId="0" borderId="0" xfId="0" applyNumberFormat="1" applyFont="1" applyFill="1" applyAlignment="1" applyProtection="1">
      <protection locked="0"/>
    </xf>
    <xf numFmtId="188" fontId="15" fillId="4" borderId="11" xfId="0" applyNumberFormat="1" applyFont="1" applyFill="1" applyBorder="1" applyAlignment="1" applyProtection="1">
      <alignment vertical="center"/>
    </xf>
    <xf numFmtId="183" fontId="20" fillId="0" borderId="11" xfId="0" applyNumberFormat="1" applyFont="1" applyBorder="1" applyAlignment="1">
      <alignment horizontal="right" vertical="center"/>
    </xf>
    <xf numFmtId="0" fontId="16" fillId="0" borderId="0" xfId="0" applyFont="1" applyBorder="1" applyAlignment="1" applyProtection="1">
      <alignment horizontal="left"/>
    </xf>
    <xf numFmtId="188" fontId="16" fillId="0" borderId="0" xfId="0" applyNumberFormat="1" applyFont="1" applyFill="1" applyAlignment="1" applyProtection="1">
      <alignment horizontal="right" vertical="center"/>
    </xf>
    <xf numFmtId="188" fontId="16" fillId="0" borderId="2" xfId="0" applyNumberFormat="1" applyFont="1" applyFill="1" applyBorder="1" applyAlignment="1" applyProtection="1">
      <alignment horizontal="right" vertical="center"/>
    </xf>
    <xf numFmtId="188" fontId="15" fillId="4" borderId="0" xfId="0" applyNumberFormat="1" applyFont="1" applyFill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6" fillId="0" borderId="0" xfId="0" quotePrefix="1" applyNumberFormat="1" applyFont="1" applyFill="1" applyAlignment="1" applyProtection="1">
      <alignment horizontal="center" vertical="center"/>
    </xf>
    <xf numFmtId="49" fontId="16" fillId="0" borderId="2" xfId="0" quotePrefix="1" applyNumberFormat="1" applyFont="1" applyFill="1" applyBorder="1" applyAlignment="1" applyProtection="1">
      <alignment horizontal="center" vertical="center"/>
    </xf>
    <xf numFmtId="49" fontId="16" fillId="0" borderId="0" xfId="0" quotePrefix="1" applyNumberFormat="1" applyFont="1" applyFill="1" applyBorder="1" applyAlignment="1" applyProtection="1">
      <alignment horizontal="center" vertical="center"/>
    </xf>
    <xf numFmtId="173" fontId="16" fillId="0" borderId="0" xfId="0" applyNumberFormat="1" applyFont="1" applyFill="1" applyProtection="1"/>
    <xf numFmtId="0" fontId="16" fillId="0" borderId="0" xfId="0" applyFont="1" applyFill="1"/>
    <xf numFmtId="0" fontId="16" fillId="0" borderId="0" xfId="0" applyFont="1"/>
    <xf numFmtId="168" fontId="16" fillId="0" borderId="0" xfId="0" applyNumberFormat="1" applyFont="1" applyFill="1" applyProtection="1"/>
    <xf numFmtId="167" fontId="20" fillId="0" borderId="0" xfId="0" applyNumberFormat="1" applyFont="1" applyFill="1" applyAlignment="1" applyProtection="1">
      <alignment horizontal="left"/>
    </xf>
    <xf numFmtId="0" fontId="20" fillId="0" borderId="0" xfId="0" applyFont="1" applyFill="1"/>
    <xf numFmtId="0" fontId="16" fillId="2" borderId="0" xfId="0" applyFont="1" applyFill="1"/>
    <xf numFmtId="0" fontId="16" fillId="2" borderId="0" xfId="0" applyFont="1" applyFill="1" applyAlignment="1">
      <alignment vertical="center"/>
    </xf>
    <xf numFmtId="0" fontId="16" fillId="2" borderId="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167" fontId="15" fillId="3" borderId="4" xfId="0" applyNumberFormat="1" applyFont="1" applyFill="1" applyBorder="1" applyAlignment="1" applyProtection="1">
      <alignment horizontal="center"/>
    </xf>
    <xf numFmtId="168" fontId="15" fillId="3" borderId="14" xfId="0" applyNumberFormat="1" applyFont="1" applyFill="1" applyBorder="1" applyAlignment="1" applyProtection="1">
      <alignment horizontal="center" vertical="top"/>
    </xf>
    <xf numFmtId="0" fontId="27" fillId="0" borderId="0" xfId="0" applyFont="1" applyBorder="1" applyAlignment="1">
      <alignment vertical="center"/>
    </xf>
    <xf numFmtId="0" fontId="28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8" fillId="0" borderId="6" xfId="0" applyFont="1" applyFill="1" applyBorder="1" applyAlignment="1" applyProtection="1">
      <alignment horizontal="center" vertical="center"/>
    </xf>
    <xf numFmtId="0" fontId="27" fillId="0" borderId="0" xfId="0" applyFont="1" applyFill="1" applyAlignment="1">
      <alignment vertical="center"/>
    </xf>
    <xf numFmtId="167" fontId="11" fillId="0" borderId="0" xfId="0" applyNumberFormat="1" applyFont="1" applyFill="1" applyAlignment="1" applyProtection="1">
      <alignment horizontal="left"/>
      <protection locked="0"/>
    </xf>
    <xf numFmtId="167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8" fontId="16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7" fontId="11" fillId="0" borderId="0" xfId="4" applyNumberFormat="1" applyFont="1" applyFill="1" applyAlignment="1" applyProtection="1">
      <protection locked="0"/>
    </xf>
    <xf numFmtId="0" fontId="21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6" fillId="2" borderId="0" xfId="0" applyFont="1" applyFill="1" applyAlignment="1"/>
    <xf numFmtId="185" fontId="16" fillId="0" borderId="0" xfId="0" applyNumberFormat="1" applyFont="1" applyFill="1" applyAlignment="1" applyProtection="1">
      <alignment vertical="center"/>
    </xf>
    <xf numFmtId="185" fontId="16" fillId="0" borderId="0" xfId="0" applyNumberFormat="1" applyFont="1" applyFill="1" applyBorder="1" applyAlignment="1" applyProtection="1">
      <alignment vertical="center"/>
    </xf>
    <xf numFmtId="185" fontId="16" fillId="0" borderId="2" xfId="0" applyNumberFormat="1" applyFont="1" applyFill="1" applyBorder="1" applyAlignment="1" applyProtection="1">
      <alignment vertical="center"/>
    </xf>
    <xf numFmtId="185" fontId="15" fillId="4" borderId="0" xfId="0" applyNumberFormat="1" applyFont="1" applyFill="1" applyBorder="1" applyAlignment="1" applyProtection="1">
      <alignment vertical="center"/>
    </xf>
    <xf numFmtId="168" fontId="19" fillId="3" borderId="12" xfId="0" applyNumberFormat="1" applyFont="1" applyFill="1" applyBorder="1" applyAlignment="1">
      <alignment horizontal="center" vertical="center"/>
    </xf>
    <xf numFmtId="192" fontId="16" fillId="0" borderId="0" xfId="0" applyNumberFormat="1" applyFont="1" applyAlignment="1">
      <alignment vertical="center"/>
    </xf>
    <xf numFmtId="188" fontId="15" fillId="4" borderId="2" xfId="0" applyNumberFormat="1" applyFont="1" applyFill="1" applyBorder="1" applyAlignment="1" applyProtection="1">
      <alignment horizontal="right" vertical="center"/>
    </xf>
    <xf numFmtId="188" fontId="16" fillId="0" borderId="0" xfId="0" applyNumberFormat="1" applyFont="1" applyBorder="1" applyAlignment="1" applyProtection="1">
      <alignment horizontal="right" vertical="center"/>
    </xf>
    <xf numFmtId="188" fontId="15" fillId="5" borderId="0" xfId="0" quotePrefix="1" applyNumberFormat="1" applyFont="1" applyFill="1" applyBorder="1" applyAlignment="1" applyProtection="1">
      <alignment horizontal="right" vertical="center"/>
    </xf>
    <xf numFmtId="188" fontId="15" fillId="5" borderId="0" xfId="0" applyNumberFormat="1" applyFont="1" applyFill="1" applyAlignment="1" applyProtection="1">
      <alignment vertical="center"/>
      <protection locked="0"/>
    </xf>
    <xf numFmtId="188" fontId="15" fillId="5" borderId="2" xfId="0" applyNumberFormat="1" applyFont="1" applyFill="1" applyBorder="1" applyAlignment="1" applyProtection="1">
      <alignment vertical="center"/>
      <protection locked="0"/>
    </xf>
    <xf numFmtId="188" fontId="15" fillId="4" borderId="2" xfId="0" applyNumberFormat="1" applyFont="1" applyFill="1" applyBorder="1" applyAlignment="1" applyProtection="1">
      <alignment vertical="center"/>
      <protection locked="0"/>
    </xf>
    <xf numFmtId="188" fontId="15" fillId="4" borderId="0" xfId="0" applyNumberFormat="1" applyFont="1" applyFill="1" applyBorder="1" applyAlignment="1" applyProtection="1">
      <alignment vertical="center"/>
    </xf>
    <xf numFmtId="188" fontId="15" fillId="4" borderId="2" xfId="0" applyNumberFormat="1" applyFont="1" applyFill="1" applyBorder="1" applyAlignment="1" applyProtection="1">
      <alignment vertical="center"/>
    </xf>
    <xf numFmtId="188" fontId="15" fillId="0" borderId="0" xfId="0" applyNumberFormat="1" applyFont="1" applyFill="1" applyBorder="1" applyAlignment="1" applyProtection="1">
      <alignment vertical="center"/>
    </xf>
    <xf numFmtId="188" fontId="16" fillId="0" borderId="0" xfId="0" applyNumberFormat="1" applyFont="1" applyFill="1" applyAlignment="1" applyProtection="1">
      <alignment vertical="center"/>
    </xf>
    <xf numFmtId="188" fontId="16" fillId="0" borderId="0" xfId="0" applyNumberFormat="1" applyFont="1" applyFill="1" applyBorder="1" applyAlignment="1" applyProtection="1">
      <alignment vertical="center"/>
    </xf>
    <xf numFmtId="188" fontId="15" fillId="0" borderId="2" xfId="0" applyNumberFormat="1" applyFont="1" applyFill="1" applyBorder="1" applyAlignment="1" applyProtection="1">
      <alignment vertical="center"/>
    </xf>
    <xf numFmtId="188" fontId="16" fillId="0" borderId="2" xfId="0" applyNumberFormat="1" applyFont="1" applyFill="1" applyBorder="1" applyAlignment="1" applyProtection="1">
      <alignment vertical="center"/>
    </xf>
    <xf numFmtId="188" fontId="15" fillId="5" borderId="0" xfId="0" applyNumberFormat="1" applyFont="1" applyFill="1" applyBorder="1" applyAlignment="1" applyProtection="1">
      <alignment horizontal="right" vertical="center"/>
    </xf>
    <xf numFmtId="188" fontId="15" fillId="5" borderId="0" xfId="0" applyNumberFormat="1" applyFont="1" applyFill="1" applyAlignment="1" applyProtection="1">
      <alignment vertical="center"/>
    </xf>
    <xf numFmtId="188" fontId="15" fillId="5" borderId="0" xfId="0" applyNumberFormat="1" applyFont="1" applyFill="1" applyBorder="1" applyAlignment="1" applyProtection="1">
      <alignment vertical="center"/>
    </xf>
    <xf numFmtId="188" fontId="15" fillId="5" borderId="2" xfId="0" applyNumberFormat="1" applyFont="1" applyFill="1" applyBorder="1" applyAlignment="1" applyProtection="1">
      <alignment vertical="center"/>
    </xf>
    <xf numFmtId="3" fontId="15" fillId="5" borderId="0" xfId="0" applyNumberFormat="1" applyFont="1" applyFill="1" applyBorder="1" applyProtection="1">
      <protection locked="0"/>
    </xf>
    <xf numFmtId="188" fontId="16" fillId="0" borderId="0" xfId="0" applyNumberFormat="1" applyFont="1" applyProtection="1">
      <protection locked="0"/>
    </xf>
    <xf numFmtId="188" fontId="16" fillId="0" borderId="0" xfId="0" applyNumberFormat="1" applyFont="1" applyBorder="1" applyProtection="1">
      <protection locked="0"/>
    </xf>
    <xf numFmtId="188" fontId="16" fillId="0" borderId="2" xfId="0" applyNumberFormat="1" applyFont="1" applyBorder="1" applyProtection="1">
      <protection locked="0"/>
    </xf>
    <xf numFmtId="190" fontId="16" fillId="0" borderId="0" xfId="0" quotePrefix="1" applyNumberFormat="1" applyFont="1" applyFill="1" applyAlignment="1">
      <alignment horizontal="right" vertical="center"/>
    </xf>
    <xf numFmtId="167" fontId="15" fillId="3" borderId="15" xfId="0" applyNumberFormat="1" applyFont="1" applyFill="1" applyBorder="1" applyAlignment="1" applyProtection="1">
      <alignment horizontal="center" vertical="center"/>
    </xf>
    <xf numFmtId="167" fontId="11" fillId="4" borderId="15" xfId="0" applyNumberFormat="1" applyFont="1" applyFill="1" applyBorder="1" applyAlignment="1" applyProtection="1">
      <alignment horizontal="center" vertical="center"/>
    </xf>
    <xf numFmtId="168" fontId="20" fillId="0" borderId="0" xfId="5" applyFont="1" applyAlignment="1">
      <alignment horizontal="left" vertical="center"/>
    </xf>
    <xf numFmtId="167" fontId="11" fillId="0" borderId="0" xfId="0" applyNumberFormat="1" applyFont="1" applyFill="1" applyAlignment="1" applyProtection="1">
      <alignment horizontal="left"/>
    </xf>
    <xf numFmtId="167" fontId="11" fillId="0" borderId="0" xfId="0" applyNumberFormat="1" applyFont="1" applyFill="1" applyAlignment="1" applyProtection="1">
      <alignment horizontal="left" vertical="center"/>
    </xf>
    <xf numFmtId="167" fontId="15" fillId="3" borderId="12" xfId="0" applyNumberFormat="1" applyFont="1" applyFill="1" applyBorder="1" applyAlignment="1" applyProtection="1">
      <alignment horizontal="center" vertical="center" wrapText="1"/>
    </xf>
    <xf numFmtId="167" fontId="15" fillId="3" borderId="9" xfId="0" applyNumberFormat="1" applyFont="1" applyFill="1" applyBorder="1" applyAlignment="1" applyProtection="1">
      <alignment horizontal="centerContinuous" vertical="center"/>
    </xf>
    <xf numFmtId="167" fontId="15" fillId="3" borderId="11" xfId="0" applyNumberFormat="1" applyFont="1" applyFill="1" applyBorder="1" applyAlignment="1" applyProtection="1">
      <alignment horizontal="center"/>
    </xf>
    <xf numFmtId="168" fontId="15" fillId="3" borderId="12" xfId="0" applyNumberFormat="1" applyFont="1" applyFill="1" applyBorder="1" applyAlignment="1" applyProtection="1">
      <alignment horizontal="center" vertical="center"/>
    </xf>
    <xf numFmtId="168" fontId="15" fillId="3" borderId="2" xfId="0" applyNumberFormat="1" applyFont="1" applyFill="1" applyBorder="1" applyAlignment="1" applyProtection="1">
      <alignment horizontal="center" vertical="top"/>
    </xf>
    <xf numFmtId="167" fontId="11" fillId="4" borderId="2" xfId="0" applyNumberFormat="1" applyFont="1" applyFill="1" applyBorder="1" applyAlignment="1" applyProtection="1">
      <alignment horizontal="centerContinuous" vertical="center"/>
    </xf>
    <xf numFmtId="185" fontId="16" fillId="0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Alignment="1" applyProtection="1">
      <alignment vertical="center"/>
    </xf>
    <xf numFmtId="0" fontId="15" fillId="2" borderId="0" xfId="0" applyFont="1" applyFill="1" applyAlignment="1" applyProtection="1">
      <alignment vertical="center"/>
    </xf>
    <xf numFmtId="0" fontId="15" fillId="2" borderId="0" xfId="0" applyFont="1" applyFill="1" applyAlignment="1" applyProtection="1">
      <alignment horizontal="centerContinuous" vertical="center"/>
    </xf>
    <xf numFmtId="0" fontId="16" fillId="2" borderId="0" xfId="0" applyFont="1" applyFill="1" applyAlignment="1">
      <alignment horizontal="centerContinuous" vertical="center"/>
    </xf>
    <xf numFmtId="0" fontId="15" fillId="2" borderId="0" xfId="0" applyFont="1" applyFill="1" applyAlignment="1">
      <alignment horizontal="centerContinuous" vertical="center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37" fontId="16" fillId="7" borderId="0" xfId="0" quotePrefix="1" applyNumberFormat="1" applyFont="1" applyFill="1" applyBorder="1" applyAlignment="1" applyProtection="1">
      <alignment horizontal="center" vertical="center"/>
    </xf>
    <xf numFmtId="37" fontId="16" fillId="7" borderId="2" xfId="0" quotePrefix="1" applyNumberFormat="1" applyFont="1" applyFill="1" applyBorder="1" applyAlignment="1" applyProtection="1">
      <alignment horizontal="center" vertical="center"/>
    </xf>
    <xf numFmtId="0" fontId="28" fillId="0" borderId="0" xfId="0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8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8" fillId="0" borderId="0" xfId="0" applyFont="1" applyFill="1" applyBorder="1" applyAlignment="1" applyProtection="1">
      <alignment horizontal="center" vertical="center"/>
    </xf>
    <xf numFmtId="0" fontId="18" fillId="0" borderId="14" xfId="0" applyFont="1" applyFill="1" applyBorder="1" applyAlignment="1" applyProtection="1">
      <alignment horizontal="center" vertical="center"/>
    </xf>
    <xf numFmtId="0" fontId="28" fillId="0" borderId="0" xfId="0" applyFont="1" applyFill="1" applyAlignment="1"/>
    <xf numFmtId="167" fontId="11" fillId="0" borderId="0" xfId="0" applyNumberFormat="1" applyFont="1" applyFill="1" applyAlignment="1" applyProtection="1">
      <alignment horizontal="left"/>
    </xf>
    <xf numFmtId="183" fontId="19" fillId="4" borderId="2" xfId="0" applyNumberFormat="1" applyFont="1" applyFill="1" applyBorder="1" applyAlignment="1" applyProtection="1">
      <alignment vertical="center"/>
    </xf>
    <xf numFmtId="183" fontId="19" fillId="5" borderId="0" xfId="0" applyNumberFormat="1" applyFont="1" applyFill="1" applyAlignment="1" applyProtection="1">
      <alignment vertical="center"/>
    </xf>
    <xf numFmtId="183" fontId="24" fillId="0" borderId="0" xfId="0" applyNumberFormat="1" applyFont="1" applyFill="1" applyAlignment="1" applyProtection="1">
      <alignment vertical="center"/>
    </xf>
    <xf numFmtId="183" fontId="24" fillId="0" borderId="0" xfId="0" applyNumberFormat="1" applyFont="1" applyFill="1" applyProtection="1"/>
    <xf numFmtId="183" fontId="24" fillId="0" borderId="2" xfId="0" applyNumberFormat="1" applyFont="1" applyFill="1" applyBorder="1" applyProtection="1"/>
    <xf numFmtId="39" fontId="16" fillId="0" borderId="0" xfId="0" applyNumberFormat="1" applyFont="1" applyFill="1" applyProtection="1">
      <protection locked="0"/>
    </xf>
    <xf numFmtId="39" fontId="19" fillId="3" borderId="12" xfId="0" quotePrefix="1" applyNumberFormat="1" applyFont="1" applyFill="1" applyBorder="1" applyAlignment="1" applyProtection="1">
      <alignment horizontal="center" vertical="center"/>
    </xf>
    <xf numFmtId="171" fontId="24" fillId="0" borderId="0" xfId="0" applyNumberFormat="1" applyFont="1" applyFill="1" applyProtection="1">
      <protection locked="0"/>
    </xf>
    <xf numFmtId="171" fontId="24" fillId="0" borderId="2" xfId="0" applyNumberFormat="1" applyFont="1" applyFill="1" applyBorder="1" applyProtection="1">
      <protection locked="0"/>
    </xf>
    <xf numFmtId="171" fontId="20" fillId="0" borderId="0" xfId="0" applyNumberFormat="1" applyFont="1" applyFill="1" applyAlignment="1" applyProtection="1">
      <alignment horizontal="right" vertical="center"/>
    </xf>
    <xf numFmtId="171" fontId="24" fillId="0" borderId="0" xfId="0" applyNumberFormat="1" applyFont="1" applyFill="1"/>
    <xf numFmtId="171" fontId="24" fillId="0" borderId="2" xfId="0" applyNumberFormat="1" applyFont="1" applyFill="1" applyBorder="1"/>
    <xf numFmtId="0" fontId="11" fillId="2" borderId="0" xfId="0" applyFont="1" applyFill="1" applyAlignment="1" applyProtection="1"/>
    <xf numFmtId="194" fontId="15" fillId="4" borderId="15" xfId="0" applyNumberFormat="1" applyFont="1" applyFill="1" applyBorder="1" applyAlignment="1" applyProtection="1">
      <alignment vertical="center"/>
    </xf>
    <xf numFmtId="194" fontId="16" fillId="2" borderId="0" xfId="0" applyNumberFormat="1" applyFont="1" applyFill="1" applyBorder="1" applyAlignment="1" applyProtection="1">
      <alignment vertical="center"/>
    </xf>
    <xf numFmtId="194" fontId="16" fillId="2" borderId="2" xfId="0" applyNumberFormat="1" applyFont="1" applyFill="1" applyBorder="1" applyAlignment="1" applyProtection="1">
      <alignment vertical="center"/>
    </xf>
    <xf numFmtId="193" fontId="15" fillId="4" borderId="15" xfId="0" applyNumberFormat="1" applyFont="1" applyFill="1" applyBorder="1" applyAlignment="1" applyProtection="1">
      <alignment vertical="center"/>
    </xf>
    <xf numFmtId="193" fontId="16" fillId="2" borderId="0" xfId="0" applyNumberFormat="1" applyFont="1" applyFill="1" applyBorder="1" applyAlignment="1" applyProtection="1">
      <alignment vertical="center"/>
    </xf>
    <xf numFmtId="193" fontId="16" fillId="2" borderId="2" xfId="0" applyNumberFormat="1" applyFont="1" applyFill="1" applyBorder="1" applyAlignment="1" applyProtection="1">
      <alignment vertical="center"/>
    </xf>
    <xf numFmtId="195" fontId="16" fillId="0" borderId="0" xfId="0" applyNumberFormat="1" applyFont="1"/>
    <xf numFmtId="195" fontId="16" fillId="0" borderId="0" xfId="0" applyNumberFormat="1" applyFont="1" applyFill="1"/>
    <xf numFmtId="183" fontId="16" fillId="0" borderId="0" xfId="0" applyNumberFormat="1" applyFont="1" applyFill="1" applyAlignment="1" applyProtection="1">
      <alignment horizontal="right" vertical="center"/>
    </xf>
    <xf numFmtId="196" fontId="15" fillId="0" borderId="0" xfId="0" applyNumberFormat="1" applyFont="1" applyFill="1" applyAlignment="1" applyProtection="1">
      <alignment vertical="center"/>
    </xf>
    <xf numFmtId="194" fontId="19" fillId="4" borderId="2" xfId="0" applyNumberFormat="1" applyFont="1" applyFill="1" applyBorder="1" applyAlignment="1" applyProtection="1">
      <alignment horizontal="right" vertical="center"/>
    </xf>
    <xf numFmtId="194" fontId="19" fillId="5" borderId="0" xfId="0" applyNumberFormat="1" applyFont="1" applyFill="1" applyAlignment="1" applyProtection="1">
      <alignment horizontal="right" vertical="center"/>
    </xf>
    <xf numFmtId="194" fontId="24" fillId="0" borderId="0" xfId="0" applyNumberFormat="1" applyFont="1" applyFill="1" applyAlignment="1" applyProtection="1">
      <alignment horizontal="right" vertical="center"/>
    </xf>
    <xf numFmtId="194" fontId="24" fillId="0" borderId="2" xfId="0" applyNumberFormat="1" applyFont="1" applyFill="1" applyBorder="1" applyAlignment="1" applyProtection="1">
      <alignment horizontal="right" vertical="center"/>
    </xf>
    <xf numFmtId="194" fontId="15" fillId="4" borderId="2" xfId="0" applyNumberFormat="1" applyFont="1" applyFill="1" applyBorder="1" applyAlignment="1" applyProtection="1">
      <alignment vertical="center"/>
    </xf>
    <xf numFmtId="194" fontId="15" fillId="5" borderId="0" xfId="0" applyNumberFormat="1" applyFont="1" applyFill="1" applyAlignment="1" applyProtection="1">
      <alignment vertical="center"/>
    </xf>
    <xf numFmtId="194" fontId="16" fillId="0" borderId="0" xfId="0" applyNumberFormat="1" applyFont="1" applyFill="1" applyAlignment="1" applyProtection="1">
      <alignment vertical="center"/>
    </xf>
    <xf numFmtId="194" fontId="16" fillId="0" borderId="2" xfId="0" applyNumberFormat="1" applyFont="1" applyFill="1" applyBorder="1" applyAlignment="1" applyProtection="1">
      <alignment vertical="center"/>
    </xf>
    <xf numFmtId="168" fontId="20" fillId="0" borderId="0" xfId="5" applyFont="1" applyAlignment="1">
      <alignment horizontal="left" vertical="center"/>
    </xf>
    <xf numFmtId="167" fontId="11" fillId="0" borderId="0" xfId="0" applyNumberFormat="1" applyFont="1" applyFill="1" applyAlignment="1" applyProtection="1">
      <alignment horizontal="left" vertical="center"/>
    </xf>
    <xf numFmtId="167" fontId="15" fillId="3" borderId="12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horizontal="left" wrapText="1"/>
    </xf>
    <xf numFmtId="1" fontId="16" fillId="0" borderId="0" xfId="0" applyNumberFormat="1" applyFont="1"/>
    <xf numFmtId="167" fontId="11" fillId="0" borderId="0" xfId="0" applyNumberFormat="1" applyFont="1" applyFill="1" applyAlignment="1" applyProtection="1">
      <alignment horizontal="left" vertical="center"/>
    </xf>
    <xf numFmtId="168" fontId="20" fillId="0" borderId="0" xfId="5" applyFont="1" applyAlignment="1">
      <alignment horizontal="left" vertical="center"/>
    </xf>
    <xf numFmtId="194" fontId="24" fillId="0" borderId="0" xfId="0" applyNumberFormat="1" applyFont="1" applyFill="1" applyAlignment="1" applyProtection="1">
      <alignment horizontal="center" vertical="center"/>
    </xf>
    <xf numFmtId="167" fontId="16" fillId="0" borderId="0" xfId="0" applyNumberFormat="1" applyFont="1" applyFill="1" applyAlignment="1" applyProtection="1">
      <alignment horizontal="left"/>
      <protection locked="0"/>
    </xf>
    <xf numFmtId="183" fontId="20" fillId="0" borderId="0" xfId="0" applyNumberFormat="1" applyFont="1" applyBorder="1" applyAlignment="1">
      <alignment horizontal="right" vertical="center"/>
    </xf>
    <xf numFmtId="168" fontId="15" fillId="0" borderId="0" xfId="5" applyFont="1" applyAlignment="1" applyProtection="1">
      <alignment horizontal="centerContinuous" vertical="center"/>
    </xf>
    <xf numFmtId="172" fontId="16" fillId="0" borderId="0" xfId="5" applyNumberFormat="1" applyFont="1" applyAlignment="1">
      <alignment horizontal="centerContinuous" vertical="center"/>
    </xf>
    <xf numFmtId="172" fontId="15" fillId="0" borderId="0" xfId="5" applyNumberFormat="1" applyFont="1" applyAlignment="1">
      <alignment horizontal="centerContinuous" vertical="center"/>
    </xf>
    <xf numFmtId="173" fontId="15" fillId="0" borderId="0" xfId="5" applyNumberFormat="1" applyFont="1" applyAlignment="1">
      <alignment horizontal="centerContinuous" vertical="center"/>
    </xf>
    <xf numFmtId="168" fontId="15" fillId="0" borderId="0" xfId="5" applyFont="1" applyAlignment="1">
      <alignment horizontal="centerContinuous" vertical="center"/>
    </xf>
    <xf numFmtId="172" fontId="15" fillId="3" borderId="12" xfId="5" applyNumberFormat="1" applyFont="1" applyFill="1" applyBorder="1" applyAlignment="1" applyProtection="1">
      <alignment horizontal="center" vertical="center"/>
    </xf>
    <xf numFmtId="173" fontId="15" fillId="3" borderId="12" xfId="5" applyNumberFormat="1" applyFont="1" applyFill="1" applyBorder="1" applyAlignment="1" applyProtection="1">
      <alignment horizontal="center" vertical="center"/>
    </xf>
    <xf numFmtId="168" fontId="15" fillId="4" borderId="2" xfId="5" applyFont="1" applyFill="1" applyBorder="1" applyAlignment="1" applyProtection="1">
      <alignment horizontal="center" vertical="center"/>
    </xf>
    <xf numFmtId="168" fontId="15" fillId="0" borderId="0" xfId="5" applyFont="1" applyFill="1" applyBorder="1" applyAlignment="1" applyProtection="1">
      <alignment horizontal="left" vertical="center"/>
    </xf>
    <xf numFmtId="168" fontId="16" fillId="0" borderId="0" xfId="5" applyFont="1" applyFill="1" applyBorder="1" applyAlignment="1" applyProtection="1">
      <alignment horizontal="left" vertical="center"/>
    </xf>
    <xf numFmtId="168" fontId="16" fillId="0" borderId="0" xfId="5" applyFont="1" applyFill="1" applyBorder="1" applyAlignment="1">
      <alignment vertical="center"/>
    </xf>
    <xf numFmtId="168" fontId="15" fillId="0" borderId="0" xfId="5" applyFont="1" applyFill="1" applyBorder="1" applyAlignment="1">
      <alignment vertical="center"/>
    </xf>
    <xf numFmtId="168" fontId="16" fillId="0" borderId="2" xfId="5" applyFont="1" applyFill="1" applyBorder="1" applyAlignment="1" applyProtection="1">
      <alignment horizontal="left" vertical="center"/>
    </xf>
    <xf numFmtId="168" fontId="20" fillId="0" borderId="0" xfId="5" applyFont="1" applyAlignment="1" applyProtection="1">
      <alignment horizontal="left" vertical="center"/>
    </xf>
    <xf numFmtId="172" fontId="20" fillId="0" borderId="0" xfId="5" applyNumberFormat="1" applyFont="1" applyAlignment="1" applyProtection="1">
      <alignment vertical="center"/>
    </xf>
    <xf numFmtId="173" fontId="20" fillId="0" borderId="0" xfId="5" applyNumberFormat="1" applyFont="1" applyAlignment="1" applyProtection="1">
      <alignment vertical="center"/>
    </xf>
    <xf numFmtId="168" fontId="20" fillId="0" borderId="0" xfId="5" applyFont="1" applyAlignment="1" applyProtection="1">
      <alignment vertical="center"/>
    </xf>
    <xf numFmtId="194" fontId="15" fillId="5" borderId="0" xfId="0" applyNumberFormat="1" applyFont="1" applyFill="1" applyBorder="1" applyAlignment="1" applyProtection="1">
      <alignment vertical="center"/>
    </xf>
    <xf numFmtId="194" fontId="16" fillId="0" borderId="0" xfId="0" applyNumberFormat="1" applyFont="1" applyFill="1" applyBorder="1" applyAlignment="1" applyProtection="1">
      <alignment vertical="center"/>
    </xf>
    <xf numFmtId="194" fontId="15" fillId="5" borderId="0" xfId="0" applyNumberFormat="1" applyFont="1" applyFill="1" applyBorder="1" applyAlignment="1">
      <alignment vertical="center"/>
    </xf>
    <xf numFmtId="183" fontId="19" fillId="5" borderId="0" xfId="0" applyNumberFormat="1" applyFont="1" applyFill="1" applyBorder="1" applyAlignment="1" applyProtection="1">
      <alignment vertical="center"/>
    </xf>
    <xf numFmtId="183" fontId="24" fillId="0" borderId="0" xfId="0" applyNumberFormat="1" applyFont="1" applyFill="1" applyBorder="1" applyProtection="1"/>
    <xf numFmtId="191" fontId="15" fillId="4" borderId="2" xfId="0" applyNumberFormat="1" applyFont="1" applyFill="1" applyBorder="1" applyAlignment="1" applyProtection="1">
      <alignment vertical="center"/>
    </xf>
    <xf numFmtId="191" fontId="16" fillId="0" borderId="0" xfId="0" applyNumberFormat="1" applyFont="1" applyFill="1" applyBorder="1" applyAlignment="1" applyProtection="1">
      <alignment horizontal="right" vertical="center"/>
    </xf>
    <xf numFmtId="192" fontId="16" fillId="0" borderId="0" xfId="0" applyNumberFormat="1" applyFont="1"/>
    <xf numFmtId="43" fontId="16" fillId="0" borderId="0" xfId="1" applyFont="1"/>
    <xf numFmtId="197" fontId="16" fillId="0" borderId="0" xfId="1" applyNumberFormat="1" applyFont="1" applyFill="1" applyAlignment="1" applyProtection="1">
      <alignment horizontal="right" vertical="center" indent="1"/>
    </xf>
    <xf numFmtId="197" fontId="16" fillId="0" borderId="0" xfId="1" applyNumberFormat="1" applyFont="1" applyFill="1" applyAlignment="1" applyProtection="1">
      <alignment horizontal="right" vertical="center"/>
    </xf>
    <xf numFmtId="197" fontId="16" fillId="0" borderId="0" xfId="1" applyNumberFormat="1" applyFont="1" applyFill="1" applyAlignment="1" applyProtection="1">
      <alignment horizontal="left" vertical="center"/>
    </xf>
    <xf numFmtId="197" fontId="16" fillId="0" borderId="2" xfId="1" applyNumberFormat="1" applyFont="1" applyFill="1" applyBorder="1" applyAlignment="1" applyProtection="1">
      <alignment horizontal="right" vertical="center" indent="1"/>
    </xf>
    <xf numFmtId="197" fontId="16" fillId="0" borderId="2" xfId="1" applyNumberFormat="1" applyFont="1" applyFill="1" applyBorder="1" applyAlignment="1" applyProtection="1">
      <alignment horizontal="right" vertical="center"/>
    </xf>
    <xf numFmtId="167" fontId="11" fillId="0" borderId="0" xfId="0" applyNumberFormat="1" applyFont="1" applyFill="1" applyAlignment="1" applyProtection="1">
      <alignment horizontal="left"/>
    </xf>
    <xf numFmtId="168" fontId="20" fillId="0" borderId="0" xfId="5" applyFont="1" applyAlignment="1">
      <alignment horizontal="left" vertical="center"/>
    </xf>
    <xf numFmtId="167" fontId="11" fillId="0" borderId="0" xfId="0" applyNumberFormat="1" applyFont="1" applyFill="1" applyAlignment="1" applyProtection="1">
      <alignment horizontal="left" vertical="center"/>
    </xf>
    <xf numFmtId="3" fontId="16" fillId="0" borderId="0" xfId="0" applyNumberFormat="1" applyFont="1" applyFill="1" applyBorder="1" applyAlignment="1" applyProtection="1">
      <alignment horizontal="right" vertical="center"/>
    </xf>
    <xf numFmtId="37" fontId="15" fillId="0" borderId="0" xfId="0" applyNumberFormat="1" applyFont="1" applyFill="1" applyBorder="1" applyAlignment="1" applyProtection="1">
      <alignment horizontal="center" vertical="center"/>
    </xf>
    <xf numFmtId="37" fontId="24" fillId="0" borderId="11" xfId="0" applyNumberFormat="1" applyFont="1" applyBorder="1" applyAlignment="1" applyProtection="1">
      <alignment horizontal="left" vertical="center"/>
    </xf>
    <xf numFmtId="39" fontId="15" fillId="4" borderId="11" xfId="0" quotePrefix="1" applyNumberFormat="1" applyFont="1" applyFill="1" applyBorder="1" applyAlignment="1" applyProtection="1">
      <alignment horizontal="center" vertical="center"/>
    </xf>
    <xf numFmtId="188" fontId="15" fillId="4" borderId="11" xfId="0" quotePrefix="1" applyNumberFormat="1" applyFont="1" applyFill="1" applyBorder="1" applyAlignment="1" applyProtection="1">
      <alignment horizontal="right" vertical="center"/>
    </xf>
    <xf numFmtId="188" fontId="15" fillId="4" borderId="11" xfId="0" applyNumberFormat="1" applyFont="1" applyFill="1" applyBorder="1" applyAlignment="1" applyProtection="1">
      <alignment horizontal="right" vertical="center"/>
    </xf>
    <xf numFmtId="191" fontId="15" fillId="4" borderId="11" xfId="0" applyNumberFormat="1" applyFont="1" applyFill="1" applyBorder="1" applyAlignment="1" applyProtection="1">
      <alignment vertical="center"/>
    </xf>
    <xf numFmtId="197" fontId="16" fillId="0" borderId="0" xfId="1" applyNumberFormat="1" applyFont="1" applyBorder="1" applyAlignment="1" applyProtection="1">
      <alignment horizontal="right" vertical="center"/>
    </xf>
    <xf numFmtId="197" fontId="16" fillId="0" borderId="11" xfId="1" applyNumberFormat="1" applyFont="1" applyBorder="1" applyAlignment="1" applyProtection="1">
      <alignment horizontal="right" vertical="center"/>
    </xf>
    <xf numFmtId="197" fontId="15" fillId="3" borderId="12" xfId="1" applyNumberFormat="1" applyFont="1" applyFill="1" applyBorder="1" applyAlignment="1" applyProtection="1">
      <alignment horizontal="center" vertical="center"/>
    </xf>
    <xf numFmtId="188" fontId="16" fillId="0" borderId="0" xfId="0" applyNumberFormat="1" applyFont="1" applyBorder="1" applyAlignment="1" applyProtection="1">
      <alignment vertical="center"/>
      <protection locked="0"/>
    </xf>
    <xf numFmtId="197" fontId="15" fillId="4" borderId="11" xfId="1" applyNumberFormat="1" applyFont="1" applyFill="1" applyBorder="1" applyAlignment="1" applyProtection="1">
      <alignment vertical="center"/>
      <protection locked="0"/>
    </xf>
    <xf numFmtId="197" fontId="15" fillId="4" borderId="2" xfId="1" applyNumberFormat="1" applyFont="1" applyFill="1" applyBorder="1" applyAlignment="1" applyProtection="1">
      <alignment vertical="center"/>
      <protection locked="0"/>
    </xf>
    <xf numFmtId="197" fontId="16" fillId="0" borderId="0" xfId="1" applyNumberFormat="1" applyFont="1" applyAlignment="1" applyProtection="1">
      <alignment vertical="center"/>
      <protection locked="0"/>
    </xf>
    <xf numFmtId="197" fontId="16" fillId="0" borderId="0" xfId="1" applyNumberFormat="1" applyFont="1"/>
    <xf numFmtId="197" fontId="16" fillId="0" borderId="2" xfId="1" applyNumberFormat="1" applyFont="1" applyBorder="1" applyAlignment="1" applyProtection="1">
      <alignment vertical="center"/>
      <protection locked="0"/>
    </xf>
    <xf numFmtId="197" fontId="15" fillId="4" borderId="0" xfId="1" applyNumberFormat="1" applyFont="1" applyFill="1" applyBorder="1" applyAlignment="1" applyProtection="1">
      <alignment vertical="center"/>
      <protection locked="0"/>
    </xf>
    <xf numFmtId="43" fontId="16" fillId="0" borderId="0" xfId="1" applyFont="1" applyFill="1" applyBorder="1" applyAlignment="1" applyProtection="1">
      <alignment horizontal="right" vertical="center"/>
    </xf>
    <xf numFmtId="43" fontId="15" fillId="0" borderId="0" xfId="1" applyFont="1" applyFill="1" applyBorder="1" applyAlignment="1" applyProtection="1">
      <alignment horizontal="center" vertical="center"/>
    </xf>
    <xf numFmtId="167" fontId="15" fillId="3" borderId="15" xfId="0" applyNumberFormat="1" applyFont="1" applyFill="1" applyBorder="1" applyAlignment="1" applyProtection="1">
      <alignment horizontal="center" vertical="center"/>
    </xf>
    <xf numFmtId="194" fontId="16" fillId="0" borderId="0" xfId="0" applyNumberFormat="1" applyFont="1" applyFill="1" applyAlignment="1" applyProtection="1">
      <alignment horizontal="center" vertical="center"/>
    </xf>
    <xf numFmtId="194" fontId="16" fillId="0" borderId="2" xfId="0" applyNumberFormat="1" applyFont="1" applyFill="1" applyBorder="1" applyAlignment="1" applyProtection="1">
      <alignment horizontal="center" vertical="center"/>
    </xf>
    <xf numFmtId="197" fontId="20" fillId="0" borderId="11" xfId="1" applyNumberFormat="1" applyFont="1" applyBorder="1" applyAlignment="1" applyProtection="1">
      <alignment horizontal="right" vertical="center"/>
    </xf>
    <xf numFmtId="198" fontId="15" fillId="2" borderId="0" xfId="1" applyNumberFormat="1" applyFont="1" applyFill="1" applyAlignment="1" applyProtection="1">
      <alignment vertical="center"/>
    </xf>
    <xf numFmtId="198" fontId="15" fillId="2" borderId="0" xfId="1" applyNumberFormat="1" applyFont="1" applyFill="1" applyAlignment="1">
      <alignment horizontal="centerContinuous" vertical="center"/>
    </xf>
    <xf numFmtId="0" fontId="15" fillId="2" borderId="0" xfId="0" applyFont="1" applyFill="1" applyAlignment="1">
      <alignment vertical="center"/>
    </xf>
    <xf numFmtId="198" fontId="15" fillId="3" borderId="4" xfId="1" applyNumberFormat="1" applyFont="1" applyFill="1" applyBorder="1" applyAlignment="1" applyProtection="1">
      <alignment horizontal="center"/>
    </xf>
    <xf numFmtId="1" fontId="16" fillId="2" borderId="0" xfId="0" applyNumberFormat="1" applyFont="1" applyFill="1" applyAlignment="1" applyProtection="1">
      <alignment horizontal="left" vertical="center"/>
      <protection locked="0"/>
    </xf>
    <xf numFmtId="198" fontId="16" fillId="2" borderId="0" xfId="1" applyNumberFormat="1" applyFont="1" applyFill="1"/>
    <xf numFmtId="198" fontId="16" fillId="0" borderId="0" xfId="1" applyNumberFormat="1" applyFont="1" applyFill="1"/>
    <xf numFmtId="0" fontId="16" fillId="0" borderId="0" xfId="0" applyFont="1" applyFill="1" applyAlignment="1"/>
    <xf numFmtId="198" fontId="16" fillId="0" borderId="0" xfId="1" applyNumberFormat="1" applyFont="1" applyFill="1" applyProtection="1"/>
    <xf numFmtId="168" fontId="16" fillId="0" borderId="0" xfId="0" applyNumberFormat="1" applyFont="1" applyFill="1" applyAlignment="1" applyProtection="1"/>
    <xf numFmtId="168" fontId="11" fillId="0" borderId="0" xfId="5" applyFont="1" applyAlignment="1" applyProtection="1">
      <alignment horizontal="left"/>
    </xf>
    <xf numFmtId="168" fontId="15" fillId="0" borderId="0" xfId="5" applyFont="1" applyBorder="1" applyAlignment="1">
      <alignment vertical="center"/>
    </xf>
    <xf numFmtId="168" fontId="16" fillId="0" borderId="0" xfId="5" applyFont="1" applyFill="1" applyAlignment="1" applyProtection="1">
      <alignment horizontal="left" vertical="center"/>
    </xf>
    <xf numFmtId="167" fontId="11" fillId="4" borderId="15" xfId="0" applyNumberFormat="1" applyFont="1" applyFill="1" applyBorder="1" applyAlignment="1" applyProtection="1">
      <alignment horizontal="center" vertical="center"/>
    </xf>
    <xf numFmtId="199" fontId="15" fillId="4" borderId="2" xfId="0" applyNumberFormat="1" applyFont="1" applyFill="1" applyBorder="1" applyAlignment="1" applyProtection="1">
      <alignment vertical="center"/>
    </xf>
    <xf numFmtId="199" fontId="15" fillId="5" borderId="0" xfId="0" applyNumberFormat="1" applyFont="1" applyFill="1" applyBorder="1" applyAlignment="1" applyProtection="1">
      <alignment vertical="center"/>
    </xf>
    <xf numFmtId="199" fontId="16" fillId="0" borderId="0" xfId="0" applyNumberFormat="1" applyFont="1" applyFill="1" applyBorder="1" applyAlignment="1" applyProtection="1">
      <alignment vertical="center"/>
    </xf>
    <xf numFmtId="199" fontId="16" fillId="0" borderId="2" xfId="0" applyNumberFormat="1" applyFont="1" applyFill="1" applyBorder="1" applyAlignment="1" applyProtection="1">
      <alignment vertical="center"/>
    </xf>
    <xf numFmtId="189" fontId="16" fillId="2" borderId="0" xfId="1" applyNumberFormat="1" applyFont="1" applyFill="1" applyAlignment="1">
      <alignment horizontal="right" vertical="center"/>
    </xf>
    <xf numFmtId="189" fontId="16" fillId="2" borderId="2" xfId="1" applyNumberFormat="1" applyFont="1" applyFill="1" applyBorder="1" applyAlignment="1">
      <alignment horizontal="right" vertical="center"/>
    </xf>
    <xf numFmtId="199" fontId="16" fillId="2" borderId="0" xfId="1" applyNumberFormat="1" applyFont="1" applyFill="1" applyAlignment="1">
      <alignment horizontal="right" vertical="center"/>
    </xf>
    <xf numFmtId="199" fontId="16" fillId="2" borderId="2" xfId="1" applyNumberFormat="1" applyFont="1" applyFill="1" applyBorder="1" applyAlignment="1">
      <alignment horizontal="right" vertical="center"/>
    </xf>
    <xf numFmtId="194" fontId="16" fillId="0" borderId="0" xfId="0" applyNumberFormat="1" applyFont="1" applyFill="1" applyAlignment="1" applyProtection="1">
      <alignment vertical="center"/>
    </xf>
    <xf numFmtId="194" fontId="16" fillId="0" borderId="0" xfId="0" applyNumberFormat="1" applyFont="1" applyFill="1" applyBorder="1" applyAlignment="1" applyProtection="1">
      <alignment vertical="center"/>
    </xf>
    <xf numFmtId="194" fontId="15" fillId="4" borderId="0" xfId="0" applyNumberFormat="1" applyFont="1" applyFill="1" applyBorder="1" applyAlignment="1" applyProtection="1">
      <alignment vertical="center"/>
    </xf>
    <xf numFmtId="194" fontId="16" fillId="0" borderId="2" xfId="0" applyNumberFormat="1" applyFont="1" applyFill="1" applyBorder="1" applyAlignment="1" applyProtection="1">
      <alignment vertical="center"/>
    </xf>
    <xf numFmtId="194" fontId="16" fillId="0" borderId="0" xfId="0" applyNumberFormat="1" applyFont="1" applyFill="1" applyBorder="1" applyAlignment="1" applyProtection="1">
      <alignment horizontal="right" vertical="center"/>
    </xf>
    <xf numFmtId="200" fontId="16" fillId="0" borderId="0" xfId="0" applyNumberFormat="1" applyFont="1" applyFill="1" applyAlignment="1" applyProtection="1">
      <alignment vertical="center"/>
    </xf>
    <xf numFmtId="200" fontId="16" fillId="0" borderId="2" xfId="0" applyNumberFormat="1" applyFont="1" applyFill="1" applyBorder="1" applyAlignment="1" applyProtection="1">
      <alignment vertical="center"/>
    </xf>
    <xf numFmtId="200" fontId="16" fillId="0" borderId="0" xfId="0" applyNumberFormat="1" applyFont="1" applyAlignment="1">
      <alignment vertical="center"/>
    </xf>
    <xf numFmtId="200" fontId="16" fillId="0" borderId="0" xfId="0" applyNumberFormat="1" applyFont="1" applyFill="1" applyBorder="1" applyAlignment="1" applyProtection="1">
      <alignment vertical="center"/>
    </xf>
    <xf numFmtId="192" fontId="15" fillId="4" borderId="2" xfId="5" applyNumberFormat="1" applyFont="1" applyFill="1" applyBorder="1" applyAlignment="1" applyProtection="1">
      <alignment vertical="center"/>
    </xf>
    <xf numFmtId="192" fontId="16" fillId="0" borderId="0" xfId="5" applyNumberFormat="1" applyFont="1" applyBorder="1" applyAlignment="1" applyProtection="1">
      <alignment vertical="center"/>
    </xf>
    <xf numFmtId="192" fontId="15" fillId="0" borderId="0" xfId="5" applyNumberFormat="1" applyFont="1" applyFill="1" applyBorder="1" applyAlignment="1" applyProtection="1">
      <alignment vertical="center"/>
    </xf>
    <xf numFmtId="192" fontId="16" fillId="0" borderId="0" xfId="5" applyNumberFormat="1" applyFont="1" applyFill="1" applyBorder="1" applyAlignment="1" applyProtection="1">
      <alignment vertical="center"/>
    </xf>
    <xf numFmtId="192" fontId="29" fillId="0" borderId="0" xfId="5" applyNumberFormat="1" applyFont="1" applyFill="1" applyBorder="1" applyAlignment="1" applyProtection="1">
      <alignment vertical="center"/>
    </xf>
    <xf numFmtId="192" fontId="16" fillId="0" borderId="2" xfId="5" applyNumberFormat="1" applyFont="1" applyFill="1" applyBorder="1" applyAlignment="1" applyProtection="1">
      <alignment vertical="center"/>
    </xf>
    <xf numFmtId="191" fontId="15" fillId="4" borderId="15" xfId="0" applyNumberFormat="1" applyFont="1" applyFill="1" applyBorder="1" applyAlignment="1" applyProtection="1">
      <alignment horizontal="right" vertical="center"/>
    </xf>
    <xf numFmtId="191" fontId="15" fillId="5" borderId="0" xfId="0" applyNumberFormat="1" applyFont="1" applyFill="1" applyAlignment="1" applyProtection="1">
      <alignment horizontal="right" vertical="center"/>
    </xf>
    <xf numFmtId="191" fontId="16" fillId="0" borderId="0" xfId="0" applyNumberFormat="1" applyFont="1" applyFill="1" applyAlignment="1" applyProtection="1">
      <alignment horizontal="right" vertical="center"/>
    </xf>
    <xf numFmtId="191" fontId="16" fillId="0" borderId="2" xfId="0" applyNumberFormat="1" applyFont="1" applyFill="1" applyBorder="1" applyAlignment="1" applyProtection="1">
      <alignment horizontal="right" vertical="center"/>
    </xf>
    <xf numFmtId="188" fontId="15" fillId="4" borderId="2" xfId="0" applyNumberFormat="1" applyFont="1" applyFill="1" applyBorder="1" applyAlignment="1">
      <alignment vertical="center"/>
    </xf>
    <xf numFmtId="188" fontId="16" fillId="0" borderId="0" xfId="0" applyNumberFormat="1" applyFont="1" applyAlignment="1">
      <alignment vertical="center"/>
    </xf>
    <xf numFmtId="188" fontId="16" fillId="0" borderId="2" xfId="0" applyNumberFormat="1" applyFont="1" applyBorder="1" applyAlignment="1">
      <alignment vertical="center"/>
    </xf>
    <xf numFmtId="188" fontId="15" fillId="4" borderId="0" xfId="0" applyNumberFormat="1" applyFont="1" applyFill="1" applyBorder="1" applyAlignment="1" applyProtection="1">
      <alignment vertical="center"/>
    </xf>
    <xf numFmtId="188" fontId="15" fillId="4" borderId="2" xfId="0" applyNumberFormat="1" applyFont="1" applyFill="1" applyBorder="1" applyAlignment="1" applyProtection="1">
      <alignment vertical="center"/>
    </xf>
    <xf numFmtId="188" fontId="16" fillId="0" borderId="0" xfId="0" applyNumberFormat="1" applyFont="1" applyFill="1" applyAlignment="1" applyProtection="1">
      <alignment horizontal="right" vertical="center"/>
    </xf>
    <xf numFmtId="188" fontId="16" fillId="0" borderId="2" xfId="0" applyNumberFormat="1" applyFont="1" applyFill="1" applyBorder="1" applyAlignment="1" applyProtection="1">
      <alignment horizontal="right" vertical="center"/>
    </xf>
    <xf numFmtId="3" fontId="15" fillId="4" borderId="0" xfId="0" applyNumberFormat="1" applyFont="1" applyFill="1" applyBorder="1" applyAlignment="1" applyProtection="1">
      <alignment vertical="center"/>
    </xf>
    <xf numFmtId="3" fontId="15" fillId="4" borderId="2" xfId="0" applyNumberFormat="1" applyFont="1" applyFill="1" applyBorder="1" applyAlignment="1" applyProtection="1">
      <alignment vertical="center"/>
    </xf>
    <xf numFmtId="3" fontId="16" fillId="0" borderId="0" xfId="0" applyNumberFormat="1" applyFont="1" applyFill="1" applyAlignment="1" applyProtection="1">
      <alignment horizontal="right" vertical="center"/>
    </xf>
    <xf numFmtId="3" fontId="16" fillId="0" borderId="0" xfId="0" applyNumberFormat="1" applyFont="1" applyFill="1" applyBorder="1" applyAlignment="1" applyProtection="1">
      <alignment horizontal="right" vertical="center"/>
    </xf>
    <xf numFmtId="3" fontId="16" fillId="0" borderId="2" xfId="0" applyNumberFormat="1" applyFont="1" applyFill="1" applyBorder="1" applyAlignment="1" applyProtection="1">
      <alignment horizontal="right" vertical="center"/>
    </xf>
    <xf numFmtId="3" fontId="15" fillId="4" borderId="0" xfId="0" applyNumberFormat="1" applyFont="1" applyFill="1" applyBorder="1" applyAlignment="1" applyProtection="1">
      <alignment vertical="center"/>
    </xf>
    <xf numFmtId="3" fontId="15" fillId="4" borderId="2" xfId="0" applyNumberFormat="1" applyFont="1" applyFill="1" applyBorder="1" applyAlignment="1" applyProtection="1">
      <alignment vertical="center"/>
    </xf>
    <xf numFmtId="3" fontId="16" fillId="0" borderId="0" xfId="0" applyNumberFormat="1" applyFont="1" applyFill="1" applyBorder="1" applyAlignment="1" applyProtection="1">
      <alignment vertical="center"/>
    </xf>
    <xf numFmtId="3" fontId="16" fillId="0" borderId="2" xfId="0" applyNumberFormat="1" applyFont="1" applyFill="1" applyBorder="1" applyAlignment="1" applyProtection="1">
      <alignment vertical="center"/>
    </xf>
    <xf numFmtId="188" fontId="15" fillId="4" borderId="0" xfId="0" applyNumberFormat="1" applyFont="1" applyFill="1" applyBorder="1" applyAlignment="1" applyProtection="1">
      <alignment vertical="center"/>
    </xf>
    <xf numFmtId="188" fontId="15" fillId="4" borderId="2" xfId="0" applyNumberFormat="1" applyFont="1" applyFill="1" applyBorder="1" applyAlignment="1" applyProtection="1">
      <alignment vertical="center"/>
    </xf>
    <xf numFmtId="188" fontId="16" fillId="0" borderId="0" xfId="0" applyNumberFormat="1" applyFont="1" applyFill="1" applyBorder="1" applyAlignment="1" applyProtection="1">
      <alignment vertical="center"/>
    </xf>
    <xf numFmtId="188" fontId="16" fillId="0" borderId="2" xfId="0" applyNumberFormat="1" applyFont="1" applyFill="1" applyBorder="1" applyAlignment="1" applyProtection="1">
      <alignment vertical="center"/>
    </xf>
    <xf numFmtId="1" fontId="15" fillId="4" borderId="0" xfId="0" applyNumberFormat="1" applyFont="1" applyFill="1" applyBorder="1" applyAlignment="1" applyProtection="1">
      <alignment vertical="center"/>
    </xf>
    <xf numFmtId="1" fontId="15" fillId="4" borderId="2" xfId="0" applyNumberFormat="1" applyFont="1" applyFill="1" applyBorder="1" applyAlignment="1" applyProtection="1">
      <alignment vertical="center"/>
    </xf>
    <xf numFmtId="1" fontId="16" fillId="0" borderId="0" xfId="0" applyNumberFormat="1" applyFont="1" applyFill="1" applyBorder="1" applyAlignment="1" applyProtection="1">
      <alignment vertical="center"/>
    </xf>
    <xf numFmtId="1" fontId="16" fillId="0" borderId="2" xfId="0" applyNumberFormat="1" applyFont="1" applyFill="1" applyBorder="1" applyAlignment="1" applyProtection="1">
      <alignment vertical="center"/>
    </xf>
    <xf numFmtId="183" fontId="23" fillId="0" borderId="11" xfId="0" applyNumberFormat="1" applyFont="1" applyBorder="1" applyAlignment="1">
      <alignment horizontal="right" vertical="center"/>
    </xf>
    <xf numFmtId="183" fontId="20" fillId="0" borderId="11" xfId="0" applyNumberFormat="1" applyFont="1" applyBorder="1" applyAlignment="1">
      <alignment horizontal="right" vertical="center"/>
    </xf>
    <xf numFmtId="0" fontId="11" fillId="8" borderId="20" xfId="0" applyFont="1" applyFill="1" applyBorder="1" applyAlignment="1">
      <alignment horizontal="center" vertical="center"/>
    </xf>
    <xf numFmtId="189" fontId="15" fillId="8" borderId="20" xfId="1" applyNumberFormat="1" applyFont="1" applyFill="1" applyBorder="1" applyAlignment="1">
      <alignment horizontal="right" vertical="center"/>
    </xf>
    <xf numFmtId="199" fontId="15" fillId="8" borderId="20" xfId="1" applyNumberFormat="1" applyFont="1" applyFill="1" applyBorder="1" applyAlignment="1">
      <alignment horizontal="right" vertical="center"/>
    </xf>
    <xf numFmtId="0" fontId="15" fillId="6" borderId="12" xfId="0" applyFont="1" applyFill="1" applyBorder="1" applyAlignment="1" applyProtection="1">
      <alignment horizontal="center" vertical="center"/>
    </xf>
    <xf numFmtId="0" fontId="15" fillId="6" borderId="1" xfId="0" applyFont="1" applyFill="1" applyBorder="1" applyAlignment="1" applyProtection="1">
      <alignment horizontal="center" vertical="center"/>
    </xf>
    <xf numFmtId="198" fontId="15" fillId="3" borderId="14" xfId="1" applyNumberFormat="1" applyFont="1" applyFill="1" applyBorder="1" applyAlignment="1" applyProtection="1">
      <alignment horizontal="center" vertical="top"/>
    </xf>
    <xf numFmtId="3" fontId="15" fillId="5" borderId="2" xfId="0" applyNumberFormat="1" applyFont="1" applyFill="1" applyBorder="1" applyProtection="1">
      <protection locked="0"/>
    </xf>
    <xf numFmtId="201" fontId="15" fillId="0" borderId="0" xfId="5" applyNumberFormat="1" applyFont="1" applyFill="1" applyBorder="1" applyAlignment="1" applyProtection="1">
      <alignment vertical="center"/>
    </xf>
    <xf numFmtId="201" fontId="16" fillId="0" borderId="0" xfId="5" applyNumberFormat="1" applyFont="1" applyFill="1" applyBorder="1" applyAlignment="1" applyProtection="1">
      <alignment vertical="center"/>
    </xf>
    <xf numFmtId="201" fontId="29" fillId="0" borderId="0" xfId="5" applyNumberFormat="1" applyFont="1" applyFill="1" applyBorder="1" applyAlignment="1" applyProtection="1">
      <alignment vertical="center"/>
    </xf>
    <xf numFmtId="201" fontId="16" fillId="0" borderId="2" xfId="5" applyNumberFormat="1" applyFont="1" applyFill="1" applyBorder="1" applyAlignment="1" applyProtection="1">
      <alignment vertical="center"/>
    </xf>
    <xf numFmtId="202" fontId="15" fillId="4" borderId="2" xfId="5" applyNumberFormat="1" applyFont="1" applyFill="1" applyBorder="1" applyAlignment="1" applyProtection="1">
      <alignment vertical="center"/>
    </xf>
    <xf numFmtId="202" fontId="15" fillId="0" borderId="0" xfId="5" applyNumberFormat="1" applyFont="1" applyBorder="1" applyAlignment="1" applyProtection="1">
      <alignment vertical="center"/>
    </xf>
    <xf numFmtId="202" fontId="15" fillId="0" borderId="0" xfId="5" applyNumberFormat="1" applyFont="1" applyFill="1" applyBorder="1" applyAlignment="1" applyProtection="1">
      <alignment vertical="center"/>
    </xf>
    <xf numFmtId="202" fontId="16" fillId="0" borderId="0" xfId="5" applyNumberFormat="1" applyFont="1" applyFill="1" applyBorder="1" applyAlignment="1" applyProtection="1">
      <alignment vertical="center"/>
    </xf>
    <xf numFmtId="202" fontId="29" fillId="0" borderId="0" xfId="5" applyNumberFormat="1" applyFont="1" applyFill="1" applyBorder="1" applyAlignment="1" applyProtection="1">
      <alignment vertical="center"/>
    </xf>
    <xf numFmtId="202" fontId="16" fillId="0" borderId="2" xfId="5" applyNumberFormat="1" applyFont="1" applyFill="1" applyBorder="1" applyAlignment="1" applyProtection="1">
      <alignment vertical="center"/>
    </xf>
    <xf numFmtId="201" fontId="15" fillId="4" borderId="2" xfId="5" applyNumberFormat="1" applyFont="1" applyFill="1" applyBorder="1" applyAlignment="1" applyProtection="1">
      <alignment vertical="center"/>
    </xf>
    <xf numFmtId="201" fontId="15" fillId="0" borderId="0" xfId="5" applyNumberFormat="1" applyFont="1" applyBorder="1" applyAlignment="1" applyProtection="1">
      <alignment vertical="center"/>
    </xf>
    <xf numFmtId="168" fontId="15" fillId="3" borderId="12" xfId="5" applyFont="1" applyFill="1" applyBorder="1" applyAlignment="1" applyProtection="1">
      <alignment horizontal="center" vertical="center"/>
    </xf>
    <xf numFmtId="167" fontId="15" fillId="5" borderId="11" xfId="4" applyNumberFormat="1" applyFont="1" applyFill="1" applyBorder="1" applyAlignment="1" applyProtection="1">
      <alignment horizontal="center" vertical="center" wrapText="1"/>
      <protection locked="0"/>
    </xf>
    <xf numFmtId="167" fontId="15" fillId="5" borderId="0" xfId="4" applyNumberFormat="1" applyFont="1" applyFill="1" applyBorder="1" applyAlignment="1" applyProtection="1">
      <alignment horizontal="center" vertical="center" wrapText="1"/>
      <protection locked="0"/>
    </xf>
    <xf numFmtId="167" fontId="15" fillId="3" borderId="5" xfId="0" applyNumberFormat="1" applyFont="1" applyFill="1" applyBorder="1" applyAlignment="1" applyProtection="1">
      <alignment horizontal="center" vertical="center"/>
    </xf>
    <xf numFmtId="167" fontId="15" fillId="3" borderId="3" xfId="0" applyNumberFormat="1" applyFont="1" applyFill="1" applyBorder="1" applyAlignment="1" applyProtection="1">
      <alignment horizontal="center" vertical="center"/>
    </xf>
    <xf numFmtId="167" fontId="15" fillId="3" borderId="13" xfId="0" applyNumberFormat="1" applyFont="1" applyFill="1" applyBorder="1" applyAlignment="1" applyProtection="1">
      <alignment horizontal="center" vertical="center"/>
    </xf>
    <xf numFmtId="167" fontId="15" fillId="3" borderId="1" xfId="0" applyNumberFormat="1" applyFont="1" applyFill="1" applyBorder="1" applyAlignment="1" applyProtection="1">
      <alignment horizontal="center" vertical="center"/>
    </xf>
    <xf numFmtId="167" fontId="15" fillId="3" borderId="9" xfId="0" applyNumberFormat="1" applyFont="1" applyFill="1" applyBorder="1" applyAlignment="1" applyProtection="1">
      <alignment horizontal="center" vertical="center"/>
    </xf>
    <xf numFmtId="167" fontId="15" fillId="3" borderId="10" xfId="0" applyNumberFormat="1" applyFont="1" applyFill="1" applyBorder="1" applyAlignment="1" applyProtection="1">
      <alignment horizontal="center" vertical="center"/>
    </xf>
    <xf numFmtId="0" fontId="15" fillId="6" borderId="5" xfId="0" applyFont="1" applyFill="1" applyBorder="1" applyAlignment="1" applyProtection="1">
      <alignment horizontal="center" vertical="center"/>
    </xf>
    <xf numFmtId="0" fontId="15" fillId="6" borderId="13" xfId="0" applyFont="1" applyFill="1" applyBorder="1" applyAlignment="1" applyProtection="1">
      <alignment horizontal="center" vertical="center"/>
    </xf>
    <xf numFmtId="0" fontId="15" fillId="6" borderId="9" xfId="0" applyFont="1" applyFill="1" applyBorder="1" applyAlignment="1" applyProtection="1">
      <alignment horizontal="center" vertical="center"/>
    </xf>
    <xf numFmtId="0" fontId="15" fillId="6" borderId="10" xfId="0" applyFont="1" applyFill="1" applyBorder="1" applyAlignment="1" applyProtection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167" fontId="15" fillId="3" borderId="2" xfId="0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167" fontId="15" fillId="3" borderId="15" xfId="0" applyNumberFormat="1" applyFont="1" applyFill="1" applyBorder="1" applyAlignment="1" applyProtection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67" fontId="11" fillId="4" borderId="15" xfId="0" applyNumberFormat="1" applyFont="1" applyFill="1" applyBorder="1" applyAlignment="1" applyProtection="1">
      <alignment horizontal="center" vertical="center"/>
    </xf>
    <xf numFmtId="167" fontId="19" fillId="3" borderId="9" xfId="0" applyNumberFormat="1" applyFont="1" applyFill="1" applyBorder="1" applyAlignment="1" applyProtection="1">
      <alignment horizontal="center" vertical="center"/>
    </xf>
    <xf numFmtId="167" fontId="19" fillId="3" borderId="15" xfId="0" applyNumberFormat="1" applyFont="1" applyFill="1" applyBorder="1" applyAlignment="1" applyProtection="1">
      <alignment horizontal="center" vertical="center"/>
    </xf>
    <xf numFmtId="167" fontId="19" fillId="3" borderId="10" xfId="0" applyNumberFormat="1" applyFont="1" applyFill="1" applyBorder="1" applyAlignment="1" applyProtection="1">
      <alignment horizontal="center" vertical="center"/>
    </xf>
    <xf numFmtId="167" fontId="19" fillId="3" borderId="9" xfId="0" applyNumberFormat="1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7" fontId="15" fillId="4" borderId="15" xfId="0" applyNumberFormat="1" applyFont="1" applyFill="1" applyBorder="1" applyAlignment="1" applyProtection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8" fontId="20" fillId="0" borderId="0" xfId="5" applyFont="1" applyAlignment="1">
      <alignment horizontal="left" vertical="center"/>
    </xf>
    <xf numFmtId="168" fontId="11" fillId="0" borderId="0" xfId="5" applyFont="1" applyAlignment="1" applyProtection="1">
      <alignment horizontal="left" vertical="center" wrapText="1"/>
    </xf>
    <xf numFmtId="168" fontId="11" fillId="0" borderId="0" xfId="5" applyFont="1" applyAlignment="1" applyProtection="1">
      <alignment horizontal="left" vertical="center"/>
    </xf>
    <xf numFmtId="168" fontId="15" fillId="3" borderId="4" xfId="5" applyFont="1" applyFill="1" applyBorder="1" applyAlignment="1" applyProtection="1">
      <alignment horizontal="center" vertical="center"/>
    </xf>
    <xf numFmtId="168" fontId="15" fillId="3" borderId="14" xfId="5" applyFont="1" applyFill="1" applyBorder="1" applyAlignment="1" applyProtection="1">
      <alignment horizontal="center" vertical="center"/>
    </xf>
    <xf numFmtId="168" fontId="15" fillId="3" borderId="9" xfId="5" applyFont="1" applyFill="1" applyBorder="1" applyAlignment="1" applyProtection="1">
      <alignment horizontal="center" vertical="center"/>
    </xf>
    <xf numFmtId="168" fontId="15" fillId="3" borderId="15" xfId="5" applyFont="1" applyFill="1" applyBorder="1" applyAlignment="1" applyProtection="1">
      <alignment horizontal="center" vertical="center"/>
    </xf>
    <xf numFmtId="168" fontId="15" fillId="3" borderId="10" xfId="5" applyFont="1" applyFill="1" applyBorder="1" applyAlignment="1" applyProtection="1">
      <alignment horizontal="center" vertical="center"/>
    </xf>
    <xf numFmtId="168" fontId="15" fillId="3" borderId="9" xfId="5" applyFont="1" applyFill="1" applyBorder="1" applyAlignment="1">
      <alignment horizontal="center" vertical="center"/>
    </xf>
    <xf numFmtId="168" fontId="15" fillId="3" borderId="15" xfId="5" applyFont="1" applyFill="1" applyBorder="1" applyAlignment="1">
      <alignment horizontal="center" vertical="center"/>
    </xf>
    <xf numFmtId="168" fontId="15" fillId="3" borderId="10" xfId="5" applyFont="1" applyFill="1" applyBorder="1" applyAlignment="1">
      <alignment horizontal="center" vertical="center"/>
    </xf>
    <xf numFmtId="167" fontId="11" fillId="0" borderId="0" xfId="0" applyNumberFormat="1" applyFont="1" applyFill="1" applyAlignment="1" applyProtection="1">
      <alignment horizontal="left"/>
    </xf>
    <xf numFmtId="167" fontId="15" fillId="3" borderId="12" xfId="0" applyNumberFormat="1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37" fontId="11" fillId="4" borderId="11" xfId="0" applyNumberFormat="1" applyFont="1" applyFill="1" applyBorder="1" applyAlignment="1" applyProtection="1">
      <alignment horizontal="center" vertical="center"/>
    </xf>
    <xf numFmtId="37" fontId="11" fillId="4" borderId="2" xfId="0" applyNumberFormat="1" applyFont="1" applyFill="1" applyBorder="1" applyAlignment="1" applyProtection="1">
      <alignment horizontal="center" vertical="center"/>
    </xf>
    <xf numFmtId="0" fontId="11" fillId="4" borderId="11" xfId="0" applyFont="1" applyFill="1" applyBorder="1" applyAlignment="1" applyProtection="1">
      <alignment horizontal="center" vertical="center"/>
    </xf>
    <xf numFmtId="0" fontId="11" fillId="4" borderId="2" xfId="0" applyFont="1" applyFill="1" applyBorder="1" applyAlignment="1" applyProtection="1">
      <alignment horizontal="center" vertical="center"/>
    </xf>
    <xf numFmtId="167" fontId="11" fillId="4" borderId="11" xfId="0" applyNumberFormat="1" applyFont="1" applyFill="1" applyBorder="1" applyAlignment="1" applyProtection="1">
      <alignment horizontal="center" vertical="center"/>
    </xf>
    <xf numFmtId="167" fontId="11" fillId="4" borderId="2" xfId="0" applyNumberFormat="1" applyFont="1" applyFill="1" applyBorder="1" applyAlignment="1" applyProtection="1">
      <alignment horizontal="center" vertical="center"/>
    </xf>
    <xf numFmtId="39" fontId="11" fillId="4" borderId="11" xfId="0" applyNumberFormat="1" applyFont="1" applyFill="1" applyBorder="1" applyAlignment="1" applyProtection="1">
      <alignment horizontal="center" vertical="center"/>
    </xf>
    <xf numFmtId="39" fontId="11" fillId="4" borderId="2" xfId="0" applyNumberFormat="1" applyFont="1" applyFill="1" applyBorder="1" applyAlignment="1" applyProtection="1">
      <alignment horizontal="center" vertical="center"/>
    </xf>
    <xf numFmtId="39" fontId="11" fillId="4" borderId="17" xfId="0" applyNumberFormat="1" applyFont="1" applyFill="1" applyBorder="1" applyAlignment="1" applyProtection="1">
      <alignment horizontal="center" vertical="center"/>
    </xf>
    <xf numFmtId="167" fontId="15" fillId="4" borderId="11" xfId="0" applyNumberFormat="1" applyFont="1" applyFill="1" applyBorder="1" applyAlignment="1" applyProtection="1">
      <alignment horizontal="center" vertical="center"/>
    </xf>
    <xf numFmtId="167" fontId="15" fillId="4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/>
    <cellStyle name="Millares 4" xfId="7"/>
    <cellStyle name="Millares 4 2" xfId="9"/>
    <cellStyle name="Normal" xfId="0" builtinId="0"/>
    <cellStyle name="Normal 3" xfId="3"/>
    <cellStyle name="Normal_C-2-3" xfId="4"/>
    <cellStyle name="Normal_cuadro 7" xfId="5"/>
    <cellStyle name="NOTAS - Style3" xfId="6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D7CDCA"/>
      <rgbColor rgb="00C1C0B9"/>
      <rgbColor rgb="0099CC00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Downloads/AGR&#205;COLA%20C.1%20C.2%20D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 t="str">
            <v>Enero-Diciembre</v>
          </cell>
          <cell r="C5">
            <v>0</v>
          </cell>
          <cell r="D5">
            <v>0</v>
          </cell>
          <cell r="E5" t="str">
            <v>Diciembre</v>
          </cell>
          <cell r="F5">
            <v>0</v>
          </cell>
          <cell r="G5">
            <v>0</v>
          </cell>
        </row>
        <row r="7">
          <cell r="B7">
            <v>13279.296395615413</v>
          </cell>
          <cell r="C7">
            <v>13825.368880388467</v>
          </cell>
          <cell r="D7">
            <v>4.1122094763496486</v>
          </cell>
          <cell r="E7">
            <v>1095.3555357898358</v>
          </cell>
          <cell r="F7">
            <v>1164.3760997759155</v>
          </cell>
          <cell r="G7">
            <v>6.3012019139804254</v>
          </cell>
        </row>
        <row r="9">
          <cell r="B9">
            <v>2358.5001657387502</v>
          </cell>
          <cell r="C9">
            <v>2433.90876695725</v>
          </cell>
          <cell r="D9">
            <v>3.197311677732273</v>
          </cell>
          <cell r="E9">
            <v>189.412320292</v>
          </cell>
          <cell r="F9">
            <v>210.19315920349999</v>
          </cell>
          <cell r="G9">
            <v>10.971218176021512</v>
          </cell>
        </row>
        <row r="16">
          <cell r="B16">
            <v>3558.4090190683196</v>
          </cell>
          <cell r="C16">
            <v>3798.9650888790402</v>
          </cell>
          <cell r="D16">
            <v>6.7602141440644248</v>
          </cell>
          <cell r="E16">
            <v>307.01142105776006</v>
          </cell>
          <cell r="F16">
            <v>322.30987078528005</v>
          </cell>
          <cell r="G16">
            <v>4.9830230011677079</v>
          </cell>
        </row>
        <row r="24">
          <cell r="B24">
            <v>135.65311816870823</v>
          </cell>
          <cell r="C24">
            <v>155.76411640066399</v>
          </cell>
          <cell r="D24">
            <v>14.825312166392113</v>
          </cell>
          <cell r="E24">
            <v>8.2217784957930995</v>
          </cell>
          <cell r="F24">
            <v>10.456426636600002</v>
          </cell>
          <cell r="G24">
            <v>27.179619859016178</v>
          </cell>
        </row>
        <row r="27">
          <cell r="B27">
            <v>1501.0869782310003</v>
          </cell>
          <cell r="C27">
            <v>1520.9764963883201</v>
          </cell>
          <cell r="D27">
            <v>1.3250077074653754</v>
          </cell>
          <cell r="E27">
            <v>158.4879501062</v>
          </cell>
          <cell r="F27">
            <v>141.32100161580001</v>
          </cell>
          <cell r="G27">
            <v>-10.831705804066949</v>
          </cell>
        </row>
        <row r="29">
          <cell r="B29">
            <v>496.64336501282003</v>
          </cell>
          <cell r="C29">
            <v>417.87778874814001</v>
          </cell>
          <cell r="D29">
            <v>-15.859584928240578</v>
          </cell>
          <cell r="E29">
            <v>45.187589735200007</v>
          </cell>
          <cell r="F29">
            <v>33.305841954600005</v>
          </cell>
          <cell r="G29">
            <v>-26.294272056171241</v>
          </cell>
        </row>
        <row r="39">
          <cell r="B39">
            <v>222.11615549500002</v>
          </cell>
          <cell r="C39">
            <v>373.2034603267</v>
          </cell>
          <cell r="D39">
            <v>68.021753975973652</v>
          </cell>
          <cell r="E39">
            <v>31.005492900000004</v>
          </cell>
          <cell r="F39">
            <v>46.706585831000005</v>
          </cell>
          <cell r="G39">
            <v>50.639714006933254</v>
          </cell>
        </row>
        <row r="43">
          <cell r="B43">
            <v>910.16846401665748</v>
          </cell>
          <cell r="C43">
            <v>878.63312955651372</v>
          </cell>
          <cell r="D43">
            <v>-3.4647799508428778</v>
          </cell>
          <cell r="E43">
            <v>68.849682992636815</v>
          </cell>
          <cell r="F43">
            <v>67.484198133298008</v>
          </cell>
          <cell r="G43">
            <v>-1.9832841633923515</v>
          </cell>
        </row>
        <row r="47">
          <cell r="B47">
            <v>1898.2060116913917</v>
          </cell>
          <cell r="C47">
            <v>2094.9082801790978</v>
          </cell>
          <cell r="D47">
            <v>10.362535324205147</v>
          </cell>
          <cell r="E47">
            <v>123.90727052298</v>
          </cell>
          <cell r="F47">
            <v>168.96728913249001</v>
          </cell>
          <cell r="G47">
            <v>36.365919787695674</v>
          </cell>
        </row>
        <row r="52">
          <cell r="B52">
            <v>2198.5131181927682</v>
          </cell>
          <cell r="C52">
            <v>2151.1317529527428</v>
          </cell>
          <cell r="D52">
            <v>-2.1551549930697744</v>
          </cell>
          <cell r="E52">
            <v>163.27202968726598</v>
          </cell>
          <cell r="F52">
            <v>163.63172648334719</v>
          </cell>
          <cell r="G52">
            <v>0.22030521502682809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"/>
  <dimension ref="A1:X272"/>
  <sheetViews>
    <sheetView topLeftCell="C16" workbookViewId="0">
      <selection activeCell="X85" sqref="X85"/>
    </sheetView>
  </sheetViews>
  <sheetFormatPr baseColWidth="10" defaultColWidth="11.42578125" defaultRowHeight="12"/>
  <cols>
    <col min="1" max="1" width="6.28515625" style="2" customWidth="1"/>
    <col min="2" max="2" width="67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82" t="s">
        <v>436</v>
      </c>
      <c r="B1" s="282"/>
      <c r="C1" s="282"/>
    </row>
    <row r="2" spans="1:10" ht="13.5">
      <c r="A2" s="282"/>
      <c r="B2" s="282"/>
      <c r="C2" s="282"/>
    </row>
    <row r="3" spans="1:10" ht="13.5">
      <c r="A3" s="282"/>
      <c r="B3" s="282"/>
      <c r="C3" s="282"/>
    </row>
    <row r="4" spans="1:10" ht="13.5">
      <c r="A4" s="282"/>
      <c r="B4" s="282"/>
      <c r="C4" s="282"/>
    </row>
    <row r="5" spans="1:10" ht="17.100000000000001" customHeight="1">
      <c r="A5" s="282"/>
      <c r="B5" s="282"/>
      <c r="C5" s="282"/>
    </row>
    <row r="6" spans="1:10" ht="17.100000000000001" customHeight="1">
      <c r="A6" s="282"/>
      <c r="B6" s="282"/>
      <c r="C6" s="282"/>
    </row>
    <row r="7" spans="1:10" ht="17.100000000000001" customHeight="1">
      <c r="A7" s="282"/>
      <c r="B7" s="282"/>
      <c r="C7" s="282"/>
    </row>
    <row r="8" spans="1:10" ht="21" customHeight="1">
      <c r="A8" s="32" t="s">
        <v>230</v>
      </c>
      <c r="B8" s="351" t="s">
        <v>231</v>
      </c>
      <c r="C8" s="349"/>
      <c r="D8" s="3"/>
    </row>
    <row r="9" spans="1:10" ht="24.75" customHeight="1">
      <c r="A9" s="283" t="s">
        <v>395</v>
      </c>
      <c r="B9" s="284" t="s">
        <v>314</v>
      </c>
      <c r="C9" s="350"/>
      <c r="D9" s="3"/>
    </row>
    <row r="10" spans="1:10" ht="24.75" customHeight="1">
      <c r="A10" s="285" t="s">
        <v>396</v>
      </c>
      <c r="B10" s="33" t="s">
        <v>186</v>
      </c>
      <c r="C10" s="350"/>
      <c r="D10" s="3"/>
      <c r="E10" s="4"/>
      <c r="F10" s="5"/>
      <c r="G10" s="5"/>
      <c r="H10" s="5"/>
      <c r="I10" s="5"/>
      <c r="J10" s="5"/>
    </row>
    <row r="11" spans="1:10" ht="24.75" customHeight="1">
      <c r="A11" s="285" t="s">
        <v>511</v>
      </c>
      <c r="B11" s="33" t="s">
        <v>91</v>
      </c>
      <c r="C11" s="350"/>
      <c r="D11" s="3"/>
      <c r="E11" s="4"/>
      <c r="F11" s="5"/>
      <c r="G11" s="5"/>
      <c r="H11" s="5"/>
      <c r="I11" s="5"/>
      <c r="J11" s="5"/>
    </row>
    <row r="12" spans="1:10" ht="24.75" customHeight="1">
      <c r="A12" s="285" t="s">
        <v>512</v>
      </c>
      <c r="B12" s="33" t="s">
        <v>92</v>
      </c>
      <c r="C12" s="350"/>
      <c r="D12" s="3"/>
      <c r="E12" s="6"/>
      <c r="F12" s="1"/>
      <c r="G12" s="1"/>
      <c r="H12" s="1"/>
      <c r="I12" s="1"/>
      <c r="J12" s="1"/>
    </row>
    <row r="13" spans="1:10" ht="24.75" customHeight="1">
      <c r="A13" s="285" t="s">
        <v>513</v>
      </c>
      <c r="B13" s="33" t="s">
        <v>93</v>
      </c>
      <c r="C13" s="350"/>
      <c r="D13" s="3"/>
    </row>
    <row r="14" spans="1:10" ht="24.75" customHeight="1">
      <c r="A14" s="285" t="s">
        <v>514</v>
      </c>
      <c r="B14" s="33" t="s">
        <v>94</v>
      </c>
      <c r="C14" s="350"/>
      <c r="D14" s="3"/>
    </row>
    <row r="15" spans="1:10" ht="24.75" customHeight="1">
      <c r="A15" s="285" t="s">
        <v>515</v>
      </c>
      <c r="B15" s="33" t="s">
        <v>239</v>
      </c>
      <c r="C15" s="350"/>
      <c r="D15" s="3"/>
    </row>
    <row r="16" spans="1:10" ht="24.75" customHeight="1">
      <c r="A16" s="285" t="s">
        <v>516</v>
      </c>
      <c r="B16" s="33" t="s">
        <v>240</v>
      </c>
      <c r="C16" s="350"/>
      <c r="D16" s="3"/>
    </row>
    <row r="17" spans="1:4" ht="24.75" customHeight="1">
      <c r="A17" s="285" t="s">
        <v>517</v>
      </c>
      <c r="B17" s="33" t="s">
        <v>322</v>
      </c>
      <c r="C17" s="350"/>
      <c r="D17" s="3"/>
    </row>
    <row r="18" spans="1:4" ht="13.5">
      <c r="A18" s="286"/>
      <c r="B18" s="286"/>
      <c r="C18" s="286"/>
      <c r="D18" s="3"/>
    </row>
    <row r="19" spans="1:4" ht="13.5">
      <c r="A19" s="286"/>
      <c r="B19" s="286"/>
      <c r="C19" s="286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24">
      <c r="A81" s="3"/>
      <c r="B81" s="3"/>
      <c r="C81" s="3"/>
      <c r="D81" s="3"/>
    </row>
    <row r="82" spans="1:24">
      <c r="A82" s="3"/>
      <c r="B82" s="3"/>
      <c r="C82" s="3"/>
      <c r="D82" s="3"/>
    </row>
    <row r="83" spans="1:24">
      <c r="A83" s="3"/>
      <c r="B83" s="3"/>
      <c r="C83" s="3"/>
      <c r="D83" s="3"/>
    </row>
    <row r="84" spans="1:24">
      <c r="A84" s="3"/>
      <c r="B84" s="3"/>
      <c r="C84" s="3"/>
      <c r="D84" s="3"/>
    </row>
    <row r="85" spans="1:24">
      <c r="A85" s="3"/>
      <c r="B85" s="3"/>
      <c r="C85" s="3"/>
      <c r="D85" s="3"/>
      <c r="X85" s="2" t="s">
        <v>56</v>
      </c>
    </row>
    <row r="86" spans="1:24">
      <c r="A86" s="3"/>
      <c r="B86" s="3"/>
      <c r="C86" s="3"/>
      <c r="D86" s="3"/>
    </row>
    <row r="87" spans="1:24">
      <c r="A87" s="3"/>
      <c r="B87" s="3"/>
      <c r="C87" s="3"/>
      <c r="D87" s="3"/>
    </row>
    <row r="88" spans="1:24">
      <c r="A88" s="3"/>
      <c r="B88" s="3"/>
      <c r="C88" s="3"/>
      <c r="D88" s="3"/>
    </row>
    <row r="89" spans="1:24">
      <c r="A89" s="3"/>
      <c r="B89" s="3"/>
      <c r="C89" s="3"/>
      <c r="D89" s="3"/>
    </row>
    <row r="90" spans="1:24">
      <c r="A90" s="3"/>
      <c r="B90" s="3"/>
      <c r="C90" s="3"/>
      <c r="D90" s="3"/>
    </row>
    <row r="91" spans="1:24">
      <c r="A91" s="3"/>
      <c r="B91" s="3"/>
      <c r="C91" s="3"/>
      <c r="D91" s="3"/>
    </row>
    <row r="92" spans="1:24">
      <c r="A92" s="3"/>
      <c r="B92" s="3"/>
      <c r="C92" s="3"/>
      <c r="D92" s="3"/>
    </row>
    <row r="93" spans="1:24">
      <c r="A93" s="3"/>
      <c r="B93" s="3"/>
      <c r="C93" s="3"/>
      <c r="D93" s="3"/>
    </row>
    <row r="94" spans="1:24">
      <c r="A94" s="3"/>
      <c r="B94" s="3"/>
      <c r="C94" s="3"/>
      <c r="D94" s="3"/>
    </row>
    <row r="95" spans="1:24">
      <c r="A95" s="3"/>
      <c r="B95" s="3"/>
      <c r="C95" s="3"/>
      <c r="D95" s="3"/>
    </row>
    <row r="96" spans="1:2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2"/>
  <dimension ref="A1:X85"/>
  <sheetViews>
    <sheetView showGridLines="0" zoomScale="150" workbookViewId="0">
      <selection activeCell="X85" sqref="X85"/>
    </sheetView>
  </sheetViews>
  <sheetFormatPr baseColWidth="10" defaultColWidth="10.85546875" defaultRowHeight="17.100000000000001" customHeight="1"/>
  <cols>
    <col min="1" max="1" width="1" style="272" customWidth="1"/>
    <col min="2" max="2" width="29.42578125" style="272" customWidth="1"/>
    <col min="3" max="3" width="8" style="272" customWidth="1"/>
    <col min="4" max="4" width="8.140625" style="272" customWidth="1"/>
    <col min="5" max="5" width="6" style="272" customWidth="1"/>
    <col min="6" max="7" width="7.85546875" style="272" customWidth="1"/>
    <col min="8" max="8" width="6.7109375" style="272" customWidth="1"/>
    <col min="9" max="16384" width="10.85546875" style="272"/>
  </cols>
  <sheetData>
    <row r="1" spans="1:8" ht="13.35" customHeight="1">
      <c r="A1" s="429" t="s">
        <v>243</v>
      </c>
      <c r="B1" s="7"/>
    </row>
    <row r="2" spans="1:8" ht="12" customHeight="1">
      <c r="A2" s="107" t="s">
        <v>292</v>
      </c>
      <c r="B2" s="7"/>
    </row>
    <row r="3" spans="1:8" ht="5.0999999999999996" customHeight="1">
      <c r="A3" s="106"/>
    </row>
    <row r="4" spans="1:8" ht="12" customHeight="1">
      <c r="A4" s="544" t="s">
        <v>229</v>
      </c>
      <c r="B4" s="545"/>
      <c r="C4" s="334" t="s">
        <v>241</v>
      </c>
      <c r="D4" s="148"/>
      <c r="E4" s="335" t="s">
        <v>293</v>
      </c>
      <c r="F4" s="548" t="s">
        <v>242</v>
      </c>
      <c r="G4" s="549"/>
      <c r="H4" s="280" t="s">
        <v>293</v>
      </c>
    </row>
    <row r="5" spans="1:8" ht="12" customHeight="1">
      <c r="A5" s="546"/>
      <c r="B5" s="547"/>
      <c r="C5" s="336" t="s">
        <v>166</v>
      </c>
      <c r="D5" s="336" t="s">
        <v>167</v>
      </c>
      <c r="E5" s="337" t="s">
        <v>294</v>
      </c>
      <c r="F5" s="336" t="s">
        <v>166</v>
      </c>
      <c r="G5" s="336" t="s">
        <v>167</v>
      </c>
      <c r="H5" s="281" t="s">
        <v>294</v>
      </c>
    </row>
    <row r="6" spans="1:8" ht="17.100000000000001" customHeight="1">
      <c r="A6" s="338" t="s">
        <v>295</v>
      </c>
      <c r="B6" s="138"/>
      <c r="C6" s="384">
        <v>36117.578159638215</v>
      </c>
      <c r="D6" s="370">
        <v>37262.510811246211</v>
      </c>
      <c r="E6" s="469">
        <v>3.1700150174727604</v>
      </c>
      <c r="F6" s="384">
        <v>2881.5555264897976</v>
      </c>
      <c r="G6" s="384">
        <v>3085.7032277854873</v>
      </c>
      <c r="H6" s="469">
        <v>7.0846353443126286</v>
      </c>
    </row>
    <row r="7" spans="1:8" ht="17.100000000000001" customHeight="1">
      <c r="A7" s="542" t="s">
        <v>296</v>
      </c>
      <c r="B7" s="542"/>
      <c r="C7" s="415">
        <v>22019.322603659268</v>
      </c>
      <c r="D7" s="415">
        <v>22592.82410578843</v>
      </c>
      <c r="E7" s="470">
        <v>2.6045374440077262</v>
      </c>
      <c r="F7" s="415">
        <v>1658.0632121136011</v>
      </c>
      <c r="G7" s="415">
        <v>1824.84146542138</v>
      </c>
      <c r="H7" s="470">
        <v>10.05861851884282</v>
      </c>
    </row>
    <row r="8" spans="1:8" ht="14.1" customHeight="1">
      <c r="A8" s="63"/>
      <c r="B8" s="140" t="s">
        <v>297</v>
      </c>
      <c r="C8" s="416">
        <v>4562.5327570135014</v>
      </c>
      <c r="D8" s="416">
        <v>4260.2719175717866</v>
      </c>
      <c r="E8" s="471">
        <v>-6.6248475471673229</v>
      </c>
      <c r="F8" s="416">
        <v>324.52384094325708</v>
      </c>
      <c r="G8" s="416">
        <v>310.5394626585404</v>
      </c>
      <c r="H8" s="471">
        <v>-4.3091990542420078</v>
      </c>
    </row>
    <row r="9" spans="1:8" ht="14.1" customHeight="1">
      <c r="A9" s="139"/>
      <c r="B9" s="29" t="s">
        <v>298</v>
      </c>
      <c r="C9" s="416">
        <v>2992.7505241683239</v>
      </c>
      <c r="D9" s="416">
        <v>2875.6205826680989</v>
      </c>
      <c r="E9" s="471">
        <v>-3.9137890229849703</v>
      </c>
      <c r="F9" s="416">
        <v>268.37746633491008</v>
      </c>
      <c r="G9" s="416">
        <v>295.61157324609144</v>
      </c>
      <c r="H9" s="471">
        <v>10.147687614427259</v>
      </c>
    </row>
    <row r="10" spans="1:8" ht="14.1" customHeight="1">
      <c r="A10" s="63"/>
      <c r="B10" s="29" t="s">
        <v>299</v>
      </c>
      <c r="C10" s="416">
        <v>4748.0219892358418</v>
      </c>
      <c r="D10" s="416">
        <v>5498.8009849441314</v>
      </c>
      <c r="E10" s="471">
        <v>15.812458270209518</v>
      </c>
      <c r="F10" s="416">
        <v>564.74408004223051</v>
      </c>
      <c r="G10" s="416">
        <v>730.36203264082565</v>
      </c>
      <c r="H10" s="471">
        <v>29.326195431072154</v>
      </c>
    </row>
    <row r="11" spans="1:8" ht="14.1" customHeight="1">
      <c r="A11" s="63"/>
      <c r="B11" s="141" t="s">
        <v>300</v>
      </c>
      <c r="C11" s="416">
        <v>717.24089115583035</v>
      </c>
      <c r="D11" s="416">
        <v>718.10220045640938</v>
      </c>
      <c r="E11" s="471">
        <v>0.12008647460004518</v>
      </c>
      <c r="F11" s="416">
        <v>29.247156322726692</v>
      </c>
      <c r="G11" s="416">
        <v>28.433448898726994</v>
      </c>
      <c r="H11" s="471">
        <v>-2.782176205511655</v>
      </c>
    </row>
    <row r="12" spans="1:8" ht="27" customHeight="1">
      <c r="A12" s="63"/>
      <c r="B12" s="142" t="s">
        <v>301</v>
      </c>
      <c r="C12" s="416">
        <v>3048.6170427745724</v>
      </c>
      <c r="D12" s="416">
        <v>3154.5519844484893</v>
      </c>
      <c r="E12" s="471">
        <v>3.4748523736357617</v>
      </c>
      <c r="F12" s="416">
        <v>174.73373046632685</v>
      </c>
      <c r="G12" s="416">
        <v>167.89322903575209</v>
      </c>
      <c r="H12" s="471">
        <v>-3.9148145079481389</v>
      </c>
    </row>
    <row r="13" spans="1:8" ht="14.1" customHeight="1">
      <c r="A13" s="63"/>
      <c r="B13" s="141" t="s">
        <v>302</v>
      </c>
      <c r="C13" s="416">
        <v>2614.1750656109089</v>
      </c>
      <c r="D13" s="416">
        <v>2572.5622774970352</v>
      </c>
      <c r="E13" s="471">
        <v>-1.5918133663381573</v>
      </c>
      <c r="F13" s="416">
        <v>58.011551988795844</v>
      </c>
      <c r="G13" s="416">
        <v>64.995145075988503</v>
      </c>
      <c r="H13" s="471">
        <v>12.038280045569971</v>
      </c>
    </row>
    <row r="14" spans="1:8" ht="14.1" customHeight="1">
      <c r="A14" s="63"/>
      <c r="B14" s="141" t="s">
        <v>303</v>
      </c>
      <c r="C14" s="416">
        <v>440.00166383659371</v>
      </c>
      <c r="D14" s="416">
        <v>445.09228160290797</v>
      </c>
      <c r="E14" s="471">
        <v>1.1569542082924489</v>
      </c>
      <c r="F14" s="416">
        <v>11.724287079478287</v>
      </c>
      <c r="G14" s="416">
        <v>9.8281497262441846</v>
      </c>
      <c r="H14" s="471">
        <v>-16.172730507026088</v>
      </c>
    </row>
    <row r="15" spans="1:8" ht="14.1" customHeight="1">
      <c r="A15" s="63"/>
      <c r="B15" s="141" t="s">
        <v>304</v>
      </c>
      <c r="C15" s="416">
        <v>711.33311665567578</v>
      </c>
      <c r="D15" s="416">
        <v>765.56732264726963</v>
      </c>
      <c r="E15" s="471">
        <v>7.6243049454207013</v>
      </c>
      <c r="F15" s="416">
        <v>72.304791516360453</v>
      </c>
      <c r="G15" s="416">
        <v>63.201536362615961</v>
      </c>
      <c r="H15" s="471">
        <v>-12.590113273039027</v>
      </c>
    </row>
    <row r="16" spans="1:8" ht="27" customHeight="1">
      <c r="A16" s="63"/>
      <c r="B16" s="142" t="s">
        <v>305</v>
      </c>
      <c r="C16" s="416">
        <v>2173.0781521209215</v>
      </c>
      <c r="D16" s="416">
        <v>2289.9037615383236</v>
      </c>
      <c r="E16" s="471">
        <v>5.3760427025314472</v>
      </c>
      <c r="F16" s="416">
        <v>154.24239074311112</v>
      </c>
      <c r="G16" s="416">
        <v>153.60813355746109</v>
      </c>
      <c r="H16" s="471">
        <v>-0.41120808786371255</v>
      </c>
    </row>
    <row r="17" spans="1:8" ht="14.1" customHeight="1">
      <c r="A17" s="163"/>
      <c r="B17" s="163" t="s">
        <v>306</v>
      </c>
      <c r="C17" s="416">
        <v>11.571401087100849</v>
      </c>
      <c r="D17" s="416">
        <v>12.350792413978068</v>
      </c>
      <c r="E17" s="471">
        <v>6.7354966007188155</v>
      </c>
      <c r="F17" s="416">
        <v>0.15391667640429263</v>
      </c>
      <c r="G17" s="416">
        <v>0.36875421913364093</v>
      </c>
      <c r="H17" s="471">
        <v>139.58041958041954</v>
      </c>
    </row>
    <row r="18" spans="1:8" ht="17.100000000000001" customHeight="1">
      <c r="A18" s="543" t="s">
        <v>307</v>
      </c>
      <c r="B18" s="543"/>
      <c r="C18" s="417">
        <v>14098.255555978951</v>
      </c>
      <c r="D18" s="417">
        <v>14669.68670545778</v>
      </c>
      <c r="E18" s="470">
        <v>4.0532046479785144</v>
      </c>
      <c r="F18" s="417">
        <v>1223.4923143761964</v>
      </c>
      <c r="G18" s="417">
        <v>1260.8617623641073</v>
      </c>
      <c r="H18" s="470">
        <v>3.0543263368976614</v>
      </c>
    </row>
    <row r="19" spans="1:8" ht="14.1" customHeight="1">
      <c r="A19" s="63"/>
      <c r="B19" s="143" t="s">
        <v>308</v>
      </c>
      <c r="C19" s="416">
        <v>10860.714401058485</v>
      </c>
      <c r="D19" s="416">
        <v>11272.037753212815</v>
      </c>
      <c r="E19" s="471">
        <v>3.7872587102948163</v>
      </c>
      <c r="F19" s="416">
        <v>943.54845607414313</v>
      </c>
      <c r="G19" s="416">
        <v>973.27610197886304</v>
      </c>
      <c r="H19" s="471">
        <v>3.1506220706892796</v>
      </c>
    </row>
    <row r="20" spans="1:8" ht="14.1" customHeight="1">
      <c r="A20" s="63"/>
      <c r="B20" s="141" t="s">
        <v>309</v>
      </c>
      <c r="C20" s="416">
        <v>1717.7954229074785</v>
      </c>
      <c r="D20" s="416">
        <v>1769.503023195236</v>
      </c>
      <c r="E20" s="471">
        <v>3.0101139866957505</v>
      </c>
      <c r="F20" s="416">
        <v>137.3684901520981</v>
      </c>
      <c r="G20" s="416">
        <v>141.10434606224555</v>
      </c>
      <c r="H20" s="471">
        <v>2.7195872255791675</v>
      </c>
    </row>
    <row r="21" spans="1:8" ht="14.1" customHeight="1">
      <c r="A21" s="63"/>
      <c r="B21" s="141" t="s">
        <v>310</v>
      </c>
      <c r="C21" s="416">
        <v>1396.9519424578955</v>
      </c>
      <c r="D21" s="416">
        <v>1508.9284270005421</v>
      </c>
      <c r="E21" s="471">
        <v>8.0157721349832123</v>
      </c>
      <c r="F21" s="416">
        <v>125.56074025153957</v>
      </c>
      <c r="G21" s="416">
        <v>129.91471672575111</v>
      </c>
      <c r="H21" s="471">
        <v>3.4676256809963668</v>
      </c>
    </row>
    <row r="22" spans="1:8" ht="14.1" customHeight="1">
      <c r="A22" s="13"/>
      <c r="B22" s="162" t="s">
        <v>311</v>
      </c>
      <c r="C22" s="387">
        <v>122.79378955509068</v>
      </c>
      <c r="D22" s="387">
        <v>119.21750204918519</v>
      </c>
      <c r="E22" s="472">
        <v>-2.9124335350046548</v>
      </c>
      <c r="F22" s="387">
        <v>17.014627898415789</v>
      </c>
      <c r="G22" s="387">
        <v>16.566597597247711</v>
      </c>
      <c r="H22" s="472">
        <v>-2.6332065787333159</v>
      </c>
    </row>
    <row r="23" spans="1:8" ht="10.35" customHeight="1">
      <c r="A23" s="274" t="s">
        <v>86</v>
      </c>
      <c r="B23" s="275"/>
      <c r="C23" s="271"/>
      <c r="D23" s="11"/>
      <c r="E23" s="271"/>
    </row>
    <row r="24" spans="1:8" ht="10.35" customHeight="1">
      <c r="A24" s="274" t="s">
        <v>379</v>
      </c>
      <c r="B24" s="105"/>
      <c r="C24" s="271"/>
      <c r="D24" s="271"/>
      <c r="E24" s="271"/>
    </row>
    <row r="25" spans="1:8" ht="17.100000000000001" customHeight="1">
      <c r="A25" s="271"/>
      <c r="B25" s="271"/>
      <c r="C25" s="271"/>
      <c r="D25" s="271"/>
      <c r="E25" s="271"/>
    </row>
    <row r="26" spans="1:8" ht="17.100000000000001" customHeight="1">
      <c r="A26" s="86"/>
      <c r="B26" s="86"/>
      <c r="C26" s="86"/>
      <c r="D26" s="86"/>
      <c r="E26" s="86"/>
    </row>
    <row r="27" spans="1:8" ht="17.100000000000001" customHeight="1">
      <c r="A27" s="86"/>
      <c r="B27" s="86"/>
      <c r="C27" s="86"/>
      <c r="D27" s="86"/>
      <c r="E27" s="86"/>
    </row>
    <row r="85" spans="24:24" ht="17.100000000000001" customHeight="1">
      <c r="X85" s="272" t="s">
        <v>63</v>
      </c>
    </row>
  </sheetData>
  <mergeCells count="4">
    <mergeCell ref="A7:B7"/>
    <mergeCell ref="A18:B18"/>
    <mergeCell ref="A4:B5"/>
    <mergeCell ref="F4:G4"/>
  </mergeCells>
  <phoneticPr fontId="10" type="noConversion"/>
  <pageMargins left="0.59055118110236227" right="0.31496062992125984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3"/>
  <dimension ref="A1:X85"/>
  <sheetViews>
    <sheetView showGridLines="0" zoomScale="125" zoomScaleNormal="125" zoomScalePageLayoutView="125" workbookViewId="0">
      <selection activeCell="X85" sqref="X85"/>
    </sheetView>
  </sheetViews>
  <sheetFormatPr baseColWidth="10" defaultColWidth="10.85546875" defaultRowHeight="17.100000000000001" customHeight="1"/>
  <cols>
    <col min="1" max="1" width="17" style="272" customWidth="1"/>
    <col min="2" max="3" width="7.42578125" style="272" customWidth="1"/>
    <col min="4" max="4" width="6.7109375" style="272" customWidth="1"/>
    <col min="5" max="6" width="7.42578125" style="272" customWidth="1"/>
    <col min="7" max="7" width="7.28515625" style="272" customWidth="1"/>
    <col min="8" max="16384" width="10.85546875" style="272"/>
  </cols>
  <sheetData>
    <row r="1" spans="1:7" ht="16.350000000000001" customHeight="1">
      <c r="A1" s="369" t="s">
        <v>17</v>
      </c>
      <c r="B1" s="340"/>
      <c r="C1" s="341"/>
      <c r="D1" s="455"/>
      <c r="E1" s="341"/>
      <c r="F1" s="341"/>
      <c r="G1" s="455"/>
    </row>
    <row r="2" spans="1:7" ht="11.1" customHeight="1">
      <c r="A2" s="340" t="s">
        <v>18</v>
      </c>
      <c r="B2" s="340"/>
      <c r="C2" s="341"/>
      <c r="D2" s="455"/>
      <c r="E2" s="341"/>
      <c r="F2" s="341"/>
      <c r="G2" s="455"/>
    </row>
    <row r="3" spans="1:7" ht="11.1" customHeight="1">
      <c r="A3" s="340" t="s">
        <v>19</v>
      </c>
      <c r="B3" s="340"/>
      <c r="C3" s="341"/>
      <c r="D3" s="455"/>
      <c r="E3" s="341"/>
      <c r="F3" s="341"/>
      <c r="G3" s="455"/>
    </row>
    <row r="4" spans="1:7" ht="2.1" customHeight="1">
      <c r="A4" s="342"/>
      <c r="B4" s="343"/>
      <c r="C4" s="344"/>
      <c r="D4" s="456"/>
      <c r="E4" s="344"/>
      <c r="F4" s="457"/>
      <c r="G4" s="456"/>
    </row>
    <row r="5" spans="1:7" ht="12" customHeight="1">
      <c r="A5" s="550" t="s">
        <v>95</v>
      </c>
      <c r="B5" s="552" t="str">
        <f>+'[1]C-9'!B5:D5</f>
        <v>Enero-Diciembre</v>
      </c>
      <c r="C5" s="553"/>
      <c r="D5" s="458" t="s">
        <v>293</v>
      </c>
      <c r="E5" s="554" t="str">
        <f>+'[1]C-9'!E5:G5</f>
        <v>Diciembre</v>
      </c>
      <c r="F5" s="555"/>
      <c r="G5" s="458" t="s">
        <v>293</v>
      </c>
    </row>
    <row r="6" spans="1:7" ht="12" customHeight="1">
      <c r="A6" s="551"/>
      <c r="B6" s="525" t="s">
        <v>96</v>
      </c>
      <c r="C6" s="526" t="s">
        <v>97</v>
      </c>
      <c r="D6" s="527" t="s">
        <v>294</v>
      </c>
      <c r="E6" s="525" t="s">
        <v>96</v>
      </c>
      <c r="F6" s="526" t="s">
        <v>97</v>
      </c>
      <c r="G6" s="527" t="s">
        <v>294</v>
      </c>
    </row>
    <row r="7" spans="1:7" ht="17.100000000000001" customHeight="1">
      <c r="A7" s="522" t="s">
        <v>98</v>
      </c>
      <c r="B7" s="523">
        <f>+'[1]C-9'!B7</f>
        <v>13279.296395615413</v>
      </c>
      <c r="C7" s="523">
        <f>+'[1]C-9'!C7</f>
        <v>13825.368880388467</v>
      </c>
      <c r="D7" s="524">
        <f>+'[1]C-9'!D7</f>
        <v>4.1122094763496486</v>
      </c>
      <c r="E7" s="523">
        <f>+'[1]C-9'!E7</f>
        <v>1095.3555357898358</v>
      </c>
      <c r="F7" s="523">
        <f>+'[1]C-9'!F7</f>
        <v>1164.3760997759155</v>
      </c>
      <c r="G7" s="524">
        <f>+'[1]C-9'!G7</f>
        <v>6.3012019139804254</v>
      </c>
    </row>
    <row r="8" spans="1:7" ht="17.100000000000001" customHeight="1">
      <c r="A8" s="345" t="s">
        <v>99</v>
      </c>
      <c r="B8" s="473">
        <f>+'[1]C-9'!B9</f>
        <v>2358.5001657387502</v>
      </c>
      <c r="C8" s="473">
        <f>+'[1]C-9'!C9</f>
        <v>2433.90876695725</v>
      </c>
      <c r="D8" s="475">
        <f>+'[1]C-9'!D9</f>
        <v>3.197311677732273</v>
      </c>
      <c r="E8" s="473">
        <f>+'[1]C-9'!E9</f>
        <v>189.412320292</v>
      </c>
      <c r="F8" s="473">
        <f>+'[1]C-9'!F9</f>
        <v>210.19315920349999</v>
      </c>
      <c r="G8" s="475">
        <f>+'[1]C-9'!G9</f>
        <v>10.971218176021512</v>
      </c>
    </row>
    <row r="9" spans="1:7" ht="17.100000000000001" customHeight="1">
      <c r="A9" s="345" t="s">
        <v>100</v>
      </c>
      <c r="B9" s="473">
        <f>+'[1]C-9'!B16</f>
        <v>3558.4090190683196</v>
      </c>
      <c r="C9" s="473">
        <f>+'[1]C-9'!C16</f>
        <v>3798.9650888790402</v>
      </c>
      <c r="D9" s="475">
        <f>+'[1]C-9'!D16</f>
        <v>6.7602141440644248</v>
      </c>
      <c r="E9" s="473">
        <f>+'[1]C-9'!E16</f>
        <v>307.01142105776006</v>
      </c>
      <c r="F9" s="473">
        <f>+'[1]C-9'!F16</f>
        <v>322.30987078528005</v>
      </c>
      <c r="G9" s="475">
        <f>+'[1]C-9'!G16</f>
        <v>4.9830230011677079</v>
      </c>
    </row>
    <row r="10" spans="1:7" ht="17.100000000000001" customHeight="1">
      <c r="A10" s="345" t="s">
        <v>101</v>
      </c>
      <c r="B10" s="473">
        <f>+'[1]C-9'!B24</f>
        <v>135.65311816870823</v>
      </c>
      <c r="C10" s="473">
        <f>+'[1]C-9'!C24</f>
        <v>155.76411640066399</v>
      </c>
      <c r="D10" s="475">
        <f>+'[1]C-9'!D24</f>
        <v>14.825312166392113</v>
      </c>
      <c r="E10" s="473">
        <f>+'[1]C-9'!E24</f>
        <v>8.2217784957930995</v>
      </c>
      <c r="F10" s="473">
        <f>+'[1]C-9'!F24</f>
        <v>10.456426636600002</v>
      </c>
      <c r="G10" s="475">
        <f>+'[1]C-9'!G24</f>
        <v>27.179619859016178</v>
      </c>
    </row>
    <row r="11" spans="1:7" ht="17.100000000000001" customHeight="1">
      <c r="A11" s="459" t="s">
        <v>102</v>
      </c>
      <c r="B11" s="473">
        <f>+'[1]C-9'!B27</f>
        <v>1501.0869782310003</v>
      </c>
      <c r="C11" s="473">
        <f>+'[1]C-9'!C27</f>
        <v>1520.9764963883201</v>
      </c>
      <c r="D11" s="475">
        <f>+'[1]C-9'!D27</f>
        <v>1.3250077074653754</v>
      </c>
      <c r="E11" s="473">
        <f>+'[1]C-9'!E27</f>
        <v>158.4879501062</v>
      </c>
      <c r="F11" s="473">
        <f>+'[1]C-9'!F27</f>
        <v>141.32100161580001</v>
      </c>
      <c r="G11" s="475">
        <f>+'[1]C-9'!G27</f>
        <v>-10.831705804066949</v>
      </c>
    </row>
    <row r="12" spans="1:7" ht="17.100000000000001" customHeight="1">
      <c r="A12" s="278" t="s">
        <v>103</v>
      </c>
      <c r="B12" s="473">
        <f>+'[1]C-9'!B29</f>
        <v>496.64336501282003</v>
      </c>
      <c r="C12" s="473">
        <f>+'[1]C-9'!C29</f>
        <v>417.87778874814001</v>
      </c>
      <c r="D12" s="475">
        <f>+'[1]C-9'!D29</f>
        <v>-15.859584928240578</v>
      </c>
      <c r="E12" s="473">
        <f>+'[1]C-9'!E29</f>
        <v>45.187589735200007</v>
      </c>
      <c r="F12" s="473">
        <f>+'[1]C-9'!F29</f>
        <v>33.305841954600005</v>
      </c>
      <c r="G12" s="475">
        <f>+'[1]C-9'!G29</f>
        <v>-26.294272056171241</v>
      </c>
    </row>
    <row r="13" spans="1:7" ht="17.100000000000001" customHeight="1">
      <c r="A13" s="278" t="s">
        <v>104</v>
      </c>
      <c r="B13" s="473">
        <f>+'[1]C-9'!B39</f>
        <v>222.11615549500002</v>
      </c>
      <c r="C13" s="473">
        <f>+'[1]C-9'!C39</f>
        <v>373.2034603267</v>
      </c>
      <c r="D13" s="475">
        <f>+'[1]C-9'!D39</f>
        <v>68.021753975973652</v>
      </c>
      <c r="E13" s="473">
        <f>+'[1]C-9'!E39</f>
        <v>31.005492900000004</v>
      </c>
      <c r="F13" s="473">
        <f>+'[1]C-9'!F39</f>
        <v>46.706585831000005</v>
      </c>
      <c r="G13" s="475">
        <f>+'[1]C-9'!G39</f>
        <v>50.639714006933254</v>
      </c>
    </row>
    <row r="14" spans="1:7" ht="17.100000000000001" customHeight="1">
      <c r="A14" s="345" t="s">
        <v>105</v>
      </c>
      <c r="B14" s="473">
        <f>+'[1]C-9'!B43</f>
        <v>910.16846401665748</v>
      </c>
      <c r="C14" s="473">
        <f>+'[1]C-9'!C43</f>
        <v>878.63312955651372</v>
      </c>
      <c r="D14" s="475">
        <f>+'[1]C-9'!D43</f>
        <v>-3.4647799508428778</v>
      </c>
      <c r="E14" s="473">
        <f>+'[1]C-9'!E43</f>
        <v>68.849682992636815</v>
      </c>
      <c r="F14" s="473">
        <f>+'[1]C-9'!F43</f>
        <v>67.484198133298008</v>
      </c>
      <c r="G14" s="475">
        <f>+'[1]C-9'!G43</f>
        <v>-1.9832841633923515</v>
      </c>
    </row>
    <row r="15" spans="1:7" ht="17.100000000000001" customHeight="1">
      <c r="A15" s="345" t="s">
        <v>106</v>
      </c>
      <c r="B15" s="473">
        <f>+'[1]C-9'!B47</f>
        <v>1898.2060116913917</v>
      </c>
      <c r="C15" s="473">
        <f>+'[1]C-9'!C47</f>
        <v>2094.9082801790978</v>
      </c>
      <c r="D15" s="475">
        <f>+'[1]C-9'!D47</f>
        <v>10.362535324205147</v>
      </c>
      <c r="E15" s="473">
        <f>+'[1]C-9'!E47</f>
        <v>123.90727052298</v>
      </c>
      <c r="F15" s="473">
        <f>+'[1]C-9'!F47</f>
        <v>168.96728913249001</v>
      </c>
      <c r="G15" s="475">
        <f>+'[1]C-9'!G47</f>
        <v>36.365919787695674</v>
      </c>
    </row>
    <row r="16" spans="1:7" ht="17.100000000000001" customHeight="1">
      <c r="A16" s="346" t="s">
        <v>107</v>
      </c>
      <c r="B16" s="474">
        <f>+'[1]C-9'!B52</f>
        <v>2198.5131181927682</v>
      </c>
      <c r="C16" s="474">
        <f>+'[1]C-9'!C52</f>
        <v>2151.1317529527428</v>
      </c>
      <c r="D16" s="476">
        <f>+'[1]C-9'!D52</f>
        <v>-2.1551549930697744</v>
      </c>
      <c r="E16" s="474">
        <f>+'[1]C-9'!E52</f>
        <v>163.27202968726598</v>
      </c>
      <c r="F16" s="474">
        <f>+'[1]C-9'!F52</f>
        <v>163.63172648334719</v>
      </c>
      <c r="G16" s="476">
        <f>+'[1]C-9'!G52</f>
        <v>0.22030521502682809</v>
      </c>
    </row>
    <row r="17" spans="1:7" ht="9" customHeight="1">
      <c r="A17" s="279" t="s">
        <v>108</v>
      </c>
      <c r="B17" s="277"/>
      <c r="C17" s="276"/>
      <c r="D17" s="460"/>
      <c r="E17" s="276"/>
      <c r="F17" s="299"/>
      <c r="G17" s="460"/>
    </row>
    <row r="18" spans="1:7" ht="9" customHeight="1">
      <c r="A18" s="275" t="s">
        <v>109</v>
      </c>
      <c r="B18" s="271"/>
      <c r="C18" s="271"/>
      <c r="D18" s="461"/>
      <c r="E18" s="271"/>
      <c r="F18" s="462"/>
      <c r="G18" s="461"/>
    </row>
    <row r="19" spans="1:7" ht="9" customHeight="1">
      <c r="A19" s="274" t="s">
        <v>110</v>
      </c>
      <c r="B19" s="273"/>
      <c r="C19" s="273"/>
      <c r="D19" s="463"/>
      <c r="E19" s="273"/>
      <c r="F19" s="464"/>
      <c r="G19" s="463"/>
    </row>
    <row r="85" spans="24:24" ht="17.100000000000001" customHeight="1">
      <c r="X85" s="272" t="s">
        <v>63</v>
      </c>
    </row>
  </sheetData>
  <mergeCells count="3">
    <mergeCell ref="A5:A6"/>
    <mergeCell ref="B5:C5"/>
    <mergeCell ref="E5:F5"/>
  </mergeCells>
  <phoneticPr fontId="10" type="noConversion"/>
  <pageMargins left="0.71" right="0.71" top="0.75" bottom="0.75" header="0.31" footer="0.3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4"/>
  <dimension ref="A1:X85"/>
  <sheetViews>
    <sheetView showGridLines="0" zoomScale="150" workbookViewId="0">
      <selection activeCell="X85" sqref="X85"/>
    </sheetView>
  </sheetViews>
  <sheetFormatPr baseColWidth="10" defaultColWidth="11.42578125" defaultRowHeight="17.100000000000001" customHeight="1"/>
  <cols>
    <col min="1" max="1" width="12.42578125" style="276" customWidth="1"/>
    <col min="2" max="2" width="5.85546875" style="276" customWidth="1"/>
    <col min="3" max="3" width="6.140625" style="276" customWidth="1"/>
    <col min="4" max="4" width="4.140625" style="276" bestFit="1" customWidth="1"/>
    <col min="5" max="6" width="5.85546875" style="276" customWidth="1"/>
    <col min="7" max="7" width="4.7109375" style="276" bestFit="1" customWidth="1"/>
    <col min="8" max="9" width="5.85546875" style="276" customWidth="1"/>
    <col min="10" max="10" width="4.140625" style="276" bestFit="1" customWidth="1"/>
    <col min="11" max="12" width="5.85546875" style="276" customWidth="1"/>
    <col min="13" max="13" width="4.7109375" style="276" bestFit="1" customWidth="1"/>
    <col min="14" max="15" width="5.85546875" style="276" customWidth="1"/>
    <col min="16" max="16" width="4.140625" style="276" bestFit="1" customWidth="1"/>
    <col min="17" max="18" width="5.85546875" style="276" customWidth="1"/>
    <col min="19" max="19" width="4.140625" style="276" bestFit="1" customWidth="1"/>
    <col min="20" max="218" width="11.42578125" style="276"/>
    <col min="219" max="219" width="11" style="276" customWidth="1"/>
    <col min="220" max="220" width="8.7109375" style="276" customWidth="1"/>
    <col min="221" max="221" width="9" style="276" customWidth="1"/>
    <col min="222" max="222" width="5.7109375" style="276" customWidth="1"/>
    <col min="223" max="223" width="7" style="276" customWidth="1"/>
    <col min="224" max="224" width="6.85546875" style="276" customWidth="1"/>
    <col min="225" max="225" width="5" style="276" customWidth="1"/>
    <col min="226" max="226" width="6.85546875" style="276" customWidth="1"/>
    <col min="227" max="227" width="7.42578125" style="276" customWidth="1"/>
    <col min="228" max="228" width="5.85546875" style="276" customWidth="1"/>
    <col min="229" max="230" width="6.85546875" style="276" customWidth="1"/>
    <col min="231" max="231" width="5.140625" style="276" customWidth="1"/>
    <col min="232" max="233" width="6.85546875" style="276" customWidth="1"/>
    <col min="234" max="234" width="4.85546875" style="276" customWidth="1"/>
    <col min="235" max="235" width="6.7109375" style="276" customWidth="1"/>
    <col min="236" max="236" width="7" style="276" customWidth="1"/>
    <col min="237" max="237" width="5" style="276" customWidth="1"/>
    <col min="238" max="16384" width="11.42578125" style="276"/>
  </cols>
  <sheetData>
    <row r="1" spans="1:19" ht="16.350000000000001" customHeight="1">
      <c r="A1" s="297" t="s">
        <v>244</v>
      </c>
      <c r="B1" s="298"/>
      <c r="C1" s="299"/>
      <c r="D1" s="299"/>
    </row>
    <row r="2" spans="1:19" ht="12" customHeight="1">
      <c r="A2" s="107" t="s">
        <v>323</v>
      </c>
      <c r="B2" s="133"/>
    </row>
    <row r="3" spans="1:19" ht="4.3499999999999996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</row>
    <row r="4" spans="1:19" ht="13.35" customHeight="1">
      <c r="A4" s="560" t="s">
        <v>433</v>
      </c>
      <c r="B4" s="557" t="s">
        <v>486</v>
      </c>
      <c r="C4" s="558"/>
      <c r="D4" s="558"/>
      <c r="E4" s="558"/>
      <c r="F4" s="558"/>
      <c r="G4" s="558"/>
      <c r="H4" s="557" t="s">
        <v>324</v>
      </c>
      <c r="I4" s="558"/>
      <c r="J4" s="558"/>
      <c r="K4" s="558"/>
      <c r="L4" s="558"/>
      <c r="M4" s="559"/>
      <c r="N4" s="557" t="s">
        <v>325</v>
      </c>
      <c r="O4" s="558"/>
      <c r="P4" s="558"/>
      <c r="Q4" s="558"/>
      <c r="R4" s="558"/>
      <c r="S4" s="559"/>
    </row>
    <row r="5" spans="1:19" ht="13.35" customHeight="1">
      <c r="A5" s="561"/>
      <c r="B5" s="548" t="s">
        <v>245</v>
      </c>
      <c r="C5" s="563"/>
      <c r="D5" s="549"/>
      <c r="E5" s="556" t="s">
        <v>242</v>
      </c>
      <c r="F5" s="556"/>
      <c r="G5" s="547"/>
      <c r="H5" s="548" t="s">
        <v>245</v>
      </c>
      <c r="I5" s="563"/>
      <c r="J5" s="549"/>
      <c r="K5" s="556" t="s">
        <v>242</v>
      </c>
      <c r="L5" s="556"/>
      <c r="M5" s="547"/>
      <c r="N5" s="548" t="s">
        <v>245</v>
      </c>
      <c r="O5" s="563"/>
      <c r="P5" s="549"/>
      <c r="Q5" s="556" t="s">
        <v>242</v>
      </c>
      <c r="R5" s="556"/>
      <c r="S5" s="547"/>
    </row>
    <row r="6" spans="1:19" ht="13.35" customHeight="1">
      <c r="A6" s="562"/>
      <c r="B6" s="336" t="s">
        <v>166</v>
      </c>
      <c r="C6" s="336" t="s">
        <v>167</v>
      </c>
      <c r="D6" s="145" t="s">
        <v>437</v>
      </c>
      <c r="E6" s="336" t="s">
        <v>166</v>
      </c>
      <c r="F6" s="336" t="s">
        <v>167</v>
      </c>
      <c r="G6" s="145" t="s">
        <v>437</v>
      </c>
      <c r="H6" s="336" t="s">
        <v>166</v>
      </c>
      <c r="I6" s="336" t="s">
        <v>167</v>
      </c>
      <c r="J6" s="145" t="s">
        <v>437</v>
      </c>
      <c r="K6" s="336" t="s">
        <v>166</v>
      </c>
      <c r="L6" s="336" t="s">
        <v>167</v>
      </c>
      <c r="M6" s="145" t="s">
        <v>437</v>
      </c>
      <c r="N6" s="336" t="s">
        <v>166</v>
      </c>
      <c r="O6" s="336" t="s">
        <v>167</v>
      </c>
      <c r="P6" s="145" t="s">
        <v>437</v>
      </c>
      <c r="Q6" s="336" t="s">
        <v>166</v>
      </c>
      <c r="R6" s="336" t="s">
        <v>167</v>
      </c>
      <c r="S6" s="145" t="s">
        <v>437</v>
      </c>
    </row>
    <row r="7" spans="1:19" ht="17.100000000000001" customHeight="1">
      <c r="A7" s="468" t="s">
        <v>1</v>
      </c>
      <c r="B7" s="373">
        <v>36117.578159638222</v>
      </c>
      <c r="C7" s="373">
        <v>37262.510811246219</v>
      </c>
      <c r="D7" s="370">
        <v>3.1700150174727604</v>
      </c>
      <c r="E7" s="373">
        <v>2881.555526489798</v>
      </c>
      <c r="F7" s="373">
        <v>3085.7032277854869</v>
      </c>
      <c r="G7" s="370">
        <v>7.0846353443125842</v>
      </c>
      <c r="H7" s="373">
        <v>22019.322603659271</v>
      </c>
      <c r="I7" s="373">
        <v>22592.824105788422</v>
      </c>
      <c r="J7" s="370">
        <v>2.6045374440076818</v>
      </c>
      <c r="K7" s="373">
        <v>1658.0632121136009</v>
      </c>
      <c r="L7" s="373">
        <v>1824.8414654213798</v>
      </c>
      <c r="M7" s="370">
        <v>10.05861851884282</v>
      </c>
      <c r="N7" s="373">
        <v>14098.255555978953</v>
      </c>
      <c r="O7" s="373">
        <v>14669.686705457776</v>
      </c>
      <c r="P7" s="370">
        <v>4.0532046479784922</v>
      </c>
      <c r="Q7" s="373">
        <v>1223.4923143761969</v>
      </c>
      <c r="R7" s="373">
        <v>1260.8617623641073</v>
      </c>
      <c r="S7" s="370">
        <v>3.054326336897617</v>
      </c>
    </row>
    <row r="8" spans="1:19" ht="14.1" customHeight="1">
      <c r="A8" s="83" t="s">
        <v>349</v>
      </c>
      <c r="B8" s="374">
        <v>1284.3540224076717</v>
      </c>
      <c r="C8" s="374">
        <v>1320.2959538638097</v>
      </c>
      <c r="D8" s="371">
        <v>2.7984442629580109</v>
      </c>
      <c r="E8" s="371">
        <v>80.197467134948226</v>
      </c>
      <c r="F8" s="371">
        <v>76.911979066366428</v>
      </c>
      <c r="G8" s="371">
        <v>-4.0967479222919989</v>
      </c>
      <c r="H8" s="374">
        <v>1107.7120721321248</v>
      </c>
      <c r="I8" s="374">
        <v>1141.8499265855867</v>
      </c>
      <c r="J8" s="371">
        <v>3.0818346493013626</v>
      </c>
      <c r="K8" s="374">
        <v>64.462285710345498</v>
      </c>
      <c r="L8" s="374">
        <v>61.052780274128885</v>
      </c>
      <c r="M8" s="371">
        <v>-5.2891475979255027</v>
      </c>
      <c r="N8" s="374">
        <v>176.64195027554683</v>
      </c>
      <c r="O8" s="374">
        <v>178.44602727822311</v>
      </c>
      <c r="P8" s="371">
        <v>1.0213185485452803</v>
      </c>
      <c r="Q8" s="374">
        <v>15.735181424602736</v>
      </c>
      <c r="R8" s="374">
        <v>15.859198792237549</v>
      </c>
      <c r="S8" s="371">
        <v>0.78815340152931235</v>
      </c>
    </row>
    <row r="9" spans="1:19" ht="14.1" customHeight="1">
      <c r="A9" s="83" t="s">
        <v>350</v>
      </c>
      <c r="B9" s="374">
        <v>828.99494394457633</v>
      </c>
      <c r="C9" s="374">
        <v>835.4018009892759</v>
      </c>
      <c r="D9" s="371">
        <v>0.77284633537257896</v>
      </c>
      <c r="E9" s="371">
        <v>67.232405223640825</v>
      </c>
      <c r="F9" s="371">
        <v>73.754782104661302</v>
      </c>
      <c r="G9" s="371">
        <v>9.7012398401106417</v>
      </c>
      <c r="H9" s="374">
        <v>530.13383725125539</v>
      </c>
      <c r="I9" s="374">
        <v>528.99646776551867</v>
      </c>
      <c r="J9" s="371">
        <v>-0.21454383889810691</v>
      </c>
      <c r="K9" s="374">
        <v>38.182698467860575</v>
      </c>
      <c r="L9" s="374">
        <v>44.704471258085377</v>
      </c>
      <c r="M9" s="371">
        <v>17.080439706780702</v>
      </c>
      <c r="N9" s="374">
        <v>298.86110669332095</v>
      </c>
      <c r="O9" s="374">
        <v>306.40533322375728</v>
      </c>
      <c r="P9" s="371">
        <v>2.5243253007752209</v>
      </c>
      <c r="Q9" s="374">
        <v>29.049706755780257</v>
      </c>
      <c r="R9" s="374">
        <v>29.050310846575925</v>
      </c>
      <c r="S9" s="371">
        <v>2.0795073793600238E-3</v>
      </c>
    </row>
    <row r="10" spans="1:19" s="135" customFormat="1" ht="14.1" customHeight="1">
      <c r="A10" s="83" t="s">
        <v>51</v>
      </c>
      <c r="B10" s="374">
        <v>528.47018081971351</v>
      </c>
      <c r="C10" s="374">
        <v>542.29636153807849</v>
      </c>
      <c r="D10" s="371">
        <v>2.616265064741996</v>
      </c>
      <c r="E10" s="371">
        <v>17.942277473109932</v>
      </c>
      <c r="F10" s="371">
        <v>14.136754145407485</v>
      </c>
      <c r="G10" s="371">
        <v>-21.209812039780239</v>
      </c>
      <c r="H10" s="374">
        <v>414.63040081188382</v>
      </c>
      <c r="I10" s="374">
        <v>428.45965886912063</v>
      </c>
      <c r="J10" s="371">
        <v>3.3353217781807221</v>
      </c>
      <c r="K10" s="374">
        <v>9.2360831650539161</v>
      </c>
      <c r="L10" s="374">
        <v>5.4411567844413984</v>
      </c>
      <c r="M10" s="371">
        <v>-41.088049044114086</v>
      </c>
      <c r="N10" s="374">
        <v>113.8397800078297</v>
      </c>
      <c r="O10" s="374">
        <v>113.83670266895783</v>
      </c>
      <c r="P10" s="371">
        <v>-2.7032192715603642E-3</v>
      </c>
      <c r="Q10" s="374">
        <v>8.7061943080560162</v>
      </c>
      <c r="R10" s="374">
        <v>8.6955973609660866</v>
      </c>
      <c r="S10" s="371">
        <v>-0.12171732808816671</v>
      </c>
    </row>
    <row r="11" spans="1:19" ht="14.1" customHeight="1">
      <c r="A11" s="83" t="s">
        <v>352</v>
      </c>
      <c r="B11" s="374">
        <v>2835.4508520594072</v>
      </c>
      <c r="C11" s="374">
        <v>2789.2420198354384</v>
      </c>
      <c r="D11" s="371">
        <v>-1.6296820024373493</v>
      </c>
      <c r="E11" s="371">
        <v>227.48454207979523</v>
      </c>
      <c r="F11" s="371">
        <v>216.87242563629184</v>
      </c>
      <c r="G11" s="371">
        <v>-4.6649835397523205</v>
      </c>
      <c r="H11" s="374">
        <v>1566.1058518426528</v>
      </c>
      <c r="I11" s="374">
        <v>1512.2302967322839</v>
      </c>
      <c r="J11" s="371">
        <v>-3.4400966605788397</v>
      </c>
      <c r="K11" s="374">
        <v>114.6172966852358</v>
      </c>
      <c r="L11" s="374">
        <v>106.08604445017922</v>
      </c>
      <c r="M11" s="371">
        <v>-7.4432502613329561</v>
      </c>
      <c r="N11" s="374">
        <v>1269.3450002167544</v>
      </c>
      <c r="O11" s="374">
        <v>1277.0117231031545</v>
      </c>
      <c r="P11" s="371">
        <v>0.60399047422812213</v>
      </c>
      <c r="Q11" s="374">
        <v>112.86724539455945</v>
      </c>
      <c r="R11" s="374">
        <v>110.78638118611264</v>
      </c>
      <c r="S11" s="371">
        <v>-1.8436386935576921</v>
      </c>
    </row>
    <row r="12" spans="1:19" ht="14.1" customHeight="1">
      <c r="A12" s="83" t="s">
        <v>353</v>
      </c>
      <c r="B12" s="374">
        <v>671.97088885992162</v>
      </c>
      <c r="C12" s="374">
        <v>670.78384446998302</v>
      </c>
      <c r="D12" s="371">
        <v>-0.17665116296221584</v>
      </c>
      <c r="E12" s="371">
        <v>25.808463026250994</v>
      </c>
      <c r="F12" s="371">
        <v>26.270637042595368</v>
      </c>
      <c r="G12" s="371">
        <v>1.790784735512041</v>
      </c>
      <c r="H12" s="374">
        <v>459.25502814412454</v>
      </c>
      <c r="I12" s="374">
        <v>434.51281762885196</v>
      </c>
      <c r="J12" s="371">
        <v>-5.3874664399989776</v>
      </c>
      <c r="K12" s="374">
        <v>9.9284101510429927</v>
      </c>
      <c r="L12" s="374">
        <v>8.4743623839760662</v>
      </c>
      <c r="M12" s="371">
        <v>-14.645323319103376</v>
      </c>
      <c r="N12" s="374">
        <v>212.71586071579702</v>
      </c>
      <c r="O12" s="374">
        <v>236.27102684113109</v>
      </c>
      <c r="P12" s="371">
        <v>11.073535394149747</v>
      </c>
      <c r="Q12" s="374">
        <v>15.880052875208001</v>
      </c>
      <c r="R12" s="374">
        <v>17.7962746586193</v>
      </c>
      <c r="S12" s="371">
        <v>12.066847626199738</v>
      </c>
    </row>
    <row r="13" spans="1:19" ht="14.1" customHeight="1">
      <c r="A13" s="83" t="s">
        <v>354</v>
      </c>
      <c r="B13" s="374">
        <v>1618.6871283893465</v>
      </c>
      <c r="C13" s="374">
        <v>1682.8863929878721</v>
      </c>
      <c r="D13" s="371">
        <v>3.9661317788080686</v>
      </c>
      <c r="E13" s="371">
        <v>95.45589627168188</v>
      </c>
      <c r="F13" s="371">
        <v>96.205834652407617</v>
      </c>
      <c r="G13" s="371">
        <v>0.78563861428873061</v>
      </c>
      <c r="H13" s="374">
        <v>1036.8063490198952</v>
      </c>
      <c r="I13" s="374">
        <v>1073.1331733387678</v>
      </c>
      <c r="J13" s="371">
        <v>3.5037231738803243</v>
      </c>
      <c r="K13" s="374">
        <v>49.715129134011988</v>
      </c>
      <c r="L13" s="374">
        <v>47.88394176568405</v>
      </c>
      <c r="M13" s="371">
        <v>-3.6833603778676616</v>
      </c>
      <c r="N13" s="374">
        <v>581.88077936945149</v>
      </c>
      <c r="O13" s="374">
        <v>609.75321964910415</v>
      </c>
      <c r="P13" s="371">
        <v>4.7900603126737273</v>
      </c>
      <c r="Q13" s="374">
        <v>45.740767137669891</v>
      </c>
      <c r="R13" s="374">
        <v>48.321892886723568</v>
      </c>
      <c r="S13" s="371">
        <v>5.6429437252004222</v>
      </c>
    </row>
    <row r="14" spans="1:19" ht="14.1" customHeight="1">
      <c r="A14" s="83" t="s">
        <v>355</v>
      </c>
      <c r="B14" s="374">
        <v>1037.6399460240941</v>
      </c>
      <c r="C14" s="374">
        <v>1088.3038400198557</v>
      </c>
      <c r="D14" s="371">
        <v>4.8826082871895382</v>
      </c>
      <c r="E14" s="371">
        <v>42.944510974704201</v>
      </c>
      <c r="F14" s="371">
        <v>49.110521468881515</v>
      </c>
      <c r="G14" s="371">
        <v>14.358087574473277</v>
      </c>
      <c r="H14" s="374">
        <v>708.62255721443205</v>
      </c>
      <c r="I14" s="374">
        <v>751.84084632111626</v>
      </c>
      <c r="J14" s="371">
        <v>6.0989152358589482</v>
      </c>
      <c r="K14" s="374">
        <v>10.629413228417071</v>
      </c>
      <c r="L14" s="374">
        <v>17.768564104591643</v>
      </c>
      <c r="M14" s="371">
        <v>67.164110781661009</v>
      </c>
      <c r="N14" s="374">
        <v>329.01738880966195</v>
      </c>
      <c r="O14" s="374">
        <v>336.4629936987393</v>
      </c>
      <c r="P14" s="371">
        <v>2.2629821834081465</v>
      </c>
      <c r="Q14" s="374">
        <v>32.31509774628713</v>
      </c>
      <c r="R14" s="374">
        <v>31.341957364289868</v>
      </c>
      <c r="S14" s="371">
        <v>-3.0114109189382621</v>
      </c>
    </row>
    <row r="15" spans="1:19" ht="14.1" customHeight="1">
      <c r="A15" s="83" t="s">
        <v>356</v>
      </c>
      <c r="B15" s="374">
        <v>430.35227525979371</v>
      </c>
      <c r="C15" s="374">
        <v>432.94435783021504</v>
      </c>
      <c r="D15" s="371">
        <v>0.60231645547976775</v>
      </c>
      <c r="E15" s="371">
        <v>14.818032601521708</v>
      </c>
      <c r="F15" s="371">
        <v>13.032497322205021</v>
      </c>
      <c r="G15" s="371">
        <v>-12.049745923310528</v>
      </c>
      <c r="H15" s="374">
        <v>326.79029604379463</v>
      </c>
      <c r="I15" s="374">
        <v>333.27298038652833</v>
      </c>
      <c r="J15" s="371">
        <v>1.9837444444387398</v>
      </c>
      <c r="K15" s="374">
        <v>6.522473014343424</v>
      </c>
      <c r="L15" s="374">
        <v>4.5668625676141579</v>
      </c>
      <c r="M15" s="371">
        <v>-29.982652935914444</v>
      </c>
      <c r="N15" s="374">
        <v>103.5619792159991</v>
      </c>
      <c r="O15" s="374">
        <v>99.67137744368668</v>
      </c>
      <c r="P15" s="371">
        <v>-3.7567858414503608</v>
      </c>
      <c r="Q15" s="374">
        <v>8.2955595871782837</v>
      </c>
      <c r="R15" s="374">
        <v>8.4656347545908641</v>
      </c>
      <c r="S15" s="371">
        <v>2.0501952354781583</v>
      </c>
    </row>
    <row r="16" spans="1:19" ht="14.1" customHeight="1">
      <c r="A16" s="83" t="s">
        <v>503</v>
      </c>
      <c r="B16" s="374">
        <v>1170.5207169292908</v>
      </c>
      <c r="C16" s="374">
        <v>1228.1744714631252</v>
      </c>
      <c r="D16" s="371">
        <v>4.9254792076710574</v>
      </c>
      <c r="E16" s="371">
        <v>97.289424433031883</v>
      </c>
      <c r="F16" s="371">
        <v>106.21639816586506</v>
      </c>
      <c r="G16" s="371">
        <v>9.1756876812216781</v>
      </c>
      <c r="H16" s="374">
        <v>869.97178691030854</v>
      </c>
      <c r="I16" s="374">
        <v>911.99589891443452</v>
      </c>
      <c r="J16" s="371">
        <v>4.8305143495944725</v>
      </c>
      <c r="K16" s="374">
        <v>68.45227008641217</v>
      </c>
      <c r="L16" s="374">
        <v>77.549407363854542</v>
      </c>
      <c r="M16" s="371">
        <v>13.289752503398944</v>
      </c>
      <c r="N16" s="374">
        <v>300.54893001898211</v>
      </c>
      <c r="O16" s="374">
        <v>316.17857254869062</v>
      </c>
      <c r="P16" s="371">
        <v>5.2003653876662836</v>
      </c>
      <c r="Q16" s="374">
        <v>28.837154346619716</v>
      </c>
      <c r="R16" s="374">
        <v>28.666990802010524</v>
      </c>
      <c r="S16" s="371">
        <v>-0.5900843840687009</v>
      </c>
    </row>
    <row r="17" spans="1:19" ht="14.1" customHeight="1">
      <c r="A17" s="83" t="s">
        <v>357</v>
      </c>
      <c r="B17" s="374">
        <v>2966.8334993996623</v>
      </c>
      <c r="C17" s="374">
        <v>3112.0307554436449</v>
      </c>
      <c r="D17" s="371">
        <v>4.894014310993966</v>
      </c>
      <c r="E17" s="371">
        <v>291.95106627915061</v>
      </c>
      <c r="F17" s="371">
        <v>339.95346998045773</v>
      </c>
      <c r="G17" s="371">
        <v>16.441934709500039</v>
      </c>
      <c r="H17" s="374">
        <v>1899.798171890732</v>
      </c>
      <c r="I17" s="374">
        <v>1931.895767121506</v>
      </c>
      <c r="J17" s="371">
        <v>1.6895265879127264</v>
      </c>
      <c r="K17" s="374">
        <v>196.76397331157739</v>
      </c>
      <c r="L17" s="374">
        <v>242.09590874364312</v>
      </c>
      <c r="M17" s="371">
        <v>23.038737564158772</v>
      </c>
      <c r="N17" s="374">
        <v>1067.0353275089303</v>
      </c>
      <c r="O17" s="374">
        <v>1180.134988322139</v>
      </c>
      <c r="P17" s="371">
        <v>10.599429831179808</v>
      </c>
      <c r="Q17" s="374">
        <v>95.187092967573221</v>
      </c>
      <c r="R17" s="374">
        <v>97.857561236814618</v>
      </c>
      <c r="S17" s="371">
        <v>2.8054940916738769</v>
      </c>
    </row>
    <row r="18" spans="1:19" ht="14.1" customHeight="1">
      <c r="A18" s="83" t="s">
        <v>504</v>
      </c>
      <c r="B18" s="374">
        <v>1786.1229322692882</v>
      </c>
      <c r="C18" s="374">
        <v>1741.7976369557714</v>
      </c>
      <c r="D18" s="371">
        <v>-2.4816486319449993</v>
      </c>
      <c r="E18" s="371">
        <v>86.402207069139649</v>
      </c>
      <c r="F18" s="371">
        <v>91.891117519652937</v>
      </c>
      <c r="G18" s="371">
        <v>6.3527433345782702</v>
      </c>
      <c r="H18" s="374">
        <v>1528.12511575606</v>
      </c>
      <c r="I18" s="374">
        <v>1491.9190840749645</v>
      </c>
      <c r="J18" s="371">
        <v>-2.3693106871803593</v>
      </c>
      <c r="K18" s="374">
        <v>64.522432110216741</v>
      </c>
      <c r="L18" s="374">
        <v>69.61967801302805</v>
      </c>
      <c r="M18" s="371">
        <v>7.8999593414337488</v>
      </c>
      <c r="N18" s="374">
        <v>257.99781651322809</v>
      </c>
      <c r="O18" s="374">
        <v>249.87855288080678</v>
      </c>
      <c r="P18" s="371">
        <v>-3.1470280416132979</v>
      </c>
      <c r="Q18" s="374">
        <v>21.879774958922901</v>
      </c>
      <c r="R18" s="374">
        <v>22.271439506624883</v>
      </c>
      <c r="S18" s="371">
        <v>1.7900757591762018</v>
      </c>
    </row>
    <row r="19" spans="1:19" ht="14.1" customHeight="1">
      <c r="A19" s="83" t="s">
        <v>416</v>
      </c>
      <c r="B19" s="374">
        <v>4609.8990738792709</v>
      </c>
      <c r="C19" s="374">
        <v>5143.8747283548128</v>
      </c>
      <c r="D19" s="371">
        <v>11.583239587633676</v>
      </c>
      <c r="E19" s="371">
        <v>372.92243423619243</v>
      </c>
      <c r="F19" s="371">
        <v>499.77224544983017</v>
      </c>
      <c r="G19" s="371">
        <v>34.015065753136398</v>
      </c>
      <c r="H19" s="374">
        <v>2701.884434183441</v>
      </c>
      <c r="I19" s="374">
        <v>3110.6473743322231</v>
      </c>
      <c r="J19" s="371">
        <v>15.128809173968904</v>
      </c>
      <c r="K19" s="374">
        <v>210.68555752396438</v>
      </c>
      <c r="L19" s="374">
        <v>330.4790894138921</v>
      </c>
      <c r="M19" s="371">
        <v>56.858919661022256</v>
      </c>
      <c r="N19" s="374">
        <v>1908.0146396958303</v>
      </c>
      <c r="O19" s="374">
        <v>2033.2273540225895</v>
      </c>
      <c r="P19" s="371">
        <v>6.5624608806314155</v>
      </c>
      <c r="Q19" s="374">
        <v>162.23687671222808</v>
      </c>
      <c r="R19" s="374">
        <v>169.29315603593804</v>
      </c>
      <c r="S19" s="371">
        <v>4.3493683228543745</v>
      </c>
    </row>
    <row r="20" spans="1:19" ht="14.1" customHeight="1">
      <c r="A20" s="83" t="s">
        <v>417</v>
      </c>
      <c r="B20" s="374">
        <v>1203.9868036872963</v>
      </c>
      <c r="C20" s="374">
        <v>1251.862311795803</v>
      </c>
      <c r="D20" s="371">
        <v>3.9764146884238682</v>
      </c>
      <c r="E20" s="371">
        <v>90.961891321067242</v>
      </c>
      <c r="F20" s="371">
        <v>98.6487089026718</v>
      </c>
      <c r="G20" s="371">
        <v>8.4505911981012751</v>
      </c>
      <c r="H20" s="374">
        <v>973.28090653844379</v>
      </c>
      <c r="I20" s="374">
        <v>1015.5958472462775</v>
      </c>
      <c r="J20" s="371">
        <v>4.3476595938093832</v>
      </c>
      <c r="K20" s="374">
        <v>73.853923425444805</v>
      </c>
      <c r="L20" s="374">
        <v>81.169798479522541</v>
      </c>
      <c r="M20" s="371">
        <v>9.9058719087051337</v>
      </c>
      <c r="N20" s="374">
        <v>230.70589714885256</v>
      </c>
      <c r="O20" s="374">
        <v>236.26646454952549</v>
      </c>
      <c r="P20" s="371">
        <v>2.4102406871226334</v>
      </c>
      <c r="Q20" s="374">
        <v>17.107967895622444</v>
      </c>
      <c r="R20" s="374">
        <v>17.478910423149262</v>
      </c>
      <c r="S20" s="371">
        <v>2.1682442344408193</v>
      </c>
    </row>
    <row r="21" spans="1:19" ht="14.1" customHeight="1">
      <c r="A21" s="83" t="s">
        <v>418</v>
      </c>
      <c r="B21" s="374">
        <v>6787.705514952675</v>
      </c>
      <c r="C21" s="374">
        <v>7001.191680963404</v>
      </c>
      <c r="D21" s="371">
        <v>3.1451889823510992</v>
      </c>
      <c r="E21" s="371">
        <v>569.11914319725747</v>
      </c>
      <c r="F21" s="371">
        <v>604.63609454436948</v>
      </c>
      <c r="G21" s="371">
        <v>6.2406882234853578</v>
      </c>
      <c r="H21" s="374">
        <v>1412.4833637530721</v>
      </c>
      <c r="I21" s="374">
        <v>1420.136649627839</v>
      </c>
      <c r="J21" s="371">
        <v>0.54183193028423116</v>
      </c>
      <c r="K21" s="374">
        <v>99.459201396496312</v>
      </c>
      <c r="L21" s="374">
        <v>111.95453210338816</v>
      </c>
      <c r="M21" s="371">
        <v>12.563272710263318</v>
      </c>
      <c r="N21" s="374">
        <v>5375.2221511996031</v>
      </c>
      <c r="O21" s="374">
        <v>5581.0550313355652</v>
      </c>
      <c r="P21" s="371">
        <v>3.8292906664336712</v>
      </c>
      <c r="Q21" s="374">
        <v>469.65994180076115</v>
      </c>
      <c r="R21" s="374">
        <v>492.68156244098134</v>
      </c>
      <c r="S21" s="371">
        <v>4.9017637212045662</v>
      </c>
    </row>
    <row r="22" spans="1:19" ht="14.1" customHeight="1">
      <c r="A22" s="83" t="s">
        <v>419</v>
      </c>
      <c r="B22" s="374">
        <v>719.49633993321072</v>
      </c>
      <c r="C22" s="374">
        <v>710.61341792006658</v>
      </c>
      <c r="D22" s="371">
        <v>-1.2346028075651772</v>
      </c>
      <c r="E22" s="371">
        <v>89.99991880191844</v>
      </c>
      <c r="F22" s="371">
        <v>89.27848456898684</v>
      </c>
      <c r="G22" s="371">
        <v>-0.8015943153453442</v>
      </c>
      <c r="H22" s="374">
        <v>554.74145272576891</v>
      </c>
      <c r="I22" s="374">
        <v>542.75872485476043</v>
      </c>
      <c r="J22" s="371">
        <v>-2.1600563311305332</v>
      </c>
      <c r="K22" s="374">
        <v>70.783779642173513</v>
      </c>
      <c r="L22" s="374">
        <v>70.443669367424746</v>
      </c>
      <c r="M22" s="371">
        <v>-0.48049182520076839</v>
      </c>
      <c r="N22" s="374">
        <v>164.75488720744181</v>
      </c>
      <c r="O22" s="374">
        <v>167.85469306530612</v>
      </c>
      <c r="P22" s="371">
        <v>1.8814651937829163</v>
      </c>
      <c r="Q22" s="374">
        <v>19.21613915974493</v>
      </c>
      <c r="R22" s="374">
        <v>18.834815201562101</v>
      </c>
      <c r="S22" s="371">
        <v>-1.9843942376398305</v>
      </c>
    </row>
    <row r="23" spans="1:19" ht="14.1" customHeight="1">
      <c r="A23" s="83" t="s">
        <v>438</v>
      </c>
      <c r="B23" s="374">
        <v>165.68682973995161</v>
      </c>
      <c r="C23" s="374">
        <v>175.34101204607612</v>
      </c>
      <c r="D23" s="371">
        <v>5.826765061095629</v>
      </c>
      <c r="E23" s="371">
        <v>14.011953539342171</v>
      </c>
      <c r="F23" s="371">
        <v>15.051414499618652</v>
      </c>
      <c r="G23" s="371">
        <v>7.4183871460744344</v>
      </c>
      <c r="H23" s="374">
        <v>86.870737760606517</v>
      </c>
      <c r="I23" s="374">
        <v>92.91390723543887</v>
      </c>
      <c r="J23" s="371">
        <v>6.9565076003910375</v>
      </c>
      <c r="K23" s="374">
        <v>5.9661511213385996</v>
      </c>
      <c r="L23" s="374">
        <v>6.7491908084999519</v>
      </c>
      <c r="M23" s="371">
        <v>13.124704206045411</v>
      </c>
      <c r="N23" s="374">
        <v>78.816091979345089</v>
      </c>
      <c r="O23" s="374">
        <v>82.427104810637246</v>
      </c>
      <c r="P23" s="371">
        <v>4.5815679775628615</v>
      </c>
      <c r="Q23" s="374">
        <v>8.0458024180035714</v>
      </c>
      <c r="R23" s="374">
        <v>8.3022236911186997</v>
      </c>
      <c r="S23" s="371">
        <v>3.1870192653668861</v>
      </c>
    </row>
    <row r="24" spans="1:19" ht="14.1" customHeight="1">
      <c r="A24" s="83" t="s">
        <v>453</v>
      </c>
      <c r="B24" s="374">
        <v>140.01992838374801</v>
      </c>
      <c r="C24" s="374">
        <v>148.5212609422652</v>
      </c>
      <c r="D24" s="371">
        <v>6.0715161453431588</v>
      </c>
      <c r="E24" s="371">
        <v>10.850805827778023</v>
      </c>
      <c r="F24" s="371">
        <v>11.604970456008575</v>
      </c>
      <c r="G24" s="371">
        <v>6.9503098682301756</v>
      </c>
      <c r="H24" s="374">
        <v>105.88684968937423</v>
      </c>
      <c r="I24" s="374">
        <v>114.7080943576165</v>
      </c>
      <c r="J24" s="371">
        <v>8.3308217159354001</v>
      </c>
      <c r="K24" s="374">
        <v>7.6944415829519546</v>
      </c>
      <c r="L24" s="374">
        <v>8.3800843629554382</v>
      </c>
      <c r="M24" s="371">
        <v>8.9108842092272766</v>
      </c>
      <c r="N24" s="374">
        <v>34.133078694373779</v>
      </c>
      <c r="O24" s="374">
        <v>33.813166584648691</v>
      </c>
      <c r="P24" s="371">
        <v>-0.93724950095936954</v>
      </c>
      <c r="Q24" s="374">
        <v>3.1563642448260691</v>
      </c>
      <c r="R24" s="374">
        <v>3.2248860930531369</v>
      </c>
      <c r="S24" s="371">
        <v>2.1709106716498061</v>
      </c>
    </row>
    <row r="25" spans="1:19" ht="14.1" customHeight="1">
      <c r="A25" s="83" t="s">
        <v>420</v>
      </c>
      <c r="B25" s="374">
        <v>457.18876151862224</v>
      </c>
      <c r="C25" s="374">
        <v>464.0402683266139</v>
      </c>
      <c r="D25" s="371">
        <v>1.4986166294274961</v>
      </c>
      <c r="E25" s="371">
        <v>26.70623680839282</v>
      </c>
      <c r="F25" s="371">
        <v>30.75315452161448</v>
      </c>
      <c r="G25" s="371">
        <v>15.153455510249426</v>
      </c>
      <c r="H25" s="374">
        <v>361.28012393144917</v>
      </c>
      <c r="I25" s="374">
        <v>363.63579951891415</v>
      </c>
      <c r="J25" s="371">
        <v>0.65203575603067776</v>
      </c>
      <c r="K25" s="374">
        <v>17.397504318314887</v>
      </c>
      <c r="L25" s="374">
        <v>20.521131445153991</v>
      </c>
      <c r="M25" s="371">
        <v>17.954455246496281</v>
      </c>
      <c r="N25" s="374">
        <v>95.908637587173061</v>
      </c>
      <c r="O25" s="374">
        <v>100.40446880769974</v>
      </c>
      <c r="P25" s="371">
        <v>4.6876186896517513</v>
      </c>
      <c r="Q25" s="374">
        <v>9.3087324900779329</v>
      </c>
      <c r="R25" s="374">
        <v>10.232023076460489</v>
      </c>
      <c r="S25" s="371">
        <v>9.9185424800495738</v>
      </c>
    </row>
    <row r="26" spans="1:19" ht="14.1" customHeight="1">
      <c r="A26" s="83" t="s">
        <v>421</v>
      </c>
      <c r="B26" s="374">
        <v>1564.2233947929249</v>
      </c>
      <c r="C26" s="374">
        <v>1638.6860627344849</v>
      </c>
      <c r="D26" s="371">
        <v>4.7603602010707347</v>
      </c>
      <c r="E26" s="371">
        <v>320.52138792943191</v>
      </c>
      <c r="F26" s="371">
        <v>299.32249777365757</v>
      </c>
      <c r="G26" s="371">
        <v>-6.6138769374234796</v>
      </c>
      <c r="H26" s="374">
        <v>1253.2382221343273</v>
      </c>
      <c r="I26" s="374">
        <v>1317.9552671886281</v>
      </c>
      <c r="J26" s="371">
        <v>5.1639858975961017</v>
      </c>
      <c r="K26" s="374">
        <v>293.37300990426934</v>
      </c>
      <c r="L26" s="374">
        <v>271.58466834338623</v>
      </c>
      <c r="M26" s="371">
        <v>-7.4268391519699994</v>
      </c>
      <c r="N26" s="374">
        <v>310.98517265859749</v>
      </c>
      <c r="O26" s="374">
        <v>320.73079554585684</v>
      </c>
      <c r="P26" s="371">
        <v>3.1337902074058732</v>
      </c>
      <c r="Q26" s="374">
        <v>27.148378025162572</v>
      </c>
      <c r="R26" s="374">
        <v>27.737829430271347</v>
      </c>
      <c r="S26" s="371">
        <v>2.1712214429990606</v>
      </c>
    </row>
    <row r="27" spans="1:19" ht="14.1" customHeight="1">
      <c r="A27" s="83" t="s">
        <v>422</v>
      </c>
      <c r="B27" s="374">
        <v>1605.2493443956341</v>
      </c>
      <c r="C27" s="374">
        <v>1665.4403934917841</v>
      </c>
      <c r="D27" s="371">
        <v>3.749638603267047</v>
      </c>
      <c r="E27" s="371">
        <v>57.753824031832295</v>
      </c>
      <c r="F27" s="371">
        <v>59.114728538268494</v>
      </c>
      <c r="G27" s="371">
        <v>2.3563885669044327</v>
      </c>
      <c r="H27" s="374">
        <v>1011.8357796560958</v>
      </c>
      <c r="I27" s="374">
        <v>1064.4689370907463</v>
      </c>
      <c r="J27" s="371">
        <v>5.2017489886095447</v>
      </c>
      <c r="K27" s="374">
        <v>20.159387183087073</v>
      </c>
      <c r="L27" s="374">
        <v>21.003606596733928</v>
      </c>
      <c r="M27" s="371">
        <v>4.1877235948676095</v>
      </c>
      <c r="N27" s="374">
        <v>593.41356473953817</v>
      </c>
      <c r="O27" s="374">
        <v>600.97145640103781</v>
      </c>
      <c r="P27" s="371">
        <v>1.2736297433337151</v>
      </c>
      <c r="Q27" s="374">
        <v>37.594436848745225</v>
      </c>
      <c r="R27" s="374">
        <v>38.111121941534563</v>
      </c>
      <c r="S27" s="371">
        <v>1.3743658266996528</v>
      </c>
    </row>
    <row r="28" spans="1:19" ht="14.1" customHeight="1">
      <c r="A28" s="83" t="s">
        <v>456</v>
      </c>
      <c r="B28" s="374">
        <v>2279.9454997635953</v>
      </c>
      <c r="C28" s="374">
        <v>2149.797116416587</v>
      </c>
      <c r="D28" s="371">
        <v>-5.7083988788549256</v>
      </c>
      <c r="E28" s="371">
        <v>159.55071489980261</v>
      </c>
      <c r="F28" s="371">
        <v>144.76622022984665</v>
      </c>
      <c r="G28" s="371">
        <v>-9.2663293168197889</v>
      </c>
      <c r="H28" s="374">
        <v>1962.0721577537829</v>
      </c>
      <c r="I28" s="374">
        <v>1824.7258023602549</v>
      </c>
      <c r="J28" s="371">
        <v>-7.0000664782259969</v>
      </c>
      <c r="K28" s="374">
        <v>131.1016156933787</v>
      </c>
      <c r="L28" s="374">
        <v>115.81378969952769</v>
      </c>
      <c r="M28" s="371">
        <v>-11.66105079101869</v>
      </c>
      <c r="N28" s="374">
        <v>317.8733420098124</v>
      </c>
      <c r="O28" s="374">
        <v>325.07131405633197</v>
      </c>
      <c r="P28" s="371">
        <v>2.2644151286827174</v>
      </c>
      <c r="Q28" s="374">
        <v>28.449099206423902</v>
      </c>
      <c r="R28" s="374">
        <v>28.952430530318953</v>
      </c>
      <c r="S28" s="371">
        <v>1.7692346609744281</v>
      </c>
    </row>
    <row r="29" spans="1:19" ht="14.1" customHeight="1">
      <c r="A29" s="83" t="s">
        <v>454</v>
      </c>
      <c r="B29" s="374">
        <v>656.20724598924141</v>
      </c>
      <c r="C29" s="374">
        <v>642.97543242421455</v>
      </c>
      <c r="D29" s="371">
        <v>-2.01640771964956</v>
      </c>
      <c r="E29" s="371">
        <v>28.733967089045791</v>
      </c>
      <c r="F29" s="371">
        <v>26.776253727641993</v>
      </c>
      <c r="G29" s="371">
        <v>-6.8132372927723335</v>
      </c>
      <c r="H29" s="374">
        <v>496.63776594348099</v>
      </c>
      <c r="I29" s="374">
        <v>481.11621847626861</v>
      </c>
      <c r="J29" s="371">
        <v>-3.1253256460924805</v>
      </c>
      <c r="K29" s="374">
        <v>14.741425157009928</v>
      </c>
      <c r="L29" s="374">
        <v>12.836365678713632</v>
      </c>
      <c r="M29" s="371">
        <v>-12.923170304130272</v>
      </c>
      <c r="N29" s="374">
        <v>159.56948004576046</v>
      </c>
      <c r="O29" s="374">
        <v>161.85921394794593</v>
      </c>
      <c r="P29" s="371">
        <v>1.4349447660848558</v>
      </c>
      <c r="Q29" s="374">
        <v>13.992541932035863</v>
      </c>
      <c r="R29" s="374">
        <v>13.939888048928362</v>
      </c>
      <c r="S29" s="371">
        <v>-0.37629962706740017</v>
      </c>
    </row>
    <row r="30" spans="1:19" ht="14.1" customHeight="1">
      <c r="A30" s="83" t="s">
        <v>455</v>
      </c>
      <c r="B30" s="374">
        <v>182.51684460799081</v>
      </c>
      <c r="C30" s="374">
        <v>183.601808525736</v>
      </c>
      <c r="D30" s="371">
        <v>0.59444590995174629</v>
      </c>
      <c r="E30" s="371">
        <v>44.217640488341033</v>
      </c>
      <c r="F30" s="371">
        <v>46.329385583094222</v>
      </c>
      <c r="G30" s="371">
        <v>4.7757977843932986</v>
      </c>
      <c r="H30" s="374">
        <v>169.76964242173463</v>
      </c>
      <c r="I30" s="374">
        <v>171.70622257105308</v>
      </c>
      <c r="J30" s="371">
        <v>1.1407105073047541</v>
      </c>
      <c r="K30" s="374">
        <v>43.034271793191316</v>
      </c>
      <c r="L30" s="374">
        <v>45.223676984858955</v>
      </c>
      <c r="M30" s="371">
        <v>5.0875850814653178</v>
      </c>
      <c r="N30" s="374">
        <v>12.74720218625618</v>
      </c>
      <c r="O30" s="374">
        <v>11.895585954682923</v>
      </c>
      <c r="P30" s="371">
        <v>-6.6808090052219882</v>
      </c>
      <c r="Q30" s="374">
        <v>1.1833686951497149</v>
      </c>
      <c r="R30" s="374">
        <v>1.1057085982352703</v>
      </c>
      <c r="S30" s="371">
        <v>-6.5626289788424108</v>
      </c>
    </row>
    <row r="31" spans="1:19" ht="14.1" customHeight="1">
      <c r="A31" s="85" t="s">
        <v>457</v>
      </c>
      <c r="B31" s="375">
        <v>586.05519163129395</v>
      </c>
      <c r="C31" s="375">
        <v>642.40788190728881</v>
      </c>
      <c r="D31" s="372">
        <v>9.6155944151157904</v>
      </c>
      <c r="E31" s="372">
        <v>48.679315752420173</v>
      </c>
      <c r="F31" s="372">
        <v>55.292651885085775</v>
      </c>
      <c r="G31" s="372">
        <v>13.585515799565883</v>
      </c>
      <c r="H31" s="375">
        <v>481.3897001504277</v>
      </c>
      <c r="I31" s="375">
        <v>532.34834318972719</v>
      </c>
      <c r="J31" s="372">
        <v>10.585736051971129</v>
      </c>
      <c r="K31" s="375">
        <v>36.780478307462644</v>
      </c>
      <c r="L31" s="375">
        <v>43.438684428095861</v>
      </c>
      <c r="M31" s="372">
        <v>18.102554471898458</v>
      </c>
      <c r="N31" s="375">
        <v>104.66549148086621</v>
      </c>
      <c r="O31" s="375">
        <v>110.05953871756161</v>
      </c>
      <c r="P31" s="372">
        <v>5.1536061794364096</v>
      </c>
      <c r="Q31" s="375">
        <v>11.898837444957531</v>
      </c>
      <c r="R31" s="375">
        <v>11.853967456989913</v>
      </c>
      <c r="S31" s="372">
        <v>-0.37709556227808472</v>
      </c>
    </row>
    <row r="32" spans="1:19" ht="10.35" customHeight="1">
      <c r="A32" s="279" t="s">
        <v>86</v>
      </c>
      <c r="B32" s="279"/>
      <c r="C32" s="279"/>
      <c r="D32" s="277"/>
      <c r="E32" s="277"/>
      <c r="F32" s="277"/>
      <c r="H32" s="277"/>
      <c r="I32" s="277"/>
      <c r="K32" s="277"/>
      <c r="L32" s="277"/>
      <c r="M32" s="136"/>
    </row>
    <row r="33" spans="1:16" ht="10.35" customHeight="1">
      <c r="A33" s="274" t="s">
        <v>378</v>
      </c>
      <c r="B33" s="279"/>
      <c r="C33" s="279"/>
      <c r="D33" s="277"/>
      <c r="E33" s="277"/>
      <c r="F33" s="277"/>
      <c r="H33" s="277"/>
      <c r="I33" s="277"/>
      <c r="K33" s="277"/>
      <c r="L33" s="277"/>
      <c r="M33" s="136"/>
      <c r="N33" s="84"/>
      <c r="O33" s="84"/>
    </row>
    <row r="34" spans="1:16" ht="17.100000000000001" customHeight="1">
      <c r="M34" s="136"/>
      <c r="N34" s="84"/>
      <c r="O34" s="84"/>
    </row>
    <row r="35" spans="1:16" ht="17.100000000000001" customHeight="1">
      <c r="B35" s="137"/>
      <c r="C35" s="137"/>
      <c r="D35" s="102"/>
      <c r="E35" s="137"/>
      <c r="F35" s="137"/>
      <c r="G35" s="102"/>
      <c r="H35" s="137"/>
      <c r="I35" s="137"/>
      <c r="J35" s="102"/>
      <c r="K35" s="137"/>
      <c r="L35" s="137"/>
      <c r="M35" s="102"/>
      <c r="N35" s="84"/>
      <c r="O35" s="84"/>
      <c r="P35" s="102"/>
    </row>
    <row r="64" spans="8:13" ht="17.100000000000001" customHeight="1">
      <c r="H64" s="277"/>
      <c r="I64" s="277"/>
      <c r="K64" s="277"/>
      <c r="L64" s="277"/>
      <c r="M64" s="136"/>
    </row>
    <row r="65" spans="8:13" ht="17.100000000000001" customHeight="1">
      <c r="H65" s="277"/>
      <c r="I65" s="277"/>
      <c r="K65" s="277"/>
      <c r="L65" s="277"/>
      <c r="M65" s="136"/>
    </row>
    <row r="66" spans="8:13" ht="17.100000000000001" customHeight="1">
      <c r="M66" s="136"/>
    </row>
    <row r="85" spans="24:24" ht="17.100000000000001" customHeight="1">
      <c r="X85" s="276" t="s">
        <v>69</v>
      </c>
    </row>
  </sheetData>
  <mergeCells count="10">
    <mergeCell ref="Q5:S5"/>
    <mergeCell ref="N4:S4"/>
    <mergeCell ref="A4:A6"/>
    <mergeCell ref="B4:G4"/>
    <mergeCell ref="H4:M4"/>
    <mergeCell ref="B5:D5"/>
    <mergeCell ref="E5:G5"/>
    <mergeCell ref="H5:J5"/>
    <mergeCell ref="K5:M5"/>
    <mergeCell ref="N5:P5"/>
  </mergeCells>
  <phoneticPr fontId="10" type="noConversion"/>
  <pageMargins left="1.0984251968503937" right="0.31102362204724415" top="1.1417322834645669" bottom="0.75196850393700787" header="0.31102362204724415" footer="0.3110236220472441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5"/>
  <dimension ref="A1:X152"/>
  <sheetViews>
    <sheetView showGridLines="0" topLeftCell="A79" zoomScale="150" workbookViewId="0">
      <selection activeCell="X85" sqref="X85"/>
    </sheetView>
  </sheetViews>
  <sheetFormatPr baseColWidth="10" defaultColWidth="0" defaultRowHeight="17.100000000000001" customHeight="1"/>
  <cols>
    <col min="1" max="1" width="2" style="272" customWidth="1"/>
    <col min="2" max="2" width="14.85546875" style="272" customWidth="1"/>
    <col min="3" max="4" width="8.42578125" style="272" customWidth="1"/>
    <col min="5" max="5" width="5.28515625" style="272" customWidth="1"/>
    <col min="6" max="7" width="8.28515625" style="272" customWidth="1"/>
    <col min="8" max="8" width="5.85546875" style="272" customWidth="1"/>
    <col min="9" max="9" width="6.42578125" style="272" bestFit="1" customWidth="1"/>
    <col min="10" max="10" width="7.85546875" style="272" bestFit="1" customWidth="1"/>
    <col min="11" max="11" width="6.42578125" style="272" bestFit="1" customWidth="1"/>
    <col min="12" max="241" width="10.85546875" style="272" customWidth="1"/>
    <col min="242" max="242" width="2" style="272" customWidth="1"/>
    <col min="243" max="243" width="17.140625" style="272" customWidth="1"/>
    <col min="244" max="244" width="11.28515625" style="272" customWidth="1"/>
    <col min="245" max="245" width="12.42578125" style="272" customWidth="1"/>
    <col min="246" max="246" width="6.42578125" style="272" customWidth="1"/>
    <col min="247" max="247" width="9.85546875" style="272" customWidth="1"/>
    <col min="248" max="248" width="8.42578125" style="272" customWidth="1"/>
    <col min="249" max="249" width="7.7109375" style="272" customWidth="1"/>
    <col min="250" max="16384" width="0" style="272" hidden="1"/>
  </cols>
  <sheetData>
    <row r="1" spans="1:14" s="50" customFormat="1" ht="16.350000000000001" customHeight="1">
      <c r="A1" s="291" t="s">
        <v>287</v>
      </c>
      <c r="B1" s="291"/>
      <c r="C1" s="291"/>
      <c r="D1" s="100"/>
    </row>
    <row r="2" spans="1:14" s="50" customFormat="1" ht="13.5">
      <c r="A2" s="21" t="s">
        <v>246</v>
      </c>
      <c r="B2" s="21"/>
      <c r="C2" s="18"/>
    </row>
    <row r="3" spans="1:14" s="50" customFormat="1" ht="11.1" customHeight="1">
      <c r="A3" s="21" t="s">
        <v>323</v>
      </c>
      <c r="B3" s="21"/>
      <c r="C3" s="18"/>
    </row>
    <row r="4" spans="1:14" ht="4.3499999999999996" customHeight="1">
      <c r="A4" s="51"/>
      <c r="B4" s="78"/>
      <c r="C4" s="51"/>
      <c r="D4" s="51"/>
      <c r="E4" s="51"/>
      <c r="F4" s="51"/>
      <c r="G4" s="51"/>
      <c r="H4" s="51"/>
    </row>
    <row r="5" spans="1:14" s="53" customFormat="1" ht="14.1" customHeight="1">
      <c r="A5" s="564" t="s">
        <v>229</v>
      </c>
      <c r="B5" s="565"/>
      <c r="C5" s="146" t="s">
        <v>247</v>
      </c>
      <c r="D5" s="147"/>
      <c r="E5" s="148"/>
      <c r="F5" s="149"/>
      <c r="G5" s="328" t="s">
        <v>242</v>
      </c>
      <c r="H5" s="150"/>
    </row>
    <row r="6" spans="1:14" s="26" customFormat="1" ht="14.1" customHeight="1">
      <c r="A6" s="566"/>
      <c r="B6" s="567"/>
      <c r="C6" s="336" t="s">
        <v>166</v>
      </c>
      <c r="D6" s="336" t="s">
        <v>167</v>
      </c>
      <c r="E6" s="145" t="s">
        <v>437</v>
      </c>
      <c r="F6" s="336" t="s">
        <v>166</v>
      </c>
      <c r="G6" s="336" t="s">
        <v>167</v>
      </c>
      <c r="H6" s="145" t="s">
        <v>437</v>
      </c>
    </row>
    <row r="7" spans="1:14" ht="15" customHeight="1">
      <c r="A7" s="568" t="s">
        <v>444</v>
      </c>
      <c r="B7" s="568"/>
      <c r="C7" s="155">
        <v>36117.578159638222</v>
      </c>
      <c r="D7" s="155">
        <v>37262.510811246204</v>
      </c>
      <c r="E7" s="384">
        <v>3.1700150174727382</v>
      </c>
      <c r="F7" s="155">
        <v>2881.555526489798</v>
      </c>
      <c r="G7" s="155">
        <v>3085.7032277854869</v>
      </c>
      <c r="H7" s="384">
        <v>7.0846353443125842</v>
      </c>
    </row>
    <row r="8" spans="1:14" ht="15" customHeight="1">
      <c r="A8" s="153" t="s">
        <v>262</v>
      </c>
      <c r="B8" s="154"/>
      <c r="C8" s="156">
        <v>22019.322603659268</v>
      </c>
      <c r="D8" s="156">
        <v>22592.824105788426</v>
      </c>
      <c r="E8" s="385">
        <v>2.604537444007704</v>
      </c>
      <c r="F8" s="156">
        <v>1658.0632121136016</v>
      </c>
      <c r="G8" s="156">
        <v>1824.8414654213798</v>
      </c>
      <c r="H8" s="385">
        <v>10.058618518842778</v>
      </c>
      <c r="I8" s="57"/>
      <c r="J8" s="59"/>
    </row>
    <row r="9" spans="1:14" ht="13.35" customHeight="1">
      <c r="A9" s="60"/>
      <c r="B9" s="31" t="s">
        <v>397</v>
      </c>
      <c r="C9" s="157">
        <v>2905.8488660467656</v>
      </c>
      <c r="D9" s="157">
        <v>2603.9895791864183</v>
      </c>
      <c r="E9" s="386">
        <v>-10.387989905029327</v>
      </c>
      <c r="F9" s="157">
        <v>252.07521471046519</v>
      </c>
      <c r="G9" s="157">
        <v>230.60200428910863</v>
      </c>
      <c r="H9" s="386">
        <v>-8.5185726990338111</v>
      </c>
      <c r="N9" s="38"/>
    </row>
    <row r="10" spans="1:14" ht="13.35" customHeight="1">
      <c r="A10" s="19"/>
      <c r="B10" s="31" t="s">
        <v>398</v>
      </c>
      <c r="C10" s="157">
        <v>2317.8145284211191</v>
      </c>
      <c r="D10" s="157">
        <v>2407.9372564302921</v>
      </c>
      <c r="E10" s="386">
        <v>3.8882631420281921</v>
      </c>
      <c r="F10" s="157">
        <v>122.09865287927651</v>
      </c>
      <c r="G10" s="157">
        <v>114.47060615403257</v>
      </c>
      <c r="H10" s="386">
        <v>-6.2474454429780497</v>
      </c>
      <c r="N10" s="38"/>
    </row>
    <row r="11" spans="1:14" ht="13.35" customHeight="1">
      <c r="A11" s="19"/>
      <c r="B11" s="31" t="s">
        <v>264</v>
      </c>
      <c r="C11" s="157">
        <v>1770.5908146203083</v>
      </c>
      <c r="D11" s="157">
        <v>1740.2657278130625</v>
      </c>
      <c r="E11" s="386">
        <v>-1.7127100489193858</v>
      </c>
      <c r="F11" s="157">
        <v>1.1219781008062113</v>
      </c>
      <c r="G11" s="157">
        <v>1.3604379669924174</v>
      </c>
      <c r="H11" s="386">
        <v>21.253522329433871</v>
      </c>
      <c r="N11" s="39"/>
    </row>
    <row r="12" spans="1:14" ht="13.35" customHeight="1">
      <c r="A12" s="19"/>
      <c r="B12" s="31" t="s">
        <v>399</v>
      </c>
      <c r="C12" s="157">
        <v>1100.1275081508677</v>
      </c>
      <c r="D12" s="157">
        <v>1118.8208523815995</v>
      </c>
      <c r="E12" s="386">
        <v>1.6991979649842781</v>
      </c>
      <c r="F12" s="157">
        <v>99.941861164977183</v>
      </c>
      <c r="G12" s="157">
        <v>130.09259744192909</v>
      </c>
      <c r="H12" s="386">
        <v>30.168275761025832</v>
      </c>
      <c r="N12" s="38"/>
    </row>
    <row r="13" spans="1:14" ht="13.35" customHeight="1">
      <c r="A13" s="19"/>
      <c r="B13" s="31" t="s">
        <v>518</v>
      </c>
      <c r="C13" s="157">
        <v>831.31202208984689</v>
      </c>
      <c r="D13" s="157">
        <v>835.11758618769443</v>
      </c>
      <c r="E13" s="386">
        <v>0.45777806608409133</v>
      </c>
      <c r="F13" s="157">
        <v>66.17680571071719</v>
      </c>
      <c r="G13" s="157">
        <v>74.73469782989855</v>
      </c>
      <c r="H13" s="386">
        <v>12.931860381099391</v>
      </c>
      <c r="N13" s="38"/>
    </row>
    <row r="14" spans="1:14" ht="13.35" customHeight="1">
      <c r="A14" s="19"/>
      <c r="B14" s="31" t="s">
        <v>400</v>
      </c>
      <c r="C14" s="157">
        <v>761.63751477957317</v>
      </c>
      <c r="D14" s="157">
        <v>791.81035300513952</v>
      </c>
      <c r="E14" s="386">
        <v>3.9615745863435636</v>
      </c>
      <c r="F14" s="157">
        <v>57.993437595586613</v>
      </c>
      <c r="G14" s="157">
        <v>60.828498459993881</v>
      </c>
      <c r="H14" s="386">
        <v>4.8885890920579156</v>
      </c>
      <c r="N14" s="38"/>
    </row>
    <row r="15" spans="1:14" ht="13.35" customHeight="1">
      <c r="A15" s="19"/>
      <c r="B15" s="31" t="s">
        <v>401</v>
      </c>
      <c r="C15" s="157">
        <v>743.46309179948571</v>
      </c>
      <c r="D15" s="157">
        <v>772.33159460648756</v>
      </c>
      <c r="E15" s="386">
        <v>3.8829772621433278</v>
      </c>
      <c r="F15" s="157">
        <v>67.100856397712221</v>
      </c>
      <c r="G15" s="157">
        <v>65.265818489435631</v>
      </c>
      <c r="H15" s="386">
        <v>-2.7347458837189365</v>
      </c>
      <c r="N15" s="61"/>
    </row>
    <row r="16" spans="1:14" ht="13.35" customHeight="1">
      <c r="A16" s="19"/>
      <c r="B16" s="31" t="s">
        <v>402</v>
      </c>
      <c r="C16" s="157">
        <v>112.86530039597164</v>
      </c>
      <c r="D16" s="157">
        <v>148.90763741234645</v>
      </c>
      <c r="E16" s="386">
        <v>31.933939740491944</v>
      </c>
      <c r="F16" s="157">
        <v>9.0634975821898021</v>
      </c>
      <c r="G16" s="157">
        <v>11.151504486463519</v>
      </c>
      <c r="H16" s="386">
        <v>23.03754025793252</v>
      </c>
      <c r="N16" s="38"/>
    </row>
    <row r="17" spans="1:14" ht="13.35" customHeight="1">
      <c r="A17" s="19"/>
      <c r="B17" s="31" t="s">
        <v>403</v>
      </c>
      <c r="C17" s="157">
        <v>607.76726098648373</v>
      </c>
      <c r="D17" s="157">
        <v>642.64522898519999</v>
      </c>
      <c r="E17" s="386">
        <v>5.7387046386975227</v>
      </c>
      <c r="F17" s="157">
        <v>62.214074941199982</v>
      </c>
      <c r="G17" s="157">
        <v>54.83993148479999</v>
      </c>
      <c r="H17" s="386">
        <v>-11.852853977768651</v>
      </c>
      <c r="N17" s="38"/>
    </row>
    <row r="18" spans="1:14" ht="13.35" customHeight="1">
      <c r="A18" s="19"/>
      <c r="B18" s="31" t="s">
        <v>404</v>
      </c>
      <c r="C18" s="157">
        <v>413.55736348172007</v>
      </c>
      <c r="D18" s="157">
        <v>428.99300450924335</v>
      </c>
      <c r="E18" s="386">
        <v>3.7324062852058359</v>
      </c>
      <c r="F18" s="157">
        <v>38.310279896346984</v>
      </c>
      <c r="G18" s="157">
        <v>41.740540991541224</v>
      </c>
      <c r="H18" s="386">
        <v>8.9538920218678051</v>
      </c>
      <c r="N18" s="38"/>
    </row>
    <row r="19" spans="1:14" ht="13.35" customHeight="1">
      <c r="A19" s="19"/>
      <c r="B19" s="31" t="s">
        <v>405</v>
      </c>
      <c r="C19" s="157">
        <v>352.34419402613486</v>
      </c>
      <c r="D19" s="157">
        <v>345.57331297957745</v>
      </c>
      <c r="E19" s="386">
        <v>-1.9216667001628496</v>
      </c>
      <c r="F19" s="157">
        <v>30.507746928937571</v>
      </c>
      <c r="G19" s="157">
        <v>36.750846286045444</v>
      </c>
      <c r="H19" s="386">
        <v>20.463980416679316</v>
      </c>
      <c r="N19" s="38"/>
    </row>
    <row r="20" spans="1:14" ht="13.35" customHeight="1">
      <c r="A20" s="19"/>
      <c r="B20" s="31" t="s">
        <v>406</v>
      </c>
      <c r="C20" s="157">
        <v>378.43999820473516</v>
      </c>
      <c r="D20" s="157">
        <v>372.22519922426994</v>
      </c>
      <c r="E20" s="386">
        <v>-1.6422151490189552</v>
      </c>
      <c r="F20" s="157">
        <v>1.7295106317843765</v>
      </c>
      <c r="G20" s="157">
        <v>1.0473953206094546</v>
      </c>
      <c r="H20" s="386">
        <v>-39.439787107360402</v>
      </c>
      <c r="N20" s="38"/>
    </row>
    <row r="21" spans="1:14" ht="13.35" customHeight="1">
      <c r="A21" s="19"/>
      <c r="B21" s="31" t="s">
        <v>407</v>
      </c>
      <c r="C21" s="157">
        <v>920.05967634462093</v>
      </c>
      <c r="D21" s="157">
        <v>909.59738254811168</v>
      </c>
      <c r="E21" s="386">
        <v>-1.1371320867006984</v>
      </c>
      <c r="F21" s="157">
        <v>227.37641380605641</v>
      </c>
      <c r="G21" s="157">
        <v>206.11575351190339</v>
      </c>
      <c r="H21" s="386">
        <v>-9.3504246717021289</v>
      </c>
      <c r="N21" s="38"/>
    </row>
    <row r="22" spans="1:14" ht="13.35" customHeight="1">
      <c r="A22" s="19"/>
      <c r="B22" s="31" t="s">
        <v>429</v>
      </c>
      <c r="C22" s="157">
        <v>160.62746525568744</v>
      </c>
      <c r="D22" s="157">
        <v>142.75094401797156</v>
      </c>
      <c r="E22" s="386">
        <v>-11.129180933820971</v>
      </c>
      <c r="F22" s="157">
        <v>8.9555287152524912</v>
      </c>
      <c r="G22" s="157">
        <v>19.692978015898809</v>
      </c>
      <c r="H22" s="386">
        <v>119.89743589743588</v>
      </c>
      <c r="N22" s="38"/>
    </row>
    <row r="23" spans="1:14" ht="13.35" customHeight="1">
      <c r="A23" s="19"/>
      <c r="B23" s="31" t="s">
        <v>408</v>
      </c>
      <c r="C23" s="157">
        <v>225.95906466566387</v>
      </c>
      <c r="D23" s="157">
        <v>192.81532847294767</v>
      </c>
      <c r="E23" s="386">
        <v>-14.668026813510105</v>
      </c>
      <c r="F23" s="157">
        <v>29.51982520204119</v>
      </c>
      <c r="G23" s="157">
        <v>20.55675348221661</v>
      </c>
      <c r="H23" s="386">
        <v>-30.362888866986971</v>
      </c>
      <c r="N23" s="38"/>
    </row>
    <row r="24" spans="1:14" ht="13.35" customHeight="1">
      <c r="A24" s="19"/>
      <c r="B24" s="31" t="s">
        <v>366</v>
      </c>
      <c r="C24" s="157">
        <v>252.87627460590616</v>
      </c>
      <c r="D24" s="157">
        <v>235.38028443659047</v>
      </c>
      <c r="E24" s="386">
        <v>-6.9187946542562102</v>
      </c>
      <c r="F24" s="157">
        <v>10.541889915804489</v>
      </c>
      <c r="G24" s="157">
        <v>9.3033144295880277</v>
      </c>
      <c r="H24" s="386">
        <v>-11.749083856013131</v>
      </c>
      <c r="N24" s="38"/>
    </row>
    <row r="25" spans="1:14" ht="13.35" customHeight="1">
      <c r="A25" s="19"/>
      <c r="B25" s="31" t="s">
        <v>367</v>
      </c>
      <c r="C25" s="157">
        <v>178.66953353365452</v>
      </c>
      <c r="D25" s="157">
        <v>172.7906702753545</v>
      </c>
      <c r="E25" s="386">
        <v>-3.2903557433828889</v>
      </c>
      <c r="F25" s="157">
        <v>4.8268824977743714</v>
      </c>
      <c r="G25" s="157">
        <v>3.9583508207907867</v>
      </c>
      <c r="H25" s="386">
        <v>-17.993636211033859</v>
      </c>
      <c r="N25" s="38"/>
    </row>
    <row r="26" spans="1:14" ht="13.35" customHeight="1">
      <c r="A26" s="19"/>
      <c r="B26" s="31" t="s">
        <v>368</v>
      </c>
      <c r="C26" s="157">
        <v>205.76416051215742</v>
      </c>
      <c r="D26" s="157">
        <v>291.67487814887329</v>
      </c>
      <c r="E26" s="386">
        <v>41.752031754645593</v>
      </c>
      <c r="F26" s="157">
        <v>55.309613493941058</v>
      </c>
      <c r="G26" s="157">
        <v>88.255924209925894</v>
      </c>
      <c r="H26" s="386">
        <v>59.567060108988045</v>
      </c>
      <c r="N26" s="38"/>
    </row>
    <row r="27" spans="1:14" ht="13.35" customHeight="1">
      <c r="A27" s="19"/>
      <c r="B27" s="31" t="s">
        <v>369</v>
      </c>
      <c r="C27" s="157">
        <v>678.99791824412569</v>
      </c>
      <c r="D27" s="157">
        <v>685.30949106837863</v>
      </c>
      <c r="E27" s="386">
        <v>0.92954229382242737</v>
      </c>
      <c r="F27" s="157">
        <v>47.60846947463579</v>
      </c>
      <c r="G27" s="157">
        <v>43.637108594661896</v>
      </c>
      <c r="H27" s="386">
        <v>-8.3417108842150469</v>
      </c>
      <c r="N27" s="38"/>
    </row>
    <row r="28" spans="1:14" ht="13.35" customHeight="1">
      <c r="A28" s="19"/>
      <c r="B28" s="31" t="s">
        <v>370</v>
      </c>
      <c r="C28" s="157">
        <v>160.351408950956</v>
      </c>
      <c r="D28" s="157">
        <v>155.89136872085052</v>
      </c>
      <c r="E28" s="386">
        <v>-2.7814163026591121</v>
      </c>
      <c r="F28" s="157">
        <v>1.1953679976080986</v>
      </c>
      <c r="G28" s="157">
        <v>2.1278804621514174</v>
      </c>
      <c r="H28" s="386">
        <v>78.010492702603116</v>
      </c>
      <c r="N28" s="38"/>
    </row>
    <row r="29" spans="1:14" ht="13.35" customHeight="1">
      <c r="A29" s="19"/>
      <c r="B29" s="31" t="s">
        <v>371</v>
      </c>
      <c r="C29" s="157">
        <v>216.57289063319769</v>
      </c>
      <c r="D29" s="157">
        <v>221.78804607468103</v>
      </c>
      <c r="E29" s="386">
        <v>2.4080370475897173</v>
      </c>
      <c r="F29" s="157">
        <v>12.51519574471774</v>
      </c>
      <c r="G29" s="157">
        <v>14.107727057065787</v>
      </c>
      <c r="H29" s="386">
        <v>12.724781496287839</v>
      </c>
      <c r="N29" s="38"/>
    </row>
    <row r="30" spans="1:14" ht="13.35" customHeight="1">
      <c r="A30" s="19"/>
      <c r="B30" s="31" t="s">
        <v>372</v>
      </c>
      <c r="C30" s="157">
        <v>591.95289835601079</v>
      </c>
      <c r="D30" s="157">
        <v>628.76856885077757</v>
      </c>
      <c r="E30" s="386">
        <v>6.2193580936950044</v>
      </c>
      <c r="F30" s="157">
        <v>18.7000828707591</v>
      </c>
      <c r="G30" s="157">
        <v>20.484310646872803</v>
      </c>
      <c r="H30" s="386">
        <v>9.5412827228892105</v>
      </c>
      <c r="N30" s="38"/>
    </row>
    <row r="31" spans="1:14" ht="13.35" customHeight="1">
      <c r="A31" s="19"/>
      <c r="B31" s="31" t="s">
        <v>496</v>
      </c>
      <c r="C31" s="157">
        <v>348.02905665261881</v>
      </c>
      <c r="D31" s="157">
        <v>366.8194214326295</v>
      </c>
      <c r="E31" s="386">
        <v>5.3990793069804255</v>
      </c>
      <c r="F31" s="157">
        <v>9.7744759456173309</v>
      </c>
      <c r="G31" s="157">
        <v>12.336207870389524</v>
      </c>
      <c r="H31" s="386">
        <v>26.208381288419048</v>
      </c>
      <c r="N31" s="38"/>
    </row>
    <row r="32" spans="1:14" ht="13.35" customHeight="1">
      <c r="A32" s="19"/>
      <c r="B32" s="31" t="s">
        <v>497</v>
      </c>
      <c r="C32" s="157">
        <v>178.44289077809427</v>
      </c>
      <c r="D32" s="157">
        <v>142.39035833314034</v>
      </c>
      <c r="E32" s="386">
        <v>-20.203961215685339</v>
      </c>
      <c r="F32" s="157">
        <v>20.226987417086992</v>
      </c>
      <c r="G32" s="157">
        <v>17.763907239437231</v>
      </c>
      <c r="H32" s="386">
        <v>-12.177197359449799</v>
      </c>
      <c r="N32" s="38"/>
    </row>
    <row r="33" spans="1:14" ht="13.35" customHeight="1">
      <c r="A33" s="19"/>
      <c r="B33" s="31" t="s">
        <v>492</v>
      </c>
      <c r="C33" s="157">
        <v>111.60781743984442</v>
      </c>
      <c r="D33" s="157">
        <v>124.98628358858534</v>
      </c>
      <c r="E33" s="386">
        <v>11.987033216514398</v>
      </c>
      <c r="F33" s="157">
        <v>8.6166787317542379</v>
      </c>
      <c r="G33" s="157">
        <v>9.5670135749991694</v>
      </c>
      <c r="H33" s="386">
        <v>11.029015619936612</v>
      </c>
      <c r="N33" s="38"/>
    </row>
    <row r="34" spans="1:14" ht="13.35" customHeight="1">
      <c r="A34" s="19"/>
      <c r="B34" s="31" t="s">
        <v>498</v>
      </c>
      <c r="C34" s="157">
        <v>401.60775611702496</v>
      </c>
      <c r="D34" s="157">
        <v>405.86504795665684</v>
      </c>
      <c r="E34" s="386">
        <v>1.0600621563671586</v>
      </c>
      <c r="F34" s="157">
        <v>0</v>
      </c>
      <c r="G34" s="157">
        <v>0</v>
      </c>
      <c r="H34" s="452" t="s">
        <v>52</v>
      </c>
      <c r="N34" s="38"/>
    </row>
    <row r="35" spans="1:14" ht="13.35" customHeight="1">
      <c r="A35" s="19"/>
      <c r="B35" s="31" t="s">
        <v>499</v>
      </c>
      <c r="C35" s="157">
        <v>131.007731508387</v>
      </c>
      <c r="D35" s="157">
        <v>132.31196695217346</v>
      </c>
      <c r="E35" s="386">
        <v>0.99554081943855621</v>
      </c>
      <c r="F35" s="157">
        <v>3.6830911680823385E-2</v>
      </c>
      <c r="G35" s="157">
        <v>4.8078491310639751E-2</v>
      </c>
      <c r="H35" s="386">
        <v>30.538423070511733</v>
      </c>
      <c r="N35" s="61"/>
    </row>
    <row r="36" spans="1:14" ht="13.35" customHeight="1">
      <c r="A36" s="19"/>
      <c r="B36" s="31" t="s">
        <v>374</v>
      </c>
      <c r="C36" s="157">
        <v>93.766072329606544</v>
      </c>
      <c r="D36" s="157">
        <v>94.909926906729993</v>
      </c>
      <c r="E36" s="386">
        <v>1.2199024110795431</v>
      </c>
      <c r="F36" s="157">
        <v>5.1226396029059593</v>
      </c>
      <c r="G36" s="157">
        <v>5.6515998871168582</v>
      </c>
      <c r="H36" s="386">
        <v>10.32593204313712</v>
      </c>
      <c r="N36" s="38"/>
    </row>
    <row r="37" spans="1:14" ht="13.35" customHeight="1">
      <c r="A37" s="19"/>
      <c r="B37" s="31" t="s">
        <v>375</v>
      </c>
      <c r="C37" s="157">
        <v>111.39120694562095</v>
      </c>
      <c r="D37" s="157">
        <v>88.285867653766303</v>
      </c>
      <c r="E37" s="386">
        <v>-20.742516330875404</v>
      </c>
      <c r="F37" s="157">
        <v>19.677375252553759</v>
      </c>
      <c r="G37" s="157">
        <v>24.458904073543341</v>
      </c>
      <c r="H37" s="386">
        <v>24.29962715870364</v>
      </c>
      <c r="N37" s="38"/>
    </row>
    <row r="38" spans="1:14" ht="13.35" customHeight="1">
      <c r="A38" s="19"/>
      <c r="B38" s="31" t="s">
        <v>202</v>
      </c>
      <c r="C38" s="157">
        <v>120.70977355040884</v>
      </c>
      <c r="D38" s="157">
        <v>109.57425160885037</v>
      </c>
      <c r="E38" s="386">
        <v>-9.2250375541531699</v>
      </c>
      <c r="F38" s="157">
        <v>5.8541600002388572</v>
      </c>
      <c r="G38" s="157">
        <v>5.1140728936209419</v>
      </c>
      <c r="H38" s="386">
        <v>-12.642071733395033</v>
      </c>
      <c r="N38" s="38"/>
    </row>
    <row r="39" spans="1:14" ht="13.35" customHeight="1">
      <c r="A39" s="19"/>
      <c r="B39" s="31" t="s">
        <v>203</v>
      </c>
      <c r="C39" s="157">
        <v>120.61964338288472</v>
      </c>
      <c r="D39" s="157">
        <v>132.01949436827573</v>
      </c>
      <c r="E39" s="386">
        <v>9.4510733622419139</v>
      </c>
      <c r="F39" s="157">
        <v>12.439045754997181</v>
      </c>
      <c r="G39" s="157">
        <v>9.6339039743156647</v>
      </c>
      <c r="H39" s="386">
        <v>-22.551101072641345</v>
      </c>
      <c r="N39" s="38"/>
    </row>
    <row r="40" spans="1:14" ht="13.35" customHeight="1">
      <c r="A40" s="19"/>
      <c r="B40" s="31" t="s">
        <v>204</v>
      </c>
      <c r="C40" s="157">
        <v>204.85663081485941</v>
      </c>
      <c r="D40" s="157">
        <v>212.49190496023917</v>
      </c>
      <c r="E40" s="386">
        <v>3.7271305864051696</v>
      </c>
      <c r="F40" s="157">
        <v>23.901543213466127</v>
      </c>
      <c r="G40" s="157">
        <v>23.903258740846937</v>
      </c>
      <c r="H40" s="386">
        <v>7.1774753851228112E-3</v>
      </c>
      <c r="I40" s="57"/>
      <c r="J40" s="59"/>
      <c r="N40" s="38"/>
    </row>
    <row r="41" spans="1:14" ht="13.35" customHeight="1">
      <c r="A41" s="19"/>
      <c r="B41" s="31" t="s">
        <v>385</v>
      </c>
      <c r="C41" s="157">
        <v>47.750037053905032</v>
      </c>
      <c r="D41" s="157">
        <v>31.26696763521602</v>
      </c>
      <c r="E41" s="386">
        <v>-34.519490320146282</v>
      </c>
      <c r="F41" s="157">
        <v>3.6214798949831319</v>
      </c>
      <c r="G41" s="157">
        <v>5.6768395139115606</v>
      </c>
      <c r="H41" s="386">
        <v>56.75468809797168</v>
      </c>
      <c r="I41" s="57"/>
      <c r="N41" s="61"/>
    </row>
    <row r="42" spans="1:14" ht="13.35" customHeight="1">
      <c r="A42" s="19"/>
      <c r="B42" s="31" t="s">
        <v>252</v>
      </c>
      <c r="C42" s="157">
        <v>99.2103123497442</v>
      </c>
      <c r="D42" s="157">
        <v>95.771347168193543</v>
      </c>
      <c r="E42" s="386">
        <v>-3.4663384280329002</v>
      </c>
      <c r="F42" s="157">
        <v>0.56146461071121323</v>
      </c>
      <c r="G42" s="157">
        <v>0.91850099596416379</v>
      </c>
      <c r="H42" s="386">
        <v>63.590185105467057</v>
      </c>
      <c r="N42" s="38"/>
    </row>
    <row r="43" spans="1:14" ht="13.35" customHeight="1">
      <c r="A43" s="19"/>
      <c r="B43" s="31" t="s">
        <v>253</v>
      </c>
      <c r="C43" s="157">
        <v>285.85956520009688</v>
      </c>
      <c r="D43" s="157">
        <v>283.35427376298549</v>
      </c>
      <c r="E43" s="386">
        <v>-0.87640636945548467</v>
      </c>
      <c r="F43" s="157">
        <v>26.30275860570795</v>
      </c>
      <c r="G43" s="157">
        <v>26.35487471180307</v>
      </c>
      <c r="H43" s="386">
        <v>0.19813931639782734</v>
      </c>
      <c r="I43" s="57"/>
      <c r="J43" s="59"/>
      <c r="N43" s="38"/>
    </row>
    <row r="44" spans="1:14" ht="13.35" customHeight="1">
      <c r="A44" s="19"/>
      <c r="B44" s="31" t="s">
        <v>380</v>
      </c>
      <c r="C44" s="157">
        <v>95.450606854830809</v>
      </c>
      <c r="D44" s="157">
        <v>98.736597795226771</v>
      </c>
      <c r="E44" s="386">
        <v>3.4426087467349209</v>
      </c>
      <c r="F44" s="157">
        <v>7.5891179913389643E-3</v>
      </c>
      <c r="G44" s="157">
        <v>4.8392056589351168E-2</v>
      </c>
      <c r="H44" s="386">
        <v>537.65060240963851</v>
      </c>
      <c r="I44" s="57"/>
      <c r="N44" s="38"/>
    </row>
    <row r="45" spans="1:14" ht="13.35" customHeight="1">
      <c r="A45" s="19"/>
      <c r="B45" s="31" t="s">
        <v>381</v>
      </c>
      <c r="C45" s="157">
        <v>77.567559145952842</v>
      </c>
      <c r="D45" s="157">
        <v>73.958098285456998</v>
      </c>
      <c r="E45" s="386">
        <v>-4.6533124159601318</v>
      </c>
      <c r="F45" s="157">
        <v>0.9005530240732782</v>
      </c>
      <c r="G45" s="157">
        <v>0.29390093773574544</v>
      </c>
      <c r="H45" s="386">
        <v>-67.364393891388374</v>
      </c>
      <c r="I45" s="57"/>
      <c r="J45" s="59"/>
      <c r="N45" s="38"/>
    </row>
    <row r="46" spans="1:14" ht="13.35" customHeight="1">
      <c r="A46" s="19"/>
      <c r="B46" s="31" t="s">
        <v>382</v>
      </c>
      <c r="C46" s="157">
        <v>57.012622434003767</v>
      </c>
      <c r="D46" s="157">
        <v>61.099331266600302</v>
      </c>
      <c r="E46" s="386">
        <v>7.1680772750406296</v>
      </c>
      <c r="F46" s="157">
        <v>4.9170306835113786</v>
      </c>
      <c r="G46" s="157">
        <v>4.3268752245363098</v>
      </c>
      <c r="H46" s="386">
        <v>-12.002273261260665</v>
      </c>
      <c r="I46" s="57"/>
      <c r="J46" s="59"/>
      <c r="N46" s="38"/>
    </row>
    <row r="47" spans="1:14" ht="13.35" customHeight="1">
      <c r="A47" s="19"/>
      <c r="B47" s="31" t="s">
        <v>383</v>
      </c>
      <c r="C47" s="157">
        <v>89.117025681396342</v>
      </c>
      <c r="D47" s="157">
        <v>90.405155027844501</v>
      </c>
      <c r="E47" s="386">
        <v>1.4454357476576529</v>
      </c>
      <c r="F47" s="157">
        <v>5.4936976849977981</v>
      </c>
      <c r="G47" s="157">
        <v>4.8169871522012047</v>
      </c>
      <c r="H47" s="386">
        <v>-12.317942697221152</v>
      </c>
      <c r="I47" s="57"/>
      <c r="J47" s="59"/>
      <c r="N47" s="61"/>
    </row>
    <row r="48" spans="1:14" ht="13.35" customHeight="1">
      <c r="A48" s="19"/>
      <c r="B48" s="31" t="s">
        <v>267</v>
      </c>
      <c r="C48" s="157">
        <v>60.241774847256693</v>
      </c>
      <c r="D48" s="157">
        <v>61.559621608035442</v>
      </c>
      <c r="E48" s="386">
        <v>2.187596172457007</v>
      </c>
      <c r="F48" s="157">
        <v>2.6184572709387943</v>
      </c>
      <c r="G48" s="157">
        <v>2.9589052682271912</v>
      </c>
      <c r="H48" s="386">
        <v>13.001854224122456</v>
      </c>
      <c r="N48" s="61"/>
    </row>
    <row r="49" spans="1:14" ht="13.35" customHeight="1">
      <c r="A49" s="19"/>
      <c r="B49" s="31" t="s">
        <v>210</v>
      </c>
      <c r="C49" s="157">
        <v>65.217655330121744</v>
      </c>
      <c r="D49" s="157">
        <v>56.611974990314813</v>
      </c>
      <c r="E49" s="386">
        <v>-13.195323101154589</v>
      </c>
      <c r="F49" s="157">
        <v>3.6839872367867343</v>
      </c>
      <c r="G49" s="157">
        <v>2.9447036207407962</v>
      </c>
      <c r="H49" s="386">
        <v>-20.067485811670728</v>
      </c>
      <c r="I49" s="57"/>
      <c r="J49" s="59"/>
      <c r="N49" s="61"/>
    </row>
    <row r="50" spans="1:14" ht="13.35" customHeight="1">
      <c r="A50" s="13"/>
      <c r="B50" s="30" t="s">
        <v>384</v>
      </c>
      <c r="C50" s="158">
        <v>49.408309160634367</v>
      </c>
      <c r="D50" s="158">
        <v>45.743115537895108</v>
      </c>
      <c r="E50" s="387">
        <v>-7.4181725402161058</v>
      </c>
      <c r="F50" s="158">
        <v>0</v>
      </c>
      <c r="G50" s="158">
        <v>0</v>
      </c>
      <c r="H50" s="453" t="s">
        <v>52</v>
      </c>
      <c r="I50" s="57"/>
      <c r="J50" s="59"/>
      <c r="N50" s="38"/>
    </row>
    <row r="51" spans="1:14" ht="14.1" customHeight="1">
      <c r="A51" s="19"/>
      <c r="B51" s="31"/>
      <c r="C51" s="8"/>
      <c r="D51" s="8"/>
      <c r="E51" s="378"/>
      <c r="F51" s="8"/>
      <c r="G51" s="8"/>
      <c r="H51" s="151" t="s">
        <v>485</v>
      </c>
      <c r="I51" s="57"/>
      <c r="N51" s="38"/>
    </row>
    <row r="52" spans="1:14" ht="14.1" customHeight="1">
      <c r="A52" s="81" t="s">
        <v>286</v>
      </c>
      <c r="B52" s="31"/>
      <c r="C52" s="8"/>
      <c r="D52" s="8"/>
      <c r="E52" s="79"/>
      <c r="F52" s="8"/>
      <c r="G52" s="8"/>
      <c r="H52" s="79"/>
      <c r="I52" s="57"/>
      <c r="N52" s="38"/>
    </row>
    <row r="53" spans="1:14" ht="14.1" customHeight="1">
      <c r="A53" s="564" t="s">
        <v>229</v>
      </c>
      <c r="B53" s="565"/>
      <c r="C53" s="146" t="s">
        <v>247</v>
      </c>
      <c r="D53" s="147"/>
      <c r="E53" s="148"/>
      <c r="F53" s="149"/>
      <c r="G53" s="451" t="s">
        <v>242</v>
      </c>
      <c r="H53" s="150"/>
      <c r="I53" s="57"/>
      <c r="N53" s="38"/>
    </row>
    <row r="54" spans="1:14" ht="14.1" customHeight="1">
      <c r="A54" s="566"/>
      <c r="B54" s="567"/>
      <c r="C54" s="336" t="s">
        <v>166</v>
      </c>
      <c r="D54" s="336" t="s">
        <v>167</v>
      </c>
      <c r="E54" s="145" t="s">
        <v>437</v>
      </c>
      <c r="F54" s="336" t="s">
        <v>166</v>
      </c>
      <c r="G54" s="336" t="s">
        <v>167</v>
      </c>
      <c r="H54" s="145" t="s">
        <v>437</v>
      </c>
      <c r="I54" s="57"/>
      <c r="N54" s="38"/>
    </row>
    <row r="55" spans="1:14" ht="13.35" customHeight="1">
      <c r="A55" s="19"/>
      <c r="B55" s="31" t="s">
        <v>447</v>
      </c>
      <c r="C55" s="157">
        <v>50.201553371130672</v>
      </c>
      <c r="D55" s="157">
        <v>48.969005095989544</v>
      </c>
      <c r="E55" s="300">
        <v>-2.4551994756599083</v>
      </c>
      <c r="F55" s="157">
        <v>3.7194874054211562</v>
      </c>
      <c r="G55" s="157">
        <v>4.3244443184340131</v>
      </c>
      <c r="H55" s="477">
        <v>16.264523765590155</v>
      </c>
      <c r="J55" s="59"/>
      <c r="N55" s="39"/>
    </row>
    <row r="56" spans="1:14" ht="13.35" customHeight="1">
      <c r="A56" s="63"/>
      <c r="B56" s="31" t="s">
        <v>448</v>
      </c>
      <c r="C56" s="159">
        <v>106.01084870830947</v>
      </c>
      <c r="D56" s="159">
        <v>109.72298562661214</v>
      </c>
      <c r="E56" s="301">
        <v>3.5016575789490023</v>
      </c>
      <c r="F56" s="159">
        <v>2.2638752133570321</v>
      </c>
      <c r="G56" s="159">
        <v>1.0063495478199538</v>
      </c>
      <c r="H56" s="478">
        <v>-55.547481509474707</v>
      </c>
      <c r="I56" s="57"/>
      <c r="J56" s="59"/>
      <c r="N56" s="65"/>
    </row>
    <row r="57" spans="1:14" ht="13.35" customHeight="1">
      <c r="A57" s="19"/>
      <c r="B57" s="31" t="s">
        <v>271</v>
      </c>
      <c r="C57" s="157">
        <v>92.744357497935056</v>
      </c>
      <c r="D57" s="157">
        <v>80.944518551264565</v>
      </c>
      <c r="E57" s="300">
        <v>-12.722972334929604</v>
      </c>
      <c r="F57" s="157">
        <v>7.9507267395020262</v>
      </c>
      <c r="G57" s="157">
        <v>4.2472736397039661</v>
      </c>
      <c r="H57" s="477">
        <v>-46.580057661873774</v>
      </c>
      <c r="I57" s="57"/>
      <c r="J57" s="59"/>
      <c r="N57" s="39"/>
    </row>
    <row r="58" spans="1:14" ht="13.35" customHeight="1">
      <c r="A58" s="19"/>
      <c r="B58" s="31" t="s">
        <v>449</v>
      </c>
      <c r="C58" s="157">
        <v>39.602779183173439</v>
      </c>
      <c r="D58" s="157">
        <v>40.343749353321819</v>
      </c>
      <c r="E58" s="300">
        <v>1.8710054835323398</v>
      </c>
      <c r="F58" s="157">
        <v>1.6436231919065774</v>
      </c>
      <c r="G58" s="157">
        <v>1.4930582884934755</v>
      </c>
      <c r="H58" s="477">
        <v>-9.1605487288390464</v>
      </c>
      <c r="I58" s="57"/>
      <c r="J58" s="59"/>
      <c r="N58" s="39"/>
    </row>
    <row r="59" spans="1:14" ht="13.35" customHeight="1">
      <c r="A59" s="19"/>
      <c r="B59" s="31" t="s">
        <v>493</v>
      </c>
      <c r="C59" s="157">
        <v>20.448986208391876</v>
      </c>
      <c r="D59" s="157">
        <v>31.105793135887666</v>
      </c>
      <c r="E59" s="301">
        <v>52.114108831089332</v>
      </c>
      <c r="F59" s="157">
        <v>0.87253748623441085</v>
      </c>
      <c r="G59" s="157">
        <v>2.0232696792125107</v>
      </c>
      <c r="H59" s="478">
        <v>131.88341029842593</v>
      </c>
      <c r="I59" s="57"/>
      <c r="N59" s="39"/>
    </row>
    <row r="60" spans="1:14" ht="13.35" customHeight="1">
      <c r="A60" s="19"/>
      <c r="B60" s="31" t="s">
        <v>466</v>
      </c>
      <c r="C60" s="157">
        <v>40.320076764930263</v>
      </c>
      <c r="D60" s="157">
        <v>36.566048355366789</v>
      </c>
      <c r="E60" s="301">
        <v>-9.3105686069245408</v>
      </c>
      <c r="F60" s="157">
        <v>1.5260168873941682</v>
      </c>
      <c r="G60" s="157">
        <v>1.1282914583973047</v>
      </c>
      <c r="H60" s="478">
        <v>-26.062976909516433</v>
      </c>
      <c r="I60" s="57"/>
      <c r="J60" s="59"/>
      <c r="N60" s="39"/>
    </row>
    <row r="61" spans="1:14" ht="13.35" customHeight="1">
      <c r="A61" s="19"/>
      <c r="B61" s="31" t="s">
        <v>467</v>
      </c>
      <c r="C61" s="157">
        <v>59.041624925900706</v>
      </c>
      <c r="D61" s="157">
        <v>49.027866971323327</v>
      </c>
      <c r="E61" s="301">
        <v>-16.960505350496359</v>
      </c>
      <c r="F61" s="157">
        <v>0.98069516009221502</v>
      </c>
      <c r="G61" s="157">
        <v>1.5391281198419922</v>
      </c>
      <c r="H61" s="478">
        <v>56.942563038372441</v>
      </c>
      <c r="I61" s="57"/>
      <c r="J61" s="59"/>
      <c r="N61" s="39"/>
    </row>
    <row r="62" spans="1:14" ht="13.35" customHeight="1">
      <c r="A62" s="19"/>
      <c r="B62" s="31" t="s">
        <v>446</v>
      </c>
      <c r="C62" s="157">
        <v>38.080250823938712</v>
      </c>
      <c r="D62" s="157">
        <v>47.913524219661596</v>
      </c>
      <c r="E62" s="301">
        <v>25.82250164576465</v>
      </c>
      <c r="F62" s="157">
        <v>3.8962809388688799</v>
      </c>
      <c r="G62" s="157">
        <v>7.6726442807137447</v>
      </c>
      <c r="H62" s="478">
        <v>96.9222548654608</v>
      </c>
      <c r="I62" s="57"/>
      <c r="J62" s="59"/>
      <c r="N62" s="39"/>
    </row>
    <row r="63" spans="1:14" ht="13.35" customHeight="1">
      <c r="A63" s="19"/>
      <c r="B63" s="31" t="s">
        <v>468</v>
      </c>
      <c r="C63" s="157">
        <v>26.759507533468096</v>
      </c>
      <c r="D63" s="157">
        <v>25.880199059426939</v>
      </c>
      <c r="E63" s="301">
        <v>-3.2859665782018044</v>
      </c>
      <c r="F63" s="157">
        <v>3.796591615212586</v>
      </c>
      <c r="G63" s="157">
        <v>2.7182866637063601</v>
      </c>
      <c r="H63" s="478">
        <v>-28.401921006872566</v>
      </c>
      <c r="I63" s="57"/>
      <c r="J63" s="59"/>
      <c r="N63" s="39"/>
    </row>
    <row r="64" spans="1:14" ht="13.35" customHeight="1">
      <c r="A64" s="19"/>
      <c r="B64" s="31" t="s">
        <v>469</v>
      </c>
      <c r="C64" s="157">
        <v>74.811741687328265</v>
      </c>
      <c r="D64" s="157">
        <v>72.241796005238299</v>
      </c>
      <c r="E64" s="301">
        <v>-3.4352170182468389</v>
      </c>
      <c r="F64" s="157">
        <v>5.7075350307090638</v>
      </c>
      <c r="G64" s="157">
        <v>5.6503512590242062</v>
      </c>
      <c r="H64" s="478">
        <v>-1.0018996182622364</v>
      </c>
      <c r="I64" s="57"/>
      <c r="J64" s="59"/>
      <c r="N64" s="39"/>
    </row>
    <row r="65" spans="1:14" ht="13.35" customHeight="1">
      <c r="A65" s="19"/>
      <c r="B65" s="31" t="s">
        <v>477</v>
      </c>
      <c r="C65" s="157">
        <v>22.310360531128968</v>
      </c>
      <c r="D65" s="157">
        <v>22.863331186609866</v>
      </c>
      <c r="E65" s="301">
        <v>2.4785375149332767</v>
      </c>
      <c r="F65" s="157">
        <v>0.27127808454221425</v>
      </c>
      <c r="G65" s="157">
        <v>0.49281651497283324</v>
      </c>
      <c r="H65" s="478">
        <v>81.664698718463868</v>
      </c>
      <c r="I65" s="57"/>
      <c r="J65" s="59"/>
      <c r="N65" s="39"/>
    </row>
    <row r="66" spans="1:14" ht="13.35" customHeight="1">
      <c r="A66" s="19"/>
      <c r="B66" s="31" t="s">
        <v>490</v>
      </c>
      <c r="C66" s="157">
        <v>26.857185433639366</v>
      </c>
      <c r="D66" s="157">
        <v>29.529453601381615</v>
      </c>
      <c r="E66" s="301">
        <v>9.9499188935679115</v>
      </c>
      <c r="F66" s="157">
        <v>0.30355392509932677</v>
      </c>
      <c r="G66" s="157">
        <v>0.33064748134532823</v>
      </c>
      <c r="H66" s="478">
        <v>8.9254508032258428</v>
      </c>
      <c r="I66" s="57"/>
      <c r="J66" s="59"/>
      <c r="N66" s="39"/>
    </row>
    <row r="67" spans="1:14" ht="13.35" customHeight="1">
      <c r="A67" s="19"/>
      <c r="B67" s="31" t="s">
        <v>519</v>
      </c>
      <c r="C67" s="157">
        <v>35.494786475163821</v>
      </c>
      <c r="D67" s="157">
        <v>41.971643178892833</v>
      </c>
      <c r="E67" s="301">
        <v>18.247346573731214</v>
      </c>
      <c r="F67" s="157">
        <v>2.3225518121113451</v>
      </c>
      <c r="G67" s="157">
        <v>5.8138355522131553</v>
      </c>
      <c r="H67" s="478">
        <v>150.32102715194173</v>
      </c>
      <c r="I67" s="57"/>
      <c r="J67" s="59"/>
      <c r="N67" s="39"/>
    </row>
    <row r="68" spans="1:14" ht="13.35" customHeight="1">
      <c r="A68" s="19"/>
      <c r="B68" s="31" t="s">
        <v>491</v>
      </c>
      <c r="C68" s="157">
        <v>14.478950644895654</v>
      </c>
      <c r="D68" s="157">
        <v>13.651230468238087</v>
      </c>
      <c r="E68" s="301">
        <v>-5.7167138486611808</v>
      </c>
      <c r="F68" s="157">
        <v>0.41202628536483599</v>
      </c>
      <c r="G68" s="157">
        <v>0.43337772963885135</v>
      </c>
      <c r="H68" s="478">
        <v>5.1820587745049718</v>
      </c>
      <c r="I68" s="57"/>
      <c r="J68" s="59"/>
      <c r="N68" s="39"/>
    </row>
    <row r="69" spans="1:14" ht="13.35" customHeight="1">
      <c r="A69" s="19"/>
      <c r="B69" s="31" t="s">
        <v>428</v>
      </c>
      <c r="C69" s="157">
        <v>46.190244461759093</v>
      </c>
      <c r="D69" s="157">
        <v>56.973712850923391</v>
      </c>
      <c r="E69" s="301">
        <v>23.345770334885184</v>
      </c>
      <c r="F69" s="157">
        <v>4.6786698723626063</v>
      </c>
      <c r="G69" s="157">
        <v>5.5429242145645397</v>
      </c>
      <c r="H69" s="478">
        <v>18.472223212566764</v>
      </c>
      <c r="I69" s="57"/>
      <c r="J69" s="59"/>
      <c r="N69" s="39"/>
    </row>
    <row r="70" spans="1:14" ht="13.35" customHeight="1">
      <c r="A70" s="19"/>
      <c r="B70" s="31" t="s">
        <v>426</v>
      </c>
      <c r="C70" s="157">
        <v>23.642703458659028</v>
      </c>
      <c r="D70" s="157">
        <v>23.069995965639599</v>
      </c>
      <c r="E70" s="301">
        <v>-2.4223435108461699</v>
      </c>
      <c r="F70" s="157">
        <v>0.24795807251833302</v>
      </c>
      <c r="G70" s="157">
        <v>3.7890329420310946E-2</v>
      </c>
      <c r="H70" s="478">
        <v>-84.719057929638694</v>
      </c>
      <c r="I70" s="57"/>
      <c r="J70" s="59"/>
      <c r="N70" s="39"/>
    </row>
    <row r="71" spans="1:14" ht="13.35" customHeight="1">
      <c r="A71" s="19"/>
      <c r="B71" s="31" t="s">
        <v>427</v>
      </c>
      <c r="C71" s="157">
        <v>20.957744767619481</v>
      </c>
      <c r="D71" s="157">
        <v>25.410087220556562</v>
      </c>
      <c r="E71" s="301">
        <v>21.244377686172221</v>
      </c>
      <c r="F71" s="157">
        <v>3.0572751329207897</v>
      </c>
      <c r="G71" s="157">
        <v>3.6179346680173037</v>
      </c>
      <c r="H71" s="478">
        <v>18.338537119519358</v>
      </c>
      <c r="I71" s="57"/>
      <c r="J71" s="59"/>
      <c r="N71" s="39"/>
    </row>
    <row r="72" spans="1:14" ht="13.35" customHeight="1">
      <c r="A72" s="19"/>
      <c r="B72" s="31" t="s">
        <v>319</v>
      </c>
      <c r="C72" s="157">
        <v>760.68344820000004</v>
      </c>
      <c r="D72" s="157">
        <v>1306.6538900999999</v>
      </c>
      <c r="E72" s="301">
        <v>71.773671846275349</v>
      </c>
      <c r="F72" s="157">
        <v>107.36435190000002</v>
      </c>
      <c r="G72" s="157">
        <v>251.47143840000001</v>
      </c>
      <c r="H72" s="478">
        <v>134.22247137878918</v>
      </c>
      <c r="I72" s="57"/>
      <c r="J72" s="59"/>
      <c r="N72" s="39"/>
    </row>
    <row r="73" spans="1:14" ht="13.35" customHeight="1">
      <c r="A73" s="19"/>
      <c r="B73" s="31" t="s">
        <v>320</v>
      </c>
      <c r="C73" s="157">
        <v>23.446242298641771</v>
      </c>
      <c r="D73" s="157">
        <v>33.854696244661746</v>
      </c>
      <c r="E73" s="301">
        <v>44.392844761409521</v>
      </c>
      <c r="F73" s="157">
        <v>3.9916032935433769E-2</v>
      </c>
      <c r="G73" s="157">
        <v>0</v>
      </c>
      <c r="H73" s="478">
        <v>-100</v>
      </c>
      <c r="I73" s="57"/>
      <c r="J73" s="59"/>
      <c r="N73" s="39"/>
    </row>
    <row r="74" spans="1:14" ht="13.35" customHeight="1">
      <c r="A74" s="19"/>
      <c r="B74" s="31" t="s">
        <v>187</v>
      </c>
      <c r="C74" s="157">
        <v>16.560258693000623</v>
      </c>
      <c r="D74" s="157">
        <v>15.284517372710475</v>
      </c>
      <c r="E74" s="339">
        <v>-7.7036315913914688</v>
      </c>
      <c r="F74" s="157">
        <v>0</v>
      </c>
      <c r="G74" s="157">
        <v>0</v>
      </c>
      <c r="H74" s="478">
        <v>0</v>
      </c>
      <c r="I74" s="57"/>
      <c r="J74" s="59"/>
      <c r="N74" s="39"/>
    </row>
    <row r="75" spans="1:14" ht="13.35" customHeight="1">
      <c r="A75" s="19"/>
      <c r="B75" s="31" t="s">
        <v>445</v>
      </c>
      <c r="C75" s="157">
        <v>51.292189779428121</v>
      </c>
      <c r="D75" s="157">
        <v>45.165720667756965</v>
      </c>
      <c r="E75" s="301">
        <v>-11.9442533805182</v>
      </c>
      <c r="F75" s="157">
        <v>6.7535032677147537</v>
      </c>
      <c r="G75" s="157">
        <v>0.56767730793000015</v>
      </c>
      <c r="H75" s="478">
        <v>-91.594328374078202</v>
      </c>
      <c r="I75" s="57"/>
      <c r="J75" s="59"/>
      <c r="N75" s="39"/>
    </row>
    <row r="76" spans="1:14" ht="13.35" customHeight="1">
      <c r="A76" s="19"/>
      <c r="B76" s="31" t="s">
        <v>188</v>
      </c>
      <c r="C76" s="157">
        <v>7.3273045494209139</v>
      </c>
      <c r="D76" s="157">
        <v>6.0441475749310598</v>
      </c>
      <c r="E76" s="301">
        <v>-17.511991835950969</v>
      </c>
      <c r="F76" s="157">
        <v>0</v>
      </c>
      <c r="G76" s="157">
        <v>0</v>
      </c>
      <c r="H76" s="481">
        <v>0</v>
      </c>
      <c r="I76" s="57"/>
      <c r="J76" s="59"/>
      <c r="N76" s="39"/>
    </row>
    <row r="77" spans="1:14" ht="13.35" customHeight="1">
      <c r="A77" s="19"/>
      <c r="B77" s="31" t="s">
        <v>189</v>
      </c>
      <c r="C77" s="157">
        <v>16.283098074403487</v>
      </c>
      <c r="D77" s="157">
        <v>15.697350098378919</v>
      </c>
      <c r="E77" s="301">
        <v>-3.5972759811926935</v>
      </c>
      <c r="F77" s="157">
        <v>0</v>
      </c>
      <c r="G77" s="157">
        <v>0</v>
      </c>
      <c r="H77" s="478">
        <v>0</v>
      </c>
      <c r="I77" s="57"/>
      <c r="J77" s="59"/>
      <c r="N77" s="39"/>
    </row>
    <row r="78" spans="1:14" ht="13.35" customHeight="1">
      <c r="A78" s="19"/>
      <c r="B78" s="31" t="s">
        <v>478</v>
      </c>
      <c r="C78" s="157">
        <v>19.095095636146816</v>
      </c>
      <c r="D78" s="157">
        <v>19.025552801906649</v>
      </c>
      <c r="E78" s="301">
        <v>-0.36419212328281381</v>
      </c>
      <c r="F78" s="157">
        <v>0.97050694299617191</v>
      </c>
      <c r="G78" s="157">
        <v>0.97305671764171109</v>
      </c>
      <c r="H78" s="478">
        <v>0.26272605919412939</v>
      </c>
      <c r="I78" s="57"/>
      <c r="J78" s="59"/>
      <c r="N78" s="39"/>
    </row>
    <row r="79" spans="1:14" ht="13.35" customHeight="1">
      <c r="A79" s="19"/>
      <c r="B79" s="31" t="s">
        <v>190</v>
      </c>
      <c r="C79" s="157">
        <v>11.571401087100849</v>
      </c>
      <c r="D79" s="157">
        <v>12.350792413978068</v>
      </c>
      <c r="E79" s="301">
        <v>6.7354966007188155</v>
      </c>
      <c r="F79" s="157">
        <v>0.15391667640429263</v>
      </c>
      <c r="G79" s="157">
        <v>0.36875421913364093</v>
      </c>
      <c r="H79" s="478">
        <v>139.58041958041954</v>
      </c>
      <c r="I79" s="57"/>
      <c r="J79" s="59"/>
      <c r="N79" s="39"/>
    </row>
    <row r="80" spans="1:14" ht="13.35" customHeight="1">
      <c r="A80" s="19"/>
      <c r="B80" s="31" t="s">
        <v>191</v>
      </c>
      <c r="C80" s="157">
        <v>3.5646600540560298</v>
      </c>
      <c r="D80" s="157">
        <v>2.1575598712231843</v>
      </c>
      <c r="E80" s="301">
        <v>-39.473614916849755</v>
      </c>
      <c r="F80" s="157">
        <v>0.12026221515901586</v>
      </c>
      <c r="G80" s="157">
        <v>0.34318729691719163</v>
      </c>
      <c r="H80" s="478">
        <v>185.36585365853662</v>
      </c>
      <c r="I80" s="57"/>
      <c r="J80" s="59"/>
      <c r="N80" s="39"/>
    </row>
    <row r="81" spans="1:24" ht="13.35" customHeight="1">
      <c r="A81" s="19"/>
      <c r="B81" s="31" t="s">
        <v>434</v>
      </c>
      <c r="C81" s="157">
        <v>9.6892413035548781</v>
      </c>
      <c r="D81" s="157">
        <v>8.9607676598395436</v>
      </c>
      <c r="E81" s="301">
        <v>-7.5183765260141255</v>
      </c>
      <c r="F81" s="157">
        <v>0.50957948876651138</v>
      </c>
      <c r="G81" s="157">
        <v>0.76674632831758993</v>
      </c>
      <c r="H81" s="478">
        <v>50.466481720757031</v>
      </c>
      <c r="I81" s="57"/>
      <c r="J81" s="59"/>
      <c r="N81" s="39"/>
    </row>
    <row r="82" spans="1:24" ht="13.35" customHeight="1">
      <c r="A82" s="19"/>
      <c r="B82" s="31" t="s">
        <v>205</v>
      </c>
      <c r="C82" s="157">
        <v>12.243062926746097</v>
      </c>
      <c r="D82" s="157">
        <v>11.964911386442376</v>
      </c>
      <c r="E82" s="301">
        <v>-2.271911383352232</v>
      </c>
      <c r="F82" s="157">
        <v>0.91823845628228684</v>
      </c>
      <c r="G82" s="157">
        <v>0.92047193753374568</v>
      </c>
      <c r="H82" s="478">
        <v>0.24323542933517572</v>
      </c>
      <c r="I82" s="57"/>
      <c r="J82" s="59"/>
      <c r="N82" s="39"/>
    </row>
    <row r="83" spans="1:24" ht="13.35" customHeight="1">
      <c r="A83" s="19"/>
      <c r="B83" s="31" t="s">
        <v>206</v>
      </c>
      <c r="C83" s="157">
        <v>5.0905397040535201</v>
      </c>
      <c r="D83" s="157">
        <v>5.5336753421207758</v>
      </c>
      <c r="E83" s="301">
        <v>8.7050816579309576</v>
      </c>
      <c r="F83" s="157">
        <v>0</v>
      </c>
      <c r="G83" s="157">
        <v>0</v>
      </c>
      <c r="H83" s="478">
        <v>0</v>
      </c>
      <c r="I83" s="57"/>
      <c r="J83" s="59"/>
      <c r="N83" s="39"/>
    </row>
    <row r="84" spans="1:24" ht="13.35" customHeight="1">
      <c r="A84" s="19"/>
      <c r="B84" s="31" t="s">
        <v>207</v>
      </c>
      <c r="C84" s="157">
        <v>0.50215681086754049</v>
      </c>
      <c r="D84" s="157">
        <v>0.740658267683454</v>
      </c>
      <c r="E84" s="301">
        <v>47.495414112550137</v>
      </c>
      <c r="F84" s="157">
        <v>3.8474696150905631E-2</v>
      </c>
      <c r="G84" s="157">
        <v>4.5755819472052706E-2</v>
      </c>
      <c r="H84" s="478">
        <v>18.924446583253097</v>
      </c>
      <c r="I84" s="57"/>
      <c r="J84" s="59"/>
      <c r="N84" s="39"/>
    </row>
    <row r="85" spans="1:24" ht="13.35" customHeight="1">
      <c r="A85" s="19"/>
      <c r="B85" s="31" t="s">
        <v>208</v>
      </c>
      <c r="C85" s="157">
        <v>1707.5464003821896</v>
      </c>
      <c r="D85" s="157">
        <v>1799.6596229657755</v>
      </c>
      <c r="E85" s="301">
        <v>5.3944784494856846</v>
      </c>
      <c r="F85" s="157">
        <v>118.90383836498067</v>
      </c>
      <c r="G85" s="157">
        <v>113.36994698969835</v>
      </c>
      <c r="H85" s="478">
        <v>-4.6540897681501159</v>
      </c>
      <c r="I85" s="68"/>
      <c r="J85" s="68"/>
      <c r="K85" s="68"/>
      <c r="N85" s="39"/>
      <c r="X85" s="272" t="s">
        <v>63</v>
      </c>
    </row>
    <row r="86" spans="1:24" ht="18" customHeight="1">
      <c r="A86" s="164" t="s">
        <v>209</v>
      </c>
      <c r="B86" s="165"/>
      <c r="C86" s="166">
        <v>14098.255555978953</v>
      </c>
      <c r="D86" s="166">
        <v>14669.686705457778</v>
      </c>
      <c r="E86" s="303">
        <v>4.0532046479784922</v>
      </c>
      <c r="F86" s="166">
        <v>1223.4923143761964</v>
      </c>
      <c r="G86" s="166">
        <v>1260.8617623641073</v>
      </c>
      <c r="H86" s="479">
        <v>3.0543263368976614</v>
      </c>
      <c r="I86" s="57"/>
      <c r="J86" s="59"/>
      <c r="N86" s="39"/>
    </row>
    <row r="87" spans="1:24" ht="13.35" customHeight="1">
      <c r="A87" s="19"/>
      <c r="B87" s="70" t="s">
        <v>254</v>
      </c>
      <c r="C87" s="157">
        <v>7742.8391915625643</v>
      </c>
      <c r="D87" s="157">
        <v>8087.8780954978383</v>
      </c>
      <c r="E87" s="301">
        <v>4.4562323380197055</v>
      </c>
      <c r="F87" s="157">
        <v>678.57639045388044</v>
      </c>
      <c r="G87" s="157">
        <v>705.1262935647535</v>
      </c>
      <c r="H87" s="478">
        <v>3.9125886907315666</v>
      </c>
      <c r="I87" s="57"/>
      <c r="J87" s="72"/>
      <c r="N87" s="39"/>
    </row>
    <row r="88" spans="1:24" ht="13.35" customHeight="1">
      <c r="A88" s="19"/>
      <c r="B88" s="70" t="s">
        <v>255</v>
      </c>
      <c r="C88" s="157">
        <v>410.43756568348368</v>
      </c>
      <c r="D88" s="157">
        <v>411.76818235978186</v>
      </c>
      <c r="E88" s="301">
        <v>0.32419466139321784</v>
      </c>
      <c r="F88" s="157">
        <v>32.261225701939878</v>
      </c>
      <c r="G88" s="157">
        <v>31.700153147738877</v>
      </c>
      <c r="H88" s="478">
        <v>-1.7391544865180464</v>
      </c>
      <c r="I88" s="57"/>
      <c r="J88" s="72"/>
    </row>
    <row r="89" spans="1:24" ht="13.35" customHeight="1">
      <c r="A89" s="19"/>
      <c r="B89" s="70" t="s">
        <v>411</v>
      </c>
      <c r="C89" s="157">
        <v>781.645760328959</v>
      </c>
      <c r="D89" s="157">
        <v>821.01300805669973</v>
      </c>
      <c r="E89" s="301">
        <v>5.0364563752220537</v>
      </c>
      <c r="F89" s="157">
        <v>74.910106265421888</v>
      </c>
      <c r="G89" s="157">
        <v>77.821059071811803</v>
      </c>
      <c r="H89" s="478">
        <v>3.8859280162756749</v>
      </c>
      <c r="I89" s="57"/>
      <c r="J89" s="72"/>
    </row>
    <row r="90" spans="1:24" ht="13.35" customHeight="1">
      <c r="A90" s="19"/>
      <c r="B90" s="70" t="s">
        <v>281</v>
      </c>
      <c r="C90" s="157">
        <v>1622.6991424348626</v>
      </c>
      <c r="D90" s="157">
        <v>1650.2126468882416</v>
      </c>
      <c r="E90" s="301">
        <v>1.6955394708654925</v>
      </c>
      <c r="F90" s="157">
        <v>136.55103253716237</v>
      </c>
      <c r="G90" s="157">
        <v>137.63238908174867</v>
      </c>
      <c r="H90" s="478">
        <v>0.79190653083638374</v>
      </c>
      <c r="I90" s="57"/>
      <c r="J90" s="72"/>
    </row>
    <row r="91" spans="1:24" ht="13.35" customHeight="1">
      <c r="A91" s="19"/>
      <c r="B91" s="70" t="s">
        <v>282</v>
      </c>
      <c r="C91" s="157">
        <v>45.663258383722365</v>
      </c>
      <c r="D91" s="157">
        <v>46.913211104209815</v>
      </c>
      <c r="E91" s="301">
        <v>2.7373270430763208</v>
      </c>
      <c r="F91" s="157">
        <v>4.1311413830874235</v>
      </c>
      <c r="G91" s="157">
        <v>4.0942538615033559</v>
      </c>
      <c r="H91" s="478">
        <v>-0.89291355979929099</v>
      </c>
      <c r="I91" s="57"/>
      <c r="J91" s="72"/>
    </row>
    <row r="92" spans="1:24" ht="13.35" customHeight="1">
      <c r="A92" s="19"/>
      <c r="B92" s="70" t="s">
        <v>283</v>
      </c>
      <c r="C92" s="157">
        <v>225.88831026966187</v>
      </c>
      <c r="D92" s="157">
        <v>223.93480069079968</v>
      </c>
      <c r="E92" s="301">
        <v>-0.86481216160770868</v>
      </c>
      <c r="F92" s="157">
        <v>14.561702386794506</v>
      </c>
      <c r="G92" s="157">
        <v>14.390531185143686</v>
      </c>
      <c r="H92" s="478">
        <v>-1.1754889442463057</v>
      </c>
      <c r="I92" s="57"/>
      <c r="J92" s="72"/>
    </row>
    <row r="93" spans="1:24" ht="13.35" customHeight="1">
      <c r="A93" s="19"/>
      <c r="B93" s="70" t="s">
        <v>284</v>
      </c>
      <c r="C93" s="157">
        <v>31.541172395233207</v>
      </c>
      <c r="D93" s="157">
        <v>30.317808615244662</v>
      </c>
      <c r="E93" s="301">
        <v>-3.8786249434831777</v>
      </c>
      <c r="F93" s="157">
        <v>2.5568573458566766</v>
      </c>
      <c r="G93" s="157">
        <v>2.5114220661631035</v>
      </c>
      <c r="H93" s="478">
        <v>-1.7769970533240698</v>
      </c>
      <c r="I93" s="57"/>
      <c r="J93" s="72"/>
    </row>
    <row r="94" spans="1:24" ht="13.35" customHeight="1">
      <c r="A94" s="19"/>
      <c r="B94" s="31" t="s">
        <v>479</v>
      </c>
      <c r="C94" s="157">
        <v>1396.9519424578955</v>
      </c>
      <c r="D94" s="157">
        <v>1508.9284270005421</v>
      </c>
      <c r="E94" s="301">
        <v>8.0157721349832123</v>
      </c>
      <c r="F94" s="157">
        <v>125.56074025153957</v>
      </c>
      <c r="G94" s="157">
        <v>129.91471672575111</v>
      </c>
      <c r="H94" s="478">
        <v>3.4676256809963668</v>
      </c>
      <c r="I94" s="57"/>
      <c r="J94" s="72"/>
    </row>
    <row r="95" spans="1:24" ht="13.35" customHeight="1">
      <c r="A95" s="19"/>
      <c r="B95" s="31" t="s">
        <v>480</v>
      </c>
      <c r="C95" s="157">
        <v>1717.7954229074785</v>
      </c>
      <c r="D95" s="157">
        <v>1769.503023195236</v>
      </c>
      <c r="E95" s="301">
        <v>3.0101139866957505</v>
      </c>
      <c r="F95" s="157">
        <v>137.3684901520981</v>
      </c>
      <c r="G95" s="157">
        <v>141.10434606224555</v>
      </c>
      <c r="H95" s="478">
        <v>2.7195872255791675</v>
      </c>
      <c r="I95" s="57"/>
      <c r="J95" s="72"/>
    </row>
    <row r="96" spans="1:24" ht="13.35" customHeight="1">
      <c r="A96" s="19"/>
      <c r="B96" s="31" t="s">
        <v>481</v>
      </c>
      <c r="C96" s="157">
        <v>83.880724371745913</v>
      </c>
      <c r="D96" s="157">
        <v>81.64722747953229</v>
      </c>
      <c r="E96" s="301">
        <v>-2.6627057753043748</v>
      </c>
      <c r="F96" s="157">
        <v>14.647214709590404</v>
      </c>
      <c r="G96" s="157">
        <v>14.4480875230708</v>
      </c>
      <c r="H96" s="478">
        <v>-1.3594884110575856</v>
      </c>
      <c r="I96" s="57"/>
      <c r="J96" s="72"/>
    </row>
    <row r="97" spans="1:10" ht="13.35" customHeight="1">
      <c r="A97" s="63"/>
      <c r="B97" s="29" t="s">
        <v>482</v>
      </c>
      <c r="C97" s="159">
        <v>4.0451237433292651</v>
      </c>
      <c r="D97" s="159">
        <v>4.027538344062517</v>
      </c>
      <c r="E97" s="301">
        <v>-0.43473081128229119</v>
      </c>
      <c r="F97" s="159">
        <v>0.35860792573566258</v>
      </c>
      <c r="G97" s="159">
        <v>0.36615929917851164</v>
      </c>
      <c r="H97" s="478">
        <v>2.1057463878852767</v>
      </c>
      <c r="I97" s="57"/>
      <c r="J97" s="72"/>
    </row>
    <row r="98" spans="1:10" ht="13.35" customHeight="1">
      <c r="A98" s="13"/>
      <c r="B98" s="30" t="s">
        <v>199</v>
      </c>
      <c r="C98" s="158">
        <v>34.8679414400155</v>
      </c>
      <c r="D98" s="158">
        <v>33.542736225590374</v>
      </c>
      <c r="E98" s="302">
        <v>-3.8006408170236261</v>
      </c>
      <c r="F98" s="158">
        <v>2.0088052630897204</v>
      </c>
      <c r="G98" s="158">
        <v>1.7523507749984002</v>
      </c>
      <c r="H98" s="480">
        <v>-12.766518129132665</v>
      </c>
      <c r="I98" s="57"/>
      <c r="J98" s="72"/>
    </row>
    <row r="99" spans="1:10" ht="10.35" customHeight="1">
      <c r="A99" s="274" t="s">
        <v>86</v>
      </c>
      <c r="B99" s="160"/>
      <c r="C99" s="376"/>
      <c r="D99" s="376"/>
      <c r="F99" s="80"/>
      <c r="I99" s="57"/>
      <c r="J99" s="59"/>
    </row>
    <row r="100" spans="1:10" ht="10.35" customHeight="1">
      <c r="A100" s="274" t="s">
        <v>378</v>
      </c>
      <c r="B100" s="160"/>
      <c r="C100" s="376"/>
      <c r="D100" s="376"/>
      <c r="F100" s="80"/>
    </row>
    <row r="101" spans="1:10" ht="12.75">
      <c r="A101" s="161"/>
      <c r="B101" s="161"/>
      <c r="C101" s="376"/>
      <c r="D101" s="376"/>
      <c r="F101" s="80"/>
    </row>
    <row r="102" spans="1:10" ht="17.100000000000001" customHeight="1">
      <c r="B102" s="31"/>
      <c r="C102" s="377"/>
      <c r="D102" s="377"/>
      <c r="E102" s="271"/>
      <c r="F102" s="271"/>
      <c r="G102" s="271"/>
      <c r="H102" s="271"/>
    </row>
    <row r="103" spans="1:10" ht="17.100000000000001" customHeight="1">
      <c r="B103" s="31"/>
      <c r="C103" s="377"/>
      <c r="D103" s="377"/>
      <c r="E103" s="271"/>
      <c r="F103" s="271"/>
      <c r="G103" s="271"/>
      <c r="H103" s="271"/>
    </row>
    <row r="104" spans="1:10" ht="17.100000000000001" customHeight="1">
      <c r="B104" s="31"/>
      <c r="C104" s="377"/>
      <c r="D104" s="377"/>
      <c r="E104" s="271"/>
      <c r="F104" s="271"/>
      <c r="G104" s="271"/>
      <c r="H104" s="271"/>
    </row>
    <row r="105" spans="1:10" ht="17.100000000000001" customHeight="1">
      <c r="B105" s="31"/>
      <c r="C105" s="377"/>
      <c r="D105" s="377"/>
      <c r="E105" s="271"/>
      <c r="F105" s="74"/>
      <c r="G105" s="271"/>
      <c r="H105" s="271"/>
    </row>
    <row r="106" spans="1:10" ht="17.100000000000001" customHeight="1">
      <c r="B106" s="31"/>
      <c r="C106" s="377"/>
      <c r="D106" s="377"/>
      <c r="E106" s="271"/>
      <c r="F106" s="271"/>
      <c r="G106" s="271"/>
      <c r="H106" s="271"/>
    </row>
    <row r="107" spans="1:10" ht="17.100000000000001" customHeight="1">
      <c r="B107" s="31"/>
      <c r="C107" s="377"/>
      <c r="D107" s="377"/>
      <c r="E107" s="271"/>
      <c r="F107" s="271"/>
      <c r="G107" s="271"/>
      <c r="H107" s="271"/>
    </row>
    <row r="108" spans="1:10" ht="17.100000000000001" customHeight="1">
      <c r="B108" s="31"/>
      <c r="C108" s="377"/>
      <c r="D108" s="377"/>
      <c r="E108" s="271"/>
      <c r="F108" s="271"/>
      <c r="G108" s="271"/>
      <c r="H108" s="271"/>
    </row>
    <row r="109" spans="1:10" ht="17.100000000000001" customHeight="1">
      <c r="B109" s="31"/>
      <c r="C109" s="377"/>
      <c r="D109" s="377"/>
      <c r="E109" s="271"/>
      <c r="F109" s="271"/>
      <c r="G109" s="271"/>
      <c r="H109" s="271"/>
    </row>
    <row r="110" spans="1:10" ht="17.100000000000001" customHeight="1">
      <c r="B110" s="31"/>
      <c r="C110" s="377"/>
      <c r="D110" s="377"/>
      <c r="E110" s="271"/>
      <c r="F110" s="271"/>
      <c r="G110" s="271"/>
      <c r="H110" s="271"/>
    </row>
    <row r="111" spans="1:10" ht="17.100000000000001" customHeight="1">
      <c r="A111" s="82"/>
      <c r="B111" s="31"/>
      <c r="C111" s="377"/>
      <c r="D111" s="377"/>
      <c r="E111" s="271"/>
      <c r="F111" s="271"/>
      <c r="G111" s="271"/>
      <c r="H111" s="271"/>
    </row>
    <row r="112" spans="1:10" ht="17.100000000000001" customHeight="1">
      <c r="B112" s="31"/>
      <c r="C112" s="377"/>
      <c r="D112" s="377"/>
      <c r="E112" s="271"/>
      <c r="F112" s="271"/>
      <c r="G112" s="271"/>
      <c r="H112" s="271"/>
    </row>
    <row r="113" spans="2:8" ht="17.100000000000001" customHeight="1">
      <c r="B113" s="31"/>
      <c r="C113" s="377"/>
      <c r="D113" s="377"/>
      <c r="E113" s="271"/>
      <c r="F113" s="271"/>
      <c r="G113" s="271"/>
      <c r="H113" s="271"/>
    </row>
    <row r="114" spans="2:8" ht="17.100000000000001" customHeight="1">
      <c r="B114" s="31"/>
      <c r="C114" s="376"/>
      <c r="D114" s="376"/>
    </row>
    <row r="115" spans="2:8" ht="17.100000000000001" customHeight="1">
      <c r="B115" s="31"/>
      <c r="C115" s="376"/>
      <c r="D115" s="376"/>
    </row>
    <row r="116" spans="2:8" ht="17.100000000000001" customHeight="1">
      <c r="B116" s="31"/>
      <c r="C116" s="376"/>
      <c r="D116" s="376"/>
    </row>
    <row r="117" spans="2:8" ht="17.100000000000001" customHeight="1">
      <c r="B117" s="31"/>
      <c r="C117" s="376"/>
      <c r="D117" s="376"/>
    </row>
    <row r="118" spans="2:8" ht="17.100000000000001" customHeight="1">
      <c r="B118" s="31"/>
      <c r="C118" s="376"/>
      <c r="D118" s="376"/>
    </row>
    <row r="119" spans="2:8" ht="17.100000000000001" customHeight="1">
      <c r="B119" s="31"/>
      <c r="C119" s="376"/>
      <c r="D119" s="376"/>
    </row>
    <row r="120" spans="2:8" ht="17.100000000000001" customHeight="1">
      <c r="B120" s="31"/>
      <c r="C120" s="376"/>
      <c r="D120" s="376"/>
    </row>
    <row r="121" spans="2:8" ht="17.100000000000001" customHeight="1">
      <c r="B121" s="31"/>
      <c r="C121" s="376"/>
      <c r="D121" s="376"/>
    </row>
    <row r="122" spans="2:8" ht="17.100000000000001" customHeight="1">
      <c r="B122" s="31"/>
      <c r="C122" s="376"/>
      <c r="D122" s="376"/>
    </row>
    <row r="123" spans="2:8" ht="17.100000000000001" customHeight="1">
      <c r="B123" s="31"/>
      <c r="C123" s="376"/>
      <c r="D123" s="376"/>
    </row>
    <row r="124" spans="2:8" ht="17.100000000000001" customHeight="1">
      <c r="B124" s="31"/>
      <c r="C124" s="376"/>
      <c r="D124" s="376"/>
    </row>
    <row r="125" spans="2:8" ht="17.100000000000001" customHeight="1">
      <c r="B125" s="31"/>
      <c r="C125" s="376"/>
      <c r="D125" s="376"/>
    </row>
    <row r="126" spans="2:8" ht="17.100000000000001" customHeight="1">
      <c r="B126" s="31"/>
      <c r="C126" s="376"/>
      <c r="D126" s="376"/>
    </row>
    <row r="127" spans="2:8" ht="17.100000000000001" customHeight="1">
      <c r="B127" s="31"/>
      <c r="C127" s="376"/>
      <c r="D127" s="376"/>
    </row>
    <row r="128" spans="2:8" ht="17.100000000000001" customHeight="1">
      <c r="B128" s="31"/>
      <c r="C128" s="376"/>
      <c r="D128" s="376"/>
    </row>
    <row r="129" spans="2:4" ht="17.100000000000001" customHeight="1">
      <c r="B129" s="31"/>
      <c r="C129" s="376"/>
      <c r="D129" s="376"/>
    </row>
    <row r="130" spans="2:4" ht="17.100000000000001" customHeight="1">
      <c r="B130" s="31"/>
      <c r="C130" s="376"/>
      <c r="D130" s="376"/>
    </row>
    <row r="131" spans="2:4" ht="17.100000000000001" customHeight="1">
      <c r="B131" s="31"/>
      <c r="C131" s="376"/>
      <c r="D131" s="376"/>
    </row>
    <row r="132" spans="2:4" ht="17.100000000000001" customHeight="1">
      <c r="B132" s="31"/>
      <c r="C132" s="376"/>
      <c r="D132" s="376"/>
    </row>
    <row r="133" spans="2:4" ht="17.100000000000001" customHeight="1">
      <c r="C133" s="376"/>
      <c r="D133" s="376"/>
    </row>
    <row r="134" spans="2:4" ht="17.100000000000001" customHeight="1">
      <c r="C134" s="376"/>
      <c r="D134" s="376"/>
    </row>
    <row r="135" spans="2:4" ht="17.100000000000001" customHeight="1">
      <c r="C135" s="376"/>
      <c r="D135" s="376"/>
    </row>
    <row r="136" spans="2:4" ht="17.100000000000001" customHeight="1">
      <c r="C136" s="376"/>
      <c r="D136" s="376"/>
    </row>
    <row r="137" spans="2:4" ht="17.100000000000001" customHeight="1">
      <c r="C137" s="376"/>
      <c r="D137" s="376"/>
    </row>
    <row r="138" spans="2:4" ht="17.100000000000001" customHeight="1">
      <c r="C138" s="376"/>
      <c r="D138" s="376"/>
    </row>
    <row r="139" spans="2:4" ht="17.100000000000001" customHeight="1">
      <c r="C139" s="376"/>
      <c r="D139" s="376"/>
    </row>
    <row r="140" spans="2:4" ht="17.100000000000001" customHeight="1">
      <c r="C140" s="376"/>
      <c r="D140" s="376"/>
    </row>
    <row r="141" spans="2:4" ht="17.100000000000001" customHeight="1">
      <c r="C141" s="376"/>
      <c r="D141" s="376"/>
    </row>
    <row r="142" spans="2:4" ht="17.100000000000001" customHeight="1">
      <c r="C142" s="376"/>
      <c r="D142" s="376"/>
    </row>
    <row r="143" spans="2:4" ht="17.100000000000001" customHeight="1">
      <c r="C143" s="376"/>
      <c r="D143" s="376"/>
    </row>
    <row r="144" spans="2:4" ht="17.100000000000001" customHeight="1">
      <c r="C144" s="376"/>
      <c r="D144" s="376"/>
    </row>
    <row r="145" spans="3:4" ht="17.100000000000001" customHeight="1">
      <c r="C145" s="376"/>
      <c r="D145" s="376"/>
    </row>
    <row r="146" spans="3:4" ht="17.100000000000001" customHeight="1">
      <c r="C146" s="376"/>
      <c r="D146" s="376"/>
    </row>
    <row r="147" spans="3:4" ht="17.100000000000001" customHeight="1">
      <c r="C147" s="376"/>
      <c r="D147" s="376"/>
    </row>
    <row r="148" spans="3:4" ht="17.100000000000001" customHeight="1">
      <c r="C148" s="376"/>
      <c r="D148" s="376"/>
    </row>
    <row r="149" spans="3:4" ht="17.100000000000001" customHeight="1">
      <c r="C149" s="376"/>
      <c r="D149" s="376"/>
    </row>
    <row r="150" spans="3:4" ht="17.100000000000001" customHeight="1">
      <c r="C150" s="376"/>
      <c r="D150" s="376"/>
    </row>
    <row r="151" spans="3:4" ht="17.100000000000001" customHeight="1">
      <c r="C151" s="376"/>
      <c r="D151" s="376"/>
    </row>
    <row r="152" spans="3:4" ht="17.100000000000001" customHeight="1">
      <c r="C152" s="376"/>
      <c r="D152" s="376"/>
    </row>
  </sheetData>
  <mergeCells count="3">
    <mergeCell ref="A5:B6"/>
    <mergeCell ref="A53:B54"/>
    <mergeCell ref="A7:B7"/>
  </mergeCells>
  <phoneticPr fontId="10" type="noConversion"/>
  <pageMargins left="1.3" right="0.71" top="0.16" bottom="0.2" header="0.31" footer="0.31"/>
  <rowBreaks count="1" manualBreakCount="1">
    <brk id="51" max="16383" man="1" pt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6"/>
  <dimension ref="A1:X129"/>
  <sheetViews>
    <sheetView showGridLines="0" zoomScale="150" zoomScaleNormal="150" zoomScalePageLayoutView="150" workbookViewId="0">
      <selection activeCell="X85" sqref="X85"/>
    </sheetView>
  </sheetViews>
  <sheetFormatPr baseColWidth="10" defaultColWidth="2.140625" defaultRowHeight="17.100000000000001" customHeight="1"/>
  <cols>
    <col min="1" max="1" width="2.140625" style="272"/>
    <col min="2" max="2" width="15.7109375" style="272" customWidth="1"/>
    <col min="3" max="6" width="10" style="272" customWidth="1"/>
    <col min="7" max="7" width="1" style="272" customWidth="1"/>
    <col min="8" max="8" width="21.140625" style="272" bestFit="1" customWidth="1"/>
    <col min="9" max="9" width="6.7109375" style="272" bestFit="1" customWidth="1"/>
    <col min="10" max="10" width="6.42578125" style="272" bestFit="1" customWidth="1"/>
    <col min="11" max="11" width="7.85546875" style="272" bestFit="1" customWidth="1"/>
    <col min="12" max="12" width="6.42578125" style="272" bestFit="1" customWidth="1"/>
    <col min="13" max="242" width="10.85546875" style="272" customWidth="1"/>
    <col min="243" max="243" width="2" style="272" customWidth="1"/>
    <col min="244" max="244" width="17.140625" style="272" customWidth="1"/>
    <col min="245" max="245" width="11.28515625" style="272" customWidth="1"/>
    <col min="246" max="246" width="12.42578125" style="272" customWidth="1"/>
    <col min="247" max="247" width="6.42578125" style="272" customWidth="1"/>
    <col min="248" max="248" width="9.85546875" style="272" customWidth="1"/>
    <col min="249" max="249" width="8.42578125" style="272" customWidth="1"/>
    <col min="250" max="250" width="7.7109375" style="272" customWidth="1"/>
    <col min="251" max="254" width="0" style="272" hidden="1" customWidth="1"/>
    <col min="255" max="255" width="4" style="272" customWidth="1"/>
    <col min="256" max="16384" width="2.140625" style="272"/>
  </cols>
  <sheetData>
    <row r="1" spans="1:15" s="50" customFormat="1" ht="16.350000000000001" customHeight="1">
      <c r="A1" s="291" t="s">
        <v>285</v>
      </c>
      <c r="B1" s="291"/>
      <c r="C1" s="291"/>
      <c r="D1" s="291"/>
      <c r="E1" s="18"/>
      <c r="F1" s="18"/>
      <c r="G1" s="100"/>
    </row>
    <row r="2" spans="1:15" s="50" customFormat="1" ht="12" customHeight="1">
      <c r="A2" s="49" t="s">
        <v>248</v>
      </c>
      <c r="B2" s="18"/>
      <c r="C2" s="18"/>
      <c r="D2" s="18"/>
      <c r="E2" s="18"/>
      <c r="F2" s="18"/>
    </row>
    <row r="3" spans="1:15" s="50" customFormat="1" ht="12" customHeight="1">
      <c r="A3" s="49" t="s">
        <v>330</v>
      </c>
      <c r="B3" s="18"/>
      <c r="C3" s="18"/>
      <c r="D3" s="18"/>
      <c r="E3" s="18"/>
      <c r="F3" s="18"/>
      <c r="G3" s="101"/>
    </row>
    <row r="4" spans="1:15" ht="3" customHeight="1">
      <c r="A4" s="51"/>
      <c r="B4" s="51"/>
      <c r="C4" s="51"/>
      <c r="D4" s="51"/>
      <c r="E4" s="51"/>
      <c r="F4" s="51"/>
    </row>
    <row r="5" spans="1:15" s="53" customFormat="1" ht="14.1" customHeight="1">
      <c r="A5" s="564" t="s">
        <v>229</v>
      </c>
      <c r="B5" s="565"/>
      <c r="C5" s="147" t="s">
        <v>247</v>
      </c>
      <c r="D5" s="147"/>
      <c r="E5" s="146" t="s">
        <v>242</v>
      </c>
      <c r="F5" s="167"/>
      <c r="G5" s="52"/>
    </row>
    <row r="6" spans="1:15" s="26" customFormat="1" ht="12.95" customHeight="1">
      <c r="A6" s="566"/>
      <c r="B6" s="567"/>
      <c r="C6" s="336" t="s">
        <v>166</v>
      </c>
      <c r="D6" s="336" t="s">
        <v>167</v>
      </c>
      <c r="E6" s="336" t="s">
        <v>166</v>
      </c>
      <c r="F6" s="336" t="s">
        <v>167</v>
      </c>
    </row>
    <row r="7" spans="1:15" ht="16.350000000000001" customHeight="1">
      <c r="A7" s="35" t="s">
        <v>484</v>
      </c>
      <c r="B7" s="168"/>
      <c r="C7" s="379"/>
      <c r="D7" s="379"/>
      <c r="E7" s="54"/>
      <c r="F7" s="54"/>
      <c r="H7" s="55"/>
    </row>
    <row r="8" spans="1:15" ht="13.35" customHeight="1">
      <c r="A8" s="92" t="s">
        <v>262</v>
      </c>
      <c r="B8" s="56"/>
      <c r="C8" s="379"/>
      <c r="D8" s="379"/>
      <c r="E8" s="54"/>
      <c r="F8" s="54"/>
      <c r="G8" s="57"/>
      <c r="H8" s="58"/>
      <c r="I8" s="58"/>
      <c r="J8" s="57"/>
      <c r="K8" s="59"/>
    </row>
    <row r="9" spans="1:15" ht="13.35" customHeight="1">
      <c r="A9" s="60"/>
      <c r="B9" s="31" t="s">
        <v>397</v>
      </c>
      <c r="C9" s="482">
        <v>3557.8999919999997</v>
      </c>
      <c r="D9" s="482">
        <v>3188.305699999999</v>
      </c>
      <c r="E9" s="482">
        <v>308.63904000000002</v>
      </c>
      <c r="F9" s="482">
        <v>282.347399</v>
      </c>
      <c r="G9" s="38"/>
      <c r="H9" s="38"/>
      <c r="O9" s="38"/>
    </row>
    <row r="10" spans="1:15" ht="13.35" customHeight="1">
      <c r="A10" s="19"/>
      <c r="B10" s="31" t="s">
        <v>398</v>
      </c>
      <c r="C10" s="482">
        <v>5131.5354879999995</v>
      </c>
      <c r="D10" s="482">
        <v>5331.063091</v>
      </c>
      <c r="E10" s="482">
        <v>270.32084000000003</v>
      </c>
      <c r="F10" s="482">
        <v>253.432693</v>
      </c>
      <c r="G10" s="38"/>
      <c r="H10" s="38"/>
      <c r="O10" s="38"/>
    </row>
    <row r="11" spans="1:15" ht="13.35" customHeight="1">
      <c r="A11" s="19"/>
      <c r="B11" s="31" t="s">
        <v>264</v>
      </c>
      <c r="C11" s="482">
        <v>369.62199199999998</v>
      </c>
      <c r="D11" s="482">
        <v>363.29143900000003</v>
      </c>
      <c r="E11" s="482">
        <v>0.23422000000000001</v>
      </c>
      <c r="F11" s="482">
        <v>0.28399999999999997</v>
      </c>
      <c r="G11" s="38"/>
      <c r="H11" s="38"/>
      <c r="O11" s="39"/>
    </row>
    <row r="12" spans="1:15" ht="13.35" customHeight="1">
      <c r="A12" s="19"/>
      <c r="B12" s="31" t="s">
        <v>399</v>
      </c>
      <c r="C12" s="482">
        <v>360.63014000000004</v>
      </c>
      <c r="D12" s="482">
        <v>366.75796000000003</v>
      </c>
      <c r="E12" s="482">
        <v>32.761699999999998</v>
      </c>
      <c r="F12" s="482">
        <v>42.645340000000004</v>
      </c>
      <c r="G12" s="38"/>
      <c r="H12" s="61"/>
      <c r="O12" s="38"/>
    </row>
    <row r="13" spans="1:15" ht="13.35" customHeight="1">
      <c r="A13" s="19"/>
      <c r="B13" s="31" t="s">
        <v>224</v>
      </c>
      <c r="C13" s="482">
        <v>1266.0298580000001</v>
      </c>
      <c r="D13" s="482">
        <v>1271.8254649999999</v>
      </c>
      <c r="E13" s="482">
        <v>100.78263000000001</v>
      </c>
      <c r="F13" s="482">
        <v>113.815699</v>
      </c>
      <c r="G13" s="38"/>
      <c r="H13" s="38"/>
      <c r="O13" s="38"/>
    </row>
    <row r="14" spans="1:15" ht="13.35" customHeight="1">
      <c r="A14" s="19"/>
      <c r="B14" s="31" t="s">
        <v>400</v>
      </c>
      <c r="C14" s="482">
        <v>6522.0868210000008</v>
      </c>
      <c r="D14" s="482">
        <v>6780.4641550000006</v>
      </c>
      <c r="E14" s="482">
        <v>496.611876</v>
      </c>
      <c r="F14" s="482">
        <v>520.8891900000001</v>
      </c>
      <c r="G14" s="38"/>
      <c r="H14" s="38"/>
      <c r="O14" s="38"/>
    </row>
    <row r="15" spans="1:15" ht="13.35" customHeight="1">
      <c r="A15" s="19"/>
      <c r="B15" s="31" t="s">
        <v>401</v>
      </c>
      <c r="C15" s="482">
        <v>2194.8764890000002</v>
      </c>
      <c r="D15" s="482">
        <v>2280.1030440000004</v>
      </c>
      <c r="E15" s="482">
        <v>198.09738199999998</v>
      </c>
      <c r="F15" s="482">
        <v>192.679922</v>
      </c>
      <c r="G15" s="38"/>
      <c r="H15" s="38"/>
      <c r="O15" s="61"/>
    </row>
    <row r="16" spans="1:15" ht="13.35" customHeight="1">
      <c r="A16" s="19"/>
      <c r="B16" s="31" t="s">
        <v>402</v>
      </c>
      <c r="C16" s="482">
        <v>44.194618999999996</v>
      </c>
      <c r="D16" s="482">
        <v>58.307701999999999</v>
      </c>
      <c r="E16" s="482">
        <v>3.5489899999999999</v>
      </c>
      <c r="F16" s="482">
        <v>4.3665900000000004</v>
      </c>
      <c r="G16" s="38"/>
      <c r="H16" s="38"/>
      <c r="O16" s="38"/>
    </row>
    <row r="17" spans="1:15" ht="13.35" customHeight="1">
      <c r="A17" s="19"/>
      <c r="B17" s="31" t="s">
        <v>403</v>
      </c>
      <c r="C17" s="482">
        <v>10336.177907933399</v>
      </c>
      <c r="D17" s="482">
        <v>10929.340628999998</v>
      </c>
      <c r="E17" s="482">
        <v>1058.0624990000001</v>
      </c>
      <c r="F17" s="482">
        <v>932.65189599999997</v>
      </c>
      <c r="G17" s="38"/>
      <c r="H17" s="38"/>
      <c r="O17" s="38"/>
    </row>
    <row r="18" spans="1:15" ht="13.35" customHeight="1">
      <c r="A18" s="19"/>
      <c r="B18" s="31" t="s">
        <v>404</v>
      </c>
      <c r="C18" s="482">
        <v>1239.7405980000003</v>
      </c>
      <c r="D18" s="482">
        <v>1286.0127540000001</v>
      </c>
      <c r="E18" s="482">
        <v>114.84455</v>
      </c>
      <c r="F18" s="482">
        <v>125.127607</v>
      </c>
      <c r="G18" s="38"/>
      <c r="H18" s="38"/>
      <c r="O18" s="38"/>
    </row>
    <row r="19" spans="1:15" ht="13.35" customHeight="1">
      <c r="A19" s="19"/>
      <c r="B19" s="31" t="s">
        <v>405</v>
      </c>
      <c r="C19" s="482">
        <v>643.95438600000011</v>
      </c>
      <c r="D19" s="482">
        <v>631.57972900000004</v>
      </c>
      <c r="E19" s="482">
        <v>55.756836000000007</v>
      </c>
      <c r="F19" s="482">
        <v>67.166903999999988</v>
      </c>
      <c r="G19" s="38"/>
      <c r="H19" s="38"/>
      <c r="O19" s="38"/>
    </row>
    <row r="20" spans="1:15" ht="13.35" customHeight="1">
      <c r="A20" s="19"/>
      <c r="B20" s="31" t="s">
        <v>406</v>
      </c>
      <c r="C20" s="482">
        <v>313.11226200000004</v>
      </c>
      <c r="D20" s="482">
        <v>307.97028500000005</v>
      </c>
      <c r="E20" s="482">
        <v>1.4309559999999999</v>
      </c>
      <c r="F20" s="482">
        <v>0.86659000000000008</v>
      </c>
      <c r="G20" s="38"/>
      <c r="H20" s="38"/>
      <c r="O20" s="38"/>
    </row>
    <row r="21" spans="1:15" ht="13.35" customHeight="1">
      <c r="A21" s="19"/>
      <c r="B21" s="31" t="s">
        <v>407</v>
      </c>
      <c r="C21" s="482">
        <v>645.54505900000015</v>
      </c>
      <c r="D21" s="482">
        <v>638.20435899999995</v>
      </c>
      <c r="E21" s="482">
        <v>159.53499999999997</v>
      </c>
      <c r="F21" s="482">
        <v>144.61780000000002</v>
      </c>
      <c r="G21" s="38"/>
      <c r="H21" s="38"/>
      <c r="O21" s="38"/>
    </row>
    <row r="22" spans="1:15" ht="13.35" customHeight="1">
      <c r="A22" s="19"/>
      <c r="B22" s="31" t="s">
        <v>429</v>
      </c>
      <c r="C22" s="482">
        <v>26.231579999999997</v>
      </c>
      <c r="D22" s="482">
        <v>23.31222</v>
      </c>
      <c r="E22" s="482">
        <v>1.4624999999999999</v>
      </c>
      <c r="F22" s="482">
        <v>3.2160000000000002</v>
      </c>
      <c r="G22" s="38"/>
      <c r="H22" s="38"/>
      <c r="O22" s="38"/>
    </row>
    <row r="23" spans="1:15" ht="13.35" customHeight="1">
      <c r="A23" s="19"/>
      <c r="B23" s="31" t="s">
        <v>408</v>
      </c>
      <c r="C23" s="482">
        <v>154.55194000000003</v>
      </c>
      <c r="D23" s="482">
        <v>131.88221999999996</v>
      </c>
      <c r="E23" s="482">
        <v>20.191030000000001</v>
      </c>
      <c r="F23" s="482">
        <v>14.060450000000001</v>
      </c>
      <c r="G23" s="38"/>
      <c r="H23" s="38"/>
      <c r="O23" s="38"/>
    </row>
    <row r="24" spans="1:15" ht="13.35" customHeight="1">
      <c r="A24" s="19"/>
      <c r="B24" s="31" t="s">
        <v>366</v>
      </c>
      <c r="C24" s="482">
        <v>453.22793299999995</v>
      </c>
      <c r="D24" s="482">
        <v>421.87002300000006</v>
      </c>
      <c r="E24" s="482">
        <v>18.894137000000004</v>
      </c>
      <c r="F24" s="482">
        <v>16.674249</v>
      </c>
      <c r="G24" s="38"/>
      <c r="H24" s="38"/>
      <c r="O24" s="38"/>
    </row>
    <row r="25" spans="1:15" ht="13.35" customHeight="1">
      <c r="A25" s="19"/>
      <c r="B25" s="31" t="s">
        <v>367</v>
      </c>
      <c r="C25" s="482">
        <v>88.865770999999995</v>
      </c>
      <c r="D25" s="482">
        <v>85.941770999999989</v>
      </c>
      <c r="E25" s="482">
        <v>2.4007709999999998</v>
      </c>
      <c r="F25" s="482">
        <v>1.9687849999999998</v>
      </c>
      <c r="G25" s="38"/>
      <c r="H25" s="61"/>
      <c r="O25" s="38"/>
    </row>
    <row r="26" spans="1:15" ht="13.35" customHeight="1">
      <c r="A26" s="19"/>
      <c r="B26" s="31" t="s">
        <v>368</v>
      </c>
      <c r="C26" s="482">
        <v>378.88654600000001</v>
      </c>
      <c r="D26" s="482">
        <v>537.07937700000002</v>
      </c>
      <c r="E26" s="482">
        <v>101.845085</v>
      </c>
      <c r="F26" s="482">
        <v>162.51120800000001</v>
      </c>
      <c r="G26" s="38"/>
      <c r="H26" s="61"/>
      <c r="O26" s="38"/>
    </row>
    <row r="27" spans="1:15" ht="13.35" customHeight="1">
      <c r="A27" s="19"/>
      <c r="B27" s="31" t="s">
        <v>369</v>
      </c>
      <c r="C27" s="482">
        <v>134.67574400000001</v>
      </c>
      <c r="D27" s="482">
        <v>135.92761199999998</v>
      </c>
      <c r="E27" s="482">
        <v>9.4428949999999983</v>
      </c>
      <c r="F27" s="482">
        <v>8.6551959999999983</v>
      </c>
      <c r="G27" s="38"/>
      <c r="H27" s="38"/>
      <c r="O27" s="38"/>
    </row>
    <row r="28" spans="1:15" ht="13.35" customHeight="1">
      <c r="A28" s="19"/>
      <c r="B28" s="31" t="s">
        <v>370</v>
      </c>
      <c r="C28" s="482">
        <v>196.01197400000001</v>
      </c>
      <c r="D28" s="482">
        <v>190.56006500000001</v>
      </c>
      <c r="E28" s="482">
        <v>1.4612060000000002</v>
      </c>
      <c r="F28" s="482">
        <v>2.6010999999999997</v>
      </c>
      <c r="G28" s="38"/>
      <c r="H28" s="38"/>
      <c r="O28" s="38"/>
    </row>
    <row r="29" spans="1:15" ht="13.35" customHeight="1">
      <c r="A29" s="19"/>
      <c r="B29" s="31" t="s">
        <v>371</v>
      </c>
      <c r="C29" s="482">
        <v>502.82245500000005</v>
      </c>
      <c r="D29" s="482">
        <v>514.93060600000013</v>
      </c>
      <c r="E29" s="482">
        <v>29.056828999999997</v>
      </c>
      <c r="F29" s="482">
        <v>32.754246999999999</v>
      </c>
      <c r="G29" s="38"/>
      <c r="H29" s="38"/>
      <c r="O29" s="38"/>
    </row>
    <row r="30" spans="1:15" ht="13.35" customHeight="1">
      <c r="A30" s="19"/>
      <c r="B30" s="31" t="s">
        <v>372</v>
      </c>
      <c r="C30" s="482">
        <v>504.53229299999998</v>
      </c>
      <c r="D30" s="482">
        <v>535.91096300000004</v>
      </c>
      <c r="E30" s="482">
        <v>15.938423</v>
      </c>
      <c r="F30" s="482">
        <v>17.459153000000001</v>
      </c>
      <c r="G30" s="38"/>
      <c r="H30" s="38"/>
      <c r="O30" s="38"/>
    </row>
    <row r="31" spans="1:15" ht="13.35" customHeight="1">
      <c r="A31" s="19"/>
      <c r="B31" s="31" t="s">
        <v>496</v>
      </c>
      <c r="C31" s="482">
        <v>481.59396299999992</v>
      </c>
      <c r="D31" s="482">
        <v>507.59560299999998</v>
      </c>
      <c r="E31" s="482">
        <v>13.525677</v>
      </c>
      <c r="F31" s="482">
        <v>17.070537999999999</v>
      </c>
      <c r="G31" s="38"/>
      <c r="H31" s="38"/>
      <c r="O31" s="38"/>
    </row>
    <row r="32" spans="1:15" ht="13.35" customHeight="1">
      <c r="A32" s="19"/>
      <c r="B32" s="31" t="s">
        <v>497</v>
      </c>
      <c r="C32" s="482">
        <v>253.449264</v>
      </c>
      <c r="D32" s="482">
        <v>202.24247300000002</v>
      </c>
      <c r="E32" s="482">
        <v>28.729164000000001</v>
      </c>
      <c r="F32" s="482">
        <v>25.230757000000001</v>
      </c>
      <c r="G32" s="38"/>
      <c r="H32" s="38"/>
      <c r="O32" s="38"/>
    </row>
    <row r="33" spans="1:15" ht="13.35" customHeight="1">
      <c r="A33" s="19"/>
      <c r="B33" s="31" t="s">
        <v>492</v>
      </c>
      <c r="C33" s="482">
        <v>258.20590000000004</v>
      </c>
      <c r="D33" s="482">
        <v>289.157127</v>
      </c>
      <c r="E33" s="482">
        <v>19.93478</v>
      </c>
      <c r="F33" s="482">
        <v>22.133389999999999</v>
      </c>
      <c r="G33" s="38"/>
      <c r="H33" s="38"/>
      <c r="O33" s="38"/>
    </row>
    <row r="34" spans="1:15" ht="13.35" customHeight="1">
      <c r="A34" s="19"/>
      <c r="B34" s="31" t="s">
        <v>498</v>
      </c>
      <c r="C34" s="482">
        <v>188.98240900000002</v>
      </c>
      <c r="D34" s="482">
        <v>190.98573999999999</v>
      </c>
      <c r="E34" s="482">
        <v>0</v>
      </c>
      <c r="F34" s="482">
        <v>0</v>
      </c>
      <c r="G34" s="38"/>
      <c r="H34" s="38"/>
      <c r="O34" s="38"/>
    </row>
    <row r="35" spans="1:15" ht="13.35" customHeight="1">
      <c r="A35" s="19"/>
      <c r="B35" s="31" t="s">
        <v>499</v>
      </c>
      <c r="C35" s="482">
        <v>213.38472099999998</v>
      </c>
      <c r="D35" s="482">
        <v>215.50905299999999</v>
      </c>
      <c r="E35" s="482">
        <v>5.9990000000000002E-2</v>
      </c>
      <c r="F35" s="482">
        <v>7.8310000000000005E-2</v>
      </c>
      <c r="G35" s="38"/>
      <c r="H35" s="38"/>
      <c r="O35" s="61"/>
    </row>
    <row r="36" spans="1:15" ht="13.35" customHeight="1">
      <c r="A36" s="19"/>
      <c r="B36" s="31" t="s">
        <v>374</v>
      </c>
      <c r="C36" s="482">
        <v>140.56944099999998</v>
      </c>
      <c r="D36" s="482">
        <v>142.28425100000001</v>
      </c>
      <c r="E36" s="482">
        <v>7.6796069999999999</v>
      </c>
      <c r="F36" s="482">
        <v>8.4725979999999996</v>
      </c>
      <c r="G36" s="38"/>
      <c r="H36" s="38"/>
      <c r="O36" s="38"/>
    </row>
    <row r="37" spans="1:15" ht="13.35" customHeight="1">
      <c r="A37" s="19"/>
      <c r="B37" s="31" t="s">
        <v>375</v>
      </c>
      <c r="C37" s="482">
        <v>105.09724400000002</v>
      </c>
      <c r="D37" s="482">
        <v>83.297431000000003</v>
      </c>
      <c r="E37" s="482">
        <v>18.565540000000002</v>
      </c>
      <c r="F37" s="482">
        <v>23.076896999999999</v>
      </c>
      <c r="G37" s="38"/>
      <c r="H37" s="38"/>
      <c r="O37" s="38"/>
    </row>
    <row r="38" spans="1:15" ht="13.35" customHeight="1">
      <c r="A38" s="19"/>
      <c r="B38" s="31" t="s">
        <v>202</v>
      </c>
      <c r="C38" s="482">
        <v>142.3278</v>
      </c>
      <c r="D38" s="482">
        <v>129.19800700000002</v>
      </c>
      <c r="E38" s="482">
        <v>6.9025869999999996</v>
      </c>
      <c r="F38" s="482">
        <v>6.0299570000000005</v>
      </c>
      <c r="G38" s="131"/>
      <c r="H38" s="62"/>
      <c r="O38" s="38"/>
    </row>
    <row r="39" spans="1:15" ht="13.35" customHeight="1">
      <c r="A39" s="19"/>
      <c r="B39" s="31" t="s">
        <v>203</v>
      </c>
      <c r="C39" s="482">
        <v>275.32280200000008</v>
      </c>
      <c r="D39" s="482">
        <v>301.34376200000003</v>
      </c>
      <c r="E39" s="482">
        <v>28.392994999999996</v>
      </c>
      <c r="F39" s="482">
        <v>21.990062000000002</v>
      </c>
      <c r="G39" s="38"/>
      <c r="H39" s="38"/>
      <c r="O39" s="38"/>
    </row>
    <row r="40" spans="1:15" ht="13.35" customHeight="1">
      <c r="A40" s="19"/>
      <c r="B40" s="31" t="s">
        <v>204</v>
      </c>
      <c r="C40" s="482">
        <v>548.46487200000013</v>
      </c>
      <c r="D40" s="482">
        <v>568.90687400000013</v>
      </c>
      <c r="E40" s="482">
        <v>63.99186000000001</v>
      </c>
      <c r="F40" s="482">
        <v>63.996452999999995</v>
      </c>
      <c r="G40" s="61"/>
      <c r="H40" s="61"/>
      <c r="I40" s="57"/>
      <c r="J40" s="57"/>
      <c r="K40" s="59"/>
      <c r="O40" s="38"/>
    </row>
    <row r="41" spans="1:15" ht="13.35" customHeight="1">
      <c r="A41" s="19"/>
      <c r="B41" s="31" t="s">
        <v>385</v>
      </c>
      <c r="C41" s="482">
        <v>34.453000000000003</v>
      </c>
      <c r="D41" s="482">
        <v>22.56</v>
      </c>
      <c r="E41" s="482">
        <v>2.613</v>
      </c>
      <c r="F41" s="482">
        <v>4.0960000000000001</v>
      </c>
      <c r="G41" s="38"/>
      <c r="H41" s="61"/>
      <c r="I41" s="57"/>
      <c r="J41" s="57"/>
      <c r="O41" s="61"/>
    </row>
    <row r="42" spans="1:15" ht="13.35" customHeight="1">
      <c r="A42" s="19"/>
      <c r="B42" s="31" t="s">
        <v>252</v>
      </c>
      <c r="C42" s="482">
        <v>205.23604800000001</v>
      </c>
      <c r="D42" s="482">
        <v>198.12187199999997</v>
      </c>
      <c r="E42" s="482">
        <v>1.1615</v>
      </c>
      <c r="F42" s="482">
        <v>1.9000999999999999</v>
      </c>
      <c r="G42" s="38"/>
      <c r="H42" s="38"/>
      <c r="O42" s="38"/>
    </row>
    <row r="43" spans="1:15" ht="13.35" customHeight="1">
      <c r="A43" s="19"/>
      <c r="B43" s="31" t="s">
        <v>253</v>
      </c>
      <c r="C43" s="482">
        <v>921.00060899999994</v>
      </c>
      <c r="D43" s="482">
        <v>912.928901</v>
      </c>
      <c r="E43" s="482">
        <v>84.74390799999999</v>
      </c>
      <c r="F43" s="482">
        <v>84.911818999999994</v>
      </c>
      <c r="G43" s="38"/>
      <c r="H43" s="39"/>
      <c r="I43" s="57"/>
      <c r="J43" s="57"/>
      <c r="K43" s="59"/>
      <c r="O43" s="38"/>
    </row>
    <row r="44" spans="1:15" ht="13.35" customHeight="1">
      <c r="A44" s="19"/>
      <c r="B44" s="31" t="s">
        <v>380</v>
      </c>
      <c r="C44" s="482">
        <v>83.513265999999987</v>
      </c>
      <c r="D44" s="482">
        <v>86.388300999999998</v>
      </c>
      <c r="E44" s="482">
        <v>6.6400000000000009E-3</v>
      </c>
      <c r="F44" s="482">
        <v>4.2339999999999996E-2</v>
      </c>
      <c r="G44" s="38"/>
      <c r="H44" s="38"/>
      <c r="I44" s="57"/>
      <c r="J44" s="57"/>
      <c r="O44" s="38"/>
    </row>
    <row r="45" spans="1:15" ht="13.35" customHeight="1">
      <c r="A45" s="19"/>
      <c r="B45" s="31" t="s">
        <v>381</v>
      </c>
      <c r="C45" s="482">
        <v>54.370753000000008</v>
      </c>
      <c r="D45" s="482">
        <v>51.840711999999989</v>
      </c>
      <c r="E45" s="482">
        <v>0.63124000000000002</v>
      </c>
      <c r="F45" s="482">
        <v>0.206009</v>
      </c>
      <c r="G45" s="38"/>
      <c r="H45" s="38"/>
      <c r="I45" s="57"/>
      <c r="J45" s="57"/>
      <c r="K45" s="59"/>
      <c r="O45" s="38"/>
    </row>
    <row r="46" spans="1:15" ht="13.35" customHeight="1">
      <c r="A46" s="19"/>
      <c r="B46" s="31" t="s">
        <v>382</v>
      </c>
      <c r="C46" s="482">
        <v>178.74438999999998</v>
      </c>
      <c r="D46" s="482">
        <v>191.55692599999998</v>
      </c>
      <c r="E46" s="482">
        <v>15.415737999999997</v>
      </c>
      <c r="F46" s="482">
        <v>13.565498999999999</v>
      </c>
      <c r="G46" s="38"/>
      <c r="H46" s="38"/>
      <c r="I46" s="57"/>
      <c r="J46" s="57"/>
      <c r="K46" s="59"/>
      <c r="O46" s="38"/>
    </row>
    <row r="47" spans="1:15" ht="13.35" customHeight="1">
      <c r="A47" s="19"/>
      <c r="B47" s="31" t="s">
        <v>383</v>
      </c>
      <c r="C47" s="482">
        <v>210.26641999999995</v>
      </c>
      <c r="D47" s="482">
        <v>213.30568600000001</v>
      </c>
      <c r="E47" s="482">
        <v>12.962059</v>
      </c>
      <c r="F47" s="482">
        <v>11.365399999999999</v>
      </c>
      <c r="G47" s="38"/>
      <c r="H47" s="38"/>
      <c r="I47" s="57"/>
      <c r="J47" s="57"/>
      <c r="K47" s="59"/>
      <c r="O47" s="61"/>
    </row>
    <row r="48" spans="1:15" ht="13.35" customHeight="1">
      <c r="A48" s="19"/>
      <c r="B48" s="31" t="s">
        <v>267</v>
      </c>
      <c r="C48" s="482">
        <v>45.114267999999996</v>
      </c>
      <c r="D48" s="482">
        <v>46.101185999999998</v>
      </c>
      <c r="E48" s="482">
        <v>1.960928</v>
      </c>
      <c r="F48" s="482">
        <v>2.2158850000000001</v>
      </c>
      <c r="G48" s="61"/>
      <c r="H48" s="39"/>
      <c r="O48" s="61"/>
    </row>
    <row r="49" spans="1:15" ht="13.35" customHeight="1">
      <c r="A49" s="19"/>
      <c r="B49" s="31" t="s">
        <v>210</v>
      </c>
      <c r="C49" s="482">
        <v>49.715250999999995</v>
      </c>
      <c r="D49" s="482">
        <v>43.155163000000002</v>
      </c>
      <c r="E49" s="482">
        <v>2.8082940000000001</v>
      </c>
      <c r="F49" s="482">
        <v>2.2447400000000002</v>
      </c>
      <c r="G49" s="61"/>
      <c r="H49" s="39"/>
      <c r="I49" s="57"/>
      <c r="J49" s="57"/>
      <c r="K49" s="59"/>
      <c r="O49" s="61"/>
    </row>
    <row r="50" spans="1:15" ht="13.35" customHeight="1">
      <c r="A50" s="13"/>
      <c r="B50" s="30" t="s">
        <v>384</v>
      </c>
      <c r="C50" s="483">
        <v>105.03869999999999</v>
      </c>
      <c r="D50" s="483">
        <v>97.246748000000011</v>
      </c>
      <c r="E50" s="483">
        <v>0</v>
      </c>
      <c r="F50" s="483">
        <v>0</v>
      </c>
      <c r="G50" s="38"/>
      <c r="H50" s="38"/>
      <c r="I50" s="57"/>
      <c r="J50" s="57"/>
      <c r="K50" s="59"/>
      <c r="O50" s="38"/>
    </row>
    <row r="51" spans="1:15" ht="13.35" customHeight="1">
      <c r="A51" s="19"/>
      <c r="B51" s="31"/>
      <c r="C51" s="8"/>
      <c r="D51" s="151"/>
      <c r="E51" s="8"/>
      <c r="F51" s="151" t="s">
        <v>326</v>
      </c>
      <c r="G51" s="38"/>
      <c r="H51" s="38"/>
      <c r="I51" s="57"/>
      <c r="J51" s="57"/>
      <c r="K51" s="59"/>
      <c r="O51" s="38"/>
    </row>
    <row r="52" spans="1:15" ht="13.35" customHeight="1">
      <c r="A52" s="81" t="s">
        <v>365</v>
      </c>
      <c r="B52" s="31"/>
      <c r="C52" s="8"/>
      <c r="D52" s="8"/>
      <c r="E52" s="8"/>
      <c r="F52" s="8"/>
      <c r="G52" s="38"/>
      <c r="H52" s="38"/>
      <c r="I52" s="57"/>
      <c r="J52" s="57"/>
      <c r="K52" s="59"/>
      <c r="O52" s="38"/>
    </row>
    <row r="53" spans="1:15" ht="13.35" customHeight="1">
      <c r="A53" s="564" t="s">
        <v>229</v>
      </c>
      <c r="B53" s="565"/>
      <c r="C53" s="147" t="s">
        <v>247</v>
      </c>
      <c r="D53" s="147"/>
      <c r="E53" s="146" t="s">
        <v>242</v>
      </c>
      <c r="F53" s="167"/>
      <c r="G53" s="38"/>
      <c r="H53" s="38"/>
      <c r="I53" s="57"/>
      <c r="J53" s="57"/>
      <c r="K53" s="59"/>
      <c r="O53" s="38"/>
    </row>
    <row r="54" spans="1:15" ht="13.35" customHeight="1">
      <c r="A54" s="566"/>
      <c r="B54" s="567"/>
      <c r="C54" s="336" t="s">
        <v>166</v>
      </c>
      <c r="D54" s="336" t="s">
        <v>167</v>
      </c>
      <c r="E54" s="336" t="s">
        <v>166</v>
      </c>
      <c r="F54" s="336" t="s">
        <v>167</v>
      </c>
      <c r="G54" s="38"/>
      <c r="H54" s="38"/>
      <c r="I54" s="57"/>
      <c r="J54" s="57"/>
      <c r="K54" s="59"/>
      <c r="O54" s="38"/>
    </row>
    <row r="55" spans="1:15" ht="13.35" customHeight="1">
      <c r="A55" s="19"/>
      <c r="B55" s="31" t="s">
        <v>447</v>
      </c>
      <c r="C55" s="482">
        <v>175.98806299999998</v>
      </c>
      <c r="D55" s="482">
        <v>171.667205</v>
      </c>
      <c r="E55" s="482">
        <v>13.039145999999997</v>
      </c>
      <c r="F55" s="482">
        <v>15.159901000000001</v>
      </c>
      <c r="G55" s="61"/>
      <c r="H55" s="39"/>
      <c r="O55" s="39"/>
    </row>
    <row r="56" spans="1:15" ht="13.35" customHeight="1">
      <c r="A56" s="63"/>
      <c r="B56" s="31" t="s">
        <v>448</v>
      </c>
      <c r="C56" s="482">
        <v>86.737949999999984</v>
      </c>
      <c r="D56" s="482">
        <v>89.775215999999986</v>
      </c>
      <c r="E56" s="482">
        <v>1.8523000000000001</v>
      </c>
      <c r="F56" s="482">
        <v>0.82339399999999996</v>
      </c>
      <c r="G56" s="132"/>
      <c r="H56" s="64"/>
      <c r="I56" s="57"/>
      <c r="J56" s="57"/>
      <c r="K56" s="59"/>
      <c r="O56" s="65"/>
    </row>
    <row r="57" spans="1:15" ht="13.35" customHeight="1">
      <c r="A57" s="19"/>
      <c r="B57" s="31" t="s">
        <v>271</v>
      </c>
      <c r="C57" s="482">
        <v>18.405086000000001</v>
      </c>
      <c r="D57" s="482">
        <v>16.063412</v>
      </c>
      <c r="E57" s="482">
        <v>1.5778189999999999</v>
      </c>
      <c r="F57" s="482">
        <v>0.84287000000000001</v>
      </c>
      <c r="G57" s="38"/>
      <c r="H57" s="38"/>
      <c r="I57" s="57"/>
      <c r="J57" s="57"/>
      <c r="K57" s="59"/>
      <c r="O57" s="39"/>
    </row>
    <row r="58" spans="1:15" ht="13.35" customHeight="1">
      <c r="A58" s="19"/>
      <c r="B58" s="31" t="s">
        <v>449</v>
      </c>
      <c r="C58" s="482">
        <v>78.140871999999987</v>
      </c>
      <c r="D58" s="482">
        <v>79.602891999999997</v>
      </c>
      <c r="E58" s="482">
        <v>3.2430590000000001</v>
      </c>
      <c r="F58" s="482">
        <v>2.9459770000000001</v>
      </c>
      <c r="G58" s="66"/>
      <c r="H58" s="38"/>
      <c r="I58" s="57"/>
      <c r="J58" s="57"/>
      <c r="K58" s="59"/>
      <c r="O58" s="39"/>
    </row>
    <row r="59" spans="1:15" ht="13.35" customHeight="1">
      <c r="A59" s="19"/>
      <c r="B59" s="31" t="s">
        <v>493</v>
      </c>
      <c r="C59" s="482">
        <v>14.159465000000001</v>
      </c>
      <c r="D59" s="482">
        <v>21.538543999999998</v>
      </c>
      <c r="E59" s="482">
        <v>0.6041700000000001</v>
      </c>
      <c r="F59" s="482">
        <v>1.4009699999999998</v>
      </c>
      <c r="G59" s="66"/>
      <c r="H59" s="38"/>
      <c r="I59" s="57"/>
      <c r="J59" s="57"/>
      <c r="K59" s="59"/>
      <c r="O59" s="39"/>
    </row>
    <row r="60" spans="1:15" ht="13.35" customHeight="1">
      <c r="A60" s="19"/>
      <c r="B60" s="31" t="s">
        <v>466</v>
      </c>
      <c r="C60" s="482">
        <v>80.530376999999987</v>
      </c>
      <c r="D60" s="482">
        <v>73.032540999999981</v>
      </c>
      <c r="E60" s="482">
        <v>3.047879</v>
      </c>
      <c r="F60" s="482">
        <v>2.253511</v>
      </c>
      <c r="G60" s="66"/>
      <c r="H60" s="38"/>
      <c r="I60" s="57"/>
      <c r="J60" s="57"/>
      <c r="K60" s="59"/>
      <c r="O60" s="39"/>
    </row>
    <row r="61" spans="1:15" ht="13.35" customHeight="1">
      <c r="A61" s="19"/>
      <c r="B61" s="31" t="s">
        <v>467</v>
      </c>
      <c r="C61" s="482">
        <v>112.04231600000001</v>
      </c>
      <c r="D61" s="482">
        <v>93.039372999999998</v>
      </c>
      <c r="E61" s="482">
        <v>1.861049</v>
      </c>
      <c r="F61" s="482">
        <v>2.9207779999999999</v>
      </c>
      <c r="G61" s="66"/>
      <c r="H61" s="67"/>
      <c r="I61" s="57"/>
      <c r="J61" s="57"/>
      <c r="K61" s="59"/>
      <c r="O61" s="39"/>
    </row>
    <row r="62" spans="1:15" ht="13.35" customHeight="1">
      <c r="A62" s="19"/>
      <c r="B62" s="31" t="s">
        <v>446</v>
      </c>
      <c r="C62" s="482">
        <v>101.331317</v>
      </c>
      <c r="D62" s="482">
        <v>127.497598</v>
      </c>
      <c r="E62" s="482">
        <v>10.367979999999998</v>
      </c>
      <c r="F62" s="482">
        <v>20.41686</v>
      </c>
      <c r="G62" s="66"/>
      <c r="H62" s="38"/>
      <c r="I62" s="57"/>
      <c r="J62" s="57"/>
      <c r="K62" s="59"/>
      <c r="O62" s="39"/>
    </row>
    <row r="63" spans="1:15" ht="13.35" customHeight="1">
      <c r="A63" s="19"/>
      <c r="B63" s="31" t="s">
        <v>468</v>
      </c>
      <c r="C63" s="482">
        <v>8.5122289999999996</v>
      </c>
      <c r="D63" s="482">
        <v>8.2325200000000009</v>
      </c>
      <c r="E63" s="482">
        <v>1.2077</v>
      </c>
      <c r="F63" s="482">
        <v>0.86468999999999996</v>
      </c>
      <c r="G63" s="66"/>
      <c r="H63" s="38"/>
      <c r="I63" s="57"/>
      <c r="J63" s="57"/>
      <c r="K63" s="59"/>
      <c r="O63" s="39"/>
    </row>
    <row r="64" spans="1:15" ht="13.35" customHeight="1">
      <c r="A64" s="19"/>
      <c r="B64" s="31" t="s">
        <v>469</v>
      </c>
      <c r="C64" s="482">
        <v>55.635436999999989</v>
      </c>
      <c r="D64" s="482">
        <v>53.724239000000011</v>
      </c>
      <c r="E64" s="482">
        <v>4.2445369999999993</v>
      </c>
      <c r="F64" s="482">
        <v>4.2020110000000006</v>
      </c>
      <c r="G64" s="66"/>
      <c r="H64" s="38"/>
      <c r="I64" s="57"/>
      <c r="J64" s="57"/>
      <c r="K64" s="59"/>
      <c r="O64" s="39"/>
    </row>
    <row r="65" spans="1:15" ht="13.35" customHeight="1">
      <c r="A65" s="19"/>
      <c r="B65" s="31" t="s">
        <v>477</v>
      </c>
      <c r="C65" s="482">
        <v>13.303329</v>
      </c>
      <c r="D65" s="482">
        <v>13.633056999999999</v>
      </c>
      <c r="E65" s="482">
        <v>0.16175900000000001</v>
      </c>
      <c r="F65" s="482">
        <v>0.29385899999999998</v>
      </c>
      <c r="G65" s="66"/>
      <c r="H65" s="38"/>
      <c r="I65" s="57"/>
      <c r="J65" s="57"/>
      <c r="K65" s="59"/>
      <c r="O65" s="39"/>
    </row>
    <row r="66" spans="1:15" ht="13.35" customHeight="1">
      <c r="A66" s="19"/>
      <c r="B66" s="31" t="s">
        <v>490</v>
      </c>
      <c r="C66" s="482">
        <v>20.504539000000001</v>
      </c>
      <c r="D66" s="482">
        <v>22.544724000000002</v>
      </c>
      <c r="E66" s="482">
        <v>0.23175300000000001</v>
      </c>
      <c r="F66" s="482">
        <v>0.252438</v>
      </c>
      <c r="G66" s="66"/>
      <c r="H66" s="38"/>
      <c r="I66" s="57"/>
      <c r="J66" s="57"/>
      <c r="K66" s="59"/>
      <c r="O66" s="39"/>
    </row>
    <row r="67" spans="1:15" ht="13.35" customHeight="1">
      <c r="A67" s="19"/>
      <c r="B67" s="31" t="s">
        <v>519</v>
      </c>
      <c r="C67" s="482">
        <v>54.360753000000003</v>
      </c>
      <c r="D67" s="482">
        <v>64.280147999999997</v>
      </c>
      <c r="E67" s="482">
        <v>3.5570200000000001</v>
      </c>
      <c r="F67" s="482">
        <v>8.903969</v>
      </c>
      <c r="G67" s="66"/>
      <c r="H67" s="38"/>
      <c r="I67" s="57"/>
      <c r="J67" s="57"/>
      <c r="K67" s="59"/>
      <c r="O67" s="39"/>
    </row>
    <row r="68" spans="1:15" ht="13.35" customHeight="1">
      <c r="A68" s="19"/>
      <c r="B68" s="31" t="s">
        <v>491</v>
      </c>
      <c r="C68" s="482">
        <v>41.321554000000006</v>
      </c>
      <c r="D68" s="482">
        <v>38.959318999999994</v>
      </c>
      <c r="E68" s="482">
        <v>1.1758839999999999</v>
      </c>
      <c r="F68" s="482">
        <v>1.2368189999999999</v>
      </c>
      <c r="G68" s="66"/>
      <c r="H68" s="38"/>
      <c r="I68" s="57"/>
      <c r="J68" s="57"/>
      <c r="K68" s="59"/>
      <c r="O68" s="39"/>
    </row>
    <row r="69" spans="1:15" ht="13.35" customHeight="1">
      <c r="A69" s="19"/>
      <c r="B69" s="31" t="s">
        <v>428</v>
      </c>
      <c r="C69" s="482">
        <v>41.536539000000005</v>
      </c>
      <c r="D69" s="482">
        <v>51.233564000000001</v>
      </c>
      <c r="E69" s="482">
        <v>4.2072899999999995</v>
      </c>
      <c r="F69" s="482">
        <v>4.98447</v>
      </c>
      <c r="G69" s="66"/>
      <c r="H69" s="38"/>
      <c r="I69" s="57"/>
      <c r="J69" s="57"/>
      <c r="K69" s="59"/>
      <c r="O69" s="39"/>
    </row>
    <row r="70" spans="1:15" ht="13.35" customHeight="1">
      <c r="A70" s="19"/>
      <c r="B70" s="31" t="s">
        <v>426</v>
      </c>
      <c r="C70" s="482">
        <v>16.866105000000001</v>
      </c>
      <c r="D70" s="482">
        <v>16.457549999999998</v>
      </c>
      <c r="E70" s="482">
        <v>0.17688699999999999</v>
      </c>
      <c r="F70" s="482">
        <v>2.7030000000000002E-2</v>
      </c>
      <c r="G70" s="66"/>
      <c r="H70" s="38"/>
      <c r="I70" s="57"/>
      <c r="J70" s="57"/>
      <c r="K70" s="59"/>
      <c r="O70" s="39"/>
    </row>
    <row r="71" spans="1:15" ht="13.35" customHeight="1">
      <c r="A71" s="19"/>
      <c r="B71" s="31" t="s">
        <v>427</v>
      </c>
      <c r="C71" s="482">
        <v>23.162838999999995</v>
      </c>
      <c r="D71" s="482">
        <v>28.083639999999999</v>
      </c>
      <c r="E71" s="482">
        <v>3.3789499999999997</v>
      </c>
      <c r="F71" s="482">
        <v>3.9985999999999997</v>
      </c>
      <c r="G71" s="66"/>
      <c r="H71" s="38"/>
      <c r="I71" s="57"/>
      <c r="J71" s="57"/>
      <c r="K71" s="59"/>
      <c r="O71" s="39"/>
    </row>
    <row r="72" spans="1:15" ht="13.35" customHeight="1">
      <c r="A72" s="19"/>
      <c r="B72" s="31" t="s">
        <v>319</v>
      </c>
      <c r="C72" s="482">
        <v>84.803060000000002</v>
      </c>
      <c r="D72" s="482">
        <v>145.66933</v>
      </c>
      <c r="E72" s="482">
        <v>11.96927</v>
      </c>
      <c r="F72" s="482">
        <v>28.03472</v>
      </c>
      <c r="G72" s="66"/>
      <c r="H72" s="38"/>
      <c r="I72" s="57"/>
      <c r="J72" s="57"/>
      <c r="K72" s="59"/>
      <c r="O72" s="39"/>
    </row>
    <row r="73" spans="1:15" ht="13.35" customHeight="1">
      <c r="A73" s="19"/>
      <c r="B73" s="31" t="s">
        <v>320</v>
      </c>
      <c r="C73" s="482">
        <v>3.2306399999999993</v>
      </c>
      <c r="D73" s="482">
        <v>4.6648130000000005</v>
      </c>
      <c r="E73" s="482">
        <v>5.4999999999999997E-3</v>
      </c>
      <c r="F73" s="482">
        <v>0</v>
      </c>
      <c r="G73" s="66"/>
      <c r="H73" s="38"/>
      <c r="I73" s="57"/>
      <c r="J73" s="57"/>
      <c r="K73" s="59"/>
      <c r="O73" s="39"/>
    </row>
    <row r="74" spans="1:15" ht="13.35" customHeight="1">
      <c r="A74" s="19"/>
      <c r="B74" s="31" t="s">
        <v>187</v>
      </c>
      <c r="C74" s="482">
        <v>46.819969999999998</v>
      </c>
      <c r="D74" s="482">
        <v>43.213132000000002</v>
      </c>
      <c r="E74" s="482">
        <v>0</v>
      </c>
      <c r="F74" s="482">
        <v>0</v>
      </c>
      <c r="G74" s="66"/>
      <c r="H74" s="38"/>
      <c r="I74" s="57"/>
      <c r="J74" s="57"/>
      <c r="K74" s="59"/>
      <c r="O74" s="39"/>
    </row>
    <row r="75" spans="1:15" ht="13.35" customHeight="1">
      <c r="A75" s="19"/>
      <c r="B75" s="31" t="s">
        <v>445</v>
      </c>
      <c r="C75" s="482">
        <v>50.002171000000004</v>
      </c>
      <c r="D75" s="482">
        <v>44.029784999999997</v>
      </c>
      <c r="E75" s="482">
        <v>6.5836499999999996</v>
      </c>
      <c r="F75" s="482">
        <v>0.5534</v>
      </c>
      <c r="G75" s="66"/>
      <c r="H75" s="38"/>
      <c r="I75" s="57"/>
      <c r="J75" s="57"/>
      <c r="K75" s="59"/>
      <c r="O75" s="39"/>
    </row>
    <row r="76" spans="1:15" ht="13.35" customHeight="1">
      <c r="A76" s="19"/>
      <c r="B76" s="31" t="s">
        <v>188</v>
      </c>
      <c r="C76" s="482">
        <v>11.249319999999999</v>
      </c>
      <c r="D76" s="482">
        <v>9.2793399999999995</v>
      </c>
      <c r="E76" s="482">
        <v>0</v>
      </c>
      <c r="F76" s="482">
        <v>0</v>
      </c>
      <c r="G76" s="66"/>
      <c r="H76" s="38"/>
      <c r="I76" s="57"/>
      <c r="J76" s="57"/>
      <c r="K76" s="59"/>
      <c r="O76" s="39"/>
    </row>
    <row r="77" spans="1:15" ht="13.35" customHeight="1">
      <c r="A77" s="19"/>
      <c r="B77" s="31" t="s">
        <v>189</v>
      </c>
      <c r="C77" s="482">
        <v>21.487370000000002</v>
      </c>
      <c r="D77" s="482">
        <v>20.714410000000001</v>
      </c>
      <c r="E77" s="482">
        <v>0</v>
      </c>
      <c r="F77" s="482">
        <v>0</v>
      </c>
      <c r="G77" s="66"/>
      <c r="H77" s="38"/>
      <c r="I77" s="57"/>
      <c r="J77" s="57"/>
      <c r="K77" s="59"/>
      <c r="O77" s="39"/>
    </row>
    <row r="78" spans="1:15" ht="13.35" customHeight="1">
      <c r="A78" s="19"/>
      <c r="B78" s="31" t="s">
        <v>478</v>
      </c>
      <c r="C78" s="482">
        <v>23.140808</v>
      </c>
      <c r="D78" s="482">
        <v>23.056531</v>
      </c>
      <c r="E78" s="482">
        <v>1.1761299999999999</v>
      </c>
      <c r="F78" s="482">
        <v>1.1792199999999999</v>
      </c>
      <c r="G78" s="66"/>
      <c r="H78" s="38"/>
      <c r="I78" s="57"/>
      <c r="J78" s="57"/>
      <c r="K78" s="59"/>
      <c r="O78" s="39"/>
    </row>
    <row r="79" spans="1:15" ht="13.35" customHeight="1">
      <c r="A79" s="19"/>
      <c r="B79" s="31" t="s">
        <v>190</v>
      </c>
      <c r="C79" s="482">
        <v>6.9879479999999994</v>
      </c>
      <c r="D79" s="482">
        <v>7.4586209999999982</v>
      </c>
      <c r="E79" s="482">
        <v>9.2950000000000005E-2</v>
      </c>
      <c r="F79" s="482">
        <v>0.22269</v>
      </c>
      <c r="G79" s="66"/>
      <c r="H79" s="38"/>
      <c r="I79" s="57"/>
      <c r="J79" s="57"/>
      <c r="K79" s="59"/>
      <c r="O79" s="39"/>
    </row>
    <row r="80" spans="1:15" ht="13.35" customHeight="1">
      <c r="A80" s="19"/>
      <c r="B80" s="31" t="s">
        <v>191</v>
      </c>
      <c r="C80" s="482">
        <v>1.2152700000000001</v>
      </c>
      <c r="D80" s="482">
        <v>0.73555899999999996</v>
      </c>
      <c r="E80" s="482">
        <v>4.1000000000000002E-2</v>
      </c>
      <c r="F80" s="482">
        <v>0.11700000000000001</v>
      </c>
      <c r="G80" s="66"/>
      <c r="H80" s="38"/>
      <c r="I80" s="57"/>
      <c r="J80" s="57"/>
      <c r="K80" s="59"/>
      <c r="O80" s="39"/>
    </row>
    <row r="81" spans="1:24" ht="13.35" customHeight="1">
      <c r="A81" s="19"/>
      <c r="B81" s="31" t="s">
        <v>434</v>
      </c>
      <c r="C81" s="482">
        <v>20.013576</v>
      </c>
      <c r="D81" s="482">
        <v>18.508879999999998</v>
      </c>
      <c r="E81" s="482">
        <v>1.0525599999999999</v>
      </c>
      <c r="F81" s="482">
        <v>1.58375</v>
      </c>
      <c r="G81" s="66"/>
      <c r="H81" s="38"/>
      <c r="I81" s="57"/>
      <c r="J81" s="57"/>
      <c r="K81" s="59"/>
      <c r="O81" s="39"/>
    </row>
    <row r="82" spans="1:24" ht="13.35" customHeight="1">
      <c r="A82" s="19"/>
      <c r="B82" s="31" t="s">
        <v>205</v>
      </c>
      <c r="C82" s="482">
        <v>28.131598999999998</v>
      </c>
      <c r="D82" s="482">
        <v>27.492473999999998</v>
      </c>
      <c r="E82" s="482">
        <v>2.10989</v>
      </c>
      <c r="F82" s="482">
        <v>2.1150219999999997</v>
      </c>
      <c r="G82" s="66"/>
      <c r="H82" s="38"/>
      <c r="I82" s="57"/>
      <c r="J82" s="57"/>
      <c r="K82" s="59"/>
      <c r="O82" s="39"/>
    </row>
    <row r="83" spans="1:24" ht="13.35" customHeight="1">
      <c r="A83" s="19"/>
      <c r="B83" s="31" t="s">
        <v>206</v>
      </c>
      <c r="C83" s="482">
        <v>2.7005950000000003</v>
      </c>
      <c r="D83" s="482">
        <v>2.9356840000000002</v>
      </c>
      <c r="E83" s="482">
        <v>0</v>
      </c>
      <c r="F83" s="482">
        <v>0</v>
      </c>
      <c r="G83" s="66"/>
      <c r="H83" s="38"/>
      <c r="I83" s="57"/>
      <c r="J83" s="57"/>
      <c r="K83" s="59"/>
      <c r="O83" s="39"/>
    </row>
    <row r="84" spans="1:24" ht="13.35" customHeight="1">
      <c r="A84" s="19"/>
      <c r="B84" s="31" t="s">
        <v>207</v>
      </c>
      <c r="C84" s="482">
        <v>1.0848500000000001</v>
      </c>
      <c r="D84" s="482">
        <v>1.600104</v>
      </c>
      <c r="E84" s="482">
        <v>8.3119999999999986E-2</v>
      </c>
      <c r="F84" s="482">
        <v>9.8849999999999993E-2</v>
      </c>
      <c r="G84" s="66"/>
      <c r="H84" s="38"/>
      <c r="I84" s="57"/>
      <c r="J84" s="57"/>
      <c r="K84" s="59"/>
      <c r="O84" s="39"/>
    </row>
    <row r="85" spans="1:24" ht="5.0999999999999996" customHeight="1">
      <c r="A85" s="19"/>
      <c r="B85" s="92"/>
      <c r="C85" s="484"/>
      <c r="D85" s="484"/>
      <c r="E85" s="484"/>
      <c r="F85" s="484"/>
      <c r="G85" s="66"/>
      <c r="H85" s="54"/>
      <c r="I85" s="68"/>
      <c r="J85" s="68"/>
      <c r="K85" s="68"/>
      <c r="L85" s="68"/>
      <c r="O85" s="39"/>
      <c r="X85" s="272" t="s">
        <v>68</v>
      </c>
    </row>
    <row r="86" spans="1:24" ht="13.35" customHeight="1">
      <c r="A86" s="92" t="s">
        <v>209</v>
      </c>
      <c r="B86" s="69"/>
      <c r="C86" s="482"/>
      <c r="D86" s="482"/>
      <c r="E86" s="482"/>
      <c r="F86" s="482"/>
      <c r="G86" s="66"/>
      <c r="H86" s="36"/>
      <c r="I86" s="57"/>
      <c r="J86" s="57"/>
      <c r="K86" s="59"/>
      <c r="O86" s="39"/>
    </row>
    <row r="87" spans="1:24" ht="13.35" customHeight="1">
      <c r="A87" s="19"/>
      <c r="B87" s="70" t="s">
        <v>88</v>
      </c>
      <c r="C87" s="482">
        <v>2058.1098053887713</v>
      </c>
      <c r="D87" s="482">
        <v>2149.8239600884604</v>
      </c>
      <c r="E87" s="482">
        <v>180.37113884792032</v>
      </c>
      <c r="F87" s="482">
        <v>187.42831962782782</v>
      </c>
      <c r="G87" s="66"/>
      <c r="H87" s="71"/>
      <c r="I87" s="57"/>
      <c r="J87" s="57"/>
      <c r="K87" s="72"/>
      <c r="O87" s="39"/>
    </row>
    <row r="88" spans="1:24" ht="13.35" customHeight="1">
      <c r="A88" s="19"/>
      <c r="B88" s="70" t="s">
        <v>89</v>
      </c>
      <c r="C88" s="482">
        <v>84.179462199820847</v>
      </c>
      <c r="D88" s="482">
        <v>84.452367522262165</v>
      </c>
      <c r="E88" s="482">
        <v>6.6166765826464893</v>
      </c>
      <c r="F88" s="482">
        <v>6.5016023550010011</v>
      </c>
      <c r="G88" s="66"/>
      <c r="H88" s="71"/>
      <c r="I88" s="57"/>
      <c r="J88" s="57"/>
      <c r="K88" s="72"/>
    </row>
    <row r="89" spans="1:24" ht="13.35" customHeight="1">
      <c r="A89" s="19"/>
      <c r="B89" s="70" t="s">
        <v>90</v>
      </c>
      <c r="C89" s="482">
        <v>219.93463885614148</v>
      </c>
      <c r="D89" s="482">
        <v>231.0115509961332</v>
      </c>
      <c r="E89" s="482">
        <v>21.077741355914267</v>
      </c>
      <c r="F89" s="482">
        <v>21.896807212461855</v>
      </c>
      <c r="G89" s="66"/>
      <c r="H89" s="71"/>
      <c r="I89" s="57"/>
      <c r="J89" s="57"/>
      <c r="K89" s="72"/>
    </row>
    <row r="90" spans="1:24" ht="13.35" customHeight="1">
      <c r="A90" s="19"/>
      <c r="B90" s="70" t="s">
        <v>10</v>
      </c>
      <c r="C90" s="482">
        <v>371.96685365707867</v>
      </c>
      <c r="D90" s="482">
        <v>378.27369847937075</v>
      </c>
      <c r="E90" s="482">
        <v>31.301216971286188</v>
      </c>
      <c r="F90" s="482">
        <v>31.549093352713072</v>
      </c>
      <c r="G90" s="66"/>
      <c r="H90" s="71"/>
      <c r="I90" s="57"/>
      <c r="J90" s="57"/>
      <c r="K90" s="72"/>
    </row>
    <row r="91" spans="1:24" ht="13.35" customHeight="1">
      <c r="A91" s="19"/>
      <c r="B91" s="70" t="s">
        <v>11</v>
      </c>
      <c r="C91" s="482">
        <v>12.415769331766608</v>
      </c>
      <c r="D91" s="482">
        <v>12.755629543291031</v>
      </c>
      <c r="E91" s="482">
        <v>1.1232509528407324</v>
      </c>
      <c r="F91" s="482">
        <v>1.1132212927722431</v>
      </c>
      <c r="G91" s="66"/>
      <c r="H91" s="71"/>
      <c r="I91" s="57"/>
      <c r="J91" s="57"/>
      <c r="K91" s="72"/>
    </row>
    <row r="92" spans="1:24" ht="13.35" customHeight="1">
      <c r="A92" s="19"/>
      <c r="B92" s="70" t="s">
        <v>12</v>
      </c>
      <c r="C92" s="482">
        <v>28.198616282995879</v>
      </c>
      <c r="D92" s="482">
        <v>27.954751219975439</v>
      </c>
      <c r="E92" s="482">
        <v>1.8178003879094589</v>
      </c>
      <c r="F92" s="482">
        <v>1.7964323453211164</v>
      </c>
      <c r="G92" s="66"/>
      <c r="H92" s="71"/>
      <c r="I92" s="57"/>
      <c r="J92" s="57"/>
      <c r="K92" s="72"/>
    </row>
    <row r="93" spans="1:24" ht="13.35" customHeight="1">
      <c r="A93" s="19"/>
      <c r="B93" s="70" t="s">
        <v>13</v>
      </c>
      <c r="C93" s="482">
        <v>8.8952166616427935</v>
      </c>
      <c r="D93" s="482">
        <v>8.5502045694274393</v>
      </c>
      <c r="E93" s="482">
        <v>0.72108290013168097</v>
      </c>
      <c r="F93" s="482">
        <v>0.70826927824431707</v>
      </c>
      <c r="G93" s="66"/>
      <c r="H93" s="71"/>
      <c r="I93" s="57"/>
      <c r="J93" s="57"/>
      <c r="K93" s="72"/>
    </row>
    <row r="94" spans="1:24" ht="13.35" customHeight="1">
      <c r="A94" s="19"/>
      <c r="B94" s="31" t="s">
        <v>479</v>
      </c>
      <c r="C94" s="482">
        <v>452.23436143020251</v>
      </c>
      <c r="D94" s="482">
        <v>488.48443735854397</v>
      </c>
      <c r="E94" s="482">
        <v>40.647698365665114</v>
      </c>
      <c r="F94" s="482">
        <v>42.057208392926867</v>
      </c>
      <c r="G94" s="66"/>
      <c r="H94" s="71"/>
      <c r="I94" s="57"/>
      <c r="J94" s="57"/>
      <c r="K94" s="72"/>
    </row>
    <row r="95" spans="1:24" ht="13.35" customHeight="1">
      <c r="A95" s="19"/>
      <c r="B95" s="31" t="s">
        <v>480</v>
      </c>
      <c r="C95" s="482">
        <v>2067.1425065071944</v>
      </c>
      <c r="D95" s="482">
        <v>2129.3658522205014</v>
      </c>
      <c r="E95" s="482">
        <v>165.30504230096037</v>
      </c>
      <c r="F95" s="482">
        <v>169.8006571146156</v>
      </c>
      <c r="G95" s="66"/>
      <c r="H95" s="71"/>
      <c r="I95" s="57"/>
      <c r="J95" s="57"/>
      <c r="K95" s="72"/>
    </row>
    <row r="96" spans="1:24" ht="13.35" customHeight="1">
      <c r="A96" s="19"/>
      <c r="B96" s="31" t="s">
        <v>481</v>
      </c>
      <c r="C96" s="482">
        <v>4.5748439407972912</v>
      </c>
      <c r="D96" s="482">
        <v>4.4530293069745213</v>
      </c>
      <c r="E96" s="482">
        <v>0.79885721023050227</v>
      </c>
      <c r="F96" s="482">
        <v>0.78799683903652051</v>
      </c>
      <c r="G96" s="66"/>
      <c r="H96" s="71"/>
      <c r="I96" s="57"/>
      <c r="J96" s="57"/>
      <c r="K96" s="72"/>
    </row>
    <row r="97" spans="1:11" ht="13.35" customHeight="1">
      <c r="A97" s="63"/>
      <c r="B97" s="29" t="s">
        <v>482</v>
      </c>
      <c r="C97" s="485">
        <v>0.65997904175104705</v>
      </c>
      <c r="D97" s="485">
        <v>0.65710990950854964</v>
      </c>
      <c r="E97" s="485">
        <v>5.8508399299687E-2</v>
      </c>
      <c r="F97" s="485">
        <v>5.974043780454965E-2</v>
      </c>
      <c r="G97" s="66"/>
      <c r="H97" s="71"/>
      <c r="I97" s="57"/>
      <c r="J97" s="57"/>
      <c r="K97" s="72"/>
    </row>
    <row r="98" spans="1:11" ht="13.35" customHeight="1">
      <c r="A98" s="13"/>
      <c r="B98" s="30" t="s">
        <v>199</v>
      </c>
      <c r="C98" s="483">
        <v>8.0563635489869441</v>
      </c>
      <c r="D98" s="483">
        <v>7.7501701075763343</v>
      </c>
      <c r="E98" s="483">
        <v>0.46414169664734767</v>
      </c>
      <c r="F98" s="483">
        <v>0.40488696279999997</v>
      </c>
      <c r="G98" s="66"/>
      <c r="H98" s="71"/>
      <c r="I98" s="57"/>
      <c r="J98" s="57"/>
      <c r="K98" s="72"/>
    </row>
    <row r="99" spans="1:11" ht="12.75">
      <c r="A99" s="169" t="s">
        <v>14</v>
      </c>
      <c r="B99" s="160"/>
      <c r="C99" s="171"/>
      <c r="D99" s="73"/>
      <c r="E99" s="171"/>
      <c r="F99" s="73"/>
      <c r="G99" s="57"/>
      <c r="H99" s="57"/>
      <c r="I99" s="57"/>
      <c r="J99" s="57"/>
      <c r="K99" s="59"/>
    </row>
    <row r="100" spans="1:11" ht="12.75">
      <c r="A100" s="274" t="s">
        <v>378</v>
      </c>
      <c r="B100" s="160"/>
      <c r="C100" s="172"/>
      <c r="D100" s="172"/>
      <c r="E100" s="171"/>
      <c r="F100" s="73"/>
    </row>
    <row r="101" spans="1:11" ht="17.100000000000001" customHeight="1">
      <c r="A101" s="37"/>
      <c r="B101" s="37"/>
      <c r="C101" s="172"/>
      <c r="D101" s="172"/>
      <c r="E101" s="73"/>
      <c r="F101" s="73"/>
    </row>
    <row r="102" spans="1:11" ht="17.100000000000001" customHeight="1">
      <c r="A102" s="271"/>
      <c r="B102" s="271"/>
      <c r="C102" s="172"/>
      <c r="D102" s="172"/>
      <c r="E102" s="271"/>
      <c r="F102" s="271"/>
      <c r="G102" s="271"/>
      <c r="H102" s="271"/>
    </row>
    <row r="103" spans="1:11" ht="17.100000000000001" customHeight="1">
      <c r="A103" s="271"/>
      <c r="B103" s="271"/>
      <c r="C103" s="172"/>
      <c r="D103" s="172"/>
      <c r="E103" s="271"/>
      <c r="F103" s="271"/>
      <c r="G103" s="271"/>
      <c r="H103" s="271"/>
    </row>
    <row r="104" spans="1:11" ht="17.100000000000001" customHeight="1">
      <c r="A104" s="271"/>
      <c r="B104" s="271"/>
      <c r="C104" s="172"/>
      <c r="D104" s="172"/>
      <c r="E104" s="271"/>
      <c r="F104" s="271"/>
      <c r="G104" s="271"/>
      <c r="H104" s="271"/>
    </row>
    <row r="105" spans="1:11" ht="17.100000000000001" customHeight="1">
      <c r="A105" s="271"/>
      <c r="B105" s="271"/>
      <c r="C105" s="172"/>
      <c r="D105" s="172"/>
      <c r="E105" s="271"/>
      <c r="F105" s="271"/>
      <c r="G105" s="271"/>
      <c r="H105" s="271"/>
    </row>
    <row r="106" spans="1:11" ht="17.100000000000001" customHeight="1">
      <c r="A106" s="271"/>
      <c r="B106" s="271"/>
      <c r="C106" s="172"/>
      <c r="D106" s="172"/>
      <c r="E106" s="271"/>
      <c r="F106" s="271"/>
      <c r="G106" s="271"/>
      <c r="H106" s="271"/>
    </row>
    <row r="107" spans="1:11" ht="17.100000000000001" customHeight="1">
      <c r="A107" s="271"/>
      <c r="B107" s="271"/>
      <c r="C107" s="172"/>
      <c r="D107" s="172"/>
      <c r="E107" s="271"/>
      <c r="F107" s="271"/>
      <c r="G107" s="271"/>
      <c r="H107" s="271"/>
    </row>
    <row r="108" spans="1:11" ht="17.100000000000001" customHeight="1">
      <c r="A108" s="271"/>
      <c r="B108" s="271"/>
      <c r="C108" s="172"/>
      <c r="D108" s="172"/>
      <c r="E108" s="271"/>
      <c r="F108" s="271"/>
      <c r="G108" s="271"/>
      <c r="H108" s="271"/>
    </row>
    <row r="109" spans="1:11" ht="17.100000000000001" customHeight="1">
      <c r="A109" s="271"/>
      <c r="B109" s="271"/>
      <c r="C109" s="172"/>
      <c r="D109" s="172"/>
      <c r="E109" s="271"/>
      <c r="F109" s="271"/>
      <c r="G109" s="271"/>
      <c r="H109" s="271"/>
    </row>
    <row r="110" spans="1:11" ht="17.100000000000001" customHeight="1">
      <c r="A110" s="271"/>
      <c r="B110" s="271"/>
      <c r="C110" s="172"/>
      <c r="D110" s="172"/>
      <c r="E110" s="271"/>
      <c r="F110" s="271"/>
      <c r="G110" s="271"/>
      <c r="H110" s="271"/>
    </row>
    <row r="111" spans="1:11" ht="17.100000000000001" customHeight="1">
      <c r="A111" s="271"/>
      <c r="B111" s="271"/>
      <c r="C111" s="172"/>
      <c r="D111" s="172"/>
      <c r="E111" s="271"/>
      <c r="F111" s="271"/>
      <c r="G111" s="271"/>
      <c r="H111" s="271"/>
    </row>
    <row r="112" spans="1:11" ht="17.100000000000001" customHeight="1">
      <c r="A112" s="271"/>
      <c r="B112" s="271"/>
      <c r="C112" s="172"/>
      <c r="D112" s="172"/>
      <c r="E112" s="271"/>
      <c r="F112" s="271"/>
      <c r="G112" s="271"/>
      <c r="H112" s="271"/>
    </row>
    <row r="113" spans="1:8" ht="17.100000000000001" customHeight="1">
      <c r="A113" s="271"/>
      <c r="B113" s="271"/>
      <c r="C113" s="172"/>
      <c r="D113" s="172"/>
      <c r="E113" s="271"/>
      <c r="F113" s="271"/>
      <c r="G113" s="271"/>
      <c r="H113" s="271"/>
    </row>
    <row r="114" spans="1:8" ht="17.100000000000001" customHeight="1">
      <c r="A114" s="75"/>
      <c r="B114" s="76"/>
      <c r="C114" s="172"/>
      <c r="D114" s="172"/>
    </row>
    <row r="115" spans="1:8" ht="17.100000000000001" customHeight="1">
      <c r="A115" s="75"/>
      <c r="B115" s="76"/>
      <c r="C115" s="172"/>
      <c r="D115" s="172"/>
    </row>
    <row r="116" spans="1:8" ht="17.100000000000001" customHeight="1">
      <c r="A116" s="75"/>
      <c r="B116" s="77"/>
      <c r="C116" s="172"/>
      <c r="D116" s="172"/>
    </row>
    <row r="117" spans="1:8" ht="17.100000000000001" customHeight="1">
      <c r="A117" s="75"/>
      <c r="B117" s="76"/>
      <c r="C117" s="172"/>
      <c r="D117" s="172"/>
    </row>
    <row r="118" spans="1:8" ht="17.100000000000001" customHeight="1">
      <c r="A118" s="75"/>
      <c r="B118" s="77"/>
      <c r="C118" s="172"/>
      <c r="D118" s="172"/>
    </row>
    <row r="119" spans="1:8" ht="17.100000000000001" customHeight="1">
      <c r="A119" s="75"/>
      <c r="B119" s="76"/>
      <c r="C119" s="172"/>
      <c r="D119" s="172"/>
    </row>
    <row r="120" spans="1:8" ht="17.100000000000001" customHeight="1">
      <c r="A120" s="75"/>
      <c r="B120" s="77"/>
      <c r="C120" s="172"/>
      <c r="D120" s="172"/>
    </row>
    <row r="121" spans="1:8" ht="17.100000000000001" customHeight="1">
      <c r="A121" s="75"/>
      <c r="B121" s="77"/>
      <c r="C121" s="172"/>
      <c r="D121" s="172"/>
    </row>
    <row r="122" spans="1:8" ht="17.100000000000001" customHeight="1">
      <c r="A122" s="75"/>
      <c r="B122" s="77"/>
      <c r="C122" s="172"/>
      <c r="D122" s="172"/>
    </row>
    <row r="123" spans="1:8" ht="17.100000000000001" customHeight="1">
      <c r="A123" s="75"/>
      <c r="B123" s="76"/>
      <c r="C123" s="172"/>
      <c r="D123" s="172"/>
    </row>
    <row r="124" spans="1:8" ht="17.100000000000001" customHeight="1">
      <c r="A124" s="75"/>
      <c r="B124" s="77"/>
    </row>
    <row r="125" spans="1:8" ht="17.100000000000001" customHeight="1">
      <c r="A125" s="75"/>
      <c r="B125" s="76"/>
    </row>
    <row r="126" spans="1:8" ht="17.100000000000001" customHeight="1">
      <c r="A126" s="75"/>
      <c r="B126" s="77"/>
    </row>
    <row r="127" spans="1:8" ht="17.100000000000001" customHeight="1">
      <c r="A127" s="75"/>
      <c r="B127" s="76"/>
    </row>
    <row r="128" spans="1:8" ht="17.100000000000001" customHeight="1">
      <c r="A128" s="75"/>
      <c r="B128" s="76"/>
    </row>
    <row r="129" spans="2:2" ht="17.100000000000001" customHeight="1">
      <c r="B129" s="76"/>
    </row>
  </sheetData>
  <mergeCells count="2">
    <mergeCell ref="A5:B6"/>
    <mergeCell ref="A53:B54"/>
  </mergeCells>
  <phoneticPr fontId="10" type="noConversion"/>
  <pageMargins left="1.688976377952756" right="0.70866141732283472" top="0.16141732283464566" bottom="0.16141732283464566" header="0.31102362204724415" footer="0.31102362204724415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7"/>
  <dimension ref="A1:X98"/>
  <sheetViews>
    <sheetView showGridLines="0" topLeftCell="A47" zoomScale="150" workbookViewId="0">
      <selection activeCell="X85" sqref="X85"/>
    </sheetView>
  </sheetViews>
  <sheetFormatPr baseColWidth="10" defaultColWidth="6.42578125" defaultRowHeight="17.100000000000001" customHeight="1"/>
  <cols>
    <col min="1" max="1" width="0.42578125" style="272" customWidth="1"/>
    <col min="2" max="2" width="10.42578125" style="272" customWidth="1"/>
    <col min="3" max="23" width="5.140625" style="272" customWidth="1"/>
    <col min="24" max="204" width="6.42578125" style="272"/>
    <col min="205" max="205" width="1.42578125" style="272" customWidth="1"/>
    <col min="206" max="206" width="1.28515625" style="272" customWidth="1"/>
    <col min="207" max="207" width="14" style="272" customWidth="1"/>
    <col min="208" max="217" width="0" style="272" hidden="1" customWidth="1"/>
    <col min="218" max="218" width="8.28515625" style="272" customWidth="1"/>
    <col min="219" max="219" width="8" style="272" customWidth="1"/>
    <col min="220" max="226" width="8.28515625" style="272" customWidth="1"/>
    <col min="227" max="227" width="8.7109375" style="272" customWidth="1"/>
    <col min="228" max="236" width="8.42578125" style="272" customWidth="1"/>
    <col min="237" max="237" width="5.140625" style="272" customWidth="1"/>
    <col min="238" max="238" width="6.42578125" style="272" customWidth="1"/>
    <col min="239" max="239" width="14" style="272" customWidth="1"/>
    <col min="240" max="249" width="0" style="272" hidden="1" customWidth="1"/>
    <col min="250" max="250" width="7.140625" style="272" bestFit="1" customWidth="1"/>
    <col min="251" max="251" width="7.140625" style="272" customWidth="1"/>
    <col min="252" max="252" width="6.7109375" style="272" bestFit="1" customWidth="1"/>
    <col min="253" max="254" width="6.42578125" style="272"/>
    <col min="255" max="255" width="6.140625" style="272" customWidth="1"/>
    <col min="256" max="16384" width="6.42578125" style="272"/>
  </cols>
  <sheetData>
    <row r="1" spans="1:23" s="271" customFormat="1" ht="16.350000000000001" customHeight="1">
      <c r="A1" s="356" t="s">
        <v>249</v>
      </c>
      <c r="B1" s="48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</row>
    <row r="2" spans="1:23" s="271" customFormat="1" ht="13.5">
      <c r="A2" s="331" t="s">
        <v>329</v>
      </c>
      <c r="B2" s="48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</row>
    <row r="3" spans="1:23" s="271" customFormat="1" ht="1.35" customHeight="1">
      <c r="A3" s="40"/>
      <c r="B3" s="40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43"/>
      <c r="R3" s="43"/>
      <c r="S3" s="43"/>
      <c r="T3" s="43"/>
      <c r="U3" s="43"/>
      <c r="V3" s="43"/>
    </row>
    <row r="4" spans="1:23" s="271" customFormat="1" ht="15" customHeight="1">
      <c r="A4" s="144" t="s">
        <v>229</v>
      </c>
      <c r="B4" s="175"/>
      <c r="C4" s="176" t="s">
        <v>200</v>
      </c>
      <c r="D4" s="176" t="s">
        <v>201</v>
      </c>
      <c r="E4" s="176" t="s">
        <v>251</v>
      </c>
      <c r="F4" s="176" t="s">
        <v>386</v>
      </c>
      <c r="G4" s="176" t="s">
        <v>387</v>
      </c>
      <c r="H4" s="176" t="s">
        <v>388</v>
      </c>
      <c r="I4" s="176" t="s">
        <v>389</v>
      </c>
      <c r="J4" s="176" t="s">
        <v>390</v>
      </c>
      <c r="K4" s="176" t="s">
        <v>391</v>
      </c>
      <c r="L4" s="176" t="s">
        <v>225</v>
      </c>
      <c r="M4" s="176" t="s">
        <v>226</v>
      </c>
      <c r="N4" s="176" t="s">
        <v>227</v>
      </c>
      <c r="O4" s="176" t="s">
        <v>274</v>
      </c>
      <c r="P4" s="176" t="s">
        <v>275</v>
      </c>
      <c r="Q4" s="176" t="s">
        <v>276</v>
      </c>
      <c r="R4" s="176" t="s">
        <v>277</v>
      </c>
      <c r="S4" s="176" t="s">
        <v>278</v>
      </c>
      <c r="T4" s="304">
        <v>2017</v>
      </c>
      <c r="U4" s="304" t="s">
        <v>84</v>
      </c>
      <c r="V4" s="304" t="s">
        <v>85</v>
      </c>
      <c r="W4" s="177"/>
    </row>
    <row r="5" spans="1:23" s="271" customFormat="1" ht="15" customHeight="1">
      <c r="A5" s="178" t="s">
        <v>444</v>
      </c>
      <c r="B5" s="196"/>
      <c r="C5" s="357">
        <v>17474.287897518661</v>
      </c>
      <c r="D5" s="357">
        <v>17601.77404348351</v>
      </c>
      <c r="E5" s="357">
        <v>18603.600524555008</v>
      </c>
      <c r="F5" s="357">
        <v>18969.264255309619</v>
      </c>
      <c r="G5" s="357">
        <v>19095.963763321895</v>
      </c>
      <c r="H5" s="357">
        <v>20511.887789673259</v>
      </c>
      <c r="I5" s="357">
        <v>22151.697865895807</v>
      </c>
      <c r="J5" s="357">
        <v>22808.223331927147</v>
      </c>
      <c r="K5" s="357">
        <v>24741.78238424864</v>
      </c>
      <c r="L5" s="357">
        <v>25379.11157683951</v>
      </c>
      <c r="M5" s="357">
        <v>26407.392606879708</v>
      </c>
      <c r="N5" s="357">
        <v>27861.22095757896</v>
      </c>
      <c r="O5" s="357">
        <v>29538.056542327111</v>
      </c>
      <c r="P5" s="357">
        <v>30131.892032847587</v>
      </c>
      <c r="Q5" s="357">
        <v>30698.162104704646</v>
      </c>
      <c r="R5" s="357">
        <v>31894.031306081117</v>
      </c>
      <c r="S5" s="357">
        <v>32560.073905218989</v>
      </c>
      <c r="T5" s="357">
        <v>33502.411998585223</v>
      </c>
      <c r="U5" s="357">
        <v>36117.578159638229</v>
      </c>
      <c r="V5" s="357">
        <v>37262.510811246211</v>
      </c>
      <c r="W5" s="177"/>
    </row>
    <row r="6" spans="1:23" s="271" customFormat="1" ht="13.35" customHeight="1">
      <c r="A6" s="179" t="s">
        <v>262</v>
      </c>
      <c r="B6" s="180"/>
      <c r="C6" s="358">
        <v>11577.106029493003</v>
      </c>
      <c r="D6" s="358">
        <v>11537.320638212526</v>
      </c>
      <c r="E6" s="358">
        <v>12282.800992598291</v>
      </c>
      <c r="F6" s="358">
        <v>12444.853118379431</v>
      </c>
      <c r="G6" s="358">
        <v>12391.672669411186</v>
      </c>
      <c r="H6" s="358">
        <v>13289.256629383912</v>
      </c>
      <c r="I6" s="358">
        <v>14340.69352031048</v>
      </c>
      <c r="J6" s="358">
        <v>14533.212684133656</v>
      </c>
      <c r="K6" s="358">
        <v>15862.117434686983</v>
      </c>
      <c r="L6" s="358">
        <v>15991.20118988715</v>
      </c>
      <c r="M6" s="358">
        <v>16616.026694956247</v>
      </c>
      <c r="N6" s="358">
        <v>17377.314953310528</v>
      </c>
      <c r="O6" s="358">
        <v>18471.342945470071</v>
      </c>
      <c r="P6" s="358">
        <v>18672.774096479287</v>
      </c>
      <c r="Q6" s="358">
        <v>18833.452130843223</v>
      </c>
      <c r="R6" s="358">
        <v>19407.908198400612</v>
      </c>
      <c r="S6" s="358">
        <v>19568.79046304055</v>
      </c>
      <c r="T6" s="358">
        <v>20149.029044502677</v>
      </c>
      <c r="U6" s="358">
        <v>22019.322603659271</v>
      </c>
      <c r="V6" s="358">
        <v>22592.824105788426</v>
      </c>
      <c r="W6" s="177"/>
    </row>
    <row r="7" spans="1:23" s="271" customFormat="1" ht="9.9499999999999993" customHeight="1">
      <c r="A7" s="182"/>
      <c r="B7" s="183" t="s">
        <v>397</v>
      </c>
      <c r="C7" s="359">
        <v>1547.9743510805408</v>
      </c>
      <c r="D7" s="359">
        <v>1656.4747672335498</v>
      </c>
      <c r="E7" s="359">
        <v>1727.50786436875</v>
      </c>
      <c r="F7" s="359">
        <v>1741.6023339882411</v>
      </c>
      <c r="G7" s="359">
        <v>1506.7849515667017</v>
      </c>
      <c r="H7" s="359">
        <v>2015.9851564847145</v>
      </c>
      <c r="I7" s="359">
        <v>1930.3428635102252</v>
      </c>
      <c r="J7" s="359">
        <v>1988.8501814299993</v>
      </c>
      <c r="K7" s="359">
        <v>2281.9313651182729</v>
      </c>
      <c r="L7" s="359">
        <v>2442.9716287041319</v>
      </c>
      <c r="M7" s="359">
        <v>2312.4718718885488</v>
      </c>
      <c r="N7" s="359">
        <v>2143.4773731932464</v>
      </c>
      <c r="O7" s="359">
        <v>2485.5837311399318</v>
      </c>
      <c r="P7" s="359">
        <v>2488.3951397199703</v>
      </c>
      <c r="Q7" s="359">
        <v>2365.7547048337728</v>
      </c>
      <c r="R7" s="359">
        <v>2573.8544178747443</v>
      </c>
      <c r="S7" s="359">
        <v>2585.5667978914353</v>
      </c>
      <c r="T7" s="359">
        <v>2544.5630757418817</v>
      </c>
      <c r="U7" s="359">
        <v>2905.8488660467656</v>
      </c>
      <c r="V7" s="359">
        <v>2603.9895791864174</v>
      </c>
      <c r="W7" s="181"/>
    </row>
    <row r="8" spans="1:23" s="271" customFormat="1" ht="9.9499999999999993" customHeight="1">
      <c r="A8" s="185"/>
      <c r="B8" s="183" t="s">
        <v>398</v>
      </c>
      <c r="C8" s="359">
        <v>1479.188070646373</v>
      </c>
      <c r="D8" s="359">
        <v>1215.2664329055171</v>
      </c>
      <c r="E8" s="359">
        <v>1489.7156663560766</v>
      </c>
      <c r="F8" s="359">
        <v>1420.0264516279644</v>
      </c>
      <c r="G8" s="359">
        <v>1358.7267537172397</v>
      </c>
      <c r="H8" s="359">
        <v>1485.8930802603263</v>
      </c>
      <c r="I8" s="359">
        <v>1467.2461517178886</v>
      </c>
      <c r="J8" s="359">
        <v>1528.0443523800013</v>
      </c>
      <c r="K8" s="359">
        <v>1624.7358884576456</v>
      </c>
      <c r="L8" s="359">
        <v>1700.7074478009006</v>
      </c>
      <c r="M8" s="359">
        <v>1718.8534554390469</v>
      </c>
      <c r="N8" s="359">
        <v>1839.4485922023714</v>
      </c>
      <c r="O8" s="359">
        <v>2021.140460629126</v>
      </c>
      <c r="P8" s="359">
        <v>2064.0125019108532</v>
      </c>
      <c r="Q8" s="359">
        <v>2125.1510894514186</v>
      </c>
      <c r="R8" s="359">
        <v>2130.0937519541994</v>
      </c>
      <c r="S8" s="359">
        <v>2038.993858797344</v>
      </c>
      <c r="T8" s="359">
        <v>2157.3590444024389</v>
      </c>
      <c r="U8" s="359">
        <v>2317.8145284211187</v>
      </c>
      <c r="V8" s="359">
        <v>2407.9372564302917</v>
      </c>
      <c r="W8" s="184"/>
    </row>
    <row r="9" spans="1:23" s="271" customFormat="1" ht="9.9499999999999993" customHeight="1">
      <c r="A9" s="177"/>
      <c r="B9" s="183" t="s">
        <v>264</v>
      </c>
      <c r="C9" s="359">
        <v>918.06271499160312</v>
      </c>
      <c r="D9" s="359">
        <v>940.00386331353138</v>
      </c>
      <c r="E9" s="359">
        <v>1019.2295192029061</v>
      </c>
      <c r="F9" s="359">
        <v>973.13220440588282</v>
      </c>
      <c r="G9" s="359">
        <v>1108.6963461259945</v>
      </c>
      <c r="H9" s="359">
        <v>903.49950439087229</v>
      </c>
      <c r="I9" s="359">
        <v>1308.8457474412214</v>
      </c>
      <c r="J9" s="359">
        <v>1082.5640764399998</v>
      </c>
      <c r="K9" s="359">
        <v>1311.48071938203</v>
      </c>
      <c r="L9" s="359">
        <v>1223.3780668400682</v>
      </c>
      <c r="M9" s="359">
        <v>1337.4403475739034</v>
      </c>
      <c r="N9" s="359">
        <v>1588.1991957174102</v>
      </c>
      <c r="O9" s="359">
        <v>1533.6713618055237</v>
      </c>
      <c r="P9" s="359">
        <v>1230.2947633974352</v>
      </c>
      <c r="Q9" s="359">
        <v>1063.66616078639</v>
      </c>
      <c r="R9" s="359">
        <v>1236.1036083735896</v>
      </c>
      <c r="S9" s="359">
        <v>1345.9636590967195</v>
      </c>
      <c r="T9" s="359">
        <v>1615.9050705870563</v>
      </c>
      <c r="U9" s="359">
        <v>1770.590814620308</v>
      </c>
      <c r="V9" s="359">
        <v>1740.2657278130628</v>
      </c>
      <c r="W9" s="184"/>
    </row>
    <row r="10" spans="1:23" s="271" customFormat="1" ht="9.9499999999999993" customHeight="1">
      <c r="A10" s="177"/>
      <c r="B10" s="183" t="s">
        <v>399</v>
      </c>
      <c r="C10" s="360">
        <v>513.58341133306101</v>
      </c>
      <c r="D10" s="360">
        <v>553.78026358065767</v>
      </c>
      <c r="E10" s="360">
        <v>558.5715133229055</v>
      </c>
      <c r="F10" s="360">
        <v>578.39079550799397</v>
      </c>
      <c r="G10" s="360">
        <v>587.33491744869059</v>
      </c>
      <c r="H10" s="360">
        <v>628.49799810567413</v>
      </c>
      <c r="I10" s="360">
        <v>793.00718493578017</v>
      </c>
      <c r="J10" s="360">
        <v>866.67707609999957</v>
      </c>
      <c r="K10" s="360">
        <v>1001.7267919300991</v>
      </c>
      <c r="L10" s="360">
        <v>957.51201250126917</v>
      </c>
      <c r="M10" s="360">
        <v>1022.5793540545137</v>
      </c>
      <c r="N10" s="360">
        <v>1196.7573806535499</v>
      </c>
      <c r="O10" s="360">
        <v>1146.9463334985244</v>
      </c>
      <c r="P10" s="360">
        <v>1168.8067856676478</v>
      </c>
      <c r="Q10" s="360">
        <v>1152.2032680134228</v>
      </c>
      <c r="R10" s="360">
        <v>1131.0996683775545</v>
      </c>
      <c r="S10" s="360">
        <v>1154.0483107471005</v>
      </c>
      <c r="T10" s="360">
        <v>1168.665794420572</v>
      </c>
      <c r="U10" s="360">
        <v>1100.1275081508677</v>
      </c>
      <c r="V10" s="360">
        <v>1118.8208523815997</v>
      </c>
      <c r="W10" s="184"/>
    </row>
    <row r="11" spans="1:23" s="271" customFormat="1" ht="9.9499999999999993" customHeight="1">
      <c r="A11" s="177"/>
      <c r="B11" s="183" t="s">
        <v>224</v>
      </c>
      <c r="C11" s="360">
        <v>630.6015412521615</v>
      </c>
      <c r="D11" s="360">
        <v>694.29023951323643</v>
      </c>
      <c r="E11" s="360">
        <v>681.6580598147234</v>
      </c>
      <c r="F11" s="360">
        <v>720.54341007694552</v>
      </c>
      <c r="G11" s="360">
        <v>645.56884039075032</v>
      </c>
      <c r="H11" s="360">
        <v>656.15217451274611</v>
      </c>
      <c r="I11" s="360">
        <v>669.63417144734899</v>
      </c>
      <c r="J11" s="360">
        <v>737.34039827000004</v>
      </c>
      <c r="K11" s="360">
        <v>808.64953113073443</v>
      </c>
      <c r="L11" s="360">
        <v>836.50799695330807</v>
      </c>
      <c r="M11" s="360">
        <v>842.86298189785896</v>
      </c>
      <c r="N11" s="360">
        <v>827.43347038650836</v>
      </c>
      <c r="O11" s="360">
        <v>914.66571728456938</v>
      </c>
      <c r="P11" s="360">
        <v>896.07758153758368</v>
      </c>
      <c r="Q11" s="360">
        <v>806.05286582165877</v>
      </c>
      <c r="R11" s="360">
        <v>944.60192692951159</v>
      </c>
      <c r="S11" s="360">
        <v>809.21849563295768</v>
      </c>
      <c r="T11" s="360">
        <v>820.5238466163928</v>
      </c>
      <c r="U11" s="360">
        <v>831.31202208984689</v>
      </c>
      <c r="V11" s="360">
        <v>835.11758618769454</v>
      </c>
      <c r="W11" s="184"/>
    </row>
    <row r="12" spans="1:23" s="271" customFormat="1" ht="9.9499999999999993" customHeight="1">
      <c r="A12" s="177"/>
      <c r="B12" s="183" t="s">
        <v>400</v>
      </c>
      <c r="C12" s="360">
        <v>624.17402689086839</v>
      </c>
      <c r="D12" s="360">
        <v>629.57259599580834</v>
      </c>
      <c r="E12" s="360">
        <v>644.70916052112057</v>
      </c>
      <c r="F12" s="360">
        <v>660.03996704199585</v>
      </c>
      <c r="G12" s="360">
        <v>658.49820820143407</v>
      </c>
      <c r="H12" s="360">
        <v>654.64455433483977</v>
      </c>
      <c r="I12" s="360">
        <v>658.5787187079427</v>
      </c>
      <c r="J12" s="360">
        <v>669.36913960259403</v>
      </c>
      <c r="K12" s="360">
        <v>679.93956346043421</v>
      </c>
      <c r="L12" s="360">
        <v>713.87406142890256</v>
      </c>
      <c r="M12" s="360">
        <v>728.79811447743941</v>
      </c>
      <c r="N12" s="360">
        <v>747.16752325614425</v>
      </c>
      <c r="O12" s="360">
        <v>781.99070210700052</v>
      </c>
      <c r="P12" s="360">
        <v>815.90421561804362</v>
      </c>
      <c r="Q12" s="360">
        <v>771.33064339530506</v>
      </c>
      <c r="R12" s="360">
        <v>796.63344384517063</v>
      </c>
      <c r="S12" s="360">
        <v>775.02129090281937</v>
      </c>
      <c r="T12" s="360">
        <v>757.52721035433717</v>
      </c>
      <c r="U12" s="360">
        <v>761.63751477957305</v>
      </c>
      <c r="V12" s="360">
        <v>791.81035300513952</v>
      </c>
      <c r="W12" s="184"/>
    </row>
    <row r="13" spans="1:23" s="271" customFormat="1" ht="9.9499999999999993" customHeight="1">
      <c r="A13" s="177"/>
      <c r="B13" s="183" t="s">
        <v>401</v>
      </c>
      <c r="C13" s="360">
        <v>489.35738114618277</v>
      </c>
      <c r="D13" s="360">
        <v>529.06097077223467</v>
      </c>
      <c r="E13" s="360">
        <v>528.5479049500068</v>
      </c>
      <c r="F13" s="360">
        <v>549.06081232044903</v>
      </c>
      <c r="G13" s="360">
        <v>563.66995047895864</v>
      </c>
      <c r="H13" s="360">
        <v>574.85982091344499</v>
      </c>
      <c r="I13" s="360">
        <v>602.02794793437999</v>
      </c>
      <c r="J13" s="360">
        <v>621.39772545387359</v>
      </c>
      <c r="K13" s="360">
        <v>607.31250219246544</v>
      </c>
      <c r="L13" s="360">
        <v>632.26288476086722</v>
      </c>
      <c r="M13" s="360">
        <v>679.92051686887862</v>
      </c>
      <c r="N13" s="360">
        <v>666.63122799669759</v>
      </c>
      <c r="O13" s="360">
        <v>705.25906151245954</v>
      </c>
      <c r="P13" s="360">
        <v>716.00226636507409</v>
      </c>
      <c r="Q13" s="360">
        <v>720.0782386276602</v>
      </c>
      <c r="R13" s="360">
        <v>696.53805796133861</v>
      </c>
      <c r="S13" s="360">
        <v>702.51720299157273</v>
      </c>
      <c r="T13" s="360">
        <v>671.03347528757513</v>
      </c>
      <c r="U13" s="360">
        <v>743.46309179948571</v>
      </c>
      <c r="V13" s="360">
        <v>772.33159460648767</v>
      </c>
      <c r="W13" s="184"/>
    </row>
    <row r="14" spans="1:23" s="271" customFormat="1" ht="9.9499999999999993" customHeight="1">
      <c r="A14" s="177"/>
      <c r="B14" s="183" t="s">
        <v>402</v>
      </c>
      <c r="C14" s="360">
        <v>396.95706556611731</v>
      </c>
      <c r="D14" s="360">
        <v>360.01350687110249</v>
      </c>
      <c r="E14" s="360">
        <v>357.87341982397311</v>
      </c>
      <c r="F14" s="360">
        <v>353.99066934326129</v>
      </c>
      <c r="G14" s="360">
        <v>479.34431962462799</v>
      </c>
      <c r="H14" s="360">
        <v>529.44831308882431</v>
      </c>
      <c r="I14" s="360">
        <v>544.87741741445927</v>
      </c>
      <c r="J14" s="360">
        <v>550.19308051000019</v>
      </c>
      <c r="K14" s="360">
        <v>427.50154964772548</v>
      </c>
      <c r="L14" s="360">
        <v>245.08560246307442</v>
      </c>
      <c r="M14" s="360">
        <v>162.82566166311543</v>
      </c>
      <c r="N14" s="360">
        <v>311.68610695268291</v>
      </c>
      <c r="O14" s="360">
        <v>283.3578853951376</v>
      </c>
      <c r="P14" s="360">
        <v>211.00484782334473</v>
      </c>
      <c r="Q14" s="360">
        <v>236.15588697687329</v>
      </c>
      <c r="R14" s="360">
        <v>179.15759146917111</v>
      </c>
      <c r="S14" s="360">
        <v>115.83704805024088</v>
      </c>
      <c r="T14" s="360">
        <v>59.589528420382663</v>
      </c>
      <c r="U14" s="360">
        <v>112.86530039597166</v>
      </c>
      <c r="V14" s="360">
        <v>148.90763741234645</v>
      </c>
      <c r="W14" s="184"/>
    </row>
    <row r="15" spans="1:23" s="271" customFormat="1" ht="9.9499999999999993" customHeight="1">
      <c r="A15" s="177"/>
      <c r="B15" s="183" t="s">
        <v>403</v>
      </c>
      <c r="C15" s="360">
        <v>419.54705137799994</v>
      </c>
      <c r="D15" s="360">
        <v>434.29363173839988</v>
      </c>
      <c r="E15" s="360">
        <v>495.08339169239991</v>
      </c>
      <c r="F15" s="360">
        <v>521.20074766367986</v>
      </c>
      <c r="G15" s="360">
        <v>408.406329752467</v>
      </c>
      <c r="H15" s="360">
        <v>370.67904969479986</v>
      </c>
      <c r="I15" s="360">
        <v>426.05495223479988</v>
      </c>
      <c r="J15" s="360">
        <v>483.84305420597258</v>
      </c>
      <c r="K15" s="360">
        <v>552.48239172839976</v>
      </c>
      <c r="L15" s="360">
        <v>584.2923553008693</v>
      </c>
      <c r="M15" s="360">
        <v>579.47172126479984</v>
      </c>
      <c r="N15" s="360">
        <v>581.23425492862782</v>
      </c>
      <c r="O15" s="360">
        <v>609.6893465367599</v>
      </c>
      <c r="P15" s="360">
        <v>646.34372948711984</v>
      </c>
      <c r="Q15" s="360">
        <v>669.7094906779198</v>
      </c>
      <c r="R15" s="360">
        <v>600.45714848783985</v>
      </c>
      <c r="S15" s="360">
        <v>578.15250478019993</v>
      </c>
      <c r="T15" s="360">
        <v>552.6974764247999</v>
      </c>
      <c r="U15" s="360">
        <v>607.76726098648362</v>
      </c>
      <c r="V15" s="360">
        <v>642.64522898519965</v>
      </c>
      <c r="W15" s="184"/>
    </row>
    <row r="16" spans="1:23" s="271" customFormat="1" ht="9.9499999999999993" customHeight="1">
      <c r="A16" s="177"/>
      <c r="B16" s="183" t="s">
        <v>404</v>
      </c>
      <c r="C16" s="360">
        <v>294.39346996339219</v>
      </c>
      <c r="D16" s="360">
        <v>285.89969419836336</v>
      </c>
      <c r="E16" s="360">
        <v>296.93468122962281</v>
      </c>
      <c r="F16" s="360">
        <v>303.34157250210598</v>
      </c>
      <c r="G16" s="360">
        <v>323.92147482375844</v>
      </c>
      <c r="H16" s="360">
        <v>331.01113771888629</v>
      </c>
      <c r="I16" s="360">
        <v>354.77281790869273</v>
      </c>
      <c r="J16" s="360">
        <v>364.17641176209145</v>
      </c>
      <c r="K16" s="360">
        <v>364.95151237169671</v>
      </c>
      <c r="L16" s="360">
        <v>388.96422270075669</v>
      </c>
      <c r="M16" s="360">
        <v>413.68440386321254</v>
      </c>
      <c r="N16" s="360">
        <v>372.14376495748706</v>
      </c>
      <c r="O16" s="360">
        <v>373.10980792597508</v>
      </c>
      <c r="P16" s="360">
        <v>397.49713551641855</v>
      </c>
      <c r="Q16" s="360">
        <v>398.94145924316268</v>
      </c>
      <c r="R16" s="360">
        <v>410.32003123685973</v>
      </c>
      <c r="S16" s="360">
        <v>393.94743174406284</v>
      </c>
      <c r="T16" s="360">
        <v>399.1158868695062</v>
      </c>
      <c r="U16" s="360">
        <v>413.55736348172019</v>
      </c>
      <c r="V16" s="360">
        <v>428.99300450924329</v>
      </c>
      <c r="W16" s="184"/>
    </row>
    <row r="17" spans="1:23" s="271" customFormat="1" ht="9.9499999999999993" customHeight="1">
      <c r="A17" s="177"/>
      <c r="B17" s="183" t="s">
        <v>405</v>
      </c>
      <c r="C17" s="360">
        <v>204.70026140364908</v>
      </c>
      <c r="D17" s="360">
        <v>223.9508081090255</v>
      </c>
      <c r="E17" s="360">
        <v>249.84042353455368</v>
      </c>
      <c r="F17" s="360">
        <v>256.68109829528476</v>
      </c>
      <c r="G17" s="360">
        <v>280.68931523543881</v>
      </c>
      <c r="H17" s="360">
        <v>263.6004717514777</v>
      </c>
      <c r="I17" s="360">
        <v>308.43913556445386</v>
      </c>
      <c r="J17" s="360">
        <v>338.37968032579215</v>
      </c>
      <c r="K17" s="360">
        <v>339.49890925969862</v>
      </c>
      <c r="L17" s="360">
        <v>317.88892059848723</v>
      </c>
      <c r="M17" s="360">
        <v>381.82088364695278</v>
      </c>
      <c r="N17" s="360">
        <v>384.32490146212791</v>
      </c>
      <c r="O17" s="360">
        <v>411.37133332353352</v>
      </c>
      <c r="P17" s="360">
        <v>409.23434245111241</v>
      </c>
      <c r="Q17" s="360">
        <v>414.87268770385975</v>
      </c>
      <c r="R17" s="360">
        <v>415.94458317409322</v>
      </c>
      <c r="S17" s="360">
        <v>386.09230579102899</v>
      </c>
      <c r="T17" s="360">
        <v>395.28582543482145</v>
      </c>
      <c r="U17" s="360">
        <v>352.3441940261348</v>
      </c>
      <c r="V17" s="360">
        <v>345.57331297957745</v>
      </c>
      <c r="W17" s="184"/>
    </row>
    <row r="18" spans="1:23" s="271" customFormat="1" ht="9.9499999999999993" customHeight="1">
      <c r="A18" s="177"/>
      <c r="B18" s="183" t="s">
        <v>406</v>
      </c>
      <c r="C18" s="360">
        <v>339.15341670827092</v>
      </c>
      <c r="D18" s="360">
        <v>306.46831558983922</v>
      </c>
      <c r="E18" s="360">
        <v>305.47715224431755</v>
      </c>
      <c r="F18" s="360">
        <v>309.98596677021686</v>
      </c>
      <c r="G18" s="360">
        <v>262.14298169895198</v>
      </c>
      <c r="H18" s="360">
        <v>291.89437758305348</v>
      </c>
      <c r="I18" s="360">
        <v>301.15566482897952</v>
      </c>
      <c r="J18" s="360">
        <v>296.51123848000003</v>
      </c>
      <c r="K18" s="360">
        <v>301.41095134835837</v>
      </c>
      <c r="L18" s="360">
        <v>345.43202583650111</v>
      </c>
      <c r="M18" s="360">
        <v>311.31406389171286</v>
      </c>
      <c r="N18" s="360">
        <v>308.99047649356544</v>
      </c>
      <c r="O18" s="360">
        <v>339.50932734057744</v>
      </c>
      <c r="P18" s="360">
        <v>371.63354336378768</v>
      </c>
      <c r="Q18" s="360">
        <v>365.09917030338636</v>
      </c>
      <c r="R18" s="360">
        <v>372.09815424137088</v>
      </c>
      <c r="S18" s="360">
        <v>335.30827002152574</v>
      </c>
      <c r="T18" s="360">
        <v>331.00903004230685</v>
      </c>
      <c r="U18" s="360">
        <v>378.43999820473533</v>
      </c>
      <c r="V18" s="360">
        <v>372.22519922427</v>
      </c>
      <c r="W18" s="184"/>
    </row>
    <row r="19" spans="1:23" s="271" customFormat="1" ht="9.9499999999999993" customHeight="1">
      <c r="A19" s="177"/>
      <c r="B19" s="183" t="s">
        <v>407</v>
      </c>
      <c r="C19" s="360">
        <v>152.55114810033433</v>
      </c>
      <c r="D19" s="360">
        <v>181.74196969304796</v>
      </c>
      <c r="E19" s="360">
        <v>193.16336243457329</v>
      </c>
      <c r="F19" s="360">
        <v>208.03769599485366</v>
      </c>
      <c r="G19" s="360">
        <v>221.5478228561885</v>
      </c>
      <c r="H19" s="360">
        <v>241.63543122122053</v>
      </c>
      <c r="I19" s="360">
        <v>273.1368053682869</v>
      </c>
      <c r="J19" s="360">
        <v>280.20815269000002</v>
      </c>
      <c r="K19" s="360">
        <v>318.35850431608037</v>
      </c>
      <c r="L19" s="360">
        <v>376.78709506204757</v>
      </c>
      <c r="M19" s="360">
        <f>399.735456021607</f>
        <v>399.73545602160698</v>
      </c>
      <c r="N19" s="360">
        <v>423.1574984836887</v>
      </c>
      <c r="O19" s="360">
        <v>515.75311564900392</v>
      </c>
      <c r="P19" s="360">
        <v>626.03061648466382</v>
      </c>
      <c r="Q19" s="360">
        <v>722.73760711662669</v>
      </c>
      <c r="R19" s="360">
        <v>852.20928742235219</v>
      </c>
      <c r="S19" s="360">
        <v>983.35799901163216</v>
      </c>
      <c r="T19" s="360">
        <v>919.30041285983827</v>
      </c>
      <c r="U19" s="360">
        <v>920.05967634462115</v>
      </c>
      <c r="V19" s="360">
        <v>909.59738254811157</v>
      </c>
      <c r="W19" s="184"/>
    </row>
    <row r="20" spans="1:23" s="271" customFormat="1" ht="9.9499999999999993" customHeight="1">
      <c r="A20" s="177"/>
      <c r="B20" s="183" t="s">
        <v>429</v>
      </c>
      <c r="C20" s="360">
        <v>0</v>
      </c>
      <c r="D20" s="360">
        <v>31.976717990853206</v>
      </c>
      <c r="E20" s="360">
        <v>118.36728968996492</v>
      </c>
      <c r="F20" s="360">
        <v>103.24331526441526</v>
      </c>
      <c r="G20" s="360">
        <v>202.21706307808878</v>
      </c>
      <c r="H20" s="360">
        <v>381.75584943309252</v>
      </c>
      <c r="I20" s="360">
        <v>319.61583300410388</v>
      </c>
      <c r="J20" s="360">
        <v>245.57056632999996</v>
      </c>
      <c r="K20" s="360">
        <v>344.10532484206908</v>
      </c>
      <c r="L20" s="360">
        <v>303.37344316508592</v>
      </c>
      <c r="M20" s="360">
        <v>252.61951350014232</v>
      </c>
      <c r="N20" s="360">
        <v>275.33823553410895</v>
      </c>
      <c r="O20" s="360">
        <v>286.80973201748407</v>
      </c>
      <c r="P20" s="360">
        <v>219.71862168650571</v>
      </c>
      <c r="Q20" s="360">
        <v>211.07485559243588</v>
      </c>
      <c r="R20" s="360">
        <v>225.24589440485983</v>
      </c>
      <c r="S20" s="360">
        <v>205.96911425270002</v>
      </c>
      <c r="T20" s="360">
        <v>148.26647198140205</v>
      </c>
      <c r="U20" s="360">
        <v>160.62746525568744</v>
      </c>
      <c r="V20" s="360">
        <v>142.75094401797156</v>
      </c>
      <c r="W20" s="184"/>
    </row>
    <row r="21" spans="1:23" s="271" customFormat="1" ht="9.9499999999999993" customHeight="1">
      <c r="A21" s="177"/>
      <c r="B21" s="183" t="s">
        <v>408</v>
      </c>
      <c r="C21" s="360">
        <v>6.800500288557763</v>
      </c>
      <c r="D21" s="360">
        <v>9.8951269069412398</v>
      </c>
      <c r="E21" s="360">
        <v>12.311142130753511</v>
      </c>
      <c r="F21" s="360">
        <v>28.878536425372975</v>
      </c>
      <c r="G21" s="360">
        <v>61.450517831841843</v>
      </c>
      <c r="H21" s="360">
        <v>99.333647535659125</v>
      </c>
      <c r="I21" s="360">
        <v>165.50114454708103</v>
      </c>
      <c r="J21" s="360">
        <v>196.26769694545462</v>
      </c>
      <c r="K21" s="360">
        <v>184.50876668988954</v>
      </c>
      <c r="L21" s="360">
        <v>169.17127751225468</v>
      </c>
      <c r="M21" s="360">
        <v>186.14907732518918</v>
      </c>
      <c r="N21" s="360">
        <v>219.91428452249289</v>
      </c>
      <c r="O21" s="360">
        <v>207.18015028546108</v>
      </c>
      <c r="P21" s="360">
        <v>165.11043106654941</v>
      </c>
      <c r="Q21" s="360">
        <v>151.09769598883764</v>
      </c>
      <c r="R21" s="360">
        <v>131.55752038200964</v>
      </c>
      <c r="S21" s="360">
        <v>159.07045075707384</v>
      </c>
      <c r="T21" s="360">
        <v>212.09372819699874</v>
      </c>
      <c r="U21" s="360">
        <v>225.95906466566387</v>
      </c>
      <c r="V21" s="360">
        <v>192.81532847294764</v>
      </c>
      <c r="W21" s="184"/>
    </row>
    <row r="22" spans="1:23" s="271" customFormat="1" ht="9.9499999999999993" customHeight="1">
      <c r="A22" s="177"/>
      <c r="B22" s="183" t="s">
        <v>366</v>
      </c>
      <c r="C22" s="360">
        <v>206.69120940568766</v>
      </c>
      <c r="D22" s="360">
        <v>206.12558983747999</v>
      </c>
      <c r="E22" s="360">
        <v>222.96632043143859</v>
      </c>
      <c r="F22" s="360">
        <v>227.1522321919654</v>
      </c>
      <c r="G22" s="360">
        <v>210.84947889538205</v>
      </c>
      <c r="H22" s="360">
        <v>196.02883739712979</v>
      </c>
      <c r="I22" s="360">
        <v>201.1948839460581</v>
      </c>
      <c r="J22" s="360">
        <v>185.38011384000004</v>
      </c>
      <c r="K22" s="360">
        <v>208.75220368363586</v>
      </c>
      <c r="L22" s="360">
        <v>219.93245022998462</v>
      </c>
      <c r="M22" s="360">
        <v>227.74276344800785</v>
      </c>
      <c r="N22" s="360">
        <v>205.32065648517693</v>
      </c>
      <c r="O22" s="360">
        <v>201.73800047514396</v>
      </c>
      <c r="P22" s="360">
        <v>222.82623438196148</v>
      </c>
      <c r="Q22" s="360">
        <v>225.0780425139568</v>
      </c>
      <c r="R22" s="360">
        <v>221.05018988629595</v>
      </c>
      <c r="S22" s="360">
        <v>222.48033803180621</v>
      </c>
      <c r="T22" s="360">
        <v>212.10100819145902</v>
      </c>
      <c r="U22" s="360">
        <v>252.87627460590616</v>
      </c>
      <c r="V22" s="360">
        <v>235.38028443659047</v>
      </c>
      <c r="W22" s="184"/>
    </row>
    <row r="23" spans="1:23" s="271" customFormat="1" ht="9.9499999999999993" customHeight="1">
      <c r="A23" s="177"/>
      <c r="B23" s="183" t="s">
        <v>367</v>
      </c>
      <c r="C23" s="360">
        <v>140.36734408055565</v>
      </c>
      <c r="D23" s="360">
        <v>123.20781481051294</v>
      </c>
      <c r="E23" s="360">
        <v>125.50738324209777</v>
      </c>
      <c r="F23" s="360">
        <v>119.01740370376582</v>
      </c>
      <c r="G23" s="360">
        <v>117.66670471184418</v>
      </c>
      <c r="H23" s="360">
        <v>144.09127824475448</v>
      </c>
      <c r="I23" s="360">
        <v>165.77121505940741</v>
      </c>
      <c r="J23" s="360">
        <v>164.82383141999995</v>
      </c>
      <c r="K23" s="360">
        <v>173.19877477023581</v>
      </c>
      <c r="L23" s="360">
        <v>198.2570333293753</v>
      </c>
      <c r="M23" s="360">
        <v>186.49592706956821</v>
      </c>
      <c r="N23" s="360">
        <v>176.63390273992761</v>
      </c>
      <c r="O23" s="360">
        <v>185.9275049281444</v>
      </c>
      <c r="P23" s="360">
        <v>186.88483478387826</v>
      </c>
      <c r="Q23" s="360">
        <v>179.97877889949569</v>
      </c>
      <c r="R23" s="360">
        <v>180.09510760991355</v>
      </c>
      <c r="S23" s="360">
        <v>162.62727780263035</v>
      </c>
      <c r="T23" s="360">
        <v>152.21163102802436</v>
      </c>
      <c r="U23" s="360">
        <v>178.66953353365454</v>
      </c>
      <c r="V23" s="360">
        <v>172.7906702753545</v>
      </c>
      <c r="W23" s="184"/>
    </row>
    <row r="24" spans="1:23" s="271" customFormat="1" ht="9.9499999999999993" customHeight="1">
      <c r="A24" s="177"/>
      <c r="B24" s="183" t="s">
        <v>368</v>
      </c>
      <c r="C24" s="360">
        <v>67.984888221946534</v>
      </c>
      <c r="D24" s="360">
        <v>78.273563129925023</v>
      </c>
      <c r="E24" s="360">
        <v>97.551107972854837</v>
      </c>
      <c r="F24" s="360">
        <v>107.79518168454175</v>
      </c>
      <c r="G24" s="360">
        <v>150.92042578453092</v>
      </c>
      <c r="H24" s="360">
        <v>127.84333931390506</v>
      </c>
      <c r="I24" s="360">
        <v>173.96616428367929</v>
      </c>
      <c r="J24" s="360">
        <v>159.90316927999996</v>
      </c>
      <c r="K24" s="360">
        <v>175.26213079608584</v>
      </c>
      <c r="L24" s="360">
        <v>90.697762454339511</v>
      </c>
      <c r="M24" s="360">
        <v>246.73561655243515</v>
      </c>
      <c r="N24" s="360">
        <v>191.12870103237535</v>
      </c>
      <c r="O24" s="360">
        <v>100.56806470540474</v>
      </c>
      <c r="P24" s="360">
        <v>249.14491314449339</v>
      </c>
      <c r="Q24" s="360">
        <v>204.1955459912883</v>
      </c>
      <c r="R24" s="360">
        <v>187.8928331108236</v>
      </c>
      <c r="S24" s="360">
        <v>206.13960084508912</v>
      </c>
      <c r="T24" s="360">
        <v>210.093800177086</v>
      </c>
      <c r="U24" s="360">
        <v>205.76416051215745</v>
      </c>
      <c r="V24" s="360">
        <v>291.6748781488734</v>
      </c>
      <c r="W24" s="184"/>
    </row>
    <row r="25" spans="1:23" s="271" customFormat="1" ht="9.9499999999999993" customHeight="1">
      <c r="A25" s="177"/>
      <c r="B25" s="183" t="s">
        <v>369</v>
      </c>
      <c r="C25" s="360">
        <v>124.9664274560553</v>
      </c>
      <c r="D25" s="360">
        <v>119.34321632202352</v>
      </c>
      <c r="E25" s="360">
        <v>122.78042672092569</v>
      </c>
      <c r="F25" s="360">
        <v>122.07887083923944</v>
      </c>
      <c r="G25" s="360">
        <v>130.68468516918549</v>
      </c>
      <c r="H25" s="360">
        <v>127.33925935401386</v>
      </c>
      <c r="I25" s="360">
        <v>158.90333992085579</v>
      </c>
      <c r="J25" s="360">
        <v>158.24248083454839</v>
      </c>
      <c r="K25" s="360">
        <v>171.43538666008243</v>
      </c>
      <c r="L25" s="360">
        <v>185.55229426781202</v>
      </c>
      <c r="M25" s="360">
        <v>235.01010840539834</v>
      </c>
      <c r="N25" s="360">
        <v>284.85443118115808</v>
      </c>
      <c r="O25" s="360">
        <v>315.06529288441311</v>
      </c>
      <c r="P25" s="360">
        <v>362.18731162786321</v>
      </c>
      <c r="Q25" s="360">
        <v>411.66220712604701</v>
      </c>
      <c r="R25" s="360">
        <v>466.82487303289446</v>
      </c>
      <c r="S25" s="360">
        <v>544.11046715107386</v>
      </c>
      <c r="T25" s="360">
        <v>614.20943676022</v>
      </c>
      <c r="U25" s="360">
        <v>678.9979182441258</v>
      </c>
      <c r="V25" s="360">
        <v>685.30949106837852</v>
      </c>
      <c r="W25" s="184"/>
    </row>
    <row r="26" spans="1:23" s="271" customFormat="1" ht="9.9499999999999993" customHeight="1">
      <c r="A26" s="177"/>
      <c r="B26" s="183" t="s">
        <v>370</v>
      </c>
      <c r="C26" s="360">
        <v>153.58925664401741</v>
      </c>
      <c r="D26" s="360">
        <v>148.72902992511979</v>
      </c>
      <c r="E26" s="360">
        <v>152.85879342793956</v>
      </c>
      <c r="F26" s="360">
        <v>155.80346715779712</v>
      </c>
      <c r="G26" s="360">
        <v>139.40772566404635</v>
      </c>
      <c r="H26" s="360">
        <v>145.99227509207492</v>
      </c>
      <c r="I26" s="360">
        <v>156.32818099725975</v>
      </c>
      <c r="J26" s="360">
        <v>148.52197899999999</v>
      </c>
      <c r="K26" s="360">
        <v>169.2882050243627</v>
      </c>
      <c r="L26" s="360">
        <v>185.10054192166484</v>
      </c>
      <c r="M26" s="360">
        <v>179.52862013615027</v>
      </c>
      <c r="N26" s="360">
        <v>175.18182607891623</v>
      </c>
      <c r="O26" s="360">
        <v>185.06241334045694</v>
      </c>
      <c r="P26" s="360">
        <v>188.24765021070169</v>
      </c>
      <c r="Q26" s="360">
        <v>179.07848232637133</v>
      </c>
      <c r="R26" s="360">
        <v>175.76109124391718</v>
      </c>
      <c r="S26" s="360">
        <v>156.33984257735582</v>
      </c>
      <c r="T26" s="360">
        <v>157.15000375598171</v>
      </c>
      <c r="U26" s="360">
        <v>160.35140895095603</v>
      </c>
      <c r="V26" s="360">
        <v>155.89136872085049</v>
      </c>
      <c r="W26" s="184"/>
    </row>
    <row r="27" spans="1:23" s="271" customFormat="1" ht="9.9499999999999993" customHeight="1">
      <c r="A27" s="177"/>
      <c r="B27" s="183" t="s">
        <v>371</v>
      </c>
      <c r="C27" s="360">
        <v>110.15408879952837</v>
      </c>
      <c r="D27" s="360">
        <v>119.83284003131288</v>
      </c>
      <c r="E27" s="360">
        <v>125.92419526776706</v>
      </c>
      <c r="F27" s="360">
        <v>131.69397393695874</v>
      </c>
      <c r="G27" s="360">
        <v>142.28754368156743</v>
      </c>
      <c r="H27" s="360">
        <v>144.07202718992392</v>
      </c>
      <c r="I27" s="360">
        <v>152.44424364912288</v>
      </c>
      <c r="J27" s="360">
        <v>148.28057757990783</v>
      </c>
      <c r="K27" s="360">
        <v>163.66164683218352</v>
      </c>
      <c r="L27" s="360">
        <v>162.63696125004643</v>
      </c>
      <c r="M27" s="360">
        <v>169.94847535516897</v>
      </c>
      <c r="N27" s="360">
        <v>180.31050034057381</v>
      </c>
      <c r="O27" s="360">
        <v>184.67018239651065</v>
      </c>
      <c r="P27" s="360">
        <v>189.99874408783606</v>
      </c>
      <c r="Q27" s="360">
        <v>194.00378449060821</v>
      </c>
      <c r="R27" s="360">
        <v>196.47224640140399</v>
      </c>
      <c r="S27" s="360">
        <v>211.42436499226574</v>
      </c>
      <c r="T27" s="360">
        <v>214.69147397935802</v>
      </c>
      <c r="U27" s="360">
        <v>216.57289063319777</v>
      </c>
      <c r="V27" s="360">
        <v>221.78804607468106</v>
      </c>
      <c r="W27" s="184"/>
    </row>
    <row r="28" spans="1:23" s="271" customFormat="1" ht="9.9499999999999993" customHeight="1">
      <c r="A28" s="177"/>
      <c r="B28" s="183" t="s">
        <v>372</v>
      </c>
      <c r="C28" s="360">
        <v>98.168880302046773</v>
      </c>
      <c r="D28" s="360">
        <v>109.65262751612678</v>
      </c>
      <c r="E28" s="360">
        <v>110.56445586981661</v>
      </c>
      <c r="F28" s="360">
        <v>117.29806459698099</v>
      </c>
      <c r="G28" s="360">
        <v>127.25297218963765</v>
      </c>
      <c r="H28" s="360">
        <v>121.33610410163446</v>
      </c>
      <c r="I28" s="360">
        <v>132.90570304420118</v>
      </c>
      <c r="J28" s="360">
        <v>142.8110024099999</v>
      </c>
      <c r="K28" s="360">
        <v>159.92081321152614</v>
      </c>
      <c r="L28" s="360">
        <v>184.69095928378982</v>
      </c>
      <c r="M28" s="360">
        <v>216.31547882449038</v>
      </c>
      <c r="N28" s="360">
        <v>250.68303224920172</v>
      </c>
      <c r="O28" s="360">
        <v>315.05279933860953</v>
      </c>
      <c r="P28" s="360">
        <v>338.90277158351518</v>
      </c>
      <c r="Q28" s="360">
        <v>409.84354852285043</v>
      </c>
      <c r="R28" s="360">
        <v>441.85558525839622</v>
      </c>
      <c r="S28" s="360">
        <v>534.30058992417071</v>
      </c>
      <c r="T28" s="360">
        <v>547.67770841049673</v>
      </c>
      <c r="U28" s="360">
        <v>591.95289835601125</v>
      </c>
      <c r="V28" s="360">
        <v>628.76856885077734</v>
      </c>
      <c r="W28" s="184"/>
    </row>
    <row r="29" spans="1:23" s="271" customFormat="1" ht="9.9499999999999993" customHeight="1">
      <c r="A29" s="177"/>
      <c r="B29" s="183" t="s">
        <v>496</v>
      </c>
      <c r="C29" s="360">
        <v>92.94053171757939</v>
      </c>
      <c r="D29" s="360">
        <v>93.575924682005535</v>
      </c>
      <c r="E29" s="360">
        <v>96.256914420445867</v>
      </c>
      <c r="F29" s="360">
        <v>116.49966110497965</v>
      </c>
      <c r="G29" s="360">
        <v>126.78026985385226</v>
      </c>
      <c r="H29" s="360">
        <v>123.80579240714344</v>
      </c>
      <c r="I29" s="360">
        <v>135.35376384087445</v>
      </c>
      <c r="J29" s="360">
        <v>137.60172296999994</v>
      </c>
      <c r="K29" s="360">
        <v>135.25706966394327</v>
      </c>
      <c r="L29" s="360">
        <v>120.0136394926209</v>
      </c>
      <c r="M29" s="360">
        <v>159.9421500344445</v>
      </c>
      <c r="N29" s="360">
        <v>170.75192206215684</v>
      </c>
      <c r="O29" s="360">
        <v>203.1118901739728</v>
      </c>
      <c r="P29" s="360">
        <v>226.76908101245166</v>
      </c>
      <c r="Q29" s="360">
        <v>245.41869821593843</v>
      </c>
      <c r="R29" s="360">
        <v>258.6486322039604</v>
      </c>
      <c r="S29" s="360">
        <v>291.85170982884375</v>
      </c>
      <c r="T29" s="360">
        <v>294.86345272267869</v>
      </c>
      <c r="U29" s="360">
        <v>348.02905665261869</v>
      </c>
      <c r="V29" s="360">
        <v>366.8194214326295</v>
      </c>
      <c r="W29" s="184"/>
    </row>
    <row r="30" spans="1:23" s="271" customFormat="1" ht="9.9499999999999993" customHeight="1">
      <c r="A30" s="177"/>
      <c r="B30" s="183" t="s">
        <v>497</v>
      </c>
      <c r="C30" s="360">
        <v>176.36611435470559</v>
      </c>
      <c r="D30" s="360">
        <v>133.04668969732404</v>
      </c>
      <c r="E30" s="360">
        <v>91.972069747620935</v>
      </c>
      <c r="F30" s="360">
        <v>105.17736710670948</v>
      </c>
      <c r="G30" s="360">
        <v>129.20608413519471</v>
      </c>
      <c r="H30" s="360">
        <v>112.09013451933141</v>
      </c>
      <c r="I30" s="360">
        <v>119.49534871202654</v>
      </c>
      <c r="J30" s="360">
        <v>121.98274000000001</v>
      </c>
      <c r="K30" s="360">
        <v>148.33455153766315</v>
      </c>
      <c r="L30" s="360">
        <v>156.0150262176299</v>
      </c>
      <c r="M30" s="360">
        <v>158.34030893795429</v>
      </c>
      <c r="N30" s="360">
        <v>130.95591519992851</v>
      </c>
      <c r="O30" s="360">
        <v>161.48017508332262</v>
      </c>
      <c r="P30" s="360">
        <v>178.54085969470111</v>
      </c>
      <c r="Q30" s="360">
        <v>187.24275303708393</v>
      </c>
      <c r="R30" s="360">
        <v>166.35979018801396</v>
      </c>
      <c r="S30" s="360">
        <v>163.97353678008687</v>
      </c>
      <c r="T30" s="360">
        <v>155.32758504158119</v>
      </c>
      <c r="U30" s="360">
        <v>178.44289077809427</v>
      </c>
      <c r="V30" s="360">
        <v>142.39035833314031</v>
      </c>
      <c r="W30" s="184"/>
    </row>
    <row r="31" spans="1:23" s="271" customFormat="1" ht="9.9499999999999993" customHeight="1">
      <c r="A31" s="177"/>
      <c r="B31" s="183" t="s">
        <v>492</v>
      </c>
      <c r="C31" s="360">
        <v>92.026011544254075</v>
      </c>
      <c r="D31" s="360">
        <v>84.015815371887982</v>
      </c>
      <c r="E31" s="360">
        <v>105.72012911531758</v>
      </c>
      <c r="F31" s="360">
        <v>104.54796605232333</v>
      </c>
      <c r="G31" s="360">
        <v>87.485614484368838</v>
      </c>
      <c r="H31" s="360">
        <v>93.94502910209269</v>
      </c>
      <c r="I31" s="360">
        <v>108.60984493910911</v>
      </c>
      <c r="J31" s="360">
        <v>116.6139460461273</v>
      </c>
      <c r="K31" s="360">
        <v>96.563311147343143</v>
      </c>
      <c r="L31" s="360">
        <v>85.315322119529881</v>
      </c>
      <c r="M31" s="360">
        <v>96.083574912109754</v>
      </c>
      <c r="N31" s="360">
        <v>92.591891744349141</v>
      </c>
      <c r="O31" s="360">
        <v>95.802413493993086</v>
      </c>
      <c r="P31" s="360">
        <v>98.754465743869048</v>
      </c>
      <c r="Q31" s="360">
        <v>114.02550695540145</v>
      </c>
      <c r="R31" s="360">
        <v>115.8208289635854</v>
      </c>
      <c r="S31" s="360">
        <v>116.83881336980264</v>
      </c>
      <c r="T31" s="360">
        <v>72.502128004303984</v>
      </c>
      <c r="U31" s="360">
        <v>111.60781743984442</v>
      </c>
      <c r="V31" s="360">
        <v>124.98628358858532</v>
      </c>
      <c r="W31" s="184"/>
    </row>
    <row r="32" spans="1:23" s="271" customFormat="1" ht="9.9499999999999993" customHeight="1">
      <c r="A32" s="177"/>
      <c r="B32" s="183" t="s">
        <v>498</v>
      </c>
      <c r="C32" s="360">
        <v>63.808874437202334</v>
      </c>
      <c r="D32" s="360">
        <v>68.942855609865006</v>
      </c>
      <c r="E32" s="360">
        <v>69.041375549747798</v>
      </c>
      <c r="F32" s="360">
        <v>80.836906988829597</v>
      </c>
      <c r="G32" s="360">
        <v>90.256144278279407</v>
      </c>
      <c r="H32" s="360">
        <v>116.07837777944437</v>
      </c>
      <c r="I32" s="360">
        <v>111.56419880924922</v>
      </c>
      <c r="J32" s="360">
        <v>111.44983620000004</v>
      </c>
      <c r="K32" s="360">
        <v>243.03461498502946</v>
      </c>
      <c r="L32" s="360">
        <v>15.237840664716041</v>
      </c>
      <c r="M32" s="360">
        <v>159.45687731836225</v>
      </c>
      <c r="N32" s="360">
        <v>155.32828193169198</v>
      </c>
      <c r="O32" s="360">
        <v>196.63042698523577</v>
      </c>
      <c r="P32" s="360">
        <v>122.7629982026229</v>
      </c>
      <c r="Q32" s="360">
        <v>322.86152683174913</v>
      </c>
      <c r="R32" s="360">
        <v>81.662468383257277</v>
      </c>
      <c r="S32" s="360">
        <v>119.33888626441782</v>
      </c>
      <c r="T32" s="360">
        <v>170.75033320790197</v>
      </c>
      <c r="U32" s="360">
        <v>401.60775611702502</v>
      </c>
      <c r="V32" s="360">
        <v>405.86504795665684</v>
      </c>
      <c r="W32" s="184"/>
    </row>
    <row r="33" spans="1:23" s="271" customFormat="1" ht="9.9499999999999993" customHeight="1">
      <c r="A33" s="177"/>
      <c r="B33" s="183" t="s">
        <v>499</v>
      </c>
      <c r="C33" s="360">
        <v>113.93513169017953</v>
      </c>
      <c r="D33" s="360">
        <v>109.0814271838442</v>
      </c>
      <c r="E33" s="360">
        <v>121.58181527818323</v>
      </c>
      <c r="F33" s="360">
        <v>118.93278249959495</v>
      </c>
      <c r="G33" s="360">
        <v>108.77319561382068</v>
      </c>
      <c r="H33" s="360">
        <v>118.54483186709257</v>
      </c>
      <c r="I33" s="360">
        <v>117.64939805468345</v>
      </c>
      <c r="J33" s="360">
        <v>108.96344916000007</v>
      </c>
      <c r="K33" s="360">
        <v>114.18339254086676</v>
      </c>
      <c r="L33" s="360">
        <v>130.94281295912518</v>
      </c>
      <c r="M33" s="360">
        <v>132.73177672234783</v>
      </c>
      <c r="N33" s="360">
        <v>123.53784857546836</v>
      </c>
      <c r="O33" s="360">
        <v>131.68554798509166</v>
      </c>
      <c r="P33" s="360">
        <v>137.8522809393323</v>
      </c>
      <c r="Q33" s="360">
        <v>138.94323661019175</v>
      </c>
      <c r="R33" s="360">
        <v>139.47026491550869</v>
      </c>
      <c r="S33" s="360">
        <v>125.55122979404506</v>
      </c>
      <c r="T33" s="360">
        <v>124.61612861701352</v>
      </c>
      <c r="U33" s="360">
        <v>131.00773150838702</v>
      </c>
      <c r="V33" s="360">
        <v>132.31196695217344</v>
      </c>
      <c r="W33" s="184"/>
    </row>
    <row r="34" spans="1:23" s="271" customFormat="1" ht="9.9499999999999993" customHeight="1">
      <c r="A34" s="177"/>
      <c r="B34" s="183" t="s">
        <v>374</v>
      </c>
      <c r="C34" s="360">
        <v>105.05472919967568</v>
      </c>
      <c r="D34" s="360">
        <v>92.277817563703834</v>
      </c>
      <c r="E34" s="360">
        <v>82.223833156932386</v>
      </c>
      <c r="F34" s="360">
        <v>89.621830251099468</v>
      </c>
      <c r="G34" s="360">
        <v>97.983838720958104</v>
      </c>
      <c r="H34" s="360">
        <v>92.940470686298994</v>
      </c>
      <c r="I34" s="360">
        <v>90.983916440565295</v>
      </c>
      <c r="J34" s="360">
        <v>91.214171529999987</v>
      </c>
      <c r="K34" s="360">
        <v>90.190287574178015</v>
      </c>
      <c r="L34" s="360">
        <v>91.523965005481074</v>
      </c>
      <c r="M34" s="360">
        <v>95.961724006652076</v>
      </c>
      <c r="N34" s="360">
        <v>99.764154473731864</v>
      </c>
      <c r="O34" s="360">
        <v>97.904737916102988</v>
      </c>
      <c r="P34" s="360">
        <v>104.3465867551313</v>
      </c>
      <c r="Q34" s="360">
        <v>106.64635340573992</v>
      </c>
      <c r="R34" s="360">
        <v>106.42665429549999</v>
      </c>
      <c r="S34" s="360">
        <v>105.45865132552714</v>
      </c>
      <c r="T34" s="360">
        <v>99.914580345718647</v>
      </c>
      <c r="U34" s="360">
        <v>93.766072329606544</v>
      </c>
      <c r="V34" s="360">
        <v>94.909926906729993</v>
      </c>
      <c r="W34" s="184"/>
    </row>
    <row r="35" spans="1:23" s="271" customFormat="1" ht="9.9499999999999993" customHeight="1">
      <c r="A35" s="177"/>
      <c r="B35" s="183" t="s">
        <v>375</v>
      </c>
      <c r="C35" s="360">
        <v>53.551365078414896</v>
      </c>
      <c r="D35" s="360">
        <v>67.76258807480643</v>
      </c>
      <c r="E35" s="360">
        <v>66.639991757287746</v>
      </c>
      <c r="F35" s="360">
        <v>61.365467078112864</v>
      </c>
      <c r="G35" s="360">
        <v>52.129954807466738</v>
      </c>
      <c r="H35" s="360">
        <v>58.183566414217836</v>
      </c>
      <c r="I35" s="360">
        <v>77.840723261580166</v>
      </c>
      <c r="J35" s="360">
        <v>85.740503350000097</v>
      </c>
      <c r="K35" s="360">
        <v>71.644697812809923</v>
      </c>
      <c r="L35" s="360">
        <v>61.461629569442984</v>
      </c>
      <c r="M35" s="360">
        <v>66.732319577304011</v>
      </c>
      <c r="N35" s="360">
        <v>93.765856735246899</v>
      </c>
      <c r="O35" s="360">
        <v>87.085563598072895</v>
      </c>
      <c r="P35" s="360">
        <v>86.282560319419659</v>
      </c>
      <c r="Q35" s="360">
        <v>86.385947000820295</v>
      </c>
      <c r="R35" s="360">
        <v>95.127260441489767</v>
      </c>
      <c r="S35" s="360">
        <v>82.888879386342396</v>
      </c>
      <c r="T35" s="360">
        <v>100.56952602341214</v>
      </c>
      <c r="U35" s="360">
        <v>111.39120694562099</v>
      </c>
      <c r="V35" s="360">
        <v>88.285867653766289</v>
      </c>
      <c r="W35" s="184"/>
    </row>
    <row r="36" spans="1:23" s="271" customFormat="1" ht="9.9499999999999993" customHeight="1">
      <c r="A36" s="177"/>
      <c r="B36" s="183" t="s">
        <v>202</v>
      </c>
      <c r="C36" s="360">
        <v>62.696952949538719</v>
      </c>
      <c r="D36" s="360">
        <v>70.632359546629772</v>
      </c>
      <c r="E36" s="360">
        <v>68.586402848711103</v>
      </c>
      <c r="F36" s="360">
        <v>69.614607681741049</v>
      </c>
      <c r="G36" s="360">
        <v>56.367041688392334</v>
      </c>
      <c r="H36" s="360">
        <v>68.214089750351775</v>
      </c>
      <c r="I36" s="360">
        <v>73.322592250889443</v>
      </c>
      <c r="J36" s="360">
        <v>83.49653696</v>
      </c>
      <c r="K36" s="360">
        <v>86.326947147449602</v>
      </c>
      <c r="L36" s="360">
        <v>89.235584549701699</v>
      </c>
      <c r="M36" s="360">
        <v>86.744314446747296</v>
      </c>
      <c r="N36" s="360">
        <v>85.553848168058551</v>
      </c>
      <c r="O36" s="360">
        <v>99.548860327218833</v>
      </c>
      <c r="P36" s="360">
        <v>110.30968513038182</v>
      </c>
      <c r="Q36" s="360">
        <v>113.35723972286988</v>
      </c>
      <c r="R36" s="360">
        <v>114.7792318249152</v>
      </c>
      <c r="S36" s="360">
        <v>101.87961015640842</v>
      </c>
      <c r="T36" s="360">
        <v>110.80146314495791</v>
      </c>
      <c r="U36" s="360">
        <v>120.70977355040885</v>
      </c>
      <c r="V36" s="360">
        <v>109.57425160885042</v>
      </c>
      <c r="W36" s="184"/>
    </row>
    <row r="37" spans="1:23" s="271" customFormat="1" ht="9.9499999999999993" customHeight="1">
      <c r="A37" s="177"/>
      <c r="B37" s="183" t="s">
        <v>203</v>
      </c>
      <c r="C37" s="360">
        <v>107.67627534839886</v>
      </c>
      <c r="D37" s="360">
        <v>111.32746252591608</v>
      </c>
      <c r="E37" s="360">
        <v>98.102923290849333</v>
      </c>
      <c r="F37" s="360">
        <v>84.49967105726293</v>
      </c>
      <c r="G37" s="360">
        <v>80.775329502753451</v>
      </c>
      <c r="H37" s="360">
        <v>80.795889659132939</v>
      </c>
      <c r="I37" s="360">
        <v>87.022417140515458</v>
      </c>
      <c r="J37" s="360">
        <v>80.946078249999985</v>
      </c>
      <c r="K37" s="360">
        <v>83.182143992111847</v>
      </c>
      <c r="L37" s="360">
        <v>115.10002297008238</v>
      </c>
      <c r="M37" s="360">
        <v>115.42069175128439</v>
      </c>
      <c r="N37" s="360">
        <v>131.02774698959666</v>
      </c>
      <c r="O37" s="360">
        <v>133.18712242839752</v>
      </c>
      <c r="P37" s="360">
        <v>127.98020039566761</v>
      </c>
      <c r="Q37" s="360">
        <v>121.92108069088272</v>
      </c>
      <c r="R37" s="360">
        <v>126.2454024815149</v>
      </c>
      <c r="S37" s="360">
        <v>118.14332391143374</v>
      </c>
      <c r="T37" s="360">
        <v>112.34439554853171</v>
      </c>
      <c r="U37" s="360">
        <v>120.61964338288476</v>
      </c>
      <c r="V37" s="360">
        <v>132.01949436827573</v>
      </c>
      <c r="W37" s="184"/>
    </row>
    <row r="38" spans="1:23" s="271" customFormat="1" ht="9.9499999999999993" customHeight="1">
      <c r="A38" s="177"/>
      <c r="B38" s="183" t="s">
        <v>204</v>
      </c>
      <c r="C38" s="360">
        <v>51.42029066299645</v>
      </c>
      <c r="D38" s="360">
        <v>56.239088299813588</v>
      </c>
      <c r="E38" s="360">
        <v>58.386361593755552</v>
      </c>
      <c r="F38" s="360">
        <v>61.528545150237441</v>
      </c>
      <c r="G38" s="360">
        <v>66.131746600749153</v>
      </c>
      <c r="H38" s="360">
        <v>76.169889317865909</v>
      </c>
      <c r="I38" s="360">
        <v>79.530178668419751</v>
      </c>
      <c r="J38" s="360">
        <v>79.205823349999974</v>
      </c>
      <c r="K38" s="360">
        <v>90.946568164892099</v>
      </c>
      <c r="L38" s="360">
        <v>102.48829088709874</v>
      </c>
      <c r="M38" s="360">
        <v>115.99915181397201</v>
      </c>
      <c r="N38" s="360">
        <v>149.56391638817678</v>
      </c>
      <c r="O38" s="360">
        <v>163.15144529072964</v>
      </c>
      <c r="P38" s="360">
        <v>167.66244115974541</v>
      </c>
      <c r="Q38" s="360">
        <v>170.05743354470269</v>
      </c>
      <c r="R38" s="360">
        <v>168.31624011130492</v>
      </c>
      <c r="S38" s="360">
        <v>172.29450888896363</v>
      </c>
      <c r="T38" s="360">
        <v>184.75331639327277</v>
      </c>
      <c r="U38" s="360">
        <v>204.85663081485941</v>
      </c>
      <c r="V38" s="360">
        <v>212.4919049602392</v>
      </c>
      <c r="W38" s="184"/>
    </row>
    <row r="39" spans="1:23" s="271" customFormat="1" ht="9.9499999999999993" customHeight="1">
      <c r="A39" s="177"/>
      <c r="B39" s="183" t="s">
        <v>385</v>
      </c>
      <c r="C39" s="360">
        <v>0</v>
      </c>
      <c r="D39" s="360">
        <v>0.24947048645119166</v>
      </c>
      <c r="E39" s="360">
        <v>4.6678699909311865</v>
      </c>
      <c r="F39" s="360">
        <v>15.741587695070193</v>
      </c>
      <c r="G39" s="360">
        <v>30.622502211883774</v>
      </c>
      <c r="H39" s="360">
        <v>76.112059469111614</v>
      </c>
      <c r="I39" s="360">
        <v>74.152330203322805</v>
      </c>
      <c r="J39" s="360">
        <v>76.412809999999993</v>
      </c>
      <c r="K39" s="360">
        <v>91.073358920448356</v>
      </c>
      <c r="L39" s="360">
        <v>64.849852952987263</v>
      </c>
      <c r="M39" s="360">
        <v>42.156354368810533</v>
      </c>
      <c r="N39" s="360">
        <v>64.957956830449447</v>
      </c>
      <c r="O39" s="360">
        <v>41.834814630717894</v>
      </c>
      <c r="P39" s="360">
        <v>49.891325395944428</v>
      </c>
      <c r="Q39" s="360">
        <v>34.163597172343749</v>
      </c>
      <c r="R39" s="360">
        <v>25.852072132078209</v>
      </c>
      <c r="S39" s="360">
        <v>33.247486108209095</v>
      </c>
      <c r="T39" s="360">
        <v>32.597476896289038</v>
      </c>
      <c r="U39" s="360">
        <v>47.750037053905032</v>
      </c>
      <c r="V39" s="360">
        <v>31.26696763521602</v>
      </c>
      <c r="W39" s="186"/>
    </row>
    <row r="40" spans="1:23" s="271" customFormat="1" ht="9.9499999999999993" customHeight="1">
      <c r="A40" s="177"/>
      <c r="B40" s="183" t="s">
        <v>252</v>
      </c>
      <c r="C40" s="360">
        <v>69.721181180665397</v>
      </c>
      <c r="D40" s="360">
        <v>70.623143261269391</v>
      </c>
      <c r="E40" s="360">
        <v>65.933598924343755</v>
      </c>
      <c r="F40" s="360">
        <v>65.567392514411353</v>
      </c>
      <c r="G40" s="360">
        <v>58.314965497663778</v>
      </c>
      <c r="H40" s="360">
        <v>65.422593619176311</v>
      </c>
      <c r="I40" s="360">
        <v>70.0334033604382</v>
      </c>
      <c r="J40" s="360">
        <v>75.593238629999988</v>
      </c>
      <c r="K40" s="360">
        <v>76.068192251425003</v>
      </c>
      <c r="L40" s="360">
        <v>78.610515126836503</v>
      </c>
      <c r="M40" s="360">
        <v>76.737707983194525</v>
      </c>
      <c r="N40" s="360">
        <v>78.269697165306283</v>
      </c>
      <c r="O40" s="360">
        <v>87.363250509805312</v>
      </c>
      <c r="P40" s="360">
        <v>90.013741488139772</v>
      </c>
      <c r="Q40" s="360">
        <v>91.794573815982488</v>
      </c>
      <c r="R40" s="360">
        <v>93.487001208482397</v>
      </c>
      <c r="S40" s="360">
        <v>89.285758027059231</v>
      </c>
      <c r="T40" s="360">
        <v>89.131226917439818</v>
      </c>
      <c r="U40" s="360">
        <v>99.210312349744186</v>
      </c>
      <c r="V40" s="360">
        <v>95.771347168193529</v>
      </c>
      <c r="W40" s="184"/>
    </row>
    <row r="41" spans="1:23" s="271" customFormat="1" ht="9.9499999999999993" customHeight="1">
      <c r="A41" s="177"/>
      <c r="B41" s="183" t="s">
        <v>253</v>
      </c>
      <c r="C41" s="360">
        <v>56.226770132161292</v>
      </c>
      <c r="D41" s="360">
        <v>59.997909894000607</v>
      </c>
      <c r="E41" s="360">
        <v>53.796477828689113</v>
      </c>
      <c r="F41" s="360">
        <v>56.006649101123067</v>
      </c>
      <c r="G41" s="360">
        <v>64.726030493968764</v>
      </c>
      <c r="H41" s="360">
        <v>62.057488212332153</v>
      </c>
      <c r="I41" s="360">
        <v>73.365451960113859</v>
      </c>
      <c r="J41" s="360">
        <v>74.009268419999984</v>
      </c>
      <c r="K41" s="360">
        <v>76.483488712083059</v>
      </c>
      <c r="L41" s="360">
        <v>83.264737326847722</v>
      </c>
      <c r="M41" s="360">
        <v>90.569337039217572</v>
      </c>
      <c r="N41" s="360">
        <v>111.66950962523093</v>
      </c>
      <c r="O41" s="360">
        <v>160.81954907563451</v>
      </c>
      <c r="P41" s="360">
        <v>175.85567280554176</v>
      </c>
      <c r="Q41" s="360">
        <v>191.70069290533672</v>
      </c>
      <c r="R41" s="360">
        <v>212.39293578130034</v>
      </c>
      <c r="S41" s="360">
        <v>228.54620571279898</v>
      </c>
      <c r="T41" s="360">
        <v>261.77466658394206</v>
      </c>
      <c r="U41" s="360">
        <v>285.85956520009694</v>
      </c>
      <c r="V41" s="360">
        <v>283.35427376298543</v>
      </c>
      <c r="W41" s="184"/>
    </row>
    <row r="42" spans="1:23" s="271" customFormat="1" ht="9.9499999999999993" customHeight="1">
      <c r="A42" s="177"/>
      <c r="B42" s="183" t="s">
        <v>380</v>
      </c>
      <c r="C42" s="360">
        <v>55.529671206602082</v>
      </c>
      <c r="D42" s="360">
        <v>51.422368544503684</v>
      </c>
      <c r="E42" s="360">
        <v>55.126471882765244</v>
      </c>
      <c r="F42" s="360">
        <v>58.924920301405294</v>
      </c>
      <c r="G42" s="360">
        <v>53.975833586059132</v>
      </c>
      <c r="H42" s="360">
        <v>60.440248862839489</v>
      </c>
      <c r="I42" s="360">
        <v>65.720056539326279</v>
      </c>
      <c r="J42" s="360">
        <v>70.09020556000003</v>
      </c>
      <c r="K42" s="360">
        <v>73.50023286197613</v>
      </c>
      <c r="L42" s="360">
        <v>79.587536408014884</v>
      </c>
      <c r="M42" s="360">
        <v>76.7026269246428</v>
      </c>
      <c r="N42" s="360">
        <v>73.886154370048629</v>
      </c>
      <c r="O42" s="360">
        <v>84.232428644066928</v>
      </c>
      <c r="P42" s="360">
        <v>89.921013188938375</v>
      </c>
      <c r="Q42" s="360">
        <v>92.743186725541733</v>
      </c>
      <c r="R42" s="360">
        <v>92.035885500506765</v>
      </c>
      <c r="S42" s="360">
        <v>82.19859073996632</v>
      </c>
      <c r="T42" s="360">
        <v>83.227049951709176</v>
      </c>
      <c r="U42" s="360">
        <v>95.450606854830795</v>
      </c>
      <c r="V42" s="360">
        <v>98.736597795226771</v>
      </c>
      <c r="W42" s="184"/>
    </row>
    <row r="43" spans="1:23" s="271" customFormat="1" ht="9.9499999999999993" customHeight="1">
      <c r="A43" s="177"/>
      <c r="B43" s="183" t="s">
        <v>381</v>
      </c>
      <c r="C43" s="360">
        <v>61.88583575597616</v>
      </c>
      <c r="D43" s="360">
        <v>54.331265294284051</v>
      </c>
      <c r="E43" s="360">
        <v>55.835473031423874</v>
      </c>
      <c r="F43" s="360">
        <v>58.279373695392572</v>
      </c>
      <c r="G43" s="360">
        <v>53.46494167377611</v>
      </c>
      <c r="H43" s="360">
        <v>55.499145209487317</v>
      </c>
      <c r="I43" s="360">
        <v>63.96152887258544</v>
      </c>
      <c r="J43" s="360">
        <v>61.810763040000019</v>
      </c>
      <c r="K43" s="360">
        <v>66.638965002983227</v>
      </c>
      <c r="L43" s="360">
        <v>71.930608523478909</v>
      </c>
      <c r="M43" s="360">
        <v>73.121350364749574</v>
      </c>
      <c r="N43" s="360">
        <v>69.320148919950725</v>
      </c>
      <c r="O43" s="360">
        <v>75.680472282815359</v>
      </c>
      <c r="P43" s="360">
        <v>77.535609515108575</v>
      </c>
      <c r="Q43" s="360">
        <v>74.815913417536493</v>
      </c>
      <c r="R43" s="360">
        <v>75.835351310442661</v>
      </c>
      <c r="S43" s="360">
        <v>71.551636967871204</v>
      </c>
      <c r="T43" s="360">
        <v>71.650370529016016</v>
      </c>
      <c r="U43" s="360">
        <v>77.567559145952842</v>
      </c>
      <c r="V43" s="360">
        <v>73.958098285456984</v>
      </c>
      <c r="W43" s="184"/>
    </row>
    <row r="44" spans="1:23" s="271" customFormat="1" ht="9.9499999999999993" customHeight="1">
      <c r="A44" s="177"/>
      <c r="B44" s="183" t="s">
        <v>382</v>
      </c>
      <c r="C44" s="360">
        <v>46.633406325712961</v>
      </c>
      <c r="D44" s="360">
        <v>46.404776780067714</v>
      </c>
      <c r="E44" s="360">
        <v>50.373278709155727</v>
      </c>
      <c r="F44" s="360">
        <v>50.146461823103841</v>
      </c>
      <c r="G44" s="360">
        <v>47.741232868289131</v>
      </c>
      <c r="H44" s="360">
        <v>47.427901436612885</v>
      </c>
      <c r="I44" s="360">
        <v>56.19076008647361</v>
      </c>
      <c r="J44" s="360">
        <v>51.615322439999986</v>
      </c>
      <c r="K44" s="360">
        <v>54.462675113410477</v>
      </c>
      <c r="L44" s="360">
        <v>51.791562838091217</v>
      </c>
      <c r="M44" s="360">
        <v>58.197126104083885</v>
      </c>
      <c r="N44" s="360">
        <v>58.665011724850437</v>
      </c>
      <c r="O44" s="360">
        <v>57.326420825673829</v>
      </c>
      <c r="P44" s="360">
        <v>56.841276184918428</v>
      </c>
      <c r="Q44" s="360">
        <v>55.285445226065193</v>
      </c>
      <c r="R44" s="360">
        <v>56.20752248302643</v>
      </c>
      <c r="S44" s="360">
        <v>54.939344940617474</v>
      </c>
      <c r="T44" s="360">
        <v>56.413505106896629</v>
      </c>
      <c r="U44" s="360">
        <v>57.012622434003767</v>
      </c>
      <c r="V44" s="360">
        <v>61.099331266600309</v>
      </c>
      <c r="W44" s="184"/>
    </row>
    <row r="45" spans="1:23" s="271" customFormat="1" ht="9.9499999999999993" customHeight="1">
      <c r="A45" s="177"/>
      <c r="B45" s="183" t="s">
        <v>383</v>
      </c>
      <c r="C45" s="360">
        <v>40.338182534904874</v>
      </c>
      <c r="D45" s="360">
        <v>39.790588144084893</v>
      </c>
      <c r="E45" s="360">
        <v>36.831748254875663</v>
      </c>
      <c r="F45" s="360">
        <v>42.99550405125585</v>
      </c>
      <c r="G45" s="360">
        <v>40.011342069168634</v>
      </c>
      <c r="H45" s="360">
        <v>35.248283354350477</v>
      </c>
      <c r="I45" s="360">
        <v>56.461432026146703</v>
      </c>
      <c r="J45" s="360">
        <v>49.887532579999963</v>
      </c>
      <c r="K45" s="360">
        <v>64.948689679498159</v>
      </c>
      <c r="L45" s="360">
        <v>75.782394449155902</v>
      </c>
      <c r="M45" s="360">
        <v>71.196219110199806</v>
      </c>
      <c r="N45" s="360">
        <v>79.505396070506819</v>
      </c>
      <c r="O45" s="360">
        <v>88.960681063289925</v>
      </c>
      <c r="P45" s="360">
        <v>93.025024038900597</v>
      </c>
      <c r="Q45" s="360">
        <v>100.53411212266997</v>
      </c>
      <c r="R45" s="360">
        <v>101.54691531026194</v>
      </c>
      <c r="S45" s="360">
        <v>87.685008901487933</v>
      </c>
      <c r="T45" s="360">
        <v>77.799435238408321</v>
      </c>
      <c r="U45" s="360">
        <v>89.117025681396342</v>
      </c>
      <c r="V45" s="360">
        <v>90.405155027844515</v>
      </c>
      <c r="W45" s="184"/>
    </row>
    <row r="46" spans="1:23" s="271" customFormat="1" ht="9.9499999999999993" customHeight="1">
      <c r="A46" s="177"/>
      <c r="B46" s="183" t="s">
        <v>267</v>
      </c>
      <c r="C46" s="360">
        <v>48.74839510015979</v>
      </c>
      <c r="D46" s="360">
        <v>48.137210579072402</v>
      </c>
      <c r="E46" s="360">
        <v>54.029887809891072</v>
      </c>
      <c r="F46" s="360">
        <v>50.059220772795278</v>
      </c>
      <c r="G46" s="360">
        <v>47.920735930090778</v>
      </c>
      <c r="H46" s="360">
        <v>47.806850889300613</v>
      </c>
      <c r="I46" s="360">
        <v>43.794047976137747</v>
      </c>
      <c r="J46" s="360">
        <v>49.245480930000021</v>
      </c>
      <c r="K46" s="360">
        <v>57.870698099220377</v>
      </c>
      <c r="L46" s="360">
        <v>60.752603742743638</v>
      </c>
      <c r="M46" s="360">
        <v>58.823779434757725</v>
      </c>
      <c r="N46" s="360">
        <v>60.753024367080876</v>
      </c>
      <c r="O46" s="360">
        <v>63.435883897652538</v>
      </c>
      <c r="P46" s="360">
        <v>67.033768276107864</v>
      </c>
      <c r="Q46" s="360">
        <v>70.251057065773196</v>
      </c>
      <c r="R46" s="360">
        <v>68.433041231996597</v>
      </c>
      <c r="S46" s="360">
        <v>68.040280920310977</v>
      </c>
      <c r="T46" s="360">
        <v>61.008093635804748</v>
      </c>
      <c r="U46" s="360">
        <v>60.241774847256679</v>
      </c>
      <c r="V46" s="360">
        <v>61.559621608035449</v>
      </c>
      <c r="W46" s="184"/>
    </row>
    <row r="47" spans="1:23" s="271" customFormat="1" ht="9.9499999999999993" customHeight="1">
      <c r="A47" s="187"/>
      <c r="B47" s="188" t="s">
        <v>210</v>
      </c>
      <c r="C47" s="361">
        <v>52.916085575123901</v>
      </c>
      <c r="D47" s="361">
        <v>50.178714412732162</v>
      </c>
      <c r="E47" s="361">
        <v>37.410574804089443</v>
      </c>
      <c r="F47" s="361">
        <v>41.725314528749252</v>
      </c>
      <c r="G47" s="361">
        <v>37.824564131469998</v>
      </c>
      <c r="H47" s="361">
        <v>36.696057111783425</v>
      </c>
      <c r="I47" s="361">
        <v>34.579913283799236</v>
      </c>
      <c r="J47" s="361">
        <v>45.667517250000003</v>
      </c>
      <c r="K47" s="361">
        <v>59.078222320893573</v>
      </c>
      <c r="L47" s="361">
        <v>61.587290207789884</v>
      </c>
      <c r="M47" s="361">
        <v>48.400395415474044</v>
      </c>
      <c r="N47" s="361">
        <v>42.76648293565141</v>
      </c>
      <c r="O47" s="361">
        <v>61.24867959453718</v>
      </c>
      <c r="P47" s="361">
        <v>56.585678168063055</v>
      </c>
      <c r="Q47" s="361">
        <v>56.365556738341546</v>
      </c>
      <c r="R47" s="361">
        <v>50.245137304974726</v>
      </c>
      <c r="S47" s="361">
        <v>51.069596336164999</v>
      </c>
      <c r="T47" s="361">
        <v>54.648259854257347</v>
      </c>
      <c r="U47" s="361">
        <v>65.217655330121744</v>
      </c>
      <c r="V47" s="361">
        <v>56.611974990314806</v>
      </c>
      <c r="W47" s="184"/>
    </row>
    <row r="48" spans="1:23" s="271" customFormat="1" ht="12.75">
      <c r="A48" s="43"/>
      <c r="B48" s="190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51"/>
      <c r="V48" s="151" t="s">
        <v>321</v>
      </c>
      <c r="W48" s="184"/>
    </row>
    <row r="49" spans="1:23" s="271" customFormat="1" ht="12.75">
      <c r="B49" s="81" t="s">
        <v>364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s="271" customFormat="1" ht="16.350000000000001" customHeight="1">
      <c r="A50" s="144" t="s">
        <v>229</v>
      </c>
      <c r="B50" s="175"/>
      <c r="C50" s="176" t="s">
        <v>200</v>
      </c>
      <c r="D50" s="176" t="s">
        <v>201</v>
      </c>
      <c r="E50" s="176" t="s">
        <v>251</v>
      </c>
      <c r="F50" s="176" t="s">
        <v>386</v>
      </c>
      <c r="G50" s="176" t="s">
        <v>387</v>
      </c>
      <c r="H50" s="176" t="s">
        <v>388</v>
      </c>
      <c r="I50" s="176" t="s">
        <v>389</v>
      </c>
      <c r="J50" s="176" t="s">
        <v>390</v>
      </c>
      <c r="K50" s="176" t="s">
        <v>391</v>
      </c>
      <c r="L50" s="176" t="s">
        <v>225</v>
      </c>
      <c r="M50" s="176" t="s">
        <v>226</v>
      </c>
      <c r="N50" s="176" t="s">
        <v>227</v>
      </c>
      <c r="O50" s="176" t="s">
        <v>274</v>
      </c>
      <c r="P50" s="176" t="s">
        <v>275</v>
      </c>
      <c r="Q50" s="176" t="s">
        <v>276</v>
      </c>
      <c r="R50" s="176" t="s">
        <v>277</v>
      </c>
      <c r="S50" s="176" t="s">
        <v>278</v>
      </c>
      <c r="T50" s="304">
        <v>2017</v>
      </c>
      <c r="U50" s="304" t="s">
        <v>84</v>
      </c>
      <c r="V50" s="304" t="s">
        <v>85</v>
      </c>
      <c r="W50" s="11"/>
    </row>
    <row r="51" spans="1:23" s="271" customFormat="1" ht="10.35" customHeight="1">
      <c r="A51" s="195"/>
      <c r="B51" s="190" t="s">
        <v>384</v>
      </c>
      <c r="C51" s="360">
        <v>58.104356809320286</v>
      </c>
      <c r="D51" s="360">
        <v>56.551091148313724</v>
      </c>
      <c r="E51" s="360">
        <v>58.861961043366932</v>
      </c>
      <c r="F51" s="360">
        <v>54.607963044161679</v>
      </c>
      <c r="G51" s="360">
        <v>49.752091576225219</v>
      </c>
      <c r="H51" s="360">
        <v>53.649907891479721</v>
      </c>
      <c r="I51" s="360">
        <v>48.472365252557623</v>
      </c>
      <c r="J51" s="360">
        <v>45.581310260000002</v>
      </c>
      <c r="K51" s="360">
        <v>43.767133135644983</v>
      </c>
      <c r="L51" s="360">
        <v>47.30999687499974</v>
      </c>
      <c r="M51" s="360">
        <v>44.206799620290681</v>
      </c>
      <c r="N51" s="360">
        <v>42.325865418359612</v>
      </c>
      <c r="O51" s="360">
        <v>43.687249108823131</v>
      </c>
      <c r="P51" s="360">
        <v>44.539006876708534</v>
      </c>
      <c r="Q51" s="360">
        <v>42.75088891271534</v>
      </c>
      <c r="R51" s="360">
        <v>44.543756793700119</v>
      </c>
      <c r="S51" s="360">
        <v>43.649841043009125</v>
      </c>
      <c r="T51" s="360">
        <v>45.723240489108655</v>
      </c>
      <c r="U51" s="360">
        <v>49.408309160634367</v>
      </c>
      <c r="V51" s="360">
        <v>45.7431155378951</v>
      </c>
      <c r="W51" s="11"/>
    </row>
    <row r="52" spans="1:23" s="271" customFormat="1" ht="10.35" customHeight="1">
      <c r="A52" s="195"/>
      <c r="B52" s="190" t="s">
        <v>447</v>
      </c>
      <c r="C52" s="360">
        <v>45.533185689838426</v>
      </c>
      <c r="D52" s="360">
        <v>45.32986701827145</v>
      </c>
      <c r="E52" s="360">
        <v>49.254721229360634</v>
      </c>
      <c r="F52" s="360">
        <v>54.139357323694014</v>
      </c>
      <c r="G52" s="360">
        <v>55.317516228234929</v>
      </c>
      <c r="H52" s="360">
        <v>48.794263600240868</v>
      </c>
      <c r="I52" s="360">
        <v>50.041970635028633</v>
      </c>
      <c r="J52" s="360">
        <v>45.00504635685386</v>
      </c>
      <c r="K52" s="360">
        <v>47.748115496174783</v>
      </c>
      <c r="L52" s="360">
        <v>49.617604665936554</v>
      </c>
      <c r="M52" s="360">
        <v>53.287303585843233</v>
      </c>
      <c r="N52" s="360">
        <v>35.888924418261375</v>
      </c>
      <c r="O52" s="360">
        <v>35.324256128650653</v>
      </c>
      <c r="P52" s="360">
        <v>43.380759915769708</v>
      </c>
      <c r="Q52" s="360">
        <v>42.297770215108862</v>
      </c>
      <c r="R52" s="360">
        <v>41.284969328426186</v>
      </c>
      <c r="S52" s="360">
        <v>48.332918541429144</v>
      </c>
      <c r="T52" s="360">
        <v>50.53891043888143</v>
      </c>
      <c r="U52" s="360">
        <v>50.201553371130672</v>
      </c>
      <c r="V52" s="360">
        <v>48.969005095989544</v>
      </c>
      <c r="W52" s="11"/>
    </row>
    <row r="53" spans="1:23" s="271" customFormat="1" ht="10.35" customHeight="1">
      <c r="A53" s="195"/>
      <c r="B53" s="190" t="s">
        <v>448</v>
      </c>
      <c r="C53" s="360">
        <v>34.454951217269397</v>
      </c>
      <c r="D53" s="360">
        <v>27.214838001054158</v>
      </c>
      <c r="E53" s="360">
        <v>37.122536381012445</v>
      </c>
      <c r="F53" s="360">
        <v>36.769875148388934</v>
      </c>
      <c r="G53" s="360">
        <v>32.996090621296254</v>
      </c>
      <c r="H53" s="360">
        <v>39.831270468085044</v>
      </c>
      <c r="I53" s="360">
        <v>37.188899225224972</v>
      </c>
      <c r="J53" s="360">
        <v>38.895031020000019</v>
      </c>
      <c r="K53" s="360">
        <v>36.503288350671149</v>
      </c>
      <c r="L53" s="360">
        <v>48.15044172234461</v>
      </c>
      <c r="M53" s="360">
        <v>50.206014261060346</v>
      </c>
      <c r="N53" s="360">
        <v>50.332136419939545</v>
      </c>
      <c r="O53" s="360">
        <v>54.036500166317076</v>
      </c>
      <c r="P53" s="360">
        <v>63.712835461589471</v>
      </c>
      <c r="Q53" s="360">
        <v>140.21614177634146</v>
      </c>
      <c r="R53" s="360">
        <v>129.14434001317539</v>
      </c>
      <c r="S53" s="360">
        <v>96.882084487289958</v>
      </c>
      <c r="T53" s="360">
        <v>96.134318792256053</v>
      </c>
      <c r="U53" s="360">
        <v>106.01084870830944</v>
      </c>
      <c r="V53" s="360">
        <v>109.72298562661211</v>
      </c>
      <c r="W53" s="11"/>
    </row>
    <row r="54" spans="1:23" s="271" customFormat="1" ht="10.35" customHeight="1">
      <c r="A54" s="195"/>
      <c r="B54" s="190" t="s">
        <v>271</v>
      </c>
      <c r="C54" s="360">
        <v>21.597547959810925</v>
      </c>
      <c r="D54" s="360">
        <v>27.31684731813252</v>
      </c>
      <c r="E54" s="360">
        <v>25.5180082366278</v>
      </c>
      <c r="F54" s="360">
        <v>24.237426536802669</v>
      </c>
      <c r="G54" s="360">
        <v>24.906054548214488</v>
      </c>
      <c r="H54" s="360">
        <v>28.509452045855678</v>
      </c>
      <c r="I54" s="360">
        <v>30.907778177994896</v>
      </c>
      <c r="J54" s="360">
        <v>36.300228899999958</v>
      </c>
      <c r="K54" s="360">
        <v>48.532346747979282</v>
      </c>
      <c r="L54" s="360">
        <v>56.522521275350208</v>
      </c>
      <c r="M54" s="360">
        <v>57.552631391734096</v>
      </c>
      <c r="N54" s="360">
        <v>60.802115454550247</v>
      </c>
      <c r="O54" s="360">
        <v>58.211256866367023</v>
      </c>
      <c r="P54" s="360">
        <v>70.994806252514636</v>
      </c>
      <c r="Q54" s="360">
        <v>79.116130414006022</v>
      </c>
      <c r="R54" s="360">
        <v>76.974720824774153</v>
      </c>
      <c r="S54" s="360">
        <v>82.810402344025192</v>
      </c>
      <c r="T54" s="360">
        <v>87.908657547258869</v>
      </c>
      <c r="U54" s="360">
        <v>92.744357497935056</v>
      </c>
      <c r="V54" s="360">
        <v>80.944518551264565</v>
      </c>
      <c r="W54" s="11"/>
    </row>
    <row r="55" spans="1:23" s="271" customFormat="1" ht="10.35" customHeight="1">
      <c r="A55" s="195"/>
      <c r="B55" s="190" t="s">
        <v>449</v>
      </c>
      <c r="C55" s="360">
        <v>40.348827615660838</v>
      </c>
      <c r="D55" s="360">
        <v>34.397685975209939</v>
      </c>
      <c r="E55" s="360">
        <v>32.88923274691507</v>
      </c>
      <c r="F55" s="360">
        <v>32.291249618054742</v>
      </c>
      <c r="G55" s="360">
        <v>31.76230450274937</v>
      </c>
      <c r="H55" s="360">
        <v>32.646052400578427</v>
      </c>
      <c r="I55" s="360">
        <v>33.700473498882737</v>
      </c>
      <c r="J55" s="360">
        <v>33.840623909999984</v>
      </c>
      <c r="K55" s="360">
        <v>34.935639177822061</v>
      </c>
      <c r="L55" s="360">
        <v>39.343758408752358</v>
      </c>
      <c r="M55" s="360">
        <v>45.342093425698707</v>
      </c>
      <c r="N55" s="360">
        <v>42.871080404861374</v>
      </c>
      <c r="O55" s="360">
        <v>41.566403856203195</v>
      </c>
      <c r="P55" s="360">
        <v>43.493989591442002</v>
      </c>
      <c r="Q55" s="360">
        <v>43.022374611618361</v>
      </c>
      <c r="R55" s="360">
        <v>47.682015310799045</v>
      </c>
      <c r="S55" s="360">
        <v>44.618316873299939</v>
      </c>
      <c r="T55" s="360">
        <v>47.143050003407367</v>
      </c>
      <c r="U55" s="360">
        <v>39.602779183173439</v>
      </c>
      <c r="V55" s="360">
        <v>40.343749353321819</v>
      </c>
      <c r="W55" s="11"/>
    </row>
    <row r="56" spans="1:23" s="271" customFormat="1" ht="10.35" customHeight="1">
      <c r="A56" s="195"/>
      <c r="B56" s="190" t="s">
        <v>493</v>
      </c>
      <c r="C56" s="360">
        <v>24.004189782386625</v>
      </c>
      <c r="D56" s="360">
        <v>21.764304299513245</v>
      </c>
      <c r="E56" s="360">
        <v>24.659139523737945</v>
      </c>
      <c r="F56" s="360">
        <v>27.638542299448847</v>
      </c>
      <c r="G56" s="360">
        <v>28.39112519739415</v>
      </c>
      <c r="H56" s="360">
        <v>24.416246646468593</v>
      </c>
      <c r="I56" s="360">
        <v>43.065102394614655</v>
      </c>
      <c r="J56" s="360">
        <v>32.862644049999993</v>
      </c>
      <c r="K56" s="360">
        <v>39.744188646090095</v>
      </c>
      <c r="L56" s="360">
        <v>39.321587736148523</v>
      </c>
      <c r="M56" s="360">
        <v>49.683637962938434</v>
      </c>
      <c r="N56" s="360">
        <v>32.952221503566335</v>
      </c>
      <c r="O56" s="360">
        <v>53.773143477830935</v>
      </c>
      <c r="P56" s="360">
        <v>27.164753447931069</v>
      </c>
      <c r="Q56" s="360">
        <v>25.399768844422596</v>
      </c>
      <c r="R56" s="360">
        <v>28.06763774085606</v>
      </c>
      <c r="S56" s="360">
        <v>34.94992031906289</v>
      </c>
      <c r="T56" s="360">
        <v>29.376999984131242</v>
      </c>
      <c r="U56" s="360">
        <v>20.448986208391883</v>
      </c>
      <c r="V56" s="360">
        <v>31.105793135887662</v>
      </c>
      <c r="W56" s="11"/>
    </row>
    <row r="57" spans="1:23" s="271" customFormat="1" ht="10.35" customHeight="1">
      <c r="A57" s="195"/>
      <c r="B57" s="190" t="s">
        <v>466</v>
      </c>
      <c r="C57" s="360">
        <v>33.67667200833116</v>
      </c>
      <c r="D57" s="360">
        <v>32.77676244929723</v>
      </c>
      <c r="E57" s="360">
        <v>33.105363778723984</v>
      </c>
      <c r="F57" s="360">
        <v>30.952804971354148</v>
      </c>
      <c r="G57" s="360">
        <v>28.131678533841917</v>
      </c>
      <c r="H57" s="360">
        <v>26.354421129339382</v>
      </c>
      <c r="I57" s="360">
        <v>28.606623582950313</v>
      </c>
      <c r="J57" s="360">
        <v>29.654499069999986</v>
      </c>
      <c r="K57" s="360">
        <v>32.229430358731882</v>
      </c>
      <c r="L57" s="360">
        <v>32.544641459860053</v>
      </c>
      <c r="M57" s="360">
        <v>30.945280227819168</v>
      </c>
      <c r="N57" s="360">
        <v>32.068589904449688</v>
      </c>
      <c r="O57" s="360">
        <v>32.768565791075723</v>
      </c>
      <c r="P57" s="360">
        <v>34.357374157357945</v>
      </c>
      <c r="Q57" s="360">
        <v>34.210199806927463</v>
      </c>
      <c r="R57" s="360">
        <v>35.669967007728715</v>
      </c>
      <c r="S57" s="360">
        <v>0</v>
      </c>
      <c r="T57" s="360">
        <v>34.699589019070032</v>
      </c>
      <c r="U57" s="360">
        <v>40.320076764930256</v>
      </c>
      <c r="V57" s="360">
        <v>36.566048355366775</v>
      </c>
      <c r="W57" s="11"/>
    </row>
    <row r="58" spans="1:23" s="271" customFormat="1" ht="10.35" customHeight="1">
      <c r="A58" s="195"/>
      <c r="B58" s="190" t="s">
        <v>467</v>
      </c>
      <c r="C58" s="360">
        <v>13.810733104695689</v>
      </c>
      <c r="D58" s="360">
        <v>19.633189874500086</v>
      </c>
      <c r="E58" s="360">
        <v>21.706059270468025</v>
      </c>
      <c r="F58" s="360">
        <v>30.529316791787465</v>
      </c>
      <c r="G58" s="360">
        <v>37.096629075224413</v>
      </c>
      <c r="H58" s="360">
        <v>36.126746571859634</v>
      </c>
      <c r="I58" s="360">
        <v>36.058927042602818</v>
      </c>
      <c r="J58" s="360">
        <v>29.262956500000005</v>
      </c>
      <c r="K58" s="360">
        <v>34.458721297601222</v>
      </c>
      <c r="L58" s="360">
        <v>34.980862641345425</v>
      </c>
      <c r="M58" s="360">
        <v>37.693669105615001</v>
      </c>
      <c r="N58" s="360">
        <v>40.460975701926962</v>
      </c>
      <c r="O58" s="360">
        <v>42.324048256061502</v>
      </c>
      <c r="P58" s="360">
        <v>46.621598455795343</v>
      </c>
      <c r="Q58" s="360">
        <v>46.563024936331374</v>
      </c>
      <c r="R58" s="360">
        <v>50.532938832138051</v>
      </c>
      <c r="S58" s="360">
        <v>59.401400941629731</v>
      </c>
      <c r="T58" s="360">
        <v>59.325234393387461</v>
      </c>
      <c r="U58" s="360">
        <v>59.041624925900692</v>
      </c>
      <c r="V58" s="360">
        <v>49.027866971323327</v>
      </c>
      <c r="W58" s="11"/>
    </row>
    <row r="59" spans="1:23" s="271" customFormat="1" ht="10.35" customHeight="1">
      <c r="A59" s="195"/>
      <c r="B59" s="190" t="s">
        <v>446</v>
      </c>
      <c r="C59" s="360">
        <v>19.211595738031765</v>
      </c>
      <c r="D59" s="360">
        <v>19.341925985567663</v>
      </c>
      <c r="E59" s="360">
        <v>19.820300241441426</v>
      </c>
      <c r="F59" s="360">
        <v>17.152282524229996</v>
      </c>
      <c r="G59" s="360">
        <v>20.340530661649062</v>
      </c>
      <c r="H59" s="360">
        <v>20.536811077955051</v>
      </c>
      <c r="I59" s="360">
        <v>24.537124196286676</v>
      </c>
      <c r="J59" s="360">
        <v>29.207503099999993</v>
      </c>
      <c r="K59" s="360">
        <v>36.500338174244717</v>
      </c>
      <c r="L59" s="360">
        <v>40.178876039956364</v>
      </c>
      <c r="M59" s="360">
        <v>34.468618409139545</v>
      </c>
      <c r="N59" s="360">
        <v>32.676691372747214</v>
      </c>
      <c r="O59" s="360">
        <v>35.676101425704431</v>
      </c>
      <c r="P59" s="360">
        <v>34.279290282225439</v>
      </c>
      <c r="Q59" s="360">
        <v>34.33688154434995</v>
      </c>
      <c r="R59" s="360">
        <v>36.000580555198709</v>
      </c>
      <c r="S59" s="360">
        <v>32.198389270363357</v>
      </c>
      <c r="T59" s="360">
        <v>36.117503406592256</v>
      </c>
      <c r="U59" s="360">
        <v>38.080250823938719</v>
      </c>
      <c r="V59" s="360">
        <v>47.913524219661603</v>
      </c>
      <c r="W59" s="11"/>
    </row>
    <row r="60" spans="1:23" s="271" customFormat="1" ht="10.35" customHeight="1">
      <c r="A60" s="195"/>
      <c r="B60" s="190" t="s">
        <v>468</v>
      </c>
      <c r="C60" s="360">
        <v>25.966281752313726</v>
      </c>
      <c r="D60" s="360">
        <v>19.51051361013473</v>
      </c>
      <c r="E60" s="360">
        <v>26.257594789663152</v>
      </c>
      <c r="F60" s="360">
        <v>25.037312967147699</v>
      </c>
      <c r="G60" s="360">
        <v>16.405123610902955</v>
      </c>
      <c r="H60" s="360">
        <v>12.463295154899757</v>
      </c>
      <c r="I60" s="360">
        <v>34.75454098297169</v>
      </c>
      <c r="J60" s="360">
        <v>27.799107809999992</v>
      </c>
      <c r="K60" s="360">
        <v>30.744900754399346</v>
      </c>
      <c r="L60" s="360">
        <v>36.201599758321628</v>
      </c>
      <c r="M60" s="360">
        <v>28.30815979331652</v>
      </c>
      <c r="N60" s="360">
        <v>35.655666419677061</v>
      </c>
      <c r="O60" s="360">
        <v>45.399018204915976</v>
      </c>
      <c r="P60" s="360">
        <v>29.262636191603214</v>
      </c>
      <c r="Q60" s="360">
        <v>37.177783091362848</v>
      </c>
      <c r="R60" s="360">
        <v>35.495217434458183</v>
      </c>
      <c r="S60" s="360">
        <v>41.181302624501868</v>
      </c>
      <c r="T60" s="360">
        <v>32.413150208426089</v>
      </c>
      <c r="U60" s="360">
        <v>26.759507533468092</v>
      </c>
      <c r="V60" s="360">
        <v>25.880199059426946</v>
      </c>
      <c r="W60" s="11"/>
    </row>
    <row r="61" spans="1:23" s="271" customFormat="1" ht="10.35" customHeight="1">
      <c r="A61" s="195"/>
      <c r="B61" s="190" t="s">
        <v>469</v>
      </c>
      <c r="C61" s="360">
        <v>22.151171918988368</v>
      </c>
      <c r="D61" s="360">
        <v>17.815755613615124</v>
      </c>
      <c r="E61" s="360">
        <v>17.612338122071161</v>
      </c>
      <c r="F61" s="360">
        <v>18.842509960641308</v>
      </c>
      <c r="G61" s="360">
        <v>20.083499732786329</v>
      </c>
      <c r="H61" s="360">
        <v>18.610228958322402</v>
      </c>
      <c r="I61" s="360">
        <v>20.055284356751351</v>
      </c>
      <c r="J61" s="360">
        <v>20.667383074117655</v>
      </c>
      <c r="K61" s="360">
        <v>25.374834098947058</v>
      </c>
      <c r="L61" s="360">
        <v>29.181198993055141</v>
      </c>
      <c r="M61" s="360">
        <v>32.009716819447334</v>
      </c>
      <c r="N61" s="360">
        <v>36.936392024344329</v>
      </c>
      <c r="O61" s="360">
        <v>41.375573087973827</v>
      </c>
      <c r="P61" s="360">
        <v>60.810026389181722</v>
      </c>
      <c r="Q61" s="360">
        <v>63.854734802335756</v>
      </c>
      <c r="R61" s="360">
        <v>66.319065449401407</v>
      </c>
      <c r="S61" s="360">
        <v>68.26810746334219</v>
      </c>
      <c r="T61" s="360">
        <v>76.232126280623831</v>
      </c>
      <c r="U61" s="360">
        <v>74.811741687328251</v>
      </c>
      <c r="V61" s="360">
        <v>72.241796005238314</v>
      </c>
      <c r="W61" s="11"/>
    </row>
    <row r="62" spans="1:23" s="271" customFormat="1" ht="10.35" customHeight="1">
      <c r="A62" s="195"/>
      <c r="B62" s="190" t="s">
        <v>477</v>
      </c>
      <c r="C62" s="360">
        <v>7.7259892488002606</v>
      </c>
      <c r="D62" s="360">
        <v>6.8799841268091173</v>
      </c>
      <c r="E62" s="360">
        <v>9.550134337094649</v>
      </c>
      <c r="F62" s="360">
        <v>11.429437631118507</v>
      </c>
      <c r="G62" s="360">
        <v>13.698403713261625</v>
      </c>
      <c r="H62" s="360">
        <v>14.443007626641434</v>
      </c>
      <c r="I62" s="360">
        <v>15.832516451503484</v>
      </c>
      <c r="J62" s="360">
        <v>18.139972529988867</v>
      </c>
      <c r="K62" s="360">
        <v>17.901458989847281</v>
      </c>
      <c r="L62" s="360">
        <v>20.223906226770357</v>
      </c>
      <c r="M62" s="360">
        <v>20.94458533130442</v>
      </c>
      <c r="N62" s="360">
        <v>21.453885580060014</v>
      </c>
      <c r="O62" s="360">
        <v>23.103416123491147</v>
      </c>
      <c r="P62" s="360">
        <v>24.175231124681318</v>
      </c>
      <c r="Q62" s="360">
        <v>26.083970016971023</v>
      </c>
      <c r="R62" s="360">
        <v>24.851089365538709</v>
      </c>
      <c r="S62" s="360">
        <v>25.470102287411422</v>
      </c>
      <c r="T62" s="360">
        <v>23.545895954214359</v>
      </c>
      <c r="U62" s="360">
        <v>22.310360531128964</v>
      </c>
      <c r="V62" s="360">
        <v>22.863331186609866</v>
      </c>
      <c r="W62" s="11"/>
    </row>
    <row r="63" spans="1:23" s="271" customFormat="1" ht="10.35" customHeight="1">
      <c r="A63" s="195"/>
      <c r="B63" s="190" t="s">
        <v>490</v>
      </c>
      <c r="C63" s="360">
        <v>16.207260561030548</v>
      </c>
      <c r="D63" s="360">
        <v>15.319307076022003</v>
      </c>
      <c r="E63" s="360">
        <v>20.618303708167804</v>
      </c>
      <c r="F63" s="360">
        <v>17.682285631799992</v>
      </c>
      <c r="G63" s="360">
        <v>15.855470020225566</v>
      </c>
      <c r="H63" s="360">
        <v>16.939745365419363</v>
      </c>
      <c r="I63" s="360">
        <v>16.033910264270116</v>
      </c>
      <c r="J63" s="360">
        <v>16.963470073385711</v>
      </c>
      <c r="K63" s="360">
        <v>17.858679942324777</v>
      </c>
      <c r="L63" s="360">
        <v>21.885238216655292</v>
      </c>
      <c r="M63" s="360">
        <v>23.061242637557083</v>
      </c>
      <c r="N63" s="360">
        <v>22.99475110798145</v>
      </c>
      <c r="O63" s="360">
        <v>20.7701821815035</v>
      </c>
      <c r="P63" s="360">
        <v>29.015794616078832</v>
      </c>
      <c r="Q63" s="360">
        <v>23.186990269843335</v>
      </c>
      <c r="R63" s="360">
        <v>24.761481502941287</v>
      </c>
      <c r="S63" s="360">
        <v>32.443048927477484</v>
      </c>
      <c r="T63" s="360">
        <v>33.523478651151414</v>
      </c>
      <c r="U63" s="360">
        <v>26.857185433639366</v>
      </c>
      <c r="V63" s="360">
        <v>29.529453601381618</v>
      </c>
      <c r="W63" s="11"/>
    </row>
    <row r="64" spans="1:23" s="271" customFormat="1" ht="10.35" customHeight="1">
      <c r="A64" s="195"/>
      <c r="B64" s="190" t="s">
        <v>519</v>
      </c>
      <c r="C64" s="360">
        <v>11.040939180585141</v>
      </c>
      <c r="D64" s="360">
        <v>8.7115248769653739</v>
      </c>
      <c r="E64" s="360">
        <v>8.8672466276641142</v>
      </c>
      <c r="F64" s="360">
        <v>12.864297297834216</v>
      </c>
      <c r="G64" s="360">
        <v>11.102917077253029</v>
      </c>
      <c r="H64" s="360">
        <v>11.632549937590053</v>
      </c>
      <c r="I64" s="360">
        <v>13.631839222728848</v>
      </c>
      <c r="J64" s="360">
        <v>16.829577440000005</v>
      </c>
      <c r="K64" s="360">
        <v>18.962998072010944</v>
      </c>
      <c r="L64" s="360">
        <v>25.842226616098436</v>
      </c>
      <c r="M64" s="360">
        <v>31.085608910102813</v>
      </c>
      <c r="N64" s="360">
        <v>44.452559225350363</v>
      </c>
      <c r="O64" s="360">
        <v>32.702123959082364</v>
      </c>
      <c r="P64" s="360">
        <v>25.574968810501762</v>
      </c>
      <c r="Q64" s="360">
        <v>25.562182767807382</v>
      </c>
      <c r="R64" s="360">
        <v>38.902484938103278</v>
      </c>
      <c r="S64" s="360">
        <v>36.421149698539345</v>
      </c>
      <c r="T64" s="360">
        <v>36.777110593709679</v>
      </c>
      <c r="U64" s="360">
        <v>35.494786475163821</v>
      </c>
      <c r="V64" s="360">
        <v>41.971643178892833</v>
      </c>
      <c r="W64" s="11"/>
    </row>
    <row r="65" spans="1:23" s="271" customFormat="1" ht="10.35" customHeight="1">
      <c r="A65" s="195"/>
      <c r="B65" s="190" t="s">
        <v>491</v>
      </c>
      <c r="C65" s="360">
        <v>10.884583657313852</v>
      </c>
      <c r="D65" s="360">
        <v>11.140638404370593</v>
      </c>
      <c r="E65" s="360">
        <v>12.936111084562283</v>
      </c>
      <c r="F65" s="360">
        <v>13.236928354030065</v>
      </c>
      <c r="G65" s="360">
        <v>13.848528185082685</v>
      </c>
      <c r="H65" s="360">
        <v>13.601856019847975</v>
      </c>
      <c r="I65" s="360">
        <v>13.770093907703963</v>
      </c>
      <c r="J65" s="360">
        <v>13.544824344712644</v>
      </c>
      <c r="K65" s="360">
        <v>12.939067734874648</v>
      </c>
      <c r="L65" s="360">
        <v>13.016929813869863</v>
      </c>
      <c r="M65" s="360">
        <v>12.842980804487297</v>
      </c>
      <c r="N65" s="360">
        <v>13.280889518386545</v>
      </c>
      <c r="O65" s="360">
        <v>13.967876924463541</v>
      </c>
      <c r="P65" s="360">
        <v>13.908213066684628</v>
      </c>
      <c r="Q65" s="360">
        <v>14.913133236559572</v>
      </c>
      <c r="R65" s="360">
        <v>14.850997327589171</v>
      </c>
      <c r="S65" s="360">
        <v>13.497013017564941</v>
      </c>
      <c r="T65" s="360">
        <v>15.043417167093349</v>
      </c>
      <c r="U65" s="360">
        <v>14.478950644895654</v>
      </c>
      <c r="V65" s="360">
        <v>13.651230468238087</v>
      </c>
      <c r="W65" s="11"/>
    </row>
    <row r="66" spans="1:23" s="271" customFormat="1" ht="10.35" customHeight="1">
      <c r="A66" s="195"/>
      <c r="B66" s="190" t="s">
        <v>428</v>
      </c>
      <c r="C66" s="360">
        <v>21.383394768523338</v>
      </c>
      <c r="D66" s="360">
        <v>21.65395381720927</v>
      </c>
      <c r="E66" s="360">
        <v>22.581816780803866</v>
      </c>
      <c r="F66" s="360">
        <v>21.591434993875435</v>
      </c>
      <c r="G66" s="360">
        <v>21.184551104341132</v>
      </c>
      <c r="H66" s="360">
        <v>22.335092060479987</v>
      </c>
      <c r="I66" s="360">
        <v>23.564158526951378</v>
      </c>
      <c r="J66" s="360">
        <v>24.251047123040646</v>
      </c>
      <c r="K66" s="360">
        <v>28.664166569632581</v>
      </c>
      <c r="L66" s="360">
        <v>26.033634256016633</v>
      </c>
      <c r="M66" s="360">
        <v>25.118249480195583</v>
      </c>
      <c r="N66" s="360">
        <v>25.696392910596618</v>
      </c>
      <c r="O66" s="360">
        <v>25.406809101512341</v>
      </c>
      <c r="P66" s="360">
        <v>34.214994044201276</v>
      </c>
      <c r="Q66" s="360">
        <v>38.235152327479824</v>
      </c>
      <c r="R66" s="360">
        <v>42.829101521157114</v>
      </c>
      <c r="S66" s="360">
        <v>43.509184439572898</v>
      </c>
      <c r="T66" s="360">
        <v>43.277147528188777</v>
      </c>
      <c r="U66" s="360">
        <v>46.1902444617591</v>
      </c>
      <c r="V66" s="360">
        <v>56.973712850923391</v>
      </c>
      <c r="W66" s="11"/>
    </row>
    <row r="67" spans="1:23" s="271" customFormat="1" ht="10.35" customHeight="1">
      <c r="A67" s="195"/>
      <c r="B67" s="190" t="s">
        <v>426</v>
      </c>
      <c r="C67" s="360">
        <v>12.307849961742786</v>
      </c>
      <c r="D67" s="360">
        <v>13.830749632536977</v>
      </c>
      <c r="E67" s="360">
        <v>13.06059189013437</v>
      </c>
      <c r="F67" s="360">
        <v>12.958958055359647</v>
      </c>
      <c r="G67" s="360">
        <v>12.053700191664351</v>
      </c>
      <c r="H67" s="360">
        <v>13.288610930256311</v>
      </c>
      <c r="I67" s="360">
        <v>11.555217372814568</v>
      </c>
      <c r="J67" s="360">
        <v>11.859901600000001</v>
      </c>
      <c r="K67" s="360">
        <v>12.068201688440272</v>
      </c>
      <c r="L67" s="360">
        <v>14.369267516434636</v>
      </c>
      <c r="M67" s="360">
        <v>14.748702088286663</v>
      </c>
      <c r="N67" s="360">
        <v>15.848546348497743</v>
      </c>
      <c r="O67" s="360">
        <v>16.46535969889344</v>
      </c>
      <c r="P67" s="360">
        <v>16.880633784333675</v>
      </c>
      <c r="Q67" s="360">
        <v>17.039557292548231</v>
      </c>
      <c r="R67" s="360">
        <v>18.650884553445717</v>
      </c>
      <c r="S67" s="360">
        <v>19.651974251417375</v>
      </c>
      <c r="T67" s="360">
        <v>19.320507462859226</v>
      </c>
      <c r="U67" s="360">
        <v>23.642703458659028</v>
      </c>
      <c r="V67" s="360">
        <v>23.069995965639599</v>
      </c>
      <c r="W67" s="11"/>
    </row>
    <row r="68" spans="1:23" s="271" customFormat="1" ht="10.35" customHeight="1">
      <c r="A68" s="195"/>
      <c r="B68" s="190" t="s">
        <v>427</v>
      </c>
      <c r="C68" s="360">
        <v>9.8813245909610821</v>
      </c>
      <c r="D68" s="360">
        <v>8.6314333914414725</v>
      </c>
      <c r="E68" s="360">
        <v>15.597446023945803</v>
      </c>
      <c r="F68" s="360">
        <v>22.553596332666466</v>
      </c>
      <c r="G68" s="360">
        <v>18.683222367801054</v>
      </c>
      <c r="H68" s="360">
        <v>15.771059114552306</v>
      </c>
      <c r="I68" s="360">
        <v>15.020255786507303</v>
      </c>
      <c r="J68" s="360">
        <v>11.406256999999995</v>
      </c>
      <c r="K68" s="360">
        <v>22.922049130023041</v>
      </c>
      <c r="L68" s="360">
        <v>18.074861758404069</v>
      </c>
      <c r="M68" s="360">
        <v>20.807177846654621</v>
      </c>
      <c r="N68" s="360">
        <v>21.868101493676999</v>
      </c>
      <c r="O68" s="360">
        <v>27.578929844631038</v>
      </c>
      <c r="P68" s="360">
        <v>27.846045003109523</v>
      </c>
      <c r="Q68" s="360">
        <v>31.689175429522972</v>
      </c>
      <c r="R68" s="360">
        <v>22.851437606132993</v>
      </c>
      <c r="S68" s="360">
        <v>23.244102860778657</v>
      </c>
      <c r="T68" s="360">
        <v>22.388931717493037</v>
      </c>
      <c r="U68" s="360">
        <v>20.957744767619477</v>
      </c>
      <c r="V68" s="360">
        <v>25.410087220556566</v>
      </c>
      <c r="W68" s="11"/>
    </row>
    <row r="69" spans="1:23" s="271" customFormat="1" ht="10.35" customHeight="1">
      <c r="A69" s="195"/>
      <c r="B69" s="190" t="s">
        <v>520</v>
      </c>
      <c r="C69" s="360">
        <v>0</v>
      </c>
      <c r="D69" s="360">
        <v>0</v>
      </c>
      <c r="E69" s="360">
        <v>0</v>
      </c>
      <c r="F69" s="360">
        <v>0</v>
      </c>
      <c r="G69" s="360">
        <v>0</v>
      </c>
      <c r="H69" s="360">
        <v>0</v>
      </c>
      <c r="I69" s="360">
        <v>0</v>
      </c>
      <c r="J69" s="360">
        <v>0</v>
      </c>
      <c r="K69" s="360">
        <v>0</v>
      </c>
      <c r="L69" s="360">
        <v>0</v>
      </c>
      <c r="M69" s="360">
        <v>0</v>
      </c>
      <c r="N69" s="360">
        <v>0</v>
      </c>
      <c r="O69" s="360">
        <v>0.97772999999999999</v>
      </c>
      <c r="P69" s="360">
        <v>15.665656499999999</v>
      </c>
      <c r="Q69" s="360">
        <v>23.032268999999999</v>
      </c>
      <c r="R69" s="360">
        <v>96.215879759999993</v>
      </c>
      <c r="S69" s="360">
        <v>254.37384336000002</v>
      </c>
      <c r="T69" s="360">
        <v>469.13923446000007</v>
      </c>
      <c r="U69" s="360">
        <v>760.68344819999993</v>
      </c>
      <c r="V69" s="360">
        <v>1306.6538901000001</v>
      </c>
      <c r="W69" s="11"/>
    </row>
    <row r="70" spans="1:23" s="271" customFormat="1" ht="10.35" customHeight="1">
      <c r="A70" s="195"/>
      <c r="B70" s="190" t="s">
        <v>320</v>
      </c>
      <c r="C70" s="360">
        <v>9.7958879896717406</v>
      </c>
      <c r="D70" s="360">
        <v>9.5279498042275055</v>
      </c>
      <c r="E70" s="360">
        <v>8.2941161963511156</v>
      </c>
      <c r="F70" s="360">
        <v>8.7961147414681964</v>
      </c>
      <c r="G70" s="360">
        <v>8.414720675500396</v>
      </c>
      <c r="H70" s="360">
        <v>8.5249760159285959</v>
      </c>
      <c r="I70" s="360">
        <v>10.408932938415198</v>
      </c>
      <c r="J70" s="360">
        <v>10.930889499999999</v>
      </c>
      <c r="K70" s="360">
        <v>12.119523643672414</v>
      </c>
      <c r="L70" s="360">
        <v>11.298559708098548</v>
      </c>
      <c r="M70" s="360">
        <v>13.397852742081016</v>
      </c>
      <c r="N70" s="360">
        <v>14.303366092872665</v>
      </c>
      <c r="O70" s="360">
        <v>17.268829784093509</v>
      </c>
      <c r="P70" s="360">
        <v>16.94041518002183</v>
      </c>
      <c r="Q70" s="360">
        <v>16.666750858216492</v>
      </c>
      <c r="R70" s="360">
        <v>18.036509444428834</v>
      </c>
      <c r="S70" s="360">
        <v>16.972718136857395</v>
      </c>
      <c r="T70" s="360">
        <v>20.777601485789344</v>
      </c>
      <c r="U70" s="360">
        <v>23.446242298641771</v>
      </c>
      <c r="V70" s="360">
        <v>33.854696244661746</v>
      </c>
      <c r="W70" s="11"/>
    </row>
    <row r="71" spans="1:23" s="271" customFormat="1" ht="10.35" customHeight="1">
      <c r="A71" s="195"/>
      <c r="B71" s="190" t="s">
        <v>187</v>
      </c>
      <c r="C71" s="360">
        <v>12.541721177578234</v>
      </c>
      <c r="D71" s="360">
        <v>12.764615257655153</v>
      </c>
      <c r="E71" s="360">
        <v>12.872550933457909</v>
      </c>
      <c r="F71" s="360">
        <v>13.118050028725351</v>
      </c>
      <c r="G71" s="360">
        <v>12.550728520980547</v>
      </c>
      <c r="H71" s="360">
        <v>11.878873231285313</v>
      </c>
      <c r="I71" s="360">
        <v>11.371832589350319</v>
      </c>
      <c r="J71" s="360">
        <v>10.7681082</v>
      </c>
      <c r="K71" s="360">
        <v>10.258407374693892</v>
      </c>
      <c r="L71" s="360">
        <v>11.641482725804176</v>
      </c>
      <c r="M71" s="360">
        <v>10.326760045411589</v>
      </c>
      <c r="N71" s="360">
        <v>10.293888512134384</v>
      </c>
      <c r="O71" s="360">
        <v>11.110680820913714</v>
      </c>
      <c r="P71" s="360">
        <v>11.004539469036191</v>
      </c>
      <c r="Q71" s="360">
        <v>10.309206584390227</v>
      </c>
      <c r="R71" s="360">
        <v>10.699985434772431</v>
      </c>
      <c r="S71" s="360">
        <v>11.706861480581924</v>
      </c>
      <c r="T71" s="360">
        <v>11.838277934642198</v>
      </c>
      <c r="U71" s="360">
        <v>16.560258693000623</v>
      </c>
      <c r="V71" s="360">
        <v>15.284517372710477</v>
      </c>
      <c r="W71" s="11"/>
    </row>
    <row r="72" spans="1:23" s="271" customFormat="1" ht="10.35" customHeight="1">
      <c r="A72" s="195"/>
      <c r="B72" s="190" t="s">
        <v>445</v>
      </c>
      <c r="C72" s="360">
        <v>10.480528418512881</v>
      </c>
      <c r="D72" s="360">
        <v>10.685944719403704</v>
      </c>
      <c r="E72" s="360">
        <v>8.8493752743469543</v>
      </c>
      <c r="F72" s="360">
        <v>7.418251959181827</v>
      </c>
      <c r="G72" s="360">
        <v>6.0380800930316685</v>
      </c>
      <c r="H72" s="360">
        <v>8.3176932622884081</v>
      </c>
      <c r="I72" s="360">
        <v>4.6916467643911179</v>
      </c>
      <c r="J72" s="360">
        <v>10.20819</v>
      </c>
      <c r="K72" s="360">
        <v>15.145576208211867</v>
      </c>
      <c r="L72" s="360">
        <v>14.361148543418293</v>
      </c>
      <c r="M72" s="360">
        <v>20.320416479658743</v>
      </c>
      <c r="N72" s="360">
        <v>35.547914042204901</v>
      </c>
      <c r="O72" s="360">
        <v>46.38617046084741</v>
      </c>
      <c r="P72" s="360">
        <v>33.616877717920509</v>
      </c>
      <c r="Q72" s="360">
        <v>44.507275512714216</v>
      </c>
      <c r="R72" s="360">
        <v>49.114886750505697</v>
      </c>
      <c r="S72" s="360">
        <v>54.513604632042551</v>
      </c>
      <c r="T72" s="360">
        <v>50.463054705687107</v>
      </c>
      <c r="U72" s="360">
        <v>51.292189779428128</v>
      </c>
      <c r="V72" s="360">
        <v>45.165720667756958</v>
      </c>
      <c r="W72" s="11"/>
    </row>
    <row r="73" spans="1:23" s="271" customFormat="1" ht="10.35" customHeight="1">
      <c r="A73" s="195"/>
      <c r="B73" s="190" t="s">
        <v>188</v>
      </c>
      <c r="C73" s="360">
        <v>10.036705632040578</v>
      </c>
      <c r="D73" s="360">
        <v>7.1055831948303378</v>
      </c>
      <c r="E73" s="360">
        <v>1.8282567101426659</v>
      </c>
      <c r="F73" s="360">
        <v>3.8293179895358618</v>
      </c>
      <c r="G73" s="360">
        <v>6.4366933785666589</v>
      </c>
      <c r="H73" s="360">
        <v>13.215042168776664</v>
      </c>
      <c r="I73" s="360">
        <v>11.513747639705665</v>
      </c>
      <c r="J73" s="360">
        <v>8.9759369999999983</v>
      </c>
      <c r="K73" s="360">
        <v>3.5934622242677996</v>
      </c>
      <c r="L73" s="360">
        <v>4.4227026958578843</v>
      </c>
      <c r="M73" s="360">
        <v>5.8484543793576371</v>
      </c>
      <c r="N73" s="360">
        <v>11.272681031791528</v>
      </c>
      <c r="O73" s="360">
        <v>12.371843152448404</v>
      </c>
      <c r="P73" s="360">
        <v>14.775240106098513</v>
      </c>
      <c r="Q73" s="360">
        <v>13.852438954798117</v>
      </c>
      <c r="R73" s="360">
        <v>37.918441495110649</v>
      </c>
      <c r="S73" s="360">
        <v>36.128236963390961</v>
      </c>
      <c r="T73" s="360">
        <v>13.489678979082827</v>
      </c>
      <c r="U73" s="360">
        <v>7.3273045494209148</v>
      </c>
      <c r="V73" s="360">
        <v>6.0441475749310607</v>
      </c>
      <c r="W73" s="11"/>
    </row>
    <row r="74" spans="1:23" s="271" customFormat="1" ht="10.35" customHeight="1">
      <c r="A74" s="195"/>
      <c r="B74" s="190" t="s">
        <v>189</v>
      </c>
      <c r="C74" s="360">
        <v>8.9589173857215592</v>
      </c>
      <c r="D74" s="360">
        <v>7.9617188917886752</v>
      </c>
      <c r="E74" s="360">
        <v>9.7009507058563003</v>
      </c>
      <c r="F74" s="360">
        <v>9.4307121608732238</v>
      </c>
      <c r="G74" s="360">
        <v>8.7626740812669937</v>
      </c>
      <c r="H74" s="360">
        <v>8.6162151111025747</v>
      </c>
      <c r="I74" s="360">
        <v>8.6179353138369645</v>
      </c>
      <c r="J74" s="360">
        <v>8.9739414999999987</v>
      </c>
      <c r="K74" s="360">
        <v>8.4145058056245858</v>
      </c>
      <c r="L74" s="360">
        <v>9.1721581119084661</v>
      </c>
      <c r="M74" s="360">
        <v>8.5569923957301146</v>
      </c>
      <c r="N74" s="360">
        <v>9.0837139262096223</v>
      </c>
      <c r="O74" s="360">
        <v>10.155513899520145</v>
      </c>
      <c r="P74" s="360">
        <v>10.068983155188853</v>
      </c>
      <c r="Q74" s="360">
        <v>11.118502335196906</v>
      </c>
      <c r="R74" s="360">
        <v>12.055126201123786</v>
      </c>
      <c r="S74" s="360">
        <v>15.796969539462824</v>
      </c>
      <c r="T74" s="360">
        <v>15.050106769096242</v>
      </c>
      <c r="U74" s="360">
        <v>16.283098074403487</v>
      </c>
      <c r="V74" s="360">
        <v>15.697350098378921</v>
      </c>
      <c r="W74" s="11"/>
    </row>
    <row r="75" spans="1:23" s="271" customFormat="1" ht="10.35" customHeight="1">
      <c r="A75" s="195"/>
      <c r="B75" s="190" t="s">
        <v>478</v>
      </c>
      <c r="C75" s="360">
        <v>6.6951297751647489</v>
      </c>
      <c r="D75" s="360">
        <v>6.3557382664477009</v>
      </c>
      <c r="E75" s="360">
        <v>5.0915286407373497</v>
      </c>
      <c r="F75" s="360">
        <v>5.4186837066651741</v>
      </c>
      <c r="G75" s="360">
        <v>6.8462356919498006</v>
      </c>
      <c r="H75" s="360">
        <v>7.8302011541915215</v>
      </c>
      <c r="I75" s="360">
        <v>8.7349255616723553</v>
      </c>
      <c r="J75" s="360">
        <v>8.6720534000000011</v>
      </c>
      <c r="K75" s="360">
        <v>11.069706344745002</v>
      </c>
      <c r="L75" s="360">
        <v>12.425183874879261</v>
      </c>
      <c r="M75" s="360">
        <v>13.92984385102228</v>
      </c>
      <c r="N75" s="360">
        <v>14.672235906749595</v>
      </c>
      <c r="O75" s="360">
        <v>15.270936196238837</v>
      </c>
      <c r="P75" s="360">
        <v>16.600176627787476</v>
      </c>
      <c r="Q75" s="360">
        <v>14.820105507625321</v>
      </c>
      <c r="R75" s="360">
        <v>17.460797360428572</v>
      </c>
      <c r="S75" s="360">
        <v>17.622970454412968</v>
      </c>
      <c r="T75" s="360">
        <v>19.055213529943519</v>
      </c>
      <c r="U75" s="360">
        <v>19.095095636146819</v>
      </c>
      <c r="V75" s="360">
        <v>19.025552801906649</v>
      </c>
      <c r="W75" s="11"/>
    </row>
    <row r="76" spans="1:23" s="271" customFormat="1" ht="10.35" customHeight="1">
      <c r="A76" s="195"/>
      <c r="B76" s="190" t="s">
        <v>190</v>
      </c>
      <c r="C76" s="360">
        <v>7.4215822877124369</v>
      </c>
      <c r="D76" s="360">
        <v>8.0701684503163467</v>
      </c>
      <c r="E76" s="360">
        <v>7.1524773182039452</v>
      </c>
      <c r="F76" s="360">
        <v>8.1524836518661843</v>
      </c>
      <c r="G76" s="360">
        <v>8.8289387511444808</v>
      </c>
      <c r="H76" s="360">
        <v>8.3456817849424798</v>
      </c>
      <c r="I76" s="360">
        <v>9.3505167472049848</v>
      </c>
      <c r="J76" s="360">
        <v>8.4453774000000017</v>
      </c>
      <c r="K76" s="360">
        <v>6.1017736960554894</v>
      </c>
      <c r="L76" s="360">
        <v>7.4279244164981115</v>
      </c>
      <c r="M76" s="360">
        <v>6.9286481934103099</v>
      </c>
      <c r="N76" s="360">
        <v>7.6986207138820717</v>
      </c>
      <c r="O76" s="360">
        <v>8.608855290923481</v>
      </c>
      <c r="P76" s="360">
        <v>12.417376486686155</v>
      </c>
      <c r="Q76" s="360">
        <v>10.975343647561994</v>
      </c>
      <c r="R76" s="360">
        <v>9.8226261387372311</v>
      </c>
      <c r="S76" s="360">
        <v>10.550389556664124</v>
      </c>
      <c r="T76" s="360">
        <v>8.5394197441242898</v>
      </c>
      <c r="U76" s="360">
        <v>11.571401087100847</v>
      </c>
      <c r="V76" s="360">
        <v>12.350792413978066</v>
      </c>
      <c r="W76" s="11"/>
    </row>
    <row r="77" spans="1:23" s="271" customFormat="1" ht="10.35" customHeight="1">
      <c r="A77" s="195"/>
      <c r="B77" s="190" t="s">
        <v>191</v>
      </c>
      <c r="C77" s="360">
        <v>12.230491288186316</v>
      </c>
      <c r="D77" s="360">
        <v>18.632518317062324</v>
      </c>
      <c r="E77" s="360">
        <v>9.5856318543635588</v>
      </c>
      <c r="F77" s="360">
        <v>7.1811208573732346</v>
      </c>
      <c r="G77" s="360">
        <v>6.2800928756038106</v>
      </c>
      <c r="H77" s="360">
        <v>4.1694323350678806</v>
      </c>
      <c r="I77" s="360">
        <v>15.311227921341505</v>
      </c>
      <c r="J77" s="360">
        <v>7.8211504999999972</v>
      </c>
      <c r="K77" s="360">
        <v>7.1846671261080459</v>
      </c>
      <c r="L77" s="360">
        <v>8.5461791297213434</v>
      </c>
      <c r="M77" s="360">
        <v>7.426423510825269</v>
      </c>
      <c r="N77" s="360">
        <v>5.2786576770756435</v>
      </c>
      <c r="O77" s="360">
        <v>8.2171622416195973</v>
      </c>
      <c r="P77" s="360">
        <v>9.5828394243920609</v>
      </c>
      <c r="Q77" s="360">
        <v>4.6893141583012659</v>
      </c>
      <c r="R77" s="360">
        <v>6.8864901631326862</v>
      </c>
      <c r="S77" s="360">
        <v>1.4481887952705892</v>
      </c>
      <c r="T77" s="360">
        <v>2.8447851002379605</v>
      </c>
      <c r="U77" s="360">
        <v>3.5646600540560298</v>
      </c>
      <c r="V77" s="360">
        <v>2.1575598712231838</v>
      </c>
      <c r="W77" s="11"/>
    </row>
    <row r="78" spans="1:23" s="271" customFormat="1" ht="10.35" customHeight="1">
      <c r="A78" s="195"/>
      <c r="B78" s="190" t="s">
        <v>434</v>
      </c>
      <c r="C78" s="360">
        <v>7.2173547456141449</v>
      </c>
      <c r="D78" s="360">
        <v>7.6267326531221116</v>
      </c>
      <c r="E78" s="360">
        <v>5.5240690072902492</v>
      </c>
      <c r="F78" s="360">
        <v>5.2249568468959584</v>
      </c>
      <c r="G78" s="360">
        <v>6.2536484117720441</v>
      </c>
      <c r="H78" s="360">
        <v>6.2197348646221471</v>
      </c>
      <c r="I78" s="360">
        <v>6.4247784461175623</v>
      </c>
      <c r="J78" s="360">
        <v>7.1780769999999983</v>
      </c>
      <c r="K78" s="360">
        <v>9.3448549208155569</v>
      </c>
      <c r="L78" s="360">
        <v>8.5272697404464228</v>
      </c>
      <c r="M78" s="360">
        <v>7.6360957937627818</v>
      </c>
      <c r="N78" s="360">
        <v>8.9188751095407905</v>
      </c>
      <c r="O78" s="360">
        <v>10.192376492162758</v>
      </c>
      <c r="P78" s="360">
        <v>9.9627384480154966</v>
      </c>
      <c r="Q78" s="360">
        <v>10.222857533255656</v>
      </c>
      <c r="R78" s="360">
        <v>10.815970373233261</v>
      </c>
      <c r="S78" s="360">
        <v>10.238564274300394</v>
      </c>
      <c r="T78" s="360">
        <v>9.1704932957887273</v>
      </c>
      <c r="U78" s="360">
        <v>9.6892413035548799</v>
      </c>
      <c r="V78" s="360">
        <v>8.9607676598395418</v>
      </c>
      <c r="W78" s="11"/>
    </row>
    <row r="79" spans="1:23" s="271" customFormat="1" ht="10.35" customHeight="1">
      <c r="A79" s="195"/>
      <c r="B79" s="190" t="s">
        <v>205</v>
      </c>
      <c r="C79" s="360">
        <v>4.0817087473807572</v>
      </c>
      <c r="D79" s="360">
        <v>2.9324050791344018</v>
      </c>
      <c r="E79" s="360">
        <v>2.8112182665235772</v>
      </c>
      <c r="F79" s="360">
        <v>1.6354810082049096</v>
      </c>
      <c r="G79" s="360">
        <v>1.0720361841570087</v>
      </c>
      <c r="H79" s="360">
        <v>5.0024178726156023</v>
      </c>
      <c r="I79" s="360">
        <v>5.6373889327658562</v>
      </c>
      <c r="J79" s="360">
        <v>6.9462354937350446</v>
      </c>
      <c r="K79" s="360">
        <v>9.1536870270237234</v>
      </c>
      <c r="L79" s="360">
        <v>10.925379056678675</v>
      </c>
      <c r="M79" s="360">
        <v>11.409176250697202</v>
      </c>
      <c r="N79" s="360">
        <v>10.711491891962529</v>
      </c>
      <c r="O79" s="360">
        <v>10.315558596980837</v>
      </c>
      <c r="P79" s="360">
        <v>10.032725972433026</v>
      </c>
      <c r="Q79" s="360">
        <v>9.4125728331030523</v>
      </c>
      <c r="R79" s="360">
        <v>9.0119610651180135</v>
      </c>
      <c r="S79" s="360">
        <v>9.0084707066541192</v>
      </c>
      <c r="T79" s="360">
        <v>8.1172864453281246</v>
      </c>
      <c r="U79" s="360">
        <v>12.243062926746095</v>
      </c>
      <c r="V79" s="360">
        <v>11.964911386442374</v>
      </c>
      <c r="W79" s="11"/>
    </row>
    <row r="80" spans="1:23" s="271" customFormat="1" ht="10.35" customHeight="1">
      <c r="A80" s="195"/>
      <c r="B80" s="190" t="s">
        <v>206</v>
      </c>
      <c r="C80" s="360">
        <v>9.45340194131464</v>
      </c>
      <c r="D80" s="360">
        <v>10.477996062808355</v>
      </c>
      <c r="E80" s="360">
        <v>9.2389696750202006</v>
      </c>
      <c r="F80" s="360">
        <v>8.6518223530870966</v>
      </c>
      <c r="G80" s="360">
        <v>6.6698332793381079</v>
      </c>
      <c r="H80" s="360">
        <v>5.6749443950962446</v>
      </c>
      <c r="I80" s="360">
        <v>6.1847740305266079</v>
      </c>
      <c r="J80" s="360">
        <v>6.3063639999999914</v>
      </c>
      <c r="K80" s="360">
        <v>6.2974367835760559</v>
      </c>
      <c r="L80" s="360">
        <v>6.8584433459299499</v>
      </c>
      <c r="M80" s="360">
        <v>7.1862659635719002</v>
      </c>
      <c r="N80" s="360">
        <v>4.4394240509205298</v>
      </c>
      <c r="O80" s="360">
        <v>7.0502936754087733</v>
      </c>
      <c r="P80" s="360">
        <v>7.6104897007985013</v>
      </c>
      <c r="Q80" s="360">
        <v>6.1976276388025395</v>
      </c>
      <c r="R80" s="360">
        <v>5.604329660790194</v>
      </c>
      <c r="S80" s="360">
        <v>4.3656029831818097</v>
      </c>
      <c r="T80" s="360">
        <v>4.785975727343776</v>
      </c>
      <c r="U80" s="360">
        <v>5.090539704053521</v>
      </c>
      <c r="V80" s="360">
        <v>5.5336753421207749</v>
      </c>
      <c r="W80" s="11"/>
    </row>
    <row r="81" spans="1:24" s="271" customFormat="1" ht="10.35" customHeight="1">
      <c r="A81" s="195"/>
      <c r="B81" s="190" t="s">
        <v>207</v>
      </c>
      <c r="C81" s="360">
        <v>2.8972205327013163</v>
      </c>
      <c r="D81" s="360">
        <v>2.9984989677087528</v>
      </c>
      <c r="E81" s="360">
        <v>2.938926140535731</v>
      </c>
      <c r="F81" s="360">
        <v>2.6078734133084973</v>
      </c>
      <c r="G81" s="360">
        <v>0.71654029886431558</v>
      </c>
      <c r="H81" s="360">
        <v>1.9607653139465377</v>
      </c>
      <c r="I81" s="360">
        <v>2.2310880106757112</v>
      </c>
      <c r="J81" s="360">
        <v>1.6649609999999997</v>
      </c>
      <c r="K81" s="360">
        <v>1.8556722738984415</v>
      </c>
      <c r="L81" s="360">
        <v>1.4667589175379137</v>
      </c>
      <c r="M81" s="360">
        <v>1.4878482538147593</v>
      </c>
      <c r="N81" s="360">
        <v>1.4618847771328485</v>
      </c>
      <c r="O81" s="360">
        <v>1.5895530025271407</v>
      </c>
      <c r="P81" s="360">
        <v>1.9994020185629491</v>
      </c>
      <c r="Q81" s="360">
        <v>1.7931046045202184</v>
      </c>
      <c r="R81" s="360">
        <v>1.7519914847882232</v>
      </c>
      <c r="S81" s="360">
        <v>1.5309661125870526</v>
      </c>
      <c r="T81" s="360">
        <v>1.0078083757766996</v>
      </c>
      <c r="U81" s="360">
        <v>0.5021568108675406</v>
      </c>
      <c r="V81" s="360">
        <v>0.74065826768345389</v>
      </c>
      <c r="W81" s="11"/>
    </row>
    <row r="82" spans="1:24" s="271" customFormat="1" ht="10.35" customHeight="1">
      <c r="A82" s="195"/>
      <c r="B82" s="192" t="s">
        <v>208</v>
      </c>
      <c r="C82" s="360">
        <v>776.56221355260379</v>
      </c>
      <c r="D82" s="360">
        <v>758.46933399218165</v>
      </c>
      <c r="E82" s="360">
        <v>839.23358381519665</v>
      </c>
      <c r="F82" s="360">
        <v>857.80666938574745</v>
      </c>
      <c r="G82" s="360">
        <v>842.63231314532572</v>
      </c>
      <c r="H82" s="360">
        <v>886.47764748314148</v>
      </c>
      <c r="I82" s="360">
        <v>939.03605064364649</v>
      </c>
      <c r="J82" s="360">
        <v>1025.3470830214633</v>
      </c>
      <c r="K82" s="360">
        <v>1069.8210625108927</v>
      </c>
      <c r="L82" s="360">
        <v>1230.7605652631382</v>
      </c>
      <c r="M82" s="360">
        <v>1313.6172459609572</v>
      </c>
      <c r="N82" s="360">
        <v>1412.4143132252989</v>
      </c>
      <c r="O82" s="360">
        <v>1473.0779393267962</v>
      </c>
      <c r="P82" s="360">
        <v>1550.0404278692945</v>
      </c>
      <c r="Q82" s="360">
        <v>1537.9187757701675</v>
      </c>
      <c r="R82" s="360">
        <v>1628.3408682124439</v>
      </c>
      <c r="S82" s="360">
        <v>1606.7335365012564</v>
      </c>
      <c r="T82" s="360">
        <v>1649.4969046059064</v>
      </c>
      <c r="U82" s="360">
        <v>1707.5464003821896</v>
      </c>
      <c r="V82" s="360">
        <v>1799.6596229657755</v>
      </c>
      <c r="W82" s="11"/>
    </row>
    <row r="83" spans="1:24" s="271" customFormat="1" ht="13.35" customHeight="1">
      <c r="A83" s="198" t="s">
        <v>209</v>
      </c>
      <c r="B83" s="197"/>
      <c r="C83" s="418">
        <v>5897.1818680256583</v>
      </c>
      <c r="D83" s="418">
        <v>6064.4534052709832</v>
      </c>
      <c r="E83" s="418">
        <v>6320.7995319567171</v>
      </c>
      <c r="F83" s="418">
        <v>6524.4111369301872</v>
      </c>
      <c r="G83" s="418">
        <v>6704.2910939107096</v>
      </c>
      <c r="H83" s="418">
        <v>7222.6311602893456</v>
      </c>
      <c r="I83" s="418">
        <v>7811.0043455853274</v>
      </c>
      <c r="J83" s="418">
        <v>8275.0106477934896</v>
      </c>
      <c r="K83" s="418">
        <v>8879.6649495616548</v>
      </c>
      <c r="L83" s="418">
        <v>9387.9103869523587</v>
      </c>
      <c r="M83" s="418">
        <v>9791.3659119234599</v>
      </c>
      <c r="N83" s="418">
        <v>10483.906004268434</v>
      </c>
      <c r="O83" s="418">
        <v>11066.71359685704</v>
      </c>
      <c r="P83" s="418">
        <v>11459.117936368299</v>
      </c>
      <c r="Q83" s="418">
        <v>11864.709973861423</v>
      </c>
      <c r="R83" s="418">
        <v>12486.123107680507</v>
      </c>
      <c r="S83" s="418">
        <v>12991.283442178437</v>
      </c>
      <c r="T83" s="418">
        <v>13353.382954082545</v>
      </c>
      <c r="U83" s="418">
        <v>14098.25555597896</v>
      </c>
      <c r="V83" s="418">
        <v>14669.686705457785</v>
      </c>
    </row>
    <row r="84" spans="1:24" s="271" customFormat="1" ht="10.35" customHeight="1">
      <c r="A84" s="195"/>
      <c r="B84" s="192" t="s">
        <v>254</v>
      </c>
      <c r="C84" s="360">
        <v>2340.5868424617215</v>
      </c>
      <c r="D84" s="360">
        <v>2376.5994961179481</v>
      </c>
      <c r="E84" s="360">
        <v>2551.2418842636366</v>
      </c>
      <c r="F84" s="360">
        <v>2651.7804545106128</v>
      </c>
      <c r="G84" s="360">
        <v>2655.0091292053567</v>
      </c>
      <c r="H84" s="360">
        <v>2983.5192457020366</v>
      </c>
      <c r="I84" s="360">
        <v>3259.400934613805</v>
      </c>
      <c r="J84" s="360">
        <v>3534.7540373292231</v>
      </c>
      <c r="K84" s="360">
        <v>4024.4096102384915</v>
      </c>
      <c r="L84" s="360">
        <v>4424.6414737929199</v>
      </c>
      <c r="M84" s="360">
        <v>4679.403661742741</v>
      </c>
      <c r="N84" s="360">
        <v>5111.6331485628525</v>
      </c>
      <c r="O84" s="360">
        <v>5556.6377396830558</v>
      </c>
      <c r="P84" s="360">
        <v>5754.8753788751537</v>
      </c>
      <c r="Q84" s="360">
        <v>6044.2721246109941</v>
      </c>
      <c r="R84" s="360">
        <v>6531.3279292785182</v>
      </c>
      <c r="S84" s="360">
        <v>6945.9117645369915</v>
      </c>
      <c r="T84" s="360">
        <v>7199.7647769583982</v>
      </c>
      <c r="U84" s="360">
        <v>7742.8391915625725</v>
      </c>
      <c r="V84" s="360">
        <v>8087.8780954978438</v>
      </c>
      <c r="W84" s="11"/>
    </row>
    <row r="85" spans="1:24" s="271" customFormat="1" ht="10.35" customHeight="1">
      <c r="A85" s="195"/>
      <c r="B85" s="194" t="s">
        <v>255</v>
      </c>
      <c r="C85" s="419">
        <v>378.69666425613133</v>
      </c>
      <c r="D85" s="419">
        <v>388.44705659014699</v>
      </c>
      <c r="E85" s="419">
        <v>383.19881366212354</v>
      </c>
      <c r="F85" s="419">
        <v>389.15450561678551</v>
      </c>
      <c r="G85" s="419">
        <v>410.75814662002398</v>
      </c>
      <c r="H85" s="419">
        <v>410.61080439343755</v>
      </c>
      <c r="I85" s="419">
        <v>413.26361777279385</v>
      </c>
      <c r="J85" s="419">
        <v>412.47567982662429</v>
      </c>
      <c r="K85" s="419">
        <v>406.50953498137488</v>
      </c>
      <c r="L85" s="419">
        <v>407.83262079511582</v>
      </c>
      <c r="M85" s="419">
        <v>410.40565678406909</v>
      </c>
      <c r="N85" s="419">
        <v>417.55629495006053</v>
      </c>
      <c r="O85" s="419">
        <v>430.3390646202767</v>
      </c>
      <c r="P85" s="419">
        <v>425.4782991816337</v>
      </c>
      <c r="Q85" s="419">
        <v>419.5651708320795</v>
      </c>
      <c r="R85" s="419">
        <v>404.2418641686312</v>
      </c>
      <c r="S85" s="419">
        <v>413.97224369461912</v>
      </c>
      <c r="T85" s="419">
        <v>407.83057523337141</v>
      </c>
      <c r="U85" s="419">
        <v>410.4375656834838</v>
      </c>
      <c r="V85" s="419">
        <v>411.7681823597818</v>
      </c>
      <c r="W85" s="11"/>
      <c r="X85" s="271" t="s">
        <v>67</v>
      </c>
    </row>
    <row r="86" spans="1:24" s="271" customFormat="1" ht="10.35" customHeight="1">
      <c r="A86" s="193"/>
      <c r="B86" s="192" t="s">
        <v>411</v>
      </c>
      <c r="C86" s="419">
        <v>433.84159470912471</v>
      </c>
      <c r="D86" s="419">
        <v>442.17785530791224</v>
      </c>
      <c r="E86" s="419">
        <v>438.46551887681534</v>
      </c>
      <c r="F86" s="419">
        <v>439.45495211462071</v>
      </c>
      <c r="G86" s="419">
        <v>468.55959279386258</v>
      </c>
      <c r="H86" s="419">
        <v>494.02564105457941</v>
      </c>
      <c r="I86" s="419">
        <v>516.56284546023664</v>
      </c>
      <c r="J86" s="419">
        <v>542.67087289736799</v>
      </c>
      <c r="K86" s="419">
        <v>545.87427039304953</v>
      </c>
      <c r="L86" s="419">
        <v>543.61272659350936</v>
      </c>
      <c r="M86" s="419">
        <v>548.05049998372488</v>
      </c>
      <c r="N86" s="419">
        <v>557.20936179326281</v>
      </c>
      <c r="O86" s="419">
        <v>579.78833708634318</v>
      </c>
      <c r="P86" s="419">
        <v>605.04945859024747</v>
      </c>
      <c r="Q86" s="419">
        <v>641.56591693005203</v>
      </c>
      <c r="R86" s="419">
        <v>677.27371429286302</v>
      </c>
      <c r="S86" s="419">
        <v>707.95124651541232</v>
      </c>
      <c r="T86" s="419">
        <v>747.49273648504129</v>
      </c>
      <c r="U86" s="419">
        <v>781.64576032895911</v>
      </c>
      <c r="V86" s="419">
        <v>821.01300805669973</v>
      </c>
      <c r="W86" s="45"/>
    </row>
    <row r="87" spans="1:24" s="271" customFormat="1" ht="10.35" customHeight="1">
      <c r="A87" s="195"/>
      <c r="B87" s="192" t="s">
        <v>281</v>
      </c>
      <c r="C87" s="419">
        <v>1114.1375816440964</v>
      </c>
      <c r="D87" s="419">
        <v>1114.3101135769041</v>
      </c>
      <c r="E87" s="419">
        <v>1147.3963744024693</v>
      </c>
      <c r="F87" s="419">
        <v>1174.1982359763351</v>
      </c>
      <c r="G87" s="419">
        <v>1227.9462397669786</v>
      </c>
      <c r="H87" s="419">
        <v>1304.4441948937986</v>
      </c>
      <c r="I87" s="419">
        <v>1382.1224768815428</v>
      </c>
      <c r="J87" s="419">
        <v>1396.2935502871487</v>
      </c>
      <c r="K87" s="419">
        <v>1397.0030686499169</v>
      </c>
      <c r="L87" s="419">
        <v>1408.8556540932668</v>
      </c>
      <c r="M87" s="419">
        <v>1470.1708030390512</v>
      </c>
      <c r="N87" s="419">
        <v>1531.8679497910584</v>
      </c>
      <c r="O87" s="419">
        <v>1596.2999399963721</v>
      </c>
      <c r="P87" s="419">
        <v>1651.6467078862031</v>
      </c>
      <c r="Q87" s="419">
        <v>1678.5449149834369</v>
      </c>
      <c r="R87" s="419">
        <v>1676.6898070587997</v>
      </c>
      <c r="S87" s="419">
        <v>1627.1689392528683</v>
      </c>
      <c r="T87" s="419">
        <v>1614.4398331026157</v>
      </c>
      <c r="U87" s="419">
        <v>1622.699142434863</v>
      </c>
      <c r="V87" s="419">
        <v>1650.2126468882409</v>
      </c>
      <c r="W87" s="11"/>
    </row>
    <row r="88" spans="1:24" s="271" customFormat="1" ht="10.35" customHeight="1">
      <c r="A88" s="195"/>
      <c r="B88" s="192" t="s">
        <v>282</v>
      </c>
      <c r="C88" s="419">
        <v>57.074110962799303</v>
      </c>
      <c r="D88" s="419">
        <v>54.3586118830302</v>
      </c>
      <c r="E88" s="419">
        <v>53.267799643240103</v>
      </c>
      <c r="F88" s="419">
        <v>57.866489743055794</v>
      </c>
      <c r="G88" s="419">
        <v>59.540998633795844</v>
      </c>
      <c r="H88" s="419">
        <v>60.849630968123684</v>
      </c>
      <c r="I88" s="419">
        <v>62.265598655881014</v>
      </c>
      <c r="J88" s="419">
        <v>61.471098550558025</v>
      </c>
      <c r="K88" s="419">
        <v>59.023486757466749</v>
      </c>
      <c r="L88" s="419">
        <v>56.575764740434224</v>
      </c>
      <c r="M88" s="419">
        <v>56.372628699871001</v>
      </c>
      <c r="N88" s="419">
        <v>56.547053217648042</v>
      </c>
      <c r="O88" s="419">
        <v>57.436364919842163</v>
      </c>
      <c r="P88" s="419">
        <v>59.205134648672193</v>
      </c>
      <c r="Q88" s="419">
        <v>56.705957188424961</v>
      </c>
      <c r="R88" s="419">
        <v>54.255776730453441</v>
      </c>
      <c r="S88" s="419">
        <v>53.577298258402344</v>
      </c>
      <c r="T88" s="419">
        <v>50.511139120891066</v>
      </c>
      <c r="U88" s="419">
        <v>45.663258383722372</v>
      </c>
      <c r="V88" s="419">
        <v>46.913211104209822</v>
      </c>
      <c r="W88" s="11"/>
    </row>
    <row r="89" spans="1:24" s="271" customFormat="1" ht="10.35" customHeight="1">
      <c r="A89" s="195"/>
      <c r="B89" s="192" t="s">
        <v>283</v>
      </c>
      <c r="C89" s="419">
        <v>130.0705216852422</v>
      </c>
      <c r="D89" s="419">
        <v>137.29939132238025</v>
      </c>
      <c r="E89" s="419">
        <v>147.34251704275559</v>
      </c>
      <c r="F89" s="419">
        <v>145.41543818090523</v>
      </c>
      <c r="G89" s="419">
        <v>148.15291635276668</v>
      </c>
      <c r="H89" s="419">
        <v>154.35972565925815</v>
      </c>
      <c r="I89" s="419">
        <v>156.52135578935912</v>
      </c>
      <c r="J89" s="419">
        <v>166.7357562218657</v>
      </c>
      <c r="K89" s="419">
        <v>169.59754109605055</v>
      </c>
      <c r="L89" s="419">
        <v>181.37009418482472</v>
      </c>
      <c r="M89" s="419">
        <v>191.55736541245903</v>
      </c>
      <c r="N89" s="419">
        <v>201.48254529585139</v>
      </c>
      <c r="O89" s="419">
        <v>213.60321382625037</v>
      </c>
      <c r="P89" s="419">
        <v>216.62584475897654</v>
      </c>
      <c r="Q89" s="419">
        <v>224.19339059857643</v>
      </c>
      <c r="R89" s="419">
        <v>212.14603287433141</v>
      </c>
      <c r="S89" s="419">
        <v>221.5293414146775</v>
      </c>
      <c r="T89" s="419">
        <v>226.92178536404495</v>
      </c>
      <c r="U89" s="419">
        <v>225.88831026966187</v>
      </c>
      <c r="V89" s="419">
        <v>223.93480069079968</v>
      </c>
      <c r="W89" s="11"/>
    </row>
    <row r="90" spans="1:24" s="271" customFormat="1" ht="10.35" customHeight="1">
      <c r="A90" s="195"/>
      <c r="B90" s="192" t="s">
        <v>284</v>
      </c>
      <c r="C90" s="419">
        <v>25.164873222175942</v>
      </c>
      <c r="D90" s="419">
        <v>25.469186608731857</v>
      </c>
      <c r="E90" s="419">
        <v>25.548011813127264</v>
      </c>
      <c r="F90" s="419">
        <v>27.548992197000874</v>
      </c>
      <c r="G90" s="419">
        <v>29.147220973361851</v>
      </c>
      <c r="H90" s="419">
        <v>30.438379420934478</v>
      </c>
      <c r="I90" s="419">
        <v>30.250893866120212</v>
      </c>
      <c r="J90" s="419">
        <v>31.936406378970844</v>
      </c>
      <c r="K90" s="419">
        <v>31.29395866845859</v>
      </c>
      <c r="L90" s="419">
        <v>32.901268336049547</v>
      </c>
      <c r="M90" s="419">
        <v>32.110594741566985</v>
      </c>
      <c r="N90" s="419">
        <v>33.368021591427244</v>
      </c>
      <c r="O90" s="419">
        <v>34.27747688620525</v>
      </c>
      <c r="P90" s="419">
        <v>32.926863576323193</v>
      </c>
      <c r="Q90" s="419">
        <v>32.858649031934988</v>
      </c>
      <c r="R90" s="419">
        <v>31.361263895152838</v>
      </c>
      <c r="S90" s="419">
        <v>31.335787070766646</v>
      </c>
      <c r="T90" s="419">
        <v>31.588458954708788</v>
      </c>
      <c r="U90" s="419">
        <v>31.541172395233215</v>
      </c>
      <c r="V90" s="419">
        <v>30.317808615244651</v>
      </c>
      <c r="W90" s="11"/>
    </row>
    <row r="91" spans="1:24" s="271" customFormat="1" ht="10.35" customHeight="1">
      <c r="A91" s="195"/>
      <c r="B91" s="192" t="s">
        <v>479</v>
      </c>
      <c r="C91" s="419">
        <v>551.95981068957678</v>
      </c>
      <c r="D91" s="419">
        <v>581.94032532428503</v>
      </c>
      <c r="E91" s="419">
        <v>589.73586073837532</v>
      </c>
      <c r="F91" s="419">
        <v>611.12469742225198</v>
      </c>
      <c r="G91" s="419">
        <v>625.07930205064361</v>
      </c>
      <c r="H91" s="419">
        <v>639.68874273242159</v>
      </c>
      <c r="I91" s="419">
        <v>758.19836182228505</v>
      </c>
      <c r="J91" s="419">
        <v>795.79162744077712</v>
      </c>
      <c r="K91" s="419">
        <v>823.34367483601136</v>
      </c>
      <c r="L91" s="419">
        <v>830.03573044184918</v>
      </c>
      <c r="M91" s="419">
        <v>880.67897612395245</v>
      </c>
      <c r="N91" s="419">
        <v>981.23447634124125</v>
      </c>
      <c r="O91" s="419">
        <v>970.01985619380753</v>
      </c>
      <c r="P91" s="419">
        <v>1080.5037287927712</v>
      </c>
      <c r="Q91" s="419">
        <v>1107.8078714511462</v>
      </c>
      <c r="R91" s="419">
        <v>1193.1405699029726</v>
      </c>
      <c r="S91" s="419">
        <v>1238.6259947153249</v>
      </c>
      <c r="T91" s="419">
        <v>1282.9744213570962</v>
      </c>
      <c r="U91" s="419">
        <v>1396.9519424578955</v>
      </c>
      <c r="V91" s="419">
        <v>1508.9284270005423</v>
      </c>
      <c r="W91" s="11"/>
    </row>
    <row r="92" spans="1:24" s="271" customFormat="1" ht="10.35" customHeight="1">
      <c r="A92" s="195"/>
      <c r="B92" s="192" t="s">
        <v>480</v>
      </c>
      <c r="C92" s="419">
        <v>750.57252413078879</v>
      </c>
      <c r="D92" s="419">
        <v>822.44563439372553</v>
      </c>
      <c r="E92" s="419">
        <v>873.781505145344</v>
      </c>
      <c r="F92" s="419">
        <v>918.10561819025031</v>
      </c>
      <c r="G92" s="419">
        <v>968.09260170964046</v>
      </c>
      <c r="H92" s="419">
        <v>1027.8103975234364</v>
      </c>
      <c r="I92" s="419">
        <v>1119.3499138001673</v>
      </c>
      <c r="J92" s="419">
        <v>1209.7822029843221</v>
      </c>
      <c r="K92" s="419">
        <v>1300.9539401233178</v>
      </c>
      <c r="L92" s="419">
        <v>1372.9053394426151</v>
      </c>
      <c r="M92" s="419">
        <v>1394.7272072829683</v>
      </c>
      <c r="N92" s="419">
        <v>1458.8443133140599</v>
      </c>
      <c r="O92" s="419">
        <v>1488.0464802317683</v>
      </c>
      <c r="P92" s="419">
        <v>1502.2867143526803</v>
      </c>
      <c r="Q92" s="419">
        <v>1529.2278029146883</v>
      </c>
      <c r="R92" s="419">
        <v>1581.5398589774629</v>
      </c>
      <c r="S92" s="419">
        <v>1623.9665769112401</v>
      </c>
      <c r="T92" s="419">
        <v>1673.3628599035821</v>
      </c>
      <c r="U92" s="419">
        <v>1717.7954229074785</v>
      </c>
      <c r="V92" s="419">
        <v>1769.5030231952364</v>
      </c>
      <c r="W92" s="11"/>
    </row>
    <row r="93" spans="1:24" s="271" customFormat="1" ht="10.35" customHeight="1">
      <c r="A93" s="195"/>
      <c r="B93" s="192" t="s">
        <v>481</v>
      </c>
      <c r="C93" s="419">
        <v>57.028737071400009</v>
      </c>
      <c r="D93" s="419">
        <v>62.315144818600004</v>
      </c>
      <c r="E93" s="419">
        <v>58.038526045431631</v>
      </c>
      <c r="F93" s="419">
        <v>56.889792319490695</v>
      </c>
      <c r="G93" s="419">
        <v>59.561545168143489</v>
      </c>
      <c r="H93" s="419">
        <v>65.957002080806973</v>
      </c>
      <c r="I93" s="419">
        <v>64.348260188214269</v>
      </c>
      <c r="J93" s="419">
        <v>71.411912506677339</v>
      </c>
      <c r="K93" s="419">
        <v>73.69237348841871</v>
      </c>
      <c r="L93" s="419">
        <v>80.427429955282662</v>
      </c>
      <c r="M93" s="419">
        <v>79.790848258328253</v>
      </c>
      <c r="N93" s="419">
        <v>85.468011834481814</v>
      </c>
      <c r="O93" s="419">
        <v>87.961213463611543</v>
      </c>
      <c r="P93" s="419">
        <v>81.0464344771393</v>
      </c>
      <c r="Q93" s="419">
        <v>82.23222217773484</v>
      </c>
      <c r="R93" s="419">
        <v>81.371677204409906</v>
      </c>
      <c r="S93" s="419">
        <v>82.663974381010874</v>
      </c>
      <c r="T93" s="419">
        <v>79.102304428489717</v>
      </c>
      <c r="U93" s="419">
        <v>83.880724371745885</v>
      </c>
      <c r="V93" s="419">
        <v>81.647227479532319</v>
      </c>
      <c r="W93" s="11"/>
    </row>
    <row r="94" spans="1:24" s="271" customFormat="1" ht="10.35" customHeight="1">
      <c r="A94" s="195"/>
      <c r="B94" s="192" t="s">
        <v>482</v>
      </c>
      <c r="C94" s="419">
        <v>4.5501732246000008</v>
      </c>
      <c r="D94" s="419">
        <v>4.6556930153199998</v>
      </c>
      <c r="E94" s="419">
        <v>3.8465935419600004</v>
      </c>
      <c r="F94" s="419">
        <v>3.8834235651315803</v>
      </c>
      <c r="G94" s="419">
        <v>3.8107969274962699</v>
      </c>
      <c r="H94" s="419">
        <v>3.7007885862268504</v>
      </c>
      <c r="I94" s="419">
        <v>3.820369870953324</v>
      </c>
      <c r="J94" s="419">
        <v>4.5360321012739728</v>
      </c>
      <c r="K94" s="419">
        <v>4.31414156742676</v>
      </c>
      <c r="L94" s="419">
        <v>4.2647455368614704</v>
      </c>
      <c r="M94" s="419">
        <v>3.8739118033553117</v>
      </c>
      <c r="N94" s="419">
        <v>4.1516520200131852</v>
      </c>
      <c r="O94" s="419">
        <v>4.5686387979156207</v>
      </c>
      <c r="P94" s="419">
        <v>4.4488663137248681</v>
      </c>
      <c r="Q94" s="419">
        <v>4.5651464104318613</v>
      </c>
      <c r="R94" s="419">
        <v>4.0206913253500316</v>
      </c>
      <c r="S94" s="419">
        <v>4.1037860007303975</v>
      </c>
      <c r="T94" s="419">
        <v>4.1711851389883385</v>
      </c>
      <c r="U94" s="419">
        <v>4.0451237433292651</v>
      </c>
      <c r="V94" s="419">
        <v>4.027538344062517</v>
      </c>
      <c r="W94" s="11"/>
    </row>
    <row r="95" spans="1:24" s="271" customFormat="1" ht="10.35" customHeight="1">
      <c r="A95" s="187"/>
      <c r="B95" s="187" t="s">
        <v>199</v>
      </c>
      <c r="C95" s="361">
        <v>53.498433968000015</v>
      </c>
      <c r="D95" s="361">
        <v>54.434896312000006</v>
      </c>
      <c r="E95" s="361">
        <v>48.936126781439995</v>
      </c>
      <c r="F95" s="361">
        <v>48.988537093746309</v>
      </c>
      <c r="G95" s="361">
        <v>48.632603708639998</v>
      </c>
      <c r="H95" s="361">
        <v>47.226607274285222</v>
      </c>
      <c r="I95" s="361">
        <v>44.899716863968962</v>
      </c>
      <c r="J95" s="361">
        <v>47.151471268680801</v>
      </c>
      <c r="K95" s="361">
        <v>43.649348761671625</v>
      </c>
      <c r="L95" s="361">
        <v>44.487539039630114</v>
      </c>
      <c r="M95" s="361">
        <v>44.223758051371988</v>
      </c>
      <c r="N95" s="361">
        <v>44.54317555647463</v>
      </c>
      <c r="O95" s="361">
        <v>47.735271151591576</v>
      </c>
      <c r="P95" s="361">
        <v>45.024504914772642</v>
      </c>
      <c r="Q95" s="361">
        <v>43.17080673192298</v>
      </c>
      <c r="R95" s="361">
        <v>38.753921971564459</v>
      </c>
      <c r="S95" s="361">
        <v>40.476489426394394</v>
      </c>
      <c r="T95" s="361">
        <v>35.222878035316306</v>
      </c>
      <c r="U95" s="361">
        <v>34.8679414400155</v>
      </c>
      <c r="V95" s="361">
        <v>33.542736225590382</v>
      </c>
      <c r="W95" s="11"/>
    </row>
    <row r="96" spans="1:24" s="271" customFormat="1" ht="10.35" customHeight="1">
      <c r="A96" s="169" t="s">
        <v>15</v>
      </c>
      <c r="B96" s="274"/>
      <c r="C96" s="174"/>
      <c r="D96" s="174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s="271" customFormat="1" ht="10.35" customHeight="1">
      <c r="A97" s="274" t="s">
        <v>378</v>
      </c>
      <c r="B97" s="274"/>
      <c r="C97" s="174"/>
      <c r="D97" s="174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270"/>
      <c r="Q97" s="11"/>
      <c r="R97" s="11"/>
      <c r="S97" s="11"/>
      <c r="T97" s="11"/>
      <c r="U97" s="11"/>
      <c r="V97" s="11"/>
      <c r="W97" s="11"/>
    </row>
    <row r="98" spans="1:23" s="271" customFormat="1" ht="17.100000000000001" customHeight="1"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</sheetData>
  <phoneticPr fontId="10" type="noConversion"/>
  <pageMargins left="0.11811023622047245" right="0.11811023622047245" top="0.35433070866141736" bottom="0.35433070866141736" header="0.31496062992125984" footer="0.31496062992125984"/>
  <rowBreaks count="1" manualBreakCount="1">
    <brk id="48" max="21" man="1" pt="1"/>
  </rowBreaks>
  <ignoredErrors>
    <ignoredError sqref="C4:V4 C50:U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8"/>
  <dimension ref="A1:X101"/>
  <sheetViews>
    <sheetView showGridLines="0" zoomScale="150" workbookViewId="0">
      <selection activeCell="X85" sqref="X85"/>
    </sheetView>
  </sheetViews>
  <sheetFormatPr baseColWidth="10" defaultColWidth="6.42578125" defaultRowHeight="17.100000000000001" customHeight="1"/>
  <cols>
    <col min="1" max="2" width="1" style="271" customWidth="1"/>
    <col min="3" max="3" width="9.7109375" style="271" customWidth="1"/>
    <col min="4" max="7" width="5.140625" style="271" customWidth="1"/>
    <col min="8" max="8" width="4.28515625" style="271" bestFit="1" customWidth="1"/>
    <col min="9" max="23" width="5.140625" style="271" customWidth="1"/>
    <col min="24" max="24" width="7.140625" style="271" customWidth="1"/>
    <col min="25" max="43" width="6.42578125" style="271"/>
    <col min="44" max="44" width="1.42578125" style="271" customWidth="1"/>
    <col min="45" max="45" width="1.28515625" style="271" customWidth="1"/>
    <col min="46" max="46" width="14" style="271" customWidth="1"/>
    <col min="47" max="56" width="0" style="271" hidden="1" customWidth="1"/>
    <col min="57" max="57" width="8.28515625" style="271" customWidth="1"/>
    <col min="58" max="58" width="8" style="271" customWidth="1"/>
    <col min="59" max="65" width="8.28515625" style="271" customWidth="1"/>
    <col min="66" max="66" width="8.7109375" style="271" customWidth="1"/>
    <col min="67" max="75" width="8.42578125" style="271" customWidth="1"/>
    <col min="76" max="76" width="5.140625" style="271" customWidth="1"/>
    <col min="77" max="77" width="6.42578125" style="271"/>
    <col min="78" max="78" width="14" style="271" customWidth="1"/>
    <col min="79" max="88" width="0" style="271" hidden="1" customWidth="1"/>
    <col min="89" max="89" width="7.140625" style="271" bestFit="1" customWidth="1"/>
    <col min="90" max="90" width="7.140625" style="271" customWidth="1"/>
    <col min="91" max="91" width="6.7109375" style="271" bestFit="1" customWidth="1"/>
    <col min="92" max="93" width="6.42578125" style="271"/>
    <col min="94" max="94" width="6.140625" style="271" customWidth="1"/>
    <col min="95" max="16384" width="6.42578125" style="271"/>
  </cols>
  <sheetData>
    <row r="1" spans="1:24" ht="16.350000000000001" customHeight="1">
      <c r="A1" s="356" t="s">
        <v>250</v>
      </c>
      <c r="B1" s="331"/>
      <c r="C1" s="331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99"/>
      <c r="P1" s="99"/>
      <c r="Q1" s="99"/>
      <c r="R1" s="99"/>
      <c r="S1" s="99"/>
      <c r="T1" s="99"/>
      <c r="U1" s="99"/>
      <c r="V1" s="99"/>
      <c r="W1" s="99"/>
    </row>
    <row r="2" spans="1:24" ht="13.5">
      <c r="A2" s="331" t="s">
        <v>261</v>
      </c>
      <c r="B2" s="331"/>
      <c r="C2" s="331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99"/>
      <c r="P2" s="99"/>
      <c r="Q2" s="99"/>
      <c r="R2" s="99"/>
      <c r="S2" s="99"/>
      <c r="T2" s="99"/>
      <c r="U2" s="99"/>
      <c r="V2" s="99"/>
      <c r="W2" s="99"/>
    </row>
    <row r="3" spans="1:24" ht="3" customHeight="1">
      <c r="A3" s="40"/>
      <c r="B3" s="40"/>
      <c r="C3" s="40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12" customHeight="1">
      <c r="A4" s="569" t="s">
        <v>229</v>
      </c>
      <c r="B4" s="570"/>
      <c r="C4" s="571"/>
      <c r="D4" s="176" t="s">
        <v>200</v>
      </c>
      <c r="E4" s="176" t="s">
        <v>201</v>
      </c>
      <c r="F4" s="176" t="s">
        <v>251</v>
      </c>
      <c r="G4" s="176" t="s">
        <v>386</v>
      </c>
      <c r="H4" s="176" t="s">
        <v>387</v>
      </c>
      <c r="I4" s="176" t="s">
        <v>388</v>
      </c>
      <c r="J4" s="176" t="s">
        <v>389</v>
      </c>
      <c r="K4" s="176" t="s">
        <v>390</v>
      </c>
      <c r="L4" s="176" t="s">
        <v>391</v>
      </c>
      <c r="M4" s="176" t="s">
        <v>225</v>
      </c>
      <c r="N4" s="176" t="s">
        <v>226</v>
      </c>
      <c r="O4" s="176" t="s">
        <v>227</v>
      </c>
      <c r="P4" s="176" t="s">
        <v>274</v>
      </c>
      <c r="Q4" s="176" t="s">
        <v>275</v>
      </c>
      <c r="R4" s="176" t="s">
        <v>276</v>
      </c>
      <c r="S4" s="176" t="s">
        <v>277</v>
      </c>
      <c r="T4" s="176" t="s">
        <v>278</v>
      </c>
      <c r="U4" s="304">
        <v>2017</v>
      </c>
      <c r="V4" s="304" t="s">
        <v>84</v>
      </c>
      <c r="W4" s="304" t="s">
        <v>85</v>
      </c>
      <c r="X4" s="44"/>
    </row>
    <row r="5" spans="1:24" ht="11.1" customHeight="1">
      <c r="A5" s="35" t="s">
        <v>444</v>
      </c>
      <c r="B5" s="199"/>
      <c r="C5" s="200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45"/>
    </row>
    <row r="6" spans="1:24" ht="11.1" customHeight="1">
      <c r="A6" s="201"/>
      <c r="B6" s="199" t="s">
        <v>262</v>
      </c>
      <c r="C6" s="202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45"/>
    </row>
    <row r="7" spans="1:24" ht="10.35" customHeight="1">
      <c r="A7" s="182"/>
      <c r="B7" s="182"/>
      <c r="C7" s="183" t="s">
        <v>397</v>
      </c>
      <c r="D7" s="364">
        <v>1895.3284169999999</v>
      </c>
      <c r="E7" s="364">
        <v>2028.1755289999999</v>
      </c>
      <c r="F7" s="364">
        <v>2115.147931</v>
      </c>
      <c r="G7" s="364">
        <v>2132.405096</v>
      </c>
      <c r="H7" s="364">
        <v>1844.8964189999999</v>
      </c>
      <c r="I7" s="364">
        <v>2468.3574069999995</v>
      </c>
      <c r="J7" s="364">
        <v>2363.497613</v>
      </c>
      <c r="K7" s="364">
        <v>2435.1335429999999</v>
      </c>
      <c r="L7" s="364">
        <v>2793.9799899999998</v>
      </c>
      <c r="M7" s="364">
        <v>2991.1565050000004</v>
      </c>
      <c r="N7" s="364">
        <v>2831.3735619999998</v>
      </c>
      <c r="O7" s="364">
        <v>2624.4579400000002</v>
      </c>
      <c r="P7" s="364">
        <v>3043.3304500000004</v>
      </c>
      <c r="Q7" s="364">
        <v>3046.7727179999997</v>
      </c>
      <c r="R7" s="364">
        <v>2896.6126709999999</v>
      </c>
      <c r="S7" s="364">
        <v>3151.4084299999995</v>
      </c>
      <c r="T7" s="364">
        <v>3165.7489820000001</v>
      </c>
      <c r="U7" s="364">
        <v>3115.5443260000002</v>
      </c>
      <c r="V7" s="364">
        <v>3557.8999919999997</v>
      </c>
      <c r="W7" s="364">
        <v>3188.305699999999</v>
      </c>
      <c r="X7" s="46"/>
    </row>
    <row r="8" spans="1:24" ht="10.35" customHeight="1">
      <c r="A8" s="185"/>
      <c r="B8" s="185"/>
      <c r="C8" s="183" t="s">
        <v>398</v>
      </c>
      <c r="D8" s="364">
        <v>3274.8548190000001</v>
      </c>
      <c r="E8" s="364">
        <v>2690.5443689999997</v>
      </c>
      <c r="F8" s="364">
        <v>3298.1624349999997</v>
      </c>
      <c r="G8" s="364">
        <v>3143.8736969999995</v>
      </c>
      <c r="H8" s="364">
        <v>3008.158966</v>
      </c>
      <c r="I8" s="364">
        <v>3289.699404</v>
      </c>
      <c r="J8" s="364">
        <v>3248.4159559999998</v>
      </c>
      <c r="K8" s="364">
        <v>3383.020395</v>
      </c>
      <c r="L8" s="364">
        <v>3597.0910389999999</v>
      </c>
      <c r="M8" s="364">
        <v>3765.2886009999993</v>
      </c>
      <c r="N8" s="364">
        <v>3805.463033</v>
      </c>
      <c r="O8" s="364">
        <v>4072.4551569999999</v>
      </c>
      <c r="P8" s="364">
        <v>4474.7126540000008</v>
      </c>
      <c r="Q8" s="364">
        <v>4569.6293950000008</v>
      </c>
      <c r="R8" s="364">
        <v>4704.9874350000009</v>
      </c>
      <c r="S8" s="364">
        <v>4715.9302639999996</v>
      </c>
      <c r="T8" s="364">
        <v>4514.239262000001</v>
      </c>
      <c r="U8" s="364">
        <v>4776.2943759999998</v>
      </c>
      <c r="V8" s="364">
        <v>5131.5354879999995</v>
      </c>
      <c r="W8" s="364">
        <v>5331.063091</v>
      </c>
      <c r="X8" s="47"/>
    </row>
    <row r="9" spans="1:24" ht="10.35" customHeight="1">
      <c r="A9" s="177"/>
      <c r="B9" s="177"/>
      <c r="C9" s="183" t="s">
        <v>264</v>
      </c>
      <c r="D9" s="364">
        <v>191.65137799999999</v>
      </c>
      <c r="E9" s="364">
        <v>196.231731</v>
      </c>
      <c r="F9" s="364">
        <v>212.77058600000001</v>
      </c>
      <c r="G9" s="364">
        <v>203.147481</v>
      </c>
      <c r="H9" s="364">
        <v>231.44735</v>
      </c>
      <c r="I9" s="364">
        <v>188.61121600000001</v>
      </c>
      <c r="J9" s="364">
        <v>273.22979900000007</v>
      </c>
      <c r="K9" s="364">
        <v>225.992074</v>
      </c>
      <c r="L9" s="364">
        <v>273.77986600000003</v>
      </c>
      <c r="M9" s="364">
        <v>255.38788200000002</v>
      </c>
      <c r="N9" s="364">
        <v>279.19910200000004</v>
      </c>
      <c r="O9" s="364">
        <v>331.54659200000003</v>
      </c>
      <c r="P9" s="364">
        <v>320.16356300000001</v>
      </c>
      <c r="Q9" s="364">
        <v>256.83178599999997</v>
      </c>
      <c r="R9" s="364">
        <v>222.04701499999999</v>
      </c>
      <c r="S9" s="364">
        <v>258.04441899999995</v>
      </c>
      <c r="T9" s="364">
        <v>280.97839699999997</v>
      </c>
      <c r="U9" s="364">
        <v>337.33036800000002</v>
      </c>
      <c r="V9" s="364">
        <v>369.62199199999998</v>
      </c>
      <c r="W9" s="364">
        <v>363.29143900000003</v>
      </c>
      <c r="X9" s="47"/>
    </row>
    <row r="10" spans="1:24" ht="10.35" customHeight="1">
      <c r="A10" s="177"/>
      <c r="B10" s="177"/>
      <c r="C10" s="183" t="s">
        <v>399</v>
      </c>
      <c r="D10" s="364">
        <v>168.356537</v>
      </c>
      <c r="E10" s="364">
        <v>181.53336999999999</v>
      </c>
      <c r="F10" s="364">
        <v>183.10397800000001</v>
      </c>
      <c r="G10" s="364">
        <v>189.600889</v>
      </c>
      <c r="H10" s="364">
        <v>192.53284000000002</v>
      </c>
      <c r="I10" s="364">
        <v>206.02641</v>
      </c>
      <c r="J10" s="364">
        <v>259.95376900000002</v>
      </c>
      <c r="K10" s="364">
        <v>284.10331799999994</v>
      </c>
      <c r="L10" s="364">
        <v>328.37363899999997</v>
      </c>
      <c r="M10" s="364">
        <v>313.87969900000002</v>
      </c>
      <c r="N10" s="364">
        <v>335.20926700000001</v>
      </c>
      <c r="O10" s="364">
        <v>392.30614500000001</v>
      </c>
      <c r="P10" s="364">
        <v>375.97770600000001</v>
      </c>
      <c r="Q10" s="364">
        <v>383.14372800000001</v>
      </c>
      <c r="R10" s="364">
        <v>377.70096900000004</v>
      </c>
      <c r="S10" s="364">
        <v>370.78304900000001</v>
      </c>
      <c r="T10" s="364">
        <v>378.30578799999995</v>
      </c>
      <c r="U10" s="364">
        <v>383.09751</v>
      </c>
      <c r="V10" s="364">
        <v>360.63014000000004</v>
      </c>
      <c r="W10" s="364">
        <v>366.75796000000003</v>
      </c>
      <c r="X10" s="47"/>
    </row>
    <row r="11" spans="1:24" ht="10.35" customHeight="1">
      <c r="A11" s="177"/>
      <c r="B11" s="177"/>
      <c r="C11" s="183" t="s">
        <v>224</v>
      </c>
      <c r="D11" s="364">
        <v>960.36188400000003</v>
      </c>
      <c r="E11" s="364">
        <v>1057.3553010000001</v>
      </c>
      <c r="F11" s="364">
        <v>1038.1173779999997</v>
      </c>
      <c r="G11" s="364">
        <v>1097.337037</v>
      </c>
      <c r="H11" s="364">
        <v>983.15602999999999</v>
      </c>
      <c r="I11" s="364">
        <v>999.27370500000006</v>
      </c>
      <c r="J11" s="364">
        <v>1019.80584</v>
      </c>
      <c r="K11" s="364">
        <v>1122.9176710000002</v>
      </c>
      <c r="L11" s="364">
        <v>1231.5164749999999</v>
      </c>
      <c r="M11" s="364">
        <v>1273.942963</v>
      </c>
      <c r="N11" s="364">
        <v>1283.621159</v>
      </c>
      <c r="O11" s="364">
        <v>1260.123096</v>
      </c>
      <c r="P11" s="364">
        <v>1392.9716850000002</v>
      </c>
      <c r="Q11" s="364">
        <v>1364.6632590000002</v>
      </c>
      <c r="R11" s="364">
        <v>1227.5619360000005</v>
      </c>
      <c r="S11" s="364">
        <v>1438.5624310000001</v>
      </c>
      <c r="T11" s="364">
        <v>1232.3829679999999</v>
      </c>
      <c r="U11" s="364">
        <v>1249.600224</v>
      </c>
      <c r="V11" s="364">
        <v>1266.0298580000001</v>
      </c>
      <c r="W11" s="364">
        <v>1271.8254649999999</v>
      </c>
      <c r="X11" s="47"/>
    </row>
    <row r="12" spans="1:24" ht="10.35" customHeight="1">
      <c r="A12" s="177"/>
      <c r="B12" s="177"/>
      <c r="C12" s="183" t="s">
        <v>400</v>
      </c>
      <c r="D12" s="364">
        <v>5344.9536239999998</v>
      </c>
      <c r="E12" s="364">
        <v>5391.1828810000006</v>
      </c>
      <c r="F12" s="364">
        <v>5520.8009553333341</v>
      </c>
      <c r="G12" s="364">
        <v>5652.0823709999986</v>
      </c>
      <c r="H12" s="364">
        <v>5638.8799159999999</v>
      </c>
      <c r="I12" s="364">
        <v>5605.8801429999994</v>
      </c>
      <c r="J12" s="364">
        <v>5639.5693469999997</v>
      </c>
      <c r="K12" s="364">
        <v>5731.9703390000013</v>
      </c>
      <c r="L12" s="364">
        <v>5822.487443</v>
      </c>
      <c r="M12" s="364">
        <v>6113.0767820000001</v>
      </c>
      <c r="N12" s="364">
        <v>6240.8750690000006</v>
      </c>
      <c r="O12" s="364">
        <v>6398.176773000001</v>
      </c>
      <c r="P12" s="364">
        <v>6696.3761020000002</v>
      </c>
      <c r="Q12" s="364">
        <v>6986.7857459999996</v>
      </c>
      <c r="R12" s="364">
        <v>6605.0914330000014</v>
      </c>
      <c r="S12" s="364">
        <v>6821.7654520000006</v>
      </c>
      <c r="T12" s="364">
        <v>6636.6953429999994</v>
      </c>
      <c r="U12" s="364">
        <v>6486.8892870000009</v>
      </c>
      <c r="V12" s="364">
        <v>6522.0868210000008</v>
      </c>
      <c r="W12" s="364">
        <v>6780.4641550000006</v>
      </c>
      <c r="X12" s="47"/>
    </row>
    <row r="13" spans="1:24" ht="10.35" customHeight="1">
      <c r="A13" s="177"/>
      <c r="B13" s="177"/>
      <c r="C13" s="183" t="s">
        <v>401</v>
      </c>
      <c r="D13" s="364">
        <v>1444.6971509999998</v>
      </c>
      <c r="E13" s="364">
        <v>1561.9114099999999</v>
      </c>
      <c r="F13" s="364">
        <v>1560.39672</v>
      </c>
      <c r="G13" s="364">
        <v>1620.955608</v>
      </c>
      <c r="H13" s="364">
        <v>1664.0851919999998</v>
      </c>
      <c r="I13" s="364">
        <v>1697.1203</v>
      </c>
      <c r="J13" s="364">
        <v>1777.326949</v>
      </c>
      <c r="K13" s="364">
        <v>1834.511051</v>
      </c>
      <c r="L13" s="364">
        <v>1792.9281860000001</v>
      </c>
      <c r="M13" s="364">
        <v>1866.5875359999998</v>
      </c>
      <c r="N13" s="364">
        <v>2007.2839840000001</v>
      </c>
      <c r="O13" s="364">
        <v>1968.0509030000001</v>
      </c>
      <c r="P13" s="364">
        <v>2082.0892790000003</v>
      </c>
      <c r="Q13" s="364">
        <v>2113.8057259999996</v>
      </c>
      <c r="R13" s="364">
        <v>2125.8389469999997</v>
      </c>
      <c r="S13" s="364">
        <v>2056.342842</v>
      </c>
      <c r="T13" s="364">
        <v>2073.9946730000001</v>
      </c>
      <c r="U13" s="364">
        <v>1981.047364</v>
      </c>
      <c r="V13" s="364">
        <v>2194.8764890000002</v>
      </c>
      <c r="W13" s="364">
        <v>2280.1030440000004</v>
      </c>
      <c r="X13" s="47"/>
    </row>
    <row r="14" spans="1:24" ht="10.35" customHeight="1">
      <c r="A14" s="177"/>
      <c r="B14" s="177"/>
      <c r="C14" s="183" t="s">
        <v>402</v>
      </c>
      <c r="D14" s="364">
        <v>155.43631399999998</v>
      </c>
      <c r="E14" s="364">
        <v>140.97033999999996</v>
      </c>
      <c r="F14" s="364">
        <v>140.13234700000001</v>
      </c>
      <c r="G14" s="364">
        <v>138.61197999999999</v>
      </c>
      <c r="H14" s="364">
        <v>187.69665700000002</v>
      </c>
      <c r="I14" s="364">
        <v>207.31585699999999</v>
      </c>
      <c r="J14" s="364">
        <v>213.35742499999998</v>
      </c>
      <c r="K14" s="364">
        <v>215.43887699999999</v>
      </c>
      <c r="L14" s="364">
        <v>167.39660500000002</v>
      </c>
      <c r="M14" s="364">
        <v>95.968068000000017</v>
      </c>
      <c r="N14" s="364">
        <v>63.757576999999998</v>
      </c>
      <c r="O14" s="364">
        <v>122.04679999999999</v>
      </c>
      <c r="P14" s="364">
        <v>110.95433</v>
      </c>
      <c r="Q14" s="364">
        <v>82.623080999999999</v>
      </c>
      <c r="R14" s="364">
        <v>92.471462999999986</v>
      </c>
      <c r="S14" s="364">
        <v>70.152664000000001</v>
      </c>
      <c r="T14" s="364">
        <v>45.35826500000001</v>
      </c>
      <c r="U14" s="364">
        <v>23.333447</v>
      </c>
      <c r="V14" s="364">
        <v>44.194618999999996</v>
      </c>
      <c r="W14" s="364">
        <v>58.307701999999999</v>
      </c>
      <c r="X14" s="47"/>
    </row>
    <row r="15" spans="1:24" ht="10.35" customHeight="1">
      <c r="A15" s="177"/>
      <c r="B15" s="177"/>
      <c r="C15" s="183" t="s">
        <v>403</v>
      </c>
      <c r="D15" s="364">
        <v>7135.1539350000003</v>
      </c>
      <c r="E15" s="364">
        <v>7385.9461179999998</v>
      </c>
      <c r="F15" s="364">
        <v>8419.785573000001</v>
      </c>
      <c r="G15" s="364">
        <v>8863.9582936000006</v>
      </c>
      <c r="H15" s="364">
        <v>6945.6858801439985</v>
      </c>
      <c r="I15" s="364">
        <v>6304.0654709999999</v>
      </c>
      <c r="J15" s="364">
        <v>7245.8325209999994</v>
      </c>
      <c r="K15" s="364">
        <v>8228.6233708498748</v>
      </c>
      <c r="L15" s="364">
        <v>9395.9590429999989</v>
      </c>
      <c r="M15" s="364">
        <v>9936.9448180419986</v>
      </c>
      <c r="N15" s="364">
        <v>9854.9612459999989</v>
      </c>
      <c r="O15" s="364">
        <v>9884.9363083099997</v>
      </c>
      <c r="P15" s="364">
        <v>10368.8664377</v>
      </c>
      <c r="Q15" s="364">
        <v>10992.2402974</v>
      </c>
      <c r="R15" s="364">
        <v>11389.6171884</v>
      </c>
      <c r="S15" s="364">
        <v>10211.8562668</v>
      </c>
      <c r="T15" s="364">
        <v>9832.5255915000016</v>
      </c>
      <c r="U15" s="364">
        <v>9399.6169460000001</v>
      </c>
      <c r="V15" s="364">
        <v>10336.177907933399</v>
      </c>
      <c r="W15" s="364">
        <v>10929.340628999998</v>
      </c>
      <c r="X15" s="47"/>
    </row>
    <row r="16" spans="1:24" ht="10.35" customHeight="1">
      <c r="A16" s="177"/>
      <c r="B16" s="177"/>
      <c r="C16" s="183" t="s">
        <v>404</v>
      </c>
      <c r="D16" s="364">
        <v>882.51732100000004</v>
      </c>
      <c r="E16" s="364">
        <v>857.05512499999998</v>
      </c>
      <c r="F16" s="364">
        <v>890.13523099999998</v>
      </c>
      <c r="G16" s="364">
        <v>909.34147400000006</v>
      </c>
      <c r="H16" s="364">
        <v>971.03482700000006</v>
      </c>
      <c r="I16" s="364">
        <v>992.28784699999994</v>
      </c>
      <c r="J16" s="364">
        <v>1063.5193669999999</v>
      </c>
      <c r="K16" s="364">
        <v>1091.7089679999999</v>
      </c>
      <c r="L16" s="364">
        <v>1094.032524</v>
      </c>
      <c r="M16" s="364">
        <v>1166.0165690000001</v>
      </c>
      <c r="N16" s="364">
        <v>1240.121433</v>
      </c>
      <c r="O16" s="364">
        <v>1115.5930820000001</v>
      </c>
      <c r="P16" s="364">
        <v>1118.4890350000001</v>
      </c>
      <c r="Q16" s="364">
        <v>1191.596088</v>
      </c>
      <c r="R16" s="364">
        <v>1195.9258060000002</v>
      </c>
      <c r="S16" s="364">
        <v>1230.035893</v>
      </c>
      <c r="T16" s="364">
        <v>1180.954972</v>
      </c>
      <c r="U16" s="364">
        <v>1196.4486959999997</v>
      </c>
      <c r="V16" s="364">
        <v>1239.7405980000003</v>
      </c>
      <c r="W16" s="364">
        <v>1286.0127540000001</v>
      </c>
      <c r="X16" s="47"/>
    </row>
    <row r="17" spans="1:24" ht="10.35" customHeight="1">
      <c r="A17" s="177"/>
      <c r="B17" s="177"/>
      <c r="C17" s="183" t="s">
        <v>405</v>
      </c>
      <c r="D17" s="364">
        <v>374.11608700000005</v>
      </c>
      <c r="E17" s="364">
        <v>409.29894000000013</v>
      </c>
      <c r="F17" s="364">
        <v>456.61554599999999</v>
      </c>
      <c r="G17" s="364">
        <v>469.11776000000003</v>
      </c>
      <c r="H17" s="364">
        <v>512.99586799999997</v>
      </c>
      <c r="I17" s="364">
        <v>481.76380599999999</v>
      </c>
      <c r="J17" s="364">
        <v>563.71223799999984</v>
      </c>
      <c r="K17" s="364">
        <v>618.43243900000004</v>
      </c>
      <c r="L17" s="364">
        <v>620.47797399999979</v>
      </c>
      <c r="M17" s="364">
        <v>580.98293699999988</v>
      </c>
      <c r="N17" s="364">
        <v>697.82683199999997</v>
      </c>
      <c r="O17" s="364">
        <v>702.40324699999996</v>
      </c>
      <c r="P17" s="364">
        <v>751.83408400000019</v>
      </c>
      <c r="Q17" s="364">
        <v>747.92845800000009</v>
      </c>
      <c r="R17" s="364">
        <v>758.23326000000009</v>
      </c>
      <c r="S17" s="364">
        <v>760.19228699999996</v>
      </c>
      <c r="T17" s="364">
        <v>705.63340599999992</v>
      </c>
      <c r="U17" s="364">
        <v>722.43574699999999</v>
      </c>
      <c r="V17" s="364">
        <v>643.95438600000011</v>
      </c>
      <c r="W17" s="364">
        <v>631.57972900000004</v>
      </c>
      <c r="X17" s="47"/>
    </row>
    <row r="18" spans="1:24" ht="10.35" customHeight="1">
      <c r="A18" s="177"/>
      <c r="B18" s="177"/>
      <c r="C18" s="183" t="s">
        <v>196</v>
      </c>
      <c r="D18" s="364">
        <v>280.60747800000001</v>
      </c>
      <c r="E18" s="364">
        <v>253.56460200000004</v>
      </c>
      <c r="F18" s="364">
        <v>252.74453699999998</v>
      </c>
      <c r="G18" s="364">
        <v>256.47502300000002</v>
      </c>
      <c r="H18" s="364">
        <v>216.89087399999997</v>
      </c>
      <c r="I18" s="364">
        <v>241.50647200000003</v>
      </c>
      <c r="J18" s="364">
        <v>249.16904100000002</v>
      </c>
      <c r="K18" s="364">
        <v>245.32635300000001</v>
      </c>
      <c r="L18" s="364">
        <v>249.38025900000002</v>
      </c>
      <c r="M18" s="364">
        <v>285.80225000000002</v>
      </c>
      <c r="N18" s="364">
        <v>257.57385899999997</v>
      </c>
      <c r="O18" s="364">
        <v>255.65137799999999</v>
      </c>
      <c r="P18" s="364">
        <v>280.90195</v>
      </c>
      <c r="Q18" s="364">
        <v>307.48076300000002</v>
      </c>
      <c r="R18" s="364">
        <v>302.07437799999997</v>
      </c>
      <c r="S18" s="364">
        <v>307.86517099999998</v>
      </c>
      <c r="T18" s="364">
        <v>277.42609499999998</v>
      </c>
      <c r="U18" s="364">
        <v>273.86900600000007</v>
      </c>
      <c r="V18" s="364">
        <v>313.11226200000004</v>
      </c>
      <c r="W18" s="364">
        <v>307.97028500000005</v>
      </c>
      <c r="X18" s="47"/>
    </row>
    <row r="19" spans="1:24" ht="10.35" customHeight="1">
      <c r="A19" s="177"/>
      <c r="B19" s="177"/>
      <c r="C19" s="183" t="s">
        <v>407</v>
      </c>
      <c r="D19" s="364">
        <v>107.03505699999999</v>
      </c>
      <c r="E19" s="364">
        <v>127.516327</v>
      </c>
      <c r="F19" s="364">
        <v>135.52996333333331</v>
      </c>
      <c r="G19" s="364">
        <v>145.96630000000002</v>
      </c>
      <c r="H19" s="364">
        <v>155.44546299999999</v>
      </c>
      <c r="I19" s="364">
        <v>169.53960999999998</v>
      </c>
      <c r="J19" s="364">
        <v>191.642042</v>
      </c>
      <c r="K19" s="364">
        <v>196.60353899999998</v>
      </c>
      <c r="L19" s="364">
        <v>223.37111900000002</v>
      </c>
      <c r="M19" s="364">
        <v>264.36659899999995</v>
      </c>
      <c r="N19" s="364">
        <v>280.46794699999998</v>
      </c>
      <c r="O19" s="364">
        <v>296.90164600000003</v>
      </c>
      <c r="P19" s="364">
        <v>361.86986999999999</v>
      </c>
      <c r="Q19" s="364">
        <v>439.244303</v>
      </c>
      <c r="R19" s="364">
        <v>507.09720600000003</v>
      </c>
      <c r="S19" s="364">
        <v>597.93892600000004</v>
      </c>
      <c r="T19" s="364">
        <v>689.95730800000013</v>
      </c>
      <c r="U19" s="364">
        <v>645.01233400000001</v>
      </c>
      <c r="V19" s="364">
        <v>645.54505900000015</v>
      </c>
      <c r="W19" s="364">
        <v>638.20435899999995</v>
      </c>
      <c r="X19" s="47"/>
    </row>
    <row r="20" spans="1:24" ht="10.35" customHeight="1">
      <c r="A20" s="177"/>
      <c r="B20" s="177"/>
      <c r="C20" s="183" t="s">
        <v>429</v>
      </c>
      <c r="D20" s="364">
        <v>0</v>
      </c>
      <c r="E20" s="364">
        <v>5.2220200000000006</v>
      </c>
      <c r="F20" s="364">
        <v>19.330200000000001</v>
      </c>
      <c r="G20" s="364">
        <v>16.860349999999997</v>
      </c>
      <c r="H20" s="364">
        <v>33.023449999999997</v>
      </c>
      <c r="I20" s="364">
        <v>62.343380000000003</v>
      </c>
      <c r="J20" s="364">
        <v>52.195483999999993</v>
      </c>
      <c r="K20" s="364">
        <v>40.103377999999999</v>
      </c>
      <c r="L20" s="364">
        <v>56.194788000000003</v>
      </c>
      <c r="M20" s="364">
        <v>49.542988999999992</v>
      </c>
      <c r="N20" s="364">
        <v>41.254519999999999</v>
      </c>
      <c r="O20" s="364">
        <v>44.964645000000004</v>
      </c>
      <c r="P20" s="364">
        <v>46.838020000000007</v>
      </c>
      <c r="Q20" s="364">
        <v>35.881576000000003</v>
      </c>
      <c r="R20" s="364">
        <v>34.469988999999998</v>
      </c>
      <c r="S20" s="364">
        <v>36.784218000000003</v>
      </c>
      <c r="T20" s="364">
        <v>33.636186000000002</v>
      </c>
      <c r="U20" s="364">
        <v>24.212944000000004</v>
      </c>
      <c r="V20" s="364">
        <v>26.231579999999997</v>
      </c>
      <c r="W20" s="364">
        <v>23.31222</v>
      </c>
      <c r="X20" s="47"/>
    </row>
    <row r="21" spans="1:24" ht="10.35" customHeight="1">
      <c r="A21" s="177"/>
      <c r="B21" s="177"/>
      <c r="C21" s="183" t="s">
        <v>408</v>
      </c>
      <c r="D21" s="364">
        <v>4.6514199999999999</v>
      </c>
      <c r="E21" s="364">
        <v>6.7680889999999998</v>
      </c>
      <c r="F21" s="364">
        <v>8.4206000000000003</v>
      </c>
      <c r="G21" s="364">
        <v>19.752400000000002</v>
      </c>
      <c r="H21" s="364">
        <v>42.03105</v>
      </c>
      <c r="I21" s="364">
        <v>67.942429999999987</v>
      </c>
      <c r="J21" s="364">
        <v>113.199809</v>
      </c>
      <c r="K21" s="364">
        <v>134.24357799999999</v>
      </c>
      <c r="L21" s="364">
        <v>126.20068099999999</v>
      </c>
      <c r="M21" s="364">
        <v>115.710114</v>
      </c>
      <c r="N21" s="364">
        <v>127.32262399999999</v>
      </c>
      <c r="O21" s="364">
        <v>150.417419</v>
      </c>
      <c r="P21" s="364">
        <v>141.70750000000004</v>
      </c>
      <c r="Q21" s="364">
        <v>112.93256800000002</v>
      </c>
      <c r="R21" s="364">
        <v>103.34810899999999</v>
      </c>
      <c r="S21" s="364">
        <v>89.982979999999998</v>
      </c>
      <c r="T21" s="364">
        <v>108.80133000000001</v>
      </c>
      <c r="U21" s="364">
        <v>145.068299</v>
      </c>
      <c r="V21" s="364">
        <v>154.55194000000003</v>
      </c>
      <c r="W21" s="364">
        <v>131.88221999999996</v>
      </c>
      <c r="X21" s="47"/>
    </row>
    <row r="22" spans="1:24" ht="10.35" customHeight="1">
      <c r="A22" s="177"/>
      <c r="B22" s="177"/>
      <c r="C22" s="183" t="s">
        <v>366</v>
      </c>
      <c r="D22" s="364">
        <v>370.45084499999996</v>
      </c>
      <c r="E22" s="364">
        <v>369.43708999999996</v>
      </c>
      <c r="F22" s="364">
        <v>399.62058399999995</v>
      </c>
      <c r="G22" s="364">
        <v>407.12295699999999</v>
      </c>
      <c r="H22" s="364">
        <v>377.90367500000002</v>
      </c>
      <c r="I22" s="364">
        <v>351.34076899999997</v>
      </c>
      <c r="J22" s="364">
        <v>360.59982899999994</v>
      </c>
      <c r="K22" s="364">
        <v>332.25515499999995</v>
      </c>
      <c r="L22" s="364">
        <v>374.14474699999994</v>
      </c>
      <c r="M22" s="364">
        <v>394.18300500000004</v>
      </c>
      <c r="N22" s="364">
        <v>408.18136100000009</v>
      </c>
      <c r="O22" s="364">
        <v>367.994415</v>
      </c>
      <c r="P22" s="364">
        <v>361.57325199999997</v>
      </c>
      <c r="Q22" s="364">
        <v>399.36950900000005</v>
      </c>
      <c r="R22" s="364">
        <v>403.40540499999992</v>
      </c>
      <c r="S22" s="364">
        <v>396.18632000000002</v>
      </c>
      <c r="T22" s="364">
        <v>398.74956200000003</v>
      </c>
      <c r="U22" s="364">
        <v>380.14678000000015</v>
      </c>
      <c r="V22" s="364">
        <v>453.22793299999995</v>
      </c>
      <c r="W22" s="364">
        <v>421.87002300000006</v>
      </c>
      <c r="X22" s="47"/>
    </row>
    <row r="23" spans="1:24" ht="10.35" customHeight="1">
      <c r="A23" s="177"/>
      <c r="B23" s="177"/>
      <c r="C23" s="183" t="s">
        <v>367</v>
      </c>
      <c r="D23" s="364">
        <v>69.815216999999976</v>
      </c>
      <c r="E23" s="364">
        <v>61.280495000000002</v>
      </c>
      <c r="F23" s="364">
        <v>62.42424299999999</v>
      </c>
      <c r="G23" s="364">
        <v>59.196289</v>
      </c>
      <c r="H23" s="364">
        <v>58.524485000000006</v>
      </c>
      <c r="I23" s="364">
        <v>71.667408999999992</v>
      </c>
      <c r="J23" s="364">
        <v>82.450469000000027</v>
      </c>
      <c r="K23" s="364">
        <v>81.979264000000001</v>
      </c>
      <c r="L23" s="364">
        <v>86.144751999999997</v>
      </c>
      <c r="M23" s="364">
        <v>98.608105000000009</v>
      </c>
      <c r="N23" s="364">
        <v>92.758424000000019</v>
      </c>
      <c r="O23" s="364">
        <v>87.853298999999993</v>
      </c>
      <c r="P23" s="364">
        <v>92.475705000000033</v>
      </c>
      <c r="Q23" s="364">
        <v>92.95185699999999</v>
      </c>
      <c r="R23" s="364">
        <v>89.516957000000019</v>
      </c>
      <c r="S23" s="364">
        <v>89.574816000000013</v>
      </c>
      <c r="T23" s="364">
        <v>80.886752999999999</v>
      </c>
      <c r="U23" s="364">
        <v>75.706270000000004</v>
      </c>
      <c r="V23" s="364">
        <v>88.865770999999995</v>
      </c>
      <c r="W23" s="364">
        <v>85.941770999999989</v>
      </c>
      <c r="X23" s="47"/>
    </row>
    <row r="24" spans="1:24" ht="10.35" customHeight="1">
      <c r="A24" s="177"/>
      <c r="B24" s="177"/>
      <c r="C24" s="183" t="s">
        <v>368</v>
      </c>
      <c r="D24" s="364">
        <v>125.18486900000001</v>
      </c>
      <c r="E24" s="364">
        <v>144.13005600000002</v>
      </c>
      <c r="F24" s="364">
        <v>179.627017</v>
      </c>
      <c r="G24" s="364">
        <v>198.49007699999999</v>
      </c>
      <c r="H24" s="364">
        <v>277.89931299999995</v>
      </c>
      <c r="I24" s="364">
        <v>235.40601599999999</v>
      </c>
      <c r="J24" s="364">
        <v>320.33488700000004</v>
      </c>
      <c r="K24" s="364">
        <v>294.43980599999998</v>
      </c>
      <c r="L24" s="364">
        <v>322.72123200000004</v>
      </c>
      <c r="M24" s="364">
        <v>167.007519</v>
      </c>
      <c r="N24" s="364">
        <v>454.32987600000001</v>
      </c>
      <c r="O24" s="364">
        <v>351.93734999999998</v>
      </c>
      <c r="P24" s="364">
        <v>185.18233000000001</v>
      </c>
      <c r="Q24" s="364">
        <v>458.76626599999997</v>
      </c>
      <c r="R24" s="364">
        <v>375.99815699999999</v>
      </c>
      <c r="S24" s="364">
        <v>345.97894199999996</v>
      </c>
      <c r="T24" s="364">
        <v>379.57786799999997</v>
      </c>
      <c r="U24" s="364">
        <v>386.85898499999996</v>
      </c>
      <c r="V24" s="364">
        <v>378.88654600000001</v>
      </c>
      <c r="W24" s="364">
        <v>537.07937700000002</v>
      </c>
      <c r="X24" s="47"/>
    </row>
    <row r="25" spans="1:24" ht="10.35" customHeight="1">
      <c r="A25" s="177"/>
      <c r="B25" s="177"/>
      <c r="C25" s="183" t="s">
        <v>369</v>
      </c>
      <c r="D25" s="364">
        <v>24.786448</v>
      </c>
      <c r="E25" s="364">
        <v>23.671112999999998</v>
      </c>
      <c r="F25" s="364">
        <v>24.352865999999999</v>
      </c>
      <c r="G25" s="364">
        <v>24.213715999999998</v>
      </c>
      <c r="H25" s="364">
        <v>25.920634999999997</v>
      </c>
      <c r="I25" s="364">
        <v>25.257087000000006</v>
      </c>
      <c r="J25" s="364">
        <v>31.517660000000006</v>
      </c>
      <c r="K25" s="364">
        <v>31.386581999999994</v>
      </c>
      <c r="L25" s="364">
        <v>34.003327000000006</v>
      </c>
      <c r="M25" s="364">
        <v>36.803342999999998</v>
      </c>
      <c r="N25" s="364">
        <v>46.613046000000004</v>
      </c>
      <c r="O25" s="364">
        <v>56.499411000000002</v>
      </c>
      <c r="P25" s="364">
        <v>62.491579999999992</v>
      </c>
      <c r="Q25" s="364">
        <v>71.837990000000005</v>
      </c>
      <c r="R25" s="364">
        <v>81.651080999999991</v>
      </c>
      <c r="S25" s="364">
        <v>92.592312000000021</v>
      </c>
      <c r="T25" s="364">
        <v>107.92151199999999</v>
      </c>
      <c r="U25" s="364">
        <v>121.825282</v>
      </c>
      <c r="V25" s="364">
        <v>134.67574400000001</v>
      </c>
      <c r="W25" s="364">
        <v>135.92761199999998</v>
      </c>
      <c r="X25" s="47"/>
    </row>
    <row r="26" spans="1:24" ht="10.35" customHeight="1">
      <c r="A26" s="177"/>
      <c r="B26" s="177"/>
      <c r="C26" s="183" t="s">
        <v>370</v>
      </c>
      <c r="D26" s="364">
        <v>187.74598600000004</v>
      </c>
      <c r="E26" s="364">
        <v>181.80489300000002</v>
      </c>
      <c r="F26" s="364">
        <v>186.85307500000002</v>
      </c>
      <c r="G26" s="364">
        <v>190.45261500000001</v>
      </c>
      <c r="H26" s="364">
        <v>170.41062299999999</v>
      </c>
      <c r="I26" s="364">
        <v>178.45951099999999</v>
      </c>
      <c r="J26" s="364">
        <v>191.09402000000003</v>
      </c>
      <c r="K26" s="364">
        <v>181.55179600000002</v>
      </c>
      <c r="L26" s="364">
        <v>206.93622500000001</v>
      </c>
      <c r="M26" s="364">
        <v>226.26506899999998</v>
      </c>
      <c r="N26" s="364">
        <v>219.45400700000002</v>
      </c>
      <c r="O26" s="364">
        <v>214.14052899999999</v>
      </c>
      <c r="P26" s="364">
        <v>226.21846100000005</v>
      </c>
      <c r="Q26" s="364">
        <v>230.11206300000001</v>
      </c>
      <c r="R26" s="364">
        <v>218.90376300000003</v>
      </c>
      <c r="S26" s="364">
        <v>214.84861700000002</v>
      </c>
      <c r="T26" s="364">
        <v>191.10827499999999</v>
      </c>
      <c r="U26" s="364">
        <v>192.09860800000001</v>
      </c>
      <c r="V26" s="364">
        <v>196.01197400000001</v>
      </c>
      <c r="W26" s="364">
        <v>190.56006500000001</v>
      </c>
      <c r="X26" s="47"/>
    </row>
    <row r="27" spans="1:24" ht="10.35" customHeight="1">
      <c r="A27" s="177"/>
      <c r="B27" s="177"/>
      <c r="C27" s="183" t="s">
        <v>371</v>
      </c>
      <c r="D27" s="364">
        <v>255.74737999999999</v>
      </c>
      <c r="E27" s="364">
        <v>278.21876800000007</v>
      </c>
      <c r="F27" s="364">
        <v>292.36121299999996</v>
      </c>
      <c r="G27" s="364">
        <v>305.75704599999995</v>
      </c>
      <c r="H27" s="364">
        <v>330.35238999999996</v>
      </c>
      <c r="I27" s="364">
        <v>334.49546800000007</v>
      </c>
      <c r="J27" s="364">
        <v>353.93344300000001</v>
      </c>
      <c r="K27" s="364">
        <v>344.26656000000008</v>
      </c>
      <c r="L27" s="364">
        <v>379.97715599999998</v>
      </c>
      <c r="M27" s="364">
        <v>377.59811900000011</v>
      </c>
      <c r="N27" s="364">
        <v>394.57343600000013</v>
      </c>
      <c r="O27" s="364">
        <v>418.63119700000004</v>
      </c>
      <c r="P27" s="364">
        <v>428.75317499999994</v>
      </c>
      <c r="Q27" s="364">
        <v>441.12462399999998</v>
      </c>
      <c r="R27" s="364">
        <v>450.42322200000001</v>
      </c>
      <c r="S27" s="364">
        <v>456.15430900000001</v>
      </c>
      <c r="T27" s="364">
        <v>490.86899999999991</v>
      </c>
      <c r="U27" s="364">
        <v>498.4543250000001</v>
      </c>
      <c r="V27" s="364">
        <v>502.82245500000005</v>
      </c>
      <c r="W27" s="364">
        <v>514.93060600000013</v>
      </c>
      <c r="X27" s="47"/>
    </row>
    <row r="28" spans="1:24" ht="10.35" customHeight="1">
      <c r="A28" s="177"/>
      <c r="B28" s="177"/>
      <c r="C28" s="183" t="s">
        <v>372</v>
      </c>
      <c r="D28" s="364">
        <v>83.671134000000009</v>
      </c>
      <c r="E28" s="364">
        <v>93.458941999999993</v>
      </c>
      <c r="F28" s="364">
        <v>94.236109999999982</v>
      </c>
      <c r="G28" s="364">
        <v>99.975288000000006</v>
      </c>
      <c r="H28" s="364">
        <v>108.460038</v>
      </c>
      <c r="I28" s="364">
        <v>103.416983</v>
      </c>
      <c r="J28" s="364">
        <v>113.27796400000001</v>
      </c>
      <c r="K28" s="364">
        <v>121.72043200000002</v>
      </c>
      <c r="L28" s="364">
        <v>136.303437</v>
      </c>
      <c r="M28" s="364">
        <v>157.41548600000004</v>
      </c>
      <c r="N28" s="364">
        <v>184.36964300000002</v>
      </c>
      <c r="O28" s="364">
        <v>213.66173800000001</v>
      </c>
      <c r="P28" s="364">
        <v>268.52526899999998</v>
      </c>
      <c r="Q28" s="364">
        <v>288.85303700000003</v>
      </c>
      <c r="R28" s="364">
        <v>349.31716</v>
      </c>
      <c r="S28" s="364">
        <v>376.60160499999995</v>
      </c>
      <c r="T28" s="364">
        <v>455.39417499999996</v>
      </c>
      <c r="U28" s="364">
        <v>466.79573800000009</v>
      </c>
      <c r="V28" s="364">
        <v>504.53229299999998</v>
      </c>
      <c r="W28" s="364">
        <v>535.91096300000004</v>
      </c>
      <c r="X28" s="47"/>
    </row>
    <row r="29" spans="1:24" ht="10.35" customHeight="1">
      <c r="A29" s="177" t="s">
        <v>228</v>
      </c>
      <c r="B29" s="177"/>
      <c r="C29" s="183" t="s">
        <v>496</v>
      </c>
      <c r="D29" s="364">
        <v>128.608799</v>
      </c>
      <c r="E29" s="364">
        <v>129.48803999999998</v>
      </c>
      <c r="F29" s="364">
        <v>133.19792699999999</v>
      </c>
      <c r="G29" s="364">
        <v>161.209337</v>
      </c>
      <c r="H29" s="364">
        <v>175.43538799999999</v>
      </c>
      <c r="I29" s="364">
        <v>171.31938</v>
      </c>
      <c r="J29" s="364">
        <v>187.29917600000005</v>
      </c>
      <c r="K29" s="364">
        <v>190.40984599999996</v>
      </c>
      <c r="L29" s="364">
        <v>187.16537299999999</v>
      </c>
      <c r="M29" s="364">
        <v>166.07189299999993</v>
      </c>
      <c r="N29" s="364">
        <v>221.32397399999999</v>
      </c>
      <c r="O29" s="364">
        <v>236.28226799999999</v>
      </c>
      <c r="P29" s="364">
        <v>281.06118799999996</v>
      </c>
      <c r="Q29" s="364">
        <v>313.79742099999999</v>
      </c>
      <c r="R29" s="364">
        <v>339.60429800000003</v>
      </c>
      <c r="S29" s="364">
        <v>357.91155200000003</v>
      </c>
      <c r="T29" s="364">
        <v>403.857146</v>
      </c>
      <c r="U29" s="364">
        <v>408.024721</v>
      </c>
      <c r="V29" s="364">
        <v>481.59396299999992</v>
      </c>
      <c r="W29" s="364">
        <v>507.59560299999998</v>
      </c>
      <c r="X29" s="47"/>
    </row>
    <row r="30" spans="1:24" ht="10.35" customHeight="1">
      <c r="A30" s="177"/>
      <c r="B30" s="177"/>
      <c r="C30" s="183" t="s">
        <v>497</v>
      </c>
      <c r="D30" s="364">
        <v>250.499539</v>
      </c>
      <c r="E30" s="364">
        <v>188.97130300000001</v>
      </c>
      <c r="F30" s="364">
        <v>130.631449</v>
      </c>
      <c r="G30" s="364">
        <v>149.387438</v>
      </c>
      <c r="H30" s="364">
        <v>183.516344</v>
      </c>
      <c r="I30" s="364">
        <v>159.205906</v>
      </c>
      <c r="J30" s="364">
        <v>169.72381499999997</v>
      </c>
      <c r="K30" s="364">
        <v>173.25675199999998</v>
      </c>
      <c r="L30" s="364">
        <v>210.68523799999997</v>
      </c>
      <c r="M30" s="364">
        <v>221.59410999999997</v>
      </c>
      <c r="N30" s="364">
        <v>224.89679800000005</v>
      </c>
      <c r="O30" s="364">
        <v>186.00169600000001</v>
      </c>
      <c r="P30" s="364">
        <v>229.35647000000003</v>
      </c>
      <c r="Q30" s="364">
        <v>253.58841300000003</v>
      </c>
      <c r="R30" s="364">
        <v>265.94804499999992</v>
      </c>
      <c r="S30" s="364">
        <v>236.28717400000002</v>
      </c>
      <c r="T30" s="364">
        <v>232.89788700000005</v>
      </c>
      <c r="U30" s="364">
        <v>220.61771099999999</v>
      </c>
      <c r="V30" s="364">
        <v>253.449264</v>
      </c>
      <c r="W30" s="364">
        <v>202.24247300000002</v>
      </c>
      <c r="X30" s="47"/>
    </row>
    <row r="31" spans="1:24" ht="10.35" customHeight="1">
      <c r="A31" s="177"/>
      <c r="B31" s="177"/>
      <c r="C31" s="183" t="s">
        <v>492</v>
      </c>
      <c r="D31" s="364">
        <v>212.90317899999997</v>
      </c>
      <c r="E31" s="364">
        <v>194.37150299999999</v>
      </c>
      <c r="F31" s="364">
        <v>244.58466900000002</v>
      </c>
      <c r="G31" s="364">
        <v>241.87285699999998</v>
      </c>
      <c r="H31" s="364">
        <v>202.398921</v>
      </c>
      <c r="I31" s="364">
        <v>217.34284700000001</v>
      </c>
      <c r="J31" s="364">
        <v>251.27005799999995</v>
      </c>
      <c r="K31" s="364">
        <v>269.78763299999997</v>
      </c>
      <c r="L31" s="364">
        <v>223.400271</v>
      </c>
      <c r="M31" s="364">
        <v>197.377926</v>
      </c>
      <c r="N31" s="364">
        <v>222.29039599999999</v>
      </c>
      <c r="O31" s="364">
        <v>214.21234900000002</v>
      </c>
      <c r="P31" s="364">
        <v>221.63992600000003</v>
      </c>
      <c r="Q31" s="364">
        <v>228.46953100000002</v>
      </c>
      <c r="R31" s="364">
        <v>263.79925099999997</v>
      </c>
      <c r="S31" s="364">
        <v>267.95274800000004</v>
      </c>
      <c r="T31" s="364">
        <v>270.30786599999999</v>
      </c>
      <c r="U31" s="364">
        <v>167.73446199999998</v>
      </c>
      <c r="V31" s="364">
        <v>258.20590000000004</v>
      </c>
      <c r="W31" s="364">
        <v>289.157127</v>
      </c>
      <c r="X31" s="47"/>
    </row>
    <row r="32" spans="1:24" ht="10.35" customHeight="1">
      <c r="A32" s="177"/>
      <c r="B32" s="177"/>
      <c r="C32" s="183" t="s">
        <v>498</v>
      </c>
      <c r="D32" s="364">
        <v>30.026199999999999</v>
      </c>
      <c r="E32" s="364">
        <v>32.442070000000001</v>
      </c>
      <c r="F32" s="364">
        <v>32.488430000000001</v>
      </c>
      <c r="G32" s="364">
        <v>38.038989999999998</v>
      </c>
      <c r="H32" s="364">
        <v>42.471350000000001</v>
      </c>
      <c r="I32" s="364">
        <v>54.622380000000007</v>
      </c>
      <c r="J32" s="364">
        <v>52.498167000000002</v>
      </c>
      <c r="K32" s="364">
        <v>52.444352000000002</v>
      </c>
      <c r="L32" s="364">
        <v>114.36349600000001</v>
      </c>
      <c r="M32" s="364">
        <v>7.1703890000000001</v>
      </c>
      <c r="N32" s="364">
        <v>75.034768000000014</v>
      </c>
      <c r="O32" s="364">
        <v>73.091997000000006</v>
      </c>
      <c r="P32" s="364">
        <v>92.527326000000002</v>
      </c>
      <c r="Q32" s="364">
        <v>57.767926000000003</v>
      </c>
      <c r="R32" s="364">
        <v>151.92721799999998</v>
      </c>
      <c r="S32" s="364">
        <v>38.42747</v>
      </c>
      <c r="T32" s="364">
        <v>56.156660000000002</v>
      </c>
      <c r="U32" s="364">
        <v>80.349069</v>
      </c>
      <c r="V32" s="364">
        <v>188.98240900000002</v>
      </c>
      <c r="W32" s="364">
        <v>190.98573999999999</v>
      </c>
      <c r="X32" s="47"/>
    </row>
    <row r="33" spans="1:24" ht="10.35" customHeight="1">
      <c r="A33" s="177"/>
      <c r="B33" s="177"/>
      <c r="C33" s="183" t="s">
        <v>499</v>
      </c>
      <c r="D33" s="364">
        <v>185.57695800000002</v>
      </c>
      <c r="E33" s="364">
        <v>177.671269</v>
      </c>
      <c r="F33" s="364">
        <v>198.031837</v>
      </c>
      <c r="G33" s="364">
        <v>193.717106</v>
      </c>
      <c r="H33" s="364">
        <v>177.16922299999999</v>
      </c>
      <c r="I33" s="364">
        <v>193.08521400000001</v>
      </c>
      <c r="J33" s="364">
        <v>191.62673600000002</v>
      </c>
      <c r="K33" s="364">
        <v>177.47910700000003</v>
      </c>
      <c r="L33" s="364">
        <v>185.98132399999997</v>
      </c>
      <c r="M33" s="364">
        <v>213.27898199999998</v>
      </c>
      <c r="N33" s="364">
        <v>216.19283700000003</v>
      </c>
      <c r="O33" s="364">
        <v>201.217814</v>
      </c>
      <c r="P33" s="364">
        <v>214.48874500000002</v>
      </c>
      <c r="Q33" s="364">
        <v>224.53308800000002</v>
      </c>
      <c r="R33" s="364">
        <v>226.31003100000004</v>
      </c>
      <c r="S33" s="364">
        <v>227.168452</v>
      </c>
      <c r="T33" s="364">
        <v>204.49719899999997</v>
      </c>
      <c r="U33" s="364">
        <v>202.97411099999997</v>
      </c>
      <c r="V33" s="364">
        <v>213.38472099999998</v>
      </c>
      <c r="W33" s="364">
        <v>215.50905299999999</v>
      </c>
      <c r="X33" s="47"/>
    </row>
    <row r="34" spans="1:24" ht="10.35" customHeight="1">
      <c r="A34" s="177"/>
      <c r="B34" s="177"/>
      <c r="C34" s="183" t="s">
        <v>374</v>
      </c>
      <c r="D34" s="364">
        <v>157.49283499999999</v>
      </c>
      <c r="E34" s="364">
        <v>138.33832333333334</v>
      </c>
      <c r="F34" s="364">
        <v>123.265889</v>
      </c>
      <c r="G34" s="364">
        <v>134.35659899999999</v>
      </c>
      <c r="H34" s="364">
        <v>146.89250699999999</v>
      </c>
      <c r="I34" s="364">
        <v>139.33174000000002</v>
      </c>
      <c r="J34" s="364">
        <v>136.398571</v>
      </c>
      <c r="K34" s="364">
        <v>136.74375800000001</v>
      </c>
      <c r="L34" s="364">
        <v>135.20880199999999</v>
      </c>
      <c r="M34" s="364">
        <v>137.20818499999999</v>
      </c>
      <c r="N34" s="364">
        <v>143.86105300000003</v>
      </c>
      <c r="O34" s="364">
        <v>149.56146800000002</v>
      </c>
      <c r="P34" s="364">
        <v>146.77392299999997</v>
      </c>
      <c r="Q34" s="364">
        <v>156.43122299999999</v>
      </c>
      <c r="R34" s="364">
        <v>159.878919</v>
      </c>
      <c r="S34" s="364">
        <v>159.54955699999999</v>
      </c>
      <c r="T34" s="364">
        <v>158.098375</v>
      </c>
      <c r="U34" s="364">
        <v>149.786979</v>
      </c>
      <c r="V34" s="364">
        <v>140.56944099999998</v>
      </c>
      <c r="W34" s="364">
        <v>142.28425100000001</v>
      </c>
      <c r="X34" s="47"/>
    </row>
    <row r="35" spans="1:24" ht="10.35" customHeight="1">
      <c r="A35" s="177"/>
      <c r="B35" s="177"/>
      <c r="C35" s="183" t="s">
        <v>375</v>
      </c>
      <c r="D35" s="364">
        <v>50.525539999999999</v>
      </c>
      <c r="E35" s="364">
        <v>63.933782999999998</v>
      </c>
      <c r="F35" s="364">
        <v>62.874617000000015</v>
      </c>
      <c r="G35" s="364">
        <v>57.898119999999999</v>
      </c>
      <c r="H35" s="364">
        <v>49.184444000000006</v>
      </c>
      <c r="I35" s="364">
        <v>54.896007000000004</v>
      </c>
      <c r="J35" s="364">
        <v>73.442471000000012</v>
      </c>
      <c r="K35" s="364">
        <v>80.895888000000028</v>
      </c>
      <c r="L35" s="364">
        <v>67.596541000000002</v>
      </c>
      <c r="M35" s="364">
        <v>57.988848999999995</v>
      </c>
      <c r="N35" s="364">
        <v>62.961727999999987</v>
      </c>
      <c r="O35" s="364">
        <v>88.467782999999997</v>
      </c>
      <c r="P35" s="364">
        <v>82.16494800000001</v>
      </c>
      <c r="Q35" s="364">
        <v>81.407316999999992</v>
      </c>
      <c r="R35" s="364">
        <v>81.504862000000003</v>
      </c>
      <c r="S35" s="364">
        <v>89.752262999999985</v>
      </c>
      <c r="T35" s="364">
        <v>78.205390000000008</v>
      </c>
      <c r="U35" s="364">
        <v>94.887022999999999</v>
      </c>
      <c r="V35" s="364">
        <v>105.09724400000002</v>
      </c>
      <c r="W35" s="364">
        <v>83.297431000000003</v>
      </c>
      <c r="X35" s="47"/>
    </row>
    <row r="36" spans="1:24" ht="10.35" customHeight="1">
      <c r="A36" s="177"/>
      <c r="B36" s="177"/>
      <c r="C36" s="183" t="s">
        <v>202</v>
      </c>
      <c r="D36" s="364">
        <v>73.925409000000002</v>
      </c>
      <c r="E36" s="364">
        <v>83.281975000000003</v>
      </c>
      <c r="F36" s="364">
        <v>80.869606000000005</v>
      </c>
      <c r="G36" s="364">
        <v>82.081953000000013</v>
      </c>
      <c r="H36" s="364">
        <v>66.46186800000001</v>
      </c>
      <c r="I36" s="364">
        <v>80.430615000000003</v>
      </c>
      <c r="J36" s="364">
        <v>86.454004000000012</v>
      </c>
      <c r="K36" s="364">
        <v>98.450010000000006</v>
      </c>
      <c r="L36" s="364">
        <v>101.78732100000001</v>
      </c>
      <c r="M36" s="364">
        <v>105.216869</v>
      </c>
      <c r="N36" s="364">
        <v>102.27943499999999</v>
      </c>
      <c r="O36" s="364">
        <v>100.875767</v>
      </c>
      <c r="P36" s="364">
        <v>117.37715900000002</v>
      </c>
      <c r="Q36" s="364">
        <v>130.06514999999999</v>
      </c>
      <c r="R36" s="364">
        <v>133.65849400000002</v>
      </c>
      <c r="S36" s="364">
        <v>135.33515200000002</v>
      </c>
      <c r="T36" s="364">
        <v>120.125325</v>
      </c>
      <c r="U36" s="364">
        <v>130.64500100000001</v>
      </c>
      <c r="V36" s="364">
        <v>142.3278</v>
      </c>
      <c r="W36" s="364">
        <v>129.19800700000002</v>
      </c>
      <c r="X36" s="47"/>
    </row>
    <row r="37" spans="1:24" ht="10.35" customHeight="1">
      <c r="A37" s="177"/>
      <c r="B37" s="177"/>
      <c r="C37" s="183" t="s">
        <v>203</v>
      </c>
      <c r="D37" s="364">
        <v>245.77865599999998</v>
      </c>
      <c r="E37" s="364">
        <v>254.11274700000001</v>
      </c>
      <c r="F37" s="364">
        <v>223.92680799999999</v>
      </c>
      <c r="G37" s="364">
        <v>192.87643000000003</v>
      </c>
      <c r="H37" s="364">
        <v>184.375359</v>
      </c>
      <c r="I37" s="364">
        <v>184.42228899999998</v>
      </c>
      <c r="J37" s="364">
        <v>198.63477499999999</v>
      </c>
      <c r="K37" s="364">
        <v>184.76510500000001</v>
      </c>
      <c r="L37" s="364">
        <v>189.86908199999999</v>
      </c>
      <c r="M37" s="364">
        <v>262.72388100000001</v>
      </c>
      <c r="N37" s="364">
        <v>263.45582999999999</v>
      </c>
      <c r="O37" s="364">
        <v>299.08002899999997</v>
      </c>
      <c r="P37" s="364">
        <v>304.00895499999996</v>
      </c>
      <c r="Q37" s="364">
        <v>292.12379000000004</v>
      </c>
      <c r="R37" s="364">
        <v>278.29342399999996</v>
      </c>
      <c r="S37" s="364">
        <v>288.16399199999989</v>
      </c>
      <c r="T37" s="364">
        <v>269.67042900000001</v>
      </c>
      <c r="U37" s="364">
        <v>256.43396800000005</v>
      </c>
      <c r="V37" s="364">
        <v>275.32280200000008</v>
      </c>
      <c r="W37" s="364">
        <v>301.34376200000003</v>
      </c>
      <c r="X37" s="47"/>
    </row>
    <row r="38" spans="1:24" ht="10.35" customHeight="1">
      <c r="A38" s="177"/>
      <c r="B38" s="177"/>
      <c r="C38" s="183" t="s">
        <v>204</v>
      </c>
      <c r="D38" s="364">
        <v>137.66810000000001</v>
      </c>
      <c r="E38" s="364">
        <v>150.56951900000001</v>
      </c>
      <c r="F38" s="364">
        <v>156.31843700000002</v>
      </c>
      <c r="G38" s="364">
        <v>164.73103899999998</v>
      </c>
      <c r="H38" s="364">
        <v>177.05524</v>
      </c>
      <c r="I38" s="364">
        <v>203.93046799999999</v>
      </c>
      <c r="J38" s="364">
        <v>212.92700699999997</v>
      </c>
      <c r="K38" s="364">
        <v>212.05860699999999</v>
      </c>
      <c r="L38" s="364">
        <v>243.49222999999998</v>
      </c>
      <c r="M38" s="364">
        <v>274.39300899999995</v>
      </c>
      <c r="N38" s="364">
        <v>310.56578299999995</v>
      </c>
      <c r="O38" s="364">
        <v>400.42908999999997</v>
      </c>
      <c r="P38" s="364">
        <v>436.80712800000003</v>
      </c>
      <c r="Q38" s="364">
        <v>448.88446600000003</v>
      </c>
      <c r="R38" s="364">
        <v>455.29660500000006</v>
      </c>
      <c r="S38" s="364">
        <v>450.63488899999993</v>
      </c>
      <c r="T38" s="364">
        <v>461.28595100000001</v>
      </c>
      <c r="U38" s="364">
        <v>494.64205100000004</v>
      </c>
      <c r="V38" s="364">
        <v>548.46487200000013</v>
      </c>
      <c r="W38" s="364">
        <v>568.90687400000013</v>
      </c>
      <c r="X38" s="47"/>
    </row>
    <row r="39" spans="1:24" ht="10.35" customHeight="1">
      <c r="A39" s="177"/>
      <c r="B39" s="177"/>
      <c r="C39" s="183" t="s">
        <v>385</v>
      </c>
      <c r="D39" s="364">
        <v>0</v>
      </c>
      <c r="E39" s="364">
        <v>0.18</v>
      </c>
      <c r="F39" s="364">
        <v>3.3679999999999999</v>
      </c>
      <c r="G39" s="364">
        <v>11.358000000000001</v>
      </c>
      <c r="H39" s="364">
        <v>22.094999999999999</v>
      </c>
      <c r="I39" s="364">
        <v>54.917000000000002</v>
      </c>
      <c r="J39" s="364">
        <v>53.503</v>
      </c>
      <c r="K39" s="364">
        <v>55.134</v>
      </c>
      <c r="L39" s="364">
        <v>65.712000000000003</v>
      </c>
      <c r="M39" s="364">
        <v>46.790999999999997</v>
      </c>
      <c r="N39" s="364">
        <v>30.417000000000002</v>
      </c>
      <c r="O39" s="364">
        <v>46.869</v>
      </c>
      <c r="P39" s="364">
        <v>30.184999999999999</v>
      </c>
      <c r="Q39" s="364">
        <v>35.997999999999998</v>
      </c>
      <c r="R39" s="364">
        <v>24.65</v>
      </c>
      <c r="S39" s="364">
        <v>18.652999999999999</v>
      </c>
      <c r="T39" s="364">
        <v>23.989000000000001</v>
      </c>
      <c r="U39" s="364">
        <v>23.52</v>
      </c>
      <c r="V39" s="364">
        <v>34.453000000000003</v>
      </c>
      <c r="W39" s="364">
        <v>22.56</v>
      </c>
      <c r="X39" s="47"/>
    </row>
    <row r="40" spans="1:24" ht="10.35" customHeight="1">
      <c r="A40" s="177"/>
      <c r="B40" s="177"/>
      <c r="C40" s="183" t="s">
        <v>252</v>
      </c>
      <c r="D40" s="364">
        <v>144.231979</v>
      </c>
      <c r="E40" s="364">
        <v>146.09786500000001</v>
      </c>
      <c r="F40" s="364">
        <v>136.39661999999998</v>
      </c>
      <c r="G40" s="364">
        <v>135.63905</v>
      </c>
      <c r="H40" s="364">
        <v>120.63597800000001</v>
      </c>
      <c r="I40" s="364">
        <v>135.339505</v>
      </c>
      <c r="J40" s="364">
        <v>144.877872</v>
      </c>
      <c r="K40" s="364">
        <v>156.37948499999999</v>
      </c>
      <c r="L40" s="364">
        <v>157.36202</v>
      </c>
      <c r="M40" s="364">
        <v>162.62131500000004</v>
      </c>
      <c r="N40" s="364">
        <v>158.74704500000001</v>
      </c>
      <c r="O40" s="364">
        <v>161.91626600000001</v>
      </c>
      <c r="P40" s="364">
        <v>180.72806999999997</v>
      </c>
      <c r="Q40" s="364">
        <v>186.21113200000002</v>
      </c>
      <c r="R40" s="364">
        <v>189.89513399999998</v>
      </c>
      <c r="S40" s="364">
        <v>193.39625300000003</v>
      </c>
      <c r="T40" s="364">
        <v>184.70515499999999</v>
      </c>
      <c r="U40" s="364">
        <v>184.38547700000001</v>
      </c>
      <c r="V40" s="364">
        <v>205.23604800000001</v>
      </c>
      <c r="W40" s="364">
        <v>198.12187199999997</v>
      </c>
      <c r="X40" s="47"/>
    </row>
    <row r="41" spans="1:24" ht="10.35" customHeight="1">
      <c r="A41" s="177"/>
      <c r="B41" s="177"/>
      <c r="C41" s="183" t="s">
        <v>253</v>
      </c>
      <c r="D41" s="364">
        <v>181.155</v>
      </c>
      <c r="E41" s="364">
        <v>193.30509899999998</v>
      </c>
      <c r="F41" s="364">
        <v>173.324929</v>
      </c>
      <c r="G41" s="364">
        <v>180.44579999999999</v>
      </c>
      <c r="H41" s="364">
        <v>208.53846000000001</v>
      </c>
      <c r="I41" s="364">
        <v>199.94077999999999</v>
      </c>
      <c r="J41" s="364">
        <v>236.37350000000001</v>
      </c>
      <c r="K41" s="364">
        <v>238.447789</v>
      </c>
      <c r="L41" s="364">
        <v>246.41939000000002</v>
      </c>
      <c r="M41" s="364">
        <v>268.26765</v>
      </c>
      <c r="N41" s="364">
        <v>291.802076</v>
      </c>
      <c r="O41" s="364">
        <v>359.78395999999998</v>
      </c>
      <c r="P41" s="364">
        <v>518.13869699999998</v>
      </c>
      <c r="Q41" s="364">
        <v>566.58304099999998</v>
      </c>
      <c r="R41" s="364">
        <v>617.63353900000004</v>
      </c>
      <c r="S41" s="364">
        <v>684.30112900000017</v>
      </c>
      <c r="T41" s="364">
        <v>736.34476600000005</v>
      </c>
      <c r="U41" s="364">
        <v>843.40234400000008</v>
      </c>
      <c r="V41" s="364">
        <v>921.00060899999994</v>
      </c>
      <c r="W41" s="364">
        <v>912.928901</v>
      </c>
      <c r="X41" s="47"/>
    </row>
    <row r="42" spans="1:24" ht="10.35" customHeight="1">
      <c r="A42" s="177"/>
      <c r="B42" s="177"/>
      <c r="C42" s="183" t="s">
        <v>380</v>
      </c>
      <c r="D42" s="364">
        <v>48.584962999999995</v>
      </c>
      <c r="E42" s="364">
        <v>44.991332</v>
      </c>
      <c r="F42" s="364">
        <v>48.232188999999998</v>
      </c>
      <c r="G42" s="364">
        <v>51.555591999999997</v>
      </c>
      <c r="H42" s="364">
        <v>47.225453000000002</v>
      </c>
      <c r="I42" s="364">
        <v>52.881408999999998</v>
      </c>
      <c r="J42" s="364">
        <v>57.500907999999995</v>
      </c>
      <c r="K42" s="364">
        <v>61.324513000000003</v>
      </c>
      <c r="L42" s="364">
        <v>64.308071999999996</v>
      </c>
      <c r="M42" s="364">
        <v>69.634079000000014</v>
      </c>
      <c r="N42" s="364">
        <v>67.109965000000003</v>
      </c>
      <c r="O42" s="364">
        <v>64.645728999999989</v>
      </c>
      <c r="P42" s="364">
        <v>73.698066999999995</v>
      </c>
      <c r="Q42" s="364">
        <v>78.675219999999968</v>
      </c>
      <c r="R42" s="364">
        <v>81.144444000000007</v>
      </c>
      <c r="S42" s="364">
        <v>80.525600000000011</v>
      </c>
      <c r="T42" s="364">
        <v>71.918586999999988</v>
      </c>
      <c r="U42" s="364">
        <v>72.818423999999993</v>
      </c>
      <c r="V42" s="364">
        <v>83.513265999999987</v>
      </c>
      <c r="W42" s="364">
        <v>86.388300999999998</v>
      </c>
      <c r="X42" s="47"/>
    </row>
    <row r="43" spans="1:24" ht="10.35" customHeight="1">
      <c r="A43" s="177"/>
      <c r="B43" s="177"/>
      <c r="C43" s="183" t="s">
        <v>381</v>
      </c>
      <c r="D43" s="364">
        <v>43.378695</v>
      </c>
      <c r="E43" s="364">
        <v>38.083340999999997</v>
      </c>
      <c r="F43" s="364">
        <v>39.137711000000003</v>
      </c>
      <c r="G43" s="364">
        <v>40.850755999999997</v>
      </c>
      <c r="H43" s="364">
        <v>37.476093999999996</v>
      </c>
      <c r="I43" s="364">
        <v>38.901962999999995</v>
      </c>
      <c r="J43" s="364">
        <v>44.833646000000002</v>
      </c>
      <c r="K43" s="364">
        <v>43.326073000000001</v>
      </c>
      <c r="L43" s="364">
        <v>46.710386999999997</v>
      </c>
      <c r="M43" s="364">
        <v>50.419548999999996</v>
      </c>
      <c r="N43" s="364">
        <v>51.254196</v>
      </c>
      <c r="O43" s="364">
        <v>48.589755000000004</v>
      </c>
      <c r="P43" s="364">
        <v>53.048004999999989</v>
      </c>
      <c r="Q43" s="364">
        <v>54.348357999999998</v>
      </c>
      <c r="R43" s="364">
        <v>52.441994999999999</v>
      </c>
      <c r="S43" s="364">
        <v>53.15656700000001</v>
      </c>
      <c r="T43" s="364">
        <v>50.153909999999996</v>
      </c>
      <c r="U43" s="364">
        <v>50.223116999999995</v>
      </c>
      <c r="V43" s="364">
        <v>54.370753000000008</v>
      </c>
      <c r="W43" s="364">
        <v>51.840711999999989</v>
      </c>
      <c r="X43" s="47"/>
    </row>
    <row r="44" spans="1:24" ht="10.35" customHeight="1">
      <c r="A44" s="177"/>
      <c r="B44" s="177"/>
      <c r="C44" s="183" t="s">
        <v>382</v>
      </c>
      <c r="D44" s="364">
        <v>146.20376000000002</v>
      </c>
      <c r="E44" s="364">
        <v>145.48696699999999</v>
      </c>
      <c r="F44" s="364">
        <v>157.92890399999999</v>
      </c>
      <c r="G44" s="364">
        <v>157.217794</v>
      </c>
      <c r="H44" s="364">
        <v>149.676987</v>
      </c>
      <c r="I44" s="364">
        <v>148.69463900000002</v>
      </c>
      <c r="J44" s="364">
        <v>176.16771000000003</v>
      </c>
      <c r="K44" s="364">
        <v>161.822925</v>
      </c>
      <c r="L44" s="364">
        <v>170.74986599999997</v>
      </c>
      <c r="M44" s="364">
        <v>162.37546899999998</v>
      </c>
      <c r="N44" s="364">
        <v>182.45801299999997</v>
      </c>
      <c r="O44" s="364">
        <v>183.92491500000003</v>
      </c>
      <c r="P44" s="364">
        <v>179.72820200000004</v>
      </c>
      <c r="Q44" s="364">
        <v>178.20718999999997</v>
      </c>
      <c r="R44" s="364">
        <v>173.32939200000001</v>
      </c>
      <c r="S44" s="364">
        <v>176.22026299999999</v>
      </c>
      <c r="T44" s="364">
        <v>172.24430800000002</v>
      </c>
      <c r="U44" s="364">
        <v>176.86605399999999</v>
      </c>
      <c r="V44" s="364">
        <v>178.74438999999998</v>
      </c>
      <c r="W44" s="364">
        <v>191.55692599999998</v>
      </c>
      <c r="X44" s="47"/>
    </row>
    <row r="45" spans="1:24" ht="10.35" customHeight="1">
      <c r="A45" s="177"/>
      <c r="B45" s="177"/>
      <c r="C45" s="183" t="s">
        <v>383</v>
      </c>
      <c r="D45" s="364">
        <v>95.175586999999993</v>
      </c>
      <c r="E45" s="364">
        <v>93.883570000000006</v>
      </c>
      <c r="F45" s="364">
        <v>86.902360000000016</v>
      </c>
      <c r="G45" s="364">
        <v>101.445382</v>
      </c>
      <c r="H45" s="364">
        <v>94.404425999999987</v>
      </c>
      <c r="I45" s="364">
        <v>83.166266999999991</v>
      </c>
      <c r="J45" s="364">
        <v>133.21745300000001</v>
      </c>
      <c r="K45" s="364">
        <v>117.706721</v>
      </c>
      <c r="L45" s="364">
        <v>153.24264199999999</v>
      </c>
      <c r="M45" s="364">
        <v>178.80413599999997</v>
      </c>
      <c r="N45" s="364">
        <v>167.98332299999998</v>
      </c>
      <c r="O45" s="364">
        <v>187.58834099999999</v>
      </c>
      <c r="P45" s="364">
        <v>209.89753400000001</v>
      </c>
      <c r="Q45" s="364">
        <v>219.48711399999996</v>
      </c>
      <c r="R45" s="364">
        <v>237.20436899999996</v>
      </c>
      <c r="S45" s="364">
        <v>239.594019</v>
      </c>
      <c r="T45" s="364">
        <v>206.88766000000004</v>
      </c>
      <c r="U45" s="364">
        <v>183.56322599999999</v>
      </c>
      <c r="V45" s="364">
        <v>210.26641999999995</v>
      </c>
      <c r="W45" s="364">
        <v>213.30568600000001</v>
      </c>
      <c r="X45" s="47"/>
    </row>
    <row r="46" spans="1:24" ht="10.35" customHeight="1">
      <c r="A46" s="177"/>
      <c r="B46" s="177"/>
      <c r="C46" s="183" t="s">
        <v>267</v>
      </c>
      <c r="D46" s="364">
        <v>36.507027999999998</v>
      </c>
      <c r="E46" s="364">
        <v>36.049320000000002</v>
      </c>
      <c r="F46" s="364">
        <v>40.462267999999995</v>
      </c>
      <c r="G46" s="364">
        <v>37.488687999999996</v>
      </c>
      <c r="H46" s="364">
        <v>35.887205000000002</v>
      </c>
      <c r="I46" s="364">
        <v>35.801918000000001</v>
      </c>
      <c r="J46" s="364">
        <v>32.796783000000005</v>
      </c>
      <c r="K46" s="364">
        <v>36.879289</v>
      </c>
      <c r="L46" s="364">
        <v>43.3386</v>
      </c>
      <c r="M46" s="364">
        <v>45.496820999999997</v>
      </c>
      <c r="N46" s="364">
        <v>44.052350000000004</v>
      </c>
      <c r="O46" s="364">
        <v>45.497136000000005</v>
      </c>
      <c r="P46" s="364">
        <v>47.506293999999997</v>
      </c>
      <c r="Q46" s="364">
        <v>50.200702</v>
      </c>
      <c r="R46" s="364">
        <v>52.610087</v>
      </c>
      <c r="S46" s="364">
        <v>51.248598999999999</v>
      </c>
      <c r="T46" s="364">
        <v>50.954466000000004</v>
      </c>
      <c r="U46" s="364">
        <v>45.688153999999997</v>
      </c>
      <c r="V46" s="364">
        <v>45.114267999999996</v>
      </c>
      <c r="W46" s="364">
        <v>46.101185999999998</v>
      </c>
      <c r="X46" s="47"/>
    </row>
    <row r="47" spans="1:24" ht="10.35" customHeight="1">
      <c r="A47" s="187"/>
      <c r="B47" s="187"/>
      <c r="C47" s="188" t="s">
        <v>210</v>
      </c>
      <c r="D47" s="365">
        <v>40.337796000000004</v>
      </c>
      <c r="E47" s="365">
        <v>38.251105000000003</v>
      </c>
      <c r="F47" s="365">
        <v>28.517984999999999</v>
      </c>
      <c r="G47" s="365">
        <v>31.807100000000002</v>
      </c>
      <c r="H47" s="365">
        <v>28.833568</v>
      </c>
      <c r="I47" s="365">
        <v>27.973309999999998</v>
      </c>
      <c r="J47" s="365">
        <v>26.360178999999999</v>
      </c>
      <c r="K47" s="365">
        <v>34.812231000000004</v>
      </c>
      <c r="L47" s="365">
        <v>45.035177000000004</v>
      </c>
      <c r="M47" s="365">
        <v>46.947833000000003</v>
      </c>
      <c r="N47" s="365">
        <v>36.895497000000006</v>
      </c>
      <c r="O47" s="365">
        <v>32.60078</v>
      </c>
      <c r="P47" s="365">
        <v>46.689710999999996</v>
      </c>
      <c r="Q47" s="365">
        <v>43.135116999999994</v>
      </c>
      <c r="R47" s="365">
        <v>42.967318999999996</v>
      </c>
      <c r="S47" s="365">
        <v>38.301739000000005</v>
      </c>
      <c r="T47" s="365">
        <v>38.930222000000001</v>
      </c>
      <c r="U47" s="365">
        <v>41.658228000000001</v>
      </c>
      <c r="V47" s="365">
        <v>49.715250999999995</v>
      </c>
      <c r="W47" s="365">
        <v>43.155163000000002</v>
      </c>
      <c r="X47" s="47"/>
    </row>
    <row r="48" spans="1:24" ht="12.75">
      <c r="C48" s="31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366"/>
      <c r="W48" s="366" t="s">
        <v>321</v>
      </c>
      <c r="X48" s="47"/>
    </row>
    <row r="49" spans="1:24" ht="12.75">
      <c r="C49" s="89" t="s">
        <v>363</v>
      </c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62"/>
      <c r="W49" s="362"/>
      <c r="X49" s="47"/>
    </row>
    <row r="50" spans="1:24" ht="12" customHeight="1">
      <c r="A50" s="569" t="s">
        <v>229</v>
      </c>
      <c r="B50" s="570"/>
      <c r="C50" s="571"/>
      <c r="D50" s="363" t="s">
        <v>200</v>
      </c>
      <c r="E50" s="363" t="s">
        <v>201</v>
      </c>
      <c r="F50" s="363" t="s">
        <v>251</v>
      </c>
      <c r="G50" s="363" t="s">
        <v>386</v>
      </c>
      <c r="H50" s="363" t="s">
        <v>387</v>
      </c>
      <c r="I50" s="363" t="s">
        <v>388</v>
      </c>
      <c r="J50" s="363" t="s">
        <v>389</v>
      </c>
      <c r="K50" s="363" t="s">
        <v>390</v>
      </c>
      <c r="L50" s="363" t="s">
        <v>391</v>
      </c>
      <c r="M50" s="363" t="s">
        <v>225</v>
      </c>
      <c r="N50" s="363" t="s">
        <v>226</v>
      </c>
      <c r="O50" s="363" t="s">
        <v>227</v>
      </c>
      <c r="P50" s="363" t="s">
        <v>274</v>
      </c>
      <c r="Q50" s="363" t="s">
        <v>275</v>
      </c>
      <c r="R50" s="363" t="s">
        <v>276</v>
      </c>
      <c r="S50" s="363" t="s">
        <v>277</v>
      </c>
      <c r="T50" s="363" t="s">
        <v>278</v>
      </c>
      <c r="U50" s="304">
        <v>2017</v>
      </c>
      <c r="V50" s="304" t="s">
        <v>84</v>
      </c>
      <c r="W50" s="304" t="s">
        <v>85</v>
      </c>
      <c r="X50" s="47"/>
    </row>
    <row r="51" spans="1:24" ht="10.35" customHeight="1">
      <c r="A51" s="203"/>
      <c r="B51" s="203"/>
      <c r="C51" s="189" t="s">
        <v>384</v>
      </c>
      <c r="D51" s="364">
        <v>123.52590499999999</v>
      </c>
      <c r="E51" s="364">
        <v>120.22376799999999</v>
      </c>
      <c r="F51" s="364">
        <v>125.13652</v>
      </c>
      <c r="G51" s="364">
        <v>116.09281</v>
      </c>
      <c r="H51" s="364">
        <v>105.76955799999999</v>
      </c>
      <c r="I51" s="364">
        <v>114.05604999999998</v>
      </c>
      <c r="J51" s="364">
        <v>103.04894699999998</v>
      </c>
      <c r="K51" s="364">
        <v>96.902760999999998</v>
      </c>
      <c r="L51" s="364">
        <v>93.045944000000006</v>
      </c>
      <c r="M51" s="364">
        <v>100.577831</v>
      </c>
      <c r="N51" s="364">
        <v>93.98064500000001</v>
      </c>
      <c r="O51" s="364">
        <v>89.981907000000007</v>
      </c>
      <c r="P51" s="364">
        <v>92.87611600000001</v>
      </c>
      <c r="Q51" s="364">
        <v>94.686895000000007</v>
      </c>
      <c r="R51" s="364">
        <v>90.885477999999992</v>
      </c>
      <c r="S51" s="364">
        <v>94.696993000000006</v>
      </c>
      <c r="T51" s="364">
        <v>92.796589000000012</v>
      </c>
      <c r="U51" s="364">
        <v>97.204494999999994</v>
      </c>
      <c r="V51" s="364">
        <v>105.03869999999999</v>
      </c>
      <c r="W51" s="364">
        <v>97.246748000000011</v>
      </c>
      <c r="X51" s="47"/>
    </row>
    <row r="52" spans="1:24" ht="10.35" customHeight="1">
      <c r="A52" s="195"/>
      <c r="B52" s="195"/>
      <c r="C52" s="190" t="s">
        <v>447</v>
      </c>
      <c r="D52" s="364">
        <v>159.62249399999999</v>
      </c>
      <c r="E52" s="364">
        <v>158.90973399999999</v>
      </c>
      <c r="F52" s="364">
        <v>172.66882000000004</v>
      </c>
      <c r="G52" s="364">
        <v>189.79254600000002</v>
      </c>
      <c r="H52" s="364">
        <v>193.92273500000002</v>
      </c>
      <c r="I52" s="364">
        <v>171.05462600000001</v>
      </c>
      <c r="J52" s="364">
        <v>175.42862500000004</v>
      </c>
      <c r="K52" s="364">
        <v>157.77103299999999</v>
      </c>
      <c r="L52" s="364">
        <v>167.38721799999999</v>
      </c>
      <c r="M52" s="364">
        <v>173.94095499999995</v>
      </c>
      <c r="N52" s="364">
        <v>186.80556099999998</v>
      </c>
      <c r="O52" s="364">
        <v>125.81328400000001</v>
      </c>
      <c r="P52" s="364">
        <v>123.833766</v>
      </c>
      <c r="Q52" s="364">
        <v>152.076886</v>
      </c>
      <c r="R52" s="364">
        <v>148.280325</v>
      </c>
      <c r="S52" s="364">
        <v>144.72982000000002</v>
      </c>
      <c r="T52" s="364">
        <v>169.437321</v>
      </c>
      <c r="U52" s="364">
        <v>177.17071200000004</v>
      </c>
      <c r="V52" s="364">
        <v>175.98806299999998</v>
      </c>
      <c r="W52" s="364">
        <v>171.667205</v>
      </c>
      <c r="X52" s="47"/>
    </row>
    <row r="53" spans="1:24" ht="10.35" customHeight="1">
      <c r="A53" s="177"/>
      <c r="B53" s="177"/>
      <c r="C53" s="183" t="s">
        <v>448</v>
      </c>
      <c r="D53" s="364">
        <v>28.190999999999999</v>
      </c>
      <c r="E53" s="364">
        <v>22.267148000000002</v>
      </c>
      <c r="F53" s="364">
        <v>30.373614999999997</v>
      </c>
      <c r="G53" s="364">
        <v>30.085068</v>
      </c>
      <c r="H53" s="364">
        <v>26.997362000000003</v>
      </c>
      <c r="I53" s="364">
        <v>32.589897999999998</v>
      </c>
      <c r="J53" s="364">
        <v>30.427913</v>
      </c>
      <c r="K53" s="364">
        <v>31.823867999999997</v>
      </c>
      <c r="L53" s="364">
        <v>29.866947</v>
      </c>
      <c r="M53" s="364">
        <v>39.396633999999999</v>
      </c>
      <c r="N53" s="364">
        <v>41.078501000000003</v>
      </c>
      <c r="O53" s="364">
        <v>41.181694</v>
      </c>
      <c r="P53" s="364">
        <v>44.212600000000002</v>
      </c>
      <c r="Q53" s="364">
        <v>52.129766000000004</v>
      </c>
      <c r="R53" s="364">
        <v>114.72468000000001</v>
      </c>
      <c r="S53" s="364">
        <v>105.66574500000002</v>
      </c>
      <c r="T53" s="364">
        <v>79.268805999999998</v>
      </c>
      <c r="U53" s="364">
        <v>78.656984999999992</v>
      </c>
      <c r="V53" s="364">
        <v>86.737949999999984</v>
      </c>
      <c r="W53" s="364">
        <v>89.775215999999986</v>
      </c>
      <c r="X53" s="47"/>
    </row>
    <row r="54" spans="1:24" ht="10.35" customHeight="1">
      <c r="A54" s="177"/>
      <c r="B54" s="177"/>
      <c r="C54" s="183" t="s">
        <v>271</v>
      </c>
      <c r="D54" s="364">
        <v>4.2860259999999997</v>
      </c>
      <c r="E54" s="364">
        <v>5.4210190000000003</v>
      </c>
      <c r="F54" s="364">
        <v>5.0640400000000003</v>
      </c>
      <c r="G54" s="364">
        <v>4.8099089999999993</v>
      </c>
      <c r="H54" s="364">
        <v>4.9425980000000003</v>
      </c>
      <c r="I54" s="364">
        <v>5.6576909999999998</v>
      </c>
      <c r="J54" s="364">
        <v>6.1336379999999995</v>
      </c>
      <c r="K54" s="364">
        <v>7.2037680000000002</v>
      </c>
      <c r="L54" s="364">
        <v>9.6312276000000008</v>
      </c>
      <c r="M54" s="364">
        <v>11.216875</v>
      </c>
      <c r="N54" s="364">
        <v>11.4213</v>
      </c>
      <c r="O54" s="364">
        <v>12.066158999999999</v>
      </c>
      <c r="P54" s="364">
        <v>11.552003999999998</v>
      </c>
      <c r="Q54" s="364">
        <v>14.088895000000001</v>
      </c>
      <c r="R54" s="364">
        <v>15.700569</v>
      </c>
      <c r="S54" s="364">
        <v>15.275607000000001</v>
      </c>
      <c r="T54" s="364">
        <v>16.433696000000001</v>
      </c>
      <c r="U54" s="364">
        <v>17.445443000000001</v>
      </c>
      <c r="V54" s="364">
        <v>18.405086000000001</v>
      </c>
      <c r="W54" s="364">
        <v>16.063412</v>
      </c>
      <c r="X54" s="47"/>
    </row>
    <row r="55" spans="1:24" ht="10.35" customHeight="1">
      <c r="A55" s="177"/>
      <c r="B55" s="177"/>
      <c r="C55" s="183" t="s">
        <v>449</v>
      </c>
      <c r="D55" s="364">
        <v>79.612911999999994</v>
      </c>
      <c r="E55" s="364">
        <v>67.870620000000017</v>
      </c>
      <c r="F55" s="364">
        <v>64.894266999999999</v>
      </c>
      <c r="G55" s="364">
        <v>63.714376999999999</v>
      </c>
      <c r="H55" s="364">
        <v>62.670707</v>
      </c>
      <c r="I55" s="364">
        <v>64.414444000000003</v>
      </c>
      <c r="J55" s="364">
        <v>66.494939000000002</v>
      </c>
      <c r="K55" s="364">
        <v>66.771471999999989</v>
      </c>
      <c r="L55" s="364">
        <v>68.932063999999997</v>
      </c>
      <c r="M55" s="364">
        <v>77.629793999999976</v>
      </c>
      <c r="N55" s="364">
        <v>89.465203999999986</v>
      </c>
      <c r="O55" s="364">
        <v>84.589608999999996</v>
      </c>
      <c r="P55" s="364">
        <v>82.015331000000018</v>
      </c>
      <c r="Q55" s="364">
        <v>85.818680999999998</v>
      </c>
      <c r="R55" s="364">
        <v>84.88812999999999</v>
      </c>
      <c r="S55" s="364">
        <v>94.082141000000007</v>
      </c>
      <c r="T55" s="364">
        <v>88.037109000000001</v>
      </c>
      <c r="U55" s="364">
        <v>93.018699999999995</v>
      </c>
      <c r="V55" s="364">
        <v>78.140871999999987</v>
      </c>
      <c r="W55" s="364">
        <v>79.602891999999997</v>
      </c>
      <c r="X55" s="47"/>
    </row>
    <row r="56" spans="1:24" ht="10.35" customHeight="1">
      <c r="A56" s="177"/>
      <c r="B56" s="177"/>
      <c r="C56" s="183" t="s">
        <v>493</v>
      </c>
      <c r="D56" s="364">
        <v>16.621189999999999</v>
      </c>
      <c r="E56" s="364">
        <v>15.070228999999999</v>
      </c>
      <c r="F56" s="364">
        <v>17.074696000000003</v>
      </c>
      <c r="G56" s="364">
        <v>19.137720000000002</v>
      </c>
      <c r="H56" s="364">
        <v>19.658830000000002</v>
      </c>
      <c r="I56" s="364">
        <v>16.906510000000001</v>
      </c>
      <c r="J56" s="364">
        <v>29.819513000000001</v>
      </c>
      <c r="K56" s="364">
        <v>22.755037999999999</v>
      </c>
      <c r="L56" s="364">
        <v>27.520016999999999</v>
      </c>
      <c r="M56" s="364">
        <v>27.227396000000002</v>
      </c>
      <c r="N56" s="364">
        <v>34.402377000000001</v>
      </c>
      <c r="O56" s="364">
        <v>22.817063999999998</v>
      </c>
      <c r="P56" s="364">
        <v>37.234068000000001</v>
      </c>
      <c r="Q56" s="364">
        <v>18.809654999999999</v>
      </c>
      <c r="R56" s="364">
        <v>17.587529</v>
      </c>
      <c r="S56" s="364">
        <v>19.434838000000003</v>
      </c>
      <c r="T56" s="364">
        <v>24.200327999999999</v>
      </c>
      <c r="U56" s="364">
        <v>20.341478000000002</v>
      </c>
      <c r="V56" s="364">
        <v>14.159465000000001</v>
      </c>
      <c r="W56" s="364">
        <v>21.538543999999998</v>
      </c>
      <c r="X56" s="47"/>
    </row>
    <row r="57" spans="1:24" ht="10.35" customHeight="1">
      <c r="A57" s="177"/>
      <c r="B57" s="177"/>
      <c r="C57" s="183" t="s">
        <v>466</v>
      </c>
      <c r="D57" s="364">
        <v>67.261655000000005</v>
      </c>
      <c r="E57" s="364">
        <v>65.464286000000001</v>
      </c>
      <c r="F57" s="364">
        <v>66.120593999999997</v>
      </c>
      <c r="G57" s="364">
        <v>61.821337</v>
      </c>
      <c r="H57" s="364">
        <v>56.186765000000001</v>
      </c>
      <c r="I57" s="364">
        <v>52.637088999999996</v>
      </c>
      <c r="J57" s="364">
        <v>57.135362000000001</v>
      </c>
      <c r="K57" s="364">
        <v>59.228259999999992</v>
      </c>
      <c r="L57" s="364">
        <v>64.371111999999997</v>
      </c>
      <c r="M57" s="364">
        <v>65.000675999999999</v>
      </c>
      <c r="N57" s="364">
        <v>61.806307999999994</v>
      </c>
      <c r="O57" s="364">
        <v>64.049869000000001</v>
      </c>
      <c r="P57" s="364">
        <v>65.447914999999995</v>
      </c>
      <c r="Q57" s="364">
        <v>68.621205999999987</v>
      </c>
      <c r="R57" s="364">
        <v>68.327258</v>
      </c>
      <c r="S57" s="364">
        <v>71.242818</v>
      </c>
      <c r="T57" s="364">
        <v>64.340521999999993</v>
      </c>
      <c r="U57" s="364">
        <v>69.304704000000001</v>
      </c>
      <c r="V57" s="364">
        <v>80.530376999999987</v>
      </c>
      <c r="W57" s="364">
        <v>73.032540999999981</v>
      </c>
      <c r="X57" s="47"/>
    </row>
    <row r="58" spans="1:24" ht="10.35" customHeight="1">
      <c r="A58" s="177"/>
      <c r="B58" s="177"/>
      <c r="C58" s="183" t="s">
        <v>467</v>
      </c>
      <c r="D58" s="364">
        <v>26.208400000000001</v>
      </c>
      <c r="E58" s="364">
        <v>37.257580000000004</v>
      </c>
      <c r="F58" s="364">
        <v>41.191229999999997</v>
      </c>
      <c r="G58" s="364">
        <v>57.934979999999996</v>
      </c>
      <c r="H58" s="364">
        <v>70.397660000000002</v>
      </c>
      <c r="I58" s="364">
        <v>68.557130000000001</v>
      </c>
      <c r="J58" s="364">
        <v>68.428429999999992</v>
      </c>
      <c r="K58" s="364">
        <v>55.531828999999995</v>
      </c>
      <c r="L58" s="364">
        <v>65.391745999999998</v>
      </c>
      <c r="M58" s="364">
        <v>66.382604999999998</v>
      </c>
      <c r="N58" s="364">
        <v>71.530653000000001</v>
      </c>
      <c r="O58" s="364">
        <v>76.782124999999994</v>
      </c>
      <c r="P58" s="364">
        <v>80.317646999999994</v>
      </c>
      <c r="Q58" s="364">
        <v>88.473036999999991</v>
      </c>
      <c r="R58" s="364">
        <v>88.361882999999992</v>
      </c>
      <c r="S58" s="364">
        <v>95.895522999999997</v>
      </c>
      <c r="T58" s="364">
        <v>112.72505700000002</v>
      </c>
      <c r="U58" s="364">
        <v>112.580517</v>
      </c>
      <c r="V58" s="364">
        <v>112.04231600000001</v>
      </c>
      <c r="W58" s="364">
        <v>93.039372999999998</v>
      </c>
      <c r="X58" s="47"/>
    </row>
    <row r="59" spans="1:24" ht="10.35" customHeight="1">
      <c r="A59" s="177"/>
      <c r="B59" s="177"/>
      <c r="C59" s="183" t="s">
        <v>446</v>
      </c>
      <c r="D59" s="364">
        <v>51.121939999999995</v>
      </c>
      <c r="E59" s="364">
        <v>51.468748000000005</v>
      </c>
      <c r="F59" s="364">
        <v>52.74169899999999</v>
      </c>
      <c r="G59" s="364">
        <v>45.642120000000006</v>
      </c>
      <c r="H59" s="364">
        <v>54.126029000000003</v>
      </c>
      <c r="I59" s="364">
        <v>54.648330000000001</v>
      </c>
      <c r="J59" s="364">
        <v>65.293138999999996</v>
      </c>
      <c r="K59" s="364">
        <v>77.720989000000003</v>
      </c>
      <c r="L59" s="364">
        <v>97.127178999999984</v>
      </c>
      <c r="M59" s="364">
        <v>106.915746</v>
      </c>
      <c r="N59" s="364">
        <v>91.720784999999978</v>
      </c>
      <c r="O59" s="364">
        <v>86.952477999999999</v>
      </c>
      <c r="P59" s="364">
        <v>94.933890000000005</v>
      </c>
      <c r="Q59" s="364">
        <v>91.216984000000011</v>
      </c>
      <c r="R59" s="364">
        <v>91.370234000000011</v>
      </c>
      <c r="S59" s="364">
        <v>95.797326999999996</v>
      </c>
      <c r="T59" s="364">
        <v>85.679718999999992</v>
      </c>
      <c r="U59" s="364">
        <v>96.108458000000013</v>
      </c>
      <c r="V59" s="364">
        <v>101.331317</v>
      </c>
      <c r="W59" s="364">
        <v>127.497598</v>
      </c>
      <c r="X59" s="47"/>
    </row>
    <row r="60" spans="1:24" ht="10.35" customHeight="1">
      <c r="A60" s="177"/>
      <c r="B60" s="177"/>
      <c r="C60" s="183" t="s">
        <v>468</v>
      </c>
      <c r="D60" s="364">
        <v>8.2599029999999996</v>
      </c>
      <c r="E60" s="364">
        <v>6.2063160000000002</v>
      </c>
      <c r="F60" s="364">
        <v>8.3525700000000001</v>
      </c>
      <c r="G60" s="364">
        <v>7.9643969999999999</v>
      </c>
      <c r="H60" s="364">
        <v>5.2184880000000007</v>
      </c>
      <c r="I60" s="364">
        <v>3.964588</v>
      </c>
      <c r="J60" s="364">
        <v>11.055458</v>
      </c>
      <c r="K60" s="364">
        <v>8.8429269999999995</v>
      </c>
      <c r="L60" s="364">
        <v>9.7799869999999984</v>
      </c>
      <c r="M60" s="364">
        <v>11.515769000000001</v>
      </c>
      <c r="N60" s="364">
        <v>9.0048569999999994</v>
      </c>
      <c r="O60" s="364">
        <v>11.342107</v>
      </c>
      <c r="P60" s="364">
        <v>14.441478</v>
      </c>
      <c r="Q60" s="364">
        <v>9.3084769999999981</v>
      </c>
      <c r="R60" s="364">
        <v>11.826294000000001</v>
      </c>
      <c r="S60" s="364">
        <v>11.291067999999999</v>
      </c>
      <c r="T60" s="364">
        <v>13.099817999999999</v>
      </c>
      <c r="U60" s="364">
        <v>10.310658999999999</v>
      </c>
      <c r="V60" s="364">
        <v>8.5122289999999996</v>
      </c>
      <c r="W60" s="364">
        <v>8.2325200000000009</v>
      </c>
      <c r="X60" s="47"/>
    </row>
    <row r="61" spans="1:24" ht="10.35" customHeight="1">
      <c r="A61" s="177"/>
      <c r="B61" s="177"/>
      <c r="C61" s="183" t="s">
        <v>469</v>
      </c>
      <c r="D61" s="364">
        <v>16.473217999999999</v>
      </c>
      <c r="E61" s="364">
        <v>13.249088</v>
      </c>
      <c r="F61" s="364">
        <v>13.097811999999999</v>
      </c>
      <c r="G61" s="364">
        <v>14.012656999999999</v>
      </c>
      <c r="H61" s="364">
        <v>14.935547</v>
      </c>
      <c r="I61" s="364">
        <v>13.839916000000001</v>
      </c>
      <c r="J61" s="364">
        <v>14.914564</v>
      </c>
      <c r="K61" s="364">
        <v>15.369765000000001</v>
      </c>
      <c r="L61" s="364">
        <v>18.870566999999998</v>
      </c>
      <c r="M61" s="364">
        <v>21.701256000000001</v>
      </c>
      <c r="N61" s="364">
        <v>23.804746999999999</v>
      </c>
      <c r="O61" s="364">
        <v>27.468580000000003</v>
      </c>
      <c r="P61" s="364">
        <v>30.769877000000005</v>
      </c>
      <c r="Q61" s="364">
        <v>45.222746000000001</v>
      </c>
      <c r="R61" s="364">
        <v>47.487012000000007</v>
      </c>
      <c r="S61" s="364">
        <v>49.319667000000003</v>
      </c>
      <c r="T61" s="364">
        <v>50.769116000000004</v>
      </c>
      <c r="U61" s="364">
        <v>56.691738000000001</v>
      </c>
      <c r="V61" s="364">
        <v>55.635436999999989</v>
      </c>
      <c r="W61" s="364">
        <v>53.724239000000011</v>
      </c>
      <c r="X61" s="47"/>
    </row>
    <row r="62" spans="1:24" ht="10.35" customHeight="1">
      <c r="A62" s="177"/>
      <c r="B62" s="177"/>
      <c r="C62" s="183" t="s">
        <v>477</v>
      </c>
      <c r="D62" s="364">
        <v>4.6068899999999999</v>
      </c>
      <c r="E62" s="364">
        <v>4.10243</v>
      </c>
      <c r="F62" s="364">
        <v>5.6946000000000003</v>
      </c>
      <c r="G62" s="364">
        <v>6.8151999999999999</v>
      </c>
      <c r="H62" s="364">
        <v>8.1681499999999989</v>
      </c>
      <c r="I62" s="364">
        <v>8.6121459999999992</v>
      </c>
      <c r="J62" s="364">
        <v>9.4406890000000008</v>
      </c>
      <c r="K62" s="364">
        <v>10.81659</v>
      </c>
      <c r="L62" s="364">
        <v>10.674368000000001</v>
      </c>
      <c r="M62" s="364">
        <v>12.059207999999998</v>
      </c>
      <c r="N62" s="364">
        <v>12.488938000000001</v>
      </c>
      <c r="O62" s="364">
        <v>12.792626</v>
      </c>
      <c r="P62" s="364">
        <v>13.776216</v>
      </c>
      <c r="Q62" s="364">
        <v>14.415323000000001</v>
      </c>
      <c r="R62" s="364">
        <v>15.553475000000001</v>
      </c>
      <c r="S62" s="364">
        <v>14.818327</v>
      </c>
      <c r="T62" s="364">
        <v>15.187435000000001</v>
      </c>
      <c r="U62" s="364">
        <v>14.04006</v>
      </c>
      <c r="V62" s="364">
        <v>13.303329</v>
      </c>
      <c r="W62" s="364">
        <v>13.633056999999999</v>
      </c>
      <c r="X62" s="47"/>
    </row>
    <row r="63" spans="1:24" ht="10.35" customHeight="1">
      <c r="A63" s="177"/>
      <c r="B63" s="177"/>
      <c r="C63" s="183" t="s">
        <v>490</v>
      </c>
      <c r="D63" s="364">
        <v>12.373687</v>
      </c>
      <c r="E63" s="364">
        <v>11.695765000000002</v>
      </c>
      <c r="F63" s="364">
        <v>15.741367</v>
      </c>
      <c r="G63" s="364">
        <v>13.499818000000001</v>
      </c>
      <c r="H63" s="364">
        <v>12.105107</v>
      </c>
      <c r="I63" s="364">
        <v>12.932913999999998</v>
      </c>
      <c r="J63" s="364">
        <v>12.241340000000001</v>
      </c>
      <c r="K63" s="364">
        <v>12.951027</v>
      </c>
      <c r="L63" s="364">
        <v>13.634489</v>
      </c>
      <c r="M63" s="364">
        <v>16.708628000000001</v>
      </c>
      <c r="N63" s="364">
        <v>17.606466999999999</v>
      </c>
      <c r="O63" s="364">
        <v>17.555702999999998</v>
      </c>
      <c r="P63" s="364">
        <v>15.857321000000001</v>
      </c>
      <c r="Q63" s="364">
        <v>22.152563000000001</v>
      </c>
      <c r="R63" s="364">
        <v>17.702470999999999</v>
      </c>
      <c r="S63" s="364">
        <v>18.904541000000002</v>
      </c>
      <c r="T63" s="364">
        <v>24.769154000000004</v>
      </c>
      <c r="U63" s="364">
        <v>25.594024999999998</v>
      </c>
      <c r="V63" s="364">
        <v>20.504539000000001</v>
      </c>
      <c r="W63" s="364">
        <v>22.544724000000002</v>
      </c>
      <c r="X63" s="47"/>
    </row>
    <row r="64" spans="1:24" ht="10.35" customHeight="1">
      <c r="A64" s="177"/>
      <c r="B64" s="177"/>
      <c r="C64" s="183" t="s">
        <v>519</v>
      </c>
      <c r="D64" s="364">
        <v>16.90935</v>
      </c>
      <c r="E64" s="364">
        <v>13.34182</v>
      </c>
      <c r="F64" s="364">
        <v>13.580309999999999</v>
      </c>
      <c r="G64" s="364">
        <v>19.701848000000002</v>
      </c>
      <c r="H64" s="364">
        <v>17.004270000000002</v>
      </c>
      <c r="I64" s="364">
        <v>17.815410000000004</v>
      </c>
      <c r="J64" s="364">
        <v>20.877349000000002</v>
      </c>
      <c r="K64" s="364">
        <v>25.774729000000001</v>
      </c>
      <c r="L64" s="364">
        <v>29.042092</v>
      </c>
      <c r="M64" s="364">
        <v>39.577725000000008</v>
      </c>
      <c r="N64" s="364">
        <v>47.608036999999989</v>
      </c>
      <c r="O64" s="364">
        <v>68.079705000000004</v>
      </c>
      <c r="P64" s="364">
        <v>50.08375199999999</v>
      </c>
      <c r="Q64" s="364">
        <v>39.168416000000008</v>
      </c>
      <c r="R64" s="364">
        <v>39.148834000000001</v>
      </c>
      <c r="S64" s="364">
        <v>59.579689999999985</v>
      </c>
      <c r="T64" s="364">
        <v>55.779491</v>
      </c>
      <c r="U64" s="364">
        <v>56.324649999999991</v>
      </c>
      <c r="V64" s="364">
        <v>54.360753000000003</v>
      </c>
      <c r="W64" s="364">
        <v>64.280147999999997</v>
      </c>
      <c r="X64" s="47"/>
    </row>
    <row r="65" spans="1:24" ht="10.35" customHeight="1">
      <c r="A65" s="177"/>
      <c r="B65" s="177"/>
      <c r="C65" s="183" t="s">
        <v>491</v>
      </c>
      <c r="D65" s="364">
        <v>31.063571</v>
      </c>
      <c r="E65" s="364">
        <v>31.794327000000003</v>
      </c>
      <c r="F65" s="364">
        <v>36.918436</v>
      </c>
      <c r="G65" s="364">
        <v>37.776940000000003</v>
      </c>
      <c r="H65" s="364">
        <v>39.522387999999999</v>
      </c>
      <c r="I65" s="364">
        <v>38.818409000000003</v>
      </c>
      <c r="J65" s="364">
        <v>39.298544000000007</v>
      </c>
      <c r="K65" s="364">
        <v>38.655646000000004</v>
      </c>
      <c r="L65" s="364">
        <v>36.926873999999998</v>
      </c>
      <c r="M65" s="364">
        <v>37.149085000000007</v>
      </c>
      <c r="N65" s="364">
        <v>36.652650999999999</v>
      </c>
      <c r="O65" s="364">
        <v>37.902400999999998</v>
      </c>
      <c r="P65" s="364">
        <v>39.862997999999997</v>
      </c>
      <c r="Q65" s="364">
        <v>39.692723000000001</v>
      </c>
      <c r="R65" s="364">
        <v>42.560670000000009</v>
      </c>
      <c r="S65" s="364">
        <v>42.383339999999997</v>
      </c>
      <c r="T65" s="364">
        <v>38.519196999999998</v>
      </c>
      <c r="U65" s="364">
        <v>42.932487999999999</v>
      </c>
      <c r="V65" s="364">
        <v>41.321554000000006</v>
      </c>
      <c r="W65" s="364">
        <v>38.959318999999994</v>
      </c>
      <c r="X65" s="47"/>
    </row>
    <row r="66" spans="1:24" ht="10.35" customHeight="1">
      <c r="A66" s="177"/>
      <c r="B66" s="177"/>
      <c r="C66" s="183" t="s">
        <v>428</v>
      </c>
      <c r="D66" s="364">
        <v>19.228999999999999</v>
      </c>
      <c r="E66" s="364">
        <v>19.472300000000001</v>
      </c>
      <c r="F66" s="364">
        <v>20.30668</v>
      </c>
      <c r="G66" s="364">
        <v>19.416080000000001</v>
      </c>
      <c r="H66" s="364">
        <v>19.050189999999997</v>
      </c>
      <c r="I66" s="364">
        <v>20.084813</v>
      </c>
      <c r="J66" s="364">
        <v>21.190049999999999</v>
      </c>
      <c r="K66" s="364">
        <v>21.807734</v>
      </c>
      <c r="L66" s="364">
        <v>25.776228</v>
      </c>
      <c r="M66" s="364">
        <v>23.410724000000002</v>
      </c>
      <c r="N66" s="364">
        <v>22.587564999999998</v>
      </c>
      <c r="O66" s="364">
        <v>23.10746</v>
      </c>
      <c r="P66" s="364">
        <v>22.847051999999998</v>
      </c>
      <c r="Q66" s="364">
        <v>30.767804999999999</v>
      </c>
      <c r="R66" s="364">
        <v>34.382929000000004</v>
      </c>
      <c r="S66" s="364">
        <v>38.514034000000002</v>
      </c>
      <c r="T66" s="364">
        <v>39.125597999999997</v>
      </c>
      <c r="U66" s="364">
        <v>38.916938999999999</v>
      </c>
      <c r="V66" s="364">
        <v>41.536539000000005</v>
      </c>
      <c r="W66" s="364">
        <v>51.233564000000001</v>
      </c>
      <c r="X66" s="47"/>
    </row>
    <row r="67" spans="1:24" ht="10.35" customHeight="1">
      <c r="A67" s="177"/>
      <c r="B67" s="177"/>
      <c r="C67" s="183" t="s">
        <v>521</v>
      </c>
      <c r="D67" s="364">
        <v>8.7801080000000002</v>
      </c>
      <c r="E67" s="364">
        <v>9.8665059999999993</v>
      </c>
      <c r="F67" s="364">
        <v>9.3170950000000019</v>
      </c>
      <c r="G67" s="364">
        <v>9.2445920000000008</v>
      </c>
      <c r="H67" s="364">
        <v>8.5988039999999994</v>
      </c>
      <c r="I67" s="364">
        <v>9.4797580000000021</v>
      </c>
      <c r="J67" s="364">
        <v>8.2431990000000006</v>
      </c>
      <c r="K67" s="364">
        <v>8.4605529999999991</v>
      </c>
      <c r="L67" s="364">
        <v>8.6091490000000004</v>
      </c>
      <c r="M67" s="364">
        <v>10.250671000000001</v>
      </c>
      <c r="N67" s="364">
        <v>10.521349999999998</v>
      </c>
      <c r="O67" s="364">
        <v>11.305951</v>
      </c>
      <c r="P67" s="364">
        <v>11.74597</v>
      </c>
      <c r="Q67" s="364">
        <v>12.042216</v>
      </c>
      <c r="R67" s="364">
        <v>12.155588</v>
      </c>
      <c r="S67" s="364">
        <v>13.305068</v>
      </c>
      <c r="T67" s="364">
        <v>14.019219999999999</v>
      </c>
      <c r="U67" s="364">
        <v>13.78276</v>
      </c>
      <c r="V67" s="364">
        <v>16.866105000000001</v>
      </c>
      <c r="W67" s="364">
        <v>16.457549999999998</v>
      </c>
      <c r="X67" s="47"/>
    </row>
    <row r="68" spans="1:24" ht="10.35" customHeight="1">
      <c r="A68" s="177"/>
      <c r="B68" s="177"/>
      <c r="C68" s="183" t="s">
        <v>427</v>
      </c>
      <c r="D68" s="364">
        <v>10.920999999999999</v>
      </c>
      <c r="E68" s="364">
        <v>9.5396000000000001</v>
      </c>
      <c r="F68" s="364">
        <v>17.23855</v>
      </c>
      <c r="G68" s="364">
        <v>24.926599999999997</v>
      </c>
      <c r="H68" s="364">
        <v>20.649000000000001</v>
      </c>
      <c r="I68" s="364">
        <v>17.430430000000001</v>
      </c>
      <c r="J68" s="364">
        <v>16.600630000000002</v>
      </c>
      <c r="K68" s="364">
        <v>12.60638</v>
      </c>
      <c r="L68" s="364">
        <v>25.333819999999999</v>
      </c>
      <c r="M68" s="364">
        <v>19.97663</v>
      </c>
      <c r="N68" s="364">
        <v>22.99643</v>
      </c>
      <c r="O68" s="364">
        <v>24.168980000000001</v>
      </c>
      <c r="P68" s="364">
        <v>30.48068</v>
      </c>
      <c r="Q68" s="364">
        <v>30.7759</v>
      </c>
      <c r="R68" s="364">
        <v>35.023389999999999</v>
      </c>
      <c r="S68" s="364">
        <v>25.255778999999997</v>
      </c>
      <c r="T68" s="364">
        <v>25.689758999999999</v>
      </c>
      <c r="U68" s="364">
        <v>24.744610000000002</v>
      </c>
      <c r="V68" s="364">
        <v>23.162838999999995</v>
      </c>
      <c r="W68" s="364">
        <v>28.083639999999999</v>
      </c>
      <c r="X68" s="47"/>
    </row>
    <row r="69" spans="1:24" ht="10.35" customHeight="1">
      <c r="A69" s="177"/>
      <c r="B69" s="177"/>
      <c r="C69" s="183" t="s">
        <v>520</v>
      </c>
      <c r="D69" s="364">
        <v>0</v>
      </c>
      <c r="E69" s="364">
        <v>0</v>
      </c>
      <c r="F69" s="364">
        <v>0</v>
      </c>
      <c r="G69" s="364">
        <v>0</v>
      </c>
      <c r="H69" s="364">
        <v>0</v>
      </c>
      <c r="I69" s="364">
        <v>0</v>
      </c>
      <c r="J69" s="364">
        <v>0</v>
      </c>
      <c r="K69" s="364">
        <v>0</v>
      </c>
      <c r="L69" s="364">
        <v>0</v>
      </c>
      <c r="M69" s="364">
        <v>0</v>
      </c>
      <c r="N69" s="364">
        <v>0</v>
      </c>
      <c r="O69" s="364">
        <v>0</v>
      </c>
      <c r="P69" s="364">
        <v>0.109</v>
      </c>
      <c r="Q69" s="364">
        <v>1.7464499999999998</v>
      </c>
      <c r="R69" s="364">
        <v>2.5676999999999999</v>
      </c>
      <c r="S69" s="364">
        <v>10.726407999999999</v>
      </c>
      <c r="T69" s="364">
        <v>28.358288000000002</v>
      </c>
      <c r="U69" s="364">
        <v>52.300918000000003</v>
      </c>
      <c r="V69" s="364">
        <v>84.803060000000002</v>
      </c>
      <c r="W69" s="364">
        <v>145.66933</v>
      </c>
      <c r="X69" s="47"/>
    </row>
    <row r="70" spans="1:24" ht="10.35" customHeight="1">
      <c r="A70" s="177"/>
      <c r="B70" s="177"/>
      <c r="C70" s="183" t="s">
        <v>320</v>
      </c>
      <c r="D70" s="364">
        <v>1.3497680000000001</v>
      </c>
      <c r="E70" s="364">
        <v>1.3128489999999999</v>
      </c>
      <c r="F70" s="364">
        <v>1.1428400000000001</v>
      </c>
      <c r="G70" s="364">
        <v>1.21201</v>
      </c>
      <c r="H70" s="364">
        <v>1.1594580000000001</v>
      </c>
      <c r="I70" s="364">
        <v>1.1746500000000002</v>
      </c>
      <c r="J70" s="364">
        <v>1.434239</v>
      </c>
      <c r="K70" s="364">
        <v>1.506159</v>
      </c>
      <c r="L70" s="364">
        <v>1.66994</v>
      </c>
      <c r="M70" s="364">
        <v>1.5568200000000001</v>
      </c>
      <c r="N70" s="364">
        <v>1.8460800000000002</v>
      </c>
      <c r="O70" s="364">
        <v>1.9708500000000002</v>
      </c>
      <c r="P70" s="364">
        <v>2.3794589999999998</v>
      </c>
      <c r="Q70" s="364">
        <v>2.3342070000000001</v>
      </c>
      <c r="R70" s="364">
        <v>2.2964989999999998</v>
      </c>
      <c r="S70" s="364">
        <v>2.4852369999999993</v>
      </c>
      <c r="T70" s="364">
        <v>2.3386579999999997</v>
      </c>
      <c r="U70" s="364">
        <v>2.8629299999999995</v>
      </c>
      <c r="V70" s="364">
        <v>3.2306399999999993</v>
      </c>
      <c r="W70" s="364">
        <v>4.6648130000000005</v>
      </c>
      <c r="X70" s="47"/>
    </row>
    <row r="71" spans="1:24" ht="10.35" customHeight="1">
      <c r="A71" s="177"/>
      <c r="B71" s="177"/>
      <c r="C71" s="183" t="s">
        <v>187</v>
      </c>
      <c r="D71" s="364">
        <v>35.458565</v>
      </c>
      <c r="E71" s="364">
        <v>36.088741999999996</v>
      </c>
      <c r="F71" s="364">
        <v>36.393903000000002</v>
      </c>
      <c r="G71" s="364">
        <v>37.087989999999998</v>
      </c>
      <c r="H71" s="364">
        <v>35.484031000000002</v>
      </c>
      <c r="I71" s="364">
        <v>33.584529000000003</v>
      </c>
      <c r="J71" s="364">
        <v>32.150998999999999</v>
      </c>
      <c r="K71" s="364">
        <v>30.444119999999998</v>
      </c>
      <c r="L71" s="364">
        <v>29.003069</v>
      </c>
      <c r="M71" s="364">
        <v>32.913367000000001</v>
      </c>
      <c r="N71" s="364">
        <v>29.196319000000003</v>
      </c>
      <c r="O71" s="364">
        <v>29.103382999999997</v>
      </c>
      <c r="P71" s="364">
        <v>31.412658</v>
      </c>
      <c r="Q71" s="364">
        <v>31.112570000000002</v>
      </c>
      <c r="R71" s="364">
        <v>29.146691000000001</v>
      </c>
      <c r="S71" s="364">
        <v>30.251519999999999</v>
      </c>
      <c r="T71" s="364">
        <v>33.098208999999997</v>
      </c>
      <c r="U71" s="364">
        <v>33.469756000000004</v>
      </c>
      <c r="V71" s="364">
        <v>46.819969999999998</v>
      </c>
      <c r="W71" s="364">
        <v>43.213132000000002</v>
      </c>
      <c r="X71" s="47"/>
    </row>
    <row r="72" spans="1:24" ht="10.35" customHeight="1">
      <c r="A72" s="177"/>
      <c r="B72" s="177"/>
      <c r="C72" s="183" t="s">
        <v>445</v>
      </c>
      <c r="D72" s="364">
        <v>10.216939</v>
      </c>
      <c r="E72" s="364">
        <v>10.417189</v>
      </c>
      <c r="F72" s="364">
        <v>8.626809999999999</v>
      </c>
      <c r="G72" s="364">
        <v>7.2316799999999999</v>
      </c>
      <c r="H72" s="364">
        <v>5.8862200000000007</v>
      </c>
      <c r="I72" s="364">
        <v>8.1084999999999994</v>
      </c>
      <c r="J72" s="364">
        <v>4.5736499999999998</v>
      </c>
      <c r="K72" s="364">
        <v>9.9514500000000012</v>
      </c>
      <c r="L72" s="364">
        <v>14.764659</v>
      </c>
      <c r="M72" s="364">
        <v>13.99996</v>
      </c>
      <c r="N72" s="364">
        <v>19.809350000000002</v>
      </c>
      <c r="O72" s="364">
        <v>34.653870000000005</v>
      </c>
      <c r="P72" s="364">
        <v>45.219540000000002</v>
      </c>
      <c r="Q72" s="364">
        <v>32.7714</v>
      </c>
      <c r="R72" s="364">
        <v>43.387899999999995</v>
      </c>
      <c r="S72" s="364">
        <v>47.879627999999997</v>
      </c>
      <c r="T72" s="364">
        <v>53.142565999999995</v>
      </c>
      <c r="U72" s="364">
        <v>49.193889000000006</v>
      </c>
      <c r="V72" s="364">
        <v>50.002171000000004</v>
      </c>
      <c r="W72" s="364">
        <v>44.029784999999997</v>
      </c>
      <c r="X72" s="47"/>
    </row>
    <row r="73" spans="1:24" ht="10.35" customHeight="1">
      <c r="A73" s="177"/>
      <c r="B73" s="177"/>
      <c r="C73" s="183" t="s">
        <v>188</v>
      </c>
      <c r="D73" s="364">
        <v>15.408956</v>
      </c>
      <c r="E73" s="364">
        <v>10.90892</v>
      </c>
      <c r="F73" s="364">
        <v>2.8068499999999998</v>
      </c>
      <c r="G73" s="364">
        <v>5.8789999999999996</v>
      </c>
      <c r="H73" s="364">
        <v>9.8819999999999997</v>
      </c>
      <c r="I73" s="364">
        <v>20.288529999999998</v>
      </c>
      <c r="J73" s="364">
        <v>17.676599999999997</v>
      </c>
      <c r="K73" s="364">
        <v>13.7804</v>
      </c>
      <c r="L73" s="364">
        <v>5.5168999999999997</v>
      </c>
      <c r="M73" s="364">
        <v>6.79</v>
      </c>
      <c r="N73" s="364">
        <v>8.9788999999999994</v>
      </c>
      <c r="O73" s="364">
        <v>17.3065</v>
      </c>
      <c r="P73" s="364">
        <v>18.994000000000003</v>
      </c>
      <c r="Q73" s="364">
        <v>22.68384</v>
      </c>
      <c r="R73" s="364">
        <v>21.267100000000003</v>
      </c>
      <c r="S73" s="364">
        <v>58.214678999999997</v>
      </c>
      <c r="T73" s="364">
        <v>55.466248999999998</v>
      </c>
      <c r="U73" s="364">
        <v>20.710169</v>
      </c>
      <c r="V73" s="364">
        <v>11.249319999999999</v>
      </c>
      <c r="W73" s="364">
        <v>9.2793399999999995</v>
      </c>
      <c r="X73" s="47"/>
    </row>
    <row r="74" spans="1:24" ht="10.35" customHeight="1">
      <c r="A74" s="177"/>
      <c r="B74" s="177"/>
      <c r="C74" s="183" t="s">
        <v>189</v>
      </c>
      <c r="D74" s="364">
        <v>11.822293999999999</v>
      </c>
      <c r="E74" s="364">
        <v>10.506379000000001</v>
      </c>
      <c r="F74" s="364">
        <v>12.801489999999999</v>
      </c>
      <c r="G74" s="364">
        <v>12.444880000000001</v>
      </c>
      <c r="H74" s="364">
        <v>11.563329</v>
      </c>
      <c r="I74" s="364">
        <v>11.37006</v>
      </c>
      <c r="J74" s="364">
        <v>11.37233</v>
      </c>
      <c r="K74" s="364">
        <v>11.84212</v>
      </c>
      <c r="L74" s="364">
        <v>11.103882000000002</v>
      </c>
      <c r="M74" s="364">
        <v>12.103688999999999</v>
      </c>
      <c r="N74" s="364">
        <v>11.291909</v>
      </c>
      <c r="O74" s="364">
        <v>11.986977</v>
      </c>
      <c r="P74" s="364">
        <v>13.401337</v>
      </c>
      <c r="Q74" s="364">
        <v>13.287150000000002</v>
      </c>
      <c r="R74" s="364">
        <v>14.672108</v>
      </c>
      <c r="S74" s="364">
        <v>15.908087999999999</v>
      </c>
      <c r="T74" s="364">
        <v>20.845869</v>
      </c>
      <c r="U74" s="364">
        <v>19.860299999999999</v>
      </c>
      <c r="V74" s="364">
        <v>21.487370000000002</v>
      </c>
      <c r="W74" s="364">
        <v>20.714410000000001</v>
      </c>
      <c r="X74" s="47"/>
    </row>
    <row r="75" spans="1:24" ht="10.35" customHeight="1">
      <c r="A75" s="177"/>
      <c r="B75" s="177"/>
      <c r="C75" s="183" t="s">
        <v>478</v>
      </c>
      <c r="D75" s="364">
        <v>8.1136390000000009</v>
      </c>
      <c r="E75" s="364">
        <v>7.7023400000000004</v>
      </c>
      <c r="F75" s="364">
        <v>6.17028</v>
      </c>
      <c r="G75" s="364">
        <v>6.5667499999999999</v>
      </c>
      <c r="H75" s="364">
        <v>8.2967600000000008</v>
      </c>
      <c r="I75" s="364">
        <v>9.4892000000000003</v>
      </c>
      <c r="J75" s="364">
        <v>10.585610000000001</v>
      </c>
      <c r="K75" s="364">
        <v>10.509417000000001</v>
      </c>
      <c r="L75" s="364">
        <v>13.415064999999998</v>
      </c>
      <c r="M75" s="364">
        <v>15.057729999999999</v>
      </c>
      <c r="N75" s="364">
        <v>16.881185000000006</v>
      </c>
      <c r="O75" s="364">
        <v>17.780869000000003</v>
      </c>
      <c r="P75" s="364">
        <v>18.506416999999999</v>
      </c>
      <c r="Q75" s="364">
        <v>20.117286</v>
      </c>
      <c r="R75" s="364">
        <v>17.960068</v>
      </c>
      <c r="S75" s="364">
        <v>21.160247999999999</v>
      </c>
      <c r="T75" s="364">
        <v>21.356780999999998</v>
      </c>
      <c r="U75" s="364">
        <v>23.092476000000001</v>
      </c>
      <c r="V75" s="364">
        <v>23.140808</v>
      </c>
      <c r="W75" s="364">
        <v>23.056531</v>
      </c>
      <c r="X75" s="47"/>
    </row>
    <row r="76" spans="1:24" ht="10.35" customHeight="1">
      <c r="A76" s="177"/>
      <c r="B76" s="177"/>
      <c r="C76" s="183" t="s">
        <v>190</v>
      </c>
      <c r="D76" s="364">
        <v>4.4818799999999994</v>
      </c>
      <c r="E76" s="364">
        <v>4.8735600000000003</v>
      </c>
      <c r="F76" s="364">
        <v>4.3193680000000008</v>
      </c>
      <c r="G76" s="364">
        <v>4.9232700000000005</v>
      </c>
      <c r="H76" s="364">
        <v>5.3317800000000011</v>
      </c>
      <c r="I76" s="364">
        <v>5.0399420000000008</v>
      </c>
      <c r="J76" s="364">
        <v>5.6467599999999996</v>
      </c>
      <c r="K76" s="364">
        <v>5.100147999999999</v>
      </c>
      <c r="L76" s="364">
        <v>3.6848500000000004</v>
      </c>
      <c r="M76" s="364">
        <v>4.4857100000000001</v>
      </c>
      <c r="N76" s="364">
        <v>4.1841979999999994</v>
      </c>
      <c r="O76" s="364">
        <v>4.6491830000000007</v>
      </c>
      <c r="P76" s="364">
        <v>5.1988719999999997</v>
      </c>
      <c r="Q76" s="364">
        <v>7.498831</v>
      </c>
      <c r="R76" s="364">
        <v>6.6279899999999996</v>
      </c>
      <c r="S76" s="364">
        <v>5.9318659999999994</v>
      </c>
      <c r="T76" s="364">
        <v>6.3713610000000003</v>
      </c>
      <c r="U76" s="364">
        <v>5.1569399999999996</v>
      </c>
      <c r="V76" s="364">
        <v>6.9879479999999994</v>
      </c>
      <c r="W76" s="364">
        <v>7.4586209999999982</v>
      </c>
      <c r="X76" s="47"/>
    </row>
    <row r="77" spans="1:24" ht="10.35" customHeight="1">
      <c r="A77" s="177"/>
      <c r="B77" s="177"/>
      <c r="C77" s="183" t="s">
        <v>191</v>
      </c>
      <c r="D77" s="364">
        <v>4.1696400000000002</v>
      </c>
      <c r="E77" s="364">
        <v>6.3522299999999996</v>
      </c>
      <c r="F77" s="364">
        <v>3.2679499999999999</v>
      </c>
      <c r="G77" s="364">
        <v>2.4481999999999999</v>
      </c>
      <c r="H77" s="364">
        <v>2.1410200000000006</v>
      </c>
      <c r="I77" s="364">
        <v>1.4214499999999999</v>
      </c>
      <c r="J77" s="364">
        <v>5.2199300000000006</v>
      </c>
      <c r="K77" s="364">
        <v>2.6663999999999994</v>
      </c>
      <c r="L77" s="364">
        <v>2.4494089999999997</v>
      </c>
      <c r="M77" s="364">
        <v>2.9135779999999998</v>
      </c>
      <c r="N77" s="364">
        <v>2.5318290000000001</v>
      </c>
      <c r="O77" s="364">
        <v>1.7996090000000002</v>
      </c>
      <c r="P77" s="364">
        <v>2.801409</v>
      </c>
      <c r="Q77" s="364">
        <v>3.2669980000000001</v>
      </c>
      <c r="R77" s="364">
        <v>1.5986889999999998</v>
      </c>
      <c r="S77" s="364">
        <v>2.3477540000000001</v>
      </c>
      <c r="T77" s="364">
        <v>0.49371900000000002</v>
      </c>
      <c r="U77" s="364">
        <v>0.96984900000000007</v>
      </c>
      <c r="V77" s="364">
        <v>1.2152700000000001</v>
      </c>
      <c r="W77" s="364">
        <v>0.73555899999999996</v>
      </c>
      <c r="X77" s="47"/>
    </row>
    <row r="78" spans="1:24" ht="10.35" customHeight="1">
      <c r="A78" s="177"/>
      <c r="B78" s="177"/>
      <c r="C78" s="183" t="s">
        <v>434</v>
      </c>
      <c r="D78" s="364">
        <v>14.907780000000001</v>
      </c>
      <c r="E78" s="364">
        <v>15.753368999999999</v>
      </c>
      <c r="F78" s="364">
        <v>11.410219999999999</v>
      </c>
      <c r="G78" s="364">
        <v>10.792389999999999</v>
      </c>
      <c r="H78" s="364">
        <v>12.917200000000001</v>
      </c>
      <c r="I78" s="364">
        <v>12.847149999999999</v>
      </c>
      <c r="J78" s="364">
        <v>13.270676999999999</v>
      </c>
      <c r="K78" s="364">
        <v>14.826650000000001</v>
      </c>
      <c r="L78" s="364">
        <v>19.302230000000002</v>
      </c>
      <c r="M78" s="364">
        <v>17.61347</v>
      </c>
      <c r="N78" s="364">
        <v>15.772708999999999</v>
      </c>
      <c r="O78" s="364">
        <v>18.422348999999997</v>
      </c>
      <c r="P78" s="364">
        <v>21.052825000000002</v>
      </c>
      <c r="Q78" s="364">
        <v>20.578497000000002</v>
      </c>
      <c r="R78" s="364">
        <v>21.115785000000002</v>
      </c>
      <c r="S78" s="364">
        <v>22.340886999999999</v>
      </c>
      <c r="T78" s="364">
        <v>21.148228</v>
      </c>
      <c r="U78" s="364">
        <v>18.942077999999999</v>
      </c>
      <c r="V78" s="364">
        <v>20.013576</v>
      </c>
      <c r="W78" s="364">
        <v>18.508879999999998</v>
      </c>
      <c r="X78" s="47"/>
    </row>
    <row r="79" spans="1:24" ht="10.35" customHeight="1">
      <c r="A79" s="177"/>
      <c r="B79" s="177"/>
      <c r="C79" s="183" t="s">
        <v>205</v>
      </c>
      <c r="D79" s="364">
        <v>9.3787800000000008</v>
      </c>
      <c r="E79" s="364">
        <v>6.7379579999999999</v>
      </c>
      <c r="F79" s="364">
        <v>6.4595000000000002</v>
      </c>
      <c r="G79" s="364">
        <v>3.7579400000000001</v>
      </c>
      <c r="H79" s="364">
        <v>2.4632800000000001</v>
      </c>
      <c r="I79" s="364">
        <v>11.494346999999999</v>
      </c>
      <c r="J79" s="364">
        <v>12.953357</v>
      </c>
      <c r="K79" s="364">
        <v>15.96077</v>
      </c>
      <c r="L79" s="364">
        <v>21.032959999999999</v>
      </c>
      <c r="M79" s="364">
        <v>25.10388</v>
      </c>
      <c r="N79" s="364">
        <v>26.215529000000004</v>
      </c>
      <c r="O79" s="364">
        <v>24.612418999999999</v>
      </c>
      <c r="P79" s="364">
        <v>23.702659999999995</v>
      </c>
      <c r="Q79" s="364">
        <v>23.052778999999997</v>
      </c>
      <c r="R79" s="364">
        <v>21.627817</v>
      </c>
      <c r="S79" s="364">
        <v>20.707308000000001</v>
      </c>
      <c r="T79" s="364">
        <v>20.699287999999999</v>
      </c>
      <c r="U79" s="364">
        <v>18.651561999999998</v>
      </c>
      <c r="V79" s="364">
        <v>28.131598999999998</v>
      </c>
      <c r="W79" s="364">
        <v>27.492473999999998</v>
      </c>
      <c r="X79" s="47"/>
    </row>
    <row r="80" spans="1:24" ht="10.35" customHeight="1">
      <c r="A80" s="177"/>
      <c r="B80" s="177"/>
      <c r="C80" s="183" t="s">
        <v>206</v>
      </c>
      <c r="D80" s="364">
        <v>5.0151480000000008</v>
      </c>
      <c r="E80" s="364">
        <v>5.5587079999999993</v>
      </c>
      <c r="F80" s="364">
        <v>4.901389</v>
      </c>
      <c r="G80" s="364">
        <v>4.5898999999999992</v>
      </c>
      <c r="H80" s="364">
        <v>3.5384300000000004</v>
      </c>
      <c r="I80" s="364">
        <v>3.0106289999999998</v>
      </c>
      <c r="J80" s="364">
        <v>3.2810999999999999</v>
      </c>
      <c r="K80" s="364">
        <v>3.3456049999999999</v>
      </c>
      <c r="L80" s="364">
        <v>3.3408690000000001</v>
      </c>
      <c r="M80" s="364">
        <v>3.6384900000000004</v>
      </c>
      <c r="N80" s="364">
        <v>3.8124039999999999</v>
      </c>
      <c r="O80" s="364">
        <v>2.3551700000000002</v>
      </c>
      <c r="P80" s="364">
        <v>3.7402690000000001</v>
      </c>
      <c r="Q80" s="364">
        <v>4.0374600000000003</v>
      </c>
      <c r="R80" s="364">
        <v>3.287919</v>
      </c>
      <c r="S80" s="364">
        <v>2.9731670000000006</v>
      </c>
      <c r="T80" s="364">
        <v>2.3160069999999995</v>
      </c>
      <c r="U80" s="364">
        <v>2.5390199999999994</v>
      </c>
      <c r="V80" s="364">
        <v>2.7005950000000003</v>
      </c>
      <c r="W80" s="364">
        <v>2.9356840000000002</v>
      </c>
      <c r="X80" s="47"/>
    </row>
    <row r="81" spans="1:24" ht="10.35" customHeight="1">
      <c r="A81" s="177"/>
      <c r="B81" s="177"/>
      <c r="C81" s="183" t="s">
        <v>207</v>
      </c>
      <c r="D81" s="364">
        <v>6.2591000000000001</v>
      </c>
      <c r="E81" s="364">
        <v>6.4779</v>
      </c>
      <c r="F81" s="364">
        <v>6.3491999999999997</v>
      </c>
      <c r="G81" s="364">
        <v>5.6340000000000003</v>
      </c>
      <c r="H81" s="364">
        <v>1.548</v>
      </c>
      <c r="I81" s="364">
        <v>4.2359999999999998</v>
      </c>
      <c r="J81" s="364">
        <v>4.82</v>
      </c>
      <c r="K81" s="364">
        <v>3.5969499999999996</v>
      </c>
      <c r="L81" s="364">
        <v>4.0089589999999999</v>
      </c>
      <c r="M81" s="364">
        <v>3.168758</v>
      </c>
      <c r="N81" s="364">
        <v>3.2143189999999997</v>
      </c>
      <c r="O81" s="364">
        <v>3.1582280000000003</v>
      </c>
      <c r="P81" s="364">
        <v>3.43404</v>
      </c>
      <c r="Q81" s="364">
        <v>4.3194699999999999</v>
      </c>
      <c r="R81" s="364">
        <v>3.8737890000000004</v>
      </c>
      <c r="S81" s="364">
        <v>3.7849690000000002</v>
      </c>
      <c r="T81" s="364">
        <v>3.3074699999999999</v>
      </c>
      <c r="U81" s="364">
        <v>2.1772499999999999</v>
      </c>
      <c r="V81" s="364">
        <v>1.0848500000000001</v>
      </c>
      <c r="W81" s="364">
        <v>1.600104</v>
      </c>
      <c r="X81" s="47"/>
    </row>
    <row r="82" spans="1:24" ht="10.35" customHeight="1">
      <c r="A82" s="177"/>
      <c r="B82" s="182" t="s">
        <v>209</v>
      </c>
      <c r="C82" s="204"/>
      <c r="D82" s="367"/>
      <c r="E82" s="367"/>
      <c r="F82" s="367"/>
      <c r="G82" s="367"/>
      <c r="H82" s="367"/>
      <c r="I82" s="367"/>
      <c r="J82" s="367"/>
      <c r="K82" s="367"/>
      <c r="L82" s="367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</row>
    <row r="83" spans="1:24" ht="10.35" customHeight="1">
      <c r="A83" s="177"/>
      <c r="B83" s="177"/>
      <c r="C83" s="204" t="s">
        <v>254</v>
      </c>
      <c r="D83" s="364">
        <v>622.14707184978533</v>
      </c>
      <c r="E83" s="364">
        <v>631.71952889999977</v>
      </c>
      <c r="F83" s="364">
        <v>678.1409000000001</v>
      </c>
      <c r="G83" s="364">
        <v>704.86487193403582</v>
      </c>
      <c r="H83" s="364">
        <v>705.7230800000001</v>
      </c>
      <c r="I83" s="364">
        <v>793.04374819468319</v>
      </c>
      <c r="J83" s="364">
        <v>866.37535111564478</v>
      </c>
      <c r="K83" s="364">
        <v>939.56645151462601</v>
      </c>
      <c r="L83" s="364">
        <v>1069.7208962777295</v>
      </c>
      <c r="M83" s="364">
        <v>1176.1057897813946</v>
      </c>
      <c r="N83" s="364">
        <v>1243.8236571023624</v>
      </c>
      <c r="O83" s="364">
        <v>1358.7137798330534</v>
      </c>
      <c r="P83" s="364">
        <v>1476.9996294766233</v>
      </c>
      <c r="Q83" s="364">
        <v>1529.692810740542</v>
      </c>
      <c r="R83" s="364">
        <v>1606.6168259900869</v>
      </c>
      <c r="S83" s="364">
        <v>1736.0802311516054</v>
      </c>
      <c r="T83" s="364">
        <v>1846.2799957845775</v>
      </c>
      <c r="U83" s="364">
        <v>1913.7561968351301</v>
      </c>
      <c r="V83" s="364">
        <v>2058.1098053887717</v>
      </c>
      <c r="W83" s="364">
        <v>2149.8239600884599</v>
      </c>
      <c r="X83" s="47"/>
    </row>
    <row r="84" spans="1:24" ht="10.35" customHeight="1">
      <c r="A84" s="201"/>
      <c r="B84" s="199"/>
      <c r="C84" s="205" t="s">
        <v>255</v>
      </c>
      <c r="D84" s="364">
        <v>77.669502499999993</v>
      </c>
      <c r="E84" s="364">
        <v>79.669277499999993</v>
      </c>
      <c r="F84" s="364">
        <v>78.592879274999987</v>
      </c>
      <c r="G84" s="364">
        <v>79.814373084750017</v>
      </c>
      <c r="H84" s="364">
        <v>84.245212348164443</v>
      </c>
      <c r="I84" s="364">
        <v>84.214992917901725</v>
      </c>
      <c r="J84" s="364">
        <v>84.759076652583346</v>
      </c>
      <c r="K84" s="364">
        <v>84.597473041946657</v>
      </c>
      <c r="L84" s="364">
        <v>83.373835376999978</v>
      </c>
      <c r="M84" s="364">
        <v>83.645196143063046</v>
      </c>
      <c r="N84" s="364">
        <v>84.172917784258786</v>
      </c>
      <c r="O84" s="364">
        <v>85.639491328023695</v>
      </c>
      <c r="P84" s="364">
        <v>88.261197444205052</v>
      </c>
      <c r="Q84" s="364">
        <v>87.264269641500007</v>
      </c>
      <c r="R84" s="364">
        <v>86.051505494156231</v>
      </c>
      <c r="S84" s="364">
        <v>82.90874317924974</v>
      </c>
      <c r="T84" s="364">
        <v>84.904413614858626</v>
      </c>
      <c r="U84" s="364">
        <v>83.644776604741168</v>
      </c>
      <c r="V84" s="364">
        <v>84.179462199820847</v>
      </c>
      <c r="W84" s="364">
        <v>84.452367522262165</v>
      </c>
      <c r="X84" s="47"/>
    </row>
    <row r="85" spans="1:24" ht="10.35" customHeight="1">
      <c r="A85" s="177"/>
      <c r="B85" s="177"/>
      <c r="C85" s="204" t="s">
        <v>411</v>
      </c>
      <c r="D85" s="364">
        <v>122.07165866666666</v>
      </c>
      <c r="E85" s="364">
        <v>124.41726400000003</v>
      </c>
      <c r="F85" s="364">
        <v>123.37270978666665</v>
      </c>
      <c r="G85" s="364">
        <v>123.65111037792349</v>
      </c>
      <c r="H85" s="364">
        <v>131.84039376140001</v>
      </c>
      <c r="I85" s="364">
        <v>139.00587256468384</v>
      </c>
      <c r="J85" s="364">
        <v>145.34725143904657</v>
      </c>
      <c r="K85" s="364">
        <v>152.69336636355555</v>
      </c>
      <c r="L85" s="364">
        <v>153.59471849400001</v>
      </c>
      <c r="M85" s="364">
        <v>152.95837931831014</v>
      </c>
      <c r="N85" s="364">
        <v>154.20705248643645</v>
      </c>
      <c r="O85" s="364">
        <v>156.78411624939505</v>
      </c>
      <c r="P85" s="364">
        <v>163.13724835713589</v>
      </c>
      <c r="Q85" s="364">
        <v>170.24506613986665</v>
      </c>
      <c r="R85" s="364">
        <v>180.51984083306047</v>
      </c>
      <c r="S85" s="364">
        <v>190.56707951319225</v>
      </c>
      <c r="T85" s="364">
        <v>199.19893336924656</v>
      </c>
      <c r="U85" s="364">
        <v>210.32487271118595</v>
      </c>
      <c r="V85" s="364">
        <v>219.93463885614148</v>
      </c>
      <c r="W85" s="364">
        <v>231.0115509961332</v>
      </c>
      <c r="X85" s="47" t="s">
        <v>66</v>
      </c>
    </row>
    <row r="86" spans="1:24" ht="10.35" customHeight="1">
      <c r="A86" s="177"/>
      <c r="B86" s="177"/>
      <c r="C86" s="204" t="s">
        <v>281</v>
      </c>
      <c r="D86" s="364">
        <v>255.39068823529414</v>
      </c>
      <c r="E86" s="364">
        <v>255.43023725490201</v>
      </c>
      <c r="F86" s="364">
        <v>263.0145096666667</v>
      </c>
      <c r="G86" s="364">
        <v>269.15822655236389</v>
      </c>
      <c r="H86" s="364">
        <v>281.47873337801957</v>
      </c>
      <c r="I86" s="364">
        <v>299.01414886916677</v>
      </c>
      <c r="J86" s="364">
        <v>316.82012743467794</v>
      </c>
      <c r="K86" s="364">
        <v>320.0685235481543</v>
      </c>
      <c r="L86" s="364">
        <v>320.23116448762926</v>
      </c>
      <c r="M86" s="364">
        <v>322.94809999327646</v>
      </c>
      <c r="N86" s="364">
        <v>337.00320265430099</v>
      </c>
      <c r="O86" s="364">
        <v>351.14586961998867</v>
      </c>
      <c r="P86" s="364">
        <v>365.91543721560129</v>
      </c>
      <c r="Q86" s="364">
        <v>378.60242433089485</v>
      </c>
      <c r="R86" s="364">
        <v>384.76822623546826</v>
      </c>
      <c r="S86" s="364">
        <v>384.34298495698567</v>
      </c>
      <c r="T86" s="364">
        <v>372.99145286675423</v>
      </c>
      <c r="U86" s="364">
        <v>370.07359493440094</v>
      </c>
      <c r="V86" s="364">
        <v>371.96685365707867</v>
      </c>
      <c r="W86" s="364">
        <v>378.27369847937075</v>
      </c>
      <c r="X86" s="47"/>
    </row>
    <row r="87" spans="1:24" ht="10.35" customHeight="1">
      <c r="A87" s="177"/>
      <c r="B87" s="177"/>
      <c r="C87" s="204" t="s">
        <v>282</v>
      </c>
      <c r="D87" s="364">
        <v>15.518362499999999</v>
      </c>
      <c r="E87" s="364">
        <v>14.780022499999999</v>
      </c>
      <c r="F87" s="364">
        <v>14.483432339050616</v>
      </c>
      <c r="G87" s="364">
        <v>15.733809064859205</v>
      </c>
      <c r="H87" s="364">
        <v>16.189105442456999</v>
      </c>
      <c r="I87" s="364">
        <v>16.544920550230767</v>
      </c>
      <c r="J87" s="364">
        <v>16.929919974597226</v>
      </c>
      <c r="K87" s="364">
        <v>16.713896624733284</v>
      </c>
      <c r="L87" s="364">
        <v>16.048394763666668</v>
      </c>
      <c r="M87" s="364">
        <v>15.382862932880899</v>
      </c>
      <c r="N87" s="364">
        <v>15.327630557621834</v>
      </c>
      <c r="O87" s="364">
        <v>15.37505631424056</v>
      </c>
      <c r="P87" s="364">
        <v>15.616858790658204</v>
      </c>
      <c r="Q87" s="364">
        <v>16.097784544348912</v>
      </c>
      <c r="R87" s="364">
        <v>15.418262058134021</v>
      </c>
      <c r="S87" s="364">
        <v>14.752061781059163</v>
      </c>
      <c r="T87" s="364">
        <v>14.56758453384286</v>
      </c>
      <c r="U87" s="364">
        <v>13.733900606473389</v>
      </c>
      <c r="V87" s="364">
        <v>12.415769331766608</v>
      </c>
      <c r="W87" s="364">
        <v>12.755629543291031</v>
      </c>
      <c r="X87" s="47"/>
    </row>
    <row r="88" spans="1:24" ht="10.35" customHeight="1">
      <c r="A88" s="177"/>
      <c r="B88" s="177"/>
      <c r="C88" s="204" t="s">
        <v>283</v>
      </c>
      <c r="D88" s="364">
        <v>16.237266666666667</v>
      </c>
      <c r="E88" s="364">
        <v>17.139677777777774</v>
      </c>
      <c r="F88" s="364">
        <v>18.393404666666662</v>
      </c>
      <c r="G88" s="364">
        <v>18.152839064544445</v>
      </c>
      <c r="H88" s="364">
        <v>18.494570323055552</v>
      </c>
      <c r="I88" s="364">
        <v>19.269393215690148</v>
      </c>
      <c r="J88" s="364">
        <v>19.539238868666668</v>
      </c>
      <c r="K88" s="364">
        <v>20.81434672180556</v>
      </c>
      <c r="L88" s="364">
        <v>21.171595724444447</v>
      </c>
      <c r="M88" s="364">
        <v>22.641214523333336</v>
      </c>
      <c r="N88" s="364">
        <v>23.912935720308642</v>
      </c>
      <c r="O88" s="364">
        <v>25.15193891944444</v>
      </c>
      <c r="P88" s="364">
        <v>26.66501447689177</v>
      </c>
      <c r="Q88" s="364">
        <v>27.042342589777775</v>
      </c>
      <c r="R88" s="364">
        <v>27.987032118333332</v>
      </c>
      <c r="S88" s="364">
        <v>26.483108266388889</v>
      </c>
      <c r="T88" s="364">
        <v>27.654467318472228</v>
      </c>
      <c r="U88" s="364">
        <v>28.327629455876544</v>
      </c>
      <c r="V88" s="364">
        <v>28.198616282995879</v>
      </c>
      <c r="W88" s="364">
        <v>27.954751219975439</v>
      </c>
      <c r="X88" s="47"/>
    </row>
    <row r="89" spans="1:24" ht="10.35" customHeight="1">
      <c r="A89" s="177"/>
      <c r="B89" s="177"/>
      <c r="C89" s="204" t="s">
        <v>284</v>
      </c>
      <c r="D89" s="364">
        <v>7.0969777777777781</v>
      </c>
      <c r="E89" s="364">
        <v>7.1827999999999994</v>
      </c>
      <c r="F89" s="364">
        <v>7.2050302222222218</v>
      </c>
      <c r="G89" s="364">
        <v>7.769345138206222</v>
      </c>
      <c r="H89" s="364">
        <v>8.2200763622222226</v>
      </c>
      <c r="I89" s="364">
        <v>8.5842078533333339</v>
      </c>
      <c r="J89" s="364">
        <v>8.5313333244444447</v>
      </c>
      <c r="K89" s="364">
        <v>9.0066802392592606</v>
      </c>
      <c r="L89" s="364">
        <v>8.825497640617284</v>
      </c>
      <c r="M89" s="364">
        <v>9.2787898504444435</v>
      </c>
      <c r="N89" s="364">
        <v>9.0558047044444425</v>
      </c>
      <c r="O89" s="364">
        <v>9.4104232368666647</v>
      </c>
      <c r="P89" s="364">
        <v>9.6669071046746762</v>
      </c>
      <c r="Q89" s="364">
        <v>9.2860081999999995</v>
      </c>
      <c r="R89" s="364">
        <v>9.2667703877777772</v>
      </c>
      <c r="S89" s="364">
        <v>8.8444790077777782</v>
      </c>
      <c r="T89" s="364">
        <v>8.8372940537777769</v>
      </c>
      <c r="U89" s="364">
        <v>8.9085523799999997</v>
      </c>
      <c r="V89" s="364">
        <v>8.8952166616427935</v>
      </c>
      <c r="W89" s="364">
        <v>8.5502045694274393</v>
      </c>
      <c r="X89" s="47"/>
    </row>
    <row r="90" spans="1:24" ht="10.35" customHeight="1">
      <c r="A90" s="177"/>
      <c r="B90" s="177"/>
      <c r="C90" s="204" t="s">
        <v>479</v>
      </c>
      <c r="D90" s="364">
        <v>178.68559750390961</v>
      </c>
      <c r="E90" s="364">
        <v>188.39117038662513</v>
      </c>
      <c r="F90" s="364">
        <v>190.9148140946505</v>
      </c>
      <c r="G90" s="364">
        <v>197.83900855365883</v>
      </c>
      <c r="H90" s="364">
        <v>202.35652381050295</v>
      </c>
      <c r="I90" s="364">
        <v>207.08602872529028</v>
      </c>
      <c r="J90" s="364">
        <v>245.45107213411626</v>
      </c>
      <c r="K90" s="364">
        <v>257.6211160378042</v>
      </c>
      <c r="L90" s="364">
        <v>266.54052276983214</v>
      </c>
      <c r="M90" s="364">
        <v>268.70693766327264</v>
      </c>
      <c r="N90" s="364">
        <v>285.10164329036985</v>
      </c>
      <c r="O90" s="364">
        <v>317.65441124675988</v>
      </c>
      <c r="P90" s="364">
        <v>314.02390941851974</v>
      </c>
      <c r="Q90" s="364">
        <v>349.79078303424126</v>
      </c>
      <c r="R90" s="364">
        <v>358.62993572390616</v>
      </c>
      <c r="S90" s="364">
        <v>386.2546357730568</v>
      </c>
      <c r="T90" s="364">
        <v>400.97960333937357</v>
      </c>
      <c r="U90" s="364">
        <v>415.33649121304501</v>
      </c>
      <c r="V90" s="364">
        <v>452.23436143020251</v>
      </c>
      <c r="W90" s="364">
        <v>488.48443735854397</v>
      </c>
      <c r="X90" s="47"/>
    </row>
    <row r="91" spans="1:24" ht="10.35" customHeight="1">
      <c r="A91" s="177"/>
      <c r="B91" s="177"/>
      <c r="C91" s="204" t="s">
        <v>480</v>
      </c>
      <c r="D91" s="364">
        <v>903.21603385173148</v>
      </c>
      <c r="E91" s="364">
        <v>989.70593789858674</v>
      </c>
      <c r="F91" s="364">
        <v>1051.4819556502334</v>
      </c>
      <c r="G91" s="364">
        <v>1104.8202384960896</v>
      </c>
      <c r="H91" s="364">
        <v>1164.9730465819982</v>
      </c>
      <c r="I91" s="364">
        <v>1236.8356167550378</v>
      </c>
      <c r="J91" s="364">
        <v>1346.9914726837153</v>
      </c>
      <c r="K91" s="364">
        <v>1455.814925372229</v>
      </c>
      <c r="L91" s="364">
        <v>1565.5282071279396</v>
      </c>
      <c r="M91" s="364">
        <v>1652.1123218322687</v>
      </c>
      <c r="N91" s="364">
        <v>1678.372090593223</v>
      </c>
      <c r="O91" s="364">
        <v>1755.5286562142719</v>
      </c>
      <c r="P91" s="364">
        <v>1790.6696513017671</v>
      </c>
      <c r="Q91" s="364">
        <v>1807.8059137818057</v>
      </c>
      <c r="R91" s="364">
        <v>1840.2259962872304</v>
      </c>
      <c r="S91" s="364">
        <v>1903.1767256046485</v>
      </c>
      <c r="T91" s="364">
        <v>1954.2317411687607</v>
      </c>
      <c r="U91" s="364">
        <v>2013.6737182955262</v>
      </c>
      <c r="V91" s="364">
        <v>2067.1425065071944</v>
      </c>
      <c r="W91" s="364">
        <v>2129.3658522205014</v>
      </c>
      <c r="X91" s="47"/>
    </row>
    <row r="92" spans="1:24" ht="10.35" customHeight="1">
      <c r="A92" s="177"/>
      <c r="B92" s="177"/>
      <c r="C92" s="204" t="s">
        <v>481</v>
      </c>
      <c r="D92" s="364">
        <v>3.1103400000000003</v>
      </c>
      <c r="E92" s="364">
        <v>3.3986600000000005</v>
      </c>
      <c r="F92" s="364">
        <v>3.1654137610330957</v>
      </c>
      <c r="G92" s="364">
        <v>3.1027619710650001</v>
      </c>
      <c r="H92" s="364">
        <v>3.2484790284999998</v>
      </c>
      <c r="I92" s="364">
        <v>3.5972864276333336</v>
      </c>
      <c r="J92" s="364">
        <v>3.5095458513</v>
      </c>
      <c r="K92" s="364">
        <v>3.8947965421000004</v>
      </c>
      <c r="L92" s="364">
        <v>4.01917259133758</v>
      </c>
      <c r="M92" s="364">
        <v>4.3865017065679996</v>
      </c>
      <c r="N92" s="364">
        <v>4.3517826225239995</v>
      </c>
      <c r="O92" s="364">
        <v>4.6614143952800005</v>
      </c>
      <c r="P92" s="364">
        <v>4.7973932921199998</v>
      </c>
      <c r="Q92" s="364">
        <v>4.4202621337382713</v>
      </c>
      <c r="R92" s="364">
        <v>4.4849348427279994</v>
      </c>
      <c r="S92" s="364">
        <v>4.4380008303373621</v>
      </c>
      <c r="T92" s="364">
        <v>4.5084825524774939</v>
      </c>
      <c r="U92" s="364">
        <v>4.3142295304220522</v>
      </c>
      <c r="V92" s="364">
        <v>4.5748439407972912</v>
      </c>
      <c r="W92" s="364">
        <v>4.4530293069745213</v>
      </c>
      <c r="X92" s="47"/>
    </row>
    <row r="93" spans="1:24" ht="10.35" customHeight="1">
      <c r="A93" s="177"/>
      <c r="B93" s="177"/>
      <c r="C93" s="204" t="s">
        <v>482</v>
      </c>
      <c r="D93" s="364">
        <v>0.74238000000000015</v>
      </c>
      <c r="E93" s="364">
        <v>0.75959600000000005</v>
      </c>
      <c r="F93" s="364">
        <v>0.62758800000000003</v>
      </c>
      <c r="G93" s="364">
        <v>0.63359697400000003</v>
      </c>
      <c r="H93" s="364">
        <v>0.62174763099999997</v>
      </c>
      <c r="I93" s="364">
        <v>0.60379930500000001</v>
      </c>
      <c r="J93" s="364">
        <v>0.62330949720000006</v>
      </c>
      <c r="K93" s="364">
        <v>0.74007281593983731</v>
      </c>
      <c r="L93" s="364">
        <v>0.70387043717612008</v>
      </c>
      <c r="M93" s="364">
        <v>0.69581126593999998</v>
      </c>
      <c r="N93" s="364">
        <v>0.63204508984990004</v>
      </c>
      <c r="O93" s="364">
        <v>0.6773595805</v>
      </c>
      <c r="P93" s="364">
        <v>0.74539273635999992</v>
      </c>
      <c r="Q93" s="364">
        <v>0.72585134915899996</v>
      </c>
      <c r="R93" s="364">
        <v>0.74482293857599979</v>
      </c>
      <c r="S93" s="364">
        <v>0.65599278945600004</v>
      </c>
      <c r="T93" s="364">
        <v>0.66955003707360006</v>
      </c>
      <c r="U93" s="364">
        <v>0.68054649144799995</v>
      </c>
      <c r="V93" s="364">
        <v>0.65997904175104705</v>
      </c>
      <c r="W93" s="364">
        <v>0.65710990950854964</v>
      </c>
      <c r="X93" s="47"/>
    </row>
    <row r="94" spans="1:24" ht="10.35" customHeight="1">
      <c r="A94" s="187"/>
      <c r="B94" s="187"/>
      <c r="C94" s="187" t="s">
        <v>199</v>
      </c>
      <c r="D94" s="368">
        <v>12.361006000000001</v>
      </c>
      <c r="E94" s="368">
        <v>12.577379000000001</v>
      </c>
      <c r="F94" s="368">
        <v>11.306868479999999</v>
      </c>
      <c r="G94" s="368">
        <v>11.318978071568001</v>
      </c>
      <c r="H94" s="368">
        <v>11.236738379999998</v>
      </c>
      <c r="I94" s="368">
        <v>10.91187783601784</v>
      </c>
      <c r="J94" s="368">
        <v>10.374241419586173</v>
      </c>
      <c r="K94" s="368">
        <v>10.894517391099999</v>
      </c>
      <c r="L94" s="368">
        <v>10.085339362678285</v>
      </c>
      <c r="M94" s="368">
        <v>10.279006247604</v>
      </c>
      <c r="N94" s="368">
        <v>10.218058699485209</v>
      </c>
      <c r="O94" s="368">
        <v>10.2918612653592</v>
      </c>
      <c r="P94" s="368">
        <v>11.029406458315982</v>
      </c>
      <c r="Q94" s="368">
        <v>10.403074148514934</v>
      </c>
      <c r="R94" s="368">
        <v>9.9747705018306334</v>
      </c>
      <c r="S94" s="368">
        <v>8.9542333575703452</v>
      </c>
      <c r="T94" s="368">
        <v>9.3522387768933442</v>
      </c>
      <c r="U94" s="368">
        <v>8.1383729286775193</v>
      </c>
      <c r="V94" s="368">
        <v>8.0563635489869441</v>
      </c>
      <c r="W94" s="368">
        <v>7.7501701075763343</v>
      </c>
      <c r="X94" s="43"/>
    </row>
    <row r="95" spans="1:24" ht="10.35" customHeight="1">
      <c r="A95" s="169" t="s">
        <v>15</v>
      </c>
      <c r="B95" s="275"/>
      <c r="C95" s="274"/>
      <c r="D95" s="170"/>
      <c r="E95" s="170"/>
      <c r="F95" s="170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0.35" customHeight="1">
      <c r="A96" s="274" t="s">
        <v>378</v>
      </c>
      <c r="B96" s="275"/>
      <c r="C96" s="274"/>
      <c r="D96" s="170"/>
      <c r="E96" s="170"/>
      <c r="F96" s="170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101" spans="4:24" ht="17.100000000000001" customHeight="1"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</sheetData>
  <mergeCells count="2">
    <mergeCell ref="A4:C4"/>
    <mergeCell ref="A50:C50"/>
  </mergeCells>
  <phoneticPr fontId="10" type="noConversion"/>
  <pageMargins left="0.31496062992125984" right="0.11811023622047245" top="0.15748031496062992" bottom="0.74803149606299213" header="0.31496062992125984" footer="0.31496062992125984"/>
  <rowBreaks count="1" manualBreakCount="1">
    <brk id="48" max="16383" man="1" pt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9"/>
  <dimension ref="A1:AE205"/>
  <sheetViews>
    <sheetView showGridLines="0" zoomScale="150" workbookViewId="0">
      <selection activeCell="X85" sqref="X85"/>
    </sheetView>
  </sheetViews>
  <sheetFormatPr baseColWidth="10" defaultColWidth="6.42578125" defaultRowHeight="17.100000000000001" customHeight="1"/>
  <cols>
    <col min="1" max="1" width="1.28515625" style="272" customWidth="1"/>
    <col min="2" max="2" width="14" style="272" customWidth="1"/>
    <col min="3" max="11" width="0" style="272" hidden="1" customWidth="1"/>
    <col min="12" max="12" width="0.28515625" style="272" hidden="1" customWidth="1"/>
    <col min="13" max="31" width="5.140625" style="272" customWidth="1"/>
    <col min="32" max="224" width="6.42578125" style="272"/>
    <col min="225" max="225" width="1.42578125" style="272" customWidth="1"/>
    <col min="226" max="226" width="1.28515625" style="272" customWidth="1"/>
    <col min="227" max="227" width="14" style="272" customWidth="1"/>
    <col min="228" max="237" width="0" style="272" hidden="1" customWidth="1"/>
    <col min="238" max="238" width="8.28515625" style="272" customWidth="1"/>
    <col min="239" max="239" width="8" style="272" customWidth="1"/>
    <col min="240" max="246" width="8.28515625" style="272" customWidth="1"/>
    <col min="247" max="247" width="8.7109375" style="272" customWidth="1"/>
    <col min="248" max="256" width="8.42578125" style="272" customWidth="1"/>
    <col min="257" max="16384" width="6.42578125" style="272"/>
  </cols>
  <sheetData>
    <row r="1" spans="1:31" s="271" customFormat="1" ht="16.350000000000001" customHeight="1">
      <c r="A1" s="18" t="s">
        <v>2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</row>
    <row r="2" spans="1:31" s="271" customFormat="1" ht="3.75" customHeight="1">
      <c r="A2" s="391" t="s">
        <v>464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</row>
    <row r="3" spans="1:31" s="271" customFormat="1" ht="16.350000000000001" customHeight="1">
      <c r="A3" s="572" t="s">
        <v>229</v>
      </c>
      <c r="B3" s="573"/>
      <c r="C3" s="206" t="s">
        <v>140</v>
      </c>
      <c r="D3" s="206" t="s">
        <v>141</v>
      </c>
      <c r="E3" s="206" t="s">
        <v>142</v>
      </c>
      <c r="F3" s="206" t="s">
        <v>143</v>
      </c>
      <c r="G3" s="206" t="s">
        <v>144</v>
      </c>
      <c r="H3" s="206" t="s">
        <v>145</v>
      </c>
      <c r="I3" s="207" t="s">
        <v>146</v>
      </c>
      <c r="J3" s="207" t="s">
        <v>147</v>
      </c>
      <c r="K3" s="207" t="s">
        <v>148</v>
      </c>
      <c r="L3" s="207" t="s">
        <v>149</v>
      </c>
      <c r="M3" s="176" t="s">
        <v>150</v>
      </c>
      <c r="N3" s="176" t="s">
        <v>151</v>
      </c>
      <c r="O3" s="176" t="s">
        <v>152</v>
      </c>
      <c r="P3" s="176" t="s">
        <v>153</v>
      </c>
      <c r="Q3" s="176" t="s">
        <v>154</v>
      </c>
      <c r="R3" s="176" t="s">
        <v>155</v>
      </c>
      <c r="S3" s="176" t="s">
        <v>212</v>
      </c>
      <c r="T3" s="176" t="s">
        <v>213</v>
      </c>
      <c r="U3" s="176" t="s">
        <v>214</v>
      </c>
      <c r="V3" s="176" t="s">
        <v>215</v>
      </c>
      <c r="W3" s="176" t="s">
        <v>216</v>
      </c>
      <c r="X3" s="176" t="s">
        <v>217</v>
      </c>
      <c r="Y3" s="176" t="s">
        <v>218</v>
      </c>
      <c r="Z3" s="176" t="s">
        <v>219</v>
      </c>
      <c r="AA3" s="176" t="s">
        <v>220</v>
      </c>
      <c r="AB3" s="176" t="s">
        <v>221</v>
      </c>
      <c r="AC3" s="176" t="s">
        <v>81</v>
      </c>
      <c r="AD3" s="176" t="s">
        <v>82</v>
      </c>
      <c r="AE3" s="176" t="s">
        <v>83</v>
      </c>
    </row>
    <row r="4" spans="1:31" s="271" customFormat="1" ht="11.1" customHeight="1">
      <c r="A4" s="574" t="s">
        <v>273</v>
      </c>
      <c r="B4" s="575"/>
      <c r="C4" s="208">
        <v>-6.971694178261501</v>
      </c>
      <c r="D4" s="208">
        <v>-13.353896057537673</v>
      </c>
      <c r="E4" s="208">
        <v>0.38176526074091832</v>
      </c>
      <c r="F4" s="208">
        <v>18.416341573015771</v>
      </c>
      <c r="G4" s="208">
        <v>11.072046433897032</v>
      </c>
      <c r="H4" s="208">
        <v>4.8622155124699251</v>
      </c>
      <c r="I4" s="208">
        <v>7.8643701663678067</v>
      </c>
      <c r="J4" s="208">
        <v>-5.7514433289158067</v>
      </c>
      <c r="K4" s="208">
        <v>9.2631146946798637</v>
      </c>
      <c r="L4" s="208">
        <v>-72.011514712502063</v>
      </c>
      <c r="M4" s="380">
        <v>0.72956418431764369</v>
      </c>
      <c r="N4" s="380">
        <v>5.6916222114690163</v>
      </c>
      <c r="O4" s="380">
        <v>1.9655535511632349</v>
      </c>
      <c r="P4" s="380">
        <v>0.66791999050153095</v>
      </c>
      <c r="Q4" s="380">
        <v>7.4147816988999748</v>
      </c>
      <c r="R4" s="380">
        <v>7.99443763069001</v>
      </c>
      <c r="S4" s="380">
        <v>2.9637704071528992</v>
      </c>
      <c r="T4" s="380">
        <v>8.4774645713630914</v>
      </c>
      <c r="U4" s="380">
        <v>2.5759227152390318</v>
      </c>
      <c r="V4" s="380">
        <v>4.0516825300480175</v>
      </c>
      <c r="W4" s="380">
        <v>5.5053839367711577</v>
      </c>
      <c r="X4" s="380">
        <v>6.0185287188284864</v>
      </c>
      <c r="Y4" s="380">
        <v>2.0104081311833388</v>
      </c>
      <c r="Z4" s="380">
        <v>1.8793047288227172</v>
      </c>
      <c r="AA4" s="380">
        <v>3.8955726316696859</v>
      </c>
      <c r="AB4" s="380">
        <v>2.0882985682994626</v>
      </c>
      <c r="AC4" s="380">
        <v>2.8941521942159598</v>
      </c>
      <c r="AD4" s="380">
        <v>7.8059041276295149</v>
      </c>
      <c r="AE4" s="380">
        <v>3.1700150174727382</v>
      </c>
    </row>
    <row r="5" spans="1:31" s="271" customFormat="1" ht="10.35" customHeight="1">
      <c r="A5" s="215" t="s">
        <v>262</v>
      </c>
      <c r="B5" s="216"/>
      <c r="C5" s="217">
        <v>-7.5394710357614914</v>
      </c>
      <c r="D5" s="217">
        <v>-16.202401087014529</v>
      </c>
      <c r="E5" s="217">
        <v>1.2263156094303618</v>
      </c>
      <c r="F5" s="217">
        <v>20.424076155458092</v>
      </c>
      <c r="G5" s="217">
        <v>11.206893763807745</v>
      </c>
      <c r="H5" s="217">
        <v>5.5021423764843647</v>
      </c>
      <c r="I5" s="217">
        <v>8.1404666720226615</v>
      </c>
      <c r="J5" s="217">
        <v>-6.6565193601566541</v>
      </c>
      <c r="K5" s="217">
        <v>9.5536864052130568</v>
      </c>
      <c r="L5" s="217">
        <v>-80.228635522544081</v>
      </c>
      <c r="M5" s="381">
        <v>-0.34365575627555156</v>
      </c>
      <c r="N5" s="381">
        <v>6.4614686352451267</v>
      </c>
      <c r="O5" s="381">
        <v>1.3193417843274879</v>
      </c>
      <c r="P5" s="381">
        <v>-0.42732886007070814</v>
      </c>
      <c r="Q5" s="381">
        <v>7.2434447222642584</v>
      </c>
      <c r="R5" s="381">
        <v>7.9119315718663596</v>
      </c>
      <c r="S5" s="381">
        <v>1.3424675978920719</v>
      </c>
      <c r="T5" s="381">
        <v>9.1439159354224095</v>
      </c>
      <c r="U5" s="381">
        <v>0.8137864048206378</v>
      </c>
      <c r="V5" s="381">
        <v>3.907308135577936</v>
      </c>
      <c r="W5" s="381">
        <v>4.5816504290124183</v>
      </c>
      <c r="X5" s="381">
        <v>6.2957251744529152</v>
      </c>
      <c r="Y5" s="381">
        <v>1.0905062593654868</v>
      </c>
      <c r="Z5" s="381">
        <v>0.86049364456368682</v>
      </c>
      <c r="AA5" s="381">
        <v>3.0501899681822708</v>
      </c>
      <c r="AB5" s="381">
        <v>0.82895211063085394</v>
      </c>
      <c r="AC5" s="381">
        <v>2.965122359289496</v>
      </c>
      <c r="AD5" s="381">
        <v>9.282301172060059</v>
      </c>
      <c r="AE5" s="381">
        <v>2.6045374440076818</v>
      </c>
    </row>
    <row r="6" spans="1:31" s="271" customFormat="1" ht="9" customHeight="1">
      <c r="A6" s="152"/>
      <c r="B6" s="183" t="s">
        <v>397</v>
      </c>
      <c r="C6" s="210">
        <v>-5.428226779252121</v>
      </c>
      <c r="D6" s="210">
        <v>23.214285714285698</v>
      </c>
      <c r="E6" s="210">
        <v>30.331262939958602</v>
      </c>
      <c r="F6" s="210">
        <v>16.737887212073076</v>
      </c>
      <c r="G6" s="210">
        <v>-22.603471385900832</v>
      </c>
      <c r="H6" s="210">
        <v>21.378085660032365</v>
      </c>
      <c r="I6" s="210">
        <v>125.74998189324256</v>
      </c>
      <c r="J6" s="210">
        <v>-16.724741973672806</v>
      </c>
      <c r="K6" s="210">
        <v>58.002998499594426</v>
      </c>
      <c r="L6" s="210">
        <v>-25.523928309726617</v>
      </c>
      <c r="M6" s="382">
        <v>7.0091869466229806</v>
      </c>
      <c r="N6" s="382">
        <v>4.2882088239612148</v>
      </c>
      <c r="O6" s="382">
        <v>0.81588454155265833</v>
      </c>
      <c r="P6" s="382">
        <v>-13.482835767899514</v>
      </c>
      <c r="Q6" s="382">
        <v>33.793820703383346</v>
      </c>
      <c r="R6" s="382">
        <v>-4.2481608904216479</v>
      </c>
      <c r="S6" s="382">
        <v>3.0309288067810636</v>
      </c>
      <c r="T6" s="382">
        <v>14.736212230804924</v>
      </c>
      <c r="U6" s="382">
        <v>7.0571913795274277</v>
      </c>
      <c r="V6" s="382">
        <v>-5.3418449597307234</v>
      </c>
      <c r="W6" s="382">
        <v>-7.3079591042674146</v>
      </c>
      <c r="X6" s="382">
        <v>15.960343795793474</v>
      </c>
      <c r="Y6" s="382">
        <v>0.11310858470856555</v>
      </c>
      <c r="Z6" s="382">
        <v>-4.9284951946980016</v>
      </c>
      <c r="AA6" s="382">
        <v>8.7963351659314792</v>
      </c>
      <c r="AB6" s="382">
        <v>0.45505215583878655</v>
      </c>
      <c r="AC6" s="382">
        <v>-1.5858697668531541</v>
      </c>
      <c r="AD6" s="382">
        <v>14.198342880517867</v>
      </c>
      <c r="AE6" s="382">
        <v>-10.387989905029361</v>
      </c>
    </row>
    <row r="7" spans="1:31" s="271" customFormat="1" ht="9" customHeight="1">
      <c r="A7" s="211"/>
      <c r="B7" s="183" t="s">
        <v>398</v>
      </c>
      <c r="C7" s="210">
        <v>-10</v>
      </c>
      <c r="D7" s="210">
        <v>-22.222222222222232</v>
      </c>
      <c r="E7" s="210">
        <v>0</v>
      </c>
      <c r="F7" s="210">
        <v>233.57142857142858</v>
      </c>
      <c r="G7" s="210">
        <v>-48.222698072805137</v>
      </c>
      <c r="H7" s="210">
        <v>-64.350703060380482</v>
      </c>
      <c r="I7" s="210">
        <v>48.723897911832935</v>
      </c>
      <c r="J7" s="210">
        <v>554.23712948517948</v>
      </c>
      <c r="K7" s="210">
        <v>-88.995555195223261</v>
      </c>
      <c r="L7" s="210">
        <v>162859.12080244601</v>
      </c>
      <c r="M7" s="382">
        <v>-17.842331409928679</v>
      </c>
      <c r="N7" s="382">
        <v>22.583462030987977</v>
      </c>
      <c r="O7" s="382">
        <v>-4.678021202433591</v>
      </c>
      <c r="P7" s="382">
        <v>-4.3167997216142506</v>
      </c>
      <c r="Q7" s="382">
        <v>9.3592273939687729</v>
      </c>
      <c r="R7" s="382">
        <v>-1.2549307073407179</v>
      </c>
      <c r="S7" s="382">
        <v>4.1436946752887227</v>
      </c>
      <c r="T7" s="382">
        <v>6.3277964364740313</v>
      </c>
      <c r="U7" s="382">
        <v>4.6759328628712904</v>
      </c>
      <c r="V7" s="382">
        <v>1.0669681997106606</v>
      </c>
      <c r="W7" s="382">
        <v>7.0160220105861759</v>
      </c>
      <c r="X7" s="382">
        <v>9.8775181430438952</v>
      </c>
      <c r="Y7" s="382">
        <v>2.121180695595104</v>
      </c>
      <c r="Z7" s="382">
        <v>2.9621229272576377</v>
      </c>
      <c r="AA7" s="382">
        <v>0.23257934587872509</v>
      </c>
      <c r="AB7" s="382">
        <v>-4.2768020456037785</v>
      </c>
      <c r="AC7" s="382">
        <v>5.805078082722126</v>
      </c>
      <c r="AD7" s="382">
        <v>7.4375883066382986</v>
      </c>
      <c r="AE7" s="382">
        <v>3.8882631420281921</v>
      </c>
    </row>
    <row r="8" spans="1:31" s="271" customFormat="1" ht="9" customHeight="1">
      <c r="A8" s="212"/>
      <c r="B8" s="183" t="s">
        <v>264</v>
      </c>
      <c r="C8" s="210">
        <v>-50</v>
      </c>
      <c r="D8" s="210">
        <v>32</v>
      </c>
      <c r="E8" s="210">
        <v>15.151515151515138</v>
      </c>
      <c r="F8" s="210">
        <v>16.070175438596479</v>
      </c>
      <c r="G8" s="210">
        <v>-10.179866989117281</v>
      </c>
      <c r="H8" s="210">
        <v>-30.828775767774495</v>
      </c>
      <c r="I8" s="210">
        <v>30.79917285001823</v>
      </c>
      <c r="J8" s="210">
        <v>8.6762577885241434</v>
      </c>
      <c r="K8" s="210">
        <v>20.617573672607726</v>
      </c>
      <c r="L8" s="210">
        <v>-18.766204581818958</v>
      </c>
      <c r="M8" s="382">
        <v>2.3899400295467776</v>
      </c>
      <c r="N8" s="382">
        <v>8.4282266255909519</v>
      </c>
      <c r="O8" s="382">
        <v>-4.5227609609535202</v>
      </c>
      <c r="P8" s="382">
        <v>13.93070140997712</v>
      </c>
      <c r="Q8" s="382">
        <v>-18.507938846567029</v>
      </c>
      <c r="R8" s="382">
        <v>44.864024947487756</v>
      </c>
      <c r="S8" s="382">
        <v>-17.288643176142017</v>
      </c>
      <c r="T8" s="382">
        <v>21.145782307391926</v>
      </c>
      <c r="U8" s="382">
        <v>-6.7178000591175842</v>
      </c>
      <c r="V8" s="382">
        <v>9.323551224720994</v>
      </c>
      <c r="W8" s="382">
        <v>18.74916130639992</v>
      </c>
      <c r="X8" s="382">
        <v>-3.4333120214971258</v>
      </c>
      <c r="Y8" s="382">
        <v>-19.781069527890025</v>
      </c>
      <c r="Z8" s="382">
        <v>-13.543795159373307</v>
      </c>
      <c r="AA8" s="382">
        <v>16.211613563010509</v>
      </c>
      <c r="AB8" s="382">
        <v>8.8876086097409601</v>
      </c>
      <c r="AC8" s="382">
        <v>20.055624062799392</v>
      </c>
      <c r="AD8" s="382">
        <v>9.5726999592280926</v>
      </c>
      <c r="AE8" s="382">
        <v>-1.7127100489193636</v>
      </c>
    </row>
    <row r="9" spans="1:31" s="271" customFormat="1" ht="9" customHeight="1">
      <c r="A9" s="212"/>
      <c r="B9" s="183" t="s">
        <v>399</v>
      </c>
      <c r="C9" s="210" t="s">
        <v>441</v>
      </c>
      <c r="D9" s="210">
        <v>-100</v>
      </c>
      <c r="E9" s="210" t="s">
        <v>441</v>
      </c>
      <c r="F9" s="210">
        <v>407</v>
      </c>
      <c r="G9" s="210">
        <v>-59.368836291913219</v>
      </c>
      <c r="H9" s="210">
        <v>-18.446601941747552</v>
      </c>
      <c r="I9" s="210">
        <v>-6.5476190476190581</v>
      </c>
      <c r="J9" s="210">
        <v>2139.8726114649685</v>
      </c>
      <c r="K9" s="210">
        <v>-98.42461468463857</v>
      </c>
      <c r="L9" s="210">
        <v>56744.584837545131</v>
      </c>
      <c r="M9" s="382">
        <v>7.8267427180448434</v>
      </c>
      <c r="N9" s="382">
        <v>0.86518968936675211</v>
      </c>
      <c r="O9" s="382">
        <v>3.5482085484783932</v>
      </c>
      <c r="P9" s="382">
        <v>1.5463804075307008</v>
      </c>
      <c r="Q9" s="382">
        <v>7.0084511296877761</v>
      </c>
      <c r="R9" s="382">
        <v>26.174973878348908</v>
      </c>
      <c r="S9" s="382">
        <v>9.2899399354351875</v>
      </c>
      <c r="T9" s="382">
        <v>15.582472359580123</v>
      </c>
      <c r="U9" s="382">
        <v>-4.4138561317340947</v>
      </c>
      <c r="V9" s="382">
        <v>6.7954595559873709</v>
      </c>
      <c r="W9" s="382">
        <v>17.03320391795733</v>
      </c>
      <c r="X9" s="382">
        <v>-4.16216753372548</v>
      </c>
      <c r="Y9" s="382">
        <v>1.9059699247167439</v>
      </c>
      <c r="Z9" s="382">
        <v>-1.4205528114504151</v>
      </c>
      <c r="AA9" s="382">
        <v>-1.8315865109681639</v>
      </c>
      <c r="AB9" s="382">
        <v>2.0288788876106301</v>
      </c>
      <c r="AC9" s="382">
        <v>1.2666266686884642</v>
      </c>
      <c r="AD9" s="382">
        <v>-5.8646609318865011</v>
      </c>
      <c r="AE9" s="382">
        <v>1.6991979649843003</v>
      </c>
    </row>
    <row r="10" spans="1:31" s="271" customFormat="1" ht="9" customHeight="1">
      <c r="A10" s="212"/>
      <c r="B10" s="183" t="s">
        <v>224</v>
      </c>
      <c r="C10" s="210">
        <v>-9.0909090909090935</v>
      </c>
      <c r="D10" s="210">
        <v>-5</v>
      </c>
      <c r="E10" s="210">
        <v>-26.315789473684216</v>
      </c>
      <c r="F10" s="210">
        <v>69.928571428571445</v>
      </c>
      <c r="G10" s="210">
        <v>-74.779319041614116</v>
      </c>
      <c r="H10" s="210">
        <v>247.83333333333334</v>
      </c>
      <c r="I10" s="210">
        <v>-65.596550071873509</v>
      </c>
      <c r="J10" s="210">
        <v>-26.683844011142057</v>
      </c>
      <c r="K10" s="210">
        <v>-83.97636823008682</v>
      </c>
      <c r="L10" s="210">
        <v>286010.82276229991</v>
      </c>
      <c r="M10" s="382">
        <v>10.099673739238057</v>
      </c>
      <c r="N10" s="382">
        <v>-1.819437892050646</v>
      </c>
      <c r="O10" s="382">
        <v>5.7045243876073792</v>
      </c>
      <c r="P10" s="382">
        <v>-10.405281435880287</v>
      </c>
      <c r="Q10" s="382">
        <v>1.6393811875414999</v>
      </c>
      <c r="R10" s="382">
        <v>2.0547058225653947</v>
      </c>
      <c r="S10" s="382">
        <v>10.110927684038383</v>
      </c>
      <c r="T10" s="382">
        <v>9.6711278844947124</v>
      </c>
      <c r="U10" s="382">
        <v>3.4450605299454207</v>
      </c>
      <c r="V10" s="382">
        <v>0.75970402765983547</v>
      </c>
      <c r="W10" s="382">
        <v>-1.8306073279678592</v>
      </c>
      <c r="X10" s="382">
        <v>10.542508856610944</v>
      </c>
      <c r="Y10" s="382">
        <v>-2.0322326939474222</v>
      </c>
      <c r="Z10" s="382">
        <v>-10.046531413212135</v>
      </c>
      <c r="AA10" s="382">
        <v>17.188582409743237</v>
      </c>
      <c r="AB10" s="382">
        <v>-14.332326394529638</v>
      </c>
      <c r="AC10" s="382">
        <v>1.3970702652553957</v>
      </c>
      <c r="AD10" s="382">
        <v>1.3147912175790477</v>
      </c>
      <c r="AE10" s="382">
        <v>0.45777806608411353</v>
      </c>
    </row>
    <row r="11" spans="1:31" s="271" customFormat="1" ht="9" customHeight="1">
      <c r="A11" s="212"/>
      <c r="B11" s="183" t="s">
        <v>400</v>
      </c>
      <c r="C11" s="210">
        <v>49.572649572649595</v>
      </c>
      <c r="D11" s="210">
        <v>-11.428571428571432</v>
      </c>
      <c r="E11" s="210">
        <v>40</v>
      </c>
      <c r="F11" s="210">
        <v>40.829493087557609</v>
      </c>
      <c r="G11" s="210">
        <v>-11.986256544502627</v>
      </c>
      <c r="H11" s="210">
        <v>28.754136149012901</v>
      </c>
      <c r="I11" s="210">
        <v>15.500563079322017</v>
      </c>
      <c r="J11" s="210">
        <v>14.424533113327808</v>
      </c>
      <c r="K11" s="210">
        <v>15.738248800724364</v>
      </c>
      <c r="L11" s="210">
        <v>2609.6967419202128</v>
      </c>
      <c r="M11" s="382">
        <v>0.8649140900385266</v>
      </c>
      <c r="N11" s="382">
        <v>2.4042603857892475</v>
      </c>
      <c r="O11" s="382">
        <v>2.3779414749564465</v>
      </c>
      <c r="P11" s="382">
        <v>-0.23358567928413176</v>
      </c>
      <c r="Q11" s="382">
        <v>-0.58521858049087605</v>
      </c>
      <c r="R11" s="382">
        <v>0.60096190322704857</v>
      </c>
      <c r="S11" s="382">
        <v>1.6384405672598801</v>
      </c>
      <c r="T11" s="382">
        <v>1.5791621143627754</v>
      </c>
      <c r="U11" s="382">
        <v>4.9908109179240379</v>
      </c>
      <c r="V11" s="382">
        <v>2.0905722528515192</v>
      </c>
      <c r="W11" s="382">
        <v>2.5205071766515319</v>
      </c>
      <c r="X11" s="382">
        <v>4.6606922499919934</v>
      </c>
      <c r="Y11" s="382">
        <v>4.3368179979207389</v>
      </c>
      <c r="Z11" s="382">
        <v>-5.4630888490966196</v>
      </c>
      <c r="AA11" s="382">
        <v>3.2804090783280282</v>
      </c>
      <c r="AB11" s="382">
        <v>-2.7129356806857463</v>
      </c>
      <c r="AC11" s="382">
        <v>-2.2572387047720244</v>
      </c>
      <c r="AD11" s="382">
        <v>0.54259495488131471</v>
      </c>
      <c r="AE11" s="382">
        <v>3.9615745863435858</v>
      </c>
    </row>
    <row r="12" spans="1:31" s="271" customFormat="1" ht="9" customHeight="1">
      <c r="A12" s="212"/>
      <c r="B12" s="183" t="s">
        <v>401</v>
      </c>
      <c r="C12" s="210">
        <v>27.27272727272727</v>
      </c>
      <c r="D12" s="210">
        <v>1.0204081632652962</v>
      </c>
      <c r="E12" s="210">
        <v>1.0101010101009944</v>
      </c>
      <c r="F12" s="210">
        <v>24.46</v>
      </c>
      <c r="G12" s="210">
        <v>-2.3742567893299094</v>
      </c>
      <c r="H12" s="210">
        <v>-5.9297971276902173</v>
      </c>
      <c r="I12" s="210">
        <v>34.168853893263339</v>
      </c>
      <c r="J12" s="210">
        <v>-11.523817286687754</v>
      </c>
      <c r="K12" s="210">
        <v>14.427194633949147</v>
      </c>
      <c r="L12" s="210">
        <v>1096.2893373829409</v>
      </c>
      <c r="M12" s="382">
        <v>8.1134138680114098</v>
      </c>
      <c r="N12" s="382">
        <v>-9.6976690886685368E-2</v>
      </c>
      <c r="O12" s="382">
        <v>3.8809930336177301</v>
      </c>
      <c r="P12" s="382">
        <v>2.6607504725693731</v>
      </c>
      <c r="Q12" s="382">
        <v>1.9851812971364069</v>
      </c>
      <c r="R12" s="382">
        <v>4.7260438166934593</v>
      </c>
      <c r="S12" s="382">
        <v>3.2174216472762307</v>
      </c>
      <c r="T12" s="382">
        <v>-2.2667001639119611</v>
      </c>
      <c r="U12" s="382">
        <v>4.1083268462822842</v>
      </c>
      <c r="V12" s="382">
        <v>7.5376292451574622</v>
      </c>
      <c r="W12" s="382">
        <v>-1.9545356468105846</v>
      </c>
      <c r="X12" s="382">
        <v>5.7944830505229916</v>
      </c>
      <c r="Y12" s="382">
        <v>1.5232990880791109</v>
      </c>
      <c r="Z12" s="382">
        <v>0.56926806716388612</v>
      </c>
      <c r="AA12" s="382">
        <v>-3.2691142994662581</v>
      </c>
      <c r="AB12" s="382">
        <v>0.85840895007720519</v>
      </c>
      <c r="AC12" s="382">
        <v>-4.4815596785286571</v>
      </c>
      <c r="AD12" s="382">
        <v>10.793741173772364</v>
      </c>
      <c r="AE12" s="382">
        <v>3.88297726214335</v>
      </c>
    </row>
    <row r="13" spans="1:31" s="271" customFormat="1" ht="9" customHeight="1">
      <c r="A13" s="212"/>
      <c r="B13" s="183" t="s">
        <v>402</v>
      </c>
      <c r="C13" s="210">
        <v>18.49034523112929</v>
      </c>
      <c r="D13" s="210">
        <v>-1.4814814814814725</v>
      </c>
      <c r="E13" s="210">
        <v>-9.724310776942346</v>
      </c>
      <c r="F13" s="210">
        <v>28.2365352581899</v>
      </c>
      <c r="G13" s="210">
        <v>13.81270729236126</v>
      </c>
      <c r="H13" s="210">
        <v>24.688136044587328</v>
      </c>
      <c r="I13" s="210">
        <v>-2.5995502655996039</v>
      </c>
      <c r="J13" s="210">
        <v>1.7910099019825987</v>
      </c>
      <c r="K13" s="210">
        <v>-5.8418578129724281</v>
      </c>
      <c r="L13" s="210">
        <v>-87.985523371961534</v>
      </c>
      <c r="M13" s="382">
        <v>-9.306688783162997</v>
      </c>
      <c r="N13" s="382">
        <v>-0.59444632111972373</v>
      </c>
      <c r="O13" s="382">
        <v>-1.0849507858453511</v>
      </c>
      <c r="P13" s="382">
        <v>35.411569043310706</v>
      </c>
      <c r="Q13" s="382">
        <v>10.4526102454771</v>
      </c>
      <c r="R13" s="382">
        <v>2.914185189413665</v>
      </c>
      <c r="S13" s="382">
        <v>0.97557045413345644</v>
      </c>
      <c r="T13" s="382">
        <v>-22.299722626199891</v>
      </c>
      <c r="U13" s="382">
        <v>-42.670242326599151</v>
      </c>
      <c r="V13" s="382">
        <v>-33.563758936983092</v>
      </c>
      <c r="W13" s="382">
        <v>91.423209197551529</v>
      </c>
      <c r="X13" s="382">
        <v>-9.0887020388899842</v>
      </c>
      <c r="Y13" s="382">
        <v>-25.534153556693095</v>
      </c>
      <c r="Z13" s="382">
        <v>11.919649909932527</v>
      </c>
      <c r="AA13" s="382">
        <v>-24.13587746524567</v>
      </c>
      <c r="AB13" s="382">
        <v>-35.343488880194194</v>
      </c>
      <c r="AC13" s="382">
        <v>-48.557452539245062</v>
      </c>
      <c r="AD13" s="382">
        <v>89.404587329081721</v>
      </c>
      <c r="AE13" s="382">
        <v>31.933939740491923</v>
      </c>
    </row>
    <row r="14" spans="1:31" s="271" customFormat="1" ht="9" customHeight="1">
      <c r="A14" s="212"/>
      <c r="B14" s="183" t="s">
        <v>403</v>
      </c>
      <c r="C14" s="210">
        <v>130</v>
      </c>
      <c r="D14" s="210">
        <v>152.17391304347828</v>
      </c>
      <c r="E14" s="210">
        <v>-43.103448275862064</v>
      </c>
      <c r="F14" s="210">
        <v>17.060606060606066</v>
      </c>
      <c r="G14" s="210">
        <v>36.758995599275202</v>
      </c>
      <c r="H14" s="210">
        <v>83.948514101836054</v>
      </c>
      <c r="I14" s="210">
        <v>5.6698909240584294</v>
      </c>
      <c r="J14" s="210">
        <v>-38.461213360599857</v>
      </c>
      <c r="K14" s="210">
        <v>37.592227638684442</v>
      </c>
      <c r="L14" s="210">
        <v>19478.197114488874</v>
      </c>
      <c r="M14" s="382">
        <v>3.5148811824478043</v>
      </c>
      <c r="N14" s="382">
        <v>13.997386908638166</v>
      </c>
      <c r="O14" s="382">
        <v>5.2753448024180472</v>
      </c>
      <c r="P14" s="382">
        <v>-21.641261724358994</v>
      </c>
      <c r="Q14" s="382">
        <v>-9.2376825012808865</v>
      </c>
      <c r="R14" s="382">
        <v>14.939042976827</v>
      </c>
      <c r="S14" s="382">
        <v>13.563532513365907</v>
      </c>
      <c r="T14" s="382">
        <v>14.186281465809225</v>
      </c>
      <c r="U14" s="382">
        <v>5.7576429672182794</v>
      </c>
      <c r="V14" s="382">
        <v>-0.82503801262078236</v>
      </c>
      <c r="W14" s="382">
        <v>0.30416215306952044</v>
      </c>
      <c r="X14" s="382">
        <v>4.8956322458362678</v>
      </c>
      <c r="Y14" s="382">
        <v>6.0119769450736049</v>
      </c>
      <c r="Z14" s="382">
        <v>3.615067358871249</v>
      </c>
      <c r="AA14" s="382">
        <v>-10.340654142436989</v>
      </c>
      <c r="AB14" s="382">
        <v>-3.7146104037250272</v>
      </c>
      <c r="AC14" s="382">
        <v>-4.4028224637853057</v>
      </c>
      <c r="AD14" s="382">
        <v>9.9638205185792028</v>
      </c>
      <c r="AE14" s="382">
        <v>5.7387046386975005</v>
      </c>
    </row>
    <row r="15" spans="1:31" s="271" customFormat="1" ht="9" customHeight="1">
      <c r="A15" s="212"/>
      <c r="B15" s="183" t="s">
        <v>404</v>
      </c>
      <c r="C15" s="210">
        <v>15.616438356164398</v>
      </c>
      <c r="D15" s="210">
        <v>-2.369668246445511</v>
      </c>
      <c r="E15" s="210">
        <v>-7.0388349514563187</v>
      </c>
      <c r="F15" s="210">
        <v>14.885117493472588</v>
      </c>
      <c r="G15" s="210">
        <v>3.1612917888229841</v>
      </c>
      <c r="H15" s="210">
        <v>32.765685583362703</v>
      </c>
      <c r="I15" s="210">
        <v>48.145689869741972</v>
      </c>
      <c r="J15" s="210">
        <v>3.2559195788530282</v>
      </c>
      <c r="K15" s="210">
        <v>9.3726162891825773</v>
      </c>
      <c r="L15" s="210">
        <v>126.23156340895605</v>
      </c>
      <c r="M15" s="382">
        <v>-2.8851780462674781</v>
      </c>
      <c r="N15" s="382">
        <v>3.8597407605490908</v>
      </c>
      <c r="O15" s="382">
        <v>2.1576769833526521</v>
      </c>
      <c r="P15" s="382">
        <v>6.7843989044757746</v>
      </c>
      <c r="Q15" s="382">
        <v>2.1886980166984094</v>
      </c>
      <c r="R15" s="382">
        <v>7.1785137967128598</v>
      </c>
      <c r="S15" s="382">
        <v>2.6505959246908573</v>
      </c>
      <c r="T15" s="382">
        <v>0.21283657715636117</v>
      </c>
      <c r="U15" s="382">
        <v>6.5796988134148249</v>
      </c>
      <c r="V15" s="382">
        <v>6.3553868761533572</v>
      </c>
      <c r="W15" s="382">
        <v>-10.041625576839763</v>
      </c>
      <c r="X15" s="382">
        <v>0.25958864811248539</v>
      </c>
      <c r="Y15" s="382">
        <v>6.5362333212323209</v>
      </c>
      <c r="Z15" s="382">
        <v>0.36335449936455433</v>
      </c>
      <c r="AA15" s="382">
        <v>2.8521908992069855</v>
      </c>
      <c r="AB15" s="382">
        <v>-3.9902023411929721</v>
      </c>
      <c r="AC15" s="382">
        <v>1.3119656860210549</v>
      </c>
      <c r="AD15" s="382">
        <v>3.6183667669775765</v>
      </c>
      <c r="AE15" s="382">
        <v>3.7324062852057915</v>
      </c>
    </row>
    <row r="16" spans="1:31" s="271" customFormat="1" ht="9" customHeight="1">
      <c r="A16" s="212"/>
      <c r="B16" s="183" t="s">
        <v>405</v>
      </c>
      <c r="C16" s="210">
        <v>64.590163934426229</v>
      </c>
      <c r="D16" s="210">
        <v>5.1792828685258918</v>
      </c>
      <c r="E16" s="210">
        <v>-5.4924242424242431</v>
      </c>
      <c r="F16" s="210">
        <v>-2.6132264529058147</v>
      </c>
      <c r="G16" s="210">
        <v>62.155321425631762</v>
      </c>
      <c r="H16" s="210">
        <v>-18.240885267953455</v>
      </c>
      <c r="I16" s="210">
        <v>20.176323591041022</v>
      </c>
      <c r="J16" s="210">
        <v>26.781844600005165</v>
      </c>
      <c r="K16" s="210">
        <v>17.46123002591089</v>
      </c>
      <c r="L16" s="210">
        <v>-13.286738128651454</v>
      </c>
      <c r="M16" s="382">
        <v>9.4042609293088386</v>
      </c>
      <c r="N16" s="382">
        <v>11.560402770649691</v>
      </c>
      <c r="O16" s="382">
        <v>2.7380175969742515</v>
      </c>
      <c r="P16" s="382">
        <v>9.3533248453437459</v>
      </c>
      <c r="Q16" s="382">
        <v>-6.0881702852234376</v>
      </c>
      <c r="R16" s="382">
        <v>17.010084813220683</v>
      </c>
      <c r="S16" s="382">
        <v>9.7071160268122689</v>
      </c>
      <c r="T16" s="382">
        <v>0.33076127172555481</v>
      </c>
      <c r="U16" s="382">
        <v>-6.3652601147772492</v>
      </c>
      <c r="V16" s="382">
        <v>20.111415939914256</v>
      </c>
      <c r="W16" s="382">
        <v>0.65580954903725619</v>
      </c>
      <c r="X16" s="382">
        <v>7.0373873143556365</v>
      </c>
      <c r="Y16" s="382">
        <v>-0.51947977394438682</v>
      </c>
      <c r="Z16" s="382">
        <v>1.3777791030382236</v>
      </c>
      <c r="AA16" s="382">
        <v>0.25836732617081637</v>
      </c>
      <c r="AB16" s="382">
        <v>-7.1769842884501722</v>
      </c>
      <c r="AC16" s="382">
        <v>2.3811714209006851</v>
      </c>
      <c r="AD16" s="382">
        <v>-10.863438212450472</v>
      </c>
      <c r="AE16" s="382">
        <v>-1.9216667001628274</v>
      </c>
    </row>
    <row r="17" spans="1:31" s="271" customFormat="1" ht="9" customHeight="1">
      <c r="A17" s="212"/>
      <c r="B17" s="183" t="s">
        <v>406</v>
      </c>
      <c r="C17" s="210">
        <v>-12.935323383084574</v>
      </c>
      <c r="D17" s="210">
        <v>17.97142857142855</v>
      </c>
      <c r="E17" s="210">
        <v>1.7195446839428419</v>
      </c>
      <c r="F17" s="210">
        <v>172.22380952380956</v>
      </c>
      <c r="G17" s="210">
        <v>-5.8827645319852406</v>
      </c>
      <c r="H17" s="210">
        <v>-37.941416995018962</v>
      </c>
      <c r="I17" s="210">
        <v>124.66007786762501</v>
      </c>
      <c r="J17" s="210">
        <v>-54.389016716879524</v>
      </c>
      <c r="K17" s="210">
        <v>19.325465021198696</v>
      </c>
      <c r="L17" s="210">
        <v>-71.52762901232569</v>
      </c>
      <c r="M17" s="382">
        <v>-9.6372613419803415</v>
      </c>
      <c r="N17" s="382">
        <v>-0.32341462236121776</v>
      </c>
      <c r="O17" s="382">
        <v>1.4759907550444984</v>
      </c>
      <c r="P17" s="382">
        <v>-15.433919660863038</v>
      </c>
      <c r="Q17" s="382">
        <v>11.349300939236407</v>
      </c>
      <c r="R17" s="382">
        <v>3.1728213892338264</v>
      </c>
      <c r="S17" s="382">
        <v>-1.5422012239474148</v>
      </c>
      <c r="T17" s="382">
        <v>1.6524543533242175</v>
      </c>
      <c r="U17" s="382">
        <v>14.6050016733682</v>
      </c>
      <c r="V17" s="382">
        <v>-9.8768960006438089</v>
      </c>
      <c r="W17" s="382">
        <v>-0.74638047799718832</v>
      </c>
      <c r="X17" s="382">
        <v>9.8769551713505876</v>
      </c>
      <c r="Y17" s="382">
        <v>9.4619538953004891</v>
      </c>
      <c r="Z17" s="382">
        <v>-1.7582839808420903</v>
      </c>
      <c r="AA17" s="382">
        <v>1.9170089957116554</v>
      </c>
      <c r="AB17" s="382">
        <v>-9.8871450450626064</v>
      </c>
      <c r="AC17" s="382">
        <v>-1.282175348357173</v>
      </c>
      <c r="AD17" s="382">
        <v>14.329206715709919</v>
      </c>
      <c r="AE17" s="382">
        <v>-1.6422151490189885</v>
      </c>
    </row>
    <row r="18" spans="1:31" s="271" customFormat="1" ht="9" customHeight="1">
      <c r="A18" s="212"/>
      <c r="B18" s="183" t="s">
        <v>407</v>
      </c>
      <c r="C18" s="210">
        <v>21.917808219178102</v>
      </c>
      <c r="D18" s="210">
        <v>-13.483146067415742</v>
      </c>
      <c r="E18" s="210">
        <v>14.285714285714302</v>
      </c>
      <c r="F18" s="210">
        <v>61.204545454545432</v>
      </c>
      <c r="G18" s="210">
        <v>0.86705202312138407</v>
      </c>
      <c r="H18" s="210">
        <v>-5.2344678174575439</v>
      </c>
      <c r="I18" s="210">
        <v>11.533923303834804</v>
      </c>
      <c r="J18" s="210">
        <v>84.912483469981481</v>
      </c>
      <c r="K18" s="210">
        <v>-33.993364266904834</v>
      </c>
      <c r="L18" s="210">
        <v>248.35934556058982</v>
      </c>
      <c r="M18" s="382">
        <v>19.135104491979661</v>
      </c>
      <c r="N18" s="382">
        <v>6.2844002190663106</v>
      </c>
      <c r="O18" s="382">
        <v>7.7003906811357714</v>
      </c>
      <c r="P18" s="382">
        <v>6.4940763724229411</v>
      </c>
      <c r="Q18" s="382">
        <v>9.0669400881774109</v>
      </c>
      <c r="R18" s="382">
        <v>13.036736370928326</v>
      </c>
      <c r="S18" s="382">
        <v>2.5889397484086363</v>
      </c>
      <c r="T18" s="382">
        <v>13.615004153104305</v>
      </c>
      <c r="U18" s="382">
        <v>18.353079925252036</v>
      </c>
      <c r="V18" s="382">
        <v>6.0905379351648303</v>
      </c>
      <c r="W18" s="382">
        <v>5.8593857785824044</v>
      </c>
      <c r="X18" s="382">
        <v>21.882069323387988</v>
      </c>
      <c r="Y18" s="382">
        <v>21.381839001959491</v>
      </c>
      <c r="Z18" s="382">
        <v>15.447645544078913</v>
      </c>
      <c r="AA18" s="382">
        <v>17.914064389461458</v>
      </c>
      <c r="AB18" s="382">
        <v>15.38926100957676</v>
      </c>
      <c r="AC18" s="382">
        <v>-6.5141673954122297</v>
      </c>
      <c r="AD18" s="382">
        <v>8.2591443902524375E-2</v>
      </c>
      <c r="AE18" s="382">
        <v>-1.1371320867007317</v>
      </c>
    </row>
    <row r="19" spans="1:31" s="271" customFormat="1" ht="9" customHeight="1">
      <c r="A19" s="212"/>
      <c r="B19" s="183" t="s">
        <v>429</v>
      </c>
      <c r="C19" s="210">
        <v>13.580246913580263</v>
      </c>
      <c r="D19" s="210">
        <v>-15.217391304347828</v>
      </c>
      <c r="E19" s="210">
        <v>60.256410256410263</v>
      </c>
      <c r="F19" s="210">
        <v>42.895999999999979</v>
      </c>
      <c r="G19" s="210">
        <v>-25.937744933378106</v>
      </c>
      <c r="H19" s="210">
        <v>8.950034016176577</v>
      </c>
      <c r="I19" s="210">
        <v>13.43231804620828</v>
      </c>
      <c r="J19" s="210">
        <v>80.912441127897722</v>
      </c>
      <c r="K19" s="210">
        <v>-39.716797045038646</v>
      </c>
      <c r="L19" s="210">
        <v>-100</v>
      </c>
      <c r="M19" s="382" t="s">
        <v>332</v>
      </c>
      <c r="N19" s="382" t="s">
        <v>332</v>
      </c>
      <c r="O19" s="382">
        <v>-12.777156987511773</v>
      </c>
      <c r="P19" s="382">
        <v>95.864557971809617</v>
      </c>
      <c r="Q19" s="382">
        <v>88.78518143925001</v>
      </c>
      <c r="R19" s="382">
        <v>-16.277423521150126</v>
      </c>
      <c r="S19" s="382">
        <v>-23.16695827554738</v>
      </c>
      <c r="T19" s="382">
        <v>40.12482439758567</v>
      </c>
      <c r="U19" s="382">
        <v>-11.83703905066784</v>
      </c>
      <c r="V19" s="382">
        <v>-16.729852532716571</v>
      </c>
      <c r="W19" s="382">
        <v>8.9932569812956498</v>
      </c>
      <c r="X19" s="382">
        <v>4.1663289012956684</v>
      </c>
      <c r="Y19" s="382">
        <v>-23.392201463682703</v>
      </c>
      <c r="Z19" s="382">
        <v>-3.9340161647303362</v>
      </c>
      <c r="AA19" s="382">
        <v>6.7137503293081879</v>
      </c>
      <c r="AB19" s="382">
        <v>-8.558105000356397</v>
      </c>
      <c r="AC19" s="382">
        <v>-28.01519173428283</v>
      </c>
      <c r="AD19" s="382">
        <v>8.3370118065774879</v>
      </c>
      <c r="AE19" s="382">
        <v>-11.129180933820971</v>
      </c>
    </row>
    <row r="20" spans="1:31" s="271" customFormat="1" ht="9" customHeight="1">
      <c r="A20" s="212"/>
      <c r="B20" s="183" t="s">
        <v>408</v>
      </c>
      <c r="C20" s="210">
        <v>700</v>
      </c>
      <c r="D20" s="210">
        <v>-75</v>
      </c>
      <c r="E20" s="210">
        <v>0</v>
      </c>
      <c r="F20" s="210">
        <v>-8.5000000000000071</v>
      </c>
      <c r="G20" s="210">
        <v>33.879781420765021</v>
      </c>
      <c r="H20" s="210">
        <v>219.59183673469389</v>
      </c>
      <c r="I20" s="210">
        <v>-29.374201787994881</v>
      </c>
      <c r="J20" s="210">
        <v>-50.180831826401452</v>
      </c>
      <c r="K20" s="210">
        <v>51.70199637023596</v>
      </c>
      <c r="L20" s="210">
        <v>230.43099591088651</v>
      </c>
      <c r="M20" s="382">
        <v>45.505867025553485</v>
      </c>
      <c r="N20" s="382">
        <v>24.416212611861333</v>
      </c>
      <c r="O20" s="382">
        <v>134.57235826425671</v>
      </c>
      <c r="P20" s="382">
        <v>112.78958506308095</v>
      </c>
      <c r="Q20" s="382">
        <v>61.648186281332464</v>
      </c>
      <c r="R20" s="382">
        <v>66.611363473458354</v>
      </c>
      <c r="S20" s="382">
        <v>18.589933309869799</v>
      </c>
      <c r="T20" s="382">
        <v>-5.991271329195369</v>
      </c>
      <c r="U20" s="382">
        <v>-8.3126072829987194</v>
      </c>
      <c r="V20" s="382">
        <v>10.035864280628036</v>
      </c>
      <c r="W20" s="382">
        <v>18.138799118686102</v>
      </c>
      <c r="X20" s="382">
        <v>-5.7904989049173627</v>
      </c>
      <c r="Y20" s="382">
        <v>-20.305863839246342</v>
      </c>
      <c r="Z20" s="382">
        <v>-8.486886617153699</v>
      </c>
      <c r="AA20" s="382">
        <v>-12.932146634632691</v>
      </c>
      <c r="AB20" s="382">
        <v>20.91323270245109</v>
      </c>
      <c r="AC20" s="382">
        <v>33.333203739329285</v>
      </c>
      <c r="AD20" s="382">
        <v>6.5373627907500564</v>
      </c>
      <c r="AE20" s="382">
        <v>-14.668026813510116</v>
      </c>
    </row>
    <row r="21" spans="1:31" s="271" customFormat="1" ht="9" customHeight="1">
      <c r="A21" s="212"/>
      <c r="B21" s="183" t="s">
        <v>366</v>
      </c>
      <c r="C21" s="210">
        <v>-36.363636363636353</v>
      </c>
      <c r="D21" s="210">
        <v>4.0816326530612068</v>
      </c>
      <c r="E21" s="210">
        <v>-9.8039215686274499</v>
      </c>
      <c r="F21" s="210">
        <v>25.630434782608692</v>
      </c>
      <c r="G21" s="210">
        <v>42.98321508911576</v>
      </c>
      <c r="H21" s="210">
        <v>-9.4275686796563072</v>
      </c>
      <c r="I21" s="210">
        <v>-3.3939070016034134</v>
      </c>
      <c r="J21" s="210">
        <v>-7.566265560165963</v>
      </c>
      <c r="K21" s="210">
        <v>14.37741874519951</v>
      </c>
      <c r="L21" s="210">
        <v>1558.6149342551792</v>
      </c>
      <c r="M21" s="382">
        <v>-0.27365438996367342</v>
      </c>
      <c r="N21" s="382">
        <v>8.1701309416442047</v>
      </c>
      <c r="O21" s="382">
        <v>1.8773740143475992</v>
      </c>
      <c r="P21" s="382">
        <v>-7.1770165493271314</v>
      </c>
      <c r="Q21" s="382">
        <v>-7.0290149996556917</v>
      </c>
      <c r="R21" s="382">
        <v>2.6353502971925291</v>
      </c>
      <c r="S21" s="382">
        <v>-7.8604235832846143</v>
      </c>
      <c r="T21" s="382">
        <v>12.607657509482429</v>
      </c>
      <c r="U21" s="382">
        <v>5.3557501904470728</v>
      </c>
      <c r="V21" s="382">
        <v>3.5512327579927172</v>
      </c>
      <c r="W21" s="382">
        <v>-9.8453652811452468</v>
      </c>
      <c r="X21" s="382">
        <v>-1.744907731819767</v>
      </c>
      <c r="Y21" s="382">
        <v>10.453277943247885</v>
      </c>
      <c r="Z21" s="382">
        <v>1.0105668833120252</v>
      </c>
      <c r="AA21" s="382">
        <v>-1.7895360127859194</v>
      </c>
      <c r="AB21" s="382">
        <v>0.64697892648086786</v>
      </c>
      <c r="AC21" s="382">
        <v>-4.6652796072538134</v>
      </c>
      <c r="AD21" s="382">
        <v>19.224456669079192</v>
      </c>
      <c r="AE21" s="382">
        <v>-6.9187946542562102</v>
      </c>
    </row>
    <row r="22" spans="1:31" s="271" customFormat="1" ht="9" customHeight="1">
      <c r="A22" s="212"/>
      <c r="B22" s="183" t="s">
        <v>367</v>
      </c>
      <c r="C22" s="210">
        <v>0</v>
      </c>
      <c r="D22" s="210">
        <v>300</v>
      </c>
      <c r="E22" s="210">
        <v>200</v>
      </c>
      <c r="F22" s="210">
        <v>-73.583333333333329</v>
      </c>
      <c r="G22" s="210">
        <v>41.640378548895882</v>
      </c>
      <c r="H22" s="210">
        <v>12.472160356347439</v>
      </c>
      <c r="I22" s="210">
        <v>-42.970297029702962</v>
      </c>
      <c r="J22" s="210">
        <v>147.71840277777781</v>
      </c>
      <c r="K22" s="210">
        <v>18.462523951227073</v>
      </c>
      <c r="L22" s="210">
        <v>604.04675641841777</v>
      </c>
      <c r="M22" s="382">
        <v>-12.22473031917951</v>
      </c>
      <c r="N22" s="382">
        <v>1.8664144276249406</v>
      </c>
      <c r="O22" s="382">
        <v>-5.1709942241510154</v>
      </c>
      <c r="P22" s="382">
        <v>-1.1348751946257618</v>
      </c>
      <c r="Q22" s="382">
        <v>22.457137384463888</v>
      </c>
      <c r="R22" s="382">
        <v>15.0459743842561</v>
      </c>
      <c r="S22" s="382">
        <v>-0.57150069091786992</v>
      </c>
      <c r="T22" s="382">
        <v>5.0811483255082557</v>
      </c>
      <c r="U22" s="382">
        <v>14.467919067199864</v>
      </c>
      <c r="V22" s="382">
        <v>-5.9322517150086291</v>
      </c>
      <c r="W22" s="382">
        <v>-5.2880641870327816</v>
      </c>
      <c r="X22" s="382">
        <v>5.2615053192254457</v>
      </c>
      <c r="Y22" s="382">
        <v>0.51489415517291803</v>
      </c>
      <c r="Z22" s="382">
        <v>-3.6953538217100568</v>
      </c>
      <c r="AA22" s="382">
        <v>6.4634681449216025E-2</v>
      </c>
      <c r="AB22" s="382">
        <v>-9.6992250589719387</v>
      </c>
      <c r="AC22" s="382">
        <v>-6.4046123844283649</v>
      </c>
      <c r="AD22" s="382">
        <v>17.382313248294999</v>
      </c>
      <c r="AE22" s="382">
        <v>-3.2903557433829</v>
      </c>
    </row>
    <row r="23" spans="1:31" s="271" customFormat="1" ht="9" customHeight="1">
      <c r="A23" s="212"/>
      <c r="B23" s="183" t="s">
        <v>368</v>
      </c>
      <c r="C23" s="210">
        <v>-83.333333333333329</v>
      </c>
      <c r="D23" s="210">
        <v>0</v>
      </c>
      <c r="E23" s="210">
        <v>300</v>
      </c>
      <c r="F23" s="210">
        <v>-76.5</v>
      </c>
      <c r="G23" s="210">
        <v>2.1276595744680771</v>
      </c>
      <c r="H23" s="210">
        <v>8.333333333333325</v>
      </c>
      <c r="I23" s="210">
        <v>-27.884615384615387</v>
      </c>
      <c r="J23" s="210">
        <v>459.05333333333328</v>
      </c>
      <c r="K23" s="210">
        <v>201.38281380428828</v>
      </c>
      <c r="L23" s="210">
        <v>6404.9102295856192</v>
      </c>
      <c r="M23" s="382">
        <v>15.133767484311544</v>
      </c>
      <c r="N23" s="382">
        <v>24.628423789691702</v>
      </c>
      <c r="O23" s="382">
        <v>10.501237684083996</v>
      </c>
      <c r="P23" s="382">
        <v>40.006652826277019</v>
      </c>
      <c r="Q23" s="382">
        <v>-15.290896742878935</v>
      </c>
      <c r="R23" s="382">
        <v>36.07761281682793</v>
      </c>
      <c r="S23" s="382">
        <v>-8.0837529881657932</v>
      </c>
      <c r="T23" s="382">
        <v>9.6051639159142823</v>
      </c>
      <c r="U23" s="382">
        <v>-48.250222656561995</v>
      </c>
      <c r="V23" s="382">
        <v>172.04156957747517</v>
      </c>
      <c r="W23" s="382">
        <v>-22.537044427164197</v>
      </c>
      <c r="X23" s="382">
        <v>-47.38201841890325</v>
      </c>
      <c r="Y23" s="382">
        <v>147.73760325836699</v>
      </c>
      <c r="Z23" s="382">
        <v>-18.041454905056153</v>
      </c>
      <c r="AA23" s="382">
        <v>-7.9838729103132504</v>
      </c>
      <c r="AB23" s="382">
        <v>9.711263294168937</v>
      </c>
      <c r="AC23" s="382">
        <v>1.9182143148556818</v>
      </c>
      <c r="AD23" s="382">
        <v>-2.0608126757092005</v>
      </c>
      <c r="AE23" s="382">
        <v>41.752031754645614</v>
      </c>
    </row>
    <row r="24" spans="1:31" s="271" customFormat="1" ht="9" customHeight="1">
      <c r="A24" s="212"/>
      <c r="B24" s="183" t="s">
        <v>369</v>
      </c>
      <c r="C24" s="210">
        <v>-42.443729903536983</v>
      </c>
      <c r="D24" s="210">
        <v>-29.05027932960893</v>
      </c>
      <c r="E24" s="210">
        <v>24.803149606299215</v>
      </c>
      <c r="F24" s="210">
        <v>-7.4511041009463597</v>
      </c>
      <c r="G24" s="210">
        <v>29.422591860385829</v>
      </c>
      <c r="H24" s="210">
        <v>-20.524097972083233</v>
      </c>
      <c r="I24" s="210">
        <v>64.797693607714507</v>
      </c>
      <c r="J24" s="210">
        <v>-14.176710703585293</v>
      </c>
      <c r="K24" s="210">
        <v>70.347425703091673</v>
      </c>
      <c r="L24" s="210">
        <v>-91.770894983206944</v>
      </c>
      <c r="M24" s="382">
        <v>-4.4997774590373023</v>
      </c>
      <c r="N24" s="382">
        <v>2.8801053841447821</v>
      </c>
      <c r="O24" s="382">
        <v>-0.57139065274699474</v>
      </c>
      <c r="P24" s="382">
        <v>7.0493888670371874</v>
      </c>
      <c r="Q24" s="382">
        <v>-2.5599218537662671</v>
      </c>
      <c r="R24" s="382">
        <v>24.787391356730847</v>
      </c>
      <c r="S24" s="382">
        <v>-0.41588747387975022</v>
      </c>
      <c r="T24" s="382">
        <v>8.3371454719090252</v>
      </c>
      <c r="U24" s="382">
        <v>8.2345354029621731</v>
      </c>
      <c r="V24" s="382">
        <v>26.654380282791166</v>
      </c>
      <c r="W24" s="382">
        <v>21.209437804171817</v>
      </c>
      <c r="X24" s="382">
        <v>10.605719411835967</v>
      </c>
      <c r="Y24" s="382">
        <v>14.95627090881686</v>
      </c>
      <c r="Z24" s="382">
        <v>13.660030020327651</v>
      </c>
      <c r="AA24" s="382">
        <v>13.399983032680286</v>
      </c>
      <c r="AB24" s="382">
        <v>16.555586170048308</v>
      </c>
      <c r="AC24" s="382">
        <v>12.883223874773009</v>
      </c>
      <c r="AD24" s="382">
        <v>10.548271909602459</v>
      </c>
      <c r="AE24" s="382">
        <v>0.92954229382238296</v>
      </c>
    </row>
    <row r="25" spans="1:31" s="271" customFormat="1" ht="9" customHeight="1">
      <c r="A25" s="212"/>
      <c r="B25" s="183" t="s">
        <v>370</v>
      </c>
      <c r="C25" s="210">
        <v>-48.076923076923059</v>
      </c>
      <c r="D25" s="210">
        <v>27.777777777777768</v>
      </c>
      <c r="E25" s="210">
        <v>68.115942028985472</v>
      </c>
      <c r="F25" s="210">
        <v>-11.017241379310349</v>
      </c>
      <c r="G25" s="210">
        <v>22.815345863204818</v>
      </c>
      <c r="H25" s="210">
        <v>-22.110909521180076</v>
      </c>
      <c r="I25" s="210">
        <v>-19.009519951387489</v>
      </c>
      <c r="J25" s="210">
        <v>128.32976116043514</v>
      </c>
      <c r="K25" s="210">
        <v>-13.514344919373899</v>
      </c>
      <c r="L25" s="210">
        <v>-98.757462302608147</v>
      </c>
      <c r="M25" s="382">
        <v>-3.1644314355674275</v>
      </c>
      <c r="N25" s="382">
        <v>2.7767030450605246</v>
      </c>
      <c r="O25" s="382">
        <v>1.9264012647369988</v>
      </c>
      <c r="P25" s="382">
        <v>-10.523348287971812</v>
      </c>
      <c r="Q25" s="382">
        <v>4.7232313680350968</v>
      </c>
      <c r="R25" s="382">
        <v>7.079762198832884</v>
      </c>
      <c r="S25" s="382">
        <v>-4.9934707532972578</v>
      </c>
      <c r="T25" s="382">
        <v>13.981921170308876</v>
      </c>
      <c r="U25" s="382">
        <v>9.3404835233656947</v>
      </c>
      <c r="V25" s="382">
        <v>-3.0102136534384871</v>
      </c>
      <c r="W25" s="382">
        <v>-2.4212262389904926</v>
      </c>
      <c r="X25" s="382">
        <v>5.6401896718953459</v>
      </c>
      <c r="Y25" s="382">
        <v>1.7211689898288141</v>
      </c>
      <c r="Z25" s="382">
        <v>-4.8708007106954661</v>
      </c>
      <c r="AA25" s="382">
        <v>-1.8524788904611067</v>
      </c>
      <c r="AB25" s="382">
        <v>-11.049799775997638</v>
      </c>
      <c r="AC25" s="382">
        <v>0.51820519022527378</v>
      </c>
      <c r="AD25" s="382">
        <v>2.0371652042372013</v>
      </c>
      <c r="AE25" s="382">
        <v>-2.7814163026591454</v>
      </c>
    </row>
    <row r="26" spans="1:31" s="271" customFormat="1" ht="9" customHeight="1">
      <c r="A26" s="212"/>
      <c r="B26" s="183" t="s">
        <v>371</v>
      </c>
      <c r="C26" s="210">
        <v>-4.0314960629921348</v>
      </c>
      <c r="D26" s="210">
        <v>-27.436823104693143</v>
      </c>
      <c r="E26" s="210">
        <v>10.447761194029859</v>
      </c>
      <c r="F26" s="210">
        <v>23.161752661752665</v>
      </c>
      <c r="G26" s="210">
        <v>49.911723926971895</v>
      </c>
      <c r="H26" s="210">
        <v>-20.429785572973515</v>
      </c>
      <c r="I26" s="210">
        <v>18.899384830654231</v>
      </c>
      <c r="J26" s="210">
        <v>53.364635332784751</v>
      </c>
      <c r="K26" s="210">
        <v>-2.8137015786251718</v>
      </c>
      <c r="L26" s="210">
        <v>-94.408220870906746</v>
      </c>
      <c r="M26" s="382">
        <v>8.7865564839804335</v>
      </c>
      <c r="N26" s="382">
        <v>5.0832102742975005</v>
      </c>
      <c r="O26" s="382">
        <v>4.5819460326291805</v>
      </c>
      <c r="P26" s="382">
        <v>8.044080854967417</v>
      </c>
      <c r="Q26" s="382">
        <v>1.2541389514391099</v>
      </c>
      <c r="R26" s="382">
        <v>5.8111325442531836</v>
      </c>
      <c r="S26" s="382">
        <v>-2.7312714272101135</v>
      </c>
      <c r="T26" s="382">
        <v>10.372949379689933</v>
      </c>
      <c r="U26" s="382">
        <v>-0.62610000691719625</v>
      </c>
      <c r="V26" s="382">
        <v>4.4956042273081032</v>
      </c>
      <c r="W26" s="382">
        <v>6.0971567786940239</v>
      </c>
      <c r="X26" s="382">
        <v>2.4178747481162777</v>
      </c>
      <c r="Y26" s="382">
        <v>2.8854477870630335</v>
      </c>
      <c r="Z26" s="382">
        <v>2.1079299350108549</v>
      </c>
      <c r="AA26" s="382">
        <v>1.2723782256501615</v>
      </c>
      <c r="AB26" s="382">
        <v>7.6102955326899924</v>
      </c>
      <c r="AC26" s="382">
        <v>1.5452849945708946</v>
      </c>
      <c r="AD26" s="382">
        <v>0.87633505838273784</v>
      </c>
      <c r="AE26" s="382">
        <v>2.4080370475896729</v>
      </c>
    </row>
    <row r="27" spans="1:31" s="271" customFormat="1" ht="9" customHeight="1">
      <c r="A27" s="212"/>
      <c r="B27" s="183" t="s">
        <v>372</v>
      </c>
      <c r="C27" s="210">
        <v>24.049079754601223</v>
      </c>
      <c r="D27" s="210">
        <v>-26.904055390702275</v>
      </c>
      <c r="E27" s="210">
        <v>22.462787550744245</v>
      </c>
      <c r="F27" s="210">
        <v>15.426519337016575</v>
      </c>
      <c r="G27" s="210">
        <v>11.369793511454041</v>
      </c>
      <c r="H27" s="210">
        <v>26.150526912960515</v>
      </c>
      <c r="I27" s="210">
        <v>11.084007331648049</v>
      </c>
      <c r="J27" s="210">
        <v>30.953566258556808</v>
      </c>
      <c r="K27" s="210">
        <v>-0.30124504557521581</v>
      </c>
      <c r="L27" s="210">
        <v>-88.803548115724666</v>
      </c>
      <c r="M27" s="382">
        <v>11.697950693485272</v>
      </c>
      <c r="N27" s="382">
        <v>0.8315608794287499</v>
      </c>
      <c r="O27" s="382">
        <v>6.0902110666495091</v>
      </c>
      <c r="P27" s="382">
        <v>8.4868472696973072</v>
      </c>
      <c r="Q27" s="382">
        <v>-4.6496895013073853</v>
      </c>
      <c r="R27" s="382">
        <v>9.5351659987992434</v>
      </c>
      <c r="S27" s="382">
        <v>7.4528775958579097</v>
      </c>
      <c r="T27" s="382">
        <v>11.980737137048614</v>
      </c>
      <c r="U27" s="382">
        <v>15.489007074707906</v>
      </c>
      <c r="V27" s="382">
        <v>17.122938590679681</v>
      </c>
      <c r="W27" s="382">
        <v>15.88769958186662</v>
      </c>
      <c r="X27" s="382">
        <v>25.677751905210087</v>
      </c>
      <c r="Y27" s="382">
        <v>7.5701508747022306</v>
      </c>
      <c r="Z27" s="382">
        <v>20.932486508701629</v>
      </c>
      <c r="AA27" s="382">
        <v>7.8107943508987532</v>
      </c>
      <c r="AB27" s="382">
        <v>20.921995274024386</v>
      </c>
      <c r="AC27" s="382">
        <v>2.5036690467110656</v>
      </c>
      <c r="AD27" s="382">
        <v>8.0841687119259653</v>
      </c>
      <c r="AE27" s="382">
        <v>6.2193580936948933</v>
      </c>
    </row>
    <row r="28" spans="1:31" s="271" customFormat="1" ht="9" customHeight="1">
      <c r="A28" s="212"/>
      <c r="B28" s="183" t="s">
        <v>496</v>
      </c>
      <c r="C28" s="210">
        <v>3.0303030303030276</v>
      </c>
      <c r="D28" s="210">
        <v>44.11764705882355</v>
      </c>
      <c r="E28" s="210">
        <v>-34.693877551020414</v>
      </c>
      <c r="F28" s="210">
        <v>-20.4375</v>
      </c>
      <c r="G28" s="210">
        <v>2.6315789473684292</v>
      </c>
      <c r="H28" s="210">
        <v>52.812858783008032</v>
      </c>
      <c r="I28" s="210">
        <v>-10.24292511895819</v>
      </c>
      <c r="J28" s="210">
        <v>32.85460379464287</v>
      </c>
      <c r="K28" s="210">
        <v>37.442982886307696</v>
      </c>
      <c r="L28" s="210">
        <v>-3.6223557383762595</v>
      </c>
      <c r="M28" s="382">
        <v>0.68365540059198704</v>
      </c>
      <c r="N28" s="382">
        <v>2.8650422077591164</v>
      </c>
      <c r="O28" s="382">
        <v>21.029914376970748</v>
      </c>
      <c r="P28" s="382">
        <v>8.8245825364321018</v>
      </c>
      <c r="Q28" s="382">
        <v>-2.3461674676490962</v>
      </c>
      <c r="R28" s="382">
        <v>9.3274888106646525</v>
      </c>
      <c r="S28" s="382">
        <v>1.6608028216845483</v>
      </c>
      <c r="T28" s="382">
        <v>-1.7039418224202407</v>
      </c>
      <c r="U28" s="382">
        <v>-11.269969258683387</v>
      </c>
      <c r="V28" s="382">
        <v>33.269977238111025</v>
      </c>
      <c r="W28" s="382">
        <v>6.7585511545170451</v>
      </c>
      <c r="X28" s="382">
        <v>18.951451744148649</v>
      </c>
      <c r="Y28" s="382">
        <v>11.647368757297084</v>
      </c>
      <c r="Z28" s="382">
        <v>8.2240564367162214</v>
      </c>
      <c r="AA28" s="382">
        <v>5.3907603960889894</v>
      </c>
      <c r="AB28" s="382">
        <v>12.83713636602597</v>
      </c>
      <c r="AC28" s="382">
        <v>1.0319428642721284</v>
      </c>
      <c r="AD28" s="382">
        <v>18.030584475296997</v>
      </c>
      <c r="AE28" s="382">
        <v>5.3990793069804477</v>
      </c>
    </row>
    <row r="29" spans="1:31" s="271" customFormat="1" ht="9" customHeight="1">
      <c r="A29" s="212"/>
      <c r="B29" s="183" t="s">
        <v>497</v>
      </c>
      <c r="C29" s="210">
        <v>8.2426127527216231</v>
      </c>
      <c r="D29" s="210">
        <v>-29.166666666666675</v>
      </c>
      <c r="E29" s="210">
        <v>10.344827586206895</v>
      </c>
      <c r="F29" s="210">
        <v>32.78125</v>
      </c>
      <c r="G29" s="210">
        <v>-15.510916063295177</v>
      </c>
      <c r="H29" s="210">
        <v>22.350030313457523</v>
      </c>
      <c r="I29" s="210">
        <v>0.32945399027710653</v>
      </c>
      <c r="J29" s="210">
        <v>10.734922690159966</v>
      </c>
      <c r="K29" s="210">
        <v>-11.062986709084976</v>
      </c>
      <c r="L29" s="210">
        <v>11.744695392372883</v>
      </c>
      <c r="M29" s="382">
        <v>-24.562215262200539</v>
      </c>
      <c r="N29" s="382">
        <v>-30.872335150274122</v>
      </c>
      <c r="O29" s="382">
        <v>14.357943009573448</v>
      </c>
      <c r="P29" s="382">
        <v>22.845900871531132</v>
      </c>
      <c r="Q29" s="382">
        <v>-13.247015208629055</v>
      </c>
      <c r="R29" s="382">
        <v>6.6064816716033148</v>
      </c>
      <c r="S29" s="382">
        <v>2.0815800069071022</v>
      </c>
      <c r="T29" s="382">
        <v>21.602901802060792</v>
      </c>
      <c r="U29" s="382">
        <v>5.1778055755382191</v>
      </c>
      <c r="V29" s="382">
        <v>1.4904222860436578</v>
      </c>
      <c r="W29" s="382">
        <v>-17.294644630734147</v>
      </c>
      <c r="X29" s="382">
        <v>23.308805743362694</v>
      </c>
      <c r="Y29" s="382">
        <v>10.565188328892571</v>
      </c>
      <c r="Z29" s="382">
        <v>4.8738946128425553</v>
      </c>
      <c r="AA29" s="382">
        <v>-11.152881759292466</v>
      </c>
      <c r="AB29" s="382">
        <v>-1.4343931338397509</v>
      </c>
      <c r="AC29" s="382">
        <v>-5.2727726121448493</v>
      </c>
      <c r="AD29" s="382">
        <v>14.881648826462545</v>
      </c>
      <c r="AE29" s="382">
        <v>-20.203961215685361</v>
      </c>
    </row>
    <row r="30" spans="1:31" s="271" customFormat="1" ht="9" customHeight="1">
      <c r="A30" s="212"/>
      <c r="B30" s="183" t="s">
        <v>492</v>
      </c>
      <c r="C30" s="210">
        <v>22.222222222222232</v>
      </c>
      <c r="D30" s="210">
        <v>13.636363636363624</v>
      </c>
      <c r="E30" s="210">
        <v>-12</v>
      </c>
      <c r="F30" s="210">
        <v>111.59090909090908</v>
      </c>
      <c r="G30" s="210">
        <v>-23.22234156820624</v>
      </c>
      <c r="H30" s="210">
        <v>17.207610520425298</v>
      </c>
      <c r="I30" s="210">
        <v>37.264263547386008</v>
      </c>
      <c r="J30" s="210">
        <v>50.688695652173912</v>
      </c>
      <c r="K30" s="210">
        <v>-18.156637351983939</v>
      </c>
      <c r="L30" s="210">
        <v>954.96005020165273</v>
      </c>
      <c r="M30" s="382">
        <v>-8.7042739742274939</v>
      </c>
      <c r="N30" s="382">
        <v>25.833604836610256</v>
      </c>
      <c r="O30" s="382">
        <v>-1.1087416112741111</v>
      </c>
      <c r="P30" s="382">
        <v>-16.320118135454941</v>
      </c>
      <c r="Q30" s="382">
        <v>7.383402009341733</v>
      </c>
      <c r="R30" s="382">
        <v>15.609996587557351</v>
      </c>
      <c r="S30" s="382">
        <v>7.3695907691476714</v>
      </c>
      <c r="T30" s="382">
        <v>-17.194028311890776</v>
      </c>
      <c r="U30" s="382">
        <v>-11.648305028242333</v>
      </c>
      <c r="V30" s="382">
        <v>12.621710291960397</v>
      </c>
      <c r="W30" s="382">
        <v>-3.6340063022785585</v>
      </c>
      <c r="X30" s="382">
        <v>3.4673897348467042</v>
      </c>
      <c r="Y30" s="382">
        <v>3.0813965350268147</v>
      </c>
      <c r="Z30" s="382">
        <v>15.463646222480287</v>
      </c>
      <c r="AA30" s="382">
        <v>1.5744915818582061</v>
      </c>
      <c r="AB30" s="382">
        <v>0.8789303403598403</v>
      </c>
      <c r="AC30" s="382">
        <v>-37.946880909488598</v>
      </c>
      <c r="AD30" s="382">
        <v>53.937298824137933</v>
      </c>
      <c r="AE30" s="382">
        <v>11.987033216514398</v>
      </c>
    </row>
    <row r="31" spans="1:31" s="271" customFormat="1" ht="9" customHeight="1">
      <c r="A31" s="212"/>
      <c r="B31" s="183" t="s">
        <v>498</v>
      </c>
      <c r="C31" s="210">
        <v>29.787234042553191</v>
      </c>
      <c r="D31" s="210">
        <v>17.377049180327873</v>
      </c>
      <c r="E31" s="210">
        <v>72.625698324022352</v>
      </c>
      <c r="F31" s="210">
        <v>-47.284789644012939</v>
      </c>
      <c r="G31" s="210">
        <v>184.31763766959293</v>
      </c>
      <c r="H31" s="210">
        <v>-28.700674763832655</v>
      </c>
      <c r="I31" s="210">
        <v>66.057449160370069</v>
      </c>
      <c r="J31" s="210">
        <v>-85.749805773895275</v>
      </c>
      <c r="K31" s="210">
        <v>561.08065861348803</v>
      </c>
      <c r="L31" s="210">
        <v>-99.930791600829963</v>
      </c>
      <c r="M31" s="382">
        <v>8.0458732706769389</v>
      </c>
      <c r="N31" s="382">
        <v>0.14290086914923172</v>
      </c>
      <c r="O31" s="382">
        <v>17.084728317127063</v>
      </c>
      <c r="P31" s="382">
        <v>11.652149544454238</v>
      </c>
      <c r="Q31" s="382">
        <v>28.609945292532512</v>
      </c>
      <c r="R31" s="382">
        <v>-3.8889059759022016</v>
      </c>
      <c r="S31" s="382">
        <v>-0.10250834091025673</v>
      </c>
      <c r="T31" s="382">
        <v>118.0663725237753</v>
      </c>
      <c r="U31" s="382">
        <v>-93.730176803968988</v>
      </c>
      <c r="V31" s="382">
        <v>946.45323984514675</v>
      </c>
      <c r="W31" s="382">
        <v>-2.5891610673068444</v>
      </c>
      <c r="X31" s="382">
        <v>26.590228476039577</v>
      </c>
      <c r="Y31" s="382">
        <v>-37.566631937466774</v>
      </c>
      <c r="Z31" s="382">
        <v>162.99579804890351</v>
      </c>
      <c r="AA31" s="382">
        <v>-74.706658552781505</v>
      </c>
      <c r="AB31" s="382">
        <v>46.136761020176429</v>
      </c>
      <c r="AC31" s="382">
        <v>43.080213459988535</v>
      </c>
      <c r="AD31" s="382">
        <v>135.20174079428352</v>
      </c>
      <c r="AE31" s="382">
        <v>1.0600621563671364</v>
      </c>
    </row>
    <row r="32" spans="1:31" s="271" customFormat="1" ht="9" customHeight="1">
      <c r="A32" s="212"/>
      <c r="B32" s="183" t="s">
        <v>499</v>
      </c>
      <c r="C32" s="210">
        <v>-24.181360201511339</v>
      </c>
      <c r="D32" s="210">
        <v>-21.262458471760802</v>
      </c>
      <c r="E32" s="210">
        <v>33.33333333333335</v>
      </c>
      <c r="F32" s="210">
        <v>12.155063291139246</v>
      </c>
      <c r="G32" s="210">
        <v>58.906351400919817</v>
      </c>
      <c r="H32" s="210">
        <v>0.30363294151070086</v>
      </c>
      <c r="I32" s="210">
        <v>-3.2147851794154358</v>
      </c>
      <c r="J32" s="210">
        <v>-33.486944195489556</v>
      </c>
      <c r="K32" s="210">
        <v>35.607666372342585</v>
      </c>
      <c r="L32" s="210">
        <v>-98.245422563301275</v>
      </c>
      <c r="M32" s="382">
        <v>-4.2600595920965549</v>
      </c>
      <c r="N32" s="382">
        <v>11.459685133447195</v>
      </c>
      <c r="O32" s="382">
        <v>-2.1788067339899464</v>
      </c>
      <c r="P32" s="382">
        <v>-8.5422931106559084</v>
      </c>
      <c r="Q32" s="382">
        <v>8.9834965297556302</v>
      </c>
      <c r="R32" s="382">
        <v>-0.75535457624423819</v>
      </c>
      <c r="S32" s="382">
        <v>-7.3829097626544105</v>
      </c>
      <c r="T32" s="382">
        <v>4.7905452893674649</v>
      </c>
      <c r="U32" s="382">
        <v>14.677633975764159</v>
      </c>
      <c r="V32" s="382">
        <v>1.3662176050709185</v>
      </c>
      <c r="W32" s="382">
        <v>-6.9266971134663518</v>
      </c>
      <c r="X32" s="382">
        <v>6.59530621876252</v>
      </c>
      <c r="Y32" s="382">
        <v>4.6829231062916588</v>
      </c>
      <c r="Z32" s="382">
        <v>0.79139471862605948</v>
      </c>
      <c r="AA32" s="382">
        <v>0.37931195369771409</v>
      </c>
      <c r="AB32" s="382">
        <v>-9.979930223761901</v>
      </c>
      <c r="AC32" s="382">
        <v>-0.74479650941331466</v>
      </c>
      <c r="AD32" s="382">
        <v>5.1290334263368154</v>
      </c>
      <c r="AE32" s="382">
        <v>0.9955408194385118</v>
      </c>
    </row>
    <row r="33" spans="1:31" s="271" customFormat="1" ht="9" customHeight="1">
      <c r="A33" s="212"/>
      <c r="B33" s="183" t="s">
        <v>374</v>
      </c>
      <c r="C33" s="210">
        <v>-29.370629370629374</v>
      </c>
      <c r="D33" s="210">
        <v>-38.613861386138616</v>
      </c>
      <c r="E33" s="210">
        <v>96.774193548387075</v>
      </c>
      <c r="F33" s="210">
        <v>64.286885245901672</v>
      </c>
      <c r="G33" s="210">
        <v>11.09115401885945</v>
      </c>
      <c r="H33" s="210">
        <v>26.156471750651235</v>
      </c>
      <c r="I33" s="210">
        <v>3.1755072979708032</v>
      </c>
      <c r="J33" s="210">
        <v>16.503105375750458</v>
      </c>
      <c r="K33" s="210">
        <v>8.9265518986711978</v>
      </c>
      <c r="L33" s="210">
        <v>31.938199254824241</v>
      </c>
      <c r="M33" s="382">
        <v>-12.162147990203264</v>
      </c>
      <c r="N33" s="382">
        <v>-10.895342642700346</v>
      </c>
      <c r="O33" s="382">
        <v>8.997387752584185</v>
      </c>
      <c r="P33" s="382">
        <v>9.3303254870272578</v>
      </c>
      <c r="Q33" s="382">
        <v>-5.14714273342749</v>
      </c>
      <c r="R33" s="382">
        <v>-2.1051692887780082</v>
      </c>
      <c r="S33" s="382">
        <v>0.25307229941580189</v>
      </c>
      <c r="T33" s="382">
        <v>-1.1225053504818838</v>
      </c>
      <c r="U33" s="382">
        <v>1.4787373088329003</v>
      </c>
      <c r="V33" s="382">
        <v>4.8487398911369661</v>
      </c>
      <c r="W33" s="382">
        <v>3.962444929413933</v>
      </c>
      <c r="X33" s="382">
        <v>-1.8638122754986775</v>
      </c>
      <c r="Y33" s="382">
        <v>6.5797110294585348</v>
      </c>
      <c r="Z33" s="382">
        <v>2.2039692165546798</v>
      </c>
      <c r="AA33" s="382">
        <v>-0.20600714719618551</v>
      </c>
      <c r="AB33" s="382">
        <v>-0.90954937593464846</v>
      </c>
      <c r="AC33" s="382">
        <v>-5.2571040024921185</v>
      </c>
      <c r="AD33" s="382">
        <v>-6.1537645405078889</v>
      </c>
      <c r="AE33" s="382">
        <v>1.2199024110795431</v>
      </c>
    </row>
    <row r="34" spans="1:31" s="271" customFormat="1" ht="9" customHeight="1">
      <c r="A34" s="212"/>
      <c r="B34" s="183" t="s">
        <v>375</v>
      </c>
      <c r="C34" s="210">
        <v>-15.277777777777789</v>
      </c>
      <c r="D34" s="210">
        <v>24.590163934426236</v>
      </c>
      <c r="E34" s="210">
        <v>17.105263157894733</v>
      </c>
      <c r="F34" s="210">
        <v>5.1123595505617958</v>
      </c>
      <c r="G34" s="210">
        <v>-8.6370924639230235</v>
      </c>
      <c r="H34" s="210">
        <v>14.285714285714279</v>
      </c>
      <c r="I34" s="210">
        <v>6.091318591318573</v>
      </c>
      <c r="J34" s="210">
        <v>-8.1538212872720113</v>
      </c>
      <c r="K34" s="210">
        <v>3.05660752218464</v>
      </c>
      <c r="L34" s="210">
        <v>-66.720539246410524</v>
      </c>
      <c r="M34" s="382">
        <v>26.53755506621005</v>
      </c>
      <c r="N34" s="382">
        <v>-1.6566609236934648</v>
      </c>
      <c r="O34" s="382">
        <v>-7.9149539789642347</v>
      </c>
      <c r="P34" s="382">
        <v>-15.050015440915864</v>
      </c>
      <c r="Q34" s="382">
        <v>11.612539525708577</v>
      </c>
      <c r="R34" s="382">
        <v>33.784723176678419</v>
      </c>
      <c r="S34" s="382">
        <v>10.148646823171315</v>
      </c>
      <c r="T34" s="382">
        <v>-16.440077893699645</v>
      </c>
      <c r="U34" s="382">
        <v>-14.213289404852825</v>
      </c>
      <c r="V34" s="382">
        <v>8.5755780391502547</v>
      </c>
      <c r="W34" s="382">
        <v>40.510411340679852</v>
      </c>
      <c r="X34" s="382">
        <v>-7.1244409956560002</v>
      </c>
      <c r="Y34" s="382">
        <v>-0.92208541286974421</v>
      </c>
      <c r="Z34" s="382">
        <v>0.11982338147813465</v>
      </c>
      <c r="AA34" s="382">
        <v>10.118906771475778</v>
      </c>
      <c r="AB34" s="382">
        <v>-12.865272266171136</v>
      </c>
      <c r="AC34" s="382">
        <v>21.330541283663429</v>
      </c>
      <c r="AD34" s="382">
        <v>10.760397657327747</v>
      </c>
      <c r="AE34" s="382">
        <v>-20.74251633087545</v>
      </c>
    </row>
    <row r="35" spans="1:31" s="271" customFormat="1" ht="9" customHeight="1">
      <c r="A35" s="212"/>
      <c r="B35" s="183" t="s">
        <v>202</v>
      </c>
      <c r="C35" s="210" t="s">
        <v>441</v>
      </c>
      <c r="D35" s="210" t="s">
        <v>441</v>
      </c>
      <c r="E35" s="210" t="s">
        <v>441</v>
      </c>
      <c r="F35" s="210" t="s">
        <v>441</v>
      </c>
      <c r="G35" s="210" t="s">
        <v>441</v>
      </c>
      <c r="H35" s="210">
        <v>2250</v>
      </c>
      <c r="I35" s="210">
        <v>-4.2553191489361648</v>
      </c>
      <c r="J35" s="210">
        <v>-44.444444444444443</v>
      </c>
      <c r="K35" s="210">
        <v>-100</v>
      </c>
      <c r="L35" s="210" t="s">
        <v>441</v>
      </c>
      <c r="M35" s="382">
        <v>12.656765957155546</v>
      </c>
      <c r="N35" s="382">
        <v>-2.8966279918313909</v>
      </c>
      <c r="O35" s="382">
        <v>1.4991380074239613</v>
      </c>
      <c r="P35" s="382">
        <v>-19.029865188514695</v>
      </c>
      <c r="Q35" s="382">
        <v>21.017686412304837</v>
      </c>
      <c r="R35" s="382">
        <v>7.4889257032288103</v>
      </c>
      <c r="S35" s="382">
        <v>13.875593315492928</v>
      </c>
      <c r="T35" s="382">
        <v>3.3898533885369897</v>
      </c>
      <c r="U35" s="382">
        <v>3.3693273055098727</v>
      </c>
      <c r="V35" s="382">
        <v>-2.7917899742863628</v>
      </c>
      <c r="W35" s="382">
        <v>-1.3723853675961406</v>
      </c>
      <c r="X35" s="382">
        <v>16.358132870504004</v>
      </c>
      <c r="Y35" s="382">
        <v>10.809591157339193</v>
      </c>
      <c r="Z35" s="382">
        <v>2.7627262183605783</v>
      </c>
      <c r="AA35" s="382">
        <v>1.2544343047887763</v>
      </c>
      <c r="AB35" s="382">
        <v>-11.238637394074846</v>
      </c>
      <c r="AC35" s="382">
        <v>8.7572508128490156</v>
      </c>
      <c r="AD35" s="382">
        <v>8.9424003295770937</v>
      </c>
      <c r="AE35" s="382">
        <v>-9.2250375541531486</v>
      </c>
    </row>
    <row r="36" spans="1:31" s="271" customFormat="1" ht="9" customHeight="1">
      <c r="A36" s="212"/>
      <c r="B36" s="183" t="s">
        <v>203</v>
      </c>
      <c r="C36" s="210">
        <v>2.813299232736588</v>
      </c>
      <c r="D36" s="210">
        <v>-25.621890547263693</v>
      </c>
      <c r="E36" s="210">
        <v>8.6956521739130377</v>
      </c>
      <c r="F36" s="210">
        <v>29.581538461538457</v>
      </c>
      <c r="G36" s="210">
        <v>24.113121527283088</v>
      </c>
      <c r="H36" s="210">
        <v>1.3392259274139562</v>
      </c>
      <c r="I36" s="210">
        <v>29.689063414449947</v>
      </c>
      <c r="J36" s="210">
        <v>-37.952805881068485</v>
      </c>
      <c r="K36" s="210">
        <v>32.070533219843036</v>
      </c>
      <c r="L36" s="210">
        <v>19.645363107063353</v>
      </c>
      <c r="M36" s="382">
        <v>3.3908929016195799</v>
      </c>
      <c r="N36" s="382">
        <v>-11.87895505297103</v>
      </c>
      <c r="O36" s="382">
        <v>-13.866306708574161</v>
      </c>
      <c r="P36" s="382">
        <v>-4.4075219558968541</v>
      </c>
      <c r="Q36" s="382">
        <v>2.5453509761041992E-2</v>
      </c>
      <c r="R36" s="382">
        <v>7.706490401493693</v>
      </c>
      <c r="S36" s="382">
        <v>-6.982498406938042</v>
      </c>
      <c r="T36" s="382">
        <v>2.7624139309205598</v>
      </c>
      <c r="U36" s="382">
        <v>38.371070335716873</v>
      </c>
      <c r="V36" s="382">
        <v>0.27860010183087258</v>
      </c>
      <c r="W36" s="382">
        <v>13.52188676181505</v>
      </c>
      <c r="X36" s="382">
        <v>1.6480291300225991</v>
      </c>
      <c r="Y36" s="382">
        <v>-3.9094785875632865</v>
      </c>
      <c r="Z36" s="382">
        <v>-4.7344196102618419</v>
      </c>
      <c r="AA36" s="382">
        <v>3.5468204236115852</v>
      </c>
      <c r="AB36" s="382">
        <v>-6.4177216839777511</v>
      </c>
      <c r="AC36" s="382">
        <v>-4.908384300452906</v>
      </c>
      <c r="AD36" s="382">
        <v>7.365964090997501</v>
      </c>
      <c r="AE36" s="382">
        <v>9.4510733622418677</v>
      </c>
    </row>
    <row r="37" spans="1:31" s="271" customFormat="1" ht="9" customHeight="1">
      <c r="A37" s="212"/>
      <c r="B37" s="183" t="s">
        <v>204</v>
      </c>
      <c r="C37" s="210" t="s">
        <v>441</v>
      </c>
      <c r="D37" s="210" t="s">
        <v>441</v>
      </c>
      <c r="E37" s="210">
        <v>50</v>
      </c>
      <c r="F37" s="210">
        <v>-45.666666666666664</v>
      </c>
      <c r="G37" s="210">
        <v>12.883435582822077</v>
      </c>
      <c r="H37" s="210">
        <v>13.043478260869556</v>
      </c>
      <c r="I37" s="210">
        <v>-30.28846153846154</v>
      </c>
      <c r="J37" s="210">
        <v>4.7020689655172587</v>
      </c>
      <c r="K37" s="210">
        <v>26.322306972822716</v>
      </c>
      <c r="L37" s="210">
        <v>15220.341015747206</v>
      </c>
      <c r="M37" s="382">
        <v>9.3713932276249921</v>
      </c>
      <c r="N37" s="382">
        <v>3.8181154048848365</v>
      </c>
      <c r="O37" s="382">
        <v>5.3817081090696828</v>
      </c>
      <c r="P37" s="382">
        <v>7.4814079209444051</v>
      </c>
      <c r="Q37" s="382">
        <v>15.179007410342681</v>
      </c>
      <c r="R37" s="382">
        <v>4.4115717912244223</v>
      </c>
      <c r="S37" s="382">
        <v>-0.40783929302119493</v>
      </c>
      <c r="T37" s="382">
        <v>14.823082847092373</v>
      </c>
      <c r="U37" s="382">
        <v>12.690663270856728</v>
      </c>
      <c r="V37" s="382">
        <v>13.182833677807015</v>
      </c>
      <c r="W37" s="382">
        <v>28.935353448129209</v>
      </c>
      <c r="X37" s="382">
        <v>9.0847640464882815</v>
      </c>
      <c r="Y37" s="382">
        <v>2.76491321359571</v>
      </c>
      <c r="Z37" s="382">
        <v>1.4284608815133382</v>
      </c>
      <c r="AA37" s="382">
        <v>-1.0238855174420025</v>
      </c>
      <c r="AB37" s="382">
        <v>2.3635679926238495</v>
      </c>
      <c r="AC37" s="382">
        <v>7.231111185521466</v>
      </c>
      <c r="AD37" s="382">
        <v>10.881165661348113</v>
      </c>
      <c r="AE37" s="382">
        <v>3.7271305864051918</v>
      </c>
    </row>
    <row r="38" spans="1:31" s="271" customFormat="1" ht="9" customHeight="1">
      <c r="A38" s="212"/>
      <c r="B38" s="183" t="s">
        <v>385</v>
      </c>
      <c r="C38" s="210">
        <v>22.222222222222232</v>
      </c>
      <c r="D38" s="210">
        <v>20.202020202020222</v>
      </c>
      <c r="E38" s="210">
        <v>-24.369747899159666</v>
      </c>
      <c r="F38" s="210">
        <v>149.11111111111111</v>
      </c>
      <c r="G38" s="210">
        <v>2.0428189116859841</v>
      </c>
      <c r="H38" s="210">
        <v>38.141445930588326</v>
      </c>
      <c r="I38" s="210">
        <v>5.1449183647639618</v>
      </c>
      <c r="J38" s="210">
        <v>74.868898585615426</v>
      </c>
      <c r="K38" s="210">
        <v>-32.742172954985314</v>
      </c>
      <c r="L38" s="210">
        <v>-100</v>
      </c>
      <c r="M38" s="395" t="s">
        <v>441</v>
      </c>
      <c r="N38" s="395" t="s">
        <v>441</v>
      </c>
      <c r="O38" s="382">
        <v>237.23277909738712</v>
      </c>
      <c r="P38" s="382">
        <v>94.532488114104595</v>
      </c>
      <c r="Q38" s="382">
        <v>148.54944557592216</v>
      </c>
      <c r="R38" s="382">
        <v>-2.5747946901688024</v>
      </c>
      <c r="S38" s="382">
        <v>3.0484271909986482</v>
      </c>
      <c r="T38" s="382">
        <v>19.185983240831426</v>
      </c>
      <c r="U38" s="382">
        <v>-28.793827611395184</v>
      </c>
      <c r="V38" s="382">
        <v>-34.993909085080467</v>
      </c>
      <c r="W38" s="382">
        <v>54.088174376171217</v>
      </c>
      <c r="X38" s="382">
        <v>-35.597089760822712</v>
      </c>
      <c r="Y38" s="382">
        <v>19.257909557727327</v>
      </c>
      <c r="Z38" s="382">
        <v>-31.523973554086325</v>
      </c>
      <c r="AA38" s="382">
        <v>-24.328600405679524</v>
      </c>
      <c r="AB38" s="382">
        <v>28.606658446362545</v>
      </c>
      <c r="AC38" s="382">
        <v>-1.9550627370878537</v>
      </c>
      <c r="AD38" s="382">
        <v>46.483843537414991</v>
      </c>
      <c r="AE38" s="382">
        <v>-34.519490320146282</v>
      </c>
    </row>
    <row r="39" spans="1:31" s="271" customFormat="1" ht="9" customHeight="1">
      <c r="A39" s="212"/>
      <c r="B39" s="183" t="s">
        <v>252</v>
      </c>
      <c r="C39" s="210">
        <v>-8.3499005964214774</v>
      </c>
      <c r="D39" s="210">
        <v>27.158351409978309</v>
      </c>
      <c r="E39" s="210">
        <v>-6.175366769020818</v>
      </c>
      <c r="F39" s="210">
        <v>59.27272727272728</v>
      </c>
      <c r="G39" s="210">
        <v>9.3607305936072915</v>
      </c>
      <c r="H39" s="210">
        <v>-9.4258872651356906</v>
      </c>
      <c r="I39" s="210">
        <v>-32.442088279359226</v>
      </c>
      <c r="J39" s="210">
        <v>22.286062777209125</v>
      </c>
      <c r="K39" s="210">
        <v>-44.773770581449803</v>
      </c>
      <c r="L39" s="210">
        <v>382.61989238267165</v>
      </c>
      <c r="M39" s="382">
        <v>1.293670109040157</v>
      </c>
      <c r="N39" s="382">
        <v>-6.640237350491085</v>
      </c>
      <c r="O39" s="382">
        <v>-0.55541698907201065</v>
      </c>
      <c r="P39" s="382">
        <v>-11.061027041991235</v>
      </c>
      <c r="Q39" s="382">
        <v>12.188343182329886</v>
      </c>
      <c r="R39" s="382">
        <v>7.0477330325687371</v>
      </c>
      <c r="S39" s="382">
        <v>7.9388334748594191</v>
      </c>
      <c r="T39" s="382">
        <v>0.62830172384824579</v>
      </c>
      <c r="U39" s="382">
        <v>3.3421628675077031</v>
      </c>
      <c r="V39" s="382">
        <v>-2.3823875732403521</v>
      </c>
      <c r="W39" s="382">
        <v>1.9963968463160953</v>
      </c>
      <c r="X39" s="382">
        <v>11.618229881857545</v>
      </c>
      <c r="Y39" s="382">
        <v>3.0338740407066078</v>
      </c>
      <c r="Z39" s="382">
        <v>1.9784005179668718</v>
      </c>
      <c r="AA39" s="382">
        <v>1.8437118035894651</v>
      </c>
      <c r="AB39" s="382">
        <v>-4.4939329822486274</v>
      </c>
      <c r="AC39" s="382">
        <v>-0.17307475798389316</v>
      </c>
      <c r="AD39" s="382">
        <v>11.308141692742989</v>
      </c>
      <c r="AE39" s="382">
        <v>-3.4663384280329002</v>
      </c>
    </row>
    <row r="40" spans="1:31" s="271" customFormat="1" ht="9" customHeight="1">
      <c r="A40" s="212"/>
      <c r="B40" s="183" t="s">
        <v>253</v>
      </c>
      <c r="C40" s="210">
        <v>-18.666666666666664</v>
      </c>
      <c r="D40" s="210">
        <v>81.967213114754102</v>
      </c>
      <c r="E40" s="210">
        <v>-9.0090090090090058</v>
      </c>
      <c r="F40" s="210">
        <v>-55.207920792079214</v>
      </c>
      <c r="G40" s="210">
        <v>14.765694076038915</v>
      </c>
      <c r="H40" s="210">
        <v>-14.175654853620944</v>
      </c>
      <c r="I40" s="210">
        <v>27.266606822262098</v>
      </c>
      <c r="J40" s="210">
        <v>72.773761241403619</v>
      </c>
      <c r="K40" s="210">
        <v>25.608083282302509</v>
      </c>
      <c r="L40" s="210">
        <v>248.00293814617277</v>
      </c>
      <c r="M40" s="382">
        <v>6.7070182992464922</v>
      </c>
      <c r="N40" s="382">
        <v>-10.336080167238615</v>
      </c>
      <c r="O40" s="382">
        <v>4.1083940094964522</v>
      </c>
      <c r="P40" s="382">
        <v>15.56847540923647</v>
      </c>
      <c r="Q40" s="382">
        <v>-4.1228270315221476</v>
      </c>
      <c r="R40" s="382">
        <v>18.221755461792235</v>
      </c>
      <c r="S40" s="382">
        <v>0.87754718697317102</v>
      </c>
      <c r="T40" s="382">
        <v>3.3431222128044391</v>
      </c>
      <c r="U40" s="382">
        <v>8.8662909197202211</v>
      </c>
      <c r="V40" s="382">
        <v>8.7727409547889934</v>
      </c>
      <c r="W40" s="382">
        <v>23.297258515734455</v>
      </c>
      <c r="X40" s="382">
        <v>44.013840138954528</v>
      </c>
      <c r="Y40" s="382">
        <v>9.349686537695522</v>
      </c>
      <c r="Z40" s="382">
        <v>9.0102410954442824</v>
      </c>
      <c r="AA40" s="382">
        <v>10.79403655895057</v>
      </c>
      <c r="AB40" s="382">
        <v>7.6053706174726843</v>
      </c>
      <c r="AC40" s="382">
        <v>14.539056016051033</v>
      </c>
      <c r="AD40" s="382">
        <v>9.2006224018746696</v>
      </c>
      <c r="AE40" s="382">
        <v>-0.87640636945551798</v>
      </c>
    </row>
    <row r="41" spans="1:31" s="271" customFormat="1" ht="9" customHeight="1">
      <c r="A41" s="212"/>
      <c r="B41" s="183" t="s">
        <v>380</v>
      </c>
      <c r="C41" s="210">
        <v>-13.136288998357969</v>
      </c>
      <c r="D41" s="210">
        <v>-21.242035986837493</v>
      </c>
      <c r="E41" s="210">
        <v>-12.961152102409113</v>
      </c>
      <c r="F41" s="210">
        <v>20.937187212746402</v>
      </c>
      <c r="G41" s="210">
        <v>20.533132448720369</v>
      </c>
      <c r="H41" s="210">
        <v>8.5612109627894117</v>
      </c>
      <c r="I41" s="210">
        <v>6.1883961440955648</v>
      </c>
      <c r="J41" s="210">
        <v>-35.449522883364736</v>
      </c>
      <c r="K41" s="210">
        <v>33.116268646738533</v>
      </c>
      <c r="L41" s="210">
        <v>-99.984628225441369</v>
      </c>
      <c r="M41" s="382">
        <v>-7.3965909987417149</v>
      </c>
      <c r="N41" s="382">
        <v>7.2032919585488075</v>
      </c>
      <c r="O41" s="382">
        <v>6.8904253962017048</v>
      </c>
      <c r="P41" s="382">
        <v>-8.3989705714173528</v>
      </c>
      <c r="Q41" s="382">
        <v>11.976499198430135</v>
      </c>
      <c r="R41" s="382">
        <v>8.7355822913114842</v>
      </c>
      <c r="S41" s="382">
        <v>6.649642819553403</v>
      </c>
      <c r="T41" s="382">
        <v>4.8651980326366528</v>
      </c>
      <c r="U41" s="382">
        <v>8.2820194018567541</v>
      </c>
      <c r="V41" s="382">
        <v>-3.6248257121344385</v>
      </c>
      <c r="W41" s="382">
        <v>-3.6719375431055856</v>
      </c>
      <c r="X41" s="382">
        <v>14.002994691265712</v>
      </c>
      <c r="Y41" s="382">
        <v>6.7534376444364108</v>
      </c>
      <c r="Z41" s="382">
        <v>3.1385028221084577</v>
      </c>
      <c r="AA41" s="382">
        <v>-0.76264494461260046</v>
      </c>
      <c r="AB41" s="382">
        <v>-10.688542525606792</v>
      </c>
      <c r="AC41" s="382">
        <v>1.2511883749885211</v>
      </c>
      <c r="AD41" s="382">
        <v>14.687000092174474</v>
      </c>
      <c r="AE41" s="382">
        <v>3.4426087467349209</v>
      </c>
    </row>
    <row r="42" spans="1:31" s="271" customFormat="1" ht="9" customHeight="1">
      <c r="A42" s="212"/>
      <c r="B42" s="183" t="s">
        <v>381</v>
      </c>
      <c r="C42" s="210">
        <v>-5.031446540880502</v>
      </c>
      <c r="D42" s="210">
        <v>31.78807947019866</v>
      </c>
      <c r="E42" s="210">
        <v>-8.0402010050251054</v>
      </c>
      <c r="F42" s="210">
        <v>44.584699453551899</v>
      </c>
      <c r="G42" s="210">
        <v>-10.805397029366182</v>
      </c>
      <c r="H42" s="210">
        <v>-6.5381355932203622</v>
      </c>
      <c r="I42" s="210">
        <v>33.73078841184207</v>
      </c>
      <c r="J42" s="210">
        <v>-22.505678543580721</v>
      </c>
      <c r="K42" s="210">
        <v>20.876260472034481</v>
      </c>
      <c r="L42" s="210">
        <v>-98.908937587086726</v>
      </c>
      <c r="M42" s="382">
        <v>-12.207269029185863</v>
      </c>
      <c r="N42" s="382">
        <v>2.7685858759083137</v>
      </c>
      <c r="O42" s="382">
        <v>4.3769677792346862</v>
      </c>
      <c r="P42" s="382">
        <v>-8.2609536038941282</v>
      </c>
      <c r="Q42" s="382">
        <v>3.8047428315234777</v>
      </c>
      <c r="R42" s="382">
        <v>15.247772972279083</v>
      </c>
      <c r="S42" s="382">
        <v>-3.3625929062293891</v>
      </c>
      <c r="T42" s="382">
        <v>7.8112641318773157</v>
      </c>
      <c r="U42" s="382">
        <v>7.9407648667094266</v>
      </c>
      <c r="V42" s="382">
        <v>1.655403541987277</v>
      </c>
      <c r="W42" s="382">
        <v>-5.1984836519530901</v>
      </c>
      <c r="X42" s="382">
        <v>9.1752880828478656</v>
      </c>
      <c r="Y42" s="382">
        <v>2.4512759716411869</v>
      </c>
      <c r="Z42" s="382">
        <v>-3.5076735896970357</v>
      </c>
      <c r="AA42" s="382">
        <v>1.3625949966243667</v>
      </c>
      <c r="AB42" s="382">
        <v>-5.6487037622275587</v>
      </c>
      <c r="AC42" s="382">
        <v>0.13798924151677827</v>
      </c>
      <c r="AD42" s="382">
        <v>8.2584201215547992</v>
      </c>
      <c r="AE42" s="382">
        <v>-4.6533124159601531</v>
      </c>
    </row>
    <row r="43" spans="1:31" s="271" customFormat="1" ht="9" customHeight="1">
      <c r="A43" s="212"/>
      <c r="B43" s="183" t="s">
        <v>382</v>
      </c>
      <c r="C43" s="210">
        <v>-28.934010152284262</v>
      </c>
      <c r="D43" s="210">
        <v>-35.35714285714284</v>
      </c>
      <c r="E43" s="210">
        <v>-1.3812154696132506</v>
      </c>
      <c r="F43" s="210">
        <v>28.40056022408961</v>
      </c>
      <c r="G43" s="210">
        <v>34.068151573987237</v>
      </c>
      <c r="H43" s="210">
        <v>3.4423281886893697</v>
      </c>
      <c r="I43" s="210">
        <v>57.176228154347108</v>
      </c>
      <c r="J43" s="210">
        <v>-8.0356240335873856</v>
      </c>
      <c r="K43" s="210">
        <v>17.747095490041453</v>
      </c>
      <c r="L43" s="210">
        <v>-82.291585112207557</v>
      </c>
      <c r="M43" s="382">
        <v>-0.49026988088405332</v>
      </c>
      <c r="N43" s="382">
        <v>8.5519254793454902</v>
      </c>
      <c r="O43" s="382">
        <v>-0.45027223135797323</v>
      </c>
      <c r="P43" s="382">
        <v>-4.7964080961471867</v>
      </c>
      <c r="Q43" s="382">
        <v>-0.65631198201495655</v>
      </c>
      <c r="R43" s="382">
        <v>18.476167792438037</v>
      </c>
      <c r="S43" s="382">
        <v>-8.1426868749102983</v>
      </c>
      <c r="T43" s="382">
        <v>5.5164872344261484</v>
      </c>
      <c r="U43" s="382">
        <v>-4.9044823262116015</v>
      </c>
      <c r="V43" s="382">
        <v>12.367966740099146</v>
      </c>
      <c r="W43" s="382">
        <v>0.80396688305492958</v>
      </c>
      <c r="X43" s="382">
        <v>-2.2817533992063987</v>
      </c>
      <c r="Y43" s="382">
        <v>-0.84628454692941002</v>
      </c>
      <c r="Z43" s="382">
        <v>-2.7371499432766844</v>
      </c>
      <c r="AA43" s="382">
        <v>1.6678481166079395</v>
      </c>
      <c r="AB43" s="382">
        <v>-2.2562416672820329</v>
      </c>
      <c r="AC43" s="382">
        <v>2.683250351587807</v>
      </c>
      <c r="AD43" s="382">
        <v>1.0620104635793881</v>
      </c>
      <c r="AE43" s="382">
        <v>7.1680772750406296</v>
      </c>
    </row>
    <row r="44" spans="1:31" s="271" customFormat="1" ht="9" customHeight="1">
      <c r="A44" s="212"/>
      <c r="B44" s="183" t="s">
        <v>383</v>
      </c>
      <c r="C44" s="210">
        <v>0.92592592592593004</v>
      </c>
      <c r="D44" s="210">
        <v>79.357798165137609</v>
      </c>
      <c r="E44" s="210">
        <v>-33.759590792838878</v>
      </c>
      <c r="F44" s="210">
        <v>81.4633204633205</v>
      </c>
      <c r="G44" s="210">
        <v>26.853762846017993</v>
      </c>
      <c r="H44" s="210">
        <v>-57.255954377725594</v>
      </c>
      <c r="I44" s="210">
        <v>200.56506043007377</v>
      </c>
      <c r="J44" s="210">
        <v>-73.666379445401859</v>
      </c>
      <c r="K44" s="210">
        <v>-15.425993406212035</v>
      </c>
      <c r="L44" s="210">
        <v>66.767184477401955</v>
      </c>
      <c r="M44" s="382">
        <v>-1.3575088325958773</v>
      </c>
      <c r="N44" s="382">
        <v>-7.4360295416972306</v>
      </c>
      <c r="O44" s="382">
        <v>16.734898799065956</v>
      </c>
      <c r="P44" s="382">
        <v>-6.940637278097106</v>
      </c>
      <c r="Q44" s="382">
        <v>-11.904271310330294</v>
      </c>
      <c r="R44" s="382">
        <v>60.182075985206865</v>
      </c>
      <c r="S44" s="382">
        <v>-11.643168106509293</v>
      </c>
      <c r="T44" s="382">
        <v>30.190222527734822</v>
      </c>
      <c r="U44" s="382">
        <v>16.68040544485001</v>
      </c>
      <c r="V44" s="382">
        <v>-6.0517688472262021</v>
      </c>
      <c r="W44" s="382">
        <v>11.670812107937634</v>
      </c>
      <c r="X44" s="382">
        <v>11.892633028829881</v>
      </c>
      <c r="Y44" s="382">
        <v>4.5686958856791415</v>
      </c>
      <c r="Z44" s="382">
        <v>8.0721162518907477</v>
      </c>
      <c r="AA44" s="382">
        <v>1.0074224223079353</v>
      </c>
      <c r="AB44" s="382">
        <v>-13.650741006185118</v>
      </c>
      <c r="AC44" s="382">
        <v>-11.27396095059513</v>
      </c>
      <c r="AD44" s="382">
        <v>14.54713701752004</v>
      </c>
      <c r="AE44" s="382">
        <v>1.4454357476576751</v>
      </c>
    </row>
    <row r="45" spans="1:31" s="271" customFormat="1" ht="9" customHeight="1">
      <c r="A45" s="212"/>
      <c r="B45" s="183" t="s">
        <v>267</v>
      </c>
      <c r="C45" s="210" t="s">
        <v>441</v>
      </c>
      <c r="D45" s="210" t="s">
        <v>441</v>
      </c>
      <c r="E45" s="210" t="s">
        <v>441</v>
      </c>
      <c r="F45" s="210" t="s">
        <v>441</v>
      </c>
      <c r="G45" s="210">
        <v>-79.310344827586206</v>
      </c>
      <c r="H45" s="210">
        <v>-100</v>
      </c>
      <c r="I45" s="210" t="s">
        <v>441</v>
      </c>
      <c r="J45" s="210">
        <v>-99.011299435028249</v>
      </c>
      <c r="K45" s="210">
        <v>28.571428571428537</v>
      </c>
      <c r="L45" s="210">
        <v>244351.95555555556</v>
      </c>
      <c r="M45" s="382">
        <v>-1.2537531129622415</v>
      </c>
      <c r="N45" s="382">
        <v>12.241418146028815</v>
      </c>
      <c r="O45" s="382">
        <v>-7.3490195853578966</v>
      </c>
      <c r="P45" s="382">
        <v>-4.2719099692152263</v>
      </c>
      <c r="Q45" s="382">
        <v>-0.2376529462241761</v>
      </c>
      <c r="R45" s="382">
        <v>-8.3937821431801289</v>
      </c>
      <c r="S45" s="382">
        <v>12.447885513649304</v>
      </c>
      <c r="T45" s="382">
        <v>17.514738421339949</v>
      </c>
      <c r="U45" s="382">
        <v>4.9799047500380667</v>
      </c>
      <c r="V45" s="382">
        <v>-3.1748833616308869</v>
      </c>
      <c r="W45" s="382">
        <v>3.2797024449319867</v>
      </c>
      <c r="X45" s="382">
        <v>4.416009834113499</v>
      </c>
      <c r="Y45" s="382">
        <v>5.6716863664423078</v>
      </c>
      <c r="Z45" s="382">
        <v>4.7995045965691929</v>
      </c>
      <c r="AA45" s="382">
        <v>-2.5878839546492061</v>
      </c>
      <c r="AB45" s="382">
        <v>-0.57393373816913007</v>
      </c>
      <c r="AC45" s="382">
        <v>-10.33532958622313</v>
      </c>
      <c r="AD45" s="382">
        <v>-1.256093647381773</v>
      </c>
      <c r="AE45" s="382">
        <v>2.1875961724570292</v>
      </c>
    </row>
    <row r="46" spans="1:31" s="271" customFormat="1" ht="9" customHeight="1">
      <c r="A46" s="212"/>
      <c r="B46" s="183" t="s">
        <v>210</v>
      </c>
      <c r="C46" s="210">
        <v>0</v>
      </c>
      <c r="D46" s="210">
        <v>100</v>
      </c>
      <c r="E46" s="210">
        <v>-100</v>
      </c>
      <c r="F46" s="210" t="s">
        <v>441</v>
      </c>
      <c r="G46" s="210" t="s">
        <v>441</v>
      </c>
      <c r="H46" s="210">
        <v>-99.333333333333329</v>
      </c>
      <c r="I46" s="210">
        <v>-100</v>
      </c>
      <c r="J46" s="210" t="s">
        <v>441</v>
      </c>
      <c r="K46" s="210">
        <v>123.52713178294574</v>
      </c>
      <c r="L46" s="210">
        <v>18787.80475117045</v>
      </c>
      <c r="M46" s="382">
        <v>-5.1730416803139168</v>
      </c>
      <c r="N46" s="382">
        <v>-25.445330272158152</v>
      </c>
      <c r="O46" s="382">
        <v>11.533476155485722</v>
      </c>
      <c r="P46" s="382">
        <v>-9.3486422842698698</v>
      </c>
      <c r="Q46" s="382">
        <v>-2.9835294750895969</v>
      </c>
      <c r="R46" s="382">
        <v>-5.7666790236836523</v>
      </c>
      <c r="S46" s="382">
        <v>32.063712465685491</v>
      </c>
      <c r="T46" s="382">
        <v>29.365960486703635</v>
      </c>
      <c r="U46" s="382">
        <v>4.2470267186914823</v>
      </c>
      <c r="V46" s="382">
        <v>-21.411714572640662</v>
      </c>
      <c r="W46" s="382">
        <v>-11.64021994337141</v>
      </c>
      <c r="X46" s="382">
        <v>43.216545739089661</v>
      </c>
      <c r="Y46" s="382">
        <v>-7.6132276766502249</v>
      </c>
      <c r="Z46" s="382">
        <v>-0.38900555201925036</v>
      </c>
      <c r="AA46" s="382">
        <v>-10.858438712454921</v>
      </c>
      <c r="AB46" s="382">
        <v>1.6408732773203871</v>
      </c>
      <c r="AC46" s="382">
        <v>7.007424720054245</v>
      </c>
      <c r="AD46" s="382">
        <v>19.340772247921812</v>
      </c>
      <c r="AE46" s="382">
        <v>-13.195323101154599</v>
      </c>
    </row>
    <row r="47" spans="1:31" s="271" customFormat="1" ht="9" customHeight="1">
      <c r="A47" s="212"/>
      <c r="B47" s="183" t="s">
        <v>384</v>
      </c>
      <c r="C47" s="210">
        <v>-8.3582089552238781</v>
      </c>
      <c r="D47" s="210">
        <v>-5.8631921824104367</v>
      </c>
      <c r="E47" s="210">
        <v>33.564013840830476</v>
      </c>
      <c r="F47" s="210">
        <v>2.0051813471502422</v>
      </c>
      <c r="G47" s="210">
        <v>-24.782851627977852</v>
      </c>
      <c r="H47" s="210">
        <v>1.0636142625607858</v>
      </c>
      <c r="I47" s="210">
        <v>3.9824930673883374</v>
      </c>
      <c r="J47" s="210">
        <v>24.347138771969256</v>
      </c>
      <c r="K47" s="210">
        <v>30.626016781152533</v>
      </c>
      <c r="L47" s="210">
        <v>-86.813245504717813</v>
      </c>
      <c r="M47" s="382">
        <v>-2.6732344118426066</v>
      </c>
      <c r="N47" s="382">
        <v>4.0863400654685966</v>
      </c>
      <c r="O47" s="382">
        <v>-7.2270748779013516</v>
      </c>
      <c r="P47" s="382">
        <v>-8.8922406133506549</v>
      </c>
      <c r="Q47" s="382">
        <v>7.8344772888244485</v>
      </c>
      <c r="R47" s="382">
        <v>-9.6506086261973998</v>
      </c>
      <c r="S47" s="382">
        <v>-5.9643365399939423</v>
      </c>
      <c r="T47" s="382">
        <v>-3.980089896509742</v>
      </c>
      <c r="U47" s="382">
        <v>8.0948042184407321</v>
      </c>
      <c r="V47" s="382">
        <v>-6.5592844212359225</v>
      </c>
      <c r="W47" s="382">
        <v>-4.2548526880189064</v>
      </c>
      <c r="X47" s="382">
        <v>3.2164343883043012</v>
      </c>
      <c r="Y47" s="382">
        <v>1.9496713234649077</v>
      </c>
      <c r="Z47" s="382">
        <v>-4.0147234736127029</v>
      </c>
      <c r="AA47" s="382">
        <v>4.1937557945175952</v>
      </c>
      <c r="AB47" s="382">
        <v>-2.0068261301602219</v>
      </c>
      <c r="AC47" s="382">
        <v>4.7500733028021047</v>
      </c>
      <c r="AD47" s="382">
        <v>8.0595089764110348</v>
      </c>
      <c r="AE47" s="382">
        <v>-7.418172540216128</v>
      </c>
    </row>
    <row r="48" spans="1:31" s="271" customFormat="1" ht="9" customHeight="1">
      <c r="A48" s="213"/>
      <c r="B48" s="188" t="s">
        <v>447</v>
      </c>
      <c r="C48" s="214">
        <v>100</v>
      </c>
      <c r="D48" s="214">
        <v>-9.0909090909090935</v>
      </c>
      <c r="E48" s="214">
        <v>-30</v>
      </c>
      <c r="F48" s="214">
        <v>19.85714285714284</v>
      </c>
      <c r="G48" s="214">
        <v>-60.786650774731818</v>
      </c>
      <c r="H48" s="214">
        <v>-19.148936170212771</v>
      </c>
      <c r="I48" s="214">
        <v>166.54135338345864</v>
      </c>
      <c r="J48" s="214">
        <v>357.21988716502119</v>
      </c>
      <c r="K48" s="214">
        <v>-66.901513377748458</v>
      </c>
      <c r="L48" s="214">
        <v>1908.5830187799993</v>
      </c>
      <c r="M48" s="383">
        <v>-0.44652854503073325</v>
      </c>
      <c r="N48" s="383">
        <v>8.6584286900889484</v>
      </c>
      <c r="O48" s="383">
        <v>9.9170921536383858</v>
      </c>
      <c r="P48" s="383">
        <v>2.1761597528703769</v>
      </c>
      <c r="Q48" s="383">
        <v>-11.792381641069582</v>
      </c>
      <c r="R48" s="383">
        <v>2.5570772929578656</v>
      </c>
      <c r="S48" s="383">
        <v>-10.065399532145925</v>
      </c>
      <c r="T48" s="383">
        <v>6.0950256946089798</v>
      </c>
      <c r="U48" s="383">
        <v>3.9153150869619902</v>
      </c>
      <c r="V48" s="383">
        <v>7.3959614628998693</v>
      </c>
      <c r="W48" s="383">
        <v>-32.650139895995899</v>
      </c>
      <c r="X48" s="383">
        <v>-1.5733775775219394</v>
      </c>
      <c r="Y48" s="383">
        <v>22.807285050185722</v>
      </c>
      <c r="Z48" s="383">
        <v>-2.4964747108248808</v>
      </c>
      <c r="AA48" s="383">
        <v>-2.3944545576090492</v>
      </c>
      <c r="AB48" s="383">
        <v>17.071465299963752</v>
      </c>
      <c r="AC48" s="383">
        <v>4.564160336316947</v>
      </c>
      <c r="AD48" s="383">
        <v>-0.6675194712769672</v>
      </c>
      <c r="AE48" s="383">
        <v>-2.4551994756599083</v>
      </c>
    </row>
    <row r="49" spans="1:31" s="271" customFormat="1" ht="12.75">
      <c r="A49" s="19"/>
      <c r="B49" s="31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151"/>
      <c r="AE49" s="151" t="s">
        <v>488</v>
      </c>
    </row>
    <row r="50" spans="1:31" s="271" customFormat="1" ht="15" customHeight="1">
      <c r="A50" s="19"/>
      <c r="B50" s="89" t="s">
        <v>362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spans="1:31" s="271" customFormat="1" ht="16.350000000000001" customHeight="1">
      <c r="A51" s="572" t="s">
        <v>229</v>
      </c>
      <c r="B51" s="573"/>
      <c r="C51" s="206" t="s">
        <v>140</v>
      </c>
      <c r="D51" s="206" t="s">
        <v>141</v>
      </c>
      <c r="E51" s="206" t="s">
        <v>142</v>
      </c>
      <c r="F51" s="206" t="s">
        <v>143</v>
      </c>
      <c r="G51" s="206" t="s">
        <v>144</v>
      </c>
      <c r="H51" s="206" t="s">
        <v>145</v>
      </c>
      <c r="I51" s="207" t="s">
        <v>146</v>
      </c>
      <c r="J51" s="207" t="s">
        <v>147</v>
      </c>
      <c r="K51" s="207" t="s">
        <v>148</v>
      </c>
      <c r="L51" s="207" t="s">
        <v>149</v>
      </c>
      <c r="M51" s="176" t="s">
        <v>150</v>
      </c>
      <c r="N51" s="176" t="s">
        <v>151</v>
      </c>
      <c r="O51" s="176" t="s">
        <v>152</v>
      </c>
      <c r="P51" s="176" t="s">
        <v>153</v>
      </c>
      <c r="Q51" s="176" t="s">
        <v>154</v>
      </c>
      <c r="R51" s="176" t="s">
        <v>155</v>
      </c>
      <c r="S51" s="176" t="s">
        <v>212</v>
      </c>
      <c r="T51" s="176" t="s">
        <v>213</v>
      </c>
      <c r="U51" s="176" t="s">
        <v>214</v>
      </c>
      <c r="V51" s="176" t="s">
        <v>215</v>
      </c>
      <c r="W51" s="176" t="s">
        <v>216</v>
      </c>
      <c r="X51" s="176" t="s">
        <v>217</v>
      </c>
      <c r="Y51" s="176" t="s">
        <v>377</v>
      </c>
      <c r="Z51" s="176" t="s">
        <v>219</v>
      </c>
      <c r="AA51" s="176" t="s">
        <v>220</v>
      </c>
      <c r="AB51" s="176" t="s">
        <v>221</v>
      </c>
      <c r="AC51" s="176" t="s">
        <v>81</v>
      </c>
      <c r="AD51" s="176" t="s">
        <v>82</v>
      </c>
      <c r="AE51" s="176" t="s">
        <v>83</v>
      </c>
    </row>
    <row r="52" spans="1:31" s="271" customFormat="1" ht="9" customHeight="1">
      <c r="A52" s="212"/>
      <c r="B52" s="183" t="s">
        <v>448</v>
      </c>
      <c r="C52" s="210">
        <v>10.526315789473673</v>
      </c>
      <c r="D52" s="210">
        <v>0</v>
      </c>
      <c r="E52" s="210">
        <v>-9.5238095238095237</v>
      </c>
      <c r="F52" s="210">
        <v>54.210526315789487</v>
      </c>
      <c r="G52" s="210">
        <v>-45.563139931740629</v>
      </c>
      <c r="H52" s="210">
        <v>71.347962382445147</v>
      </c>
      <c r="I52" s="210">
        <v>28.503476033662633</v>
      </c>
      <c r="J52" s="210">
        <v>-26.623006833712981</v>
      </c>
      <c r="K52" s="210">
        <v>-11.699650756693813</v>
      </c>
      <c r="L52" s="210">
        <v>-93.047681828169644</v>
      </c>
      <c r="M52" s="382">
        <v>-21.013273739846049</v>
      </c>
      <c r="N52" s="382">
        <v>36.405501952921846</v>
      </c>
      <c r="O52" s="382">
        <v>-0.94999228771418531</v>
      </c>
      <c r="P52" s="382">
        <v>-10.263250859196971</v>
      </c>
      <c r="Q52" s="382">
        <v>20.715120240266426</v>
      </c>
      <c r="R52" s="382">
        <v>-6.6339115268173039</v>
      </c>
      <c r="S52" s="382">
        <v>4.5877448118114561</v>
      </c>
      <c r="T52" s="382">
        <v>-6.1492242237807249</v>
      </c>
      <c r="U52" s="382">
        <v>31.907134666291824</v>
      </c>
      <c r="V52" s="382">
        <v>4.2690626818524757</v>
      </c>
      <c r="W52" s="382">
        <v>0.25120926394075482</v>
      </c>
      <c r="X52" s="382">
        <v>7.3598380872821778</v>
      </c>
      <c r="Y52" s="382">
        <v>17.907035550951544</v>
      </c>
      <c r="Z52" s="382">
        <v>120.07518698626041</v>
      </c>
      <c r="AA52" s="382">
        <v>-7.8962390655611392</v>
      </c>
      <c r="AB52" s="382">
        <v>-24.981548182904511</v>
      </c>
      <c r="AC52" s="382">
        <v>-0.77183072493862692</v>
      </c>
      <c r="AD52" s="382">
        <v>10.273677537983428</v>
      </c>
      <c r="AE52" s="382">
        <v>3.5016575789490023</v>
      </c>
    </row>
    <row r="53" spans="1:31" s="271" customFormat="1" ht="9" customHeight="1">
      <c r="A53" s="212"/>
      <c r="B53" s="183" t="s">
        <v>271</v>
      </c>
      <c r="C53" s="210">
        <v>-6.9428430242134738</v>
      </c>
      <c r="D53" s="210">
        <v>-17.505973979998245</v>
      </c>
      <c r="E53" s="210">
        <v>2.0384078961484864</v>
      </c>
      <c r="F53" s="210">
        <v>20.87383030175587</v>
      </c>
      <c r="G53" s="210">
        <v>7.2097046791535613</v>
      </c>
      <c r="H53" s="210">
        <v>5.0878041339828206</v>
      </c>
      <c r="I53" s="210">
        <v>3.1871707133283689</v>
      </c>
      <c r="J53" s="210">
        <v>-1.919244073160975</v>
      </c>
      <c r="K53" s="210">
        <v>5.1196424927825834</v>
      </c>
      <c r="L53" s="210">
        <v>-99.992351040816089</v>
      </c>
      <c r="M53" s="382">
        <v>26.481243930858088</v>
      </c>
      <c r="N53" s="382">
        <v>-6.5850903676965551</v>
      </c>
      <c r="O53" s="382">
        <v>-5.0183450367690563</v>
      </c>
      <c r="P53" s="382">
        <v>2.7586592594579296</v>
      </c>
      <c r="Q53" s="382">
        <v>14.467957944384713</v>
      </c>
      <c r="R53" s="382">
        <v>8.4123894359023907</v>
      </c>
      <c r="S53" s="382">
        <v>17.446905083084463</v>
      </c>
      <c r="T53" s="382">
        <v>33.697081860493007</v>
      </c>
      <c r="U53" s="382">
        <v>16.463606363118231</v>
      </c>
      <c r="V53" s="382">
        <v>1.8224772942553091</v>
      </c>
      <c r="W53" s="382">
        <v>5.6461085865881833</v>
      </c>
      <c r="X53" s="382">
        <v>-4.2611323122793259</v>
      </c>
      <c r="Y53" s="382">
        <v>21.960613933305439</v>
      </c>
      <c r="Z53" s="382">
        <v>11.439321536571878</v>
      </c>
      <c r="AA53" s="382">
        <v>-2.7066662361090121</v>
      </c>
      <c r="AB53" s="382">
        <v>7.581296114779601</v>
      </c>
      <c r="AC53" s="382">
        <v>6.1565395879295881</v>
      </c>
      <c r="AD53" s="382">
        <v>5.5008233382207727</v>
      </c>
      <c r="AE53" s="382">
        <v>-12.722972334929604</v>
      </c>
    </row>
    <row r="54" spans="1:31" s="271" customFormat="1" ht="9" customHeight="1">
      <c r="A54" s="212"/>
      <c r="B54" s="183" t="s">
        <v>449</v>
      </c>
      <c r="C54" s="210">
        <v>-15.767634854771796</v>
      </c>
      <c r="D54" s="210">
        <v>-31.034482758620683</v>
      </c>
      <c r="E54" s="210">
        <v>42.85714285714284</v>
      </c>
      <c r="F54" s="210">
        <v>16.495000000000001</v>
      </c>
      <c r="G54" s="210">
        <v>-4.2534014335379178</v>
      </c>
      <c r="H54" s="210">
        <v>16.95355926125157</v>
      </c>
      <c r="I54" s="210">
        <v>17.278650824070517</v>
      </c>
      <c r="J54" s="210">
        <v>-20.333760376495192</v>
      </c>
      <c r="K54" s="210">
        <v>11.960178002579225</v>
      </c>
      <c r="L54" s="210">
        <v>96.752502462101916</v>
      </c>
      <c r="M54" s="382">
        <v>-14.749230627313315</v>
      </c>
      <c r="N54" s="382">
        <v>-4.3853334476685273</v>
      </c>
      <c r="O54" s="382">
        <v>-1.8181729366016253</v>
      </c>
      <c r="P54" s="382">
        <v>-1.6380447383170571</v>
      </c>
      <c r="Q54" s="382">
        <v>2.7823796530650258</v>
      </c>
      <c r="R54" s="382">
        <v>3.2298578871533978</v>
      </c>
      <c r="S54" s="382">
        <v>0.41587074769704468</v>
      </c>
      <c r="T54" s="382">
        <v>3.23580106186665</v>
      </c>
      <c r="U54" s="382">
        <v>12.617829055575625</v>
      </c>
      <c r="V54" s="382">
        <v>15.24596342481599</v>
      </c>
      <c r="W54" s="382">
        <v>-5.4497109289550982</v>
      </c>
      <c r="X54" s="382">
        <v>-3.0432555847373366</v>
      </c>
      <c r="Y54" s="382">
        <v>4.6373646897797327</v>
      </c>
      <c r="Z54" s="382">
        <v>-1.0843221885454168</v>
      </c>
      <c r="AA54" s="382">
        <v>10.830738054896516</v>
      </c>
      <c r="AB54" s="382">
        <v>-6.4252704453228837</v>
      </c>
      <c r="AC54" s="382">
        <v>5.658512707408403</v>
      </c>
      <c r="AD54" s="382">
        <v>-15.994448428111752</v>
      </c>
      <c r="AE54" s="382">
        <v>1.8710054835323398</v>
      </c>
    </row>
    <row r="55" spans="1:31" s="271" customFormat="1" ht="9" customHeight="1">
      <c r="A55" s="212"/>
      <c r="B55" s="183" t="s">
        <v>493</v>
      </c>
      <c r="C55" s="210">
        <v>50.617283950617264</v>
      </c>
      <c r="D55" s="210">
        <v>-27.04918032786885</v>
      </c>
      <c r="E55" s="210">
        <v>-23.59550561797754</v>
      </c>
      <c r="F55" s="210">
        <v>74.352941176470594</v>
      </c>
      <c r="G55" s="210">
        <v>-16.413630229419706</v>
      </c>
      <c r="H55" s="210">
        <v>-9.0817356205852739</v>
      </c>
      <c r="I55" s="210">
        <v>56.437291897891242</v>
      </c>
      <c r="J55" s="210">
        <v>-56.195111741752399</v>
      </c>
      <c r="K55" s="210">
        <v>47.760855118937414</v>
      </c>
      <c r="L55" s="210">
        <v>-49.917775534168563</v>
      </c>
      <c r="M55" s="382">
        <v>-9.3312271865011009</v>
      </c>
      <c r="N55" s="382">
        <v>13.300839688633847</v>
      </c>
      <c r="O55" s="382">
        <v>12.082346883364693</v>
      </c>
      <c r="P55" s="382">
        <v>2.7229471431288621</v>
      </c>
      <c r="Q55" s="382">
        <v>-14.000426271553291</v>
      </c>
      <c r="R55" s="382">
        <v>76.378880088202706</v>
      </c>
      <c r="S55" s="382">
        <v>-23.690779255851702</v>
      </c>
      <c r="T55" s="382">
        <v>20.940325390799174</v>
      </c>
      <c r="U55" s="382">
        <v>-1.0633023954890741</v>
      </c>
      <c r="V55" s="382">
        <v>26.352064663106244</v>
      </c>
      <c r="W55" s="382">
        <v>-33.675908498997032</v>
      </c>
      <c r="X55" s="382">
        <v>63.185184561869988</v>
      </c>
      <c r="Y55" s="382">
        <v>-49.482675382125862</v>
      </c>
      <c r="Z55" s="382">
        <v>-6.4973334173327402</v>
      </c>
      <c r="AA55" s="382">
        <v>10.503516440541505</v>
      </c>
      <c r="AB55" s="382">
        <v>24.520348458783126</v>
      </c>
      <c r="AC55" s="382">
        <v>-15.945445036943296</v>
      </c>
      <c r="AD55" s="382">
        <v>-30.391169215924229</v>
      </c>
      <c r="AE55" s="382">
        <v>52.114108831089268</v>
      </c>
    </row>
    <row r="56" spans="1:31" s="271" customFormat="1" ht="9" customHeight="1">
      <c r="A56" s="212"/>
      <c r="B56" s="183" t="s">
        <v>466</v>
      </c>
      <c r="C56" s="210">
        <v>-15.254237288135597</v>
      </c>
      <c r="D56" s="210">
        <v>26</v>
      </c>
      <c r="E56" s="210">
        <v>-6.3492063492063489</v>
      </c>
      <c r="F56" s="210">
        <v>-17.559322033898304</v>
      </c>
      <c r="G56" s="210">
        <v>37.828947368421041</v>
      </c>
      <c r="H56" s="210">
        <v>8.3084725536992856</v>
      </c>
      <c r="I56" s="210">
        <v>17.903869990359468</v>
      </c>
      <c r="J56" s="210">
        <v>4.5049410115640676</v>
      </c>
      <c r="K56" s="210">
        <v>8.0806843396893804</v>
      </c>
      <c r="L56" s="210">
        <v>139.64879695375828</v>
      </c>
      <c r="M56" s="382">
        <v>-2.6722045420975782</v>
      </c>
      <c r="N56" s="382">
        <v>1.0025435853680431</v>
      </c>
      <c r="O56" s="382">
        <v>-6.5021451561672166</v>
      </c>
      <c r="P56" s="382">
        <v>-9.1142836331734589</v>
      </c>
      <c r="Q56" s="382">
        <v>-6.3176372585252105</v>
      </c>
      <c r="R56" s="382">
        <v>8.5458240291365719</v>
      </c>
      <c r="S56" s="382">
        <v>3.6630519642108839</v>
      </c>
      <c r="T56" s="382">
        <v>8.6831049907595048</v>
      </c>
      <c r="U56" s="382">
        <v>0.97802256391035236</v>
      </c>
      <c r="V56" s="382">
        <v>-4.9143611983358486</v>
      </c>
      <c r="W56" s="382">
        <v>3.6299870880493357</v>
      </c>
      <c r="X56" s="382">
        <v>2.18274607243929</v>
      </c>
      <c r="Y56" s="382">
        <v>4.8485746260976903</v>
      </c>
      <c r="Z56" s="382">
        <v>-0.42836320888907098</v>
      </c>
      <c r="AA56" s="382">
        <v>4.2670525429250983</v>
      </c>
      <c r="AB56" s="382">
        <v>-100</v>
      </c>
      <c r="AC56" s="395" t="s">
        <v>441</v>
      </c>
      <c r="AD56" s="382">
        <v>16.197562866728312</v>
      </c>
      <c r="AE56" s="382">
        <v>-9.3105686069245621</v>
      </c>
    </row>
    <row r="57" spans="1:31" s="271" customFormat="1" ht="9" customHeight="1">
      <c r="A57" s="212"/>
      <c r="B57" s="183" t="s">
        <v>467</v>
      </c>
      <c r="C57" s="210">
        <v>-3.349282296650713</v>
      </c>
      <c r="D57" s="210">
        <v>10.891089108910879</v>
      </c>
      <c r="E57" s="210">
        <v>-10.267857142857139</v>
      </c>
      <c r="F57" s="210">
        <v>7.5273631840796051</v>
      </c>
      <c r="G57" s="210">
        <v>30.486281404710127</v>
      </c>
      <c r="H57" s="210">
        <v>20.126232182114734</v>
      </c>
      <c r="I57" s="210">
        <v>7.7365842139441643</v>
      </c>
      <c r="J57" s="210">
        <v>3.6644620400558825</v>
      </c>
      <c r="K57" s="210">
        <v>-6.4002127892829002</v>
      </c>
      <c r="L57" s="210">
        <v>-92.565271158933328</v>
      </c>
      <c r="M57" s="382">
        <v>42.158926145815869</v>
      </c>
      <c r="N57" s="382">
        <v>10.55798578436924</v>
      </c>
      <c r="O57" s="382">
        <v>40.648822577038857</v>
      </c>
      <c r="P57" s="382">
        <v>21.511494437384805</v>
      </c>
      <c r="Q57" s="382">
        <v>-2.6144761061660193</v>
      </c>
      <c r="R57" s="382">
        <v>-0.18772664491644164</v>
      </c>
      <c r="S57" s="382">
        <v>-18.846846259661376</v>
      </c>
      <c r="T57" s="382">
        <v>17.755433555051823</v>
      </c>
      <c r="U57" s="382">
        <v>1.5152661621850472</v>
      </c>
      <c r="V57" s="382">
        <v>7.7551159675038672</v>
      </c>
      <c r="W57" s="382">
        <v>7.3415686558879756</v>
      </c>
      <c r="X57" s="382">
        <v>4.6046159832122235</v>
      </c>
      <c r="Y57" s="382">
        <v>10.153920470304634</v>
      </c>
      <c r="Z57" s="382">
        <v>-0.12563601721958806</v>
      </c>
      <c r="AA57" s="382">
        <v>8.5258934556657238</v>
      </c>
      <c r="AB57" s="382">
        <v>17.549864137035897</v>
      </c>
      <c r="AC57" s="382">
        <v>-0.12822348805732187</v>
      </c>
      <c r="AD57" s="382">
        <v>-0.47805873906228147</v>
      </c>
      <c r="AE57" s="382">
        <v>-16.960505350496334</v>
      </c>
    </row>
    <row r="58" spans="1:31" s="271" customFormat="1" ht="9" customHeight="1">
      <c r="A58" s="212"/>
      <c r="B58" s="183" t="s">
        <v>446</v>
      </c>
      <c r="C58" s="210">
        <v>29.166666666666675</v>
      </c>
      <c r="D58" s="210">
        <v>-10.752688172043001</v>
      </c>
      <c r="E58" s="210">
        <v>-20.481927710843383</v>
      </c>
      <c r="F58" s="210">
        <v>28.469696969696969</v>
      </c>
      <c r="G58" s="210">
        <v>43.979242835240015</v>
      </c>
      <c r="H58" s="210">
        <v>-25.155635648754917</v>
      </c>
      <c r="I58" s="210">
        <v>54.864835285104505</v>
      </c>
      <c r="J58" s="210">
        <v>-5.6579505300353379</v>
      </c>
      <c r="K58" s="210">
        <v>1.6619398624657444</v>
      </c>
      <c r="L58" s="210">
        <v>17.665575463558667</v>
      </c>
      <c r="M58" s="382">
        <v>0.67839366033448645</v>
      </c>
      <c r="N58" s="382">
        <v>2.4732503693309038</v>
      </c>
      <c r="O58" s="382">
        <v>-13.461035830491531</v>
      </c>
      <c r="P58" s="382">
        <v>18.587894252063663</v>
      </c>
      <c r="Q58" s="382">
        <v>0.96497195462095231</v>
      </c>
      <c r="R58" s="382">
        <v>19.478745279132959</v>
      </c>
      <c r="S58" s="382">
        <v>19.033929430165685</v>
      </c>
      <c r="T58" s="382">
        <v>24.969046649676564</v>
      </c>
      <c r="U58" s="382">
        <v>10.078092559447271</v>
      </c>
      <c r="V58" s="382">
        <v>-14.212089021948216</v>
      </c>
      <c r="W58" s="382">
        <v>-5.1987202246469799</v>
      </c>
      <c r="X58" s="382">
        <v>9.1790506533925296</v>
      </c>
      <c r="Y58" s="382">
        <v>-3.9152572384845707</v>
      </c>
      <c r="Z58" s="382">
        <v>0.16800599326984855</v>
      </c>
      <c r="AA58" s="382">
        <v>4.8452245399743354</v>
      </c>
      <c r="AB58" s="382">
        <v>-10.561472137943873</v>
      </c>
      <c r="AC58" s="382">
        <v>12.171770778099766</v>
      </c>
      <c r="AD58" s="382">
        <v>5.4343385677876554</v>
      </c>
      <c r="AE58" s="382">
        <v>25.82250164576465</v>
      </c>
    </row>
    <row r="59" spans="1:31" s="271" customFormat="1" ht="9" customHeight="1">
      <c r="A59" s="212"/>
      <c r="B59" s="183" t="s">
        <v>468</v>
      </c>
      <c r="C59" s="210">
        <v>4.6025104602510414</v>
      </c>
      <c r="D59" s="210">
        <v>-5.9999999999999947</v>
      </c>
      <c r="E59" s="210">
        <v>15.319148936170212</v>
      </c>
      <c r="F59" s="210">
        <v>-2.7638376383763874</v>
      </c>
      <c r="G59" s="210">
        <v>5.6051003756973028</v>
      </c>
      <c r="H59" s="210">
        <v>1.3942791433089186</v>
      </c>
      <c r="I59" s="210">
        <v>18.475333144315286</v>
      </c>
      <c r="J59" s="210">
        <v>38.586179664363286</v>
      </c>
      <c r="K59" s="210">
        <v>-16.155016837127413</v>
      </c>
      <c r="L59" s="210">
        <v>-99.230865910188427</v>
      </c>
      <c r="M59" s="382">
        <v>-24.862120051530891</v>
      </c>
      <c r="N59" s="382">
        <v>34.581771215000991</v>
      </c>
      <c r="O59" s="382">
        <v>-4.6473480617342799</v>
      </c>
      <c r="P59" s="382">
        <v>-34.477299411367866</v>
      </c>
      <c r="Q59" s="382">
        <v>-24.028032640872222</v>
      </c>
      <c r="R59" s="382">
        <v>178.85515468442117</v>
      </c>
      <c r="S59" s="382">
        <v>-20.013019813380872</v>
      </c>
      <c r="T59" s="382">
        <v>10.596717580050118</v>
      </c>
      <c r="U59" s="382">
        <v>17.748305800406495</v>
      </c>
      <c r="V59" s="382">
        <v>-21.804119203849957</v>
      </c>
      <c r="W59" s="382">
        <v>25.955437160190353</v>
      </c>
      <c r="X59" s="382">
        <v>27.326236650738679</v>
      </c>
      <c r="Y59" s="382">
        <v>-35.543460302331944</v>
      </c>
      <c r="Z59" s="382">
        <v>27.048646088935936</v>
      </c>
      <c r="AA59" s="382">
        <v>-4.525728854702904</v>
      </c>
      <c r="AB59" s="382">
        <v>16.019299502934501</v>
      </c>
      <c r="AC59" s="382">
        <v>-21.291585883101583</v>
      </c>
      <c r="AD59" s="382">
        <v>-17.442435056769902</v>
      </c>
      <c r="AE59" s="382">
        <v>-3.2859665782017711</v>
      </c>
    </row>
    <row r="60" spans="1:31" s="271" customFormat="1" ht="9" customHeight="1">
      <c r="A60" s="212"/>
      <c r="B60" s="183" t="s">
        <v>469</v>
      </c>
      <c r="C60" s="210">
        <v>400</v>
      </c>
      <c r="D60" s="210">
        <v>-100</v>
      </c>
      <c r="E60" s="210" t="s">
        <v>441</v>
      </c>
      <c r="F60" s="210">
        <v>-70.77272727272728</v>
      </c>
      <c r="G60" s="210">
        <v>-98.600311041990679</v>
      </c>
      <c r="H60" s="210">
        <v>211.11111111111111</v>
      </c>
      <c r="I60" s="210">
        <v>478.57142857142867</v>
      </c>
      <c r="J60" s="210">
        <v>537.98765432098753</v>
      </c>
      <c r="K60" s="210">
        <v>-76.918261508988522</v>
      </c>
      <c r="L60" s="210">
        <v>814.46141206158632</v>
      </c>
      <c r="M60" s="382">
        <v>-19.571950058573872</v>
      </c>
      <c r="N60" s="382">
        <v>-1.1417842496026842</v>
      </c>
      <c r="O60" s="382">
        <v>6.9847162258856343</v>
      </c>
      <c r="P60" s="382">
        <v>6.5861171082686409</v>
      </c>
      <c r="Q60" s="382">
        <v>-7.3357273088156649</v>
      </c>
      <c r="R60" s="382">
        <v>7.7648448155320793</v>
      </c>
      <c r="S60" s="382">
        <v>3.0520570363304245</v>
      </c>
      <c r="T60" s="382">
        <v>22.777199261016623</v>
      </c>
      <c r="U60" s="382">
        <v>15.000550857851835</v>
      </c>
      <c r="V60" s="382">
        <v>9.6929458829479778</v>
      </c>
      <c r="W60" s="382">
        <v>15.391186472177164</v>
      </c>
      <c r="X60" s="382">
        <v>12.018447986754332</v>
      </c>
      <c r="Y60" s="382">
        <v>46.97083774498023</v>
      </c>
      <c r="Z60" s="382">
        <v>5.0069184210972395</v>
      </c>
      <c r="AA60" s="382">
        <v>3.8592763006440434</v>
      </c>
      <c r="AB60" s="382">
        <v>2.9388864284099592</v>
      </c>
      <c r="AC60" s="382">
        <v>11.665796977831944</v>
      </c>
      <c r="AD60" s="382">
        <v>-1.8632362267673064</v>
      </c>
      <c r="AE60" s="382">
        <v>-3.4352170182468056</v>
      </c>
    </row>
    <row r="61" spans="1:31" s="271" customFormat="1" ht="9" customHeight="1">
      <c r="A61" s="212"/>
      <c r="B61" s="183" t="s">
        <v>477</v>
      </c>
      <c r="C61" s="210">
        <v>-19.30693069306929</v>
      </c>
      <c r="D61" s="210">
        <v>8.5889570552147187</v>
      </c>
      <c r="E61" s="210">
        <v>10.734463276836181</v>
      </c>
      <c r="F61" s="210">
        <v>-17.821428571428587</v>
      </c>
      <c r="G61" s="210">
        <v>63.792140063326542</v>
      </c>
      <c r="H61" s="210">
        <v>12.940641346372516</v>
      </c>
      <c r="I61" s="210">
        <v>15.512149281782794</v>
      </c>
      <c r="J61" s="210">
        <v>-29.110058690220232</v>
      </c>
      <c r="K61" s="210">
        <v>24.572009393866125</v>
      </c>
      <c r="L61" s="210">
        <v>-92.416645281007561</v>
      </c>
      <c r="M61" s="382">
        <v>-10.950120363195126</v>
      </c>
      <c r="N61" s="382">
        <v>38.81041236535421</v>
      </c>
      <c r="O61" s="382">
        <v>19.678291714958029</v>
      </c>
      <c r="P61" s="382">
        <v>19.851948585514734</v>
      </c>
      <c r="Q61" s="382">
        <v>5.4356984139615205</v>
      </c>
      <c r="R61" s="382">
        <v>9.620633463482875</v>
      </c>
      <c r="S61" s="382">
        <v>14.57415872930461</v>
      </c>
      <c r="T61" s="382">
        <v>-1.314850613733165</v>
      </c>
      <c r="U61" s="382">
        <v>12.973508127132206</v>
      </c>
      <c r="V61" s="382">
        <v>3.5635010193040939</v>
      </c>
      <c r="W61" s="382">
        <v>2.431655918221387</v>
      </c>
      <c r="X61" s="382">
        <v>7.6887263021681473</v>
      </c>
      <c r="Y61" s="382">
        <v>4.6392057151252608</v>
      </c>
      <c r="Z61" s="382">
        <v>7.8954318262587808</v>
      </c>
      <c r="AA61" s="382">
        <v>-4.726583609129154</v>
      </c>
      <c r="AB61" s="382">
        <v>2.4908884788411134</v>
      </c>
      <c r="AC61" s="382">
        <v>-7.5547648434380221</v>
      </c>
      <c r="AD61" s="382">
        <v>-5.2473493703018459</v>
      </c>
      <c r="AE61" s="382">
        <v>2.4785375149332989</v>
      </c>
    </row>
    <row r="62" spans="1:31" s="271" customFormat="1" ht="9" customHeight="1">
      <c r="A62" s="212"/>
      <c r="B62" s="183" t="s">
        <v>490</v>
      </c>
      <c r="C62" s="210">
        <v>-62.5</v>
      </c>
      <c r="D62" s="210">
        <v>100</v>
      </c>
      <c r="E62" s="210">
        <v>150</v>
      </c>
      <c r="F62" s="210">
        <v>-72.2</v>
      </c>
      <c r="G62" s="210">
        <v>90.887290167865714</v>
      </c>
      <c r="H62" s="210">
        <v>155.02512562814067</v>
      </c>
      <c r="I62" s="210">
        <v>-82.610837438423644</v>
      </c>
      <c r="J62" s="210">
        <v>1047.0254957507082</v>
      </c>
      <c r="K62" s="210">
        <v>16.028649049147958</v>
      </c>
      <c r="L62" s="210">
        <v>-60.876330353341856</v>
      </c>
      <c r="M62" s="382">
        <v>-5.4787388754863331</v>
      </c>
      <c r="N62" s="382">
        <v>34.590315383388749</v>
      </c>
      <c r="O62" s="382">
        <v>-14.239862395686453</v>
      </c>
      <c r="P62" s="382">
        <v>-10.331331874251958</v>
      </c>
      <c r="Q62" s="382">
        <v>6.8384938687448216</v>
      </c>
      <c r="R62" s="382">
        <v>-5.3473950263645094</v>
      </c>
      <c r="S62" s="382">
        <v>5.7974617157925623</v>
      </c>
      <c r="T62" s="382">
        <v>5.2772803268806179</v>
      </c>
      <c r="U62" s="382">
        <v>22.546785581769903</v>
      </c>
      <c r="V62" s="382">
        <v>5.373505233344078</v>
      </c>
      <c r="W62" s="382">
        <v>-0.28832587480496219</v>
      </c>
      <c r="X62" s="382">
        <v>-9.6742465966757294</v>
      </c>
      <c r="Y62" s="382">
        <v>39.699278333332622</v>
      </c>
      <c r="Z62" s="382">
        <v>-20.08838435534528</v>
      </c>
      <c r="AA62" s="382">
        <v>6.790407960561029</v>
      </c>
      <c r="AB62" s="382">
        <v>31.022244866987236</v>
      </c>
      <c r="AC62" s="382">
        <v>3.3302348558210459</v>
      </c>
      <c r="AD62" s="382">
        <v>-19.885445919506584</v>
      </c>
      <c r="AE62" s="382">
        <v>9.9499188935679115</v>
      </c>
    </row>
    <row r="63" spans="1:31" s="271" customFormat="1" ht="9" customHeight="1">
      <c r="A63" s="212"/>
      <c r="B63" s="183" t="s">
        <v>519</v>
      </c>
      <c r="C63" s="210">
        <v>-18.518518518518512</v>
      </c>
      <c r="D63" s="210">
        <v>18.181818181818166</v>
      </c>
      <c r="E63" s="210">
        <v>0</v>
      </c>
      <c r="F63" s="210">
        <v>0.49999999999998934</v>
      </c>
      <c r="G63" s="210">
        <v>38.384998086490654</v>
      </c>
      <c r="H63" s="210">
        <v>-26.631637168141598</v>
      </c>
      <c r="I63" s="210">
        <v>-9.0840557859027555</v>
      </c>
      <c r="J63" s="210">
        <v>-1.3972222222222053</v>
      </c>
      <c r="K63" s="210">
        <v>-16.494603916496629</v>
      </c>
      <c r="L63" s="210">
        <v>216.8164478692936</v>
      </c>
      <c r="M63" s="382">
        <v>-21.097972423540824</v>
      </c>
      <c r="N63" s="382">
        <v>1.7875372325514727</v>
      </c>
      <c r="O63" s="382">
        <v>45.076570417022886</v>
      </c>
      <c r="P63" s="382">
        <v>-13.692004932735246</v>
      </c>
      <c r="Q63" s="382">
        <v>4.7702135992900851</v>
      </c>
      <c r="R63" s="382">
        <v>17.18702516529229</v>
      </c>
      <c r="S63" s="382">
        <v>23.457863352286722</v>
      </c>
      <c r="T63" s="382">
        <v>12.676614369058914</v>
      </c>
      <c r="U63" s="382">
        <v>36.277114610063244</v>
      </c>
      <c r="V63" s="382">
        <v>20.289978769623552</v>
      </c>
      <c r="W63" s="382">
        <v>43.000445492008033</v>
      </c>
      <c r="X63" s="382">
        <v>-26.433653024789116</v>
      </c>
      <c r="Y63" s="382">
        <v>-21.794165900350258</v>
      </c>
      <c r="Z63" s="382">
        <v>-4.9994362804972603E-2</v>
      </c>
      <c r="AA63" s="382">
        <v>52.18764880711386</v>
      </c>
      <c r="AB63" s="382">
        <v>-6.3783463794457322</v>
      </c>
      <c r="AC63" s="382">
        <v>0.97734667388769125</v>
      </c>
      <c r="AD63" s="382">
        <v>-3.48674514621925</v>
      </c>
      <c r="AE63" s="382">
        <v>18.247346573731214</v>
      </c>
    </row>
    <row r="64" spans="1:31" s="271" customFormat="1" ht="9" customHeight="1">
      <c r="A64" s="212"/>
      <c r="B64" s="183" t="s">
        <v>491</v>
      </c>
      <c r="C64" s="210">
        <v>-19.23076923076923</v>
      </c>
      <c r="D64" s="210">
        <v>57.142857142857117</v>
      </c>
      <c r="E64" s="210">
        <v>-21.212121212121193</v>
      </c>
      <c r="F64" s="210">
        <v>-19.846153846153847</v>
      </c>
      <c r="G64" s="210">
        <v>69.91362763915545</v>
      </c>
      <c r="H64" s="210">
        <v>-50.296526404970344</v>
      </c>
      <c r="I64" s="210">
        <v>50.738636363636381</v>
      </c>
      <c r="J64" s="210">
        <v>93.68639276290989</v>
      </c>
      <c r="K64" s="210">
        <v>-3.2168920891310515</v>
      </c>
      <c r="L64" s="210">
        <v>187.77467224322359</v>
      </c>
      <c r="M64" s="382">
        <v>2.3524532964996459</v>
      </c>
      <c r="N64" s="382">
        <v>16.116425423944335</v>
      </c>
      <c r="O64" s="382">
        <v>2.3254072843172491</v>
      </c>
      <c r="P64" s="382">
        <v>4.6204059937093644</v>
      </c>
      <c r="Q64" s="382">
        <v>-1.7812157504247916</v>
      </c>
      <c r="R64" s="382">
        <v>1.2368744942638177</v>
      </c>
      <c r="S64" s="382">
        <v>-1.6359333821629685</v>
      </c>
      <c r="T64" s="382">
        <v>-4.4722367335421342</v>
      </c>
      <c r="U64" s="382">
        <v>0.60175957488308729</v>
      </c>
      <c r="V64" s="382">
        <v>-1.3363290105261161</v>
      </c>
      <c r="W64" s="382">
        <v>3.4097124379898203</v>
      </c>
      <c r="X64" s="382">
        <v>5.1727514570910849</v>
      </c>
      <c r="Y64" s="382">
        <v>-0.42715051186066333</v>
      </c>
      <c r="Z64" s="382">
        <v>7.2253722678587984</v>
      </c>
      <c r="AA64" s="382">
        <v>-0.41665227544587236</v>
      </c>
      <c r="AB64" s="382">
        <v>-9.1171271542072834</v>
      </c>
      <c r="AC64" s="382">
        <v>11.45738058869712</v>
      </c>
      <c r="AD64" s="382">
        <v>-3.7522493455305783</v>
      </c>
      <c r="AE64" s="382">
        <v>-5.7167138486611808</v>
      </c>
    </row>
    <row r="65" spans="1:31" s="271" customFormat="1" ht="9" customHeight="1">
      <c r="A65" s="212"/>
      <c r="B65" s="183" t="s">
        <v>428</v>
      </c>
      <c r="C65" s="210">
        <v>5.4054054054053946</v>
      </c>
      <c r="D65" s="210">
        <v>5.1282051282051322</v>
      </c>
      <c r="E65" s="210">
        <v>-9.7560975609756078</v>
      </c>
      <c r="F65" s="210">
        <v>7.7027027027027017</v>
      </c>
      <c r="G65" s="210">
        <v>2.9861982434128187</v>
      </c>
      <c r="H65" s="210">
        <v>-20.321637426900587</v>
      </c>
      <c r="I65" s="210">
        <v>-2.7828746177370189</v>
      </c>
      <c r="J65" s="210">
        <v>-4.3435357030512716</v>
      </c>
      <c r="K65" s="210">
        <v>-0.90209571514401343</v>
      </c>
      <c r="L65" s="210">
        <v>32.637041407512292</v>
      </c>
      <c r="M65" s="382">
        <v>1.2652764054293053</v>
      </c>
      <c r="N65" s="382">
        <v>4.2849586335460987</v>
      </c>
      <c r="O65" s="382">
        <v>-4.3857489259691684</v>
      </c>
      <c r="P65" s="382">
        <v>-1.8844689556285599</v>
      </c>
      <c r="Q65" s="382">
        <v>5.4310376956870465</v>
      </c>
      <c r="R65" s="382">
        <v>5.5028493419380986</v>
      </c>
      <c r="S65" s="382">
        <v>2.9149718853896056</v>
      </c>
      <c r="T65" s="382">
        <v>18.197644927253798</v>
      </c>
      <c r="U65" s="382">
        <v>-9.177075870061369</v>
      </c>
      <c r="V65" s="382">
        <v>-3.5161620802500737</v>
      </c>
      <c r="W65" s="382">
        <v>2.3016867909400718</v>
      </c>
      <c r="X65" s="382">
        <v>-1.1269434200037454</v>
      </c>
      <c r="Y65" s="382">
        <v>34.668599695050361</v>
      </c>
      <c r="Z65" s="382">
        <v>11.749697451605655</v>
      </c>
      <c r="AA65" s="382">
        <v>12.01498860088388</v>
      </c>
      <c r="AB65" s="382">
        <v>1.5878991019221633</v>
      </c>
      <c r="AC65" s="382">
        <v>-0.53330558679255402</v>
      </c>
      <c r="AD65" s="382">
        <v>6.7312591054502047</v>
      </c>
      <c r="AE65" s="382">
        <v>23.345770334885163</v>
      </c>
    </row>
    <row r="66" spans="1:31" s="271" customFormat="1" ht="9" customHeight="1">
      <c r="A66" s="212"/>
      <c r="B66" s="183" t="s">
        <v>426</v>
      </c>
      <c r="C66" s="210">
        <v>54.166666666666671</v>
      </c>
      <c r="D66" s="210">
        <v>-62.162162162162168</v>
      </c>
      <c r="E66" s="210">
        <v>150</v>
      </c>
      <c r="F66" s="210">
        <v>27.28571428571427</v>
      </c>
      <c r="G66" s="210">
        <v>67.295173961840632</v>
      </c>
      <c r="H66" s="210">
        <v>-47.350060378371126</v>
      </c>
      <c r="I66" s="210">
        <v>25.0764525993884</v>
      </c>
      <c r="J66" s="210">
        <v>-49.116381418092928</v>
      </c>
      <c r="K66" s="210">
        <v>24.444214869414527</v>
      </c>
      <c r="L66" s="210">
        <v>-98.031745623151849</v>
      </c>
      <c r="M66" s="382">
        <v>12.373401329459721</v>
      </c>
      <c r="N66" s="382">
        <v>-5.5684454050907162</v>
      </c>
      <c r="O66" s="382">
        <v>-0.77817173700600595</v>
      </c>
      <c r="P66" s="382">
        <v>-6.9855759994600248</v>
      </c>
      <c r="Q66" s="382">
        <v>10.245075943119563</v>
      </c>
      <c r="R66" s="382">
        <v>-13.044204292978801</v>
      </c>
      <c r="S66" s="382">
        <v>2.6367675947165603</v>
      </c>
      <c r="T66" s="382">
        <v>1.7563390950922519</v>
      </c>
      <c r="U66" s="382">
        <v>19.067180739931434</v>
      </c>
      <c r="V66" s="382">
        <v>2.6405978691541154</v>
      </c>
      <c r="W66" s="382">
        <v>7.4572274470481759</v>
      </c>
      <c r="X66" s="382">
        <v>3.8919238195884276</v>
      </c>
      <c r="Y66" s="382">
        <v>2.5221075824304329</v>
      </c>
      <c r="Z66" s="382">
        <v>0.94145462928085788</v>
      </c>
      <c r="AA66" s="382">
        <v>9.4563915789182662</v>
      </c>
      <c r="AB66" s="382">
        <v>5.3675186026858279</v>
      </c>
      <c r="AC66" s="382">
        <v>-1.6866844232418132</v>
      </c>
      <c r="AD66" s="382">
        <v>22.371027283359801</v>
      </c>
      <c r="AE66" s="382">
        <v>-2.4223435108461699</v>
      </c>
    </row>
    <row r="67" spans="1:31" s="271" customFormat="1" ht="9" customHeight="1">
      <c r="A67" s="212"/>
      <c r="B67" s="183" t="s">
        <v>427</v>
      </c>
      <c r="C67" s="210">
        <v>9.5238095238095113</v>
      </c>
      <c r="D67" s="210">
        <v>2.1739130434782705</v>
      </c>
      <c r="E67" s="210">
        <v>-8.5106382978723527</v>
      </c>
      <c r="F67" s="210">
        <v>16.186046511627914</v>
      </c>
      <c r="G67" s="210">
        <v>19.735788630904729</v>
      </c>
      <c r="H67" s="210">
        <v>-8.9267803410230666</v>
      </c>
      <c r="I67" s="210">
        <v>10.352422907488968</v>
      </c>
      <c r="J67" s="210">
        <v>-65.916600133067192</v>
      </c>
      <c r="K67" s="210">
        <v>86.223374818334307</v>
      </c>
      <c r="L67" s="210">
        <v>-58.148710707745387</v>
      </c>
      <c r="M67" s="382">
        <v>-12.649024814577437</v>
      </c>
      <c r="N67" s="382">
        <v>80.705165835045477</v>
      </c>
      <c r="O67" s="382">
        <v>44.598008533200307</v>
      </c>
      <c r="P67" s="382">
        <v>-17.160784062006062</v>
      </c>
      <c r="Q67" s="382">
        <v>-15.58705022034964</v>
      </c>
      <c r="R67" s="382">
        <v>-4.7606398694696512</v>
      </c>
      <c r="S67" s="382">
        <v>-24.060833835824312</v>
      </c>
      <c r="T67" s="382">
        <v>100.96030739990387</v>
      </c>
      <c r="U67" s="382">
        <v>-21.14639639817446</v>
      </c>
      <c r="V67" s="382">
        <v>15.116663821675647</v>
      </c>
      <c r="W67" s="382">
        <v>5.0988349061136695</v>
      </c>
      <c r="X67" s="382">
        <v>26.11487948601885</v>
      </c>
      <c r="Y67" s="382">
        <v>0.96854794578073999</v>
      </c>
      <c r="Z67" s="382">
        <v>13.801351057158362</v>
      </c>
      <c r="AA67" s="382">
        <v>-27.888822298469684</v>
      </c>
      <c r="AB67" s="382">
        <v>1.7183393947183268</v>
      </c>
      <c r="AC67" s="382">
        <v>-3.6790886204888018</v>
      </c>
      <c r="AD67" s="382">
        <v>-6.3923860590245907</v>
      </c>
      <c r="AE67" s="382">
        <v>21.244377686172268</v>
      </c>
    </row>
    <row r="68" spans="1:31" s="271" customFormat="1" ht="9" customHeight="1">
      <c r="A68" s="212"/>
      <c r="B68" s="183" t="s">
        <v>520</v>
      </c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395" t="s">
        <v>441</v>
      </c>
      <c r="N68" s="395" t="s">
        <v>441</v>
      </c>
      <c r="O68" s="395" t="s">
        <v>441</v>
      </c>
      <c r="P68" s="395" t="s">
        <v>441</v>
      </c>
      <c r="Q68" s="395" t="s">
        <v>441</v>
      </c>
      <c r="R68" s="395" t="s">
        <v>441</v>
      </c>
      <c r="S68" s="395" t="s">
        <v>441</v>
      </c>
      <c r="T68" s="395" t="s">
        <v>441</v>
      </c>
      <c r="U68" s="395" t="s">
        <v>441</v>
      </c>
      <c r="V68" s="395" t="s">
        <v>441</v>
      </c>
      <c r="W68" s="395" t="s">
        <v>441</v>
      </c>
      <c r="X68" s="395" t="s">
        <v>441</v>
      </c>
      <c r="Y68" s="395" t="s">
        <v>441</v>
      </c>
      <c r="Z68" s="382">
        <v>47.023962896160796</v>
      </c>
      <c r="AA68" s="382">
        <v>317.74381742415392</v>
      </c>
      <c r="AB68" s="382">
        <v>164.37823360811939</v>
      </c>
      <c r="AC68" s="382">
        <v>84.429038875689528</v>
      </c>
      <c r="AD68" s="382">
        <v>62.144496201768341</v>
      </c>
      <c r="AE68" s="382">
        <v>71.773671846275391</v>
      </c>
    </row>
    <row r="69" spans="1:31" s="271" customFormat="1" ht="9" customHeight="1">
      <c r="A69" s="212"/>
      <c r="B69" s="183" t="s">
        <v>320</v>
      </c>
      <c r="C69" s="210">
        <v>-23.076923076923073</v>
      </c>
      <c r="D69" s="210">
        <v>-16.666666666666664</v>
      </c>
      <c r="E69" s="210">
        <v>0</v>
      </c>
      <c r="F69" s="210">
        <v>86</v>
      </c>
      <c r="G69" s="210">
        <v>16.064516129032256</v>
      </c>
      <c r="H69" s="210">
        <v>-3.5390031498980901</v>
      </c>
      <c r="I69" s="210">
        <v>0.61467537456780796</v>
      </c>
      <c r="J69" s="210">
        <v>-4.7245131729668044</v>
      </c>
      <c r="K69" s="210">
        <v>20.515255894664499</v>
      </c>
      <c r="L69" s="210">
        <v>-100</v>
      </c>
      <c r="M69" s="382">
        <v>-2.7352107917805402</v>
      </c>
      <c r="N69" s="382">
        <v>-12.949623300166257</v>
      </c>
      <c r="O69" s="382">
        <v>6.0524657869867937</v>
      </c>
      <c r="P69" s="382">
        <v>-4.3359378222951666</v>
      </c>
      <c r="Q69" s="382">
        <v>1.3102673835533318</v>
      </c>
      <c r="R69" s="382">
        <v>22.099263610437148</v>
      </c>
      <c r="S69" s="382">
        <v>5.014505950542425</v>
      </c>
      <c r="T69" s="382">
        <v>10.874084343020884</v>
      </c>
      <c r="U69" s="382">
        <v>-6.7738960681221982</v>
      </c>
      <c r="V69" s="382">
        <v>18.580182680078615</v>
      </c>
      <c r="W69" s="382">
        <v>6.7586453458138296</v>
      </c>
      <c r="X69" s="382">
        <v>20.73262805388536</v>
      </c>
      <c r="Y69" s="382">
        <v>-1.901776832464841</v>
      </c>
      <c r="Z69" s="382">
        <v>-1.6154522713709873</v>
      </c>
      <c r="AA69" s="382">
        <v>8.2185100015284007</v>
      </c>
      <c r="AB69" s="382">
        <v>-5.8979888034822903</v>
      </c>
      <c r="AC69" s="382">
        <v>22.417642938813607</v>
      </c>
      <c r="AD69" s="382">
        <v>12.843834812587108</v>
      </c>
      <c r="AE69" s="382">
        <v>44.392844761409521</v>
      </c>
    </row>
    <row r="70" spans="1:31" s="271" customFormat="1" ht="9" customHeight="1">
      <c r="A70" s="212"/>
      <c r="B70" s="183" t="s">
        <v>187</v>
      </c>
      <c r="C70" s="210">
        <v>-15.686274509803921</v>
      </c>
      <c r="D70" s="210">
        <v>10.465116279069786</v>
      </c>
      <c r="E70" s="210">
        <v>4.2105263157894646</v>
      </c>
      <c r="F70" s="210">
        <v>-9.3131313131313185</v>
      </c>
      <c r="G70" s="210">
        <v>13.766985965693923</v>
      </c>
      <c r="H70" s="210">
        <v>-15.429802232230273</v>
      </c>
      <c r="I70" s="210">
        <v>-2.4195415605464232</v>
      </c>
      <c r="J70" s="210">
        <v>44.746351880412874</v>
      </c>
      <c r="K70" s="210">
        <v>-19.704163787726404</v>
      </c>
      <c r="L70" s="210">
        <v>-92.122811619914188</v>
      </c>
      <c r="M70" s="382">
        <v>1.7772208209779317</v>
      </c>
      <c r="N70" s="382">
        <v>0.84558503036764598</v>
      </c>
      <c r="O70" s="382">
        <v>1.9071518655199071</v>
      </c>
      <c r="P70" s="382">
        <v>-4.3247396259543773</v>
      </c>
      <c r="Q70" s="382">
        <v>-5.353117857438483</v>
      </c>
      <c r="R70" s="382">
        <v>-4.2684237137879721</v>
      </c>
      <c r="S70" s="382">
        <v>-5.308945454540936</v>
      </c>
      <c r="T70" s="382">
        <v>-4.7334296409290211</v>
      </c>
      <c r="U70" s="382">
        <v>13.482359401344745</v>
      </c>
      <c r="V70" s="382">
        <v>-11.293429809232203</v>
      </c>
      <c r="W70" s="382">
        <v>-0.31831409980143111</v>
      </c>
      <c r="X70" s="382">
        <v>7.9347304744606495</v>
      </c>
      <c r="Y70" s="382">
        <v>-0.95530916231283403</v>
      </c>
      <c r="Z70" s="382">
        <v>-6.318600488484261</v>
      </c>
      <c r="AA70" s="382">
        <v>3.7905812361341829</v>
      </c>
      <c r="AB70" s="382">
        <v>9.4100693122196599</v>
      </c>
      <c r="AC70" s="382">
        <v>1.1225592297154474</v>
      </c>
      <c r="AD70" s="382">
        <v>39.887395653556638</v>
      </c>
      <c r="AE70" s="382">
        <v>-7.7036315913914581</v>
      </c>
    </row>
    <row r="71" spans="1:31" s="271" customFormat="1" ht="9" customHeight="1">
      <c r="A71" s="212"/>
      <c r="B71" s="183" t="s">
        <v>445</v>
      </c>
      <c r="C71" s="210">
        <v>15.517241379310365</v>
      </c>
      <c r="D71" s="210">
        <v>-26.865671641791032</v>
      </c>
      <c r="E71" s="210">
        <v>24.489795918367328</v>
      </c>
      <c r="F71" s="210">
        <v>5.8524590163934409</v>
      </c>
      <c r="G71" s="210">
        <v>-13.10205978008363</v>
      </c>
      <c r="H71" s="210">
        <v>-2.0851898057387297</v>
      </c>
      <c r="I71" s="210">
        <v>-3.385511467054958</v>
      </c>
      <c r="J71" s="210">
        <v>-2.1345139412208058</v>
      </c>
      <c r="K71" s="210">
        <v>15.126956320865514</v>
      </c>
      <c r="L71" s="210">
        <v>-65.377142379399729</v>
      </c>
      <c r="M71" s="382">
        <v>1.9599803815995909</v>
      </c>
      <c r="N71" s="382">
        <v>-17.186776586274853</v>
      </c>
      <c r="O71" s="382">
        <v>-16.172026508060345</v>
      </c>
      <c r="P71" s="382">
        <v>-18.605082083278013</v>
      </c>
      <c r="Q71" s="382">
        <v>37.753940559476163</v>
      </c>
      <c r="R71" s="382">
        <v>-43.59437627181353</v>
      </c>
      <c r="S71" s="382">
        <v>117.58223738152248</v>
      </c>
      <c r="T71" s="382">
        <v>48.366911354626694</v>
      </c>
      <c r="U71" s="382">
        <v>-5.1792527006550015</v>
      </c>
      <c r="V71" s="382">
        <v>41.495761416461207</v>
      </c>
      <c r="W71" s="382">
        <v>74.936936345715523</v>
      </c>
      <c r="X71" s="382">
        <v>30.48914883099636</v>
      </c>
      <c r="Y71" s="382">
        <v>-27.528232264193729</v>
      </c>
      <c r="Z71" s="382">
        <v>32.395625453901822</v>
      </c>
      <c r="AA71" s="382">
        <v>10.352489979925284</v>
      </c>
      <c r="AB71" s="382">
        <v>10.992019403325347</v>
      </c>
      <c r="AC71" s="382">
        <v>-7.4303468899111653</v>
      </c>
      <c r="AD71" s="382">
        <v>1.6430536727844558</v>
      </c>
      <c r="AE71" s="382">
        <v>-11.944253380518234</v>
      </c>
    </row>
    <row r="72" spans="1:31" s="271" customFormat="1" ht="9" customHeight="1">
      <c r="A72" s="212"/>
      <c r="B72" s="183" t="s">
        <v>188</v>
      </c>
      <c r="C72" s="210">
        <v>-2.7777777777777679</v>
      </c>
      <c r="D72" s="210">
        <v>28.571428571428559</v>
      </c>
      <c r="E72" s="210">
        <v>40</v>
      </c>
      <c r="F72" s="210">
        <v>-27.063492063492056</v>
      </c>
      <c r="G72" s="210">
        <v>37.976060935799794</v>
      </c>
      <c r="H72" s="210">
        <v>8.9589905362776001</v>
      </c>
      <c r="I72" s="210">
        <v>-9.9160393746381086</v>
      </c>
      <c r="J72" s="210">
        <v>23.313176924313051</v>
      </c>
      <c r="K72" s="210">
        <v>45.304940369015043</v>
      </c>
      <c r="L72" s="210">
        <v>-100</v>
      </c>
      <c r="M72" s="382">
        <v>-29.204029137340648</v>
      </c>
      <c r="N72" s="382">
        <v>-74.270138565504197</v>
      </c>
      <c r="O72" s="382">
        <v>109.45187665888811</v>
      </c>
      <c r="P72" s="382">
        <v>68.089811192379671</v>
      </c>
      <c r="Q72" s="382">
        <v>105.30793361667676</v>
      </c>
      <c r="R72" s="382">
        <v>-12.873924330643971</v>
      </c>
      <c r="S72" s="382">
        <v>-22.04156908002669</v>
      </c>
      <c r="T72" s="382">
        <v>-59.965603320658325</v>
      </c>
      <c r="U72" s="382">
        <v>23.076365350106045</v>
      </c>
      <c r="V72" s="382">
        <v>32.237113402061858</v>
      </c>
      <c r="W72" s="382">
        <v>92.746327501141579</v>
      </c>
      <c r="X72" s="382">
        <v>9.7506717129402389</v>
      </c>
      <c r="Y72" s="382">
        <v>19.426345161629975</v>
      </c>
      <c r="Z72" s="382">
        <v>-6.2455915753240943</v>
      </c>
      <c r="AA72" s="382">
        <v>173.73115751559914</v>
      </c>
      <c r="AB72" s="382">
        <v>-4.7211975522530985</v>
      </c>
      <c r="AC72" s="382">
        <v>-62.661673768492967</v>
      </c>
      <c r="AD72" s="382">
        <v>-45.682142912498691</v>
      </c>
      <c r="AE72" s="382">
        <v>-17.511991835950969</v>
      </c>
    </row>
    <row r="73" spans="1:31" s="271" customFormat="1" ht="9" customHeight="1">
      <c r="A73" s="212"/>
      <c r="B73" s="183" t="s">
        <v>189</v>
      </c>
      <c r="C73" s="210">
        <v>-40.909090909090921</v>
      </c>
      <c r="D73" s="210">
        <v>-23.076923076923084</v>
      </c>
      <c r="E73" s="210">
        <v>90</v>
      </c>
      <c r="F73" s="210">
        <v>-34.473684210526301</v>
      </c>
      <c r="G73" s="210">
        <v>1.0441767068272823</v>
      </c>
      <c r="H73" s="210">
        <v>192.84578696343405</v>
      </c>
      <c r="I73" s="210">
        <v>-26.62866449511402</v>
      </c>
      <c r="J73" s="210">
        <v>-86.08953015168332</v>
      </c>
      <c r="K73" s="210">
        <v>800.531914893617</v>
      </c>
      <c r="L73" s="210">
        <v>-100</v>
      </c>
      <c r="M73" s="382">
        <v>-11.130792382595111</v>
      </c>
      <c r="N73" s="382">
        <v>21.844928685706087</v>
      </c>
      <c r="O73" s="382">
        <v>-2.7856913531159155</v>
      </c>
      <c r="P73" s="382">
        <v>-7.0836440367444524</v>
      </c>
      <c r="Q73" s="382">
        <v>-1.6713958411111229</v>
      </c>
      <c r="R73" s="382">
        <v>1.9964714346243362E-2</v>
      </c>
      <c r="S73" s="382">
        <v>4.1309916261663027</v>
      </c>
      <c r="T73" s="382">
        <v>-6.2340020199085693</v>
      </c>
      <c r="U73" s="382">
        <v>9.0041212613750421</v>
      </c>
      <c r="V73" s="382">
        <v>-6.7068808526061563</v>
      </c>
      <c r="W73" s="382">
        <v>6.1554516601223019</v>
      </c>
      <c r="X73" s="382">
        <v>11.799138348225746</v>
      </c>
      <c r="Y73" s="382">
        <v>-0.85205677612611996</v>
      </c>
      <c r="Z73" s="382">
        <v>10.423288666117237</v>
      </c>
      <c r="AA73" s="382">
        <v>8.4240110555347858</v>
      </c>
      <c r="AB73" s="382">
        <v>31.039437297555807</v>
      </c>
      <c r="AC73" s="382">
        <v>-4.7278863740341066</v>
      </c>
      <c r="AD73" s="382">
        <v>8.1925751373342912</v>
      </c>
      <c r="AE73" s="382">
        <v>-3.5972759811926824</v>
      </c>
    </row>
    <row r="74" spans="1:31" s="271" customFormat="1" ht="9" customHeight="1">
      <c r="A74" s="212"/>
      <c r="B74" s="183" t="s">
        <v>478</v>
      </c>
      <c r="C74" s="210" t="s">
        <v>441</v>
      </c>
      <c r="D74" s="210" t="s">
        <v>441</v>
      </c>
      <c r="E74" s="210" t="s">
        <v>441</v>
      </c>
      <c r="F74" s="210" t="s">
        <v>441</v>
      </c>
      <c r="G74" s="210">
        <v>2107.1428571428569</v>
      </c>
      <c r="H74" s="210">
        <v>21.682847896440151</v>
      </c>
      <c r="I74" s="210">
        <v>-96.808510638297875</v>
      </c>
      <c r="J74" s="210">
        <v>-41.666666666666664</v>
      </c>
      <c r="K74" s="210">
        <v>614.28571428571422</v>
      </c>
      <c r="L74" s="210">
        <v>4816.18</v>
      </c>
      <c r="M74" s="382">
        <v>-5.0692297254043339</v>
      </c>
      <c r="N74" s="382">
        <v>-19.890838368599674</v>
      </c>
      <c r="O74" s="382">
        <v>6.4254782603058613</v>
      </c>
      <c r="P74" s="382">
        <v>26.344995621882973</v>
      </c>
      <c r="Q74" s="382">
        <v>14.372357402166624</v>
      </c>
      <c r="R74" s="382">
        <v>11.554293301858953</v>
      </c>
      <c r="S74" s="382">
        <v>-0.71977902076496569</v>
      </c>
      <c r="T74" s="382">
        <v>27.648041751507215</v>
      </c>
      <c r="U74" s="382">
        <v>12.244927624279111</v>
      </c>
      <c r="V74" s="382">
        <v>12.109760236104684</v>
      </c>
      <c r="W74" s="382">
        <v>5.3295073775922575</v>
      </c>
      <c r="X74" s="382">
        <v>4.0804979779109463</v>
      </c>
      <c r="Y74" s="382">
        <v>8.7043807561452802</v>
      </c>
      <c r="Z74" s="382">
        <v>-10.723205903619403</v>
      </c>
      <c r="AA74" s="382">
        <v>17.818306701288655</v>
      </c>
      <c r="AB74" s="382">
        <v>0.92878401047096215</v>
      </c>
      <c r="AC74" s="382">
        <v>8.1271376992628532</v>
      </c>
      <c r="AD74" s="382">
        <v>0.20929760845045386</v>
      </c>
      <c r="AE74" s="382">
        <v>-0.36419212328283601</v>
      </c>
    </row>
    <row r="75" spans="1:31" s="271" customFormat="1" ht="9" customHeight="1">
      <c r="A75" s="212"/>
      <c r="B75" s="183" t="s">
        <v>190</v>
      </c>
      <c r="C75" s="210">
        <v>75</v>
      </c>
      <c r="D75" s="210">
        <v>-25</v>
      </c>
      <c r="E75" s="210">
        <v>-14.28571428571429</v>
      </c>
      <c r="F75" s="210">
        <v>54.44444444444445</v>
      </c>
      <c r="G75" s="210">
        <v>-14.352517985611524</v>
      </c>
      <c r="H75" s="210">
        <v>33.893322133557355</v>
      </c>
      <c r="I75" s="210">
        <v>63.488080301129202</v>
      </c>
      <c r="J75" s="210">
        <v>-19.311204911742131</v>
      </c>
      <c r="K75" s="210">
        <v>15.710379265247898</v>
      </c>
      <c r="L75" s="210">
        <v>-97.041017631827714</v>
      </c>
      <c r="M75" s="382">
        <v>8.7391898042785687</v>
      </c>
      <c r="N75" s="382">
        <v>-11.371399962245254</v>
      </c>
      <c r="O75" s="382">
        <v>13.981258369279947</v>
      </c>
      <c r="P75" s="382">
        <v>8.2975339560901631</v>
      </c>
      <c r="Q75" s="382">
        <v>-5.4735566733811307</v>
      </c>
      <c r="R75" s="382">
        <v>12.040178240146382</v>
      </c>
      <c r="S75" s="382">
        <v>-9.6800997386111689</v>
      </c>
      <c r="T75" s="382">
        <v>-27.750135878409786</v>
      </c>
      <c r="U75" s="382">
        <v>21.733856194960445</v>
      </c>
      <c r="V75" s="382">
        <v>-6.721611517463244</v>
      </c>
      <c r="W75" s="382">
        <v>11.112882325358452</v>
      </c>
      <c r="X75" s="382">
        <v>11.82334616641243</v>
      </c>
      <c r="Y75" s="382">
        <v>44.239577354472303</v>
      </c>
      <c r="Z75" s="382">
        <v>-11.613023416583212</v>
      </c>
      <c r="AA75" s="382">
        <v>-10.502791947483313</v>
      </c>
      <c r="AB75" s="382">
        <v>7.4090513845053163</v>
      </c>
      <c r="AC75" s="382">
        <v>-19.060621427666725</v>
      </c>
      <c r="AD75" s="382">
        <v>35.505706872680307</v>
      </c>
      <c r="AE75" s="382">
        <v>6.7354966007188377</v>
      </c>
    </row>
    <row r="76" spans="1:31" s="271" customFormat="1" ht="9" customHeight="1">
      <c r="A76" s="212"/>
      <c r="B76" s="183" t="s">
        <v>191</v>
      </c>
      <c r="C76" s="210">
        <v>0</v>
      </c>
      <c r="D76" s="210">
        <v>5.8823529411764941</v>
      </c>
      <c r="E76" s="210">
        <v>-5.5555555555555696</v>
      </c>
      <c r="F76" s="210">
        <v>-3.2941176470588363</v>
      </c>
      <c r="G76" s="210">
        <v>8.7591240875912533</v>
      </c>
      <c r="H76" s="210">
        <v>-9.0604026845637726</v>
      </c>
      <c r="I76" s="210">
        <v>72.140221402214038</v>
      </c>
      <c r="J76" s="210">
        <v>-3.6441586280814398</v>
      </c>
      <c r="K76" s="210">
        <v>10.778642936596206</v>
      </c>
      <c r="L76" s="210">
        <v>-98.795059744954315</v>
      </c>
      <c r="M76" s="382">
        <v>52.344806745906091</v>
      </c>
      <c r="N76" s="382">
        <v>-48.554287234561713</v>
      </c>
      <c r="O76" s="382">
        <v>-25.084533117091766</v>
      </c>
      <c r="P76" s="382">
        <v>-12.547177518176589</v>
      </c>
      <c r="Q76" s="382">
        <v>-33.608747232627458</v>
      </c>
      <c r="R76" s="382">
        <v>267.22572021527316</v>
      </c>
      <c r="S76" s="382">
        <v>-48.91885523369087</v>
      </c>
      <c r="T76" s="382">
        <v>-8.1379762976297556</v>
      </c>
      <c r="U76" s="382">
        <v>18.950244732504839</v>
      </c>
      <c r="V76" s="382">
        <v>-13.102412223046688</v>
      </c>
      <c r="W76" s="382">
        <v>-28.920594558321287</v>
      </c>
      <c r="X76" s="382">
        <v>55.667647805717799</v>
      </c>
      <c r="Y76" s="382">
        <v>16.619815242972358</v>
      </c>
      <c r="Z76" s="382">
        <v>-51.065504172331913</v>
      </c>
      <c r="AA76" s="382">
        <v>46.854954278161685</v>
      </c>
      <c r="AB76" s="382">
        <v>-78.970582096761419</v>
      </c>
      <c r="AC76" s="382">
        <v>96.437447211875565</v>
      </c>
      <c r="AD76" s="382">
        <v>25.305073263982347</v>
      </c>
      <c r="AE76" s="382">
        <v>-39.473614916849762</v>
      </c>
    </row>
    <row r="77" spans="1:31" s="271" customFormat="1" ht="9" customHeight="1">
      <c r="A77" s="212"/>
      <c r="B77" s="183" t="s">
        <v>434</v>
      </c>
      <c r="C77" s="210">
        <v>133.33333333333334</v>
      </c>
      <c r="D77" s="210">
        <v>-71.428571428571431</v>
      </c>
      <c r="E77" s="210">
        <v>350</v>
      </c>
      <c r="F77" s="210">
        <v>41</v>
      </c>
      <c r="G77" s="210">
        <v>-45.626477541371159</v>
      </c>
      <c r="H77" s="210">
        <v>12.318840579710155</v>
      </c>
      <c r="I77" s="210">
        <v>39.612903225806441</v>
      </c>
      <c r="J77" s="210">
        <v>1.5619223659890658E-2</v>
      </c>
      <c r="K77" s="210">
        <v>59.386380500642687</v>
      </c>
      <c r="L77" s="210">
        <v>290.27034548332296</v>
      </c>
      <c r="M77" s="382">
        <v>5.6721322691909881</v>
      </c>
      <c r="N77" s="382">
        <v>-27.569651926518056</v>
      </c>
      <c r="O77" s="382">
        <v>-5.4147071660318735</v>
      </c>
      <c r="P77" s="382">
        <v>19.688039442607284</v>
      </c>
      <c r="Q77" s="382">
        <v>-0.5423001888954504</v>
      </c>
      <c r="R77" s="382">
        <v>3.2966611271760593</v>
      </c>
      <c r="S77" s="382">
        <v>11.724895421687997</v>
      </c>
      <c r="T77" s="382">
        <v>30.186050119211028</v>
      </c>
      <c r="U77" s="382">
        <v>-8.7490409139255103</v>
      </c>
      <c r="V77" s="382">
        <v>-10.450870839192971</v>
      </c>
      <c r="W77" s="382">
        <v>16.798889778540914</v>
      </c>
      <c r="X77" s="382">
        <v>14.278722002281041</v>
      </c>
      <c r="Y77" s="382">
        <v>-2.2530373002197956</v>
      </c>
      <c r="Z77" s="382">
        <v>2.6109195438325905</v>
      </c>
      <c r="AA77" s="382">
        <v>5.8018302421624091</v>
      </c>
      <c r="AB77" s="382">
        <v>-5.3384585849254762</v>
      </c>
      <c r="AC77" s="382">
        <v>-10.431843273110175</v>
      </c>
      <c r="AD77" s="382">
        <v>5.6567077804241084</v>
      </c>
      <c r="AE77" s="382">
        <v>-7.5183765260141584</v>
      </c>
    </row>
    <row r="78" spans="1:31" s="271" customFormat="1" ht="9" customHeight="1">
      <c r="A78" s="212"/>
      <c r="B78" s="183" t="s">
        <v>205</v>
      </c>
      <c r="C78" s="210">
        <v>20</v>
      </c>
      <c r="D78" s="210">
        <v>133.33333333333334</v>
      </c>
      <c r="E78" s="210">
        <v>-64.285714285714278</v>
      </c>
      <c r="F78" s="210">
        <v>34.4</v>
      </c>
      <c r="G78" s="210">
        <v>210.71428571428572</v>
      </c>
      <c r="H78" s="210">
        <v>-54.022988505747136</v>
      </c>
      <c r="I78" s="210">
        <v>27.1875</v>
      </c>
      <c r="J78" s="210">
        <v>37.196478296478254</v>
      </c>
      <c r="K78" s="210">
        <v>20.061796750059258</v>
      </c>
      <c r="L78" s="210">
        <v>13.512175088179523</v>
      </c>
      <c r="M78" s="382">
        <v>-28.157414930300117</v>
      </c>
      <c r="N78" s="382">
        <v>-4.1326763983984494</v>
      </c>
      <c r="O78" s="382">
        <v>-41.823051319761582</v>
      </c>
      <c r="P78" s="382">
        <v>-34.45132173478023</v>
      </c>
      <c r="Q78" s="382">
        <v>366.62770777175149</v>
      </c>
      <c r="R78" s="382">
        <v>12.693283054705073</v>
      </c>
      <c r="S78" s="382">
        <v>23.217247853201293</v>
      </c>
      <c r="T78" s="382">
        <v>31.779105895266959</v>
      </c>
      <c r="U78" s="382">
        <v>19.354955270204478</v>
      </c>
      <c r="V78" s="382">
        <v>4.4281959601464083</v>
      </c>
      <c r="W78" s="382">
        <v>-6.1151159680966298</v>
      </c>
      <c r="X78" s="382">
        <v>-3.6963412657650796</v>
      </c>
      <c r="Y78" s="382">
        <v>-2.7418061939039506</v>
      </c>
      <c r="Z78" s="382">
        <v>-6.1813024798441756</v>
      </c>
      <c r="AA78" s="382">
        <v>-4.256134588155625</v>
      </c>
      <c r="AB78" s="382">
        <v>-3.8730287877120073E-2</v>
      </c>
      <c r="AC78" s="382">
        <v>-9.8927364071653141</v>
      </c>
      <c r="AD78" s="382">
        <v>50.827040652144873</v>
      </c>
      <c r="AE78" s="382">
        <v>-2.271911383352232</v>
      </c>
    </row>
    <row r="79" spans="1:31" s="271" customFormat="1" ht="9" customHeight="1">
      <c r="A79" s="212"/>
      <c r="B79" s="183" t="s">
        <v>206</v>
      </c>
      <c r="C79" s="210">
        <v>-10.526315789473673</v>
      </c>
      <c r="D79" s="210">
        <v>41.176470588235283</v>
      </c>
      <c r="E79" s="210">
        <v>-20.833333333333325</v>
      </c>
      <c r="F79" s="210">
        <v>-5.5263157894736796</v>
      </c>
      <c r="G79" s="210">
        <v>26.462395543175489</v>
      </c>
      <c r="H79" s="210">
        <v>-15.242290748898668</v>
      </c>
      <c r="I79" s="210">
        <v>-3.7422037422037313</v>
      </c>
      <c r="J79" s="210">
        <v>-13.130129589632844</v>
      </c>
      <c r="K79" s="210">
        <v>-13.598080592728866</v>
      </c>
      <c r="L79" s="210">
        <v>-97.665568392731245</v>
      </c>
      <c r="M79" s="382">
        <v>10.83836409214638</v>
      </c>
      <c r="N79" s="382">
        <v>-11.825032003839731</v>
      </c>
      <c r="O79" s="382">
        <v>-6.3551168862540974</v>
      </c>
      <c r="P79" s="382">
        <v>-22.90834222967819</v>
      </c>
      <c r="Q79" s="382">
        <v>-14.916248166559765</v>
      </c>
      <c r="R79" s="382">
        <v>8.9838701480654315</v>
      </c>
      <c r="S79" s="382">
        <v>1.9659565389655853</v>
      </c>
      <c r="T79" s="382">
        <v>-0.14155885108971811</v>
      </c>
      <c r="U79" s="382">
        <v>8.9084905753562982</v>
      </c>
      <c r="V79" s="382">
        <v>4.7798399885666809</v>
      </c>
      <c r="W79" s="382">
        <v>-38.223493627642824</v>
      </c>
      <c r="X79" s="382">
        <v>58.810998781404322</v>
      </c>
      <c r="Y79" s="382">
        <v>7.945711926067367</v>
      </c>
      <c r="Z79" s="382">
        <v>-18.564666894532721</v>
      </c>
      <c r="AA79" s="382">
        <v>-9.5729852225678087</v>
      </c>
      <c r="AB79" s="382">
        <v>-22.103030203147036</v>
      </c>
      <c r="AC79" s="382">
        <v>9.6292023296993268</v>
      </c>
      <c r="AD79" s="382">
        <v>6.3636757489110574</v>
      </c>
      <c r="AE79" s="382">
        <v>8.7050816579309132</v>
      </c>
    </row>
    <row r="80" spans="1:31" s="271" customFormat="1" ht="9" customHeight="1">
      <c r="A80" s="212"/>
      <c r="B80" s="183" t="s">
        <v>207</v>
      </c>
      <c r="C80" s="210">
        <v>-28.571428571428569</v>
      </c>
      <c r="D80" s="210">
        <v>40</v>
      </c>
      <c r="E80" s="210">
        <v>42.857142857142861</v>
      </c>
      <c r="F80" s="210">
        <v>-43.5</v>
      </c>
      <c r="G80" s="210">
        <v>111.85840707964604</v>
      </c>
      <c r="H80" s="210">
        <v>36.842105263157876</v>
      </c>
      <c r="I80" s="210">
        <v>-42.551892551892557</v>
      </c>
      <c r="J80" s="210">
        <v>20.926673751328373</v>
      </c>
      <c r="K80" s="210">
        <v>38.895528683914527</v>
      </c>
      <c r="L80" s="210">
        <v>42.294940905524747</v>
      </c>
      <c r="M80" s="382">
        <v>3.4957102458819778</v>
      </c>
      <c r="N80" s="382">
        <v>-1.9867549668874274</v>
      </c>
      <c r="O80" s="382">
        <v>-11.264411264411244</v>
      </c>
      <c r="P80" s="382">
        <v>-72.523961661341858</v>
      </c>
      <c r="Q80" s="382">
        <v>173.64341085271315</v>
      </c>
      <c r="R80" s="382">
        <v>13.786591123701619</v>
      </c>
      <c r="S80" s="382">
        <v>-25.374481327800837</v>
      </c>
      <c r="T80" s="382">
        <v>11.454398865705674</v>
      </c>
      <c r="U80" s="382">
        <v>-20.958084131067455</v>
      </c>
      <c r="V80" s="382">
        <v>1.4378188552107707</v>
      </c>
      <c r="W80" s="382">
        <v>-1.7450352625237087</v>
      </c>
      <c r="X80" s="382">
        <v>8.7331250308717365</v>
      </c>
      <c r="Y80" s="382">
        <v>25.783916320136079</v>
      </c>
      <c r="Z80" s="382">
        <v>-10.317955675117553</v>
      </c>
      <c r="AA80" s="382">
        <v>-2.292845583484282</v>
      </c>
      <c r="AB80" s="382">
        <v>-12.615664751811718</v>
      </c>
      <c r="AC80" s="382">
        <v>-34.171738519170233</v>
      </c>
      <c r="AD80" s="382">
        <v>-50.17338385578136</v>
      </c>
      <c r="AE80" s="382">
        <v>47.495414112550073</v>
      </c>
    </row>
    <row r="81" spans="1:31" s="271" customFormat="1" ht="9" customHeight="1">
      <c r="A81" s="212"/>
      <c r="B81" s="183" t="s">
        <v>208</v>
      </c>
      <c r="C81" s="210">
        <v>-4.651268476124482</v>
      </c>
      <c r="D81" s="210">
        <v>-5.3392910336609978</v>
      </c>
      <c r="E81" s="210">
        <v>7.8256381853884394</v>
      </c>
      <c r="F81" s="210">
        <v>49.195082943229721</v>
      </c>
      <c r="G81" s="210">
        <v>8.0914226694417835</v>
      </c>
      <c r="H81" s="210">
        <v>34.795103624505039</v>
      </c>
      <c r="I81" s="210">
        <v>4.0422104076043075</v>
      </c>
      <c r="J81" s="210">
        <v>18.890571496410089</v>
      </c>
      <c r="K81" s="210">
        <v>-16.63510331113276</v>
      </c>
      <c r="L81" s="210">
        <v>-2.995142803825146</v>
      </c>
      <c r="M81" s="382">
        <v>-2.3298686498859023</v>
      </c>
      <c r="N81" s="382">
        <v>10.648321059720999</v>
      </c>
      <c r="O81" s="382">
        <v>2.21310084924351</v>
      </c>
      <c r="P81" s="382">
        <v>-1.76897158555408</v>
      </c>
      <c r="Q81" s="382">
        <v>5.2033768054956964</v>
      </c>
      <c r="R81" s="382">
        <v>5.9289033750289377</v>
      </c>
      <c r="S81" s="382">
        <v>9.191450351523379</v>
      </c>
      <c r="T81" s="382">
        <v>4.3374560893443714</v>
      </c>
      <c r="U81" s="382">
        <v>15.043590782791005</v>
      </c>
      <c r="V81" s="382">
        <v>6.7321527059249098</v>
      </c>
      <c r="W81" s="382">
        <v>7.5209934680834811</v>
      </c>
      <c r="X81" s="382">
        <v>4.2950305397974731</v>
      </c>
      <c r="Y81" s="382">
        <v>5.2246039729350935</v>
      </c>
      <c r="Z81" s="382">
        <v>-0.78202167383398802</v>
      </c>
      <c r="AA81" s="382">
        <v>5.8795102749814809</v>
      </c>
      <c r="AB81" s="382">
        <v>-1.3269538419745985</v>
      </c>
      <c r="AC81" s="382">
        <v>2.6615096488101786</v>
      </c>
      <c r="AD81" s="382">
        <v>3.5192242928247408</v>
      </c>
      <c r="AE81" s="382">
        <v>5.3944784494856846</v>
      </c>
    </row>
    <row r="82" spans="1:31" s="271" customFormat="1" ht="9" customHeight="1">
      <c r="A82" s="219" t="s">
        <v>209</v>
      </c>
      <c r="B82" s="215"/>
      <c r="C82" s="217">
        <v>-2.4407084502232168</v>
      </c>
      <c r="D82" s="217">
        <v>8.1897762132507204</v>
      </c>
      <c r="E82" s="217">
        <v>-4.5655961937943861</v>
      </c>
      <c r="F82" s="217">
        <v>5.9412753339322721</v>
      </c>
      <c r="G82" s="217">
        <v>10.119629653113748</v>
      </c>
      <c r="H82" s="217">
        <v>0.29783337161128909</v>
      </c>
      <c r="I82" s="217">
        <v>5.7928827825978857</v>
      </c>
      <c r="J82" s="217">
        <v>1.1898154246488213</v>
      </c>
      <c r="K82" s="217">
        <v>7.2074433232123036</v>
      </c>
      <c r="L82" s="217">
        <v>-12.606639689926292</v>
      </c>
      <c r="M82" s="382">
        <v>2.8364656371251851</v>
      </c>
      <c r="N82" s="382">
        <v>4.227027722942478</v>
      </c>
      <c r="O82" s="382">
        <v>3.2212950900285531</v>
      </c>
      <c r="P82" s="382">
        <v>2.7570297641475339</v>
      </c>
      <c r="Q82" s="382">
        <v>7.7314671919515465</v>
      </c>
      <c r="R82" s="382">
        <v>8.146244384330581</v>
      </c>
      <c r="S82" s="382">
        <v>5.9404179242380284</v>
      </c>
      <c r="T82" s="382">
        <v>7.3069912233816314</v>
      </c>
      <c r="U82" s="382">
        <v>5.723700615706151</v>
      </c>
      <c r="V82" s="382">
        <v>4.2976073305070805</v>
      </c>
      <c r="W82" s="382">
        <v>7.0729671281269502</v>
      </c>
      <c r="X82" s="382">
        <v>5.5590692281228149</v>
      </c>
      <c r="Y82" s="382">
        <v>3.5458073083476371</v>
      </c>
      <c r="Z82" s="382">
        <v>3.5394699639653693</v>
      </c>
      <c r="AA82" s="382">
        <v>5.2374911412760072</v>
      </c>
      <c r="AB82" s="382">
        <v>4.0457740977036583</v>
      </c>
      <c r="AC82" s="382">
        <v>2.787249724138019</v>
      </c>
      <c r="AD82" s="382">
        <v>5.578156520020161</v>
      </c>
      <c r="AE82" s="382">
        <v>4.0532046479784922</v>
      </c>
    </row>
    <row r="83" spans="1:31" s="271" customFormat="1" ht="9" customHeight="1">
      <c r="A83" s="212"/>
      <c r="B83" s="183" t="s">
        <v>254</v>
      </c>
      <c r="C83" s="210">
        <v>0.15386253011933082</v>
      </c>
      <c r="D83" s="210">
        <v>19.814875649771004</v>
      </c>
      <c r="E83" s="210">
        <v>-10.127735754721535</v>
      </c>
      <c r="F83" s="210">
        <v>21.107791147361521</v>
      </c>
      <c r="G83" s="210">
        <v>17.672685243496765</v>
      </c>
      <c r="H83" s="210">
        <v>-2.0022162897295193</v>
      </c>
      <c r="I83" s="210">
        <v>8.8843771684099728</v>
      </c>
      <c r="J83" s="210">
        <v>-3.0365404612894609</v>
      </c>
      <c r="K83" s="210">
        <v>9.7259295091959519</v>
      </c>
      <c r="L83" s="210">
        <v>-15.918695022991225</v>
      </c>
      <c r="M83" s="382">
        <v>1.5386164274233893</v>
      </c>
      <c r="N83" s="382">
        <v>7.3484147594476079</v>
      </c>
      <c r="O83" s="382">
        <v>3.9407698214391162</v>
      </c>
      <c r="P83" s="382">
        <v>0.12175497746247377</v>
      </c>
      <c r="Q83" s="382">
        <v>12.373219846328842</v>
      </c>
      <c r="R83" s="382">
        <v>9.246854677046068</v>
      </c>
      <c r="S83" s="382">
        <v>8.4479666122462937</v>
      </c>
      <c r="T83" s="382">
        <v>13.852606652066823</v>
      </c>
      <c r="U83" s="382">
        <v>9.9451075391580268</v>
      </c>
      <c r="V83" s="382">
        <v>5.7578040946090869</v>
      </c>
      <c r="W83" s="382">
        <v>9.2368497796819113</v>
      </c>
      <c r="X83" s="382">
        <v>8.7057223823919561</v>
      </c>
      <c r="Y83" s="382">
        <v>3.5675825648372239</v>
      </c>
      <c r="Z83" s="382">
        <v>5.0287230684117112</v>
      </c>
      <c r="AA83" s="382">
        <v>8.058138260922032</v>
      </c>
      <c r="AB83" s="382">
        <v>6.3476193470547448</v>
      </c>
      <c r="AC83" s="382">
        <v>3.654711159987345</v>
      </c>
      <c r="AD83" s="382">
        <v>7.5429466298980952</v>
      </c>
      <c r="AE83" s="382">
        <v>4.4562323380196611</v>
      </c>
    </row>
    <row r="84" spans="1:31" s="271" customFormat="1" ht="9" customHeight="1">
      <c r="A84" s="212"/>
      <c r="B84" s="218" t="s">
        <v>255</v>
      </c>
      <c r="C84" s="210">
        <v>-10</v>
      </c>
      <c r="D84" s="210">
        <v>4.4444444444444731</v>
      </c>
      <c r="E84" s="210">
        <v>-4.2553191489361879</v>
      </c>
      <c r="F84" s="210">
        <v>-4.4444444444444287</v>
      </c>
      <c r="G84" s="210">
        <v>2.3255813953488635</v>
      </c>
      <c r="H84" s="210">
        <v>6.8181818181817899</v>
      </c>
      <c r="I84" s="210">
        <v>13.404255319148927</v>
      </c>
      <c r="J84" s="210">
        <v>2.7767354596623051</v>
      </c>
      <c r="K84" s="210">
        <v>21.306663015699144</v>
      </c>
      <c r="L84" s="210">
        <v>-25.468391249247034</v>
      </c>
      <c r="M84" s="382">
        <v>2.5747235860047013</v>
      </c>
      <c r="N84" s="382">
        <v>-1.3510832014260621</v>
      </c>
      <c r="O84" s="382">
        <v>1.5542041734798451</v>
      </c>
      <c r="P84" s="382">
        <v>5.5514302652099667</v>
      </c>
      <c r="Q84" s="382">
        <v>-3.5870798375847723E-2</v>
      </c>
      <c r="R84" s="382">
        <v>0.64606516705645323</v>
      </c>
      <c r="S84" s="382">
        <v>-0.19066230664485095</v>
      </c>
      <c r="T84" s="382">
        <v>-1.4464234225293304</v>
      </c>
      <c r="U84" s="382">
        <v>0.3254747305746486</v>
      </c>
      <c r="V84" s="382">
        <v>0.63090490013693046</v>
      </c>
      <c r="W84" s="382">
        <v>1.7423342119657237</v>
      </c>
      <c r="X84" s="382">
        <v>3.0613284543453023</v>
      </c>
      <c r="Y84" s="382">
        <v>-1.1295199154025326</v>
      </c>
      <c r="Z84" s="382">
        <v>-1.3897602676628984</v>
      </c>
      <c r="AA84" s="382">
        <v>-3.6521874856912495</v>
      </c>
      <c r="AB84" s="382">
        <v>2.407068734951423</v>
      </c>
      <c r="AC84" s="382">
        <v>-1.4835942638169564</v>
      </c>
      <c r="AD84" s="382">
        <v>0.63923369370249006</v>
      </c>
      <c r="AE84" s="382">
        <v>0.32419466139319564</v>
      </c>
    </row>
    <row r="85" spans="1:31" s="271" customFormat="1" ht="9" customHeight="1">
      <c r="A85" s="209"/>
      <c r="B85" s="183" t="s">
        <v>411</v>
      </c>
      <c r="C85" s="210">
        <v>-2.806219188471748</v>
      </c>
      <c r="D85" s="210">
        <v>4.0447392378722746</v>
      </c>
      <c r="E85" s="210">
        <v>2.7791666666666659</v>
      </c>
      <c r="F85" s="210">
        <v>1.6215997081120648</v>
      </c>
      <c r="G85" s="210">
        <v>2.6568795627717634</v>
      </c>
      <c r="H85" s="210">
        <v>3.1088485602145166</v>
      </c>
      <c r="I85" s="210">
        <v>3.0151132551916371</v>
      </c>
      <c r="J85" s="210">
        <v>-23.730777204600038</v>
      </c>
      <c r="K85" s="210">
        <v>39.197697473616856</v>
      </c>
      <c r="L85" s="210">
        <v>-0.22339546555107948</v>
      </c>
      <c r="M85" s="382">
        <v>1.9214986991684668</v>
      </c>
      <c r="N85" s="382">
        <v>-0.83955729273502699</v>
      </c>
      <c r="O85" s="382">
        <v>0.22565816357462687</v>
      </c>
      <c r="P85" s="382">
        <v>6.6228951429931016</v>
      </c>
      <c r="Q85" s="382">
        <v>5.4349646560155618</v>
      </c>
      <c r="R85" s="382">
        <v>4.5619503387613225</v>
      </c>
      <c r="S85" s="382">
        <v>5.0541822096922484</v>
      </c>
      <c r="T85" s="382">
        <v>0.59030208836865494</v>
      </c>
      <c r="U85" s="382">
        <v>-0.41429756304721677</v>
      </c>
      <c r="V85" s="382">
        <v>0.81634832540149471</v>
      </c>
      <c r="W85" s="382">
        <v>1.6711711438653687</v>
      </c>
      <c r="X85" s="382" t="s">
        <v>66</v>
      </c>
      <c r="Y85" s="382">
        <v>4.3569557868050612</v>
      </c>
      <c r="Z85" s="382">
        <v>6.0352848550409677</v>
      </c>
      <c r="AA85" s="382">
        <v>5.565725425950907</v>
      </c>
      <c r="AB85" s="382">
        <v>4.5295619149459343</v>
      </c>
      <c r="AC85" s="382">
        <v>5.585340821738094</v>
      </c>
      <c r="AD85" s="382">
        <v>4.5690107979532657</v>
      </c>
      <c r="AE85" s="382">
        <v>5.0364563752220315</v>
      </c>
    </row>
    <row r="86" spans="1:31" s="271" customFormat="1" ht="9" customHeight="1">
      <c r="A86" s="212"/>
      <c r="B86" s="183" t="s">
        <v>281</v>
      </c>
      <c r="C86" s="210">
        <v>-11.511649238671806</v>
      </c>
      <c r="D86" s="210">
        <v>6.5056494246916063</v>
      </c>
      <c r="E86" s="210">
        <v>0.7630467366126048</v>
      </c>
      <c r="F86" s="210">
        <v>-8.0305225538491278</v>
      </c>
      <c r="G86" s="210">
        <v>4.6126701394723968</v>
      </c>
      <c r="H86" s="210">
        <v>2.754798811340442</v>
      </c>
      <c r="I86" s="210">
        <v>0.38494606846959378</v>
      </c>
      <c r="J86" s="210">
        <v>9.7089605701934811</v>
      </c>
      <c r="K86" s="210">
        <v>1.8301662955747311</v>
      </c>
      <c r="L86" s="210">
        <v>-15.616933237163199</v>
      </c>
      <c r="M86" s="382">
        <v>1.5485693656702715E-2</v>
      </c>
      <c r="N86" s="382">
        <v>2.9692148013769071</v>
      </c>
      <c r="O86" s="382">
        <v>2.3358851545808301</v>
      </c>
      <c r="P86" s="382">
        <v>4.5774216093888542</v>
      </c>
      <c r="Q86" s="382">
        <v>6.2297479034046921</v>
      </c>
      <c r="R86" s="382">
        <v>5.954894988364634</v>
      </c>
      <c r="S86" s="382">
        <v>1.0253124193146723</v>
      </c>
      <c r="T86" s="382">
        <v>5.0814412386435137E-2</v>
      </c>
      <c r="U86" s="382">
        <v>0.84842944939300668</v>
      </c>
      <c r="V86" s="382">
        <v>4.352124276723468</v>
      </c>
      <c r="W86" s="382">
        <v>4.1965971997587337</v>
      </c>
      <c r="X86" s="382">
        <v>4.2061060298377528</v>
      </c>
      <c r="Y86" s="382">
        <v>3.4671910023348573</v>
      </c>
      <c r="Z86" s="382">
        <v>1.6285690498338168</v>
      </c>
      <c r="AA86" s="382">
        <v>-0.11051881353174586</v>
      </c>
      <c r="AB86" s="382">
        <v>-2.953490120680069</v>
      </c>
      <c r="AC86" s="382">
        <v>-0.78228546791812015</v>
      </c>
      <c r="AD86" s="382">
        <v>0.51158978878602657</v>
      </c>
      <c r="AE86" s="382">
        <v>1.6955394708654259</v>
      </c>
    </row>
    <row r="87" spans="1:31" s="271" customFormat="1" ht="9" customHeight="1">
      <c r="A87" s="212"/>
      <c r="B87" s="183" t="s">
        <v>282</v>
      </c>
      <c r="C87" s="210">
        <v>0</v>
      </c>
      <c r="D87" s="210">
        <v>5.2631578947368363</v>
      </c>
      <c r="E87" s="210">
        <v>-10</v>
      </c>
      <c r="F87" s="210">
        <v>2.1777777777777674</v>
      </c>
      <c r="G87" s="210">
        <v>-2.1313614615049881</v>
      </c>
      <c r="H87" s="210">
        <v>-16.666666666666686</v>
      </c>
      <c r="I87" s="210">
        <v>1.1466666666666736</v>
      </c>
      <c r="J87" s="210">
        <v>-4.6269443712101177</v>
      </c>
      <c r="K87" s="210">
        <v>-0.14077401520387056</v>
      </c>
      <c r="L87" s="210">
        <v>-6.2013847435506975</v>
      </c>
      <c r="M87" s="382">
        <v>-4.7578473566396102</v>
      </c>
      <c r="N87" s="382">
        <v>-2.0066962749845874</v>
      </c>
      <c r="O87" s="382">
        <v>8.6331519803996226</v>
      </c>
      <c r="P87" s="382">
        <v>2.893745409779247</v>
      </c>
      <c r="Q87" s="382">
        <v>2.1978676279457821</v>
      </c>
      <c r="R87" s="382">
        <v>2.326994700262186</v>
      </c>
      <c r="S87" s="382">
        <v>-1.2759856525493274</v>
      </c>
      <c r="T87" s="382">
        <v>-3.9817277563019227</v>
      </c>
      <c r="U87" s="382">
        <v>-4.147030532253126</v>
      </c>
      <c r="V87" s="382">
        <v>-0.35905133849307713</v>
      </c>
      <c r="W87" s="382">
        <v>0.30941348984394601</v>
      </c>
      <c r="X87" s="382">
        <v>1.5726932732837318</v>
      </c>
      <c r="Y87" s="382">
        <v>3.0795293735919937</v>
      </c>
      <c r="Z87" s="382">
        <v>-4.2212174249371177</v>
      </c>
      <c r="AA87" s="382">
        <v>-4.3208519518151416</v>
      </c>
      <c r="AB87" s="382">
        <v>-1.2505184017949422</v>
      </c>
      <c r="AC87" s="382">
        <v>-5.7228700161834345</v>
      </c>
      <c r="AD87" s="382">
        <v>-9.5976468191817936</v>
      </c>
      <c r="AE87" s="382">
        <v>2.7373270430763208</v>
      </c>
    </row>
    <row r="88" spans="1:31" s="271" customFormat="1" ht="9" customHeight="1">
      <c r="A88" s="212"/>
      <c r="B88" s="183" t="s">
        <v>283</v>
      </c>
      <c r="C88" s="210">
        <v>-11.1</v>
      </c>
      <c r="D88" s="210">
        <v>0</v>
      </c>
      <c r="E88" s="210">
        <v>-6.2710911136108161</v>
      </c>
      <c r="F88" s="210">
        <v>0.75007500750077227</v>
      </c>
      <c r="G88" s="210">
        <v>-0.74449076831448746</v>
      </c>
      <c r="H88" s="210">
        <v>0</v>
      </c>
      <c r="I88" s="210">
        <v>4.2004200420042048</v>
      </c>
      <c r="J88" s="210">
        <v>10.311290270979301</v>
      </c>
      <c r="K88" s="210">
        <v>-7.2558004640371436</v>
      </c>
      <c r="L88" s="210">
        <v>-48.139216293263601</v>
      </c>
      <c r="M88" s="382">
        <v>5.5576540660236651</v>
      </c>
      <c r="N88" s="382">
        <v>7.314763469558283</v>
      </c>
      <c r="O88" s="382">
        <v>-1.3078905536079377</v>
      </c>
      <c r="P88" s="382">
        <v>1.8825223828407234</v>
      </c>
      <c r="Q88" s="382">
        <v>4.1894614424683008</v>
      </c>
      <c r="R88" s="382">
        <v>1.4003847965321503</v>
      </c>
      <c r="S88" s="382">
        <v>6.5258829256837902</v>
      </c>
      <c r="T88" s="382">
        <v>1.7163594294536511</v>
      </c>
      <c r="U88" s="382">
        <v>6.941464488631266</v>
      </c>
      <c r="V88" s="382">
        <v>5.6168417805710469</v>
      </c>
      <c r="W88" s="382">
        <v>5.1813094537093818</v>
      </c>
      <c r="X88" s="382">
        <v>6.015741220958537</v>
      </c>
      <c r="Y88" s="382">
        <v>1.4150680968615159</v>
      </c>
      <c r="Z88" s="382">
        <v>3.4933716464070619</v>
      </c>
      <c r="AA88" s="382">
        <v>-5.3736453568410951</v>
      </c>
      <c r="AB88" s="382">
        <v>4.4230421908970863</v>
      </c>
      <c r="AC88" s="382">
        <v>2.4341894915280715</v>
      </c>
      <c r="AD88" s="382">
        <v>-0.4554322947552647</v>
      </c>
      <c r="AE88" s="382">
        <v>-0.86481216160770868</v>
      </c>
    </row>
    <row r="89" spans="1:31" s="271" customFormat="1" ht="9" customHeight="1">
      <c r="A89" s="212"/>
      <c r="B89" s="183" t="s">
        <v>284</v>
      </c>
      <c r="C89" s="210">
        <v>0</v>
      </c>
      <c r="D89" s="210">
        <v>0</v>
      </c>
      <c r="E89" s="210">
        <v>0</v>
      </c>
      <c r="F89" s="210">
        <v>-10.55</v>
      </c>
      <c r="G89" s="210">
        <v>-25.489100055897151</v>
      </c>
      <c r="H89" s="210">
        <v>0</v>
      </c>
      <c r="I89" s="210">
        <v>0.5251312828207011</v>
      </c>
      <c r="J89" s="210">
        <v>-4.6434494195688236</v>
      </c>
      <c r="K89" s="210">
        <v>12.991304347826071</v>
      </c>
      <c r="L89" s="210">
        <v>-32.769497389406531</v>
      </c>
      <c r="M89" s="382">
        <v>1.2092784409012847</v>
      </c>
      <c r="N89" s="382">
        <v>0.30949242944564581</v>
      </c>
      <c r="O89" s="382">
        <v>7.8322352381466009</v>
      </c>
      <c r="P89" s="382">
        <v>5.8014056010911697</v>
      </c>
      <c r="Q89" s="382">
        <v>4.4297823410082149</v>
      </c>
      <c r="R89" s="382">
        <v>-0.61595117210911932</v>
      </c>
      <c r="S89" s="382">
        <v>5.5717775491531452</v>
      </c>
      <c r="T89" s="382">
        <v>-2.0116468424427603</v>
      </c>
      <c r="U89" s="382">
        <v>5.136166007693288</v>
      </c>
      <c r="V89" s="382">
        <v>-2.4031705598906328</v>
      </c>
      <c r="W89" s="382">
        <v>3.9159251330606049</v>
      </c>
      <c r="X89" s="382">
        <v>2.7255295681409608</v>
      </c>
      <c r="Y89" s="382">
        <v>-3.9402354915615279</v>
      </c>
      <c r="Z89" s="382">
        <v>-0.20716988191142871</v>
      </c>
      <c r="AA89" s="382">
        <v>-4.5570502162972542</v>
      </c>
      <c r="AB89" s="382">
        <v>-8.123659961972729E-2</v>
      </c>
      <c r="AC89" s="382">
        <v>0.80633648477226316</v>
      </c>
      <c r="AD89" s="382">
        <v>-0.14969568329804561</v>
      </c>
      <c r="AE89" s="382">
        <v>-3.8786249434832332</v>
      </c>
    </row>
    <row r="90" spans="1:31" s="271" customFormat="1" ht="9" customHeight="1">
      <c r="A90" s="212"/>
      <c r="B90" s="183" t="s">
        <v>479</v>
      </c>
      <c r="C90" s="210">
        <v>36.405529953917039</v>
      </c>
      <c r="D90" s="210">
        <v>-10.810810810810811</v>
      </c>
      <c r="E90" s="210">
        <v>-0.37878787878786735</v>
      </c>
      <c r="F90" s="210">
        <v>2.281368821292773</v>
      </c>
      <c r="G90" s="210">
        <v>29.368029739776947</v>
      </c>
      <c r="H90" s="210">
        <v>-4.31034482758621</v>
      </c>
      <c r="I90" s="210">
        <v>0</v>
      </c>
      <c r="J90" s="210">
        <v>14.414414414414424</v>
      </c>
      <c r="K90" s="210">
        <v>-4.2596850393700763</v>
      </c>
      <c r="L90" s="210">
        <v>22.499630800236204</v>
      </c>
      <c r="M90" s="382">
        <v>5.4316481117081539</v>
      </c>
      <c r="N90" s="382">
        <v>1.3395764264568344</v>
      </c>
      <c r="O90" s="382">
        <v>3.6268502744766007</v>
      </c>
      <c r="P90" s="382">
        <v>2.2834299918253587</v>
      </c>
      <c r="Q90" s="382">
        <v>2.3372139557093163</v>
      </c>
      <c r="R90" s="382">
        <v>18.526137975111332</v>
      </c>
      <c r="S90" s="382">
        <v>4.9582361966779898</v>
      </c>
      <c r="T90" s="382">
        <v>3.4622188076846472</v>
      </c>
      <c r="U90" s="382">
        <v>0.81279006693901756</v>
      </c>
      <c r="V90" s="382">
        <v>6.1013332106973905</v>
      </c>
      <c r="W90" s="382">
        <v>11.417951710378516</v>
      </c>
      <c r="X90" s="382">
        <v>-1.1429093063719087</v>
      </c>
      <c r="Y90" s="382">
        <v>11.389856804837329</v>
      </c>
      <c r="Z90" s="382">
        <v>2.5269827332184747</v>
      </c>
      <c r="AA90" s="382">
        <v>7.7028427628020868</v>
      </c>
      <c r="AB90" s="382">
        <v>3.8122435830047374</v>
      </c>
      <c r="AC90" s="382">
        <v>3.5804534081301798</v>
      </c>
      <c r="AD90" s="382">
        <v>8.8838498417012079</v>
      </c>
      <c r="AE90" s="382">
        <v>8.0157721349832123</v>
      </c>
    </row>
    <row r="91" spans="1:31" s="271" customFormat="1" ht="9" customHeight="1">
      <c r="A91" s="212"/>
      <c r="B91" s="183" t="s">
        <v>480</v>
      </c>
      <c r="C91" s="210">
        <v>-1.3301662707838613</v>
      </c>
      <c r="D91" s="210">
        <v>2.8406355320173438</v>
      </c>
      <c r="E91" s="210">
        <v>-3.2771535580524369</v>
      </c>
      <c r="F91" s="210">
        <v>3.8509196515005062</v>
      </c>
      <c r="G91" s="210">
        <v>4.960942597736695</v>
      </c>
      <c r="H91" s="210">
        <v>1.2877442273534712</v>
      </c>
      <c r="I91" s="210">
        <v>7.354669004822445</v>
      </c>
      <c r="J91" s="210">
        <v>3.9946748558454148</v>
      </c>
      <c r="K91" s="210">
        <v>-0.37622615429321327</v>
      </c>
      <c r="L91" s="210">
        <v>-11.445117735303768</v>
      </c>
      <c r="M91" s="382">
        <v>9.5757715546769262</v>
      </c>
      <c r="N91" s="382">
        <v>6.2418558266725155</v>
      </c>
      <c r="O91" s="382">
        <v>5.0726769545818451</v>
      </c>
      <c r="P91" s="382">
        <v>5.4445787640340804</v>
      </c>
      <c r="Q91" s="382">
        <v>6.1686036757573559</v>
      </c>
      <c r="R91" s="382">
        <v>8.9062648614277595</v>
      </c>
      <c r="S91" s="382">
        <v>8.0790008619502363</v>
      </c>
      <c r="T91" s="382">
        <v>7.5362108083662394</v>
      </c>
      <c r="U91" s="382">
        <v>5.5306646223368228</v>
      </c>
      <c r="V91" s="382">
        <v>1.5894663101253981</v>
      </c>
      <c r="W91" s="382">
        <v>4.5971072835093274</v>
      </c>
      <c r="X91" s="382">
        <v>2.0017329231910796</v>
      </c>
      <c r="Y91" s="382">
        <v>0.95697508848608948</v>
      </c>
      <c r="Z91" s="382">
        <v>1.7933386686187047</v>
      </c>
      <c r="AA91" s="382">
        <v>3.4208151305559875</v>
      </c>
      <c r="AB91" s="382">
        <v>2.6826208453075484</v>
      </c>
      <c r="AC91" s="382">
        <v>3.0417056418915456</v>
      </c>
      <c r="AD91" s="382">
        <v>2.655285596959911</v>
      </c>
      <c r="AE91" s="382">
        <v>3.0101139866957727</v>
      </c>
    </row>
    <row r="92" spans="1:31" s="271" customFormat="1" ht="9" customHeight="1">
      <c r="A92" s="212"/>
      <c r="B92" s="183" t="s">
        <v>481</v>
      </c>
      <c r="C92" s="210">
        <v>-3.9314516129032362</v>
      </c>
      <c r="D92" s="210">
        <v>18.677859391395614</v>
      </c>
      <c r="E92" s="210">
        <v>-4.0671971706454428</v>
      </c>
      <c r="F92" s="210">
        <v>5.2534562211981495</v>
      </c>
      <c r="G92" s="210">
        <v>-20.227670753064796</v>
      </c>
      <c r="H92" s="210">
        <v>21.295279912184427</v>
      </c>
      <c r="I92" s="210">
        <v>-15.746606334841628</v>
      </c>
      <c r="J92" s="210">
        <v>38.023630504833527</v>
      </c>
      <c r="K92" s="210">
        <v>1.8614785992217886</v>
      </c>
      <c r="L92" s="210">
        <v>3.0101152094856864</v>
      </c>
      <c r="M92" s="382">
        <v>9.2697261392645114</v>
      </c>
      <c r="N92" s="382">
        <v>-6.8628882844092747</v>
      </c>
      <c r="O92" s="382">
        <v>-1.9792606811581126</v>
      </c>
      <c r="P92" s="382">
        <v>4.6963659730876461</v>
      </c>
      <c r="Q92" s="382">
        <v>10.737560442075456</v>
      </c>
      <c r="R92" s="382">
        <v>-2.4390767346001541</v>
      </c>
      <c r="S92" s="382">
        <v>10.977223467740039</v>
      </c>
      <c r="T92" s="382">
        <v>3.1933901525577291</v>
      </c>
      <c r="U92" s="382">
        <v>9.1394212834282165</v>
      </c>
      <c r="V92" s="382">
        <v>-0.79149824544728631</v>
      </c>
      <c r="W92" s="382">
        <v>7.1150560497531767</v>
      </c>
      <c r="X92" s="382">
        <v>2.9171166798147574</v>
      </c>
      <c r="Y92" s="382">
        <v>-7.8611682515416836</v>
      </c>
      <c r="Z92" s="382">
        <v>1.4630966904904508</v>
      </c>
      <c r="AA92" s="382">
        <v>-1.0464814771330988</v>
      </c>
      <c r="AB92" s="382">
        <v>1.588141256268627</v>
      </c>
      <c r="AC92" s="382">
        <v>-4.3086120395141814</v>
      </c>
      <c r="AD92" s="382">
        <v>6.0408100342714599</v>
      </c>
      <c r="AE92" s="382">
        <v>-2.6627057753043082</v>
      </c>
    </row>
    <row r="93" spans="1:31" s="271" customFormat="1" ht="9" customHeight="1">
      <c r="A93" s="212"/>
      <c r="B93" s="183" t="s">
        <v>482</v>
      </c>
      <c r="C93" s="210">
        <v>1.5957446808510634</v>
      </c>
      <c r="D93" s="210">
        <v>-7.3298429319371694</v>
      </c>
      <c r="E93" s="210">
        <v>-10.169491525423723</v>
      </c>
      <c r="F93" s="210">
        <v>-21.383647798742146</v>
      </c>
      <c r="G93" s="210">
        <v>8.0000000000000071</v>
      </c>
      <c r="H93" s="210">
        <v>51.111111111111086</v>
      </c>
      <c r="I93" s="210">
        <v>-2.9411764705882248</v>
      </c>
      <c r="J93" s="210">
        <v>-7.0707070707070718</v>
      </c>
      <c r="K93" s="210">
        <v>38.755434782608702</v>
      </c>
      <c r="L93" s="210">
        <v>13.089969057224572</v>
      </c>
      <c r="M93" s="382">
        <v>2.3190279910557665</v>
      </c>
      <c r="N93" s="382">
        <v>-17.37871184155787</v>
      </c>
      <c r="O93" s="382">
        <v>0.9574711434890304</v>
      </c>
      <c r="P93" s="382">
        <v>-1.8701703900498856</v>
      </c>
      <c r="Q93" s="382">
        <v>-2.8867542239175648</v>
      </c>
      <c r="R93" s="382">
        <v>3.2312379359230814</v>
      </c>
      <c r="S93" s="382">
        <v>18.732799558542858</v>
      </c>
      <c r="T93" s="382">
        <v>-4.8917320004171376</v>
      </c>
      <c r="U93" s="382">
        <v>-1.1449793613229176</v>
      </c>
      <c r="V93" s="382">
        <v>-9.1642919871318451</v>
      </c>
      <c r="W93" s="382">
        <v>7.1695028373468528</v>
      </c>
      <c r="X93" s="382">
        <v>10.043875929204461</v>
      </c>
      <c r="Y93" s="382">
        <v>-2.6216229710564365</v>
      </c>
      <c r="Z93" s="382">
        <v>2.613701750224906</v>
      </c>
      <c r="AA93" s="382">
        <v>-11.926344439637028</v>
      </c>
      <c r="AB93" s="382">
        <v>2.0666763164946866</v>
      </c>
      <c r="AC93" s="382">
        <v>1.6423648369078059</v>
      </c>
      <c r="AD93" s="382">
        <v>-3.0221961255272323</v>
      </c>
      <c r="AE93" s="382">
        <v>-0.43473081128229119</v>
      </c>
    </row>
    <row r="94" spans="1:31" s="271" customFormat="1" ht="9" customHeight="1">
      <c r="A94" s="213"/>
      <c r="B94" s="213" t="s">
        <v>199</v>
      </c>
      <c r="C94" s="214">
        <v>-1.7543859649122973</v>
      </c>
      <c r="D94" s="214">
        <v>-7.1428571428571281</v>
      </c>
      <c r="E94" s="214">
        <v>-3.8461538461538436</v>
      </c>
      <c r="F94" s="214">
        <v>4.4400000000000004</v>
      </c>
      <c r="G94" s="214">
        <v>7.238605898123307</v>
      </c>
      <c r="H94" s="214">
        <v>8.9285714285714413</v>
      </c>
      <c r="I94" s="214">
        <v>16.78688524590164</v>
      </c>
      <c r="J94" s="214">
        <v>-6.007860752386307</v>
      </c>
      <c r="K94" s="214">
        <v>16.483572281959379</v>
      </c>
      <c r="L94" s="214">
        <v>6.6558628877372739</v>
      </c>
      <c r="M94" s="383">
        <v>1.7504481431365626</v>
      </c>
      <c r="N94" s="383">
        <v>-10.10155231865083</v>
      </c>
      <c r="O94" s="383">
        <v>0.10709942889512991</v>
      </c>
      <c r="P94" s="383">
        <v>-0.72656463373296232</v>
      </c>
      <c r="Q94" s="383">
        <v>-2.8910572890116337</v>
      </c>
      <c r="R94" s="383">
        <v>-4.927075105780987</v>
      </c>
      <c r="S94" s="383">
        <v>5.0150748423066771</v>
      </c>
      <c r="T94" s="383">
        <v>-7.4273875507578797</v>
      </c>
      <c r="U94" s="383">
        <v>1.9202812911025546</v>
      </c>
      <c r="V94" s="383">
        <v>-0.59293229958875537</v>
      </c>
      <c r="W94" s="383">
        <v>0.72227580643777767</v>
      </c>
      <c r="X94" s="383">
        <v>7.166295521678312</v>
      </c>
      <c r="Y94" s="383">
        <v>-5.6787490076476761</v>
      </c>
      <c r="Z94" s="383">
        <v>-4.117087320246049</v>
      </c>
      <c r="AA94" s="383">
        <v>-10.23118420692477</v>
      </c>
      <c r="AB94" s="383">
        <v>4.444885490799777</v>
      </c>
      <c r="AC94" s="383">
        <v>-12.979414631873309</v>
      </c>
      <c r="AD94" s="383">
        <v>-1.0076876595516371</v>
      </c>
      <c r="AE94" s="383">
        <v>-3.8006408170236039</v>
      </c>
    </row>
    <row r="95" spans="1:31" s="271" customFormat="1" ht="12.75">
      <c r="A95" s="169" t="s">
        <v>15</v>
      </c>
      <c r="B95" s="275"/>
      <c r="C95" s="274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</row>
    <row r="96" spans="1:31" s="271" customFormat="1" ht="12.75">
      <c r="A96" s="274" t="s">
        <v>378</v>
      </c>
      <c r="B96" s="275"/>
      <c r="C96" s="274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</row>
    <row r="97" spans="1:16" s="271" customFormat="1" ht="17.100000000000001" customHeight="1">
      <c r="B97" s="10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</row>
    <row r="98" spans="1:16" s="271" customFormat="1" ht="17.100000000000001" customHeight="1">
      <c r="B98" s="10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</row>
    <row r="99" spans="1:16" s="271" customFormat="1" ht="17.100000000000001" customHeight="1">
      <c r="A99" s="40"/>
      <c r="B99" s="40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</row>
    <row r="100" spans="1:16" s="271" customFormat="1" ht="17.100000000000001" customHeight="1">
      <c r="A100" s="10"/>
      <c r="B100" s="273"/>
      <c r="C100" s="129"/>
      <c r="D100" s="129"/>
      <c r="E100" s="129"/>
      <c r="F100" s="129"/>
      <c r="G100" s="129"/>
      <c r="H100" s="129"/>
      <c r="I100" s="129"/>
    </row>
    <row r="101" spans="1:16" s="271" customFormat="1" ht="17.100000000000001" customHeight="1">
      <c r="A101" s="35"/>
      <c r="B101" s="273"/>
    </row>
    <row r="102" spans="1:16" s="271" customFormat="1" ht="17.100000000000001" customHeight="1">
      <c r="C102" s="129"/>
      <c r="D102" s="129"/>
      <c r="E102" s="129"/>
      <c r="F102" s="129"/>
      <c r="G102" s="129"/>
      <c r="H102" s="129"/>
      <c r="I102" s="129"/>
    </row>
    <row r="103" spans="1:16" s="271" customFormat="1" ht="17.100000000000001" customHeight="1">
      <c r="J103" s="130"/>
      <c r="K103" s="130"/>
      <c r="L103" s="130"/>
      <c r="M103" s="130"/>
      <c r="N103" s="130"/>
    </row>
    <row r="104" spans="1:16" s="271" customFormat="1" ht="17.100000000000001" customHeight="1">
      <c r="C104" s="129"/>
      <c r="D104" s="129"/>
      <c r="E104" s="129"/>
      <c r="F104" s="129"/>
      <c r="G104" s="129"/>
      <c r="H104" s="129"/>
      <c r="I104" s="129"/>
      <c r="J104" s="130"/>
      <c r="K104" s="130"/>
      <c r="L104" s="130"/>
      <c r="M104" s="130"/>
      <c r="N104" s="130"/>
    </row>
    <row r="105" spans="1:16" s="271" customFormat="1" ht="17.100000000000001" customHeight="1">
      <c r="J105" s="130"/>
      <c r="K105" s="130"/>
      <c r="L105" s="130"/>
      <c r="M105" s="130"/>
      <c r="N105" s="130"/>
    </row>
    <row r="106" spans="1:16" s="271" customFormat="1" ht="17.100000000000001" customHeight="1">
      <c r="C106" s="129"/>
      <c r="D106" s="129"/>
      <c r="E106" s="129"/>
      <c r="F106" s="129"/>
      <c r="G106" s="129"/>
      <c r="H106" s="129"/>
      <c r="I106" s="129"/>
      <c r="J106" s="130"/>
      <c r="K106" s="130"/>
      <c r="L106" s="130"/>
      <c r="M106" s="130"/>
      <c r="N106" s="130"/>
    </row>
    <row r="107" spans="1:16" s="271" customFormat="1" ht="17.100000000000001" customHeight="1">
      <c r="J107" s="130"/>
      <c r="K107" s="130"/>
      <c r="L107" s="130"/>
      <c r="M107" s="130"/>
      <c r="N107" s="130"/>
    </row>
    <row r="108" spans="1:16" s="271" customFormat="1" ht="17.100000000000001" customHeight="1">
      <c r="J108" s="130"/>
      <c r="K108" s="130"/>
      <c r="L108" s="130"/>
      <c r="M108" s="130"/>
      <c r="N108" s="130"/>
    </row>
    <row r="109" spans="1:16" s="271" customFormat="1" ht="17.100000000000001" customHeight="1">
      <c r="J109" s="130"/>
      <c r="K109" s="130"/>
      <c r="L109" s="130"/>
      <c r="M109" s="130"/>
      <c r="N109" s="130"/>
    </row>
    <row r="110" spans="1:16" s="271" customFormat="1" ht="17.100000000000001" customHeight="1">
      <c r="J110" s="130"/>
      <c r="K110" s="130"/>
    </row>
    <row r="111" spans="1:16" s="271" customFormat="1" ht="17.100000000000001" customHeight="1">
      <c r="C111" s="129"/>
      <c r="D111" s="129"/>
      <c r="E111" s="129"/>
      <c r="F111" s="129"/>
      <c r="G111" s="129"/>
      <c r="H111" s="129"/>
      <c r="I111" s="129"/>
      <c r="J111" s="130"/>
      <c r="K111" s="130"/>
    </row>
    <row r="112" spans="1:16" s="271" customFormat="1" ht="17.100000000000001" customHeight="1">
      <c r="J112" s="130"/>
      <c r="K112" s="130"/>
    </row>
    <row r="113" spans="3:11" s="271" customFormat="1" ht="17.100000000000001" customHeight="1">
      <c r="J113" s="130"/>
      <c r="K113" s="130"/>
    </row>
    <row r="114" spans="3:11" s="271" customFormat="1" ht="17.100000000000001" customHeight="1">
      <c r="C114" s="129"/>
      <c r="D114" s="129"/>
      <c r="E114" s="129"/>
      <c r="F114" s="129"/>
      <c r="G114" s="129"/>
      <c r="H114" s="129"/>
      <c r="I114" s="129"/>
      <c r="J114" s="130"/>
      <c r="K114" s="130"/>
    </row>
    <row r="115" spans="3:11" s="271" customFormat="1" ht="17.100000000000001" customHeight="1">
      <c r="J115" s="130"/>
      <c r="K115" s="130"/>
    </row>
    <row r="116" spans="3:11" s="271" customFormat="1" ht="17.100000000000001" customHeight="1">
      <c r="J116" s="130"/>
      <c r="K116" s="130"/>
    </row>
    <row r="117" spans="3:11" s="271" customFormat="1" ht="17.100000000000001" customHeight="1">
      <c r="C117" s="129"/>
      <c r="D117" s="129"/>
      <c r="E117" s="129"/>
      <c r="F117" s="129"/>
      <c r="G117" s="129"/>
      <c r="H117" s="129"/>
      <c r="I117" s="129"/>
      <c r="J117" s="130"/>
      <c r="K117" s="130"/>
    </row>
    <row r="118" spans="3:11" s="271" customFormat="1" ht="17.100000000000001" customHeight="1"/>
    <row r="119" spans="3:11" s="271" customFormat="1" ht="17.100000000000001" customHeight="1">
      <c r="H119" s="9"/>
    </row>
    <row r="120" spans="3:11" s="271" customFormat="1" ht="17.100000000000001" customHeight="1">
      <c r="H120" s="9"/>
    </row>
    <row r="121" spans="3:11" s="271" customFormat="1" ht="17.100000000000001" customHeight="1">
      <c r="H121" s="9"/>
    </row>
    <row r="122" spans="3:11" s="271" customFormat="1" ht="17.100000000000001" customHeight="1">
      <c r="G122" s="9"/>
    </row>
    <row r="123" spans="3:11" s="271" customFormat="1" ht="17.100000000000001" customHeight="1">
      <c r="G123" s="9"/>
    </row>
    <row r="124" spans="3:11" s="271" customFormat="1" ht="17.100000000000001" customHeight="1"/>
    <row r="125" spans="3:11" s="271" customFormat="1" ht="17.100000000000001" customHeight="1"/>
    <row r="126" spans="3:11" s="271" customFormat="1" ht="17.100000000000001" customHeight="1"/>
    <row r="127" spans="3:11" s="271" customFormat="1" ht="17.100000000000001" customHeight="1"/>
    <row r="128" spans="3:11" s="271" customFormat="1" ht="17.100000000000001" customHeight="1"/>
    <row r="129" spans="1:1" s="271" customFormat="1" ht="17.100000000000001" customHeight="1">
      <c r="A129" s="42"/>
    </row>
    <row r="130" spans="1:1" s="271" customFormat="1" ht="17.100000000000001" customHeight="1"/>
    <row r="131" spans="1:1" s="271" customFormat="1" ht="17.100000000000001" customHeight="1"/>
    <row r="132" spans="1:1" s="271" customFormat="1" ht="17.100000000000001" customHeight="1"/>
    <row r="133" spans="1:1" s="271" customFormat="1" ht="17.100000000000001" customHeight="1"/>
    <row r="134" spans="1:1" s="271" customFormat="1" ht="17.100000000000001" customHeight="1"/>
    <row r="135" spans="1:1" s="271" customFormat="1" ht="17.100000000000001" customHeight="1"/>
    <row r="136" spans="1:1" s="271" customFormat="1" ht="17.100000000000001" customHeight="1"/>
    <row r="137" spans="1:1" s="271" customFormat="1" ht="17.100000000000001" customHeight="1"/>
    <row r="138" spans="1:1" s="271" customFormat="1" ht="17.100000000000001" customHeight="1"/>
    <row r="139" spans="1:1" s="271" customFormat="1" ht="17.100000000000001" customHeight="1"/>
    <row r="140" spans="1:1" s="271" customFormat="1" ht="17.100000000000001" customHeight="1"/>
    <row r="141" spans="1:1" s="271" customFormat="1" ht="17.100000000000001" customHeight="1"/>
    <row r="142" spans="1:1" s="271" customFormat="1" ht="17.100000000000001" customHeight="1"/>
    <row r="143" spans="1:1" s="271" customFormat="1" ht="17.100000000000001" customHeight="1"/>
    <row r="144" spans="1:1" s="271" customFormat="1" ht="17.100000000000001" customHeight="1"/>
    <row r="145" s="271" customFormat="1" ht="17.100000000000001" customHeight="1"/>
    <row r="146" s="271" customFormat="1" ht="17.100000000000001" customHeight="1"/>
    <row r="147" s="271" customFormat="1" ht="17.100000000000001" customHeight="1"/>
    <row r="148" s="271" customFormat="1" ht="17.100000000000001" customHeight="1"/>
    <row r="149" s="271" customFormat="1" ht="17.100000000000001" customHeight="1"/>
    <row r="150" s="271" customFormat="1" ht="17.100000000000001" customHeight="1"/>
    <row r="151" s="271" customFormat="1" ht="17.100000000000001" customHeight="1"/>
    <row r="152" s="271" customFormat="1" ht="17.100000000000001" customHeight="1"/>
    <row r="153" s="271" customFormat="1" ht="17.100000000000001" customHeight="1"/>
    <row r="154" s="271" customFormat="1" ht="17.100000000000001" customHeight="1"/>
    <row r="155" s="271" customFormat="1" ht="17.100000000000001" customHeight="1"/>
    <row r="156" s="271" customFormat="1" ht="17.100000000000001" customHeight="1"/>
    <row r="157" s="271" customFormat="1" ht="17.100000000000001" customHeight="1"/>
    <row r="158" s="271" customFormat="1" ht="17.100000000000001" customHeight="1"/>
    <row r="159" s="271" customFormat="1" ht="17.100000000000001" customHeight="1"/>
    <row r="160" s="271" customFormat="1" ht="17.100000000000001" customHeight="1"/>
    <row r="161" s="271" customFormat="1" ht="17.100000000000001" customHeight="1"/>
    <row r="162" s="271" customFormat="1" ht="17.100000000000001" customHeight="1"/>
    <row r="163" s="271" customFormat="1" ht="17.100000000000001" customHeight="1"/>
    <row r="164" s="271" customFormat="1" ht="17.100000000000001" customHeight="1"/>
    <row r="165" s="271" customFormat="1" ht="17.100000000000001" customHeight="1"/>
    <row r="166" s="271" customFormat="1" ht="17.100000000000001" customHeight="1"/>
    <row r="167" s="271" customFormat="1" ht="17.100000000000001" customHeight="1"/>
    <row r="168" s="271" customFormat="1" ht="17.100000000000001" customHeight="1"/>
    <row r="169" s="271" customFormat="1" ht="17.100000000000001" customHeight="1"/>
    <row r="170" s="271" customFormat="1" ht="17.100000000000001" customHeight="1"/>
    <row r="171" s="271" customFormat="1" ht="17.100000000000001" customHeight="1"/>
    <row r="172" s="271" customFormat="1" ht="17.100000000000001" customHeight="1"/>
    <row r="173" s="271" customFormat="1" ht="17.100000000000001" customHeight="1"/>
    <row r="174" s="271" customFormat="1" ht="17.100000000000001" customHeight="1"/>
    <row r="175" s="271" customFormat="1" ht="17.100000000000001" customHeight="1"/>
    <row r="176" s="271" customFormat="1" ht="17.100000000000001" customHeight="1"/>
    <row r="177" s="271" customFormat="1" ht="17.100000000000001" customHeight="1"/>
    <row r="178" s="271" customFormat="1" ht="17.100000000000001" customHeight="1"/>
    <row r="179" s="271" customFormat="1" ht="17.100000000000001" customHeight="1"/>
    <row r="180" s="271" customFormat="1" ht="17.100000000000001" customHeight="1"/>
    <row r="181" s="271" customFormat="1" ht="17.100000000000001" customHeight="1"/>
    <row r="182" s="271" customFormat="1" ht="17.100000000000001" customHeight="1"/>
    <row r="183" s="271" customFormat="1" ht="17.100000000000001" customHeight="1"/>
    <row r="184" s="271" customFormat="1" ht="17.100000000000001" customHeight="1"/>
    <row r="185" s="271" customFormat="1" ht="17.100000000000001" customHeight="1"/>
    <row r="186" s="271" customFormat="1" ht="17.100000000000001" customHeight="1"/>
    <row r="187" s="271" customFormat="1" ht="17.100000000000001" customHeight="1"/>
    <row r="188" s="271" customFormat="1" ht="17.100000000000001" customHeight="1"/>
    <row r="189" s="271" customFormat="1" ht="17.100000000000001" customHeight="1"/>
    <row r="190" s="271" customFormat="1" ht="17.100000000000001" customHeight="1"/>
    <row r="191" s="271" customFormat="1" ht="17.100000000000001" customHeight="1"/>
    <row r="192" s="271" customFormat="1" ht="17.100000000000001" customHeight="1"/>
    <row r="193" spans="1:31" s="271" customFormat="1" ht="17.100000000000001" customHeight="1"/>
    <row r="194" spans="1:31" s="271" customFormat="1" ht="17.100000000000001" customHeight="1"/>
    <row r="195" spans="1:31" s="271" customFormat="1" ht="17.100000000000001" customHeight="1"/>
    <row r="196" spans="1:31" s="271" customFormat="1" ht="17.100000000000001" customHeight="1"/>
    <row r="197" spans="1:31" s="271" customFormat="1" ht="17.100000000000001" customHeight="1"/>
    <row r="198" spans="1:31" s="271" customFormat="1" ht="17.100000000000001" customHeight="1"/>
    <row r="199" spans="1:31" s="271" customFormat="1" ht="17.100000000000001" customHeight="1"/>
    <row r="200" spans="1:31" s="271" customFormat="1" ht="17.100000000000001" customHeight="1"/>
    <row r="201" spans="1:31" s="271" customFormat="1" ht="17.100000000000001" customHeight="1"/>
    <row r="202" spans="1:31" s="271" customFormat="1" ht="17.100000000000001" customHeight="1"/>
    <row r="203" spans="1:31" s="271" customFormat="1" ht="17.100000000000001" customHeight="1"/>
    <row r="204" spans="1:31" s="271" customFormat="1" ht="17.100000000000001" customHeight="1"/>
    <row r="205" spans="1:31" ht="17.100000000000001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  <c r="AA205" s="271"/>
      <c r="AB205" s="271"/>
      <c r="AC205" s="271"/>
      <c r="AD205" s="271"/>
      <c r="AE205" s="271"/>
    </row>
  </sheetData>
  <mergeCells count="3">
    <mergeCell ref="A51:B51"/>
    <mergeCell ref="A3:B3"/>
    <mergeCell ref="A4:B4"/>
  </mergeCells>
  <phoneticPr fontId="10" type="noConversion"/>
  <pageMargins left="0.78740157480314965" right="0.11811023622047245" top="0.55118110236220474" bottom="0.15748031496062992" header="0.31496062992125984" footer="0.31496062992125984"/>
  <rowBreaks count="1" manualBreakCount="1">
    <brk id="49" max="30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0"/>
  <dimension ref="A1:X85"/>
  <sheetViews>
    <sheetView showGridLines="0" tabSelected="1" workbookViewId="0">
      <selection activeCell="G7" sqref="G7:G54"/>
    </sheetView>
  </sheetViews>
  <sheetFormatPr baseColWidth="10" defaultColWidth="10.85546875" defaultRowHeight="17.100000000000001" customHeight="1"/>
  <cols>
    <col min="1" max="1" width="18.140625" style="272" customWidth="1"/>
    <col min="2" max="2" width="9.42578125" style="272" hidden="1" customWidth="1"/>
    <col min="3" max="3" width="9.42578125" style="272" customWidth="1"/>
    <col min="4" max="4" width="7.42578125" style="272" customWidth="1"/>
    <col min="5" max="6" width="9.42578125" style="272" customWidth="1"/>
    <col min="7" max="7" width="8.140625" style="272" customWidth="1"/>
    <col min="8" max="16384" width="10.85546875" style="272"/>
  </cols>
  <sheetData>
    <row r="1" spans="1:10" ht="14.1" customHeight="1">
      <c r="A1" s="18" t="s">
        <v>465</v>
      </c>
      <c r="B1" s="465"/>
      <c r="C1" s="465"/>
      <c r="D1" s="465"/>
      <c r="E1" s="465"/>
      <c r="F1" s="465"/>
      <c r="G1" s="465"/>
      <c r="J1" s="272" t="s">
        <v>4</v>
      </c>
    </row>
    <row r="2" spans="1:10" ht="12.95" customHeight="1">
      <c r="A2" s="577" t="s">
        <v>111</v>
      </c>
      <c r="B2" s="577"/>
      <c r="C2" s="577"/>
      <c r="D2" s="577"/>
      <c r="E2" s="577"/>
      <c r="F2" s="577"/>
      <c r="G2" s="577"/>
    </row>
    <row r="3" spans="1:10" ht="12.95" customHeight="1">
      <c r="A3" s="578" t="s">
        <v>292</v>
      </c>
      <c r="B3" s="578"/>
      <c r="C3" s="578"/>
      <c r="D3" s="578"/>
      <c r="E3" s="578"/>
      <c r="F3" s="578"/>
      <c r="G3" s="578"/>
    </row>
    <row r="4" spans="1:10" ht="3.95" customHeight="1">
      <c r="A4" s="398"/>
      <c r="B4" s="399" t="s">
        <v>112</v>
      </c>
      <c r="C4" s="400"/>
      <c r="D4" s="401"/>
      <c r="E4" s="400"/>
      <c r="F4" s="400"/>
      <c r="G4" s="402"/>
    </row>
    <row r="5" spans="1:10" ht="13.5" customHeight="1">
      <c r="A5" s="579" t="s">
        <v>113</v>
      </c>
      <c r="B5" s="581" t="s">
        <v>241</v>
      </c>
      <c r="C5" s="582"/>
      <c r="D5" s="583"/>
      <c r="E5" s="584" t="s">
        <v>242</v>
      </c>
      <c r="F5" s="585"/>
      <c r="G5" s="586"/>
    </row>
    <row r="6" spans="1:10" ht="17.100000000000001" customHeight="1">
      <c r="A6" s="580"/>
      <c r="B6" s="403" t="s">
        <v>114</v>
      </c>
      <c r="C6" s="403" t="s">
        <v>115</v>
      </c>
      <c r="D6" s="404" t="s">
        <v>437</v>
      </c>
      <c r="E6" s="403" t="s">
        <v>114</v>
      </c>
      <c r="F6" s="403" t="s">
        <v>115</v>
      </c>
      <c r="G6" s="541" t="s">
        <v>437</v>
      </c>
    </row>
    <row r="7" spans="1:10" ht="17.100000000000001" customHeight="1">
      <c r="A7" s="405" t="s">
        <v>116</v>
      </c>
      <c r="B7" s="486">
        <v>13279.296395615413</v>
      </c>
      <c r="C7" s="486">
        <v>13825.368880388467</v>
      </c>
      <c r="D7" s="539">
        <v>4.1122094763496486</v>
      </c>
      <c r="E7" s="533">
        <v>1095.3555357898399</v>
      </c>
      <c r="F7" s="533">
        <v>1164.3760997759155</v>
      </c>
      <c r="G7" s="539">
        <v>6.3012019139804254</v>
      </c>
    </row>
    <row r="8" spans="1:10" ht="6" customHeight="1">
      <c r="A8" s="466"/>
      <c r="B8" s="487"/>
      <c r="C8" s="487"/>
      <c r="D8" s="540"/>
      <c r="E8" s="534"/>
      <c r="F8" s="534"/>
      <c r="G8" s="540"/>
    </row>
    <row r="9" spans="1:10" ht="11.1" customHeight="1">
      <c r="A9" s="406" t="s">
        <v>99</v>
      </c>
      <c r="B9" s="488">
        <v>2358.5001657387502</v>
      </c>
      <c r="C9" s="488">
        <v>2433.90876695725</v>
      </c>
      <c r="D9" s="529">
        <v>3.197311677732273</v>
      </c>
      <c r="E9" s="535">
        <v>189.412320292</v>
      </c>
      <c r="F9" s="535">
        <v>210.19315920349999</v>
      </c>
      <c r="G9" s="529">
        <v>10.971218176021512</v>
      </c>
    </row>
    <row r="10" spans="1:10" ht="11.1" customHeight="1">
      <c r="A10" s="406" t="s">
        <v>117</v>
      </c>
      <c r="B10" s="488">
        <v>1852.30376529675</v>
      </c>
      <c r="C10" s="488">
        <v>1893.8185754202498</v>
      </c>
      <c r="D10" s="529">
        <v>2.2412528064395865</v>
      </c>
      <c r="E10" s="535">
        <v>152.51163253500002</v>
      </c>
      <c r="F10" s="535">
        <v>168.19544989249999</v>
      </c>
      <c r="G10" s="529">
        <v>10.283685969921464</v>
      </c>
    </row>
    <row r="11" spans="1:10" ht="11.1" customHeight="1">
      <c r="A11" s="407" t="s">
        <v>118</v>
      </c>
      <c r="B11" s="489">
        <v>1852.30376529675</v>
      </c>
      <c r="C11" s="489">
        <v>1893.8185754202498</v>
      </c>
      <c r="D11" s="530">
        <v>2.2412528064395865</v>
      </c>
      <c r="E11" s="536">
        <v>152.51163253500002</v>
      </c>
      <c r="F11" s="536">
        <v>168.19544989249999</v>
      </c>
      <c r="G11" s="530">
        <v>10.283685969921464</v>
      </c>
    </row>
    <row r="12" spans="1:10" ht="11.1" customHeight="1">
      <c r="A12" s="406" t="s">
        <v>119</v>
      </c>
      <c r="B12" s="488">
        <v>506.19640044199997</v>
      </c>
      <c r="C12" s="488">
        <v>540.09019153700001</v>
      </c>
      <c r="D12" s="529">
        <v>6.6957787659897905</v>
      </c>
      <c r="E12" s="535">
        <v>36.900687757</v>
      </c>
      <c r="F12" s="535">
        <v>41.997709311000001</v>
      </c>
      <c r="G12" s="529">
        <v>13.812809093329449</v>
      </c>
    </row>
    <row r="13" spans="1:10" ht="11.1" customHeight="1">
      <c r="A13" s="407" t="s">
        <v>120</v>
      </c>
      <c r="B13" s="489">
        <v>380.55073704199998</v>
      </c>
      <c r="C13" s="489">
        <v>404.95558663700001</v>
      </c>
      <c r="D13" s="530">
        <v>6.4130343787263566</v>
      </c>
      <c r="E13" s="536">
        <v>28.812057756999998</v>
      </c>
      <c r="F13" s="536">
        <v>30.110839310999999</v>
      </c>
      <c r="G13" s="530">
        <v>4.5077708956225315</v>
      </c>
    </row>
    <row r="14" spans="1:10" ht="11.1" customHeight="1">
      <c r="A14" s="407" t="s">
        <v>121</v>
      </c>
      <c r="B14" s="489">
        <v>125.64566339999999</v>
      </c>
      <c r="C14" s="489">
        <v>135.1346049</v>
      </c>
      <c r="D14" s="530">
        <v>7.5521440559324526</v>
      </c>
      <c r="E14" s="536">
        <v>8.0886300000000002</v>
      </c>
      <c r="F14" s="536">
        <v>11.88687</v>
      </c>
      <c r="G14" s="530">
        <v>46.957766642806021</v>
      </c>
    </row>
    <row r="15" spans="1:10" ht="6.95" customHeight="1">
      <c r="A15" s="408"/>
      <c r="B15" s="489"/>
      <c r="C15" s="489"/>
      <c r="D15" s="530"/>
      <c r="E15" s="536"/>
      <c r="F15" s="536"/>
      <c r="G15" s="530"/>
    </row>
    <row r="16" spans="1:10" ht="11.1" customHeight="1">
      <c r="A16" s="406" t="s">
        <v>122</v>
      </c>
      <c r="B16" s="488">
        <v>3558.4090190683196</v>
      </c>
      <c r="C16" s="488">
        <v>3798.9650888790402</v>
      </c>
      <c r="D16" s="529">
        <v>6.7602141440644248</v>
      </c>
      <c r="E16" s="535">
        <v>307.01142105776006</v>
      </c>
      <c r="F16" s="535">
        <v>322.30987078528005</v>
      </c>
      <c r="G16" s="529">
        <v>4.9830230011677079</v>
      </c>
    </row>
    <row r="17" spans="1:12" ht="11.1" customHeight="1">
      <c r="A17" s="407" t="s">
        <v>123</v>
      </c>
      <c r="B17" s="489">
        <v>2062.9554533296</v>
      </c>
      <c r="C17" s="489">
        <v>2232.4656269017596</v>
      </c>
      <c r="D17" s="530">
        <v>8.2168605870073907</v>
      </c>
      <c r="E17" s="536">
        <v>184.56775683200001</v>
      </c>
      <c r="F17" s="536">
        <v>189.83760620800001</v>
      </c>
      <c r="G17" s="530">
        <v>2.8552383506490697</v>
      </c>
    </row>
    <row r="18" spans="1:12" ht="11.1" customHeight="1">
      <c r="A18" s="407" t="s">
        <v>124</v>
      </c>
      <c r="B18" s="489">
        <v>765.56657436799981</v>
      </c>
      <c r="C18" s="489">
        <v>813.89697305599998</v>
      </c>
      <c r="D18" s="530">
        <v>6.3130236227853187</v>
      </c>
      <c r="E18" s="536">
        <v>64.83655929599999</v>
      </c>
      <c r="F18" s="536">
        <v>69.491287584000005</v>
      </c>
      <c r="G18" s="530">
        <v>7.1791722733923313</v>
      </c>
    </row>
    <row r="19" spans="1:12" ht="11.1" customHeight="1">
      <c r="A19" s="407" t="s">
        <v>125</v>
      </c>
      <c r="B19" s="489">
        <v>177.43153631999999</v>
      </c>
      <c r="C19" s="489">
        <v>231.36758399999999</v>
      </c>
      <c r="D19" s="530">
        <v>30.398230663305338</v>
      </c>
      <c r="E19" s="536">
        <v>16.652499840000001</v>
      </c>
      <c r="F19" s="536">
        <v>20.768781119999996</v>
      </c>
      <c r="G19" s="530">
        <v>24.718698811289073</v>
      </c>
    </row>
    <row r="20" spans="1:12" ht="11.1" customHeight="1">
      <c r="A20" s="407" t="s">
        <v>126</v>
      </c>
      <c r="B20" s="489">
        <v>74.780983005600007</v>
      </c>
      <c r="C20" s="489">
        <v>71.555464759999992</v>
      </c>
      <c r="D20" s="530">
        <v>-4.3132867688546845</v>
      </c>
      <c r="E20" s="536">
        <v>6.4815019655999997</v>
      </c>
      <c r="F20" s="536">
        <v>6.5470360400000001</v>
      </c>
      <c r="G20" s="530">
        <v>1.0110939524174523</v>
      </c>
    </row>
    <row r="21" spans="1:12" ht="11.1" customHeight="1">
      <c r="A21" s="467" t="s">
        <v>127</v>
      </c>
      <c r="B21" s="489">
        <v>69.420240058880012</v>
      </c>
      <c r="C21" s="489">
        <v>70.896560577279999</v>
      </c>
      <c r="D21" s="530">
        <v>2.1266427732716364</v>
      </c>
      <c r="E21" s="536">
        <v>4.3116250815999999</v>
      </c>
      <c r="F21" s="536">
        <v>4.4663316444799994</v>
      </c>
      <c r="G21" s="530">
        <v>3.5881265173127952</v>
      </c>
    </row>
    <row r="22" spans="1:12" ht="11.1" customHeight="1">
      <c r="A22" s="467" t="s">
        <v>128</v>
      </c>
      <c r="B22" s="489">
        <v>408.25423198624003</v>
      </c>
      <c r="C22" s="489">
        <v>378.78287958400006</v>
      </c>
      <c r="D22" s="530">
        <v>-7.2188724802326849</v>
      </c>
      <c r="E22" s="536">
        <v>30.161478042559999</v>
      </c>
      <c r="F22" s="536">
        <v>31.198828188799997</v>
      </c>
      <c r="G22" s="530">
        <v>3.4393213249570342</v>
      </c>
    </row>
    <row r="23" spans="1:12" ht="6.95" customHeight="1">
      <c r="A23" s="408"/>
      <c r="B23" s="489"/>
      <c r="C23" s="489"/>
      <c r="D23" s="530"/>
      <c r="E23" s="536"/>
      <c r="F23" s="536"/>
      <c r="G23" s="530"/>
      <c r="L23" s="272" t="s">
        <v>489</v>
      </c>
    </row>
    <row r="24" spans="1:12" ht="11.1" customHeight="1">
      <c r="A24" s="406" t="s">
        <v>101</v>
      </c>
      <c r="B24" s="488">
        <v>135.65311816870823</v>
      </c>
      <c r="C24" s="488">
        <v>155.76411640066399</v>
      </c>
      <c r="D24" s="529">
        <v>14.825312166392113</v>
      </c>
      <c r="E24" s="535">
        <v>8.2217784957930995</v>
      </c>
      <c r="F24" s="535">
        <v>10.456426636600002</v>
      </c>
      <c r="G24" s="529">
        <v>27.179619859016178</v>
      </c>
      <c r="I24" s="272" t="s">
        <v>3</v>
      </c>
    </row>
    <row r="25" spans="1:12" ht="11.1" customHeight="1">
      <c r="A25" s="406"/>
      <c r="B25" s="488"/>
      <c r="C25" s="488"/>
      <c r="D25" s="529"/>
      <c r="E25" s="535"/>
      <c r="F25" s="535"/>
      <c r="G25" s="529"/>
    </row>
    <row r="26" spans="1:12" ht="11.1" customHeight="1">
      <c r="A26" s="406" t="s">
        <v>102</v>
      </c>
      <c r="B26" s="488"/>
      <c r="C26" s="488"/>
      <c r="D26" s="529"/>
      <c r="E26" s="535"/>
      <c r="F26" s="535"/>
      <c r="G26" s="529"/>
    </row>
    <row r="27" spans="1:12" ht="11.1" customHeight="1">
      <c r="A27" s="408" t="s">
        <v>129</v>
      </c>
      <c r="B27" s="490">
        <v>1501.0869782310003</v>
      </c>
      <c r="C27" s="490">
        <v>1520.9764963883201</v>
      </c>
      <c r="D27" s="531">
        <v>1.3250077074653754</v>
      </c>
      <c r="E27" s="537">
        <v>158.4879501062</v>
      </c>
      <c r="F27" s="537">
        <v>141.32100161580001</v>
      </c>
      <c r="G27" s="531">
        <v>-10.831705804066949</v>
      </c>
    </row>
    <row r="28" spans="1:12" ht="6.95" customHeight="1">
      <c r="A28" s="406"/>
      <c r="B28" s="488"/>
      <c r="C28" s="488"/>
      <c r="D28" s="529"/>
      <c r="E28" s="535"/>
      <c r="F28" s="535"/>
      <c r="G28" s="529"/>
    </row>
    <row r="29" spans="1:12" ht="11.1" customHeight="1">
      <c r="A29" s="409" t="s">
        <v>130</v>
      </c>
      <c r="B29" s="488">
        <v>496.64336501282003</v>
      </c>
      <c r="C29" s="488">
        <v>417.87778874814001</v>
      </c>
      <c r="D29" s="529">
        <v>-15.859584928240578</v>
      </c>
      <c r="E29" s="535">
        <v>45.187589735200007</v>
      </c>
      <c r="F29" s="535">
        <v>33.305841954600005</v>
      </c>
      <c r="G29" s="529">
        <v>-26.294272056171241</v>
      </c>
    </row>
    <row r="30" spans="1:12" ht="11.1" customHeight="1">
      <c r="A30" s="408" t="s">
        <v>131</v>
      </c>
      <c r="B30" s="489">
        <v>15.246443706699999</v>
      </c>
      <c r="C30" s="489">
        <v>16.8890531015</v>
      </c>
      <c r="D30" s="530">
        <v>10.773721573367045</v>
      </c>
      <c r="E30" s="536">
        <v>1.4244647429999997</v>
      </c>
      <c r="F30" s="536">
        <v>1.8172477409999999</v>
      </c>
      <c r="G30" s="530">
        <v>27.574076503485646</v>
      </c>
    </row>
    <row r="31" spans="1:12" ht="11.1" customHeight="1">
      <c r="A31" s="408" t="s">
        <v>132</v>
      </c>
      <c r="B31" s="489">
        <v>78.613878062729995</v>
      </c>
      <c r="C31" s="489">
        <v>72.218132641040015</v>
      </c>
      <c r="D31" s="530">
        <v>-8.135644213591009</v>
      </c>
      <c r="E31" s="536">
        <v>6.4075386398000003</v>
      </c>
      <c r="F31" s="536">
        <v>6.6118016163000002</v>
      </c>
      <c r="G31" s="530">
        <v>3.1878539948434259</v>
      </c>
    </row>
    <row r="32" spans="1:12" ht="11.1" customHeight="1">
      <c r="A32" s="408" t="s">
        <v>20</v>
      </c>
      <c r="B32" s="489">
        <v>217.08149075600002</v>
      </c>
      <c r="C32" s="489">
        <v>167.78242730599999</v>
      </c>
      <c r="D32" s="530">
        <v>-22.709934079737948</v>
      </c>
      <c r="E32" s="536">
        <v>22.279335884000002</v>
      </c>
      <c r="F32" s="536">
        <v>11.953598644000003</v>
      </c>
      <c r="G32" s="530">
        <v>-46.346701238143595</v>
      </c>
    </row>
    <row r="33" spans="1:16" ht="11.1" customHeight="1">
      <c r="A33" s="408" t="s">
        <v>21</v>
      </c>
      <c r="B33" s="489">
        <v>71.336048005800009</v>
      </c>
      <c r="C33" s="489">
        <v>69.030829564199991</v>
      </c>
      <c r="D33" s="530">
        <v>-3.2314916596060783</v>
      </c>
      <c r="E33" s="536">
        <v>6.1312897620000006</v>
      </c>
      <c r="F33" s="536">
        <v>6.6755352923999984</v>
      </c>
      <c r="G33" s="530">
        <v>8.8765260088191855</v>
      </c>
      <c r="J33" s="272" t="s">
        <v>6</v>
      </c>
    </row>
    <row r="34" spans="1:16" ht="11.1" customHeight="1">
      <c r="A34" s="408" t="s">
        <v>22</v>
      </c>
      <c r="B34" s="489">
        <v>93.851065361300016</v>
      </c>
      <c r="C34" s="489">
        <v>72.931369539600013</v>
      </c>
      <c r="D34" s="530">
        <v>-22.290312572547897</v>
      </c>
      <c r="E34" s="536">
        <v>7.9465090341000009</v>
      </c>
      <c r="F34" s="536">
        <v>4.6930757250000008</v>
      </c>
      <c r="G34" s="530">
        <v>-40.941667531476924</v>
      </c>
    </row>
    <row r="35" spans="1:16" ht="11.1" customHeight="1">
      <c r="A35" s="408" t="s">
        <v>23</v>
      </c>
      <c r="B35" s="489">
        <v>16.075444765899999</v>
      </c>
      <c r="C35" s="489">
        <v>12.3502494362</v>
      </c>
      <c r="D35" s="530">
        <v>-23.17320225939913</v>
      </c>
      <c r="E35" s="536">
        <v>0.7546420063</v>
      </c>
      <c r="F35" s="536">
        <v>1.0092944641000003</v>
      </c>
      <c r="G35" s="530">
        <v>33.744802922985699</v>
      </c>
    </row>
    <row r="36" spans="1:16" ht="11.1" customHeight="1">
      <c r="A36" s="408" t="s">
        <v>24</v>
      </c>
      <c r="B36" s="489">
        <v>0.22365578098999994</v>
      </c>
      <c r="C36" s="489">
        <v>0.23524388199999999</v>
      </c>
      <c r="D36" s="530">
        <v>5.1812213208645597</v>
      </c>
      <c r="E36" s="536">
        <v>2.0503145E-2</v>
      </c>
      <c r="F36" s="536">
        <v>2.2067346999999998E-2</v>
      </c>
      <c r="G36" s="530">
        <v>7.629083245521584</v>
      </c>
      <c r="P36" s="272" t="s">
        <v>5</v>
      </c>
    </row>
    <row r="37" spans="1:16" ht="11.1" customHeight="1">
      <c r="A37" s="408" t="s">
        <v>25</v>
      </c>
      <c r="B37" s="489">
        <v>4.2153385733999995</v>
      </c>
      <c r="C37" s="489">
        <v>6.4404832776000003</v>
      </c>
      <c r="D37" s="530">
        <v>52.786856036696662</v>
      </c>
      <c r="E37" s="536">
        <v>0.22330652099999998</v>
      </c>
      <c r="F37" s="536">
        <v>0.52322112479999994</v>
      </c>
      <c r="G37" s="530">
        <v>134.30624527082219</v>
      </c>
    </row>
    <row r="38" spans="1:16" ht="5.0999999999999996" customHeight="1">
      <c r="A38" s="408"/>
      <c r="B38" s="489"/>
      <c r="C38" s="489"/>
      <c r="D38" s="530"/>
      <c r="E38" s="536"/>
      <c r="F38" s="536"/>
      <c r="G38" s="530"/>
    </row>
    <row r="39" spans="1:16" ht="11.1" customHeight="1">
      <c r="A39" s="409" t="s">
        <v>104</v>
      </c>
      <c r="B39" s="488">
        <v>222.11615549500002</v>
      </c>
      <c r="C39" s="488">
        <v>373.2034603267</v>
      </c>
      <c r="D39" s="529">
        <v>68.021753975973652</v>
      </c>
      <c r="E39" s="535">
        <v>31.005492900000004</v>
      </c>
      <c r="F39" s="535">
        <v>46.706585831000005</v>
      </c>
      <c r="G39" s="529">
        <v>50.639714006933254</v>
      </c>
      <c r="H39" s="272" t="s">
        <v>7</v>
      </c>
    </row>
    <row r="40" spans="1:16" ht="11.1" customHeight="1">
      <c r="A40" s="408" t="s">
        <v>26</v>
      </c>
      <c r="B40" s="489">
        <v>147.49925877500002</v>
      </c>
      <c r="C40" s="489">
        <v>282.08912488100003</v>
      </c>
      <c r="D40" s="530">
        <v>91.247825395046632</v>
      </c>
      <c r="E40" s="536">
        <v>23.821304000000001</v>
      </c>
      <c r="F40" s="536">
        <v>41.361185131000006</v>
      </c>
      <c r="G40" s="530">
        <v>73.631070452734249</v>
      </c>
    </row>
    <row r="41" spans="1:16" ht="11.1" customHeight="1">
      <c r="A41" s="408" t="s">
        <v>27</v>
      </c>
      <c r="B41" s="489">
        <v>74.61689672</v>
      </c>
      <c r="C41" s="489">
        <v>91.114335445699993</v>
      </c>
      <c r="D41" s="530">
        <v>22.109521369679385</v>
      </c>
      <c r="E41" s="536">
        <v>7.1841889000000014</v>
      </c>
      <c r="F41" s="536">
        <v>5.3454006999999999</v>
      </c>
      <c r="G41" s="530">
        <v>-25.594931113239539</v>
      </c>
    </row>
    <row r="42" spans="1:16" ht="6" customHeight="1">
      <c r="A42" s="408"/>
      <c r="B42" s="489"/>
      <c r="C42" s="489"/>
      <c r="D42" s="530"/>
      <c r="E42" s="536"/>
      <c r="F42" s="536"/>
      <c r="G42" s="530"/>
    </row>
    <row r="43" spans="1:16" ht="11.1" customHeight="1">
      <c r="A43" s="406" t="s">
        <v>105</v>
      </c>
      <c r="B43" s="488">
        <v>910.16846401665748</v>
      </c>
      <c r="C43" s="488">
        <v>878.63312955651372</v>
      </c>
      <c r="D43" s="529">
        <v>-3.4647799508428778</v>
      </c>
      <c r="E43" s="535">
        <v>68.849682992636815</v>
      </c>
      <c r="F43" s="535">
        <v>67.484198133298008</v>
      </c>
      <c r="G43" s="529">
        <v>-1.9832841633923515</v>
      </c>
    </row>
    <row r="44" spans="1:16" ht="11.1" customHeight="1">
      <c r="A44" s="407" t="s">
        <v>28</v>
      </c>
      <c r="B44" s="489">
        <v>76.170358107719991</v>
      </c>
      <c r="C44" s="489">
        <v>57.914532007649989</v>
      </c>
      <c r="D44" s="530">
        <v>-23.967100265240504</v>
      </c>
      <c r="E44" s="536">
        <v>4.9640395184999999</v>
      </c>
      <c r="F44" s="536">
        <v>4.1198230907999998</v>
      </c>
      <c r="G44" s="530">
        <v>-17.006641960721137</v>
      </c>
    </row>
    <row r="45" spans="1:16" ht="11.1" customHeight="1">
      <c r="A45" s="407" t="s">
        <v>29</v>
      </c>
      <c r="B45" s="489">
        <v>833.99810590893753</v>
      </c>
      <c r="C45" s="489">
        <v>820.71859754886373</v>
      </c>
      <c r="D45" s="530">
        <v>-1.592270805651419</v>
      </c>
      <c r="E45" s="536">
        <v>63.885643474136813</v>
      </c>
      <c r="F45" s="536">
        <v>63.364375042498011</v>
      </c>
      <c r="G45" s="530">
        <v>-0.81593986268578833</v>
      </c>
    </row>
    <row r="46" spans="1:16" ht="6" customHeight="1">
      <c r="A46" s="407"/>
      <c r="B46" s="489"/>
      <c r="C46" s="489"/>
      <c r="D46" s="530"/>
      <c r="E46" s="536"/>
      <c r="F46" s="536"/>
      <c r="G46" s="530"/>
    </row>
    <row r="47" spans="1:16" ht="11.1" customHeight="1">
      <c r="A47" s="406" t="s">
        <v>30</v>
      </c>
      <c r="B47" s="488">
        <v>1898.2060116913917</v>
      </c>
      <c r="C47" s="488">
        <v>2094.9082801790978</v>
      </c>
      <c r="D47" s="529">
        <v>10.362535324205147</v>
      </c>
      <c r="E47" s="535">
        <v>123.90727052298</v>
      </c>
      <c r="F47" s="535">
        <v>168.96728913249001</v>
      </c>
      <c r="G47" s="529">
        <v>36.365919787695674</v>
      </c>
    </row>
    <row r="48" spans="1:16" ht="11.1" customHeight="1">
      <c r="A48" s="407" t="s">
        <v>31</v>
      </c>
      <c r="B48" s="489">
        <v>1817.5601521654137</v>
      </c>
      <c r="C48" s="489">
        <v>2016.2414665864419</v>
      </c>
      <c r="D48" s="530">
        <v>10.931209852082336</v>
      </c>
      <c r="E48" s="536">
        <v>118.77370037778</v>
      </c>
      <c r="F48" s="536">
        <v>163.93517015552999</v>
      </c>
      <c r="G48" s="530">
        <v>38.023122656030935</v>
      </c>
    </row>
    <row r="49" spans="1:7" ht="11.1" customHeight="1">
      <c r="A49" s="407" t="s">
        <v>32</v>
      </c>
      <c r="B49" s="489">
        <v>8.8899101892000001</v>
      </c>
      <c r="C49" s="489">
        <v>5.8436238845760009</v>
      </c>
      <c r="D49" s="530">
        <v>-34.266783800862378</v>
      </c>
      <c r="E49" s="536">
        <v>0.66929621880000001</v>
      </c>
      <c r="F49" s="536">
        <v>0.28493808599999998</v>
      </c>
      <c r="G49" s="530">
        <v>-57.427208163393864</v>
      </c>
    </row>
    <row r="50" spans="1:7" ht="11.1" customHeight="1">
      <c r="A50" s="407" t="s">
        <v>33</v>
      </c>
      <c r="B50" s="489">
        <v>71.755949336777974</v>
      </c>
      <c r="C50" s="489">
        <v>72.823189708079994</v>
      </c>
      <c r="D50" s="530">
        <v>1.487319701246026</v>
      </c>
      <c r="E50" s="536">
        <v>4.4642739263999989</v>
      </c>
      <c r="F50" s="536">
        <v>4.7471808909600002</v>
      </c>
      <c r="G50" s="530">
        <v>6.3371327392568455</v>
      </c>
    </row>
    <row r="51" spans="1:7" ht="6" customHeight="1">
      <c r="A51" s="407"/>
      <c r="B51" s="489"/>
      <c r="C51" s="489"/>
      <c r="D51" s="530"/>
      <c r="E51" s="536"/>
      <c r="F51" s="536"/>
      <c r="G51" s="530"/>
    </row>
    <row r="52" spans="1:7" ht="11.1" customHeight="1">
      <c r="A52" s="406" t="s">
        <v>34</v>
      </c>
      <c r="B52" s="488">
        <v>2198.5131181927682</v>
      </c>
      <c r="C52" s="488">
        <v>2151.1317529527428</v>
      </c>
      <c r="D52" s="529">
        <v>-2.1551549930697744</v>
      </c>
      <c r="E52" s="535">
        <v>163.27202968726598</v>
      </c>
      <c r="F52" s="535">
        <v>163.63172648334719</v>
      </c>
      <c r="G52" s="529">
        <v>0.22030521502682809</v>
      </c>
    </row>
    <row r="53" spans="1:7" ht="10.35" customHeight="1">
      <c r="A53" s="407" t="s">
        <v>35</v>
      </c>
      <c r="B53" s="489">
        <v>1848.1808195114161</v>
      </c>
      <c r="C53" s="489">
        <v>1777.2068468653908</v>
      </c>
      <c r="D53" s="530">
        <v>-3.8402071862637221</v>
      </c>
      <c r="E53" s="536">
        <v>138.71584574622</v>
      </c>
      <c r="F53" s="536">
        <v>137.55625097610118</v>
      </c>
      <c r="G53" s="530">
        <v>-0.8359497531668314</v>
      </c>
    </row>
    <row r="54" spans="1:7" ht="12.75">
      <c r="A54" s="410" t="s">
        <v>36</v>
      </c>
      <c r="B54" s="491">
        <v>350.33229868135197</v>
      </c>
      <c r="C54" s="491">
        <v>373.92490608735204</v>
      </c>
      <c r="D54" s="532">
        <v>6.7343512130632721</v>
      </c>
      <c r="E54" s="538">
        <v>24.556183941045994</v>
      </c>
      <c r="F54" s="538">
        <v>26.075475507246001</v>
      </c>
      <c r="G54" s="532">
        <v>6.1870018967421503</v>
      </c>
    </row>
    <row r="55" spans="1:7" ht="8.1" customHeight="1">
      <c r="A55" s="411" t="s">
        <v>37</v>
      </c>
      <c r="B55" s="412"/>
      <c r="C55" s="412"/>
      <c r="D55" s="413"/>
      <c r="E55" s="412"/>
      <c r="F55" s="412"/>
      <c r="G55" s="414"/>
    </row>
    <row r="56" spans="1:7" ht="8.1" customHeight="1">
      <c r="A56" s="411" t="s">
        <v>38</v>
      </c>
      <c r="B56" s="412"/>
      <c r="C56" s="412"/>
      <c r="D56" s="413"/>
      <c r="E56" s="412"/>
      <c r="F56" s="412"/>
      <c r="G56" s="414"/>
    </row>
    <row r="57" spans="1:7" ht="17.100000000000001" customHeight="1">
      <c r="A57" s="576" t="s">
        <v>39</v>
      </c>
      <c r="B57" s="576"/>
      <c r="C57" s="576"/>
      <c r="D57" s="576"/>
      <c r="E57" s="576"/>
      <c r="F57" s="576"/>
      <c r="G57" s="576"/>
    </row>
    <row r="85" spans="24:24" ht="17.100000000000001" customHeight="1">
      <c r="X85" s="272" t="s">
        <v>65</v>
      </c>
    </row>
  </sheetData>
  <mergeCells count="6">
    <mergeCell ref="A57:G57"/>
    <mergeCell ref="A2:G2"/>
    <mergeCell ref="A3:G3"/>
    <mergeCell ref="A5:A6"/>
    <mergeCell ref="B5:D5"/>
    <mergeCell ref="E5:G5"/>
  </mergeCells>
  <phoneticPr fontId="10" type="noConversion"/>
  <pageMargins left="0.70866141732283472" right="0.70866141732283472" top="0.75196850393700787" bottom="0.75196850393700787" header="0.31102362204724415" footer="0.31102362204724415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1"/>
  <dimension ref="A1:X269"/>
  <sheetViews>
    <sheetView showGridLines="0" topLeftCell="A10" zoomScale="150" workbookViewId="0">
      <selection activeCell="X85" sqref="X85"/>
    </sheetView>
  </sheetViews>
  <sheetFormatPr baseColWidth="10" defaultColWidth="11.42578125" defaultRowHeight="17.100000000000001" customHeight="1"/>
  <cols>
    <col min="1" max="1" width="6.28515625" style="128" customWidth="1"/>
    <col min="2" max="2" width="64.42578125" style="128" customWidth="1"/>
    <col min="3" max="3" width="6.28515625" style="128" customWidth="1"/>
    <col min="4" max="4" width="2" style="128" customWidth="1"/>
    <col min="5" max="5" width="40.85546875" style="128" customWidth="1"/>
    <col min="6" max="16384" width="11.42578125" style="128"/>
  </cols>
  <sheetData>
    <row r="1" spans="1:5" ht="16.350000000000001" customHeight="1">
      <c r="A1" s="355" t="s">
        <v>80</v>
      </c>
      <c r="B1" s="295"/>
      <c r="C1" s="296"/>
      <c r="D1" s="296"/>
      <c r="E1" s="127"/>
    </row>
    <row r="2" spans="1:5" ht="17.100000000000001" customHeight="1">
      <c r="A2" s="126"/>
      <c r="B2" s="126"/>
      <c r="C2" s="127"/>
      <c r="D2" s="127"/>
      <c r="E2" s="127"/>
    </row>
    <row r="3" spans="1:5" ht="17.100000000000001" customHeight="1">
      <c r="A3" s="93"/>
      <c r="B3" s="93"/>
      <c r="C3" s="94"/>
      <c r="D3" s="127"/>
      <c r="E3" s="127"/>
    </row>
    <row r="4" spans="1:5" ht="17.100000000000001" customHeight="1">
      <c r="A4" s="127"/>
      <c r="B4" s="127"/>
      <c r="C4" s="127"/>
      <c r="D4" s="127"/>
      <c r="E4" s="127"/>
    </row>
    <row r="5" spans="1:5" ht="17.100000000000001" customHeight="1">
      <c r="A5" s="127"/>
      <c r="B5" s="127"/>
      <c r="C5" s="127"/>
      <c r="D5" s="127"/>
      <c r="E5" s="127"/>
    </row>
    <row r="6" spans="1:5" ht="17.100000000000001" customHeight="1">
      <c r="A6" s="32" t="s">
        <v>230</v>
      </c>
      <c r="B6" s="354" t="s">
        <v>231</v>
      </c>
      <c r="C6" s="353"/>
      <c r="D6" s="127"/>
      <c r="E6" s="127"/>
    </row>
    <row r="7" spans="1:5" ht="17.100000000000001" customHeight="1">
      <c r="A7" s="95"/>
      <c r="B7" s="96" t="s">
        <v>260</v>
      </c>
      <c r="C7" s="352"/>
      <c r="D7" s="127"/>
      <c r="E7" s="127"/>
    </row>
    <row r="8" spans="1:5" ht="20.25" customHeight="1">
      <c r="A8" s="97" t="s">
        <v>232</v>
      </c>
      <c r="B8" s="33" t="s">
        <v>76</v>
      </c>
      <c r="C8" s="98"/>
      <c r="D8" s="127"/>
      <c r="E8" s="127"/>
    </row>
    <row r="9" spans="1:5" ht="20.25" customHeight="1">
      <c r="A9" s="97" t="s">
        <v>392</v>
      </c>
      <c r="B9" s="33" t="s">
        <v>184</v>
      </c>
      <c r="C9" s="98"/>
      <c r="D9" s="127"/>
      <c r="E9" s="127"/>
    </row>
    <row r="10" spans="1:5" ht="20.25" customHeight="1">
      <c r="A10" s="97" t="s">
        <v>393</v>
      </c>
      <c r="B10" s="34" t="s">
        <v>133</v>
      </c>
      <c r="C10" s="98"/>
      <c r="D10" s="127"/>
      <c r="E10" s="127"/>
    </row>
    <row r="11" spans="1:5" ht="28.35" customHeight="1">
      <c r="A11" s="97" t="s">
        <v>280</v>
      </c>
      <c r="B11" s="33" t="s">
        <v>183</v>
      </c>
      <c r="C11" s="98"/>
      <c r="D11" s="127"/>
      <c r="E11" s="127"/>
    </row>
    <row r="12" spans="1:5" ht="19.5" customHeight="1">
      <c r="A12" s="97" t="s">
        <v>423</v>
      </c>
      <c r="B12" s="33" t="s">
        <v>0</v>
      </c>
      <c r="C12" s="98"/>
      <c r="D12" s="127"/>
      <c r="E12" s="127"/>
    </row>
    <row r="13" spans="1:5" ht="27.6" customHeight="1">
      <c r="A13" s="97" t="s">
        <v>424</v>
      </c>
      <c r="B13" s="33" t="s">
        <v>185</v>
      </c>
      <c r="C13" s="98"/>
      <c r="D13" s="127"/>
      <c r="E13" s="127"/>
    </row>
    <row r="14" spans="1:5" ht="17.100000000000001" customHeight="1">
      <c r="A14" s="97" t="s">
        <v>473</v>
      </c>
      <c r="B14" s="33" t="s">
        <v>77</v>
      </c>
      <c r="C14" s="98"/>
      <c r="D14" s="127"/>
      <c r="E14" s="127"/>
    </row>
    <row r="15" spans="1:5" ht="17.100000000000001" customHeight="1">
      <c r="A15" s="97" t="s">
        <v>474</v>
      </c>
      <c r="B15" s="33" t="s">
        <v>78</v>
      </c>
      <c r="C15" s="98"/>
      <c r="D15" s="127"/>
      <c r="E15" s="127"/>
    </row>
    <row r="16" spans="1:5" ht="17.100000000000001" customHeight="1">
      <c r="A16" s="97" t="s">
        <v>475</v>
      </c>
      <c r="B16" s="33" t="s">
        <v>79</v>
      </c>
      <c r="C16" s="98"/>
      <c r="D16" s="127"/>
      <c r="E16" s="127"/>
    </row>
    <row r="17" spans="1:5" ht="17.100000000000001" customHeight="1">
      <c r="A17" s="97" t="s">
        <v>476</v>
      </c>
      <c r="B17" s="33" t="s">
        <v>134</v>
      </c>
      <c r="C17" s="98"/>
      <c r="D17" s="127"/>
      <c r="E17" s="127"/>
    </row>
    <row r="18" spans="1:5" ht="17.100000000000001" customHeight="1">
      <c r="A18" s="97" t="s">
        <v>425</v>
      </c>
      <c r="B18" s="396" t="s">
        <v>8</v>
      </c>
      <c r="C18" s="98"/>
      <c r="D18" s="127"/>
      <c r="E18" s="127"/>
    </row>
    <row r="19" spans="1:5" ht="17.100000000000001" customHeight="1">
      <c r="A19" s="127"/>
      <c r="B19" s="31"/>
      <c r="C19" s="127"/>
      <c r="D19" s="127"/>
      <c r="E19" s="127"/>
    </row>
    <row r="20" spans="1:5" ht="17.100000000000001" customHeight="1">
      <c r="A20" s="127"/>
      <c r="B20" s="431"/>
      <c r="C20" s="127"/>
      <c r="D20" s="127"/>
      <c r="E20" s="127"/>
    </row>
    <row r="21" spans="1:5" ht="17.100000000000001" customHeight="1">
      <c r="A21" s="127"/>
      <c r="B21" s="127"/>
      <c r="C21" s="127"/>
      <c r="D21" s="127"/>
      <c r="E21" s="127"/>
    </row>
    <row r="22" spans="1:5" ht="17.100000000000001" customHeight="1">
      <c r="A22" s="127"/>
      <c r="B22" s="127"/>
      <c r="C22" s="127"/>
      <c r="D22" s="127"/>
      <c r="E22" s="127"/>
    </row>
    <row r="23" spans="1:5" ht="17.100000000000001" customHeight="1">
      <c r="A23" s="127"/>
      <c r="B23" s="127"/>
      <c r="C23" s="127"/>
      <c r="D23" s="127"/>
      <c r="E23" s="127"/>
    </row>
    <row r="24" spans="1:5" ht="17.100000000000001" customHeight="1">
      <c r="A24" s="127"/>
      <c r="B24" s="127"/>
      <c r="C24" s="127"/>
      <c r="D24" s="127"/>
      <c r="E24" s="127"/>
    </row>
    <row r="25" spans="1:5" ht="17.100000000000001" customHeight="1">
      <c r="A25" s="127"/>
      <c r="B25" s="127"/>
      <c r="C25" s="127"/>
      <c r="D25" s="127"/>
      <c r="E25" s="127"/>
    </row>
    <row r="26" spans="1:5" ht="17.100000000000001" customHeight="1">
      <c r="A26" s="127"/>
      <c r="B26" s="127"/>
      <c r="C26" s="127"/>
      <c r="D26" s="127"/>
      <c r="E26" s="127"/>
    </row>
    <row r="27" spans="1:5" ht="17.100000000000001" customHeight="1">
      <c r="A27" s="127"/>
      <c r="B27" s="127"/>
      <c r="C27" s="127"/>
      <c r="D27" s="127"/>
      <c r="E27" s="127"/>
    </row>
    <row r="28" spans="1:5" ht="17.100000000000001" customHeight="1">
      <c r="A28" s="127"/>
      <c r="B28" s="127"/>
      <c r="C28" s="127"/>
      <c r="D28" s="127"/>
      <c r="E28" s="127"/>
    </row>
    <row r="29" spans="1:5" ht="17.100000000000001" customHeight="1">
      <c r="A29" s="127"/>
      <c r="B29" s="127"/>
      <c r="C29" s="127"/>
      <c r="D29" s="127"/>
      <c r="E29" s="127"/>
    </row>
    <row r="30" spans="1:5" ht="17.100000000000001" customHeight="1">
      <c r="A30" s="127"/>
      <c r="B30" s="127"/>
      <c r="C30" s="127"/>
      <c r="D30" s="127"/>
      <c r="E30" s="127"/>
    </row>
    <row r="31" spans="1:5" ht="17.100000000000001" customHeight="1">
      <c r="A31" s="127"/>
      <c r="B31" s="127"/>
      <c r="C31" s="127"/>
      <c r="D31" s="127"/>
      <c r="E31" s="127"/>
    </row>
    <row r="32" spans="1:5" ht="17.100000000000001" customHeight="1">
      <c r="A32" s="127"/>
      <c r="B32" s="127"/>
      <c r="C32" s="127"/>
      <c r="D32" s="127"/>
      <c r="E32" s="127"/>
    </row>
    <row r="33" spans="1:5" ht="17.100000000000001" customHeight="1">
      <c r="A33" s="127"/>
      <c r="B33" s="127"/>
      <c r="C33" s="127"/>
      <c r="D33" s="127"/>
      <c r="E33" s="127"/>
    </row>
    <row r="34" spans="1:5" ht="17.100000000000001" customHeight="1">
      <c r="A34" s="127"/>
      <c r="B34" s="127"/>
      <c r="C34" s="127"/>
      <c r="D34" s="127"/>
      <c r="E34" s="127"/>
    </row>
    <row r="35" spans="1:5" ht="17.100000000000001" customHeight="1">
      <c r="A35" s="127"/>
      <c r="B35" s="127"/>
      <c r="C35" s="127"/>
      <c r="D35" s="127"/>
      <c r="E35" s="127"/>
    </row>
    <row r="36" spans="1:5" ht="17.100000000000001" customHeight="1">
      <c r="A36" s="127"/>
      <c r="B36" s="127"/>
      <c r="C36" s="127"/>
      <c r="D36" s="127"/>
      <c r="E36" s="127"/>
    </row>
    <row r="37" spans="1:5" ht="17.100000000000001" customHeight="1">
      <c r="A37" s="127"/>
      <c r="B37" s="127"/>
      <c r="C37" s="127"/>
      <c r="D37" s="127"/>
      <c r="E37" s="127"/>
    </row>
    <row r="38" spans="1:5" ht="17.100000000000001" customHeight="1">
      <c r="A38" s="127"/>
      <c r="B38" s="127"/>
      <c r="C38" s="127"/>
      <c r="D38" s="127"/>
      <c r="E38" s="127"/>
    </row>
    <row r="39" spans="1:5" ht="17.100000000000001" customHeight="1">
      <c r="A39" s="127"/>
      <c r="B39" s="127"/>
      <c r="C39" s="127"/>
      <c r="D39" s="127"/>
      <c r="E39" s="127"/>
    </row>
    <row r="40" spans="1:5" ht="17.100000000000001" customHeight="1">
      <c r="A40" s="127"/>
      <c r="B40" s="127"/>
      <c r="C40" s="127"/>
      <c r="D40" s="127"/>
      <c r="E40" s="127"/>
    </row>
    <row r="41" spans="1:5" ht="17.100000000000001" customHeight="1">
      <c r="A41" s="127"/>
      <c r="B41" s="127"/>
      <c r="C41" s="127"/>
      <c r="D41" s="127"/>
      <c r="E41" s="127"/>
    </row>
    <row r="42" spans="1:5" ht="17.100000000000001" customHeight="1">
      <c r="A42" s="127"/>
      <c r="B42" s="127"/>
      <c r="C42" s="127"/>
      <c r="D42" s="127"/>
      <c r="E42" s="127"/>
    </row>
    <row r="43" spans="1:5" ht="17.100000000000001" customHeight="1">
      <c r="A43" s="127"/>
      <c r="B43" s="127"/>
      <c r="C43" s="127"/>
      <c r="D43" s="127"/>
      <c r="E43" s="127"/>
    </row>
    <row r="44" spans="1:5" ht="17.100000000000001" customHeight="1">
      <c r="A44" s="127"/>
      <c r="B44" s="127"/>
      <c r="C44" s="127"/>
      <c r="D44" s="127"/>
      <c r="E44" s="127"/>
    </row>
    <row r="45" spans="1:5" ht="17.100000000000001" customHeight="1">
      <c r="A45" s="127"/>
      <c r="B45" s="127"/>
      <c r="C45" s="127"/>
      <c r="D45" s="127"/>
      <c r="E45" s="127"/>
    </row>
    <row r="46" spans="1:5" ht="17.100000000000001" customHeight="1">
      <c r="A46" s="127"/>
      <c r="B46" s="127"/>
      <c r="C46" s="127"/>
      <c r="D46" s="127"/>
      <c r="E46" s="127"/>
    </row>
    <row r="47" spans="1:5" ht="17.100000000000001" customHeight="1">
      <c r="A47" s="127"/>
      <c r="B47" s="127"/>
      <c r="C47" s="127"/>
      <c r="D47" s="127"/>
      <c r="E47" s="127"/>
    </row>
    <row r="48" spans="1:5" ht="17.100000000000001" customHeight="1">
      <c r="A48" s="127"/>
      <c r="B48" s="127"/>
      <c r="C48" s="127"/>
      <c r="D48" s="127"/>
      <c r="E48" s="127"/>
    </row>
    <row r="49" spans="1:5" ht="17.100000000000001" customHeight="1">
      <c r="A49" s="127"/>
      <c r="B49" s="127"/>
      <c r="C49" s="127"/>
      <c r="D49" s="127"/>
      <c r="E49" s="127"/>
    </row>
    <row r="50" spans="1:5" ht="17.100000000000001" customHeight="1">
      <c r="A50" s="127"/>
      <c r="B50" s="127"/>
      <c r="C50" s="127"/>
      <c r="D50" s="127"/>
      <c r="E50" s="127"/>
    </row>
    <row r="51" spans="1:5" ht="17.100000000000001" customHeight="1">
      <c r="A51" s="127"/>
      <c r="B51" s="127"/>
      <c r="C51" s="127"/>
      <c r="D51" s="127"/>
      <c r="E51" s="127"/>
    </row>
    <row r="52" spans="1:5" ht="17.100000000000001" customHeight="1">
      <c r="A52" s="127"/>
      <c r="B52" s="127"/>
      <c r="C52" s="127"/>
      <c r="D52" s="127"/>
      <c r="E52" s="127"/>
    </row>
    <row r="53" spans="1:5" ht="17.100000000000001" customHeight="1">
      <c r="A53" s="127"/>
      <c r="B53" s="127"/>
      <c r="C53" s="127"/>
      <c r="D53" s="127"/>
      <c r="E53" s="127"/>
    </row>
    <row r="54" spans="1:5" ht="17.100000000000001" customHeight="1">
      <c r="A54" s="127"/>
      <c r="B54" s="127"/>
      <c r="C54" s="127"/>
      <c r="D54" s="127"/>
      <c r="E54" s="127"/>
    </row>
    <row r="55" spans="1:5" ht="17.100000000000001" customHeight="1">
      <c r="A55" s="127"/>
      <c r="B55" s="127"/>
      <c r="C55" s="127"/>
      <c r="D55" s="127"/>
      <c r="E55" s="127"/>
    </row>
    <row r="56" spans="1:5" ht="17.100000000000001" customHeight="1">
      <c r="A56" s="127"/>
      <c r="B56" s="127"/>
      <c r="C56" s="127"/>
      <c r="D56" s="127"/>
      <c r="E56" s="127"/>
    </row>
    <row r="57" spans="1:5" ht="17.100000000000001" customHeight="1">
      <c r="A57" s="127"/>
      <c r="B57" s="127"/>
      <c r="C57" s="127"/>
      <c r="D57" s="127"/>
      <c r="E57" s="127"/>
    </row>
    <row r="58" spans="1:5" ht="17.100000000000001" customHeight="1">
      <c r="A58" s="127"/>
      <c r="B58" s="127"/>
      <c r="C58" s="127"/>
      <c r="D58" s="127"/>
      <c r="E58" s="127"/>
    </row>
    <row r="59" spans="1:5" ht="17.100000000000001" customHeight="1">
      <c r="A59" s="127"/>
      <c r="B59" s="127"/>
      <c r="C59" s="127"/>
      <c r="D59" s="127"/>
      <c r="E59" s="127"/>
    </row>
    <row r="60" spans="1:5" ht="17.100000000000001" customHeight="1">
      <c r="A60" s="127"/>
      <c r="B60" s="127"/>
      <c r="C60" s="127"/>
      <c r="D60" s="127"/>
      <c r="E60" s="127"/>
    </row>
    <row r="61" spans="1:5" ht="17.100000000000001" customHeight="1">
      <c r="A61" s="127"/>
      <c r="B61" s="127"/>
      <c r="C61" s="127"/>
      <c r="D61" s="127"/>
      <c r="E61" s="127"/>
    </row>
    <row r="62" spans="1:5" ht="17.100000000000001" customHeight="1">
      <c r="A62" s="127"/>
      <c r="B62" s="127"/>
      <c r="C62" s="127"/>
      <c r="D62" s="127"/>
      <c r="E62" s="127"/>
    </row>
    <row r="63" spans="1:5" ht="17.100000000000001" customHeight="1">
      <c r="A63" s="127"/>
      <c r="B63" s="127"/>
      <c r="C63" s="127"/>
      <c r="D63" s="127"/>
      <c r="E63" s="127"/>
    </row>
    <row r="64" spans="1:5" ht="17.100000000000001" customHeight="1">
      <c r="A64" s="127"/>
      <c r="B64" s="127"/>
      <c r="C64" s="127"/>
      <c r="D64" s="127"/>
      <c r="E64" s="127"/>
    </row>
    <row r="65" spans="1:5" ht="17.100000000000001" customHeight="1">
      <c r="A65" s="127"/>
      <c r="B65" s="127"/>
      <c r="C65" s="127"/>
      <c r="D65" s="127"/>
      <c r="E65" s="127"/>
    </row>
    <row r="66" spans="1:5" ht="17.100000000000001" customHeight="1">
      <c r="A66" s="127"/>
      <c r="B66" s="127"/>
      <c r="C66" s="127"/>
      <c r="D66" s="127"/>
      <c r="E66" s="127"/>
    </row>
    <row r="67" spans="1:5" ht="17.100000000000001" customHeight="1">
      <c r="A67" s="127"/>
      <c r="B67" s="127"/>
      <c r="C67" s="127"/>
      <c r="D67" s="127"/>
      <c r="E67" s="127"/>
    </row>
    <row r="68" spans="1:5" ht="17.100000000000001" customHeight="1">
      <c r="A68" s="127"/>
      <c r="B68" s="127"/>
      <c r="C68" s="127"/>
      <c r="D68" s="127"/>
      <c r="E68" s="127"/>
    </row>
    <row r="69" spans="1:5" ht="17.100000000000001" customHeight="1">
      <c r="A69" s="127"/>
      <c r="B69" s="127"/>
      <c r="C69" s="127"/>
      <c r="D69" s="127"/>
      <c r="E69" s="127"/>
    </row>
    <row r="70" spans="1:5" ht="17.100000000000001" customHeight="1">
      <c r="A70" s="127"/>
      <c r="B70" s="127"/>
      <c r="C70" s="127"/>
      <c r="D70" s="127"/>
      <c r="E70" s="127"/>
    </row>
    <row r="71" spans="1:5" ht="17.100000000000001" customHeight="1">
      <c r="A71" s="127"/>
      <c r="B71" s="127"/>
      <c r="C71" s="127"/>
      <c r="D71" s="127"/>
      <c r="E71" s="127"/>
    </row>
    <row r="72" spans="1:5" ht="17.100000000000001" customHeight="1">
      <c r="A72" s="127"/>
      <c r="B72" s="127"/>
      <c r="C72" s="127"/>
      <c r="D72" s="127"/>
      <c r="E72" s="127"/>
    </row>
    <row r="73" spans="1:5" ht="17.100000000000001" customHeight="1">
      <c r="A73" s="127"/>
      <c r="B73" s="127"/>
      <c r="C73" s="127"/>
      <c r="D73" s="127"/>
      <c r="E73" s="127"/>
    </row>
    <row r="74" spans="1:5" ht="17.100000000000001" customHeight="1">
      <c r="A74" s="127"/>
      <c r="B74" s="127"/>
      <c r="C74" s="127"/>
      <c r="D74" s="127"/>
      <c r="E74" s="127"/>
    </row>
    <row r="75" spans="1:5" ht="17.100000000000001" customHeight="1">
      <c r="A75" s="127"/>
      <c r="B75" s="127"/>
      <c r="C75" s="127"/>
      <c r="D75" s="127"/>
      <c r="E75" s="127"/>
    </row>
    <row r="76" spans="1:5" ht="17.100000000000001" customHeight="1">
      <c r="A76" s="127"/>
      <c r="B76" s="127"/>
      <c r="C76" s="127"/>
      <c r="D76" s="127"/>
      <c r="E76" s="127"/>
    </row>
    <row r="77" spans="1:5" ht="17.100000000000001" customHeight="1">
      <c r="A77" s="127"/>
      <c r="B77" s="127"/>
      <c r="C77" s="127"/>
      <c r="D77" s="127"/>
      <c r="E77" s="127"/>
    </row>
    <row r="78" spans="1:5" ht="17.100000000000001" customHeight="1">
      <c r="A78" s="127"/>
      <c r="B78" s="127"/>
      <c r="C78" s="127"/>
      <c r="D78" s="127"/>
      <c r="E78" s="127"/>
    </row>
    <row r="79" spans="1:5" ht="17.100000000000001" customHeight="1">
      <c r="A79" s="127"/>
      <c r="B79" s="127"/>
      <c r="C79" s="127"/>
      <c r="D79" s="127"/>
      <c r="E79" s="127"/>
    </row>
    <row r="80" spans="1:5" ht="17.100000000000001" customHeight="1">
      <c r="A80" s="127"/>
      <c r="B80" s="127"/>
      <c r="C80" s="127"/>
      <c r="D80" s="127"/>
      <c r="E80" s="127"/>
    </row>
    <row r="81" spans="1:24" ht="17.100000000000001" customHeight="1">
      <c r="A81" s="127"/>
      <c r="B81" s="127"/>
      <c r="C81" s="127"/>
      <c r="D81" s="127"/>
      <c r="E81" s="127"/>
    </row>
    <row r="82" spans="1:24" ht="17.100000000000001" customHeight="1">
      <c r="A82" s="127"/>
      <c r="B82" s="127"/>
      <c r="C82" s="127"/>
      <c r="D82" s="127"/>
      <c r="E82" s="127"/>
    </row>
    <row r="83" spans="1:24" ht="17.100000000000001" customHeight="1">
      <c r="A83" s="127"/>
      <c r="B83" s="127"/>
      <c r="C83" s="127"/>
      <c r="D83" s="127"/>
      <c r="E83" s="127"/>
    </row>
    <row r="84" spans="1:24" ht="17.100000000000001" customHeight="1">
      <c r="A84" s="127"/>
      <c r="B84" s="127"/>
      <c r="C84" s="127"/>
      <c r="D84" s="127"/>
      <c r="E84" s="127"/>
    </row>
    <row r="85" spans="1:24" ht="17.100000000000001" customHeight="1">
      <c r="A85" s="127"/>
      <c r="B85" s="127"/>
      <c r="C85" s="127"/>
      <c r="D85" s="127"/>
      <c r="E85" s="127"/>
      <c r="X85" s="128" t="s">
        <v>64</v>
      </c>
    </row>
    <row r="86" spans="1:24" ht="17.100000000000001" customHeight="1">
      <c r="A86" s="127"/>
      <c r="B86" s="127"/>
      <c r="C86" s="127"/>
      <c r="D86" s="127"/>
      <c r="E86" s="127"/>
    </row>
    <row r="87" spans="1:24" ht="17.100000000000001" customHeight="1">
      <c r="A87" s="127"/>
      <c r="B87" s="127"/>
      <c r="C87" s="127"/>
      <c r="D87" s="127"/>
      <c r="E87" s="127"/>
    </row>
    <row r="88" spans="1:24" ht="17.100000000000001" customHeight="1">
      <c r="A88" s="127"/>
      <c r="B88" s="127"/>
      <c r="C88" s="127"/>
      <c r="D88" s="127"/>
      <c r="E88" s="127"/>
    </row>
    <row r="89" spans="1:24" ht="17.100000000000001" customHeight="1">
      <c r="A89" s="127"/>
      <c r="B89" s="127"/>
      <c r="C89" s="127"/>
      <c r="D89" s="127"/>
      <c r="E89" s="127"/>
    </row>
    <row r="90" spans="1:24" ht="17.100000000000001" customHeight="1">
      <c r="A90" s="127"/>
      <c r="B90" s="127"/>
      <c r="C90" s="127"/>
      <c r="D90" s="127"/>
      <c r="E90" s="127"/>
    </row>
    <row r="91" spans="1:24" ht="17.100000000000001" customHeight="1">
      <c r="A91" s="127"/>
      <c r="B91" s="127"/>
      <c r="C91" s="127"/>
      <c r="D91" s="127"/>
      <c r="E91" s="127"/>
    </row>
    <row r="92" spans="1:24" ht="17.100000000000001" customHeight="1">
      <c r="A92" s="127"/>
      <c r="B92" s="127"/>
      <c r="C92" s="127"/>
      <c r="D92" s="127"/>
      <c r="E92" s="127"/>
    </row>
    <row r="93" spans="1:24" ht="17.100000000000001" customHeight="1">
      <c r="A93" s="127"/>
      <c r="B93" s="127"/>
      <c r="C93" s="127"/>
      <c r="D93" s="127"/>
      <c r="E93" s="127"/>
    </row>
    <row r="94" spans="1:24" ht="17.100000000000001" customHeight="1">
      <c r="A94" s="127"/>
      <c r="B94" s="127"/>
      <c r="C94" s="127"/>
      <c r="D94" s="127"/>
      <c r="E94" s="127"/>
    </row>
    <row r="95" spans="1:24" ht="17.100000000000001" customHeight="1">
      <c r="A95" s="127"/>
      <c r="B95" s="127"/>
      <c r="C95" s="127"/>
      <c r="D95" s="127"/>
      <c r="E95" s="127"/>
    </row>
    <row r="96" spans="1:24" ht="17.100000000000001" customHeight="1">
      <c r="A96" s="127"/>
      <c r="B96" s="127"/>
      <c r="C96" s="127"/>
      <c r="D96" s="127"/>
      <c r="E96" s="127"/>
    </row>
    <row r="97" spans="1:5" ht="17.100000000000001" customHeight="1">
      <c r="A97" s="127"/>
      <c r="B97" s="127"/>
      <c r="C97" s="127"/>
      <c r="D97" s="127"/>
      <c r="E97" s="127"/>
    </row>
    <row r="98" spans="1:5" ht="17.100000000000001" customHeight="1">
      <c r="A98" s="127"/>
      <c r="B98" s="127"/>
      <c r="C98" s="127"/>
      <c r="D98" s="127"/>
      <c r="E98" s="127"/>
    </row>
    <row r="99" spans="1:5" ht="17.100000000000001" customHeight="1">
      <c r="A99" s="127"/>
      <c r="B99" s="127"/>
      <c r="C99" s="127"/>
      <c r="D99" s="127"/>
      <c r="E99" s="127"/>
    </row>
    <row r="100" spans="1:5" ht="17.100000000000001" customHeight="1">
      <c r="A100" s="127"/>
      <c r="B100" s="127"/>
      <c r="C100" s="127"/>
      <c r="D100" s="127"/>
      <c r="E100" s="127"/>
    </row>
    <row r="101" spans="1:5" ht="17.100000000000001" customHeight="1">
      <c r="A101" s="127"/>
      <c r="B101" s="127"/>
      <c r="C101" s="127"/>
      <c r="D101" s="127"/>
      <c r="E101" s="127"/>
    </row>
    <row r="102" spans="1:5" ht="17.100000000000001" customHeight="1">
      <c r="A102" s="127"/>
      <c r="B102" s="127"/>
      <c r="C102" s="127"/>
      <c r="D102" s="127"/>
      <c r="E102" s="127"/>
    </row>
    <row r="103" spans="1:5" ht="17.100000000000001" customHeight="1">
      <c r="A103" s="127"/>
      <c r="B103" s="127"/>
      <c r="C103" s="127"/>
      <c r="D103" s="127"/>
      <c r="E103" s="127"/>
    </row>
    <row r="104" spans="1:5" ht="17.100000000000001" customHeight="1">
      <c r="A104" s="127"/>
      <c r="B104" s="127"/>
      <c r="C104" s="127"/>
      <c r="D104" s="127"/>
      <c r="E104" s="127"/>
    </row>
    <row r="105" spans="1:5" ht="17.100000000000001" customHeight="1">
      <c r="A105" s="127"/>
      <c r="B105" s="127"/>
      <c r="C105" s="127"/>
      <c r="D105" s="127"/>
      <c r="E105" s="127"/>
    </row>
    <row r="106" spans="1:5" ht="17.100000000000001" customHeight="1">
      <c r="A106" s="127"/>
      <c r="B106" s="127"/>
      <c r="C106" s="127"/>
      <c r="D106" s="127"/>
      <c r="E106" s="127"/>
    </row>
    <row r="107" spans="1:5" ht="17.100000000000001" customHeight="1">
      <c r="A107" s="127"/>
      <c r="B107" s="127"/>
      <c r="C107" s="127"/>
      <c r="D107" s="127"/>
      <c r="E107" s="127"/>
    </row>
    <row r="108" spans="1:5" ht="17.100000000000001" customHeight="1">
      <c r="A108" s="127"/>
      <c r="B108" s="127"/>
      <c r="C108" s="127"/>
      <c r="D108" s="127"/>
      <c r="E108" s="127"/>
    </row>
    <row r="109" spans="1:5" ht="17.100000000000001" customHeight="1">
      <c r="A109" s="127"/>
      <c r="B109" s="127"/>
      <c r="C109" s="127"/>
      <c r="D109" s="127"/>
      <c r="E109" s="127"/>
    </row>
    <row r="110" spans="1:5" ht="17.100000000000001" customHeight="1">
      <c r="A110" s="127"/>
      <c r="B110" s="127"/>
      <c r="C110" s="127"/>
      <c r="D110" s="127"/>
      <c r="E110" s="127"/>
    </row>
    <row r="111" spans="1:5" ht="17.100000000000001" customHeight="1">
      <c r="A111" s="127"/>
      <c r="B111" s="127"/>
      <c r="C111" s="127"/>
      <c r="D111" s="127"/>
      <c r="E111" s="127"/>
    </row>
    <row r="112" spans="1:5" ht="17.100000000000001" customHeight="1">
      <c r="A112" s="127"/>
      <c r="B112" s="127"/>
      <c r="C112" s="127"/>
      <c r="D112" s="127"/>
      <c r="E112" s="127"/>
    </row>
    <row r="113" spans="1:5" ht="17.100000000000001" customHeight="1">
      <c r="A113" s="127"/>
      <c r="B113" s="127"/>
      <c r="C113" s="127"/>
      <c r="D113" s="127"/>
      <c r="E113" s="127"/>
    </row>
    <row r="114" spans="1:5" ht="17.100000000000001" customHeight="1">
      <c r="A114" s="127"/>
      <c r="B114" s="127"/>
      <c r="C114" s="127"/>
      <c r="D114" s="127"/>
      <c r="E114" s="127"/>
    </row>
    <row r="115" spans="1:5" ht="17.100000000000001" customHeight="1">
      <c r="A115" s="127"/>
      <c r="B115" s="127"/>
      <c r="C115" s="127"/>
      <c r="D115" s="127"/>
      <c r="E115" s="127"/>
    </row>
    <row r="116" spans="1:5" ht="17.100000000000001" customHeight="1">
      <c r="A116" s="127"/>
      <c r="B116" s="127"/>
      <c r="C116" s="127"/>
      <c r="D116" s="127"/>
      <c r="E116" s="127"/>
    </row>
    <row r="117" spans="1:5" ht="17.100000000000001" customHeight="1">
      <c r="A117" s="127"/>
      <c r="B117" s="127"/>
      <c r="C117" s="127"/>
      <c r="D117" s="127"/>
      <c r="E117" s="127"/>
    </row>
    <row r="118" spans="1:5" ht="17.100000000000001" customHeight="1">
      <c r="A118" s="127"/>
      <c r="B118" s="127"/>
      <c r="C118" s="127"/>
      <c r="D118" s="127"/>
      <c r="E118" s="127"/>
    </row>
    <row r="119" spans="1:5" ht="17.100000000000001" customHeight="1">
      <c r="A119" s="127"/>
      <c r="B119" s="127"/>
      <c r="C119" s="127"/>
      <c r="D119" s="127"/>
      <c r="E119" s="127"/>
    </row>
    <row r="120" spans="1:5" ht="17.100000000000001" customHeight="1">
      <c r="A120" s="127"/>
      <c r="B120" s="127"/>
      <c r="C120" s="127"/>
      <c r="D120" s="127"/>
      <c r="E120" s="127"/>
    </row>
    <row r="121" spans="1:5" ht="17.100000000000001" customHeight="1">
      <c r="A121" s="127"/>
      <c r="B121" s="127"/>
      <c r="C121" s="127"/>
      <c r="D121" s="127"/>
      <c r="E121" s="127"/>
    </row>
    <row r="122" spans="1:5" ht="17.100000000000001" customHeight="1">
      <c r="A122" s="127"/>
      <c r="B122" s="127"/>
      <c r="C122" s="127"/>
      <c r="D122" s="127"/>
      <c r="E122" s="127"/>
    </row>
    <row r="123" spans="1:5" ht="17.100000000000001" customHeight="1">
      <c r="A123" s="127"/>
      <c r="B123" s="127"/>
      <c r="C123" s="127"/>
      <c r="D123" s="127"/>
      <c r="E123" s="127"/>
    </row>
    <row r="124" spans="1:5" ht="17.100000000000001" customHeight="1">
      <c r="A124" s="127"/>
      <c r="B124" s="127"/>
      <c r="C124" s="127"/>
      <c r="D124" s="127"/>
      <c r="E124" s="127"/>
    </row>
    <row r="125" spans="1:5" ht="17.100000000000001" customHeight="1">
      <c r="A125" s="127"/>
      <c r="B125" s="127"/>
      <c r="C125" s="127"/>
      <c r="D125" s="127"/>
      <c r="E125" s="127"/>
    </row>
    <row r="126" spans="1:5" ht="17.100000000000001" customHeight="1">
      <c r="A126" s="127"/>
      <c r="B126" s="127"/>
      <c r="C126" s="127"/>
      <c r="D126" s="127"/>
      <c r="E126" s="127"/>
    </row>
    <row r="127" spans="1:5" ht="17.100000000000001" customHeight="1">
      <c r="A127" s="127"/>
      <c r="B127" s="127"/>
      <c r="C127" s="127"/>
      <c r="D127" s="127"/>
      <c r="E127" s="127"/>
    </row>
    <row r="128" spans="1:5" ht="17.100000000000001" customHeight="1">
      <c r="A128" s="127"/>
      <c r="B128" s="127"/>
      <c r="C128" s="127"/>
      <c r="D128" s="127"/>
      <c r="E128" s="127"/>
    </row>
    <row r="129" spans="1:5" ht="17.100000000000001" customHeight="1">
      <c r="A129" s="127"/>
      <c r="B129" s="127"/>
      <c r="C129" s="127"/>
      <c r="D129" s="127"/>
      <c r="E129" s="127"/>
    </row>
    <row r="130" spans="1:5" ht="17.100000000000001" customHeight="1">
      <c r="A130" s="127"/>
      <c r="B130" s="127"/>
      <c r="C130" s="127"/>
      <c r="D130" s="127"/>
      <c r="E130" s="127"/>
    </row>
    <row r="131" spans="1:5" ht="17.100000000000001" customHeight="1">
      <c r="A131" s="127"/>
      <c r="B131" s="127"/>
      <c r="C131" s="127"/>
      <c r="D131" s="127"/>
      <c r="E131" s="127"/>
    </row>
    <row r="132" spans="1:5" ht="17.100000000000001" customHeight="1">
      <c r="A132" s="127"/>
      <c r="B132" s="127"/>
      <c r="C132" s="127"/>
      <c r="D132" s="127"/>
      <c r="E132" s="127"/>
    </row>
    <row r="133" spans="1:5" ht="17.100000000000001" customHeight="1">
      <c r="A133" s="127"/>
      <c r="B133" s="127"/>
      <c r="C133" s="127"/>
      <c r="D133" s="127"/>
      <c r="E133" s="127"/>
    </row>
    <row r="134" spans="1:5" ht="17.100000000000001" customHeight="1">
      <c r="A134" s="127"/>
      <c r="B134" s="127"/>
      <c r="C134" s="127"/>
      <c r="D134" s="127"/>
      <c r="E134" s="127"/>
    </row>
    <row r="135" spans="1:5" ht="17.100000000000001" customHeight="1">
      <c r="A135" s="127"/>
      <c r="B135" s="127"/>
      <c r="C135" s="127"/>
      <c r="D135" s="127"/>
      <c r="E135" s="127"/>
    </row>
    <row r="136" spans="1:5" ht="17.100000000000001" customHeight="1">
      <c r="A136" s="127"/>
      <c r="B136" s="127"/>
      <c r="C136" s="127"/>
      <c r="D136" s="127"/>
      <c r="E136" s="127"/>
    </row>
    <row r="137" spans="1:5" ht="17.100000000000001" customHeight="1">
      <c r="A137" s="127"/>
      <c r="B137" s="127"/>
      <c r="C137" s="127"/>
      <c r="D137" s="127"/>
      <c r="E137" s="127"/>
    </row>
    <row r="138" spans="1:5" ht="17.100000000000001" customHeight="1">
      <c r="A138" s="127"/>
      <c r="B138" s="127"/>
      <c r="C138" s="127"/>
      <c r="D138" s="127"/>
      <c r="E138" s="127"/>
    </row>
    <row r="139" spans="1:5" ht="17.100000000000001" customHeight="1">
      <c r="A139" s="127"/>
      <c r="B139" s="127"/>
      <c r="C139" s="127"/>
      <c r="D139" s="127"/>
      <c r="E139" s="127"/>
    </row>
    <row r="140" spans="1:5" ht="17.100000000000001" customHeight="1">
      <c r="A140" s="127"/>
      <c r="B140" s="127"/>
      <c r="C140" s="127"/>
      <c r="D140" s="127"/>
      <c r="E140" s="127"/>
    </row>
    <row r="141" spans="1:5" ht="17.100000000000001" customHeight="1">
      <c r="A141" s="127"/>
      <c r="B141" s="127"/>
      <c r="C141" s="127"/>
      <c r="D141" s="127"/>
      <c r="E141" s="127"/>
    </row>
    <row r="142" spans="1:5" ht="17.100000000000001" customHeight="1">
      <c r="A142" s="127"/>
      <c r="B142" s="127"/>
      <c r="C142" s="127"/>
      <c r="D142" s="127"/>
      <c r="E142" s="127"/>
    </row>
    <row r="143" spans="1:5" ht="17.100000000000001" customHeight="1">
      <c r="A143" s="127"/>
      <c r="B143" s="127"/>
      <c r="C143" s="127"/>
      <c r="D143" s="127"/>
      <c r="E143" s="127"/>
    </row>
    <row r="144" spans="1:5" ht="17.100000000000001" customHeight="1">
      <c r="A144" s="127"/>
      <c r="B144" s="127"/>
      <c r="C144" s="127"/>
      <c r="D144" s="127"/>
      <c r="E144" s="127"/>
    </row>
    <row r="145" spans="1:5" ht="17.100000000000001" customHeight="1">
      <c r="A145" s="127"/>
      <c r="B145" s="127"/>
      <c r="C145" s="127"/>
      <c r="D145" s="127"/>
      <c r="E145" s="127"/>
    </row>
    <row r="146" spans="1:5" ht="17.100000000000001" customHeight="1">
      <c r="A146" s="127"/>
      <c r="B146" s="127"/>
      <c r="C146" s="127"/>
      <c r="D146" s="127"/>
      <c r="E146" s="127"/>
    </row>
    <row r="147" spans="1:5" ht="17.100000000000001" customHeight="1">
      <c r="A147" s="127"/>
      <c r="B147" s="127"/>
      <c r="C147" s="127"/>
      <c r="D147" s="127"/>
      <c r="E147" s="127"/>
    </row>
    <row r="148" spans="1:5" ht="17.100000000000001" customHeight="1">
      <c r="A148" s="127"/>
      <c r="B148" s="127"/>
      <c r="C148" s="127"/>
      <c r="D148" s="127"/>
      <c r="E148" s="127"/>
    </row>
    <row r="149" spans="1:5" ht="17.100000000000001" customHeight="1">
      <c r="A149" s="127"/>
      <c r="B149" s="127"/>
      <c r="C149" s="127"/>
      <c r="D149" s="127"/>
      <c r="E149" s="127"/>
    </row>
    <row r="150" spans="1:5" ht="17.100000000000001" customHeight="1">
      <c r="A150" s="127"/>
      <c r="B150" s="127"/>
      <c r="C150" s="127"/>
      <c r="D150" s="127"/>
      <c r="E150" s="127"/>
    </row>
    <row r="151" spans="1:5" ht="17.100000000000001" customHeight="1">
      <c r="A151" s="127"/>
      <c r="B151" s="127"/>
      <c r="C151" s="127"/>
      <c r="D151" s="127"/>
      <c r="E151" s="127"/>
    </row>
    <row r="152" spans="1:5" ht="17.100000000000001" customHeight="1">
      <c r="A152" s="127"/>
      <c r="B152" s="127"/>
      <c r="C152" s="127"/>
      <c r="D152" s="127"/>
      <c r="E152" s="127"/>
    </row>
    <row r="153" spans="1:5" ht="17.100000000000001" customHeight="1">
      <c r="A153" s="127"/>
      <c r="B153" s="127"/>
      <c r="C153" s="127"/>
      <c r="D153" s="127"/>
      <c r="E153" s="127"/>
    </row>
    <row r="154" spans="1:5" ht="17.100000000000001" customHeight="1">
      <c r="A154" s="127"/>
      <c r="B154" s="127"/>
      <c r="C154" s="127"/>
      <c r="D154" s="127"/>
      <c r="E154" s="127"/>
    </row>
    <row r="155" spans="1:5" ht="17.100000000000001" customHeight="1">
      <c r="A155" s="127"/>
      <c r="B155" s="127"/>
      <c r="C155" s="127"/>
      <c r="D155" s="127"/>
      <c r="E155" s="127"/>
    </row>
    <row r="156" spans="1:5" ht="17.100000000000001" customHeight="1">
      <c r="A156" s="127"/>
      <c r="B156" s="127"/>
      <c r="C156" s="127"/>
      <c r="D156" s="127"/>
      <c r="E156" s="127"/>
    </row>
    <row r="157" spans="1:5" ht="17.100000000000001" customHeight="1">
      <c r="A157" s="127"/>
      <c r="B157" s="127"/>
      <c r="C157" s="127"/>
      <c r="D157" s="127"/>
      <c r="E157" s="127"/>
    </row>
    <row r="158" spans="1:5" ht="17.100000000000001" customHeight="1">
      <c r="A158" s="127"/>
      <c r="B158" s="127"/>
      <c r="C158" s="127"/>
      <c r="D158" s="127"/>
      <c r="E158" s="127"/>
    </row>
    <row r="159" spans="1:5" ht="17.100000000000001" customHeight="1">
      <c r="A159" s="127"/>
      <c r="B159" s="127"/>
      <c r="C159" s="127"/>
      <c r="D159" s="127"/>
      <c r="E159" s="127"/>
    </row>
    <row r="160" spans="1:5" ht="17.100000000000001" customHeight="1">
      <c r="A160" s="127"/>
      <c r="B160" s="127"/>
      <c r="C160" s="127"/>
      <c r="D160" s="127"/>
      <c r="E160" s="127"/>
    </row>
    <row r="161" spans="1:5" ht="17.100000000000001" customHeight="1">
      <c r="A161" s="127"/>
      <c r="B161" s="127"/>
      <c r="C161" s="127"/>
      <c r="D161" s="127"/>
      <c r="E161" s="127"/>
    </row>
    <row r="162" spans="1:5" ht="17.100000000000001" customHeight="1">
      <c r="A162" s="127"/>
      <c r="B162" s="127"/>
      <c r="C162" s="127"/>
      <c r="D162" s="127"/>
      <c r="E162" s="127"/>
    </row>
    <row r="163" spans="1:5" ht="17.100000000000001" customHeight="1">
      <c r="A163" s="127"/>
      <c r="B163" s="127"/>
      <c r="C163" s="127"/>
      <c r="D163" s="127"/>
      <c r="E163" s="127"/>
    </row>
    <row r="164" spans="1:5" ht="17.100000000000001" customHeight="1">
      <c r="A164" s="127"/>
      <c r="B164" s="127"/>
      <c r="C164" s="127"/>
      <c r="D164" s="127"/>
      <c r="E164" s="127"/>
    </row>
    <row r="165" spans="1:5" ht="17.100000000000001" customHeight="1">
      <c r="A165" s="127"/>
      <c r="B165" s="127"/>
      <c r="C165" s="127"/>
      <c r="D165" s="127"/>
      <c r="E165" s="127"/>
    </row>
    <row r="166" spans="1:5" ht="17.100000000000001" customHeight="1">
      <c r="A166" s="127"/>
      <c r="B166" s="127"/>
      <c r="C166" s="127"/>
      <c r="D166" s="127"/>
      <c r="E166" s="127"/>
    </row>
    <row r="167" spans="1:5" ht="17.100000000000001" customHeight="1">
      <c r="A167" s="127"/>
      <c r="B167" s="127"/>
      <c r="C167" s="127"/>
      <c r="D167" s="127"/>
      <c r="E167" s="127"/>
    </row>
    <row r="168" spans="1:5" ht="17.100000000000001" customHeight="1">
      <c r="A168" s="127"/>
      <c r="B168" s="127"/>
      <c r="C168" s="127"/>
      <c r="D168" s="127"/>
      <c r="E168" s="127"/>
    </row>
    <row r="169" spans="1:5" ht="17.100000000000001" customHeight="1">
      <c r="A169" s="127"/>
      <c r="B169" s="127"/>
      <c r="C169" s="127"/>
      <c r="D169" s="127"/>
      <c r="E169" s="127"/>
    </row>
    <row r="170" spans="1:5" ht="17.100000000000001" customHeight="1">
      <c r="A170" s="127"/>
      <c r="B170" s="127"/>
      <c r="C170" s="127"/>
      <c r="D170" s="127"/>
      <c r="E170" s="127"/>
    </row>
    <row r="171" spans="1:5" ht="17.100000000000001" customHeight="1">
      <c r="A171" s="127"/>
      <c r="B171" s="127"/>
      <c r="C171" s="127"/>
      <c r="D171" s="127"/>
      <c r="E171" s="127"/>
    </row>
    <row r="172" spans="1:5" ht="17.100000000000001" customHeight="1">
      <c r="A172" s="127"/>
      <c r="B172" s="127"/>
      <c r="C172" s="127"/>
      <c r="D172" s="127"/>
      <c r="E172" s="127"/>
    </row>
    <row r="173" spans="1:5" ht="17.100000000000001" customHeight="1">
      <c r="A173" s="127"/>
      <c r="B173" s="127"/>
      <c r="C173" s="127"/>
      <c r="D173" s="127"/>
      <c r="E173" s="127"/>
    </row>
    <row r="174" spans="1:5" ht="17.100000000000001" customHeight="1">
      <c r="A174" s="127"/>
      <c r="B174" s="127"/>
      <c r="C174" s="127"/>
      <c r="D174" s="127"/>
      <c r="E174" s="127"/>
    </row>
    <row r="175" spans="1:5" ht="17.100000000000001" customHeight="1">
      <c r="A175" s="127"/>
      <c r="B175" s="127"/>
      <c r="C175" s="127"/>
      <c r="D175" s="127"/>
      <c r="E175" s="127"/>
    </row>
    <row r="176" spans="1:5" ht="17.100000000000001" customHeight="1">
      <c r="A176" s="127"/>
      <c r="B176" s="127"/>
      <c r="C176" s="127"/>
      <c r="D176" s="127"/>
      <c r="E176" s="127"/>
    </row>
    <row r="177" spans="1:5" ht="17.100000000000001" customHeight="1">
      <c r="A177" s="127"/>
      <c r="B177" s="127"/>
      <c r="C177" s="127"/>
      <c r="D177" s="127"/>
      <c r="E177" s="127"/>
    </row>
    <row r="178" spans="1:5" ht="17.100000000000001" customHeight="1">
      <c r="A178" s="127"/>
      <c r="B178" s="127"/>
      <c r="C178" s="127"/>
      <c r="D178" s="127"/>
      <c r="E178" s="127"/>
    </row>
    <row r="179" spans="1:5" ht="17.100000000000001" customHeight="1">
      <c r="A179" s="127"/>
      <c r="B179" s="127"/>
      <c r="C179" s="127"/>
      <c r="D179" s="127"/>
      <c r="E179" s="127"/>
    </row>
    <row r="180" spans="1:5" ht="17.100000000000001" customHeight="1">
      <c r="A180" s="127"/>
      <c r="B180" s="127"/>
      <c r="C180" s="127"/>
      <c r="D180" s="127"/>
      <c r="E180" s="127"/>
    </row>
    <row r="181" spans="1:5" ht="17.100000000000001" customHeight="1">
      <c r="A181" s="127"/>
      <c r="B181" s="127"/>
      <c r="C181" s="127"/>
      <c r="D181" s="127"/>
      <c r="E181" s="127"/>
    </row>
    <row r="182" spans="1:5" ht="17.100000000000001" customHeight="1">
      <c r="A182" s="127"/>
      <c r="B182" s="127"/>
      <c r="C182" s="127"/>
      <c r="D182" s="127"/>
      <c r="E182" s="127"/>
    </row>
    <row r="183" spans="1:5" ht="17.100000000000001" customHeight="1">
      <c r="A183" s="127"/>
      <c r="B183" s="127"/>
      <c r="C183" s="127"/>
      <c r="D183" s="127"/>
      <c r="E183" s="127"/>
    </row>
    <row r="184" spans="1:5" ht="17.100000000000001" customHeight="1">
      <c r="A184" s="127"/>
      <c r="B184" s="127"/>
      <c r="C184" s="127"/>
      <c r="D184" s="127"/>
      <c r="E184" s="127"/>
    </row>
    <row r="185" spans="1:5" ht="17.100000000000001" customHeight="1">
      <c r="A185" s="127"/>
      <c r="B185" s="127"/>
      <c r="C185" s="127"/>
      <c r="D185" s="127"/>
      <c r="E185" s="127"/>
    </row>
    <row r="186" spans="1:5" ht="17.100000000000001" customHeight="1">
      <c r="A186" s="127"/>
      <c r="B186" s="127"/>
      <c r="C186" s="127"/>
      <c r="D186" s="127"/>
      <c r="E186" s="127"/>
    </row>
    <row r="187" spans="1:5" ht="17.100000000000001" customHeight="1">
      <c r="A187" s="127"/>
      <c r="B187" s="127"/>
      <c r="C187" s="127"/>
      <c r="D187" s="127"/>
      <c r="E187" s="127"/>
    </row>
    <row r="188" spans="1:5" ht="17.100000000000001" customHeight="1">
      <c r="A188" s="127"/>
      <c r="B188" s="127"/>
      <c r="C188" s="127"/>
      <c r="D188" s="127"/>
      <c r="E188" s="127"/>
    </row>
    <row r="189" spans="1:5" ht="17.100000000000001" customHeight="1">
      <c r="A189" s="127"/>
      <c r="B189" s="127"/>
      <c r="C189" s="127"/>
      <c r="D189" s="127"/>
      <c r="E189" s="127"/>
    </row>
    <row r="190" spans="1:5" ht="17.100000000000001" customHeight="1">
      <c r="A190" s="127"/>
      <c r="B190" s="127"/>
      <c r="C190" s="127"/>
      <c r="D190" s="127"/>
      <c r="E190" s="127"/>
    </row>
    <row r="191" spans="1:5" ht="17.100000000000001" customHeight="1">
      <c r="A191" s="127"/>
      <c r="B191" s="127"/>
      <c r="C191" s="127"/>
      <c r="D191" s="127"/>
      <c r="E191" s="127"/>
    </row>
    <row r="192" spans="1:5" ht="17.100000000000001" customHeight="1">
      <c r="A192" s="127"/>
      <c r="B192" s="127"/>
      <c r="C192" s="127"/>
      <c r="D192" s="127"/>
      <c r="E192" s="127"/>
    </row>
    <row r="193" spans="1:5" ht="17.100000000000001" customHeight="1">
      <c r="A193" s="127"/>
      <c r="B193" s="127"/>
      <c r="C193" s="127"/>
      <c r="D193" s="127"/>
      <c r="E193" s="127"/>
    </row>
    <row r="194" spans="1:5" ht="17.100000000000001" customHeight="1">
      <c r="A194" s="127"/>
      <c r="B194" s="127"/>
      <c r="C194" s="127"/>
      <c r="D194" s="127"/>
      <c r="E194" s="127"/>
    </row>
    <row r="195" spans="1:5" ht="17.100000000000001" customHeight="1">
      <c r="A195" s="127"/>
      <c r="B195" s="127"/>
      <c r="C195" s="127"/>
      <c r="D195" s="127"/>
      <c r="E195" s="127"/>
    </row>
    <row r="196" spans="1:5" ht="17.100000000000001" customHeight="1">
      <c r="A196" s="127"/>
      <c r="B196" s="127"/>
      <c r="C196" s="127"/>
      <c r="D196" s="127"/>
      <c r="E196" s="127"/>
    </row>
    <row r="197" spans="1:5" ht="17.100000000000001" customHeight="1">
      <c r="A197" s="127"/>
      <c r="B197" s="127"/>
      <c r="C197" s="127"/>
      <c r="D197" s="127"/>
      <c r="E197" s="127"/>
    </row>
    <row r="198" spans="1:5" ht="17.100000000000001" customHeight="1">
      <c r="A198" s="127"/>
      <c r="B198" s="127"/>
      <c r="C198" s="127"/>
      <c r="D198" s="127"/>
      <c r="E198" s="127"/>
    </row>
    <row r="199" spans="1:5" ht="17.100000000000001" customHeight="1">
      <c r="A199" s="127"/>
      <c r="B199" s="127"/>
      <c r="C199" s="127"/>
      <c r="D199" s="127"/>
      <c r="E199" s="127"/>
    </row>
    <row r="200" spans="1:5" ht="17.100000000000001" customHeight="1">
      <c r="A200" s="127"/>
      <c r="B200" s="127"/>
      <c r="C200" s="127"/>
      <c r="D200" s="127"/>
      <c r="E200" s="127"/>
    </row>
    <row r="201" spans="1:5" ht="17.100000000000001" customHeight="1">
      <c r="A201" s="127"/>
      <c r="B201" s="127"/>
      <c r="C201" s="127"/>
      <c r="D201" s="127"/>
      <c r="E201" s="127"/>
    </row>
    <row r="202" spans="1:5" ht="17.100000000000001" customHeight="1">
      <c r="A202" s="127"/>
      <c r="B202" s="127"/>
      <c r="C202" s="127"/>
      <c r="D202" s="127"/>
      <c r="E202" s="127"/>
    </row>
    <row r="203" spans="1:5" ht="17.100000000000001" customHeight="1">
      <c r="A203" s="127"/>
      <c r="B203" s="127"/>
      <c r="C203" s="127"/>
      <c r="D203" s="127"/>
      <c r="E203" s="127"/>
    </row>
    <row r="204" spans="1:5" ht="17.100000000000001" customHeight="1">
      <c r="A204" s="127"/>
      <c r="B204" s="127"/>
      <c r="C204" s="127"/>
      <c r="D204" s="127"/>
      <c r="E204" s="127"/>
    </row>
    <row r="205" spans="1:5" ht="17.100000000000001" customHeight="1">
      <c r="A205" s="127"/>
      <c r="B205" s="127"/>
      <c r="C205" s="127"/>
      <c r="D205" s="127"/>
      <c r="E205" s="127"/>
    </row>
    <row r="206" spans="1:5" ht="17.100000000000001" customHeight="1">
      <c r="A206" s="127"/>
      <c r="B206" s="127"/>
      <c r="C206" s="127"/>
      <c r="D206" s="127"/>
      <c r="E206" s="127"/>
    </row>
    <row r="207" spans="1:5" ht="17.100000000000001" customHeight="1">
      <c r="A207" s="127"/>
      <c r="B207" s="127"/>
      <c r="C207" s="127"/>
      <c r="D207" s="127"/>
      <c r="E207" s="127"/>
    </row>
    <row r="208" spans="1:5" ht="17.100000000000001" customHeight="1">
      <c r="A208" s="127"/>
      <c r="B208" s="127"/>
      <c r="C208" s="127"/>
      <c r="D208" s="127"/>
      <c r="E208" s="127"/>
    </row>
    <row r="209" spans="1:5" ht="17.100000000000001" customHeight="1">
      <c r="A209" s="127"/>
      <c r="B209" s="127"/>
      <c r="C209" s="127"/>
      <c r="D209" s="127"/>
      <c r="E209" s="127"/>
    </row>
    <row r="210" spans="1:5" ht="17.100000000000001" customHeight="1">
      <c r="A210" s="127"/>
      <c r="B210" s="127"/>
      <c r="C210" s="127"/>
      <c r="D210" s="127"/>
      <c r="E210" s="127"/>
    </row>
    <row r="211" spans="1:5" ht="17.100000000000001" customHeight="1">
      <c r="A211" s="127"/>
      <c r="B211" s="127"/>
      <c r="C211" s="127"/>
      <c r="D211" s="127"/>
      <c r="E211" s="127"/>
    </row>
    <row r="212" spans="1:5" ht="17.100000000000001" customHeight="1">
      <c r="A212" s="127"/>
      <c r="B212" s="127"/>
      <c r="C212" s="127"/>
      <c r="D212" s="127"/>
      <c r="E212" s="127"/>
    </row>
    <row r="213" spans="1:5" ht="17.100000000000001" customHeight="1">
      <c r="A213" s="127"/>
      <c r="B213" s="127"/>
      <c r="C213" s="127"/>
      <c r="D213" s="127"/>
      <c r="E213" s="127"/>
    </row>
    <row r="214" spans="1:5" ht="17.100000000000001" customHeight="1">
      <c r="A214" s="127"/>
      <c r="B214" s="127"/>
      <c r="C214" s="127"/>
      <c r="D214" s="127"/>
      <c r="E214" s="127"/>
    </row>
    <row r="215" spans="1:5" ht="17.100000000000001" customHeight="1">
      <c r="A215" s="127"/>
      <c r="B215" s="127"/>
      <c r="C215" s="127"/>
      <c r="D215" s="127"/>
      <c r="E215" s="127"/>
    </row>
    <row r="216" spans="1:5" ht="17.100000000000001" customHeight="1">
      <c r="A216" s="127"/>
      <c r="B216" s="127"/>
      <c r="C216" s="127"/>
      <c r="D216" s="127"/>
      <c r="E216" s="127"/>
    </row>
    <row r="217" spans="1:5" ht="17.100000000000001" customHeight="1">
      <c r="A217" s="127"/>
      <c r="B217" s="127"/>
      <c r="C217" s="127"/>
      <c r="D217" s="127"/>
      <c r="E217" s="127"/>
    </row>
    <row r="218" spans="1:5" ht="17.100000000000001" customHeight="1">
      <c r="A218" s="127"/>
      <c r="B218" s="127"/>
      <c r="C218" s="127"/>
      <c r="D218" s="127"/>
      <c r="E218" s="127"/>
    </row>
    <row r="219" spans="1:5" ht="17.100000000000001" customHeight="1">
      <c r="A219" s="127"/>
      <c r="B219" s="127"/>
      <c r="C219" s="127"/>
      <c r="D219" s="127"/>
      <c r="E219" s="127"/>
    </row>
    <row r="220" spans="1:5" ht="17.100000000000001" customHeight="1">
      <c r="A220" s="127"/>
      <c r="B220" s="127"/>
      <c r="C220" s="127"/>
      <c r="D220" s="127"/>
      <c r="E220" s="127"/>
    </row>
    <row r="221" spans="1:5" ht="17.100000000000001" customHeight="1">
      <c r="A221" s="127"/>
      <c r="B221" s="127"/>
      <c r="C221" s="127"/>
      <c r="D221" s="127"/>
      <c r="E221" s="127"/>
    </row>
    <row r="222" spans="1:5" ht="17.100000000000001" customHeight="1">
      <c r="A222" s="127"/>
      <c r="B222" s="127"/>
      <c r="C222" s="127"/>
      <c r="D222" s="127"/>
      <c r="E222" s="127"/>
    </row>
    <row r="223" spans="1:5" ht="17.100000000000001" customHeight="1">
      <c r="A223" s="127"/>
      <c r="B223" s="127"/>
      <c r="C223" s="127"/>
      <c r="D223" s="127"/>
      <c r="E223" s="127"/>
    </row>
    <row r="224" spans="1:5" ht="17.100000000000001" customHeight="1">
      <c r="A224" s="127"/>
      <c r="B224" s="127"/>
      <c r="C224" s="127"/>
      <c r="D224" s="127"/>
      <c r="E224" s="127"/>
    </row>
    <row r="225" spans="1:5" ht="17.100000000000001" customHeight="1">
      <c r="A225" s="127"/>
      <c r="B225" s="127"/>
      <c r="C225" s="127"/>
      <c r="D225" s="127"/>
      <c r="E225" s="127"/>
    </row>
    <row r="226" spans="1:5" ht="17.100000000000001" customHeight="1">
      <c r="A226" s="127"/>
      <c r="B226" s="127"/>
      <c r="C226" s="127"/>
      <c r="D226" s="127"/>
      <c r="E226" s="127"/>
    </row>
    <row r="227" spans="1:5" ht="17.100000000000001" customHeight="1">
      <c r="A227" s="127"/>
      <c r="B227" s="127"/>
      <c r="C227" s="127"/>
      <c r="D227" s="127"/>
      <c r="E227" s="127"/>
    </row>
    <row r="228" spans="1:5" ht="17.100000000000001" customHeight="1">
      <c r="A228" s="127"/>
      <c r="B228" s="127"/>
      <c r="C228" s="127"/>
      <c r="D228" s="127"/>
      <c r="E228" s="127"/>
    </row>
    <row r="229" spans="1:5" ht="17.100000000000001" customHeight="1">
      <c r="A229" s="127"/>
      <c r="B229" s="127"/>
      <c r="C229" s="127"/>
      <c r="D229" s="127"/>
      <c r="E229" s="127"/>
    </row>
    <row r="230" spans="1:5" ht="17.100000000000001" customHeight="1">
      <c r="A230" s="127"/>
      <c r="B230" s="127"/>
      <c r="C230" s="127"/>
      <c r="D230" s="127"/>
      <c r="E230" s="127"/>
    </row>
    <row r="231" spans="1:5" ht="17.100000000000001" customHeight="1">
      <c r="A231" s="127"/>
      <c r="B231" s="127"/>
      <c r="C231" s="127"/>
      <c r="D231" s="127"/>
      <c r="E231" s="127"/>
    </row>
    <row r="232" spans="1:5" ht="17.100000000000001" customHeight="1">
      <c r="A232" s="127"/>
      <c r="B232" s="127"/>
      <c r="C232" s="127"/>
      <c r="D232" s="127"/>
      <c r="E232" s="127"/>
    </row>
    <row r="233" spans="1:5" ht="17.100000000000001" customHeight="1">
      <c r="A233" s="127"/>
      <c r="B233" s="127"/>
      <c r="C233" s="127"/>
      <c r="D233" s="127"/>
      <c r="E233" s="127"/>
    </row>
    <row r="234" spans="1:5" ht="17.100000000000001" customHeight="1">
      <c r="A234" s="127"/>
      <c r="B234" s="127"/>
      <c r="C234" s="127"/>
      <c r="D234" s="127"/>
      <c r="E234" s="127"/>
    </row>
    <row r="235" spans="1:5" ht="17.100000000000001" customHeight="1">
      <c r="A235" s="127"/>
      <c r="B235" s="127"/>
      <c r="C235" s="127"/>
      <c r="D235" s="127"/>
      <c r="E235" s="127"/>
    </row>
    <row r="236" spans="1:5" ht="17.100000000000001" customHeight="1">
      <c r="A236" s="127"/>
      <c r="B236" s="127"/>
      <c r="C236" s="127"/>
      <c r="D236" s="127"/>
      <c r="E236" s="127"/>
    </row>
    <row r="237" spans="1:5" ht="17.100000000000001" customHeight="1">
      <c r="A237" s="127"/>
      <c r="B237" s="127"/>
      <c r="C237" s="127"/>
      <c r="D237" s="127"/>
      <c r="E237" s="127"/>
    </row>
    <row r="238" spans="1:5" ht="17.100000000000001" customHeight="1">
      <c r="A238" s="127"/>
      <c r="B238" s="127"/>
      <c r="C238" s="127"/>
      <c r="D238" s="127"/>
      <c r="E238" s="127"/>
    </row>
    <row r="239" spans="1:5" ht="17.100000000000001" customHeight="1">
      <c r="A239" s="127"/>
      <c r="B239" s="127"/>
      <c r="C239" s="127"/>
      <c r="D239" s="127"/>
      <c r="E239" s="127"/>
    </row>
    <row r="240" spans="1:5" ht="17.100000000000001" customHeight="1">
      <c r="A240" s="127"/>
      <c r="B240" s="127"/>
      <c r="C240" s="127"/>
      <c r="D240" s="127"/>
      <c r="E240" s="127"/>
    </row>
    <row r="241" spans="1:5" ht="17.100000000000001" customHeight="1">
      <c r="A241" s="127"/>
      <c r="B241" s="127"/>
      <c r="C241" s="127"/>
      <c r="D241" s="127"/>
      <c r="E241" s="127"/>
    </row>
    <row r="242" spans="1:5" ht="17.100000000000001" customHeight="1">
      <c r="A242" s="127"/>
      <c r="B242" s="127"/>
      <c r="C242" s="127"/>
      <c r="D242" s="127"/>
      <c r="E242" s="127"/>
    </row>
    <row r="243" spans="1:5" ht="17.100000000000001" customHeight="1">
      <c r="A243" s="127"/>
      <c r="B243" s="127"/>
      <c r="C243" s="127"/>
      <c r="D243" s="127"/>
      <c r="E243" s="127"/>
    </row>
    <row r="244" spans="1:5" ht="17.100000000000001" customHeight="1">
      <c r="A244" s="127"/>
      <c r="B244" s="127"/>
      <c r="C244" s="127"/>
      <c r="D244" s="127"/>
      <c r="E244" s="127"/>
    </row>
    <row r="245" spans="1:5" ht="17.100000000000001" customHeight="1">
      <c r="A245" s="127"/>
      <c r="B245" s="127"/>
      <c r="C245" s="127"/>
      <c r="D245" s="127"/>
      <c r="E245" s="127"/>
    </row>
    <row r="246" spans="1:5" ht="17.100000000000001" customHeight="1">
      <c r="A246" s="127"/>
      <c r="B246" s="127"/>
      <c r="C246" s="127"/>
      <c r="D246" s="127"/>
      <c r="E246" s="127"/>
    </row>
    <row r="247" spans="1:5" ht="17.100000000000001" customHeight="1">
      <c r="A247" s="127"/>
      <c r="B247" s="127"/>
      <c r="C247" s="127"/>
      <c r="D247" s="127"/>
      <c r="E247" s="127"/>
    </row>
    <row r="248" spans="1:5" ht="17.100000000000001" customHeight="1">
      <c r="A248" s="127"/>
      <c r="B248" s="127"/>
      <c r="C248" s="127"/>
      <c r="D248" s="127"/>
      <c r="E248" s="127"/>
    </row>
    <row r="249" spans="1:5" ht="17.100000000000001" customHeight="1">
      <c r="A249" s="127"/>
      <c r="B249" s="127"/>
      <c r="C249" s="127"/>
      <c r="D249" s="127"/>
      <c r="E249" s="127"/>
    </row>
    <row r="250" spans="1:5" ht="17.100000000000001" customHeight="1">
      <c r="A250" s="127"/>
      <c r="B250" s="127"/>
      <c r="C250" s="127"/>
      <c r="D250" s="127"/>
      <c r="E250" s="127"/>
    </row>
    <row r="251" spans="1:5" ht="17.100000000000001" customHeight="1">
      <c r="A251" s="127"/>
      <c r="B251" s="127"/>
      <c r="C251" s="127"/>
      <c r="D251" s="127"/>
      <c r="E251" s="127"/>
    </row>
    <row r="252" spans="1:5" ht="17.100000000000001" customHeight="1">
      <c r="A252" s="127"/>
      <c r="B252" s="127"/>
      <c r="C252" s="127"/>
      <c r="D252" s="127"/>
      <c r="E252" s="127"/>
    </row>
    <row r="253" spans="1:5" ht="17.100000000000001" customHeight="1">
      <c r="A253" s="127"/>
      <c r="B253" s="127"/>
      <c r="C253" s="127"/>
      <c r="D253" s="127"/>
      <c r="E253" s="127"/>
    </row>
    <row r="254" spans="1:5" ht="17.100000000000001" customHeight="1">
      <c r="A254" s="127"/>
      <c r="B254" s="127"/>
      <c r="C254" s="127"/>
      <c r="D254" s="127"/>
      <c r="E254" s="127"/>
    </row>
    <row r="255" spans="1:5" ht="17.100000000000001" customHeight="1">
      <c r="A255" s="127"/>
      <c r="B255" s="127"/>
      <c r="C255" s="127"/>
      <c r="D255" s="127"/>
      <c r="E255" s="127"/>
    </row>
    <row r="256" spans="1:5" ht="17.100000000000001" customHeight="1">
      <c r="A256" s="127"/>
      <c r="B256" s="127"/>
      <c r="C256" s="127"/>
      <c r="D256" s="127"/>
      <c r="E256" s="127"/>
    </row>
    <row r="257" spans="1:5" ht="17.100000000000001" customHeight="1">
      <c r="A257" s="127"/>
      <c r="B257" s="127"/>
      <c r="C257" s="127"/>
      <c r="D257" s="127"/>
      <c r="E257" s="127"/>
    </row>
    <row r="258" spans="1:5" ht="17.100000000000001" customHeight="1">
      <c r="A258" s="127"/>
      <c r="B258" s="127"/>
      <c r="C258" s="127"/>
      <c r="D258" s="127"/>
      <c r="E258" s="127"/>
    </row>
    <row r="259" spans="1:5" ht="17.100000000000001" customHeight="1">
      <c r="A259" s="127"/>
      <c r="B259" s="127"/>
      <c r="C259" s="127"/>
      <c r="D259" s="127"/>
      <c r="E259" s="127"/>
    </row>
    <row r="260" spans="1:5" ht="17.100000000000001" customHeight="1">
      <c r="A260" s="127"/>
      <c r="B260" s="127"/>
      <c r="C260" s="127"/>
      <c r="D260" s="127"/>
      <c r="E260" s="127"/>
    </row>
    <row r="261" spans="1:5" ht="17.100000000000001" customHeight="1">
      <c r="A261" s="127"/>
      <c r="B261" s="127"/>
      <c r="C261" s="127"/>
      <c r="D261" s="127"/>
      <c r="E261" s="127"/>
    </row>
    <row r="262" spans="1:5" ht="17.100000000000001" customHeight="1">
      <c r="A262" s="127"/>
      <c r="B262" s="127"/>
      <c r="C262" s="127"/>
      <c r="D262" s="127"/>
      <c r="E262" s="127"/>
    </row>
    <row r="263" spans="1:5" ht="17.100000000000001" customHeight="1">
      <c r="A263" s="127"/>
      <c r="B263" s="127"/>
      <c r="C263" s="127"/>
      <c r="D263" s="127"/>
      <c r="E263" s="127"/>
    </row>
    <row r="264" spans="1:5" ht="17.100000000000001" customHeight="1">
      <c r="A264" s="127"/>
      <c r="B264" s="127"/>
      <c r="C264" s="127"/>
      <c r="D264" s="127"/>
      <c r="E264" s="127"/>
    </row>
    <row r="265" spans="1:5" ht="17.100000000000001" customHeight="1">
      <c r="A265" s="127"/>
      <c r="B265" s="127"/>
      <c r="C265" s="127"/>
      <c r="D265" s="127"/>
      <c r="E265" s="127"/>
    </row>
    <row r="266" spans="1:5" ht="17.100000000000001" customHeight="1">
      <c r="A266" s="127"/>
      <c r="B266" s="127"/>
      <c r="C266" s="127"/>
      <c r="D266" s="127"/>
      <c r="E266" s="127"/>
    </row>
    <row r="267" spans="1:5" ht="17.100000000000001" customHeight="1">
      <c r="A267" s="127"/>
      <c r="B267" s="127"/>
      <c r="C267" s="127"/>
      <c r="D267" s="127"/>
      <c r="E267" s="127"/>
    </row>
    <row r="268" spans="1:5" ht="17.100000000000001" customHeight="1">
      <c r="A268" s="127"/>
      <c r="B268" s="127"/>
      <c r="C268" s="127"/>
      <c r="D268" s="127"/>
      <c r="E268" s="127"/>
    </row>
    <row r="269" spans="1:5" ht="17.100000000000001" customHeight="1">
      <c r="A269" s="127"/>
      <c r="B269" s="127"/>
      <c r="C269" s="127"/>
      <c r="D269" s="127"/>
      <c r="E269" s="127"/>
    </row>
  </sheetData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2"/>
  <dimension ref="A1:X259"/>
  <sheetViews>
    <sheetView showGridLines="0" zoomScale="115" zoomScaleNormal="115" zoomScalePageLayoutView="115" workbookViewId="0">
      <selection activeCell="X85" sqref="X85"/>
    </sheetView>
  </sheetViews>
  <sheetFormatPr baseColWidth="10" defaultColWidth="10.85546875" defaultRowHeight="17.100000000000001" customHeight="1"/>
  <cols>
    <col min="1" max="1" width="13.7109375" style="272" customWidth="1"/>
    <col min="2" max="8" width="8" style="272" customWidth="1"/>
    <col min="9" max="10" width="10.85546875" style="272" customWidth="1"/>
    <col min="11" max="16384" width="10.85546875" style="272"/>
  </cols>
  <sheetData>
    <row r="1" spans="1:13" ht="16.350000000000001" customHeight="1">
      <c r="A1" s="587" t="s">
        <v>70</v>
      </c>
      <c r="B1" s="587"/>
      <c r="C1" s="587"/>
      <c r="D1" s="587"/>
      <c r="E1" s="587"/>
      <c r="F1" s="587"/>
      <c r="G1" s="587"/>
      <c r="H1" s="587"/>
      <c r="M1" s="272" t="s">
        <v>71</v>
      </c>
    </row>
    <row r="2" spans="1:13" ht="11.1" customHeight="1">
      <c r="A2" s="27" t="s">
        <v>135</v>
      </c>
      <c r="B2" s="332"/>
      <c r="C2" s="332"/>
      <c r="D2" s="332"/>
      <c r="E2" s="332"/>
      <c r="F2" s="332"/>
      <c r="G2" s="431"/>
    </row>
    <row r="3" spans="1:13" ht="11.1" customHeight="1">
      <c r="A3" s="21" t="s">
        <v>172</v>
      </c>
      <c r="B3" s="23"/>
      <c r="C3" s="23"/>
      <c r="D3" s="23"/>
      <c r="E3" s="23"/>
      <c r="F3" s="23"/>
      <c r="G3" s="23"/>
    </row>
    <row r="4" spans="1:13" ht="5.0999999999999996" customHeight="1">
      <c r="A4" s="26"/>
      <c r="B4" s="26"/>
      <c r="C4" s="26"/>
      <c r="D4" s="26"/>
      <c r="E4" s="26"/>
      <c r="F4" s="26"/>
      <c r="G4" s="26"/>
    </row>
    <row r="5" spans="1:13" ht="16.350000000000001" customHeight="1">
      <c r="A5" s="221" t="s">
        <v>373</v>
      </c>
      <c r="B5" s="221" t="s">
        <v>412</v>
      </c>
      <c r="C5" s="221" t="s">
        <v>222</v>
      </c>
      <c r="D5" s="221" t="s">
        <v>223</v>
      </c>
      <c r="E5" s="221" t="s">
        <v>179</v>
      </c>
      <c r="F5" s="221" t="s">
        <v>180</v>
      </c>
      <c r="G5" s="221" t="s">
        <v>181</v>
      </c>
      <c r="H5" s="221" t="s">
        <v>182</v>
      </c>
    </row>
    <row r="6" spans="1:13" ht="16.350000000000001" customHeight="1">
      <c r="A6" s="329" t="s">
        <v>501</v>
      </c>
      <c r="B6" s="492">
        <v>1427211.2830000001</v>
      </c>
      <c r="C6" s="492">
        <v>1423961.2320000001</v>
      </c>
      <c r="D6" s="492">
        <v>1399053.7</v>
      </c>
      <c r="E6" s="492">
        <v>1291808.392</v>
      </c>
      <c r="F6" s="492">
        <v>1409216.92</v>
      </c>
      <c r="G6" s="492">
        <v>1398917.3670000001</v>
      </c>
      <c r="H6" s="492">
        <v>1386117.6600000001</v>
      </c>
    </row>
    <row r="7" spans="1:13" ht="16.350000000000001" customHeight="1">
      <c r="A7" s="153" t="s">
        <v>507</v>
      </c>
      <c r="B7" s="493">
        <v>333638.304</v>
      </c>
      <c r="C7" s="493">
        <v>326629.25200000004</v>
      </c>
      <c r="D7" s="493">
        <v>327432.7</v>
      </c>
      <c r="E7" s="493">
        <v>243220.26</v>
      </c>
      <c r="F7" s="493">
        <v>293720.23</v>
      </c>
      <c r="G7" s="493">
        <v>296121.13699999999</v>
      </c>
      <c r="H7" s="493">
        <v>312035.55</v>
      </c>
    </row>
    <row r="8" spans="1:13" ht="13.35" customHeight="1">
      <c r="A8" s="31" t="s">
        <v>502</v>
      </c>
      <c r="B8" s="494">
        <v>50200.55</v>
      </c>
      <c r="C8" s="494">
        <v>55555.002</v>
      </c>
      <c r="D8" s="494">
        <v>45271.75</v>
      </c>
      <c r="E8" s="494">
        <v>37485.4</v>
      </c>
      <c r="F8" s="494">
        <v>41118.800000000003</v>
      </c>
      <c r="G8" s="494">
        <v>41665.699999999997</v>
      </c>
      <c r="H8" s="494">
        <v>47213.5</v>
      </c>
    </row>
    <row r="9" spans="1:13" ht="13.35" customHeight="1">
      <c r="A9" s="31" t="s">
        <v>333</v>
      </c>
      <c r="B9" s="494">
        <v>136920.04999999999</v>
      </c>
      <c r="C9" s="494">
        <v>133327.75</v>
      </c>
      <c r="D9" s="494">
        <v>127525.5</v>
      </c>
      <c r="E9" s="494">
        <v>101660.66</v>
      </c>
      <c r="F9" s="494">
        <v>113787.5</v>
      </c>
      <c r="G9" s="494">
        <v>116318.25</v>
      </c>
      <c r="H9" s="494">
        <v>118782.75</v>
      </c>
    </row>
    <row r="10" spans="1:13" ht="13.35" customHeight="1">
      <c r="A10" s="31" t="s">
        <v>334</v>
      </c>
      <c r="B10" s="494">
        <v>87350.45</v>
      </c>
      <c r="C10" s="494">
        <v>76337.3</v>
      </c>
      <c r="D10" s="494">
        <v>96712.7</v>
      </c>
      <c r="E10" s="494">
        <v>56383.5</v>
      </c>
      <c r="F10" s="494">
        <v>86346.5</v>
      </c>
      <c r="G10" s="494">
        <v>95155</v>
      </c>
      <c r="H10" s="494">
        <v>93491.7</v>
      </c>
    </row>
    <row r="11" spans="1:13" ht="13.35" customHeight="1">
      <c r="A11" s="31" t="s">
        <v>335</v>
      </c>
      <c r="B11" s="494">
        <v>15920.004000000001</v>
      </c>
      <c r="C11" s="494">
        <v>19187</v>
      </c>
      <c r="D11" s="494">
        <v>16754</v>
      </c>
      <c r="E11" s="494">
        <v>10683</v>
      </c>
      <c r="F11" s="494">
        <v>13945</v>
      </c>
      <c r="G11" s="494">
        <v>14253</v>
      </c>
      <c r="H11" s="494">
        <v>13230</v>
      </c>
    </row>
    <row r="12" spans="1:13" ht="13.35" customHeight="1">
      <c r="A12" s="31" t="s">
        <v>336</v>
      </c>
      <c r="B12" s="494">
        <v>35015</v>
      </c>
      <c r="C12" s="494">
        <v>34067</v>
      </c>
      <c r="D12" s="494">
        <v>34224</v>
      </c>
      <c r="E12" s="494">
        <v>29403</v>
      </c>
      <c r="F12" s="494">
        <v>30410</v>
      </c>
      <c r="G12" s="494">
        <v>20366.006999999998</v>
      </c>
      <c r="H12" s="494">
        <v>33526</v>
      </c>
    </row>
    <row r="13" spans="1:13" ht="13.35" customHeight="1">
      <c r="A13" s="31" t="s">
        <v>337</v>
      </c>
      <c r="B13" s="494">
        <v>8232.25</v>
      </c>
      <c r="C13" s="494">
        <v>8155.2000000000007</v>
      </c>
      <c r="D13" s="494">
        <v>6944.75</v>
      </c>
      <c r="E13" s="494">
        <v>7604.7</v>
      </c>
      <c r="F13" s="494">
        <v>8112.4299999999994</v>
      </c>
      <c r="G13" s="494">
        <v>8363.18</v>
      </c>
      <c r="H13" s="494">
        <v>5791.6</v>
      </c>
    </row>
    <row r="14" spans="1:13" ht="16.350000000000001" customHeight="1">
      <c r="A14" s="153" t="s">
        <v>508</v>
      </c>
      <c r="B14" s="493">
        <v>377716.65</v>
      </c>
      <c r="C14" s="493">
        <v>375180.64</v>
      </c>
      <c r="D14" s="493">
        <v>350379.06</v>
      </c>
      <c r="E14" s="493">
        <v>336338.87099999998</v>
      </c>
      <c r="F14" s="493">
        <v>369844.49</v>
      </c>
      <c r="G14" s="493">
        <v>360819.32999999996</v>
      </c>
      <c r="H14" s="493">
        <v>322976.8</v>
      </c>
    </row>
    <row r="15" spans="1:13" ht="13.35" customHeight="1">
      <c r="A15" s="31" t="s">
        <v>338</v>
      </c>
      <c r="B15" s="494">
        <v>45570</v>
      </c>
      <c r="C15" s="494">
        <v>48359.5</v>
      </c>
      <c r="D15" s="494">
        <v>45441</v>
      </c>
      <c r="E15" s="494">
        <v>33837</v>
      </c>
      <c r="F15" s="494">
        <v>40056</v>
      </c>
      <c r="G15" s="494">
        <v>37946</v>
      </c>
      <c r="H15" s="494">
        <v>34110</v>
      </c>
    </row>
    <row r="16" spans="1:13" ht="13.35" customHeight="1">
      <c r="A16" s="31" t="s">
        <v>339</v>
      </c>
      <c r="B16" s="494">
        <v>0</v>
      </c>
      <c r="C16" s="494">
        <v>0</v>
      </c>
      <c r="D16" s="494">
        <v>0</v>
      </c>
      <c r="E16" s="494">
        <v>0</v>
      </c>
      <c r="F16" s="494">
        <v>0</v>
      </c>
      <c r="G16" s="494">
        <v>0</v>
      </c>
      <c r="H16" s="494">
        <v>0</v>
      </c>
    </row>
    <row r="17" spans="1:8" ht="13.35" customHeight="1">
      <c r="A17" s="31" t="s">
        <v>340</v>
      </c>
      <c r="B17" s="494">
        <v>83871.45</v>
      </c>
      <c r="C17" s="494">
        <v>83874.5</v>
      </c>
      <c r="D17" s="494">
        <v>81442.700000000012</v>
      </c>
      <c r="E17" s="494">
        <v>87171.25</v>
      </c>
      <c r="F17" s="494">
        <v>109444.25</v>
      </c>
      <c r="G17" s="494">
        <v>112350.61</v>
      </c>
      <c r="H17" s="494">
        <v>84526</v>
      </c>
    </row>
    <row r="18" spans="1:8" ht="13.35" customHeight="1">
      <c r="A18" s="31" t="s">
        <v>341</v>
      </c>
      <c r="B18" s="494">
        <v>79008.5</v>
      </c>
      <c r="C18" s="494">
        <v>78464</v>
      </c>
      <c r="D18" s="494">
        <v>68620.75</v>
      </c>
      <c r="E18" s="494">
        <v>72574.5</v>
      </c>
      <c r="F18" s="494">
        <v>72291.25</v>
      </c>
      <c r="G18" s="494">
        <v>70152</v>
      </c>
      <c r="H18" s="494">
        <v>69779.75</v>
      </c>
    </row>
    <row r="19" spans="1:8" ht="13.35" customHeight="1">
      <c r="A19" s="31" t="s">
        <v>342</v>
      </c>
      <c r="B19" s="494">
        <v>26284.200000000004</v>
      </c>
      <c r="C19" s="494">
        <v>25086.639999999999</v>
      </c>
      <c r="D19" s="494">
        <v>20052.109999999997</v>
      </c>
      <c r="E19" s="494">
        <v>10589.85</v>
      </c>
      <c r="F19" s="494">
        <v>16085.990000000002</v>
      </c>
      <c r="G19" s="494">
        <v>16513.3</v>
      </c>
      <c r="H19" s="494">
        <v>11595.25</v>
      </c>
    </row>
    <row r="20" spans="1:8" ht="13.35" customHeight="1">
      <c r="A20" s="31" t="s">
        <v>164</v>
      </c>
      <c r="B20" s="494">
        <v>85708</v>
      </c>
      <c r="C20" s="494">
        <v>83055</v>
      </c>
      <c r="D20" s="494">
        <v>80392</v>
      </c>
      <c r="E20" s="494">
        <v>85052.77</v>
      </c>
      <c r="F20" s="494">
        <v>87013</v>
      </c>
      <c r="G20" s="494">
        <v>82463</v>
      </c>
      <c r="H20" s="494">
        <v>82077</v>
      </c>
    </row>
    <row r="21" spans="1:8" ht="13.35" customHeight="1">
      <c r="A21" s="31" t="s">
        <v>343</v>
      </c>
      <c r="B21" s="494">
        <v>33801</v>
      </c>
      <c r="C21" s="494">
        <v>32005</v>
      </c>
      <c r="D21" s="494">
        <v>31576</v>
      </c>
      <c r="E21" s="494">
        <v>24578</v>
      </c>
      <c r="F21" s="494">
        <v>23524.5</v>
      </c>
      <c r="G21" s="494">
        <v>20170.920000000002</v>
      </c>
      <c r="H21" s="494">
        <v>21608.3</v>
      </c>
    </row>
    <row r="22" spans="1:8" ht="13.35" customHeight="1">
      <c r="A22" s="31" t="s">
        <v>344</v>
      </c>
      <c r="B22" s="494">
        <v>1800</v>
      </c>
      <c r="C22" s="494">
        <v>1742</v>
      </c>
      <c r="D22" s="494">
        <v>1528</v>
      </c>
      <c r="E22" s="494">
        <v>1103</v>
      </c>
      <c r="F22" s="494">
        <v>1167</v>
      </c>
      <c r="G22" s="494">
        <v>1218</v>
      </c>
      <c r="H22" s="494">
        <v>986</v>
      </c>
    </row>
    <row r="23" spans="1:8" ht="13.35" customHeight="1">
      <c r="A23" s="31" t="s">
        <v>345</v>
      </c>
      <c r="B23" s="494">
        <v>21673.5</v>
      </c>
      <c r="C23" s="494">
        <v>22594</v>
      </c>
      <c r="D23" s="494">
        <v>21326.5</v>
      </c>
      <c r="E23" s="494">
        <v>21432.501</v>
      </c>
      <c r="F23" s="494">
        <v>20262.5</v>
      </c>
      <c r="G23" s="494">
        <v>20005.5</v>
      </c>
      <c r="H23" s="494">
        <v>18294.5</v>
      </c>
    </row>
    <row r="24" spans="1:8" ht="16.350000000000001" customHeight="1">
      <c r="A24" s="153" t="s">
        <v>509</v>
      </c>
      <c r="B24" s="493">
        <v>565723.75899999996</v>
      </c>
      <c r="C24" s="493">
        <v>567741.59000000008</v>
      </c>
      <c r="D24" s="493">
        <v>566542.93999999994</v>
      </c>
      <c r="E24" s="493">
        <v>558817.76099999994</v>
      </c>
      <c r="F24" s="493">
        <v>587516.80000000005</v>
      </c>
      <c r="G24" s="493">
        <v>591379.4</v>
      </c>
      <c r="H24" s="493">
        <v>584424.56000000006</v>
      </c>
    </row>
    <row r="25" spans="1:8" ht="13.35" customHeight="1">
      <c r="A25" s="31" t="s">
        <v>346</v>
      </c>
      <c r="B25" s="494">
        <v>72096.758999999991</v>
      </c>
      <c r="C25" s="494">
        <v>72060.090000000011</v>
      </c>
      <c r="D25" s="494">
        <v>77589.94</v>
      </c>
      <c r="E25" s="494">
        <v>73533.260000000009</v>
      </c>
      <c r="F25" s="494">
        <v>79296.099999999991</v>
      </c>
      <c r="G25" s="494">
        <v>78294.600000000006</v>
      </c>
      <c r="H25" s="494">
        <v>77692.55</v>
      </c>
    </row>
    <row r="26" spans="1:8" ht="13.35" customHeight="1">
      <c r="A26" s="31" t="s">
        <v>347</v>
      </c>
      <c r="B26" s="494">
        <v>39072</v>
      </c>
      <c r="C26" s="494">
        <v>39790</v>
      </c>
      <c r="D26" s="494">
        <v>37640</v>
      </c>
      <c r="E26" s="494">
        <v>38466</v>
      </c>
      <c r="F26" s="494">
        <v>36897</v>
      </c>
      <c r="G26" s="494">
        <v>38441</v>
      </c>
      <c r="H26" s="494">
        <v>38925</v>
      </c>
    </row>
    <row r="27" spans="1:8" ht="13.35" customHeight="1">
      <c r="A27" s="31" t="s">
        <v>348</v>
      </c>
      <c r="B27" s="494">
        <v>99923</v>
      </c>
      <c r="C27" s="494">
        <v>102212</v>
      </c>
      <c r="D27" s="494">
        <v>95548</v>
      </c>
      <c r="E27" s="494">
        <v>94862</v>
      </c>
      <c r="F27" s="494">
        <v>101624</v>
      </c>
      <c r="G27" s="494">
        <v>104395</v>
      </c>
      <c r="H27" s="494">
        <v>105879</v>
      </c>
    </row>
    <row r="28" spans="1:8" ht="13.35" customHeight="1">
      <c r="A28" s="31" t="s">
        <v>483</v>
      </c>
      <c r="B28" s="494">
        <v>129899</v>
      </c>
      <c r="C28" s="494">
        <v>123523.5</v>
      </c>
      <c r="D28" s="494">
        <v>118002</v>
      </c>
      <c r="E28" s="494">
        <v>117122.501</v>
      </c>
      <c r="F28" s="494">
        <v>128157.70000000001</v>
      </c>
      <c r="G28" s="494">
        <v>125025.8</v>
      </c>
      <c r="H28" s="494">
        <v>119008.01</v>
      </c>
    </row>
    <row r="29" spans="1:8" ht="13.35" customHeight="1">
      <c r="A29" s="31" t="s">
        <v>288</v>
      </c>
      <c r="B29" s="494">
        <v>1618</v>
      </c>
      <c r="C29" s="494">
        <v>1669</v>
      </c>
      <c r="D29" s="494">
        <v>1739</v>
      </c>
      <c r="E29" s="494">
        <v>1755</v>
      </c>
      <c r="F29" s="494">
        <v>1669</v>
      </c>
      <c r="G29" s="494">
        <v>1771</v>
      </c>
      <c r="H29" s="494">
        <v>1475</v>
      </c>
    </row>
    <row r="30" spans="1:8" ht="13.35" customHeight="1">
      <c r="A30" s="31" t="s">
        <v>289</v>
      </c>
      <c r="B30" s="494">
        <v>219188</v>
      </c>
      <c r="C30" s="494">
        <v>225519</v>
      </c>
      <c r="D30" s="494">
        <v>231942</v>
      </c>
      <c r="E30" s="494">
        <v>228674</v>
      </c>
      <c r="F30" s="494">
        <v>235671</v>
      </c>
      <c r="G30" s="494">
        <v>239497</v>
      </c>
      <c r="H30" s="494">
        <v>237753</v>
      </c>
    </row>
    <row r="31" spans="1:8" ht="13.35" customHeight="1">
      <c r="A31" s="31" t="s">
        <v>290</v>
      </c>
      <c r="B31" s="494">
        <v>3927</v>
      </c>
      <c r="C31" s="494">
        <v>2968</v>
      </c>
      <c r="D31" s="494">
        <v>4082</v>
      </c>
      <c r="E31" s="494">
        <v>4405</v>
      </c>
      <c r="F31" s="494">
        <v>4202</v>
      </c>
      <c r="G31" s="494">
        <v>3955</v>
      </c>
      <c r="H31" s="494">
        <v>3692</v>
      </c>
    </row>
    <row r="32" spans="1:8" ht="16.350000000000001" customHeight="1">
      <c r="A32" s="153" t="s">
        <v>510</v>
      </c>
      <c r="B32" s="493">
        <v>150132.57</v>
      </c>
      <c r="C32" s="493">
        <v>154409.75</v>
      </c>
      <c r="D32" s="493">
        <v>154699</v>
      </c>
      <c r="E32" s="493">
        <v>153431.5</v>
      </c>
      <c r="F32" s="493">
        <v>158135.4</v>
      </c>
      <c r="G32" s="493">
        <v>150597.5</v>
      </c>
      <c r="H32" s="493">
        <v>166680.75</v>
      </c>
    </row>
    <row r="33" spans="1:8" ht="13.35" customHeight="1">
      <c r="A33" s="31" t="s">
        <v>192</v>
      </c>
      <c r="B33" s="494">
        <v>60526</v>
      </c>
      <c r="C33" s="494">
        <v>67209.5</v>
      </c>
      <c r="D33" s="494">
        <v>66913</v>
      </c>
      <c r="E33" s="494">
        <v>65091</v>
      </c>
      <c r="F33" s="494">
        <v>68939</v>
      </c>
      <c r="G33" s="494">
        <v>65659</v>
      </c>
      <c r="H33" s="494">
        <v>63546</v>
      </c>
    </row>
    <row r="34" spans="1:8" ht="13.35" customHeight="1">
      <c r="A34" s="29" t="s">
        <v>193</v>
      </c>
      <c r="B34" s="494">
        <v>8029.25</v>
      </c>
      <c r="C34" s="494">
        <v>7555.75</v>
      </c>
      <c r="D34" s="494">
        <v>6513.25</v>
      </c>
      <c r="E34" s="494">
        <v>8119</v>
      </c>
      <c r="F34" s="494">
        <v>8028.7500000000009</v>
      </c>
      <c r="G34" s="494">
        <v>8427</v>
      </c>
      <c r="H34" s="494">
        <v>9115.75</v>
      </c>
    </row>
    <row r="35" spans="1:8" ht="13.35" customHeight="1">
      <c r="A35" s="31" t="s">
        <v>87</v>
      </c>
      <c r="B35" s="494">
        <v>66629.39</v>
      </c>
      <c r="C35" s="494">
        <v>64035.5</v>
      </c>
      <c r="D35" s="494">
        <v>65217.75</v>
      </c>
      <c r="E35" s="494">
        <v>66662.5</v>
      </c>
      <c r="F35" s="494">
        <v>67747.5</v>
      </c>
      <c r="G35" s="494">
        <v>64360.5</v>
      </c>
      <c r="H35" s="494">
        <v>73982.5</v>
      </c>
    </row>
    <row r="36" spans="1:8" ht="13.35" customHeight="1">
      <c r="A36" s="224" t="s">
        <v>194</v>
      </c>
      <c r="B36" s="495">
        <v>14947.93</v>
      </c>
      <c r="C36" s="495">
        <v>15609</v>
      </c>
      <c r="D36" s="495">
        <v>16055</v>
      </c>
      <c r="E36" s="495">
        <v>13559</v>
      </c>
      <c r="F36" s="495">
        <v>13420.15</v>
      </c>
      <c r="G36" s="495">
        <v>12151</v>
      </c>
      <c r="H36" s="495">
        <v>20036.5</v>
      </c>
    </row>
    <row r="37" spans="1:8" ht="10.35" customHeight="1">
      <c r="A37" s="275" t="s">
        <v>16</v>
      </c>
      <c r="B37" s="223"/>
      <c r="C37" s="223"/>
      <c r="D37" s="223"/>
      <c r="E37" s="223"/>
      <c r="F37" s="223"/>
      <c r="G37" s="223"/>
      <c r="H37" s="223"/>
    </row>
    <row r="38" spans="1:8" ht="10.35" customHeight="1">
      <c r="A38" s="275" t="s">
        <v>279</v>
      </c>
      <c r="B38" s="220"/>
      <c r="C38" s="220"/>
      <c r="D38" s="220"/>
      <c r="E38" s="220"/>
    </row>
    <row r="39" spans="1:8" ht="10.35" customHeight="1">
      <c r="A39" s="576" t="s">
        <v>379</v>
      </c>
      <c r="B39" s="576"/>
      <c r="C39" s="576"/>
      <c r="D39" s="576"/>
      <c r="E39" s="576"/>
      <c r="F39" s="576"/>
      <c r="G39" s="430"/>
    </row>
    <row r="61" spans="2:7" ht="17.100000000000001" customHeight="1">
      <c r="B61" s="222">
        <v>0</v>
      </c>
      <c r="C61" s="222">
        <v>0</v>
      </c>
      <c r="D61" s="222">
        <v>0</v>
      </c>
      <c r="E61" s="222">
        <v>0</v>
      </c>
      <c r="F61" s="222">
        <v>0</v>
      </c>
      <c r="G61" s="222"/>
    </row>
    <row r="85" spans="24:24" ht="17.100000000000001" customHeight="1">
      <c r="X85" s="272" t="s">
        <v>63</v>
      </c>
    </row>
    <row r="241" spans="2:10" ht="17.100000000000001" customHeight="1">
      <c r="B241" s="222"/>
      <c r="C241" s="222"/>
      <c r="D241" s="222"/>
      <c r="E241" s="222"/>
      <c r="F241" s="222"/>
      <c r="G241" s="222"/>
    </row>
    <row r="242" spans="2:10" ht="17.100000000000001" customHeight="1">
      <c r="B242" s="222">
        <v>1427211.2829999998</v>
      </c>
      <c r="C242" s="222">
        <v>1423961.2319999998</v>
      </c>
      <c r="D242" s="222">
        <v>1399053.7</v>
      </c>
      <c r="E242" s="222">
        <v>1291808.392</v>
      </c>
      <c r="F242" s="222">
        <v>1409935.32</v>
      </c>
      <c r="G242" s="222"/>
      <c r="J242" s="272">
        <v>94780.55</v>
      </c>
    </row>
    <row r="250" spans="2:10" ht="17.100000000000001" customHeight="1">
      <c r="B250" s="222"/>
      <c r="C250" s="222"/>
      <c r="D250" s="222"/>
      <c r="E250" s="222"/>
      <c r="F250" s="222"/>
      <c r="G250" s="222"/>
    </row>
    <row r="259" spans="2:7" ht="17.100000000000001" customHeight="1">
      <c r="B259" s="222"/>
      <c r="C259" s="222"/>
      <c r="D259" s="222"/>
      <c r="E259" s="222"/>
      <c r="F259" s="222"/>
      <c r="G259" s="222"/>
    </row>
  </sheetData>
  <mergeCells count="2">
    <mergeCell ref="A39:F39"/>
    <mergeCell ref="A1:H1"/>
  </mergeCells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3"/>
  <dimension ref="A1:AW85"/>
  <sheetViews>
    <sheetView showGridLines="0" zoomScale="130" zoomScaleNormal="130" zoomScalePageLayoutView="130" workbookViewId="0">
      <selection activeCell="X85" sqref="X85"/>
    </sheetView>
  </sheetViews>
  <sheetFormatPr baseColWidth="10" defaultColWidth="10.7109375" defaultRowHeight="17.100000000000001" customHeight="1"/>
  <cols>
    <col min="1" max="1" width="11.7109375" style="272" customWidth="1"/>
    <col min="2" max="8" width="7.42578125" style="272" customWidth="1"/>
    <col min="9" max="16384" width="10.7109375" style="272"/>
  </cols>
  <sheetData>
    <row r="1" spans="1:49" ht="16.350000000000001" customHeight="1">
      <c r="A1" s="294" t="s">
        <v>73</v>
      </c>
      <c r="B1" s="289"/>
      <c r="C1" s="53"/>
      <c r="D1" s="53"/>
    </row>
    <row r="2" spans="1:49" ht="13.5">
      <c r="A2" s="27" t="s">
        <v>72</v>
      </c>
      <c r="B2" s="28"/>
    </row>
    <row r="3" spans="1:49" ht="13.5">
      <c r="A3" s="21" t="s">
        <v>172</v>
      </c>
    </row>
    <row r="4" spans="1:49" ht="3" customHeight="1">
      <c r="A4" s="91"/>
    </row>
    <row r="5" spans="1:49" ht="16.350000000000001" customHeight="1">
      <c r="A5" s="221" t="s">
        <v>443</v>
      </c>
      <c r="B5" s="221" t="s">
        <v>412</v>
      </c>
      <c r="C5" s="221" t="s">
        <v>222</v>
      </c>
      <c r="D5" s="221" t="s">
        <v>223</v>
      </c>
      <c r="E5" s="221" t="s">
        <v>179</v>
      </c>
      <c r="F5" s="221" t="s">
        <v>180</v>
      </c>
      <c r="G5" s="221" t="s">
        <v>74</v>
      </c>
      <c r="H5" s="221" t="s">
        <v>75</v>
      </c>
    </row>
    <row r="6" spans="1:49" ht="16.350000000000001" customHeight="1">
      <c r="A6" s="225" t="s">
        <v>318</v>
      </c>
      <c r="B6" s="496">
        <v>1427211.2830000001</v>
      </c>
      <c r="C6" s="496">
        <v>1423961.2320000003</v>
      </c>
      <c r="D6" s="496">
        <v>1399053.7</v>
      </c>
      <c r="E6" s="496">
        <v>1291808.392</v>
      </c>
      <c r="F6" s="496">
        <v>1409216.9200000002</v>
      </c>
      <c r="G6" s="496">
        <v>1398917.3670000001</v>
      </c>
      <c r="H6" s="496">
        <v>1386117.66</v>
      </c>
      <c r="P6" s="392"/>
      <c r="Q6" s="392"/>
      <c r="AB6" s="392"/>
      <c r="AC6" s="392"/>
      <c r="AM6" s="392"/>
      <c r="AN6" s="392"/>
      <c r="AO6" s="392"/>
      <c r="AP6" s="392"/>
      <c r="AQ6" s="392"/>
      <c r="AR6" s="392"/>
      <c r="AS6" s="392"/>
      <c r="AT6" s="392"/>
      <c r="AU6" s="392"/>
      <c r="AV6" s="392"/>
      <c r="AW6" s="392"/>
    </row>
    <row r="7" spans="1:49" ht="13.35" customHeight="1">
      <c r="A7" s="29" t="s">
        <v>370</v>
      </c>
      <c r="B7" s="497">
        <v>54851.5</v>
      </c>
      <c r="C7" s="497">
        <v>51037.5</v>
      </c>
      <c r="D7" s="497">
        <v>49112.75</v>
      </c>
      <c r="E7" s="497">
        <v>40364</v>
      </c>
      <c r="F7" s="497">
        <v>46455.5</v>
      </c>
      <c r="G7" s="497">
        <v>43433.3</v>
      </c>
      <c r="H7" s="497">
        <v>42409</v>
      </c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2"/>
      <c r="AJ7" s="392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392"/>
      <c r="AV7" s="392"/>
      <c r="AW7" s="392"/>
    </row>
    <row r="8" spans="1:49" ht="13.35" customHeight="1">
      <c r="A8" s="29" t="s">
        <v>224</v>
      </c>
      <c r="B8" s="497">
        <v>145682.5</v>
      </c>
      <c r="C8" s="497">
        <v>142657.60000000001</v>
      </c>
      <c r="D8" s="497">
        <v>137519.09</v>
      </c>
      <c r="E8" s="497">
        <v>122105.31</v>
      </c>
      <c r="F8" s="497">
        <v>127149.70000000001</v>
      </c>
      <c r="G8" s="497">
        <v>117770.65700000001</v>
      </c>
      <c r="H8" s="497">
        <v>125781.05</v>
      </c>
      <c r="J8" s="392"/>
      <c r="K8" s="392"/>
      <c r="L8" s="392"/>
    </row>
    <row r="9" spans="1:49" ht="13.35" customHeight="1">
      <c r="A9" s="29" t="s">
        <v>196</v>
      </c>
      <c r="B9" s="497">
        <v>229253.739</v>
      </c>
      <c r="C9" s="497">
        <v>228171.8</v>
      </c>
      <c r="D9" s="497">
        <v>217765.50999999998</v>
      </c>
      <c r="E9" s="497">
        <v>195658.45</v>
      </c>
      <c r="F9" s="497">
        <v>210706.9</v>
      </c>
      <c r="G9" s="497">
        <v>218669.5</v>
      </c>
      <c r="H9" s="497">
        <v>213683.3</v>
      </c>
      <c r="J9" s="392"/>
      <c r="K9" s="392"/>
      <c r="L9" s="422"/>
    </row>
    <row r="10" spans="1:49" ht="13.35" customHeight="1">
      <c r="A10" s="29" t="s">
        <v>397</v>
      </c>
      <c r="B10" s="497">
        <v>175007.65000000002</v>
      </c>
      <c r="C10" s="497">
        <v>164826.50200000001</v>
      </c>
      <c r="D10" s="497">
        <v>181551</v>
      </c>
      <c r="E10" s="497">
        <v>157443</v>
      </c>
      <c r="F10" s="497">
        <v>173930.88</v>
      </c>
      <c r="G10" s="497">
        <v>163619.22999999998</v>
      </c>
      <c r="H10" s="497">
        <v>188211.6</v>
      </c>
      <c r="J10" s="392"/>
      <c r="K10" s="392"/>
      <c r="L10" s="422"/>
    </row>
    <row r="11" spans="1:49" ht="13.35" customHeight="1">
      <c r="A11" s="29" t="s">
        <v>499</v>
      </c>
      <c r="B11" s="497">
        <v>101422.25</v>
      </c>
      <c r="C11" s="497">
        <v>99916.75</v>
      </c>
      <c r="D11" s="497">
        <v>98563</v>
      </c>
      <c r="E11" s="497">
        <v>86178</v>
      </c>
      <c r="F11" s="497">
        <v>92464.5</v>
      </c>
      <c r="G11" s="497">
        <v>94503.5</v>
      </c>
      <c r="H11" s="497">
        <v>88725</v>
      </c>
      <c r="J11" s="392"/>
      <c r="K11" s="392"/>
      <c r="L11" s="422"/>
    </row>
    <row r="12" spans="1:49" ht="13.35" customHeight="1">
      <c r="A12" s="29" t="s">
        <v>448</v>
      </c>
      <c r="B12" s="497">
        <v>56586</v>
      </c>
      <c r="C12" s="497">
        <v>65659.149999999994</v>
      </c>
      <c r="D12" s="497">
        <v>62010.75</v>
      </c>
      <c r="E12" s="497">
        <v>60062.96</v>
      </c>
      <c r="F12" s="497">
        <v>61880.25</v>
      </c>
      <c r="G12" s="497">
        <v>63458</v>
      </c>
      <c r="H12" s="497">
        <v>63892.1</v>
      </c>
      <c r="J12" s="392"/>
      <c r="K12" s="392"/>
      <c r="L12" s="422"/>
    </row>
    <row r="13" spans="1:49" ht="13.35" customHeight="1">
      <c r="A13" s="29" t="s">
        <v>210</v>
      </c>
      <c r="B13" s="497">
        <v>2325.5</v>
      </c>
      <c r="C13" s="497">
        <v>1847.3</v>
      </c>
      <c r="D13" s="497">
        <v>2400.25</v>
      </c>
      <c r="E13" s="497">
        <v>2787.25</v>
      </c>
      <c r="F13" s="497">
        <v>2971.25</v>
      </c>
      <c r="G13" s="497">
        <v>2659.05</v>
      </c>
      <c r="H13" s="497">
        <v>1958.85</v>
      </c>
      <c r="J13" s="392"/>
      <c r="K13" s="392"/>
      <c r="L13" s="422"/>
    </row>
    <row r="14" spans="1:49" ht="13.35" customHeight="1">
      <c r="A14" s="29" t="s">
        <v>385</v>
      </c>
      <c r="B14" s="497">
        <v>48.003999999999998</v>
      </c>
      <c r="C14" s="497">
        <v>369</v>
      </c>
      <c r="D14" s="497">
        <v>229</v>
      </c>
      <c r="E14" s="497">
        <v>315</v>
      </c>
      <c r="F14" s="497">
        <v>772</v>
      </c>
      <c r="G14" s="497">
        <v>495</v>
      </c>
      <c r="H14" s="497">
        <v>167</v>
      </c>
      <c r="J14" s="392"/>
      <c r="K14" s="392"/>
      <c r="L14" s="422"/>
    </row>
    <row r="15" spans="1:49" ht="13.35" customHeight="1">
      <c r="A15" s="29" t="s">
        <v>211</v>
      </c>
      <c r="B15" s="497">
        <v>664.9</v>
      </c>
      <c r="C15" s="497">
        <v>585.30000000000007</v>
      </c>
      <c r="D15" s="497">
        <v>611.6</v>
      </c>
      <c r="E15" s="497">
        <v>477.3</v>
      </c>
      <c r="F15" s="497">
        <v>522.95000000000005</v>
      </c>
      <c r="G15" s="497">
        <v>746.55000000000007</v>
      </c>
      <c r="H15" s="497">
        <v>281.25</v>
      </c>
      <c r="J15" s="392"/>
      <c r="K15" s="392"/>
      <c r="L15" s="422"/>
    </row>
    <row r="16" spans="1:49" ht="13.35" customHeight="1">
      <c r="A16" s="29" t="s">
        <v>497</v>
      </c>
      <c r="B16" s="497">
        <v>2488.8000000000002</v>
      </c>
      <c r="C16" s="497">
        <v>2464.15</v>
      </c>
      <c r="D16" s="497">
        <v>2586.1</v>
      </c>
      <c r="E16" s="497">
        <v>2404.0999999999995</v>
      </c>
      <c r="F16" s="497">
        <v>2265</v>
      </c>
      <c r="G16" s="497">
        <v>1895.25</v>
      </c>
      <c r="H16" s="497">
        <v>1928.05</v>
      </c>
      <c r="J16" s="392"/>
      <c r="K16" s="392"/>
      <c r="L16" s="422"/>
    </row>
    <row r="17" spans="1:12" ht="13.35" customHeight="1">
      <c r="A17" s="29" t="s">
        <v>383</v>
      </c>
      <c r="B17" s="497">
        <v>4181.1499999999996</v>
      </c>
      <c r="C17" s="497">
        <v>4751.3500000000004</v>
      </c>
      <c r="D17" s="497">
        <v>4115.3999999999996</v>
      </c>
      <c r="E17" s="497">
        <v>3523.05</v>
      </c>
      <c r="F17" s="497">
        <v>4290.7</v>
      </c>
      <c r="G17" s="497">
        <v>4287.95</v>
      </c>
      <c r="H17" s="497">
        <v>4538.5</v>
      </c>
      <c r="J17" s="392"/>
      <c r="K17" s="392"/>
      <c r="L17" s="422"/>
    </row>
    <row r="18" spans="1:12" ht="13.35" customHeight="1">
      <c r="A18" s="29" t="s">
        <v>382</v>
      </c>
      <c r="B18" s="497">
        <v>3781.1499999999996</v>
      </c>
      <c r="C18" s="497">
        <v>3700.1</v>
      </c>
      <c r="D18" s="497">
        <v>3942.25</v>
      </c>
      <c r="E18" s="497">
        <v>3629.65</v>
      </c>
      <c r="F18" s="497">
        <v>3620.0499999999997</v>
      </c>
      <c r="G18" s="497">
        <v>3914.2</v>
      </c>
      <c r="H18" s="497">
        <v>3905.25</v>
      </c>
      <c r="J18" s="392"/>
      <c r="K18" s="392"/>
      <c r="L18" s="422"/>
    </row>
    <row r="19" spans="1:12" ht="13.35" customHeight="1">
      <c r="A19" s="29" t="s">
        <v>375</v>
      </c>
      <c r="B19" s="497">
        <v>2260.4499999999998</v>
      </c>
      <c r="C19" s="497">
        <v>2355.25</v>
      </c>
      <c r="D19" s="497">
        <v>2330.25</v>
      </c>
      <c r="E19" s="497">
        <v>2237</v>
      </c>
      <c r="F19" s="497">
        <v>2971</v>
      </c>
      <c r="G19" s="497">
        <v>2080.7200000000003</v>
      </c>
      <c r="H19" s="497">
        <v>2124.3000000000002</v>
      </c>
      <c r="J19" s="392"/>
      <c r="K19" s="392"/>
      <c r="L19" s="422"/>
    </row>
    <row r="20" spans="1:12" ht="13.35" customHeight="1">
      <c r="A20" s="29" t="s">
        <v>405</v>
      </c>
      <c r="B20" s="497">
        <v>6368.48</v>
      </c>
      <c r="C20" s="497">
        <v>6893.04</v>
      </c>
      <c r="D20" s="497">
        <v>7323.9</v>
      </c>
      <c r="E20" s="497">
        <v>6300.7</v>
      </c>
      <c r="F20" s="497">
        <v>6336.55</v>
      </c>
      <c r="G20" s="497">
        <v>5985.8</v>
      </c>
      <c r="H20" s="497">
        <v>6122.15</v>
      </c>
      <c r="J20" s="392"/>
      <c r="K20" s="392"/>
      <c r="L20" s="422"/>
    </row>
    <row r="21" spans="1:12" ht="13.35" customHeight="1">
      <c r="A21" s="29" t="s">
        <v>398</v>
      </c>
      <c r="B21" s="497">
        <v>250092</v>
      </c>
      <c r="C21" s="497">
        <v>251504.90000000002</v>
      </c>
      <c r="D21" s="497">
        <v>252262.44999999998</v>
      </c>
      <c r="E21" s="497">
        <v>246931.25</v>
      </c>
      <c r="F21" s="497">
        <v>268586.84999999998</v>
      </c>
      <c r="G21" s="497">
        <v>269690.3</v>
      </c>
      <c r="H21" s="497">
        <v>263246.55</v>
      </c>
      <c r="J21" s="392"/>
      <c r="K21" s="392"/>
      <c r="L21" s="422"/>
    </row>
    <row r="22" spans="1:12" ht="13.35" customHeight="1">
      <c r="A22" s="29" t="s">
        <v>404</v>
      </c>
      <c r="B22" s="497">
        <v>54584.69</v>
      </c>
      <c r="C22" s="497">
        <v>57392.899999999994</v>
      </c>
      <c r="D22" s="497">
        <v>56050.95</v>
      </c>
      <c r="E22" s="497">
        <v>53150.001000000004</v>
      </c>
      <c r="F22" s="497">
        <v>57582.7</v>
      </c>
      <c r="G22" s="497">
        <v>56869.4</v>
      </c>
      <c r="H22" s="497">
        <v>58838.400000000001</v>
      </c>
      <c r="J22" s="392"/>
      <c r="K22" s="392"/>
      <c r="L22" s="422"/>
    </row>
    <row r="23" spans="1:12" ht="13.35" customHeight="1">
      <c r="A23" s="29" t="s">
        <v>203</v>
      </c>
      <c r="B23" s="497">
        <v>6370.9</v>
      </c>
      <c r="C23" s="497">
        <v>6429.25</v>
      </c>
      <c r="D23" s="497">
        <v>6523.35</v>
      </c>
      <c r="E23" s="497">
        <v>6155.5</v>
      </c>
      <c r="F23" s="497">
        <v>6056.15</v>
      </c>
      <c r="G23" s="497">
        <v>6315.05</v>
      </c>
      <c r="H23" s="497">
        <v>6279.65</v>
      </c>
      <c r="J23" s="392"/>
      <c r="K23" s="392"/>
      <c r="L23" s="422"/>
    </row>
    <row r="24" spans="1:12" ht="13.35" customHeight="1">
      <c r="A24" s="29" t="s">
        <v>384</v>
      </c>
      <c r="B24" s="497">
        <v>13497.25</v>
      </c>
      <c r="C24" s="497">
        <v>13893.8</v>
      </c>
      <c r="D24" s="497">
        <v>13547.75</v>
      </c>
      <c r="E24" s="497">
        <v>14135.751</v>
      </c>
      <c r="F24" s="497">
        <v>14884.5</v>
      </c>
      <c r="G24" s="497">
        <v>14445.35</v>
      </c>
      <c r="H24" s="497">
        <v>13055</v>
      </c>
      <c r="J24" s="392"/>
      <c r="K24" s="392"/>
      <c r="L24" s="422"/>
    </row>
    <row r="25" spans="1:12" ht="13.35" customHeight="1">
      <c r="A25" s="29" t="s">
        <v>252</v>
      </c>
      <c r="B25" s="497">
        <v>26626.75</v>
      </c>
      <c r="C25" s="497">
        <v>26042.55</v>
      </c>
      <c r="D25" s="497">
        <v>25406.93</v>
      </c>
      <c r="E25" s="497">
        <v>24616.25</v>
      </c>
      <c r="F25" s="497">
        <v>27226.5</v>
      </c>
      <c r="G25" s="497">
        <v>26523.1</v>
      </c>
      <c r="H25" s="497">
        <v>23531.550000000003</v>
      </c>
      <c r="J25" s="392"/>
      <c r="K25" s="392"/>
      <c r="L25" s="422"/>
    </row>
    <row r="26" spans="1:12" ht="13.35" customHeight="1">
      <c r="A26" s="29" t="s">
        <v>429</v>
      </c>
      <c r="B26" s="497">
        <v>2239.5</v>
      </c>
      <c r="C26" s="497">
        <v>2941</v>
      </c>
      <c r="D26" s="497">
        <v>3100.3</v>
      </c>
      <c r="E26" s="497">
        <v>2558</v>
      </c>
      <c r="F26" s="497">
        <v>3003.5</v>
      </c>
      <c r="G26" s="497">
        <v>2434</v>
      </c>
      <c r="H26" s="497">
        <v>3377.5</v>
      </c>
      <c r="J26" s="392"/>
      <c r="K26" s="392"/>
      <c r="L26" s="422"/>
    </row>
    <row r="27" spans="1:12" ht="13.35" customHeight="1">
      <c r="A27" s="29" t="s">
        <v>367</v>
      </c>
      <c r="B27" s="497">
        <v>50544.25</v>
      </c>
      <c r="C27" s="497">
        <v>53447.7</v>
      </c>
      <c r="D27" s="497">
        <v>46782.2</v>
      </c>
      <c r="E27" s="497">
        <v>40611.15</v>
      </c>
      <c r="F27" s="497">
        <v>46613.849999999991</v>
      </c>
      <c r="G27" s="497">
        <v>44811.45</v>
      </c>
      <c r="H27" s="497">
        <v>46277</v>
      </c>
      <c r="J27" s="392"/>
      <c r="K27" s="392"/>
      <c r="L27" s="422"/>
    </row>
    <row r="28" spans="1:12" ht="13.35" customHeight="1">
      <c r="A28" s="29" t="s">
        <v>468</v>
      </c>
      <c r="B28" s="497">
        <v>1014.5</v>
      </c>
      <c r="C28" s="497">
        <v>699</v>
      </c>
      <c r="D28" s="497">
        <v>1435.5</v>
      </c>
      <c r="E28" s="497">
        <v>1374.25</v>
      </c>
      <c r="F28" s="497">
        <v>1920.5</v>
      </c>
      <c r="G28" s="497">
        <v>937.3</v>
      </c>
      <c r="H28" s="497">
        <v>666</v>
      </c>
      <c r="J28" s="392"/>
      <c r="K28" s="392"/>
      <c r="L28" s="422"/>
    </row>
    <row r="29" spans="1:12" ht="13.35" customHeight="1">
      <c r="A29" s="29" t="s">
        <v>380</v>
      </c>
      <c r="B29" s="497">
        <v>68968.3</v>
      </c>
      <c r="C29" s="497">
        <v>68989</v>
      </c>
      <c r="D29" s="497">
        <v>64385.5</v>
      </c>
      <c r="E29" s="497">
        <v>62023.45</v>
      </c>
      <c r="F29" s="497">
        <v>67646.75</v>
      </c>
      <c r="G29" s="497">
        <v>68631.75</v>
      </c>
      <c r="H29" s="497">
        <v>60798.85</v>
      </c>
      <c r="J29" s="392"/>
      <c r="K29" s="392"/>
      <c r="L29" s="422"/>
    </row>
    <row r="30" spans="1:12" ht="13.35" customHeight="1">
      <c r="A30" s="29" t="s">
        <v>381</v>
      </c>
      <c r="B30" s="497">
        <v>33359.199999999997</v>
      </c>
      <c r="C30" s="497">
        <v>34617.5</v>
      </c>
      <c r="D30" s="497">
        <v>33404.699999999997</v>
      </c>
      <c r="E30" s="497">
        <v>31840.07</v>
      </c>
      <c r="F30" s="497">
        <v>36370.75</v>
      </c>
      <c r="G30" s="497">
        <v>35974.21</v>
      </c>
      <c r="H30" s="497">
        <v>32935.75</v>
      </c>
      <c r="J30" s="392"/>
      <c r="K30" s="392"/>
      <c r="L30" s="422"/>
    </row>
    <row r="31" spans="1:12" ht="13.35" customHeight="1">
      <c r="A31" s="29" t="s">
        <v>430</v>
      </c>
      <c r="B31" s="497">
        <v>15621.3</v>
      </c>
      <c r="C31" s="497">
        <v>13988</v>
      </c>
      <c r="D31" s="497">
        <v>14302</v>
      </c>
      <c r="E31" s="497">
        <v>14821</v>
      </c>
      <c r="F31" s="497">
        <v>14139</v>
      </c>
      <c r="G31" s="497">
        <v>14514.5</v>
      </c>
      <c r="H31" s="497">
        <v>14639.5</v>
      </c>
      <c r="J31" s="392"/>
      <c r="K31" s="392"/>
      <c r="L31" s="422"/>
    </row>
    <row r="32" spans="1:12" ht="13.35" customHeight="1">
      <c r="A32" s="29" t="s">
        <v>431</v>
      </c>
      <c r="B32" s="497">
        <v>19841.760000000002</v>
      </c>
      <c r="C32" s="497">
        <v>19615.48</v>
      </c>
      <c r="D32" s="497">
        <v>19281.75</v>
      </c>
      <c r="E32" s="497">
        <v>18653</v>
      </c>
      <c r="F32" s="497">
        <v>17819</v>
      </c>
      <c r="G32" s="497">
        <v>17917</v>
      </c>
      <c r="H32" s="497">
        <v>17872.5</v>
      </c>
      <c r="J32" s="392"/>
      <c r="K32" s="392"/>
      <c r="L32" s="422"/>
    </row>
    <row r="33" spans="1:12" ht="13.35" customHeight="1">
      <c r="A33" s="29" t="s">
        <v>432</v>
      </c>
      <c r="B33" s="497">
        <v>77758.880000000005</v>
      </c>
      <c r="C33" s="497">
        <v>78227.56</v>
      </c>
      <c r="D33" s="497">
        <v>77865.8</v>
      </c>
      <c r="E33" s="497">
        <v>85817.2</v>
      </c>
      <c r="F33" s="497">
        <v>101342.3</v>
      </c>
      <c r="G33" s="497">
        <v>102742.25</v>
      </c>
      <c r="H33" s="497">
        <v>97110.51</v>
      </c>
      <c r="J33" s="392"/>
      <c r="K33" s="392"/>
      <c r="L33" s="392"/>
    </row>
    <row r="34" spans="1:12" ht="13.35" customHeight="1">
      <c r="A34" s="30" t="s">
        <v>402</v>
      </c>
      <c r="B34" s="498">
        <v>21769.93</v>
      </c>
      <c r="C34" s="498">
        <v>20937.8</v>
      </c>
      <c r="D34" s="498">
        <v>14643.67</v>
      </c>
      <c r="E34" s="498">
        <v>5635.75</v>
      </c>
      <c r="F34" s="498">
        <v>9687.34</v>
      </c>
      <c r="G34" s="498">
        <v>13593</v>
      </c>
      <c r="H34" s="498">
        <v>3761.5</v>
      </c>
      <c r="J34" s="392"/>
      <c r="K34" s="392"/>
      <c r="L34" s="392"/>
    </row>
    <row r="35" spans="1:12" ht="10.35" customHeight="1">
      <c r="A35" s="275" t="s">
        <v>16</v>
      </c>
      <c r="B35" s="305"/>
      <c r="C35" s="220"/>
      <c r="D35" s="220"/>
      <c r="E35" s="220"/>
      <c r="F35" s="220"/>
      <c r="G35" s="220"/>
      <c r="H35" s="220"/>
      <c r="J35" s="392"/>
    </row>
    <row r="36" spans="1:12" ht="10.35" customHeight="1">
      <c r="A36" s="275" t="s">
        <v>279</v>
      </c>
      <c r="B36" s="220"/>
      <c r="C36" s="220"/>
      <c r="D36" s="220"/>
      <c r="E36" s="220"/>
      <c r="F36" s="220"/>
      <c r="G36" s="220"/>
      <c r="H36" s="220"/>
      <c r="J36" s="392"/>
    </row>
    <row r="37" spans="1:12" ht="10.35" customHeight="1">
      <c r="A37" s="576" t="s">
        <v>379</v>
      </c>
      <c r="B37" s="576"/>
      <c r="C37" s="576"/>
      <c r="D37" s="576"/>
      <c r="E37" s="576"/>
      <c r="F37" s="576"/>
      <c r="G37" s="576"/>
      <c r="H37" s="576"/>
      <c r="J37" s="392"/>
    </row>
    <row r="38" spans="1:12" ht="17.100000000000001" customHeight="1">
      <c r="J38" s="392"/>
    </row>
    <row r="39" spans="1:12" ht="17.100000000000001" customHeight="1">
      <c r="J39" s="392"/>
      <c r="K39" s="392"/>
      <c r="L39" s="392"/>
    </row>
    <row r="40" spans="1:12" ht="17.100000000000001" customHeight="1">
      <c r="J40" s="392"/>
      <c r="K40" s="392"/>
      <c r="L40" s="392"/>
    </row>
    <row r="85" spans="24:24" ht="17.100000000000001" customHeight="1">
      <c r="X85" s="272" t="s">
        <v>62</v>
      </c>
    </row>
  </sheetData>
  <mergeCells count="1">
    <mergeCell ref="A37:H37"/>
  </mergeCells>
  <phoneticPr fontId="10" type="noConversion"/>
  <pageMargins left="0.70866141732283472" right="0.70866141732283472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4"/>
  <dimension ref="A1:X85"/>
  <sheetViews>
    <sheetView showGridLines="0" zoomScale="150" workbookViewId="0">
      <selection activeCell="X85" sqref="X85"/>
    </sheetView>
  </sheetViews>
  <sheetFormatPr baseColWidth="10" defaultColWidth="10.7109375" defaultRowHeight="17.100000000000001" customHeight="1"/>
  <cols>
    <col min="1" max="1" width="9.7109375" style="272" customWidth="1"/>
    <col min="2" max="7" width="9.42578125" style="272" customWidth="1"/>
    <col min="8" max="16384" width="10.7109375" style="272"/>
  </cols>
  <sheetData>
    <row r="1" spans="1:9" ht="16.350000000000001" customHeight="1">
      <c r="A1" s="294" t="s">
        <v>163</v>
      </c>
      <c r="B1" s="289"/>
      <c r="C1" s="53"/>
      <c r="D1" s="53"/>
    </row>
    <row r="2" spans="1:9" ht="13.5">
      <c r="A2" s="27" t="s">
        <v>136</v>
      </c>
      <c r="B2" s="28"/>
    </row>
    <row r="3" spans="1:9" ht="3" customHeight="1">
      <c r="A3" s="91"/>
    </row>
    <row r="4" spans="1:9" ht="17.100000000000001" customHeight="1">
      <c r="A4" s="221" t="s">
        <v>443</v>
      </c>
      <c r="B4" s="221" t="s">
        <v>195</v>
      </c>
      <c r="C4" s="221" t="s">
        <v>291</v>
      </c>
      <c r="D4" s="221" t="s">
        <v>177</v>
      </c>
      <c r="E4" s="221" t="s">
        <v>178</v>
      </c>
      <c r="F4" s="221" t="s">
        <v>175</v>
      </c>
      <c r="G4" s="221" t="s">
        <v>176</v>
      </c>
    </row>
    <row r="5" spans="1:9" ht="17.100000000000001" customHeight="1">
      <c r="A5" s="226" t="s">
        <v>318</v>
      </c>
      <c r="B5" s="227">
        <v>-0.22772038300931108</v>
      </c>
      <c r="C5" s="227">
        <v>-1.7491720589202342</v>
      </c>
      <c r="D5" s="227">
        <v>-7.6655605142247225</v>
      </c>
      <c r="E5" s="227">
        <v>9.0886952528792762</v>
      </c>
      <c r="F5" s="227">
        <v>-0.73087065971362275</v>
      </c>
      <c r="G5" s="227">
        <v>-0.91497234232278402</v>
      </c>
    </row>
    <row r="6" spans="1:9" ht="13.35" customHeight="1">
      <c r="A6" s="29" t="s">
        <v>370</v>
      </c>
      <c r="B6" s="228">
        <v>-6.953319416971282</v>
      </c>
      <c r="C6" s="228">
        <v>-3.7712466323781557</v>
      </c>
      <c r="D6" s="228">
        <v>-17.813602374128923</v>
      </c>
      <c r="E6" s="228">
        <v>15.091418095332475</v>
      </c>
      <c r="F6" s="228">
        <v>-6.5055806094003854</v>
      </c>
      <c r="G6" s="228">
        <v>-2.358328747758065</v>
      </c>
      <c r="I6" s="272" t="s">
        <v>489</v>
      </c>
    </row>
    <row r="7" spans="1:9" ht="13.35" customHeight="1">
      <c r="A7" s="29" t="s">
        <v>224</v>
      </c>
      <c r="B7" s="228">
        <v>-2.0763646972011052</v>
      </c>
      <c r="C7" s="228">
        <v>-3.6019882571976636</v>
      </c>
      <c r="D7" s="228">
        <v>-11.208465675565481</v>
      </c>
      <c r="E7" s="228">
        <v>4.1311798807111888</v>
      </c>
      <c r="F7" s="228">
        <v>-7.3763783949156059</v>
      </c>
      <c r="G7" s="228">
        <v>6.8016883016964069</v>
      </c>
    </row>
    <row r="8" spans="1:9" ht="13.35" customHeight="1">
      <c r="A8" s="29" t="s">
        <v>196</v>
      </c>
      <c r="B8" s="228">
        <v>-0.47193952199837685</v>
      </c>
      <c r="C8" s="228">
        <v>-4.5607257338549312</v>
      </c>
      <c r="D8" s="228">
        <v>-10.151772886349164</v>
      </c>
      <c r="E8" s="228">
        <v>7.6911832839317684</v>
      </c>
      <c r="F8" s="228">
        <v>3.7789934738729603</v>
      </c>
      <c r="G8" s="228">
        <v>-2.2802448443884571</v>
      </c>
    </row>
    <row r="9" spans="1:9" ht="13.35" customHeight="1">
      <c r="A9" s="29" t="s">
        <v>397</v>
      </c>
      <c r="B9" s="228">
        <v>-5.8175445473383718</v>
      </c>
      <c r="C9" s="228">
        <v>10.146728709925545</v>
      </c>
      <c r="D9" s="228">
        <v>-13.278913363187206</v>
      </c>
      <c r="E9" s="228">
        <v>10.472285207980025</v>
      </c>
      <c r="F9" s="228">
        <v>-5.9285907137364147</v>
      </c>
      <c r="G9" s="228">
        <v>15.030244305635732</v>
      </c>
    </row>
    <row r="10" spans="1:9" ht="13.35" customHeight="1">
      <c r="A10" s="29" t="s">
        <v>499</v>
      </c>
      <c r="B10" s="228">
        <v>-1.4843882875798964</v>
      </c>
      <c r="C10" s="228">
        <v>-1.3548779358816265</v>
      </c>
      <c r="D10" s="228">
        <v>-12.565567200673676</v>
      </c>
      <c r="E10" s="228">
        <v>7.2947852120030632</v>
      </c>
      <c r="F10" s="228">
        <v>2.2051706330537657</v>
      </c>
      <c r="G10" s="228">
        <v>-6.1145883485796855</v>
      </c>
    </row>
    <row r="11" spans="1:9" ht="13.35" customHeight="1">
      <c r="A11" s="29" t="s">
        <v>448</v>
      </c>
      <c r="B11" s="228">
        <v>16.034266426324528</v>
      </c>
      <c r="C11" s="228">
        <v>-5.5565751308081168</v>
      </c>
      <c r="D11" s="228">
        <v>-3.1410521562793559</v>
      </c>
      <c r="E11" s="228">
        <v>3.0256417599132668</v>
      </c>
      <c r="F11" s="228">
        <v>2.5496826531890227</v>
      </c>
      <c r="G11" s="228">
        <v>0.68407450597245401</v>
      </c>
    </row>
    <row r="12" spans="1:9" ht="13.35" customHeight="1">
      <c r="A12" s="29" t="s">
        <v>210</v>
      </c>
      <c r="B12" s="228">
        <v>-20.563319716190065</v>
      </c>
      <c r="C12" s="228">
        <v>29.932875006766647</v>
      </c>
      <c r="D12" s="228">
        <v>16.12332048744922</v>
      </c>
      <c r="E12" s="228">
        <v>6.6014889227733464</v>
      </c>
      <c r="F12" s="228">
        <v>-10.50736222128733</v>
      </c>
      <c r="G12" s="228">
        <v>-26.332712810966331</v>
      </c>
    </row>
    <row r="13" spans="1:9" ht="13.35" customHeight="1">
      <c r="A13" s="29" t="s">
        <v>385</v>
      </c>
      <c r="B13" s="327">
        <v>0</v>
      </c>
      <c r="C13" s="228">
        <v>-37.940379403794033</v>
      </c>
      <c r="D13" s="228">
        <v>37.554585152838428</v>
      </c>
      <c r="E13" s="228">
        <v>145.07936507936509</v>
      </c>
      <c r="F13" s="228">
        <v>-35.880829015544045</v>
      </c>
      <c r="G13" s="228">
        <v>-66.26262626262627</v>
      </c>
    </row>
    <row r="14" spans="1:9" ht="13.35" customHeight="1">
      <c r="A14" s="29" t="s">
        <v>211</v>
      </c>
      <c r="B14" s="228">
        <v>-11.971725071439298</v>
      </c>
      <c r="C14" s="228">
        <v>4.4934221766615323</v>
      </c>
      <c r="D14" s="228">
        <v>-21.958796599084373</v>
      </c>
      <c r="E14" s="228">
        <v>9.5642153781688712</v>
      </c>
      <c r="F14" s="228">
        <v>42.757433789081169</v>
      </c>
      <c r="G14" s="228">
        <v>-62.326702833031945</v>
      </c>
    </row>
    <row r="15" spans="1:9" ht="13.35" customHeight="1">
      <c r="A15" s="29" t="s">
        <v>497</v>
      </c>
      <c r="B15" s="228">
        <v>-0.99043715846994784</v>
      </c>
      <c r="C15" s="228">
        <v>4.9489682040460226</v>
      </c>
      <c r="D15" s="228">
        <v>-7.0376242218011864</v>
      </c>
      <c r="E15" s="228">
        <v>-5.7859490037851735</v>
      </c>
      <c r="F15" s="228">
        <v>-16.324503311258276</v>
      </c>
      <c r="G15" s="228">
        <v>1.7306423954623451</v>
      </c>
    </row>
    <row r="16" spans="1:9" ht="13.35" customHeight="1">
      <c r="A16" s="29" t="s">
        <v>383</v>
      </c>
      <c r="B16" s="228">
        <v>13.637396410078594</v>
      </c>
      <c r="C16" s="228">
        <v>-13.384617003588472</v>
      </c>
      <c r="D16" s="228">
        <v>-14.393497594401506</v>
      </c>
      <c r="E16" s="228">
        <v>21.789358652304092</v>
      </c>
      <c r="F16" s="228">
        <v>-6.4092106183144537E-2</v>
      </c>
      <c r="G16" s="228">
        <v>5.8431185065124458</v>
      </c>
    </row>
    <row r="17" spans="1:7" ht="13.35" customHeight="1">
      <c r="A17" s="29" t="s">
        <v>382</v>
      </c>
      <c r="B17" s="228">
        <v>-2.1435277627176896</v>
      </c>
      <c r="C17" s="228">
        <v>6.5444177184400543</v>
      </c>
      <c r="D17" s="228">
        <v>-7.929481894856993</v>
      </c>
      <c r="E17" s="228">
        <v>-0.26448831154519681</v>
      </c>
      <c r="F17" s="228">
        <v>8.125578375989285</v>
      </c>
      <c r="G17" s="228">
        <v>-0.22865464207244557</v>
      </c>
    </row>
    <row r="18" spans="1:7" ht="13.35" customHeight="1">
      <c r="A18" s="29" t="s">
        <v>375</v>
      </c>
      <c r="B18" s="228">
        <v>4.1938552058218503</v>
      </c>
      <c r="C18" s="228">
        <v>-1.0614584439019192</v>
      </c>
      <c r="D18" s="228">
        <v>-4.0017165540178095</v>
      </c>
      <c r="E18" s="228">
        <v>32.811801519892711</v>
      </c>
      <c r="F18" s="228">
        <v>-29.965668125210353</v>
      </c>
      <c r="G18" s="228">
        <v>2.0944672997808444</v>
      </c>
    </row>
    <row r="19" spans="1:7" ht="13.35" customHeight="1">
      <c r="A19" s="29" t="s">
        <v>405</v>
      </c>
      <c r="B19" s="228">
        <v>8.236816320377871</v>
      </c>
      <c r="C19" s="228">
        <v>6.2506528324222543</v>
      </c>
      <c r="D19" s="228">
        <v>-13.970698671472848</v>
      </c>
      <c r="E19" s="228">
        <v>0.5689843985589027</v>
      </c>
      <c r="F19" s="228">
        <v>-5.5353465213720421</v>
      </c>
      <c r="G19" s="228">
        <v>2.2778910087206228</v>
      </c>
    </row>
    <row r="20" spans="1:7" ht="13.35" customHeight="1">
      <c r="A20" s="29" t="s">
        <v>398</v>
      </c>
      <c r="B20" s="228">
        <v>0.56495209762807974</v>
      </c>
      <c r="C20" s="228">
        <v>0.30120685521433099</v>
      </c>
      <c r="D20" s="228">
        <v>-2.1133545638678974</v>
      </c>
      <c r="E20" s="228">
        <v>8.7698904047178949</v>
      </c>
      <c r="F20" s="228">
        <v>0.41083545229412266</v>
      </c>
      <c r="G20" s="228">
        <v>-2.3893147065356057</v>
      </c>
    </row>
    <row r="21" spans="1:7" ht="13.35" customHeight="1">
      <c r="A21" s="29" t="s">
        <v>404</v>
      </c>
      <c r="B21" s="228">
        <v>5.1446843428074596</v>
      </c>
      <c r="C21" s="228">
        <v>-2.3381812035983551</v>
      </c>
      <c r="D21" s="228">
        <v>-5.1755572385481337</v>
      </c>
      <c r="E21" s="228">
        <v>8.3399791469429996</v>
      </c>
      <c r="F21" s="228">
        <v>-1.238740107705949</v>
      </c>
      <c r="G21" s="228">
        <v>3.4623189272262378</v>
      </c>
    </row>
    <row r="22" spans="1:7" ht="13.35" customHeight="1">
      <c r="A22" s="29" t="s">
        <v>203</v>
      </c>
      <c r="B22" s="228">
        <v>0.91588315622597172</v>
      </c>
      <c r="C22" s="228">
        <v>1.4636232842089036</v>
      </c>
      <c r="D22" s="228">
        <v>-5.6389738401281591</v>
      </c>
      <c r="E22" s="228">
        <v>-1.6140037364958282</v>
      </c>
      <c r="F22" s="228">
        <v>4.2749931887420267</v>
      </c>
      <c r="G22" s="228">
        <v>-0.5605656328928621</v>
      </c>
    </row>
    <row r="23" spans="1:7" ht="13.35" customHeight="1">
      <c r="A23" s="29" t="s">
        <v>384</v>
      </c>
      <c r="B23" s="228">
        <v>2.938005890088724</v>
      </c>
      <c r="C23" s="228">
        <v>-2.4906792958010016</v>
      </c>
      <c r="D23" s="228">
        <v>4.340211474230049</v>
      </c>
      <c r="E23" s="228">
        <v>5.2968462729712673</v>
      </c>
      <c r="F23" s="228">
        <v>-2.9503846283046142</v>
      </c>
      <c r="G23" s="228">
        <v>-9.6248965930212815</v>
      </c>
    </row>
    <row r="24" spans="1:7" ht="13.35" customHeight="1">
      <c r="A24" s="29" t="s">
        <v>252</v>
      </c>
      <c r="B24" s="228">
        <v>-2.1940341949355457</v>
      </c>
      <c r="C24" s="228">
        <v>-2.4406980115234456</v>
      </c>
      <c r="D24" s="228">
        <v>-3.1120643068643039</v>
      </c>
      <c r="E24" s="228">
        <v>10.603767836287004</v>
      </c>
      <c r="F24" s="228">
        <v>-2.5835123868290122</v>
      </c>
      <c r="G24" s="228">
        <v>-11.279036010119469</v>
      </c>
    </row>
    <row r="25" spans="1:7" ht="13.35" customHeight="1">
      <c r="A25" s="29" t="s">
        <v>429</v>
      </c>
      <c r="B25" s="228">
        <v>31.323956240232185</v>
      </c>
      <c r="C25" s="228">
        <v>5.416524991499494</v>
      </c>
      <c r="D25" s="228">
        <v>-17.49185562687482</v>
      </c>
      <c r="E25" s="228">
        <v>17.415949960906964</v>
      </c>
      <c r="F25" s="228">
        <v>-18.961211919427335</v>
      </c>
      <c r="G25" s="228">
        <v>38.763352506162697</v>
      </c>
    </row>
    <row r="26" spans="1:7" ht="13.35" customHeight="1">
      <c r="A26" s="29" t="s">
        <v>367</v>
      </c>
      <c r="B26" s="228">
        <v>5.7443725052800154</v>
      </c>
      <c r="C26" s="228">
        <v>-12.471069849591288</v>
      </c>
      <c r="D26" s="228">
        <v>-13.191021371376287</v>
      </c>
      <c r="E26" s="228">
        <v>14.780916078466099</v>
      </c>
      <c r="F26" s="228">
        <v>-3.8666619470393293</v>
      </c>
      <c r="G26" s="228">
        <v>3.2704810935598072</v>
      </c>
    </row>
    <row r="27" spans="1:7" ht="13.35" customHeight="1">
      <c r="A27" s="29" t="s">
        <v>468</v>
      </c>
      <c r="B27" s="228">
        <v>-31.099063578117303</v>
      </c>
      <c r="C27" s="228">
        <v>105.36480686695278</v>
      </c>
      <c r="D27" s="228">
        <v>-4.2668059909439222</v>
      </c>
      <c r="E27" s="228">
        <v>39.748953974895393</v>
      </c>
      <c r="F27" s="228">
        <v>-51.195001301744348</v>
      </c>
      <c r="G27" s="228">
        <v>-28.944841566200786</v>
      </c>
    </row>
    <row r="28" spans="1:7" ht="13.35" customHeight="1">
      <c r="A28" s="29" t="s">
        <v>380</v>
      </c>
      <c r="B28" s="228">
        <v>3.0013788943605846E-2</v>
      </c>
      <c r="C28" s="228">
        <v>-6.672802910608933</v>
      </c>
      <c r="D28" s="228">
        <v>-3.6686055090043634</v>
      </c>
      <c r="E28" s="228">
        <v>9.0664095596101113</v>
      </c>
      <c r="F28" s="228">
        <v>1.4560936039055727</v>
      </c>
      <c r="G28" s="228">
        <v>-11.412939346585215</v>
      </c>
    </row>
    <row r="29" spans="1:7" ht="13.35" customHeight="1">
      <c r="A29" s="29" t="s">
        <v>381</v>
      </c>
      <c r="B29" s="228">
        <v>3.7719729489915865</v>
      </c>
      <c r="C29" s="228">
        <v>-3.5034303459233085</v>
      </c>
      <c r="D29" s="228">
        <v>-4.6838618517753394</v>
      </c>
      <c r="E29" s="228">
        <v>14.229491329635891</v>
      </c>
      <c r="F29" s="228">
        <v>-1.0902717155956365</v>
      </c>
      <c r="G29" s="228">
        <v>-8.4462174429959624</v>
      </c>
    </row>
    <row r="30" spans="1:7" ht="13.35" customHeight="1">
      <c r="A30" s="29" t="s">
        <v>430</v>
      </c>
      <c r="B30" s="228">
        <v>-10.455595885105584</v>
      </c>
      <c r="C30" s="228">
        <v>2.2447812410637757</v>
      </c>
      <c r="D30" s="228">
        <v>3.6288630960704893</v>
      </c>
      <c r="E30" s="228">
        <v>-4.6015788408339535</v>
      </c>
      <c r="F30" s="228">
        <v>2.6557748072706611</v>
      </c>
      <c r="G30" s="228">
        <v>0.86120775775948566</v>
      </c>
    </row>
    <row r="31" spans="1:7" ht="13.35" customHeight="1">
      <c r="A31" s="29" t="s">
        <v>431</v>
      </c>
      <c r="B31" s="228">
        <v>-1.1404230269895566</v>
      </c>
      <c r="C31" s="228">
        <v>-1.7013603541692568</v>
      </c>
      <c r="D31" s="228">
        <v>-3.2608554721433425</v>
      </c>
      <c r="E31" s="228">
        <v>-4.47113064922533</v>
      </c>
      <c r="F31" s="228">
        <v>0.5499747460575799</v>
      </c>
      <c r="G31" s="228">
        <v>-0.24836747223307976</v>
      </c>
    </row>
    <row r="32" spans="1:7" ht="13.35" customHeight="1">
      <c r="A32" s="29" t="s">
        <v>432</v>
      </c>
      <c r="B32" s="228">
        <v>0.60273501881713543</v>
      </c>
      <c r="C32" s="228">
        <v>-0.46244571606220974</v>
      </c>
      <c r="D32" s="228">
        <v>10.211671876484928</v>
      </c>
      <c r="E32" s="228">
        <v>18.090895531431926</v>
      </c>
      <c r="F32" s="228">
        <v>1.3814073688874107</v>
      </c>
      <c r="G32" s="228">
        <v>-5.4814256063109408</v>
      </c>
    </row>
    <row r="33" spans="1:7" ht="13.35" customHeight="1">
      <c r="A33" s="30" t="s">
        <v>402</v>
      </c>
      <c r="B33" s="229">
        <v>-3.8223825248863919</v>
      </c>
      <c r="C33" s="229">
        <v>-30.061085691906499</v>
      </c>
      <c r="D33" s="229">
        <v>-61.514087656987627</v>
      </c>
      <c r="E33" s="229">
        <v>71.890875216253391</v>
      </c>
      <c r="F33" s="229">
        <v>40.317156205934744</v>
      </c>
      <c r="G33" s="229">
        <v>-72.327668652983149</v>
      </c>
    </row>
    <row r="34" spans="1:7" ht="10.35" customHeight="1">
      <c r="A34" s="275" t="s">
        <v>16</v>
      </c>
      <c r="B34" s="275"/>
      <c r="C34" s="275"/>
      <c r="D34" s="275"/>
      <c r="E34" s="275"/>
      <c r="F34" s="275"/>
      <c r="G34" s="275"/>
    </row>
    <row r="35" spans="1:7" ht="10.35" customHeight="1">
      <c r="A35" s="275" t="s">
        <v>279</v>
      </c>
      <c r="B35" s="275"/>
      <c r="C35" s="275"/>
      <c r="D35" s="275"/>
      <c r="E35" s="275"/>
      <c r="F35" s="275"/>
      <c r="G35" s="275"/>
    </row>
    <row r="36" spans="1:7" ht="10.35" customHeight="1">
      <c r="A36" s="230" t="s">
        <v>379</v>
      </c>
      <c r="B36" s="230"/>
      <c r="C36" s="230"/>
      <c r="D36" s="230"/>
      <c r="E36" s="230"/>
      <c r="F36" s="230"/>
      <c r="G36" s="230"/>
    </row>
    <row r="85" spans="24:24" ht="17.100000000000001" customHeight="1">
      <c r="X85" s="272" t="s">
        <v>61</v>
      </c>
    </row>
  </sheetData>
  <phoneticPr fontId="10" type="noConversion"/>
  <pageMargins left="0.70866141732283472" right="0.70866141732283472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5"/>
  <dimension ref="A1:BS85"/>
  <sheetViews>
    <sheetView showGridLines="0" zoomScale="150" workbookViewId="0">
      <selection activeCell="X85" sqref="X85"/>
    </sheetView>
  </sheetViews>
  <sheetFormatPr baseColWidth="10" defaultColWidth="7" defaultRowHeight="17.100000000000001" customHeight="1"/>
  <cols>
    <col min="1" max="1" width="9.7109375" style="26" customWidth="1"/>
    <col min="2" max="2" width="6.42578125" style="26" customWidth="1"/>
    <col min="3" max="3" width="6.7109375" style="26" customWidth="1"/>
    <col min="4" max="4" width="5.7109375" style="26" customWidth="1"/>
    <col min="5" max="6" width="6.7109375" style="26" customWidth="1"/>
    <col min="7" max="8" width="6.28515625" style="26" customWidth="1"/>
    <col min="9" max="9" width="5.28515625" style="26" customWidth="1"/>
    <col min="10" max="10" width="5.7109375" style="26" customWidth="1"/>
    <col min="11" max="11" width="5.28515625" style="26" customWidth="1"/>
    <col min="12" max="12" width="6.140625" style="26" customWidth="1"/>
    <col min="13" max="13" width="10.140625" style="26" customWidth="1"/>
    <col min="14" max="15" width="6" style="26" customWidth="1"/>
    <col min="16" max="16" width="5.7109375" style="26" customWidth="1"/>
    <col min="17" max="17" width="6.7109375" style="26" customWidth="1"/>
    <col min="18" max="18" width="5.85546875" style="26" customWidth="1"/>
    <col min="19" max="19" width="6.140625" style="26" customWidth="1"/>
    <col min="20" max="20" width="6.7109375" style="26" customWidth="1"/>
    <col min="21" max="21" width="5.85546875" style="26" customWidth="1"/>
    <col min="22" max="22" width="6" style="26" customWidth="1"/>
    <col min="23" max="23" width="6.140625" style="26" customWidth="1"/>
    <col min="24" max="24" width="6.7109375" style="26" customWidth="1"/>
    <col min="25" max="25" width="10" style="26" customWidth="1"/>
    <col min="26" max="26" width="6.42578125" style="26" customWidth="1"/>
    <col min="27" max="27" width="6.28515625" style="26" customWidth="1"/>
    <col min="28" max="29" width="6.140625" style="26" customWidth="1"/>
    <col min="30" max="30" width="6.28515625" style="26" customWidth="1"/>
    <col min="31" max="31" width="6.7109375" style="26" customWidth="1"/>
    <col min="32" max="32" width="5.85546875" style="26" customWidth="1"/>
    <col min="33" max="35" width="6.7109375" style="26" customWidth="1"/>
    <col min="36" max="36" width="7" style="26"/>
    <col min="37" max="37" width="13.140625" style="26" customWidth="1"/>
    <col min="38" max="227" width="7" style="26"/>
    <col min="228" max="228" width="12" style="26" customWidth="1"/>
    <col min="229" max="229" width="6.140625" style="26" customWidth="1"/>
    <col min="230" max="230" width="8.28515625" style="26" customWidth="1"/>
    <col min="231" max="231" width="8.42578125" style="26" customWidth="1"/>
    <col min="232" max="232" width="7.7109375" style="26" customWidth="1"/>
    <col min="233" max="233" width="8.85546875" style="26" customWidth="1"/>
    <col min="234" max="234" width="6.28515625" style="26" customWidth="1"/>
    <col min="235" max="235" width="6.42578125" style="26" customWidth="1"/>
    <col min="236" max="237" width="6" style="26" customWidth="1"/>
    <col min="238" max="238" width="6.28515625" style="26" customWidth="1"/>
    <col min="239" max="239" width="4.85546875" style="26" customWidth="1"/>
    <col min="240" max="240" width="6.28515625" style="26" customWidth="1"/>
    <col min="241" max="241" width="6.85546875" style="26" customWidth="1"/>
    <col min="242" max="243" width="7" style="26" customWidth="1"/>
    <col min="244" max="244" width="6.85546875" style="26" customWidth="1"/>
    <col min="245" max="245" width="6.7109375" style="26" customWidth="1"/>
    <col min="246" max="246" width="5.42578125" style="26" customWidth="1"/>
    <col min="247" max="247" width="7" style="26" customWidth="1"/>
    <col min="248" max="248" width="7.42578125" style="26" customWidth="1"/>
    <col min="249" max="16384" width="7" style="26"/>
  </cols>
  <sheetData>
    <row r="1" spans="1:71" ht="16.350000000000001" customHeight="1">
      <c r="A1" s="294" t="s">
        <v>256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AK1" s="294" t="s">
        <v>256</v>
      </c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</row>
    <row r="2" spans="1:71" ht="11.1" customHeight="1">
      <c r="A2" s="21" t="s">
        <v>137</v>
      </c>
      <c r="B2" s="23"/>
      <c r="AK2" s="21" t="s">
        <v>49</v>
      </c>
      <c r="AL2" s="23"/>
    </row>
    <row r="3" spans="1:71" ht="13.5">
      <c r="A3" s="21" t="s">
        <v>172</v>
      </c>
      <c r="B3" s="23"/>
      <c r="M3" s="89" t="s">
        <v>361</v>
      </c>
      <c r="Y3" s="89" t="s">
        <v>361</v>
      </c>
      <c r="AK3" s="21" t="s">
        <v>439</v>
      </c>
      <c r="AL3" s="23"/>
      <c r="AW3" s="89" t="s">
        <v>361</v>
      </c>
      <c r="BI3" s="89" t="s">
        <v>361</v>
      </c>
    </row>
    <row r="4" spans="1:71" ht="2.1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</row>
    <row r="5" spans="1:71" ht="11.1" customHeight="1">
      <c r="A5" s="588" t="s">
        <v>433</v>
      </c>
      <c r="B5" s="588" t="s">
        <v>198</v>
      </c>
      <c r="C5" s="588" t="s">
        <v>48</v>
      </c>
      <c r="D5" s="588" t="s">
        <v>370</v>
      </c>
      <c r="E5" s="588" t="s">
        <v>458</v>
      </c>
      <c r="F5" s="588" t="s">
        <v>196</v>
      </c>
      <c r="G5" s="588" t="s">
        <v>397</v>
      </c>
      <c r="H5" s="588" t="s">
        <v>499</v>
      </c>
      <c r="I5" s="588" t="s">
        <v>448</v>
      </c>
      <c r="J5" s="588" t="s">
        <v>50</v>
      </c>
      <c r="K5" s="588" t="s">
        <v>385</v>
      </c>
      <c r="L5" s="588" t="s">
        <v>211</v>
      </c>
      <c r="M5" s="588" t="s">
        <v>433</v>
      </c>
      <c r="N5" s="588" t="s">
        <v>198</v>
      </c>
      <c r="O5" s="588" t="s">
        <v>497</v>
      </c>
      <c r="P5" s="588" t="s">
        <v>383</v>
      </c>
      <c r="Q5" s="588" t="s">
        <v>382</v>
      </c>
      <c r="R5" s="588" t="s">
        <v>375</v>
      </c>
      <c r="S5" s="588" t="s">
        <v>405</v>
      </c>
      <c r="T5" s="588" t="s">
        <v>398</v>
      </c>
      <c r="U5" s="588" t="s">
        <v>404</v>
      </c>
      <c r="V5" s="588" t="s">
        <v>203</v>
      </c>
      <c r="W5" s="588" t="s">
        <v>384</v>
      </c>
      <c r="X5" s="588" t="s">
        <v>252</v>
      </c>
      <c r="Y5" s="588" t="s">
        <v>433</v>
      </c>
      <c r="Z5" s="588" t="s">
        <v>198</v>
      </c>
      <c r="AA5" s="588" t="s">
        <v>429</v>
      </c>
      <c r="AB5" s="588" t="s">
        <v>459</v>
      </c>
      <c r="AC5" s="588" t="s">
        <v>460</v>
      </c>
      <c r="AD5" s="588" t="s">
        <v>461</v>
      </c>
      <c r="AE5" s="588" t="s">
        <v>462</v>
      </c>
      <c r="AF5" s="588" t="s">
        <v>430</v>
      </c>
      <c r="AG5" s="588" t="s">
        <v>431</v>
      </c>
      <c r="AH5" s="588" t="s">
        <v>432</v>
      </c>
      <c r="AI5" s="588" t="s">
        <v>402</v>
      </c>
      <c r="AK5" s="588" t="s">
        <v>433</v>
      </c>
      <c r="AL5" s="588" t="s">
        <v>198</v>
      </c>
      <c r="AM5" s="588" t="s">
        <v>523</v>
      </c>
      <c r="AN5" s="588" t="s">
        <v>370</v>
      </c>
      <c r="AO5" s="588" t="s">
        <v>458</v>
      </c>
      <c r="AP5" s="588" t="s">
        <v>196</v>
      </c>
      <c r="AQ5" s="588" t="s">
        <v>397</v>
      </c>
      <c r="AR5" s="588" t="s">
        <v>499</v>
      </c>
      <c r="AS5" s="588" t="s">
        <v>448</v>
      </c>
      <c r="AT5" s="588" t="s">
        <v>50</v>
      </c>
      <c r="AU5" s="588" t="s">
        <v>385</v>
      </c>
      <c r="AV5" s="588" t="s">
        <v>211</v>
      </c>
      <c r="AW5" s="588" t="s">
        <v>433</v>
      </c>
      <c r="AX5" s="588" t="s">
        <v>198</v>
      </c>
      <c r="AY5" s="588" t="s">
        <v>497</v>
      </c>
      <c r="AZ5" s="588" t="s">
        <v>383</v>
      </c>
      <c r="BA5" s="588" t="s">
        <v>382</v>
      </c>
      <c r="BB5" s="588" t="s">
        <v>375</v>
      </c>
      <c r="BC5" s="588" t="s">
        <v>405</v>
      </c>
      <c r="BD5" s="588" t="s">
        <v>398</v>
      </c>
      <c r="BE5" s="588" t="s">
        <v>404</v>
      </c>
      <c r="BF5" s="588" t="s">
        <v>203</v>
      </c>
      <c r="BG5" s="588" t="s">
        <v>384</v>
      </c>
      <c r="BH5" s="588" t="s">
        <v>252</v>
      </c>
      <c r="BI5" s="588" t="s">
        <v>433</v>
      </c>
      <c r="BJ5" s="588" t="s">
        <v>198</v>
      </c>
      <c r="BK5" s="588" t="s">
        <v>429</v>
      </c>
      <c r="BL5" s="588" t="s">
        <v>459</v>
      </c>
      <c r="BM5" s="588" t="s">
        <v>460</v>
      </c>
      <c r="BN5" s="588" t="s">
        <v>461</v>
      </c>
      <c r="BO5" s="588" t="s">
        <v>462</v>
      </c>
      <c r="BP5" s="588" t="s">
        <v>430</v>
      </c>
      <c r="BQ5" s="588" t="s">
        <v>431</v>
      </c>
      <c r="BR5" s="588" t="s">
        <v>432</v>
      </c>
      <c r="BS5" s="588" t="s">
        <v>402</v>
      </c>
    </row>
    <row r="6" spans="1:71" ht="11.1" customHeight="1">
      <c r="A6" s="588"/>
      <c r="B6" s="589"/>
      <c r="C6" s="589"/>
      <c r="D6" s="589"/>
      <c r="E6" s="589"/>
      <c r="F6" s="589"/>
      <c r="G6" s="589"/>
      <c r="H6" s="589"/>
      <c r="I6" s="589"/>
      <c r="J6" s="589"/>
      <c r="K6" s="589"/>
      <c r="L6" s="589"/>
      <c r="M6" s="589"/>
      <c r="N6" s="589"/>
      <c r="O6" s="589"/>
      <c r="P6" s="589"/>
      <c r="Q6" s="589"/>
      <c r="R6" s="589"/>
      <c r="S6" s="589"/>
      <c r="T6" s="589"/>
      <c r="U6" s="589"/>
      <c r="V6" s="589"/>
      <c r="W6" s="589"/>
      <c r="X6" s="589"/>
      <c r="Y6" s="589"/>
      <c r="Z6" s="589"/>
      <c r="AA6" s="589"/>
      <c r="AB6" s="589"/>
      <c r="AC6" s="589"/>
      <c r="AD6" s="589"/>
      <c r="AE6" s="589"/>
      <c r="AF6" s="589"/>
      <c r="AG6" s="589"/>
      <c r="AH6" s="589"/>
      <c r="AI6" s="589"/>
      <c r="AK6" s="588"/>
      <c r="AL6" s="589"/>
      <c r="AM6" s="589"/>
      <c r="AN6" s="589"/>
      <c r="AO6" s="589"/>
      <c r="AP6" s="589"/>
      <c r="AQ6" s="589"/>
      <c r="AR6" s="589"/>
      <c r="AS6" s="589"/>
      <c r="AT6" s="589"/>
      <c r="AU6" s="589"/>
      <c r="AV6" s="589"/>
      <c r="AW6" s="589"/>
      <c r="AX6" s="589"/>
      <c r="AY6" s="589"/>
      <c r="AZ6" s="589"/>
      <c r="BA6" s="589"/>
      <c r="BB6" s="589"/>
      <c r="BC6" s="589"/>
      <c r="BD6" s="589"/>
      <c r="BE6" s="589"/>
      <c r="BF6" s="589"/>
      <c r="BG6" s="589"/>
      <c r="BH6" s="589"/>
      <c r="BI6" s="589"/>
      <c r="BJ6" s="589"/>
      <c r="BK6" s="589"/>
      <c r="BL6" s="589"/>
      <c r="BM6" s="589"/>
      <c r="BN6" s="589"/>
      <c r="BO6" s="589"/>
      <c r="BP6" s="589"/>
      <c r="BQ6" s="589"/>
      <c r="BR6" s="589"/>
      <c r="BS6" s="589"/>
    </row>
    <row r="7" spans="1:71" ht="12" customHeight="1">
      <c r="A7" s="590" t="s">
        <v>139</v>
      </c>
      <c r="B7" s="435" t="s">
        <v>173</v>
      </c>
      <c r="C7" s="503">
        <v>1398917.3670000001</v>
      </c>
      <c r="D7" s="499">
        <v>43433.3</v>
      </c>
      <c r="E7" s="499">
        <v>117770.65700000001</v>
      </c>
      <c r="F7" s="499">
        <v>218669.5</v>
      </c>
      <c r="G7" s="499">
        <v>163619.22999999998</v>
      </c>
      <c r="H7" s="499">
        <v>94503.5</v>
      </c>
      <c r="I7" s="499">
        <v>63458</v>
      </c>
      <c r="J7" s="499">
        <v>2659.05</v>
      </c>
      <c r="K7" s="499">
        <v>495</v>
      </c>
      <c r="L7" s="499">
        <v>746.55000000000007</v>
      </c>
      <c r="M7" s="590" t="s">
        <v>471</v>
      </c>
      <c r="N7" s="435" t="s">
        <v>173</v>
      </c>
      <c r="O7" s="499">
        <v>1895.25</v>
      </c>
      <c r="P7" s="499">
        <v>4287.95</v>
      </c>
      <c r="Q7" s="499">
        <v>3914.2</v>
      </c>
      <c r="R7" s="499">
        <v>2080.7200000000003</v>
      </c>
      <c r="S7" s="499">
        <v>5985.8</v>
      </c>
      <c r="T7" s="499">
        <v>269690.3</v>
      </c>
      <c r="U7" s="499">
        <v>56869.4</v>
      </c>
      <c r="V7" s="499">
        <v>6315.05</v>
      </c>
      <c r="W7" s="499">
        <v>14445.35</v>
      </c>
      <c r="X7" s="499">
        <v>26523.1</v>
      </c>
      <c r="Y7" s="590" t="s">
        <v>471</v>
      </c>
      <c r="Z7" s="435" t="s">
        <v>173</v>
      </c>
      <c r="AA7" s="499">
        <v>2434</v>
      </c>
      <c r="AB7" s="499">
        <v>44811.45</v>
      </c>
      <c r="AC7" s="499">
        <v>937.3</v>
      </c>
      <c r="AD7" s="499">
        <v>68631.75</v>
      </c>
      <c r="AE7" s="499">
        <v>35974.21</v>
      </c>
      <c r="AF7" s="499">
        <v>14514.5</v>
      </c>
      <c r="AG7" s="499">
        <v>17917</v>
      </c>
      <c r="AH7" s="499">
        <v>102742.25</v>
      </c>
      <c r="AI7" s="499">
        <v>13593</v>
      </c>
      <c r="AK7" s="590" t="s">
        <v>139</v>
      </c>
      <c r="AL7" s="435" t="s">
        <v>173</v>
      </c>
      <c r="AM7" s="235">
        <v>241093.19999999998</v>
      </c>
      <c r="AN7" s="235">
        <v>23927.8</v>
      </c>
      <c r="AO7" s="235">
        <v>11453.5</v>
      </c>
      <c r="AP7" s="235">
        <v>19837</v>
      </c>
      <c r="AQ7" s="235">
        <v>35895.9</v>
      </c>
      <c r="AR7" s="235">
        <v>32021.5</v>
      </c>
      <c r="AS7" s="235">
        <v>4365.5</v>
      </c>
      <c r="AT7" s="235">
        <v>194.1</v>
      </c>
      <c r="AU7" s="235">
        <v>0</v>
      </c>
      <c r="AV7" s="235">
        <v>49.5</v>
      </c>
      <c r="AW7" s="590" t="s">
        <v>471</v>
      </c>
      <c r="AX7" s="435" t="s">
        <v>173</v>
      </c>
      <c r="AY7" s="235">
        <v>313.2</v>
      </c>
      <c r="AZ7" s="235">
        <v>496.25</v>
      </c>
      <c r="BA7" s="235">
        <v>543.79999999999995</v>
      </c>
      <c r="BB7" s="235">
        <v>262</v>
      </c>
      <c r="BC7" s="235">
        <v>1004.5</v>
      </c>
      <c r="BD7" s="235">
        <v>20347.5</v>
      </c>
      <c r="BE7" s="235">
        <v>8986.65</v>
      </c>
      <c r="BF7" s="235">
        <v>1152.6500000000001</v>
      </c>
      <c r="BG7" s="235">
        <v>511</v>
      </c>
      <c r="BH7" s="235">
        <v>1041</v>
      </c>
      <c r="BI7" s="590" t="s">
        <v>471</v>
      </c>
      <c r="BJ7" s="435" t="s">
        <v>173</v>
      </c>
      <c r="BK7" s="235">
        <v>174</v>
      </c>
      <c r="BL7" s="235">
        <v>8513</v>
      </c>
      <c r="BM7" s="235">
        <v>55</v>
      </c>
      <c r="BN7" s="235">
        <v>5063.5</v>
      </c>
      <c r="BO7" s="235">
        <v>6080.35</v>
      </c>
      <c r="BP7" s="235">
        <v>2755.5</v>
      </c>
      <c r="BQ7" s="235">
        <v>11015</v>
      </c>
      <c r="BR7" s="235">
        <v>43540.5</v>
      </c>
      <c r="BS7" s="235">
        <v>1493</v>
      </c>
    </row>
    <row r="8" spans="1:71" ht="12" customHeight="1">
      <c r="A8" s="591"/>
      <c r="B8" s="231" t="s">
        <v>174</v>
      </c>
      <c r="C8" s="504">
        <v>1386117.6600000001</v>
      </c>
      <c r="D8" s="500">
        <v>42409</v>
      </c>
      <c r="E8" s="500">
        <v>125781.05</v>
      </c>
      <c r="F8" s="500">
        <v>213683.3</v>
      </c>
      <c r="G8" s="500">
        <v>188211.6</v>
      </c>
      <c r="H8" s="500">
        <v>88725</v>
      </c>
      <c r="I8" s="500">
        <v>63892.1</v>
      </c>
      <c r="J8" s="500">
        <v>1958.85</v>
      </c>
      <c r="K8" s="500">
        <v>167</v>
      </c>
      <c r="L8" s="500">
        <v>281.25</v>
      </c>
      <c r="M8" s="591"/>
      <c r="N8" s="231" t="s">
        <v>174</v>
      </c>
      <c r="O8" s="500">
        <v>1928.05</v>
      </c>
      <c r="P8" s="500">
        <v>4538.5</v>
      </c>
      <c r="Q8" s="500">
        <v>3905.25</v>
      </c>
      <c r="R8" s="500">
        <v>2124.3000000000002</v>
      </c>
      <c r="S8" s="500">
        <v>6122.15</v>
      </c>
      <c r="T8" s="500">
        <v>263246.55</v>
      </c>
      <c r="U8" s="500">
        <v>58838.400000000001</v>
      </c>
      <c r="V8" s="500">
        <v>6279.65</v>
      </c>
      <c r="W8" s="500">
        <v>13055</v>
      </c>
      <c r="X8" s="500">
        <v>23531.550000000003</v>
      </c>
      <c r="Y8" s="591"/>
      <c r="Z8" s="231" t="s">
        <v>174</v>
      </c>
      <c r="AA8" s="500">
        <v>3377.5</v>
      </c>
      <c r="AB8" s="500">
        <v>46277</v>
      </c>
      <c r="AC8" s="500">
        <v>666</v>
      </c>
      <c r="AD8" s="500">
        <v>60798.85</v>
      </c>
      <c r="AE8" s="500">
        <v>32935.75</v>
      </c>
      <c r="AF8" s="500">
        <v>14639.5</v>
      </c>
      <c r="AG8" s="500">
        <v>17872.5</v>
      </c>
      <c r="AH8" s="500">
        <v>97110.51</v>
      </c>
      <c r="AI8" s="500">
        <v>3761.5</v>
      </c>
      <c r="AK8" s="591"/>
      <c r="AL8" s="231" t="s">
        <v>174</v>
      </c>
      <c r="AM8" s="420">
        <v>248163.80000000002</v>
      </c>
      <c r="AN8" s="420">
        <v>23863.5</v>
      </c>
      <c r="AO8" s="420">
        <v>13422.9</v>
      </c>
      <c r="AP8" s="420">
        <v>22502.5</v>
      </c>
      <c r="AQ8" s="420">
        <v>40794.400000000001</v>
      </c>
      <c r="AR8" s="420">
        <v>32611.5</v>
      </c>
      <c r="AS8" s="420">
        <v>4333.5</v>
      </c>
      <c r="AT8" s="420">
        <v>221.7</v>
      </c>
      <c r="AU8" s="420">
        <v>0</v>
      </c>
      <c r="AV8" s="420">
        <v>78</v>
      </c>
      <c r="AW8" s="591"/>
      <c r="AX8" s="231" t="s">
        <v>174</v>
      </c>
      <c r="AY8" s="420">
        <v>313.5</v>
      </c>
      <c r="AZ8" s="420">
        <v>666.75</v>
      </c>
      <c r="BA8" s="420">
        <v>571.75</v>
      </c>
      <c r="BB8" s="420">
        <v>204</v>
      </c>
      <c r="BC8" s="420">
        <v>593.20000000000005</v>
      </c>
      <c r="BD8" s="420">
        <v>16091</v>
      </c>
      <c r="BE8" s="420">
        <v>9226.25</v>
      </c>
      <c r="BF8" s="420">
        <v>1134.0999999999999</v>
      </c>
      <c r="BG8" s="420">
        <v>484.5</v>
      </c>
      <c r="BH8" s="420">
        <v>1110.5</v>
      </c>
      <c r="BI8" s="591"/>
      <c r="BJ8" s="231" t="s">
        <v>174</v>
      </c>
      <c r="BK8" s="420">
        <v>203</v>
      </c>
      <c r="BL8" s="420">
        <v>12989.5</v>
      </c>
      <c r="BM8" s="420">
        <v>52</v>
      </c>
      <c r="BN8" s="420">
        <v>5174.75</v>
      </c>
      <c r="BO8" s="420">
        <v>6591.5</v>
      </c>
      <c r="BP8" s="420">
        <v>2790.5</v>
      </c>
      <c r="BQ8" s="420">
        <v>8903</v>
      </c>
      <c r="BR8" s="420">
        <v>43068.5</v>
      </c>
      <c r="BS8" s="420">
        <v>167.5</v>
      </c>
    </row>
    <row r="9" spans="1:71" ht="11.1" customHeight="1">
      <c r="A9" s="14" t="s">
        <v>349</v>
      </c>
      <c r="B9" s="24" t="s">
        <v>376</v>
      </c>
      <c r="C9" s="505">
        <v>41665.699999999997</v>
      </c>
      <c r="D9" s="501">
        <v>0</v>
      </c>
      <c r="E9" s="501">
        <v>1813</v>
      </c>
      <c r="F9" s="501">
        <v>8066.5</v>
      </c>
      <c r="G9" s="501">
        <v>18042</v>
      </c>
      <c r="H9" s="501">
        <v>0</v>
      </c>
      <c r="I9" s="501">
        <v>0</v>
      </c>
      <c r="J9" s="501">
        <v>24.5</v>
      </c>
      <c r="K9" s="501">
        <v>0</v>
      </c>
      <c r="L9" s="501">
        <v>0</v>
      </c>
      <c r="M9" s="14" t="s">
        <v>349</v>
      </c>
      <c r="N9" s="24" t="s">
        <v>376</v>
      </c>
      <c r="O9" s="501">
        <v>33.300000000000004</v>
      </c>
      <c r="P9" s="501">
        <v>24.5</v>
      </c>
      <c r="Q9" s="501">
        <v>98.2</v>
      </c>
      <c r="R9" s="501">
        <v>1</v>
      </c>
      <c r="S9" s="501">
        <v>2</v>
      </c>
      <c r="T9" s="501">
        <v>1371.5</v>
      </c>
      <c r="U9" s="501">
        <v>5494</v>
      </c>
      <c r="V9" s="501">
        <v>18.5</v>
      </c>
      <c r="W9" s="501">
        <v>39.5</v>
      </c>
      <c r="X9" s="501">
        <v>175</v>
      </c>
      <c r="Y9" s="14" t="s">
        <v>349</v>
      </c>
      <c r="Z9" s="24" t="s">
        <v>376</v>
      </c>
      <c r="AA9" s="501">
        <v>0</v>
      </c>
      <c r="AB9" s="501">
        <v>5977.2</v>
      </c>
      <c r="AC9" s="501">
        <v>0</v>
      </c>
      <c r="AD9" s="501">
        <v>247</v>
      </c>
      <c r="AE9" s="501">
        <v>238</v>
      </c>
      <c r="AF9" s="501">
        <v>0</v>
      </c>
      <c r="AG9" s="501">
        <v>0</v>
      </c>
      <c r="AH9" s="501">
        <v>0</v>
      </c>
      <c r="AI9" s="501">
        <v>0</v>
      </c>
      <c r="AK9" s="14" t="s">
        <v>349</v>
      </c>
      <c r="AL9" s="24" t="s">
        <v>376</v>
      </c>
      <c r="AM9" s="263">
        <v>6963</v>
      </c>
      <c r="AN9" s="233">
        <v>0</v>
      </c>
      <c r="AO9" s="233">
        <v>267</v>
      </c>
      <c r="AP9" s="233">
        <v>1286</v>
      </c>
      <c r="AQ9" s="233">
        <v>3427</v>
      </c>
      <c r="AR9" s="233">
        <v>0</v>
      </c>
      <c r="AS9" s="233">
        <v>0</v>
      </c>
      <c r="AT9" s="233">
        <v>5</v>
      </c>
      <c r="AU9" s="233">
        <v>0</v>
      </c>
      <c r="AV9" s="233">
        <v>0</v>
      </c>
      <c r="AW9" s="14" t="s">
        <v>349</v>
      </c>
      <c r="AX9" s="24" t="s">
        <v>376</v>
      </c>
      <c r="AY9" s="233">
        <v>7.7</v>
      </c>
      <c r="AZ9" s="233">
        <v>1</v>
      </c>
      <c r="BA9" s="233">
        <v>16.8</v>
      </c>
      <c r="BB9" s="233">
        <v>0</v>
      </c>
      <c r="BC9" s="233">
        <v>1</v>
      </c>
      <c r="BD9" s="233">
        <v>270.5</v>
      </c>
      <c r="BE9" s="233">
        <v>968</v>
      </c>
      <c r="BF9" s="233">
        <v>1.5</v>
      </c>
      <c r="BG9" s="233">
        <v>3</v>
      </c>
      <c r="BH9" s="233">
        <v>27</v>
      </c>
      <c r="BI9" s="14" t="s">
        <v>349</v>
      </c>
      <c r="BJ9" s="24" t="s">
        <v>376</v>
      </c>
      <c r="BK9" s="233">
        <v>0</v>
      </c>
      <c r="BL9" s="233">
        <v>623</v>
      </c>
      <c r="BM9" s="233">
        <v>0</v>
      </c>
      <c r="BN9" s="233">
        <v>39.5</v>
      </c>
      <c r="BO9" s="233">
        <v>19</v>
      </c>
      <c r="BP9" s="233">
        <v>0</v>
      </c>
      <c r="BQ9" s="233">
        <v>0</v>
      </c>
      <c r="BR9" s="233">
        <v>0</v>
      </c>
      <c r="BS9" s="233">
        <v>0</v>
      </c>
    </row>
    <row r="10" spans="1:71" ht="11.1" customHeight="1">
      <c r="A10" s="14"/>
      <c r="B10" s="24" t="s">
        <v>312</v>
      </c>
      <c r="C10" s="505">
        <v>47213.5</v>
      </c>
      <c r="D10" s="501">
        <v>0</v>
      </c>
      <c r="E10" s="501">
        <v>5461</v>
      </c>
      <c r="F10" s="501">
        <v>8153.5</v>
      </c>
      <c r="G10" s="501">
        <v>18237</v>
      </c>
      <c r="H10" s="501">
        <v>0</v>
      </c>
      <c r="I10" s="501">
        <v>0</v>
      </c>
      <c r="J10" s="501">
        <v>13.5</v>
      </c>
      <c r="K10" s="501">
        <v>0</v>
      </c>
      <c r="L10" s="501">
        <v>0</v>
      </c>
      <c r="M10" s="14"/>
      <c r="N10" s="24" t="s">
        <v>312</v>
      </c>
      <c r="O10" s="501">
        <v>65.5</v>
      </c>
      <c r="P10" s="501">
        <v>71.5</v>
      </c>
      <c r="Q10" s="501">
        <v>125</v>
      </c>
      <c r="R10" s="501">
        <v>0</v>
      </c>
      <c r="S10" s="501">
        <v>1</v>
      </c>
      <c r="T10" s="501">
        <v>1167.5</v>
      </c>
      <c r="U10" s="501">
        <v>5339</v>
      </c>
      <c r="V10" s="501">
        <v>19.5</v>
      </c>
      <c r="W10" s="501">
        <v>38</v>
      </c>
      <c r="X10" s="501">
        <v>126</v>
      </c>
      <c r="Y10" s="14"/>
      <c r="Z10" s="24" t="s">
        <v>312</v>
      </c>
      <c r="AA10" s="501">
        <v>0</v>
      </c>
      <c r="AB10" s="501">
        <v>7978</v>
      </c>
      <c r="AC10" s="501">
        <v>0</v>
      </c>
      <c r="AD10" s="501">
        <v>235</v>
      </c>
      <c r="AE10" s="501">
        <v>182.5</v>
      </c>
      <c r="AF10" s="501">
        <v>0</v>
      </c>
      <c r="AG10" s="501">
        <v>0</v>
      </c>
      <c r="AH10" s="501">
        <v>0</v>
      </c>
      <c r="AI10" s="501">
        <v>0</v>
      </c>
      <c r="AK10" s="14"/>
      <c r="AL10" s="24" t="s">
        <v>312</v>
      </c>
      <c r="AM10" s="263">
        <v>15193.5</v>
      </c>
      <c r="AN10" s="233">
        <v>0</v>
      </c>
      <c r="AO10" s="233">
        <v>1168.5</v>
      </c>
      <c r="AP10" s="233">
        <v>4510</v>
      </c>
      <c r="AQ10" s="233">
        <v>3744</v>
      </c>
      <c r="AR10" s="233">
        <v>0</v>
      </c>
      <c r="AS10" s="233">
        <v>0</v>
      </c>
      <c r="AT10" s="233">
        <v>2</v>
      </c>
      <c r="AU10" s="233">
        <v>0</v>
      </c>
      <c r="AV10" s="233">
        <v>0</v>
      </c>
      <c r="AW10" s="14"/>
      <c r="AX10" s="24" t="s">
        <v>312</v>
      </c>
      <c r="AY10" s="233">
        <v>12</v>
      </c>
      <c r="AZ10" s="233">
        <v>5.5</v>
      </c>
      <c r="BA10" s="233">
        <v>20</v>
      </c>
      <c r="BB10" s="233">
        <v>0</v>
      </c>
      <c r="BC10" s="233">
        <v>0</v>
      </c>
      <c r="BD10" s="233">
        <v>291</v>
      </c>
      <c r="BE10" s="233">
        <v>971</v>
      </c>
      <c r="BF10" s="233">
        <v>0</v>
      </c>
      <c r="BG10" s="233">
        <v>4</v>
      </c>
      <c r="BH10" s="233">
        <v>17</v>
      </c>
      <c r="BI10" s="14"/>
      <c r="BJ10" s="24" t="s">
        <v>312</v>
      </c>
      <c r="BK10" s="233">
        <v>0</v>
      </c>
      <c r="BL10" s="233">
        <v>4373</v>
      </c>
      <c r="BM10" s="233">
        <v>0</v>
      </c>
      <c r="BN10" s="233">
        <v>48.5</v>
      </c>
      <c r="BO10" s="233">
        <v>27</v>
      </c>
      <c r="BP10" s="233">
        <v>0</v>
      </c>
      <c r="BQ10" s="233">
        <v>0</v>
      </c>
      <c r="BR10" s="233">
        <v>0</v>
      </c>
      <c r="BS10" s="233">
        <v>0</v>
      </c>
    </row>
    <row r="11" spans="1:71" ht="11.1" customHeight="1">
      <c r="A11" s="14" t="s">
        <v>350</v>
      </c>
      <c r="B11" s="24" t="s">
        <v>376</v>
      </c>
      <c r="C11" s="505">
        <v>37946</v>
      </c>
      <c r="D11" s="501">
        <v>2400</v>
      </c>
      <c r="E11" s="501">
        <v>7294</v>
      </c>
      <c r="F11" s="501">
        <v>8016</v>
      </c>
      <c r="G11" s="501">
        <v>5260</v>
      </c>
      <c r="H11" s="501">
        <v>1411</v>
      </c>
      <c r="I11" s="501">
        <v>112</v>
      </c>
      <c r="J11" s="501">
        <v>53</v>
      </c>
      <c r="K11" s="501">
        <v>0</v>
      </c>
      <c r="L11" s="501">
        <v>0</v>
      </c>
      <c r="M11" s="14" t="s">
        <v>350</v>
      </c>
      <c r="N11" s="24" t="s">
        <v>376</v>
      </c>
      <c r="O11" s="501">
        <v>140</v>
      </c>
      <c r="P11" s="501">
        <v>114</v>
      </c>
      <c r="Q11" s="501">
        <v>40</v>
      </c>
      <c r="R11" s="501">
        <v>10</v>
      </c>
      <c r="S11" s="501">
        <v>80</v>
      </c>
      <c r="T11" s="501">
        <v>8061</v>
      </c>
      <c r="U11" s="501">
        <v>58</v>
      </c>
      <c r="V11" s="501">
        <v>349</v>
      </c>
      <c r="W11" s="501">
        <v>300</v>
      </c>
      <c r="X11" s="501">
        <v>506</v>
      </c>
      <c r="Y11" s="14" t="s">
        <v>350</v>
      </c>
      <c r="Z11" s="24" t="s">
        <v>376</v>
      </c>
      <c r="AA11" s="501">
        <v>35</v>
      </c>
      <c r="AB11" s="501">
        <v>607</v>
      </c>
      <c r="AC11" s="501">
        <v>0</v>
      </c>
      <c r="AD11" s="501">
        <v>1147</v>
      </c>
      <c r="AE11" s="501">
        <v>806</v>
      </c>
      <c r="AF11" s="501">
        <v>219</v>
      </c>
      <c r="AG11" s="501">
        <v>0</v>
      </c>
      <c r="AH11" s="501">
        <v>0</v>
      </c>
      <c r="AI11" s="501">
        <v>928</v>
      </c>
      <c r="AK11" s="14" t="s">
        <v>350</v>
      </c>
      <c r="AL11" s="24" t="s">
        <v>376</v>
      </c>
      <c r="AM11" s="263">
        <v>9966</v>
      </c>
      <c r="AN11" s="233">
        <v>2375</v>
      </c>
      <c r="AO11" s="233">
        <v>1210</v>
      </c>
      <c r="AP11" s="233">
        <v>2098</v>
      </c>
      <c r="AQ11" s="233">
        <v>1230</v>
      </c>
      <c r="AR11" s="233">
        <v>1385</v>
      </c>
      <c r="AS11" s="233">
        <v>54</v>
      </c>
      <c r="AT11" s="233">
        <v>5</v>
      </c>
      <c r="AU11" s="233">
        <v>0</v>
      </c>
      <c r="AV11" s="233">
        <v>0</v>
      </c>
      <c r="AW11" s="14" t="s">
        <v>350</v>
      </c>
      <c r="AX11" s="24" t="s">
        <v>376</v>
      </c>
      <c r="AY11" s="233">
        <v>28</v>
      </c>
      <c r="AZ11" s="233">
        <v>18</v>
      </c>
      <c r="BA11" s="233">
        <v>11</v>
      </c>
      <c r="BB11" s="233">
        <v>0</v>
      </c>
      <c r="BC11" s="233">
        <v>11</v>
      </c>
      <c r="BD11" s="233">
        <v>396</v>
      </c>
      <c r="BE11" s="233">
        <v>16</v>
      </c>
      <c r="BF11" s="233">
        <v>67</v>
      </c>
      <c r="BG11" s="233">
        <v>9</v>
      </c>
      <c r="BH11" s="233">
        <v>30</v>
      </c>
      <c r="BI11" s="14" t="s">
        <v>350</v>
      </c>
      <c r="BJ11" s="24" t="s">
        <v>376</v>
      </c>
      <c r="BK11" s="233">
        <v>5</v>
      </c>
      <c r="BL11" s="233">
        <v>304</v>
      </c>
      <c r="BM11" s="233">
        <v>0</v>
      </c>
      <c r="BN11" s="233">
        <v>149</v>
      </c>
      <c r="BO11" s="233">
        <v>362</v>
      </c>
      <c r="BP11" s="233">
        <v>43</v>
      </c>
      <c r="BQ11" s="233">
        <v>0</v>
      </c>
      <c r="BR11" s="233">
        <v>0</v>
      </c>
      <c r="BS11" s="233">
        <v>160</v>
      </c>
    </row>
    <row r="12" spans="1:71" ht="11.1" customHeight="1">
      <c r="A12" s="14"/>
      <c r="B12" s="24" t="s">
        <v>312</v>
      </c>
      <c r="C12" s="505">
        <v>34110</v>
      </c>
      <c r="D12" s="501">
        <v>2497</v>
      </c>
      <c r="E12" s="501">
        <v>5075</v>
      </c>
      <c r="F12" s="501">
        <v>7184</v>
      </c>
      <c r="G12" s="501">
        <v>5790</v>
      </c>
      <c r="H12" s="501">
        <v>1461</v>
      </c>
      <c r="I12" s="501">
        <v>82</v>
      </c>
      <c r="J12" s="501">
        <v>33</v>
      </c>
      <c r="K12" s="501">
        <v>0</v>
      </c>
      <c r="L12" s="501">
        <v>0</v>
      </c>
      <c r="M12" s="14"/>
      <c r="N12" s="24" t="s">
        <v>312</v>
      </c>
      <c r="O12" s="501">
        <v>83</v>
      </c>
      <c r="P12" s="501">
        <v>96</v>
      </c>
      <c r="Q12" s="501">
        <v>44</v>
      </c>
      <c r="R12" s="501">
        <v>15</v>
      </c>
      <c r="S12" s="501">
        <v>77</v>
      </c>
      <c r="T12" s="501">
        <v>8068</v>
      </c>
      <c r="U12" s="501">
        <v>77</v>
      </c>
      <c r="V12" s="501">
        <v>313</v>
      </c>
      <c r="W12" s="501">
        <v>248</v>
      </c>
      <c r="X12" s="501">
        <v>460</v>
      </c>
      <c r="Y12" s="14"/>
      <c r="Z12" s="24" t="s">
        <v>312</v>
      </c>
      <c r="AA12" s="501">
        <v>153</v>
      </c>
      <c r="AB12" s="501">
        <v>396</v>
      </c>
      <c r="AC12" s="501">
        <v>60</v>
      </c>
      <c r="AD12" s="501">
        <v>843</v>
      </c>
      <c r="AE12" s="501">
        <v>738</v>
      </c>
      <c r="AF12" s="501">
        <v>257</v>
      </c>
      <c r="AG12" s="501">
        <v>0</v>
      </c>
      <c r="AH12" s="501">
        <v>0</v>
      </c>
      <c r="AI12" s="501">
        <v>60</v>
      </c>
      <c r="AK12" s="14"/>
      <c r="AL12" s="24" t="s">
        <v>312</v>
      </c>
      <c r="AM12" s="263">
        <v>9983</v>
      </c>
      <c r="AN12" s="233">
        <v>2363</v>
      </c>
      <c r="AO12" s="233">
        <v>465</v>
      </c>
      <c r="AP12" s="233">
        <v>1923</v>
      </c>
      <c r="AQ12" s="233">
        <v>1980</v>
      </c>
      <c r="AR12" s="233">
        <v>1356</v>
      </c>
      <c r="AS12" s="233">
        <v>47</v>
      </c>
      <c r="AT12" s="233">
        <v>3</v>
      </c>
      <c r="AU12" s="233">
        <v>0</v>
      </c>
      <c r="AV12" s="233">
        <v>0</v>
      </c>
      <c r="AW12" s="14"/>
      <c r="AX12" s="24" t="s">
        <v>312</v>
      </c>
      <c r="AY12" s="233">
        <v>18</v>
      </c>
      <c r="AZ12" s="233">
        <v>17</v>
      </c>
      <c r="BA12" s="233">
        <v>7</v>
      </c>
      <c r="BB12" s="233">
        <v>0</v>
      </c>
      <c r="BC12" s="233">
        <v>9</v>
      </c>
      <c r="BD12" s="233">
        <v>785</v>
      </c>
      <c r="BE12" s="233">
        <v>24</v>
      </c>
      <c r="BF12" s="233">
        <v>63</v>
      </c>
      <c r="BG12" s="233">
        <v>22</v>
      </c>
      <c r="BH12" s="233">
        <v>58</v>
      </c>
      <c r="BI12" s="14"/>
      <c r="BJ12" s="24" t="s">
        <v>312</v>
      </c>
      <c r="BK12" s="233">
        <v>3</v>
      </c>
      <c r="BL12" s="233">
        <v>145</v>
      </c>
      <c r="BM12" s="233">
        <v>10</v>
      </c>
      <c r="BN12" s="233">
        <v>161</v>
      </c>
      <c r="BO12" s="233">
        <v>485</v>
      </c>
      <c r="BP12" s="233">
        <v>39</v>
      </c>
      <c r="BQ12" s="233">
        <v>0</v>
      </c>
      <c r="BR12" s="233">
        <v>0</v>
      </c>
      <c r="BS12" s="233">
        <v>0</v>
      </c>
    </row>
    <row r="13" spans="1:71" ht="11.1" customHeight="1">
      <c r="A13" s="14" t="s">
        <v>51</v>
      </c>
      <c r="B13" s="24" t="s">
        <v>376</v>
      </c>
      <c r="C13" s="505">
        <v>78294.600000000006</v>
      </c>
      <c r="D13" s="501">
        <v>2273</v>
      </c>
      <c r="E13" s="501">
        <v>1517</v>
      </c>
      <c r="F13" s="501">
        <v>26147</v>
      </c>
      <c r="G13" s="501">
        <v>0</v>
      </c>
      <c r="H13" s="501">
        <v>3736</v>
      </c>
      <c r="I13" s="501">
        <v>5139</v>
      </c>
      <c r="J13" s="501">
        <v>10</v>
      </c>
      <c r="K13" s="501">
        <v>0</v>
      </c>
      <c r="L13" s="501">
        <v>0</v>
      </c>
      <c r="M13" s="14" t="s">
        <v>51</v>
      </c>
      <c r="N13" s="24" t="s">
        <v>376</v>
      </c>
      <c r="O13" s="501">
        <v>41.5</v>
      </c>
      <c r="P13" s="501">
        <v>211.5</v>
      </c>
      <c r="Q13" s="501">
        <v>123</v>
      </c>
      <c r="R13" s="501">
        <v>62</v>
      </c>
      <c r="S13" s="501">
        <v>112</v>
      </c>
      <c r="T13" s="501">
        <v>23164.5</v>
      </c>
      <c r="U13" s="501">
        <v>48</v>
      </c>
      <c r="V13" s="501">
        <v>75</v>
      </c>
      <c r="W13" s="501">
        <v>1624</v>
      </c>
      <c r="X13" s="501">
        <v>2737</v>
      </c>
      <c r="Y13" s="14" t="s">
        <v>9</v>
      </c>
      <c r="Z13" s="24" t="s">
        <v>376</v>
      </c>
      <c r="AA13" s="501">
        <v>0</v>
      </c>
      <c r="AB13" s="501">
        <v>2687</v>
      </c>
      <c r="AC13" s="501">
        <v>1</v>
      </c>
      <c r="AD13" s="501">
        <v>5484</v>
      </c>
      <c r="AE13" s="501">
        <v>2059.1</v>
      </c>
      <c r="AF13" s="501">
        <v>0</v>
      </c>
      <c r="AG13" s="501">
        <v>415</v>
      </c>
      <c r="AH13" s="501">
        <v>628</v>
      </c>
      <c r="AI13" s="501">
        <v>0</v>
      </c>
      <c r="AK13" s="14" t="s">
        <v>51</v>
      </c>
      <c r="AL13" s="24" t="s">
        <v>376</v>
      </c>
      <c r="AM13" s="263">
        <v>9583.5</v>
      </c>
      <c r="AN13" s="233">
        <v>1214</v>
      </c>
      <c r="AO13" s="233">
        <v>485.5</v>
      </c>
      <c r="AP13" s="233">
        <v>804</v>
      </c>
      <c r="AQ13" s="233">
        <v>0</v>
      </c>
      <c r="AR13" s="233">
        <v>1290</v>
      </c>
      <c r="AS13" s="233">
        <v>916</v>
      </c>
      <c r="AT13" s="233">
        <v>3</v>
      </c>
      <c r="AU13" s="233">
        <v>0</v>
      </c>
      <c r="AV13" s="233">
        <v>0</v>
      </c>
      <c r="AW13" s="14" t="s">
        <v>51</v>
      </c>
      <c r="AX13" s="24" t="s">
        <v>376</v>
      </c>
      <c r="AY13" s="233">
        <v>5</v>
      </c>
      <c r="AZ13" s="233">
        <v>32</v>
      </c>
      <c r="BA13" s="233">
        <v>5</v>
      </c>
      <c r="BB13" s="233">
        <v>3</v>
      </c>
      <c r="BC13" s="233">
        <v>12</v>
      </c>
      <c r="BD13" s="233">
        <v>2078</v>
      </c>
      <c r="BE13" s="233">
        <v>9</v>
      </c>
      <c r="BF13" s="233">
        <v>33</v>
      </c>
      <c r="BG13" s="233">
        <v>23</v>
      </c>
      <c r="BH13" s="233">
        <v>110</v>
      </c>
      <c r="BI13" s="14" t="s">
        <v>51</v>
      </c>
      <c r="BJ13" s="24" t="s">
        <v>376</v>
      </c>
      <c r="BK13" s="233">
        <v>0</v>
      </c>
      <c r="BL13" s="233">
        <v>1457</v>
      </c>
      <c r="BM13" s="233">
        <v>0</v>
      </c>
      <c r="BN13" s="233">
        <v>602</v>
      </c>
      <c r="BO13" s="233">
        <v>344</v>
      </c>
      <c r="BP13" s="233">
        <v>0</v>
      </c>
      <c r="BQ13" s="233">
        <v>67</v>
      </c>
      <c r="BR13" s="233">
        <v>91</v>
      </c>
      <c r="BS13" s="233">
        <v>0</v>
      </c>
    </row>
    <row r="14" spans="1:71" ht="11.1" customHeight="1">
      <c r="A14" s="14"/>
      <c r="B14" s="24" t="s">
        <v>312</v>
      </c>
      <c r="C14" s="505">
        <v>77692.55</v>
      </c>
      <c r="D14" s="501">
        <v>2773.5</v>
      </c>
      <c r="E14" s="501">
        <v>1226</v>
      </c>
      <c r="F14" s="501">
        <v>26560.5</v>
      </c>
      <c r="G14" s="501">
        <v>0</v>
      </c>
      <c r="H14" s="501">
        <v>3476.5</v>
      </c>
      <c r="I14" s="501">
        <v>5109.1000000000004</v>
      </c>
      <c r="J14" s="501">
        <v>12</v>
      </c>
      <c r="K14" s="501">
        <v>0</v>
      </c>
      <c r="L14" s="501">
        <v>0</v>
      </c>
      <c r="M14" s="14"/>
      <c r="N14" s="24" t="s">
        <v>312</v>
      </c>
      <c r="O14" s="501">
        <v>70.5</v>
      </c>
      <c r="P14" s="501">
        <v>205</v>
      </c>
      <c r="Q14" s="501">
        <v>276.5</v>
      </c>
      <c r="R14" s="501">
        <v>70.3</v>
      </c>
      <c r="S14" s="501">
        <v>125.95</v>
      </c>
      <c r="T14" s="501">
        <v>21962.3</v>
      </c>
      <c r="U14" s="501">
        <v>41</v>
      </c>
      <c r="V14" s="501">
        <v>66</v>
      </c>
      <c r="W14" s="501">
        <v>1378.1</v>
      </c>
      <c r="X14" s="501">
        <v>2632.7</v>
      </c>
      <c r="Y14" s="14"/>
      <c r="Z14" s="24" t="s">
        <v>312</v>
      </c>
      <c r="AA14" s="501">
        <v>0</v>
      </c>
      <c r="AB14" s="501">
        <v>3554.5</v>
      </c>
      <c r="AC14" s="501">
        <v>3</v>
      </c>
      <c r="AD14" s="501">
        <v>5073.1000000000004</v>
      </c>
      <c r="AE14" s="501">
        <v>1734.5</v>
      </c>
      <c r="AF14" s="501">
        <v>0</v>
      </c>
      <c r="AG14" s="501">
        <v>444.5</v>
      </c>
      <c r="AH14" s="501">
        <v>897</v>
      </c>
      <c r="AI14" s="501">
        <v>0</v>
      </c>
      <c r="AK14" s="14"/>
      <c r="AL14" s="24" t="s">
        <v>312</v>
      </c>
      <c r="AM14" s="263">
        <v>12693.7</v>
      </c>
      <c r="AN14" s="233">
        <v>1871.5</v>
      </c>
      <c r="AO14" s="233">
        <v>756.5</v>
      </c>
      <c r="AP14" s="233">
        <v>1605</v>
      </c>
      <c r="AQ14" s="233">
        <v>0</v>
      </c>
      <c r="AR14" s="233">
        <v>1711.5</v>
      </c>
      <c r="AS14" s="233">
        <v>644.5</v>
      </c>
      <c r="AT14" s="233">
        <v>4</v>
      </c>
      <c r="AU14" s="233">
        <v>0</v>
      </c>
      <c r="AV14" s="233">
        <v>0</v>
      </c>
      <c r="AW14" s="14"/>
      <c r="AX14" s="24" t="s">
        <v>312</v>
      </c>
      <c r="AY14" s="233">
        <v>15.5</v>
      </c>
      <c r="AZ14" s="233">
        <v>58</v>
      </c>
      <c r="BA14" s="233">
        <v>36</v>
      </c>
      <c r="BB14" s="233">
        <v>5</v>
      </c>
      <c r="BC14" s="233">
        <v>23.7</v>
      </c>
      <c r="BD14" s="233">
        <v>1564.5</v>
      </c>
      <c r="BE14" s="233">
        <v>17</v>
      </c>
      <c r="BF14" s="233">
        <v>17</v>
      </c>
      <c r="BG14" s="233">
        <v>48.5</v>
      </c>
      <c r="BH14" s="233">
        <v>98</v>
      </c>
      <c r="BI14" s="14"/>
      <c r="BJ14" s="24" t="s">
        <v>312</v>
      </c>
      <c r="BK14" s="233">
        <v>0</v>
      </c>
      <c r="BL14" s="233">
        <v>2215.5</v>
      </c>
      <c r="BM14" s="233">
        <v>0</v>
      </c>
      <c r="BN14" s="233">
        <v>1114</v>
      </c>
      <c r="BO14" s="233">
        <v>330</v>
      </c>
      <c r="BP14" s="233">
        <v>0</v>
      </c>
      <c r="BQ14" s="233">
        <v>166</v>
      </c>
      <c r="BR14" s="233">
        <v>392</v>
      </c>
      <c r="BS14" s="233">
        <v>0</v>
      </c>
    </row>
    <row r="15" spans="1:71" ht="11.1" customHeight="1">
      <c r="A15" s="14" t="s">
        <v>352</v>
      </c>
      <c r="B15" s="24" t="s">
        <v>376</v>
      </c>
      <c r="C15" s="505">
        <v>38441</v>
      </c>
      <c r="D15" s="501">
        <v>0</v>
      </c>
      <c r="E15" s="501">
        <v>7</v>
      </c>
      <c r="F15" s="501">
        <v>2351</v>
      </c>
      <c r="G15" s="501">
        <v>16953</v>
      </c>
      <c r="H15" s="501">
        <v>60</v>
      </c>
      <c r="I15" s="501">
        <v>940</v>
      </c>
      <c r="J15" s="501">
        <v>523</v>
      </c>
      <c r="K15" s="501">
        <v>0</v>
      </c>
      <c r="L15" s="501">
        <v>0</v>
      </c>
      <c r="M15" s="14" t="s">
        <v>352</v>
      </c>
      <c r="N15" s="24" t="s">
        <v>376</v>
      </c>
      <c r="O15" s="501">
        <v>265</v>
      </c>
      <c r="P15" s="501">
        <v>779</v>
      </c>
      <c r="Q15" s="501">
        <v>945</v>
      </c>
      <c r="R15" s="501">
        <v>147</v>
      </c>
      <c r="S15" s="501">
        <v>3006</v>
      </c>
      <c r="T15" s="501">
        <v>2437</v>
      </c>
      <c r="U15" s="501">
        <v>23</v>
      </c>
      <c r="V15" s="501">
        <v>57</v>
      </c>
      <c r="W15" s="501">
        <v>22</v>
      </c>
      <c r="X15" s="501">
        <v>28</v>
      </c>
      <c r="Y15" s="14" t="s">
        <v>352</v>
      </c>
      <c r="Z15" s="24" t="s">
        <v>376</v>
      </c>
      <c r="AA15" s="501">
        <v>955</v>
      </c>
      <c r="AB15" s="501">
        <v>90</v>
      </c>
      <c r="AC15" s="501">
        <v>0</v>
      </c>
      <c r="AD15" s="501">
        <v>1021</v>
      </c>
      <c r="AE15" s="501">
        <v>710</v>
      </c>
      <c r="AF15" s="501">
        <v>6353</v>
      </c>
      <c r="AG15" s="501">
        <v>180</v>
      </c>
      <c r="AH15" s="501">
        <v>146</v>
      </c>
      <c r="AI15" s="501">
        <v>443</v>
      </c>
      <c r="AK15" s="14" t="s">
        <v>352</v>
      </c>
      <c r="AL15" s="24" t="s">
        <v>376</v>
      </c>
      <c r="AM15" s="263">
        <v>5874</v>
      </c>
      <c r="AN15" s="233">
        <v>0</v>
      </c>
      <c r="AO15" s="233">
        <v>1</v>
      </c>
      <c r="AP15" s="233">
        <v>5</v>
      </c>
      <c r="AQ15" s="233">
        <v>3566</v>
      </c>
      <c r="AR15" s="233">
        <v>23</v>
      </c>
      <c r="AS15" s="233">
        <v>39</v>
      </c>
      <c r="AT15" s="233">
        <v>0</v>
      </c>
      <c r="AU15" s="233">
        <v>0</v>
      </c>
      <c r="AV15" s="233">
        <v>0</v>
      </c>
      <c r="AW15" s="14" t="s">
        <v>352</v>
      </c>
      <c r="AX15" s="24" t="s">
        <v>376</v>
      </c>
      <c r="AY15" s="233">
        <v>32</v>
      </c>
      <c r="AZ15" s="233">
        <v>79</v>
      </c>
      <c r="BA15" s="233">
        <v>105</v>
      </c>
      <c r="BB15" s="233">
        <v>0</v>
      </c>
      <c r="BC15" s="233">
        <v>293</v>
      </c>
      <c r="BD15" s="233">
        <v>264</v>
      </c>
      <c r="BE15" s="233">
        <v>0</v>
      </c>
      <c r="BF15" s="233">
        <v>0</v>
      </c>
      <c r="BG15" s="233">
        <v>3</v>
      </c>
      <c r="BH15" s="233">
        <v>3</v>
      </c>
      <c r="BI15" s="14" t="s">
        <v>352</v>
      </c>
      <c r="BJ15" s="24" t="s">
        <v>376</v>
      </c>
      <c r="BK15" s="233">
        <v>91</v>
      </c>
      <c r="BL15" s="233">
        <v>8</v>
      </c>
      <c r="BM15" s="233">
        <v>0</v>
      </c>
      <c r="BN15" s="233">
        <v>36</v>
      </c>
      <c r="BO15" s="233">
        <v>54</v>
      </c>
      <c r="BP15" s="233">
        <v>1154</v>
      </c>
      <c r="BQ15" s="233">
        <v>56</v>
      </c>
      <c r="BR15" s="233">
        <v>49</v>
      </c>
      <c r="BS15" s="233">
        <v>13</v>
      </c>
    </row>
    <row r="16" spans="1:71" ht="11.1" customHeight="1">
      <c r="A16" s="14"/>
      <c r="B16" s="24" t="s">
        <v>312</v>
      </c>
      <c r="C16" s="505">
        <v>38925</v>
      </c>
      <c r="D16" s="501">
        <v>8</v>
      </c>
      <c r="E16" s="501">
        <v>9</v>
      </c>
      <c r="F16" s="501">
        <v>2364</v>
      </c>
      <c r="G16" s="501">
        <v>18913</v>
      </c>
      <c r="H16" s="501">
        <v>35</v>
      </c>
      <c r="I16" s="501">
        <v>543</v>
      </c>
      <c r="J16" s="501">
        <v>336</v>
      </c>
      <c r="K16" s="501">
        <v>0</v>
      </c>
      <c r="L16" s="501">
        <v>0</v>
      </c>
      <c r="M16" s="14"/>
      <c r="N16" s="24" t="s">
        <v>312</v>
      </c>
      <c r="O16" s="501">
        <v>287</v>
      </c>
      <c r="P16" s="501">
        <v>622</v>
      </c>
      <c r="Q16" s="501">
        <v>791</v>
      </c>
      <c r="R16" s="501">
        <v>88</v>
      </c>
      <c r="S16" s="501">
        <v>2968</v>
      </c>
      <c r="T16" s="501">
        <v>2214</v>
      </c>
      <c r="U16" s="501">
        <v>22</v>
      </c>
      <c r="V16" s="501">
        <v>44</v>
      </c>
      <c r="W16" s="501">
        <v>17</v>
      </c>
      <c r="X16" s="501">
        <v>28</v>
      </c>
      <c r="Y16" s="14"/>
      <c r="Z16" s="24" t="s">
        <v>312</v>
      </c>
      <c r="AA16" s="501">
        <v>1271</v>
      </c>
      <c r="AB16" s="501">
        <v>69</v>
      </c>
      <c r="AC16" s="501">
        <v>0</v>
      </c>
      <c r="AD16" s="501">
        <v>1018</v>
      </c>
      <c r="AE16" s="501">
        <v>725</v>
      </c>
      <c r="AF16" s="501">
        <v>6119</v>
      </c>
      <c r="AG16" s="501">
        <v>153</v>
      </c>
      <c r="AH16" s="501">
        <v>106</v>
      </c>
      <c r="AI16" s="501">
        <v>175</v>
      </c>
      <c r="AK16" s="14"/>
      <c r="AL16" s="24" t="s">
        <v>312</v>
      </c>
      <c r="AM16" s="263">
        <v>8474</v>
      </c>
      <c r="AN16" s="233">
        <v>7</v>
      </c>
      <c r="AO16" s="233">
        <v>2</v>
      </c>
      <c r="AP16" s="233">
        <v>15</v>
      </c>
      <c r="AQ16" s="233">
        <v>6459</v>
      </c>
      <c r="AR16" s="233">
        <v>20</v>
      </c>
      <c r="AS16" s="233">
        <v>14</v>
      </c>
      <c r="AT16" s="233">
        <v>0</v>
      </c>
      <c r="AU16" s="233">
        <v>0</v>
      </c>
      <c r="AV16" s="233">
        <v>0</v>
      </c>
      <c r="AW16" s="14"/>
      <c r="AX16" s="24" t="s">
        <v>312</v>
      </c>
      <c r="AY16" s="233">
        <v>32</v>
      </c>
      <c r="AZ16" s="233">
        <v>32</v>
      </c>
      <c r="BA16" s="233">
        <v>75</v>
      </c>
      <c r="BB16" s="233">
        <v>0</v>
      </c>
      <c r="BC16" s="233">
        <v>189</v>
      </c>
      <c r="BD16" s="233">
        <v>191</v>
      </c>
      <c r="BE16" s="233">
        <v>0</v>
      </c>
      <c r="BF16" s="233">
        <v>0</v>
      </c>
      <c r="BG16" s="233">
        <v>1</v>
      </c>
      <c r="BH16" s="233">
        <v>3</v>
      </c>
      <c r="BI16" s="14"/>
      <c r="BJ16" s="24" t="s">
        <v>312</v>
      </c>
      <c r="BK16" s="233">
        <v>111</v>
      </c>
      <c r="BL16" s="233">
        <v>5</v>
      </c>
      <c r="BM16" s="233">
        <v>0</v>
      </c>
      <c r="BN16" s="233">
        <v>53</v>
      </c>
      <c r="BO16" s="233">
        <v>44</v>
      </c>
      <c r="BP16" s="233">
        <v>1149</v>
      </c>
      <c r="BQ16" s="233">
        <v>36</v>
      </c>
      <c r="BR16" s="233">
        <v>36</v>
      </c>
      <c r="BS16" s="233">
        <v>0</v>
      </c>
    </row>
    <row r="17" spans="1:71" ht="11.1" customHeight="1">
      <c r="A17" s="14" t="s">
        <v>353</v>
      </c>
      <c r="B17" s="24" t="s">
        <v>376</v>
      </c>
      <c r="C17" s="505">
        <v>104395</v>
      </c>
      <c r="D17" s="501">
        <v>6987</v>
      </c>
      <c r="E17" s="501">
        <v>978</v>
      </c>
      <c r="F17" s="501">
        <v>21135</v>
      </c>
      <c r="G17" s="501">
        <v>29</v>
      </c>
      <c r="H17" s="501">
        <v>9295</v>
      </c>
      <c r="I17" s="501">
        <v>13266</v>
      </c>
      <c r="J17" s="501">
        <v>20</v>
      </c>
      <c r="K17" s="501">
        <v>0</v>
      </c>
      <c r="L17" s="501">
        <v>0</v>
      </c>
      <c r="M17" s="14" t="s">
        <v>353</v>
      </c>
      <c r="N17" s="24" t="s">
        <v>376</v>
      </c>
      <c r="O17" s="501">
        <v>70</v>
      </c>
      <c r="P17" s="501">
        <v>47</v>
      </c>
      <c r="Q17" s="501">
        <v>186</v>
      </c>
      <c r="R17" s="501">
        <v>338</v>
      </c>
      <c r="S17" s="501">
        <v>352</v>
      </c>
      <c r="T17" s="501">
        <v>24184</v>
      </c>
      <c r="U17" s="501">
        <v>726</v>
      </c>
      <c r="V17" s="501">
        <v>38</v>
      </c>
      <c r="W17" s="501">
        <v>1745</v>
      </c>
      <c r="X17" s="501">
        <v>2985</v>
      </c>
      <c r="Y17" s="14" t="s">
        <v>353</v>
      </c>
      <c r="Z17" s="24" t="s">
        <v>376</v>
      </c>
      <c r="AA17" s="501">
        <v>0</v>
      </c>
      <c r="AB17" s="501">
        <v>1481</v>
      </c>
      <c r="AC17" s="501">
        <v>20</v>
      </c>
      <c r="AD17" s="501">
        <v>8722</v>
      </c>
      <c r="AE17" s="501">
        <v>5940</v>
      </c>
      <c r="AF17" s="501">
        <v>0</v>
      </c>
      <c r="AG17" s="501">
        <v>93</v>
      </c>
      <c r="AH17" s="501">
        <v>5758</v>
      </c>
      <c r="AI17" s="501">
        <v>0</v>
      </c>
      <c r="AK17" s="14" t="s">
        <v>353</v>
      </c>
      <c r="AL17" s="24" t="s">
        <v>376</v>
      </c>
      <c r="AM17" s="263">
        <v>24089</v>
      </c>
      <c r="AN17" s="233">
        <v>3917</v>
      </c>
      <c r="AO17" s="233">
        <v>110</v>
      </c>
      <c r="AP17" s="233">
        <v>2439</v>
      </c>
      <c r="AQ17" s="233">
        <v>10</v>
      </c>
      <c r="AR17" s="233">
        <v>5355</v>
      </c>
      <c r="AS17" s="233">
        <v>2173</v>
      </c>
      <c r="AT17" s="233">
        <v>4</v>
      </c>
      <c r="AU17" s="233">
        <v>0</v>
      </c>
      <c r="AV17" s="233">
        <v>0</v>
      </c>
      <c r="AW17" s="14" t="s">
        <v>353</v>
      </c>
      <c r="AX17" s="24" t="s">
        <v>376</v>
      </c>
      <c r="AY17" s="233">
        <v>16</v>
      </c>
      <c r="AZ17" s="233">
        <v>5</v>
      </c>
      <c r="BA17" s="233">
        <v>37</v>
      </c>
      <c r="BB17" s="233">
        <v>20</v>
      </c>
      <c r="BC17" s="233">
        <v>42</v>
      </c>
      <c r="BD17" s="233">
        <v>3749</v>
      </c>
      <c r="BE17" s="233">
        <v>0</v>
      </c>
      <c r="BF17" s="233">
        <v>9</v>
      </c>
      <c r="BG17" s="233">
        <v>107</v>
      </c>
      <c r="BH17" s="233">
        <v>263</v>
      </c>
      <c r="BI17" s="14" t="s">
        <v>353</v>
      </c>
      <c r="BJ17" s="24" t="s">
        <v>376</v>
      </c>
      <c r="BK17" s="233">
        <v>0</v>
      </c>
      <c r="BL17" s="233">
        <v>393</v>
      </c>
      <c r="BM17" s="233">
        <v>2</v>
      </c>
      <c r="BN17" s="233">
        <v>755</v>
      </c>
      <c r="BO17" s="233">
        <v>1443</v>
      </c>
      <c r="BP17" s="233">
        <v>0</v>
      </c>
      <c r="BQ17" s="233">
        <v>10</v>
      </c>
      <c r="BR17" s="233">
        <v>3230</v>
      </c>
      <c r="BS17" s="233">
        <v>0</v>
      </c>
    </row>
    <row r="18" spans="1:71" ht="11.1" customHeight="1">
      <c r="A18" s="14"/>
      <c r="B18" s="24" t="s">
        <v>312</v>
      </c>
      <c r="C18" s="505">
        <v>105879</v>
      </c>
      <c r="D18" s="501">
        <v>7068</v>
      </c>
      <c r="E18" s="501">
        <v>833</v>
      </c>
      <c r="F18" s="501">
        <v>20535</v>
      </c>
      <c r="G18" s="501">
        <v>19</v>
      </c>
      <c r="H18" s="501">
        <v>10086</v>
      </c>
      <c r="I18" s="501">
        <v>14307</v>
      </c>
      <c r="J18" s="501">
        <v>12</v>
      </c>
      <c r="K18" s="501">
        <v>0</v>
      </c>
      <c r="L18" s="501">
        <v>0</v>
      </c>
      <c r="M18" s="14"/>
      <c r="N18" s="24" t="s">
        <v>312</v>
      </c>
      <c r="O18" s="501">
        <v>37</v>
      </c>
      <c r="P18" s="501">
        <v>41</v>
      </c>
      <c r="Q18" s="501">
        <v>69</v>
      </c>
      <c r="R18" s="501">
        <v>380</v>
      </c>
      <c r="S18" s="501">
        <v>312</v>
      </c>
      <c r="T18" s="501">
        <v>26197</v>
      </c>
      <c r="U18" s="501">
        <v>790</v>
      </c>
      <c r="V18" s="501">
        <v>12</v>
      </c>
      <c r="W18" s="501">
        <v>1750</v>
      </c>
      <c r="X18" s="501">
        <v>2654</v>
      </c>
      <c r="Y18" s="14"/>
      <c r="Z18" s="24" t="s">
        <v>312</v>
      </c>
      <c r="AA18" s="501">
        <v>0</v>
      </c>
      <c r="AB18" s="501">
        <v>1406</v>
      </c>
      <c r="AC18" s="501">
        <v>7</v>
      </c>
      <c r="AD18" s="501">
        <v>8148</v>
      </c>
      <c r="AE18" s="501">
        <v>5777</v>
      </c>
      <c r="AF18" s="501">
        <v>0</v>
      </c>
      <c r="AG18" s="501">
        <v>13</v>
      </c>
      <c r="AH18" s="501">
        <v>5426</v>
      </c>
      <c r="AI18" s="501">
        <v>0</v>
      </c>
      <c r="AK18" s="14"/>
      <c r="AL18" s="24" t="s">
        <v>312</v>
      </c>
      <c r="AM18" s="263">
        <v>23788</v>
      </c>
      <c r="AN18" s="233">
        <v>4097</v>
      </c>
      <c r="AO18" s="233">
        <v>60</v>
      </c>
      <c r="AP18" s="233">
        <v>2169</v>
      </c>
      <c r="AQ18" s="233">
        <v>0</v>
      </c>
      <c r="AR18" s="233">
        <v>6098</v>
      </c>
      <c r="AS18" s="233">
        <v>2132</v>
      </c>
      <c r="AT18" s="233">
        <v>2</v>
      </c>
      <c r="AU18" s="233">
        <v>0</v>
      </c>
      <c r="AV18" s="233">
        <v>0</v>
      </c>
      <c r="AW18" s="14"/>
      <c r="AX18" s="24" t="s">
        <v>312</v>
      </c>
      <c r="AY18" s="233">
        <v>1</v>
      </c>
      <c r="AZ18" s="233">
        <v>14</v>
      </c>
      <c r="BA18" s="233">
        <v>17</v>
      </c>
      <c r="BB18" s="233">
        <v>32</v>
      </c>
      <c r="BC18" s="233">
        <v>35</v>
      </c>
      <c r="BD18" s="233">
        <v>3054</v>
      </c>
      <c r="BE18" s="233">
        <v>0</v>
      </c>
      <c r="BF18" s="233">
        <v>3</v>
      </c>
      <c r="BG18" s="233">
        <v>130</v>
      </c>
      <c r="BH18" s="233">
        <v>264</v>
      </c>
      <c r="BI18" s="14"/>
      <c r="BJ18" s="24" t="s">
        <v>312</v>
      </c>
      <c r="BK18" s="233">
        <v>0</v>
      </c>
      <c r="BL18" s="233">
        <v>545</v>
      </c>
      <c r="BM18" s="233">
        <v>1</v>
      </c>
      <c r="BN18" s="233">
        <v>807</v>
      </c>
      <c r="BO18" s="233">
        <v>1390</v>
      </c>
      <c r="BP18" s="233">
        <v>0</v>
      </c>
      <c r="BQ18" s="233">
        <v>6</v>
      </c>
      <c r="BR18" s="233">
        <v>2931</v>
      </c>
      <c r="BS18" s="233">
        <v>0</v>
      </c>
    </row>
    <row r="19" spans="1:71" ht="11.1" customHeight="1">
      <c r="A19" s="14" t="s">
        <v>354</v>
      </c>
      <c r="B19" s="24" t="s">
        <v>376</v>
      </c>
      <c r="C19" s="505">
        <v>116318.25</v>
      </c>
      <c r="D19" s="501">
        <v>4036</v>
      </c>
      <c r="E19" s="501">
        <v>9091.5</v>
      </c>
      <c r="F19" s="501">
        <v>42370.5</v>
      </c>
      <c r="G19" s="501">
        <v>6887</v>
      </c>
      <c r="H19" s="501">
        <v>3699</v>
      </c>
      <c r="I19" s="501">
        <v>297</v>
      </c>
      <c r="J19" s="501">
        <v>0</v>
      </c>
      <c r="K19" s="501">
        <v>0</v>
      </c>
      <c r="L19" s="501">
        <v>0</v>
      </c>
      <c r="M19" s="14" t="s">
        <v>354</v>
      </c>
      <c r="N19" s="24" t="s">
        <v>376</v>
      </c>
      <c r="O19" s="501">
        <v>58.5</v>
      </c>
      <c r="P19" s="501">
        <v>707.75</v>
      </c>
      <c r="Q19" s="501">
        <v>243</v>
      </c>
      <c r="R19" s="501">
        <v>489</v>
      </c>
      <c r="S19" s="501">
        <v>70</v>
      </c>
      <c r="T19" s="501">
        <v>15754</v>
      </c>
      <c r="U19" s="501">
        <v>3117</v>
      </c>
      <c r="V19" s="501">
        <v>622</v>
      </c>
      <c r="W19" s="501">
        <v>1391</v>
      </c>
      <c r="X19" s="501">
        <v>2757</v>
      </c>
      <c r="Y19" s="14" t="s">
        <v>354</v>
      </c>
      <c r="Z19" s="24" t="s">
        <v>376</v>
      </c>
      <c r="AA19" s="501">
        <v>0</v>
      </c>
      <c r="AB19" s="501">
        <v>14976</v>
      </c>
      <c r="AC19" s="501">
        <v>0</v>
      </c>
      <c r="AD19" s="501">
        <v>5026</v>
      </c>
      <c r="AE19" s="501">
        <v>4120</v>
      </c>
      <c r="AF19" s="501">
        <v>131</v>
      </c>
      <c r="AG19" s="501">
        <v>0</v>
      </c>
      <c r="AH19" s="501">
        <v>475</v>
      </c>
      <c r="AI19" s="501">
        <v>0</v>
      </c>
      <c r="AK19" s="14" t="s">
        <v>354</v>
      </c>
      <c r="AL19" s="24" t="s">
        <v>376</v>
      </c>
      <c r="AM19" s="263">
        <v>25761.65</v>
      </c>
      <c r="AN19" s="233">
        <v>2536</v>
      </c>
      <c r="AO19" s="233">
        <v>3557.5</v>
      </c>
      <c r="AP19" s="233">
        <v>4461.5</v>
      </c>
      <c r="AQ19" s="233">
        <v>3572.9</v>
      </c>
      <c r="AR19" s="233">
        <v>2082</v>
      </c>
      <c r="AS19" s="233">
        <v>114</v>
      </c>
      <c r="AT19" s="233">
        <v>0</v>
      </c>
      <c r="AU19" s="233">
        <v>0</v>
      </c>
      <c r="AV19" s="233">
        <v>0</v>
      </c>
      <c r="AW19" s="14" t="s">
        <v>354</v>
      </c>
      <c r="AX19" s="24" t="s">
        <v>376</v>
      </c>
      <c r="AY19" s="233">
        <v>25.5</v>
      </c>
      <c r="AZ19" s="233">
        <v>146.75</v>
      </c>
      <c r="BA19" s="233">
        <v>87</v>
      </c>
      <c r="BB19" s="233">
        <v>117</v>
      </c>
      <c r="BC19" s="233">
        <v>10</v>
      </c>
      <c r="BD19" s="233">
        <v>2133</v>
      </c>
      <c r="BE19" s="233">
        <v>1306</v>
      </c>
      <c r="BF19" s="233">
        <v>171</v>
      </c>
      <c r="BG19" s="233">
        <v>195</v>
      </c>
      <c r="BH19" s="233">
        <v>393.5</v>
      </c>
      <c r="BI19" s="14" t="s">
        <v>354</v>
      </c>
      <c r="BJ19" s="24" t="s">
        <v>376</v>
      </c>
      <c r="BK19" s="233">
        <v>0</v>
      </c>
      <c r="BL19" s="233">
        <v>2808</v>
      </c>
      <c r="BM19" s="233">
        <v>0</v>
      </c>
      <c r="BN19" s="233">
        <v>876</v>
      </c>
      <c r="BO19" s="233">
        <v>857</v>
      </c>
      <c r="BP19" s="233">
        <v>45</v>
      </c>
      <c r="BQ19" s="233">
        <v>0</v>
      </c>
      <c r="BR19" s="233">
        <v>267</v>
      </c>
      <c r="BS19" s="233">
        <v>0</v>
      </c>
    </row>
    <row r="20" spans="1:71" ht="11.1" customHeight="1">
      <c r="A20" s="14"/>
      <c r="B20" s="24" t="s">
        <v>312</v>
      </c>
      <c r="C20" s="505">
        <v>118782.75</v>
      </c>
      <c r="D20" s="501">
        <v>4660</v>
      </c>
      <c r="E20" s="501">
        <v>9381.5</v>
      </c>
      <c r="F20" s="501">
        <v>44953.5</v>
      </c>
      <c r="G20" s="501">
        <v>7194.5</v>
      </c>
      <c r="H20" s="501">
        <v>3290</v>
      </c>
      <c r="I20" s="501">
        <v>269</v>
      </c>
      <c r="J20" s="501">
        <v>0</v>
      </c>
      <c r="K20" s="501">
        <v>0</v>
      </c>
      <c r="L20" s="501">
        <v>0</v>
      </c>
      <c r="M20" s="14"/>
      <c r="N20" s="24" t="s">
        <v>312</v>
      </c>
      <c r="O20" s="501">
        <v>83</v>
      </c>
      <c r="P20" s="501">
        <v>775.75</v>
      </c>
      <c r="Q20" s="501">
        <v>420.5</v>
      </c>
      <c r="R20" s="501">
        <v>513</v>
      </c>
      <c r="S20" s="501">
        <v>105</v>
      </c>
      <c r="T20" s="501">
        <v>16570.5</v>
      </c>
      <c r="U20" s="501">
        <v>2753.5</v>
      </c>
      <c r="V20" s="501">
        <v>678</v>
      </c>
      <c r="W20" s="501">
        <v>1055</v>
      </c>
      <c r="X20" s="501">
        <v>2478</v>
      </c>
      <c r="Y20" s="14"/>
      <c r="Z20" s="24" t="s">
        <v>312</v>
      </c>
      <c r="AA20" s="501">
        <v>4</v>
      </c>
      <c r="AB20" s="501">
        <v>14293</v>
      </c>
      <c r="AC20" s="501">
        <v>0</v>
      </c>
      <c r="AD20" s="501">
        <v>4939</v>
      </c>
      <c r="AE20" s="501">
        <v>3634</v>
      </c>
      <c r="AF20" s="501">
        <v>189</v>
      </c>
      <c r="AG20" s="501">
        <v>0</v>
      </c>
      <c r="AH20" s="501">
        <v>543</v>
      </c>
      <c r="AI20" s="501">
        <v>0</v>
      </c>
      <c r="AK20" s="14"/>
      <c r="AL20" s="24" t="s">
        <v>312</v>
      </c>
      <c r="AM20" s="263">
        <v>23248.65</v>
      </c>
      <c r="AN20" s="233">
        <v>2675</v>
      </c>
      <c r="AO20" s="233">
        <v>3016.5</v>
      </c>
      <c r="AP20" s="233">
        <v>3944.5</v>
      </c>
      <c r="AQ20" s="233">
        <v>3259.4</v>
      </c>
      <c r="AR20" s="233">
        <v>1565</v>
      </c>
      <c r="AS20" s="233">
        <v>157</v>
      </c>
      <c r="AT20" s="233">
        <v>0</v>
      </c>
      <c r="AU20" s="233">
        <v>0</v>
      </c>
      <c r="AV20" s="233">
        <v>0</v>
      </c>
      <c r="AW20" s="14"/>
      <c r="AX20" s="24" t="s">
        <v>312</v>
      </c>
      <c r="AY20" s="233">
        <v>31</v>
      </c>
      <c r="AZ20" s="233">
        <v>105.75</v>
      </c>
      <c r="BA20" s="233">
        <v>108</v>
      </c>
      <c r="BB20" s="233">
        <v>74</v>
      </c>
      <c r="BC20" s="233">
        <v>17</v>
      </c>
      <c r="BD20" s="233">
        <v>2713.5</v>
      </c>
      <c r="BE20" s="233">
        <v>1024.5</v>
      </c>
      <c r="BF20" s="233">
        <v>139</v>
      </c>
      <c r="BG20" s="233">
        <v>135</v>
      </c>
      <c r="BH20" s="233">
        <v>295</v>
      </c>
      <c r="BI20" s="14"/>
      <c r="BJ20" s="24" t="s">
        <v>312</v>
      </c>
      <c r="BK20" s="233">
        <v>4</v>
      </c>
      <c r="BL20" s="233">
        <v>2314.5</v>
      </c>
      <c r="BM20" s="233">
        <v>0</v>
      </c>
      <c r="BN20" s="233">
        <v>713</v>
      </c>
      <c r="BO20" s="233">
        <v>594</v>
      </c>
      <c r="BP20" s="233">
        <v>40</v>
      </c>
      <c r="BQ20" s="233">
        <v>0</v>
      </c>
      <c r="BR20" s="233">
        <v>323</v>
      </c>
      <c r="BS20" s="233">
        <v>0</v>
      </c>
    </row>
    <row r="21" spans="1:71" ht="11.1" customHeight="1">
      <c r="A21" s="14" t="s">
        <v>410</v>
      </c>
      <c r="B21" s="24" t="s">
        <v>376</v>
      </c>
      <c r="C21" s="505">
        <v>0</v>
      </c>
      <c r="D21" s="501">
        <v>0</v>
      </c>
      <c r="E21" s="501">
        <v>0</v>
      </c>
      <c r="F21" s="501">
        <v>0</v>
      </c>
      <c r="G21" s="501">
        <v>0</v>
      </c>
      <c r="H21" s="501">
        <v>0</v>
      </c>
      <c r="I21" s="501">
        <v>0</v>
      </c>
      <c r="J21" s="501">
        <v>0</v>
      </c>
      <c r="K21" s="501">
        <v>0</v>
      </c>
      <c r="L21" s="501">
        <v>0</v>
      </c>
      <c r="M21" s="14" t="s">
        <v>410</v>
      </c>
      <c r="N21" s="24" t="s">
        <v>376</v>
      </c>
      <c r="O21" s="501">
        <v>0</v>
      </c>
      <c r="P21" s="501">
        <v>0</v>
      </c>
      <c r="Q21" s="501">
        <v>0</v>
      </c>
      <c r="R21" s="501">
        <v>0</v>
      </c>
      <c r="S21" s="501">
        <v>0</v>
      </c>
      <c r="T21" s="501">
        <v>0</v>
      </c>
      <c r="U21" s="501">
        <v>0</v>
      </c>
      <c r="V21" s="501">
        <v>0</v>
      </c>
      <c r="W21" s="501">
        <v>0</v>
      </c>
      <c r="X21" s="501">
        <v>0</v>
      </c>
      <c r="Y21" s="14" t="s">
        <v>410</v>
      </c>
      <c r="Z21" s="24" t="s">
        <v>376</v>
      </c>
      <c r="AA21" s="501">
        <v>0</v>
      </c>
      <c r="AB21" s="501">
        <v>0</v>
      </c>
      <c r="AC21" s="501">
        <v>0</v>
      </c>
      <c r="AD21" s="501">
        <v>0</v>
      </c>
      <c r="AE21" s="501">
        <v>0</v>
      </c>
      <c r="AF21" s="501">
        <v>0</v>
      </c>
      <c r="AG21" s="501">
        <v>0</v>
      </c>
      <c r="AH21" s="501">
        <v>0</v>
      </c>
      <c r="AI21" s="501">
        <v>0</v>
      </c>
      <c r="AK21" s="14" t="s">
        <v>410</v>
      </c>
      <c r="AL21" s="24" t="s">
        <v>376</v>
      </c>
      <c r="AM21" s="263">
        <v>0</v>
      </c>
      <c r="AN21" s="233">
        <v>0</v>
      </c>
      <c r="AO21" s="233">
        <v>0</v>
      </c>
      <c r="AP21" s="233">
        <v>0</v>
      </c>
      <c r="AQ21" s="233">
        <v>0</v>
      </c>
      <c r="AR21" s="233">
        <v>0</v>
      </c>
      <c r="AS21" s="233">
        <v>0</v>
      </c>
      <c r="AT21" s="233">
        <v>0</v>
      </c>
      <c r="AU21" s="233">
        <v>0</v>
      </c>
      <c r="AV21" s="233">
        <v>0</v>
      </c>
      <c r="AW21" s="14" t="s">
        <v>410</v>
      </c>
      <c r="AX21" s="24" t="s">
        <v>376</v>
      </c>
      <c r="AY21" s="233">
        <v>0</v>
      </c>
      <c r="AZ21" s="233">
        <v>0</v>
      </c>
      <c r="BA21" s="233">
        <v>0</v>
      </c>
      <c r="BB21" s="233">
        <v>0</v>
      </c>
      <c r="BC21" s="233">
        <v>0</v>
      </c>
      <c r="BD21" s="233">
        <v>0</v>
      </c>
      <c r="BE21" s="233">
        <v>0</v>
      </c>
      <c r="BF21" s="233">
        <v>0</v>
      </c>
      <c r="BG21" s="233">
        <v>0</v>
      </c>
      <c r="BH21" s="233">
        <v>0</v>
      </c>
      <c r="BI21" s="14" t="s">
        <v>410</v>
      </c>
      <c r="BJ21" s="24" t="s">
        <v>376</v>
      </c>
      <c r="BK21" s="233">
        <v>0</v>
      </c>
      <c r="BL21" s="233">
        <v>0</v>
      </c>
      <c r="BM21" s="233">
        <v>0</v>
      </c>
      <c r="BN21" s="233">
        <v>0</v>
      </c>
      <c r="BO21" s="233">
        <v>0</v>
      </c>
      <c r="BP21" s="233">
        <v>0</v>
      </c>
      <c r="BQ21" s="233">
        <v>0</v>
      </c>
      <c r="BR21" s="233">
        <v>0</v>
      </c>
      <c r="BS21" s="233">
        <v>0</v>
      </c>
    </row>
    <row r="22" spans="1:71" ht="11.1" customHeight="1">
      <c r="A22" s="14"/>
      <c r="B22" s="24" t="s">
        <v>312</v>
      </c>
      <c r="C22" s="506">
        <v>0</v>
      </c>
      <c r="D22" s="501">
        <v>0</v>
      </c>
      <c r="E22" s="501">
        <v>0</v>
      </c>
      <c r="F22" s="501">
        <v>0</v>
      </c>
      <c r="G22" s="501">
        <v>0</v>
      </c>
      <c r="H22" s="501">
        <v>0</v>
      </c>
      <c r="I22" s="501">
        <v>0</v>
      </c>
      <c r="J22" s="501">
        <v>0</v>
      </c>
      <c r="K22" s="501">
        <v>0</v>
      </c>
      <c r="L22" s="501">
        <v>0</v>
      </c>
      <c r="M22" s="14"/>
      <c r="N22" s="24" t="s">
        <v>312</v>
      </c>
      <c r="O22" s="501">
        <v>0</v>
      </c>
      <c r="P22" s="501">
        <v>0</v>
      </c>
      <c r="Q22" s="501">
        <v>0</v>
      </c>
      <c r="R22" s="501">
        <v>0</v>
      </c>
      <c r="S22" s="501">
        <v>0</v>
      </c>
      <c r="T22" s="501">
        <v>0</v>
      </c>
      <c r="U22" s="501">
        <v>0</v>
      </c>
      <c r="V22" s="501">
        <v>0</v>
      </c>
      <c r="W22" s="501">
        <v>0</v>
      </c>
      <c r="X22" s="501">
        <v>0</v>
      </c>
      <c r="Y22" s="14"/>
      <c r="Z22" s="24" t="s">
        <v>312</v>
      </c>
      <c r="AA22" s="501">
        <v>0</v>
      </c>
      <c r="AB22" s="501">
        <v>0</v>
      </c>
      <c r="AC22" s="501">
        <v>0</v>
      </c>
      <c r="AD22" s="501">
        <v>0</v>
      </c>
      <c r="AE22" s="501">
        <v>0</v>
      </c>
      <c r="AF22" s="501">
        <v>0</v>
      </c>
      <c r="AG22" s="501">
        <v>0</v>
      </c>
      <c r="AH22" s="501">
        <v>0</v>
      </c>
      <c r="AI22" s="501">
        <v>0</v>
      </c>
      <c r="AK22" s="14"/>
      <c r="AL22" s="24" t="s">
        <v>312</v>
      </c>
      <c r="AM22" s="232">
        <v>0</v>
      </c>
      <c r="AN22" s="233">
        <v>0</v>
      </c>
      <c r="AO22" s="233">
        <v>0</v>
      </c>
      <c r="AP22" s="233">
        <v>0</v>
      </c>
      <c r="AQ22" s="233">
        <v>0</v>
      </c>
      <c r="AR22" s="233">
        <v>0</v>
      </c>
      <c r="AS22" s="233">
        <v>0</v>
      </c>
      <c r="AT22" s="233">
        <v>0</v>
      </c>
      <c r="AU22" s="233">
        <v>0</v>
      </c>
      <c r="AV22" s="233">
        <v>0</v>
      </c>
      <c r="AW22" s="14"/>
      <c r="AX22" s="24" t="s">
        <v>312</v>
      </c>
      <c r="AY22" s="233">
        <v>0</v>
      </c>
      <c r="AZ22" s="233">
        <v>0</v>
      </c>
      <c r="BA22" s="233">
        <v>0</v>
      </c>
      <c r="BB22" s="233">
        <v>0</v>
      </c>
      <c r="BC22" s="233">
        <v>0</v>
      </c>
      <c r="BD22" s="233">
        <v>0</v>
      </c>
      <c r="BE22" s="233">
        <v>0</v>
      </c>
      <c r="BF22" s="233">
        <v>0</v>
      </c>
      <c r="BG22" s="233">
        <v>0</v>
      </c>
      <c r="BH22" s="233">
        <v>0</v>
      </c>
      <c r="BI22" s="14"/>
      <c r="BJ22" s="24" t="s">
        <v>312</v>
      </c>
      <c r="BK22" s="233">
        <v>0</v>
      </c>
      <c r="BL22" s="233">
        <v>0</v>
      </c>
      <c r="BM22" s="233">
        <v>0</v>
      </c>
      <c r="BN22" s="233">
        <v>0</v>
      </c>
      <c r="BO22" s="233">
        <v>0</v>
      </c>
      <c r="BP22" s="233">
        <v>0</v>
      </c>
      <c r="BQ22" s="233">
        <v>0</v>
      </c>
      <c r="BR22" s="233">
        <v>0</v>
      </c>
      <c r="BS22" s="233">
        <v>0</v>
      </c>
    </row>
    <row r="23" spans="1:71" ht="11.1" customHeight="1">
      <c r="A23" s="14" t="s">
        <v>355</v>
      </c>
      <c r="B23" s="24" t="s">
        <v>376</v>
      </c>
      <c r="C23" s="505">
        <v>125025.8</v>
      </c>
      <c r="D23" s="501">
        <v>7964.8</v>
      </c>
      <c r="E23" s="501">
        <v>2835</v>
      </c>
      <c r="F23" s="501">
        <v>29313</v>
      </c>
      <c r="G23" s="501">
        <v>1065</v>
      </c>
      <c r="H23" s="501">
        <v>12000</v>
      </c>
      <c r="I23" s="501">
        <v>2524</v>
      </c>
      <c r="J23" s="501">
        <v>0</v>
      </c>
      <c r="K23" s="501">
        <v>0</v>
      </c>
      <c r="L23" s="501">
        <v>0</v>
      </c>
      <c r="M23" s="14" t="s">
        <v>355</v>
      </c>
      <c r="N23" s="24" t="s">
        <v>376</v>
      </c>
      <c r="O23" s="501">
        <v>36</v>
      </c>
      <c r="P23" s="501">
        <v>135</v>
      </c>
      <c r="Q23" s="501">
        <v>365</v>
      </c>
      <c r="R23" s="501">
        <v>0</v>
      </c>
      <c r="S23" s="501">
        <v>243</v>
      </c>
      <c r="T23" s="501">
        <v>31022</v>
      </c>
      <c r="U23" s="501">
        <v>3686</v>
      </c>
      <c r="V23" s="501">
        <v>65</v>
      </c>
      <c r="W23" s="501">
        <v>1347</v>
      </c>
      <c r="X23" s="501">
        <v>3525</v>
      </c>
      <c r="Y23" s="14" t="s">
        <v>355</v>
      </c>
      <c r="Z23" s="24" t="s">
        <v>376</v>
      </c>
      <c r="AA23" s="501">
        <v>0</v>
      </c>
      <c r="AB23" s="501">
        <v>1757</v>
      </c>
      <c r="AC23" s="501">
        <v>0</v>
      </c>
      <c r="AD23" s="501">
        <v>10329</v>
      </c>
      <c r="AE23" s="501">
        <v>2621</v>
      </c>
      <c r="AF23" s="501">
        <v>0</v>
      </c>
      <c r="AG23" s="501">
        <v>713</v>
      </c>
      <c r="AH23" s="501">
        <v>13480</v>
      </c>
      <c r="AI23" s="501">
        <v>0</v>
      </c>
      <c r="AK23" s="14" t="s">
        <v>355</v>
      </c>
      <c r="AL23" s="24" t="s">
        <v>376</v>
      </c>
      <c r="AM23" s="263">
        <v>14050.8</v>
      </c>
      <c r="AN23" s="233">
        <v>2653.8</v>
      </c>
      <c r="AO23" s="233">
        <v>240</v>
      </c>
      <c r="AP23" s="233">
        <v>668</v>
      </c>
      <c r="AQ23" s="233">
        <v>80</v>
      </c>
      <c r="AR23" s="233">
        <v>4050</v>
      </c>
      <c r="AS23" s="233">
        <v>256</v>
      </c>
      <c r="AT23" s="233">
        <v>0</v>
      </c>
      <c r="AU23" s="233">
        <v>0</v>
      </c>
      <c r="AV23" s="233">
        <v>0</v>
      </c>
      <c r="AW23" s="14" t="s">
        <v>355</v>
      </c>
      <c r="AX23" s="24" t="s">
        <v>376</v>
      </c>
      <c r="AY23" s="233">
        <v>2</v>
      </c>
      <c r="AZ23" s="233">
        <v>13</v>
      </c>
      <c r="BA23" s="233">
        <v>68</v>
      </c>
      <c r="BB23" s="233">
        <v>0</v>
      </c>
      <c r="BC23" s="233">
        <v>44</v>
      </c>
      <c r="BD23" s="233">
        <v>1736</v>
      </c>
      <c r="BE23" s="233">
        <v>65</v>
      </c>
      <c r="BF23" s="233">
        <v>2</v>
      </c>
      <c r="BG23" s="233">
        <v>25</v>
      </c>
      <c r="BH23" s="233">
        <v>23</v>
      </c>
      <c r="BI23" s="14" t="s">
        <v>355</v>
      </c>
      <c r="BJ23" s="24" t="s">
        <v>376</v>
      </c>
      <c r="BK23" s="233">
        <v>0</v>
      </c>
      <c r="BL23" s="233">
        <v>245</v>
      </c>
      <c r="BM23" s="233">
        <v>0</v>
      </c>
      <c r="BN23" s="233">
        <v>305</v>
      </c>
      <c r="BO23" s="233">
        <v>237</v>
      </c>
      <c r="BP23" s="233">
        <v>0</v>
      </c>
      <c r="BQ23" s="233">
        <v>146</v>
      </c>
      <c r="BR23" s="233">
        <v>3192</v>
      </c>
      <c r="BS23" s="233">
        <v>0</v>
      </c>
    </row>
    <row r="24" spans="1:71" ht="11.1" customHeight="1">
      <c r="A24" s="14"/>
      <c r="B24" s="24" t="s">
        <v>312</v>
      </c>
      <c r="C24" s="505">
        <v>119008.01</v>
      </c>
      <c r="D24" s="501">
        <v>6663</v>
      </c>
      <c r="E24" s="501">
        <v>3624</v>
      </c>
      <c r="F24" s="501">
        <v>26950</v>
      </c>
      <c r="G24" s="501">
        <v>1153</v>
      </c>
      <c r="H24" s="501">
        <v>11796</v>
      </c>
      <c r="I24" s="501">
        <v>2918</v>
      </c>
      <c r="J24" s="501">
        <v>0</v>
      </c>
      <c r="K24" s="501">
        <v>0</v>
      </c>
      <c r="L24" s="501">
        <v>0</v>
      </c>
      <c r="M24" s="14"/>
      <c r="N24" s="24" t="s">
        <v>312</v>
      </c>
      <c r="O24" s="501">
        <v>39</v>
      </c>
      <c r="P24" s="501">
        <v>175</v>
      </c>
      <c r="Q24" s="501">
        <v>382</v>
      </c>
      <c r="R24" s="501">
        <v>0</v>
      </c>
      <c r="S24" s="501">
        <v>262</v>
      </c>
      <c r="T24" s="501">
        <v>29660</v>
      </c>
      <c r="U24" s="501">
        <v>3838</v>
      </c>
      <c r="V24" s="501">
        <v>54</v>
      </c>
      <c r="W24" s="501">
        <v>1628</v>
      </c>
      <c r="X24" s="501">
        <v>3533</v>
      </c>
      <c r="Y24" s="14"/>
      <c r="Z24" s="24" t="s">
        <v>312</v>
      </c>
      <c r="AA24" s="501">
        <v>0</v>
      </c>
      <c r="AB24" s="501">
        <v>1606</v>
      </c>
      <c r="AC24" s="501">
        <v>0</v>
      </c>
      <c r="AD24" s="501">
        <v>10022</v>
      </c>
      <c r="AE24" s="501">
        <v>2592</v>
      </c>
      <c r="AF24" s="501">
        <v>0</v>
      </c>
      <c r="AG24" s="501">
        <v>754</v>
      </c>
      <c r="AH24" s="501">
        <v>11359.01</v>
      </c>
      <c r="AI24" s="501">
        <v>0</v>
      </c>
      <c r="AK24" s="14"/>
      <c r="AL24" s="24" t="s">
        <v>312</v>
      </c>
      <c r="AM24" s="263">
        <v>16138</v>
      </c>
      <c r="AN24" s="233">
        <v>1382</v>
      </c>
      <c r="AO24" s="233">
        <v>113</v>
      </c>
      <c r="AP24" s="233">
        <v>535</v>
      </c>
      <c r="AQ24" s="233">
        <v>75</v>
      </c>
      <c r="AR24" s="233">
        <v>4470</v>
      </c>
      <c r="AS24" s="233">
        <v>359</v>
      </c>
      <c r="AT24" s="233">
        <v>0</v>
      </c>
      <c r="AU24" s="233">
        <v>0</v>
      </c>
      <c r="AV24" s="233">
        <v>0</v>
      </c>
      <c r="AW24" s="14"/>
      <c r="AX24" s="24" t="s">
        <v>312</v>
      </c>
      <c r="AY24" s="233">
        <v>7</v>
      </c>
      <c r="AZ24" s="233">
        <v>43</v>
      </c>
      <c r="BA24" s="233">
        <v>82</v>
      </c>
      <c r="BB24" s="233">
        <v>0</v>
      </c>
      <c r="BC24" s="233">
        <v>42</v>
      </c>
      <c r="BD24" s="233">
        <v>1239</v>
      </c>
      <c r="BE24" s="233">
        <v>16</v>
      </c>
      <c r="BF24" s="233">
        <v>1</v>
      </c>
      <c r="BG24" s="233">
        <v>0</v>
      </c>
      <c r="BH24" s="233">
        <v>81</v>
      </c>
      <c r="BI24" s="14"/>
      <c r="BJ24" s="24" t="s">
        <v>312</v>
      </c>
      <c r="BK24" s="233">
        <v>0</v>
      </c>
      <c r="BL24" s="233">
        <v>189</v>
      </c>
      <c r="BM24" s="233">
        <v>0</v>
      </c>
      <c r="BN24" s="233">
        <v>73</v>
      </c>
      <c r="BO24" s="233">
        <v>432</v>
      </c>
      <c r="BP24" s="233">
        <v>0</v>
      </c>
      <c r="BQ24" s="233">
        <v>104</v>
      </c>
      <c r="BR24" s="233">
        <v>6895</v>
      </c>
      <c r="BS24" s="233">
        <v>0</v>
      </c>
    </row>
    <row r="25" spans="1:71" ht="11.1" customHeight="1">
      <c r="A25" s="14" t="s">
        <v>356</v>
      </c>
      <c r="B25" s="24" t="s">
        <v>376</v>
      </c>
      <c r="C25" s="505">
        <v>112350.61</v>
      </c>
      <c r="D25" s="501">
        <v>4692.5</v>
      </c>
      <c r="E25" s="501">
        <v>829</v>
      </c>
      <c r="F25" s="501">
        <v>23468.5</v>
      </c>
      <c r="G25" s="501">
        <v>0</v>
      </c>
      <c r="H25" s="501">
        <v>17569</v>
      </c>
      <c r="I25" s="501">
        <v>2226.5</v>
      </c>
      <c r="J25" s="501">
        <v>0</v>
      </c>
      <c r="K25" s="501">
        <v>0</v>
      </c>
      <c r="L25" s="501">
        <v>0</v>
      </c>
      <c r="M25" s="14" t="s">
        <v>356</v>
      </c>
      <c r="N25" s="24" t="s">
        <v>376</v>
      </c>
      <c r="O25" s="501">
        <v>114</v>
      </c>
      <c r="P25" s="501">
        <v>342</v>
      </c>
      <c r="Q25" s="501">
        <v>83.5</v>
      </c>
      <c r="R25" s="501">
        <v>158</v>
      </c>
      <c r="S25" s="501">
        <v>20</v>
      </c>
      <c r="T25" s="501">
        <v>27237</v>
      </c>
      <c r="U25" s="501">
        <v>0</v>
      </c>
      <c r="V25" s="501">
        <v>30</v>
      </c>
      <c r="W25" s="501">
        <v>1186.5</v>
      </c>
      <c r="X25" s="501">
        <v>4678</v>
      </c>
      <c r="Y25" s="14" t="s">
        <v>356</v>
      </c>
      <c r="Z25" s="24" t="s">
        <v>376</v>
      </c>
      <c r="AA25" s="501">
        <v>0</v>
      </c>
      <c r="AB25" s="501">
        <v>6123</v>
      </c>
      <c r="AC25" s="501">
        <v>115</v>
      </c>
      <c r="AD25" s="501">
        <v>12039.5</v>
      </c>
      <c r="AE25" s="501">
        <v>9882.36</v>
      </c>
      <c r="AF25" s="501">
        <v>0</v>
      </c>
      <c r="AG25" s="501">
        <v>0</v>
      </c>
      <c r="AH25" s="501">
        <v>1556.25</v>
      </c>
      <c r="AI25" s="501">
        <v>0</v>
      </c>
      <c r="AK25" s="14" t="s">
        <v>356</v>
      </c>
      <c r="AL25" s="24" t="s">
        <v>376</v>
      </c>
      <c r="AM25" s="263">
        <v>8097.6</v>
      </c>
      <c r="AN25" s="233">
        <v>1029</v>
      </c>
      <c r="AO25" s="233">
        <v>11</v>
      </c>
      <c r="AP25" s="233">
        <v>688</v>
      </c>
      <c r="AQ25" s="233">
        <v>0</v>
      </c>
      <c r="AR25" s="233">
        <v>3213</v>
      </c>
      <c r="AS25" s="233">
        <v>178</v>
      </c>
      <c r="AT25" s="233">
        <v>0</v>
      </c>
      <c r="AU25" s="233">
        <v>0</v>
      </c>
      <c r="AV25" s="233">
        <v>0</v>
      </c>
      <c r="AW25" s="14" t="s">
        <v>356</v>
      </c>
      <c r="AX25" s="24" t="s">
        <v>376</v>
      </c>
      <c r="AY25" s="233">
        <v>69</v>
      </c>
      <c r="AZ25" s="233">
        <v>0</v>
      </c>
      <c r="BA25" s="233">
        <v>0</v>
      </c>
      <c r="BB25" s="233">
        <v>17</v>
      </c>
      <c r="BC25" s="233">
        <v>0</v>
      </c>
      <c r="BD25" s="233">
        <v>1794</v>
      </c>
      <c r="BE25" s="233">
        <v>0</v>
      </c>
      <c r="BF25" s="233">
        <v>0</v>
      </c>
      <c r="BG25" s="233">
        <v>0</v>
      </c>
      <c r="BH25" s="233">
        <v>35</v>
      </c>
      <c r="BI25" s="14" t="s">
        <v>356</v>
      </c>
      <c r="BJ25" s="24" t="s">
        <v>376</v>
      </c>
      <c r="BK25" s="233">
        <v>0</v>
      </c>
      <c r="BL25" s="233">
        <v>271</v>
      </c>
      <c r="BM25" s="233">
        <v>0</v>
      </c>
      <c r="BN25" s="233">
        <v>230</v>
      </c>
      <c r="BO25" s="233">
        <v>547.6</v>
      </c>
      <c r="BP25" s="233">
        <v>0</v>
      </c>
      <c r="BQ25" s="233">
        <v>0</v>
      </c>
      <c r="BR25" s="233">
        <v>15</v>
      </c>
      <c r="BS25" s="233">
        <v>0</v>
      </c>
    </row>
    <row r="26" spans="1:71" ht="11.1" customHeight="1">
      <c r="A26" s="14"/>
      <c r="B26" s="24" t="s">
        <v>312</v>
      </c>
      <c r="C26" s="505">
        <v>84526</v>
      </c>
      <c r="D26" s="501">
        <v>3871</v>
      </c>
      <c r="E26" s="501">
        <v>269</v>
      </c>
      <c r="F26" s="501">
        <v>19959</v>
      </c>
      <c r="G26" s="501">
        <v>0</v>
      </c>
      <c r="H26" s="501">
        <v>12614</v>
      </c>
      <c r="I26" s="501">
        <v>1464</v>
      </c>
      <c r="J26" s="501">
        <v>0</v>
      </c>
      <c r="K26" s="501">
        <v>0</v>
      </c>
      <c r="L26" s="501">
        <v>0</v>
      </c>
      <c r="M26" s="14"/>
      <c r="N26" s="24" t="s">
        <v>312</v>
      </c>
      <c r="O26" s="501">
        <v>16</v>
      </c>
      <c r="P26" s="501">
        <v>499</v>
      </c>
      <c r="Q26" s="501">
        <v>49</v>
      </c>
      <c r="R26" s="501">
        <v>186</v>
      </c>
      <c r="S26" s="501">
        <v>8</v>
      </c>
      <c r="T26" s="501">
        <v>20691</v>
      </c>
      <c r="U26" s="501">
        <v>0</v>
      </c>
      <c r="V26" s="501">
        <v>16</v>
      </c>
      <c r="W26" s="501">
        <v>273</v>
      </c>
      <c r="X26" s="501">
        <v>2657</v>
      </c>
      <c r="Y26" s="14"/>
      <c r="Z26" s="24" t="s">
        <v>312</v>
      </c>
      <c r="AA26" s="501">
        <v>0</v>
      </c>
      <c r="AB26" s="501">
        <v>5829</v>
      </c>
      <c r="AC26" s="501">
        <v>0</v>
      </c>
      <c r="AD26" s="501">
        <v>6514</v>
      </c>
      <c r="AE26" s="501">
        <v>8455</v>
      </c>
      <c r="AF26" s="501">
        <v>0</v>
      </c>
      <c r="AG26" s="501">
        <v>0</v>
      </c>
      <c r="AH26" s="501">
        <v>1156</v>
      </c>
      <c r="AI26" s="501">
        <v>0</v>
      </c>
      <c r="AK26" s="14"/>
      <c r="AL26" s="24" t="s">
        <v>312</v>
      </c>
      <c r="AM26" s="263">
        <v>11389</v>
      </c>
      <c r="AN26" s="233">
        <v>1024</v>
      </c>
      <c r="AO26" s="233">
        <v>99</v>
      </c>
      <c r="AP26" s="233">
        <v>1576</v>
      </c>
      <c r="AQ26" s="233">
        <v>0</v>
      </c>
      <c r="AR26" s="233">
        <v>4251</v>
      </c>
      <c r="AS26" s="233">
        <v>201</v>
      </c>
      <c r="AT26" s="233">
        <v>0</v>
      </c>
      <c r="AU26" s="233">
        <v>0</v>
      </c>
      <c r="AV26" s="233">
        <v>0</v>
      </c>
      <c r="AW26" s="14"/>
      <c r="AX26" s="24" t="s">
        <v>312</v>
      </c>
      <c r="AY26" s="233">
        <v>11</v>
      </c>
      <c r="AZ26" s="233">
        <v>117</v>
      </c>
      <c r="BA26" s="233">
        <v>0</v>
      </c>
      <c r="BB26" s="233">
        <v>3</v>
      </c>
      <c r="BC26" s="233">
        <v>0</v>
      </c>
      <c r="BD26" s="233">
        <v>849</v>
      </c>
      <c r="BE26" s="233">
        <v>0</v>
      </c>
      <c r="BF26" s="233">
        <v>4</v>
      </c>
      <c r="BG26" s="233">
        <v>0</v>
      </c>
      <c r="BH26" s="233">
        <v>106</v>
      </c>
      <c r="BI26" s="14"/>
      <c r="BJ26" s="24" t="s">
        <v>312</v>
      </c>
      <c r="BK26" s="233">
        <v>0</v>
      </c>
      <c r="BL26" s="233">
        <v>1365</v>
      </c>
      <c r="BM26" s="233">
        <v>0</v>
      </c>
      <c r="BN26" s="233">
        <v>433</v>
      </c>
      <c r="BO26" s="233">
        <v>1350</v>
      </c>
      <c r="BP26" s="233">
        <v>0</v>
      </c>
      <c r="BQ26" s="233">
        <v>0</v>
      </c>
      <c r="BR26" s="233">
        <v>0</v>
      </c>
      <c r="BS26" s="233">
        <v>0</v>
      </c>
    </row>
    <row r="27" spans="1:71" ht="11.1" customHeight="1">
      <c r="A27" s="14" t="s">
        <v>503</v>
      </c>
      <c r="B27" s="24" t="s">
        <v>376</v>
      </c>
      <c r="C27" s="505">
        <v>70152</v>
      </c>
      <c r="D27" s="501">
        <v>4395</v>
      </c>
      <c r="E27" s="501">
        <v>8154</v>
      </c>
      <c r="F27" s="501">
        <v>13753.5</v>
      </c>
      <c r="G27" s="501">
        <v>3991.5</v>
      </c>
      <c r="H27" s="501">
        <v>2806.5</v>
      </c>
      <c r="I27" s="501">
        <v>574.5</v>
      </c>
      <c r="J27" s="501">
        <v>42.25</v>
      </c>
      <c r="K27" s="501">
        <v>0</v>
      </c>
      <c r="L27" s="501">
        <v>0</v>
      </c>
      <c r="M27" s="14" t="s">
        <v>503</v>
      </c>
      <c r="N27" s="24" t="s">
        <v>376</v>
      </c>
      <c r="O27" s="501">
        <v>24.5</v>
      </c>
      <c r="P27" s="501">
        <v>392.5</v>
      </c>
      <c r="Q27" s="501">
        <v>73</v>
      </c>
      <c r="R27" s="501">
        <v>26.5</v>
      </c>
      <c r="S27" s="501">
        <v>79.5</v>
      </c>
      <c r="T27" s="501">
        <v>23289</v>
      </c>
      <c r="U27" s="501">
        <v>2161.5</v>
      </c>
      <c r="V27" s="501">
        <v>152.25</v>
      </c>
      <c r="W27" s="501">
        <v>452.25</v>
      </c>
      <c r="X27" s="501">
        <v>946.5</v>
      </c>
      <c r="Y27" s="14" t="s">
        <v>503</v>
      </c>
      <c r="Z27" s="24" t="s">
        <v>376</v>
      </c>
      <c r="AA27" s="501">
        <v>0</v>
      </c>
      <c r="AB27" s="501">
        <v>2401.25</v>
      </c>
      <c r="AC27" s="501">
        <v>0</v>
      </c>
      <c r="AD27" s="501">
        <v>3485.75</v>
      </c>
      <c r="AE27" s="501">
        <v>1923.75</v>
      </c>
      <c r="AF27" s="501">
        <v>156.5</v>
      </c>
      <c r="AG27" s="501">
        <v>0</v>
      </c>
      <c r="AH27" s="501">
        <v>870</v>
      </c>
      <c r="AI27" s="501">
        <v>0</v>
      </c>
      <c r="AK27" s="14" t="s">
        <v>503</v>
      </c>
      <c r="AL27" s="24" t="s">
        <v>376</v>
      </c>
      <c r="AM27" s="263">
        <v>11144.25</v>
      </c>
      <c r="AN27" s="233">
        <v>3336</v>
      </c>
      <c r="AO27" s="233">
        <v>222.5</v>
      </c>
      <c r="AP27" s="233">
        <v>1021</v>
      </c>
      <c r="AQ27" s="233">
        <v>392</v>
      </c>
      <c r="AR27" s="233">
        <v>2112.5</v>
      </c>
      <c r="AS27" s="233">
        <v>15</v>
      </c>
      <c r="AT27" s="233">
        <v>3.5</v>
      </c>
      <c r="AU27" s="233">
        <v>0</v>
      </c>
      <c r="AV27" s="233">
        <v>0</v>
      </c>
      <c r="AW27" s="14" t="s">
        <v>503</v>
      </c>
      <c r="AX27" s="24" t="s">
        <v>376</v>
      </c>
      <c r="AY27" s="233">
        <v>5.5</v>
      </c>
      <c r="AZ27" s="233">
        <v>66</v>
      </c>
      <c r="BA27" s="233">
        <v>12</v>
      </c>
      <c r="BB27" s="233">
        <v>2</v>
      </c>
      <c r="BC27" s="233">
        <v>6.5</v>
      </c>
      <c r="BD27" s="233">
        <v>1891</v>
      </c>
      <c r="BE27" s="233">
        <v>337</v>
      </c>
      <c r="BF27" s="233">
        <v>32.5</v>
      </c>
      <c r="BG27" s="233">
        <v>1</v>
      </c>
      <c r="BH27" s="233">
        <v>0</v>
      </c>
      <c r="BI27" s="14" t="s">
        <v>503</v>
      </c>
      <c r="BJ27" s="24" t="s">
        <v>376</v>
      </c>
      <c r="BK27" s="233">
        <v>0</v>
      </c>
      <c r="BL27" s="233">
        <v>395</v>
      </c>
      <c r="BM27" s="233">
        <v>0</v>
      </c>
      <c r="BN27" s="233">
        <v>283</v>
      </c>
      <c r="BO27" s="233">
        <v>614.25</v>
      </c>
      <c r="BP27" s="233">
        <v>42</v>
      </c>
      <c r="BQ27" s="233">
        <v>0</v>
      </c>
      <c r="BR27" s="233">
        <v>354</v>
      </c>
      <c r="BS27" s="233">
        <v>0</v>
      </c>
    </row>
    <row r="28" spans="1:71" ht="11.1" customHeight="1">
      <c r="A28" s="14"/>
      <c r="B28" s="24" t="s">
        <v>312</v>
      </c>
      <c r="C28" s="505">
        <v>69779.75</v>
      </c>
      <c r="D28" s="501">
        <v>3955</v>
      </c>
      <c r="E28" s="501">
        <v>7958.75</v>
      </c>
      <c r="F28" s="501">
        <v>14224.5</v>
      </c>
      <c r="G28" s="501">
        <v>3982</v>
      </c>
      <c r="H28" s="501">
        <v>2791</v>
      </c>
      <c r="I28" s="501">
        <v>605</v>
      </c>
      <c r="J28" s="501">
        <v>39.25</v>
      </c>
      <c r="K28" s="501">
        <v>0</v>
      </c>
      <c r="L28" s="501">
        <v>0</v>
      </c>
      <c r="M28" s="14"/>
      <c r="N28" s="24" t="s">
        <v>312</v>
      </c>
      <c r="O28" s="501">
        <v>19</v>
      </c>
      <c r="P28" s="501">
        <v>486</v>
      </c>
      <c r="Q28" s="501">
        <v>72.25</v>
      </c>
      <c r="R28" s="501">
        <v>33</v>
      </c>
      <c r="S28" s="501">
        <v>81.5</v>
      </c>
      <c r="T28" s="501">
        <v>22919</v>
      </c>
      <c r="U28" s="501">
        <v>2142</v>
      </c>
      <c r="V28" s="501">
        <v>155.5</v>
      </c>
      <c r="W28" s="501">
        <v>519.5</v>
      </c>
      <c r="X28" s="501">
        <v>1001</v>
      </c>
      <c r="Y28" s="14"/>
      <c r="Z28" s="24" t="s">
        <v>312</v>
      </c>
      <c r="AA28" s="501">
        <v>0</v>
      </c>
      <c r="AB28" s="501">
        <v>2490</v>
      </c>
      <c r="AC28" s="501">
        <v>0</v>
      </c>
      <c r="AD28" s="501">
        <v>3424.25</v>
      </c>
      <c r="AE28" s="501">
        <v>1756.25</v>
      </c>
      <c r="AF28" s="501">
        <v>167</v>
      </c>
      <c r="AG28" s="501">
        <v>0</v>
      </c>
      <c r="AH28" s="501">
        <v>958</v>
      </c>
      <c r="AI28" s="501">
        <v>0</v>
      </c>
      <c r="AK28" s="14"/>
      <c r="AL28" s="24" t="s">
        <v>312</v>
      </c>
      <c r="AM28" s="263">
        <v>10104</v>
      </c>
      <c r="AN28" s="233">
        <v>3076</v>
      </c>
      <c r="AO28" s="233">
        <v>233.5</v>
      </c>
      <c r="AP28" s="233">
        <v>1121</v>
      </c>
      <c r="AQ28" s="233">
        <v>370</v>
      </c>
      <c r="AR28" s="233">
        <v>2011</v>
      </c>
      <c r="AS28" s="233">
        <v>15</v>
      </c>
      <c r="AT28" s="233">
        <v>3.5</v>
      </c>
      <c r="AU28" s="233">
        <v>0</v>
      </c>
      <c r="AV28" s="233">
        <v>0</v>
      </c>
      <c r="AW28" s="14"/>
      <c r="AX28" s="24" t="s">
        <v>312</v>
      </c>
      <c r="AY28" s="233">
        <v>3.5</v>
      </c>
      <c r="AZ28" s="233">
        <v>125</v>
      </c>
      <c r="BA28" s="233">
        <v>12.25</v>
      </c>
      <c r="BB28" s="233">
        <v>0</v>
      </c>
      <c r="BC28" s="233">
        <v>5</v>
      </c>
      <c r="BD28" s="233">
        <v>1297</v>
      </c>
      <c r="BE28" s="233">
        <v>334</v>
      </c>
      <c r="BF28" s="233">
        <v>32.5</v>
      </c>
      <c r="BG28" s="233">
        <v>3</v>
      </c>
      <c r="BH28" s="233">
        <v>4</v>
      </c>
      <c r="BI28" s="14"/>
      <c r="BJ28" s="24" t="s">
        <v>312</v>
      </c>
      <c r="BK28" s="233">
        <v>0</v>
      </c>
      <c r="BL28" s="233">
        <v>325</v>
      </c>
      <c r="BM28" s="233">
        <v>0</v>
      </c>
      <c r="BN28" s="233">
        <v>277.25</v>
      </c>
      <c r="BO28" s="233">
        <v>427.5</v>
      </c>
      <c r="BP28" s="233">
        <v>43</v>
      </c>
      <c r="BQ28" s="233">
        <v>0</v>
      </c>
      <c r="BR28" s="233">
        <v>385</v>
      </c>
      <c r="BS28" s="233">
        <v>0</v>
      </c>
    </row>
    <row r="29" spans="1:71" ht="11.1" customHeight="1">
      <c r="A29" s="14" t="s">
        <v>357</v>
      </c>
      <c r="B29" s="24" t="s">
        <v>376</v>
      </c>
      <c r="C29" s="505">
        <v>16513.3</v>
      </c>
      <c r="D29" s="501">
        <v>0</v>
      </c>
      <c r="E29" s="501">
        <v>5637.3</v>
      </c>
      <c r="F29" s="501">
        <v>15</v>
      </c>
      <c r="G29" s="501">
        <v>0</v>
      </c>
      <c r="H29" s="501">
        <v>0</v>
      </c>
      <c r="I29" s="501">
        <v>15</v>
      </c>
      <c r="J29" s="501">
        <v>62.4</v>
      </c>
      <c r="K29" s="501">
        <v>0</v>
      </c>
      <c r="L29" s="501">
        <v>5.2</v>
      </c>
      <c r="M29" s="14" t="s">
        <v>357</v>
      </c>
      <c r="N29" s="24" t="s">
        <v>376</v>
      </c>
      <c r="O29" s="501">
        <v>337</v>
      </c>
      <c r="P29" s="501">
        <v>229</v>
      </c>
      <c r="Q29" s="501">
        <v>0</v>
      </c>
      <c r="R29" s="501">
        <v>0</v>
      </c>
      <c r="S29" s="501">
        <v>485.3</v>
      </c>
      <c r="T29" s="501">
        <v>73.3</v>
      </c>
      <c r="U29" s="501">
        <v>276</v>
      </c>
      <c r="V29" s="501">
        <v>849</v>
      </c>
      <c r="W29" s="501">
        <v>2</v>
      </c>
      <c r="X29" s="501">
        <v>5</v>
      </c>
      <c r="Y29" s="14" t="s">
        <v>357</v>
      </c>
      <c r="Z29" s="24" t="s">
        <v>376</v>
      </c>
      <c r="AA29" s="501">
        <v>166</v>
      </c>
      <c r="AB29" s="501">
        <v>10.5</v>
      </c>
      <c r="AC29" s="501">
        <v>123.3</v>
      </c>
      <c r="AD29" s="501">
        <v>38</v>
      </c>
      <c r="AE29" s="501">
        <v>28</v>
      </c>
      <c r="AF29" s="501">
        <v>35</v>
      </c>
      <c r="AG29" s="501">
        <v>0</v>
      </c>
      <c r="AH29" s="501">
        <v>0</v>
      </c>
      <c r="AI29" s="501">
        <v>8121</v>
      </c>
      <c r="AK29" s="14" t="s">
        <v>357</v>
      </c>
      <c r="AL29" s="24" t="s">
        <v>376</v>
      </c>
      <c r="AM29" s="263">
        <v>2202</v>
      </c>
      <c r="AN29" s="233">
        <v>0</v>
      </c>
      <c r="AO29" s="233">
        <v>915</v>
      </c>
      <c r="AP29" s="233">
        <v>5</v>
      </c>
      <c r="AQ29" s="233">
        <v>0</v>
      </c>
      <c r="AR29" s="233">
        <v>0</v>
      </c>
      <c r="AS29" s="233">
        <v>0</v>
      </c>
      <c r="AT29" s="233">
        <v>4</v>
      </c>
      <c r="AU29" s="233">
        <v>0</v>
      </c>
      <c r="AV29" s="233">
        <v>0</v>
      </c>
      <c r="AW29" s="14" t="s">
        <v>357</v>
      </c>
      <c r="AX29" s="24" t="s">
        <v>376</v>
      </c>
      <c r="AY29" s="233">
        <v>33</v>
      </c>
      <c r="AZ29" s="233">
        <v>30</v>
      </c>
      <c r="BA29" s="233">
        <v>0</v>
      </c>
      <c r="BB29" s="233">
        <v>0</v>
      </c>
      <c r="BC29" s="233">
        <v>330</v>
      </c>
      <c r="BD29" s="233">
        <v>0</v>
      </c>
      <c r="BE29" s="233">
        <v>12</v>
      </c>
      <c r="BF29" s="233">
        <v>148</v>
      </c>
      <c r="BG29" s="233">
        <v>0</v>
      </c>
      <c r="BH29" s="233">
        <v>0</v>
      </c>
      <c r="BI29" s="14" t="s">
        <v>357</v>
      </c>
      <c r="BJ29" s="24" t="s">
        <v>376</v>
      </c>
      <c r="BK29" s="233">
        <v>6</v>
      </c>
      <c r="BL29" s="233">
        <v>0</v>
      </c>
      <c r="BM29" s="233">
        <v>30</v>
      </c>
      <c r="BN29" s="233">
        <v>12</v>
      </c>
      <c r="BO29" s="233">
        <v>13</v>
      </c>
      <c r="BP29" s="233">
        <v>35</v>
      </c>
      <c r="BQ29" s="233">
        <v>0</v>
      </c>
      <c r="BR29" s="233">
        <v>0</v>
      </c>
      <c r="BS29" s="233">
        <v>629</v>
      </c>
    </row>
    <row r="30" spans="1:71" ht="11.1" customHeight="1">
      <c r="A30" s="14"/>
      <c r="B30" s="24" t="s">
        <v>312</v>
      </c>
      <c r="C30" s="505">
        <v>11595.25</v>
      </c>
      <c r="D30" s="501">
        <v>0</v>
      </c>
      <c r="E30" s="501">
        <v>7227</v>
      </c>
      <c r="F30" s="501">
        <v>25</v>
      </c>
      <c r="G30" s="501">
        <v>0</v>
      </c>
      <c r="H30" s="501">
        <v>0</v>
      </c>
      <c r="I30" s="501">
        <v>2</v>
      </c>
      <c r="J30" s="501">
        <v>69</v>
      </c>
      <c r="K30" s="501">
        <v>0</v>
      </c>
      <c r="L30" s="501">
        <v>4.5</v>
      </c>
      <c r="M30" s="14"/>
      <c r="N30" s="24" t="s">
        <v>312</v>
      </c>
      <c r="O30" s="501">
        <v>308.5</v>
      </c>
      <c r="P30" s="501">
        <v>107.25</v>
      </c>
      <c r="Q30" s="501">
        <v>8</v>
      </c>
      <c r="R30" s="501">
        <v>1</v>
      </c>
      <c r="S30" s="501">
        <v>431</v>
      </c>
      <c r="T30" s="501">
        <v>64</v>
      </c>
      <c r="U30" s="501">
        <v>145</v>
      </c>
      <c r="V30" s="501">
        <v>302.5</v>
      </c>
      <c r="W30" s="501">
        <v>11</v>
      </c>
      <c r="X30" s="501">
        <v>0</v>
      </c>
      <c r="Y30" s="14"/>
      <c r="Z30" s="24" t="s">
        <v>312</v>
      </c>
      <c r="AA30" s="501">
        <v>204.5</v>
      </c>
      <c r="AB30" s="501">
        <v>11</v>
      </c>
      <c r="AC30" s="501">
        <v>42</v>
      </c>
      <c r="AD30" s="501">
        <v>59</v>
      </c>
      <c r="AE30" s="501">
        <v>28.5</v>
      </c>
      <c r="AF30" s="501">
        <v>0</v>
      </c>
      <c r="AG30" s="501">
        <v>0</v>
      </c>
      <c r="AH30" s="501">
        <v>0</v>
      </c>
      <c r="AI30" s="501">
        <v>2544.5</v>
      </c>
      <c r="AK30" s="14"/>
      <c r="AL30" s="24" t="s">
        <v>312</v>
      </c>
      <c r="AM30" s="263">
        <v>3652.5</v>
      </c>
      <c r="AN30" s="233">
        <v>0</v>
      </c>
      <c r="AO30" s="233">
        <v>3218.5</v>
      </c>
      <c r="AP30" s="233">
        <v>0</v>
      </c>
      <c r="AQ30" s="233">
        <v>0</v>
      </c>
      <c r="AR30" s="233">
        <v>0</v>
      </c>
      <c r="AS30" s="233">
        <v>0</v>
      </c>
      <c r="AT30" s="233">
        <v>11</v>
      </c>
      <c r="AU30" s="233">
        <v>0</v>
      </c>
      <c r="AV30" s="233">
        <v>0</v>
      </c>
      <c r="AW30" s="14"/>
      <c r="AX30" s="24" t="s">
        <v>312</v>
      </c>
      <c r="AY30" s="233">
        <v>18.5</v>
      </c>
      <c r="AZ30" s="233">
        <v>17</v>
      </c>
      <c r="BA30" s="233">
        <v>0</v>
      </c>
      <c r="BB30" s="233">
        <v>0</v>
      </c>
      <c r="BC30" s="233">
        <v>110</v>
      </c>
      <c r="BD30" s="233">
        <v>0</v>
      </c>
      <c r="BE30" s="233">
        <v>37</v>
      </c>
      <c r="BF30" s="233">
        <v>40</v>
      </c>
      <c r="BG30" s="233">
        <v>0</v>
      </c>
      <c r="BH30" s="233">
        <v>0</v>
      </c>
      <c r="BI30" s="14"/>
      <c r="BJ30" s="24" t="s">
        <v>312</v>
      </c>
      <c r="BK30" s="233">
        <v>40</v>
      </c>
      <c r="BL30" s="233">
        <v>0</v>
      </c>
      <c r="BM30" s="233">
        <v>10</v>
      </c>
      <c r="BN30" s="233">
        <v>3</v>
      </c>
      <c r="BO30" s="233">
        <v>8</v>
      </c>
      <c r="BP30" s="233">
        <v>0</v>
      </c>
      <c r="BQ30" s="233">
        <v>0</v>
      </c>
      <c r="BR30" s="233">
        <v>0</v>
      </c>
      <c r="BS30" s="233">
        <v>139.5</v>
      </c>
    </row>
    <row r="31" spans="1:71" ht="11.1" customHeight="1">
      <c r="A31" s="14" t="s">
        <v>504</v>
      </c>
      <c r="B31" s="24" t="s">
        <v>376</v>
      </c>
      <c r="C31" s="505">
        <v>82463</v>
      </c>
      <c r="D31" s="501">
        <v>3814</v>
      </c>
      <c r="E31" s="501">
        <v>4875</v>
      </c>
      <c r="F31" s="501">
        <v>15432</v>
      </c>
      <c r="G31" s="501">
        <v>427</v>
      </c>
      <c r="H31" s="501">
        <v>8820</v>
      </c>
      <c r="I31" s="501">
        <v>1681</v>
      </c>
      <c r="J31" s="501">
        <v>120</v>
      </c>
      <c r="K31" s="501">
        <v>0</v>
      </c>
      <c r="L31" s="501">
        <v>0</v>
      </c>
      <c r="M31" s="14" t="s">
        <v>504</v>
      </c>
      <c r="N31" s="24" t="s">
        <v>376</v>
      </c>
      <c r="O31" s="501">
        <v>4</v>
      </c>
      <c r="P31" s="501">
        <v>118</v>
      </c>
      <c r="Q31" s="501">
        <v>830</v>
      </c>
      <c r="R31" s="501">
        <v>360</v>
      </c>
      <c r="S31" s="501">
        <v>81</v>
      </c>
      <c r="T31" s="501">
        <v>21691</v>
      </c>
      <c r="U31" s="501">
        <v>5882</v>
      </c>
      <c r="V31" s="501">
        <v>0</v>
      </c>
      <c r="W31" s="501">
        <v>592</v>
      </c>
      <c r="X31" s="501">
        <v>2205</v>
      </c>
      <c r="Y31" s="14" t="s">
        <v>504</v>
      </c>
      <c r="Z31" s="24" t="s">
        <v>376</v>
      </c>
      <c r="AA31" s="501">
        <v>0</v>
      </c>
      <c r="AB31" s="501">
        <v>3067</v>
      </c>
      <c r="AC31" s="501">
        <v>0</v>
      </c>
      <c r="AD31" s="501">
        <v>3867</v>
      </c>
      <c r="AE31" s="501">
        <v>3866</v>
      </c>
      <c r="AF31" s="501">
        <v>0</v>
      </c>
      <c r="AG31" s="501">
        <v>229</v>
      </c>
      <c r="AH31" s="501">
        <v>4502</v>
      </c>
      <c r="AI31" s="501">
        <v>0</v>
      </c>
      <c r="AK31" s="14" t="s">
        <v>504</v>
      </c>
      <c r="AL31" s="24" t="s">
        <v>376</v>
      </c>
      <c r="AM31" s="263">
        <v>11127</v>
      </c>
      <c r="AN31" s="233">
        <v>1460</v>
      </c>
      <c r="AO31" s="233">
        <v>27</v>
      </c>
      <c r="AP31" s="233">
        <v>1321</v>
      </c>
      <c r="AQ31" s="233">
        <v>162</v>
      </c>
      <c r="AR31" s="233">
        <v>4085</v>
      </c>
      <c r="AS31" s="233">
        <v>472</v>
      </c>
      <c r="AT31" s="233">
        <v>0</v>
      </c>
      <c r="AU31" s="233">
        <v>0</v>
      </c>
      <c r="AV31" s="233">
        <v>0</v>
      </c>
      <c r="AW31" s="14" t="s">
        <v>504</v>
      </c>
      <c r="AX31" s="24" t="s">
        <v>376</v>
      </c>
      <c r="AY31" s="233">
        <v>0</v>
      </c>
      <c r="AZ31" s="233">
        <v>1</v>
      </c>
      <c r="BA31" s="233">
        <v>96</v>
      </c>
      <c r="BB31" s="233">
        <v>53</v>
      </c>
      <c r="BC31" s="233">
        <v>10</v>
      </c>
      <c r="BD31" s="233">
        <v>724</v>
      </c>
      <c r="BE31" s="233">
        <v>749</v>
      </c>
      <c r="BF31" s="233">
        <v>0</v>
      </c>
      <c r="BG31" s="233">
        <v>1</v>
      </c>
      <c r="BH31" s="233">
        <v>0</v>
      </c>
      <c r="BI31" s="14" t="s">
        <v>504</v>
      </c>
      <c r="BJ31" s="24" t="s">
        <v>376</v>
      </c>
      <c r="BK31" s="233">
        <v>0</v>
      </c>
      <c r="BL31" s="233">
        <v>859</v>
      </c>
      <c r="BM31" s="233">
        <v>0</v>
      </c>
      <c r="BN31" s="233">
        <v>115</v>
      </c>
      <c r="BO31" s="233">
        <v>112</v>
      </c>
      <c r="BP31" s="233">
        <v>0</v>
      </c>
      <c r="BQ31" s="233">
        <v>57</v>
      </c>
      <c r="BR31" s="233">
        <v>823</v>
      </c>
      <c r="BS31" s="233">
        <v>0</v>
      </c>
    </row>
    <row r="32" spans="1:71" ht="11.1" customHeight="1">
      <c r="A32" s="14"/>
      <c r="B32" s="24" t="s">
        <v>312</v>
      </c>
      <c r="C32" s="505">
        <v>82077</v>
      </c>
      <c r="D32" s="501">
        <v>2953</v>
      </c>
      <c r="E32" s="501">
        <v>4958</v>
      </c>
      <c r="F32" s="501">
        <v>14844</v>
      </c>
      <c r="G32" s="501">
        <v>408</v>
      </c>
      <c r="H32" s="501">
        <v>8050</v>
      </c>
      <c r="I32" s="501">
        <v>2075</v>
      </c>
      <c r="J32" s="501">
        <v>0</v>
      </c>
      <c r="K32" s="501">
        <v>0</v>
      </c>
      <c r="L32" s="501">
        <v>0</v>
      </c>
      <c r="M32" s="14"/>
      <c r="N32" s="24" t="s">
        <v>312</v>
      </c>
      <c r="O32" s="501">
        <v>5</v>
      </c>
      <c r="P32" s="501">
        <v>170</v>
      </c>
      <c r="Q32" s="501">
        <v>801</v>
      </c>
      <c r="R32" s="501">
        <v>440</v>
      </c>
      <c r="S32" s="501">
        <v>76</v>
      </c>
      <c r="T32" s="501">
        <v>21787</v>
      </c>
      <c r="U32" s="501">
        <v>6485</v>
      </c>
      <c r="V32" s="501">
        <v>0</v>
      </c>
      <c r="W32" s="501">
        <v>574</v>
      </c>
      <c r="X32" s="501">
        <v>2346</v>
      </c>
      <c r="Y32" s="14"/>
      <c r="Z32" s="24" t="s">
        <v>312</v>
      </c>
      <c r="AA32" s="501">
        <v>0</v>
      </c>
      <c r="AB32" s="501">
        <v>3117</v>
      </c>
      <c r="AC32" s="501">
        <v>0</v>
      </c>
      <c r="AD32" s="501">
        <v>3905</v>
      </c>
      <c r="AE32" s="501">
        <v>3884</v>
      </c>
      <c r="AF32" s="501">
        <v>0</v>
      </c>
      <c r="AG32" s="501">
        <v>392</v>
      </c>
      <c r="AH32" s="501">
        <v>4807</v>
      </c>
      <c r="AI32" s="501">
        <v>0</v>
      </c>
      <c r="AK32" s="14"/>
      <c r="AL32" s="24" t="s">
        <v>312</v>
      </c>
      <c r="AM32" s="263">
        <v>8914</v>
      </c>
      <c r="AN32" s="233">
        <v>860</v>
      </c>
      <c r="AO32" s="233">
        <v>26</v>
      </c>
      <c r="AP32" s="233">
        <v>663</v>
      </c>
      <c r="AQ32" s="233">
        <v>163</v>
      </c>
      <c r="AR32" s="233">
        <v>2862</v>
      </c>
      <c r="AS32" s="233">
        <v>606</v>
      </c>
      <c r="AT32" s="233">
        <v>0</v>
      </c>
      <c r="AU32" s="233">
        <v>0</v>
      </c>
      <c r="AV32" s="233">
        <v>0</v>
      </c>
      <c r="AW32" s="14"/>
      <c r="AX32" s="24" t="s">
        <v>312</v>
      </c>
      <c r="AY32" s="233">
        <v>2</v>
      </c>
      <c r="AZ32" s="233">
        <v>16</v>
      </c>
      <c r="BA32" s="233">
        <v>84</v>
      </c>
      <c r="BB32" s="233">
        <v>46</v>
      </c>
      <c r="BC32" s="233">
        <v>6</v>
      </c>
      <c r="BD32" s="233">
        <v>723</v>
      </c>
      <c r="BE32" s="233">
        <v>1012</v>
      </c>
      <c r="BF32" s="233">
        <v>0</v>
      </c>
      <c r="BG32" s="233">
        <v>0</v>
      </c>
      <c r="BH32" s="233">
        <v>10</v>
      </c>
      <c r="BI32" s="14"/>
      <c r="BJ32" s="24" t="s">
        <v>312</v>
      </c>
      <c r="BK32" s="233">
        <v>0</v>
      </c>
      <c r="BL32" s="233">
        <v>550</v>
      </c>
      <c r="BM32" s="233">
        <v>0</v>
      </c>
      <c r="BN32" s="233">
        <v>90</v>
      </c>
      <c r="BO32" s="233">
        <v>83</v>
      </c>
      <c r="BP32" s="233">
        <v>0</v>
      </c>
      <c r="BQ32" s="233">
        <v>51</v>
      </c>
      <c r="BR32" s="233">
        <v>1061</v>
      </c>
      <c r="BS32" s="233">
        <v>0</v>
      </c>
    </row>
    <row r="33" spans="1:71" ht="11.1" customHeight="1">
      <c r="A33" s="14" t="s">
        <v>416</v>
      </c>
      <c r="B33" s="24" t="s">
        <v>376</v>
      </c>
      <c r="C33" s="505">
        <v>95155</v>
      </c>
      <c r="D33" s="501">
        <v>5280</v>
      </c>
      <c r="E33" s="501">
        <v>2324.5</v>
      </c>
      <c r="F33" s="501">
        <v>15262.5</v>
      </c>
      <c r="G33" s="501">
        <v>25699.5</v>
      </c>
      <c r="H33" s="501">
        <v>10621</v>
      </c>
      <c r="I33" s="501">
        <v>181</v>
      </c>
      <c r="J33" s="501">
        <v>104.5</v>
      </c>
      <c r="K33" s="501">
        <v>156</v>
      </c>
      <c r="L33" s="501">
        <v>424</v>
      </c>
      <c r="M33" s="14" t="s">
        <v>416</v>
      </c>
      <c r="N33" s="24" t="s">
        <v>376</v>
      </c>
      <c r="O33" s="501">
        <v>61</v>
      </c>
      <c r="P33" s="501">
        <v>287</v>
      </c>
      <c r="Q33" s="501">
        <v>374</v>
      </c>
      <c r="R33" s="501">
        <v>156</v>
      </c>
      <c r="S33" s="501">
        <v>96</v>
      </c>
      <c r="T33" s="501">
        <v>20148.5</v>
      </c>
      <c r="U33" s="501">
        <v>660.5</v>
      </c>
      <c r="V33" s="501">
        <v>267.5</v>
      </c>
      <c r="W33" s="501">
        <v>1125</v>
      </c>
      <c r="X33" s="501">
        <v>1749</v>
      </c>
      <c r="Y33" s="14" t="s">
        <v>416</v>
      </c>
      <c r="Z33" s="24" t="s">
        <v>376</v>
      </c>
      <c r="AA33" s="501">
        <v>77</v>
      </c>
      <c r="AB33" s="501">
        <v>1701</v>
      </c>
      <c r="AC33" s="501">
        <v>0</v>
      </c>
      <c r="AD33" s="501">
        <v>5279.5</v>
      </c>
      <c r="AE33" s="501">
        <v>1616</v>
      </c>
      <c r="AF33" s="501">
        <v>1172</v>
      </c>
      <c r="AG33" s="501">
        <v>17</v>
      </c>
      <c r="AH33" s="501">
        <v>265</v>
      </c>
      <c r="AI33" s="501">
        <v>50</v>
      </c>
      <c r="AK33" s="14" t="s">
        <v>416</v>
      </c>
      <c r="AL33" s="24" t="s">
        <v>376</v>
      </c>
      <c r="AM33" s="263">
        <v>37037.5</v>
      </c>
      <c r="AN33" s="233">
        <v>5280</v>
      </c>
      <c r="AO33" s="233">
        <v>670</v>
      </c>
      <c r="AP33" s="233">
        <v>2885.5</v>
      </c>
      <c r="AQ33" s="233">
        <v>12357</v>
      </c>
      <c r="AR33" s="233">
        <v>8396</v>
      </c>
      <c r="AS33" s="233">
        <v>128</v>
      </c>
      <c r="AT33" s="233">
        <v>10.5</v>
      </c>
      <c r="AU33" s="233">
        <v>0</v>
      </c>
      <c r="AV33" s="233">
        <v>0</v>
      </c>
      <c r="AW33" s="14" t="s">
        <v>416</v>
      </c>
      <c r="AX33" s="24" t="s">
        <v>376</v>
      </c>
      <c r="AY33" s="233">
        <v>12.5</v>
      </c>
      <c r="AZ33" s="233">
        <v>58.5</v>
      </c>
      <c r="BA33" s="233">
        <v>102</v>
      </c>
      <c r="BB33" s="233">
        <v>50</v>
      </c>
      <c r="BC33" s="233">
        <v>15</v>
      </c>
      <c r="BD33" s="233">
        <v>3168</v>
      </c>
      <c r="BE33" s="233">
        <v>72</v>
      </c>
      <c r="BF33" s="233">
        <v>35</v>
      </c>
      <c r="BG33" s="233">
        <v>74</v>
      </c>
      <c r="BH33" s="233">
        <v>101</v>
      </c>
      <c r="BI33" s="14" t="s">
        <v>416</v>
      </c>
      <c r="BJ33" s="24" t="s">
        <v>376</v>
      </c>
      <c r="BK33" s="233">
        <v>30</v>
      </c>
      <c r="BL33" s="233">
        <v>254</v>
      </c>
      <c r="BM33" s="233">
        <v>0</v>
      </c>
      <c r="BN33" s="233">
        <v>1558</v>
      </c>
      <c r="BO33" s="233">
        <v>1367.5</v>
      </c>
      <c r="BP33" s="233">
        <v>242.5</v>
      </c>
      <c r="BQ33" s="233">
        <v>5</v>
      </c>
      <c r="BR33" s="233">
        <v>130.5</v>
      </c>
      <c r="BS33" s="233">
        <v>35</v>
      </c>
    </row>
    <row r="34" spans="1:71" ht="11.1" customHeight="1">
      <c r="A34" s="14"/>
      <c r="B34" s="24" t="s">
        <v>312</v>
      </c>
      <c r="C34" s="505">
        <v>93491.7</v>
      </c>
      <c r="D34" s="501">
        <v>6506</v>
      </c>
      <c r="E34" s="501">
        <v>2812.7</v>
      </c>
      <c r="F34" s="501">
        <v>14722.5</v>
      </c>
      <c r="G34" s="501">
        <v>25009</v>
      </c>
      <c r="H34" s="501">
        <v>10562</v>
      </c>
      <c r="I34" s="501">
        <v>123</v>
      </c>
      <c r="J34" s="501">
        <v>61</v>
      </c>
      <c r="K34" s="501">
        <v>0</v>
      </c>
      <c r="L34" s="501">
        <v>2</v>
      </c>
      <c r="M34" s="14"/>
      <c r="N34" s="24" t="s">
        <v>312</v>
      </c>
      <c r="O34" s="501">
        <v>80</v>
      </c>
      <c r="P34" s="501">
        <v>313</v>
      </c>
      <c r="Q34" s="501">
        <v>317</v>
      </c>
      <c r="R34" s="501">
        <v>144</v>
      </c>
      <c r="S34" s="501">
        <v>224</v>
      </c>
      <c r="T34" s="501">
        <v>20032.5</v>
      </c>
      <c r="U34" s="501">
        <v>648</v>
      </c>
      <c r="V34" s="501">
        <v>159.5</v>
      </c>
      <c r="W34" s="501">
        <v>962</v>
      </c>
      <c r="X34" s="501">
        <v>1544</v>
      </c>
      <c r="Y34" s="14"/>
      <c r="Z34" s="24" t="s">
        <v>312</v>
      </c>
      <c r="AA34" s="501">
        <v>30</v>
      </c>
      <c r="AB34" s="501">
        <v>1812.5</v>
      </c>
      <c r="AC34" s="501">
        <v>3</v>
      </c>
      <c r="AD34" s="501">
        <v>4545</v>
      </c>
      <c r="AE34" s="501">
        <v>1416.5</v>
      </c>
      <c r="AF34" s="501">
        <v>1214</v>
      </c>
      <c r="AG34" s="501">
        <v>30</v>
      </c>
      <c r="AH34" s="501">
        <v>218.5</v>
      </c>
      <c r="AI34" s="501">
        <v>0</v>
      </c>
      <c r="AK34" s="14"/>
      <c r="AL34" s="24" t="s">
        <v>312</v>
      </c>
      <c r="AM34" s="263">
        <v>35274</v>
      </c>
      <c r="AN34" s="233">
        <v>6441</v>
      </c>
      <c r="AO34" s="233">
        <v>643</v>
      </c>
      <c r="AP34" s="233">
        <v>2501</v>
      </c>
      <c r="AQ34" s="233">
        <v>11680</v>
      </c>
      <c r="AR34" s="233">
        <v>8213</v>
      </c>
      <c r="AS34" s="233">
        <v>108</v>
      </c>
      <c r="AT34" s="233">
        <v>12</v>
      </c>
      <c r="AU34" s="233">
        <v>0</v>
      </c>
      <c r="AV34" s="233">
        <v>0</v>
      </c>
      <c r="AW34" s="14"/>
      <c r="AX34" s="24" t="s">
        <v>312</v>
      </c>
      <c r="AY34" s="233">
        <v>9</v>
      </c>
      <c r="AZ34" s="233">
        <v>81.5</v>
      </c>
      <c r="BA34" s="233">
        <v>94</v>
      </c>
      <c r="BB34" s="233">
        <v>44</v>
      </c>
      <c r="BC34" s="233">
        <v>23.5</v>
      </c>
      <c r="BD34" s="233">
        <v>2095</v>
      </c>
      <c r="BE34" s="233">
        <v>93</v>
      </c>
      <c r="BF34" s="233">
        <v>18.5</v>
      </c>
      <c r="BG34" s="233">
        <v>56</v>
      </c>
      <c r="BH34" s="233">
        <v>103</v>
      </c>
      <c r="BI34" s="14"/>
      <c r="BJ34" s="24" t="s">
        <v>312</v>
      </c>
      <c r="BK34" s="233">
        <v>6</v>
      </c>
      <c r="BL34" s="233">
        <v>259</v>
      </c>
      <c r="BM34" s="233">
        <v>1</v>
      </c>
      <c r="BN34" s="233">
        <v>1184</v>
      </c>
      <c r="BO34" s="233">
        <v>1263</v>
      </c>
      <c r="BP34" s="233">
        <v>221</v>
      </c>
      <c r="BQ34" s="233">
        <v>20</v>
      </c>
      <c r="BR34" s="233">
        <v>104.5</v>
      </c>
      <c r="BS34" s="233">
        <v>0</v>
      </c>
    </row>
    <row r="35" spans="1:71" ht="11.1" customHeight="1">
      <c r="A35" s="14" t="s">
        <v>417</v>
      </c>
      <c r="B35" s="24" t="s">
        <v>376</v>
      </c>
      <c r="C35" s="505">
        <v>14253</v>
      </c>
      <c r="D35" s="501">
        <v>0</v>
      </c>
      <c r="E35" s="501">
        <v>2612</v>
      </c>
      <c r="F35" s="501">
        <v>1644</v>
      </c>
      <c r="G35" s="501">
        <v>3759</v>
      </c>
      <c r="H35" s="501">
        <v>0</v>
      </c>
      <c r="I35" s="501">
        <v>77</v>
      </c>
      <c r="J35" s="501">
        <v>10</v>
      </c>
      <c r="K35" s="501">
        <v>0</v>
      </c>
      <c r="L35" s="501">
        <v>2</v>
      </c>
      <c r="M35" s="14" t="s">
        <v>417</v>
      </c>
      <c r="N35" s="24" t="s">
        <v>376</v>
      </c>
      <c r="O35" s="501">
        <v>59</v>
      </c>
      <c r="P35" s="501">
        <v>14</v>
      </c>
      <c r="Q35" s="501">
        <v>43</v>
      </c>
      <c r="R35" s="501">
        <v>0</v>
      </c>
      <c r="S35" s="501">
        <v>147</v>
      </c>
      <c r="T35" s="501">
        <v>350</v>
      </c>
      <c r="U35" s="501">
        <v>133</v>
      </c>
      <c r="V35" s="501">
        <v>575</v>
      </c>
      <c r="W35" s="501">
        <v>0</v>
      </c>
      <c r="X35" s="501">
        <v>290</v>
      </c>
      <c r="Y35" s="14" t="s">
        <v>417</v>
      </c>
      <c r="Z35" s="24" t="s">
        <v>376</v>
      </c>
      <c r="AA35" s="501">
        <v>5</v>
      </c>
      <c r="AB35" s="501">
        <v>80</v>
      </c>
      <c r="AC35" s="501">
        <v>538</v>
      </c>
      <c r="AD35" s="501">
        <v>125</v>
      </c>
      <c r="AE35" s="501">
        <v>496</v>
      </c>
      <c r="AF35" s="501">
        <v>345</v>
      </c>
      <c r="AG35" s="501">
        <v>0</v>
      </c>
      <c r="AH35" s="501">
        <v>0</v>
      </c>
      <c r="AI35" s="501">
        <v>2949</v>
      </c>
      <c r="AK35" s="14" t="s">
        <v>417</v>
      </c>
      <c r="AL35" s="24" t="s">
        <v>376</v>
      </c>
      <c r="AM35" s="263">
        <v>1645</v>
      </c>
      <c r="AN35" s="233">
        <v>0</v>
      </c>
      <c r="AO35" s="233">
        <v>618</v>
      </c>
      <c r="AP35" s="233">
        <v>207</v>
      </c>
      <c r="AQ35" s="233">
        <v>40</v>
      </c>
      <c r="AR35" s="233">
        <v>0</v>
      </c>
      <c r="AS35" s="233">
        <v>0</v>
      </c>
      <c r="AT35" s="233">
        <v>0</v>
      </c>
      <c r="AU35" s="233">
        <v>0</v>
      </c>
      <c r="AV35" s="233">
        <v>0</v>
      </c>
      <c r="AW35" s="14" t="s">
        <v>417</v>
      </c>
      <c r="AX35" s="24" t="s">
        <v>376</v>
      </c>
      <c r="AY35" s="233">
        <v>4</v>
      </c>
      <c r="AZ35" s="233">
        <v>0</v>
      </c>
      <c r="BA35" s="233">
        <v>3</v>
      </c>
      <c r="BB35" s="233">
        <v>0</v>
      </c>
      <c r="BC35" s="233">
        <v>21</v>
      </c>
      <c r="BD35" s="233">
        <v>0</v>
      </c>
      <c r="BE35" s="233">
        <v>24</v>
      </c>
      <c r="BF35" s="233">
        <v>29</v>
      </c>
      <c r="BG35" s="233">
        <v>0</v>
      </c>
      <c r="BH35" s="233">
        <v>0</v>
      </c>
      <c r="BI35" s="14" t="s">
        <v>417</v>
      </c>
      <c r="BJ35" s="24" t="s">
        <v>376</v>
      </c>
      <c r="BK35" s="233">
        <v>0</v>
      </c>
      <c r="BL35" s="233">
        <v>0</v>
      </c>
      <c r="BM35" s="233">
        <v>0</v>
      </c>
      <c r="BN35" s="233">
        <v>0</v>
      </c>
      <c r="BO35" s="233">
        <v>2</v>
      </c>
      <c r="BP35" s="233">
        <v>56</v>
      </c>
      <c r="BQ35" s="233">
        <v>0</v>
      </c>
      <c r="BR35" s="233">
        <v>0</v>
      </c>
      <c r="BS35" s="233">
        <v>641</v>
      </c>
    </row>
    <row r="36" spans="1:71" ht="11.1" customHeight="1">
      <c r="A36" s="14"/>
      <c r="B36" s="24" t="s">
        <v>312</v>
      </c>
      <c r="C36" s="505">
        <v>13230</v>
      </c>
      <c r="D36" s="501">
        <v>0</v>
      </c>
      <c r="E36" s="501">
        <v>4720</v>
      </c>
      <c r="F36" s="501">
        <v>1403</v>
      </c>
      <c r="G36" s="501">
        <v>3933</v>
      </c>
      <c r="H36" s="501">
        <v>0</v>
      </c>
      <c r="I36" s="501">
        <v>15</v>
      </c>
      <c r="J36" s="501">
        <v>9</v>
      </c>
      <c r="K36" s="501">
        <v>0</v>
      </c>
      <c r="L36" s="501">
        <v>0</v>
      </c>
      <c r="M36" s="14"/>
      <c r="N36" s="24" t="s">
        <v>312</v>
      </c>
      <c r="O36" s="501">
        <v>53</v>
      </c>
      <c r="P36" s="501">
        <v>20</v>
      </c>
      <c r="Q36" s="501">
        <v>19</v>
      </c>
      <c r="R36" s="501">
        <v>0</v>
      </c>
      <c r="S36" s="501">
        <v>201</v>
      </c>
      <c r="T36" s="501">
        <v>295</v>
      </c>
      <c r="U36" s="501">
        <v>319</v>
      </c>
      <c r="V36" s="501">
        <v>538</v>
      </c>
      <c r="W36" s="501">
        <v>12</v>
      </c>
      <c r="X36" s="501">
        <v>52</v>
      </c>
      <c r="Y36" s="14"/>
      <c r="Z36" s="24" t="s">
        <v>312</v>
      </c>
      <c r="AA36" s="501">
        <v>0</v>
      </c>
      <c r="AB36" s="501">
        <v>46</v>
      </c>
      <c r="AC36" s="501">
        <v>437</v>
      </c>
      <c r="AD36" s="501">
        <v>27</v>
      </c>
      <c r="AE36" s="501">
        <v>51</v>
      </c>
      <c r="AF36" s="501">
        <v>432</v>
      </c>
      <c r="AG36" s="501">
        <v>0</v>
      </c>
      <c r="AH36" s="501">
        <v>0</v>
      </c>
      <c r="AI36" s="501">
        <v>648</v>
      </c>
      <c r="AK36" s="14"/>
      <c r="AL36" s="24" t="s">
        <v>312</v>
      </c>
      <c r="AM36" s="263">
        <v>1513</v>
      </c>
      <c r="AN36" s="233">
        <v>0</v>
      </c>
      <c r="AO36" s="233">
        <v>908</v>
      </c>
      <c r="AP36" s="233">
        <v>232</v>
      </c>
      <c r="AQ36" s="233">
        <v>125</v>
      </c>
      <c r="AR36" s="233">
        <v>0</v>
      </c>
      <c r="AS36" s="233">
        <v>11</v>
      </c>
      <c r="AT36" s="233">
        <v>0</v>
      </c>
      <c r="AU36" s="233">
        <v>0</v>
      </c>
      <c r="AV36" s="233">
        <v>0</v>
      </c>
      <c r="AW36" s="14"/>
      <c r="AX36" s="24" t="s">
        <v>312</v>
      </c>
      <c r="AY36" s="233">
        <v>5</v>
      </c>
      <c r="AZ36" s="233">
        <v>5</v>
      </c>
      <c r="BA36" s="233">
        <v>0</v>
      </c>
      <c r="BB36" s="233">
        <v>0</v>
      </c>
      <c r="BC36" s="233">
        <v>20</v>
      </c>
      <c r="BD36" s="233">
        <v>0</v>
      </c>
      <c r="BE36" s="233">
        <v>45</v>
      </c>
      <c r="BF36" s="233">
        <v>79</v>
      </c>
      <c r="BG36" s="233">
        <v>0</v>
      </c>
      <c r="BH36" s="233">
        <v>0</v>
      </c>
      <c r="BI36" s="14"/>
      <c r="BJ36" s="24" t="s">
        <v>312</v>
      </c>
      <c r="BK36" s="233">
        <v>0</v>
      </c>
      <c r="BL36" s="233">
        <v>0</v>
      </c>
      <c r="BM36" s="233">
        <v>0</v>
      </c>
      <c r="BN36" s="233">
        <v>0</v>
      </c>
      <c r="BO36" s="233">
        <v>2</v>
      </c>
      <c r="BP36" s="233">
        <v>79</v>
      </c>
      <c r="BQ36" s="233">
        <v>0</v>
      </c>
      <c r="BR36" s="233">
        <v>0</v>
      </c>
      <c r="BS36" s="233">
        <v>2</v>
      </c>
    </row>
    <row r="37" spans="1:71" ht="11.1" customHeight="1">
      <c r="A37" s="14" t="s">
        <v>418</v>
      </c>
      <c r="B37" s="24" t="s">
        <v>376</v>
      </c>
      <c r="C37" s="505">
        <v>20170.920000000002</v>
      </c>
      <c r="D37" s="501">
        <v>28</v>
      </c>
      <c r="E37" s="501">
        <v>4772</v>
      </c>
      <c r="F37" s="501">
        <v>662</v>
      </c>
      <c r="G37" s="501">
        <v>0</v>
      </c>
      <c r="H37" s="501">
        <v>18</v>
      </c>
      <c r="I37" s="501">
        <v>4</v>
      </c>
      <c r="J37" s="501">
        <v>310</v>
      </c>
      <c r="K37" s="501">
        <v>0</v>
      </c>
      <c r="L37" s="501">
        <v>175</v>
      </c>
      <c r="M37" s="14" t="s">
        <v>418</v>
      </c>
      <c r="N37" s="24" t="s">
        <v>376</v>
      </c>
      <c r="O37" s="501">
        <v>268</v>
      </c>
      <c r="P37" s="501">
        <v>131</v>
      </c>
      <c r="Q37" s="501">
        <v>390</v>
      </c>
      <c r="R37" s="501">
        <v>318.22000000000003</v>
      </c>
      <c r="S37" s="501">
        <v>147</v>
      </c>
      <c r="T37" s="501">
        <v>2683.5</v>
      </c>
      <c r="U37" s="501">
        <v>513</v>
      </c>
      <c r="V37" s="501">
        <v>2452</v>
      </c>
      <c r="W37" s="501">
        <v>66.099999999999994</v>
      </c>
      <c r="X37" s="501">
        <v>140.6</v>
      </c>
      <c r="Y37" s="14" t="s">
        <v>418</v>
      </c>
      <c r="Z37" s="24" t="s">
        <v>376</v>
      </c>
      <c r="AA37" s="501">
        <v>973</v>
      </c>
      <c r="AB37" s="501">
        <v>791.5</v>
      </c>
      <c r="AC37" s="501">
        <v>140</v>
      </c>
      <c r="AD37" s="501">
        <v>116</v>
      </c>
      <c r="AE37" s="501">
        <v>253</v>
      </c>
      <c r="AF37" s="501">
        <v>4364</v>
      </c>
      <c r="AG37" s="501">
        <v>0</v>
      </c>
      <c r="AH37" s="501">
        <v>0</v>
      </c>
      <c r="AI37" s="501">
        <v>455</v>
      </c>
      <c r="AK37" s="14" t="s">
        <v>418</v>
      </c>
      <c r="AL37" s="24" t="s">
        <v>376</v>
      </c>
      <c r="AM37" s="263">
        <v>2905</v>
      </c>
      <c r="AN37" s="233">
        <v>1</v>
      </c>
      <c r="AO37" s="233">
        <v>919</v>
      </c>
      <c r="AP37" s="233">
        <v>61</v>
      </c>
      <c r="AQ37" s="233">
        <v>0</v>
      </c>
      <c r="AR37" s="233">
        <v>0</v>
      </c>
      <c r="AS37" s="233">
        <v>1.5</v>
      </c>
      <c r="AT37" s="233">
        <v>49</v>
      </c>
      <c r="AU37" s="233">
        <v>0</v>
      </c>
      <c r="AV37" s="233">
        <v>38</v>
      </c>
      <c r="AW37" s="14" t="s">
        <v>418</v>
      </c>
      <c r="AX37" s="24" t="s">
        <v>376</v>
      </c>
      <c r="AY37" s="233">
        <v>45</v>
      </c>
      <c r="AZ37" s="233">
        <v>13</v>
      </c>
      <c r="BA37" s="233">
        <v>0</v>
      </c>
      <c r="BB37" s="233">
        <v>0</v>
      </c>
      <c r="BC37" s="233">
        <v>20</v>
      </c>
      <c r="BD37" s="233">
        <v>70</v>
      </c>
      <c r="BE37" s="233">
        <v>23</v>
      </c>
      <c r="BF37" s="233">
        <v>587</v>
      </c>
      <c r="BG37" s="233">
        <v>1</v>
      </c>
      <c r="BH37" s="233">
        <v>10.5</v>
      </c>
      <c r="BI37" s="14" t="s">
        <v>418</v>
      </c>
      <c r="BJ37" s="24" t="s">
        <v>376</v>
      </c>
      <c r="BK37" s="233">
        <v>42</v>
      </c>
      <c r="BL37" s="233">
        <v>22</v>
      </c>
      <c r="BM37" s="233">
        <v>23</v>
      </c>
      <c r="BN37" s="233">
        <v>49</v>
      </c>
      <c r="BO37" s="233">
        <v>58</v>
      </c>
      <c r="BP37" s="233">
        <v>857</v>
      </c>
      <c r="BQ37" s="233">
        <v>0</v>
      </c>
      <c r="BR37" s="233">
        <v>0</v>
      </c>
      <c r="BS37" s="233">
        <v>15</v>
      </c>
    </row>
    <row r="38" spans="1:71" ht="11.1" customHeight="1">
      <c r="A38" s="14"/>
      <c r="B38" s="24" t="s">
        <v>312</v>
      </c>
      <c r="C38" s="505">
        <v>21608.3</v>
      </c>
      <c r="D38" s="501">
        <v>29.5</v>
      </c>
      <c r="E38" s="501">
        <v>5479</v>
      </c>
      <c r="F38" s="501">
        <v>991.8</v>
      </c>
      <c r="G38" s="501">
        <v>0</v>
      </c>
      <c r="H38" s="501">
        <v>37.5</v>
      </c>
      <c r="I38" s="501">
        <v>6</v>
      </c>
      <c r="J38" s="501">
        <v>243</v>
      </c>
      <c r="K38" s="501">
        <v>2</v>
      </c>
      <c r="L38" s="501">
        <v>171</v>
      </c>
      <c r="M38" s="14"/>
      <c r="N38" s="24" t="s">
        <v>312</v>
      </c>
      <c r="O38" s="501">
        <v>341</v>
      </c>
      <c r="P38" s="501">
        <v>206.5</v>
      </c>
      <c r="Q38" s="501">
        <v>335</v>
      </c>
      <c r="R38" s="501">
        <v>236</v>
      </c>
      <c r="S38" s="501">
        <v>255</v>
      </c>
      <c r="T38" s="501">
        <v>2022.25</v>
      </c>
      <c r="U38" s="501">
        <v>609</v>
      </c>
      <c r="V38" s="501">
        <v>2942</v>
      </c>
      <c r="W38" s="501">
        <v>55.4</v>
      </c>
      <c r="X38" s="501">
        <v>159.85</v>
      </c>
      <c r="Y38" s="14"/>
      <c r="Z38" s="24" t="s">
        <v>312</v>
      </c>
      <c r="AA38" s="501">
        <v>1290</v>
      </c>
      <c r="AB38" s="501">
        <v>637</v>
      </c>
      <c r="AC38" s="501">
        <v>114</v>
      </c>
      <c r="AD38" s="501">
        <v>222.5</v>
      </c>
      <c r="AE38" s="501">
        <v>250.5</v>
      </c>
      <c r="AF38" s="501">
        <v>4681.5</v>
      </c>
      <c r="AG38" s="501">
        <v>0</v>
      </c>
      <c r="AH38" s="501">
        <v>0</v>
      </c>
      <c r="AI38" s="501">
        <v>291</v>
      </c>
      <c r="AK38" s="14"/>
      <c r="AL38" s="24" t="s">
        <v>312</v>
      </c>
      <c r="AM38" s="263">
        <v>3268</v>
      </c>
      <c r="AN38" s="233">
        <v>18</v>
      </c>
      <c r="AO38" s="233">
        <v>865</v>
      </c>
      <c r="AP38" s="233">
        <v>114</v>
      </c>
      <c r="AQ38" s="233">
        <v>0</v>
      </c>
      <c r="AR38" s="233">
        <v>27</v>
      </c>
      <c r="AS38" s="233">
        <v>5</v>
      </c>
      <c r="AT38" s="233">
        <v>58</v>
      </c>
      <c r="AU38" s="233">
        <v>0</v>
      </c>
      <c r="AV38" s="233">
        <v>67</v>
      </c>
      <c r="AW38" s="14"/>
      <c r="AX38" s="24" t="s">
        <v>312</v>
      </c>
      <c r="AY38" s="233">
        <v>115</v>
      </c>
      <c r="AZ38" s="233">
        <v>9</v>
      </c>
      <c r="BA38" s="233">
        <v>20</v>
      </c>
      <c r="BB38" s="233">
        <v>0</v>
      </c>
      <c r="BC38" s="233">
        <v>17</v>
      </c>
      <c r="BD38" s="233">
        <v>29</v>
      </c>
      <c r="BE38" s="233">
        <v>63</v>
      </c>
      <c r="BF38" s="233">
        <v>602</v>
      </c>
      <c r="BG38" s="233">
        <v>0</v>
      </c>
      <c r="BH38" s="233">
        <v>18.5</v>
      </c>
      <c r="BI38" s="14"/>
      <c r="BJ38" s="24" t="s">
        <v>312</v>
      </c>
      <c r="BK38" s="233">
        <v>14</v>
      </c>
      <c r="BL38" s="233">
        <v>70</v>
      </c>
      <c r="BM38" s="233">
        <v>30</v>
      </c>
      <c r="BN38" s="233">
        <v>122</v>
      </c>
      <c r="BO38" s="233">
        <v>72</v>
      </c>
      <c r="BP38" s="233">
        <v>919.5</v>
      </c>
      <c r="BQ38" s="233">
        <v>0</v>
      </c>
      <c r="BR38" s="233">
        <v>0</v>
      </c>
      <c r="BS38" s="233">
        <v>13</v>
      </c>
    </row>
    <row r="39" spans="1:71" ht="11.1" customHeight="1">
      <c r="A39" s="14" t="s">
        <v>409</v>
      </c>
      <c r="B39" s="24" t="s">
        <v>376</v>
      </c>
      <c r="C39" s="505">
        <v>1218</v>
      </c>
      <c r="D39" s="501">
        <v>2</v>
      </c>
      <c r="E39" s="501">
        <v>2</v>
      </c>
      <c r="F39" s="501">
        <v>17</v>
      </c>
      <c r="G39" s="501">
        <v>0</v>
      </c>
      <c r="H39" s="501">
        <v>3</v>
      </c>
      <c r="I39" s="501">
        <v>6</v>
      </c>
      <c r="J39" s="501">
        <v>141</v>
      </c>
      <c r="K39" s="501">
        <v>0</v>
      </c>
      <c r="L39" s="501">
        <v>79</v>
      </c>
      <c r="M39" s="14" t="s">
        <v>409</v>
      </c>
      <c r="N39" s="24" t="s">
        <v>376</v>
      </c>
      <c r="O39" s="501">
        <v>27</v>
      </c>
      <c r="P39" s="501">
        <v>12</v>
      </c>
      <c r="Q39" s="501">
        <v>0</v>
      </c>
      <c r="R39" s="501">
        <v>0</v>
      </c>
      <c r="S39" s="501">
        <v>205</v>
      </c>
      <c r="T39" s="501">
        <v>0</v>
      </c>
      <c r="U39" s="501">
        <v>22</v>
      </c>
      <c r="V39" s="501">
        <v>121</v>
      </c>
      <c r="W39" s="501">
        <v>0</v>
      </c>
      <c r="X39" s="501">
        <v>0</v>
      </c>
      <c r="Y39" s="14" t="s">
        <v>409</v>
      </c>
      <c r="Z39" s="24" t="s">
        <v>376</v>
      </c>
      <c r="AA39" s="501">
        <v>0</v>
      </c>
      <c r="AB39" s="501">
        <v>35</v>
      </c>
      <c r="AC39" s="501">
        <v>0</v>
      </c>
      <c r="AD39" s="501">
        <v>0</v>
      </c>
      <c r="AE39" s="501">
        <v>6</v>
      </c>
      <c r="AF39" s="501">
        <v>537</v>
      </c>
      <c r="AG39" s="501">
        <v>0</v>
      </c>
      <c r="AH39" s="501">
        <v>0</v>
      </c>
      <c r="AI39" s="501">
        <v>3</v>
      </c>
      <c r="AK39" s="14" t="s">
        <v>409</v>
      </c>
      <c r="AL39" s="24" t="s">
        <v>376</v>
      </c>
      <c r="AM39" s="263">
        <v>120</v>
      </c>
      <c r="AN39" s="233">
        <v>0</v>
      </c>
      <c r="AO39" s="233">
        <v>1</v>
      </c>
      <c r="AP39" s="233">
        <v>0</v>
      </c>
      <c r="AQ39" s="233">
        <v>0</v>
      </c>
      <c r="AR39" s="233">
        <v>0</v>
      </c>
      <c r="AS39" s="233">
        <v>0</v>
      </c>
      <c r="AT39" s="233">
        <v>25</v>
      </c>
      <c r="AU39" s="233">
        <v>0</v>
      </c>
      <c r="AV39" s="233">
        <v>5</v>
      </c>
      <c r="AW39" s="14" t="s">
        <v>409</v>
      </c>
      <c r="AX39" s="24" t="s">
        <v>376</v>
      </c>
      <c r="AY39" s="233">
        <v>0</v>
      </c>
      <c r="AZ39" s="233">
        <v>2</v>
      </c>
      <c r="BA39" s="233">
        <v>0</v>
      </c>
      <c r="BB39" s="233">
        <v>0</v>
      </c>
      <c r="BC39" s="233">
        <v>0</v>
      </c>
      <c r="BD39" s="233">
        <v>0</v>
      </c>
      <c r="BE39" s="233">
        <v>0</v>
      </c>
      <c r="BF39" s="233">
        <v>7</v>
      </c>
      <c r="BG39" s="233">
        <v>0</v>
      </c>
      <c r="BH39" s="233">
        <v>0</v>
      </c>
      <c r="BI39" s="14" t="s">
        <v>409</v>
      </c>
      <c r="BJ39" s="24" t="s">
        <v>376</v>
      </c>
      <c r="BK39" s="233">
        <v>0</v>
      </c>
      <c r="BL39" s="233">
        <v>0</v>
      </c>
      <c r="BM39" s="233">
        <v>0</v>
      </c>
      <c r="BN39" s="233">
        <v>0</v>
      </c>
      <c r="BO39" s="233">
        <v>0</v>
      </c>
      <c r="BP39" s="233">
        <v>80</v>
      </c>
      <c r="BQ39" s="233">
        <v>0</v>
      </c>
      <c r="BR39" s="233">
        <v>0</v>
      </c>
      <c r="BS39" s="233">
        <v>0</v>
      </c>
    </row>
    <row r="40" spans="1:71" ht="11.1" customHeight="1">
      <c r="A40" s="14"/>
      <c r="B40" s="24" t="s">
        <v>312</v>
      </c>
      <c r="C40" s="505">
        <v>986</v>
      </c>
      <c r="D40" s="501">
        <v>0</v>
      </c>
      <c r="E40" s="501">
        <v>2</v>
      </c>
      <c r="F40" s="501">
        <v>8</v>
      </c>
      <c r="G40" s="501">
        <v>0</v>
      </c>
      <c r="H40" s="501">
        <v>4</v>
      </c>
      <c r="I40" s="501">
        <v>1</v>
      </c>
      <c r="J40" s="501">
        <v>113</v>
      </c>
      <c r="K40" s="501">
        <v>0</v>
      </c>
      <c r="L40" s="501">
        <v>59</v>
      </c>
      <c r="M40" s="14"/>
      <c r="N40" s="24" t="s">
        <v>312</v>
      </c>
      <c r="O40" s="501">
        <v>20</v>
      </c>
      <c r="P40" s="501">
        <v>11</v>
      </c>
      <c r="Q40" s="501">
        <v>0</v>
      </c>
      <c r="R40" s="501">
        <v>0</v>
      </c>
      <c r="S40" s="501">
        <v>175</v>
      </c>
      <c r="T40" s="501">
        <v>9</v>
      </c>
      <c r="U40" s="501">
        <v>17</v>
      </c>
      <c r="V40" s="501">
        <v>92</v>
      </c>
      <c r="W40" s="501">
        <v>0</v>
      </c>
      <c r="X40" s="501">
        <v>0</v>
      </c>
      <c r="Y40" s="14"/>
      <c r="Z40" s="24" t="s">
        <v>312</v>
      </c>
      <c r="AA40" s="501">
        <v>0</v>
      </c>
      <c r="AB40" s="501">
        <v>26</v>
      </c>
      <c r="AC40" s="501">
        <v>0</v>
      </c>
      <c r="AD40" s="501">
        <v>0</v>
      </c>
      <c r="AE40" s="501">
        <v>12</v>
      </c>
      <c r="AF40" s="501">
        <v>434</v>
      </c>
      <c r="AG40" s="501">
        <v>0</v>
      </c>
      <c r="AH40" s="501">
        <v>0</v>
      </c>
      <c r="AI40" s="501">
        <v>3</v>
      </c>
      <c r="AK40" s="14"/>
      <c r="AL40" s="24" t="s">
        <v>312</v>
      </c>
      <c r="AM40" s="263">
        <v>126</v>
      </c>
      <c r="AN40" s="233">
        <v>0</v>
      </c>
      <c r="AO40" s="233">
        <v>0</v>
      </c>
      <c r="AP40" s="233">
        <v>0</v>
      </c>
      <c r="AQ40" s="233">
        <v>0</v>
      </c>
      <c r="AR40" s="233">
        <v>0</v>
      </c>
      <c r="AS40" s="233">
        <v>0</v>
      </c>
      <c r="AT40" s="233">
        <v>18</v>
      </c>
      <c r="AU40" s="233">
        <v>0</v>
      </c>
      <c r="AV40" s="233">
        <v>7</v>
      </c>
      <c r="AW40" s="14"/>
      <c r="AX40" s="24" t="s">
        <v>312</v>
      </c>
      <c r="AY40" s="233">
        <v>4</v>
      </c>
      <c r="AZ40" s="233">
        <v>0</v>
      </c>
      <c r="BA40" s="233">
        <v>0</v>
      </c>
      <c r="BB40" s="233">
        <v>0</v>
      </c>
      <c r="BC40" s="233">
        <v>0</v>
      </c>
      <c r="BD40" s="233">
        <v>0</v>
      </c>
      <c r="BE40" s="233">
        <v>0</v>
      </c>
      <c r="BF40" s="233">
        <v>14</v>
      </c>
      <c r="BG40" s="233">
        <v>0</v>
      </c>
      <c r="BH40" s="233">
        <v>0</v>
      </c>
      <c r="BI40" s="14"/>
      <c r="BJ40" s="24" t="s">
        <v>312</v>
      </c>
      <c r="BK40" s="233">
        <v>0</v>
      </c>
      <c r="BL40" s="233">
        <v>0</v>
      </c>
      <c r="BM40" s="233">
        <v>0</v>
      </c>
      <c r="BN40" s="233">
        <v>0</v>
      </c>
      <c r="BO40" s="233">
        <v>2</v>
      </c>
      <c r="BP40" s="233">
        <v>81</v>
      </c>
      <c r="BQ40" s="233">
        <v>0</v>
      </c>
      <c r="BR40" s="233">
        <v>0</v>
      </c>
      <c r="BS40" s="233">
        <v>0</v>
      </c>
    </row>
    <row r="41" spans="1:71" ht="11.1" customHeight="1">
      <c r="A41" s="14" t="s">
        <v>419</v>
      </c>
      <c r="B41" s="24" t="s">
        <v>376</v>
      </c>
      <c r="C41" s="505">
        <v>65659</v>
      </c>
      <c r="D41" s="501">
        <v>0</v>
      </c>
      <c r="E41" s="501">
        <v>25204</v>
      </c>
      <c r="F41" s="501">
        <v>0</v>
      </c>
      <c r="G41" s="501">
        <v>15986</v>
      </c>
      <c r="H41" s="501">
        <v>0</v>
      </c>
      <c r="I41" s="501">
        <v>0</v>
      </c>
      <c r="J41" s="501">
        <v>236</v>
      </c>
      <c r="K41" s="501">
        <v>0</v>
      </c>
      <c r="L41" s="501">
        <v>0</v>
      </c>
      <c r="M41" s="14" t="s">
        <v>419</v>
      </c>
      <c r="N41" s="24" t="s">
        <v>376</v>
      </c>
      <c r="O41" s="501">
        <v>160</v>
      </c>
      <c r="P41" s="501">
        <v>138</v>
      </c>
      <c r="Q41" s="501">
        <v>0</v>
      </c>
      <c r="R41" s="501">
        <v>0</v>
      </c>
      <c r="S41" s="501">
        <v>0</v>
      </c>
      <c r="T41" s="501">
        <v>0</v>
      </c>
      <c r="U41" s="501">
        <v>23550</v>
      </c>
      <c r="V41" s="501">
        <v>0</v>
      </c>
      <c r="W41" s="501">
        <v>0</v>
      </c>
      <c r="X41" s="501">
        <v>0</v>
      </c>
      <c r="Y41" s="14" t="s">
        <v>419</v>
      </c>
      <c r="Z41" s="24" t="s">
        <v>376</v>
      </c>
      <c r="AA41" s="501">
        <v>0</v>
      </c>
      <c r="AB41" s="501">
        <v>385</v>
      </c>
      <c r="AC41" s="501">
        <v>0</v>
      </c>
      <c r="AD41" s="501">
        <v>0</v>
      </c>
      <c r="AE41" s="501">
        <v>0</v>
      </c>
      <c r="AF41" s="501">
        <v>0</v>
      </c>
      <c r="AG41" s="501">
        <v>0</v>
      </c>
      <c r="AH41" s="501">
        <v>0</v>
      </c>
      <c r="AI41" s="501">
        <v>0</v>
      </c>
      <c r="AK41" s="14" t="s">
        <v>419</v>
      </c>
      <c r="AL41" s="24" t="s">
        <v>376</v>
      </c>
      <c r="AM41" s="263">
        <v>6432</v>
      </c>
      <c r="AN41" s="233">
        <v>0</v>
      </c>
      <c r="AO41" s="233">
        <v>1126</v>
      </c>
      <c r="AP41" s="233">
        <v>0</v>
      </c>
      <c r="AQ41" s="233">
        <v>1028</v>
      </c>
      <c r="AR41" s="233">
        <v>0</v>
      </c>
      <c r="AS41" s="233">
        <v>0</v>
      </c>
      <c r="AT41" s="233">
        <v>34</v>
      </c>
      <c r="AU41" s="233">
        <v>0</v>
      </c>
      <c r="AV41" s="233">
        <v>0</v>
      </c>
      <c r="AW41" s="14" t="s">
        <v>419</v>
      </c>
      <c r="AX41" s="24" t="s">
        <v>376</v>
      </c>
      <c r="AY41" s="233">
        <v>7</v>
      </c>
      <c r="AZ41" s="233">
        <v>9</v>
      </c>
      <c r="BA41" s="233">
        <v>0</v>
      </c>
      <c r="BB41" s="233">
        <v>0</v>
      </c>
      <c r="BC41" s="233">
        <v>0</v>
      </c>
      <c r="BD41" s="233">
        <v>0</v>
      </c>
      <c r="BE41" s="233">
        <v>4228</v>
      </c>
      <c r="BF41" s="233">
        <v>0</v>
      </c>
      <c r="BG41" s="233">
        <v>0</v>
      </c>
      <c r="BH41" s="233">
        <v>0</v>
      </c>
      <c r="BI41" s="14" t="s">
        <v>419</v>
      </c>
      <c r="BJ41" s="24" t="s">
        <v>376</v>
      </c>
      <c r="BK41" s="233">
        <v>0</v>
      </c>
      <c r="BL41" s="233">
        <v>0</v>
      </c>
      <c r="BM41" s="233">
        <v>0</v>
      </c>
      <c r="BN41" s="233">
        <v>0</v>
      </c>
      <c r="BO41" s="233">
        <v>0</v>
      </c>
      <c r="BP41" s="233">
        <v>0</v>
      </c>
      <c r="BQ41" s="233">
        <v>0</v>
      </c>
      <c r="BR41" s="233">
        <v>0</v>
      </c>
      <c r="BS41" s="233">
        <v>0</v>
      </c>
    </row>
    <row r="42" spans="1:71" ht="11.1" customHeight="1">
      <c r="A42" s="14"/>
      <c r="B42" s="24" t="s">
        <v>312</v>
      </c>
      <c r="C42" s="505">
        <v>63546</v>
      </c>
      <c r="D42" s="501">
        <v>0</v>
      </c>
      <c r="E42" s="501">
        <v>22515</v>
      </c>
      <c r="F42" s="501">
        <v>0</v>
      </c>
      <c r="G42" s="501">
        <v>16089</v>
      </c>
      <c r="H42" s="501">
        <v>0</v>
      </c>
      <c r="I42" s="501">
        <v>0</v>
      </c>
      <c r="J42" s="501">
        <v>209</v>
      </c>
      <c r="K42" s="501">
        <v>0</v>
      </c>
      <c r="L42" s="501">
        <v>0</v>
      </c>
      <c r="M42" s="14"/>
      <c r="N42" s="24" t="s">
        <v>312</v>
      </c>
      <c r="O42" s="501">
        <v>127</v>
      </c>
      <c r="P42" s="501">
        <v>106</v>
      </c>
      <c r="Q42" s="501">
        <v>0</v>
      </c>
      <c r="R42" s="501">
        <v>0</v>
      </c>
      <c r="S42" s="501">
        <v>0</v>
      </c>
      <c r="T42" s="501">
        <v>0</v>
      </c>
      <c r="U42" s="501">
        <v>24115</v>
      </c>
      <c r="V42" s="501">
        <v>0</v>
      </c>
      <c r="W42" s="501">
        <v>0</v>
      </c>
      <c r="X42" s="501">
        <v>0</v>
      </c>
      <c r="Y42" s="14"/>
      <c r="Z42" s="24" t="s">
        <v>312</v>
      </c>
      <c r="AA42" s="501">
        <v>0</v>
      </c>
      <c r="AB42" s="501">
        <v>385</v>
      </c>
      <c r="AC42" s="501">
        <v>0</v>
      </c>
      <c r="AD42" s="501">
        <v>0</v>
      </c>
      <c r="AE42" s="501">
        <v>0</v>
      </c>
      <c r="AF42" s="501">
        <v>0</v>
      </c>
      <c r="AG42" s="501">
        <v>0</v>
      </c>
      <c r="AH42" s="501">
        <v>0</v>
      </c>
      <c r="AI42" s="501">
        <v>0</v>
      </c>
      <c r="AK42" s="14"/>
      <c r="AL42" s="24" t="s">
        <v>312</v>
      </c>
      <c r="AM42" s="263">
        <v>6068</v>
      </c>
      <c r="AN42" s="233">
        <v>0</v>
      </c>
      <c r="AO42" s="233">
        <v>692</v>
      </c>
      <c r="AP42" s="233">
        <v>0</v>
      </c>
      <c r="AQ42" s="233">
        <v>954</v>
      </c>
      <c r="AR42" s="233">
        <v>0</v>
      </c>
      <c r="AS42" s="233">
        <v>0</v>
      </c>
      <c r="AT42" s="233">
        <v>34</v>
      </c>
      <c r="AU42" s="233">
        <v>0</v>
      </c>
      <c r="AV42" s="233">
        <v>0</v>
      </c>
      <c r="AW42" s="14"/>
      <c r="AX42" s="24" t="s">
        <v>312</v>
      </c>
      <c r="AY42" s="233">
        <v>6</v>
      </c>
      <c r="AZ42" s="233">
        <v>7</v>
      </c>
      <c r="BA42" s="233">
        <v>0</v>
      </c>
      <c r="BB42" s="233">
        <v>0</v>
      </c>
      <c r="BC42" s="233">
        <v>0</v>
      </c>
      <c r="BD42" s="233">
        <v>0</v>
      </c>
      <c r="BE42" s="233">
        <v>4375</v>
      </c>
      <c r="BF42" s="233">
        <v>0</v>
      </c>
      <c r="BG42" s="233">
        <v>0</v>
      </c>
      <c r="BH42" s="233">
        <v>0</v>
      </c>
      <c r="BI42" s="14"/>
      <c r="BJ42" s="24" t="s">
        <v>312</v>
      </c>
      <c r="BK42" s="233">
        <v>0</v>
      </c>
      <c r="BL42" s="233">
        <v>0</v>
      </c>
      <c r="BM42" s="233">
        <v>0</v>
      </c>
      <c r="BN42" s="233">
        <v>0</v>
      </c>
      <c r="BO42" s="233">
        <v>0</v>
      </c>
      <c r="BP42" s="233">
        <v>0</v>
      </c>
      <c r="BQ42" s="233">
        <v>0</v>
      </c>
      <c r="BR42" s="233">
        <v>0</v>
      </c>
      <c r="BS42" s="233">
        <v>0</v>
      </c>
    </row>
    <row r="43" spans="1:71" ht="11.1" customHeight="1">
      <c r="A43" s="14" t="s">
        <v>438</v>
      </c>
      <c r="B43" s="24" t="s">
        <v>376</v>
      </c>
      <c r="C43" s="505">
        <v>8427</v>
      </c>
      <c r="D43" s="501">
        <v>0</v>
      </c>
      <c r="E43" s="501">
        <v>5947</v>
      </c>
      <c r="F43" s="501">
        <v>0</v>
      </c>
      <c r="G43" s="501">
        <v>1999.5</v>
      </c>
      <c r="H43" s="501">
        <v>0</v>
      </c>
      <c r="I43" s="501">
        <v>0</v>
      </c>
      <c r="J43" s="501">
        <v>0</v>
      </c>
      <c r="K43" s="501">
        <v>0</v>
      </c>
      <c r="L43" s="501">
        <v>0</v>
      </c>
      <c r="M43" s="14" t="s">
        <v>438</v>
      </c>
      <c r="N43" s="24" t="s">
        <v>376</v>
      </c>
      <c r="O43" s="501">
        <v>0</v>
      </c>
      <c r="P43" s="501">
        <v>0</v>
      </c>
      <c r="Q43" s="501">
        <v>0</v>
      </c>
      <c r="R43" s="501">
        <v>0</v>
      </c>
      <c r="S43" s="501">
        <v>0</v>
      </c>
      <c r="T43" s="501">
        <v>0</v>
      </c>
      <c r="U43" s="501">
        <v>463</v>
      </c>
      <c r="V43" s="501">
        <v>17.5</v>
      </c>
      <c r="W43" s="501">
        <v>0</v>
      </c>
      <c r="X43" s="501">
        <v>0</v>
      </c>
      <c r="Y43" s="14" t="s">
        <v>438</v>
      </c>
      <c r="Z43" s="24" t="s">
        <v>505</v>
      </c>
      <c r="AA43" s="501">
        <v>0</v>
      </c>
      <c r="AB43" s="501">
        <v>0</v>
      </c>
      <c r="AC43" s="501">
        <v>0</v>
      </c>
      <c r="AD43" s="501">
        <v>0</v>
      </c>
      <c r="AE43" s="501">
        <v>0</v>
      </c>
      <c r="AF43" s="501">
        <v>0</v>
      </c>
      <c r="AG43" s="501">
        <v>0</v>
      </c>
      <c r="AH43" s="501">
        <v>0</v>
      </c>
      <c r="AI43" s="501">
        <v>0</v>
      </c>
      <c r="AK43" s="14" t="s">
        <v>438</v>
      </c>
      <c r="AL43" s="24" t="s">
        <v>376</v>
      </c>
      <c r="AM43" s="263">
        <v>511.5</v>
      </c>
      <c r="AN43" s="233">
        <v>0</v>
      </c>
      <c r="AO43" s="233">
        <v>253</v>
      </c>
      <c r="AP43" s="233">
        <v>0</v>
      </c>
      <c r="AQ43" s="233">
        <v>93</v>
      </c>
      <c r="AR43" s="233">
        <v>0</v>
      </c>
      <c r="AS43" s="233">
        <v>0</v>
      </c>
      <c r="AT43" s="233">
        <v>0</v>
      </c>
      <c r="AU43" s="233">
        <v>0</v>
      </c>
      <c r="AV43" s="233">
        <v>0</v>
      </c>
      <c r="AW43" s="14" t="s">
        <v>438</v>
      </c>
      <c r="AX43" s="24" t="s">
        <v>376</v>
      </c>
      <c r="AY43" s="233">
        <v>0</v>
      </c>
      <c r="AZ43" s="233">
        <v>0</v>
      </c>
      <c r="BA43" s="233">
        <v>0</v>
      </c>
      <c r="BB43" s="233">
        <v>0</v>
      </c>
      <c r="BC43" s="233">
        <v>0</v>
      </c>
      <c r="BD43" s="233">
        <v>0</v>
      </c>
      <c r="BE43" s="233">
        <v>157</v>
      </c>
      <c r="BF43" s="233">
        <v>8.5</v>
      </c>
      <c r="BG43" s="233">
        <v>0</v>
      </c>
      <c r="BH43" s="233">
        <v>0</v>
      </c>
      <c r="BI43" s="14" t="s">
        <v>438</v>
      </c>
      <c r="BJ43" s="24" t="s">
        <v>505</v>
      </c>
      <c r="BK43" s="233">
        <v>0</v>
      </c>
      <c r="BL43" s="233">
        <v>0</v>
      </c>
      <c r="BM43" s="233">
        <v>0</v>
      </c>
      <c r="BN43" s="233">
        <v>0</v>
      </c>
      <c r="BO43" s="233">
        <v>0</v>
      </c>
      <c r="BP43" s="233">
        <v>0</v>
      </c>
      <c r="BQ43" s="233">
        <v>0</v>
      </c>
      <c r="BR43" s="233">
        <v>0</v>
      </c>
      <c r="BS43" s="233">
        <v>0</v>
      </c>
    </row>
    <row r="44" spans="1:71" ht="11.1" customHeight="1">
      <c r="A44" s="14"/>
      <c r="B44" s="24" t="s">
        <v>312</v>
      </c>
      <c r="C44" s="505">
        <v>9115.75</v>
      </c>
      <c r="D44" s="501">
        <v>0</v>
      </c>
      <c r="E44" s="501">
        <v>6372</v>
      </c>
      <c r="F44" s="501">
        <v>0</v>
      </c>
      <c r="G44" s="501">
        <v>2120</v>
      </c>
      <c r="H44" s="501">
        <v>0</v>
      </c>
      <c r="I44" s="501">
        <v>0</v>
      </c>
      <c r="J44" s="501">
        <v>0</v>
      </c>
      <c r="K44" s="501">
        <v>0</v>
      </c>
      <c r="L44" s="501">
        <v>0</v>
      </c>
      <c r="M44" s="14"/>
      <c r="N44" s="24" t="s">
        <v>312</v>
      </c>
      <c r="O44" s="501">
        <v>0</v>
      </c>
      <c r="P44" s="501">
        <v>0</v>
      </c>
      <c r="Q44" s="501">
        <v>0</v>
      </c>
      <c r="R44" s="501">
        <v>0</v>
      </c>
      <c r="S44" s="501">
        <v>0</v>
      </c>
      <c r="T44" s="501">
        <v>0</v>
      </c>
      <c r="U44" s="501">
        <v>595</v>
      </c>
      <c r="V44" s="501">
        <v>28.75</v>
      </c>
      <c r="W44" s="501">
        <v>0</v>
      </c>
      <c r="X44" s="501">
        <v>0</v>
      </c>
      <c r="Y44" s="14"/>
      <c r="Z44" s="24" t="s">
        <v>312</v>
      </c>
      <c r="AA44" s="501">
        <v>0</v>
      </c>
      <c r="AB44" s="501">
        <v>0</v>
      </c>
      <c r="AC44" s="501">
        <v>0</v>
      </c>
      <c r="AD44" s="501">
        <v>0</v>
      </c>
      <c r="AE44" s="501">
        <v>0</v>
      </c>
      <c r="AF44" s="501">
        <v>0</v>
      </c>
      <c r="AG44" s="501">
        <v>0</v>
      </c>
      <c r="AH44" s="501">
        <v>0</v>
      </c>
      <c r="AI44" s="501">
        <v>0</v>
      </c>
      <c r="AK44" s="14"/>
      <c r="AL44" s="24" t="s">
        <v>312</v>
      </c>
      <c r="AM44" s="263">
        <v>191</v>
      </c>
      <c r="AN44" s="233">
        <v>0</v>
      </c>
      <c r="AO44" s="233">
        <v>35</v>
      </c>
      <c r="AP44" s="233">
        <v>0</v>
      </c>
      <c r="AQ44" s="233">
        <v>65</v>
      </c>
      <c r="AR44" s="233">
        <v>0</v>
      </c>
      <c r="AS44" s="233">
        <v>0</v>
      </c>
      <c r="AT44" s="233">
        <v>0</v>
      </c>
      <c r="AU44" s="233">
        <v>0</v>
      </c>
      <c r="AV44" s="233">
        <v>0</v>
      </c>
      <c r="AW44" s="14"/>
      <c r="AX44" s="24" t="s">
        <v>312</v>
      </c>
      <c r="AY44" s="233">
        <v>0</v>
      </c>
      <c r="AZ44" s="233">
        <v>0</v>
      </c>
      <c r="BA44" s="233">
        <v>0</v>
      </c>
      <c r="BB44" s="233">
        <v>0</v>
      </c>
      <c r="BC44" s="233">
        <v>0</v>
      </c>
      <c r="BD44" s="233">
        <v>0</v>
      </c>
      <c r="BE44" s="233">
        <v>87</v>
      </c>
      <c r="BF44" s="233">
        <v>4</v>
      </c>
      <c r="BG44" s="233">
        <v>0</v>
      </c>
      <c r="BH44" s="233">
        <v>0</v>
      </c>
      <c r="BI44" s="14"/>
      <c r="BJ44" s="24" t="s">
        <v>312</v>
      </c>
      <c r="BK44" s="233">
        <v>0</v>
      </c>
      <c r="BL44" s="233">
        <v>0</v>
      </c>
      <c r="BM44" s="233">
        <v>0</v>
      </c>
      <c r="BN44" s="233">
        <v>0</v>
      </c>
      <c r="BO44" s="233">
        <v>0</v>
      </c>
      <c r="BP44" s="233">
        <v>0</v>
      </c>
      <c r="BQ44" s="233">
        <v>0</v>
      </c>
      <c r="BR44" s="233">
        <v>0</v>
      </c>
      <c r="BS44" s="233">
        <v>0</v>
      </c>
    </row>
    <row r="45" spans="1:71" ht="11.1" customHeight="1">
      <c r="A45" s="14" t="s">
        <v>453</v>
      </c>
      <c r="B45" s="24" t="s">
        <v>505</v>
      </c>
      <c r="C45" s="505">
        <v>1771</v>
      </c>
      <c r="D45" s="501">
        <v>18</v>
      </c>
      <c r="E45" s="501">
        <v>52</v>
      </c>
      <c r="F45" s="501">
        <v>689</v>
      </c>
      <c r="G45" s="501">
        <v>0</v>
      </c>
      <c r="H45" s="501">
        <v>14</v>
      </c>
      <c r="I45" s="501">
        <v>39</v>
      </c>
      <c r="J45" s="501">
        <v>0</v>
      </c>
      <c r="K45" s="501">
        <v>0</v>
      </c>
      <c r="L45" s="501">
        <v>0</v>
      </c>
      <c r="M45" s="14" t="s">
        <v>453</v>
      </c>
      <c r="N45" s="24" t="s">
        <v>505</v>
      </c>
      <c r="O45" s="501">
        <v>1</v>
      </c>
      <c r="P45" s="501">
        <v>27</v>
      </c>
      <c r="Q45" s="501">
        <v>11</v>
      </c>
      <c r="R45" s="501">
        <v>0</v>
      </c>
      <c r="S45" s="501">
        <v>62</v>
      </c>
      <c r="T45" s="501">
        <v>539</v>
      </c>
      <c r="U45" s="501">
        <v>0</v>
      </c>
      <c r="V45" s="501">
        <v>1</v>
      </c>
      <c r="W45" s="501">
        <v>23</v>
      </c>
      <c r="X45" s="501">
        <v>9</v>
      </c>
      <c r="Y45" s="14" t="s">
        <v>453</v>
      </c>
      <c r="Z45" s="24" t="s">
        <v>505</v>
      </c>
      <c r="AA45" s="501">
        <v>2</v>
      </c>
      <c r="AB45" s="501">
        <v>10</v>
      </c>
      <c r="AC45" s="501">
        <v>0</v>
      </c>
      <c r="AD45" s="501">
        <v>167</v>
      </c>
      <c r="AE45" s="501">
        <v>19</v>
      </c>
      <c r="AF45" s="501">
        <v>66</v>
      </c>
      <c r="AG45" s="501">
        <v>0</v>
      </c>
      <c r="AH45" s="501">
        <v>22</v>
      </c>
      <c r="AI45" s="501">
        <v>0</v>
      </c>
      <c r="AK45" s="14" t="s">
        <v>453</v>
      </c>
      <c r="AL45" s="24" t="s">
        <v>505</v>
      </c>
      <c r="AM45" s="263">
        <v>94</v>
      </c>
      <c r="AN45" s="233">
        <v>2</v>
      </c>
      <c r="AO45" s="233">
        <v>0</v>
      </c>
      <c r="AP45" s="233">
        <v>8</v>
      </c>
      <c r="AQ45" s="233">
        <v>0</v>
      </c>
      <c r="AR45" s="233">
        <v>0</v>
      </c>
      <c r="AS45" s="233">
        <v>0</v>
      </c>
      <c r="AT45" s="233">
        <v>0</v>
      </c>
      <c r="AU45" s="233">
        <v>0</v>
      </c>
      <c r="AV45" s="233">
        <v>0</v>
      </c>
      <c r="AW45" s="14" t="s">
        <v>453</v>
      </c>
      <c r="AX45" s="24" t="s">
        <v>505</v>
      </c>
      <c r="AY45" s="233">
        <v>0</v>
      </c>
      <c r="AZ45" s="233">
        <v>3</v>
      </c>
      <c r="BA45" s="233">
        <v>1</v>
      </c>
      <c r="BB45" s="233">
        <v>0</v>
      </c>
      <c r="BC45" s="233">
        <v>9</v>
      </c>
      <c r="BD45" s="233">
        <v>35</v>
      </c>
      <c r="BE45" s="233">
        <v>0</v>
      </c>
      <c r="BF45" s="233">
        <v>0</v>
      </c>
      <c r="BG45" s="233">
        <v>0</v>
      </c>
      <c r="BH45" s="233">
        <v>0</v>
      </c>
      <c r="BI45" s="14" t="s">
        <v>453</v>
      </c>
      <c r="BJ45" s="24" t="s">
        <v>505</v>
      </c>
      <c r="BK45" s="233">
        <v>0</v>
      </c>
      <c r="BL45" s="233">
        <v>1</v>
      </c>
      <c r="BM45" s="233">
        <v>0</v>
      </c>
      <c r="BN45" s="233">
        <v>2</v>
      </c>
      <c r="BO45" s="233">
        <v>3</v>
      </c>
      <c r="BP45" s="233">
        <v>8</v>
      </c>
      <c r="BQ45" s="233">
        <v>0</v>
      </c>
      <c r="BR45" s="233">
        <v>22</v>
      </c>
      <c r="BS45" s="233">
        <v>0</v>
      </c>
    </row>
    <row r="46" spans="1:71" ht="11.1" customHeight="1">
      <c r="A46" s="14"/>
      <c r="B46" s="24" t="s">
        <v>312</v>
      </c>
      <c r="C46" s="505">
        <v>1475</v>
      </c>
      <c r="D46" s="501">
        <v>11</v>
      </c>
      <c r="E46" s="501">
        <v>49</v>
      </c>
      <c r="F46" s="501">
        <v>630</v>
      </c>
      <c r="G46" s="501">
        <v>0</v>
      </c>
      <c r="H46" s="501">
        <v>0</v>
      </c>
      <c r="I46" s="501">
        <v>22</v>
      </c>
      <c r="J46" s="501">
        <v>1</v>
      </c>
      <c r="K46" s="501">
        <v>0</v>
      </c>
      <c r="L46" s="501">
        <v>0</v>
      </c>
      <c r="M46" s="14"/>
      <c r="N46" s="24" t="s">
        <v>312</v>
      </c>
      <c r="O46" s="501">
        <v>5</v>
      </c>
      <c r="P46" s="501">
        <v>27</v>
      </c>
      <c r="Q46" s="501">
        <v>8</v>
      </c>
      <c r="R46" s="501">
        <v>2</v>
      </c>
      <c r="S46" s="501">
        <v>17</v>
      </c>
      <c r="T46" s="501">
        <v>462</v>
      </c>
      <c r="U46" s="501">
        <v>0</v>
      </c>
      <c r="V46" s="501">
        <v>1</v>
      </c>
      <c r="W46" s="501">
        <v>20</v>
      </c>
      <c r="X46" s="501">
        <v>10</v>
      </c>
      <c r="Y46" s="14"/>
      <c r="Z46" s="24" t="s">
        <v>312</v>
      </c>
      <c r="AA46" s="501">
        <v>0</v>
      </c>
      <c r="AB46" s="501">
        <v>5</v>
      </c>
      <c r="AC46" s="501">
        <v>0</v>
      </c>
      <c r="AD46" s="501">
        <v>153</v>
      </c>
      <c r="AE46" s="501">
        <v>12</v>
      </c>
      <c r="AF46" s="501">
        <v>40</v>
      </c>
      <c r="AG46" s="501">
        <v>0</v>
      </c>
      <c r="AH46" s="501">
        <v>0</v>
      </c>
      <c r="AI46" s="501">
        <v>0</v>
      </c>
      <c r="AK46" s="14"/>
      <c r="AL46" s="24" t="s">
        <v>312</v>
      </c>
      <c r="AM46" s="263">
        <v>45</v>
      </c>
      <c r="AN46" s="233">
        <v>0</v>
      </c>
      <c r="AO46" s="233">
        <v>0</v>
      </c>
      <c r="AP46" s="233">
        <v>1</v>
      </c>
      <c r="AQ46" s="233">
        <v>0</v>
      </c>
      <c r="AR46" s="233">
        <v>0</v>
      </c>
      <c r="AS46" s="233">
        <v>0</v>
      </c>
      <c r="AT46" s="233">
        <v>0</v>
      </c>
      <c r="AU46" s="233">
        <v>0</v>
      </c>
      <c r="AV46" s="233">
        <v>0</v>
      </c>
      <c r="AW46" s="14"/>
      <c r="AX46" s="24" t="s">
        <v>312</v>
      </c>
      <c r="AY46" s="233">
        <v>0</v>
      </c>
      <c r="AZ46" s="233">
        <v>0</v>
      </c>
      <c r="BA46" s="233">
        <v>0</v>
      </c>
      <c r="BB46" s="233">
        <v>0</v>
      </c>
      <c r="BC46" s="233">
        <v>0</v>
      </c>
      <c r="BD46" s="233">
        <v>37</v>
      </c>
      <c r="BE46" s="233">
        <v>0</v>
      </c>
      <c r="BF46" s="233">
        <v>0</v>
      </c>
      <c r="BG46" s="233">
        <v>0</v>
      </c>
      <c r="BH46" s="233">
        <v>0</v>
      </c>
      <c r="BI46" s="14"/>
      <c r="BJ46" s="24" t="s">
        <v>312</v>
      </c>
      <c r="BK46" s="233">
        <v>0</v>
      </c>
      <c r="BL46" s="233">
        <v>0</v>
      </c>
      <c r="BM46" s="233">
        <v>0</v>
      </c>
      <c r="BN46" s="233">
        <v>0</v>
      </c>
      <c r="BO46" s="233">
        <v>1</v>
      </c>
      <c r="BP46" s="233">
        <v>6</v>
      </c>
      <c r="BQ46" s="233">
        <v>0</v>
      </c>
      <c r="BR46" s="233">
        <v>0</v>
      </c>
      <c r="BS46" s="233">
        <v>0</v>
      </c>
    </row>
    <row r="47" spans="1:71" ht="11.1" customHeight="1">
      <c r="A47" s="14" t="s">
        <v>420</v>
      </c>
      <c r="B47" s="24" t="s">
        <v>505</v>
      </c>
      <c r="C47" s="505">
        <v>20005.5</v>
      </c>
      <c r="D47" s="501">
        <v>54</v>
      </c>
      <c r="E47" s="501">
        <v>2538</v>
      </c>
      <c r="F47" s="501">
        <v>2402</v>
      </c>
      <c r="G47" s="501">
        <v>1010</v>
      </c>
      <c r="H47" s="501">
        <v>25</v>
      </c>
      <c r="I47" s="501">
        <v>0</v>
      </c>
      <c r="J47" s="501">
        <v>117</v>
      </c>
      <c r="K47" s="501">
        <v>0</v>
      </c>
      <c r="L47" s="501">
        <v>0</v>
      </c>
      <c r="M47" s="14" t="s">
        <v>420</v>
      </c>
      <c r="N47" s="24" t="s">
        <v>505</v>
      </c>
      <c r="O47" s="501">
        <v>0</v>
      </c>
      <c r="P47" s="501">
        <v>375</v>
      </c>
      <c r="Q47" s="501">
        <v>40.5</v>
      </c>
      <c r="R47" s="501">
        <v>6</v>
      </c>
      <c r="S47" s="501">
        <v>0</v>
      </c>
      <c r="T47" s="501">
        <v>8285</v>
      </c>
      <c r="U47" s="501">
        <v>2443</v>
      </c>
      <c r="V47" s="501">
        <v>0</v>
      </c>
      <c r="W47" s="501">
        <v>613</v>
      </c>
      <c r="X47" s="501">
        <v>714</v>
      </c>
      <c r="Y47" s="14" t="s">
        <v>420</v>
      </c>
      <c r="Z47" s="24" t="s">
        <v>505</v>
      </c>
      <c r="AA47" s="501">
        <v>0</v>
      </c>
      <c r="AB47" s="501">
        <v>257</v>
      </c>
      <c r="AC47" s="501">
        <v>0</v>
      </c>
      <c r="AD47" s="501">
        <v>819</v>
      </c>
      <c r="AE47" s="501">
        <v>132</v>
      </c>
      <c r="AF47" s="501">
        <v>0</v>
      </c>
      <c r="AG47" s="501">
        <v>0</v>
      </c>
      <c r="AH47" s="501">
        <v>175</v>
      </c>
      <c r="AI47" s="501">
        <v>0</v>
      </c>
      <c r="AK47" s="14" t="s">
        <v>420</v>
      </c>
      <c r="AL47" s="24" t="s">
        <v>505</v>
      </c>
      <c r="AM47" s="263">
        <v>423</v>
      </c>
      <c r="AN47" s="233">
        <v>54</v>
      </c>
      <c r="AO47" s="233">
        <v>0</v>
      </c>
      <c r="AP47" s="233">
        <v>27</v>
      </c>
      <c r="AQ47" s="233">
        <v>90</v>
      </c>
      <c r="AR47" s="233">
        <v>25</v>
      </c>
      <c r="AS47" s="233">
        <v>0</v>
      </c>
      <c r="AT47" s="233">
        <v>8</v>
      </c>
      <c r="AU47" s="233">
        <v>0</v>
      </c>
      <c r="AV47" s="233">
        <v>0</v>
      </c>
      <c r="AW47" s="14" t="s">
        <v>420</v>
      </c>
      <c r="AX47" s="24" t="s">
        <v>505</v>
      </c>
      <c r="AY47" s="233">
        <v>0</v>
      </c>
      <c r="AZ47" s="233">
        <v>14</v>
      </c>
      <c r="BA47" s="233">
        <v>0</v>
      </c>
      <c r="BB47" s="233">
        <v>0</v>
      </c>
      <c r="BC47" s="233">
        <v>0</v>
      </c>
      <c r="BD47" s="233">
        <v>53</v>
      </c>
      <c r="BE47" s="233">
        <v>64</v>
      </c>
      <c r="BF47" s="233">
        <v>0</v>
      </c>
      <c r="BG47" s="233">
        <v>0</v>
      </c>
      <c r="BH47" s="233">
        <v>0</v>
      </c>
      <c r="BI47" s="14" t="s">
        <v>420</v>
      </c>
      <c r="BJ47" s="24" t="s">
        <v>505</v>
      </c>
      <c r="BK47" s="233">
        <v>0</v>
      </c>
      <c r="BL47" s="233">
        <v>0</v>
      </c>
      <c r="BM47" s="233">
        <v>0</v>
      </c>
      <c r="BN47" s="233">
        <v>0</v>
      </c>
      <c r="BO47" s="233">
        <v>12</v>
      </c>
      <c r="BP47" s="233">
        <v>0</v>
      </c>
      <c r="BQ47" s="233">
        <v>0</v>
      </c>
      <c r="BR47" s="233">
        <v>76</v>
      </c>
      <c r="BS47" s="233">
        <v>0</v>
      </c>
    </row>
    <row r="48" spans="1:71" ht="11.1" customHeight="1">
      <c r="A48" s="14"/>
      <c r="B48" s="24" t="s">
        <v>312</v>
      </c>
      <c r="C48" s="505">
        <v>18294.5</v>
      </c>
      <c r="D48" s="501">
        <v>49</v>
      </c>
      <c r="E48" s="501">
        <v>2062</v>
      </c>
      <c r="F48" s="501">
        <v>2271</v>
      </c>
      <c r="G48" s="501">
        <v>733</v>
      </c>
      <c r="H48" s="501">
        <v>37</v>
      </c>
      <c r="I48" s="501">
        <v>0</v>
      </c>
      <c r="J48" s="501">
        <v>123</v>
      </c>
      <c r="K48" s="501">
        <v>0</v>
      </c>
      <c r="L48" s="501">
        <v>0</v>
      </c>
      <c r="M48" s="14"/>
      <c r="N48" s="24" t="s">
        <v>312</v>
      </c>
      <c r="O48" s="501">
        <v>0</v>
      </c>
      <c r="P48" s="501">
        <v>339</v>
      </c>
      <c r="Q48" s="501">
        <v>43</v>
      </c>
      <c r="R48" s="501">
        <v>8</v>
      </c>
      <c r="S48" s="501">
        <v>0</v>
      </c>
      <c r="T48" s="501">
        <v>8182.5</v>
      </c>
      <c r="U48" s="501">
        <v>1985</v>
      </c>
      <c r="V48" s="501">
        <v>0</v>
      </c>
      <c r="W48" s="501">
        <v>530</v>
      </c>
      <c r="X48" s="501">
        <v>675</v>
      </c>
      <c r="Y48" s="14"/>
      <c r="Z48" s="24" t="s">
        <v>312</v>
      </c>
      <c r="AA48" s="501">
        <v>0</v>
      </c>
      <c r="AB48" s="501">
        <v>235</v>
      </c>
      <c r="AC48" s="501">
        <v>0</v>
      </c>
      <c r="AD48" s="501">
        <v>746</v>
      </c>
      <c r="AE48" s="501">
        <v>176</v>
      </c>
      <c r="AF48" s="501">
        <v>0</v>
      </c>
      <c r="AG48" s="501">
        <v>0</v>
      </c>
      <c r="AH48" s="501">
        <v>100</v>
      </c>
      <c r="AI48" s="501">
        <v>0</v>
      </c>
      <c r="AK48" s="14"/>
      <c r="AL48" s="24" t="s">
        <v>312</v>
      </c>
      <c r="AM48" s="263">
        <v>283.5</v>
      </c>
      <c r="AN48" s="233">
        <v>49</v>
      </c>
      <c r="AO48" s="233">
        <v>0</v>
      </c>
      <c r="AP48" s="233">
        <v>30</v>
      </c>
      <c r="AQ48" s="233">
        <v>31</v>
      </c>
      <c r="AR48" s="233">
        <v>27</v>
      </c>
      <c r="AS48" s="233">
        <v>0</v>
      </c>
      <c r="AT48" s="233">
        <v>14</v>
      </c>
      <c r="AU48" s="233">
        <v>0</v>
      </c>
      <c r="AV48" s="233">
        <v>0</v>
      </c>
      <c r="AW48" s="14"/>
      <c r="AX48" s="24" t="s">
        <v>312</v>
      </c>
      <c r="AY48" s="233">
        <v>0</v>
      </c>
      <c r="AZ48" s="233">
        <v>8</v>
      </c>
      <c r="BA48" s="233">
        <v>0.5</v>
      </c>
      <c r="BB48" s="233">
        <v>0</v>
      </c>
      <c r="BC48" s="233">
        <v>0</v>
      </c>
      <c r="BD48" s="233">
        <v>15</v>
      </c>
      <c r="BE48" s="233">
        <v>55</v>
      </c>
      <c r="BF48" s="233">
        <v>0</v>
      </c>
      <c r="BG48" s="233">
        <v>0</v>
      </c>
      <c r="BH48" s="233">
        <v>0</v>
      </c>
      <c r="BI48" s="14"/>
      <c r="BJ48" s="24" t="s">
        <v>312</v>
      </c>
      <c r="BK48" s="233">
        <v>0</v>
      </c>
      <c r="BL48" s="233">
        <v>0</v>
      </c>
      <c r="BM48" s="233">
        <v>0</v>
      </c>
      <c r="BN48" s="233">
        <v>0</v>
      </c>
      <c r="BO48" s="233">
        <v>15</v>
      </c>
      <c r="BP48" s="233">
        <v>0</v>
      </c>
      <c r="BQ48" s="233">
        <v>0</v>
      </c>
      <c r="BR48" s="233">
        <v>39</v>
      </c>
      <c r="BS48" s="233">
        <v>0</v>
      </c>
    </row>
    <row r="49" spans="1:71" ht="11.1" customHeight="1">
      <c r="A49" s="14" t="s">
        <v>421</v>
      </c>
      <c r="B49" s="24" t="s">
        <v>505</v>
      </c>
      <c r="C49" s="505">
        <v>20366.006999999998</v>
      </c>
      <c r="D49" s="501">
        <v>70</v>
      </c>
      <c r="E49" s="501">
        <v>5224.0069999999996</v>
      </c>
      <c r="F49" s="501">
        <v>3338</v>
      </c>
      <c r="G49" s="501">
        <v>6964</v>
      </c>
      <c r="H49" s="501">
        <v>0</v>
      </c>
      <c r="I49" s="501">
        <v>0</v>
      </c>
      <c r="J49" s="501">
        <v>0</v>
      </c>
      <c r="K49" s="501">
        <v>339</v>
      </c>
      <c r="L49" s="501">
        <v>0</v>
      </c>
      <c r="M49" s="14" t="s">
        <v>421</v>
      </c>
      <c r="N49" s="24" t="s">
        <v>505</v>
      </c>
      <c r="O49" s="501">
        <v>30</v>
      </c>
      <c r="P49" s="501">
        <v>0</v>
      </c>
      <c r="Q49" s="501">
        <v>50</v>
      </c>
      <c r="R49" s="501">
        <v>4</v>
      </c>
      <c r="S49" s="501">
        <v>78</v>
      </c>
      <c r="T49" s="501">
        <v>609</v>
      </c>
      <c r="U49" s="501">
        <v>167</v>
      </c>
      <c r="V49" s="501">
        <v>270</v>
      </c>
      <c r="W49" s="501">
        <v>402</v>
      </c>
      <c r="X49" s="501">
        <v>311</v>
      </c>
      <c r="Y49" s="14" t="s">
        <v>421</v>
      </c>
      <c r="Z49" s="24" t="s">
        <v>505</v>
      </c>
      <c r="AA49" s="501">
        <v>211</v>
      </c>
      <c r="AB49" s="501">
        <v>1323</v>
      </c>
      <c r="AC49" s="501">
        <v>0</v>
      </c>
      <c r="AD49" s="501">
        <v>222</v>
      </c>
      <c r="AE49" s="501">
        <v>217</v>
      </c>
      <c r="AF49" s="501">
        <v>0</v>
      </c>
      <c r="AG49" s="501">
        <v>0</v>
      </c>
      <c r="AH49" s="501">
        <v>0</v>
      </c>
      <c r="AI49" s="501">
        <v>537</v>
      </c>
      <c r="AK49" s="14" t="s">
        <v>421</v>
      </c>
      <c r="AL49" s="24" t="s">
        <v>505</v>
      </c>
      <c r="AM49" s="263">
        <v>3130</v>
      </c>
      <c r="AN49" s="233">
        <v>70</v>
      </c>
      <c r="AO49" s="233">
        <v>120</v>
      </c>
      <c r="AP49" s="233">
        <v>1852</v>
      </c>
      <c r="AQ49" s="233">
        <v>0</v>
      </c>
      <c r="AR49" s="233">
        <v>0</v>
      </c>
      <c r="AS49" s="233">
        <v>0</v>
      </c>
      <c r="AT49" s="233">
        <v>0</v>
      </c>
      <c r="AU49" s="233">
        <v>0</v>
      </c>
      <c r="AV49" s="233">
        <v>0</v>
      </c>
      <c r="AW49" s="14" t="s">
        <v>421</v>
      </c>
      <c r="AX49" s="24" t="s">
        <v>505</v>
      </c>
      <c r="AY49" s="233">
        <v>0</v>
      </c>
      <c r="AZ49" s="233">
        <v>0</v>
      </c>
      <c r="BA49" s="233">
        <v>0</v>
      </c>
      <c r="BB49" s="233">
        <v>0</v>
      </c>
      <c r="BC49" s="233">
        <v>0</v>
      </c>
      <c r="BD49" s="233">
        <v>110</v>
      </c>
      <c r="BE49" s="233">
        <v>59</v>
      </c>
      <c r="BF49" s="233">
        <v>3</v>
      </c>
      <c r="BG49" s="233">
        <v>69</v>
      </c>
      <c r="BH49" s="233">
        <v>45</v>
      </c>
      <c r="BI49" s="14" t="s">
        <v>421</v>
      </c>
      <c r="BJ49" s="24" t="s">
        <v>505</v>
      </c>
      <c r="BK49" s="233">
        <v>0</v>
      </c>
      <c r="BL49" s="233">
        <v>736</v>
      </c>
      <c r="BM49" s="233">
        <v>0</v>
      </c>
      <c r="BN49" s="233">
        <v>51</v>
      </c>
      <c r="BO49" s="233">
        <v>15</v>
      </c>
      <c r="BP49" s="233">
        <v>0</v>
      </c>
      <c r="BQ49" s="233">
        <v>0</v>
      </c>
      <c r="BR49" s="233">
        <v>0</v>
      </c>
      <c r="BS49" s="233">
        <v>0</v>
      </c>
    </row>
    <row r="50" spans="1:71" ht="11.1" customHeight="1">
      <c r="A50" s="14"/>
      <c r="B50" s="24" t="s">
        <v>312</v>
      </c>
      <c r="C50" s="505">
        <v>33526</v>
      </c>
      <c r="D50" s="501">
        <v>10</v>
      </c>
      <c r="E50" s="501">
        <v>5397</v>
      </c>
      <c r="F50" s="501">
        <v>3149</v>
      </c>
      <c r="G50" s="501">
        <v>19226</v>
      </c>
      <c r="H50" s="501">
        <v>0</v>
      </c>
      <c r="I50" s="501">
        <v>0</v>
      </c>
      <c r="J50" s="501">
        <v>0</v>
      </c>
      <c r="K50" s="501">
        <v>165</v>
      </c>
      <c r="L50" s="501">
        <v>0</v>
      </c>
      <c r="M50" s="14"/>
      <c r="N50" s="24" t="s">
        <v>312</v>
      </c>
      <c r="O50" s="501">
        <v>49</v>
      </c>
      <c r="P50" s="501">
        <v>0</v>
      </c>
      <c r="Q50" s="501">
        <v>125</v>
      </c>
      <c r="R50" s="501">
        <v>4</v>
      </c>
      <c r="S50" s="501">
        <v>115</v>
      </c>
      <c r="T50" s="501">
        <v>1023</v>
      </c>
      <c r="U50" s="501">
        <v>601</v>
      </c>
      <c r="V50" s="501">
        <v>475</v>
      </c>
      <c r="W50" s="501">
        <v>449</v>
      </c>
      <c r="X50" s="501">
        <v>348</v>
      </c>
      <c r="Y50" s="14"/>
      <c r="Z50" s="24" t="s">
        <v>312</v>
      </c>
      <c r="AA50" s="501">
        <v>412</v>
      </c>
      <c r="AB50" s="501">
        <v>1300</v>
      </c>
      <c r="AC50" s="501">
        <v>0</v>
      </c>
      <c r="AD50" s="501">
        <v>281</v>
      </c>
      <c r="AE50" s="501">
        <v>397</v>
      </c>
      <c r="AF50" s="501">
        <v>0</v>
      </c>
      <c r="AG50" s="501">
        <v>0</v>
      </c>
      <c r="AH50" s="501">
        <v>0</v>
      </c>
      <c r="AI50" s="501">
        <v>0</v>
      </c>
      <c r="AK50" s="14"/>
      <c r="AL50" s="24" t="s">
        <v>312</v>
      </c>
      <c r="AM50" s="263">
        <v>3077</v>
      </c>
      <c r="AN50" s="233">
        <v>0</v>
      </c>
      <c r="AO50" s="233">
        <v>254</v>
      </c>
      <c r="AP50" s="233">
        <v>1560</v>
      </c>
      <c r="AQ50" s="233">
        <v>0</v>
      </c>
      <c r="AR50" s="233">
        <v>0</v>
      </c>
      <c r="AS50" s="233">
        <v>0</v>
      </c>
      <c r="AT50" s="233">
        <v>0</v>
      </c>
      <c r="AU50" s="233">
        <v>0</v>
      </c>
      <c r="AV50" s="233">
        <v>0</v>
      </c>
      <c r="AW50" s="14"/>
      <c r="AX50" s="24" t="s">
        <v>312</v>
      </c>
      <c r="AY50" s="233">
        <v>0</v>
      </c>
      <c r="AZ50" s="233">
        <v>0</v>
      </c>
      <c r="BA50" s="233">
        <v>16</v>
      </c>
      <c r="BB50" s="233">
        <v>0</v>
      </c>
      <c r="BC50" s="233">
        <v>5</v>
      </c>
      <c r="BD50" s="233">
        <v>142</v>
      </c>
      <c r="BE50" s="233">
        <v>134</v>
      </c>
      <c r="BF50" s="233">
        <v>97</v>
      </c>
      <c r="BG50" s="233">
        <v>85</v>
      </c>
      <c r="BH50" s="233">
        <v>53</v>
      </c>
      <c r="BI50" s="14"/>
      <c r="BJ50" s="24" t="s">
        <v>312</v>
      </c>
      <c r="BK50" s="233">
        <v>25</v>
      </c>
      <c r="BL50" s="233">
        <v>544</v>
      </c>
      <c r="BM50" s="233">
        <v>0</v>
      </c>
      <c r="BN50" s="233">
        <v>96</v>
      </c>
      <c r="BO50" s="233">
        <v>66</v>
      </c>
      <c r="BP50" s="233">
        <v>0</v>
      </c>
      <c r="BQ50" s="233">
        <v>0</v>
      </c>
      <c r="BR50" s="233">
        <v>0</v>
      </c>
      <c r="BS50" s="233">
        <v>0</v>
      </c>
    </row>
    <row r="51" spans="1:71" ht="11.1" customHeight="1">
      <c r="A51" s="14" t="s">
        <v>422</v>
      </c>
      <c r="B51" s="24" t="s">
        <v>505</v>
      </c>
      <c r="C51" s="505">
        <v>239497</v>
      </c>
      <c r="D51" s="501">
        <v>1414</v>
      </c>
      <c r="E51" s="501">
        <v>2617</v>
      </c>
      <c r="F51" s="501">
        <v>3936</v>
      </c>
      <c r="G51" s="501">
        <v>114</v>
      </c>
      <c r="H51" s="501">
        <v>24426</v>
      </c>
      <c r="I51" s="501">
        <v>36157</v>
      </c>
      <c r="J51" s="501">
        <v>0</v>
      </c>
      <c r="K51" s="501">
        <v>0</v>
      </c>
      <c r="L51" s="501">
        <v>0</v>
      </c>
      <c r="M51" s="14" t="s">
        <v>422</v>
      </c>
      <c r="N51" s="24" t="s">
        <v>505</v>
      </c>
      <c r="O51" s="501">
        <v>0</v>
      </c>
      <c r="P51" s="501">
        <v>91</v>
      </c>
      <c r="Q51" s="501">
        <v>19</v>
      </c>
      <c r="R51" s="501">
        <v>0</v>
      </c>
      <c r="S51" s="501">
        <v>453</v>
      </c>
      <c r="T51" s="501">
        <v>58461</v>
      </c>
      <c r="U51" s="501">
        <v>2158</v>
      </c>
      <c r="V51" s="501">
        <v>245</v>
      </c>
      <c r="W51" s="501">
        <v>3515</v>
      </c>
      <c r="X51" s="501">
        <v>2762</v>
      </c>
      <c r="Y51" s="14" t="s">
        <v>422</v>
      </c>
      <c r="Z51" s="24" t="s">
        <v>505</v>
      </c>
      <c r="AA51" s="501">
        <v>0</v>
      </c>
      <c r="AB51" s="501">
        <v>535</v>
      </c>
      <c r="AC51" s="501">
        <v>0</v>
      </c>
      <c r="AD51" s="501">
        <v>10455</v>
      </c>
      <c r="AE51" s="501">
        <v>1036</v>
      </c>
      <c r="AF51" s="501">
        <v>0</v>
      </c>
      <c r="AG51" s="501">
        <v>16270</v>
      </c>
      <c r="AH51" s="501">
        <v>74833</v>
      </c>
      <c r="AI51" s="501">
        <v>0</v>
      </c>
      <c r="AK51" s="14" t="s">
        <v>422</v>
      </c>
      <c r="AL51" s="24" t="s">
        <v>505</v>
      </c>
      <c r="AM51" s="263">
        <v>47850</v>
      </c>
      <c r="AN51" s="233">
        <v>0</v>
      </c>
      <c r="AO51" s="233">
        <v>0</v>
      </c>
      <c r="AP51" s="233">
        <v>0</v>
      </c>
      <c r="AQ51" s="233">
        <v>0</v>
      </c>
      <c r="AR51" s="233">
        <v>5</v>
      </c>
      <c r="AS51" s="233">
        <v>0</v>
      </c>
      <c r="AT51" s="233">
        <v>0</v>
      </c>
      <c r="AU51" s="233">
        <v>0</v>
      </c>
      <c r="AV51" s="233">
        <v>0</v>
      </c>
      <c r="AW51" s="14" t="s">
        <v>422</v>
      </c>
      <c r="AX51" s="24" t="s">
        <v>505</v>
      </c>
      <c r="AY51" s="233">
        <v>0</v>
      </c>
      <c r="AZ51" s="233">
        <v>0</v>
      </c>
      <c r="BA51" s="233">
        <v>0</v>
      </c>
      <c r="BB51" s="233">
        <v>0</v>
      </c>
      <c r="BC51" s="233">
        <v>4</v>
      </c>
      <c r="BD51" s="233">
        <v>1856</v>
      </c>
      <c r="BE51" s="233">
        <v>0</v>
      </c>
      <c r="BF51" s="233">
        <v>0</v>
      </c>
      <c r="BG51" s="233">
        <v>0</v>
      </c>
      <c r="BH51" s="233">
        <v>0</v>
      </c>
      <c r="BI51" s="14" t="s">
        <v>422</v>
      </c>
      <c r="BJ51" s="24" t="s">
        <v>505</v>
      </c>
      <c r="BK51" s="233">
        <v>0</v>
      </c>
      <c r="BL51" s="233">
        <v>0</v>
      </c>
      <c r="BM51" s="233">
        <v>0</v>
      </c>
      <c r="BN51" s="233">
        <v>0</v>
      </c>
      <c r="BO51" s="233">
        <v>20</v>
      </c>
      <c r="BP51" s="233">
        <v>0</v>
      </c>
      <c r="BQ51" s="233">
        <v>10674</v>
      </c>
      <c r="BR51" s="233">
        <v>35291</v>
      </c>
      <c r="BS51" s="233">
        <v>0</v>
      </c>
    </row>
    <row r="52" spans="1:71" ht="11.1" customHeight="1">
      <c r="A52" s="14"/>
      <c r="B52" s="24" t="s">
        <v>312</v>
      </c>
      <c r="C52" s="505">
        <v>237753</v>
      </c>
      <c r="D52" s="501">
        <v>1355</v>
      </c>
      <c r="E52" s="501">
        <v>2659</v>
      </c>
      <c r="F52" s="501">
        <v>4071</v>
      </c>
      <c r="G52" s="501">
        <v>84</v>
      </c>
      <c r="H52" s="501">
        <v>24485</v>
      </c>
      <c r="I52" s="501">
        <v>36114</v>
      </c>
      <c r="J52" s="501">
        <v>0</v>
      </c>
      <c r="K52" s="501">
        <v>0</v>
      </c>
      <c r="L52" s="501">
        <v>0</v>
      </c>
      <c r="M52" s="14"/>
      <c r="N52" s="24" t="s">
        <v>312</v>
      </c>
      <c r="O52" s="501">
        <v>0</v>
      </c>
      <c r="P52" s="501">
        <v>112</v>
      </c>
      <c r="Q52" s="501">
        <v>20</v>
      </c>
      <c r="R52" s="501">
        <v>0</v>
      </c>
      <c r="S52" s="501">
        <v>435</v>
      </c>
      <c r="T52" s="501">
        <v>59642</v>
      </c>
      <c r="U52" s="501">
        <v>2259</v>
      </c>
      <c r="V52" s="501">
        <v>244</v>
      </c>
      <c r="W52" s="501">
        <v>3535</v>
      </c>
      <c r="X52" s="501">
        <v>2827</v>
      </c>
      <c r="Y52" s="14"/>
      <c r="Z52" s="24" t="s">
        <v>312</v>
      </c>
      <c r="AA52" s="501">
        <v>0</v>
      </c>
      <c r="AB52" s="501">
        <v>571</v>
      </c>
      <c r="AC52" s="501">
        <v>0</v>
      </c>
      <c r="AD52" s="501">
        <v>10609</v>
      </c>
      <c r="AE52" s="501">
        <v>1105</v>
      </c>
      <c r="AF52" s="501">
        <v>0</v>
      </c>
      <c r="AG52" s="501">
        <v>16086</v>
      </c>
      <c r="AH52" s="501">
        <v>71540</v>
      </c>
      <c r="AI52" s="501">
        <v>0</v>
      </c>
      <c r="AK52" s="14"/>
      <c r="AL52" s="24" t="s">
        <v>312</v>
      </c>
      <c r="AM52" s="263">
        <v>40484</v>
      </c>
      <c r="AN52" s="233">
        <v>0</v>
      </c>
      <c r="AO52" s="233">
        <v>0</v>
      </c>
      <c r="AP52" s="233">
        <v>0</v>
      </c>
      <c r="AQ52" s="233">
        <v>0</v>
      </c>
      <c r="AR52" s="233">
        <v>0</v>
      </c>
      <c r="AS52" s="233">
        <v>0</v>
      </c>
      <c r="AT52" s="233">
        <v>0</v>
      </c>
      <c r="AU52" s="233">
        <v>0</v>
      </c>
      <c r="AV52" s="233">
        <v>0</v>
      </c>
      <c r="AW52" s="14"/>
      <c r="AX52" s="24" t="s">
        <v>312</v>
      </c>
      <c r="AY52" s="233">
        <v>0</v>
      </c>
      <c r="AZ52" s="233">
        <v>0</v>
      </c>
      <c r="BA52" s="233">
        <v>0</v>
      </c>
      <c r="BB52" s="233">
        <v>0</v>
      </c>
      <c r="BC52" s="233">
        <v>0</v>
      </c>
      <c r="BD52" s="233">
        <v>1062</v>
      </c>
      <c r="BE52" s="233">
        <v>0</v>
      </c>
      <c r="BF52" s="233">
        <v>0</v>
      </c>
      <c r="BG52" s="233">
        <v>0</v>
      </c>
      <c r="BH52" s="233">
        <v>0</v>
      </c>
      <c r="BI52" s="14"/>
      <c r="BJ52" s="24" t="s">
        <v>312</v>
      </c>
      <c r="BK52" s="233">
        <v>0</v>
      </c>
      <c r="BL52" s="233">
        <v>0</v>
      </c>
      <c r="BM52" s="233">
        <v>0</v>
      </c>
      <c r="BN52" s="233">
        <v>0</v>
      </c>
      <c r="BO52" s="233">
        <v>0</v>
      </c>
      <c r="BP52" s="233">
        <v>0</v>
      </c>
      <c r="BQ52" s="233">
        <v>8520</v>
      </c>
      <c r="BR52" s="233">
        <v>30902</v>
      </c>
      <c r="BS52" s="233">
        <v>0</v>
      </c>
    </row>
    <row r="53" spans="1:71" ht="11.1" customHeight="1">
      <c r="A53" s="14" t="s">
        <v>456</v>
      </c>
      <c r="B53" s="24" t="s">
        <v>505</v>
      </c>
      <c r="C53" s="505">
        <v>64360.5</v>
      </c>
      <c r="D53" s="501">
        <v>0</v>
      </c>
      <c r="E53" s="501">
        <v>18466</v>
      </c>
      <c r="F53" s="501">
        <v>0</v>
      </c>
      <c r="G53" s="501">
        <v>42967.5</v>
      </c>
      <c r="H53" s="501">
        <v>0</v>
      </c>
      <c r="I53" s="501">
        <v>0</v>
      </c>
      <c r="J53" s="501">
        <v>0</v>
      </c>
      <c r="K53" s="501">
        <v>0</v>
      </c>
      <c r="L53" s="501">
        <v>0</v>
      </c>
      <c r="M53" s="14" t="s">
        <v>456</v>
      </c>
      <c r="N53" s="24" t="s">
        <v>505</v>
      </c>
      <c r="O53" s="501">
        <v>54</v>
      </c>
      <c r="P53" s="501">
        <v>0</v>
      </c>
      <c r="Q53" s="501">
        <v>0</v>
      </c>
      <c r="R53" s="501">
        <v>0</v>
      </c>
      <c r="S53" s="501">
        <v>0</v>
      </c>
      <c r="T53" s="501">
        <v>0</v>
      </c>
      <c r="U53" s="501">
        <v>2423</v>
      </c>
      <c r="V53" s="501">
        <v>0</v>
      </c>
      <c r="W53" s="501">
        <v>0</v>
      </c>
      <c r="X53" s="501">
        <v>0</v>
      </c>
      <c r="Y53" s="14" t="s">
        <v>456</v>
      </c>
      <c r="Z53" s="24" t="s">
        <v>505</v>
      </c>
      <c r="AA53" s="501">
        <v>0</v>
      </c>
      <c r="AB53" s="501">
        <v>450</v>
      </c>
      <c r="AC53" s="501">
        <v>0</v>
      </c>
      <c r="AD53" s="501">
        <v>0</v>
      </c>
      <c r="AE53" s="501">
        <v>0</v>
      </c>
      <c r="AF53" s="501">
        <v>0</v>
      </c>
      <c r="AG53" s="501">
        <v>0</v>
      </c>
      <c r="AH53" s="501">
        <v>0</v>
      </c>
      <c r="AI53" s="501">
        <v>0</v>
      </c>
      <c r="AK53" s="14" t="s">
        <v>197</v>
      </c>
      <c r="AL53" s="24" t="s">
        <v>505</v>
      </c>
      <c r="AM53" s="263">
        <v>9675</v>
      </c>
      <c r="AN53" s="233">
        <v>0</v>
      </c>
      <c r="AO53" s="233">
        <v>180</v>
      </c>
      <c r="AP53" s="233">
        <v>0</v>
      </c>
      <c r="AQ53" s="233">
        <v>8896</v>
      </c>
      <c r="AR53" s="233">
        <v>0</v>
      </c>
      <c r="AS53" s="233">
        <v>0</v>
      </c>
      <c r="AT53" s="233">
        <v>0</v>
      </c>
      <c r="AU53" s="233">
        <v>0</v>
      </c>
      <c r="AV53" s="233">
        <v>0</v>
      </c>
      <c r="AW53" s="14" t="s">
        <v>456</v>
      </c>
      <c r="AX53" s="24" t="s">
        <v>505</v>
      </c>
      <c r="AY53" s="233">
        <v>6</v>
      </c>
      <c r="AZ53" s="233">
        <v>0</v>
      </c>
      <c r="BA53" s="233">
        <v>0</v>
      </c>
      <c r="BB53" s="233">
        <v>0</v>
      </c>
      <c r="BC53" s="233">
        <v>0</v>
      </c>
      <c r="BD53" s="233">
        <v>0</v>
      </c>
      <c r="BE53" s="233">
        <v>456</v>
      </c>
      <c r="BF53" s="233">
        <v>0</v>
      </c>
      <c r="BG53" s="233">
        <v>0</v>
      </c>
      <c r="BH53" s="233">
        <v>0</v>
      </c>
      <c r="BI53" s="14" t="s">
        <v>456</v>
      </c>
      <c r="BJ53" s="24" t="s">
        <v>505</v>
      </c>
      <c r="BK53" s="233">
        <v>0</v>
      </c>
      <c r="BL53" s="233">
        <v>137</v>
      </c>
      <c r="BM53" s="233">
        <v>0</v>
      </c>
      <c r="BN53" s="233">
        <v>0</v>
      </c>
      <c r="BO53" s="233">
        <v>0</v>
      </c>
      <c r="BP53" s="233">
        <v>0</v>
      </c>
      <c r="BQ53" s="233">
        <v>0</v>
      </c>
      <c r="BR53" s="233">
        <v>0</v>
      </c>
      <c r="BS53" s="233">
        <v>0</v>
      </c>
    </row>
    <row r="54" spans="1:71" ht="11.1" customHeight="1">
      <c r="A54" s="14"/>
      <c r="B54" s="24" t="s">
        <v>312</v>
      </c>
      <c r="C54" s="505">
        <v>73982.5</v>
      </c>
      <c r="D54" s="501">
        <v>0</v>
      </c>
      <c r="E54" s="501">
        <v>21769</v>
      </c>
      <c r="F54" s="501">
        <v>0</v>
      </c>
      <c r="G54" s="501">
        <v>49469</v>
      </c>
      <c r="H54" s="501">
        <v>0</v>
      </c>
      <c r="I54" s="501">
        <v>0</v>
      </c>
      <c r="J54" s="501">
        <v>0</v>
      </c>
      <c r="K54" s="501">
        <v>0</v>
      </c>
      <c r="L54" s="501">
        <v>0</v>
      </c>
      <c r="M54" s="14"/>
      <c r="N54" s="24" t="s">
        <v>312</v>
      </c>
      <c r="O54" s="501">
        <v>124</v>
      </c>
      <c r="P54" s="501">
        <v>0</v>
      </c>
      <c r="Q54" s="501">
        <v>0</v>
      </c>
      <c r="R54" s="501">
        <v>0</v>
      </c>
      <c r="S54" s="501">
        <v>0</v>
      </c>
      <c r="T54" s="501">
        <v>0</v>
      </c>
      <c r="U54" s="501">
        <v>2234.5</v>
      </c>
      <c r="V54" s="501">
        <v>0</v>
      </c>
      <c r="W54" s="501">
        <v>0</v>
      </c>
      <c r="X54" s="501">
        <v>0</v>
      </c>
      <c r="Y54" s="14"/>
      <c r="Z54" s="24" t="s">
        <v>312</v>
      </c>
      <c r="AA54" s="501">
        <v>0</v>
      </c>
      <c r="AB54" s="501">
        <v>386</v>
      </c>
      <c r="AC54" s="501">
        <v>0</v>
      </c>
      <c r="AD54" s="501">
        <v>0</v>
      </c>
      <c r="AE54" s="501">
        <v>0</v>
      </c>
      <c r="AF54" s="501">
        <v>0</v>
      </c>
      <c r="AG54" s="501">
        <v>0</v>
      </c>
      <c r="AH54" s="501">
        <v>0</v>
      </c>
      <c r="AI54" s="501">
        <v>0</v>
      </c>
      <c r="AK54" s="14"/>
      <c r="AL54" s="24" t="s">
        <v>312</v>
      </c>
      <c r="AM54" s="263">
        <v>10622</v>
      </c>
      <c r="AN54" s="233">
        <v>0</v>
      </c>
      <c r="AO54" s="233">
        <v>172</v>
      </c>
      <c r="AP54" s="233">
        <v>0</v>
      </c>
      <c r="AQ54" s="233">
        <v>9964</v>
      </c>
      <c r="AR54" s="233">
        <v>0</v>
      </c>
      <c r="AS54" s="233">
        <v>0</v>
      </c>
      <c r="AT54" s="233">
        <v>0</v>
      </c>
      <c r="AU54" s="233">
        <v>0</v>
      </c>
      <c r="AV54" s="233">
        <v>0</v>
      </c>
      <c r="AW54" s="14"/>
      <c r="AX54" s="24" t="s">
        <v>312</v>
      </c>
      <c r="AY54" s="233">
        <v>12</v>
      </c>
      <c r="AZ54" s="233">
        <v>0</v>
      </c>
      <c r="BA54" s="233">
        <v>0</v>
      </c>
      <c r="BB54" s="233">
        <v>0</v>
      </c>
      <c r="BC54" s="233">
        <v>0</v>
      </c>
      <c r="BD54" s="233">
        <v>0</v>
      </c>
      <c r="BE54" s="233">
        <v>389.5</v>
      </c>
      <c r="BF54" s="233">
        <v>0</v>
      </c>
      <c r="BG54" s="233">
        <v>0</v>
      </c>
      <c r="BH54" s="233">
        <v>0</v>
      </c>
      <c r="BI54" s="14"/>
      <c r="BJ54" s="24" t="s">
        <v>312</v>
      </c>
      <c r="BK54" s="233">
        <v>0</v>
      </c>
      <c r="BL54" s="233">
        <v>84.5</v>
      </c>
      <c r="BM54" s="233">
        <v>0</v>
      </c>
      <c r="BN54" s="233">
        <v>0</v>
      </c>
      <c r="BO54" s="233">
        <v>0</v>
      </c>
      <c r="BP54" s="233">
        <v>0</v>
      </c>
      <c r="BQ54" s="233">
        <v>0</v>
      </c>
      <c r="BR54" s="233">
        <v>0</v>
      </c>
      <c r="BS54" s="233">
        <v>0</v>
      </c>
    </row>
    <row r="55" spans="1:71" ht="11.1" customHeight="1">
      <c r="A55" s="14" t="s">
        <v>454</v>
      </c>
      <c r="B55" s="24" t="s">
        <v>505</v>
      </c>
      <c r="C55" s="505">
        <v>3955</v>
      </c>
      <c r="D55" s="501">
        <v>5</v>
      </c>
      <c r="E55" s="501">
        <v>5</v>
      </c>
      <c r="F55" s="501">
        <v>651</v>
      </c>
      <c r="G55" s="501">
        <v>0</v>
      </c>
      <c r="H55" s="501">
        <v>0</v>
      </c>
      <c r="I55" s="501">
        <v>219</v>
      </c>
      <c r="J55" s="501">
        <v>880</v>
      </c>
      <c r="K55" s="501">
        <v>0</v>
      </c>
      <c r="L55" s="501">
        <v>58</v>
      </c>
      <c r="M55" s="14" t="s">
        <v>454</v>
      </c>
      <c r="N55" s="24" t="s">
        <v>505</v>
      </c>
      <c r="O55" s="501">
        <v>111</v>
      </c>
      <c r="P55" s="501">
        <v>112</v>
      </c>
      <c r="Q55" s="501">
        <v>0</v>
      </c>
      <c r="R55" s="501">
        <v>5</v>
      </c>
      <c r="S55" s="501">
        <v>267</v>
      </c>
      <c r="T55" s="501">
        <v>330</v>
      </c>
      <c r="U55" s="501">
        <v>0</v>
      </c>
      <c r="V55" s="501">
        <v>87</v>
      </c>
      <c r="W55" s="501">
        <v>0</v>
      </c>
      <c r="X55" s="501">
        <v>0</v>
      </c>
      <c r="Y55" s="14" t="s">
        <v>454</v>
      </c>
      <c r="Z55" s="24" t="s">
        <v>505</v>
      </c>
      <c r="AA55" s="501">
        <v>10</v>
      </c>
      <c r="AB55" s="501">
        <v>0</v>
      </c>
      <c r="AC55" s="501">
        <v>0</v>
      </c>
      <c r="AD55" s="501">
        <v>42</v>
      </c>
      <c r="AE55" s="501">
        <v>5</v>
      </c>
      <c r="AF55" s="501">
        <v>1136</v>
      </c>
      <c r="AG55" s="501">
        <v>0</v>
      </c>
      <c r="AH55" s="501">
        <v>32</v>
      </c>
      <c r="AI55" s="501">
        <v>0</v>
      </c>
      <c r="AK55" s="14" t="s">
        <v>454</v>
      </c>
      <c r="AL55" s="24" t="s">
        <v>505</v>
      </c>
      <c r="AM55" s="263">
        <v>493</v>
      </c>
      <c r="AN55" s="233">
        <v>0</v>
      </c>
      <c r="AO55" s="233">
        <v>0</v>
      </c>
      <c r="AP55" s="233">
        <v>0</v>
      </c>
      <c r="AQ55" s="233">
        <v>0</v>
      </c>
      <c r="AR55" s="233">
        <v>0</v>
      </c>
      <c r="AS55" s="233">
        <v>19</v>
      </c>
      <c r="AT55" s="233">
        <v>43</v>
      </c>
      <c r="AU55" s="233">
        <v>0</v>
      </c>
      <c r="AV55" s="233">
        <v>6</v>
      </c>
      <c r="AW55" s="14" t="s">
        <v>454</v>
      </c>
      <c r="AX55" s="24" t="s">
        <v>505</v>
      </c>
      <c r="AY55" s="233">
        <v>15</v>
      </c>
      <c r="AZ55" s="233">
        <v>5</v>
      </c>
      <c r="BA55" s="233">
        <v>0</v>
      </c>
      <c r="BB55" s="233">
        <v>0</v>
      </c>
      <c r="BC55" s="233">
        <v>176</v>
      </c>
      <c r="BD55" s="233">
        <v>20</v>
      </c>
      <c r="BE55" s="233">
        <v>0</v>
      </c>
      <c r="BF55" s="233">
        <v>15</v>
      </c>
      <c r="BG55" s="233">
        <v>0</v>
      </c>
      <c r="BH55" s="233">
        <v>0</v>
      </c>
      <c r="BI55" s="14" t="s">
        <v>454</v>
      </c>
      <c r="BJ55" s="24" t="s">
        <v>505</v>
      </c>
      <c r="BK55" s="233">
        <v>0</v>
      </c>
      <c r="BL55" s="233">
        <v>0</v>
      </c>
      <c r="BM55" s="233">
        <v>0</v>
      </c>
      <c r="BN55" s="233">
        <v>1</v>
      </c>
      <c r="BO55" s="233">
        <v>0</v>
      </c>
      <c r="BP55" s="233">
        <v>193</v>
      </c>
      <c r="BQ55" s="233">
        <v>0</v>
      </c>
      <c r="BR55" s="233">
        <v>0</v>
      </c>
      <c r="BS55" s="233">
        <v>0</v>
      </c>
    </row>
    <row r="56" spans="1:71" ht="11.1" customHeight="1">
      <c r="A56" s="14"/>
      <c r="B56" s="24" t="s">
        <v>312</v>
      </c>
      <c r="C56" s="505">
        <v>3692</v>
      </c>
      <c r="D56" s="501">
        <v>0</v>
      </c>
      <c r="E56" s="501">
        <v>0</v>
      </c>
      <c r="F56" s="501">
        <v>684</v>
      </c>
      <c r="G56" s="501">
        <v>0</v>
      </c>
      <c r="H56" s="501">
        <v>0</v>
      </c>
      <c r="I56" s="501">
        <v>237</v>
      </c>
      <c r="J56" s="501">
        <v>684</v>
      </c>
      <c r="K56" s="501">
        <v>0</v>
      </c>
      <c r="L56" s="501">
        <v>40</v>
      </c>
      <c r="M56" s="14"/>
      <c r="N56" s="24" t="s">
        <v>312</v>
      </c>
      <c r="O56" s="501">
        <v>101</v>
      </c>
      <c r="P56" s="501">
        <v>152</v>
      </c>
      <c r="Q56" s="501">
        <v>0</v>
      </c>
      <c r="R56" s="501">
        <v>4</v>
      </c>
      <c r="S56" s="501">
        <v>251</v>
      </c>
      <c r="T56" s="501">
        <v>278</v>
      </c>
      <c r="U56" s="501">
        <v>0</v>
      </c>
      <c r="V56" s="501">
        <v>98</v>
      </c>
      <c r="W56" s="501">
        <v>0</v>
      </c>
      <c r="X56" s="501">
        <v>0</v>
      </c>
      <c r="Y56" s="14"/>
      <c r="Z56" s="24" t="s">
        <v>312</v>
      </c>
      <c r="AA56" s="501">
        <v>13</v>
      </c>
      <c r="AB56" s="501">
        <v>0</v>
      </c>
      <c r="AC56" s="501">
        <v>0</v>
      </c>
      <c r="AD56" s="501">
        <v>35</v>
      </c>
      <c r="AE56" s="501">
        <v>9</v>
      </c>
      <c r="AF56" s="501">
        <v>1106</v>
      </c>
      <c r="AG56" s="501">
        <v>0</v>
      </c>
      <c r="AH56" s="501">
        <v>0</v>
      </c>
      <c r="AI56" s="501">
        <v>0</v>
      </c>
      <c r="AK56" s="14"/>
      <c r="AL56" s="24" t="s">
        <v>312</v>
      </c>
      <c r="AM56" s="263">
        <v>437</v>
      </c>
      <c r="AN56" s="233">
        <v>0</v>
      </c>
      <c r="AO56" s="233">
        <v>0</v>
      </c>
      <c r="AP56" s="233">
        <v>3</v>
      </c>
      <c r="AQ56" s="233">
        <v>0</v>
      </c>
      <c r="AR56" s="233">
        <v>0</v>
      </c>
      <c r="AS56" s="233">
        <v>34</v>
      </c>
      <c r="AT56" s="233">
        <v>60</v>
      </c>
      <c r="AU56" s="233">
        <v>0</v>
      </c>
      <c r="AV56" s="233">
        <v>3</v>
      </c>
      <c r="AW56" s="14"/>
      <c r="AX56" s="24" t="s">
        <v>312</v>
      </c>
      <c r="AY56" s="233">
        <v>9</v>
      </c>
      <c r="AZ56" s="233">
        <v>6</v>
      </c>
      <c r="BA56" s="233">
        <v>0</v>
      </c>
      <c r="BB56" s="233">
        <v>0</v>
      </c>
      <c r="BC56" s="233">
        <v>91</v>
      </c>
      <c r="BD56" s="233">
        <v>4</v>
      </c>
      <c r="BE56" s="233">
        <v>0</v>
      </c>
      <c r="BF56" s="233">
        <v>14</v>
      </c>
      <c r="BG56" s="233">
        <v>0</v>
      </c>
      <c r="BH56" s="233">
        <v>0</v>
      </c>
      <c r="BI56" s="14"/>
      <c r="BJ56" s="24" t="s">
        <v>312</v>
      </c>
      <c r="BK56" s="233">
        <v>0</v>
      </c>
      <c r="BL56" s="233">
        <v>0</v>
      </c>
      <c r="BM56" s="233">
        <v>0</v>
      </c>
      <c r="BN56" s="233">
        <v>0</v>
      </c>
      <c r="BO56" s="233">
        <v>0</v>
      </c>
      <c r="BP56" s="233">
        <v>213</v>
      </c>
      <c r="BQ56" s="233">
        <v>0</v>
      </c>
      <c r="BR56" s="233">
        <v>0</v>
      </c>
      <c r="BS56" s="233">
        <v>0</v>
      </c>
    </row>
    <row r="57" spans="1:71" ht="11.1" customHeight="1">
      <c r="A57" s="14" t="s">
        <v>455</v>
      </c>
      <c r="B57" s="24" t="s">
        <v>505</v>
      </c>
      <c r="C57" s="505">
        <v>8363.18</v>
      </c>
      <c r="D57" s="501">
        <v>0</v>
      </c>
      <c r="E57" s="501">
        <v>270.35000000000002</v>
      </c>
      <c r="F57" s="501">
        <v>0</v>
      </c>
      <c r="G57" s="501">
        <v>8033.2300000000005</v>
      </c>
      <c r="H57" s="501">
        <v>0</v>
      </c>
      <c r="I57" s="501">
        <v>0</v>
      </c>
      <c r="J57" s="501">
        <v>0.4</v>
      </c>
      <c r="K57" s="501">
        <v>0</v>
      </c>
      <c r="L57" s="501">
        <v>3.35</v>
      </c>
      <c r="M57" s="14" t="s">
        <v>455</v>
      </c>
      <c r="N57" s="24" t="s">
        <v>505</v>
      </c>
      <c r="O57" s="501">
        <v>0.45</v>
      </c>
      <c r="P57" s="501">
        <v>0.7</v>
      </c>
      <c r="Q57" s="501">
        <v>0</v>
      </c>
      <c r="R57" s="501">
        <v>0</v>
      </c>
      <c r="S57" s="501">
        <v>0</v>
      </c>
      <c r="T57" s="501">
        <v>0</v>
      </c>
      <c r="U57" s="501">
        <v>54.4</v>
      </c>
      <c r="V57" s="501">
        <v>0.30000000000000004</v>
      </c>
      <c r="W57" s="501">
        <v>0</v>
      </c>
      <c r="X57" s="501">
        <v>0</v>
      </c>
      <c r="Y57" s="14" t="s">
        <v>455</v>
      </c>
      <c r="Z57" s="24" t="s">
        <v>505</v>
      </c>
      <c r="AA57" s="501">
        <v>0</v>
      </c>
      <c r="AB57" s="501">
        <v>0</v>
      </c>
      <c r="AC57" s="501">
        <v>0</v>
      </c>
      <c r="AD57" s="501">
        <v>0</v>
      </c>
      <c r="AE57" s="501">
        <v>0</v>
      </c>
      <c r="AF57" s="501">
        <v>0</v>
      </c>
      <c r="AG57" s="501">
        <v>0</v>
      </c>
      <c r="AH57" s="501">
        <v>0</v>
      </c>
      <c r="AI57" s="501">
        <v>0</v>
      </c>
      <c r="AK57" s="14" t="s">
        <v>455</v>
      </c>
      <c r="AL57" s="24" t="s">
        <v>505</v>
      </c>
      <c r="AM57" s="263">
        <v>71.400000000000006</v>
      </c>
      <c r="AN57" s="233">
        <v>0</v>
      </c>
      <c r="AO57" s="233">
        <v>42</v>
      </c>
      <c r="AP57" s="233">
        <v>0</v>
      </c>
      <c r="AQ57" s="233">
        <v>0</v>
      </c>
      <c r="AR57" s="233">
        <v>0</v>
      </c>
      <c r="AS57" s="233">
        <v>0</v>
      </c>
      <c r="AT57" s="233">
        <v>0.1</v>
      </c>
      <c r="AU57" s="233">
        <v>0</v>
      </c>
      <c r="AV57" s="233">
        <v>0.5</v>
      </c>
      <c r="AW57" s="14" t="s">
        <v>455</v>
      </c>
      <c r="AX57" s="24" t="s">
        <v>505</v>
      </c>
      <c r="AY57" s="233">
        <v>0</v>
      </c>
      <c r="AZ57" s="233">
        <v>0</v>
      </c>
      <c r="BA57" s="233">
        <v>0</v>
      </c>
      <c r="BB57" s="233">
        <v>0</v>
      </c>
      <c r="BC57" s="233">
        <v>0</v>
      </c>
      <c r="BD57" s="233">
        <v>0</v>
      </c>
      <c r="BE57" s="233">
        <v>28.65</v>
      </c>
      <c r="BF57" s="233">
        <v>0.15</v>
      </c>
      <c r="BG57" s="233">
        <v>0</v>
      </c>
      <c r="BH57" s="233">
        <v>0</v>
      </c>
      <c r="BI57" s="14" t="s">
        <v>455</v>
      </c>
      <c r="BJ57" s="24" t="s">
        <v>505</v>
      </c>
      <c r="BK57" s="233">
        <v>0</v>
      </c>
      <c r="BL57" s="233">
        <v>0</v>
      </c>
      <c r="BM57" s="233">
        <v>0</v>
      </c>
      <c r="BN57" s="233">
        <v>0</v>
      </c>
      <c r="BO57" s="233">
        <v>0</v>
      </c>
      <c r="BP57" s="233">
        <v>0</v>
      </c>
      <c r="BQ57" s="233">
        <v>0</v>
      </c>
      <c r="BR57" s="233">
        <v>0</v>
      </c>
      <c r="BS57" s="233">
        <v>0</v>
      </c>
    </row>
    <row r="58" spans="1:71" ht="11.1" customHeight="1">
      <c r="A58" s="14"/>
      <c r="B58" s="24" t="s">
        <v>312</v>
      </c>
      <c r="C58" s="505">
        <v>5791.6</v>
      </c>
      <c r="D58" s="501">
        <v>0</v>
      </c>
      <c r="E58" s="501">
        <v>224.1</v>
      </c>
      <c r="F58" s="501">
        <v>0</v>
      </c>
      <c r="G58" s="501">
        <v>5492.1</v>
      </c>
      <c r="H58" s="501">
        <v>0</v>
      </c>
      <c r="I58" s="501">
        <v>0</v>
      </c>
      <c r="J58" s="501">
        <v>1.0999999999999999</v>
      </c>
      <c r="K58" s="501">
        <v>0</v>
      </c>
      <c r="L58" s="501">
        <v>4.75</v>
      </c>
      <c r="M58" s="14"/>
      <c r="N58" s="24" t="s">
        <v>312</v>
      </c>
      <c r="O58" s="501">
        <v>0.55000000000000004</v>
      </c>
      <c r="P58" s="501">
        <v>1.5</v>
      </c>
      <c r="Q58" s="501">
        <v>0</v>
      </c>
      <c r="R58" s="501">
        <v>0</v>
      </c>
      <c r="S58" s="501">
        <v>1.7</v>
      </c>
      <c r="T58" s="501">
        <v>0</v>
      </c>
      <c r="U58" s="501">
        <v>64.400000000000006</v>
      </c>
      <c r="V58" s="501">
        <v>1.4000000000000001</v>
      </c>
      <c r="W58" s="501">
        <v>0</v>
      </c>
      <c r="X58" s="501">
        <v>0</v>
      </c>
      <c r="Y58" s="14"/>
      <c r="Z58" s="24" t="s">
        <v>312</v>
      </c>
      <c r="AA58" s="501">
        <v>0</v>
      </c>
      <c r="AB58" s="501">
        <v>0</v>
      </c>
      <c r="AC58" s="501">
        <v>0</v>
      </c>
      <c r="AD58" s="501">
        <v>0</v>
      </c>
      <c r="AE58" s="501">
        <v>0</v>
      </c>
      <c r="AF58" s="501">
        <v>0</v>
      </c>
      <c r="AG58" s="501">
        <v>0</v>
      </c>
      <c r="AH58" s="501">
        <v>0</v>
      </c>
      <c r="AI58" s="501">
        <v>0</v>
      </c>
      <c r="AK58" s="14"/>
      <c r="AL58" s="24" t="s">
        <v>312</v>
      </c>
      <c r="AM58" s="263">
        <v>52.95</v>
      </c>
      <c r="AN58" s="233">
        <v>0</v>
      </c>
      <c r="AO58" s="233">
        <v>32.4</v>
      </c>
      <c r="AP58" s="233">
        <v>0</v>
      </c>
      <c r="AQ58" s="233">
        <v>0</v>
      </c>
      <c r="AR58" s="233">
        <v>0</v>
      </c>
      <c r="AS58" s="233">
        <v>0</v>
      </c>
      <c r="AT58" s="233">
        <v>0.2</v>
      </c>
      <c r="AU58" s="233">
        <v>0</v>
      </c>
      <c r="AV58" s="233">
        <v>1</v>
      </c>
      <c r="AW58" s="14"/>
      <c r="AX58" s="24" t="s">
        <v>312</v>
      </c>
      <c r="AY58" s="233">
        <v>0</v>
      </c>
      <c r="AZ58" s="233">
        <v>0</v>
      </c>
      <c r="BA58" s="233">
        <v>0</v>
      </c>
      <c r="BB58" s="233">
        <v>0</v>
      </c>
      <c r="BC58" s="233">
        <v>0</v>
      </c>
      <c r="BD58" s="233">
        <v>0</v>
      </c>
      <c r="BE58" s="233">
        <v>19.25</v>
      </c>
      <c r="BF58" s="233">
        <v>0.1</v>
      </c>
      <c r="BG58" s="233">
        <v>0</v>
      </c>
      <c r="BH58" s="233">
        <v>0</v>
      </c>
      <c r="BI58" s="14"/>
      <c r="BJ58" s="24" t="s">
        <v>312</v>
      </c>
      <c r="BK58" s="233">
        <v>0</v>
      </c>
      <c r="BL58" s="233">
        <v>0</v>
      </c>
      <c r="BM58" s="233">
        <v>0</v>
      </c>
      <c r="BN58" s="233">
        <v>0</v>
      </c>
      <c r="BO58" s="233">
        <v>0</v>
      </c>
      <c r="BP58" s="233">
        <v>0</v>
      </c>
      <c r="BQ58" s="233">
        <v>0</v>
      </c>
      <c r="BR58" s="233">
        <v>0</v>
      </c>
      <c r="BS58" s="233">
        <v>0</v>
      </c>
    </row>
    <row r="59" spans="1:71" ht="11.1" customHeight="1">
      <c r="A59" s="14" t="s">
        <v>457</v>
      </c>
      <c r="B59" s="24" t="s">
        <v>505</v>
      </c>
      <c r="C59" s="505">
        <v>12151</v>
      </c>
      <c r="D59" s="501">
        <v>0</v>
      </c>
      <c r="E59" s="501">
        <v>4706</v>
      </c>
      <c r="F59" s="501">
        <v>0</v>
      </c>
      <c r="G59" s="501">
        <v>4432</v>
      </c>
      <c r="H59" s="501">
        <v>0</v>
      </c>
      <c r="I59" s="501">
        <v>0</v>
      </c>
      <c r="J59" s="501">
        <v>5</v>
      </c>
      <c r="K59" s="501">
        <v>0</v>
      </c>
      <c r="L59" s="501">
        <v>0</v>
      </c>
      <c r="M59" s="14" t="s">
        <v>457</v>
      </c>
      <c r="N59" s="24" t="s">
        <v>505</v>
      </c>
      <c r="O59" s="501">
        <v>0</v>
      </c>
      <c r="P59" s="501">
        <v>0</v>
      </c>
      <c r="Q59" s="501">
        <v>0</v>
      </c>
      <c r="R59" s="501">
        <v>0</v>
      </c>
      <c r="S59" s="501">
        <v>0</v>
      </c>
      <c r="T59" s="501">
        <v>0</v>
      </c>
      <c r="U59" s="501">
        <v>2811</v>
      </c>
      <c r="V59" s="501">
        <v>23</v>
      </c>
      <c r="W59" s="501">
        <v>0</v>
      </c>
      <c r="X59" s="501">
        <v>0</v>
      </c>
      <c r="Y59" s="14" t="s">
        <v>457</v>
      </c>
      <c r="Z59" s="24" t="s">
        <v>505</v>
      </c>
      <c r="AA59" s="501">
        <v>0</v>
      </c>
      <c r="AB59" s="501">
        <v>67</v>
      </c>
      <c r="AC59" s="501">
        <v>0</v>
      </c>
      <c r="AD59" s="501">
        <v>0</v>
      </c>
      <c r="AE59" s="501">
        <v>0</v>
      </c>
      <c r="AF59" s="501">
        <v>0</v>
      </c>
      <c r="AG59" s="501">
        <v>0</v>
      </c>
      <c r="AH59" s="501">
        <v>0</v>
      </c>
      <c r="AI59" s="501">
        <v>107</v>
      </c>
      <c r="AK59" s="14" t="s">
        <v>457</v>
      </c>
      <c r="AL59" s="24" t="s">
        <v>505</v>
      </c>
      <c r="AM59" s="263">
        <v>1847</v>
      </c>
      <c r="AN59" s="233">
        <v>0</v>
      </c>
      <c r="AO59" s="233">
        <v>478</v>
      </c>
      <c r="AP59" s="233">
        <v>0</v>
      </c>
      <c r="AQ59" s="233">
        <v>952</v>
      </c>
      <c r="AR59" s="233">
        <v>0</v>
      </c>
      <c r="AS59" s="233">
        <v>0</v>
      </c>
      <c r="AT59" s="233">
        <v>0</v>
      </c>
      <c r="AU59" s="233">
        <v>0</v>
      </c>
      <c r="AV59" s="233">
        <v>0</v>
      </c>
      <c r="AW59" s="14" t="s">
        <v>457</v>
      </c>
      <c r="AX59" s="24" t="s">
        <v>505</v>
      </c>
      <c r="AY59" s="233">
        <v>0</v>
      </c>
      <c r="AZ59" s="233">
        <v>0</v>
      </c>
      <c r="BA59" s="233">
        <v>0</v>
      </c>
      <c r="BB59" s="233">
        <v>0</v>
      </c>
      <c r="BC59" s="233">
        <v>0</v>
      </c>
      <c r="BD59" s="233">
        <v>0</v>
      </c>
      <c r="BE59" s="233">
        <v>413</v>
      </c>
      <c r="BF59" s="233">
        <v>4</v>
      </c>
      <c r="BG59" s="233">
        <v>0</v>
      </c>
      <c r="BH59" s="233">
        <v>0</v>
      </c>
      <c r="BI59" s="14" t="s">
        <v>457</v>
      </c>
      <c r="BJ59" s="24" t="s">
        <v>505</v>
      </c>
      <c r="BK59" s="233">
        <v>0</v>
      </c>
      <c r="BL59" s="233">
        <v>0</v>
      </c>
      <c r="BM59" s="233">
        <v>0</v>
      </c>
      <c r="BN59" s="233">
        <v>0</v>
      </c>
      <c r="BO59" s="233">
        <v>0</v>
      </c>
      <c r="BP59" s="233">
        <v>0</v>
      </c>
      <c r="BQ59" s="233">
        <v>0</v>
      </c>
      <c r="BR59" s="233">
        <v>0</v>
      </c>
      <c r="BS59" s="233">
        <v>0</v>
      </c>
    </row>
    <row r="60" spans="1:71" ht="11.1" customHeight="1">
      <c r="A60" s="16"/>
      <c r="B60" s="25" t="s">
        <v>312</v>
      </c>
      <c r="C60" s="507">
        <v>20036.5</v>
      </c>
      <c r="D60" s="502">
        <v>0</v>
      </c>
      <c r="E60" s="502">
        <v>5698</v>
      </c>
      <c r="F60" s="502">
        <v>0</v>
      </c>
      <c r="G60" s="502">
        <v>10360</v>
      </c>
      <c r="H60" s="502">
        <v>0</v>
      </c>
      <c r="I60" s="502">
        <v>0</v>
      </c>
      <c r="J60" s="502">
        <v>0</v>
      </c>
      <c r="K60" s="502">
        <v>0</v>
      </c>
      <c r="L60" s="502">
        <v>0</v>
      </c>
      <c r="M60" s="16"/>
      <c r="N60" s="25" t="s">
        <v>312</v>
      </c>
      <c r="O60" s="502">
        <v>14</v>
      </c>
      <c r="P60" s="502">
        <v>2</v>
      </c>
      <c r="Q60" s="502">
        <v>0</v>
      </c>
      <c r="R60" s="502">
        <v>0</v>
      </c>
      <c r="S60" s="502">
        <v>0</v>
      </c>
      <c r="T60" s="502">
        <v>0</v>
      </c>
      <c r="U60" s="502">
        <v>3759</v>
      </c>
      <c r="V60" s="502">
        <v>39.5</v>
      </c>
      <c r="W60" s="502">
        <v>0</v>
      </c>
      <c r="X60" s="502">
        <v>0</v>
      </c>
      <c r="Y60" s="16"/>
      <c r="Z60" s="25" t="s">
        <v>312</v>
      </c>
      <c r="AA60" s="502">
        <v>0</v>
      </c>
      <c r="AB60" s="502">
        <v>124</v>
      </c>
      <c r="AC60" s="502">
        <v>0</v>
      </c>
      <c r="AD60" s="502">
        <v>0</v>
      </c>
      <c r="AE60" s="502">
        <v>0</v>
      </c>
      <c r="AF60" s="502">
        <v>0</v>
      </c>
      <c r="AG60" s="502">
        <v>0</v>
      </c>
      <c r="AH60" s="502">
        <v>0</v>
      </c>
      <c r="AI60" s="502">
        <v>40</v>
      </c>
      <c r="AK60" s="16"/>
      <c r="AL60" s="25" t="s">
        <v>312</v>
      </c>
      <c r="AM60" s="264">
        <v>3144</v>
      </c>
      <c r="AN60" s="234">
        <v>0</v>
      </c>
      <c r="AO60" s="234">
        <v>663</v>
      </c>
      <c r="AP60" s="234">
        <v>0</v>
      </c>
      <c r="AQ60" s="234">
        <v>1925</v>
      </c>
      <c r="AR60" s="234">
        <v>0</v>
      </c>
      <c r="AS60" s="234">
        <v>0</v>
      </c>
      <c r="AT60" s="234">
        <v>0</v>
      </c>
      <c r="AU60" s="234">
        <v>0</v>
      </c>
      <c r="AV60" s="234">
        <v>0</v>
      </c>
      <c r="AW60" s="16"/>
      <c r="AX60" s="25" t="s">
        <v>312</v>
      </c>
      <c r="AY60" s="234">
        <v>2</v>
      </c>
      <c r="AZ60" s="234">
        <v>0</v>
      </c>
      <c r="BA60" s="234">
        <v>0</v>
      </c>
      <c r="BB60" s="234">
        <v>0</v>
      </c>
      <c r="BC60" s="234">
        <v>0</v>
      </c>
      <c r="BD60" s="234">
        <v>0</v>
      </c>
      <c r="BE60" s="234">
        <v>530</v>
      </c>
      <c r="BF60" s="234">
        <v>6</v>
      </c>
      <c r="BG60" s="234">
        <v>0</v>
      </c>
      <c r="BH60" s="234">
        <v>0</v>
      </c>
      <c r="BI60" s="16"/>
      <c r="BJ60" s="25" t="s">
        <v>312</v>
      </c>
      <c r="BK60" s="234">
        <v>0</v>
      </c>
      <c r="BL60" s="234">
        <v>5</v>
      </c>
      <c r="BM60" s="234">
        <v>0</v>
      </c>
      <c r="BN60" s="234">
        <v>0</v>
      </c>
      <c r="BO60" s="234">
        <v>0</v>
      </c>
      <c r="BP60" s="234">
        <v>0</v>
      </c>
      <c r="BQ60" s="234">
        <v>0</v>
      </c>
      <c r="BR60" s="234">
        <v>0</v>
      </c>
      <c r="BS60" s="234">
        <v>13</v>
      </c>
    </row>
    <row r="61" spans="1:71" ht="10.35" customHeight="1">
      <c r="L61" s="151" t="s">
        <v>488</v>
      </c>
      <c r="W61" s="151"/>
      <c r="X61" s="151" t="s">
        <v>488</v>
      </c>
      <c r="Y61" s="275" t="s">
        <v>16</v>
      </c>
      <c r="Z61" s="223"/>
      <c r="AA61" s="223"/>
      <c r="AB61" s="223"/>
      <c r="AC61" s="223"/>
      <c r="AD61" s="223"/>
      <c r="AV61" s="151" t="s">
        <v>321</v>
      </c>
      <c r="BG61" s="151"/>
      <c r="BH61" s="151" t="s">
        <v>321</v>
      </c>
      <c r="BI61" s="275" t="s">
        <v>16</v>
      </c>
      <c r="BJ61" s="223"/>
      <c r="BK61" s="223"/>
      <c r="BL61" s="223"/>
      <c r="BM61" s="223"/>
      <c r="BN61" s="223"/>
    </row>
    <row r="62" spans="1:71" ht="10.35" customHeight="1">
      <c r="Y62" s="275" t="s">
        <v>279</v>
      </c>
      <c r="Z62" s="223"/>
      <c r="AA62" s="223"/>
      <c r="AB62" s="223"/>
      <c r="AC62" s="223"/>
      <c r="AD62" s="223"/>
      <c r="BI62" s="275" t="s">
        <v>279</v>
      </c>
      <c r="BJ62" s="223"/>
      <c r="BK62" s="223"/>
      <c r="BL62" s="223"/>
      <c r="BM62" s="223"/>
      <c r="BN62" s="223"/>
    </row>
    <row r="63" spans="1:71" ht="10.35" customHeight="1">
      <c r="Y63" s="576" t="s">
        <v>379</v>
      </c>
      <c r="Z63" s="576"/>
      <c r="AA63" s="576"/>
      <c r="AB63" s="576"/>
      <c r="AC63" s="576"/>
      <c r="AD63" s="576"/>
      <c r="BI63" s="576" t="s">
        <v>379</v>
      </c>
      <c r="BJ63" s="576"/>
      <c r="BK63" s="576"/>
      <c r="BL63" s="576"/>
      <c r="BM63" s="576"/>
      <c r="BN63" s="576"/>
    </row>
    <row r="85" spans="24:24" ht="17.100000000000001" customHeight="1">
      <c r="X85" s="26" t="s">
        <v>61</v>
      </c>
    </row>
  </sheetData>
  <mergeCells count="78">
    <mergeCell ref="AK7:AK8"/>
    <mergeCell ref="AW7:AW8"/>
    <mergeCell ref="BI7:BI8"/>
    <mergeCell ref="BI63:BN63"/>
    <mergeCell ref="BO5:BO6"/>
    <mergeCell ref="BE5:BE6"/>
    <mergeCell ref="BF5:BF6"/>
    <mergeCell ref="BG5:BG6"/>
    <mergeCell ref="BH5:BH6"/>
    <mergeCell ref="BI5:BI6"/>
    <mergeCell ref="AZ5:AZ6"/>
    <mergeCell ref="BA5:BA6"/>
    <mergeCell ref="BB5:BB6"/>
    <mergeCell ref="BC5:BC6"/>
    <mergeCell ref="BD5:BD6"/>
    <mergeCell ref="AU5:AU6"/>
    <mergeCell ref="BP5:BP6"/>
    <mergeCell ref="BQ5:BQ6"/>
    <mergeCell ref="BR5:BR6"/>
    <mergeCell ref="BS5:BS6"/>
    <mergeCell ref="BJ5:BJ6"/>
    <mergeCell ref="BK5:BK6"/>
    <mergeCell ref="BL5:BL6"/>
    <mergeCell ref="BM5:BM6"/>
    <mergeCell ref="BN5:BN6"/>
    <mergeCell ref="AV5:AV6"/>
    <mergeCell ref="AW5:AW6"/>
    <mergeCell ref="AX5:AX6"/>
    <mergeCell ref="AY5:AY6"/>
    <mergeCell ref="AP5:AP6"/>
    <mergeCell ref="AQ5:AQ6"/>
    <mergeCell ref="AR5:AR6"/>
    <mergeCell ref="AS5:AS6"/>
    <mergeCell ref="AT5:AT6"/>
    <mergeCell ref="AK5:AK6"/>
    <mergeCell ref="AL5:AL6"/>
    <mergeCell ref="AM5:AM6"/>
    <mergeCell ref="AN5:AN6"/>
    <mergeCell ref="AO5:AO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.7" right="0.7" top="0.75" bottom="0.75" header="0.3" footer="0.3"/>
  <colBreaks count="2" manualBreakCount="2">
    <brk id="12" max="63" man="1"/>
    <brk id="24" max="63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6"/>
  <dimension ref="A1:X197"/>
  <sheetViews>
    <sheetView showGridLines="0" zoomScale="150" workbookViewId="0">
      <selection activeCell="X85" sqref="X85"/>
    </sheetView>
  </sheetViews>
  <sheetFormatPr baseColWidth="10" defaultColWidth="12.42578125" defaultRowHeight="17.100000000000001" customHeight="1"/>
  <cols>
    <col min="1" max="1" width="10.140625" style="26" customWidth="1"/>
    <col min="2" max="2" width="6.42578125" style="26" customWidth="1"/>
    <col min="3" max="15" width="6.7109375" style="26" customWidth="1"/>
    <col min="16" max="16" width="7.7109375" style="26" customWidth="1"/>
    <col min="17" max="17" width="8.7109375" style="26" customWidth="1"/>
    <col min="18" max="21" width="7" style="26" customWidth="1"/>
    <col min="22" max="23" width="11.140625" style="26" customWidth="1"/>
    <col min="24" max="33" width="12.42578125" style="26"/>
    <col min="34" max="34" width="7.28515625" style="26" customWidth="1"/>
    <col min="35" max="43" width="12.42578125" style="26"/>
    <col min="44" max="44" width="35.42578125" style="26" customWidth="1"/>
    <col min="45" max="45" width="12.42578125" style="26"/>
    <col min="46" max="46" width="35.42578125" style="26" customWidth="1"/>
    <col min="47" max="50" width="12.42578125" style="26"/>
    <col min="51" max="53" width="13.7109375" style="26" customWidth="1"/>
    <col min="54" max="54" width="12.42578125" style="26"/>
    <col min="55" max="55" width="6" style="26" customWidth="1"/>
    <col min="56" max="56" width="12.42578125" style="26"/>
    <col min="57" max="57" width="6" style="26" customWidth="1"/>
    <col min="58" max="58" width="12.42578125" style="26"/>
    <col min="59" max="59" width="6" style="26" customWidth="1"/>
    <col min="60" max="60" width="12.42578125" style="26"/>
    <col min="61" max="61" width="6" style="26" customWidth="1"/>
    <col min="62" max="62" width="12.42578125" style="26"/>
    <col min="63" max="63" width="6" style="26" customWidth="1"/>
    <col min="64" max="16384" width="12.42578125" style="26"/>
  </cols>
  <sheetData>
    <row r="1" spans="1:23" ht="16.350000000000001" customHeight="1">
      <c r="A1" s="292" t="s">
        <v>53</v>
      </c>
      <c r="B1" s="293"/>
      <c r="C1" s="293"/>
      <c r="D1" s="53"/>
    </row>
    <row r="2" spans="1:23" ht="11.1" customHeight="1">
      <c r="A2" s="116" t="s">
        <v>138</v>
      </c>
      <c r="B2" s="118"/>
      <c r="C2" s="118"/>
    </row>
    <row r="3" spans="1:23" ht="13.5">
      <c r="A3" s="21" t="s">
        <v>172</v>
      </c>
      <c r="B3" s="119"/>
      <c r="C3" s="119"/>
    </row>
    <row r="4" spans="1:23" ht="3" customHeight="1"/>
    <row r="5" spans="1:23" ht="21" customHeight="1">
      <c r="A5" s="236" t="s">
        <v>433</v>
      </c>
      <c r="B5" s="237" t="s">
        <v>198</v>
      </c>
      <c r="C5" s="236" t="s">
        <v>48</v>
      </c>
      <c r="D5" s="236" t="s">
        <v>413</v>
      </c>
      <c r="E5" s="236" t="s">
        <v>414</v>
      </c>
      <c r="F5" s="236" t="s">
        <v>415</v>
      </c>
      <c r="G5" s="236" t="s">
        <v>522</v>
      </c>
      <c r="H5" s="236" t="s">
        <v>523</v>
      </c>
      <c r="I5" s="236" t="s">
        <v>524</v>
      </c>
      <c r="J5" s="236" t="s">
        <v>525</v>
      </c>
      <c r="K5" s="236" t="s">
        <v>526</v>
      </c>
      <c r="L5" s="236" t="s">
        <v>527</v>
      </c>
      <c r="M5" s="236" t="s">
        <v>315</v>
      </c>
      <c r="N5" s="236" t="s">
        <v>316</v>
      </c>
      <c r="O5" s="236" t="s">
        <v>317</v>
      </c>
      <c r="P5" s="236" t="s">
        <v>487</v>
      </c>
    </row>
    <row r="6" spans="1:23" ht="15" customHeight="1">
      <c r="A6" s="592" t="s">
        <v>318</v>
      </c>
      <c r="B6" s="435" t="s">
        <v>173</v>
      </c>
      <c r="C6" s="436">
        <v>1398917.3669999999</v>
      </c>
      <c r="D6" s="437">
        <v>146417.21</v>
      </c>
      <c r="E6" s="437">
        <v>216037.78699999998</v>
      </c>
      <c r="F6" s="437">
        <v>389968.32</v>
      </c>
      <c r="G6" s="437">
        <v>405400.85</v>
      </c>
      <c r="H6" s="437">
        <v>241093.19999999998</v>
      </c>
      <c r="I6" s="437">
        <v>192389.5</v>
      </c>
      <c r="J6" s="437">
        <v>184406.35</v>
      </c>
      <c r="K6" s="437">
        <v>120197.09</v>
      </c>
      <c r="L6" s="437">
        <v>92466.54399999998</v>
      </c>
      <c r="M6" s="437">
        <v>81265.010000000009</v>
      </c>
      <c r="N6" s="437">
        <v>86865.55</v>
      </c>
      <c r="O6" s="438">
        <v>96504.35</v>
      </c>
      <c r="P6" s="437">
        <v>2253011.7609999999</v>
      </c>
      <c r="U6" s="26">
        <v>1398917.3670000001</v>
      </c>
      <c r="V6" s="449">
        <v>0</v>
      </c>
    </row>
    <row r="7" spans="1:23" ht="15" customHeight="1">
      <c r="A7" s="593"/>
      <c r="B7" s="231" t="s">
        <v>174</v>
      </c>
      <c r="C7" s="306">
        <v>1386117.6600000001</v>
      </c>
      <c r="D7" s="306">
        <v>148134.5</v>
      </c>
      <c r="E7" s="306">
        <v>228686.65</v>
      </c>
      <c r="F7" s="306">
        <v>401445.41</v>
      </c>
      <c r="G7" s="306">
        <v>359687.3</v>
      </c>
      <c r="H7" s="306">
        <v>248163.80000000002</v>
      </c>
      <c r="I7" s="306"/>
      <c r="J7" s="306"/>
      <c r="K7" s="306"/>
      <c r="L7" s="306"/>
      <c r="M7" s="306"/>
      <c r="N7" s="306"/>
      <c r="O7" s="420"/>
      <c r="P7" s="306"/>
      <c r="U7" s="26">
        <v>1386117.6600000001</v>
      </c>
      <c r="V7" s="449">
        <v>0</v>
      </c>
    </row>
    <row r="8" spans="1:23" ht="13.35" customHeight="1">
      <c r="A8" s="120" t="s">
        <v>349</v>
      </c>
      <c r="B8" s="123" t="s">
        <v>376</v>
      </c>
      <c r="C8" s="308">
        <v>41665.699999999997</v>
      </c>
      <c r="D8" s="439">
        <v>6303.9</v>
      </c>
      <c r="E8" s="439">
        <v>6634.5999999999995</v>
      </c>
      <c r="F8" s="439">
        <v>10294.6</v>
      </c>
      <c r="G8" s="439">
        <v>11469.6</v>
      </c>
      <c r="H8" s="439">
        <v>6963</v>
      </c>
      <c r="I8" s="439">
        <v>9637.5999999999985</v>
      </c>
      <c r="J8" s="439">
        <v>9794.5</v>
      </c>
      <c r="K8" s="439">
        <v>10776.4</v>
      </c>
      <c r="L8" s="439">
        <v>8325.0040000000008</v>
      </c>
      <c r="M8" s="439">
        <v>8818</v>
      </c>
      <c r="N8" s="439">
        <v>7323.8</v>
      </c>
      <c r="O8" s="439">
        <v>5028.6000000000004</v>
      </c>
      <c r="P8" s="319">
        <v>101369.60400000001</v>
      </c>
      <c r="R8" s="232"/>
      <c r="S8" s="232"/>
      <c r="T8" s="232"/>
      <c r="U8" s="232">
        <v>41665.699999999997</v>
      </c>
      <c r="V8" s="449">
        <v>0</v>
      </c>
      <c r="W8" s="232"/>
    </row>
    <row r="9" spans="1:23" ht="13.35" customHeight="1">
      <c r="A9" s="120"/>
      <c r="B9" s="123" t="s">
        <v>312</v>
      </c>
      <c r="C9" s="308">
        <v>47213.5</v>
      </c>
      <c r="D9" s="439">
        <v>5672</v>
      </c>
      <c r="E9" s="439">
        <v>6464</v>
      </c>
      <c r="F9" s="439">
        <v>8077.5</v>
      </c>
      <c r="G9" s="439">
        <v>11806.5</v>
      </c>
      <c r="H9" s="439">
        <v>15193.5</v>
      </c>
      <c r="I9" s="439">
        <v>0</v>
      </c>
      <c r="J9" s="439">
        <v>0</v>
      </c>
      <c r="K9" s="439">
        <v>0</v>
      </c>
      <c r="L9" s="439">
        <v>0</v>
      </c>
      <c r="M9" s="439">
        <v>0</v>
      </c>
      <c r="N9" s="439">
        <v>0</v>
      </c>
      <c r="O9" s="439">
        <v>0</v>
      </c>
      <c r="P9" s="319"/>
      <c r="R9" s="232"/>
      <c r="S9" s="232"/>
      <c r="T9" s="232"/>
      <c r="U9" s="232">
        <v>47213.5</v>
      </c>
      <c r="V9" s="449">
        <v>0</v>
      </c>
      <c r="W9" s="232"/>
    </row>
    <row r="10" spans="1:23" ht="13.35" customHeight="1">
      <c r="A10" s="120" t="s">
        <v>350</v>
      </c>
      <c r="B10" s="123" t="s">
        <v>376</v>
      </c>
      <c r="C10" s="308">
        <v>37946</v>
      </c>
      <c r="D10" s="439">
        <v>4793</v>
      </c>
      <c r="E10" s="439">
        <v>4796</v>
      </c>
      <c r="F10" s="439">
        <v>8761</v>
      </c>
      <c r="G10" s="439">
        <v>9630</v>
      </c>
      <c r="H10" s="439">
        <v>9966</v>
      </c>
      <c r="I10" s="439">
        <v>12428</v>
      </c>
      <c r="J10" s="439">
        <v>6216</v>
      </c>
      <c r="K10" s="439">
        <v>2706</v>
      </c>
      <c r="L10" s="439">
        <v>2404</v>
      </c>
      <c r="M10" s="439">
        <v>2566</v>
      </c>
      <c r="N10" s="439">
        <v>2546</v>
      </c>
      <c r="O10" s="439">
        <v>4240</v>
      </c>
      <c r="P10" s="319">
        <v>71052</v>
      </c>
      <c r="R10" s="232"/>
      <c r="S10" s="232"/>
      <c r="T10" s="232"/>
      <c r="U10" s="232">
        <v>37946</v>
      </c>
      <c r="V10" s="449">
        <v>0</v>
      </c>
      <c r="W10" s="232"/>
    </row>
    <row r="11" spans="1:23" ht="13.35" customHeight="1">
      <c r="A11" s="120"/>
      <c r="B11" s="123" t="s">
        <v>312</v>
      </c>
      <c r="C11" s="308">
        <v>34110</v>
      </c>
      <c r="D11" s="439">
        <v>3884</v>
      </c>
      <c r="E11" s="439">
        <v>3914</v>
      </c>
      <c r="F11" s="439">
        <v>8344</v>
      </c>
      <c r="G11" s="439">
        <v>7985</v>
      </c>
      <c r="H11" s="439">
        <v>9983</v>
      </c>
      <c r="I11" s="439">
        <v>0</v>
      </c>
      <c r="J11" s="439">
        <v>0</v>
      </c>
      <c r="K11" s="439">
        <v>0</v>
      </c>
      <c r="L11" s="439">
        <v>0</v>
      </c>
      <c r="M11" s="439">
        <v>0</v>
      </c>
      <c r="N11" s="439">
        <v>0</v>
      </c>
      <c r="O11" s="439">
        <v>0</v>
      </c>
      <c r="P11" s="319"/>
      <c r="R11" s="232"/>
      <c r="S11" s="232"/>
      <c r="T11" s="232"/>
      <c r="U11" s="232">
        <v>34110</v>
      </c>
      <c r="V11" s="449">
        <v>0</v>
      </c>
      <c r="W11" s="232"/>
    </row>
    <row r="12" spans="1:23" ht="13.35" customHeight="1">
      <c r="A12" s="120" t="s">
        <v>51</v>
      </c>
      <c r="B12" s="123" t="s">
        <v>376</v>
      </c>
      <c r="C12" s="308">
        <v>78294.600000000006</v>
      </c>
      <c r="D12" s="439">
        <v>1861.8</v>
      </c>
      <c r="E12" s="439">
        <v>7162.3</v>
      </c>
      <c r="F12" s="439">
        <v>31715.9</v>
      </c>
      <c r="G12" s="439">
        <v>27971.1</v>
      </c>
      <c r="H12" s="439">
        <v>9583.5</v>
      </c>
      <c r="I12" s="439">
        <v>12308.5</v>
      </c>
      <c r="J12" s="439">
        <v>489</v>
      </c>
      <c r="K12" s="439">
        <v>172.5</v>
      </c>
      <c r="L12" s="439">
        <v>107</v>
      </c>
      <c r="M12" s="439">
        <v>195</v>
      </c>
      <c r="N12" s="439">
        <v>372.5</v>
      </c>
      <c r="O12" s="439">
        <v>277</v>
      </c>
      <c r="P12" s="319">
        <v>92216.1</v>
      </c>
      <c r="R12" s="232"/>
      <c r="S12" s="232"/>
      <c r="T12" s="232"/>
      <c r="U12" s="232">
        <v>78294.600000000006</v>
      </c>
      <c r="V12" s="449">
        <v>0</v>
      </c>
      <c r="W12" s="232"/>
    </row>
    <row r="13" spans="1:23" ht="13.35" customHeight="1">
      <c r="A13" s="120"/>
      <c r="B13" s="123" t="s">
        <v>312</v>
      </c>
      <c r="C13" s="308">
        <v>77692.549999999988</v>
      </c>
      <c r="D13" s="439">
        <v>2017.5</v>
      </c>
      <c r="E13" s="439">
        <v>7499.6</v>
      </c>
      <c r="F13" s="439">
        <v>30862.699999999997</v>
      </c>
      <c r="G13" s="439">
        <v>24619.05</v>
      </c>
      <c r="H13" s="439">
        <v>12693.7</v>
      </c>
      <c r="I13" s="439">
        <v>0</v>
      </c>
      <c r="J13" s="439">
        <v>0</v>
      </c>
      <c r="K13" s="439">
        <v>0</v>
      </c>
      <c r="L13" s="439">
        <v>0</v>
      </c>
      <c r="M13" s="439">
        <v>0</v>
      </c>
      <c r="N13" s="439">
        <v>0</v>
      </c>
      <c r="O13" s="439">
        <v>0</v>
      </c>
      <c r="P13" s="319"/>
      <c r="R13" s="232"/>
      <c r="S13" s="232"/>
      <c r="T13" s="232"/>
      <c r="U13" s="232">
        <v>77692.55</v>
      </c>
      <c r="V13" s="449">
        <v>0</v>
      </c>
      <c r="W13" s="232"/>
    </row>
    <row r="14" spans="1:23" ht="13.35" customHeight="1">
      <c r="A14" s="120" t="s">
        <v>352</v>
      </c>
      <c r="B14" s="123" t="s">
        <v>376</v>
      </c>
      <c r="C14" s="308">
        <v>38441</v>
      </c>
      <c r="D14" s="439">
        <v>4628</v>
      </c>
      <c r="E14" s="439">
        <v>6465</v>
      </c>
      <c r="F14" s="439">
        <v>12312</v>
      </c>
      <c r="G14" s="439">
        <v>9162</v>
      </c>
      <c r="H14" s="439">
        <v>5874</v>
      </c>
      <c r="I14" s="439">
        <v>6034</v>
      </c>
      <c r="J14" s="439">
        <v>3625</v>
      </c>
      <c r="K14" s="439">
        <v>4079</v>
      </c>
      <c r="L14" s="439">
        <v>9773</v>
      </c>
      <c r="M14" s="439">
        <v>7074</v>
      </c>
      <c r="N14" s="439">
        <v>6445</v>
      </c>
      <c r="O14" s="439">
        <v>5248</v>
      </c>
      <c r="P14" s="319">
        <v>80719</v>
      </c>
      <c r="R14" s="232"/>
      <c r="S14" s="232"/>
      <c r="T14" s="232"/>
      <c r="U14" s="232">
        <v>38441</v>
      </c>
      <c r="V14" s="449">
        <v>0</v>
      </c>
      <c r="W14" s="232"/>
    </row>
    <row r="15" spans="1:23" ht="13.35" customHeight="1">
      <c r="A15" s="120"/>
      <c r="B15" s="123" t="s">
        <v>312</v>
      </c>
      <c r="C15" s="308">
        <v>38925</v>
      </c>
      <c r="D15" s="439">
        <v>4252</v>
      </c>
      <c r="E15" s="439">
        <v>6547</v>
      </c>
      <c r="F15" s="439">
        <v>10274</v>
      </c>
      <c r="G15" s="439">
        <v>9378</v>
      </c>
      <c r="H15" s="439">
        <v>8474</v>
      </c>
      <c r="I15" s="439">
        <v>0</v>
      </c>
      <c r="J15" s="439">
        <v>0</v>
      </c>
      <c r="K15" s="439">
        <v>0</v>
      </c>
      <c r="L15" s="439">
        <v>0</v>
      </c>
      <c r="M15" s="439">
        <v>0</v>
      </c>
      <c r="N15" s="439">
        <v>0</v>
      </c>
      <c r="O15" s="439">
        <v>0</v>
      </c>
      <c r="P15" s="319"/>
      <c r="R15" s="232"/>
      <c r="S15" s="232"/>
      <c r="T15" s="232"/>
      <c r="U15" s="232">
        <v>38925</v>
      </c>
      <c r="V15" s="449">
        <v>0</v>
      </c>
      <c r="W15" s="232"/>
    </row>
    <row r="16" spans="1:23" ht="13.35" customHeight="1">
      <c r="A16" s="120" t="s">
        <v>353</v>
      </c>
      <c r="B16" s="123" t="s">
        <v>376</v>
      </c>
      <c r="C16" s="308">
        <v>104395</v>
      </c>
      <c r="D16" s="439">
        <v>3601</v>
      </c>
      <c r="E16" s="439">
        <v>7482</v>
      </c>
      <c r="F16" s="439">
        <v>26002</v>
      </c>
      <c r="G16" s="439">
        <v>43221</v>
      </c>
      <c r="H16" s="439">
        <v>24089</v>
      </c>
      <c r="I16" s="439">
        <v>11131</v>
      </c>
      <c r="J16" s="439">
        <v>1730</v>
      </c>
      <c r="K16" s="439">
        <v>183</v>
      </c>
      <c r="L16" s="439">
        <v>107</v>
      </c>
      <c r="M16" s="439">
        <v>191</v>
      </c>
      <c r="N16" s="439">
        <v>397</v>
      </c>
      <c r="O16" s="439">
        <v>850</v>
      </c>
      <c r="P16" s="319">
        <v>118984</v>
      </c>
      <c r="Q16" s="307"/>
      <c r="R16" s="232"/>
      <c r="S16" s="232"/>
      <c r="T16" s="232"/>
      <c r="U16" s="232">
        <v>104395</v>
      </c>
      <c r="V16" s="449">
        <v>0</v>
      </c>
      <c r="W16" s="232"/>
    </row>
    <row r="17" spans="1:23" ht="13.35" customHeight="1">
      <c r="A17" s="120"/>
      <c r="B17" s="123" t="s">
        <v>312</v>
      </c>
      <c r="C17" s="308">
        <v>105879</v>
      </c>
      <c r="D17" s="439">
        <v>3450</v>
      </c>
      <c r="E17" s="439">
        <v>10528</v>
      </c>
      <c r="F17" s="439">
        <v>27746</v>
      </c>
      <c r="G17" s="439">
        <v>40367</v>
      </c>
      <c r="H17" s="439">
        <v>23788</v>
      </c>
      <c r="I17" s="439">
        <v>0</v>
      </c>
      <c r="J17" s="439">
        <v>0</v>
      </c>
      <c r="K17" s="439">
        <v>0</v>
      </c>
      <c r="L17" s="439">
        <v>0</v>
      </c>
      <c r="M17" s="439">
        <v>0</v>
      </c>
      <c r="N17" s="439">
        <v>0</v>
      </c>
      <c r="O17" s="439">
        <v>0</v>
      </c>
      <c r="P17" s="319"/>
      <c r="R17" s="232"/>
      <c r="S17" s="232"/>
      <c r="T17" s="232"/>
      <c r="U17" s="232">
        <v>105879</v>
      </c>
      <c r="V17" s="449">
        <v>0</v>
      </c>
      <c r="W17" s="232"/>
    </row>
    <row r="18" spans="1:23" ht="13.35" customHeight="1">
      <c r="A18" s="120" t="s">
        <v>354</v>
      </c>
      <c r="B18" s="123" t="s">
        <v>376</v>
      </c>
      <c r="C18" s="308">
        <v>116318.25</v>
      </c>
      <c r="D18" s="439">
        <v>4580.5</v>
      </c>
      <c r="E18" s="439">
        <v>14496.5</v>
      </c>
      <c r="F18" s="439">
        <v>35265.1</v>
      </c>
      <c r="G18" s="439">
        <v>36214.5</v>
      </c>
      <c r="H18" s="439">
        <v>25761.65</v>
      </c>
      <c r="I18" s="439">
        <v>24000.35</v>
      </c>
      <c r="J18" s="439">
        <v>25196.2</v>
      </c>
      <c r="K18" s="439">
        <v>21873.15</v>
      </c>
      <c r="L18" s="439">
        <v>14543.1</v>
      </c>
      <c r="M18" s="439">
        <v>7198</v>
      </c>
      <c r="N18" s="439">
        <v>8296.4</v>
      </c>
      <c r="O18" s="439">
        <v>6599.5</v>
      </c>
      <c r="P18" s="319">
        <v>224024.95</v>
      </c>
      <c r="R18" s="232"/>
      <c r="S18" s="232"/>
      <c r="T18" s="232"/>
      <c r="U18" s="232">
        <v>116318.25</v>
      </c>
      <c r="V18" s="449">
        <v>0</v>
      </c>
      <c r="W18" s="232"/>
    </row>
    <row r="19" spans="1:23" ht="13.35" customHeight="1">
      <c r="A19" s="120"/>
      <c r="B19" s="123" t="s">
        <v>312</v>
      </c>
      <c r="C19" s="308">
        <v>118782.75</v>
      </c>
      <c r="D19" s="439">
        <v>4100</v>
      </c>
      <c r="E19" s="439">
        <v>12173.5</v>
      </c>
      <c r="F19" s="439">
        <v>41941.599999999999</v>
      </c>
      <c r="G19" s="439">
        <v>37319</v>
      </c>
      <c r="H19" s="439">
        <v>23248.65</v>
      </c>
      <c r="I19" s="439">
        <v>0</v>
      </c>
      <c r="J19" s="439">
        <v>0</v>
      </c>
      <c r="K19" s="439">
        <v>0</v>
      </c>
      <c r="L19" s="439">
        <v>0</v>
      </c>
      <c r="M19" s="439">
        <v>0</v>
      </c>
      <c r="N19" s="439">
        <v>0</v>
      </c>
      <c r="O19" s="439">
        <v>0</v>
      </c>
      <c r="P19" s="319"/>
      <c r="R19" s="232"/>
      <c r="S19" s="232"/>
      <c r="T19" s="232"/>
      <c r="U19" s="232">
        <v>118782.75</v>
      </c>
      <c r="V19" s="449">
        <v>0</v>
      </c>
      <c r="W19" s="232"/>
    </row>
    <row r="20" spans="1:23" ht="13.35" customHeight="1">
      <c r="A20" s="120" t="s">
        <v>410</v>
      </c>
      <c r="B20" s="123" t="s">
        <v>376</v>
      </c>
      <c r="C20" s="308">
        <v>0</v>
      </c>
      <c r="D20" s="439">
        <v>0</v>
      </c>
      <c r="E20" s="439">
        <v>0</v>
      </c>
      <c r="F20" s="439">
        <v>0</v>
      </c>
      <c r="G20" s="439">
        <v>0</v>
      </c>
      <c r="H20" s="439">
        <v>0</v>
      </c>
      <c r="I20" s="439">
        <v>0</v>
      </c>
      <c r="J20" s="439">
        <v>0</v>
      </c>
      <c r="K20" s="439">
        <v>0</v>
      </c>
      <c r="L20" s="439">
        <v>0</v>
      </c>
      <c r="M20" s="439">
        <v>0</v>
      </c>
      <c r="N20" s="439">
        <v>0</v>
      </c>
      <c r="O20" s="439">
        <v>0</v>
      </c>
      <c r="P20" s="319">
        <v>0</v>
      </c>
      <c r="R20" s="232"/>
      <c r="S20" s="232"/>
      <c r="T20" s="232"/>
      <c r="U20" s="232">
        <v>0</v>
      </c>
      <c r="V20" s="449">
        <v>0</v>
      </c>
      <c r="W20" s="232"/>
    </row>
    <row r="21" spans="1:23" ht="13.35" customHeight="1">
      <c r="A21" s="120"/>
      <c r="B21" s="123" t="s">
        <v>312</v>
      </c>
      <c r="C21" s="308">
        <v>0</v>
      </c>
      <c r="D21" s="439">
        <v>0</v>
      </c>
      <c r="E21" s="439">
        <v>0</v>
      </c>
      <c r="F21" s="439">
        <v>0</v>
      </c>
      <c r="G21" s="439">
        <v>0</v>
      </c>
      <c r="H21" s="439">
        <v>0</v>
      </c>
      <c r="I21" s="439">
        <v>0</v>
      </c>
      <c r="J21" s="439">
        <v>0</v>
      </c>
      <c r="K21" s="439">
        <v>0</v>
      </c>
      <c r="L21" s="439">
        <v>0</v>
      </c>
      <c r="M21" s="439">
        <v>0</v>
      </c>
      <c r="N21" s="439">
        <v>0</v>
      </c>
      <c r="O21" s="439">
        <v>0</v>
      </c>
      <c r="P21" s="319"/>
      <c r="R21" s="232"/>
      <c r="S21" s="232"/>
      <c r="T21" s="232"/>
      <c r="U21" s="232">
        <v>0</v>
      </c>
      <c r="V21" s="449">
        <v>0</v>
      </c>
      <c r="W21" s="232"/>
    </row>
    <row r="22" spans="1:23" ht="13.35" customHeight="1">
      <c r="A22" s="120" t="s">
        <v>355</v>
      </c>
      <c r="B22" s="123" t="s">
        <v>376</v>
      </c>
      <c r="C22" s="308">
        <v>125025.8</v>
      </c>
      <c r="D22" s="439">
        <v>15842</v>
      </c>
      <c r="E22" s="439">
        <v>23601</v>
      </c>
      <c r="F22" s="439">
        <v>30568</v>
      </c>
      <c r="G22" s="439">
        <v>40964</v>
      </c>
      <c r="H22" s="439">
        <v>14050.8</v>
      </c>
      <c r="I22" s="439">
        <v>2770</v>
      </c>
      <c r="J22" s="439">
        <v>286</v>
      </c>
      <c r="K22" s="439">
        <v>113</v>
      </c>
      <c r="L22" s="439">
        <v>247</v>
      </c>
      <c r="M22" s="439">
        <v>147</v>
      </c>
      <c r="N22" s="439">
        <v>281</v>
      </c>
      <c r="O22" s="439">
        <v>1807</v>
      </c>
      <c r="P22" s="319">
        <v>130676.8</v>
      </c>
      <c r="R22" s="232"/>
      <c r="S22" s="232"/>
      <c r="T22" s="232"/>
      <c r="U22" s="232">
        <v>125025.8</v>
      </c>
      <c r="V22" s="449">
        <v>0</v>
      </c>
      <c r="W22" s="232"/>
    </row>
    <row r="23" spans="1:23" ht="13.35" customHeight="1">
      <c r="A23" s="120"/>
      <c r="B23" s="123" t="s">
        <v>312</v>
      </c>
      <c r="C23" s="308">
        <v>119008.01</v>
      </c>
      <c r="D23" s="439">
        <v>15563</v>
      </c>
      <c r="E23" s="439">
        <v>22164</v>
      </c>
      <c r="F23" s="439">
        <v>32157.01</v>
      </c>
      <c r="G23" s="439">
        <v>32986</v>
      </c>
      <c r="H23" s="439">
        <v>16138</v>
      </c>
      <c r="I23" s="439">
        <v>0</v>
      </c>
      <c r="J23" s="439">
        <v>0</v>
      </c>
      <c r="K23" s="439">
        <v>0</v>
      </c>
      <c r="L23" s="439">
        <v>0</v>
      </c>
      <c r="M23" s="439">
        <v>0</v>
      </c>
      <c r="N23" s="439">
        <v>0</v>
      </c>
      <c r="O23" s="439">
        <v>0</v>
      </c>
      <c r="P23" s="319"/>
      <c r="R23" s="232"/>
      <c r="S23" s="232"/>
      <c r="T23" s="232"/>
      <c r="U23" s="232">
        <v>119008.01</v>
      </c>
      <c r="V23" s="449">
        <v>0</v>
      </c>
      <c r="W23" s="232"/>
    </row>
    <row r="24" spans="1:23" ht="13.35" customHeight="1">
      <c r="A24" s="120" t="s">
        <v>356</v>
      </c>
      <c r="B24" s="123" t="s">
        <v>376</v>
      </c>
      <c r="C24" s="308">
        <v>112350.61000000002</v>
      </c>
      <c r="D24" s="439">
        <v>2682.01</v>
      </c>
      <c r="E24" s="439">
        <v>10325.5</v>
      </c>
      <c r="F24" s="439">
        <v>35012.75</v>
      </c>
      <c r="G24" s="439">
        <v>56232.75</v>
      </c>
      <c r="H24" s="439">
        <v>8097.6</v>
      </c>
      <c r="I24" s="439">
        <v>2765</v>
      </c>
      <c r="J24" s="439">
        <v>915</v>
      </c>
      <c r="K24" s="439">
        <v>460</v>
      </c>
      <c r="L24" s="439">
        <v>581</v>
      </c>
      <c r="M24" s="439">
        <v>837</v>
      </c>
      <c r="N24" s="439">
        <v>782</v>
      </c>
      <c r="O24" s="439">
        <v>779</v>
      </c>
      <c r="P24" s="319">
        <v>119469.61000000002</v>
      </c>
      <c r="R24" s="232"/>
      <c r="S24" s="232"/>
      <c r="T24" s="232"/>
      <c r="U24" s="232">
        <v>112350.61</v>
      </c>
      <c r="V24" s="449">
        <v>0</v>
      </c>
      <c r="W24" s="232"/>
    </row>
    <row r="25" spans="1:23" ht="13.35" customHeight="1">
      <c r="A25" s="120"/>
      <c r="B25" s="123" t="s">
        <v>312</v>
      </c>
      <c r="C25" s="308">
        <v>84526</v>
      </c>
      <c r="D25" s="439">
        <v>2722</v>
      </c>
      <c r="E25" s="439">
        <v>14799</v>
      </c>
      <c r="F25" s="439">
        <v>30469</v>
      </c>
      <c r="G25" s="439">
        <v>25147</v>
      </c>
      <c r="H25" s="439">
        <v>11389</v>
      </c>
      <c r="I25" s="439">
        <v>0</v>
      </c>
      <c r="J25" s="439">
        <v>0</v>
      </c>
      <c r="K25" s="439">
        <v>0</v>
      </c>
      <c r="L25" s="439">
        <v>0</v>
      </c>
      <c r="M25" s="439">
        <v>0</v>
      </c>
      <c r="N25" s="439">
        <v>0</v>
      </c>
      <c r="O25" s="439">
        <v>0</v>
      </c>
      <c r="P25" s="319"/>
      <c r="R25" s="232"/>
      <c r="S25" s="232"/>
      <c r="T25" s="232"/>
      <c r="U25" s="232">
        <v>84526</v>
      </c>
      <c r="V25" s="449">
        <v>0</v>
      </c>
      <c r="W25" s="232"/>
    </row>
    <row r="26" spans="1:23" ht="13.35" customHeight="1">
      <c r="A26" s="120" t="s">
        <v>503</v>
      </c>
      <c r="B26" s="123" t="s">
        <v>376</v>
      </c>
      <c r="C26" s="308">
        <v>70152</v>
      </c>
      <c r="D26" s="439">
        <v>9160.25</v>
      </c>
      <c r="E26" s="439">
        <v>15411.75</v>
      </c>
      <c r="F26" s="439">
        <v>18797.75</v>
      </c>
      <c r="G26" s="439">
        <v>15638</v>
      </c>
      <c r="H26" s="439">
        <v>11144.25</v>
      </c>
      <c r="I26" s="439">
        <v>9085.75</v>
      </c>
      <c r="J26" s="439">
        <v>3014.5</v>
      </c>
      <c r="K26" s="439">
        <v>2156.5</v>
      </c>
      <c r="L26" s="439">
        <v>4176.25</v>
      </c>
      <c r="M26" s="439">
        <v>8522.5</v>
      </c>
      <c r="N26" s="439">
        <v>8159</v>
      </c>
      <c r="O26" s="439">
        <v>5645.25</v>
      </c>
      <c r="P26" s="319">
        <v>110911.75</v>
      </c>
      <c r="R26" s="232"/>
      <c r="S26" s="232"/>
      <c r="T26" s="232"/>
      <c r="U26" s="232">
        <v>70152</v>
      </c>
      <c r="V26" s="449">
        <v>0</v>
      </c>
      <c r="W26" s="232"/>
    </row>
    <row r="27" spans="1:23" ht="13.35" customHeight="1">
      <c r="A27" s="120"/>
      <c r="B27" s="123" t="s">
        <v>312</v>
      </c>
      <c r="C27" s="308">
        <v>69779.75</v>
      </c>
      <c r="D27" s="439">
        <v>8504</v>
      </c>
      <c r="E27" s="439">
        <v>15729.75</v>
      </c>
      <c r="F27" s="439">
        <v>20713</v>
      </c>
      <c r="G27" s="439">
        <v>14729</v>
      </c>
      <c r="H27" s="439">
        <v>10104</v>
      </c>
      <c r="I27" s="439">
        <v>0</v>
      </c>
      <c r="J27" s="439">
        <v>0</v>
      </c>
      <c r="K27" s="439">
        <v>0</v>
      </c>
      <c r="L27" s="439">
        <v>0</v>
      </c>
      <c r="M27" s="439">
        <v>0</v>
      </c>
      <c r="N27" s="439">
        <v>0</v>
      </c>
      <c r="O27" s="439">
        <v>0</v>
      </c>
      <c r="P27" s="319"/>
      <c r="R27" s="232"/>
      <c r="S27" s="232"/>
      <c r="T27" s="232"/>
      <c r="U27" s="232">
        <v>69779.75</v>
      </c>
      <c r="V27" s="449">
        <v>0</v>
      </c>
      <c r="W27" s="232"/>
    </row>
    <row r="28" spans="1:23" ht="13.35" customHeight="1">
      <c r="A28" s="120" t="s">
        <v>357</v>
      </c>
      <c r="B28" s="123" t="s">
        <v>376</v>
      </c>
      <c r="C28" s="308">
        <v>16513.3</v>
      </c>
      <c r="D28" s="439">
        <v>2966</v>
      </c>
      <c r="E28" s="439">
        <v>3948.7</v>
      </c>
      <c r="F28" s="439">
        <v>4820.3</v>
      </c>
      <c r="G28" s="439">
        <v>2576.3000000000002</v>
      </c>
      <c r="H28" s="439">
        <v>2202</v>
      </c>
      <c r="I28" s="439">
        <v>1799</v>
      </c>
      <c r="J28" s="439">
        <v>6158</v>
      </c>
      <c r="K28" s="439">
        <v>4842.5999999999995</v>
      </c>
      <c r="L28" s="439">
        <v>7343.05</v>
      </c>
      <c r="M28" s="439">
        <v>3883</v>
      </c>
      <c r="N28" s="439">
        <v>2552.25</v>
      </c>
      <c r="O28" s="439">
        <v>2471</v>
      </c>
      <c r="P28" s="319">
        <v>45562.2</v>
      </c>
      <c r="R28" s="232"/>
      <c r="S28" s="232"/>
      <c r="T28" s="232"/>
      <c r="U28" s="232">
        <v>16513.3</v>
      </c>
      <c r="V28" s="449">
        <v>0</v>
      </c>
      <c r="W28" s="232"/>
    </row>
    <row r="29" spans="1:23" ht="13.35" customHeight="1">
      <c r="A29" s="120"/>
      <c r="B29" s="123" t="s">
        <v>312</v>
      </c>
      <c r="C29" s="308">
        <v>11595.25</v>
      </c>
      <c r="D29" s="439">
        <v>2256.5</v>
      </c>
      <c r="E29" s="439">
        <v>2800.25</v>
      </c>
      <c r="F29" s="439">
        <v>1514</v>
      </c>
      <c r="G29" s="439">
        <v>1372</v>
      </c>
      <c r="H29" s="439">
        <v>3652.5</v>
      </c>
      <c r="I29" s="439">
        <v>0</v>
      </c>
      <c r="J29" s="439">
        <v>0</v>
      </c>
      <c r="K29" s="439">
        <v>0</v>
      </c>
      <c r="L29" s="439">
        <v>0</v>
      </c>
      <c r="M29" s="439">
        <v>0</v>
      </c>
      <c r="N29" s="439">
        <v>0</v>
      </c>
      <c r="O29" s="439">
        <v>0</v>
      </c>
      <c r="P29" s="319"/>
      <c r="R29" s="232"/>
      <c r="S29" s="232"/>
      <c r="T29" s="232"/>
      <c r="U29" s="232">
        <v>11595.25</v>
      </c>
      <c r="V29" s="449">
        <v>0</v>
      </c>
      <c r="W29" s="232"/>
    </row>
    <row r="30" spans="1:23" ht="13.35" customHeight="1">
      <c r="A30" s="120" t="s">
        <v>504</v>
      </c>
      <c r="B30" s="123" t="s">
        <v>376</v>
      </c>
      <c r="C30" s="308">
        <v>82463</v>
      </c>
      <c r="D30" s="439">
        <v>8204</v>
      </c>
      <c r="E30" s="439">
        <v>16252</v>
      </c>
      <c r="F30" s="439">
        <v>25900</v>
      </c>
      <c r="G30" s="439">
        <v>20980</v>
      </c>
      <c r="H30" s="439">
        <v>11127</v>
      </c>
      <c r="I30" s="439">
        <v>1692</v>
      </c>
      <c r="J30" s="439">
        <v>565</v>
      </c>
      <c r="K30" s="439">
        <v>1863</v>
      </c>
      <c r="L30" s="439">
        <v>2410</v>
      </c>
      <c r="M30" s="439">
        <v>2268</v>
      </c>
      <c r="N30" s="439">
        <v>2749</v>
      </c>
      <c r="O30" s="439">
        <v>3430</v>
      </c>
      <c r="P30" s="319">
        <v>97440</v>
      </c>
      <c r="R30" s="232"/>
      <c r="S30" s="232"/>
      <c r="T30" s="232"/>
      <c r="U30" s="232">
        <v>82463</v>
      </c>
      <c r="V30" s="449">
        <v>0</v>
      </c>
      <c r="W30" s="232"/>
    </row>
    <row r="31" spans="1:23" ht="13.35" customHeight="1">
      <c r="A31" s="120"/>
      <c r="B31" s="123" t="s">
        <v>312</v>
      </c>
      <c r="C31" s="308">
        <v>82077</v>
      </c>
      <c r="D31" s="439">
        <v>7983</v>
      </c>
      <c r="E31" s="439">
        <v>16744</v>
      </c>
      <c r="F31" s="439">
        <v>25931</v>
      </c>
      <c r="G31" s="439">
        <v>22505</v>
      </c>
      <c r="H31" s="439">
        <v>8914</v>
      </c>
      <c r="I31" s="439">
        <v>0</v>
      </c>
      <c r="J31" s="439">
        <v>0</v>
      </c>
      <c r="K31" s="439">
        <v>0</v>
      </c>
      <c r="L31" s="439">
        <v>0</v>
      </c>
      <c r="M31" s="439">
        <v>0</v>
      </c>
      <c r="N31" s="439">
        <v>0</v>
      </c>
      <c r="O31" s="439">
        <v>0</v>
      </c>
      <c r="P31" s="319"/>
      <c r="R31" s="232"/>
      <c r="S31" s="232"/>
      <c r="T31" s="232"/>
      <c r="U31" s="232">
        <v>82077</v>
      </c>
      <c r="V31" s="449">
        <v>0</v>
      </c>
      <c r="W31" s="232"/>
    </row>
    <row r="32" spans="1:23" ht="13.35" customHeight="1">
      <c r="A32" s="120" t="s">
        <v>416</v>
      </c>
      <c r="B32" s="123" t="s">
        <v>376</v>
      </c>
      <c r="C32" s="308">
        <v>95155</v>
      </c>
      <c r="D32" s="439">
        <v>3226.5</v>
      </c>
      <c r="E32" s="439">
        <v>4943.5</v>
      </c>
      <c r="F32" s="439">
        <v>16234.5</v>
      </c>
      <c r="G32" s="439">
        <v>33713</v>
      </c>
      <c r="H32" s="439">
        <v>37037.5</v>
      </c>
      <c r="I32" s="439">
        <v>37765</v>
      </c>
      <c r="J32" s="439">
        <v>23482.7</v>
      </c>
      <c r="K32" s="439">
        <v>9047.4</v>
      </c>
      <c r="L32" s="439">
        <v>2614.6999999999998</v>
      </c>
      <c r="M32" s="439">
        <v>4641</v>
      </c>
      <c r="N32" s="439">
        <v>3494</v>
      </c>
      <c r="O32" s="439">
        <v>1695.5</v>
      </c>
      <c r="P32" s="319">
        <v>177895.30000000002</v>
      </c>
      <c r="R32" s="232"/>
      <c r="S32" s="232"/>
      <c r="T32" s="232"/>
      <c r="U32" s="232">
        <v>95155</v>
      </c>
      <c r="V32" s="449">
        <v>0</v>
      </c>
      <c r="W32" s="232"/>
    </row>
    <row r="33" spans="1:23" ht="13.35" customHeight="1">
      <c r="A33" s="120"/>
      <c r="B33" s="123" t="s">
        <v>312</v>
      </c>
      <c r="C33" s="308">
        <v>93491.7</v>
      </c>
      <c r="D33" s="439">
        <v>3455.7</v>
      </c>
      <c r="E33" s="439">
        <v>7593</v>
      </c>
      <c r="F33" s="439">
        <v>17761</v>
      </c>
      <c r="G33" s="439">
        <v>29408</v>
      </c>
      <c r="H33" s="439">
        <v>35274</v>
      </c>
      <c r="I33" s="439">
        <v>0</v>
      </c>
      <c r="J33" s="439">
        <v>0</v>
      </c>
      <c r="K33" s="439">
        <v>0</v>
      </c>
      <c r="L33" s="439">
        <v>0</v>
      </c>
      <c r="M33" s="439">
        <v>0</v>
      </c>
      <c r="N33" s="439">
        <v>0</v>
      </c>
      <c r="O33" s="439">
        <v>0</v>
      </c>
      <c r="P33" s="319"/>
      <c r="R33" s="232"/>
      <c r="S33" s="232"/>
      <c r="T33" s="232"/>
      <c r="U33" s="232">
        <v>93491.7</v>
      </c>
      <c r="V33" s="449">
        <v>0</v>
      </c>
      <c r="W33" s="232"/>
    </row>
    <row r="34" spans="1:23" ht="12.75">
      <c r="A34" s="238"/>
      <c r="B34" s="121"/>
      <c r="C34" s="121"/>
      <c r="D34" s="440"/>
      <c r="E34" s="440"/>
      <c r="F34" s="440"/>
      <c r="G34" s="440"/>
      <c r="H34" s="440"/>
      <c r="I34" s="440"/>
      <c r="J34" s="440"/>
      <c r="K34" s="440"/>
      <c r="L34" s="440"/>
      <c r="M34" s="440"/>
      <c r="N34" s="440"/>
      <c r="O34" s="440"/>
      <c r="P34" s="240" t="s">
        <v>313</v>
      </c>
      <c r="R34" s="432"/>
      <c r="S34" s="432"/>
      <c r="T34" s="432"/>
      <c r="U34" s="432"/>
      <c r="V34" s="449"/>
      <c r="W34" s="432"/>
    </row>
    <row r="35" spans="1:23" ht="14.1" customHeight="1">
      <c r="A35" s="89" t="s">
        <v>360</v>
      </c>
      <c r="B35" s="123"/>
      <c r="C35" s="123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122"/>
      <c r="R35" s="432"/>
      <c r="S35" s="432"/>
      <c r="T35" s="432"/>
      <c r="U35" s="432"/>
      <c r="V35" s="449"/>
      <c r="W35" s="432"/>
    </row>
    <row r="36" spans="1:23" ht="21" customHeight="1">
      <c r="A36" s="236" t="s">
        <v>433</v>
      </c>
      <c r="B36" s="237" t="s">
        <v>198</v>
      </c>
      <c r="C36" s="236" t="s">
        <v>48</v>
      </c>
      <c r="D36" s="441" t="s">
        <v>413</v>
      </c>
      <c r="E36" s="441" t="s">
        <v>414</v>
      </c>
      <c r="F36" s="441" t="s">
        <v>415</v>
      </c>
      <c r="G36" s="441" t="s">
        <v>522</v>
      </c>
      <c r="H36" s="441" t="s">
        <v>523</v>
      </c>
      <c r="I36" s="441" t="s">
        <v>524</v>
      </c>
      <c r="J36" s="441" t="s">
        <v>525</v>
      </c>
      <c r="K36" s="441" t="s">
        <v>526</v>
      </c>
      <c r="L36" s="441" t="s">
        <v>527</v>
      </c>
      <c r="M36" s="441" t="s">
        <v>315</v>
      </c>
      <c r="N36" s="441" t="s">
        <v>316</v>
      </c>
      <c r="O36" s="441" t="s">
        <v>317</v>
      </c>
      <c r="P36" s="236" t="s">
        <v>487</v>
      </c>
      <c r="R36" s="433"/>
      <c r="S36" s="433"/>
      <c r="T36" s="433"/>
      <c r="U36" s="433"/>
      <c r="V36" s="450"/>
      <c r="W36" s="433"/>
    </row>
    <row r="37" spans="1:23" ht="13.35" customHeight="1">
      <c r="A37" s="120" t="s">
        <v>417</v>
      </c>
      <c r="B37" s="123" t="s">
        <v>376</v>
      </c>
      <c r="C37" s="308">
        <v>14253</v>
      </c>
      <c r="D37" s="439">
        <v>4946</v>
      </c>
      <c r="E37" s="439">
        <v>2848</v>
      </c>
      <c r="F37" s="439">
        <v>1294</v>
      </c>
      <c r="G37" s="439">
        <v>3520</v>
      </c>
      <c r="H37" s="439">
        <v>1645</v>
      </c>
      <c r="I37" s="439">
        <v>18403</v>
      </c>
      <c r="J37" s="439">
        <v>31911</v>
      </c>
      <c r="K37" s="439">
        <v>6709</v>
      </c>
      <c r="L37" s="439">
        <v>3956</v>
      </c>
      <c r="M37" s="439">
        <v>3378</v>
      </c>
      <c r="N37" s="439">
        <v>5626</v>
      </c>
      <c r="O37" s="439">
        <v>7962</v>
      </c>
      <c r="P37" s="319">
        <v>92198</v>
      </c>
      <c r="R37" s="232"/>
      <c r="S37" s="232"/>
      <c r="T37" s="232"/>
      <c r="U37" s="232">
        <v>14253</v>
      </c>
      <c r="V37" s="449">
        <v>0</v>
      </c>
      <c r="W37" s="232"/>
    </row>
    <row r="38" spans="1:23" ht="13.35" customHeight="1">
      <c r="A38" s="120"/>
      <c r="B38" s="123" t="s">
        <v>312</v>
      </c>
      <c r="C38" s="308">
        <v>13230</v>
      </c>
      <c r="D38" s="439">
        <v>3431</v>
      </c>
      <c r="E38" s="439">
        <v>4259</v>
      </c>
      <c r="F38" s="439">
        <v>927</v>
      </c>
      <c r="G38" s="439">
        <v>3100</v>
      </c>
      <c r="H38" s="439">
        <v>1513</v>
      </c>
      <c r="I38" s="439">
        <v>0</v>
      </c>
      <c r="J38" s="439">
        <v>0</v>
      </c>
      <c r="K38" s="439">
        <v>0</v>
      </c>
      <c r="L38" s="439">
        <v>0</v>
      </c>
      <c r="M38" s="439">
        <v>0</v>
      </c>
      <c r="N38" s="439">
        <v>0</v>
      </c>
      <c r="O38" s="439">
        <v>0</v>
      </c>
      <c r="P38" s="319"/>
      <c r="R38" s="232"/>
      <c r="S38" s="232"/>
      <c r="T38" s="232"/>
      <c r="U38" s="232">
        <v>13230</v>
      </c>
      <c r="V38" s="449">
        <v>0</v>
      </c>
      <c r="W38" s="232"/>
    </row>
    <row r="39" spans="1:23" ht="13.35" customHeight="1">
      <c r="A39" s="120" t="s">
        <v>418</v>
      </c>
      <c r="B39" s="123" t="s">
        <v>376</v>
      </c>
      <c r="C39" s="308">
        <v>20170.919999999998</v>
      </c>
      <c r="D39" s="439">
        <v>5781</v>
      </c>
      <c r="E39" s="439">
        <v>4335.25</v>
      </c>
      <c r="F39" s="439">
        <v>3562.67</v>
      </c>
      <c r="G39" s="439">
        <v>3587</v>
      </c>
      <c r="H39" s="439">
        <v>2905</v>
      </c>
      <c r="I39" s="439">
        <v>4740</v>
      </c>
      <c r="J39" s="439">
        <v>4849</v>
      </c>
      <c r="K39" s="439">
        <v>3164</v>
      </c>
      <c r="L39" s="439">
        <v>3134</v>
      </c>
      <c r="M39" s="439">
        <v>4243.6000000000004</v>
      </c>
      <c r="N39" s="439">
        <v>5281</v>
      </c>
      <c r="O39" s="439">
        <v>6553.5</v>
      </c>
      <c r="P39" s="319">
        <v>52136.02</v>
      </c>
      <c r="R39" s="232"/>
      <c r="S39" s="232"/>
      <c r="T39" s="232"/>
      <c r="U39" s="232">
        <v>20170.920000000002</v>
      </c>
      <c r="V39" s="449">
        <v>0</v>
      </c>
      <c r="W39" s="232"/>
    </row>
    <row r="40" spans="1:23" ht="13.35" customHeight="1">
      <c r="A40" s="120"/>
      <c r="B40" s="123" t="s">
        <v>312</v>
      </c>
      <c r="C40" s="308">
        <v>21608.3</v>
      </c>
      <c r="D40" s="439">
        <v>5937.5</v>
      </c>
      <c r="E40" s="439">
        <v>4464.5</v>
      </c>
      <c r="F40" s="439">
        <v>4469</v>
      </c>
      <c r="G40" s="439">
        <v>3469.3</v>
      </c>
      <c r="H40" s="439">
        <v>3268</v>
      </c>
      <c r="I40" s="439">
        <v>0</v>
      </c>
      <c r="J40" s="439">
        <v>0</v>
      </c>
      <c r="K40" s="439">
        <v>0</v>
      </c>
      <c r="L40" s="439">
        <v>0</v>
      </c>
      <c r="M40" s="439">
        <v>0</v>
      </c>
      <c r="N40" s="439">
        <v>0</v>
      </c>
      <c r="O40" s="439">
        <v>0</v>
      </c>
      <c r="P40" s="319"/>
      <c r="R40" s="232"/>
      <c r="S40" s="232"/>
      <c r="T40" s="232"/>
      <c r="U40" s="232">
        <v>21608.3</v>
      </c>
      <c r="V40" s="449">
        <v>0</v>
      </c>
      <c r="W40" s="232"/>
    </row>
    <row r="41" spans="1:23" ht="13.35" customHeight="1">
      <c r="A41" s="120" t="s">
        <v>409</v>
      </c>
      <c r="B41" s="123" t="s">
        <v>376</v>
      </c>
      <c r="C41" s="308">
        <v>1218</v>
      </c>
      <c r="D41" s="439">
        <v>324</v>
      </c>
      <c r="E41" s="439">
        <v>326</v>
      </c>
      <c r="F41" s="439">
        <v>261</v>
      </c>
      <c r="G41" s="439">
        <v>187</v>
      </c>
      <c r="H41" s="439">
        <v>120</v>
      </c>
      <c r="I41" s="439">
        <v>322</v>
      </c>
      <c r="J41" s="439">
        <v>392</v>
      </c>
      <c r="K41" s="439">
        <v>211</v>
      </c>
      <c r="L41" s="439">
        <v>141</v>
      </c>
      <c r="M41" s="439">
        <v>201</v>
      </c>
      <c r="N41" s="439">
        <v>197</v>
      </c>
      <c r="O41" s="439">
        <v>145</v>
      </c>
      <c r="P41" s="319">
        <v>2827</v>
      </c>
      <c r="R41" s="232"/>
      <c r="S41" s="232"/>
      <c r="T41" s="232"/>
      <c r="U41" s="232">
        <v>1218</v>
      </c>
      <c r="V41" s="449">
        <v>0</v>
      </c>
      <c r="W41" s="232"/>
    </row>
    <row r="42" spans="1:23" ht="13.35" customHeight="1">
      <c r="A42" s="120"/>
      <c r="B42" s="123" t="s">
        <v>312</v>
      </c>
      <c r="C42" s="308">
        <v>986</v>
      </c>
      <c r="D42" s="439">
        <v>280</v>
      </c>
      <c r="E42" s="439">
        <v>236</v>
      </c>
      <c r="F42" s="439">
        <v>228</v>
      </c>
      <c r="G42" s="439">
        <v>116</v>
      </c>
      <c r="H42" s="439">
        <v>126</v>
      </c>
      <c r="I42" s="439">
        <v>0</v>
      </c>
      <c r="J42" s="439">
        <v>0</v>
      </c>
      <c r="K42" s="439">
        <v>0</v>
      </c>
      <c r="L42" s="439">
        <v>0</v>
      </c>
      <c r="M42" s="439">
        <v>0</v>
      </c>
      <c r="N42" s="439">
        <v>0</v>
      </c>
      <c r="O42" s="439">
        <v>0</v>
      </c>
      <c r="P42" s="319"/>
      <c r="R42" s="232"/>
      <c r="S42" s="232"/>
      <c r="T42" s="232"/>
      <c r="U42" s="232">
        <v>986</v>
      </c>
      <c r="V42" s="449">
        <v>0</v>
      </c>
      <c r="W42" s="232"/>
    </row>
    <row r="43" spans="1:23" ht="13.35" customHeight="1">
      <c r="A43" s="120" t="s">
        <v>419</v>
      </c>
      <c r="B43" s="123" t="s">
        <v>376</v>
      </c>
      <c r="C43" s="308">
        <v>65659</v>
      </c>
      <c r="D43" s="439">
        <v>20027</v>
      </c>
      <c r="E43" s="439">
        <v>17988</v>
      </c>
      <c r="F43" s="439">
        <v>13107</v>
      </c>
      <c r="G43" s="439">
        <v>8105</v>
      </c>
      <c r="H43" s="439">
        <v>6432</v>
      </c>
      <c r="I43" s="439">
        <v>4296</v>
      </c>
      <c r="J43" s="439">
        <v>3999</v>
      </c>
      <c r="K43" s="439">
        <v>2653</v>
      </c>
      <c r="L43" s="439">
        <v>4391</v>
      </c>
      <c r="M43" s="439">
        <v>8628</v>
      </c>
      <c r="N43" s="439">
        <v>16591</v>
      </c>
      <c r="O43" s="439">
        <v>24100</v>
      </c>
      <c r="P43" s="319">
        <v>130317</v>
      </c>
      <c r="R43" s="232"/>
      <c r="S43" s="232"/>
      <c r="T43" s="232"/>
      <c r="U43" s="232">
        <v>65659</v>
      </c>
      <c r="V43" s="449">
        <v>0</v>
      </c>
      <c r="W43" s="232"/>
    </row>
    <row r="44" spans="1:23" ht="13.35" customHeight="1">
      <c r="A44" s="120"/>
      <c r="B44" s="123" t="s">
        <v>312</v>
      </c>
      <c r="C44" s="308">
        <v>63546</v>
      </c>
      <c r="D44" s="439">
        <v>19903</v>
      </c>
      <c r="E44" s="439">
        <v>17470</v>
      </c>
      <c r="F44" s="439">
        <v>12626</v>
      </c>
      <c r="G44" s="439">
        <v>7479</v>
      </c>
      <c r="H44" s="439">
        <v>6068</v>
      </c>
      <c r="I44" s="439">
        <v>0</v>
      </c>
      <c r="J44" s="439">
        <v>0</v>
      </c>
      <c r="K44" s="439">
        <v>0</v>
      </c>
      <c r="L44" s="439">
        <v>0</v>
      </c>
      <c r="M44" s="439">
        <v>0</v>
      </c>
      <c r="N44" s="439">
        <v>0</v>
      </c>
      <c r="O44" s="439">
        <v>0</v>
      </c>
      <c r="P44" s="319"/>
      <c r="R44" s="232"/>
      <c r="S44" s="232"/>
      <c r="T44" s="232"/>
      <c r="U44" s="232">
        <v>63546</v>
      </c>
      <c r="V44" s="449">
        <v>0</v>
      </c>
      <c r="W44" s="232"/>
    </row>
    <row r="45" spans="1:23" ht="13.35" customHeight="1">
      <c r="A45" s="124" t="s">
        <v>438</v>
      </c>
      <c r="B45" s="123" t="s">
        <v>376</v>
      </c>
      <c r="C45" s="308">
        <v>8427</v>
      </c>
      <c r="D45" s="439">
        <v>349.25</v>
      </c>
      <c r="E45" s="439">
        <v>2651.5</v>
      </c>
      <c r="F45" s="439">
        <v>3565.75</v>
      </c>
      <c r="G45" s="439">
        <v>1349</v>
      </c>
      <c r="H45" s="439">
        <v>511.5</v>
      </c>
      <c r="I45" s="439">
        <v>142.5</v>
      </c>
      <c r="J45" s="439">
        <v>111.5</v>
      </c>
      <c r="K45" s="439">
        <v>111.5</v>
      </c>
      <c r="L45" s="439">
        <v>433.25</v>
      </c>
      <c r="M45" s="439">
        <v>608.5</v>
      </c>
      <c r="N45" s="439">
        <v>161.5</v>
      </c>
      <c r="O45" s="439">
        <v>111.25</v>
      </c>
      <c r="P45" s="319">
        <v>10107</v>
      </c>
      <c r="R45" s="232"/>
      <c r="S45" s="232"/>
      <c r="T45" s="232"/>
      <c r="U45" s="232">
        <v>8427</v>
      </c>
      <c r="V45" s="449">
        <v>0</v>
      </c>
      <c r="W45" s="232"/>
    </row>
    <row r="46" spans="1:23" ht="13.35" customHeight="1">
      <c r="A46" s="124"/>
      <c r="B46" s="123" t="s">
        <v>312</v>
      </c>
      <c r="C46" s="308">
        <v>9115.75</v>
      </c>
      <c r="D46" s="439">
        <v>292.5</v>
      </c>
      <c r="E46" s="439">
        <v>2350.25</v>
      </c>
      <c r="F46" s="439">
        <v>4867.5</v>
      </c>
      <c r="G46" s="439">
        <v>1414.5</v>
      </c>
      <c r="H46" s="439">
        <v>191</v>
      </c>
      <c r="I46" s="439">
        <v>0</v>
      </c>
      <c r="J46" s="439">
        <v>0</v>
      </c>
      <c r="K46" s="439">
        <v>0</v>
      </c>
      <c r="L46" s="439">
        <v>0</v>
      </c>
      <c r="M46" s="439">
        <v>0</v>
      </c>
      <c r="N46" s="439">
        <v>0</v>
      </c>
      <c r="O46" s="439">
        <v>0</v>
      </c>
      <c r="P46" s="319"/>
      <c r="R46" s="232"/>
      <c r="S46" s="232"/>
      <c r="T46" s="232"/>
      <c r="U46" s="232">
        <v>9115.75</v>
      </c>
      <c r="V46" s="449">
        <v>0</v>
      </c>
      <c r="W46" s="232"/>
    </row>
    <row r="47" spans="1:23" ht="13.35" customHeight="1">
      <c r="A47" s="120" t="s">
        <v>453</v>
      </c>
      <c r="B47" s="123" t="s">
        <v>376</v>
      </c>
      <c r="C47" s="308">
        <v>1771</v>
      </c>
      <c r="D47" s="439">
        <v>361</v>
      </c>
      <c r="E47" s="439">
        <v>704</v>
      </c>
      <c r="F47" s="439">
        <v>364</v>
      </c>
      <c r="G47" s="439">
        <v>248</v>
      </c>
      <c r="H47" s="439">
        <v>94</v>
      </c>
      <c r="I47" s="439">
        <v>136</v>
      </c>
      <c r="J47" s="439">
        <v>81</v>
      </c>
      <c r="K47" s="439">
        <v>25</v>
      </c>
      <c r="L47" s="439">
        <v>28</v>
      </c>
      <c r="M47" s="439">
        <v>36</v>
      </c>
      <c r="N47" s="439">
        <v>12</v>
      </c>
      <c r="O47" s="439">
        <v>20</v>
      </c>
      <c r="P47" s="319">
        <v>2109</v>
      </c>
      <c r="R47" s="232"/>
      <c r="S47" s="232"/>
      <c r="T47" s="232"/>
      <c r="U47" s="232">
        <v>1771</v>
      </c>
      <c r="V47" s="449">
        <v>0</v>
      </c>
      <c r="W47" s="232"/>
    </row>
    <row r="48" spans="1:23" ht="13.35" customHeight="1">
      <c r="A48" s="120"/>
      <c r="B48" s="123" t="s">
        <v>312</v>
      </c>
      <c r="C48" s="308">
        <v>1475</v>
      </c>
      <c r="D48" s="439">
        <v>271</v>
      </c>
      <c r="E48" s="439">
        <v>669</v>
      </c>
      <c r="F48" s="439">
        <v>430</v>
      </c>
      <c r="G48" s="439">
        <v>60</v>
      </c>
      <c r="H48" s="439">
        <v>45</v>
      </c>
      <c r="I48" s="439">
        <v>0</v>
      </c>
      <c r="J48" s="439">
        <v>0</v>
      </c>
      <c r="K48" s="439">
        <v>0</v>
      </c>
      <c r="L48" s="439">
        <v>0</v>
      </c>
      <c r="M48" s="439">
        <v>0</v>
      </c>
      <c r="N48" s="439">
        <v>0</v>
      </c>
      <c r="O48" s="439">
        <v>0</v>
      </c>
      <c r="P48" s="319"/>
      <c r="R48" s="232"/>
      <c r="S48" s="232"/>
      <c r="T48" s="232"/>
      <c r="U48" s="232">
        <v>1475</v>
      </c>
      <c r="V48" s="449">
        <v>0</v>
      </c>
      <c r="W48" s="232"/>
    </row>
    <row r="49" spans="1:23" ht="13.35" customHeight="1">
      <c r="A49" s="120" t="s">
        <v>420</v>
      </c>
      <c r="B49" s="123" t="s">
        <v>376</v>
      </c>
      <c r="C49" s="308">
        <v>20005.5</v>
      </c>
      <c r="D49" s="439">
        <v>5093</v>
      </c>
      <c r="E49" s="439">
        <v>6759.5</v>
      </c>
      <c r="F49" s="439">
        <v>5772.5</v>
      </c>
      <c r="G49" s="439">
        <v>1957.5</v>
      </c>
      <c r="H49" s="439">
        <v>423</v>
      </c>
      <c r="I49" s="439">
        <v>333</v>
      </c>
      <c r="J49" s="439">
        <v>534</v>
      </c>
      <c r="K49" s="439">
        <v>1398</v>
      </c>
      <c r="L49" s="439">
        <v>1174</v>
      </c>
      <c r="M49" s="439">
        <v>1056</v>
      </c>
      <c r="N49" s="439">
        <v>1184</v>
      </c>
      <c r="O49" s="439">
        <v>1241.5</v>
      </c>
      <c r="P49" s="319">
        <v>26926</v>
      </c>
      <c r="R49" s="232"/>
      <c r="S49" s="232"/>
      <c r="T49" s="232"/>
      <c r="U49" s="232">
        <v>20005.5</v>
      </c>
      <c r="V49" s="449">
        <v>0</v>
      </c>
      <c r="W49" s="232"/>
    </row>
    <row r="50" spans="1:23" ht="13.35" customHeight="1">
      <c r="A50" s="120"/>
      <c r="B50" s="123" t="s">
        <v>312</v>
      </c>
      <c r="C50" s="308">
        <v>18294.5</v>
      </c>
      <c r="D50" s="439">
        <v>3673</v>
      </c>
      <c r="E50" s="439">
        <v>6329.5</v>
      </c>
      <c r="F50" s="439">
        <v>5817</v>
      </c>
      <c r="G50" s="439">
        <v>2191.5</v>
      </c>
      <c r="H50" s="439">
        <v>283.5</v>
      </c>
      <c r="I50" s="439">
        <v>0</v>
      </c>
      <c r="J50" s="439">
        <v>0</v>
      </c>
      <c r="K50" s="439">
        <v>0</v>
      </c>
      <c r="L50" s="439">
        <v>0</v>
      </c>
      <c r="M50" s="439">
        <v>0</v>
      </c>
      <c r="N50" s="439">
        <v>0</v>
      </c>
      <c r="O50" s="439">
        <v>0</v>
      </c>
      <c r="P50" s="319"/>
      <c r="R50" s="232"/>
      <c r="S50" s="232"/>
      <c r="T50" s="232"/>
      <c r="U50" s="232">
        <v>18294.5</v>
      </c>
      <c r="V50" s="449">
        <v>0</v>
      </c>
      <c r="W50" s="232"/>
    </row>
    <row r="51" spans="1:23" ht="13.35" customHeight="1">
      <c r="A51" s="120" t="s">
        <v>421</v>
      </c>
      <c r="B51" s="123" t="s">
        <v>376</v>
      </c>
      <c r="C51" s="308">
        <v>20366.006999999998</v>
      </c>
      <c r="D51" s="439">
        <v>10976</v>
      </c>
      <c r="E51" s="439">
        <v>2081.0070000000001</v>
      </c>
      <c r="F51" s="439">
        <v>1643</v>
      </c>
      <c r="G51" s="439">
        <v>2536</v>
      </c>
      <c r="H51" s="439">
        <v>3130</v>
      </c>
      <c r="I51" s="439">
        <v>14879</v>
      </c>
      <c r="J51" s="439">
        <v>37226</v>
      </c>
      <c r="K51" s="439">
        <v>19304</v>
      </c>
      <c r="L51" s="439">
        <v>11562</v>
      </c>
      <c r="M51" s="439">
        <v>3691</v>
      </c>
      <c r="N51" s="439">
        <v>559</v>
      </c>
      <c r="O51" s="439">
        <v>660</v>
      </c>
      <c r="P51" s="319">
        <v>108247.007</v>
      </c>
      <c r="R51" s="232"/>
      <c r="S51" s="232"/>
      <c r="T51" s="232"/>
      <c r="U51" s="232">
        <v>20366.006999999998</v>
      </c>
      <c r="V51" s="449">
        <v>0</v>
      </c>
      <c r="W51" s="232"/>
    </row>
    <row r="52" spans="1:23" ht="13.35" customHeight="1">
      <c r="A52" s="120"/>
      <c r="B52" s="123" t="s">
        <v>312</v>
      </c>
      <c r="C52" s="308">
        <v>33526</v>
      </c>
      <c r="D52" s="439">
        <v>16195</v>
      </c>
      <c r="E52" s="439">
        <v>9701</v>
      </c>
      <c r="F52" s="439">
        <v>973</v>
      </c>
      <c r="G52" s="439">
        <v>3580</v>
      </c>
      <c r="H52" s="439">
        <v>3077</v>
      </c>
      <c r="I52" s="439">
        <v>0</v>
      </c>
      <c r="J52" s="439">
        <v>0</v>
      </c>
      <c r="K52" s="439">
        <v>0</v>
      </c>
      <c r="L52" s="439">
        <v>0</v>
      </c>
      <c r="M52" s="439">
        <v>0</v>
      </c>
      <c r="N52" s="439">
        <v>0</v>
      </c>
      <c r="O52" s="439">
        <v>0</v>
      </c>
      <c r="P52" s="319"/>
      <c r="R52" s="232"/>
      <c r="S52" s="232"/>
      <c r="T52" s="232"/>
      <c r="U52" s="232">
        <v>33526</v>
      </c>
      <c r="V52" s="449">
        <v>0</v>
      </c>
      <c r="W52" s="232"/>
    </row>
    <row r="53" spans="1:23" ht="13.35" customHeight="1">
      <c r="A53" s="120" t="s">
        <v>422</v>
      </c>
      <c r="B53" s="123" t="s">
        <v>376</v>
      </c>
      <c r="C53" s="308">
        <v>239497</v>
      </c>
      <c r="D53" s="439">
        <v>8620</v>
      </c>
      <c r="E53" s="439">
        <v>30536</v>
      </c>
      <c r="F53" s="439">
        <v>87498</v>
      </c>
      <c r="G53" s="439">
        <v>64993</v>
      </c>
      <c r="H53" s="439">
        <v>47850</v>
      </c>
      <c r="I53" s="439">
        <v>628</v>
      </c>
      <c r="J53" s="439">
        <v>0</v>
      </c>
      <c r="K53" s="439">
        <v>0</v>
      </c>
      <c r="L53" s="439">
        <v>0</v>
      </c>
      <c r="M53" s="439">
        <v>0</v>
      </c>
      <c r="N53" s="439">
        <v>905</v>
      </c>
      <c r="O53" s="439">
        <v>1448</v>
      </c>
      <c r="P53" s="319">
        <v>242478</v>
      </c>
      <c r="R53" s="232"/>
      <c r="S53" s="232"/>
      <c r="T53" s="232"/>
      <c r="U53" s="232">
        <v>239497</v>
      </c>
      <c r="V53" s="449">
        <v>0</v>
      </c>
      <c r="W53" s="232"/>
    </row>
    <row r="54" spans="1:23" ht="13.35" customHeight="1">
      <c r="A54" s="120"/>
      <c r="B54" s="123" t="s">
        <v>312</v>
      </c>
      <c r="C54" s="308">
        <v>237753</v>
      </c>
      <c r="D54" s="439">
        <v>7979</v>
      </c>
      <c r="E54" s="439">
        <v>29926</v>
      </c>
      <c r="F54" s="439">
        <v>93743</v>
      </c>
      <c r="G54" s="439">
        <v>65621</v>
      </c>
      <c r="H54" s="439">
        <v>40484</v>
      </c>
      <c r="I54" s="439">
        <v>0</v>
      </c>
      <c r="J54" s="439">
        <v>0</v>
      </c>
      <c r="K54" s="439">
        <v>0</v>
      </c>
      <c r="L54" s="439">
        <v>0</v>
      </c>
      <c r="M54" s="439">
        <v>0</v>
      </c>
      <c r="N54" s="439">
        <v>0</v>
      </c>
      <c r="O54" s="439">
        <v>0</v>
      </c>
      <c r="P54" s="319"/>
      <c r="R54" s="232"/>
      <c r="S54" s="232"/>
      <c r="T54" s="232"/>
      <c r="U54" s="232">
        <v>237753</v>
      </c>
      <c r="V54" s="449">
        <v>0</v>
      </c>
      <c r="W54" s="232"/>
    </row>
    <row r="55" spans="1:23" ht="13.35" customHeight="1">
      <c r="A55" s="120" t="s">
        <v>456</v>
      </c>
      <c r="B55" s="123" t="s">
        <v>376</v>
      </c>
      <c r="C55" s="308">
        <v>64360.5</v>
      </c>
      <c r="D55" s="439">
        <v>13156</v>
      </c>
      <c r="E55" s="439">
        <v>19355.5</v>
      </c>
      <c r="F55" s="439">
        <v>13746</v>
      </c>
      <c r="G55" s="439">
        <v>8428</v>
      </c>
      <c r="H55" s="439">
        <v>9675</v>
      </c>
      <c r="I55" s="439">
        <v>12623</v>
      </c>
      <c r="J55" s="439">
        <v>19636.5</v>
      </c>
      <c r="K55" s="439">
        <v>20129.5</v>
      </c>
      <c r="L55" s="439">
        <v>10927</v>
      </c>
      <c r="M55" s="439">
        <v>8290</v>
      </c>
      <c r="N55" s="439">
        <v>8502</v>
      </c>
      <c r="O55" s="439">
        <v>9992</v>
      </c>
      <c r="P55" s="319">
        <v>154460.5</v>
      </c>
      <c r="R55" s="232"/>
      <c r="S55" s="232"/>
      <c r="T55" s="232"/>
      <c r="U55" s="232">
        <v>64360.5</v>
      </c>
      <c r="V55" s="449">
        <v>0</v>
      </c>
      <c r="W55" s="232"/>
    </row>
    <row r="56" spans="1:23" ht="13.35" customHeight="1">
      <c r="A56" s="120"/>
      <c r="B56" s="123" t="s">
        <v>312</v>
      </c>
      <c r="C56" s="308">
        <v>73982.5</v>
      </c>
      <c r="D56" s="439">
        <v>15725</v>
      </c>
      <c r="E56" s="439">
        <v>20275.5</v>
      </c>
      <c r="F56" s="439">
        <v>16338</v>
      </c>
      <c r="G56" s="439">
        <v>11022</v>
      </c>
      <c r="H56" s="439">
        <v>10622</v>
      </c>
      <c r="I56" s="439">
        <v>0</v>
      </c>
      <c r="J56" s="439">
        <v>0</v>
      </c>
      <c r="K56" s="439">
        <v>0</v>
      </c>
      <c r="L56" s="439">
        <v>0</v>
      </c>
      <c r="M56" s="439">
        <v>0</v>
      </c>
      <c r="N56" s="439">
        <v>0</v>
      </c>
      <c r="O56" s="439">
        <v>0</v>
      </c>
      <c r="P56" s="319"/>
      <c r="R56" s="232"/>
      <c r="S56" s="232"/>
      <c r="T56" s="232"/>
      <c r="U56" s="232">
        <v>73982.5</v>
      </c>
      <c r="V56" s="449">
        <v>0</v>
      </c>
      <c r="W56" s="232"/>
    </row>
    <row r="57" spans="1:23" ht="13.35" customHeight="1">
      <c r="A57" s="120" t="s">
        <v>454</v>
      </c>
      <c r="B57" s="123" t="s">
        <v>376</v>
      </c>
      <c r="C57" s="308">
        <v>3955</v>
      </c>
      <c r="D57" s="439">
        <v>610</v>
      </c>
      <c r="E57" s="439">
        <v>875</v>
      </c>
      <c r="F57" s="439">
        <v>1331</v>
      </c>
      <c r="G57" s="439">
        <v>646</v>
      </c>
      <c r="H57" s="439">
        <v>493</v>
      </c>
      <c r="I57" s="439">
        <v>325</v>
      </c>
      <c r="J57" s="439">
        <v>435</v>
      </c>
      <c r="K57" s="439">
        <v>358</v>
      </c>
      <c r="L57" s="439">
        <v>500</v>
      </c>
      <c r="M57" s="439">
        <v>431</v>
      </c>
      <c r="N57" s="439">
        <v>368</v>
      </c>
      <c r="O57" s="439">
        <v>434</v>
      </c>
      <c r="P57" s="319">
        <v>6806</v>
      </c>
      <c r="R57" s="232"/>
      <c r="S57" s="232"/>
      <c r="T57" s="232"/>
      <c r="U57" s="232">
        <v>3955</v>
      </c>
      <c r="V57" s="449">
        <v>0</v>
      </c>
      <c r="W57" s="232"/>
    </row>
    <row r="58" spans="1:23" ht="13.35" customHeight="1">
      <c r="A58" s="120"/>
      <c r="B58" s="123" t="s">
        <v>312</v>
      </c>
      <c r="C58" s="308">
        <v>3692</v>
      </c>
      <c r="D58" s="439">
        <v>625</v>
      </c>
      <c r="E58" s="439">
        <v>841</v>
      </c>
      <c r="F58" s="439">
        <v>1032</v>
      </c>
      <c r="G58" s="439">
        <v>757</v>
      </c>
      <c r="H58" s="439">
        <v>437</v>
      </c>
      <c r="I58" s="439">
        <v>0</v>
      </c>
      <c r="J58" s="439">
        <v>0</v>
      </c>
      <c r="K58" s="439">
        <v>0</v>
      </c>
      <c r="L58" s="439">
        <v>0</v>
      </c>
      <c r="M58" s="439">
        <v>0</v>
      </c>
      <c r="N58" s="439">
        <v>0</v>
      </c>
      <c r="O58" s="439">
        <v>0</v>
      </c>
      <c r="P58" s="319"/>
      <c r="R58" s="232"/>
      <c r="S58" s="232"/>
      <c r="T58" s="232"/>
      <c r="U58" s="232">
        <v>3692</v>
      </c>
      <c r="V58" s="449">
        <v>0</v>
      </c>
      <c r="W58" s="232"/>
    </row>
    <row r="59" spans="1:23" ht="13.35" customHeight="1">
      <c r="A59" s="120" t="s">
        <v>455</v>
      </c>
      <c r="B59" s="123" t="s">
        <v>376</v>
      </c>
      <c r="C59" s="308">
        <v>8363.1800000000021</v>
      </c>
      <c r="D59" s="439">
        <v>5326.0000000000009</v>
      </c>
      <c r="E59" s="439">
        <v>2855.1800000000003</v>
      </c>
      <c r="F59" s="439">
        <v>54.500000000000007</v>
      </c>
      <c r="G59" s="439">
        <v>56.099999999999994</v>
      </c>
      <c r="H59" s="439">
        <v>71.400000000000006</v>
      </c>
      <c r="I59" s="439">
        <v>882.8</v>
      </c>
      <c r="J59" s="439">
        <v>1236.4499999999998</v>
      </c>
      <c r="K59" s="439">
        <v>4705.54</v>
      </c>
      <c r="L59" s="439">
        <v>85.68</v>
      </c>
      <c r="M59" s="439">
        <v>57.22</v>
      </c>
      <c r="N59" s="439">
        <v>58.6</v>
      </c>
      <c r="O59" s="439">
        <v>932.25000000000011</v>
      </c>
      <c r="P59" s="319">
        <v>16321.720000000001</v>
      </c>
      <c r="R59" s="232"/>
      <c r="S59" s="232"/>
      <c r="T59" s="232"/>
      <c r="U59" s="232">
        <v>8363.18</v>
      </c>
      <c r="V59" s="449">
        <v>0</v>
      </c>
      <c r="W59" s="232"/>
    </row>
    <row r="60" spans="1:23" ht="13.35" customHeight="1">
      <c r="A60" s="120"/>
      <c r="B60" s="123" t="s">
        <v>312</v>
      </c>
      <c r="C60" s="308">
        <v>5791.6000000000022</v>
      </c>
      <c r="D60" s="439">
        <v>5331.300000000002</v>
      </c>
      <c r="E60" s="439">
        <v>263.79999999999995</v>
      </c>
      <c r="F60" s="439">
        <v>67.099999999999994</v>
      </c>
      <c r="G60" s="439">
        <v>76.45</v>
      </c>
      <c r="H60" s="439">
        <v>52.95</v>
      </c>
      <c r="I60" s="439">
        <v>0</v>
      </c>
      <c r="J60" s="439">
        <v>0</v>
      </c>
      <c r="K60" s="439">
        <v>0</v>
      </c>
      <c r="L60" s="439">
        <v>0</v>
      </c>
      <c r="M60" s="439">
        <v>0</v>
      </c>
      <c r="N60" s="439">
        <v>0</v>
      </c>
      <c r="O60" s="439">
        <v>0</v>
      </c>
      <c r="P60" s="319"/>
      <c r="R60" s="232"/>
      <c r="S60" s="232"/>
      <c r="T60" s="232"/>
      <c r="U60" s="232">
        <v>5791.6</v>
      </c>
      <c r="V60" s="449">
        <v>0</v>
      </c>
      <c r="W60" s="232"/>
    </row>
    <row r="61" spans="1:23" ht="13.35" customHeight="1">
      <c r="A61" s="120" t="s">
        <v>457</v>
      </c>
      <c r="B61" s="123" t="s">
        <v>376</v>
      </c>
      <c r="C61" s="308">
        <v>12151</v>
      </c>
      <c r="D61" s="439">
        <v>2999</v>
      </c>
      <c r="E61" s="439">
        <v>3204</v>
      </c>
      <c r="F61" s="439">
        <v>2085</v>
      </c>
      <c r="G61" s="439">
        <v>2016</v>
      </c>
      <c r="H61" s="439">
        <v>1847</v>
      </c>
      <c r="I61" s="439">
        <v>3263</v>
      </c>
      <c r="J61" s="439">
        <v>2523</v>
      </c>
      <c r="K61" s="439">
        <v>3156</v>
      </c>
      <c r="L61" s="439">
        <v>3503.51</v>
      </c>
      <c r="M61" s="439">
        <v>4304.1899999999996</v>
      </c>
      <c r="N61" s="439">
        <v>4022.5</v>
      </c>
      <c r="O61" s="439">
        <v>4834</v>
      </c>
      <c r="P61" s="319">
        <v>37757.199999999997</v>
      </c>
      <c r="R61" s="232"/>
      <c r="S61" s="232"/>
      <c r="T61" s="232"/>
      <c r="U61" s="232">
        <v>12151</v>
      </c>
      <c r="V61" s="449">
        <v>0</v>
      </c>
      <c r="W61" s="232"/>
    </row>
    <row r="62" spans="1:23" ht="13.35" customHeight="1">
      <c r="A62" s="120"/>
      <c r="B62" s="123" t="s">
        <v>312</v>
      </c>
      <c r="C62" s="308">
        <v>20036.5</v>
      </c>
      <c r="D62" s="439">
        <v>4631.5</v>
      </c>
      <c r="E62" s="439">
        <v>4945</v>
      </c>
      <c r="F62" s="439">
        <v>4137</v>
      </c>
      <c r="G62" s="439">
        <v>3179</v>
      </c>
      <c r="H62" s="439">
        <v>3144</v>
      </c>
      <c r="I62" s="439">
        <v>0</v>
      </c>
      <c r="J62" s="439">
        <v>0</v>
      </c>
      <c r="K62" s="439">
        <v>0</v>
      </c>
      <c r="L62" s="439">
        <v>0</v>
      </c>
      <c r="M62" s="439">
        <v>0</v>
      </c>
      <c r="N62" s="439">
        <v>0</v>
      </c>
      <c r="O62" s="439">
        <v>0</v>
      </c>
      <c r="P62" s="319"/>
      <c r="R62" s="232"/>
      <c r="S62" s="232"/>
      <c r="T62" s="232"/>
      <c r="U62" s="232">
        <v>20036.5</v>
      </c>
      <c r="V62" s="449">
        <v>0</v>
      </c>
      <c r="W62" s="232"/>
    </row>
    <row r="63" spans="1:23" ht="10.35" customHeight="1">
      <c r="A63" s="434" t="s">
        <v>16</v>
      </c>
      <c r="B63" s="121"/>
      <c r="C63" s="121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40"/>
      <c r="R63" s="63"/>
      <c r="S63" s="63"/>
      <c r="T63" s="63"/>
      <c r="U63" s="63"/>
      <c r="V63" s="63"/>
      <c r="W63" s="63"/>
    </row>
    <row r="64" spans="1:23" ht="10.35" customHeight="1">
      <c r="A64" s="242" t="s">
        <v>279</v>
      </c>
      <c r="B64" s="241"/>
      <c r="C64" s="241"/>
      <c r="D64" s="223"/>
      <c r="E64" s="223"/>
      <c r="F64" s="223"/>
      <c r="G64" s="223"/>
      <c r="R64" s="63"/>
      <c r="S64" s="63"/>
      <c r="T64" s="63"/>
      <c r="U64" s="63"/>
      <c r="V64" s="63"/>
      <c r="W64" s="63"/>
    </row>
    <row r="65" spans="1:23" ht="10.35" customHeight="1">
      <c r="A65" s="330" t="s">
        <v>379</v>
      </c>
      <c r="B65" s="330"/>
      <c r="C65" s="330"/>
      <c r="D65" s="330"/>
      <c r="E65" s="330"/>
      <c r="F65" s="330"/>
      <c r="G65" s="330"/>
      <c r="R65" s="63"/>
      <c r="S65" s="63"/>
      <c r="T65" s="63"/>
      <c r="U65" s="63"/>
      <c r="V65" s="63"/>
      <c r="W65" s="63"/>
    </row>
    <row r="66" spans="1:23" ht="17.100000000000001" customHeight="1">
      <c r="R66" s="63"/>
      <c r="S66" s="63"/>
      <c r="T66" s="63"/>
      <c r="U66" s="63"/>
      <c r="V66" s="63"/>
      <c r="W66" s="63"/>
    </row>
    <row r="67" spans="1:23" ht="17.100000000000001" customHeight="1">
      <c r="R67" s="63"/>
      <c r="S67" s="63"/>
      <c r="T67" s="63"/>
      <c r="U67" s="63"/>
      <c r="V67" s="63"/>
      <c r="W67" s="63"/>
    </row>
    <row r="68" spans="1:23" ht="17.100000000000001" customHeight="1">
      <c r="R68" s="63"/>
      <c r="S68" s="63"/>
      <c r="T68" s="63"/>
      <c r="U68" s="63"/>
      <c r="V68" s="63"/>
      <c r="W68" s="63"/>
    </row>
    <row r="69" spans="1:23" ht="17.100000000000001" customHeight="1">
      <c r="R69" s="63"/>
      <c r="S69" s="63"/>
      <c r="T69" s="63"/>
      <c r="U69" s="63"/>
      <c r="V69" s="63"/>
      <c r="W69" s="63"/>
    </row>
    <row r="70" spans="1:23" ht="17.100000000000001" customHeight="1">
      <c r="R70" s="63"/>
      <c r="S70" s="63"/>
      <c r="T70" s="63"/>
      <c r="U70" s="63"/>
      <c r="V70" s="63"/>
      <c r="W70" s="63"/>
    </row>
    <row r="71" spans="1:23" ht="17.100000000000001" customHeight="1">
      <c r="R71" s="63"/>
      <c r="S71" s="63"/>
      <c r="T71" s="63"/>
      <c r="U71" s="63"/>
      <c r="V71" s="63"/>
      <c r="W71" s="63"/>
    </row>
    <row r="72" spans="1:23" ht="17.100000000000001" customHeight="1">
      <c r="R72" s="63"/>
      <c r="S72" s="63"/>
      <c r="T72" s="63"/>
      <c r="U72" s="63"/>
      <c r="V72" s="63"/>
      <c r="W72" s="63"/>
    </row>
    <row r="73" spans="1:23" ht="17.100000000000001" customHeight="1">
      <c r="R73" s="63"/>
      <c r="S73" s="63"/>
      <c r="T73" s="63"/>
      <c r="U73" s="63"/>
      <c r="V73" s="63"/>
      <c r="W73" s="63"/>
    </row>
    <row r="74" spans="1:23" ht="17.100000000000001" customHeight="1">
      <c r="R74" s="63"/>
      <c r="S74" s="63"/>
      <c r="T74" s="63"/>
      <c r="U74" s="63"/>
      <c r="V74" s="63"/>
      <c r="W74" s="63"/>
    </row>
    <row r="75" spans="1:23" ht="17.100000000000001" customHeight="1">
      <c r="R75" s="63"/>
      <c r="S75" s="63"/>
      <c r="T75" s="63"/>
      <c r="U75" s="63"/>
      <c r="V75" s="63"/>
      <c r="W75" s="63"/>
    </row>
    <row r="76" spans="1:23" ht="17.100000000000001" customHeight="1">
      <c r="R76" s="63"/>
      <c r="S76" s="63"/>
      <c r="T76" s="63"/>
      <c r="U76" s="63"/>
      <c r="V76" s="63"/>
      <c r="W76" s="63"/>
    </row>
    <row r="77" spans="1:23" ht="17.100000000000001" customHeight="1">
      <c r="R77" s="63"/>
      <c r="S77" s="63"/>
      <c r="T77" s="63"/>
      <c r="U77" s="63"/>
      <c r="V77" s="63"/>
      <c r="W77" s="63"/>
    </row>
    <row r="78" spans="1:23" ht="17.100000000000001" customHeight="1">
      <c r="R78" s="63"/>
      <c r="S78" s="63"/>
      <c r="T78" s="63"/>
      <c r="U78" s="63"/>
      <c r="V78" s="63"/>
      <c r="W78" s="63"/>
    </row>
    <row r="79" spans="1:23" ht="17.100000000000001" customHeight="1">
      <c r="R79" s="63"/>
      <c r="S79" s="63"/>
      <c r="T79" s="63"/>
      <c r="U79" s="63"/>
      <c r="V79" s="63"/>
      <c r="W79" s="63"/>
    </row>
    <row r="80" spans="1:23" ht="17.100000000000001" customHeight="1">
      <c r="R80" s="63"/>
      <c r="S80" s="63"/>
      <c r="T80" s="63"/>
      <c r="U80" s="63"/>
      <c r="V80" s="63"/>
      <c r="W80" s="63"/>
    </row>
    <row r="81" spans="18:24" ht="17.100000000000001" customHeight="1">
      <c r="R81" s="63"/>
      <c r="S81" s="63"/>
      <c r="T81" s="63"/>
      <c r="U81" s="63"/>
      <c r="V81" s="63"/>
      <c r="W81" s="63"/>
    </row>
    <row r="82" spans="18:24" ht="17.100000000000001" customHeight="1">
      <c r="R82" s="63"/>
      <c r="S82" s="63"/>
      <c r="T82" s="63"/>
      <c r="U82" s="63"/>
      <c r="V82" s="63"/>
      <c r="W82" s="63"/>
    </row>
    <row r="83" spans="18:24" ht="17.100000000000001" customHeight="1">
      <c r="R83" s="63"/>
      <c r="S83" s="63"/>
      <c r="T83" s="63"/>
      <c r="U83" s="63"/>
      <c r="V83" s="63"/>
      <c r="W83" s="63"/>
    </row>
    <row r="84" spans="18:24" ht="17.100000000000001" customHeight="1">
      <c r="R84" s="63"/>
      <c r="S84" s="63"/>
      <c r="T84" s="63"/>
      <c r="U84" s="63"/>
      <c r="V84" s="63"/>
      <c r="W84" s="63"/>
    </row>
    <row r="85" spans="18:24" ht="17.100000000000001" customHeight="1">
      <c r="R85" s="63"/>
      <c r="S85" s="63"/>
      <c r="T85" s="63"/>
      <c r="U85" s="63"/>
      <c r="V85" s="63"/>
      <c r="W85" s="63"/>
      <c r="X85" s="26" t="s">
        <v>60</v>
      </c>
    </row>
    <row r="86" spans="18:24" ht="17.100000000000001" customHeight="1">
      <c r="R86" s="63"/>
      <c r="S86" s="63"/>
      <c r="T86" s="63"/>
      <c r="U86" s="63"/>
      <c r="V86" s="63"/>
      <c r="W86" s="63"/>
    </row>
    <row r="87" spans="18:24" ht="17.100000000000001" customHeight="1">
      <c r="R87" s="63"/>
      <c r="S87" s="63"/>
      <c r="T87" s="63"/>
      <c r="U87" s="63"/>
      <c r="V87" s="63"/>
      <c r="W87" s="63"/>
    </row>
    <row r="88" spans="18:24" ht="17.100000000000001" customHeight="1">
      <c r="R88" s="63"/>
      <c r="S88" s="63"/>
      <c r="T88" s="63"/>
      <c r="U88" s="63"/>
      <c r="V88" s="63"/>
      <c r="W88" s="63"/>
    </row>
    <row r="89" spans="18:24" ht="17.100000000000001" customHeight="1">
      <c r="R89" s="63"/>
      <c r="S89" s="63"/>
      <c r="T89" s="63"/>
      <c r="U89" s="63"/>
      <c r="V89" s="63"/>
      <c r="W89" s="63"/>
    </row>
    <row r="90" spans="18:24" ht="17.100000000000001" customHeight="1">
      <c r="R90" s="63"/>
      <c r="S90" s="63"/>
      <c r="T90" s="63"/>
      <c r="U90" s="63"/>
      <c r="V90" s="63"/>
      <c r="W90" s="63"/>
    </row>
    <row r="91" spans="18:24" ht="17.100000000000001" customHeight="1">
      <c r="R91" s="63"/>
      <c r="S91" s="63"/>
      <c r="T91" s="63"/>
      <c r="U91" s="63"/>
      <c r="V91" s="63"/>
      <c r="W91" s="63"/>
    </row>
    <row r="108" spans="18:18" ht="17.100000000000001" customHeight="1">
      <c r="R108" s="307"/>
    </row>
    <row r="197" spans="18:18" ht="17.100000000000001" customHeight="1">
      <c r="R197" s="307"/>
    </row>
  </sheetData>
  <mergeCells count="1">
    <mergeCell ref="A6:A7"/>
  </mergeCells>
  <phoneticPr fontId="10" type="noConversion"/>
  <pageMargins left="0.70866141732283472" right="0.31496062992125984" top="0.74803149606299213" bottom="0.74803149606299213" header="0.31496062992125984" footer="0.31496062992125984"/>
  <rowBreaks count="1" manualBreakCount="1">
    <brk id="34" max="15" man="1" pt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7"/>
  <dimension ref="A1:X85"/>
  <sheetViews>
    <sheetView showGridLines="0" zoomScale="150" workbookViewId="0">
      <selection activeCell="X85" sqref="X85"/>
    </sheetView>
  </sheetViews>
  <sheetFormatPr baseColWidth="10" defaultColWidth="10.7109375" defaultRowHeight="17.100000000000001" customHeight="1"/>
  <cols>
    <col min="1" max="1" width="10.140625" style="272" customWidth="1"/>
    <col min="2" max="2" width="6.42578125" style="272" customWidth="1"/>
    <col min="3" max="3" width="7.140625" style="272" customWidth="1"/>
    <col min="4" max="15" width="6.42578125" style="272" customWidth="1"/>
    <col min="16" max="16" width="7.140625" style="272" hidden="1" customWidth="1"/>
    <col min="17" max="17" width="7.140625" style="272" customWidth="1"/>
    <col min="18" max="16384" width="10.7109375" style="272"/>
  </cols>
  <sheetData>
    <row r="1" spans="1:20" ht="16.350000000000001" customHeight="1">
      <c r="A1" s="292" t="s">
        <v>165</v>
      </c>
      <c r="B1" s="289"/>
      <c r="C1" s="53"/>
      <c r="D1" s="53"/>
    </row>
    <row r="2" spans="1:20" ht="13.5">
      <c r="A2" s="116" t="s">
        <v>41</v>
      </c>
      <c r="B2" s="28"/>
    </row>
    <row r="3" spans="1:20" ht="13.5">
      <c r="A3" s="21" t="s">
        <v>172</v>
      </c>
      <c r="B3" s="28"/>
    </row>
    <row r="4" spans="1:20" ht="3" customHeight="1">
      <c r="A4" s="110"/>
    </row>
    <row r="5" spans="1:20" ht="21" customHeight="1">
      <c r="A5" s="236" t="s">
        <v>443</v>
      </c>
      <c r="B5" s="237" t="s">
        <v>198</v>
      </c>
      <c r="C5" s="236" t="s">
        <v>48</v>
      </c>
      <c r="D5" s="236" t="s">
        <v>413</v>
      </c>
      <c r="E5" s="236" t="s">
        <v>414</v>
      </c>
      <c r="F5" s="236" t="s">
        <v>415</v>
      </c>
      <c r="G5" s="236" t="s">
        <v>522</v>
      </c>
      <c r="H5" s="236" t="s">
        <v>523</v>
      </c>
      <c r="I5" s="236" t="s">
        <v>524</v>
      </c>
      <c r="J5" s="236" t="s">
        <v>525</v>
      </c>
      <c r="K5" s="236" t="s">
        <v>526</v>
      </c>
      <c r="L5" s="236" t="s">
        <v>527</v>
      </c>
      <c r="M5" s="236" t="s">
        <v>315</v>
      </c>
      <c r="N5" s="236" t="s">
        <v>316</v>
      </c>
      <c r="O5" s="236" t="s">
        <v>317</v>
      </c>
      <c r="P5" s="236"/>
    </row>
    <row r="6" spans="1:20" ht="13.35" customHeight="1">
      <c r="A6" s="594" t="s">
        <v>318</v>
      </c>
      <c r="B6" s="435" t="s">
        <v>173</v>
      </c>
      <c r="C6" s="448">
        <v>1398917.3670000001</v>
      </c>
      <c r="D6" s="443">
        <v>146417.20999999996</v>
      </c>
      <c r="E6" s="443">
        <v>216037.78699999998</v>
      </c>
      <c r="F6" s="443">
        <v>389968.31999999995</v>
      </c>
      <c r="G6" s="443">
        <v>405400.85000000003</v>
      </c>
      <c r="H6" s="443">
        <v>241093.2</v>
      </c>
      <c r="I6" s="443">
        <v>192389.49999999994</v>
      </c>
      <c r="J6" s="443">
        <v>184406.35</v>
      </c>
      <c r="K6" s="443">
        <v>120197.08999999997</v>
      </c>
      <c r="L6" s="443">
        <v>92466.543999999994</v>
      </c>
      <c r="M6" s="443">
        <v>81265.009999999995</v>
      </c>
      <c r="N6" s="443">
        <v>86865.55</v>
      </c>
      <c r="O6" s="443">
        <v>96504.35</v>
      </c>
      <c r="P6" s="260"/>
      <c r="Q6" s="50"/>
    </row>
    <row r="7" spans="1:20" ht="13.35" customHeight="1">
      <c r="A7" s="595"/>
      <c r="B7" s="231" t="s">
        <v>174</v>
      </c>
      <c r="C7" s="444">
        <v>1386117.66</v>
      </c>
      <c r="D7" s="444">
        <v>148134.50000000003</v>
      </c>
      <c r="E7" s="444">
        <v>228686.65000000002</v>
      </c>
      <c r="F7" s="444">
        <v>401445.41</v>
      </c>
      <c r="G7" s="444">
        <v>359687.3</v>
      </c>
      <c r="H7" s="444">
        <v>248163.80000000002</v>
      </c>
      <c r="I7" s="444">
        <v>0</v>
      </c>
      <c r="J7" s="444">
        <v>0</v>
      </c>
      <c r="K7" s="444">
        <v>0</v>
      </c>
      <c r="L7" s="444">
        <v>0</v>
      </c>
      <c r="M7" s="444">
        <v>0</v>
      </c>
      <c r="N7" s="444">
        <v>0</v>
      </c>
      <c r="O7" s="444">
        <v>0</v>
      </c>
      <c r="P7" s="313"/>
      <c r="Q7" s="50"/>
    </row>
    <row r="8" spans="1:20" ht="13.35" customHeight="1">
      <c r="A8" s="243" t="s">
        <v>370</v>
      </c>
      <c r="B8" s="123" t="s">
        <v>376</v>
      </c>
      <c r="C8" s="309">
        <v>43433.3</v>
      </c>
      <c r="D8" s="445">
        <v>110</v>
      </c>
      <c r="E8" s="445">
        <v>719</v>
      </c>
      <c r="F8" s="445">
        <v>6013.5</v>
      </c>
      <c r="G8" s="445">
        <v>12663</v>
      </c>
      <c r="H8" s="445">
        <v>23927.8</v>
      </c>
      <c r="I8" s="445">
        <v>35160.5</v>
      </c>
      <c r="J8" s="445">
        <v>23754</v>
      </c>
      <c r="K8" s="445">
        <v>15546</v>
      </c>
      <c r="L8" s="445">
        <v>4816</v>
      </c>
      <c r="M8" s="445">
        <v>708</v>
      </c>
      <c r="N8" s="445">
        <v>671</v>
      </c>
      <c r="O8" s="445">
        <v>169</v>
      </c>
      <c r="P8" s="320"/>
      <c r="T8" s="423"/>
    </row>
    <row r="9" spans="1:20" ht="13.35" customHeight="1">
      <c r="A9" s="26"/>
      <c r="B9" s="123" t="s">
        <v>312</v>
      </c>
      <c r="C9" s="309">
        <v>42409</v>
      </c>
      <c r="D9" s="445">
        <v>19.5</v>
      </c>
      <c r="E9" s="445">
        <v>1051</v>
      </c>
      <c r="F9" s="445">
        <v>6353</v>
      </c>
      <c r="G9" s="445">
        <v>11122</v>
      </c>
      <c r="H9" s="445">
        <v>23863.5</v>
      </c>
      <c r="I9" s="445">
        <v>0</v>
      </c>
      <c r="J9" s="445">
        <v>0</v>
      </c>
      <c r="K9" s="445">
        <v>0</v>
      </c>
      <c r="L9" s="445">
        <v>0</v>
      </c>
      <c r="M9" s="445">
        <v>0</v>
      </c>
      <c r="N9" s="445">
        <v>0</v>
      </c>
      <c r="O9" s="445">
        <v>0</v>
      </c>
      <c r="P9" s="320"/>
      <c r="T9" s="423"/>
    </row>
    <row r="10" spans="1:20" ht="13.35" customHeight="1">
      <c r="A10" s="243" t="s">
        <v>224</v>
      </c>
      <c r="B10" s="123" t="s">
        <v>376</v>
      </c>
      <c r="C10" s="309">
        <v>117770.65700000001</v>
      </c>
      <c r="D10" s="445">
        <v>25924.5</v>
      </c>
      <c r="E10" s="445">
        <v>38146.406999999999</v>
      </c>
      <c r="F10" s="445">
        <v>27704.25</v>
      </c>
      <c r="G10" s="445">
        <v>14542</v>
      </c>
      <c r="H10" s="445">
        <v>11453.5</v>
      </c>
      <c r="I10" s="445">
        <v>19091.5</v>
      </c>
      <c r="J10" s="445">
        <v>31825.9</v>
      </c>
      <c r="K10" s="445">
        <v>29903.75</v>
      </c>
      <c r="L10" s="445">
        <v>15334.7</v>
      </c>
      <c r="M10" s="445">
        <v>13732.400000000001</v>
      </c>
      <c r="N10" s="445">
        <v>15416.1</v>
      </c>
      <c r="O10" s="445">
        <v>18284.650000000001</v>
      </c>
      <c r="P10" s="320"/>
      <c r="T10" s="423"/>
    </row>
    <row r="11" spans="1:20" ht="13.35" customHeight="1">
      <c r="A11" s="243"/>
      <c r="B11" s="123" t="s">
        <v>312</v>
      </c>
      <c r="C11" s="309">
        <v>125781.04999999999</v>
      </c>
      <c r="D11" s="445">
        <v>29421</v>
      </c>
      <c r="E11" s="445">
        <v>38092.65</v>
      </c>
      <c r="F11" s="445">
        <v>29759</v>
      </c>
      <c r="G11" s="445">
        <v>15085.5</v>
      </c>
      <c r="H11" s="445">
        <v>13422.9</v>
      </c>
      <c r="I11" s="445">
        <v>0</v>
      </c>
      <c r="J11" s="445">
        <v>0</v>
      </c>
      <c r="K11" s="445">
        <v>0</v>
      </c>
      <c r="L11" s="445">
        <v>0</v>
      </c>
      <c r="M11" s="445">
        <v>0</v>
      </c>
      <c r="N11" s="445">
        <v>0</v>
      </c>
      <c r="O11" s="445">
        <v>0</v>
      </c>
      <c r="P11" s="320"/>
      <c r="T11" s="423"/>
    </row>
    <row r="12" spans="1:20" ht="13.35" customHeight="1">
      <c r="A12" s="243" t="s">
        <v>196</v>
      </c>
      <c r="B12" s="123" t="s">
        <v>376</v>
      </c>
      <c r="C12" s="309">
        <v>218669.5</v>
      </c>
      <c r="D12" s="445">
        <v>17693.2</v>
      </c>
      <c r="E12" s="445">
        <v>36250.550000000003</v>
      </c>
      <c r="F12" s="445">
        <v>77909.25</v>
      </c>
      <c r="G12" s="445">
        <v>66979.5</v>
      </c>
      <c r="H12" s="445">
        <v>19837</v>
      </c>
      <c r="I12" s="445">
        <v>13889</v>
      </c>
      <c r="J12" s="445">
        <v>7359</v>
      </c>
      <c r="K12" s="445">
        <v>2452</v>
      </c>
      <c r="L12" s="445">
        <v>2097</v>
      </c>
      <c r="M12" s="445">
        <v>2695.5</v>
      </c>
      <c r="N12" s="445">
        <v>3195.5</v>
      </c>
      <c r="O12" s="445">
        <v>4221</v>
      </c>
      <c r="P12" s="320"/>
      <c r="T12" s="423"/>
    </row>
    <row r="13" spans="1:20" ht="13.35" customHeight="1">
      <c r="A13" s="26"/>
      <c r="B13" s="123" t="s">
        <v>312</v>
      </c>
      <c r="C13" s="309">
        <v>213683.3</v>
      </c>
      <c r="D13" s="445">
        <v>17103</v>
      </c>
      <c r="E13" s="445">
        <v>35676.800000000003</v>
      </c>
      <c r="F13" s="445">
        <v>78943.5</v>
      </c>
      <c r="G13" s="445">
        <v>59457.5</v>
      </c>
      <c r="H13" s="445">
        <v>22502.5</v>
      </c>
      <c r="I13" s="445">
        <v>0</v>
      </c>
      <c r="J13" s="445">
        <v>0</v>
      </c>
      <c r="K13" s="445">
        <v>0</v>
      </c>
      <c r="L13" s="445">
        <v>0</v>
      </c>
      <c r="M13" s="445">
        <v>0</v>
      </c>
      <c r="N13" s="445">
        <v>0</v>
      </c>
      <c r="O13" s="445">
        <v>0</v>
      </c>
      <c r="P13" s="320"/>
      <c r="T13" s="423"/>
    </row>
    <row r="14" spans="1:20" ht="13.35" customHeight="1">
      <c r="A14" s="243" t="s">
        <v>397</v>
      </c>
      <c r="B14" s="123" t="s">
        <v>376</v>
      </c>
      <c r="C14" s="309">
        <v>163619.22999999998</v>
      </c>
      <c r="D14" s="445">
        <v>36502.6</v>
      </c>
      <c r="E14" s="445">
        <v>26103.63</v>
      </c>
      <c r="F14" s="445">
        <v>27979.599999999999</v>
      </c>
      <c r="G14" s="445">
        <v>37137.5</v>
      </c>
      <c r="H14" s="445">
        <v>35895.9</v>
      </c>
      <c r="I14" s="445">
        <v>54344</v>
      </c>
      <c r="J14" s="445">
        <v>75923</v>
      </c>
      <c r="K14" s="445">
        <v>33392.800000000003</v>
      </c>
      <c r="L14" s="445">
        <v>18277.599999999999</v>
      </c>
      <c r="M14" s="445">
        <v>19220.5</v>
      </c>
      <c r="N14" s="445">
        <v>22673.15</v>
      </c>
      <c r="O14" s="445">
        <v>29978</v>
      </c>
      <c r="P14" s="320"/>
      <c r="T14" s="423"/>
    </row>
    <row r="15" spans="1:20" ht="13.35" customHeight="1">
      <c r="A15" s="26"/>
      <c r="B15" s="123" t="s">
        <v>312</v>
      </c>
      <c r="C15" s="309">
        <v>188211.6</v>
      </c>
      <c r="D15" s="445">
        <v>40378.1</v>
      </c>
      <c r="E15" s="445">
        <v>36021</v>
      </c>
      <c r="F15" s="445">
        <v>31721.599999999999</v>
      </c>
      <c r="G15" s="445">
        <v>39296.5</v>
      </c>
      <c r="H15" s="445">
        <v>40794.400000000001</v>
      </c>
      <c r="I15" s="445">
        <v>0</v>
      </c>
      <c r="J15" s="445">
        <v>0</v>
      </c>
      <c r="K15" s="445">
        <v>0</v>
      </c>
      <c r="L15" s="445">
        <v>0</v>
      </c>
      <c r="M15" s="445">
        <v>0</v>
      </c>
      <c r="N15" s="445">
        <v>0</v>
      </c>
      <c r="O15" s="445">
        <v>0</v>
      </c>
      <c r="P15" s="320"/>
      <c r="T15" s="423"/>
    </row>
    <row r="16" spans="1:20" ht="13.35" customHeight="1">
      <c r="A16" s="243" t="s">
        <v>499</v>
      </c>
      <c r="B16" s="123" t="s">
        <v>376</v>
      </c>
      <c r="C16" s="309">
        <v>94503.5</v>
      </c>
      <c r="D16" s="445">
        <v>246</v>
      </c>
      <c r="E16" s="445">
        <v>2536</v>
      </c>
      <c r="F16" s="445">
        <v>22754</v>
      </c>
      <c r="G16" s="445">
        <v>36946</v>
      </c>
      <c r="H16" s="445">
        <v>32021.5</v>
      </c>
      <c r="I16" s="445">
        <v>24784</v>
      </c>
      <c r="J16" s="445">
        <v>12930.75</v>
      </c>
      <c r="K16" s="445">
        <v>3554.5</v>
      </c>
      <c r="L16" s="445">
        <v>510</v>
      </c>
      <c r="M16" s="445">
        <v>57.5</v>
      </c>
      <c r="N16" s="445">
        <v>33.5</v>
      </c>
      <c r="O16" s="445">
        <v>19</v>
      </c>
      <c r="P16" s="320"/>
      <c r="T16" s="423"/>
    </row>
    <row r="17" spans="1:20" ht="13.35" customHeight="1">
      <c r="A17" s="26"/>
      <c r="B17" s="123" t="s">
        <v>312</v>
      </c>
      <c r="C17" s="309">
        <v>88725</v>
      </c>
      <c r="D17" s="445">
        <v>35</v>
      </c>
      <c r="E17" s="445">
        <v>1690</v>
      </c>
      <c r="F17" s="445">
        <v>22468</v>
      </c>
      <c r="G17" s="445">
        <v>31920.5</v>
      </c>
      <c r="H17" s="445">
        <v>32611.5</v>
      </c>
      <c r="I17" s="445">
        <v>0</v>
      </c>
      <c r="J17" s="445">
        <v>0</v>
      </c>
      <c r="K17" s="445">
        <v>0</v>
      </c>
      <c r="L17" s="445">
        <v>0</v>
      </c>
      <c r="M17" s="445">
        <v>0</v>
      </c>
      <c r="N17" s="445">
        <v>0</v>
      </c>
      <c r="O17" s="445">
        <v>0</v>
      </c>
      <c r="P17" s="320"/>
      <c r="T17" s="423"/>
    </row>
    <row r="18" spans="1:20" ht="13.35" customHeight="1">
      <c r="A18" s="243" t="s">
        <v>448</v>
      </c>
      <c r="B18" s="123" t="s">
        <v>376</v>
      </c>
      <c r="C18" s="309">
        <v>63458</v>
      </c>
      <c r="D18" s="445">
        <v>1148</v>
      </c>
      <c r="E18" s="445">
        <v>10121</v>
      </c>
      <c r="F18" s="445">
        <v>31052</v>
      </c>
      <c r="G18" s="445">
        <v>16771.5</v>
      </c>
      <c r="H18" s="445">
        <v>4365.5</v>
      </c>
      <c r="I18" s="445">
        <v>2638.5</v>
      </c>
      <c r="J18" s="445">
        <v>708</v>
      </c>
      <c r="K18" s="445">
        <v>265</v>
      </c>
      <c r="L18" s="445">
        <v>429</v>
      </c>
      <c r="M18" s="445">
        <v>490</v>
      </c>
      <c r="N18" s="445">
        <v>356</v>
      </c>
      <c r="O18" s="445">
        <v>419.5</v>
      </c>
      <c r="P18" s="320"/>
      <c r="T18" s="423"/>
    </row>
    <row r="19" spans="1:20" ht="13.35" customHeight="1">
      <c r="A19" s="26"/>
      <c r="B19" s="123" t="s">
        <v>312</v>
      </c>
      <c r="C19" s="309">
        <v>63892.1</v>
      </c>
      <c r="D19" s="445">
        <v>1272</v>
      </c>
      <c r="E19" s="445">
        <v>8090</v>
      </c>
      <c r="F19" s="445">
        <v>35068.1</v>
      </c>
      <c r="G19" s="445">
        <v>15128.5</v>
      </c>
      <c r="H19" s="445">
        <v>4333.5</v>
      </c>
      <c r="I19" s="445">
        <v>0</v>
      </c>
      <c r="J19" s="445">
        <v>0</v>
      </c>
      <c r="K19" s="445">
        <v>0</v>
      </c>
      <c r="L19" s="445">
        <v>0</v>
      </c>
      <c r="M19" s="445">
        <v>0</v>
      </c>
      <c r="N19" s="445">
        <v>0</v>
      </c>
      <c r="O19" s="445">
        <v>0</v>
      </c>
      <c r="P19" s="320"/>
      <c r="T19" s="423"/>
    </row>
    <row r="20" spans="1:20" ht="13.35" customHeight="1">
      <c r="A20" s="243" t="s">
        <v>210</v>
      </c>
      <c r="B20" s="123" t="s">
        <v>376</v>
      </c>
      <c r="C20" s="309">
        <v>2659.0499999999997</v>
      </c>
      <c r="D20" s="445">
        <v>457.35</v>
      </c>
      <c r="E20" s="445">
        <v>557.9</v>
      </c>
      <c r="F20" s="445">
        <v>810.6</v>
      </c>
      <c r="G20" s="445">
        <v>639.1</v>
      </c>
      <c r="H20" s="445">
        <v>194.1</v>
      </c>
      <c r="I20" s="445">
        <v>352</v>
      </c>
      <c r="J20" s="445">
        <v>310.05</v>
      </c>
      <c r="K20" s="445">
        <v>217.04</v>
      </c>
      <c r="L20" s="445">
        <v>156.5</v>
      </c>
      <c r="M20" s="445">
        <v>165.5</v>
      </c>
      <c r="N20" s="445">
        <v>173.1</v>
      </c>
      <c r="O20" s="445">
        <v>264</v>
      </c>
      <c r="P20" s="320"/>
      <c r="T20" s="423"/>
    </row>
    <row r="21" spans="1:20" ht="13.35" customHeight="1">
      <c r="A21" s="26"/>
      <c r="B21" s="123" t="s">
        <v>312</v>
      </c>
      <c r="C21" s="309">
        <v>1958.8500000000001</v>
      </c>
      <c r="D21" s="445">
        <v>461.3</v>
      </c>
      <c r="E21" s="445">
        <v>438.95</v>
      </c>
      <c r="F21" s="445">
        <v>453.05</v>
      </c>
      <c r="G21" s="445">
        <v>383.85</v>
      </c>
      <c r="H21" s="445">
        <v>221.7</v>
      </c>
      <c r="I21" s="445">
        <v>0</v>
      </c>
      <c r="J21" s="445">
        <v>0</v>
      </c>
      <c r="K21" s="445">
        <v>0</v>
      </c>
      <c r="L21" s="445">
        <v>0</v>
      </c>
      <c r="M21" s="445">
        <v>0</v>
      </c>
      <c r="N21" s="445">
        <v>0</v>
      </c>
      <c r="O21" s="445">
        <v>0</v>
      </c>
      <c r="P21" s="320"/>
      <c r="T21" s="423"/>
    </row>
    <row r="22" spans="1:20" ht="13.35" customHeight="1">
      <c r="A22" s="243" t="s">
        <v>385</v>
      </c>
      <c r="B22" s="123" t="s">
        <v>376</v>
      </c>
      <c r="C22" s="309">
        <v>495</v>
      </c>
      <c r="D22" s="445">
        <v>335</v>
      </c>
      <c r="E22" s="445">
        <v>4</v>
      </c>
      <c r="F22" s="445">
        <v>131</v>
      </c>
      <c r="G22" s="445">
        <v>25</v>
      </c>
      <c r="H22" s="445">
        <v>0</v>
      </c>
      <c r="I22" s="445">
        <v>0</v>
      </c>
      <c r="J22" s="445">
        <v>131</v>
      </c>
      <c r="K22" s="445">
        <v>3</v>
      </c>
      <c r="L22" s="445">
        <v>0</v>
      </c>
      <c r="M22" s="445">
        <v>391</v>
      </c>
      <c r="N22" s="445">
        <v>210</v>
      </c>
      <c r="O22" s="445">
        <v>28</v>
      </c>
      <c r="P22" s="320"/>
      <c r="T22" s="423"/>
    </row>
    <row r="23" spans="1:20" ht="13.35" customHeight="1">
      <c r="A23" s="26"/>
      <c r="B23" s="123" t="s">
        <v>312</v>
      </c>
      <c r="C23" s="309">
        <v>167</v>
      </c>
      <c r="D23" s="445">
        <v>156</v>
      </c>
      <c r="E23" s="445">
        <v>11</v>
      </c>
      <c r="F23" s="445">
        <v>0</v>
      </c>
      <c r="G23" s="445">
        <v>0</v>
      </c>
      <c r="H23" s="445">
        <v>0</v>
      </c>
      <c r="I23" s="445">
        <v>0</v>
      </c>
      <c r="J23" s="445">
        <v>0</v>
      </c>
      <c r="K23" s="445">
        <v>0</v>
      </c>
      <c r="L23" s="445">
        <v>0</v>
      </c>
      <c r="M23" s="445">
        <v>0</v>
      </c>
      <c r="N23" s="445">
        <v>0</v>
      </c>
      <c r="O23" s="445">
        <v>0</v>
      </c>
      <c r="P23" s="320"/>
      <c r="T23" s="423"/>
    </row>
    <row r="24" spans="1:20" ht="13.35" customHeight="1">
      <c r="A24" s="243" t="s">
        <v>211</v>
      </c>
      <c r="B24" s="123" t="s">
        <v>376</v>
      </c>
      <c r="C24" s="309">
        <v>746.55</v>
      </c>
      <c r="D24" s="445">
        <v>44.2</v>
      </c>
      <c r="E24" s="445">
        <v>106.7</v>
      </c>
      <c r="F24" s="445">
        <v>315.5</v>
      </c>
      <c r="G24" s="445">
        <v>230.65</v>
      </c>
      <c r="H24" s="445">
        <v>49.5</v>
      </c>
      <c r="I24" s="445">
        <v>32.65</v>
      </c>
      <c r="J24" s="445">
        <v>97.1</v>
      </c>
      <c r="K24" s="445">
        <v>76</v>
      </c>
      <c r="L24" s="445">
        <v>29.5</v>
      </c>
      <c r="M24" s="445">
        <v>337.75</v>
      </c>
      <c r="N24" s="445">
        <v>139.1</v>
      </c>
      <c r="O24" s="445">
        <v>57.2</v>
      </c>
      <c r="P24" s="320"/>
    </row>
    <row r="25" spans="1:20" ht="13.35" customHeight="1">
      <c r="A25" s="26"/>
      <c r="B25" s="123" t="s">
        <v>312</v>
      </c>
      <c r="C25" s="309">
        <v>281.25</v>
      </c>
      <c r="D25" s="445">
        <v>43.6</v>
      </c>
      <c r="E25" s="445">
        <v>40.799999999999997</v>
      </c>
      <c r="F25" s="445">
        <v>69</v>
      </c>
      <c r="G25" s="445">
        <v>49.85</v>
      </c>
      <c r="H25" s="445">
        <v>78</v>
      </c>
      <c r="I25" s="445">
        <v>0</v>
      </c>
      <c r="J25" s="445">
        <v>0</v>
      </c>
      <c r="K25" s="445">
        <v>0</v>
      </c>
      <c r="L25" s="445">
        <v>0</v>
      </c>
      <c r="M25" s="445">
        <v>0</v>
      </c>
      <c r="N25" s="445">
        <v>0</v>
      </c>
      <c r="O25" s="445">
        <v>0</v>
      </c>
      <c r="P25" s="320"/>
    </row>
    <row r="26" spans="1:20" ht="13.35" customHeight="1">
      <c r="A26" s="243" t="s">
        <v>497</v>
      </c>
      <c r="B26" s="123" t="s">
        <v>376</v>
      </c>
      <c r="C26" s="309">
        <v>1895.25</v>
      </c>
      <c r="D26" s="445">
        <v>497.95</v>
      </c>
      <c r="E26" s="445">
        <v>442.4</v>
      </c>
      <c r="F26" s="445">
        <v>325.7</v>
      </c>
      <c r="G26" s="445">
        <v>316</v>
      </c>
      <c r="H26" s="445">
        <v>313.2</v>
      </c>
      <c r="I26" s="445">
        <v>334</v>
      </c>
      <c r="J26" s="445">
        <v>311</v>
      </c>
      <c r="K26" s="445">
        <v>327.9</v>
      </c>
      <c r="L26" s="445">
        <v>400</v>
      </c>
      <c r="M26" s="445">
        <v>559.70000000000005</v>
      </c>
      <c r="N26" s="445">
        <v>455.55</v>
      </c>
      <c r="O26" s="445">
        <v>612.5</v>
      </c>
      <c r="P26" s="320"/>
      <c r="T26" s="423"/>
    </row>
    <row r="27" spans="1:20" ht="13.35" customHeight="1">
      <c r="A27" s="26"/>
      <c r="B27" s="123" t="s">
        <v>312</v>
      </c>
      <c r="C27" s="309">
        <v>1928.05</v>
      </c>
      <c r="D27" s="445">
        <v>491</v>
      </c>
      <c r="E27" s="445">
        <v>430.25</v>
      </c>
      <c r="F27" s="445">
        <v>368.8</v>
      </c>
      <c r="G27" s="445">
        <v>324.5</v>
      </c>
      <c r="H27" s="445">
        <v>313.5</v>
      </c>
      <c r="I27" s="445">
        <v>0</v>
      </c>
      <c r="J27" s="445">
        <v>0</v>
      </c>
      <c r="K27" s="445">
        <v>0</v>
      </c>
      <c r="L27" s="445">
        <v>0</v>
      </c>
      <c r="M27" s="445">
        <v>0</v>
      </c>
      <c r="N27" s="445">
        <v>0</v>
      </c>
      <c r="O27" s="445">
        <v>0</v>
      </c>
      <c r="P27" s="320"/>
      <c r="T27" s="423"/>
    </row>
    <row r="28" spans="1:20" ht="13.35" customHeight="1">
      <c r="A28" s="243" t="s">
        <v>383</v>
      </c>
      <c r="B28" s="123" t="s">
        <v>376</v>
      </c>
      <c r="C28" s="309">
        <v>4287.9500000000007</v>
      </c>
      <c r="D28" s="445">
        <v>839</v>
      </c>
      <c r="E28" s="445">
        <v>948.8</v>
      </c>
      <c r="F28" s="445">
        <v>1089.5</v>
      </c>
      <c r="G28" s="445">
        <v>914.4</v>
      </c>
      <c r="H28" s="445">
        <v>496.25</v>
      </c>
      <c r="I28" s="445">
        <v>395.3</v>
      </c>
      <c r="J28" s="445">
        <v>458.2</v>
      </c>
      <c r="K28" s="445">
        <v>693.75</v>
      </c>
      <c r="L28" s="445">
        <v>752.5</v>
      </c>
      <c r="M28" s="445">
        <v>603</v>
      </c>
      <c r="N28" s="445">
        <v>393.5</v>
      </c>
      <c r="O28" s="445">
        <v>590</v>
      </c>
      <c r="P28" s="320"/>
      <c r="T28" s="423"/>
    </row>
    <row r="29" spans="1:20" ht="13.35" customHeight="1">
      <c r="A29" s="26"/>
      <c r="B29" s="123" t="s">
        <v>312</v>
      </c>
      <c r="C29" s="309">
        <v>4538.5</v>
      </c>
      <c r="D29" s="445">
        <v>647.6</v>
      </c>
      <c r="E29" s="445">
        <v>1021.25</v>
      </c>
      <c r="F29" s="445">
        <v>1335</v>
      </c>
      <c r="G29" s="445">
        <v>867.9</v>
      </c>
      <c r="H29" s="445">
        <v>666.75</v>
      </c>
      <c r="I29" s="445">
        <v>0</v>
      </c>
      <c r="J29" s="445">
        <v>0</v>
      </c>
      <c r="K29" s="445">
        <v>0</v>
      </c>
      <c r="L29" s="445">
        <v>0</v>
      </c>
      <c r="M29" s="445">
        <v>0</v>
      </c>
      <c r="N29" s="445">
        <v>0</v>
      </c>
      <c r="O29" s="445">
        <v>0</v>
      </c>
      <c r="P29" s="320"/>
      <c r="T29" s="423"/>
    </row>
    <row r="30" spans="1:20" ht="13.35" customHeight="1">
      <c r="A30" s="243" t="s">
        <v>382</v>
      </c>
      <c r="B30" s="123" t="s">
        <v>376</v>
      </c>
      <c r="C30" s="309">
        <v>3914.2</v>
      </c>
      <c r="D30" s="445">
        <v>741.9</v>
      </c>
      <c r="E30" s="445">
        <v>803.95</v>
      </c>
      <c r="F30" s="445">
        <v>954.2</v>
      </c>
      <c r="G30" s="445">
        <v>870.35</v>
      </c>
      <c r="H30" s="445">
        <v>543.79999999999995</v>
      </c>
      <c r="I30" s="445">
        <v>384.05</v>
      </c>
      <c r="J30" s="445">
        <v>359.75</v>
      </c>
      <c r="K30" s="445">
        <v>576.95000000000005</v>
      </c>
      <c r="L30" s="445">
        <v>804.5</v>
      </c>
      <c r="M30" s="445">
        <v>681</v>
      </c>
      <c r="N30" s="445">
        <v>587</v>
      </c>
      <c r="O30" s="445">
        <v>486.1</v>
      </c>
      <c r="P30" s="320"/>
      <c r="T30" s="423"/>
    </row>
    <row r="31" spans="1:20" ht="13.35" customHeight="1">
      <c r="A31" s="26"/>
      <c r="B31" s="123" t="s">
        <v>312</v>
      </c>
      <c r="C31" s="309">
        <v>3905.25</v>
      </c>
      <c r="D31" s="445">
        <v>590</v>
      </c>
      <c r="E31" s="445">
        <v>757.75</v>
      </c>
      <c r="F31" s="445">
        <v>991.75</v>
      </c>
      <c r="G31" s="445">
        <v>994</v>
      </c>
      <c r="H31" s="445">
        <v>571.75</v>
      </c>
      <c r="I31" s="445">
        <v>0</v>
      </c>
      <c r="J31" s="445">
        <v>0</v>
      </c>
      <c r="K31" s="445">
        <v>0</v>
      </c>
      <c r="L31" s="445">
        <v>0</v>
      </c>
      <c r="M31" s="445">
        <v>0</v>
      </c>
      <c r="N31" s="445">
        <v>0</v>
      </c>
      <c r="O31" s="445">
        <v>0</v>
      </c>
      <c r="P31" s="320"/>
      <c r="T31" s="423"/>
    </row>
    <row r="32" spans="1:20" ht="13.35" customHeight="1">
      <c r="A32" s="243" t="s">
        <v>375</v>
      </c>
      <c r="B32" s="123" t="s">
        <v>376</v>
      </c>
      <c r="C32" s="309">
        <v>2080.7200000000003</v>
      </c>
      <c r="D32" s="445">
        <v>363</v>
      </c>
      <c r="E32" s="445">
        <v>329</v>
      </c>
      <c r="F32" s="445">
        <v>600.72</v>
      </c>
      <c r="G32" s="445">
        <v>526</v>
      </c>
      <c r="H32" s="445">
        <v>262</v>
      </c>
      <c r="I32" s="445">
        <v>224.5</v>
      </c>
      <c r="J32" s="445">
        <v>350.5</v>
      </c>
      <c r="K32" s="445">
        <v>770</v>
      </c>
      <c r="L32" s="445">
        <v>804</v>
      </c>
      <c r="M32" s="445">
        <v>896</v>
      </c>
      <c r="N32" s="445">
        <v>1115.5</v>
      </c>
      <c r="O32" s="445">
        <v>1515</v>
      </c>
      <c r="P32" s="320"/>
      <c r="T32" s="423"/>
    </row>
    <row r="33" spans="1:20" ht="13.35" customHeight="1">
      <c r="A33" s="26"/>
      <c r="B33" s="123" t="s">
        <v>312</v>
      </c>
      <c r="C33" s="309">
        <v>2124.3000000000002</v>
      </c>
      <c r="D33" s="445">
        <v>222</v>
      </c>
      <c r="E33" s="445">
        <v>405</v>
      </c>
      <c r="F33" s="445">
        <v>685.3</v>
      </c>
      <c r="G33" s="445">
        <v>608</v>
      </c>
      <c r="H33" s="445">
        <v>204</v>
      </c>
      <c r="I33" s="445">
        <v>0</v>
      </c>
      <c r="J33" s="445">
        <v>0</v>
      </c>
      <c r="K33" s="445">
        <v>0</v>
      </c>
      <c r="L33" s="445">
        <v>0</v>
      </c>
      <c r="M33" s="445">
        <v>0</v>
      </c>
      <c r="N33" s="445">
        <v>0</v>
      </c>
      <c r="O33" s="445">
        <v>0</v>
      </c>
      <c r="P33" s="320"/>
      <c r="T33" s="423"/>
    </row>
    <row r="34" spans="1:20" ht="12.75">
      <c r="A34" s="238"/>
      <c r="B34" s="121"/>
      <c r="C34" s="239"/>
      <c r="D34" s="440"/>
      <c r="E34" s="440"/>
      <c r="F34" s="440"/>
      <c r="G34" s="440"/>
      <c r="H34" s="440"/>
      <c r="I34" s="440"/>
      <c r="J34" s="440"/>
      <c r="K34" s="440"/>
      <c r="L34" s="440"/>
      <c r="M34" s="440"/>
      <c r="N34" s="440"/>
      <c r="O34" s="454" t="s">
        <v>313</v>
      </c>
      <c r="P34" s="240"/>
      <c r="T34" s="423"/>
    </row>
    <row r="35" spans="1:20" ht="12.75">
      <c r="A35" s="89" t="s">
        <v>359</v>
      </c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T35" s="423"/>
    </row>
    <row r="36" spans="1:20" ht="21" customHeight="1">
      <c r="A36" s="236" t="s">
        <v>443</v>
      </c>
      <c r="B36" s="237" t="s">
        <v>198</v>
      </c>
      <c r="C36" s="236" t="s">
        <v>48</v>
      </c>
      <c r="D36" s="441" t="s">
        <v>413</v>
      </c>
      <c r="E36" s="441" t="s">
        <v>414</v>
      </c>
      <c r="F36" s="441" t="s">
        <v>415</v>
      </c>
      <c r="G36" s="441" t="s">
        <v>522</v>
      </c>
      <c r="H36" s="441" t="s">
        <v>523</v>
      </c>
      <c r="I36" s="441" t="s">
        <v>524</v>
      </c>
      <c r="J36" s="441" t="s">
        <v>525</v>
      </c>
      <c r="K36" s="441" t="s">
        <v>526</v>
      </c>
      <c r="L36" s="441" t="s">
        <v>527</v>
      </c>
      <c r="M36" s="441" t="s">
        <v>315</v>
      </c>
      <c r="N36" s="441" t="s">
        <v>316</v>
      </c>
      <c r="O36" s="441" t="s">
        <v>317</v>
      </c>
      <c r="P36" s="236"/>
      <c r="T36" s="423"/>
    </row>
    <row r="37" spans="1:20" ht="13.35" customHeight="1">
      <c r="A37" s="243" t="s">
        <v>435</v>
      </c>
      <c r="B37" s="123" t="s">
        <v>376</v>
      </c>
      <c r="C37" s="309">
        <v>5985.7999999999993</v>
      </c>
      <c r="D37" s="445">
        <v>1276.9000000000001</v>
      </c>
      <c r="E37" s="445">
        <v>1403</v>
      </c>
      <c r="F37" s="445">
        <v>1246.8</v>
      </c>
      <c r="G37" s="445">
        <v>1054.5999999999999</v>
      </c>
      <c r="H37" s="445">
        <v>1004.5</v>
      </c>
      <c r="I37" s="445">
        <v>815.8</v>
      </c>
      <c r="J37" s="445">
        <v>1347.5</v>
      </c>
      <c r="K37" s="445">
        <v>1281.7</v>
      </c>
      <c r="L37" s="445">
        <v>2991</v>
      </c>
      <c r="M37" s="445">
        <v>764</v>
      </c>
      <c r="N37" s="445">
        <v>1206</v>
      </c>
      <c r="O37" s="445">
        <v>1346</v>
      </c>
      <c r="P37" s="320"/>
      <c r="T37" s="423"/>
    </row>
    <row r="38" spans="1:20" ht="13.35" customHeight="1">
      <c r="A38" s="26"/>
      <c r="B38" s="123" t="s">
        <v>312</v>
      </c>
      <c r="C38" s="309">
        <v>6122.15</v>
      </c>
      <c r="D38" s="445">
        <v>1834</v>
      </c>
      <c r="E38" s="445">
        <v>1497.2</v>
      </c>
      <c r="F38" s="445">
        <v>1380.5</v>
      </c>
      <c r="G38" s="445">
        <v>817.25</v>
      </c>
      <c r="H38" s="445">
        <v>593.20000000000005</v>
      </c>
      <c r="I38" s="445">
        <v>0</v>
      </c>
      <c r="J38" s="445">
        <v>0</v>
      </c>
      <c r="K38" s="445">
        <v>0</v>
      </c>
      <c r="L38" s="445">
        <v>0</v>
      </c>
      <c r="M38" s="445">
        <v>0</v>
      </c>
      <c r="N38" s="445">
        <v>0</v>
      </c>
      <c r="O38" s="445">
        <v>0</v>
      </c>
      <c r="P38" s="320"/>
      <c r="T38" s="423"/>
    </row>
    <row r="39" spans="1:20" ht="13.35" customHeight="1">
      <c r="A39" s="243" t="s">
        <v>398</v>
      </c>
      <c r="B39" s="123" t="s">
        <v>376</v>
      </c>
      <c r="C39" s="309">
        <v>269690.3</v>
      </c>
      <c r="D39" s="445">
        <v>27158</v>
      </c>
      <c r="E39" s="445">
        <v>44563</v>
      </c>
      <c r="F39" s="445">
        <v>96395.5</v>
      </c>
      <c r="G39" s="445">
        <v>81226.3</v>
      </c>
      <c r="H39" s="445">
        <v>20347.5</v>
      </c>
      <c r="I39" s="445">
        <v>5792</v>
      </c>
      <c r="J39" s="445">
        <v>3228.5</v>
      </c>
      <c r="K39" s="445">
        <v>3581.5</v>
      </c>
      <c r="L39" s="445">
        <v>8585.5</v>
      </c>
      <c r="M39" s="445">
        <v>15272</v>
      </c>
      <c r="N39" s="445">
        <v>18884</v>
      </c>
      <c r="O39" s="445">
        <v>14668.5</v>
      </c>
      <c r="P39" s="320"/>
      <c r="T39" s="423"/>
    </row>
    <row r="40" spans="1:20" ht="13.35" customHeight="1">
      <c r="A40" s="26"/>
      <c r="B40" s="123" t="s">
        <v>312</v>
      </c>
      <c r="C40" s="309">
        <v>263246.55</v>
      </c>
      <c r="D40" s="445">
        <v>24374</v>
      </c>
      <c r="E40" s="445">
        <v>49342.5</v>
      </c>
      <c r="F40" s="445">
        <v>102352.55</v>
      </c>
      <c r="G40" s="445">
        <v>71086.5</v>
      </c>
      <c r="H40" s="445">
        <v>16091</v>
      </c>
      <c r="I40" s="445">
        <v>0</v>
      </c>
      <c r="J40" s="445">
        <v>0</v>
      </c>
      <c r="K40" s="445">
        <v>0</v>
      </c>
      <c r="L40" s="445">
        <v>0</v>
      </c>
      <c r="M40" s="445">
        <v>0</v>
      </c>
      <c r="N40" s="445">
        <v>0</v>
      </c>
      <c r="O40" s="445">
        <v>0</v>
      </c>
      <c r="P40" s="320"/>
      <c r="T40" s="423"/>
    </row>
    <row r="41" spans="1:20" ht="13.35" customHeight="1">
      <c r="A41" s="243" t="s">
        <v>404</v>
      </c>
      <c r="B41" s="123" t="s">
        <v>376</v>
      </c>
      <c r="C41" s="309">
        <v>56869.4</v>
      </c>
      <c r="D41" s="445">
        <v>11963.35</v>
      </c>
      <c r="E41" s="445">
        <v>14116.6</v>
      </c>
      <c r="F41" s="445">
        <v>12254.35</v>
      </c>
      <c r="G41" s="445">
        <v>9548.4500000000007</v>
      </c>
      <c r="H41" s="445">
        <v>8986.65</v>
      </c>
      <c r="I41" s="445">
        <v>7178.15</v>
      </c>
      <c r="J41" s="445">
        <v>7233</v>
      </c>
      <c r="K41" s="445">
        <v>6721.15</v>
      </c>
      <c r="L41" s="445">
        <v>7424.5</v>
      </c>
      <c r="M41" s="445">
        <v>7773.25</v>
      </c>
      <c r="N41" s="445">
        <v>8742.2999999999993</v>
      </c>
      <c r="O41" s="445">
        <v>9326.7000000000007</v>
      </c>
      <c r="P41" s="320"/>
      <c r="T41" s="423"/>
    </row>
    <row r="42" spans="1:20" ht="13.35" customHeight="1">
      <c r="A42" s="26"/>
      <c r="B42" s="123" t="s">
        <v>312</v>
      </c>
      <c r="C42" s="309">
        <v>58838.399999999994</v>
      </c>
      <c r="D42" s="445">
        <v>12786.85</v>
      </c>
      <c r="E42" s="445">
        <v>14257</v>
      </c>
      <c r="F42" s="445">
        <v>12315</v>
      </c>
      <c r="G42" s="445">
        <v>10253.299999999999</v>
      </c>
      <c r="H42" s="445">
        <v>9226.25</v>
      </c>
      <c r="I42" s="445">
        <v>0</v>
      </c>
      <c r="J42" s="445">
        <v>0</v>
      </c>
      <c r="K42" s="445">
        <v>0</v>
      </c>
      <c r="L42" s="445">
        <v>0</v>
      </c>
      <c r="M42" s="445">
        <v>0</v>
      </c>
      <c r="N42" s="445">
        <v>0</v>
      </c>
      <c r="O42" s="445">
        <v>0</v>
      </c>
      <c r="P42" s="320"/>
      <c r="T42" s="423"/>
    </row>
    <row r="43" spans="1:20" ht="13.35" customHeight="1">
      <c r="A43" s="243" t="s">
        <v>203</v>
      </c>
      <c r="B43" s="123" t="s">
        <v>376</v>
      </c>
      <c r="C43" s="309">
        <v>6315.0499999999993</v>
      </c>
      <c r="D43" s="445">
        <v>1218.75</v>
      </c>
      <c r="E43" s="445">
        <v>1187.55</v>
      </c>
      <c r="F43" s="445">
        <v>1221.0999999999999</v>
      </c>
      <c r="G43" s="445">
        <v>1535</v>
      </c>
      <c r="H43" s="445">
        <v>1152.6500000000001</v>
      </c>
      <c r="I43" s="445">
        <v>1030.25</v>
      </c>
      <c r="J43" s="445">
        <v>1387.1</v>
      </c>
      <c r="K43" s="445">
        <v>1213.05</v>
      </c>
      <c r="L43" s="445">
        <v>1708.93</v>
      </c>
      <c r="M43" s="445">
        <v>1430.72</v>
      </c>
      <c r="N43" s="445">
        <v>1479.75</v>
      </c>
      <c r="O43" s="445">
        <v>1761.85</v>
      </c>
      <c r="P43" s="320"/>
      <c r="T43" s="423"/>
    </row>
    <row r="44" spans="1:20" ht="13.35" customHeight="1">
      <c r="A44" s="26"/>
      <c r="B44" s="123" t="s">
        <v>312</v>
      </c>
      <c r="C44" s="309">
        <v>6279.65</v>
      </c>
      <c r="D44" s="445">
        <v>1189.3</v>
      </c>
      <c r="E44" s="445">
        <v>1172.45</v>
      </c>
      <c r="F44" s="445">
        <v>1244.25</v>
      </c>
      <c r="G44" s="445">
        <v>1539.55</v>
      </c>
      <c r="H44" s="445">
        <v>1134.0999999999999</v>
      </c>
      <c r="I44" s="445">
        <v>0</v>
      </c>
      <c r="J44" s="445">
        <v>0</v>
      </c>
      <c r="K44" s="445">
        <v>0</v>
      </c>
      <c r="L44" s="445">
        <v>0</v>
      </c>
      <c r="M44" s="445">
        <v>0</v>
      </c>
      <c r="N44" s="445">
        <v>0</v>
      </c>
      <c r="O44" s="445">
        <v>0</v>
      </c>
      <c r="P44" s="320"/>
      <c r="T44" s="423"/>
    </row>
    <row r="45" spans="1:20" ht="13.35" customHeight="1">
      <c r="A45" s="243" t="s">
        <v>384</v>
      </c>
      <c r="B45" s="123" t="s">
        <v>376</v>
      </c>
      <c r="C45" s="309">
        <v>14445.35</v>
      </c>
      <c r="D45" s="445">
        <v>1024.25</v>
      </c>
      <c r="E45" s="445">
        <v>2800.75</v>
      </c>
      <c r="F45" s="445">
        <v>6193.1</v>
      </c>
      <c r="G45" s="445">
        <v>3916.25</v>
      </c>
      <c r="H45" s="445">
        <v>511</v>
      </c>
      <c r="I45" s="445">
        <v>198</v>
      </c>
      <c r="J45" s="445">
        <v>78</v>
      </c>
      <c r="K45" s="445">
        <v>27</v>
      </c>
      <c r="L45" s="445">
        <v>18</v>
      </c>
      <c r="M45" s="445">
        <v>0</v>
      </c>
      <c r="N45" s="445">
        <v>122</v>
      </c>
      <c r="O45" s="445">
        <v>122</v>
      </c>
      <c r="P45" s="320"/>
      <c r="T45" s="423"/>
    </row>
    <row r="46" spans="1:20" ht="13.35" customHeight="1">
      <c r="A46" s="245"/>
      <c r="B46" s="123" t="s">
        <v>312</v>
      </c>
      <c r="C46" s="309">
        <v>13054.999999999998</v>
      </c>
      <c r="D46" s="445">
        <v>963.5</v>
      </c>
      <c r="E46" s="445">
        <v>3442.4</v>
      </c>
      <c r="F46" s="445">
        <v>5591.7</v>
      </c>
      <c r="G46" s="445">
        <v>2572.9</v>
      </c>
      <c r="H46" s="445">
        <v>484.5</v>
      </c>
      <c r="I46" s="445">
        <v>0</v>
      </c>
      <c r="J46" s="445">
        <v>0</v>
      </c>
      <c r="K46" s="445">
        <v>0</v>
      </c>
      <c r="L46" s="445">
        <v>0</v>
      </c>
      <c r="M46" s="445">
        <v>0</v>
      </c>
      <c r="N46" s="445">
        <v>0</v>
      </c>
      <c r="O46" s="445">
        <v>0</v>
      </c>
      <c r="P46" s="321"/>
      <c r="T46" s="423"/>
    </row>
    <row r="47" spans="1:20" ht="13.35" customHeight="1">
      <c r="A47" s="243" t="s">
        <v>252</v>
      </c>
      <c r="B47" s="123" t="s">
        <v>376</v>
      </c>
      <c r="C47" s="309">
        <v>26523.1</v>
      </c>
      <c r="D47" s="445">
        <v>3827</v>
      </c>
      <c r="E47" s="445">
        <v>5884</v>
      </c>
      <c r="F47" s="445">
        <v>9375.6</v>
      </c>
      <c r="G47" s="445">
        <v>6395.5</v>
      </c>
      <c r="H47" s="445">
        <v>1041</v>
      </c>
      <c r="I47" s="445">
        <v>521</v>
      </c>
      <c r="J47" s="445">
        <v>129</v>
      </c>
      <c r="K47" s="445">
        <v>77</v>
      </c>
      <c r="L47" s="445">
        <v>236</v>
      </c>
      <c r="M47" s="445">
        <v>307</v>
      </c>
      <c r="N47" s="445">
        <v>457.5</v>
      </c>
      <c r="O47" s="445">
        <v>744.5</v>
      </c>
      <c r="P47" s="320"/>
    </row>
    <row r="48" spans="1:20" ht="13.35" customHeight="1">
      <c r="A48" s="245"/>
      <c r="B48" s="123" t="s">
        <v>312</v>
      </c>
      <c r="C48" s="309">
        <v>23531.550000000003</v>
      </c>
      <c r="D48" s="445">
        <v>3655</v>
      </c>
      <c r="E48" s="445">
        <v>6054.9000000000005</v>
      </c>
      <c r="F48" s="445">
        <v>7760.75</v>
      </c>
      <c r="G48" s="445">
        <v>4950.3999999999996</v>
      </c>
      <c r="H48" s="445">
        <v>1110.5</v>
      </c>
      <c r="I48" s="445">
        <v>0</v>
      </c>
      <c r="J48" s="445">
        <v>0</v>
      </c>
      <c r="K48" s="445">
        <v>0</v>
      </c>
      <c r="L48" s="445">
        <v>0</v>
      </c>
      <c r="M48" s="445">
        <v>0</v>
      </c>
      <c r="N48" s="445">
        <v>0</v>
      </c>
      <c r="O48" s="445">
        <v>0</v>
      </c>
      <c r="P48" s="321"/>
    </row>
    <row r="49" spans="1:20" ht="13.35" customHeight="1">
      <c r="A49" s="246" t="s">
        <v>429</v>
      </c>
      <c r="B49" s="123" t="s">
        <v>376</v>
      </c>
      <c r="C49" s="309">
        <v>2434</v>
      </c>
      <c r="D49" s="445">
        <v>841</v>
      </c>
      <c r="E49" s="445">
        <v>567</v>
      </c>
      <c r="F49" s="445">
        <v>517</v>
      </c>
      <c r="G49" s="445">
        <v>335</v>
      </c>
      <c r="H49" s="445">
        <v>174</v>
      </c>
      <c r="I49" s="445">
        <v>442</v>
      </c>
      <c r="J49" s="445">
        <v>151</v>
      </c>
      <c r="K49" s="445">
        <v>90</v>
      </c>
      <c r="L49" s="445">
        <v>70.5</v>
      </c>
      <c r="M49" s="445">
        <v>366</v>
      </c>
      <c r="N49" s="445">
        <v>112.5</v>
      </c>
      <c r="O49" s="445">
        <v>452</v>
      </c>
      <c r="P49" s="321"/>
      <c r="T49" s="423"/>
    </row>
    <row r="50" spans="1:20" ht="13.35" customHeight="1">
      <c r="A50" s="245"/>
      <c r="B50" s="123" t="s">
        <v>312</v>
      </c>
      <c r="C50" s="309">
        <v>3377.5</v>
      </c>
      <c r="D50" s="445">
        <v>1237</v>
      </c>
      <c r="E50" s="445">
        <v>674</v>
      </c>
      <c r="F50" s="445">
        <v>827</v>
      </c>
      <c r="G50" s="445">
        <v>436.5</v>
      </c>
      <c r="H50" s="445">
        <v>203</v>
      </c>
      <c r="I50" s="445">
        <v>0</v>
      </c>
      <c r="J50" s="445">
        <v>0</v>
      </c>
      <c r="K50" s="445">
        <v>0</v>
      </c>
      <c r="L50" s="445">
        <v>0</v>
      </c>
      <c r="M50" s="445">
        <v>0</v>
      </c>
      <c r="N50" s="445">
        <v>0</v>
      </c>
      <c r="O50" s="445">
        <v>0</v>
      </c>
      <c r="P50" s="321"/>
      <c r="T50" s="423"/>
    </row>
    <row r="51" spans="1:20" ht="13.35" customHeight="1">
      <c r="A51" s="246" t="s">
        <v>459</v>
      </c>
      <c r="B51" s="123" t="s">
        <v>376</v>
      </c>
      <c r="C51" s="309">
        <v>44811.45</v>
      </c>
      <c r="D51" s="445">
        <v>3016.3</v>
      </c>
      <c r="E51" s="445">
        <v>4924.25</v>
      </c>
      <c r="F51" s="445">
        <v>12210.4</v>
      </c>
      <c r="G51" s="445">
        <v>16147.5</v>
      </c>
      <c r="H51" s="445">
        <v>8513</v>
      </c>
      <c r="I51" s="445">
        <v>7785.55</v>
      </c>
      <c r="J51" s="445">
        <v>2333.5</v>
      </c>
      <c r="K51" s="445">
        <v>2755.4</v>
      </c>
      <c r="L51" s="445">
        <v>7329.0039999999999</v>
      </c>
      <c r="M51" s="445">
        <v>5397.5</v>
      </c>
      <c r="N51" s="445">
        <v>4314</v>
      </c>
      <c r="O51" s="445">
        <v>3004.85</v>
      </c>
      <c r="P51" s="321"/>
      <c r="T51" s="423"/>
    </row>
    <row r="52" spans="1:20" ht="13.35" customHeight="1">
      <c r="A52" s="245"/>
      <c r="B52" s="123" t="s">
        <v>312</v>
      </c>
      <c r="C52" s="309">
        <v>46277</v>
      </c>
      <c r="D52" s="445">
        <v>2692.75</v>
      </c>
      <c r="E52" s="445">
        <v>4740.75</v>
      </c>
      <c r="F52" s="445">
        <v>11157.5</v>
      </c>
      <c r="G52" s="445">
        <v>14696.5</v>
      </c>
      <c r="H52" s="445">
        <v>12989.5</v>
      </c>
      <c r="I52" s="445">
        <v>0</v>
      </c>
      <c r="J52" s="445">
        <v>0</v>
      </c>
      <c r="K52" s="445">
        <v>0</v>
      </c>
      <c r="L52" s="445">
        <v>0</v>
      </c>
      <c r="M52" s="445">
        <v>0</v>
      </c>
      <c r="N52" s="445">
        <v>0</v>
      </c>
      <c r="O52" s="445">
        <v>0</v>
      </c>
      <c r="P52" s="321"/>
      <c r="T52" s="423"/>
    </row>
    <row r="53" spans="1:20" ht="13.35" customHeight="1">
      <c r="A53" s="246" t="s">
        <v>460</v>
      </c>
      <c r="B53" s="123" t="s">
        <v>376</v>
      </c>
      <c r="C53" s="309">
        <v>937.3</v>
      </c>
      <c r="D53" s="445">
        <v>598.5</v>
      </c>
      <c r="E53" s="445">
        <v>78.3</v>
      </c>
      <c r="F53" s="445">
        <v>57.5</v>
      </c>
      <c r="G53" s="445">
        <v>148</v>
      </c>
      <c r="H53" s="445">
        <v>55</v>
      </c>
      <c r="I53" s="445">
        <v>42</v>
      </c>
      <c r="J53" s="445">
        <v>299.5</v>
      </c>
      <c r="K53" s="445">
        <v>624.70000000000005</v>
      </c>
      <c r="L53" s="445">
        <v>2087.5500000000002</v>
      </c>
      <c r="M53" s="445">
        <v>247</v>
      </c>
      <c r="N53" s="445">
        <v>619.5</v>
      </c>
      <c r="O53" s="445">
        <v>1350</v>
      </c>
      <c r="P53" s="321"/>
      <c r="T53" s="423"/>
    </row>
    <row r="54" spans="1:20" ht="13.35" customHeight="1">
      <c r="A54" s="245"/>
      <c r="B54" s="123" t="s">
        <v>312</v>
      </c>
      <c r="C54" s="309">
        <v>666</v>
      </c>
      <c r="D54" s="445">
        <v>511</v>
      </c>
      <c r="E54" s="445">
        <v>48</v>
      </c>
      <c r="F54" s="445">
        <v>18</v>
      </c>
      <c r="G54" s="445">
        <v>37</v>
      </c>
      <c r="H54" s="445">
        <v>52</v>
      </c>
      <c r="I54" s="445">
        <v>0</v>
      </c>
      <c r="J54" s="445">
        <v>0</v>
      </c>
      <c r="K54" s="445">
        <v>0</v>
      </c>
      <c r="L54" s="445">
        <v>0</v>
      </c>
      <c r="M54" s="445">
        <v>0</v>
      </c>
      <c r="N54" s="445">
        <v>0</v>
      </c>
      <c r="O54" s="445">
        <v>0</v>
      </c>
      <c r="P54" s="321"/>
      <c r="T54" s="423"/>
    </row>
    <row r="55" spans="1:20" ht="13.35" customHeight="1">
      <c r="A55" s="246" t="s">
        <v>461</v>
      </c>
      <c r="B55" s="123" t="s">
        <v>376</v>
      </c>
      <c r="C55" s="309">
        <v>68631.75</v>
      </c>
      <c r="D55" s="445">
        <v>3070</v>
      </c>
      <c r="E55" s="445">
        <v>12642.5</v>
      </c>
      <c r="F55" s="445">
        <v>25223.75</v>
      </c>
      <c r="G55" s="445">
        <v>22632</v>
      </c>
      <c r="H55" s="445">
        <v>5063.5</v>
      </c>
      <c r="I55" s="445">
        <v>3110.5</v>
      </c>
      <c r="J55" s="445">
        <v>856</v>
      </c>
      <c r="K55" s="445">
        <v>613.5</v>
      </c>
      <c r="L55" s="445">
        <v>267</v>
      </c>
      <c r="M55" s="445">
        <v>211.5</v>
      </c>
      <c r="N55" s="445">
        <v>314</v>
      </c>
      <c r="O55" s="445">
        <v>486</v>
      </c>
      <c r="P55" s="321"/>
      <c r="T55" s="423"/>
    </row>
    <row r="56" spans="1:20" ht="13.35" customHeight="1">
      <c r="A56" s="245"/>
      <c r="B56" s="123" t="s">
        <v>312</v>
      </c>
      <c r="C56" s="309">
        <v>60798.850000000006</v>
      </c>
      <c r="D56" s="445">
        <v>2295</v>
      </c>
      <c r="E56" s="445">
        <v>13224.5</v>
      </c>
      <c r="F56" s="445">
        <v>24206.799999999999</v>
      </c>
      <c r="G56" s="445">
        <v>15897.8</v>
      </c>
      <c r="H56" s="445">
        <v>5174.75</v>
      </c>
      <c r="I56" s="445">
        <v>0</v>
      </c>
      <c r="J56" s="445">
        <v>0</v>
      </c>
      <c r="K56" s="445">
        <v>0</v>
      </c>
      <c r="L56" s="445">
        <v>0</v>
      </c>
      <c r="M56" s="445">
        <v>0</v>
      </c>
      <c r="N56" s="445">
        <v>0</v>
      </c>
      <c r="O56" s="445">
        <v>0</v>
      </c>
      <c r="P56" s="321"/>
      <c r="T56" s="423"/>
    </row>
    <row r="57" spans="1:20" ht="13.35" customHeight="1">
      <c r="A57" s="246" t="s">
        <v>462</v>
      </c>
      <c r="B57" s="123" t="s">
        <v>376</v>
      </c>
      <c r="C57" s="309">
        <v>35974.21</v>
      </c>
      <c r="D57" s="445">
        <v>2294.96</v>
      </c>
      <c r="E57" s="445">
        <v>4798</v>
      </c>
      <c r="F57" s="445">
        <v>9612.4</v>
      </c>
      <c r="G57" s="445">
        <v>13188.5</v>
      </c>
      <c r="H57" s="445">
        <v>6080.35</v>
      </c>
      <c r="I57" s="445">
        <v>7020.75</v>
      </c>
      <c r="J57" s="445">
        <v>8274.5</v>
      </c>
      <c r="K57" s="445">
        <v>11228</v>
      </c>
      <c r="L57" s="445">
        <v>11713.75</v>
      </c>
      <c r="M57" s="445">
        <v>4128</v>
      </c>
      <c r="N57" s="445">
        <v>1685</v>
      </c>
      <c r="O57" s="445">
        <v>1926</v>
      </c>
      <c r="P57" s="321"/>
      <c r="T57" s="423"/>
    </row>
    <row r="58" spans="1:20" ht="13.35" customHeight="1">
      <c r="A58" s="245"/>
      <c r="B58" s="123" t="s">
        <v>312</v>
      </c>
      <c r="C58" s="309">
        <v>32935.75</v>
      </c>
      <c r="D58" s="445">
        <v>1752.5</v>
      </c>
      <c r="E58" s="445">
        <v>5424</v>
      </c>
      <c r="F58" s="445">
        <v>10008.75</v>
      </c>
      <c r="G58" s="445">
        <v>9159</v>
      </c>
      <c r="H58" s="445">
        <v>6591.5</v>
      </c>
      <c r="I58" s="445">
        <v>0</v>
      </c>
      <c r="J58" s="445">
        <v>0</v>
      </c>
      <c r="K58" s="445">
        <v>0</v>
      </c>
      <c r="L58" s="445">
        <v>0</v>
      </c>
      <c r="M58" s="445">
        <v>0</v>
      </c>
      <c r="N58" s="445">
        <v>0</v>
      </c>
      <c r="O58" s="445">
        <v>0</v>
      </c>
      <c r="P58" s="321"/>
      <c r="T58" s="423"/>
    </row>
    <row r="59" spans="1:20" ht="13.35" customHeight="1">
      <c r="A59" s="246" t="s">
        <v>430</v>
      </c>
      <c r="B59" s="123" t="s">
        <v>376</v>
      </c>
      <c r="C59" s="309">
        <v>14514.5</v>
      </c>
      <c r="D59" s="445">
        <v>2997.5</v>
      </c>
      <c r="E59" s="445">
        <v>2937</v>
      </c>
      <c r="F59" s="445">
        <v>2856</v>
      </c>
      <c r="G59" s="445">
        <v>2968.5</v>
      </c>
      <c r="H59" s="445">
        <v>2755.5</v>
      </c>
      <c r="I59" s="445">
        <v>3007</v>
      </c>
      <c r="J59" s="445">
        <v>3369.5</v>
      </c>
      <c r="K59" s="445">
        <v>3103</v>
      </c>
      <c r="L59" s="445">
        <v>3418.5</v>
      </c>
      <c r="M59" s="445">
        <v>3302.5</v>
      </c>
      <c r="N59" s="445">
        <v>2927.5</v>
      </c>
      <c r="O59" s="445">
        <v>3132</v>
      </c>
      <c r="P59" s="321"/>
      <c r="T59" s="423"/>
    </row>
    <row r="60" spans="1:20" ht="13.35" customHeight="1">
      <c r="A60" s="245"/>
      <c r="B60" s="123" t="s">
        <v>312</v>
      </c>
      <c r="C60" s="309">
        <v>14639.5</v>
      </c>
      <c r="D60" s="445">
        <v>3084</v>
      </c>
      <c r="E60" s="445">
        <v>2789.5</v>
      </c>
      <c r="F60" s="445">
        <v>3047.5</v>
      </c>
      <c r="G60" s="445">
        <v>2928</v>
      </c>
      <c r="H60" s="445">
        <v>2790.5</v>
      </c>
      <c r="I60" s="445">
        <v>0</v>
      </c>
      <c r="J60" s="445">
        <v>0</v>
      </c>
      <c r="K60" s="445">
        <v>0</v>
      </c>
      <c r="L60" s="445">
        <v>0</v>
      </c>
      <c r="M60" s="445">
        <v>0</v>
      </c>
      <c r="N60" s="445">
        <v>0</v>
      </c>
      <c r="O60" s="445">
        <v>0</v>
      </c>
      <c r="P60" s="321"/>
      <c r="T60" s="423"/>
    </row>
    <row r="61" spans="1:20" ht="13.35" customHeight="1">
      <c r="A61" s="246" t="s">
        <v>431</v>
      </c>
      <c r="B61" s="123" t="s">
        <v>376</v>
      </c>
      <c r="C61" s="309">
        <v>17917</v>
      </c>
      <c r="D61" s="445">
        <v>123</v>
      </c>
      <c r="E61" s="445">
        <v>143</v>
      </c>
      <c r="F61" s="445">
        <v>744.5</v>
      </c>
      <c r="G61" s="445">
        <v>5891.5</v>
      </c>
      <c r="H61" s="445">
        <v>11015</v>
      </c>
      <c r="I61" s="445">
        <v>456</v>
      </c>
      <c r="J61" s="445">
        <v>149</v>
      </c>
      <c r="K61" s="445">
        <v>154</v>
      </c>
      <c r="L61" s="445">
        <v>132</v>
      </c>
      <c r="M61" s="445">
        <v>121</v>
      </c>
      <c r="N61" s="445">
        <v>117</v>
      </c>
      <c r="O61" s="445">
        <v>76</v>
      </c>
      <c r="P61" s="321"/>
      <c r="T61" s="423"/>
    </row>
    <row r="62" spans="1:20" ht="13.35" customHeight="1">
      <c r="A62" s="245"/>
      <c r="B62" s="123" t="s">
        <v>312</v>
      </c>
      <c r="C62" s="309">
        <v>17872.5</v>
      </c>
      <c r="D62" s="445">
        <v>107</v>
      </c>
      <c r="E62" s="445">
        <v>131</v>
      </c>
      <c r="F62" s="445">
        <v>1248.5</v>
      </c>
      <c r="G62" s="445">
        <v>7483</v>
      </c>
      <c r="H62" s="445">
        <v>8903</v>
      </c>
      <c r="I62" s="445">
        <v>0</v>
      </c>
      <c r="J62" s="445">
        <v>0</v>
      </c>
      <c r="K62" s="445">
        <v>0</v>
      </c>
      <c r="L62" s="445">
        <v>0</v>
      </c>
      <c r="M62" s="445">
        <v>0</v>
      </c>
      <c r="N62" s="445">
        <v>0</v>
      </c>
      <c r="O62" s="445">
        <v>0</v>
      </c>
      <c r="P62" s="321"/>
      <c r="T62" s="423"/>
    </row>
    <row r="63" spans="1:20" ht="13.35" customHeight="1">
      <c r="A63" s="246" t="s">
        <v>432</v>
      </c>
      <c r="B63" s="123" t="s">
        <v>376</v>
      </c>
      <c r="C63" s="309">
        <v>102742.25</v>
      </c>
      <c r="D63" s="445">
        <v>194</v>
      </c>
      <c r="E63" s="445">
        <v>389.5</v>
      </c>
      <c r="F63" s="445">
        <v>10383.5</v>
      </c>
      <c r="G63" s="445">
        <v>48234.75</v>
      </c>
      <c r="H63" s="445">
        <v>43540.5</v>
      </c>
      <c r="I63" s="445">
        <v>3083.5</v>
      </c>
      <c r="J63" s="445">
        <v>972.5</v>
      </c>
      <c r="K63" s="445">
        <v>472.5</v>
      </c>
      <c r="L63" s="445">
        <v>168.5</v>
      </c>
      <c r="M63" s="445">
        <v>110.5</v>
      </c>
      <c r="N63" s="445">
        <v>133.5</v>
      </c>
      <c r="O63" s="445">
        <v>87.5</v>
      </c>
      <c r="P63" s="321"/>
      <c r="T63" s="423"/>
    </row>
    <row r="64" spans="1:20" ht="13.35" customHeight="1">
      <c r="A64" s="245"/>
      <c r="B64" s="123" t="s">
        <v>312</v>
      </c>
      <c r="C64" s="309">
        <v>97110.510000000009</v>
      </c>
      <c r="D64" s="445">
        <v>217.5</v>
      </c>
      <c r="E64" s="445">
        <v>806.5</v>
      </c>
      <c r="F64" s="445">
        <v>11353.51</v>
      </c>
      <c r="G64" s="445">
        <v>41664.5</v>
      </c>
      <c r="H64" s="445">
        <v>43068.5</v>
      </c>
      <c r="I64" s="445">
        <v>0</v>
      </c>
      <c r="J64" s="445">
        <v>0</v>
      </c>
      <c r="K64" s="445">
        <v>0</v>
      </c>
      <c r="L64" s="445">
        <v>0</v>
      </c>
      <c r="M64" s="445">
        <v>0</v>
      </c>
      <c r="N64" s="445">
        <v>0</v>
      </c>
      <c r="O64" s="445">
        <v>0</v>
      </c>
      <c r="P64" s="321"/>
      <c r="T64" s="423"/>
    </row>
    <row r="65" spans="1:20" ht="13.35" customHeight="1">
      <c r="A65" s="246" t="s">
        <v>402</v>
      </c>
      <c r="B65" s="123" t="s">
        <v>376</v>
      </c>
      <c r="C65" s="309">
        <v>13593</v>
      </c>
      <c r="D65" s="445">
        <v>1911</v>
      </c>
      <c r="E65" s="445">
        <v>2534</v>
      </c>
      <c r="F65" s="445">
        <v>4037</v>
      </c>
      <c r="G65" s="445">
        <v>3618</v>
      </c>
      <c r="H65" s="445">
        <v>1493</v>
      </c>
      <c r="I65" s="445">
        <v>277</v>
      </c>
      <c r="J65" s="445">
        <v>79.5</v>
      </c>
      <c r="K65" s="445">
        <v>475.9</v>
      </c>
      <c r="L65" s="445">
        <v>1904.51</v>
      </c>
      <c r="M65" s="445">
        <v>1296.19</v>
      </c>
      <c r="N65" s="445">
        <v>332</v>
      </c>
      <c r="O65" s="445">
        <v>1376.5</v>
      </c>
      <c r="P65" s="321"/>
      <c r="T65" s="423"/>
    </row>
    <row r="66" spans="1:20" ht="13.35" customHeight="1">
      <c r="A66" s="90"/>
      <c r="B66" s="125" t="s">
        <v>312</v>
      </c>
      <c r="C66" s="310">
        <v>3761.5</v>
      </c>
      <c r="D66" s="447">
        <v>595</v>
      </c>
      <c r="E66" s="447">
        <v>1355.5</v>
      </c>
      <c r="F66" s="447">
        <v>717</v>
      </c>
      <c r="G66" s="447">
        <v>926.5</v>
      </c>
      <c r="H66" s="447">
        <v>167.5</v>
      </c>
      <c r="I66" s="447">
        <v>0</v>
      </c>
      <c r="J66" s="447">
        <v>0</v>
      </c>
      <c r="K66" s="447">
        <v>0</v>
      </c>
      <c r="L66" s="447">
        <v>0</v>
      </c>
      <c r="M66" s="447">
        <v>0</v>
      </c>
      <c r="N66" s="447">
        <v>0</v>
      </c>
      <c r="O66" s="447">
        <v>0</v>
      </c>
      <c r="P66" s="322"/>
    </row>
    <row r="67" spans="1:20" ht="10.35" customHeight="1">
      <c r="A67" s="275" t="s">
        <v>16</v>
      </c>
      <c r="B67" s="220"/>
      <c r="C67" s="220"/>
      <c r="D67" s="220"/>
      <c r="E67" s="220"/>
      <c r="F67" s="220"/>
      <c r="G67" s="220"/>
      <c r="H67" s="220"/>
      <c r="I67" s="220"/>
      <c r="J67" s="220"/>
    </row>
    <row r="68" spans="1:20" ht="10.35" customHeight="1">
      <c r="A68" s="275" t="s">
        <v>279</v>
      </c>
      <c r="B68" s="220"/>
      <c r="C68" s="220"/>
      <c r="D68" s="220"/>
      <c r="E68" s="220"/>
      <c r="F68" s="220"/>
      <c r="G68" s="220"/>
      <c r="H68" s="220"/>
      <c r="I68" s="220"/>
      <c r="J68" s="220"/>
    </row>
    <row r="69" spans="1:20" ht="10.35" customHeight="1">
      <c r="A69" s="576" t="s">
        <v>379</v>
      </c>
      <c r="B69" s="576"/>
      <c r="C69" s="576"/>
      <c r="D69" s="576"/>
      <c r="E69" s="576"/>
      <c r="F69" s="576"/>
      <c r="G69" s="576"/>
      <c r="H69" s="220"/>
      <c r="I69" s="220"/>
      <c r="J69" s="220"/>
    </row>
    <row r="85" spans="24:24" ht="17.100000000000001" customHeight="1">
      <c r="X85" s="272" t="s">
        <v>60</v>
      </c>
    </row>
  </sheetData>
  <mergeCells count="2">
    <mergeCell ref="A69:G69"/>
    <mergeCell ref="A6:A7"/>
  </mergeCells>
  <phoneticPr fontId="10" type="noConversion"/>
  <pageMargins left="0.70866141732283472" right="0.11811023622047245" top="0.74803149606299213" bottom="0.74803149606299213" header="0.31496062992125984" footer="0.31496062992125984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8"/>
  <dimension ref="A1:AM133"/>
  <sheetViews>
    <sheetView showGridLines="0" zoomScale="150" workbookViewId="0">
      <selection activeCell="X85" sqref="X85"/>
    </sheetView>
  </sheetViews>
  <sheetFormatPr baseColWidth="10" defaultColWidth="7" defaultRowHeight="17.100000000000001" customHeight="1"/>
  <cols>
    <col min="1" max="1" width="10" style="26" customWidth="1"/>
    <col min="2" max="2" width="5" style="26" customWidth="1"/>
    <col min="3" max="3" width="7.28515625" style="26" customWidth="1"/>
    <col min="4" max="4" width="6" style="26" customWidth="1"/>
    <col min="5" max="5" width="6.7109375" style="26" customWidth="1"/>
    <col min="6" max="7" width="6.42578125" style="26" customWidth="1"/>
    <col min="8" max="8" width="6.28515625" style="26" customWidth="1"/>
    <col min="9" max="9" width="6" style="26" customWidth="1"/>
    <col min="10" max="10" width="5.42578125" style="26" customWidth="1"/>
    <col min="11" max="11" width="5.85546875" style="26" customWidth="1"/>
    <col min="12" max="12" width="5.7109375" style="26" customWidth="1"/>
    <col min="13" max="13" width="10.28515625" style="26" customWidth="1"/>
    <col min="14" max="14" width="5.140625" style="26" customWidth="1"/>
    <col min="15" max="15" width="5.85546875" style="26" customWidth="1"/>
    <col min="16" max="16" width="6.42578125" style="26" customWidth="1"/>
    <col min="17" max="17" width="7.140625" style="26" customWidth="1"/>
    <col min="18" max="18" width="5.7109375" style="26" customWidth="1"/>
    <col min="19" max="19" width="6.28515625" style="26" customWidth="1"/>
    <col min="20" max="20" width="6.42578125" style="26" customWidth="1"/>
    <col min="21" max="21" width="6.140625" style="26" customWidth="1"/>
    <col min="22" max="22" width="6" style="26" customWidth="1"/>
    <col min="23" max="23" width="6.140625" style="26" customWidth="1"/>
    <col min="24" max="24" width="6" style="26" customWidth="1"/>
    <col min="25" max="25" width="10.28515625" style="26" customWidth="1"/>
    <col min="26" max="26" width="5.140625" style="26" customWidth="1"/>
    <col min="27" max="27" width="6" style="26" customWidth="1"/>
    <col min="28" max="29" width="5.85546875" style="26" customWidth="1"/>
    <col min="30" max="30" width="6.140625" style="26" customWidth="1"/>
    <col min="31" max="31" width="6.85546875" style="26" customWidth="1"/>
    <col min="32" max="32" width="6.140625" style="26" customWidth="1"/>
    <col min="33" max="33" width="7" style="26"/>
    <col min="34" max="34" width="6" style="26" customWidth="1"/>
    <col min="35" max="36" width="6.7109375" style="26" customWidth="1"/>
    <col min="37" max="16384" width="7" style="26"/>
  </cols>
  <sheetData>
    <row r="1" spans="1:39" ht="16.350000000000001" customHeight="1">
      <c r="A1" s="291" t="s">
        <v>358</v>
      </c>
      <c r="B1" s="289"/>
      <c r="C1" s="289"/>
      <c r="D1" s="53"/>
    </row>
    <row r="2" spans="1:39" ht="13.5">
      <c r="A2" s="21" t="s">
        <v>42</v>
      </c>
      <c r="B2" s="23"/>
      <c r="C2" s="23"/>
    </row>
    <row r="3" spans="1:39" ht="13.5">
      <c r="A3" s="21" t="s">
        <v>331</v>
      </c>
      <c r="B3" s="23"/>
      <c r="C3" s="23"/>
      <c r="M3" s="89" t="s">
        <v>162</v>
      </c>
      <c r="Y3" s="89" t="s">
        <v>162</v>
      </c>
    </row>
    <row r="4" spans="1:39" ht="4.3499999999999996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9" ht="23.1" customHeight="1">
      <c r="A5" s="390" t="s">
        <v>433</v>
      </c>
      <c r="B5" s="390" t="s">
        <v>472</v>
      </c>
      <c r="C5" s="390" t="s">
        <v>463</v>
      </c>
      <c r="D5" s="390" t="s">
        <v>370</v>
      </c>
      <c r="E5" s="390" t="s">
        <v>233</v>
      </c>
      <c r="F5" s="390" t="s">
        <v>196</v>
      </c>
      <c r="G5" s="390" t="s">
        <v>397</v>
      </c>
      <c r="H5" s="390" t="s">
        <v>499</v>
      </c>
      <c r="I5" s="390" t="s">
        <v>448</v>
      </c>
      <c r="J5" s="390" t="s">
        <v>210</v>
      </c>
      <c r="K5" s="390" t="s">
        <v>385</v>
      </c>
      <c r="L5" s="390" t="s">
        <v>497</v>
      </c>
      <c r="M5" s="390" t="s">
        <v>433</v>
      </c>
      <c r="N5" s="390" t="s">
        <v>472</v>
      </c>
      <c r="O5" s="390" t="s">
        <v>383</v>
      </c>
      <c r="P5" s="390" t="s">
        <v>266</v>
      </c>
      <c r="Q5" s="390" t="s">
        <v>382</v>
      </c>
      <c r="R5" s="390" t="s">
        <v>375</v>
      </c>
      <c r="S5" s="390" t="s">
        <v>405</v>
      </c>
      <c r="T5" s="390" t="s">
        <v>234</v>
      </c>
      <c r="U5" s="390" t="s">
        <v>398</v>
      </c>
      <c r="V5" s="390" t="s">
        <v>404</v>
      </c>
      <c r="W5" s="390" t="s">
        <v>203</v>
      </c>
      <c r="X5" s="390" t="s">
        <v>384</v>
      </c>
      <c r="Y5" s="390" t="s">
        <v>433</v>
      </c>
      <c r="Z5" s="390" t="s">
        <v>472</v>
      </c>
      <c r="AA5" s="390" t="s">
        <v>252</v>
      </c>
      <c r="AB5" s="390" t="s">
        <v>394</v>
      </c>
      <c r="AC5" s="390" t="s">
        <v>494</v>
      </c>
      <c r="AD5" s="390" t="s">
        <v>268</v>
      </c>
      <c r="AE5" s="390" t="s">
        <v>269</v>
      </c>
      <c r="AF5" s="390" t="s">
        <v>270</v>
      </c>
      <c r="AG5" s="390" t="s">
        <v>495</v>
      </c>
      <c r="AH5" s="390" t="s">
        <v>235</v>
      </c>
      <c r="AI5" s="390" t="s">
        <v>431</v>
      </c>
      <c r="AJ5" s="390" t="s">
        <v>432</v>
      </c>
    </row>
    <row r="6" spans="1:39" ht="11.1" customHeight="1">
      <c r="A6" s="596" t="s">
        <v>318</v>
      </c>
      <c r="B6" s="248" t="s">
        <v>168</v>
      </c>
      <c r="C6" s="312">
        <v>2291543.5381</v>
      </c>
      <c r="D6" s="312">
        <v>127306</v>
      </c>
      <c r="E6" s="312">
        <v>256808.55000000002</v>
      </c>
      <c r="F6" s="312">
        <v>205266.96</v>
      </c>
      <c r="G6" s="312">
        <v>437937.90899999999</v>
      </c>
      <c r="H6" s="312">
        <v>137308</v>
      </c>
      <c r="I6" s="312">
        <v>65786.75</v>
      </c>
      <c r="J6" s="312">
        <v>4810.8999999999996</v>
      </c>
      <c r="K6" s="312">
        <v>1519</v>
      </c>
      <c r="L6" s="312">
        <v>5539.2500000000009</v>
      </c>
      <c r="M6" s="596" t="s">
        <v>318</v>
      </c>
      <c r="N6" s="248" t="s">
        <v>168</v>
      </c>
      <c r="O6" s="312">
        <v>7867.6</v>
      </c>
      <c r="P6" s="312">
        <v>36259.75</v>
      </c>
      <c r="Q6" s="312">
        <v>7324.6</v>
      </c>
      <c r="R6" s="312">
        <v>9934.41</v>
      </c>
      <c r="S6" s="312">
        <v>16165.699999999999</v>
      </c>
      <c r="T6" s="312">
        <v>47532.85</v>
      </c>
      <c r="U6" s="312">
        <v>325591.69999999995</v>
      </c>
      <c r="V6" s="312">
        <v>104467.73</v>
      </c>
      <c r="W6" s="312">
        <v>15369.55</v>
      </c>
      <c r="X6" s="312">
        <v>15283.5</v>
      </c>
      <c r="Y6" s="596" t="s">
        <v>318</v>
      </c>
      <c r="Z6" s="248" t="s">
        <v>168</v>
      </c>
      <c r="AA6" s="312">
        <v>30105.5</v>
      </c>
      <c r="AB6" s="312">
        <v>4429.5</v>
      </c>
      <c r="AC6" s="312">
        <v>74978.350000000006</v>
      </c>
      <c r="AD6" s="312">
        <v>5562.5</v>
      </c>
      <c r="AE6" s="312">
        <v>56695.75</v>
      </c>
      <c r="AF6" s="312">
        <v>48242.5</v>
      </c>
      <c r="AG6" s="312">
        <v>84838.329100000003</v>
      </c>
      <c r="AH6" s="312">
        <v>37035.5</v>
      </c>
      <c r="AI6" s="312">
        <v>20846</v>
      </c>
      <c r="AJ6" s="312">
        <v>100728.9</v>
      </c>
    </row>
    <row r="7" spans="1:39" ht="11.1" customHeight="1">
      <c r="A7" s="597"/>
      <c r="B7" s="249" t="s">
        <v>169</v>
      </c>
      <c r="C7" s="313">
        <v>2250423.4670000002</v>
      </c>
      <c r="D7" s="313">
        <v>122623.80100000001</v>
      </c>
      <c r="E7" s="313">
        <v>254742.83899999998</v>
      </c>
      <c r="F7" s="313">
        <v>200757.75</v>
      </c>
      <c r="G7" s="313">
        <v>414509.3</v>
      </c>
      <c r="H7" s="313">
        <v>136103.25</v>
      </c>
      <c r="I7" s="313">
        <v>65280</v>
      </c>
      <c r="J7" s="313">
        <v>4169.38</v>
      </c>
      <c r="K7" s="313">
        <v>998</v>
      </c>
      <c r="L7" s="313">
        <v>4860.9800000000005</v>
      </c>
      <c r="M7" s="597"/>
      <c r="N7" s="249" t="s">
        <v>169</v>
      </c>
      <c r="O7" s="313">
        <v>7898</v>
      </c>
      <c r="P7" s="313">
        <v>34436.92</v>
      </c>
      <c r="Q7" s="313">
        <v>7511.65</v>
      </c>
      <c r="R7" s="313">
        <v>7923.8099999999995</v>
      </c>
      <c r="S7" s="313">
        <v>15666</v>
      </c>
      <c r="T7" s="313">
        <v>44325.55</v>
      </c>
      <c r="U7" s="313">
        <v>329979.84999999998</v>
      </c>
      <c r="V7" s="313">
        <v>104040.22</v>
      </c>
      <c r="W7" s="313">
        <v>16764.099999999999</v>
      </c>
      <c r="X7" s="313">
        <v>14419.047999999999</v>
      </c>
      <c r="Y7" s="597"/>
      <c r="Z7" s="249" t="s">
        <v>169</v>
      </c>
      <c r="AA7" s="313">
        <v>28772.3</v>
      </c>
      <c r="AB7" s="313">
        <v>4042</v>
      </c>
      <c r="AC7" s="313">
        <v>72215.25</v>
      </c>
      <c r="AD7" s="313">
        <v>5717.55</v>
      </c>
      <c r="AE7" s="313">
        <v>57810.25</v>
      </c>
      <c r="AF7" s="313">
        <v>45184.26</v>
      </c>
      <c r="AG7" s="313">
        <v>87095.409</v>
      </c>
      <c r="AH7" s="313">
        <v>36154</v>
      </c>
      <c r="AI7" s="313">
        <v>18962</v>
      </c>
      <c r="AJ7" s="313">
        <v>107460</v>
      </c>
    </row>
    <row r="8" spans="1:39" ht="11.1" customHeight="1">
      <c r="A8" s="14" t="s">
        <v>349</v>
      </c>
      <c r="B8" s="15" t="s">
        <v>440</v>
      </c>
      <c r="C8" s="314">
        <v>99567.099999999977</v>
      </c>
      <c r="D8" s="315">
        <v>460.5</v>
      </c>
      <c r="E8" s="315">
        <v>12347.8</v>
      </c>
      <c r="F8" s="315">
        <v>8383.4</v>
      </c>
      <c r="G8" s="315">
        <v>50441.2</v>
      </c>
      <c r="H8" s="315">
        <v>187.5</v>
      </c>
      <c r="I8" s="315">
        <v>0</v>
      </c>
      <c r="J8" s="315">
        <v>28.5</v>
      </c>
      <c r="K8" s="315">
        <v>0</v>
      </c>
      <c r="L8" s="315">
        <v>40.700000000000003</v>
      </c>
      <c r="M8" s="14" t="s">
        <v>349</v>
      </c>
      <c r="N8" s="15" t="s">
        <v>440</v>
      </c>
      <c r="O8" s="315">
        <v>46</v>
      </c>
      <c r="P8" s="315">
        <v>794.5</v>
      </c>
      <c r="Q8" s="315">
        <v>239.20000000000005</v>
      </c>
      <c r="R8" s="315">
        <v>3</v>
      </c>
      <c r="S8" s="315">
        <v>2</v>
      </c>
      <c r="T8" s="315">
        <v>876.2</v>
      </c>
      <c r="U8" s="315">
        <v>3773.5</v>
      </c>
      <c r="V8" s="315">
        <v>11155.9</v>
      </c>
      <c r="W8" s="315">
        <v>21.5</v>
      </c>
      <c r="X8" s="315">
        <v>51</v>
      </c>
      <c r="Y8" s="14" t="s">
        <v>349</v>
      </c>
      <c r="Z8" s="15" t="s">
        <v>440</v>
      </c>
      <c r="AA8" s="315">
        <v>192.5</v>
      </c>
      <c r="AB8" s="315">
        <v>0</v>
      </c>
      <c r="AC8" s="315">
        <v>10095.200000000001</v>
      </c>
      <c r="AD8" s="315">
        <v>0</v>
      </c>
      <c r="AE8" s="315">
        <v>152</v>
      </c>
      <c r="AF8" s="315">
        <v>275</v>
      </c>
      <c r="AG8" s="315">
        <v>0</v>
      </c>
      <c r="AH8" s="315">
        <v>0</v>
      </c>
      <c r="AI8" s="315">
        <v>0</v>
      </c>
      <c r="AJ8" s="315">
        <v>0</v>
      </c>
      <c r="AL8" s="233"/>
      <c r="AM8" s="233"/>
    </row>
    <row r="9" spans="1:39" ht="11.1" customHeight="1">
      <c r="A9" s="14"/>
      <c r="B9" s="15" t="s">
        <v>257</v>
      </c>
      <c r="C9" s="314">
        <v>99136</v>
      </c>
      <c r="D9" s="315">
        <v>132</v>
      </c>
      <c r="E9" s="315">
        <v>13089</v>
      </c>
      <c r="F9" s="315">
        <v>7803</v>
      </c>
      <c r="G9" s="315">
        <v>51741</v>
      </c>
      <c r="H9" s="315">
        <v>29</v>
      </c>
      <c r="I9" s="315">
        <v>0</v>
      </c>
      <c r="J9" s="315">
        <v>39.5</v>
      </c>
      <c r="K9" s="315">
        <v>0</v>
      </c>
      <c r="L9" s="315">
        <v>77.8</v>
      </c>
      <c r="M9" s="14"/>
      <c r="N9" s="15" t="s">
        <v>257</v>
      </c>
      <c r="O9" s="315">
        <v>69.5</v>
      </c>
      <c r="P9" s="315">
        <v>574.5</v>
      </c>
      <c r="Q9" s="315">
        <v>271.2</v>
      </c>
      <c r="R9" s="315">
        <v>1.5</v>
      </c>
      <c r="S9" s="315">
        <v>2</v>
      </c>
      <c r="T9" s="315">
        <v>910.5</v>
      </c>
      <c r="U9" s="315">
        <v>3725</v>
      </c>
      <c r="V9" s="315">
        <v>12370</v>
      </c>
      <c r="W9" s="315">
        <v>28</v>
      </c>
      <c r="X9" s="315">
        <v>50.5</v>
      </c>
      <c r="Y9" s="14"/>
      <c r="Z9" s="15" t="s">
        <v>257</v>
      </c>
      <c r="AA9" s="315">
        <v>276</v>
      </c>
      <c r="AB9" s="315">
        <v>0</v>
      </c>
      <c r="AC9" s="315">
        <v>7773</v>
      </c>
      <c r="AD9" s="315">
        <v>0</v>
      </c>
      <c r="AE9" s="315">
        <v>106</v>
      </c>
      <c r="AF9" s="315">
        <v>67</v>
      </c>
      <c r="AG9" s="315">
        <v>0</v>
      </c>
      <c r="AH9" s="315">
        <v>0</v>
      </c>
      <c r="AI9" s="315">
        <v>0</v>
      </c>
      <c r="AJ9" s="315">
        <v>0</v>
      </c>
      <c r="AL9" s="233"/>
      <c r="AM9" s="233"/>
    </row>
    <row r="10" spans="1:39" ht="11.1" customHeight="1">
      <c r="A10" s="14" t="s">
        <v>350</v>
      </c>
      <c r="B10" s="15" t="s">
        <v>440</v>
      </c>
      <c r="C10" s="314">
        <v>80252.19</v>
      </c>
      <c r="D10" s="315">
        <v>12877</v>
      </c>
      <c r="E10" s="315">
        <v>20096</v>
      </c>
      <c r="F10" s="315">
        <v>5982</v>
      </c>
      <c r="G10" s="315">
        <v>6980</v>
      </c>
      <c r="H10" s="315">
        <v>6783</v>
      </c>
      <c r="I10" s="315">
        <v>132</v>
      </c>
      <c r="J10" s="315">
        <v>204</v>
      </c>
      <c r="K10" s="315">
        <v>0</v>
      </c>
      <c r="L10" s="315">
        <v>337</v>
      </c>
      <c r="M10" s="14" t="s">
        <v>350</v>
      </c>
      <c r="N10" s="15" t="s">
        <v>440</v>
      </c>
      <c r="O10" s="315">
        <v>311</v>
      </c>
      <c r="P10" s="315">
        <v>730</v>
      </c>
      <c r="Q10" s="315">
        <v>179</v>
      </c>
      <c r="R10" s="315">
        <v>23</v>
      </c>
      <c r="S10" s="315">
        <v>289</v>
      </c>
      <c r="T10" s="315">
        <v>3994</v>
      </c>
      <c r="U10" s="315">
        <v>8006</v>
      </c>
      <c r="V10" s="315">
        <v>191</v>
      </c>
      <c r="W10" s="315">
        <v>1266</v>
      </c>
      <c r="X10" s="315">
        <v>263</v>
      </c>
      <c r="Y10" s="14" t="s">
        <v>350</v>
      </c>
      <c r="Z10" s="15" t="s">
        <v>440</v>
      </c>
      <c r="AA10" s="315">
        <v>676</v>
      </c>
      <c r="AB10" s="315">
        <v>113</v>
      </c>
      <c r="AC10" s="315">
        <v>937</v>
      </c>
      <c r="AD10" s="315">
        <v>0</v>
      </c>
      <c r="AE10" s="315">
        <v>1268</v>
      </c>
      <c r="AF10" s="315">
        <v>983</v>
      </c>
      <c r="AG10" s="315">
        <v>6874.1900000000005</v>
      </c>
      <c r="AH10" s="315">
        <v>758</v>
      </c>
      <c r="AI10" s="315">
        <v>0</v>
      </c>
      <c r="AJ10" s="315">
        <v>0</v>
      </c>
      <c r="AL10" s="233"/>
      <c r="AM10" s="233"/>
    </row>
    <row r="11" spans="1:39" ht="11.1" customHeight="1">
      <c r="A11" s="14"/>
      <c r="B11" s="15" t="s">
        <v>257</v>
      </c>
      <c r="C11" s="314">
        <v>75193.759999999995</v>
      </c>
      <c r="D11" s="315">
        <v>11123</v>
      </c>
      <c r="E11" s="315">
        <v>17838</v>
      </c>
      <c r="F11" s="315">
        <v>5895</v>
      </c>
      <c r="G11" s="315">
        <v>5520</v>
      </c>
      <c r="H11" s="315">
        <v>5529</v>
      </c>
      <c r="I11" s="315">
        <v>212</v>
      </c>
      <c r="J11" s="315">
        <v>119</v>
      </c>
      <c r="K11" s="315">
        <v>0</v>
      </c>
      <c r="L11" s="315">
        <v>276</v>
      </c>
      <c r="M11" s="14"/>
      <c r="N11" s="15" t="s">
        <v>257</v>
      </c>
      <c r="O11" s="315">
        <v>201</v>
      </c>
      <c r="P11" s="315">
        <v>532</v>
      </c>
      <c r="Q11" s="315">
        <v>103</v>
      </c>
      <c r="R11" s="315">
        <v>58</v>
      </c>
      <c r="S11" s="315">
        <v>207</v>
      </c>
      <c r="T11" s="315">
        <v>3915</v>
      </c>
      <c r="U11" s="315">
        <v>9003</v>
      </c>
      <c r="V11" s="315">
        <v>221</v>
      </c>
      <c r="W11" s="315">
        <v>1812</v>
      </c>
      <c r="X11" s="315">
        <v>300</v>
      </c>
      <c r="Y11" s="14"/>
      <c r="Z11" s="15" t="s">
        <v>257</v>
      </c>
      <c r="AA11" s="315">
        <v>708</v>
      </c>
      <c r="AB11" s="315">
        <v>52</v>
      </c>
      <c r="AC11" s="315">
        <v>900</v>
      </c>
      <c r="AD11" s="315">
        <v>0</v>
      </c>
      <c r="AE11" s="315">
        <v>1537</v>
      </c>
      <c r="AF11" s="315">
        <v>1449</v>
      </c>
      <c r="AG11" s="315">
        <v>7100.76</v>
      </c>
      <c r="AH11" s="315">
        <v>583</v>
      </c>
      <c r="AI11" s="315">
        <v>0</v>
      </c>
      <c r="AJ11" s="315">
        <v>0</v>
      </c>
      <c r="AL11" s="233"/>
      <c r="AM11" s="233"/>
    </row>
    <row r="12" spans="1:39" ht="11.1" customHeight="1">
      <c r="A12" s="14" t="s">
        <v>51</v>
      </c>
      <c r="B12" s="15" t="s">
        <v>440</v>
      </c>
      <c r="C12" s="314">
        <v>86405.2</v>
      </c>
      <c r="D12" s="315">
        <v>4596.5</v>
      </c>
      <c r="E12" s="315">
        <v>1558</v>
      </c>
      <c r="F12" s="315">
        <v>25024</v>
      </c>
      <c r="G12" s="315">
        <v>0</v>
      </c>
      <c r="H12" s="315">
        <v>4491</v>
      </c>
      <c r="I12" s="315">
        <v>4365.5</v>
      </c>
      <c r="J12" s="315">
        <v>43</v>
      </c>
      <c r="K12" s="315">
        <v>0</v>
      </c>
      <c r="L12" s="315">
        <v>129</v>
      </c>
      <c r="M12" s="14" t="s">
        <v>51</v>
      </c>
      <c r="N12" s="15" t="s">
        <v>440</v>
      </c>
      <c r="O12" s="315">
        <v>202.5</v>
      </c>
      <c r="P12" s="315">
        <v>1120.5</v>
      </c>
      <c r="Q12" s="315">
        <v>168.1</v>
      </c>
      <c r="R12" s="315">
        <v>110.5</v>
      </c>
      <c r="S12" s="315">
        <v>201.79999999999998</v>
      </c>
      <c r="T12" s="315">
        <v>2284</v>
      </c>
      <c r="U12" s="315">
        <v>25484.5</v>
      </c>
      <c r="V12" s="315">
        <v>68.5</v>
      </c>
      <c r="W12" s="315">
        <v>98.5</v>
      </c>
      <c r="X12" s="315">
        <v>1561.5</v>
      </c>
      <c r="Y12" s="14" t="s">
        <v>51</v>
      </c>
      <c r="Z12" s="15" t="s">
        <v>440</v>
      </c>
      <c r="AA12" s="315">
        <v>2685.5</v>
      </c>
      <c r="AB12" s="315">
        <v>0</v>
      </c>
      <c r="AC12" s="315">
        <v>4379.5</v>
      </c>
      <c r="AD12" s="315">
        <v>1</v>
      </c>
      <c r="AE12" s="315">
        <v>4621.5</v>
      </c>
      <c r="AF12" s="315">
        <v>1248</v>
      </c>
      <c r="AG12" s="315">
        <v>0</v>
      </c>
      <c r="AH12" s="315">
        <v>0</v>
      </c>
      <c r="AI12" s="315">
        <v>609</v>
      </c>
      <c r="AJ12" s="315">
        <v>1353.3</v>
      </c>
      <c r="AL12" s="233"/>
      <c r="AM12" s="233"/>
    </row>
    <row r="13" spans="1:39" ht="11.1" customHeight="1">
      <c r="A13" s="14"/>
      <c r="B13" s="15" t="s">
        <v>257</v>
      </c>
      <c r="C13" s="314">
        <v>87921.600000000006</v>
      </c>
      <c r="D13" s="315">
        <v>5160</v>
      </c>
      <c r="E13" s="315">
        <v>2021</v>
      </c>
      <c r="F13" s="315">
        <v>25173</v>
      </c>
      <c r="G13" s="315">
        <v>0</v>
      </c>
      <c r="H13" s="315">
        <v>5371</v>
      </c>
      <c r="I13" s="315">
        <v>5080</v>
      </c>
      <c r="J13" s="315">
        <v>22</v>
      </c>
      <c r="K13" s="315">
        <v>0</v>
      </c>
      <c r="L13" s="315">
        <v>110.5</v>
      </c>
      <c r="M13" s="14"/>
      <c r="N13" s="15" t="s">
        <v>257</v>
      </c>
      <c r="O13" s="315">
        <v>249.5</v>
      </c>
      <c r="P13" s="315">
        <v>1053.0999999999999</v>
      </c>
      <c r="Q13" s="315">
        <v>232.5</v>
      </c>
      <c r="R13" s="315">
        <v>61</v>
      </c>
      <c r="S13" s="315">
        <v>145.5</v>
      </c>
      <c r="T13" s="315">
        <v>2163</v>
      </c>
      <c r="U13" s="315">
        <v>23552</v>
      </c>
      <c r="V13" s="315">
        <v>70.5</v>
      </c>
      <c r="W13" s="315">
        <v>131</v>
      </c>
      <c r="X13" s="315">
        <v>1188</v>
      </c>
      <c r="Y13" s="14"/>
      <c r="Z13" s="15" t="s">
        <v>257</v>
      </c>
      <c r="AA13" s="315">
        <v>2774</v>
      </c>
      <c r="AB13" s="315">
        <v>0</v>
      </c>
      <c r="AC13" s="315">
        <v>5239</v>
      </c>
      <c r="AD13" s="315">
        <v>5</v>
      </c>
      <c r="AE13" s="315">
        <v>5456</v>
      </c>
      <c r="AF13" s="315">
        <v>1331</v>
      </c>
      <c r="AG13" s="315">
        <v>0</v>
      </c>
      <c r="AH13" s="315">
        <v>0</v>
      </c>
      <c r="AI13" s="315">
        <v>539</v>
      </c>
      <c r="AJ13" s="315">
        <v>794</v>
      </c>
      <c r="AL13" s="233"/>
      <c r="AM13" s="233"/>
    </row>
    <row r="14" spans="1:39" ht="11.1" customHeight="1">
      <c r="A14" s="14" t="s">
        <v>352</v>
      </c>
      <c r="B14" s="15" t="s">
        <v>440</v>
      </c>
      <c r="C14" s="314">
        <v>79576.5861</v>
      </c>
      <c r="D14" s="315">
        <v>1400</v>
      </c>
      <c r="E14" s="315">
        <v>185</v>
      </c>
      <c r="F14" s="315">
        <v>2362</v>
      </c>
      <c r="G14" s="315">
        <v>20190</v>
      </c>
      <c r="H14" s="315">
        <v>264</v>
      </c>
      <c r="I14" s="315">
        <v>1144</v>
      </c>
      <c r="J14" s="315">
        <v>726</v>
      </c>
      <c r="K14" s="315">
        <v>0</v>
      </c>
      <c r="L14" s="315">
        <v>858</v>
      </c>
      <c r="M14" s="14" t="s">
        <v>352</v>
      </c>
      <c r="N14" s="15" t="s">
        <v>440</v>
      </c>
      <c r="O14" s="315">
        <v>1315</v>
      </c>
      <c r="P14" s="315">
        <v>1351</v>
      </c>
      <c r="Q14" s="315">
        <v>1670</v>
      </c>
      <c r="R14" s="315">
        <v>5716</v>
      </c>
      <c r="S14" s="315">
        <v>9040</v>
      </c>
      <c r="T14" s="315">
        <v>1937</v>
      </c>
      <c r="U14" s="315">
        <v>9107</v>
      </c>
      <c r="V14" s="315">
        <v>21</v>
      </c>
      <c r="W14" s="315">
        <v>118</v>
      </c>
      <c r="X14" s="315">
        <v>23</v>
      </c>
      <c r="Y14" s="14" t="s">
        <v>352</v>
      </c>
      <c r="Z14" s="15" t="s">
        <v>440</v>
      </c>
      <c r="AA14" s="315">
        <v>31</v>
      </c>
      <c r="AB14" s="315">
        <v>1079</v>
      </c>
      <c r="AC14" s="315">
        <v>3984</v>
      </c>
      <c r="AD14" s="315">
        <v>105</v>
      </c>
      <c r="AE14" s="315">
        <v>229</v>
      </c>
      <c r="AF14" s="315">
        <v>8</v>
      </c>
      <c r="AG14" s="315">
        <v>544.58609999999999</v>
      </c>
      <c r="AH14" s="315">
        <v>15392</v>
      </c>
      <c r="AI14" s="315">
        <v>430</v>
      </c>
      <c r="AJ14" s="315">
        <v>347</v>
      </c>
      <c r="AL14" s="233"/>
      <c r="AM14" s="233"/>
    </row>
    <row r="15" spans="1:39" ht="11.1" customHeight="1">
      <c r="A15" s="14"/>
      <c r="B15" s="15" t="s">
        <v>257</v>
      </c>
      <c r="C15" s="314">
        <v>79031.26999999999</v>
      </c>
      <c r="D15" s="315">
        <v>1503</v>
      </c>
      <c r="E15" s="315">
        <v>258</v>
      </c>
      <c r="F15" s="315">
        <v>2327</v>
      </c>
      <c r="G15" s="315">
        <v>20147</v>
      </c>
      <c r="H15" s="315">
        <v>216</v>
      </c>
      <c r="I15" s="315">
        <v>2115</v>
      </c>
      <c r="J15" s="315">
        <v>523</v>
      </c>
      <c r="K15" s="315">
        <v>0</v>
      </c>
      <c r="L15" s="315">
        <v>729</v>
      </c>
      <c r="M15" s="14"/>
      <c r="N15" s="15" t="s">
        <v>257</v>
      </c>
      <c r="O15" s="315">
        <v>1362</v>
      </c>
      <c r="P15" s="315">
        <v>1402</v>
      </c>
      <c r="Q15" s="315">
        <v>1877</v>
      </c>
      <c r="R15" s="315">
        <v>3914</v>
      </c>
      <c r="S15" s="315">
        <v>8652</v>
      </c>
      <c r="T15" s="315">
        <v>1992</v>
      </c>
      <c r="U15" s="315">
        <v>9576</v>
      </c>
      <c r="V15" s="315">
        <v>30</v>
      </c>
      <c r="W15" s="315">
        <v>117</v>
      </c>
      <c r="X15" s="315">
        <v>22</v>
      </c>
      <c r="Y15" s="14"/>
      <c r="Z15" s="15" t="s">
        <v>257</v>
      </c>
      <c r="AA15" s="315">
        <v>28</v>
      </c>
      <c r="AB15" s="315">
        <v>1093</v>
      </c>
      <c r="AC15" s="315">
        <v>4052</v>
      </c>
      <c r="AD15" s="315">
        <v>90</v>
      </c>
      <c r="AE15" s="315">
        <v>284</v>
      </c>
      <c r="AF15" s="315">
        <v>5</v>
      </c>
      <c r="AG15" s="315">
        <v>605.2700000000001</v>
      </c>
      <c r="AH15" s="315">
        <v>15311</v>
      </c>
      <c r="AI15" s="315">
        <v>447</v>
      </c>
      <c r="AJ15" s="315">
        <v>354</v>
      </c>
      <c r="AL15" s="233"/>
      <c r="AM15" s="233"/>
    </row>
    <row r="16" spans="1:39" ht="11.1" customHeight="1">
      <c r="A16" s="14" t="s">
        <v>353</v>
      </c>
      <c r="B16" s="15" t="s">
        <v>440</v>
      </c>
      <c r="C16" s="314">
        <v>110068</v>
      </c>
      <c r="D16" s="315">
        <v>9769</v>
      </c>
      <c r="E16" s="315">
        <v>762</v>
      </c>
      <c r="F16" s="315">
        <v>18566</v>
      </c>
      <c r="G16" s="315">
        <v>56</v>
      </c>
      <c r="H16" s="315">
        <v>12972</v>
      </c>
      <c r="I16" s="315">
        <v>14135</v>
      </c>
      <c r="J16" s="315">
        <v>41</v>
      </c>
      <c r="K16" s="315">
        <v>0</v>
      </c>
      <c r="L16" s="315">
        <v>108</v>
      </c>
      <c r="M16" s="14" t="s">
        <v>353</v>
      </c>
      <c r="N16" s="15" t="s">
        <v>440</v>
      </c>
      <c r="O16" s="315">
        <v>46</v>
      </c>
      <c r="P16" s="315">
        <v>1566</v>
      </c>
      <c r="Q16" s="315">
        <v>247</v>
      </c>
      <c r="R16" s="315">
        <v>399</v>
      </c>
      <c r="S16" s="315">
        <v>409</v>
      </c>
      <c r="T16" s="315">
        <v>1846</v>
      </c>
      <c r="U16" s="315">
        <v>24005</v>
      </c>
      <c r="V16" s="315">
        <v>1131</v>
      </c>
      <c r="W16" s="315">
        <v>36</v>
      </c>
      <c r="X16" s="315">
        <v>1605</v>
      </c>
      <c r="Y16" s="14" t="s">
        <v>353</v>
      </c>
      <c r="Z16" s="15" t="s">
        <v>440</v>
      </c>
      <c r="AA16" s="315">
        <v>2853</v>
      </c>
      <c r="AB16" s="315">
        <v>0</v>
      </c>
      <c r="AC16" s="315">
        <v>2022</v>
      </c>
      <c r="AD16" s="315">
        <v>37</v>
      </c>
      <c r="AE16" s="315">
        <v>6906</v>
      </c>
      <c r="AF16" s="315">
        <v>4516</v>
      </c>
      <c r="AG16" s="315">
        <v>0</v>
      </c>
      <c r="AH16" s="315">
        <v>0</v>
      </c>
      <c r="AI16" s="315">
        <v>233</v>
      </c>
      <c r="AJ16" s="315">
        <v>5802</v>
      </c>
      <c r="AL16" s="233"/>
      <c r="AM16" s="233"/>
    </row>
    <row r="17" spans="1:39" ht="11.1" customHeight="1">
      <c r="A17" s="14"/>
      <c r="B17" s="15" t="s">
        <v>257</v>
      </c>
      <c r="C17" s="314">
        <v>103744</v>
      </c>
      <c r="D17" s="315">
        <v>9449</v>
      </c>
      <c r="E17" s="315">
        <v>1116</v>
      </c>
      <c r="F17" s="315">
        <v>16459</v>
      </c>
      <c r="G17" s="315">
        <v>32</v>
      </c>
      <c r="H17" s="315">
        <v>12900</v>
      </c>
      <c r="I17" s="315">
        <v>11564</v>
      </c>
      <c r="J17" s="315">
        <v>26</v>
      </c>
      <c r="K17" s="315">
        <v>0</v>
      </c>
      <c r="L17" s="315">
        <v>112</v>
      </c>
      <c r="M17" s="14"/>
      <c r="N17" s="15" t="s">
        <v>257</v>
      </c>
      <c r="O17" s="315">
        <v>53</v>
      </c>
      <c r="P17" s="315">
        <v>1785</v>
      </c>
      <c r="Q17" s="315">
        <v>181</v>
      </c>
      <c r="R17" s="315">
        <v>366</v>
      </c>
      <c r="S17" s="315">
        <v>382</v>
      </c>
      <c r="T17" s="315">
        <v>1994</v>
      </c>
      <c r="U17" s="315">
        <v>21884</v>
      </c>
      <c r="V17" s="315">
        <v>490</v>
      </c>
      <c r="W17" s="315">
        <v>45</v>
      </c>
      <c r="X17" s="315">
        <v>1724</v>
      </c>
      <c r="Y17" s="14"/>
      <c r="Z17" s="15" t="s">
        <v>257</v>
      </c>
      <c r="AA17" s="315">
        <v>2921</v>
      </c>
      <c r="AB17" s="315">
        <v>0</v>
      </c>
      <c r="AC17" s="315">
        <v>1661</v>
      </c>
      <c r="AD17" s="315">
        <v>61</v>
      </c>
      <c r="AE17" s="315">
        <v>6537</v>
      </c>
      <c r="AF17" s="315">
        <v>4345</v>
      </c>
      <c r="AG17" s="315">
        <v>0</v>
      </c>
      <c r="AH17" s="315">
        <v>0</v>
      </c>
      <c r="AI17" s="315">
        <v>95</v>
      </c>
      <c r="AJ17" s="315">
        <v>7562</v>
      </c>
      <c r="AL17" s="233"/>
      <c r="AM17" s="233"/>
    </row>
    <row r="18" spans="1:39" ht="11.1" customHeight="1">
      <c r="A18" s="14" t="s">
        <v>354</v>
      </c>
      <c r="B18" s="15" t="s">
        <v>440</v>
      </c>
      <c r="C18" s="314">
        <v>218865.3</v>
      </c>
      <c r="D18" s="315">
        <v>26771.5</v>
      </c>
      <c r="E18" s="315">
        <v>18105.5</v>
      </c>
      <c r="F18" s="315">
        <v>35475</v>
      </c>
      <c r="G18" s="315">
        <v>23780</v>
      </c>
      <c r="H18" s="315">
        <v>10899</v>
      </c>
      <c r="I18" s="315">
        <v>845</v>
      </c>
      <c r="J18" s="315">
        <v>0</v>
      </c>
      <c r="K18" s="315">
        <v>0</v>
      </c>
      <c r="L18" s="315">
        <v>119.5</v>
      </c>
      <c r="M18" s="14" t="s">
        <v>354</v>
      </c>
      <c r="N18" s="15" t="s">
        <v>440</v>
      </c>
      <c r="O18" s="315">
        <v>854.25</v>
      </c>
      <c r="P18" s="315">
        <v>11143</v>
      </c>
      <c r="Q18" s="315">
        <v>378.05</v>
      </c>
      <c r="R18" s="315">
        <v>925</v>
      </c>
      <c r="S18" s="315">
        <v>141</v>
      </c>
      <c r="T18" s="315">
        <v>7900.5</v>
      </c>
      <c r="U18" s="315">
        <v>28222.5</v>
      </c>
      <c r="V18" s="315">
        <v>8070</v>
      </c>
      <c r="W18" s="315">
        <v>1209</v>
      </c>
      <c r="X18" s="315">
        <v>1736</v>
      </c>
      <c r="Y18" s="14" t="s">
        <v>354</v>
      </c>
      <c r="Z18" s="15" t="s">
        <v>440</v>
      </c>
      <c r="AA18" s="315">
        <v>3516</v>
      </c>
      <c r="AB18" s="315">
        <v>0</v>
      </c>
      <c r="AC18" s="315">
        <v>17129.5</v>
      </c>
      <c r="AD18" s="315">
        <v>0</v>
      </c>
      <c r="AE18" s="315">
        <v>4309.5</v>
      </c>
      <c r="AF18" s="315">
        <v>16483.5</v>
      </c>
      <c r="AG18" s="315">
        <v>0</v>
      </c>
      <c r="AH18" s="315">
        <v>0</v>
      </c>
      <c r="AI18" s="315">
        <v>0</v>
      </c>
      <c r="AJ18" s="315">
        <v>852</v>
      </c>
      <c r="AL18" s="233"/>
      <c r="AM18" s="233"/>
    </row>
    <row r="19" spans="1:39" ht="11.1" customHeight="1">
      <c r="A19" s="14"/>
      <c r="B19" s="15" t="s">
        <v>257</v>
      </c>
      <c r="C19" s="314">
        <v>218697.95</v>
      </c>
      <c r="D19" s="315">
        <v>27281</v>
      </c>
      <c r="E19" s="315">
        <v>18784</v>
      </c>
      <c r="F19" s="315">
        <v>37806</v>
      </c>
      <c r="G19" s="315">
        <v>22944</v>
      </c>
      <c r="H19" s="315">
        <v>10693.25</v>
      </c>
      <c r="I19" s="315">
        <v>906</v>
      </c>
      <c r="J19" s="315">
        <v>0</v>
      </c>
      <c r="K19" s="315">
        <v>0</v>
      </c>
      <c r="L19" s="315">
        <v>126</v>
      </c>
      <c r="M19" s="14"/>
      <c r="N19" s="15" t="s">
        <v>257</v>
      </c>
      <c r="O19" s="315">
        <v>966.5</v>
      </c>
      <c r="P19" s="315">
        <v>9918.5</v>
      </c>
      <c r="Q19" s="315">
        <v>462.45</v>
      </c>
      <c r="R19" s="315">
        <v>1108.5</v>
      </c>
      <c r="S19" s="315">
        <v>175</v>
      </c>
      <c r="T19" s="315">
        <v>8480.5</v>
      </c>
      <c r="U19" s="315">
        <v>27294</v>
      </c>
      <c r="V19" s="315">
        <v>7567.25</v>
      </c>
      <c r="W19" s="315">
        <v>1285</v>
      </c>
      <c r="X19" s="315">
        <v>1583</v>
      </c>
      <c r="Y19" s="14"/>
      <c r="Z19" s="15" t="s">
        <v>257</v>
      </c>
      <c r="AA19" s="315">
        <v>3087</v>
      </c>
      <c r="AB19" s="315">
        <v>0</v>
      </c>
      <c r="AC19" s="315">
        <v>17628</v>
      </c>
      <c r="AD19" s="315">
        <v>0</v>
      </c>
      <c r="AE19" s="315">
        <v>4431.5</v>
      </c>
      <c r="AF19" s="315">
        <v>15448.5</v>
      </c>
      <c r="AG19" s="315">
        <v>0</v>
      </c>
      <c r="AH19" s="315">
        <v>131</v>
      </c>
      <c r="AI19" s="315">
        <v>0</v>
      </c>
      <c r="AJ19" s="315">
        <v>591</v>
      </c>
      <c r="AL19" s="233"/>
      <c r="AM19" s="233"/>
    </row>
    <row r="20" spans="1:39" ht="11.1" customHeight="1">
      <c r="A20" s="14" t="s">
        <v>410</v>
      </c>
      <c r="B20" s="15" t="s">
        <v>440</v>
      </c>
      <c r="C20" s="314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14" t="s">
        <v>410</v>
      </c>
      <c r="N20" s="15" t="s">
        <v>440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14" t="s">
        <v>410</v>
      </c>
      <c r="Z20" s="15" t="s">
        <v>440</v>
      </c>
      <c r="AA20" s="315">
        <v>0</v>
      </c>
      <c r="AB20" s="315">
        <v>0</v>
      </c>
      <c r="AC20" s="315">
        <v>0</v>
      </c>
      <c r="AD20" s="315">
        <v>0</v>
      </c>
      <c r="AE20" s="315">
        <v>0</v>
      </c>
      <c r="AF20" s="315">
        <v>0</v>
      </c>
      <c r="AG20" s="315">
        <v>0</v>
      </c>
      <c r="AH20" s="315">
        <v>0</v>
      </c>
      <c r="AI20" s="315">
        <v>0</v>
      </c>
      <c r="AJ20" s="315">
        <v>0</v>
      </c>
      <c r="AL20" s="233"/>
      <c r="AM20" s="233"/>
    </row>
    <row r="21" spans="1:39" ht="11.1" customHeight="1">
      <c r="A21" s="14"/>
      <c r="B21" s="15" t="s">
        <v>257</v>
      </c>
      <c r="C21" s="314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14"/>
      <c r="N21" s="15" t="s">
        <v>257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14"/>
      <c r="Z21" s="15" t="s">
        <v>257</v>
      </c>
      <c r="AA21" s="315">
        <v>0</v>
      </c>
      <c r="AB21" s="315">
        <v>0</v>
      </c>
      <c r="AC21" s="315">
        <v>0</v>
      </c>
      <c r="AD21" s="315">
        <v>0</v>
      </c>
      <c r="AE21" s="315">
        <v>0</v>
      </c>
      <c r="AF21" s="315">
        <v>0</v>
      </c>
      <c r="AG21" s="315">
        <v>0</v>
      </c>
      <c r="AH21" s="315">
        <v>0</v>
      </c>
      <c r="AI21" s="315">
        <v>0</v>
      </c>
      <c r="AJ21" s="315">
        <v>0</v>
      </c>
      <c r="AL21" s="233"/>
      <c r="AM21" s="233"/>
    </row>
    <row r="22" spans="1:39" ht="11.1" customHeight="1">
      <c r="A22" s="14" t="s">
        <v>355</v>
      </c>
      <c r="B22" s="15" t="s">
        <v>440</v>
      </c>
      <c r="C22" s="314">
        <v>124055.03999999999</v>
      </c>
      <c r="D22" s="315">
        <v>9326</v>
      </c>
      <c r="E22" s="315">
        <v>2725</v>
      </c>
      <c r="F22" s="315">
        <v>24726.46</v>
      </c>
      <c r="G22" s="315">
        <v>1198</v>
      </c>
      <c r="H22" s="315">
        <v>14807</v>
      </c>
      <c r="I22" s="315">
        <v>3057</v>
      </c>
      <c r="J22" s="315">
        <v>0</v>
      </c>
      <c r="K22" s="315">
        <v>0</v>
      </c>
      <c r="L22" s="315">
        <v>59</v>
      </c>
      <c r="M22" s="14" t="s">
        <v>355</v>
      </c>
      <c r="N22" s="15" t="s">
        <v>440</v>
      </c>
      <c r="O22" s="315">
        <v>149</v>
      </c>
      <c r="P22" s="315">
        <v>600</v>
      </c>
      <c r="Q22" s="315">
        <v>547</v>
      </c>
      <c r="R22" s="315">
        <v>0</v>
      </c>
      <c r="S22" s="315">
        <v>466.5</v>
      </c>
      <c r="T22" s="315">
        <v>2399</v>
      </c>
      <c r="U22" s="315">
        <v>30581.35</v>
      </c>
      <c r="V22" s="315">
        <v>4103.7299999999996</v>
      </c>
      <c r="W22" s="315">
        <v>55</v>
      </c>
      <c r="X22" s="315">
        <v>1855</v>
      </c>
      <c r="Y22" s="14" t="s">
        <v>355</v>
      </c>
      <c r="Z22" s="15" t="s">
        <v>440</v>
      </c>
      <c r="AA22" s="315">
        <v>4261</v>
      </c>
      <c r="AB22" s="315">
        <v>0</v>
      </c>
      <c r="AC22" s="315">
        <v>1302</v>
      </c>
      <c r="AD22" s="315">
        <v>0</v>
      </c>
      <c r="AE22" s="315">
        <v>10093</v>
      </c>
      <c r="AF22" s="315">
        <v>2747</v>
      </c>
      <c r="AG22" s="315">
        <v>0</v>
      </c>
      <c r="AH22" s="315">
        <v>0</v>
      </c>
      <c r="AI22" s="315">
        <v>1141</v>
      </c>
      <c r="AJ22" s="315">
        <v>7856</v>
      </c>
      <c r="AL22" s="233"/>
      <c r="AM22" s="233"/>
    </row>
    <row r="23" spans="1:39" ht="11.1" customHeight="1">
      <c r="A23" s="14"/>
      <c r="B23" s="15" t="s">
        <v>257</v>
      </c>
      <c r="C23" s="314">
        <v>124452.57100000001</v>
      </c>
      <c r="D23" s="315">
        <v>9079.8009999999995</v>
      </c>
      <c r="E23" s="315">
        <v>3389</v>
      </c>
      <c r="F23" s="315">
        <v>22272</v>
      </c>
      <c r="G23" s="315">
        <v>1029</v>
      </c>
      <c r="H23" s="315">
        <v>13800</v>
      </c>
      <c r="I23" s="315">
        <v>2632</v>
      </c>
      <c r="J23" s="315">
        <v>0</v>
      </c>
      <c r="K23" s="315">
        <v>0</v>
      </c>
      <c r="L23" s="315">
        <v>45</v>
      </c>
      <c r="M23" s="14"/>
      <c r="N23" s="15" t="s">
        <v>257</v>
      </c>
      <c r="O23" s="315">
        <v>120</v>
      </c>
      <c r="P23" s="315">
        <v>731</v>
      </c>
      <c r="Q23" s="315">
        <v>618</v>
      </c>
      <c r="R23" s="315">
        <v>0</v>
      </c>
      <c r="S23" s="315">
        <v>422</v>
      </c>
      <c r="T23" s="315">
        <v>2066</v>
      </c>
      <c r="U23" s="315">
        <v>31377</v>
      </c>
      <c r="V23" s="315">
        <v>3651.77</v>
      </c>
      <c r="W23" s="315">
        <v>56</v>
      </c>
      <c r="X23" s="315">
        <v>1304</v>
      </c>
      <c r="Y23" s="14"/>
      <c r="Z23" s="15" t="s">
        <v>257</v>
      </c>
      <c r="AA23" s="315">
        <v>3512</v>
      </c>
      <c r="AB23" s="315">
        <v>0</v>
      </c>
      <c r="AC23" s="315">
        <v>1840</v>
      </c>
      <c r="AD23" s="315">
        <v>0</v>
      </c>
      <c r="AE23" s="315">
        <v>9794</v>
      </c>
      <c r="AF23" s="315">
        <v>2082</v>
      </c>
      <c r="AG23" s="315">
        <v>0</v>
      </c>
      <c r="AH23" s="315">
        <v>0</v>
      </c>
      <c r="AI23" s="315">
        <v>1050</v>
      </c>
      <c r="AJ23" s="315">
        <v>13582</v>
      </c>
      <c r="AL23" s="233"/>
      <c r="AM23" s="233"/>
    </row>
    <row r="24" spans="1:39" ht="11.1" customHeight="1">
      <c r="A24" s="14" t="s">
        <v>356</v>
      </c>
      <c r="B24" s="15" t="s">
        <v>440</v>
      </c>
      <c r="C24" s="314">
        <v>109299.4</v>
      </c>
      <c r="D24" s="315">
        <v>4586</v>
      </c>
      <c r="E24" s="315">
        <v>1019</v>
      </c>
      <c r="F24" s="315">
        <v>20804</v>
      </c>
      <c r="G24" s="315">
        <v>0</v>
      </c>
      <c r="H24" s="315">
        <v>18414.5</v>
      </c>
      <c r="I24" s="315">
        <v>2066</v>
      </c>
      <c r="J24" s="315">
        <v>0</v>
      </c>
      <c r="K24" s="315">
        <v>0</v>
      </c>
      <c r="L24" s="315">
        <v>132</v>
      </c>
      <c r="M24" s="14" t="s">
        <v>356</v>
      </c>
      <c r="N24" s="15" t="s">
        <v>440</v>
      </c>
      <c r="O24" s="315">
        <v>458</v>
      </c>
      <c r="P24" s="315">
        <v>7456</v>
      </c>
      <c r="Q24" s="315">
        <v>167</v>
      </c>
      <c r="R24" s="315">
        <v>186</v>
      </c>
      <c r="S24" s="315">
        <v>28</v>
      </c>
      <c r="T24" s="315">
        <v>2478.5</v>
      </c>
      <c r="U24" s="315">
        <v>25166.5</v>
      </c>
      <c r="V24" s="315">
        <v>0</v>
      </c>
      <c r="W24" s="315">
        <v>33</v>
      </c>
      <c r="X24" s="315">
        <v>1268.5</v>
      </c>
      <c r="Y24" s="14" t="s">
        <v>356</v>
      </c>
      <c r="Z24" s="15" t="s">
        <v>440</v>
      </c>
      <c r="AA24" s="315">
        <v>5036.5</v>
      </c>
      <c r="AB24" s="315">
        <v>0</v>
      </c>
      <c r="AC24" s="315">
        <v>5777.4</v>
      </c>
      <c r="AD24" s="315">
        <v>104</v>
      </c>
      <c r="AE24" s="315">
        <v>8177.5</v>
      </c>
      <c r="AF24" s="315">
        <v>4670</v>
      </c>
      <c r="AG24" s="315">
        <v>0</v>
      </c>
      <c r="AH24" s="315">
        <v>0</v>
      </c>
      <c r="AI24" s="315">
        <v>0</v>
      </c>
      <c r="AJ24" s="315">
        <v>1271</v>
      </c>
      <c r="AL24" s="233"/>
      <c r="AM24" s="233"/>
    </row>
    <row r="25" spans="1:39" ht="11.1" customHeight="1">
      <c r="A25" s="14"/>
      <c r="B25" s="15" t="s">
        <v>257</v>
      </c>
      <c r="C25" s="314">
        <v>114335.85800000001</v>
      </c>
      <c r="D25" s="315">
        <v>5104.5</v>
      </c>
      <c r="E25" s="315">
        <v>851</v>
      </c>
      <c r="F25" s="315">
        <v>21917</v>
      </c>
      <c r="G25" s="315">
        <v>0</v>
      </c>
      <c r="H25" s="315">
        <v>19479.5</v>
      </c>
      <c r="I25" s="315">
        <v>2311.5</v>
      </c>
      <c r="J25" s="315">
        <v>0</v>
      </c>
      <c r="K25" s="315">
        <v>0</v>
      </c>
      <c r="L25" s="315">
        <v>126</v>
      </c>
      <c r="M25" s="14"/>
      <c r="N25" s="15" t="s">
        <v>257</v>
      </c>
      <c r="O25" s="315">
        <v>330</v>
      </c>
      <c r="P25" s="315">
        <v>7361.35</v>
      </c>
      <c r="Q25" s="315">
        <v>92.5</v>
      </c>
      <c r="R25" s="315">
        <v>176</v>
      </c>
      <c r="S25" s="315">
        <v>26</v>
      </c>
      <c r="T25" s="315">
        <v>2024.5</v>
      </c>
      <c r="U25" s="315">
        <v>27660</v>
      </c>
      <c r="V25" s="315">
        <v>0</v>
      </c>
      <c r="W25" s="315">
        <v>33</v>
      </c>
      <c r="X25" s="315">
        <v>1156.498</v>
      </c>
      <c r="Y25" s="14"/>
      <c r="Z25" s="15" t="s">
        <v>257</v>
      </c>
      <c r="AA25" s="315">
        <v>4924</v>
      </c>
      <c r="AB25" s="315">
        <v>0</v>
      </c>
      <c r="AC25" s="315">
        <v>6221</v>
      </c>
      <c r="AD25" s="315">
        <v>112</v>
      </c>
      <c r="AE25" s="315">
        <v>8592</v>
      </c>
      <c r="AF25" s="315">
        <v>4322.51</v>
      </c>
      <c r="AG25" s="315">
        <v>0</v>
      </c>
      <c r="AH25" s="315">
        <v>0</v>
      </c>
      <c r="AI25" s="315">
        <v>0</v>
      </c>
      <c r="AJ25" s="315">
        <v>1515</v>
      </c>
      <c r="AL25" s="233"/>
      <c r="AM25" s="233"/>
    </row>
    <row r="26" spans="1:39" ht="11.1" customHeight="1">
      <c r="A26" s="14" t="s">
        <v>503</v>
      </c>
      <c r="B26" s="15" t="s">
        <v>440</v>
      </c>
      <c r="C26" s="314">
        <v>111491.25</v>
      </c>
      <c r="D26" s="315">
        <v>7991.5</v>
      </c>
      <c r="E26" s="315">
        <v>11145.5</v>
      </c>
      <c r="F26" s="315">
        <v>13512.5</v>
      </c>
      <c r="G26" s="315">
        <v>10047</v>
      </c>
      <c r="H26" s="315">
        <v>6008</v>
      </c>
      <c r="I26" s="315">
        <v>623.75</v>
      </c>
      <c r="J26" s="315">
        <v>107</v>
      </c>
      <c r="K26" s="315">
        <v>0</v>
      </c>
      <c r="L26" s="315">
        <v>59.5</v>
      </c>
      <c r="M26" s="14" t="s">
        <v>503</v>
      </c>
      <c r="N26" s="15" t="s">
        <v>440</v>
      </c>
      <c r="O26" s="315">
        <v>471</v>
      </c>
      <c r="P26" s="315">
        <v>2812</v>
      </c>
      <c r="Q26" s="315">
        <v>182.75</v>
      </c>
      <c r="R26" s="315">
        <v>38.5</v>
      </c>
      <c r="S26" s="315">
        <v>85.5</v>
      </c>
      <c r="T26" s="315">
        <v>761.5</v>
      </c>
      <c r="U26" s="315">
        <v>41199.75</v>
      </c>
      <c r="V26" s="315">
        <v>4427.75</v>
      </c>
      <c r="W26" s="315">
        <v>254.25</v>
      </c>
      <c r="X26" s="315">
        <v>690.5</v>
      </c>
      <c r="Y26" s="14" t="s">
        <v>503</v>
      </c>
      <c r="Z26" s="15" t="s">
        <v>440</v>
      </c>
      <c r="AA26" s="315">
        <v>2186</v>
      </c>
      <c r="AB26" s="315">
        <v>0</v>
      </c>
      <c r="AC26" s="315">
        <v>3543.75</v>
      </c>
      <c r="AD26" s="315">
        <v>0</v>
      </c>
      <c r="AE26" s="315">
        <v>3005.75</v>
      </c>
      <c r="AF26" s="315">
        <v>1134</v>
      </c>
      <c r="AG26" s="315">
        <v>0</v>
      </c>
      <c r="AH26" s="315">
        <v>356.5</v>
      </c>
      <c r="AI26" s="315">
        <v>0</v>
      </c>
      <c r="AJ26" s="315">
        <v>847</v>
      </c>
      <c r="AL26" s="233"/>
      <c r="AM26" s="233"/>
    </row>
    <row r="27" spans="1:39" ht="11.1" customHeight="1">
      <c r="A27" s="14"/>
      <c r="B27" s="15" t="s">
        <v>257</v>
      </c>
      <c r="C27" s="314">
        <v>109813.5</v>
      </c>
      <c r="D27" s="315">
        <v>8185.75</v>
      </c>
      <c r="E27" s="315">
        <v>10331</v>
      </c>
      <c r="F27" s="315">
        <v>13239.5</v>
      </c>
      <c r="G27" s="315">
        <v>7518.5</v>
      </c>
      <c r="H27" s="315">
        <v>6211</v>
      </c>
      <c r="I27" s="315">
        <v>608.5</v>
      </c>
      <c r="J27" s="315">
        <v>94.25</v>
      </c>
      <c r="K27" s="315">
        <v>0</v>
      </c>
      <c r="L27" s="315">
        <v>62.5</v>
      </c>
      <c r="M27" s="14"/>
      <c r="N27" s="15" t="s">
        <v>257</v>
      </c>
      <c r="O27" s="315">
        <v>514.5</v>
      </c>
      <c r="P27" s="315">
        <v>2345.75</v>
      </c>
      <c r="Q27" s="315">
        <v>148</v>
      </c>
      <c r="R27" s="315">
        <v>27.5</v>
      </c>
      <c r="S27" s="315">
        <v>80</v>
      </c>
      <c r="T27" s="315">
        <v>771.25</v>
      </c>
      <c r="U27" s="315">
        <v>43288</v>
      </c>
      <c r="V27" s="315">
        <v>4291.75</v>
      </c>
      <c r="W27" s="315">
        <v>262.75</v>
      </c>
      <c r="X27" s="315">
        <v>650.25</v>
      </c>
      <c r="Y27" s="14"/>
      <c r="Z27" s="15" t="s">
        <v>257</v>
      </c>
      <c r="AA27" s="315">
        <v>2256</v>
      </c>
      <c r="AB27" s="315">
        <v>0</v>
      </c>
      <c r="AC27" s="315">
        <v>3486.75</v>
      </c>
      <c r="AD27" s="315">
        <v>0</v>
      </c>
      <c r="AE27" s="315">
        <v>3049.25</v>
      </c>
      <c r="AF27" s="315">
        <v>1019.25</v>
      </c>
      <c r="AG27" s="315">
        <v>0</v>
      </c>
      <c r="AH27" s="315">
        <v>344.5</v>
      </c>
      <c r="AI27" s="315">
        <v>0</v>
      </c>
      <c r="AJ27" s="315">
        <v>1027</v>
      </c>
      <c r="AL27" s="233"/>
      <c r="AM27" s="233"/>
    </row>
    <row r="28" spans="1:39" ht="11.1" customHeight="1">
      <c r="A28" s="14" t="s">
        <v>357</v>
      </c>
      <c r="B28" s="15" t="s">
        <v>440</v>
      </c>
      <c r="C28" s="314">
        <v>35285.4</v>
      </c>
      <c r="D28" s="315">
        <v>32</v>
      </c>
      <c r="E28" s="315">
        <v>20147.500000000004</v>
      </c>
      <c r="F28" s="315">
        <v>130.60000000000002</v>
      </c>
      <c r="G28" s="315">
        <v>0</v>
      </c>
      <c r="H28" s="315">
        <v>71</v>
      </c>
      <c r="I28" s="315">
        <v>18</v>
      </c>
      <c r="J28" s="315">
        <v>140.9</v>
      </c>
      <c r="K28" s="315">
        <v>0</v>
      </c>
      <c r="L28" s="315">
        <v>1306.0999999999999</v>
      </c>
      <c r="M28" s="14" t="s">
        <v>357</v>
      </c>
      <c r="N28" s="15" t="s">
        <v>440</v>
      </c>
      <c r="O28" s="315">
        <v>1204.3</v>
      </c>
      <c r="P28" s="315">
        <v>91</v>
      </c>
      <c r="Q28" s="315">
        <v>2</v>
      </c>
      <c r="R28" s="315">
        <v>4</v>
      </c>
      <c r="S28" s="315">
        <v>2061.4</v>
      </c>
      <c r="T28" s="315">
        <v>1277.5</v>
      </c>
      <c r="U28" s="315">
        <v>3376.1</v>
      </c>
      <c r="V28" s="315">
        <v>301</v>
      </c>
      <c r="W28" s="315">
        <v>1790.5</v>
      </c>
      <c r="X28" s="315">
        <v>0</v>
      </c>
      <c r="Y28" s="14" t="s">
        <v>357</v>
      </c>
      <c r="Z28" s="15" t="s">
        <v>440</v>
      </c>
      <c r="AA28" s="315">
        <v>4</v>
      </c>
      <c r="AB28" s="315">
        <v>392</v>
      </c>
      <c r="AC28" s="315">
        <v>309.5</v>
      </c>
      <c r="AD28" s="315">
        <v>2562</v>
      </c>
      <c r="AE28" s="315">
        <v>0</v>
      </c>
      <c r="AF28" s="315">
        <v>0</v>
      </c>
      <c r="AG28" s="315">
        <v>0</v>
      </c>
      <c r="AH28" s="315">
        <v>64</v>
      </c>
      <c r="AI28" s="315">
        <v>0</v>
      </c>
      <c r="AJ28" s="315">
        <v>0</v>
      </c>
      <c r="AL28" s="233"/>
      <c r="AM28" s="233"/>
    </row>
    <row r="29" spans="1:39" ht="11.1" customHeight="1">
      <c r="A29" s="14"/>
      <c r="B29" s="15" t="s">
        <v>257</v>
      </c>
      <c r="C29" s="314">
        <v>36094.380000000005</v>
      </c>
      <c r="D29" s="315">
        <v>16</v>
      </c>
      <c r="E29" s="315">
        <v>20087.080000000002</v>
      </c>
      <c r="F29" s="315">
        <v>67</v>
      </c>
      <c r="G29" s="315">
        <v>0</v>
      </c>
      <c r="H29" s="315">
        <v>40</v>
      </c>
      <c r="I29" s="315">
        <v>45.5</v>
      </c>
      <c r="J29" s="315">
        <v>155.9</v>
      </c>
      <c r="K29" s="315">
        <v>0</v>
      </c>
      <c r="L29" s="315">
        <v>1128.5</v>
      </c>
      <c r="M29" s="14"/>
      <c r="N29" s="15" t="s">
        <v>257</v>
      </c>
      <c r="O29" s="315">
        <v>1421.25</v>
      </c>
      <c r="P29" s="315">
        <v>63</v>
      </c>
      <c r="Q29" s="315">
        <v>16.5</v>
      </c>
      <c r="R29" s="315">
        <v>4</v>
      </c>
      <c r="S29" s="315">
        <v>2384.8000000000002</v>
      </c>
      <c r="T29" s="315">
        <v>1363.5</v>
      </c>
      <c r="U29" s="315">
        <v>3609.8</v>
      </c>
      <c r="V29" s="315">
        <v>416.5</v>
      </c>
      <c r="W29" s="315">
        <v>1504.5</v>
      </c>
      <c r="X29" s="315">
        <v>2</v>
      </c>
      <c r="Y29" s="14"/>
      <c r="Z29" s="15" t="s">
        <v>257</v>
      </c>
      <c r="AA29" s="315">
        <v>5</v>
      </c>
      <c r="AB29" s="315">
        <v>362</v>
      </c>
      <c r="AC29" s="315">
        <v>194</v>
      </c>
      <c r="AD29" s="315">
        <v>3025.55</v>
      </c>
      <c r="AE29" s="315">
        <v>0</v>
      </c>
      <c r="AF29" s="315">
        <v>0</v>
      </c>
      <c r="AG29" s="315">
        <v>0</v>
      </c>
      <c r="AH29" s="315">
        <v>182</v>
      </c>
      <c r="AI29" s="315">
        <v>0</v>
      </c>
      <c r="AJ29" s="315">
        <v>0</v>
      </c>
      <c r="AL29" s="233"/>
      <c r="AM29" s="233"/>
    </row>
    <row r="30" spans="1:39" ht="11.1" customHeight="1">
      <c r="A30" s="14" t="s">
        <v>504</v>
      </c>
      <c r="B30" s="15" t="s">
        <v>440</v>
      </c>
      <c r="C30" s="314">
        <v>95089.1</v>
      </c>
      <c r="D30" s="315">
        <v>4784</v>
      </c>
      <c r="E30" s="315">
        <v>5728</v>
      </c>
      <c r="F30" s="315">
        <v>8598</v>
      </c>
      <c r="G30" s="315">
        <v>640</v>
      </c>
      <c r="H30" s="315">
        <v>10408</v>
      </c>
      <c r="I30" s="315">
        <v>1791</v>
      </c>
      <c r="J30" s="315">
        <v>123</v>
      </c>
      <c r="K30" s="315">
        <v>0</v>
      </c>
      <c r="L30" s="315">
        <v>15</v>
      </c>
      <c r="M30" s="14" t="s">
        <v>504</v>
      </c>
      <c r="N30" s="15" t="s">
        <v>440</v>
      </c>
      <c r="O30" s="315">
        <v>155</v>
      </c>
      <c r="P30" s="315">
        <v>4418</v>
      </c>
      <c r="Q30" s="315">
        <v>1242</v>
      </c>
      <c r="R30" s="315">
        <v>536</v>
      </c>
      <c r="S30" s="315">
        <v>270</v>
      </c>
      <c r="T30" s="315">
        <v>7819</v>
      </c>
      <c r="U30" s="315">
        <v>24569</v>
      </c>
      <c r="V30" s="315">
        <v>7583</v>
      </c>
      <c r="W30" s="315">
        <v>0</v>
      </c>
      <c r="X30" s="315">
        <v>560</v>
      </c>
      <c r="Y30" s="14" t="s">
        <v>504</v>
      </c>
      <c r="Z30" s="15" t="s">
        <v>440</v>
      </c>
      <c r="AA30" s="315">
        <v>2549</v>
      </c>
      <c r="AB30" s="315">
        <v>0</v>
      </c>
      <c r="AC30" s="315">
        <v>4566</v>
      </c>
      <c r="AD30" s="315">
        <v>0</v>
      </c>
      <c r="AE30" s="315">
        <v>1674</v>
      </c>
      <c r="AF30" s="315">
        <v>972</v>
      </c>
      <c r="AG30" s="315">
        <v>0</v>
      </c>
      <c r="AH30" s="315">
        <v>0</v>
      </c>
      <c r="AI30" s="315">
        <v>685</v>
      </c>
      <c r="AJ30" s="315">
        <v>5404.1</v>
      </c>
      <c r="AL30" s="233"/>
      <c r="AM30" s="233"/>
    </row>
    <row r="31" spans="1:39" ht="11.1" customHeight="1">
      <c r="A31" s="14"/>
      <c r="B31" s="15" t="s">
        <v>257</v>
      </c>
      <c r="C31" s="314">
        <v>90229.679000000004</v>
      </c>
      <c r="D31" s="315">
        <v>3844</v>
      </c>
      <c r="E31" s="315">
        <v>6056.6089999999995</v>
      </c>
      <c r="F31" s="315">
        <v>7303.75</v>
      </c>
      <c r="G31" s="315">
        <v>663.15</v>
      </c>
      <c r="H31" s="315">
        <v>9145</v>
      </c>
      <c r="I31" s="315">
        <v>1913</v>
      </c>
      <c r="J31" s="315">
        <v>146</v>
      </c>
      <c r="K31" s="315">
        <v>0</v>
      </c>
      <c r="L31" s="315">
        <v>14</v>
      </c>
      <c r="M31" s="14"/>
      <c r="N31" s="15" t="s">
        <v>257</v>
      </c>
      <c r="O31" s="315">
        <v>139.5</v>
      </c>
      <c r="P31" s="315">
        <v>4320.72</v>
      </c>
      <c r="Q31" s="315">
        <v>1051</v>
      </c>
      <c r="R31" s="315">
        <v>361</v>
      </c>
      <c r="S31" s="315">
        <v>199</v>
      </c>
      <c r="T31" s="315">
        <v>6497.55</v>
      </c>
      <c r="U31" s="315">
        <v>24852.55</v>
      </c>
      <c r="V31" s="315">
        <v>8450.85</v>
      </c>
      <c r="W31" s="315">
        <v>0</v>
      </c>
      <c r="X31" s="315">
        <v>566.5</v>
      </c>
      <c r="Y31" s="14"/>
      <c r="Z31" s="15" t="s">
        <v>257</v>
      </c>
      <c r="AA31" s="315">
        <v>2447</v>
      </c>
      <c r="AB31" s="315">
        <v>0</v>
      </c>
      <c r="AC31" s="315">
        <v>4281.5</v>
      </c>
      <c r="AD31" s="315">
        <v>0</v>
      </c>
      <c r="AE31" s="315">
        <v>1461</v>
      </c>
      <c r="AF31" s="315">
        <v>744</v>
      </c>
      <c r="AG31" s="315">
        <v>0</v>
      </c>
      <c r="AH31" s="315">
        <v>0</v>
      </c>
      <c r="AI31" s="315">
        <v>432</v>
      </c>
      <c r="AJ31" s="315">
        <v>5340</v>
      </c>
      <c r="AL31" s="233"/>
      <c r="AM31" s="233"/>
    </row>
    <row r="32" spans="1:39" ht="11.1" customHeight="1">
      <c r="A32" s="14" t="s">
        <v>416</v>
      </c>
      <c r="B32" s="15" t="s">
        <v>440</v>
      </c>
      <c r="C32" s="314">
        <v>208609.55100000001</v>
      </c>
      <c r="D32" s="315">
        <v>29940</v>
      </c>
      <c r="E32" s="315">
        <v>12409.5</v>
      </c>
      <c r="F32" s="315">
        <v>14968</v>
      </c>
      <c r="G32" s="315">
        <v>33024.5</v>
      </c>
      <c r="H32" s="315">
        <v>26307</v>
      </c>
      <c r="I32" s="315">
        <v>1356.5</v>
      </c>
      <c r="J32" s="315">
        <v>332</v>
      </c>
      <c r="K32" s="315">
        <v>328</v>
      </c>
      <c r="L32" s="315">
        <v>180.5</v>
      </c>
      <c r="M32" s="14" t="s">
        <v>416</v>
      </c>
      <c r="N32" s="15" t="s">
        <v>440</v>
      </c>
      <c r="O32" s="315">
        <v>489.5</v>
      </c>
      <c r="P32" s="315">
        <v>1708</v>
      </c>
      <c r="Q32" s="315">
        <v>405</v>
      </c>
      <c r="R32" s="315">
        <v>214.5</v>
      </c>
      <c r="S32" s="315">
        <v>472.5</v>
      </c>
      <c r="T32" s="315">
        <v>1074</v>
      </c>
      <c r="U32" s="315">
        <v>24626</v>
      </c>
      <c r="V32" s="315">
        <v>934.5</v>
      </c>
      <c r="W32" s="315">
        <v>438.5</v>
      </c>
      <c r="X32" s="315">
        <v>1057</v>
      </c>
      <c r="Y32" s="14" t="s">
        <v>416</v>
      </c>
      <c r="Z32" s="15" t="s">
        <v>440</v>
      </c>
      <c r="AA32" s="315">
        <v>1581</v>
      </c>
      <c r="AB32" s="315">
        <v>111.5</v>
      </c>
      <c r="AC32" s="315">
        <v>2856</v>
      </c>
      <c r="AD32" s="315">
        <v>69.5</v>
      </c>
      <c r="AE32" s="315">
        <v>4967.5</v>
      </c>
      <c r="AF32" s="315">
        <v>9058</v>
      </c>
      <c r="AG32" s="315">
        <v>35054.550999999999</v>
      </c>
      <c r="AH32" s="315">
        <v>2995.5</v>
      </c>
      <c r="AI32" s="315">
        <v>98</v>
      </c>
      <c r="AJ32" s="315">
        <v>1552.5</v>
      </c>
      <c r="AL32" s="233"/>
      <c r="AM32" s="233"/>
    </row>
    <row r="33" spans="1:39" ht="11.1" customHeight="1">
      <c r="A33" s="14"/>
      <c r="B33" s="15" t="s">
        <v>257</v>
      </c>
      <c r="C33" s="314">
        <v>215764.01400000002</v>
      </c>
      <c r="D33" s="315">
        <v>29771</v>
      </c>
      <c r="E33" s="315">
        <v>14093.600000000002</v>
      </c>
      <c r="F33" s="315">
        <v>15019</v>
      </c>
      <c r="G33" s="315">
        <v>32621.5</v>
      </c>
      <c r="H33" s="315">
        <v>27513</v>
      </c>
      <c r="I33" s="315">
        <v>1154.5</v>
      </c>
      <c r="J33" s="315">
        <v>274</v>
      </c>
      <c r="K33" s="315">
        <v>156</v>
      </c>
      <c r="L33" s="315">
        <v>233.5</v>
      </c>
      <c r="M33" s="14"/>
      <c r="N33" s="15" t="s">
        <v>257</v>
      </c>
      <c r="O33" s="315">
        <v>583.5</v>
      </c>
      <c r="P33" s="315">
        <v>1618</v>
      </c>
      <c r="Q33" s="315">
        <v>446</v>
      </c>
      <c r="R33" s="315">
        <v>204</v>
      </c>
      <c r="S33" s="315">
        <v>669</v>
      </c>
      <c r="T33" s="315">
        <v>1180</v>
      </c>
      <c r="U33" s="315">
        <v>25767.5</v>
      </c>
      <c r="V33" s="315">
        <v>1167</v>
      </c>
      <c r="W33" s="315">
        <v>408</v>
      </c>
      <c r="X33" s="315">
        <v>1125</v>
      </c>
      <c r="Y33" s="14"/>
      <c r="Z33" s="15" t="s">
        <v>257</v>
      </c>
      <c r="AA33" s="315">
        <v>1749</v>
      </c>
      <c r="AB33" s="315">
        <v>100</v>
      </c>
      <c r="AC33" s="315">
        <v>2479.4</v>
      </c>
      <c r="AD33" s="315">
        <v>30</v>
      </c>
      <c r="AE33" s="315">
        <v>5246.5</v>
      </c>
      <c r="AF33" s="315">
        <v>8743</v>
      </c>
      <c r="AG33" s="315">
        <v>38716.51400000001</v>
      </c>
      <c r="AH33" s="315">
        <v>3210.5</v>
      </c>
      <c r="AI33" s="315">
        <v>68</v>
      </c>
      <c r="AJ33" s="315">
        <v>1417</v>
      </c>
      <c r="AL33" s="233"/>
      <c r="AM33" s="233"/>
    </row>
    <row r="34" spans="1:39" ht="11.1" customHeight="1">
      <c r="A34" s="14" t="s">
        <v>417</v>
      </c>
      <c r="B34" s="15" t="s">
        <v>440</v>
      </c>
      <c r="C34" s="314">
        <v>117750.292</v>
      </c>
      <c r="D34" s="315">
        <v>1232</v>
      </c>
      <c r="E34" s="315">
        <v>14693</v>
      </c>
      <c r="F34" s="315">
        <v>4055</v>
      </c>
      <c r="G34" s="315">
        <v>53896</v>
      </c>
      <c r="H34" s="315">
        <v>76</v>
      </c>
      <c r="I34" s="315">
        <v>77</v>
      </c>
      <c r="J34" s="315">
        <v>31</v>
      </c>
      <c r="K34" s="315">
        <v>276</v>
      </c>
      <c r="L34" s="315">
        <v>116</v>
      </c>
      <c r="M34" s="14" t="s">
        <v>417</v>
      </c>
      <c r="N34" s="15" t="s">
        <v>440</v>
      </c>
      <c r="O34" s="315">
        <v>31</v>
      </c>
      <c r="P34" s="315">
        <v>813</v>
      </c>
      <c r="Q34" s="315">
        <v>106</v>
      </c>
      <c r="R34" s="315">
        <v>0</v>
      </c>
      <c r="S34" s="315">
        <v>709</v>
      </c>
      <c r="T34" s="315">
        <v>3133</v>
      </c>
      <c r="U34" s="315">
        <v>520</v>
      </c>
      <c r="V34" s="315">
        <v>709</v>
      </c>
      <c r="W34" s="315">
        <v>2713</v>
      </c>
      <c r="X34" s="315">
        <v>20</v>
      </c>
      <c r="Y34" s="14" t="s">
        <v>417</v>
      </c>
      <c r="Z34" s="15" t="s">
        <v>440</v>
      </c>
      <c r="AA34" s="315">
        <v>340</v>
      </c>
      <c r="AB34" s="315">
        <v>53</v>
      </c>
      <c r="AC34" s="315">
        <v>637</v>
      </c>
      <c r="AD34" s="315">
        <v>2684</v>
      </c>
      <c r="AE34" s="315">
        <v>200</v>
      </c>
      <c r="AF34" s="315">
        <v>631</v>
      </c>
      <c r="AG34" s="315">
        <v>27600.292000000005</v>
      </c>
      <c r="AH34" s="315">
        <v>2399</v>
      </c>
      <c r="AI34" s="315">
        <v>0</v>
      </c>
      <c r="AJ34" s="315">
        <v>0</v>
      </c>
      <c r="AL34" s="233"/>
      <c r="AM34" s="233"/>
    </row>
    <row r="35" spans="1:39" ht="11.1" customHeight="1">
      <c r="A35" s="14"/>
      <c r="B35" s="15" t="s">
        <v>257</v>
      </c>
      <c r="C35" s="314">
        <v>104994.47500000001</v>
      </c>
      <c r="D35" s="315">
        <v>934</v>
      </c>
      <c r="E35" s="315">
        <v>13423</v>
      </c>
      <c r="F35" s="315">
        <v>2857</v>
      </c>
      <c r="G35" s="315">
        <v>47672</v>
      </c>
      <c r="H35" s="315">
        <v>40</v>
      </c>
      <c r="I35" s="315">
        <v>80</v>
      </c>
      <c r="J35" s="315">
        <v>8</v>
      </c>
      <c r="K35" s="315">
        <v>596</v>
      </c>
      <c r="L35" s="315">
        <v>95</v>
      </c>
      <c r="M35" s="14"/>
      <c r="N35" s="15" t="s">
        <v>257</v>
      </c>
      <c r="O35" s="315">
        <v>19</v>
      </c>
      <c r="P35" s="315">
        <v>897</v>
      </c>
      <c r="Q35" s="315">
        <v>27</v>
      </c>
      <c r="R35" s="315">
        <v>0</v>
      </c>
      <c r="S35" s="315">
        <v>432</v>
      </c>
      <c r="T35" s="315">
        <v>2406</v>
      </c>
      <c r="U35" s="315">
        <v>115</v>
      </c>
      <c r="V35" s="315">
        <v>638</v>
      </c>
      <c r="W35" s="315">
        <v>2357</v>
      </c>
      <c r="X35" s="315">
        <v>20</v>
      </c>
      <c r="Y35" s="14"/>
      <c r="Z35" s="15" t="s">
        <v>257</v>
      </c>
      <c r="AA35" s="315">
        <v>120</v>
      </c>
      <c r="AB35" s="315">
        <v>171</v>
      </c>
      <c r="AC35" s="315">
        <v>617</v>
      </c>
      <c r="AD35" s="315">
        <v>2380</v>
      </c>
      <c r="AE35" s="315">
        <v>177</v>
      </c>
      <c r="AF35" s="315">
        <v>400</v>
      </c>
      <c r="AG35" s="315">
        <v>26908.474999999999</v>
      </c>
      <c r="AH35" s="315">
        <v>1605</v>
      </c>
      <c r="AI35" s="315">
        <v>0</v>
      </c>
      <c r="AJ35" s="315">
        <v>0</v>
      </c>
      <c r="AL35" s="233"/>
      <c r="AM35" s="233"/>
    </row>
    <row r="36" spans="1:39" ht="11.1" customHeight="1">
      <c r="A36" s="14" t="s">
        <v>418</v>
      </c>
      <c r="B36" s="15" t="s">
        <v>440</v>
      </c>
      <c r="C36" s="314">
        <v>62977.34</v>
      </c>
      <c r="D36" s="315">
        <v>243</v>
      </c>
      <c r="E36" s="315">
        <v>13740.6</v>
      </c>
      <c r="F36" s="315">
        <v>437</v>
      </c>
      <c r="G36" s="315">
        <v>0</v>
      </c>
      <c r="H36" s="315">
        <v>193</v>
      </c>
      <c r="I36" s="315">
        <v>5</v>
      </c>
      <c r="J36" s="315">
        <v>857</v>
      </c>
      <c r="K36" s="315">
        <v>0</v>
      </c>
      <c r="L36" s="315">
        <v>983</v>
      </c>
      <c r="M36" s="14" t="s">
        <v>418</v>
      </c>
      <c r="N36" s="15" t="s">
        <v>440</v>
      </c>
      <c r="O36" s="315">
        <v>542</v>
      </c>
      <c r="P36" s="315">
        <v>604.75</v>
      </c>
      <c r="Q36" s="315">
        <v>1660</v>
      </c>
      <c r="R36" s="315">
        <v>1588.9099999999999</v>
      </c>
      <c r="S36" s="315">
        <v>654</v>
      </c>
      <c r="T36" s="315">
        <v>2796</v>
      </c>
      <c r="U36" s="315">
        <v>5255.5</v>
      </c>
      <c r="V36" s="315">
        <v>934</v>
      </c>
      <c r="W36" s="315">
        <v>6040.4</v>
      </c>
      <c r="X36" s="315">
        <v>75</v>
      </c>
      <c r="Y36" s="14" t="s">
        <v>418</v>
      </c>
      <c r="Z36" s="15" t="s">
        <v>440</v>
      </c>
      <c r="AA36" s="315">
        <v>167</v>
      </c>
      <c r="AB36" s="315">
        <v>2010</v>
      </c>
      <c r="AC36" s="315">
        <v>1613</v>
      </c>
      <c r="AD36" s="315">
        <v>0</v>
      </c>
      <c r="AE36" s="315">
        <v>115</v>
      </c>
      <c r="AF36" s="315">
        <v>4</v>
      </c>
      <c r="AG36" s="315">
        <v>11706.68</v>
      </c>
      <c r="AH36" s="315">
        <v>10752.5</v>
      </c>
      <c r="AI36" s="315">
        <v>0</v>
      </c>
      <c r="AJ36" s="315">
        <v>0</v>
      </c>
      <c r="AL36" s="233"/>
      <c r="AM36" s="233"/>
    </row>
    <row r="37" spans="1:39" ht="11.1" customHeight="1">
      <c r="A37" s="14"/>
      <c r="B37" s="15" t="s">
        <v>257</v>
      </c>
      <c r="C37" s="314">
        <v>63695.040000000008</v>
      </c>
      <c r="D37" s="315">
        <v>182.75</v>
      </c>
      <c r="E37" s="315">
        <v>14022.75</v>
      </c>
      <c r="F37" s="315">
        <v>406</v>
      </c>
      <c r="G37" s="315">
        <v>0</v>
      </c>
      <c r="H37" s="315">
        <v>135.5</v>
      </c>
      <c r="I37" s="315">
        <v>7</v>
      </c>
      <c r="J37" s="315">
        <v>697.23</v>
      </c>
      <c r="K37" s="315">
        <v>0</v>
      </c>
      <c r="L37" s="315">
        <v>696</v>
      </c>
      <c r="M37" s="14"/>
      <c r="N37" s="15" t="s">
        <v>257</v>
      </c>
      <c r="O37" s="315">
        <v>399</v>
      </c>
      <c r="P37" s="315">
        <v>629</v>
      </c>
      <c r="Q37" s="315">
        <v>1814</v>
      </c>
      <c r="R37" s="315">
        <v>1502.31</v>
      </c>
      <c r="S37" s="315">
        <v>528</v>
      </c>
      <c r="T37" s="315">
        <v>3190</v>
      </c>
      <c r="U37" s="315">
        <v>5432</v>
      </c>
      <c r="V37" s="315">
        <v>1038</v>
      </c>
      <c r="W37" s="315">
        <v>7183.1</v>
      </c>
      <c r="X37" s="315">
        <v>64.3</v>
      </c>
      <c r="Y37" s="14"/>
      <c r="Z37" s="15" t="s">
        <v>257</v>
      </c>
      <c r="AA37" s="315">
        <v>145.30000000000001</v>
      </c>
      <c r="AB37" s="315">
        <v>1750</v>
      </c>
      <c r="AC37" s="315">
        <v>1089</v>
      </c>
      <c r="AD37" s="315">
        <v>14</v>
      </c>
      <c r="AE37" s="315">
        <v>71</v>
      </c>
      <c r="AF37" s="315">
        <v>3</v>
      </c>
      <c r="AG37" s="315">
        <v>11922.8</v>
      </c>
      <c r="AH37" s="315">
        <v>10756</v>
      </c>
      <c r="AI37" s="315">
        <v>0</v>
      </c>
      <c r="AJ37" s="315">
        <v>17</v>
      </c>
      <c r="AL37" s="233"/>
      <c r="AM37" s="233"/>
    </row>
    <row r="38" spans="1:39" ht="11.1" customHeight="1">
      <c r="A38" s="14" t="s">
        <v>409</v>
      </c>
      <c r="B38" s="15" t="s">
        <v>440</v>
      </c>
      <c r="C38" s="314">
        <v>2699</v>
      </c>
      <c r="D38" s="315">
        <v>2</v>
      </c>
      <c r="E38" s="315">
        <v>24</v>
      </c>
      <c r="F38" s="315">
        <v>4</v>
      </c>
      <c r="G38" s="315">
        <v>0</v>
      </c>
      <c r="H38" s="315">
        <v>0</v>
      </c>
      <c r="I38" s="315">
        <v>6</v>
      </c>
      <c r="J38" s="315">
        <v>433</v>
      </c>
      <c r="K38" s="315">
        <v>0</v>
      </c>
      <c r="L38" s="315">
        <v>73</v>
      </c>
      <c r="M38" s="14" t="s">
        <v>409</v>
      </c>
      <c r="N38" s="15" t="s">
        <v>440</v>
      </c>
      <c r="O38" s="315">
        <v>23</v>
      </c>
      <c r="P38" s="315">
        <v>25</v>
      </c>
      <c r="Q38" s="315">
        <v>16</v>
      </c>
      <c r="R38" s="315">
        <v>14</v>
      </c>
      <c r="S38" s="315">
        <v>220</v>
      </c>
      <c r="T38" s="315">
        <v>51</v>
      </c>
      <c r="U38" s="315">
        <v>36</v>
      </c>
      <c r="V38" s="315">
        <v>17</v>
      </c>
      <c r="W38" s="315">
        <v>285</v>
      </c>
      <c r="X38" s="315">
        <v>0</v>
      </c>
      <c r="Y38" s="14" t="s">
        <v>409</v>
      </c>
      <c r="Z38" s="15" t="s">
        <v>440</v>
      </c>
      <c r="AA38" s="315">
        <v>0</v>
      </c>
      <c r="AB38" s="315">
        <v>0</v>
      </c>
      <c r="AC38" s="315">
        <v>51</v>
      </c>
      <c r="AD38" s="315">
        <v>0</v>
      </c>
      <c r="AE38" s="315">
        <v>0</v>
      </c>
      <c r="AF38" s="315">
        <v>0</v>
      </c>
      <c r="AG38" s="315">
        <v>0</v>
      </c>
      <c r="AH38" s="315">
        <v>1419</v>
      </c>
      <c r="AI38" s="315">
        <v>0</v>
      </c>
      <c r="AJ38" s="315">
        <v>0</v>
      </c>
      <c r="AL38" s="233"/>
      <c r="AM38" s="233"/>
    </row>
    <row r="39" spans="1:39" ht="11.1" customHeight="1">
      <c r="A39" s="14"/>
      <c r="B39" s="15" t="s">
        <v>257</v>
      </c>
      <c r="C39" s="314">
        <v>2673</v>
      </c>
      <c r="D39" s="315">
        <v>2</v>
      </c>
      <c r="E39" s="315">
        <v>18</v>
      </c>
      <c r="F39" s="315">
        <v>2</v>
      </c>
      <c r="G39" s="315">
        <v>0</v>
      </c>
      <c r="H39" s="315">
        <v>3</v>
      </c>
      <c r="I39" s="315">
        <v>7</v>
      </c>
      <c r="J39" s="315">
        <v>427</v>
      </c>
      <c r="K39" s="315">
        <v>0</v>
      </c>
      <c r="L39" s="315">
        <v>50</v>
      </c>
      <c r="M39" s="14"/>
      <c r="N39" s="15" t="s">
        <v>257</v>
      </c>
      <c r="O39" s="315">
        <v>20</v>
      </c>
      <c r="P39" s="315">
        <v>23</v>
      </c>
      <c r="Q39" s="315">
        <v>7</v>
      </c>
      <c r="R39" s="315">
        <v>17</v>
      </c>
      <c r="S39" s="315">
        <v>237</v>
      </c>
      <c r="T39" s="315">
        <v>67</v>
      </c>
      <c r="U39" s="315">
        <v>38</v>
      </c>
      <c r="V39" s="315">
        <v>22</v>
      </c>
      <c r="W39" s="315">
        <v>281</v>
      </c>
      <c r="X39" s="315">
        <v>0</v>
      </c>
      <c r="Y39" s="14"/>
      <c r="Z39" s="15" t="s">
        <v>257</v>
      </c>
      <c r="AA39" s="315">
        <v>0</v>
      </c>
      <c r="AB39" s="315">
        <v>0</v>
      </c>
      <c r="AC39" s="315">
        <v>48</v>
      </c>
      <c r="AD39" s="315">
        <v>0</v>
      </c>
      <c r="AE39" s="315">
        <v>0</v>
      </c>
      <c r="AF39" s="315">
        <v>0</v>
      </c>
      <c r="AG39" s="315">
        <v>0</v>
      </c>
      <c r="AH39" s="315">
        <v>1404</v>
      </c>
      <c r="AI39" s="315">
        <v>0</v>
      </c>
      <c r="AJ39" s="315">
        <v>0</v>
      </c>
      <c r="AL39" s="233"/>
      <c r="AM39" s="233"/>
    </row>
    <row r="40" spans="1:39" ht="11.1" customHeight="1">
      <c r="A40" s="14" t="s">
        <v>419</v>
      </c>
      <c r="B40" s="15" t="s">
        <v>440</v>
      </c>
      <c r="C40" s="314">
        <v>130245</v>
      </c>
      <c r="D40" s="315">
        <v>0</v>
      </c>
      <c r="E40" s="315">
        <v>40235</v>
      </c>
      <c r="F40" s="315">
        <v>0</v>
      </c>
      <c r="G40" s="315">
        <v>36898</v>
      </c>
      <c r="H40" s="315">
        <v>0</v>
      </c>
      <c r="I40" s="315">
        <v>0</v>
      </c>
      <c r="J40" s="315">
        <v>477</v>
      </c>
      <c r="K40" s="315">
        <v>0</v>
      </c>
      <c r="L40" s="315">
        <v>487</v>
      </c>
      <c r="M40" s="14" t="s">
        <v>419</v>
      </c>
      <c r="N40" s="15" t="s">
        <v>440</v>
      </c>
      <c r="O40" s="315">
        <v>396</v>
      </c>
      <c r="P40" s="315">
        <v>0</v>
      </c>
      <c r="Q40" s="315">
        <v>0</v>
      </c>
      <c r="R40" s="315">
        <v>0</v>
      </c>
      <c r="S40" s="315">
        <v>0</v>
      </c>
      <c r="T40" s="315">
        <v>5335</v>
      </c>
      <c r="U40" s="315">
        <v>0</v>
      </c>
      <c r="V40" s="315">
        <v>41813</v>
      </c>
      <c r="W40" s="315">
        <v>0</v>
      </c>
      <c r="X40" s="315">
        <v>0</v>
      </c>
      <c r="Y40" s="14" t="s">
        <v>419</v>
      </c>
      <c r="Z40" s="15" t="s">
        <v>440</v>
      </c>
      <c r="AA40" s="315">
        <v>0</v>
      </c>
      <c r="AB40" s="315">
        <v>0</v>
      </c>
      <c r="AC40" s="315">
        <v>4604</v>
      </c>
      <c r="AD40" s="315">
        <v>0</v>
      </c>
      <c r="AE40" s="315">
        <v>0</v>
      </c>
      <c r="AF40" s="315">
        <v>0</v>
      </c>
      <c r="AG40" s="315">
        <v>0</v>
      </c>
      <c r="AH40" s="315">
        <v>0</v>
      </c>
      <c r="AI40" s="315">
        <v>0</v>
      </c>
      <c r="AJ40" s="315">
        <v>0</v>
      </c>
      <c r="AL40" s="233"/>
      <c r="AM40" s="233"/>
    </row>
    <row r="41" spans="1:39" ht="11.1" customHeight="1">
      <c r="A41" s="14"/>
      <c r="B41" s="15" t="s">
        <v>257</v>
      </c>
      <c r="C41" s="314">
        <v>123955</v>
      </c>
      <c r="D41" s="315">
        <v>0</v>
      </c>
      <c r="E41" s="315">
        <v>37058</v>
      </c>
      <c r="F41" s="315">
        <v>0</v>
      </c>
      <c r="G41" s="315">
        <v>35542</v>
      </c>
      <c r="H41" s="315">
        <v>0</v>
      </c>
      <c r="I41" s="315">
        <v>0</v>
      </c>
      <c r="J41" s="315">
        <v>438</v>
      </c>
      <c r="K41" s="315">
        <v>0</v>
      </c>
      <c r="L41" s="315">
        <v>426</v>
      </c>
      <c r="M41" s="14"/>
      <c r="N41" s="15" t="s">
        <v>257</v>
      </c>
      <c r="O41" s="315">
        <v>337</v>
      </c>
      <c r="P41" s="315">
        <v>0</v>
      </c>
      <c r="Q41" s="315">
        <v>0</v>
      </c>
      <c r="R41" s="315">
        <v>0</v>
      </c>
      <c r="S41" s="315">
        <v>0</v>
      </c>
      <c r="T41" s="315">
        <v>3602</v>
      </c>
      <c r="U41" s="315">
        <v>0</v>
      </c>
      <c r="V41" s="315">
        <v>41971</v>
      </c>
      <c r="W41" s="315">
        <v>0</v>
      </c>
      <c r="X41" s="315">
        <v>0</v>
      </c>
      <c r="Y41" s="14"/>
      <c r="Z41" s="15" t="s">
        <v>257</v>
      </c>
      <c r="AA41" s="315">
        <v>0</v>
      </c>
      <c r="AB41" s="315">
        <v>0</v>
      </c>
      <c r="AC41" s="315">
        <v>4581</v>
      </c>
      <c r="AD41" s="315">
        <v>0</v>
      </c>
      <c r="AE41" s="315">
        <v>0</v>
      </c>
      <c r="AF41" s="315">
        <v>0</v>
      </c>
      <c r="AG41" s="315">
        <v>0</v>
      </c>
      <c r="AH41" s="315">
        <v>0</v>
      </c>
      <c r="AI41" s="315">
        <v>0</v>
      </c>
      <c r="AJ41" s="315">
        <v>0</v>
      </c>
      <c r="AL41" s="233"/>
      <c r="AM41" s="233"/>
    </row>
    <row r="42" spans="1:39" ht="11.1" customHeight="1">
      <c r="A42" s="14" t="s">
        <v>438</v>
      </c>
      <c r="B42" s="15" t="s">
        <v>440</v>
      </c>
      <c r="C42" s="314">
        <v>10019.75</v>
      </c>
      <c r="D42" s="315">
        <v>0</v>
      </c>
      <c r="E42" s="315">
        <v>6300</v>
      </c>
      <c r="F42" s="315">
        <v>0</v>
      </c>
      <c r="G42" s="315">
        <v>2447</v>
      </c>
      <c r="H42" s="315">
        <v>0</v>
      </c>
      <c r="I42" s="315">
        <v>0</v>
      </c>
      <c r="J42" s="315">
        <v>0</v>
      </c>
      <c r="K42" s="315">
        <v>0</v>
      </c>
      <c r="L42" s="315">
        <v>0</v>
      </c>
      <c r="M42" s="14" t="s">
        <v>438</v>
      </c>
      <c r="N42" s="15" t="s">
        <v>440</v>
      </c>
      <c r="O42" s="315">
        <v>5.5</v>
      </c>
      <c r="P42" s="315">
        <v>0</v>
      </c>
      <c r="Q42" s="315">
        <v>0</v>
      </c>
      <c r="R42" s="315">
        <v>0</v>
      </c>
      <c r="S42" s="315">
        <v>0</v>
      </c>
      <c r="T42" s="315">
        <v>11</v>
      </c>
      <c r="U42" s="315">
        <v>0</v>
      </c>
      <c r="V42" s="315">
        <v>1032.5</v>
      </c>
      <c r="W42" s="315">
        <v>51.25</v>
      </c>
      <c r="X42" s="315">
        <v>0</v>
      </c>
      <c r="Y42" s="14" t="s">
        <v>438</v>
      </c>
      <c r="Z42" s="15" t="s">
        <v>440</v>
      </c>
      <c r="AA42" s="315">
        <v>0</v>
      </c>
      <c r="AB42" s="315">
        <v>0</v>
      </c>
      <c r="AC42" s="315">
        <v>172.5</v>
      </c>
      <c r="AD42" s="315">
        <v>0</v>
      </c>
      <c r="AE42" s="315">
        <v>0</v>
      </c>
      <c r="AF42" s="315">
        <v>0</v>
      </c>
      <c r="AG42" s="315">
        <v>0</v>
      </c>
      <c r="AH42" s="315">
        <v>0</v>
      </c>
      <c r="AI42" s="315">
        <v>0</v>
      </c>
      <c r="AJ42" s="315">
        <v>0</v>
      </c>
      <c r="AL42" s="233"/>
      <c r="AM42" s="233"/>
    </row>
    <row r="43" spans="1:39" ht="11.1" customHeight="1">
      <c r="A43" s="14"/>
      <c r="B43" s="15" t="s">
        <v>257</v>
      </c>
      <c r="C43" s="314">
        <v>10246</v>
      </c>
      <c r="D43" s="315">
        <v>0</v>
      </c>
      <c r="E43" s="315">
        <v>6406</v>
      </c>
      <c r="F43" s="315">
        <v>0</v>
      </c>
      <c r="G43" s="315">
        <v>2277.5</v>
      </c>
      <c r="H43" s="315">
        <v>0</v>
      </c>
      <c r="I43" s="315">
        <v>0</v>
      </c>
      <c r="J43" s="315">
        <v>0</v>
      </c>
      <c r="K43" s="315">
        <v>0</v>
      </c>
      <c r="L43" s="315">
        <v>2.5</v>
      </c>
      <c r="M43" s="14"/>
      <c r="N43" s="15" t="s">
        <v>257</v>
      </c>
      <c r="O43" s="315">
        <v>4.75</v>
      </c>
      <c r="P43" s="315">
        <v>0</v>
      </c>
      <c r="Q43" s="315">
        <v>0</v>
      </c>
      <c r="R43" s="315">
        <v>0</v>
      </c>
      <c r="S43" s="315">
        <v>0</v>
      </c>
      <c r="T43" s="315">
        <v>0</v>
      </c>
      <c r="U43" s="315">
        <v>0</v>
      </c>
      <c r="V43" s="315">
        <v>1273.5</v>
      </c>
      <c r="W43" s="315">
        <v>62.25</v>
      </c>
      <c r="X43" s="315">
        <v>0</v>
      </c>
      <c r="Y43" s="14"/>
      <c r="Z43" s="15" t="s">
        <v>257</v>
      </c>
      <c r="AA43" s="315">
        <v>0</v>
      </c>
      <c r="AB43" s="315">
        <v>0</v>
      </c>
      <c r="AC43" s="315">
        <v>219.5</v>
      </c>
      <c r="AD43" s="315">
        <v>0</v>
      </c>
      <c r="AE43" s="315">
        <v>0</v>
      </c>
      <c r="AF43" s="315">
        <v>0</v>
      </c>
      <c r="AG43" s="315">
        <v>0</v>
      </c>
      <c r="AH43" s="315">
        <v>0</v>
      </c>
      <c r="AI43" s="315">
        <v>0</v>
      </c>
      <c r="AJ43" s="315">
        <v>0</v>
      </c>
      <c r="AL43" s="233"/>
      <c r="AM43" s="233"/>
    </row>
    <row r="44" spans="1:39" ht="11.1" customHeight="1">
      <c r="A44" s="14" t="s">
        <v>453</v>
      </c>
      <c r="B44" s="15" t="s">
        <v>440</v>
      </c>
      <c r="C44" s="314">
        <v>2149</v>
      </c>
      <c r="D44" s="315">
        <v>101</v>
      </c>
      <c r="E44" s="315">
        <v>61</v>
      </c>
      <c r="F44" s="315">
        <v>680</v>
      </c>
      <c r="G44" s="315">
        <v>0</v>
      </c>
      <c r="H44" s="315">
        <v>148</v>
      </c>
      <c r="I44" s="315">
        <v>51</v>
      </c>
      <c r="J44" s="315">
        <v>0</v>
      </c>
      <c r="K44" s="315">
        <v>0</v>
      </c>
      <c r="L44" s="315">
        <v>11</v>
      </c>
      <c r="M44" s="14" t="s">
        <v>453</v>
      </c>
      <c r="N44" s="15" t="s">
        <v>440</v>
      </c>
      <c r="O44" s="315">
        <v>56</v>
      </c>
      <c r="P44" s="315">
        <v>35</v>
      </c>
      <c r="Q44" s="315">
        <v>15</v>
      </c>
      <c r="R44" s="315">
        <v>15</v>
      </c>
      <c r="S44" s="315">
        <v>54</v>
      </c>
      <c r="T44" s="315">
        <v>48</v>
      </c>
      <c r="U44" s="315">
        <v>551</v>
      </c>
      <c r="V44" s="315">
        <v>0</v>
      </c>
      <c r="W44" s="315">
        <v>1</v>
      </c>
      <c r="X44" s="315">
        <v>22</v>
      </c>
      <c r="Y44" s="14" t="s">
        <v>453</v>
      </c>
      <c r="Z44" s="15" t="s">
        <v>440</v>
      </c>
      <c r="AA44" s="315">
        <v>7</v>
      </c>
      <c r="AB44" s="315">
        <v>0</v>
      </c>
      <c r="AC44" s="315">
        <v>22</v>
      </c>
      <c r="AD44" s="315">
        <v>0</v>
      </c>
      <c r="AE44" s="315">
        <v>137</v>
      </c>
      <c r="AF44" s="315">
        <v>0</v>
      </c>
      <c r="AG44" s="315">
        <v>0</v>
      </c>
      <c r="AH44" s="315">
        <v>97</v>
      </c>
      <c r="AI44" s="315">
        <v>0</v>
      </c>
      <c r="AJ44" s="315">
        <v>37</v>
      </c>
      <c r="AL44" s="233"/>
      <c r="AM44" s="233"/>
    </row>
    <row r="45" spans="1:39" ht="11.1" customHeight="1">
      <c r="A45" s="14"/>
      <c r="B45" s="15" t="s">
        <v>257</v>
      </c>
      <c r="C45" s="314">
        <v>1959</v>
      </c>
      <c r="D45" s="315">
        <v>73</v>
      </c>
      <c r="E45" s="315">
        <v>59</v>
      </c>
      <c r="F45" s="315">
        <v>641</v>
      </c>
      <c r="G45" s="315">
        <v>0</v>
      </c>
      <c r="H45" s="315">
        <v>96</v>
      </c>
      <c r="I45" s="315">
        <v>41</v>
      </c>
      <c r="J45" s="315">
        <v>0</v>
      </c>
      <c r="K45" s="315">
        <v>0</v>
      </c>
      <c r="L45" s="315">
        <v>5</v>
      </c>
      <c r="M45" s="14"/>
      <c r="N45" s="15" t="s">
        <v>257</v>
      </c>
      <c r="O45" s="315">
        <v>47</v>
      </c>
      <c r="P45" s="315">
        <v>33</v>
      </c>
      <c r="Q45" s="315">
        <v>13</v>
      </c>
      <c r="R45" s="315">
        <v>6</v>
      </c>
      <c r="S45" s="315">
        <v>62</v>
      </c>
      <c r="T45" s="315">
        <v>50</v>
      </c>
      <c r="U45" s="315">
        <v>576</v>
      </c>
      <c r="V45" s="315">
        <v>0</v>
      </c>
      <c r="W45" s="315">
        <v>1</v>
      </c>
      <c r="X45" s="315">
        <v>23</v>
      </c>
      <c r="Y45" s="14"/>
      <c r="Z45" s="15" t="s">
        <v>257</v>
      </c>
      <c r="AA45" s="315">
        <v>9</v>
      </c>
      <c r="AB45" s="315">
        <v>0</v>
      </c>
      <c r="AC45" s="315">
        <v>3</v>
      </c>
      <c r="AD45" s="315">
        <v>0</v>
      </c>
      <c r="AE45" s="315">
        <v>134</v>
      </c>
      <c r="AF45" s="315">
        <v>0</v>
      </c>
      <c r="AG45" s="315">
        <v>0</v>
      </c>
      <c r="AH45" s="315">
        <v>65</v>
      </c>
      <c r="AI45" s="315">
        <v>0</v>
      </c>
      <c r="AJ45" s="315">
        <v>22</v>
      </c>
      <c r="AL45" s="233"/>
      <c r="AM45" s="233"/>
    </row>
    <row r="46" spans="1:39" ht="11.1" customHeight="1">
      <c r="A46" s="14" t="s">
        <v>420</v>
      </c>
      <c r="B46" s="15" t="s">
        <v>440</v>
      </c>
      <c r="C46" s="314">
        <v>27853.5</v>
      </c>
      <c r="D46" s="315">
        <v>210</v>
      </c>
      <c r="E46" s="315">
        <v>3953</v>
      </c>
      <c r="F46" s="315">
        <v>1502</v>
      </c>
      <c r="G46" s="315">
        <v>1515</v>
      </c>
      <c r="H46" s="315">
        <v>160</v>
      </c>
      <c r="I46" s="315">
        <v>0</v>
      </c>
      <c r="J46" s="315">
        <v>244</v>
      </c>
      <c r="K46" s="315">
        <v>0</v>
      </c>
      <c r="L46" s="315">
        <v>0</v>
      </c>
      <c r="M46" s="14" t="s">
        <v>420</v>
      </c>
      <c r="N46" s="15" t="s">
        <v>440</v>
      </c>
      <c r="O46" s="315">
        <v>596</v>
      </c>
      <c r="P46" s="315">
        <v>563</v>
      </c>
      <c r="Q46" s="315">
        <v>38.5</v>
      </c>
      <c r="R46" s="315">
        <v>15</v>
      </c>
      <c r="S46" s="315">
        <v>0</v>
      </c>
      <c r="T46" s="315">
        <v>759</v>
      </c>
      <c r="U46" s="315">
        <v>9023</v>
      </c>
      <c r="V46" s="315">
        <v>6267</v>
      </c>
      <c r="W46" s="315">
        <v>0</v>
      </c>
      <c r="X46" s="315">
        <v>649</v>
      </c>
      <c r="Y46" s="14" t="s">
        <v>420</v>
      </c>
      <c r="Z46" s="15" t="s">
        <v>440</v>
      </c>
      <c r="AA46" s="315">
        <v>802</v>
      </c>
      <c r="AB46" s="315">
        <v>0</v>
      </c>
      <c r="AC46" s="315">
        <v>677</v>
      </c>
      <c r="AD46" s="315">
        <v>0</v>
      </c>
      <c r="AE46" s="315">
        <v>571</v>
      </c>
      <c r="AF46" s="315">
        <v>71</v>
      </c>
      <c r="AG46" s="315">
        <v>0</v>
      </c>
      <c r="AH46" s="315">
        <v>0</v>
      </c>
      <c r="AI46" s="315">
        <v>0</v>
      </c>
      <c r="AJ46" s="315">
        <v>238</v>
      </c>
      <c r="AL46" s="233"/>
      <c r="AM46" s="233"/>
    </row>
    <row r="47" spans="1:39" ht="11.1" customHeight="1">
      <c r="A47" s="14"/>
      <c r="B47" s="15" t="s">
        <v>257</v>
      </c>
      <c r="C47" s="314">
        <v>25449</v>
      </c>
      <c r="D47" s="315">
        <v>210</v>
      </c>
      <c r="E47" s="315">
        <v>3625</v>
      </c>
      <c r="F47" s="315">
        <v>1594.5</v>
      </c>
      <c r="G47" s="315">
        <v>1261</v>
      </c>
      <c r="H47" s="315">
        <v>147</v>
      </c>
      <c r="I47" s="315">
        <v>0</v>
      </c>
      <c r="J47" s="315">
        <v>292</v>
      </c>
      <c r="K47" s="315">
        <v>0</v>
      </c>
      <c r="L47" s="315">
        <v>0</v>
      </c>
      <c r="M47" s="14"/>
      <c r="N47" s="15" t="s">
        <v>257</v>
      </c>
      <c r="O47" s="315">
        <v>587</v>
      </c>
      <c r="P47" s="315">
        <v>712</v>
      </c>
      <c r="Q47" s="315">
        <v>40.5</v>
      </c>
      <c r="R47" s="315">
        <v>6</v>
      </c>
      <c r="S47" s="315">
        <v>0</v>
      </c>
      <c r="T47" s="315">
        <v>831</v>
      </c>
      <c r="U47" s="315">
        <v>9096</v>
      </c>
      <c r="V47" s="315">
        <v>4299</v>
      </c>
      <c r="W47" s="315">
        <v>0</v>
      </c>
      <c r="X47" s="315">
        <v>613</v>
      </c>
      <c r="Y47" s="14"/>
      <c r="Z47" s="15" t="s">
        <v>257</v>
      </c>
      <c r="AA47" s="315">
        <v>718</v>
      </c>
      <c r="AB47" s="315">
        <v>0</v>
      </c>
      <c r="AC47" s="315">
        <v>651</v>
      </c>
      <c r="AD47" s="315">
        <v>0</v>
      </c>
      <c r="AE47" s="315">
        <v>510</v>
      </c>
      <c r="AF47" s="315">
        <v>59</v>
      </c>
      <c r="AG47" s="315">
        <v>0</v>
      </c>
      <c r="AH47" s="315">
        <v>0</v>
      </c>
      <c r="AI47" s="315">
        <v>0</v>
      </c>
      <c r="AJ47" s="315">
        <v>197</v>
      </c>
      <c r="AL47" s="233"/>
      <c r="AM47" s="233"/>
    </row>
    <row r="48" spans="1:39" ht="11.1" customHeight="1">
      <c r="A48" s="14" t="s">
        <v>421</v>
      </c>
      <c r="B48" s="15" t="s">
        <v>440</v>
      </c>
      <c r="C48" s="314">
        <v>119875.03</v>
      </c>
      <c r="D48" s="315">
        <v>11481</v>
      </c>
      <c r="E48" s="315">
        <v>12659</v>
      </c>
      <c r="F48" s="315">
        <v>15724</v>
      </c>
      <c r="G48" s="315">
        <v>59707</v>
      </c>
      <c r="H48" s="315">
        <v>337</v>
      </c>
      <c r="I48" s="315">
        <v>0</v>
      </c>
      <c r="J48" s="315">
        <v>12</v>
      </c>
      <c r="K48" s="315">
        <v>915</v>
      </c>
      <c r="L48" s="315">
        <v>82</v>
      </c>
      <c r="M48" s="14" t="s">
        <v>421</v>
      </c>
      <c r="N48" s="15" t="s">
        <v>440</v>
      </c>
      <c r="O48" s="315">
        <v>73</v>
      </c>
      <c r="P48" s="315">
        <v>396</v>
      </c>
      <c r="Q48" s="315">
        <v>43</v>
      </c>
      <c r="R48" s="315">
        <v>107</v>
      </c>
      <c r="S48" s="315">
        <v>129</v>
      </c>
      <c r="T48" s="315">
        <v>70</v>
      </c>
      <c r="U48" s="315">
        <v>1572</v>
      </c>
      <c r="V48" s="315">
        <v>1025</v>
      </c>
      <c r="W48" s="315">
        <v>522</v>
      </c>
      <c r="X48" s="315">
        <v>369</v>
      </c>
      <c r="Y48" s="14" t="s">
        <v>421</v>
      </c>
      <c r="Z48" s="15" t="s">
        <v>440</v>
      </c>
      <c r="AA48" s="315">
        <v>446</v>
      </c>
      <c r="AB48" s="315">
        <v>610</v>
      </c>
      <c r="AC48" s="315">
        <v>5721</v>
      </c>
      <c r="AD48" s="315">
        <v>0</v>
      </c>
      <c r="AE48" s="315">
        <v>428</v>
      </c>
      <c r="AF48" s="315">
        <v>4389</v>
      </c>
      <c r="AG48" s="315">
        <v>3058.0299999999997</v>
      </c>
      <c r="AH48" s="315">
        <v>0</v>
      </c>
      <c r="AI48" s="315">
        <v>0</v>
      </c>
      <c r="AJ48" s="315">
        <v>0</v>
      </c>
      <c r="AL48" s="233"/>
      <c r="AM48" s="233"/>
    </row>
    <row r="49" spans="1:39" ht="11.1" customHeight="1">
      <c r="A49" s="14"/>
      <c r="B49" s="15" t="s">
        <v>257</v>
      </c>
      <c r="C49" s="314">
        <v>105266.59</v>
      </c>
      <c r="D49" s="315">
        <v>9156</v>
      </c>
      <c r="E49" s="315">
        <v>13743</v>
      </c>
      <c r="F49" s="315">
        <v>15444</v>
      </c>
      <c r="G49" s="315">
        <v>48899</v>
      </c>
      <c r="H49" s="315">
        <v>351</v>
      </c>
      <c r="I49" s="315">
        <v>0</v>
      </c>
      <c r="J49" s="315">
        <v>0</v>
      </c>
      <c r="K49" s="315">
        <v>246</v>
      </c>
      <c r="L49" s="315">
        <v>98</v>
      </c>
      <c r="M49" s="14"/>
      <c r="N49" s="15" t="s">
        <v>257</v>
      </c>
      <c r="O49" s="315">
        <v>0</v>
      </c>
      <c r="P49" s="315">
        <v>419</v>
      </c>
      <c r="Q49" s="315">
        <v>92</v>
      </c>
      <c r="R49" s="315">
        <v>90</v>
      </c>
      <c r="S49" s="315">
        <v>221</v>
      </c>
      <c r="T49" s="315">
        <v>341</v>
      </c>
      <c r="U49" s="315">
        <v>1986</v>
      </c>
      <c r="V49" s="315">
        <v>864</v>
      </c>
      <c r="W49" s="315">
        <v>682</v>
      </c>
      <c r="X49" s="315">
        <v>512</v>
      </c>
      <c r="Y49" s="14"/>
      <c r="Z49" s="15" t="s">
        <v>257</v>
      </c>
      <c r="AA49" s="315">
        <v>331</v>
      </c>
      <c r="AB49" s="315">
        <v>499</v>
      </c>
      <c r="AC49" s="315">
        <v>4925</v>
      </c>
      <c r="AD49" s="315">
        <v>0</v>
      </c>
      <c r="AE49" s="315">
        <v>396</v>
      </c>
      <c r="AF49" s="315">
        <v>4130</v>
      </c>
      <c r="AG49" s="315">
        <v>1841.59</v>
      </c>
      <c r="AH49" s="315">
        <v>0</v>
      </c>
      <c r="AI49" s="315">
        <v>0</v>
      </c>
      <c r="AJ49" s="315">
        <v>0</v>
      </c>
      <c r="AL49" s="233"/>
      <c r="AM49" s="233"/>
    </row>
    <row r="50" spans="1:39" ht="11.1" customHeight="1">
      <c r="A50" s="14" t="s">
        <v>422</v>
      </c>
      <c r="B50" s="15" t="s">
        <v>440</v>
      </c>
      <c r="C50" s="314">
        <v>242085</v>
      </c>
      <c r="D50" s="315">
        <v>1493</v>
      </c>
      <c r="E50" s="315">
        <v>2583</v>
      </c>
      <c r="F50" s="315">
        <v>3904</v>
      </c>
      <c r="G50" s="315">
        <v>114</v>
      </c>
      <c r="H50" s="315">
        <v>24779</v>
      </c>
      <c r="I50" s="315">
        <v>35916</v>
      </c>
      <c r="J50" s="315">
        <v>0</v>
      </c>
      <c r="K50" s="315">
        <v>0</v>
      </c>
      <c r="L50" s="315">
        <v>0</v>
      </c>
      <c r="M50" s="14" t="s">
        <v>422</v>
      </c>
      <c r="N50" s="15" t="s">
        <v>440</v>
      </c>
      <c r="O50" s="315">
        <v>93</v>
      </c>
      <c r="P50" s="315">
        <v>0</v>
      </c>
      <c r="Q50" s="315">
        <v>19</v>
      </c>
      <c r="R50" s="315">
        <v>0</v>
      </c>
      <c r="S50" s="315">
        <v>456</v>
      </c>
      <c r="T50" s="315">
        <v>18</v>
      </c>
      <c r="U50" s="315">
        <v>59981</v>
      </c>
      <c r="V50" s="315">
        <v>2013</v>
      </c>
      <c r="W50" s="315">
        <v>247</v>
      </c>
      <c r="X50" s="315">
        <v>3478</v>
      </c>
      <c r="Y50" s="14" t="s">
        <v>422</v>
      </c>
      <c r="Z50" s="15" t="s">
        <v>440</v>
      </c>
      <c r="AA50" s="315">
        <v>2772</v>
      </c>
      <c r="AB50" s="315">
        <v>0</v>
      </c>
      <c r="AC50" s="315">
        <v>510</v>
      </c>
      <c r="AD50" s="315">
        <v>0</v>
      </c>
      <c r="AE50" s="315">
        <v>9841</v>
      </c>
      <c r="AF50" s="315">
        <v>1053</v>
      </c>
      <c r="AG50" s="315">
        <v>0</v>
      </c>
      <c r="AH50" s="315">
        <v>0</v>
      </c>
      <c r="AI50" s="315">
        <v>17650</v>
      </c>
      <c r="AJ50" s="315">
        <v>75165</v>
      </c>
      <c r="AL50" s="233"/>
      <c r="AM50" s="233"/>
    </row>
    <row r="51" spans="1:39" ht="11.1" customHeight="1">
      <c r="A51" s="14"/>
      <c r="B51" s="15" t="s">
        <v>257</v>
      </c>
      <c r="C51" s="314">
        <v>241490</v>
      </c>
      <c r="D51" s="315">
        <v>1414</v>
      </c>
      <c r="E51" s="315">
        <v>2617</v>
      </c>
      <c r="F51" s="315">
        <v>3936</v>
      </c>
      <c r="G51" s="315">
        <v>114</v>
      </c>
      <c r="H51" s="315">
        <v>24404</v>
      </c>
      <c r="I51" s="315">
        <v>36092</v>
      </c>
      <c r="J51" s="315">
        <v>0</v>
      </c>
      <c r="K51" s="315">
        <v>0</v>
      </c>
      <c r="L51" s="315">
        <v>0</v>
      </c>
      <c r="M51" s="14"/>
      <c r="N51" s="15" t="s">
        <v>257</v>
      </c>
      <c r="O51" s="315">
        <v>91</v>
      </c>
      <c r="P51" s="315">
        <v>0</v>
      </c>
      <c r="Q51" s="315">
        <v>19</v>
      </c>
      <c r="R51" s="315">
        <v>0</v>
      </c>
      <c r="S51" s="315">
        <v>453</v>
      </c>
      <c r="T51" s="315">
        <v>0</v>
      </c>
      <c r="U51" s="315">
        <v>60730</v>
      </c>
      <c r="V51" s="315">
        <v>2158</v>
      </c>
      <c r="W51" s="315">
        <v>245</v>
      </c>
      <c r="X51" s="315">
        <v>3515</v>
      </c>
      <c r="Y51" s="14"/>
      <c r="Z51" s="15" t="s">
        <v>257</v>
      </c>
      <c r="AA51" s="315">
        <v>2762</v>
      </c>
      <c r="AB51" s="315">
        <v>0</v>
      </c>
      <c r="AC51" s="315">
        <v>535</v>
      </c>
      <c r="AD51" s="315">
        <v>0</v>
      </c>
      <c r="AE51" s="315">
        <v>10028</v>
      </c>
      <c r="AF51" s="315">
        <v>1036</v>
      </c>
      <c r="AG51" s="315">
        <v>0</v>
      </c>
      <c r="AH51" s="315">
        <v>0</v>
      </c>
      <c r="AI51" s="315">
        <v>16331</v>
      </c>
      <c r="AJ51" s="315">
        <v>75010</v>
      </c>
      <c r="AL51" s="233"/>
      <c r="AM51" s="233"/>
    </row>
    <row r="52" spans="1:39" ht="11.1" customHeight="1">
      <c r="A52" s="14" t="s">
        <v>456</v>
      </c>
      <c r="B52" s="15" t="s">
        <v>440</v>
      </c>
      <c r="C52" s="314">
        <v>160969.1</v>
      </c>
      <c r="D52" s="315">
        <v>0</v>
      </c>
      <c r="E52" s="315">
        <v>44836</v>
      </c>
      <c r="F52" s="315">
        <v>0</v>
      </c>
      <c r="G52" s="315">
        <v>107115</v>
      </c>
      <c r="H52" s="315">
        <v>0</v>
      </c>
      <c r="I52" s="315">
        <v>0</v>
      </c>
      <c r="J52" s="315">
        <v>0</v>
      </c>
      <c r="K52" s="315">
        <v>0</v>
      </c>
      <c r="L52" s="315">
        <v>142.1</v>
      </c>
      <c r="M52" s="14" t="s">
        <v>456</v>
      </c>
      <c r="N52" s="15" t="s">
        <v>440</v>
      </c>
      <c r="O52" s="315">
        <v>0</v>
      </c>
      <c r="P52" s="315">
        <v>0</v>
      </c>
      <c r="Q52" s="315">
        <v>0</v>
      </c>
      <c r="R52" s="315">
        <v>0</v>
      </c>
      <c r="S52" s="315">
        <v>0</v>
      </c>
      <c r="T52" s="315">
        <v>0</v>
      </c>
      <c r="U52" s="315">
        <v>0</v>
      </c>
      <c r="V52" s="315">
        <v>5589</v>
      </c>
      <c r="W52" s="315">
        <v>0</v>
      </c>
      <c r="X52" s="315">
        <v>0</v>
      </c>
      <c r="Y52" s="14" t="s">
        <v>456</v>
      </c>
      <c r="Z52" s="15" t="s">
        <v>440</v>
      </c>
      <c r="AA52" s="315">
        <v>0</v>
      </c>
      <c r="AB52" s="315">
        <v>0</v>
      </c>
      <c r="AC52" s="315">
        <v>3287</v>
      </c>
      <c r="AD52" s="315">
        <v>0</v>
      </c>
      <c r="AE52" s="315">
        <v>0</v>
      </c>
      <c r="AF52" s="315">
        <v>0</v>
      </c>
      <c r="AG52" s="315">
        <v>0</v>
      </c>
      <c r="AH52" s="315">
        <v>0</v>
      </c>
      <c r="AI52" s="315">
        <v>0</v>
      </c>
      <c r="AJ52" s="315">
        <v>0</v>
      </c>
      <c r="AL52" s="233"/>
      <c r="AM52" s="233"/>
    </row>
    <row r="53" spans="1:39" ht="11.1" customHeight="1">
      <c r="A53" s="14"/>
      <c r="B53" s="15" t="s">
        <v>257</v>
      </c>
      <c r="C53" s="314">
        <v>154440.82999999999</v>
      </c>
      <c r="D53" s="315">
        <v>0</v>
      </c>
      <c r="E53" s="315">
        <v>43913.5</v>
      </c>
      <c r="F53" s="315">
        <v>0</v>
      </c>
      <c r="G53" s="315">
        <v>101814</v>
      </c>
      <c r="H53" s="315">
        <v>0</v>
      </c>
      <c r="I53" s="315">
        <v>0</v>
      </c>
      <c r="J53" s="315">
        <v>4</v>
      </c>
      <c r="K53" s="315">
        <v>0</v>
      </c>
      <c r="L53" s="315">
        <v>221.68</v>
      </c>
      <c r="M53" s="14"/>
      <c r="N53" s="15" t="s">
        <v>257</v>
      </c>
      <c r="O53" s="315">
        <v>0</v>
      </c>
      <c r="P53" s="315">
        <v>0</v>
      </c>
      <c r="Q53" s="315">
        <v>0</v>
      </c>
      <c r="R53" s="315">
        <v>0</v>
      </c>
      <c r="S53" s="315">
        <v>0</v>
      </c>
      <c r="T53" s="315">
        <v>0</v>
      </c>
      <c r="U53" s="315">
        <v>0</v>
      </c>
      <c r="V53" s="315">
        <v>5385.1500000000005</v>
      </c>
      <c r="W53" s="315">
        <v>0</v>
      </c>
      <c r="X53" s="315">
        <v>0</v>
      </c>
      <c r="Y53" s="14"/>
      <c r="Z53" s="15" t="s">
        <v>257</v>
      </c>
      <c r="AA53" s="315">
        <v>0</v>
      </c>
      <c r="AB53" s="315">
        <v>0</v>
      </c>
      <c r="AC53" s="315">
        <v>3102.5</v>
      </c>
      <c r="AD53" s="315">
        <v>0</v>
      </c>
      <c r="AE53" s="315">
        <v>0</v>
      </c>
      <c r="AF53" s="315">
        <v>0</v>
      </c>
      <c r="AG53" s="315">
        <v>0</v>
      </c>
      <c r="AH53" s="315">
        <v>0</v>
      </c>
      <c r="AI53" s="315">
        <v>0</v>
      </c>
      <c r="AJ53" s="315">
        <v>0</v>
      </c>
      <c r="AL53" s="233"/>
      <c r="AM53" s="233"/>
    </row>
    <row r="54" spans="1:39" ht="11.1" customHeight="1">
      <c r="A54" s="14" t="s">
        <v>454</v>
      </c>
      <c r="B54" s="15" t="s">
        <v>440</v>
      </c>
      <c r="C54" s="314">
        <v>6457</v>
      </c>
      <c r="D54" s="315">
        <v>10</v>
      </c>
      <c r="E54" s="315">
        <v>22</v>
      </c>
      <c r="F54" s="315">
        <v>429</v>
      </c>
      <c r="G54" s="315">
        <v>0</v>
      </c>
      <c r="H54" s="315">
        <v>3</v>
      </c>
      <c r="I54" s="315">
        <v>198</v>
      </c>
      <c r="J54" s="315">
        <v>957</v>
      </c>
      <c r="K54" s="315">
        <v>0</v>
      </c>
      <c r="L54" s="315">
        <v>268</v>
      </c>
      <c r="M54" s="14" t="s">
        <v>454</v>
      </c>
      <c r="N54" s="15" t="s">
        <v>440</v>
      </c>
      <c r="O54" s="315">
        <v>334</v>
      </c>
      <c r="P54" s="315">
        <v>33</v>
      </c>
      <c r="Q54" s="315">
        <v>0</v>
      </c>
      <c r="R54" s="315">
        <v>39</v>
      </c>
      <c r="S54" s="315">
        <v>477</v>
      </c>
      <c r="T54" s="315">
        <v>186</v>
      </c>
      <c r="U54" s="315">
        <v>536</v>
      </c>
      <c r="V54" s="315">
        <v>0</v>
      </c>
      <c r="W54" s="315">
        <v>98</v>
      </c>
      <c r="X54" s="315">
        <v>0</v>
      </c>
      <c r="Y54" s="14" t="s">
        <v>454</v>
      </c>
      <c r="Z54" s="15" t="s">
        <v>440</v>
      </c>
      <c r="AA54" s="315">
        <v>0</v>
      </c>
      <c r="AB54" s="315">
        <v>61</v>
      </c>
      <c r="AC54" s="315">
        <v>0</v>
      </c>
      <c r="AD54" s="315">
        <v>0</v>
      </c>
      <c r="AE54" s="315">
        <v>0</v>
      </c>
      <c r="AF54" s="315">
        <v>0</v>
      </c>
      <c r="AG54" s="315">
        <v>0</v>
      </c>
      <c r="AH54" s="315">
        <v>2802</v>
      </c>
      <c r="AI54" s="315">
        <v>0</v>
      </c>
      <c r="AJ54" s="315">
        <v>4</v>
      </c>
      <c r="AL54" s="233"/>
      <c r="AM54" s="233"/>
    </row>
    <row r="55" spans="1:39" ht="11.1" customHeight="1">
      <c r="A55" s="14"/>
      <c r="B55" s="15" t="s">
        <v>257</v>
      </c>
      <c r="C55" s="314">
        <v>6286</v>
      </c>
      <c r="D55" s="315">
        <v>3</v>
      </c>
      <c r="E55" s="315">
        <v>5</v>
      </c>
      <c r="F55" s="315">
        <v>596</v>
      </c>
      <c r="G55" s="315">
        <v>0</v>
      </c>
      <c r="H55" s="315">
        <v>0</v>
      </c>
      <c r="I55" s="315">
        <v>511</v>
      </c>
      <c r="J55" s="315">
        <v>888</v>
      </c>
      <c r="K55" s="315">
        <v>0</v>
      </c>
      <c r="L55" s="315">
        <v>196</v>
      </c>
      <c r="M55" s="14"/>
      <c r="N55" s="15" t="s">
        <v>257</v>
      </c>
      <c r="O55" s="315">
        <v>352</v>
      </c>
      <c r="P55" s="315">
        <v>19</v>
      </c>
      <c r="Q55" s="315">
        <v>0</v>
      </c>
      <c r="R55" s="315">
        <v>21</v>
      </c>
      <c r="S55" s="315">
        <v>387</v>
      </c>
      <c r="T55" s="315">
        <v>106</v>
      </c>
      <c r="U55" s="315">
        <v>418</v>
      </c>
      <c r="V55" s="315">
        <v>0</v>
      </c>
      <c r="W55" s="315">
        <v>175</v>
      </c>
      <c r="X55" s="315">
        <v>0</v>
      </c>
      <c r="Y55" s="14"/>
      <c r="Z55" s="15" t="s">
        <v>257</v>
      </c>
      <c r="AA55" s="315">
        <v>0</v>
      </c>
      <c r="AB55" s="315">
        <v>15</v>
      </c>
      <c r="AC55" s="315">
        <v>0</v>
      </c>
      <c r="AD55" s="315">
        <v>0</v>
      </c>
      <c r="AE55" s="315">
        <v>0</v>
      </c>
      <c r="AF55" s="315">
        <v>0</v>
      </c>
      <c r="AG55" s="315">
        <v>0</v>
      </c>
      <c r="AH55" s="315">
        <v>2562</v>
      </c>
      <c r="AI55" s="315">
        <v>0</v>
      </c>
      <c r="AJ55" s="315">
        <v>32</v>
      </c>
      <c r="AL55" s="233"/>
      <c r="AM55" s="233"/>
    </row>
    <row r="56" spans="1:39" ht="11.1" customHeight="1">
      <c r="A56" s="22" t="s">
        <v>455</v>
      </c>
      <c r="B56" s="20" t="s">
        <v>440</v>
      </c>
      <c r="C56" s="314">
        <v>16141.408999999998</v>
      </c>
      <c r="D56" s="316">
        <v>0</v>
      </c>
      <c r="E56" s="316">
        <v>316.14999999999998</v>
      </c>
      <c r="F56" s="316">
        <v>0</v>
      </c>
      <c r="G56" s="316">
        <v>15189.208999999999</v>
      </c>
      <c r="H56" s="316">
        <v>0</v>
      </c>
      <c r="I56" s="316">
        <v>0</v>
      </c>
      <c r="J56" s="316">
        <v>2.5</v>
      </c>
      <c r="K56" s="316">
        <v>0</v>
      </c>
      <c r="L56" s="316">
        <v>2.85</v>
      </c>
      <c r="M56" s="22" t="s">
        <v>455</v>
      </c>
      <c r="N56" s="20" t="s">
        <v>440</v>
      </c>
      <c r="O56" s="316">
        <v>6.55</v>
      </c>
      <c r="P56" s="316">
        <v>0</v>
      </c>
      <c r="Q56" s="316">
        <v>0</v>
      </c>
      <c r="R56" s="316">
        <v>0</v>
      </c>
      <c r="S56" s="316">
        <v>0</v>
      </c>
      <c r="T56" s="316">
        <v>478.65000000000003</v>
      </c>
      <c r="U56" s="316">
        <v>0</v>
      </c>
      <c r="V56" s="316">
        <v>142.85</v>
      </c>
      <c r="W56" s="316">
        <v>2.65</v>
      </c>
      <c r="X56" s="316">
        <v>0</v>
      </c>
      <c r="Y56" s="22" t="s">
        <v>455</v>
      </c>
      <c r="Z56" s="20" t="s">
        <v>440</v>
      </c>
      <c r="AA56" s="316">
        <v>0</v>
      </c>
      <c r="AB56" s="316">
        <v>0</v>
      </c>
      <c r="AC56" s="316">
        <v>0</v>
      </c>
      <c r="AD56" s="316">
        <v>0</v>
      </c>
      <c r="AE56" s="316">
        <v>0</v>
      </c>
      <c r="AF56" s="316">
        <v>0</v>
      </c>
      <c r="AG56" s="316">
        <v>0</v>
      </c>
      <c r="AH56" s="316">
        <v>0</v>
      </c>
      <c r="AI56" s="316">
        <v>0</v>
      </c>
      <c r="AJ56" s="316">
        <v>0</v>
      </c>
      <c r="AL56" s="233"/>
      <c r="AM56" s="233"/>
    </row>
    <row r="57" spans="1:39" ht="11.1" customHeight="1">
      <c r="A57" s="22"/>
      <c r="B57" s="20" t="s">
        <v>257</v>
      </c>
      <c r="C57" s="314">
        <v>16021.45</v>
      </c>
      <c r="D57" s="316">
        <v>0</v>
      </c>
      <c r="E57" s="316">
        <v>1219.3</v>
      </c>
      <c r="F57" s="316">
        <v>0</v>
      </c>
      <c r="G57" s="316">
        <v>14232.65</v>
      </c>
      <c r="H57" s="316">
        <v>0</v>
      </c>
      <c r="I57" s="316">
        <v>0</v>
      </c>
      <c r="J57" s="316">
        <v>1.5</v>
      </c>
      <c r="K57" s="316">
        <v>0</v>
      </c>
      <c r="L57" s="316">
        <v>1.5</v>
      </c>
      <c r="M57" s="22"/>
      <c r="N57" s="20" t="s">
        <v>257</v>
      </c>
      <c r="O57" s="316">
        <v>17</v>
      </c>
      <c r="P57" s="316">
        <v>0</v>
      </c>
      <c r="Q57" s="316">
        <v>0</v>
      </c>
      <c r="R57" s="316">
        <v>0</v>
      </c>
      <c r="S57" s="316">
        <v>1.7</v>
      </c>
      <c r="T57" s="316">
        <v>374.75000000000006</v>
      </c>
      <c r="U57" s="316">
        <v>0</v>
      </c>
      <c r="V57" s="316">
        <v>170.95</v>
      </c>
      <c r="W57" s="316">
        <v>1.5000000000000002</v>
      </c>
      <c r="X57" s="316">
        <v>0</v>
      </c>
      <c r="Y57" s="22"/>
      <c r="Z57" s="20" t="s">
        <v>257</v>
      </c>
      <c r="AA57" s="316">
        <v>0</v>
      </c>
      <c r="AB57" s="316">
        <v>0</v>
      </c>
      <c r="AC57" s="316">
        <v>0.6</v>
      </c>
      <c r="AD57" s="316">
        <v>0</v>
      </c>
      <c r="AE57" s="316">
        <v>0</v>
      </c>
      <c r="AF57" s="316">
        <v>0</v>
      </c>
      <c r="AG57" s="316">
        <v>0</v>
      </c>
      <c r="AH57" s="316">
        <v>0</v>
      </c>
      <c r="AI57" s="316">
        <v>0</v>
      </c>
      <c r="AJ57" s="316">
        <v>0</v>
      </c>
      <c r="AL57" s="233"/>
      <c r="AM57" s="233"/>
    </row>
    <row r="58" spans="1:39" ht="11.1" customHeight="1">
      <c r="A58" s="22" t="s">
        <v>457</v>
      </c>
      <c r="B58" s="20" t="s">
        <v>440</v>
      </c>
      <c r="C58" s="314">
        <v>33758</v>
      </c>
      <c r="D58" s="316">
        <v>0</v>
      </c>
      <c r="E58" s="316">
        <v>11157</v>
      </c>
      <c r="F58" s="316">
        <v>0</v>
      </c>
      <c r="G58" s="316">
        <v>14700</v>
      </c>
      <c r="H58" s="316">
        <v>0</v>
      </c>
      <c r="I58" s="316">
        <v>0</v>
      </c>
      <c r="J58" s="316">
        <v>52</v>
      </c>
      <c r="K58" s="316">
        <v>0</v>
      </c>
      <c r="L58" s="316">
        <v>30</v>
      </c>
      <c r="M58" s="22" t="s">
        <v>457</v>
      </c>
      <c r="N58" s="20" t="s">
        <v>440</v>
      </c>
      <c r="O58" s="316">
        <v>10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6938</v>
      </c>
      <c r="W58" s="316">
        <v>89</v>
      </c>
      <c r="X58" s="316">
        <v>0</v>
      </c>
      <c r="Y58" s="22" t="s">
        <v>457</v>
      </c>
      <c r="Z58" s="20" t="s">
        <v>440</v>
      </c>
      <c r="AA58" s="316">
        <v>0</v>
      </c>
      <c r="AB58" s="316">
        <v>0</v>
      </c>
      <c r="AC58" s="316">
        <v>782</v>
      </c>
      <c r="AD58" s="316">
        <v>0</v>
      </c>
      <c r="AE58" s="316">
        <v>0</v>
      </c>
      <c r="AF58" s="316">
        <v>0</v>
      </c>
      <c r="AG58" s="316">
        <v>0</v>
      </c>
      <c r="AH58" s="316">
        <v>0</v>
      </c>
      <c r="AI58" s="316">
        <v>0</v>
      </c>
      <c r="AJ58" s="316">
        <v>0</v>
      </c>
      <c r="AL58" s="233"/>
      <c r="AM58" s="233"/>
    </row>
    <row r="59" spans="1:39" ht="11.1" customHeight="1">
      <c r="A59" s="16"/>
      <c r="B59" s="17" t="s">
        <v>257</v>
      </c>
      <c r="C59" s="317">
        <v>39532.5</v>
      </c>
      <c r="D59" s="318">
        <v>0</v>
      </c>
      <c r="E59" s="318">
        <v>10719</v>
      </c>
      <c r="F59" s="318">
        <v>0</v>
      </c>
      <c r="G59" s="318">
        <v>20481</v>
      </c>
      <c r="H59" s="318">
        <v>0</v>
      </c>
      <c r="I59" s="318">
        <v>0</v>
      </c>
      <c r="J59" s="318">
        <v>14</v>
      </c>
      <c r="K59" s="318">
        <v>0</v>
      </c>
      <c r="L59" s="318">
        <v>28.5</v>
      </c>
      <c r="M59" s="16"/>
      <c r="N59" s="17" t="s">
        <v>257</v>
      </c>
      <c r="O59" s="318">
        <v>14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7494</v>
      </c>
      <c r="W59" s="318">
        <v>94</v>
      </c>
      <c r="X59" s="318">
        <v>0</v>
      </c>
      <c r="Y59" s="16"/>
      <c r="Z59" s="17" t="s">
        <v>257</v>
      </c>
      <c r="AA59" s="318">
        <v>0</v>
      </c>
      <c r="AB59" s="318">
        <v>0</v>
      </c>
      <c r="AC59" s="318">
        <v>688</v>
      </c>
      <c r="AD59" s="318">
        <v>0</v>
      </c>
      <c r="AE59" s="318">
        <v>0</v>
      </c>
      <c r="AF59" s="318">
        <v>0</v>
      </c>
      <c r="AG59" s="318">
        <v>0</v>
      </c>
      <c r="AH59" s="318">
        <v>0</v>
      </c>
      <c r="AI59" s="318">
        <v>0</v>
      </c>
      <c r="AJ59" s="318">
        <v>0</v>
      </c>
      <c r="AL59" s="234"/>
      <c r="AM59" s="234"/>
    </row>
    <row r="60" spans="1:39" ht="10.35" customHeigh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 t="s">
        <v>313</v>
      </c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51" t="s">
        <v>500</v>
      </c>
      <c r="Y60" s="242" t="s">
        <v>16</v>
      </c>
      <c r="Z60" s="223"/>
      <c r="AA60" s="223"/>
      <c r="AB60" s="223"/>
      <c r="AC60" s="223"/>
      <c r="AD60" s="223"/>
      <c r="AE60" s="223"/>
      <c r="AF60" s="223"/>
    </row>
    <row r="61" spans="1:39" ht="10.35" customHeigh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42" t="s">
        <v>279</v>
      </c>
      <c r="Z61" s="223"/>
      <c r="AA61" s="223"/>
      <c r="AB61" s="223"/>
      <c r="AC61" s="223"/>
      <c r="AD61" s="223"/>
      <c r="AE61" s="223"/>
      <c r="AF61" s="223"/>
    </row>
    <row r="62" spans="1:39" ht="10.35" customHeigh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388" t="s">
        <v>379</v>
      </c>
      <c r="Z62" s="388"/>
      <c r="AA62" s="388"/>
      <c r="AB62" s="388"/>
      <c r="AC62" s="388"/>
      <c r="AD62" s="388"/>
      <c r="AE62" s="388"/>
      <c r="AF62" s="388"/>
    </row>
    <row r="68" spans="39:39" ht="17.100000000000001" customHeight="1">
      <c r="AM68" s="233"/>
    </row>
    <row r="69" spans="39:39" ht="17.100000000000001" customHeight="1">
      <c r="AM69" s="233"/>
    </row>
    <row r="70" spans="39:39" ht="17.100000000000001" customHeight="1">
      <c r="AM70" s="233"/>
    </row>
    <row r="71" spans="39:39" ht="17.100000000000001" customHeight="1">
      <c r="AM71" s="233"/>
    </row>
    <row r="72" spans="39:39" ht="17.100000000000001" customHeight="1">
      <c r="AM72" s="233"/>
    </row>
    <row r="73" spans="39:39" ht="17.100000000000001" customHeight="1">
      <c r="AM73" s="233"/>
    </row>
    <row r="74" spans="39:39" ht="17.100000000000001" customHeight="1">
      <c r="AM74" s="233"/>
    </row>
    <row r="75" spans="39:39" ht="17.100000000000001" customHeight="1">
      <c r="AM75" s="233"/>
    </row>
    <row r="76" spans="39:39" ht="17.100000000000001" customHeight="1">
      <c r="AM76" s="233"/>
    </row>
    <row r="77" spans="39:39" ht="17.100000000000001" customHeight="1">
      <c r="AM77" s="233"/>
    </row>
    <row r="78" spans="39:39" ht="17.100000000000001" customHeight="1">
      <c r="AM78" s="233"/>
    </row>
    <row r="85" spans="24:24" ht="17.100000000000001" customHeight="1">
      <c r="X85" s="26" t="s">
        <v>59</v>
      </c>
    </row>
    <row r="131" spans="39:39" ht="17.100000000000001" customHeight="1">
      <c r="AM131" s="421"/>
    </row>
    <row r="132" spans="39:39" ht="17.100000000000001" customHeight="1">
      <c r="AM132" s="421"/>
    </row>
    <row r="133" spans="39:39" ht="17.100000000000001" customHeight="1">
      <c r="AM133" s="245"/>
    </row>
  </sheetData>
  <mergeCells count="3">
    <mergeCell ref="M6:M7"/>
    <mergeCell ref="A6:A7"/>
    <mergeCell ref="Y6:Y7"/>
  </mergeCells>
  <phoneticPr fontId="10" type="noConversion"/>
  <pageMargins left="0.7" right="0.7" top="0.75" bottom="0.75" header="0.3" footer="0.3"/>
  <colBreaks count="2" manualBreakCount="2">
    <brk id="12" max="62" man="1"/>
    <brk id="24" max="62" man="1"/>
  </colBreaks>
  <ignoredErrors>
    <ignoredError sqref="B8:AK59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9"/>
  <dimension ref="A1:X85"/>
  <sheetViews>
    <sheetView showGridLines="0" zoomScale="150" workbookViewId="0">
      <selection activeCell="X85" sqref="X85"/>
    </sheetView>
  </sheetViews>
  <sheetFormatPr baseColWidth="10" defaultColWidth="10.7109375" defaultRowHeight="17.100000000000001" customHeight="1"/>
  <cols>
    <col min="1" max="1" width="13.42578125" style="272" customWidth="1"/>
    <col min="2" max="2" width="6" style="272" customWidth="1"/>
    <col min="3" max="3" width="6.85546875" style="272" customWidth="1"/>
    <col min="4" max="15" width="6.7109375" style="272" customWidth="1"/>
    <col min="16" max="16384" width="10.7109375" style="272"/>
  </cols>
  <sheetData>
    <row r="1" spans="1:15" ht="16.350000000000001" customHeight="1">
      <c r="A1" s="292" t="s">
        <v>161</v>
      </c>
      <c r="B1" s="289"/>
      <c r="C1" s="53"/>
      <c r="D1" s="53"/>
    </row>
    <row r="2" spans="1:15" ht="13.5">
      <c r="A2" s="116" t="s">
        <v>43</v>
      </c>
      <c r="B2" s="28"/>
    </row>
    <row r="3" spans="1:15" ht="13.5">
      <c r="A3" s="21" t="s">
        <v>172</v>
      </c>
    </row>
    <row r="4" spans="1:15" ht="4.3499999999999996" customHeight="1">
      <c r="A4" s="117"/>
    </row>
    <row r="5" spans="1:15" ht="15.95" customHeight="1">
      <c r="A5" s="252" t="s">
        <v>443</v>
      </c>
      <c r="B5" s="253" t="s">
        <v>272</v>
      </c>
      <c r="C5" s="252" t="s">
        <v>47</v>
      </c>
      <c r="D5" s="236" t="s">
        <v>524</v>
      </c>
      <c r="E5" s="236" t="s">
        <v>525</v>
      </c>
      <c r="F5" s="236" t="s">
        <v>526</v>
      </c>
      <c r="G5" s="236" t="s">
        <v>527</v>
      </c>
      <c r="H5" s="236" t="s">
        <v>315</v>
      </c>
      <c r="I5" s="236" t="s">
        <v>316</v>
      </c>
      <c r="J5" s="236" t="s">
        <v>317</v>
      </c>
      <c r="K5" s="236" t="s">
        <v>413</v>
      </c>
      <c r="L5" s="236" t="s">
        <v>414</v>
      </c>
      <c r="M5" s="236" t="s">
        <v>415</v>
      </c>
      <c r="N5" s="236" t="s">
        <v>522</v>
      </c>
      <c r="O5" s="236" t="s">
        <v>523</v>
      </c>
    </row>
    <row r="6" spans="1:15" ht="13.35" customHeight="1">
      <c r="A6" s="596" t="s">
        <v>318</v>
      </c>
      <c r="B6" s="248" t="s">
        <v>168</v>
      </c>
      <c r="C6" s="260">
        <v>2291543.5381</v>
      </c>
      <c r="D6" s="260">
        <v>102447.19010000001</v>
      </c>
      <c r="E6" s="260">
        <v>99869.759999999995</v>
      </c>
      <c r="F6" s="260">
        <v>123828.91000000002</v>
      </c>
      <c r="G6" s="260">
        <v>272424.016</v>
      </c>
      <c r="H6" s="260">
        <v>381542.52</v>
      </c>
      <c r="I6" s="260">
        <v>368538.54700000002</v>
      </c>
      <c r="J6" s="260">
        <v>313772.23799999995</v>
      </c>
      <c r="K6" s="260">
        <v>184154.52</v>
      </c>
      <c r="L6" s="260">
        <v>132030.53</v>
      </c>
      <c r="M6" s="260">
        <v>97739.451000000001</v>
      </c>
      <c r="N6" s="260">
        <v>101312.526</v>
      </c>
      <c r="O6" s="260">
        <v>113883.33</v>
      </c>
    </row>
    <row r="7" spans="1:15" ht="13.35" customHeight="1">
      <c r="A7" s="597"/>
      <c r="B7" s="249" t="s">
        <v>169</v>
      </c>
      <c r="C7" s="313">
        <v>2250423.4670000002</v>
      </c>
      <c r="D7" s="311">
        <v>89432.450000000012</v>
      </c>
      <c r="E7" s="311">
        <v>98324.579999999987</v>
      </c>
      <c r="F7" s="311">
        <v>120530.27000000002</v>
      </c>
      <c r="G7" s="311">
        <v>276337.52900000004</v>
      </c>
      <c r="H7" s="311">
        <v>388691.55900000001</v>
      </c>
      <c r="I7" s="311">
        <v>368789.511</v>
      </c>
      <c r="J7" s="311">
        <v>293397.18899999995</v>
      </c>
      <c r="K7" s="311">
        <v>188506.24900000001</v>
      </c>
      <c r="L7" s="311">
        <v>122406.40000000001</v>
      </c>
      <c r="M7" s="311">
        <v>101113.21000000002</v>
      </c>
      <c r="N7" s="311">
        <v>93889.34</v>
      </c>
      <c r="O7" s="311">
        <v>109005.18000000001</v>
      </c>
    </row>
    <row r="8" spans="1:15" ht="13.35" customHeight="1">
      <c r="A8" s="243" t="s">
        <v>370</v>
      </c>
      <c r="B8" s="244">
        <v>2018</v>
      </c>
      <c r="C8" s="309">
        <v>127306</v>
      </c>
      <c r="D8" s="254">
        <v>12</v>
      </c>
      <c r="E8" s="254">
        <v>53</v>
      </c>
      <c r="F8" s="254">
        <v>116</v>
      </c>
      <c r="G8" s="254">
        <v>691</v>
      </c>
      <c r="H8" s="254">
        <v>5441</v>
      </c>
      <c r="I8" s="254">
        <v>25388.5</v>
      </c>
      <c r="J8" s="254">
        <v>42929.5</v>
      </c>
      <c r="K8" s="254">
        <v>33372</v>
      </c>
      <c r="L8" s="254">
        <v>16836</v>
      </c>
      <c r="M8" s="254">
        <v>1467</v>
      </c>
      <c r="N8" s="254">
        <v>778</v>
      </c>
      <c r="O8" s="254">
        <v>222</v>
      </c>
    </row>
    <row r="9" spans="1:15" ht="13.35" customHeight="1">
      <c r="A9" s="26"/>
      <c r="B9" s="244">
        <v>2019</v>
      </c>
      <c r="C9" s="309">
        <v>122623.80100000001</v>
      </c>
      <c r="D9" s="254">
        <v>6.25</v>
      </c>
      <c r="E9" s="254">
        <v>25</v>
      </c>
      <c r="F9" s="254">
        <v>265</v>
      </c>
      <c r="G9" s="254">
        <v>696</v>
      </c>
      <c r="H9" s="254">
        <v>5320</v>
      </c>
      <c r="I9" s="254">
        <v>26332.001</v>
      </c>
      <c r="J9" s="254">
        <v>39086.800000000003</v>
      </c>
      <c r="K9" s="254">
        <v>35212.25</v>
      </c>
      <c r="L9" s="254">
        <v>11640</v>
      </c>
      <c r="M9" s="254">
        <v>2753.5</v>
      </c>
      <c r="N9" s="254">
        <v>786</v>
      </c>
      <c r="O9" s="254">
        <v>501</v>
      </c>
    </row>
    <row r="10" spans="1:15" ht="13.35" customHeight="1">
      <c r="A10" s="243" t="s">
        <v>224</v>
      </c>
      <c r="B10" s="244">
        <v>2018</v>
      </c>
      <c r="C10" s="309">
        <v>256808.55</v>
      </c>
      <c r="D10" s="254">
        <v>25811.5</v>
      </c>
      <c r="E10" s="254">
        <v>27323.9</v>
      </c>
      <c r="F10" s="254">
        <v>19015.75</v>
      </c>
      <c r="G10" s="254">
        <v>12611.4</v>
      </c>
      <c r="H10" s="254">
        <v>16724</v>
      </c>
      <c r="I10" s="254">
        <v>25114</v>
      </c>
      <c r="J10" s="254">
        <v>31893.200000000001</v>
      </c>
      <c r="K10" s="254">
        <v>25305.8</v>
      </c>
      <c r="L10" s="254">
        <v>17935.400000000001</v>
      </c>
      <c r="M10" s="254">
        <v>17008.5</v>
      </c>
      <c r="N10" s="254">
        <v>17289.099999999999</v>
      </c>
      <c r="O10" s="254">
        <v>20776</v>
      </c>
    </row>
    <row r="11" spans="1:15" ht="13.35" customHeight="1">
      <c r="A11" s="26"/>
      <c r="B11" s="244">
        <v>2019</v>
      </c>
      <c r="C11" s="309">
        <v>254742.83900000001</v>
      </c>
      <c r="D11" s="254">
        <v>23012.5</v>
      </c>
      <c r="E11" s="254">
        <v>27252.55</v>
      </c>
      <c r="F11" s="254">
        <v>14580.95</v>
      </c>
      <c r="G11" s="254">
        <v>11663.409</v>
      </c>
      <c r="H11" s="254">
        <v>16786.28</v>
      </c>
      <c r="I11" s="254">
        <v>30212.5</v>
      </c>
      <c r="J11" s="254">
        <v>38219.199999999997</v>
      </c>
      <c r="K11" s="254">
        <v>18033.45</v>
      </c>
      <c r="L11" s="254">
        <v>18285</v>
      </c>
      <c r="M11" s="254">
        <v>17426.8</v>
      </c>
      <c r="N11" s="254">
        <v>17146.5</v>
      </c>
      <c r="O11" s="254">
        <v>22123.7</v>
      </c>
    </row>
    <row r="12" spans="1:15" ht="13.35" customHeight="1">
      <c r="A12" s="243" t="s">
        <v>196</v>
      </c>
      <c r="B12" s="244">
        <v>2018</v>
      </c>
      <c r="C12" s="309">
        <v>205266.96000000002</v>
      </c>
      <c r="D12" s="254">
        <v>50</v>
      </c>
      <c r="E12" s="254">
        <v>787</v>
      </c>
      <c r="F12" s="254">
        <v>2034</v>
      </c>
      <c r="G12" s="254">
        <v>11071</v>
      </c>
      <c r="H12" s="254">
        <v>53354</v>
      </c>
      <c r="I12" s="254">
        <v>66002.960000000006</v>
      </c>
      <c r="J12" s="254">
        <v>48536.2</v>
      </c>
      <c r="K12" s="254">
        <v>14596.9</v>
      </c>
      <c r="L12" s="254">
        <v>5484.9</v>
      </c>
      <c r="M12" s="254">
        <v>1058</v>
      </c>
      <c r="N12" s="254">
        <v>1386</v>
      </c>
      <c r="O12" s="254">
        <v>906</v>
      </c>
    </row>
    <row r="13" spans="1:15" ht="13.35" customHeight="1">
      <c r="A13" s="26"/>
      <c r="B13" s="244">
        <v>2019</v>
      </c>
      <c r="C13" s="309">
        <v>200757.75</v>
      </c>
      <c r="D13" s="254">
        <v>351</v>
      </c>
      <c r="E13" s="254">
        <v>754.5</v>
      </c>
      <c r="F13" s="254">
        <v>1190</v>
      </c>
      <c r="G13" s="254">
        <v>14308.75</v>
      </c>
      <c r="H13" s="254">
        <v>48802.5</v>
      </c>
      <c r="I13" s="254">
        <v>66198.25</v>
      </c>
      <c r="J13" s="254">
        <v>41054</v>
      </c>
      <c r="K13" s="254">
        <v>20564.25</v>
      </c>
      <c r="L13" s="254">
        <v>4829</v>
      </c>
      <c r="M13" s="254">
        <v>1104</v>
      </c>
      <c r="N13" s="254">
        <v>1100.5</v>
      </c>
      <c r="O13" s="254">
        <v>501</v>
      </c>
    </row>
    <row r="14" spans="1:15" ht="13.35" customHeight="1">
      <c r="A14" s="243" t="s">
        <v>397</v>
      </c>
      <c r="B14" s="244">
        <v>2018</v>
      </c>
      <c r="C14" s="309">
        <v>437937.90899999999</v>
      </c>
      <c r="D14" s="254">
        <v>28510</v>
      </c>
      <c r="E14" s="254">
        <v>21802.799999999999</v>
      </c>
      <c r="F14" s="254">
        <v>26712.15</v>
      </c>
      <c r="G14" s="254">
        <v>37389.050000000003</v>
      </c>
      <c r="H14" s="254">
        <v>53530.7</v>
      </c>
      <c r="I14" s="254">
        <v>75930.978999999992</v>
      </c>
      <c r="J14" s="254">
        <v>58041</v>
      </c>
      <c r="K14" s="254">
        <v>20642</v>
      </c>
      <c r="L14" s="254">
        <v>23534.5</v>
      </c>
      <c r="M14" s="254">
        <v>25010.799999999999</v>
      </c>
      <c r="N14" s="254">
        <v>25880.7</v>
      </c>
      <c r="O14" s="254">
        <v>40953.229999999996</v>
      </c>
    </row>
    <row r="15" spans="1:15" ht="13.35" customHeight="1">
      <c r="A15" s="26"/>
      <c r="B15" s="244">
        <v>2019</v>
      </c>
      <c r="C15" s="309">
        <v>414509.3</v>
      </c>
      <c r="D15" s="254">
        <v>21159.5</v>
      </c>
      <c r="E15" s="254">
        <v>19325.5</v>
      </c>
      <c r="F15" s="254">
        <v>29838.6</v>
      </c>
      <c r="G15" s="254">
        <v>42214.15</v>
      </c>
      <c r="H15" s="254">
        <v>52595.9</v>
      </c>
      <c r="I15" s="254">
        <v>75996.5</v>
      </c>
      <c r="J15" s="254">
        <v>46294.8</v>
      </c>
      <c r="K15" s="254">
        <v>18419.5</v>
      </c>
      <c r="L15" s="254">
        <v>23380.6</v>
      </c>
      <c r="M15" s="254">
        <v>22776.75</v>
      </c>
      <c r="N15" s="254">
        <v>23486.9</v>
      </c>
      <c r="O15" s="254">
        <v>39020.6</v>
      </c>
    </row>
    <row r="16" spans="1:15" ht="13.35" customHeight="1">
      <c r="A16" s="243" t="s">
        <v>499</v>
      </c>
      <c r="B16" s="244">
        <v>2018</v>
      </c>
      <c r="C16" s="309">
        <v>137308</v>
      </c>
      <c r="D16" s="254">
        <v>4</v>
      </c>
      <c r="E16" s="254">
        <v>9</v>
      </c>
      <c r="F16" s="254">
        <v>260</v>
      </c>
      <c r="G16" s="254">
        <v>11579</v>
      </c>
      <c r="H16" s="254">
        <v>25874</v>
      </c>
      <c r="I16" s="254">
        <v>30235.5</v>
      </c>
      <c r="J16" s="254">
        <v>36199</v>
      </c>
      <c r="K16" s="254">
        <v>23128.080000000002</v>
      </c>
      <c r="L16" s="254">
        <v>8868.92</v>
      </c>
      <c r="M16" s="254">
        <v>734</v>
      </c>
      <c r="N16" s="254">
        <v>300.5</v>
      </c>
      <c r="O16" s="254">
        <v>116</v>
      </c>
    </row>
    <row r="17" spans="1:15" ht="13.35" customHeight="1">
      <c r="A17" s="26"/>
      <c r="B17" s="244">
        <v>2019</v>
      </c>
      <c r="C17" s="309">
        <v>136103.25</v>
      </c>
      <c r="D17" s="254">
        <v>0</v>
      </c>
      <c r="E17" s="254">
        <v>24</v>
      </c>
      <c r="F17" s="254">
        <v>316</v>
      </c>
      <c r="G17" s="254">
        <v>11073.5</v>
      </c>
      <c r="H17" s="254">
        <v>23854</v>
      </c>
      <c r="I17" s="254">
        <v>31728</v>
      </c>
      <c r="J17" s="254">
        <v>36838</v>
      </c>
      <c r="K17" s="254">
        <v>22452.75</v>
      </c>
      <c r="L17" s="254">
        <v>8247</v>
      </c>
      <c r="M17" s="254">
        <v>1234.5</v>
      </c>
      <c r="N17" s="254">
        <v>274.5</v>
      </c>
      <c r="O17" s="254">
        <v>61</v>
      </c>
    </row>
    <row r="18" spans="1:15" ht="13.35" customHeight="1">
      <c r="A18" s="243" t="s">
        <v>448</v>
      </c>
      <c r="B18" s="244">
        <v>2018</v>
      </c>
      <c r="C18" s="309">
        <v>65786.75</v>
      </c>
      <c r="D18" s="254">
        <v>417</v>
      </c>
      <c r="E18" s="254">
        <v>194</v>
      </c>
      <c r="F18" s="254">
        <v>3016</v>
      </c>
      <c r="G18" s="254">
        <v>26094</v>
      </c>
      <c r="H18" s="254">
        <v>19704</v>
      </c>
      <c r="I18" s="254">
        <v>9631</v>
      </c>
      <c r="J18" s="254">
        <v>4011.75</v>
      </c>
      <c r="K18" s="254">
        <v>1203</v>
      </c>
      <c r="L18" s="254">
        <v>362</v>
      </c>
      <c r="M18" s="254">
        <v>116</v>
      </c>
      <c r="N18" s="254">
        <v>329</v>
      </c>
      <c r="O18" s="254">
        <v>709</v>
      </c>
    </row>
    <row r="19" spans="1:15" ht="13.35" customHeight="1">
      <c r="A19" s="26"/>
      <c r="B19" s="244">
        <v>2019</v>
      </c>
      <c r="C19" s="309">
        <v>65280</v>
      </c>
      <c r="D19" s="254">
        <v>596</v>
      </c>
      <c r="E19" s="254">
        <v>494</v>
      </c>
      <c r="F19" s="254">
        <v>2055</v>
      </c>
      <c r="G19" s="254">
        <v>23516.5</v>
      </c>
      <c r="H19" s="254">
        <v>21682</v>
      </c>
      <c r="I19" s="254">
        <v>9423.5</v>
      </c>
      <c r="J19" s="254">
        <v>3441</v>
      </c>
      <c r="K19" s="254">
        <v>2380.5</v>
      </c>
      <c r="L19" s="254">
        <v>698</v>
      </c>
      <c r="M19" s="254">
        <v>314</v>
      </c>
      <c r="N19" s="254">
        <v>426.5</v>
      </c>
      <c r="O19" s="254">
        <v>253</v>
      </c>
    </row>
    <row r="20" spans="1:15" ht="13.35" customHeight="1">
      <c r="A20" s="243" t="s">
        <v>210</v>
      </c>
      <c r="B20" s="244">
        <v>2018</v>
      </c>
      <c r="C20" s="309">
        <v>4810.8999999999996</v>
      </c>
      <c r="D20" s="254">
        <v>494.4</v>
      </c>
      <c r="E20" s="254">
        <v>463.7</v>
      </c>
      <c r="F20" s="254">
        <v>435</v>
      </c>
      <c r="G20" s="254">
        <v>449.15</v>
      </c>
      <c r="H20" s="254">
        <v>793</v>
      </c>
      <c r="I20" s="254">
        <v>507</v>
      </c>
      <c r="J20" s="254">
        <v>379.6</v>
      </c>
      <c r="K20" s="254">
        <v>176.5</v>
      </c>
      <c r="L20" s="254">
        <v>255</v>
      </c>
      <c r="M20" s="254">
        <v>314.95</v>
      </c>
      <c r="N20" s="254">
        <v>259.95</v>
      </c>
      <c r="O20" s="254">
        <v>282.64999999999998</v>
      </c>
    </row>
    <row r="21" spans="1:15" ht="13.35" customHeight="1">
      <c r="A21" s="26"/>
      <c r="B21" s="244">
        <v>2019</v>
      </c>
      <c r="C21" s="309">
        <v>4169.380000000001</v>
      </c>
      <c r="D21" s="254">
        <v>407</v>
      </c>
      <c r="E21" s="254">
        <v>489.6</v>
      </c>
      <c r="F21" s="254">
        <v>617.54999999999995</v>
      </c>
      <c r="G21" s="254">
        <v>418.51</v>
      </c>
      <c r="H21" s="254">
        <v>324.64</v>
      </c>
      <c r="I21" s="254">
        <v>414.51</v>
      </c>
      <c r="J21" s="254">
        <v>399.33</v>
      </c>
      <c r="K21" s="254">
        <v>222.60999999999999</v>
      </c>
      <c r="L21" s="254">
        <v>235.68</v>
      </c>
      <c r="M21" s="254">
        <v>222.3</v>
      </c>
      <c r="N21" s="254">
        <v>192.3</v>
      </c>
      <c r="O21" s="254">
        <v>225.35000000000002</v>
      </c>
    </row>
    <row r="22" spans="1:15" ht="13.35" customHeight="1">
      <c r="A22" s="243" t="s">
        <v>385</v>
      </c>
      <c r="B22" s="244">
        <v>2018</v>
      </c>
      <c r="C22" s="309">
        <v>1519</v>
      </c>
      <c r="D22" s="254">
        <v>510</v>
      </c>
      <c r="E22" s="254">
        <v>70</v>
      </c>
      <c r="F22" s="254">
        <v>67</v>
      </c>
      <c r="G22" s="254">
        <v>32</v>
      </c>
      <c r="H22" s="254">
        <v>45</v>
      </c>
      <c r="I22" s="254">
        <v>44</v>
      </c>
      <c r="J22" s="254">
        <v>0</v>
      </c>
      <c r="K22" s="254">
        <v>0</v>
      </c>
      <c r="L22" s="254">
        <v>0</v>
      </c>
      <c r="M22" s="254">
        <v>248</v>
      </c>
      <c r="N22" s="254">
        <v>409</v>
      </c>
      <c r="O22" s="254">
        <v>94</v>
      </c>
    </row>
    <row r="23" spans="1:15" ht="13.35" customHeight="1">
      <c r="A23" s="26"/>
      <c r="B23" s="244">
        <v>2019</v>
      </c>
      <c r="C23" s="309">
        <v>998</v>
      </c>
      <c r="D23" s="254">
        <v>62</v>
      </c>
      <c r="E23" s="254">
        <v>69</v>
      </c>
      <c r="F23" s="254">
        <v>25</v>
      </c>
      <c r="G23" s="254">
        <v>0</v>
      </c>
      <c r="H23" s="254">
        <v>0</v>
      </c>
      <c r="I23" s="254">
        <v>2</v>
      </c>
      <c r="J23" s="254">
        <v>244</v>
      </c>
      <c r="K23" s="254">
        <v>0</v>
      </c>
      <c r="L23" s="254">
        <v>80</v>
      </c>
      <c r="M23" s="254">
        <v>85</v>
      </c>
      <c r="N23" s="254">
        <v>303</v>
      </c>
      <c r="O23" s="254">
        <v>128</v>
      </c>
    </row>
    <row r="24" spans="1:15" ht="13.35" customHeight="1">
      <c r="A24" s="243" t="s">
        <v>497</v>
      </c>
      <c r="B24" s="244">
        <v>2018</v>
      </c>
      <c r="C24" s="309">
        <v>5539.2499999999991</v>
      </c>
      <c r="D24" s="254">
        <v>504.8</v>
      </c>
      <c r="E24" s="254">
        <v>513.45000000000005</v>
      </c>
      <c r="F24" s="254">
        <v>462.25</v>
      </c>
      <c r="G24" s="254">
        <v>375.25</v>
      </c>
      <c r="H24" s="254">
        <v>357.7</v>
      </c>
      <c r="I24" s="254">
        <v>385</v>
      </c>
      <c r="J24" s="254">
        <v>400.9</v>
      </c>
      <c r="K24" s="254">
        <v>355.7</v>
      </c>
      <c r="L24" s="254">
        <v>408.2</v>
      </c>
      <c r="M24" s="254">
        <v>655.1</v>
      </c>
      <c r="N24" s="254">
        <v>636</v>
      </c>
      <c r="O24" s="254">
        <v>484.9</v>
      </c>
    </row>
    <row r="25" spans="1:15" ht="13.35" customHeight="1">
      <c r="A25" s="26"/>
      <c r="B25" s="244">
        <v>2019</v>
      </c>
      <c r="C25" s="309">
        <v>4860.9799999999996</v>
      </c>
      <c r="D25" s="254">
        <v>451.4</v>
      </c>
      <c r="E25" s="254">
        <v>392</v>
      </c>
      <c r="F25" s="254">
        <v>355.5</v>
      </c>
      <c r="G25" s="254">
        <v>288.8</v>
      </c>
      <c r="H25" s="254">
        <v>318.5</v>
      </c>
      <c r="I25" s="254">
        <v>378.5</v>
      </c>
      <c r="J25" s="254">
        <v>355.1</v>
      </c>
      <c r="K25" s="254">
        <v>429.25</v>
      </c>
      <c r="L25" s="254">
        <v>398.5</v>
      </c>
      <c r="M25" s="254">
        <v>578.29999999999995</v>
      </c>
      <c r="N25" s="254">
        <v>446.25</v>
      </c>
      <c r="O25" s="254">
        <v>468.88</v>
      </c>
    </row>
    <row r="26" spans="1:15" ht="13.35" customHeight="1">
      <c r="A26" s="243" t="s">
        <v>383</v>
      </c>
      <c r="B26" s="244">
        <v>2018</v>
      </c>
      <c r="C26" s="309">
        <v>7867.5999999999995</v>
      </c>
      <c r="D26" s="254">
        <v>622.29999999999995</v>
      </c>
      <c r="E26" s="254">
        <v>688.3</v>
      </c>
      <c r="F26" s="254">
        <v>693</v>
      </c>
      <c r="G26" s="254">
        <v>707.1</v>
      </c>
      <c r="H26" s="254">
        <v>942.25</v>
      </c>
      <c r="I26" s="254">
        <v>597</v>
      </c>
      <c r="J26" s="254">
        <v>525.9</v>
      </c>
      <c r="K26" s="254">
        <v>873.8</v>
      </c>
      <c r="L26" s="254">
        <v>544.20000000000005</v>
      </c>
      <c r="M26" s="254">
        <v>570.29999999999995</v>
      </c>
      <c r="N26" s="254">
        <v>629.45000000000005</v>
      </c>
      <c r="O26" s="254">
        <v>474</v>
      </c>
    </row>
    <row r="27" spans="1:15" ht="13.35" customHeight="1">
      <c r="A27" s="26"/>
      <c r="B27" s="244">
        <v>2019</v>
      </c>
      <c r="C27" s="309">
        <v>7898</v>
      </c>
      <c r="D27" s="254">
        <v>514</v>
      </c>
      <c r="E27" s="254">
        <v>602</v>
      </c>
      <c r="F27" s="254">
        <v>745.5</v>
      </c>
      <c r="G27" s="254">
        <v>853</v>
      </c>
      <c r="H27" s="254">
        <v>792.25</v>
      </c>
      <c r="I27" s="254">
        <v>652.25</v>
      </c>
      <c r="J27" s="254">
        <v>767</v>
      </c>
      <c r="K27" s="254">
        <v>784.75</v>
      </c>
      <c r="L27" s="254">
        <v>746.5</v>
      </c>
      <c r="M27" s="254">
        <v>667.25</v>
      </c>
      <c r="N27" s="254">
        <v>406</v>
      </c>
      <c r="O27" s="254">
        <v>367.5</v>
      </c>
    </row>
    <row r="28" spans="1:15" ht="13.35" customHeight="1">
      <c r="A28" s="243" t="s">
        <v>202</v>
      </c>
      <c r="B28" s="244">
        <v>2018</v>
      </c>
      <c r="C28" s="309">
        <v>36259.75</v>
      </c>
      <c r="D28" s="254">
        <v>1945.5</v>
      </c>
      <c r="E28" s="254">
        <v>3683.5</v>
      </c>
      <c r="F28" s="254">
        <v>3977.5</v>
      </c>
      <c r="G28" s="254">
        <v>4454</v>
      </c>
      <c r="H28" s="254">
        <v>4120.5</v>
      </c>
      <c r="I28" s="254">
        <v>3912.75</v>
      </c>
      <c r="J28" s="254">
        <v>3137.5</v>
      </c>
      <c r="K28" s="254">
        <v>3335.75</v>
      </c>
      <c r="L28" s="254">
        <v>3080</v>
      </c>
      <c r="M28" s="254">
        <v>2120</v>
      </c>
      <c r="N28" s="254">
        <v>1329.5</v>
      </c>
      <c r="O28" s="254">
        <v>1163.25</v>
      </c>
    </row>
    <row r="29" spans="1:15" ht="13.35" customHeight="1">
      <c r="A29" s="26"/>
      <c r="B29" s="244">
        <v>2019</v>
      </c>
      <c r="C29" s="309">
        <v>34436.92</v>
      </c>
      <c r="D29" s="254">
        <v>2176.1999999999998</v>
      </c>
      <c r="E29" s="254">
        <v>3071.9</v>
      </c>
      <c r="F29" s="254">
        <v>4974.25</v>
      </c>
      <c r="G29" s="254">
        <v>3912.75</v>
      </c>
      <c r="H29" s="254">
        <v>3061.65</v>
      </c>
      <c r="I29" s="254">
        <v>3518.5</v>
      </c>
      <c r="J29" s="254">
        <v>2715.35</v>
      </c>
      <c r="K29" s="254">
        <v>3352.42</v>
      </c>
      <c r="L29" s="254">
        <v>3435.3</v>
      </c>
      <c r="M29" s="254">
        <v>1974</v>
      </c>
      <c r="N29" s="254">
        <v>1208.0999999999999</v>
      </c>
      <c r="O29" s="254">
        <v>1036.5</v>
      </c>
    </row>
    <row r="30" spans="1:15" ht="13.35" customHeight="1">
      <c r="A30" s="243" t="s">
        <v>382</v>
      </c>
      <c r="B30" s="244">
        <v>2018</v>
      </c>
      <c r="C30" s="309">
        <v>7324.5999999999995</v>
      </c>
      <c r="D30" s="254">
        <v>603.1</v>
      </c>
      <c r="E30" s="254">
        <v>542.9</v>
      </c>
      <c r="F30" s="254">
        <v>669.4</v>
      </c>
      <c r="G30" s="254">
        <v>664.05</v>
      </c>
      <c r="H30" s="254">
        <v>731.45</v>
      </c>
      <c r="I30" s="254">
        <v>719.65</v>
      </c>
      <c r="J30" s="254">
        <v>629.29999999999995</v>
      </c>
      <c r="K30" s="254">
        <v>742.7</v>
      </c>
      <c r="L30" s="254">
        <v>536.1</v>
      </c>
      <c r="M30" s="254">
        <v>425.15</v>
      </c>
      <c r="N30" s="254">
        <v>494.3</v>
      </c>
      <c r="O30" s="254">
        <v>566.5</v>
      </c>
    </row>
    <row r="31" spans="1:15" ht="13.35" customHeight="1">
      <c r="A31" s="26"/>
      <c r="B31" s="244">
        <v>2019</v>
      </c>
      <c r="C31" s="309">
        <v>7511.6500000000005</v>
      </c>
      <c r="D31" s="254">
        <v>626.65</v>
      </c>
      <c r="E31" s="254">
        <v>582.1</v>
      </c>
      <c r="F31" s="254">
        <v>648.04999999999995</v>
      </c>
      <c r="G31" s="254">
        <v>738.8</v>
      </c>
      <c r="H31" s="254">
        <v>673.25</v>
      </c>
      <c r="I31" s="254">
        <v>573.25</v>
      </c>
      <c r="J31" s="254">
        <v>637.45000000000005</v>
      </c>
      <c r="K31" s="254">
        <v>730.5</v>
      </c>
      <c r="L31" s="254">
        <v>723.5</v>
      </c>
      <c r="M31" s="254">
        <v>639.6</v>
      </c>
      <c r="N31" s="254">
        <v>480.5</v>
      </c>
      <c r="O31" s="254">
        <v>458</v>
      </c>
    </row>
    <row r="32" spans="1:15" ht="13.35" customHeight="1">
      <c r="A32" s="243" t="s">
        <v>375</v>
      </c>
      <c r="B32" s="244">
        <v>2018</v>
      </c>
      <c r="C32" s="309">
        <v>9934.41</v>
      </c>
      <c r="D32" s="254">
        <v>745.5</v>
      </c>
      <c r="E32" s="254">
        <v>180</v>
      </c>
      <c r="F32" s="254">
        <v>137</v>
      </c>
      <c r="G32" s="254">
        <v>326</v>
      </c>
      <c r="H32" s="254">
        <v>494</v>
      </c>
      <c r="I32" s="254">
        <v>808.5</v>
      </c>
      <c r="J32" s="254">
        <v>568</v>
      </c>
      <c r="K32" s="254">
        <v>267</v>
      </c>
      <c r="L32" s="254">
        <v>399.5</v>
      </c>
      <c r="M32" s="254">
        <v>1064.4099999999999</v>
      </c>
      <c r="N32" s="254">
        <v>3070</v>
      </c>
      <c r="O32" s="254">
        <v>1874.5</v>
      </c>
    </row>
    <row r="33" spans="1:15" ht="13.35" customHeight="1">
      <c r="A33" s="26"/>
      <c r="B33" s="244">
        <v>2019</v>
      </c>
      <c r="C33" s="309">
        <v>7923.8099999999995</v>
      </c>
      <c r="D33" s="254">
        <v>588.30999999999995</v>
      </c>
      <c r="E33" s="254">
        <v>213</v>
      </c>
      <c r="F33" s="254">
        <v>174</v>
      </c>
      <c r="G33" s="254">
        <v>316</v>
      </c>
      <c r="H33" s="254">
        <v>359</v>
      </c>
      <c r="I33" s="254">
        <v>591.5</v>
      </c>
      <c r="J33" s="254">
        <v>404</v>
      </c>
      <c r="K33" s="254">
        <v>346.5</v>
      </c>
      <c r="L33" s="254">
        <v>447</v>
      </c>
      <c r="M33" s="254">
        <v>819</v>
      </c>
      <c r="N33" s="254">
        <v>1613.5</v>
      </c>
      <c r="O33" s="254">
        <v>2052</v>
      </c>
    </row>
    <row r="34" spans="1:15" ht="13.35" customHeight="1">
      <c r="A34" s="243" t="s">
        <v>405</v>
      </c>
      <c r="B34" s="244">
        <v>2018</v>
      </c>
      <c r="C34" s="309">
        <v>16165.699999999999</v>
      </c>
      <c r="D34" s="254">
        <v>1224</v>
      </c>
      <c r="E34" s="254">
        <v>1012.7</v>
      </c>
      <c r="F34" s="254">
        <v>1042.75</v>
      </c>
      <c r="G34" s="254">
        <v>1688.75</v>
      </c>
      <c r="H34" s="254">
        <v>1222.5999999999999</v>
      </c>
      <c r="I34" s="254">
        <v>857</v>
      </c>
      <c r="J34" s="254">
        <v>1081.9000000000001</v>
      </c>
      <c r="K34" s="254">
        <v>2017.5</v>
      </c>
      <c r="L34" s="254">
        <v>2110</v>
      </c>
      <c r="M34" s="254">
        <v>1386</v>
      </c>
      <c r="N34" s="254">
        <v>1271</v>
      </c>
      <c r="O34" s="254">
        <v>1251.5</v>
      </c>
    </row>
    <row r="35" spans="1:15" ht="13.35" customHeight="1">
      <c r="A35" s="26"/>
      <c r="B35" s="244">
        <v>2019</v>
      </c>
      <c r="C35" s="309">
        <v>15666</v>
      </c>
      <c r="D35" s="254">
        <v>1119.3</v>
      </c>
      <c r="E35" s="254">
        <v>853.4</v>
      </c>
      <c r="F35" s="254">
        <v>791.30000000000007</v>
      </c>
      <c r="G35" s="254">
        <v>1885</v>
      </c>
      <c r="H35" s="254">
        <v>1203.8000000000002</v>
      </c>
      <c r="I35" s="254">
        <v>997</v>
      </c>
      <c r="J35" s="254">
        <v>1183.5</v>
      </c>
      <c r="K35" s="254">
        <v>2245.5</v>
      </c>
      <c r="L35" s="254">
        <v>1492</v>
      </c>
      <c r="M35" s="254">
        <v>1234</v>
      </c>
      <c r="N35" s="254">
        <v>1206.5</v>
      </c>
      <c r="O35" s="254">
        <v>1454.7</v>
      </c>
    </row>
    <row r="36" spans="1:15" ht="12.75">
      <c r="A36" s="238"/>
      <c r="B36" s="121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 t="s">
        <v>54</v>
      </c>
    </row>
    <row r="37" spans="1:15" ht="12.75">
      <c r="A37" s="89" t="s">
        <v>160</v>
      </c>
      <c r="B37" s="123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</row>
    <row r="38" spans="1:15" ht="15.95" customHeight="1">
      <c r="A38" s="252" t="s">
        <v>443</v>
      </c>
      <c r="B38" s="253" t="s">
        <v>272</v>
      </c>
      <c r="C38" s="252" t="s">
        <v>47</v>
      </c>
      <c r="D38" s="236" t="s">
        <v>524</v>
      </c>
      <c r="E38" s="236" t="s">
        <v>525</v>
      </c>
      <c r="F38" s="236" t="s">
        <v>526</v>
      </c>
      <c r="G38" s="236" t="s">
        <v>527</v>
      </c>
      <c r="H38" s="236" t="s">
        <v>315</v>
      </c>
      <c r="I38" s="236" t="s">
        <v>316</v>
      </c>
      <c r="J38" s="236" t="s">
        <v>317</v>
      </c>
      <c r="K38" s="236" t="s">
        <v>413</v>
      </c>
      <c r="L38" s="236" t="s">
        <v>414</v>
      </c>
      <c r="M38" s="236" t="s">
        <v>415</v>
      </c>
      <c r="N38" s="236" t="s">
        <v>522</v>
      </c>
      <c r="O38" s="236" t="s">
        <v>523</v>
      </c>
    </row>
    <row r="39" spans="1:15" ht="13.35" customHeight="1">
      <c r="A39" s="243" t="s">
        <v>366</v>
      </c>
      <c r="B39" s="244">
        <v>2018</v>
      </c>
      <c r="C39" s="309">
        <v>47532.85</v>
      </c>
      <c r="D39" s="254">
        <v>3101.75</v>
      </c>
      <c r="E39" s="254">
        <v>4092.5</v>
      </c>
      <c r="F39" s="254">
        <v>7481.9</v>
      </c>
      <c r="G39" s="254">
        <v>8986.5</v>
      </c>
      <c r="H39" s="254">
        <v>6225.5</v>
      </c>
      <c r="I39" s="254">
        <v>3106.6</v>
      </c>
      <c r="J39" s="254">
        <v>1935.5</v>
      </c>
      <c r="K39" s="254">
        <v>1337.75</v>
      </c>
      <c r="L39" s="254">
        <v>3530.75</v>
      </c>
      <c r="M39" s="254">
        <v>3026</v>
      </c>
      <c r="N39" s="254">
        <v>2554.6</v>
      </c>
      <c r="O39" s="254">
        <v>2153.5</v>
      </c>
    </row>
    <row r="40" spans="1:15" ht="13.35" customHeight="1">
      <c r="A40" s="26"/>
      <c r="B40" s="244">
        <v>2019</v>
      </c>
      <c r="C40" s="309">
        <v>44325.55</v>
      </c>
      <c r="D40" s="254">
        <v>3068</v>
      </c>
      <c r="E40" s="254">
        <v>3731.25</v>
      </c>
      <c r="F40" s="254">
        <v>7528</v>
      </c>
      <c r="G40" s="254">
        <v>8874.1</v>
      </c>
      <c r="H40" s="254">
        <v>6399.4</v>
      </c>
      <c r="I40" s="254">
        <v>3026.75</v>
      </c>
      <c r="J40" s="254">
        <v>1343</v>
      </c>
      <c r="K40" s="254">
        <v>1620.8</v>
      </c>
      <c r="L40" s="254">
        <v>2531.6</v>
      </c>
      <c r="M40" s="254">
        <v>2968.55</v>
      </c>
      <c r="N40" s="254">
        <v>1820.6</v>
      </c>
      <c r="O40" s="254">
        <v>1413.5</v>
      </c>
    </row>
    <row r="41" spans="1:15" ht="13.35" customHeight="1">
      <c r="A41" s="243" t="s">
        <v>398</v>
      </c>
      <c r="B41" s="244">
        <v>2018</v>
      </c>
      <c r="C41" s="309">
        <v>325591.69999999995</v>
      </c>
      <c r="D41" s="254">
        <v>13753.5</v>
      </c>
      <c r="E41" s="254">
        <v>17220.5</v>
      </c>
      <c r="F41" s="254">
        <v>31235.3</v>
      </c>
      <c r="G41" s="254">
        <v>69052.2</v>
      </c>
      <c r="H41" s="254">
        <v>76356</v>
      </c>
      <c r="I41" s="254">
        <v>44322.85</v>
      </c>
      <c r="J41" s="254">
        <v>19924.400000000001</v>
      </c>
      <c r="K41" s="254">
        <v>8302.8499999999985</v>
      </c>
      <c r="L41" s="254">
        <v>8222</v>
      </c>
      <c r="M41" s="254">
        <v>8966.5</v>
      </c>
      <c r="N41" s="254">
        <v>13563.6</v>
      </c>
      <c r="O41" s="254">
        <v>14672</v>
      </c>
    </row>
    <row r="42" spans="1:15" ht="13.35" customHeight="1">
      <c r="A42" s="26"/>
      <c r="B42" s="244">
        <v>2019</v>
      </c>
      <c r="C42" s="309">
        <v>329979.84999999998</v>
      </c>
      <c r="D42" s="254">
        <v>12036.5</v>
      </c>
      <c r="E42" s="254">
        <v>17945</v>
      </c>
      <c r="F42" s="254">
        <v>29696.799999999999</v>
      </c>
      <c r="G42" s="254">
        <v>70606.5</v>
      </c>
      <c r="H42" s="254">
        <v>82163</v>
      </c>
      <c r="I42" s="254">
        <v>40018</v>
      </c>
      <c r="J42" s="254">
        <v>18434.5</v>
      </c>
      <c r="K42" s="254">
        <v>11430.8</v>
      </c>
      <c r="L42" s="254">
        <v>10480.9</v>
      </c>
      <c r="M42" s="254">
        <v>11341.85</v>
      </c>
      <c r="N42" s="254">
        <v>12671.5</v>
      </c>
      <c r="O42" s="254">
        <v>13154.5</v>
      </c>
    </row>
    <row r="43" spans="1:15" ht="13.35" customHeight="1">
      <c r="A43" s="243" t="s">
        <v>404</v>
      </c>
      <c r="B43" s="244">
        <v>2018</v>
      </c>
      <c r="C43" s="309">
        <v>104467.73000000001</v>
      </c>
      <c r="D43" s="254">
        <v>8350</v>
      </c>
      <c r="E43" s="254">
        <v>8383</v>
      </c>
      <c r="F43" s="254">
        <v>8299.0499999999993</v>
      </c>
      <c r="G43" s="254">
        <v>8379.2800000000007</v>
      </c>
      <c r="H43" s="254">
        <v>8651.5</v>
      </c>
      <c r="I43" s="254">
        <v>8486.2000000000007</v>
      </c>
      <c r="J43" s="254">
        <v>7825</v>
      </c>
      <c r="K43" s="254">
        <v>8102.6</v>
      </c>
      <c r="L43" s="254">
        <v>8445</v>
      </c>
      <c r="M43" s="254">
        <v>9419.5499999999993</v>
      </c>
      <c r="N43" s="254">
        <v>10029</v>
      </c>
      <c r="O43" s="254">
        <v>10097.549999999999</v>
      </c>
    </row>
    <row r="44" spans="1:15" ht="13.35" customHeight="1">
      <c r="A44" s="26"/>
      <c r="B44" s="244">
        <v>2019</v>
      </c>
      <c r="C44" s="309">
        <v>104040.22</v>
      </c>
      <c r="D44" s="254">
        <v>8397.6</v>
      </c>
      <c r="E44" s="254">
        <v>8022.45</v>
      </c>
      <c r="F44" s="254">
        <v>8170.25</v>
      </c>
      <c r="G44" s="254">
        <v>8276.85</v>
      </c>
      <c r="H44" s="254">
        <v>8812.57</v>
      </c>
      <c r="I44" s="254">
        <v>8443.7199999999993</v>
      </c>
      <c r="J44" s="254">
        <v>7808</v>
      </c>
      <c r="K44" s="254">
        <v>7971.5</v>
      </c>
      <c r="L44" s="254">
        <v>8057.01</v>
      </c>
      <c r="M44" s="254">
        <v>9561.0499999999993</v>
      </c>
      <c r="N44" s="254">
        <v>10166.5</v>
      </c>
      <c r="O44" s="254">
        <v>10352.720000000001</v>
      </c>
    </row>
    <row r="45" spans="1:15" ht="13.35" customHeight="1">
      <c r="A45" s="243" t="s">
        <v>203</v>
      </c>
      <c r="B45" s="244">
        <v>2018</v>
      </c>
      <c r="C45" s="309">
        <v>15369.55</v>
      </c>
      <c r="D45" s="254">
        <v>1047.0999999999999</v>
      </c>
      <c r="E45" s="254">
        <v>806.85</v>
      </c>
      <c r="F45" s="254">
        <v>881</v>
      </c>
      <c r="G45" s="254">
        <v>1465.5</v>
      </c>
      <c r="H45" s="254">
        <v>1247.05</v>
      </c>
      <c r="I45" s="254">
        <v>1293.26</v>
      </c>
      <c r="J45" s="254">
        <v>1264.29</v>
      </c>
      <c r="K45" s="254">
        <v>1309.25</v>
      </c>
      <c r="L45" s="254">
        <v>1679.35</v>
      </c>
      <c r="M45" s="254">
        <v>1441.15</v>
      </c>
      <c r="N45" s="254">
        <v>1413.25</v>
      </c>
      <c r="O45" s="254">
        <v>1521.5</v>
      </c>
    </row>
    <row r="46" spans="1:15" ht="13.35" customHeight="1">
      <c r="A46" s="26"/>
      <c r="B46" s="244">
        <v>2019</v>
      </c>
      <c r="C46" s="309">
        <v>16764.099999999999</v>
      </c>
      <c r="D46" s="254">
        <v>1203.55</v>
      </c>
      <c r="E46" s="254">
        <v>1125.45</v>
      </c>
      <c r="F46" s="254">
        <v>1069.8499999999999</v>
      </c>
      <c r="G46" s="254">
        <v>1460.15</v>
      </c>
      <c r="H46" s="254">
        <v>1597.25</v>
      </c>
      <c r="I46" s="254">
        <v>1385.75</v>
      </c>
      <c r="J46" s="254">
        <v>1234.5</v>
      </c>
      <c r="K46" s="254">
        <v>1435.88</v>
      </c>
      <c r="L46" s="254">
        <v>1543.07</v>
      </c>
      <c r="M46" s="254">
        <v>1781.72</v>
      </c>
      <c r="N46" s="254">
        <v>1645.83</v>
      </c>
      <c r="O46" s="254">
        <v>1281.0999999999999</v>
      </c>
    </row>
    <row r="47" spans="1:15" ht="13.35" customHeight="1">
      <c r="A47" s="243" t="s">
        <v>384</v>
      </c>
      <c r="B47" s="244">
        <v>2018</v>
      </c>
      <c r="C47" s="309">
        <v>15283.5</v>
      </c>
      <c r="D47" s="254">
        <v>0</v>
      </c>
      <c r="E47" s="254">
        <v>8</v>
      </c>
      <c r="F47" s="254">
        <v>185</v>
      </c>
      <c r="G47" s="254">
        <v>2885</v>
      </c>
      <c r="H47" s="254">
        <v>5808.5</v>
      </c>
      <c r="I47" s="254">
        <v>4128</v>
      </c>
      <c r="J47" s="254">
        <v>1538.5</v>
      </c>
      <c r="K47" s="254">
        <v>540.5</v>
      </c>
      <c r="L47" s="254">
        <v>149</v>
      </c>
      <c r="M47" s="254">
        <v>33</v>
      </c>
      <c r="N47" s="254">
        <v>8</v>
      </c>
      <c r="O47" s="254">
        <v>0</v>
      </c>
    </row>
    <row r="48" spans="1:15" ht="13.35" customHeight="1">
      <c r="A48" s="26"/>
      <c r="B48" s="244">
        <v>2019</v>
      </c>
      <c r="C48" s="309">
        <v>14419.047999999999</v>
      </c>
      <c r="D48" s="254">
        <v>23.5</v>
      </c>
      <c r="E48" s="254">
        <v>23</v>
      </c>
      <c r="F48" s="254">
        <v>163</v>
      </c>
      <c r="G48" s="254">
        <v>2939</v>
      </c>
      <c r="H48" s="254">
        <v>5116.3189999999995</v>
      </c>
      <c r="I48" s="254">
        <v>3828.5</v>
      </c>
      <c r="J48" s="254">
        <v>1527.729</v>
      </c>
      <c r="K48" s="254">
        <v>488</v>
      </c>
      <c r="L48" s="254">
        <v>216</v>
      </c>
      <c r="M48" s="254">
        <v>77</v>
      </c>
      <c r="N48" s="254">
        <v>17</v>
      </c>
      <c r="O48" s="254">
        <v>0</v>
      </c>
    </row>
    <row r="49" spans="1:15" ht="13.35" customHeight="1">
      <c r="A49" s="243" t="s">
        <v>252</v>
      </c>
      <c r="B49" s="244">
        <v>2018</v>
      </c>
      <c r="C49" s="309">
        <v>30105.5</v>
      </c>
      <c r="D49" s="254">
        <v>153</v>
      </c>
      <c r="E49" s="254">
        <v>525.5</v>
      </c>
      <c r="F49" s="254">
        <v>1765</v>
      </c>
      <c r="G49" s="254">
        <v>4808</v>
      </c>
      <c r="H49" s="254">
        <v>9600</v>
      </c>
      <c r="I49" s="254">
        <v>8282</v>
      </c>
      <c r="J49" s="254">
        <v>3660</v>
      </c>
      <c r="K49" s="254">
        <v>748</v>
      </c>
      <c r="L49" s="254">
        <v>272</v>
      </c>
      <c r="M49" s="254">
        <v>112</v>
      </c>
      <c r="N49" s="254">
        <v>19</v>
      </c>
      <c r="O49" s="254">
        <v>161</v>
      </c>
    </row>
    <row r="50" spans="1:15" ht="13.35" customHeight="1">
      <c r="A50" s="26"/>
      <c r="B50" s="244">
        <v>2019</v>
      </c>
      <c r="C50" s="309">
        <v>28772.3</v>
      </c>
      <c r="D50" s="254">
        <v>188</v>
      </c>
      <c r="E50" s="254">
        <v>645</v>
      </c>
      <c r="F50" s="254">
        <v>1648</v>
      </c>
      <c r="G50" s="254">
        <v>4628</v>
      </c>
      <c r="H50" s="254">
        <v>8949.7999999999993</v>
      </c>
      <c r="I50" s="254">
        <v>7083</v>
      </c>
      <c r="J50" s="254">
        <v>3482.5</v>
      </c>
      <c r="K50" s="254">
        <v>1118</v>
      </c>
      <c r="L50" s="254">
        <v>395</v>
      </c>
      <c r="M50" s="254">
        <v>284</v>
      </c>
      <c r="N50" s="254">
        <v>180</v>
      </c>
      <c r="O50" s="254">
        <v>171</v>
      </c>
    </row>
    <row r="51" spans="1:15" ht="13.35" customHeight="1">
      <c r="A51" s="243" t="s">
        <v>429</v>
      </c>
      <c r="B51" s="244">
        <v>2018</v>
      </c>
      <c r="C51" s="309">
        <v>4429.5</v>
      </c>
      <c r="D51" s="254">
        <v>957</v>
      </c>
      <c r="E51" s="254">
        <v>483</v>
      </c>
      <c r="F51" s="254">
        <v>280</v>
      </c>
      <c r="G51" s="254">
        <v>319</v>
      </c>
      <c r="H51" s="254">
        <v>321.5</v>
      </c>
      <c r="I51" s="254">
        <v>399</v>
      </c>
      <c r="J51" s="254">
        <v>335</v>
      </c>
      <c r="K51" s="254">
        <v>407</v>
      </c>
      <c r="L51" s="254">
        <v>144</v>
      </c>
      <c r="M51" s="254">
        <v>131.5</v>
      </c>
      <c r="N51" s="254">
        <v>381</v>
      </c>
      <c r="O51" s="254">
        <v>271.5</v>
      </c>
    </row>
    <row r="52" spans="1:15" ht="13.35" customHeight="1">
      <c r="A52" s="26"/>
      <c r="B52" s="244">
        <v>2019</v>
      </c>
      <c r="C52" s="309">
        <v>4042</v>
      </c>
      <c r="D52" s="254">
        <v>612</v>
      </c>
      <c r="E52" s="254">
        <v>323</v>
      </c>
      <c r="F52" s="254">
        <v>307</v>
      </c>
      <c r="G52" s="254">
        <v>153</v>
      </c>
      <c r="H52" s="254">
        <v>303</v>
      </c>
      <c r="I52" s="254">
        <v>473</v>
      </c>
      <c r="J52" s="254">
        <v>802</v>
      </c>
      <c r="K52" s="254">
        <v>133</v>
      </c>
      <c r="L52" s="254">
        <v>184</v>
      </c>
      <c r="M52" s="254">
        <v>86.5</v>
      </c>
      <c r="N52" s="254">
        <v>167.5</v>
      </c>
      <c r="O52" s="254">
        <v>498</v>
      </c>
    </row>
    <row r="53" spans="1:15" ht="13.35" customHeight="1">
      <c r="A53" s="243" t="s">
        <v>367</v>
      </c>
      <c r="B53" s="244">
        <v>2018</v>
      </c>
      <c r="C53" s="309">
        <v>74978.350000000006</v>
      </c>
      <c r="D53" s="254">
        <v>2312.9</v>
      </c>
      <c r="E53" s="254">
        <v>1116</v>
      </c>
      <c r="F53" s="254">
        <v>959.1</v>
      </c>
      <c r="G53" s="254">
        <v>3523</v>
      </c>
      <c r="H53" s="254">
        <v>11102</v>
      </c>
      <c r="I53" s="254">
        <v>15284.75</v>
      </c>
      <c r="J53" s="254">
        <v>13029.7</v>
      </c>
      <c r="K53" s="254">
        <v>13029.9</v>
      </c>
      <c r="L53" s="254">
        <v>7253</v>
      </c>
      <c r="M53" s="254">
        <v>3592.5</v>
      </c>
      <c r="N53" s="254">
        <v>2087</v>
      </c>
      <c r="O53" s="254">
        <v>1688.5</v>
      </c>
    </row>
    <row r="54" spans="1:15" ht="13.35" customHeight="1">
      <c r="A54" s="26"/>
      <c r="B54" s="244">
        <v>2019</v>
      </c>
      <c r="C54" s="309">
        <v>72215.25</v>
      </c>
      <c r="D54" s="254">
        <v>2153.3000000000002</v>
      </c>
      <c r="E54" s="254">
        <v>1259</v>
      </c>
      <c r="F54" s="254">
        <v>1362.7</v>
      </c>
      <c r="G54" s="254">
        <v>3722</v>
      </c>
      <c r="H54" s="254">
        <v>10633.25</v>
      </c>
      <c r="I54" s="254">
        <v>15550.65</v>
      </c>
      <c r="J54" s="254">
        <v>12208</v>
      </c>
      <c r="K54" s="254">
        <v>10836.25</v>
      </c>
      <c r="L54" s="254">
        <v>6290.5</v>
      </c>
      <c r="M54" s="254">
        <v>4078.5</v>
      </c>
      <c r="N54" s="254">
        <v>2757.6</v>
      </c>
      <c r="O54" s="254">
        <v>1363.5</v>
      </c>
    </row>
    <row r="55" spans="1:15" ht="13.35" customHeight="1">
      <c r="A55" s="243" t="s">
        <v>468</v>
      </c>
      <c r="B55" s="244">
        <v>2018</v>
      </c>
      <c r="C55" s="309">
        <v>5562.5</v>
      </c>
      <c r="D55" s="254">
        <v>65</v>
      </c>
      <c r="E55" s="254">
        <v>14</v>
      </c>
      <c r="F55" s="254">
        <v>40</v>
      </c>
      <c r="G55" s="254">
        <v>45.5</v>
      </c>
      <c r="H55" s="254">
        <v>50</v>
      </c>
      <c r="I55" s="254">
        <v>40</v>
      </c>
      <c r="J55" s="254">
        <v>71.8</v>
      </c>
      <c r="K55" s="254">
        <v>65.5</v>
      </c>
      <c r="L55" s="254">
        <v>351.2</v>
      </c>
      <c r="M55" s="254">
        <v>1786</v>
      </c>
      <c r="N55" s="254">
        <v>2323.5</v>
      </c>
      <c r="O55" s="254">
        <v>710</v>
      </c>
    </row>
    <row r="56" spans="1:15" ht="13.35" customHeight="1">
      <c r="A56" s="26"/>
      <c r="B56" s="244">
        <v>2019</v>
      </c>
      <c r="C56" s="309">
        <v>5717.55</v>
      </c>
      <c r="D56" s="254">
        <v>98</v>
      </c>
      <c r="E56" s="254">
        <v>4</v>
      </c>
      <c r="F56" s="254">
        <v>46.8</v>
      </c>
      <c r="G56" s="254">
        <v>54</v>
      </c>
      <c r="H56" s="254">
        <v>29</v>
      </c>
      <c r="I56" s="254">
        <v>45</v>
      </c>
      <c r="J56" s="254">
        <v>77</v>
      </c>
      <c r="K56" s="254">
        <v>124</v>
      </c>
      <c r="L56" s="254">
        <v>507.85</v>
      </c>
      <c r="M56" s="254">
        <v>1666</v>
      </c>
      <c r="N56" s="254">
        <v>2601.9</v>
      </c>
      <c r="O56" s="254">
        <v>464</v>
      </c>
    </row>
    <row r="57" spans="1:15" ht="13.35" customHeight="1">
      <c r="A57" s="243" t="s">
        <v>380</v>
      </c>
      <c r="B57" s="244">
        <v>2018</v>
      </c>
      <c r="C57" s="309">
        <v>56695.75</v>
      </c>
      <c r="D57" s="254">
        <v>18</v>
      </c>
      <c r="E57" s="254">
        <v>62</v>
      </c>
      <c r="F57" s="254">
        <v>235</v>
      </c>
      <c r="G57" s="254">
        <v>7165</v>
      </c>
      <c r="H57" s="254">
        <v>13776.5</v>
      </c>
      <c r="I57" s="254">
        <v>16776.5</v>
      </c>
      <c r="J57" s="254">
        <v>12779.25</v>
      </c>
      <c r="K57" s="254">
        <v>4011.5</v>
      </c>
      <c r="L57" s="254">
        <v>1716</v>
      </c>
      <c r="M57" s="254">
        <v>47</v>
      </c>
      <c r="N57" s="254">
        <v>100</v>
      </c>
      <c r="O57" s="254">
        <v>9</v>
      </c>
    </row>
    <row r="58" spans="1:15" ht="13.35" customHeight="1">
      <c r="A58" s="26"/>
      <c r="B58" s="244">
        <v>2019</v>
      </c>
      <c r="C58" s="309">
        <v>57810.25</v>
      </c>
      <c r="D58" s="254">
        <v>23</v>
      </c>
      <c r="E58" s="254">
        <v>113</v>
      </c>
      <c r="F58" s="254">
        <v>317</v>
      </c>
      <c r="G58" s="254">
        <v>7928</v>
      </c>
      <c r="H58" s="254">
        <v>12881.5</v>
      </c>
      <c r="I58" s="254">
        <v>17442</v>
      </c>
      <c r="J58" s="254">
        <v>13008.75</v>
      </c>
      <c r="K58" s="254">
        <v>4601</v>
      </c>
      <c r="L58" s="254">
        <v>1114</v>
      </c>
      <c r="M58" s="254">
        <v>245</v>
      </c>
      <c r="N58" s="254">
        <v>104</v>
      </c>
      <c r="O58" s="254">
        <v>33</v>
      </c>
    </row>
    <row r="59" spans="1:15" ht="13.35" customHeight="1">
      <c r="A59" s="243" t="s">
        <v>381</v>
      </c>
      <c r="B59" s="244">
        <v>2018</v>
      </c>
      <c r="C59" s="309">
        <v>48242.5</v>
      </c>
      <c r="D59" s="254">
        <v>5</v>
      </c>
      <c r="E59" s="254">
        <v>66</v>
      </c>
      <c r="F59" s="254">
        <v>62</v>
      </c>
      <c r="G59" s="254">
        <v>875</v>
      </c>
      <c r="H59" s="254">
        <v>5705.5</v>
      </c>
      <c r="I59" s="254">
        <v>7822.5</v>
      </c>
      <c r="J59" s="254">
        <v>9380</v>
      </c>
      <c r="K59" s="254">
        <v>8300</v>
      </c>
      <c r="L59" s="254">
        <v>7369</v>
      </c>
      <c r="M59" s="254">
        <v>4998</v>
      </c>
      <c r="N59" s="254">
        <v>2905</v>
      </c>
      <c r="O59" s="254">
        <v>754.5</v>
      </c>
    </row>
    <row r="60" spans="1:15" ht="13.35" customHeight="1">
      <c r="A60" s="26"/>
      <c r="B60" s="244">
        <v>2019</v>
      </c>
      <c r="C60" s="309">
        <v>45184.26</v>
      </c>
      <c r="D60" s="254">
        <v>34</v>
      </c>
      <c r="E60" s="254">
        <v>118</v>
      </c>
      <c r="F60" s="254">
        <v>107</v>
      </c>
      <c r="G60" s="254">
        <v>1259</v>
      </c>
      <c r="H60" s="254">
        <v>4766.5</v>
      </c>
      <c r="I60" s="254">
        <v>8135.5</v>
      </c>
      <c r="J60" s="254">
        <v>8319.5</v>
      </c>
      <c r="K60" s="254">
        <v>11256.26</v>
      </c>
      <c r="L60" s="254">
        <v>4619</v>
      </c>
      <c r="M60" s="254">
        <v>5111.5</v>
      </c>
      <c r="N60" s="254">
        <v>1223</v>
      </c>
      <c r="O60" s="254">
        <v>235</v>
      </c>
    </row>
    <row r="61" spans="1:15" ht="13.35" customHeight="1">
      <c r="A61" s="243" t="s">
        <v>265</v>
      </c>
      <c r="B61" s="244">
        <v>2018</v>
      </c>
      <c r="C61" s="309">
        <v>84838.329100000003</v>
      </c>
      <c r="D61" s="254">
        <v>8169.3400999999994</v>
      </c>
      <c r="E61" s="254">
        <v>6184.66</v>
      </c>
      <c r="F61" s="254">
        <v>5579.9599999999991</v>
      </c>
      <c r="G61" s="254">
        <v>4030.2860000000001</v>
      </c>
      <c r="H61" s="254">
        <v>5002.7699999999995</v>
      </c>
      <c r="I61" s="254">
        <v>6793.0479999999998</v>
      </c>
      <c r="J61" s="254">
        <v>7450.9479999999994</v>
      </c>
      <c r="K61" s="254">
        <v>7911.9400000000014</v>
      </c>
      <c r="L61" s="254">
        <v>8007.0099999999993</v>
      </c>
      <c r="M61" s="254">
        <v>8487.5410000000011</v>
      </c>
      <c r="N61" s="254">
        <v>8603.5760000000009</v>
      </c>
      <c r="O61" s="254">
        <v>8617.25</v>
      </c>
    </row>
    <row r="62" spans="1:15" ht="13.35" customHeight="1">
      <c r="A62" s="243" t="s">
        <v>442</v>
      </c>
      <c r="B62" s="244">
        <v>2019</v>
      </c>
      <c r="C62" s="309">
        <v>87095.409000000014</v>
      </c>
      <c r="D62" s="254">
        <v>7195.89</v>
      </c>
      <c r="E62" s="254">
        <v>6441.8799999999992</v>
      </c>
      <c r="F62" s="254">
        <v>6919.17</v>
      </c>
      <c r="G62" s="254">
        <v>5488.26</v>
      </c>
      <c r="H62" s="254">
        <v>5763.7</v>
      </c>
      <c r="I62" s="254">
        <v>5418.88</v>
      </c>
      <c r="J62" s="254">
        <v>8098.1799999999994</v>
      </c>
      <c r="K62" s="254">
        <v>8193.0290000000005</v>
      </c>
      <c r="L62" s="254">
        <v>8197.39</v>
      </c>
      <c r="M62" s="254">
        <v>8695.5400000000009</v>
      </c>
      <c r="N62" s="254">
        <v>8366.86</v>
      </c>
      <c r="O62" s="254">
        <v>8316.6299999999992</v>
      </c>
    </row>
    <row r="63" spans="1:15" ht="13.35" customHeight="1">
      <c r="A63" s="243" t="s">
        <v>430</v>
      </c>
      <c r="B63" s="244">
        <v>2018</v>
      </c>
      <c r="C63" s="309">
        <v>37035.5</v>
      </c>
      <c r="D63" s="254">
        <v>2857</v>
      </c>
      <c r="E63" s="254">
        <v>2957</v>
      </c>
      <c r="F63" s="254">
        <v>2702</v>
      </c>
      <c r="G63" s="254">
        <v>2763</v>
      </c>
      <c r="H63" s="254">
        <v>3318</v>
      </c>
      <c r="I63" s="254">
        <v>2961</v>
      </c>
      <c r="J63" s="254">
        <v>3096</v>
      </c>
      <c r="K63" s="254">
        <v>3018</v>
      </c>
      <c r="L63" s="254">
        <v>3836.5</v>
      </c>
      <c r="M63" s="254">
        <v>3345</v>
      </c>
      <c r="N63" s="254">
        <v>3027</v>
      </c>
      <c r="O63" s="254">
        <v>3155</v>
      </c>
    </row>
    <row r="64" spans="1:15" ht="13.35" customHeight="1">
      <c r="A64" s="26"/>
      <c r="B64" s="244">
        <v>2019</v>
      </c>
      <c r="C64" s="309">
        <v>36154</v>
      </c>
      <c r="D64" s="254">
        <v>3032.5</v>
      </c>
      <c r="E64" s="254">
        <v>2875.5</v>
      </c>
      <c r="F64" s="254">
        <v>3114.5</v>
      </c>
      <c r="G64" s="254">
        <v>2800</v>
      </c>
      <c r="H64" s="254">
        <v>3146.5</v>
      </c>
      <c r="I64" s="254">
        <v>3309</v>
      </c>
      <c r="J64" s="254">
        <v>2918</v>
      </c>
      <c r="K64" s="254">
        <v>3126</v>
      </c>
      <c r="L64" s="254">
        <v>2989.5</v>
      </c>
      <c r="M64" s="254">
        <v>3101.5</v>
      </c>
      <c r="N64" s="254">
        <v>2890.5</v>
      </c>
      <c r="O64" s="254">
        <v>2850.5</v>
      </c>
    </row>
    <row r="65" spans="1:15" ht="13.35" customHeight="1">
      <c r="A65" s="243" t="s">
        <v>431</v>
      </c>
      <c r="B65" s="244">
        <v>2018</v>
      </c>
      <c r="C65" s="309">
        <v>20846</v>
      </c>
      <c r="D65" s="254">
        <v>97</v>
      </c>
      <c r="E65" s="254">
        <v>212</v>
      </c>
      <c r="F65" s="254">
        <v>767</v>
      </c>
      <c r="G65" s="254">
        <v>8235</v>
      </c>
      <c r="H65" s="254">
        <v>9800</v>
      </c>
      <c r="I65" s="254">
        <v>908</v>
      </c>
      <c r="J65" s="254">
        <v>240.5</v>
      </c>
      <c r="K65" s="254">
        <v>170</v>
      </c>
      <c r="L65" s="254">
        <v>139.5</v>
      </c>
      <c r="M65" s="254">
        <v>85</v>
      </c>
      <c r="N65" s="254">
        <v>108</v>
      </c>
      <c r="O65" s="254">
        <v>84</v>
      </c>
    </row>
    <row r="66" spans="1:15" ht="13.35" customHeight="1">
      <c r="A66" s="26"/>
      <c r="B66" s="244">
        <v>2019</v>
      </c>
      <c r="C66" s="309">
        <v>18962</v>
      </c>
      <c r="D66" s="254">
        <v>114</v>
      </c>
      <c r="E66" s="254">
        <v>282.5</v>
      </c>
      <c r="F66" s="254">
        <v>618</v>
      </c>
      <c r="G66" s="254">
        <v>7412</v>
      </c>
      <c r="H66" s="254">
        <v>9287.5</v>
      </c>
      <c r="I66" s="254">
        <v>474</v>
      </c>
      <c r="J66" s="254">
        <v>170</v>
      </c>
      <c r="K66" s="254">
        <v>144</v>
      </c>
      <c r="L66" s="254">
        <v>128</v>
      </c>
      <c r="M66" s="254">
        <v>124</v>
      </c>
      <c r="N66" s="254">
        <v>102</v>
      </c>
      <c r="O66" s="254">
        <v>106</v>
      </c>
    </row>
    <row r="67" spans="1:15" ht="13.35" customHeight="1">
      <c r="A67" s="243" t="s">
        <v>432</v>
      </c>
      <c r="B67" s="244">
        <v>2018</v>
      </c>
      <c r="C67" s="309">
        <v>100728.90000000001</v>
      </c>
      <c r="D67" s="442">
        <v>106.5</v>
      </c>
      <c r="E67" s="442">
        <v>414.5</v>
      </c>
      <c r="F67" s="442">
        <v>4718.8</v>
      </c>
      <c r="G67" s="442">
        <v>41760</v>
      </c>
      <c r="H67" s="442">
        <v>41243.5</v>
      </c>
      <c r="I67" s="442">
        <v>7801</v>
      </c>
      <c r="J67" s="442">
        <v>2907.6</v>
      </c>
      <c r="K67" s="442">
        <v>883</v>
      </c>
      <c r="L67" s="442">
        <v>561.5</v>
      </c>
      <c r="M67" s="442">
        <v>90.5</v>
      </c>
      <c r="N67" s="442">
        <v>127.5</v>
      </c>
      <c r="O67" s="442">
        <v>114.5</v>
      </c>
    </row>
    <row r="68" spans="1:15" ht="13.35" customHeight="1">
      <c r="A68" s="90"/>
      <c r="B68" s="247">
        <v>2019</v>
      </c>
      <c r="C68" s="310">
        <v>107460</v>
      </c>
      <c r="D68" s="255">
        <v>182.5</v>
      </c>
      <c r="E68" s="255">
        <v>1267</v>
      </c>
      <c r="F68" s="255">
        <v>2885.5</v>
      </c>
      <c r="G68" s="255">
        <v>38851.5</v>
      </c>
      <c r="H68" s="255">
        <v>53068.5</v>
      </c>
      <c r="I68" s="255">
        <v>7137.5</v>
      </c>
      <c r="J68" s="255">
        <v>2326</v>
      </c>
      <c r="K68" s="255">
        <v>853.5</v>
      </c>
      <c r="L68" s="255">
        <v>514.5</v>
      </c>
      <c r="M68" s="255">
        <v>161.5</v>
      </c>
      <c r="N68" s="255">
        <v>97.5</v>
      </c>
      <c r="O68" s="255">
        <v>114.5</v>
      </c>
    </row>
    <row r="69" spans="1:15" ht="10.35" customHeight="1">
      <c r="A69" s="242" t="s">
        <v>16</v>
      </c>
      <c r="B69" s="257"/>
      <c r="C69" s="258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</row>
    <row r="70" spans="1:15" ht="10.35" customHeight="1">
      <c r="A70" s="242" t="s">
        <v>279</v>
      </c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</row>
    <row r="71" spans="1:15" ht="10.35" customHeight="1">
      <c r="A71" s="230" t="s">
        <v>379</v>
      </c>
      <c r="B71" s="230"/>
      <c r="C71" s="230"/>
      <c r="D71" s="230"/>
      <c r="E71" s="230"/>
      <c r="F71" s="230"/>
      <c r="G71" s="230"/>
      <c r="H71" s="242"/>
      <c r="I71" s="242"/>
      <c r="J71" s="242"/>
      <c r="K71" s="242"/>
      <c r="L71" s="242"/>
      <c r="M71" s="242"/>
      <c r="N71" s="242"/>
      <c r="O71" s="242"/>
    </row>
    <row r="72" spans="1:15" ht="17.100000000000001" customHeight="1">
      <c r="A72" s="271"/>
    </row>
    <row r="85" spans="17:24" ht="17.100000000000001" customHeight="1">
      <c r="Q85" s="272" t="s">
        <v>55</v>
      </c>
      <c r="X85" s="272" t="s">
        <v>58</v>
      </c>
    </row>
  </sheetData>
  <mergeCells count="1">
    <mergeCell ref="A6:A7"/>
  </mergeCells>
  <phoneticPr fontId="10" type="noConversion"/>
  <pageMargins left="0.51181102362204722" right="0.11811023622047245" top="0.74803149606299213" bottom="0.35433070866141736" header="0.31496062992125984" footer="0.31496062992125984"/>
  <rowBreaks count="1" manualBreakCount="1">
    <brk id="36" max="14" man="1" pt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20"/>
  <dimension ref="A1:BN85"/>
  <sheetViews>
    <sheetView showGridLines="0" topLeftCell="A51" zoomScale="150" workbookViewId="0">
      <selection activeCell="X85" sqref="X85"/>
    </sheetView>
  </sheetViews>
  <sheetFormatPr baseColWidth="10" defaultColWidth="10.7109375" defaultRowHeight="17.100000000000001" customHeight="1"/>
  <cols>
    <col min="1" max="1" width="9.7109375" style="272" customWidth="1"/>
    <col min="2" max="2" width="4.42578125" style="272" customWidth="1"/>
    <col min="3" max="3" width="5.7109375" style="272" bestFit="1" customWidth="1"/>
    <col min="4" max="4" width="6.42578125" style="272" customWidth="1"/>
    <col min="5" max="5" width="5.7109375" style="272" bestFit="1" customWidth="1"/>
    <col min="6" max="6" width="6.7109375" style="272" customWidth="1"/>
    <col min="7" max="7" width="5.7109375" style="272" bestFit="1" customWidth="1"/>
    <col min="8" max="8" width="5.140625" style="272" bestFit="1" customWidth="1"/>
    <col min="9" max="10" width="6.42578125" style="272" customWidth="1"/>
    <col min="11" max="11" width="5.140625" style="272" bestFit="1" customWidth="1"/>
    <col min="12" max="12" width="5.28515625" style="272" customWidth="1"/>
    <col min="13" max="13" width="5.42578125" style="272" bestFit="1" customWidth="1"/>
    <col min="14" max="14" width="9.42578125" style="272" customWidth="1"/>
    <col min="15" max="15" width="4.85546875" style="272" customWidth="1"/>
    <col min="16" max="16" width="6" style="272" customWidth="1"/>
    <col min="17" max="17" width="5.85546875" style="272" customWidth="1"/>
    <col min="18" max="18" width="5.7109375" style="272" customWidth="1"/>
    <col min="19" max="19" width="6.7109375" style="272" customWidth="1"/>
    <col min="20" max="21" width="5.85546875" style="272" customWidth="1"/>
    <col min="22" max="22" width="6.28515625" style="272" customWidth="1"/>
    <col min="23" max="23" width="6" style="272" customWidth="1"/>
    <col min="24" max="24" width="6.7109375" style="272" customWidth="1"/>
    <col min="25" max="26" width="6" style="272" customWidth="1"/>
    <col min="27" max="27" width="9.42578125" style="272" customWidth="1"/>
    <col min="28" max="28" width="5" style="272" customWidth="1"/>
    <col min="29" max="29" width="6.140625" style="272" customWidth="1"/>
    <col min="30" max="30" width="6.7109375" style="272" customWidth="1"/>
    <col min="31" max="32" width="6.140625" style="272" customWidth="1"/>
    <col min="33" max="33" width="6.7109375" style="272" customWidth="1"/>
    <col min="34" max="36" width="6.140625" style="272" customWidth="1"/>
    <col min="37" max="37" width="6.42578125" style="272" customWidth="1"/>
    <col min="38" max="38" width="5.85546875" style="272" customWidth="1"/>
    <col min="39" max="39" width="9.42578125" style="272" customWidth="1"/>
    <col min="40" max="40" width="4.7109375" style="272" customWidth="1"/>
    <col min="41" max="41" width="5.7109375" style="272" customWidth="1"/>
    <col min="42" max="42" width="6.140625" style="272" customWidth="1"/>
    <col min="43" max="43" width="6.85546875" style="272" customWidth="1"/>
    <col min="44" max="44" width="6.7109375" style="272" customWidth="1"/>
    <col min="45" max="45" width="5.7109375" style="272" customWidth="1"/>
    <col min="46" max="46" width="5.7109375" style="272" bestFit="1" customWidth="1"/>
    <col min="47" max="47" width="5.7109375" style="272" customWidth="1"/>
    <col min="48" max="48" width="6.7109375" style="272" customWidth="1"/>
    <col min="49" max="49" width="5.28515625" style="272" customWidth="1"/>
    <col min="50" max="50" width="5.42578125" style="272" customWidth="1"/>
    <col min="51" max="51" width="6.7109375" style="272" customWidth="1"/>
    <col min="52" max="52" width="9.42578125" style="272" customWidth="1"/>
    <col min="53" max="53" width="4.7109375" style="272" customWidth="1"/>
    <col min="54" max="55" width="5" style="272" customWidth="1"/>
    <col min="56" max="56" width="5.42578125" style="272" customWidth="1"/>
    <col min="57" max="57" width="7.42578125" style="272" customWidth="1"/>
    <col min="58" max="58" width="6.42578125" style="272" customWidth="1"/>
    <col min="59" max="61" width="6.7109375" style="272" customWidth="1"/>
    <col min="62" max="63" width="6" style="272" customWidth="1"/>
    <col min="64" max="64" width="6.140625" style="272" customWidth="1"/>
    <col min="65" max="65" width="6.28515625" style="272" customWidth="1"/>
    <col min="66" max="16384" width="10.7109375" style="272"/>
  </cols>
  <sheetData>
    <row r="1" spans="1:66" ht="16.350000000000001" customHeight="1">
      <c r="A1" s="291" t="s">
        <v>44</v>
      </c>
      <c r="B1" s="289"/>
      <c r="C1" s="289"/>
      <c r="D1" s="289"/>
      <c r="E1" s="28"/>
    </row>
    <row r="2" spans="1:66" ht="13.5">
      <c r="A2" s="18" t="s">
        <v>506</v>
      </c>
      <c r="B2" s="28"/>
      <c r="C2" s="28"/>
      <c r="D2" s="28"/>
      <c r="E2" s="28"/>
      <c r="N2" s="89" t="s">
        <v>159</v>
      </c>
      <c r="AA2" s="89" t="s">
        <v>159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89" t="s">
        <v>159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89" t="s">
        <v>159</v>
      </c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26"/>
    </row>
    <row r="3" spans="1:66" ht="2.1" customHeight="1"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26"/>
    </row>
    <row r="4" spans="1:66" ht="38.25">
      <c r="A4" s="333" t="s">
        <v>433</v>
      </c>
      <c r="B4" s="333" t="s">
        <v>472</v>
      </c>
      <c r="C4" s="333" t="s">
        <v>370</v>
      </c>
      <c r="D4" s="333" t="s">
        <v>458</v>
      </c>
      <c r="E4" s="333" t="s">
        <v>236</v>
      </c>
      <c r="F4" s="333" t="s">
        <v>397</v>
      </c>
      <c r="G4" s="333" t="s">
        <v>237</v>
      </c>
      <c r="H4" s="333" t="s">
        <v>448</v>
      </c>
      <c r="I4" s="333" t="s">
        <v>399</v>
      </c>
      <c r="J4" s="333" t="s">
        <v>408</v>
      </c>
      <c r="K4" s="333" t="s">
        <v>210</v>
      </c>
      <c r="L4" s="333" t="s">
        <v>385</v>
      </c>
      <c r="M4" s="333" t="s">
        <v>211</v>
      </c>
      <c r="N4" s="333" t="s">
        <v>433</v>
      </c>
      <c r="O4" s="333" t="s">
        <v>472</v>
      </c>
      <c r="P4" s="333" t="s">
        <v>497</v>
      </c>
      <c r="Q4" s="333" t="s">
        <v>383</v>
      </c>
      <c r="R4" s="333" t="s">
        <v>266</v>
      </c>
      <c r="S4" s="333" t="s">
        <v>382</v>
      </c>
      <c r="T4" s="333" t="s">
        <v>375</v>
      </c>
      <c r="U4" s="333" t="s">
        <v>405</v>
      </c>
      <c r="V4" s="333" t="s">
        <v>366</v>
      </c>
      <c r="W4" s="333" t="s">
        <v>372</v>
      </c>
      <c r="X4" s="333" t="s">
        <v>401</v>
      </c>
      <c r="Y4" s="333" t="s">
        <v>368</v>
      </c>
      <c r="Z4" s="333" t="s">
        <v>447</v>
      </c>
      <c r="AA4" s="333" t="s">
        <v>433</v>
      </c>
      <c r="AB4" s="333" t="s">
        <v>472</v>
      </c>
      <c r="AC4" s="333" t="s">
        <v>204</v>
      </c>
      <c r="AD4" s="333" t="s">
        <v>469</v>
      </c>
      <c r="AE4" s="333" t="s">
        <v>492</v>
      </c>
      <c r="AF4" s="333" t="s">
        <v>371</v>
      </c>
      <c r="AG4" s="333" t="s">
        <v>496</v>
      </c>
      <c r="AH4" s="333" t="s">
        <v>467</v>
      </c>
      <c r="AI4" s="333" t="s">
        <v>407</v>
      </c>
      <c r="AJ4" s="333" t="s">
        <v>374</v>
      </c>
      <c r="AK4" s="333" t="s">
        <v>267</v>
      </c>
      <c r="AL4" s="333" t="s">
        <v>449</v>
      </c>
      <c r="AM4" s="333" t="s">
        <v>433</v>
      </c>
      <c r="AN4" s="333" t="s">
        <v>472</v>
      </c>
      <c r="AO4" s="333" t="s">
        <v>498</v>
      </c>
      <c r="AP4" s="333" t="s">
        <v>253</v>
      </c>
      <c r="AQ4" s="333" t="s">
        <v>398</v>
      </c>
      <c r="AR4" s="333" t="s">
        <v>404</v>
      </c>
      <c r="AS4" s="333" t="s">
        <v>203</v>
      </c>
      <c r="AT4" s="333" t="s">
        <v>384</v>
      </c>
      <c r="AU4" s="333" t="s">
        <v>252</v>
      </c>
      <c r="AV4" s="333" t="s">
        <v>264</v>
      </c>
      <c r="AW4" s="333" t="s">
        <v>369</v>
      </c>
      <c r="AX4" s="333" t="s">
        <v>429</v>
      </c>
      <c r="AY4" s="333" t="s">
        <v>327</v>
      </c>
      <c r="AZ4" s="333" t="s">
        <v>433</v>
      </c>
      <c r="BA4" s="333" t="s">
        <v>472</v>
      </c>
      <c r="BB4" s="333" t="s">
        <v>468</v>
      </c>
      <c r="BC4" s="333" t="s">
        <v>269</v>
      </c>
      <c r="BD4" s="333" t="s">
        <v>238</v>
      </c>
      <c r="BE4" s="333" t="s">
        <v>265</v>
      </c>
      <c r="BF4" s="333" t="s">
        <v>400</v>
      </c>
      <c r="BG4" s="333" t="s">
        <v>258</v>
      </c>
      <c r="BH4" s="333" t="s">
        <v>431</v>
      </c>
      <c r="BI4" s="333" t="s">
        <v>432</v>
      </c>
      <c r="BJ4" s="333" t="s">
        <v>402</v>
      </c>
      <c r="BK4" s="333" t="s">
        <v>271</v>
      </c>
      <c r="BL4" s="333" t="s">
        <v>520</v>
      </c>
    </row>
    <row r="5" spans="1:66" ht="11.1" customHeight="1">
      <c r="A5" s="598" t="s">
        <v>139</v>
      </c>
      <c r="B5" s="248" t="s">
        <v>168</v>
      </c>
      <c r="C5" s="512">
        <v>196011.97400000002</v>
      </c>
      <c r="D5" s="512">
        <v>1266029.8580000002</v>
      </c>
      <c r="E5" s="512">
        <v>313112.26199999993</v>
      </c>
      <c r="F5" s="512">
        <v>3557899.9920000001</v>
      </c>
      <c r="G5" s="512">
        <v>213384.72099999996</v>
      </c>
      <c r="H5" s="512">
        <v>86737.949999999983</v>
      </c>
      <c r="I5" s="512">
        <v>360630.14</v>
      </c>
      <c r="J5" s="512">
        <v>154551.94000000003</v>
      </c>
      <c r="K5" s="512">
        <v>49715.251000000004</v>
      </c>
      <c r="L5" s="512">
        <v>34453</v>
      </c>
      <c r="M5" s="512">
        <v>50002.170999999995</v>
      </c>
      <c r="N5" s="598" t="s">
        <v>139</v>
      </c>
      <c r="O5" s="248" t="s">
        <v>168</v>
      </c>
      <c r="P5" s="512">
        <v>253449.264</v>
      </c>
      <c r="Q5" s="512">
        <v>210266.41999999995</v>
      </c>
      <c r="R5" s="512">
        <v>142327.79999999999</v>
      </c>
      <c r="S5" s="512">
        <v>178744.38999999998</v>
      </c>
      <c r="T5" s="512">
        <v>105097.24400000001</v>
      </c>
      <c r="U5" s="512">
        <v>643954.38600000006</v>
      </c>
      <c r="V5" s="512">
        <v>453227.93299999996</v>
      </c>
      <c r="W5" s="512">
        <v>504532.29299999995</v>
      </c>
      <c r="X5" s="512">
        <v>2194876.4890000001</v>
      </c>
      <c r="Y5" s="512">
        <v>378886.54599999997</v>
      </c>
      <c r="Z5" s="512">
        <v>175988.06299999999</v>
      </c>
      <c r="AA5" s="598" t="s">
        <v>139</v>
      </c>
      <c r="AB5" s="248" t="s">
        <v>168</v>
      </c>
      <c r="AC5" s="512">
        <v>548464.87200000009</v>
      </c>
      <c r="AD5" s="512">
        <v>55635.436999999998</v>
      </c>
      <c r="AE5" s="512">
        <v>258205.90000000002</v>
      </c>
      <c r="AF5" s="512">
        <v>502822.45500000007</v>
      </c>
      <c r="AG5" s="512">
        <v>481593.96299999999</v>
      </c>
      <c r="AH5" s="512">
        <v>112042.31600000002</v>
      </c>
      <c r="AI5" s="512">
        <v>645545.05900000012</v>
      </c>
      <c r="AJ5" s="512">
        <v>140569.44099999999</v>
      </c>
      <c r="AK5" s="512">
        <v>45114.267999999989</v>
      </c>
      <c r="AL5" s="512">
        <v>78140.872000000003</v>
      </c>
      <c r="AM5" s="598" t="s">
        <v>139</v>
      </c>
      <c r="AN5" s="248" t="s">
        <v>168</v>
      </c>
      <c r="AO5" s="508">
        <v>188982.40900000001</v>
      </c>
      <c r="AP5" s="508">
        <v>921000.60899999994</v>
      </c>
      <c r="AQ5" s="508">
        <v>5131535.487999999</v>
      </c>
      <c r="AR5" s="508">
        <v>1239740.598</v>
      </c>
      <c r="AS5" s="508">
        <v>275322.80200000008</v>
      </c>
      <c r="AT5" s="508">
        <v>105038.69999999998</v>
      </c>
      <c r="AU5" s="508">
        <v>205236.04799999998</v>
      </c>
      <c r="AV5" s="508">
        <v>369621.99199999997</v>
      </c>
      <c r="AW5" s="508">
        <v>134675.74400000001</v>
      </c>
      <c r="AX5" s="516">
        <v>26231.579999999998</v>
      </c>
      <c r="AY5" s="512">
        <v>88865.771000000022</v>
      </c>
      <c r="AZ5" s="598" t="s">
        <v>139</v>
      </c>
      <c r="BA5" s="248" t="s">
        <v>168</v>
      </c>
      <c r="BB5" s="512">
        <v>8512.2289999999994</v>
      </c>
      <c r="BC5" s="512">
        <v>83513.265999999989</v>
      </c>
      <c r="BD5" s="512">
        <v>54370.753000000004</v>
      </c>
      <c r="BE5" s="512">
        <v>10336177.907933399</v>
      </c>
      <c r="BF5" s="512">
        <v>6522086.8209999995</v>
      </c>
      <c r="BG5" s="512">
        <v>1818040.5209999999</v>
      </c>
      <c r="BH5" s="512">
        <v>435964.87699999998</v>
      </c>
      <c r="BI5" s="512">
        <v>2230984.557</v>
      </c>
      <c r="BJ5" s="512">
        <v>44194.618999999999</v>
      </c>
      <c r="BK5" s="512">
        <v>18405.085999999999</v>
      </c>
      <c r="BL5" s="512">
        <v>84803.06</v>
      </c>
    </row>
    <row r="6" spans="1:66" ht="11.1" customHeight="1">
      <c r="A6" s="599"/>
      <c r="B6" s="249" t="s">
        <v>169</v>
      </c>
      <c r="C6" s="513">
        <v>190560.06500000003</v>
      </c>
      <c r="D6" s="513">
        <v>1271825.4650000003</v>
      </c>
      <c r="E6" s="513">
        <v>307970.28500000003</v>
      </c>
      <c r="F6" s="513">
        <v>3188305.6999999993</v>
      </c>
      <c r="G6" s="513">
        <v>215509.05299999999</v>
      </c>
      <c r="H6" s="513">
        <v>89775.215999999986</v>
      </c>
      <c r="I6" s="513">
        <v>366757.96</v>
      </c>
      <c r="J6" s="513">
        <v>131882.22</v>
      </c>
      <c r="K6" s="513">
        <v>43155.163</v>
      </c>
      <c r="L6" s="513">
        <v>22560</v>
      </c>
      <c r="M6" s="513">
        <v>44029.784999999996</v>
      </c>
      <c r="N6" s="600"/>
      <c r="O6" s="249" t="s">
        <v>169</v>
      </c>
      <c r="P6" s="513">
        <v>202242.47300000003</v>
      </c>
      <c r="Q6" s="513">
        <v>213305.68600000002</v>
      </c>
      <c r="R6" s="513">
        <v>129198.00700000001</v>
      </c>
      <c r="S6" s="513">
        <v>191556.92600000004</v>
      </c>
      <c r="T6" s="513">
        <v>83297.430999999997</v>
      </c>
      <c r="U6" s="513">
        <v>631579.72900000005</v>
      </c>
      <c r="V6" s="513">
        <v>421870.02300000004</v>
      </c>
      <c r="W6" s="513">
        <v>535910.96299999999</v>
      </c>
      <c r="X6" s="513">
        <v>2280103.0439999998</v>
      </c>
      <c r="Y6" s="513">
        <v>537079.37700000009</v>
      </c>
      <c r="Z6" s="513">
        <v>171667.20500000002</v>
      </c>
      <c r="AA6" s="600"/>
      <c r="AB6" s="249" t="s">
        <v>169</v>
      </c>
      <c r="AC6" s="513">
        <v>568906.87400000019</v>
      </c>
      <c r="AD6" s="513">
        <v>53724.239000000001</v>
      </c>
      <c r="AE6" s="513">
        <v>289157.12700000004</v>
      </c>
      <c r="AF6" s="513">
        <v>514930.60600000009</v>
      </c>
      <c r="AG6" s="513">
        <v>507595.603</v>
      </c>
      <c r="AH6" s="513">
        <v>93039.372999999992</v>
      </c>
      <c r="AI6" s="513">
        <v>638204.35899999982</v>
      </c>
      <c r="AJ6" s="513">
        <v>142284.25100000002</v>
      </c>
      <c r="AK6" s="513">
        <v>46101.185999999994</v>
      </c>
      <c r="AL6" s="513">
        <v>79602.891999999993</v>
      </c>
      <c r="AM6" s="600"/>
      <c r="AN6" s="249" t="s">
        <v>169</v>
      </c>
      <c r="AO6" s="509">
        <v>190985.74</v>
      </c>
      <c r="AP6" s="509">
        <v>912928.90100000007</v>
      </c>
      <c r="AQ6" s="509">
        <v>5331063.0910000009</v>
      </c>
      <c r="AR6" s="509">
        <v>1286012.754</v>
      </c>
      <c r="AS6" s="509">
        <v>301343.76199999999</v>
      </c>
      <c r="AT6" s="509">
        <v>97246.748000000007</v>
      </c>
      <c r="AU6" s="509">
        <v>198121.872</v>
      </c>
      <c r="AV6" s="509">
        <v>363291.43900000001</v>
      </c>
      <c r="AW6" s="509">
        <v>135927.61200000002</v>
      </c>
      <c r="AX6" s="517">
        <v>23312.22</v>
      </c>
      <c r="AY6" s="513">
        <v>85941.770999999993</v>
      </c>
      <c r="AZ6" s="600"/>
      <c r="BA6" s="249" t="s">
        <v>169</v>
      </c>
      <c r="BB6" s="513">
        <v>8232.52</v>
      </c>
      <c r="BC6" s="513">
        <v>86388.301000000007</v>
      </c>
      <c r="BD6" s="513">
        <v>51840.712</v>
      </c>
      <c r="BE6" s="513">
        <v>10929340.628999999</v>
      </c>
      <c r="BF6" s="513">
        <v>6780464.1550000003</v>
      </c>
      <c r="BG6" s="513">
        <v>1819833.118</v>
      </c>
      <c r="BH6" s="513">
        <v>410513.24300000002</v>
      </c>
      <c r="BI6" s="513">
        <v>2496933.0260000001</v>
      </c>
      <c r="BJ6" s="513">
        <v>58307.701999999997</v>
      </c>
      <c r="BK6" s="513">
        <v>16063.412</v>
      </c>
      <c r="BL6" s="513">
        <v>145669.33000000002</v>
      </c>
    </row>
    <row r="7" spans="1:66" ht="11.1" customHeight="1">
      <c r="A7" s="14" t="s">
        <v>349</v>
      </c>
      <c r="B7" s="347" t="s">
        <v>170</v>
      </c>
      <c r="C7" s="514">
        <v>455.59899999999999</v>
      </c>
      <c r="D7" s="514">
        <v>31259.670000000002</v>
      </c>
      <c r="E7" s="514">
        <v>7061.3590000000004</v>
      </c>
      <c r="F7" s="514">
        <v>454265.81399999995</v>
      </c>
      <c r="G7" s="514">
        <v>211.35899999999998</v>
      </c>
      <c r="H7" s="514">
        <v>0</v>
      </c>
      <c r="I7" s="514">
        <v>0</v>
      </c>
      <c r="J7" s="514">
        <v>0</v>
      </c>
      <c r="K7" s="514">
        <v>184.55</v>
      </c>
      <c r="L7" s="514">
        <v>0</v>
      </c>
      <c r="M7" s="514">
        <v>0</v>
      </c>
      <c r="N7" s="14" t="s">
        <v>349</v>
      </c>
      <c r="O7" s="347" t="s">
        <v>170</v>
      </c>
      <c r="P7" s="514">
        <v>300.56900000000002</v>
      </c>
      <c r="Q7" s="514">
        <v>563.30900000000008</v>
      </c>
      <c r="R7" s="514">
        <v>1946.6590000000001</v>
      </c>
      <c r="S7" s="514">
        <v>2991.9309999999996</v>
      </c>
      <c r="T7" s="514">
        <v>23.8</v>
      </c>
      <c r="U7" s="514">
        <v>14</v>
      </c>
      <c r="V7" s="514">
        <v>5541.74</v>
      </c>
      <c r="W7" s="514">
        <v>1159.77</v>
      </c>
      <c r="X7" s="514">
        <v>131274.633</v>
      </c>
      <c r="Y7" s="514">
        <v>3267.4</v>
      </c>
      <c r="Z7" s="514">
        <v>14656.4</v>
      </c>
      <c r="AA7" s="14" t="s">
        <v>349</v>
      </c>
      <c r="AB7" s="347" t="s">
        <v>170</v>
      </c>
      <c r="AC7" s="514">
        <v>20229.400000000001</v>
      </c>
      <c r="AD7" s="514">
        <v>805.70999999999981</v>
      </c>
      <c r="AE7" s="514">
        <v>5615.65</v>
      </c>
      <c r="AF7" s="514">
        <v>5548.4299999999985</v>
      </c>
      <c r="AG7" s="514">
        <v>0</v>
      </c>
      <c r="AH7" s="514">
        <v>0</v>
      </c>
      <c r="AI7" s="514">
        <v>0</v>
      </c>
      <c r="AJ7" s="514">
        <v>5</v>
      </c>
      <c r="AK7" s="514">
        <v>148.16</v>
      </c>
      <c r="AL7" s="514">
        <v>0</v>
      </c>
      <c r="AM7" s="14" t="s">
        <v>349</v>
      </c>
      <c r="AN7" s="347" t="s">
        <v>170</v>
      </c>
      <c r="AO7" s="510">
        <v>0</v>
      </c>
      <c r="AP7" s="510">
        <v>0</v>
      </c>
      <c r="AQ7" s="510">
        <v>69152.718999999997</v>
      </c>
      <c r="AR7" s="510">
        <v>178750.48999999996</v>
      </c>
      <c r="AS7" s="510">
        <v>160.65</v>
      </c>
      <c r="AT7" s="510">
        <v>311.60999999999996</v>
      </c>
      <c r="AU7" s="510">
        <v>1294.96</v>
      </c>
      <c r="AV7" s="510">
        <v>43945.824999999997</v>
      </c>
      <c r="AW7" s="510">
        <v>4513.9800000000005</v>
      </c>
      <c r="AX7" s="518">
        <v>0</v>
      </c>
      <c r="AY7" s="514">
        <v>8000.0770000000002</v>
      </c>
      <c r="AZ7" s="14" t="s">
        <v>349</v>
      </c>
      <c r="BA7" s="347" t="s">
        <v>170</v>
      </c>
      <c r="BB7" s="514">
        <v>0</v>
      </c>
      <c r="BC7" s="514">
        <v>125.07000000000002</v>
      </c>
      <c r="BD7" s="514">
        <v>201</v>
      </c>
      <c r="BE7" s="514">
        <v>0</v>
      </c>
      <c r="BF7" s="514">
        <v>13327.759999999998</v>
      </c>
      <c r="BG7" s="514">
        <v>0</v>
      </c>
      <c r="BH7" s="514">
        <v>0</v>
      </c>
      <c r="BI7" s="514">
        <v>0</v>
      </c>
      <c r="BJ7" s="514">
        <v>0</v>
      </c>
      <c r="BK7" s="514">
        <v>0</v>
      </c>
      <c r="BL7" s="514">
        <v>0</v>
      </c>
      <c r="BN7" s="233"/>
    </row>
    <row r="8" spans="1:66" ht="11.1" customHeight="1">
      <c r="A8" s="14"/>
      <c r="B8" s="347" t="s">
        <v>171</v>
      </c>
      <c r="C8" s="514">
        <v>124.43999999999998</v>
      </c>
      <c r="D8" s="514">
        <v>32797.003000000004</v>
      </c>
      <c r="E8" s="514">
        <v>6051.4999999999991</v>
      </c>
      <c r="F8" s="514">
        <v>465218.63300000003</v>
      </c>
      <c r="G8" s="514">
        <v>31.229999999999997</v>
      </c>
      <c r="H8" s="514">
        <v>0</v>
      </c>
      <c r="I8" s="514">
        <v>0</v>
      </c>
      <c r="J8" s="514">
        <v>0</v>
      </c>
      <c r="K8" s="514">
        <v>268.98</v>
      </c>
      <c r="L8" s="514">
        <v>0</v>
      </c>
      <c r="M8" s="514">
        <v>0</v>
      </c>
      <c r="N8" s="14"/>
      <c r="O8" s="347" t="s">
        <v>171</v>
      </c>
      <c r="P8" s="514">
        <v>645.69000000000005</v>
      </c>
      <c r="Q8" s="514">
        <v>947.54000000000008</v>
      </c>
      <c r="R8" s="514">
        <v>1401.4899999999998</v>
      </c>
      <c r="S8" s="514">
        <v>3735.2890000000007</v>
      </c>
      <c r="T8" s="514">
        <v>8.6999999999999993</v>
      </c>
      <c r="U8" s="514">
        <v>14</v>
      </c>
      <c r="V8" s="514">
        <v>5977.5000000000009</v>
      </c>
      <c r="W8" s="514">
        <v>1650.9199999999998</v>
      </c>
      <c r="X8" s="514">
        <v>129016.15000000001</v>
      </c>
      <c r="Y8" s="514">
        <v>2316.08</v>
      </c>
      <c r="Z8" s="514">
        <v>15168.438999999995</v>
      </c>
      <c r="AA8" s="14"/>
      <c r="AB8" s="347" t="s">
        <v>171</v>
      </c>
      <c r="AC8" s="514">
        <v>19067.399999999998</v>
      </c>
      <c r="AD8" s="514">
        <v>773.28</v>
      </c>
      <c r="AE8" s="514">
        <v>5875.8099999999995</v>
      </c>
      <c r="AF8" s="514">
        <v>6223.7100000000009</v>
      </c>
      <c r="AG8" s="514">
        <v>0</v>
      </c>
      <c r="AH8" s="514">
        <v>0</v>
      </c>
      <c r="AI8" s="514">
        <v>0</v>
      </c>
      <c r="AJ8" s="514">
        <v>4.5</v>
      </c>
      <c r="AK8" s="514">
        <v>107.97000000000001</v>
      </c>
      <c r="AL8" s="514">
        <v>0</v>
      </c>
      <c r="AM8" s="14"/>
      <c r="AN8" s="347" t="s">
        <v>171</v>
      </c>
      <c r="AO8" s="510">
        <v>0</v>
      </c>
      <c r="AP8" s="510">
        <v>0</v>
      </c>
      <c r="AQ8" s="510">
        <v>71078.02399999999</v>
      </c>
      <c r="AR8" s="510">
        <v>199094.51400000002</v>
      </c>
      <c r="AS8" s="510">
        <v>207.85000000000002</v>
      </c>
      <c r="AT8" s="510">
        <v>298.52000000000004</v>
      </c>
      <c r="AU8" s="510">
        <v>1781.9599999999998</v>
      </c>
      <c r="AV8" s="510">
        <v>43419.284</v>
      </c>
      <c r="AW8" s="510">
        <v>5107.5809999999992</v>
      </c>
      <c r="AX8" s="518">
        <v>0</v>
      </c>
      <c r="AY8" s="514">
        <v>6022.4869999999992</v>
      </c>
      <c r="AZ8" s="14"/>
      <c r="BA8" s="347" t="s">
        <v>171</v>
      </c>
      <c r="BB8" s="514">
        <v>0</v>
      </c>
      <c r="BC8" s="514">
        <v>93.004999999999981</v>
      </c>
      <c r="BD8" s="514">
        <v>61.87</v>
      </c>
      <c r="BE8" s="514">
        <v>0</v>
      </c>
      <c r="BF8" s="514">
        <v>12999.886000000002</v>
      </c>
      <c r="BG8" s="514">
        <v>0</v>
      </c>
      <c r="BH8" s="514">
        <v>0</v>
      </c>
      <c r="BI8" s="514">
        <v>0</v>
      </c>
      <c r="BJ8" s="514">
        <v>0</v>
      </c>
      <c r="BK8" s="514">
        <v>0</v>
      </c>
      <c r="BL8" s="514">
        <v>0</v>
      </c>
      <c r="BN8" s="233"/>
    </row>
    <row r="9" spans="1:66" ht="11.1" customHeight="1">
      <c r="A9" s="14" t="s">
        <v>350</v>
      </c>
      <c r="B9" s="347" t="s">
        <v>170</v>
      </c>
      <c r="C9" s="514">
        <v>12911.2</v>
      </c>
      <c r="D9" s="514">
        <v>214096.1</v>
      </c>
      <c r="E9" s="514">
        <v>7296.15</v>
      </c>
      <c r="F9" s="514">
        <v>83120</v>
      </c>
      <c r="G9" s="514">
        <v>6821</v>
      </c>
      <c r="H9" s="514">
        <v>149.29999999999998</v>
      </c>
      <c r="I9" s="514">
        <v>11864</v>
      </c>
      <c r="J9" s="514">
        <v>2930</v>
      </c>
      <c r="K9" s="514">
        <v>1091</v>
      </c>
      <c r="L9" s="514">
        <v>0</v>
      </c>
      <c r="M9" s="514">
        <v>0</v>
      </c>
      <c r="N9" s="14" t="s">
        <v>350</v>
      </c>
      <c r="O9" s="347" t="s">
        <v>170</v>
      </c>
      <c r="P9" s="514">
        <v>7093</v>
      </c>
      <c r="Q9" s="514">
        <v>12342</v>
      </c>
      <c r="R9" s="514">
        <v>2560.8000000000002</v>
      </c>
      <c r="S9" s="514">
        <v>3688</v>
      </c>
      <c r="T9" s="514">
        <v>117.6</v>
      </c>
      <c r="U9" s="514">
        <v>6051</v>
      </c>
      <c r="V9" s="514">
        <v>50544</v>
      </c>
      <c r="W9" s="514">
        <v>17546.5</v>
      </c>
      <c r="X9" s="514">
        <v>1463</v>
      </c>
      <c r="Y9" s="514">
        <v>7535</v>
      </c>
      <c r="Z9" s="514">
        <v>154</v>
      </c>
      <c r="AA9" s="14" t="s">
        <v>350</v>
      </c>
      <c r="AB9" s="347" t="s">
        <v>170</v>
      </c>
      <c r="AC9" s="514">
        <v>0</v>
      </c>
      <c r="AD9" s="514">
        <v>40</v>
      </c>
      <c r="AE9" s="514">
        <v>776</v>
      </c>
      <c r="AF9" s="514">
        <v>2426.5</v>
      </c>
      <c r="AG9" s="514">
        <v>0</v>
      </c>
      <c r="AH9" s="514">
        <v>0</v>
      </c>
      <c r="AI9" s="514">
        <v>3226</v>
      </c>
      <c r="AJ9" s="514">
        <v>4233.7</v>
      </c>
      <c r="AK9" s="514">
        <v>3497</v>
      </c>
      <c r="AL9" s="514">
        <v>2842</v>
      </c>
      <c r="AM9" s="14" t="s">
        <v>350</v>
      </c>
      <c r="AN9" s="347" t="s">
        <v>170</v>
      </c>
      <c r="AO9" s="510">
        <v>0</v>
      </c>
      <c r="AP9" s="510">
        <v>0</v>
      </c>
      <c r="AQ9" s="510">
        <v>89526.399999999994</v>
      </c>
      <c r="AR9" s="510">
        <v>3889</v>
      </c>
      <c r="AS9" s="510">
        <v>26028</v>
      </c>
      <c r="AT9" s="510">
        <v>1076.03</v>
      </c>
      <c r="AU9" s="510">
        <v>3148.53</v>
      </c>
      <c r="AV9" s="510">
        <v>0</v>
      </c>
      <c r="AW9" s="510">
        <v>0</v>
      </c>
      <c r="AX9" s="518">
        <v>603</v>
      </c>
      <c r="AY9" s="514">
        <v>1160.05</v>
      </c>
      <c r="AZ9" s="14" t="s">
        <v>350</v>
      </c>
      <c r="BA9" s="347" t="s">
        <v>170</v>
      </c>
      <c r="BB9" s="514">
        <v>0</v>
      </c>
      <c r="BC9" s="514">
        <v>1293.7</v>
      </c>
      <c r="BD9" s="514">
        <v>1002.3</v>
      </c>
      <c r="BE9" s="514">
        <v>870728.99293339974</v>
      </c>
      <c r="BF9" s="514">
        <v>244920</v>
      </c>
      <c r="BG9" s="514">
        <v>15573</v>
      </c>
      <c r="BH9" s="514">
        <v>0</v>
      </c>
      <c r="BI9" s="514">
        <v>0</v>
      </c>
      <c r="BJ9" s="514">
        <v>1423</v>
      </c>
      <c r="BK9" s="514">
        <v>0</v>
      </c>
      <c r="BL9" s="514">
        <v>774</v>
      </c>
      <c r="BN9" s="233"/>
    </row>
    <row r="10" spans="1:66" ht="11.1" customHeight="1">
      <c r="A10" s="14"/>
      <c r="B10" s="347" t="s">
        <v>171</v>
      </c>
      <c r="C10" s="514">
        <v>11223</v>
      </c>
      <c r="D10" s="514">
        <v>200311.9</v>
      </c>
      <c r="E10" s="514">
        <v>7078.07</v>
      </c>
      <c r="F10" s="514">
        <v>65996</v>
      </c>
      <c r="G10" s="514">
        <v>5554</v>
      </c>
      <c r="H10" s="514">
        <v>224.7</v>
      </c>
      <c r="I10" s="514">
        <v>13993</v>
      </c>
      <c r="J10" s="514">
        <v>2515</v>
      </c>
      <c r="K10" s="514">
        <v>601.79999999999995</v>
      </c>
      <c r="L10" s="514">
        <v>0</v>
      </c>
      <c r="M10" s="514">
        <v>0</v>
      </c>
      <c r="N10" s="14"/>
      <c r="O10" s="347" t="s">
        <v>171</v>
      </c>
      <c r="P10" s="514">
        <v>5843</v>
      </c>
      <c r="Q10" s="514">
        <v>8091</v>
      </c>
      <c r="R10" s="514">
        <v>1899.1000000000001</v>
      </c>
      <c r="S10" s="514">
        <v>2097</v>
      </c>
      <c r="T10" s="514">
        <v>319</v>
      </c>
      <c r="U10" s="514">
        <v>4293</v>
      </c>
      <c r="V10" s="514">
        <v>49132.2</v>
      </c>
      <c r="W10" s="514">
        <v>20179.949999999997</v>
      </c>
      <c r="X10" s="514">
        <v>1502</v>
      </c>
      <c r="Y10" s="514">
        <v>5685</v>
      </c>
      <c r="Z10" s="514">
        <v>180</v>
      </c>
      <c r="AA10" s="14"/>
      <c r="AB10" s="347" t="s">
        <v>171</v>
      </c>
      <c r="AC10" s="514">
        <v>0</v>
      </c>
      <c r="AD10" s="514">
        <v>36</v>
      </c>
      <c r="AE10" s="514">
        <v>780</v>
      </c>
      <c r="AF10" s="514">
        <v>1989</v>
      </c>
      <c r="AG10" s="514">
        <v>0</v>
      </c>
      <c r="AH10" s="514">
        <v>0</v>
      </c>
      <c r="AI10" s="514">
        <v>5012</v>
      </c>
      <c r="AJ10" s="514">
        <v>4580.1000000000004</v>
      </c>
      <c r="AK10" s="514">
        <v>3633</v>
      </c>
      <c r="AL10" s="514">
        <v>1893</v>
      </c>
      <c r="AM10" s="14"/>
      <c r="AN10" s="347" t="s">
        <v>171</v>
      </c>
      <c r="AO10" s="510">
        <v>0</v>
      </c>
      <c r="AP10" s="510">
        <v>0</v>
      </c>
      <c r="AQ10" s="510">
        <v>101105.4</v>
      </c>
      <c r="AR10" s="510">
        <v>4578</v>
      </c>
      <c r="AS10" s="510">
        <v>36813</v>
      </c>
      <c r="AT10" s="510">
        <v>1225.7999999999997</v>
      </c>
      <c r="AU10" s="510">
        <v>3306.4139999999998</v>
      </c>
      <c r="AV10" s="510">
        <v>0</v>
      </c>
      <c r="AW10" s="510">
        <v>0</v>
      </c>
      <c r="AX10" s="518">
        <v>272</v>
      </c>
      <c r="AY10" s="514">
        <v>1133.0999999999999</v>
      </c>
      <c r="AZ10" s="14"/>
      <c r="BA10" s="347" t="s">
        <v>171</v>
      </c>
      <c r="BB10" s="514">
        <v>0</v>
      </c>
      <c r="BC10" s="514">
        <v>1540</v>
      </c>
      <c r="BD10" s="514">
        <v>1456</v>
      </c>
      <c r="BE10" s="514">
        <v>957460.89599999995</v>
      </c>
      <c r="BF10" s="514">
        <v>244177</v>
      </c>
      <c r="BG10" s="514">
        <v>11678</v>
      </c>
      <c r="BH10" s="514">
        <v>0</v>
      </c>
      <c r="BI10" s="514">
        <v>0</v>
      </c>
      <c r="BJ10" s="514">
        <v>2921</v>
      </c>
      <c r="BK10" s="514">
        <v>0</v>
      </c>
      <c r="BL10" s="514">
        <v>1123</v>
      </c>
      <c r="BN10" s="233"/>
    </row>
    <row r="11" spans="1:66" ht="11.1" customHeight="1">
      <c r="A11" s="14" t="s">
        <v>51</v>
      </c>
      <c r="B11" s="347" t="s">
        <v>170</v>
      </c>
      <c r="C11" s="514">
        <v>9113.6299999999992</v>
      </c>
      <c r="D11" s="514">
        <v>4330.63</v>
      </c>
      <c r="E11" s="514">
        <v>50897.82</v>
      </c>
      <c r="F11" s="514">
        <v>0</v>
      </c>
      <c r="G11" s="514">
        <v>9256.9</v>
      </c>
      <c r="H11" s="514">
        <v>9262.09</v>
      </c>
      <c r="I11" s="514">
        <v>0</v>
      </c>
      <c r="J11" s="514">
        <v>65</v>
      </c>
      <c r="K11" s="514">
        <v>173</v>
      </c>
      <c r="L11" s="514">
        <v>0</v>
      </c>
      <c r="M11" s="514">
        <v>0</v>
      </c>
      <c r="N11" s="14" t="s">
        <v>351</v>
      </c>
      <c r="O11" s="347" t="s">
        <v>170</v>
      </c>
      <c r="P11" s="514">
        <v>2881.4380000000001</v>
      </c>
      <c r="Q11" s="514">
        <v>3201.56</v>
      </c>
      <c r="R11" s="514">
        <v>4284.43</v>
      </c>
      <c r="S11" s="514">
        <v>1547.79</v>
      </c>
      <c r="T11" s="514">
        <v>541.23</v>
      </c>
      <c r="U11" s="514">
        <v>1257.6299999999999</v>
      </c>
      <c r="V11" s="514">
        <v>19879.27</v>
      </c>
      <c r="W11" s="514">
        <v>4403.170000000001</v>
      </c>
      <c r="X11" s="514">
        <v>316.8</v>
      </c>
      <c r="Y11" s="514">
        <v>362</v>
      </c>
      <c r="Z11" s="514">
        <v>385.42000000000013</v>
      </c>
      <c r="AA11" s="14" t="s">
        <v>351</v>
      </c>
      <c r="AB11" s="347" t="s">
        <v>170</v>
      </c>
      <c r="AC11" s="514">
        <v>0</v>
      </c>
      <c r="AD11" s="514">
        <v>114.75999999999999</v>
      </c>
      <c r="AE11" s="514">
        <v>233.41899999999998</v>
      </c>
      <c r="AF11" s="514">
        <v>345.68999999999994</v>
      </c>
      <c r="AG11" s="514">
        <v>0</v>
      </c>
      <c r="AH11" s="514">
        <v>0</v>
      </c>
      <c r="AI11" s="514">
        <v>0</v>
      </c>
      <c r="AJ11" s="514">
        <v>972.52000000000021</v>
      </c>
      <c r="AK11" s="514">
        <v>1078.78</v>
      </c>
      <c r="AL11" s="514">
        <v>6026.759</v>
      </c>
      <c r="AM11" s="14" t="s">
        <v>351</v>
      </c>
      <c r="AN11" s="347" t="s">
        <v>170</v>
      </c>
      <c r="AO11" s="510">
        <v>0</v>
      </c>
      <c r="AP11" s="510">
        <v>0</v>
      </c>
      <c r="AQ11" s="510">
        <v>438229.55</v>
      </c>
      <c r="AR11" s="510">
        <v>858</v>
      </c>
      <c r="AS11" s="510">
        <v>827.03</v>
      </c>
      <c r="AT11" s="510">
        <v>12861.79</v>
      </c>
      <c r="AU11" s="510">
        <v>24877.5</v>
      </c>
      <c r="AV11" s="510">
        <v>0</v>
      </c>
      <c r="AW11" s="510">
        <v>0</v>
      </c>
      <c r="AX11" s="518">
        <v>0</v>
      </c>
      <c r="AY11" s="514">
        <v>8111.3000000000011</v>
      </c>
      <c r="AZ11" s="14" t="s">
        <v>351</v>
      </c>
      <c r="BA11" s="347" t="s">
        <v>170</v>
      </c>
      <c r="BB11" s="514">
        <v>8</v>
      </c>
      <c r="BC11" s="514">
        <v>9685.0190000000002</v>
      </c>
      <c r="BD11" s="514">
        <v>2490.75</v>
      </c>
      <c r="BE11" s="514">
        <v>0</v>
      </c>
      <c r="BF11" s="514">
        <v>123807.37999999999</v>
      </c>
      <c r="BG11" s="514">
        <v>0</v>
      </c>
      <c r="BH11" s="514">
        <v>8089</v>
      </c>
      <c r="BI11" s="514">
        <v>20346.599999999999</v>
      </c>
      <c r="BJ11" s="514">
        <v>0</v>
      </c>
      <c r="BK11" s="514">
        <v>70.490000000000009</v>
      </c>
      <c r="BL11" s="514">
        <v>0</v>
      </c>
      <c r="BN11" s="233"/>
    </row>
    <row r="12" spans="1:66" ht="11.1" customHeight="1">
      <c r="A12" s="14"/>
      <c r="B12" s="347" t="s">
        <v>171</v>
      </c>
      <c r="C12" s="514">
        <v>11814.439999999999</v>
      </c>
      <c r="D12" s="514">
        <v>4763.91</v>
      </c>
      <c r="E12" s="514">
        <v>55962.959999999992</v>
      </c>
      <c r="F12" s="514">
        <v>0</v>
      </c>
      <c r="G12" s="514">
        <v>13508.949999999999</v>
      </c>
      <c r="H12" s="514">
        <v>11307.95</v>
      </c>
      <c r="I12" s="514">
        <v>0</v>
      </c>
      <c r="J12" s="514">
        <v>0</v>
      </c>
      <c r="K12" s="514">
        <v>79</v>
      </c>
      <c r="L12" s="514">
        <v>0</v>
      </c>
      <c r="M12" s="514">
        <v>0</v>
      </c>
      <c r="N12" s="14"/>
      <c r="O12" s="347" t="s">
        <v>171</v>
      </c>
      <c r="P12" s="514">
        <v>2092.69</v>
      </c>
      <c r="Q12" s="514">
        <v>5401.6</v>
      </c>
      <c r="R12" s="514">
        <v>4028.78</v>
      </c>
      <c r="S12" s="514">
        <v>2327.3789999999999</v>
      </c>
      <c r="T12" s="514">
        <v>375</v>
      </c>
      <c r="U12" s="514">
        <v>1026.799</v>
      </c>
      <c r="V12" s="514">
        <v>18460.73</v>
      </c>
      <c r="W12" s="514">
        <v>4125.7199999999993</v>
      </c>
      <c r="X12" s="514">
        <v>283.08</v>
      </c>
      <c r="Y12" s="514">
        <v>198.36</v>
      </c>
      <c r="Z12" s="514">
        <v>288.89</v>
      </c>
      <c r="AA12" s="14"/>
      <c r="AB12" s="347" t="s">
        <v>171</v>
      </c>
      <c r="AC12" s="514">
        <v>0</v>
      </c>
      <c r="AD12" s="514">
        <v>142.36000000000001</v>
      </c>
      <c r="AE12" s="514">
        <v>227.83900000000003</v>
      </c>
      <c r="AF12" s="514">
        <v>268.66900000000004</v>
      </c>
      <c r="AG12" s="514">
        <v>0</v>
      </c>
      <c r="AH12" s="514">
        <v>0</v>
      </c>
      <c r="AI12" s="514">
        <v>0</v>
      </c>
      <c r="AJ12" s="514">
        <v>733.09999999999991</v>
      </c>
      <c r="AK12" s="514">
        <v>738.86</v>
      </c>
      <c r="AL12" s="514">
        <v>5050.1690000000008</v>
      </c>
      <c r="AM12" s="14"/>
      <c r="AN12" s="347" t="s">
        <v>171</v>
      </c>
      <c r="AO12" s="510">
        <v>0</v>
      </c>
      <c r="AP12" s="510">
        <v>0</v>
      </c>
      <c r="AQ12" s="510">
        <v>414748.25699999998</v>
      </c>
      <c r="AR12" s="510">
        <v>1042.8</v>
      </c>
      <c r="AS12" s="510">
        <v>1661.8</v>
      </c>
      <c r="AT12" s="510">
        <v>9753.43</v>
      </c>
      <c r="AU12" s="510">
        <v>24804.5</v>
      </c>
      <c r="AV12" s="510">
        <v>0</v>
      </c>
      <c r="AW12" s="510">
        <v>0</v>
      </c>
      <c r="AX12" s="518">
        <v>0</v>
      </c>
      <c r="AY12" s="514">
        <v>10697.288999999999</v>
      </c>
      <c r="AZ12" s="14"/>
      <c r="BA12" s="347" t="s">
        <v>171</v>
      </c>
      <c r="BB12" s="514">
        <v>20.100000000000001</v>
      </c>
      <c r="BC12" s="514">
        <v>11932.369000000001</v>
      </c>
      <c r="BD12" s="514">
        <v>2822.9249999999997</v>
      </c>
      <c r="BE12" s="514">
        <v>0</v>
      </c>
      <c r="BF12" s="514">
        <v>151332.99299999996</v>
      </c>
      <c r="BG12" s="514">
        <v>0</v>
      </c>
      <c r="BH12" s="514">
        <v>7586.4999999999991</v>
      </c>
      <c r="BI12" s="514">
        <v>12998.69</v>
      </c>
      <c r="BJ12" s="514">
        <v>0</v>
      </c>
      <c r="BK12" s="514">
        <v>74.28</v>
      </c>
      <c r="BL12" s="514">
        <v>0</v>
      </c>
      <c r="BN12" s="233"/>
    </row>
    <row r="13" spans="1:66" ht="11.1" customHeight="1">
      <c r="A13" s="14" t="s">
        <v>352</v>
      </c>
      <c r="B13" s="347" t="s">
        <v>170</v>
      </c>
      <c r="C13" s="514">
        <v>9362.3369999999995</v>
      </c>
      <c r="D13" s="514">
        <v>1553.979</v>
      </c>
      <c r="E13" s="514">
        <v>7165.3769999999986</v>
      </c>
      <c r="F13" s="514">
        <v>276594.73200000002</v>
      </c>
      <c r="G13" s="514">
        <v>659.9129999999999</v>
      </c>
      <c r="H13" s="514">
        <v>3941.6840000000002</v>
      </c>
      <c r="I13" s="514">
        <v>0</v>
      </c>
      <c r="J13" s="514">
        <v>68085.460000000006</v>
      </c>
      <c r="K13" s="514">
        <v>3355.8070000000002</v>
      </c>
      <c r="L13" s="514">
        <v>0</v>
      </c>
      <c r="M13" s="514">
        <v>0</v>
      </c>
      <c r="N13" s="14" t="s">
        <v>352</v>
      </c>
      <c r="O13" s="347" t="s">
        <v>170</v>
      </c>
      <c r="P13" s="514">
        <v>41191.909999999996</v>
      </c>
      <c r="Q13" s="514">
        <v>51416.948000000004</v>
      </c>
      <c r="R13" s="514">
        <v>13260.11</v>
      </c>
      <c r="S13" s="514">
        <v>72257.505999999994</v>
      </c>
      <c r="T13" s="514">
        <v>78513.386000000013</v>
      </c>
      <c r="U13" s="514">
        <v>402059.38699999999</v>
      </c>
      <c r="V13" s="514">
        <v>36256.529000000002</v>
      </c>
      <c r="W13" s="514">
        <v>20085.088</v>
      </c>
      <c r="X13" s="514">
        <v>19.910000000000004</v>
      </c>
      <c r="Y13" s="514">
        <v>152.79000000000002</v>
      </c>
      <c r="Z13" s="514">
        <v>29.16</v>
      </c>
      <c r="AA13" s="14" t="s">
        <v>352</v>
      </c>
      <c r="AB13" s="347" t="s">
        <v>170</v>
      </c>
      <c r="AC13" s="514">
        <v>0</v>
      </c>
      <c r="AD13" s="514">
        <v>0</v>
      </c>
      <c r="AE13" s="514">
        <v>34.04</v>
      </c>
      <c r="AF13" s="514">
        <v>164.15899999999999</v>
      </c>
      <c r="AG13" s="514">
        <v>3378</v>
      </c>
      <c r="AH13" s="514">
        <v>0</v>
      </c>
      <c r="AI13" s="514">
        <v>37406.789000000004</v>
      </c>
      <c r="AJ13" s="514">
        <v>960.63500000000022</v>
      </c>
      <c r="AK13" s="514">
        <v>834.88900000000001</v>
      </c>
      <c r="AL13" s="514">
        <v>6456.2080000000005</v>
      </c>
      <c r="AM13" s="14" t="s">
        <v>352</v>
      </c>
      <c r="AN13" s="347" t="s">
        <v>170</v>
      </c>
      <c r="AO13" s="510">
        <v>33164.099000000002</v>
      </c>
      <c r="AP13" s="510">
        <v>0</v>
      </c>
      <c r="AQ13" s="510">
        <v>329064.41800000001</v>
      </c>
      <c r="AR13" s="510">
        <v>309.45999999999998</v>
      </c>
      <c r="AS13" s="510">
        <v>1461.8029999999999</v>
      </c>
      <c r="AT13" s="510">
        <v>98.771999999999991</v>
      </c>
      <c r="AU13" s="510">
        <v>129.81400000000002</v>
      </c>
      <c r="AV13" s="510">
        <v>0</v>
      </c>
      <c r="AW13" s="510">
        <v>0</v>
      </c>
      <c r="AX13" s="518">
        <v>7387.9</v>
      </c>
      <c r="AY13" s="514">
        <v>8140.5199999999995</v>
      </c>
      <c r="AZ13" s="14" t="s">
        <v>352</v>
      </c>
      <c r="BA13" s="347" t="s">
        <v>170</v>
      </c>
      <c r="BB13" s="514">
        <v>183.74</v>
      </c>
      <c r="BC13" s="514">
        <v>518.18200000000002</v>
      </c>
      <c r="BD13" s="514">
        <v>12.385</v>
      </c>
      <c r="BE13" s="514">
        <v>55858.627000000008</v>
      </c>
      <c r="BF13" s="514">
        <v>2528339.5860000001</v>
      </c>
      <c r="BG13" s="514">
        <v>854700.84400000004</v>
      </c>
      <c r="BH13" s="514">
        <v>6852.4769999999999</v>
      </c>
      <c r="BI13" s="514">
        <v>5771.1369999999997</v>
      </c>
      <c r="BJ13" s="514">
        <v>1762.39</v>
      </c>
      <c r="BK13" s="514">
        <v>3951.61</v>
      </c>
      <c r="BL13" s="514">
        <v>0.92999999999999994</v>
      </c>
      <c r="BN13" s="233"/>
    </row>
    <row r="14" spans="1:66" ht="11.1" customHeight="1">
      <c r="A14" s="14"/>
      <c r="B14" s="347" t="s">
        <v>171</v>
      </c>
      <c r="C14" s="514">
        <v>9480.6710000000003</v>
      </c>
      <c r="D14" s="514">
        <v>1956.1499999999999</v>
      </c>
      <c r="E14" s="514">
        <v>7337.862000000001</v>
      </c>
      <c r="F14" s="514">
        <v>278894.01</v>
      </c>
      <c r="G14" s="514">
        <v>707.49899999999991</v>
      </c>
      <c r="H14" s="514">
        <v>8451.1789999999983</v>
      </c>
      <c r="I14" s="514">
        <v>0</v>
      </c>
      <c r="J14" s="514">
        <v>49872.959999999992</v>
      </c>
      <c r="K14" s="514">
        <v>2621.6930000000002</v>
      </c>
      <c r="L14" s="514">
        <v>0</v>
      </c>
      <c r="M14" s="514">
        <v>0</v>
      </c>
      <c r="N14" s="14"/>
      <c r="O14" s="347" t="s">
        <v>171</v>
      </c>
      <c r="P14" s="514">
        <v>33604.877</v>
      </c>
      <c r="Q14" s="514">
        <v>47726.307000000001</v>
      </c>
      <c r="R14" s="514">
        <v>14274.405000000001</v>
      </c>
      <c r="S14" s="514">
        <v>84469.89499999999</v>
      </c>
      <c r="T14" s="514">
        <v>56606.050999999999</v>
      </c>
      <c r="U14" s="514">
        <v>373406.26000000007</v>
      </c>
      <c r="V14" s="514">
        <v>37555.243999999999</v>
      </c>
      <c r="W14" s="514">
        <v>22731.276000000002</v>
      </c>
      <c r="X14" s="514">
        <v>14.91</v>
      </c>
      <c r="Y14" s="514">
        <v>153.75800000000001</v>
      </c>
      <c r="Z14" s="514">
        <v>30.049999999999997</v>
      </c>
      <c r="AA14" s="14"/>
      <c r="AB14" s="347" t="s">
        <v>171</v>
      </c>
      <c r="AC14" s="514">
        <v>0</v>
      </c>
      <c r="AD14" s="514">
        <v>0</v>
      </c>
      <c r="AE14" s="514">
        <v>48.980000000000004</v>
      </c>
      <c r="AF14" s="514">
        <v>163.81</v>
      </c>
      <c r="AG14" s="514">
        <v>3550</v>
      </c>
      <c r="AH14" s="514">
        <v>0</v>
      </c>
      <c r="AI14" s="514">
        <v>33400.398999999998</v>
      </c>
      <c r="AJ14" s="514">
        <v>1007.172</v>
      </c>
      <c r="AK14" s="514">
        <v>786.15899999999999</v>
      </c>
      <c r="AL14" s="514">
        <v>4388.018</v>
      </c>
      <c r="AM14" s="14"/>
      <c r="AN14" s="347" t="s">
        <v>171</v>
      </c>
      <c r="AO14" s="510">
        <v>36705.279999999999</v>
      </c>
      <c r="AP14" s="510">
        <v>0</v>
      </c>
      <c r="AQ14" s="510">
        <v>337669.95700000005</v>
      </c>
      <c r="AR14" s="510">
        <v>448.57900000000006</v>
      </c>
      <c r="AS14" s="510">
        <v>1199.614</v>
      </c>
      <c r="AT14" s="510">
        <v>79.683000000000007</v>
      </c>
      <c r="AU14" s="510">
        <v>104.58</v>
      </c>
      <c r="AV14" s="510">
        <v>0</v>
      </c>
      <c r="AW14" s="510">
        <v>0</v>
      </c>
      <c r="AX14" s="518">
        <v>7335.15</v>
      </c>
      <c r="AY14" s="514">
        <v>7375.4889999999996</v>
      </c>
      <c r="AZ14" s="14"/>
      <c r="BA14" s="347" t="s">
        <v>171</v>
      </c>
      <c r="BB14" s="514">
        <v>166</v>
      </c>
      <c r="BC14" s="514">
        <v>692.12199999999996</v>
      </c>
      <c r="BD14" s="514">
        <v>7.2</v>
      </c>
      <c r="BE14" s="514">
        <v>64633.464</v>
      </c>
      <c r="BF14" s="514">
        <v>2529988.6770000001</v>
      </c>
      <c r="BG14" s="514">
        <v>861502.04</v>
      </c>
      <c r="BH14" s="514">
        <v>7019.773000000002</v>
      </c>
      <c r="BI14" s="514">
        <v>5799.0860000000002</v>
      </c>
      <c r="BJ14" s="514">
        <v>1908.41</v>
      </c>
      <c r="BK14" s="514">
        <v>2575.0300000000002</v>
      </c>
      <c r="BL14" s="514">
        <v>0.87999999999999989</v>
      </c>
      <c r="BN14" s="233"/>
    </row>
    <row r="15" spans="1:66" ht="11.1" customHeight="1">
      <c r="A15" s="14" t="s">
        <v>353</v>
      </c>
      <c r="B15" s="347" t="s">
        <v>170</v>
      </c>
      <c r="C15" s="514">
        <v>14169</v>
      </c>
      <c r="D15" s="514">
        <v>1792</v>
      </c>
      <c r="E15" s="514">
        <v>25739</v>
      </c>
      <c r="F15" s="514">
        <v>120</v>
      </c>
      <c r="G15" s="514">
        <v>17576</v>
      </c>
      <c r="H15" s="514">
        <v>21213</v>
      </c>
      <c r="I15" s="514">
        <v>0</v>
      </c>
      <c r="J15" s="514">
        <v>0</v>
      </c>
      <c r="K15" s="514">
        <v>162</v>
      </c>
      <c r="L15" s="514">
        <v>0</v>
      </c>
      <c r="M15" s="514">
        <v>0</v>
      </c>
      <c r="N15" s="14" t="s">
        <v>353</v>
      </c>
      <c r="O15" s="347" t="s">
        <v>170</v>
      </c>
      <c r="P15" s="514">
        <v>1280</v>
      </c>
      <c r="Q15" s="514">
        <v>537</v>
      </c>
      <c r="R15" s="514">
        <v>5045</v>
      </c>
      <c r="S15" s="514">
        <v>1977</v>
      </c>
      <c r="T15" s="514">
        <v>2017</v>
      </c>
      <c r="U15" s="514">
        <v>3519</v>
      </c>
      <c r="V15" s="514">
        <v>10440</v>
      </c>
      <c r="W15" s="514">
        <v>6615</v>
      </c>
      <c r="X15" s="514">
        <v>1242</v>
      </c>
      <c r="Y15" s="514">
        <v>515</v>
      </c>
      <c r="Z15" s="514">
        <v>601.59999999999991</v>
      </c>
      <c r="AA15" s="14" t="s">
        <v>353</v>
      </c>
      <c r="AB15" s="347" t="s">
        <v>170</v>
      </c>
      <c r="AC15" s="514">
        <v>692</v>
      </c>
      <c r="AD15" s="514">
        <v>180</v>
      </c>
      <c r="AE15" s="514">
        <v>610</v>
      </c>
      <c r="AF15" s="514">
        <v>2314</v>
      </c>
      <c r="AG15" s="514">
        <v>227</v>
      </c>
      <c r="AH15" s="514">
        <v>249</v>
      </c>
      <c r="AI15" s="514">
        <v>52</v>
      </c>
      <c r="AJ15" s="514">
        <v>786</v>
      </c>
      <c r="AK15" s="514">
        <v>4390</v>
      </c>
      <c r="AL15" s="514">
        <v>22917</v>
      </c>
      <c r="AM15" s="14" t="s">
        <v>353</v>
      </c>
      <c r="AN15" s="347" t="s">
        <v>170</v>
      </c>
      <c r="AO15" s="510">
        <v>0</v>
      </c>
      <c r="AP15" s="510">
        <v>0</v>
      </c>
      <c r="AQ15" s="510">
        <v>425030</v>
      </c>
      <c r="AR15" s="510">
        <v>5321</v>
      </c>
      <c r="AS15" s="510">
        <v>676</v>
      </c>
      <c r="AT15" s="510">
        <v>7636</v>
      </c>
      <c r="AU15" s="510">
        <v>14783</v>
      </c>
      <c r="AV15" s="510">
        <v>3430</v>
      </c>
      <c r="AW15" s="510">
        <v>5113</v>
      </c>
      <c r="AX15" s="518">
        <v>0</v>
      </c>
      <c r="AY15" s="514">
        <v>2767</v>
      </c>
      <c r="AZ15" s="14" t="s">
        <v>353</v>
      </c>
      <c r="BA15" s="347" t="s">
        <v>170</v>
      </c>
      <c r="BB15" s="514">
        <v>68</v>
      </c>
      <c r="BC15" s="514">
        <v>10042</v>
      </c>
      <c r="BD15" s="514">
        <v>6374</v>
      </c>
      <c r="BE15" s="514">
        <v>0</v>
      </c>
      <c r="BF15" s="514">
        <v>245363</v>
      </c>
      <c r="BG15" s="514">
        <v>0</v>
      </c>
      <c r="BH15" s="514">
        <v>4053</v>
      </c>
      <c r="BI15" s="514">
        <v>115407</v>
      </c>
      <c r="BJ15" s="514">
        <v>0</v>
      </c>
      <c r="BK15" s="514">
        <v>2</v>
      </c>
      <c r="BL15" s="514">
        <v>0</v>
      </c>
      <c r="BN15" s="233"/>
    </row>
    <row r="16" spans="1:66" ht="11.1" customHeight="1">
      <c r="A16" s="14"/>
      <c r="B16" s="347" t="s">
        <v>171</v>
      </c>
      <c r="C16" s="514">
        <v>12679</v>
      </c>
      <c r="D16" s="514">
        <v>2869</v>
      </c>
      <c r="E16" s="514">
        <v>21978</v>
      </c>
      <c r="F16" s="514">
        <v>91</v>
      </c>
      <c r="G16" s="514">
        <v>16821</v>
      </c>
      <c r="H16" s="514">
        <v>15832</v>
      </c>
      <c r="I16" s="514">
        <v>0</v>
      </c>
      <c r="J16" s="514">
        <v>0</v>
      </c>
      <c r="K16" s="514">
        <v>81</v>
      </c>
      <c r="L16" s="514">
        <v>0</v>
      </c>
      <c r="M16" s="514">
        <v>0</v>
      </c>
      <c r="N16" s="14"/>
      <c r="O16" s="347" t="s">
        <v>171</v>
      </c>
      <c r="P16" s="514">
        <v>1555</v>
      </c>
      <c r="Q16" s="514">
        <v>571</v>
      </c>
      <c r="R16" s="514">
        <v>5209</v>
      </c>
      <c r="S16" s="514">
        <v>1708</v>
      </c>
      <c r="T16" s="514">
        <v>1725</v>
      </c>
      <c r="U16" s="514">
        <v>3628</v>
      </c>
      <c r="V16" s="514">
        <v>10420</v>
      </c>
      <c r="W16" s="514">
        <v>16640</v>
      </c>
      <c r="X16" s="514">
        <v>1528</v>
      </c>
      <c r="Y16" s="514">
        <v>505</v>
      </c>
      <c r="Z16" s="514">
        <v>702</v>
      </c>
      <c r="AA16" s="14"/>
      <c r="AB16" s="347" t="s">
        <v>171</v>
      </c>
      <c r="AC16" s="514">
        <v>220</v>
      </c>
      <c r="AD16" s="514">
        <v>305</v>
      </c>
      <c r="AE16" s="514">
        <v>737</v>
      </c>
      <c r="AF16" s="514">
        <v>2634</v>
      </c>
      <c r="AG16" s="514">
        <v>424</v>
      </c>
      <c r="AH16" s="514">
        <v>383</v>
      </c>
      <c r="AI16" s="514">
        <v>71</v>
      </c>
      <c r="AJ16" s="514">
        <v>843</v>
      </c>
      <c r="AK16" s="514">
        <v>5144</v>
      </c>
      <c r="AL16" s="514">
        <v>27220</v>
      </c>
      <c r="AM16" s="14"/>
      <c r="AN16" s="347" t="s">
        <v>171</v>
      </c>
      <c r="AO16" s="510">
        <v>0</v>
      </c>
      <c r="AP16" s="510">
        <v>0</v>
      </c>
      <c r="AQ16" s="510">
        <v>368443</v>
      </c>
      <c r="AR16" s="510">
        <v>5320</v>
      </c>
      <c r="AS16" s="510">
        <v>709</v>
      </c>
      <c r="AT16" s="510">
        <v>8678</v>
      </c>
      <c r="AU16" s="510">
        <v>15893</v>
      </c>
      <c r="AV16" s="510">
        <v>2450</v>
      </c>
      <c r="AW16" s="510">
        <v>5998</v>
      </c>
      <c r="AX16" s="518">
        <v>0</v>
      </c>
      <c r="AY16" s="514">
        <v>2375</v>
      </c>
      <c r="AZ16" s="14"/>
      <c r="BA16" s="347" t="s">
        <v>171</v>
      </c>
      <c r="BB16" s="514">
        <v>108</v>
      </c>
      <c r="BC16" s="514">
        <v>8607</v>
      </c>
      <c r="BD16" s="514">
        <v>5806</v>
      </c>
      <c r="BE16" s="514">
        <v>0</v>
      </c>
      <c r="BF16" s="514">
        <v>231215</v>
      </c>
      <c r="BG16" s="514">
        <v>0</v>
      </c>
      <c r="BH16" s="514">
        <v>1391</v>
      </c>
      <c r="BI16" s="514">
        <v>132790</v>
      </c>
      <c r="BJ16" s="514">
        <v>0</v>
      </c>
      <c r="BK16" s="514">
        <v>48</v>
      </c>
      <c r="BL16" s="514">
        <v>0</v>
      </c>
      <c r="BN16" s="233"/>
    </row>
    <row r="17" spans="1:66" ht="11.1" customHeight="1">
      <c r="A17" s="14" t="s">
        <v>354</v>
      </c>
      <c r="B17" s="347" t="s">
        <v>170</v>
      </c>
      <c r="C17" s="514">
        <v>28237.999999999996</v>
      </c>
      <c r="D17" s="514">
        <v>65852.430999999997</v>
      </c>
      <c r="E17" s="514">
        <v>27565.373</v>
      </c>
      <c r="F17" s="514">
        <v>190268.81899999999</v>
      </c>
      <c r="G17" s="514">
        <v>9952.0519999999997</v>
      </c>
      <c r="H17" s="514">
        <v>907.71899999999994</v>
      </c>
      <c r="I17" s="514">
        <v>0</v>
      </c>
      <c r="J17" s="514">
        <v>0</v>
      </c>
      <c r="K17" s="514">
        <v>0</v>
      </c>
      <c r="L17" s="514">
        <v>0</v>
      </c>
      <c r="M17" s="514">
        <v>0</v>
      </c>
      <c r="N17" s="14" t="s">
        <v>354</v>
      </c>
      <c r="O17" s="347" t="s">
        <v>170</v>
      </c>
      <c r="P17" s="514">
        <v>774.89900000000011</v>
      </c>
      <c r="Q17" s="514">
        <v>13781.264000000001</v>
      </c>
      <c r="R17" s="514">
        <v>19727.120999999999</v>
      </c>
      <c r="S17" s="514">
        <v>3720.79</v>
      </c>
      <c r="T17" s="514">
        <v>5088.8580000000002</v>
      </c>
      <c r="U17" s="514">
        <v>1719.56</v>
      </c>
      <c r="V17" s="514">
        <v>22138.948999999997</v>
      </c>
      <c r="W17" s="514">
        <v>5002.9840000000004</v>
      </c>
      <c r="X17" s="514">
        <v>34575.195999999996</v>
      </c>
      <c r="Y17" s="514">
        <v>6461.0610000000006</v>
      </c>
      <c r="Z17" s="514">
        <v>2652.0810000000001</v>
      </c>
      <c r="AA17" s="14" t="s">
        <v>354</v>
      </c>
      <c r="AB17" s="347" t="s">
        <v>170</v>
      </c>
      <c r="AC17" s="514">
        <v>6423.6369999999997</v>
      </c>
      <c r="AD17" s="514">
        <v>3497.5430000000001</v>
      </c>
      <c r="AE17" s="514">
        <v>601.15599999999995</v>
      </c>
      <c r="AF17" s="514">
        <v>5317.8630000000003</v>
      </c>
      <c r="AG17" s="514">
        <v>0</v>
      </c>
      <c r="AH17" s="514">
        <v>0</v>
      </c>
      <c r="AI17" s="514">
        <v>1693</v>
      </c>
      <c r="AJ17" s="514">
        <v>313</v>
      </c>
      <c r="AK17" s="514">
        <v>0</v>
      </c>
      <c r="AL17" s="514">
        <v>535.45000000000005</v>
      </c>
      <c r="AM17" s="14" t="s">
        <v>354</v>
      </c>
      <c r="AN17" s="347" t="s">
        <v>170</v>
      </c>
      <c r="AO17" s="510">
        <v>0</v>
      </c>
      <c r="AP17" s="510">
        <v>0</v>
      </c>
      <c r="AQ17" s="510">
        <v>355892.049</v>
      </c>
      <c r="AR17" s="510">
        <v>67728.717000000004</v>
      </c>
      <c r="AS17" s="510">
        <v>7680.5</v>
      </c>
      <c r="AT17" s="510">
        <v>7992.42</v>
      </c>
      <c r="AU17" s="510">
        <v>18099.334000000003</v>
      </c>
      <c r="AV17" s="510">
        <v>63893.093000000001</v>
      </c>
      <c r="AW17" s="510">
        <v>954.71800000000007</v>
      </c>
      <c r="AX17" s="518">
        <v>0</v>
      </c>
      <c r="AY17" s="514">
        <v>15163.012999999999</v>
      </c>
      <c r="AZ17" s="14" t="s">
        <v>354</v>
      </c>
      <c r="BA17" s="347" t="s">
        <v>170</v>
      </c>
      <c r="BB17" s="514">
        <v>0</v>
      </c>
      <c r="BC17" s="514">
        <v>3873.4190000000003</v>
      </c>
      <c r="BD17" s="514">
        <v>14371.850999999999</v>
      </c>
      <c r="BE17" s="514">
        <v>0</v>
      </c>
      <c r="BF17" s="514">
        <v>171091.20000000001</v>
      </c>
      <c r="BG17" s="514">
        <v>0</v>
      </c>
      <c r="BH17" s="514">
        <v>0</v>
      </c>
      <c r="BI17" s="514">
        <v>16588.7</v>
      </c>
      <c r="BJ17" s="514">
        <v>0</v>
      </c>
      <c r="BK17" s="514">
        <v>0</v>
      </c>
      <c r="BL17" s="514">
        <v>0</v>
      </c>
      <c r="BN17" s="233"/>
    </row>
    <row r="18" spans="1:66" ht="11.1" customHeight="1">
      <c r="A18" s="14"/>
      <c r="B18" s="347" t="s">
        <v>171</v>
      </c>
      <c r="C18" s="514">
        <v>27089.106</v>
      </c>
      <c r="D18" s="514">
        <v>72086.819999999992</v>
      </c>
      <c r="E18" s="514">
        <v>31054.337</v>
      </c>
      <c r="F18" s="514">
        <v>182845.55</v>
      </c>
      <c r="G18" s="514">
        <v>9570.1110000000008</v>
      </c>
      <c r="H18" s="514">
        <v>1138.6800000000003</v>
      </c>
      <c r="I18" s="514">
        <v>0</v>
      </c>
      <c r="J18" s="514">
        <v>0</v>
      </c>
      <c r="K18" s="514">
        <v>0</v>
      </c>
      <c r="L18" s="514">
        <v>0</v>
      </c>
      <c r="M18" s="514">
        <v>0</v>
      </c>
      <c r="N18" s="14"/>
      <c r="O18" s="347" t="s">
        <v>171</v>
      </c>
      <c r="P18" s="514">
        <v>860.16899999999987</v>
      </c>
      <c r="Q18" s="514">
        <v>15898.013000000001</v>
      </c>
      <c r="R18" s="514">
        <v>17010.638000000003</v>
      </c>
      <c r="S18" s="514">
        <v>4266.518</v>
      </c>
      <c r="T18" s="514">
        <v>6655.3</v>
      </c>
      <c r="U18" s="514">
        <v>1464.5</v>
      </c>
      <c r="V18" s="514">
        <v>22423.589</v>
      </c>
      <c r="W18" s="514">
        <v>3420.953</v>
      </c>
      <c r="X18" s="514">
        <v>39992.328000000001</v>
      </c>
      <c r="Y18" s="514">
        <v>11028.793</v>
      </c>
      <c r="Z18" s="514">
        <v>2875.8710000000005</v>
      </c>
      <c r="AA18" s="14"/>
      <c r="AB18" s="347" t="s">
        <v>171</v>
      </c>
      <c r="AC18" s="514">
        <v>5625.2379999999994</v>
      </c>
      <c r="AD18" s="514">
        <v>4108.8690000000006</v>
      </c>
      <c r="AE18" s="514">
        <v>513.72300000000007</v>
      </c>
      <c r="AF18" s="514">
        <v>4652.6979999999994</v>
      </c>
      <c r="AG18" s="514">
        <v>0</v>
      </c>
      <c r="AH18" s="514">
        <v>0</v>
      </c>
      <c r="AI18" s="514">
        <v>1377</v>
      </c>
      <c r="AJ18" s="514">
        <v>401</v>
      </c>
      <c r="AK18" s="514">
        <v>0</v>
      </c>
      <c r="AL18" s="514">
        <v>383.4</v>
      </c>
      <c r="AM18" s="14"/>
      <c r="AN18" s="347" t="s">
        <v>171</v>
      </c>
      <c r="AO18" s="510">
        <v>0</v>
      </c>
      <c r="AP18" s="510">
        <v>0</v>
      </c>
      <c r="AQ18" s="510">
        <v>348675.49</v>
      </c>
      <c r="AR18" s="510">
        <v>62851.745999999999</v>
      </c>
      <c r="AS18" s="510">
        <v>7143.3</v>
      </c>
      <c r="AT18" s="510">
        <v>7518.8</v>
      </c>
      <c r="AU18" s="510">
        <v>16402.98</v>
      </c>
      <c r="AV18" s="510">
        <v>71622.187000000005</v>
      </c>
      <c r="AW18" s="510">
        <v>1120.0349999999999</v>
      </c>
      <c r="AX18" s="518">
        <v>0</v>
      </c>
      <c r="AY18" s="514">
        <v>14999.517</v>
      </c>
      <c r="AZ18" s="14"/>
      <c r="BA18" s="347" t="s">
        <v>171</v>
      </c>
      <c r="BB18" s="514">
        <v>0</v>
      </c>
      <c r="BC18" s="514">
        <v>4032.6660000000002</v>
      </c>
      <c r="BD18" s="514">
        <v>13926.636999999999</v>
      </c>
      <c r="BE18" s="514">
        <v>0</v>
      </c>
      <c r="BF18" s="514">
        <v>169917.54200000004</v>
      </c>
      <c r="BG18" s="514">
        <v>1052</v>
      </c>
      <c r="BH18" s="514">
        <v>0</v>
      </c>
      <c r="BI18" s="514">
        <v>12211</v>
      </c>
      <c r="BJ18" s="514">
        <v>0</v>
      </c>
      <c r="BK18" s="514">
        <v>0</v>
      </c>
      <c r="BL18" s="514">
        <v>0</v>
      </c>
      <c r="BN18" s="233"/>
    </row>
    <row r="19" spans="1:66" ht="11.1" customHeight="1">
      <c r="A19" s="14" t="s">
        <v>410</v>
      </c>
      <c r="B19" s="347" t="s">
        <v>170</v>
      </c>
      <c r="C19" s="514">
        <v>0</v>
      </c>
      <c r="D19" s="514">
        <v>0</v>
      </c>
      <c r="E19" s="514">
        <v>0</v>
      </c>
      <c r="F19" s="514">
        <v>0</v>
      </c>
      <c r="G19" s="514">
        <v>0</v>
      </c>
      <c r="H19" s="514">
        <v>0</v>
      </c>
      <c r="I19" s="514">
        <v>0</v>
      </c>
      <c r="J19" s="514">
        <v>0</v>
      </c>
      <c r="K19" s="514">
        <v>0</v>
      </c>
      <c r="L19" s="514">
        <v>0</v>
      </c>
      <c r="M19" s="514">
        <v>0</v>
      </c>
      <c r="N19" s="14" t="s">
        <v>410</v>
      </c>
      <c r="O19" s="347" t="s">
        <v>170</v>
      </c>
      <c r="P19" s="514">
        <v>0</v>
      </c>
      <c r="Q19" s="514">
        <v>0</v>
      </c>
      <c r="R19" s="514">
        <v>0</v>
      </c>
      <c r="S19" s="514">
        <v>0</v>
      </c>
      <c r="T19" s="514">
        <v>0</v>
      </c>
      <c r="U19" s="514">
        <v>0</v>
      </c>
      <c r="V19" s="514">
        <v>0</v>
      </c>
      <c r="W19" s="514">
        <v>0</v>
      </c>
      <c r="X19" s="514">
        <v>0</v>
      </c>
      <c r="Y19" s="514">
        <v>0</v>
      </c>
      <c r="Z19" s="514">
        <v>0</v>
      </c>
      <c r="AA19" s="14" t="s">
        <v>410</v>
      </c>
      <c r="AB19" s="347" t="s">
        <v>170</v>
      </c>
      <c r="AC19" s="514">
        <v>0</v>
      </c>
      <c r="AD19" s="514">
        <v>0</v>
      </c>
      <c r="AE19" s="514">
        <v>0</v>
      </c>
      <c r="AF19" s="514">
        <v>0</v>
      </c>
      <c r="AG19" s="514">
        <v>0</v>
      </c>
      <c r="AH19" s="514">
        <v>0</v>
      </c>
      <c r="AI19" s="514">
        <v>0</v>
      </c>
      <c r="AJ19" s="514">
        <v>0</v>
      </c>
      <c r="AK19" s="514">
        <v>0</v>
      </c>
      <c r="AL19" s="514">
        <v>0</v>
      </c>
      <c r="AM19" s="14" t="s">
        <v>410</v>
      </c>
      <c r="AN19" s="347" t="s">
        <v>170</v>
      </c>
      <c r="AO19" s="510">
        <v>0</v>
      </c>
      <c r="AP19" s="510">
        <v>0</v>
      </c>
      <c r="AQ19" s="510">
        <v>0</v>
      </c>
      <c r="AR19" s="510">
        <v>0</v>
      </c>
      <c r="AS19" s="510">
        <v>0</v>
      </c>
      <c r="AT19" s="510">
        <v>0</v>
      </c>
      <c r="AU19" s="510">
        <v>0</v>
      </c>
      <c r="AV19" s="510">
        <v>0</v>
      </c>
      <c r="AW19" s="510">
        <v>0</v>
      </c>
      <c r="AX19" s="518">
        <v>0</v>
      </c>
      <c r="AY19" s="514">
        <v>0</v>
      </c>
      <c r="AZ19" s="14" t="s">
        <v>410</v>
      </c>
      <c r="BA19" s="347" t="s">
        <v>170</v>
      </c>
      <c r="BB19" s="514">
        <v>0</v>
      </c>
      <c r="BC19" s="514">
        <v>0</v>
      </c>
      <c r="BD19" s="514">
        <v>0</v>
      </c>
      <c r="BE19" s="514">
        <v>0</v>
      </c>
      <c r="BF19" s="514">
        <v>0</v>
      </c>
      <c r="BG19" s="514">
        <v>0</v>
      </c>
      <c r="BH19" s="514">
        <v>0</v>
      </c>
      <c r="BI19" s="514">
        <v>0</v>
      </c>
      <c r="BJ19" s="514">
        <v>0</v>
      </c>
      <c r="BK19" s="514">
        <v>0</v>
      </c>
      <c r="BL19" s="514">
        <v>0</v>
      </c>
      <c r="BN19" s="233"/>
    </row>
    <row r="20" spans="1:66" ht="11.1" customHeight="1">
      <c r="A20" s="14"/>
      <c r="B20" s="347" t="s">
        <v>171</v>
      </c>
      <c r="C20" s="514">
        <v>0</v>
      </c>
      <c r="D20" s="514">
        <v>0</v>
      </c>
      <c r="E20" s="514">
        <v>0</v>
      </c>
      <c r="F20" s="514">
        <v>0</v>
      </c>
      <c r="G20" s="514">
        <v>0</v>
      </c>
      <c r="H20" s="514">
        <v>0</v>
      </c>
      <c r="I20" s="514">
        <v>0</v>
      </c>
      <c r="J20" s="514">
        <v>0</v>
      </c>
      <c r="K20" s="514">
        <v>0</v>
      </c>
      <c r="L20" s="514">
        <v>0</v>
      </c>
      <c r="M20" s="514">
        <v>0</v>
      </c>
      <c r="N20" s="14"/>
      <c r="O20" s="347" t="s">
        <v>171</v>
      </c>
      <c r="P20" s="514">
        <v>0</v>
      </c>
      <c r="Q20" s="514">
        <v>0</v>
      </c>
      <c r="R20" s="514">
        <v>0</v>
      </c>
      <c r="S20" s="514">
        <v>0</v>
      </c>
      <c r="T20" s="514">
        <v>0</v>
      </c>
      <c r="U20" s="514">
        <v>0</v>
      </c>
      <c r="V20" s="514">
        <v>0</v>
      </c>
      <c r="W20" s="514">
        <v>0</v>
      </c>
      <c r="X20" s="514">
        <v>0</v>
      </c>
      <c r="Y20" s="514">
        <v>0</v>
      </c>
      <c r="Z20" s="514">
        <v>0</v>
      </c>
      <c r="AA20" s="14"/>
      <c r="AB20" s="347" t="s">
        <v>171</v>
      </c>
      <c r="AC20" s="514">
        <v>0</v>
      </c>
      <c r="AD20" s="514">
        <v>0</v>
      </c>
      <c r="AE20" s="514">
        <v>0</v>
      </c>
      <c r="AF20" s="514">
        <v>0</v>
      </c>
      <c r="AG20" s="514">
        <v>0</v>
      </c>
      <c r="AH20" s="514">
        <v>0</v>
      </c>
      <c r="AI20" s="514">
        <v>0</v>
      </c>
      <c r="AJ20" s="514">
        <v>0</v>
      </c>
      <c r="AK20" s="514">
        <v>0</v>
      </c>
      <c r="AL20" s="514">
        <v>0</v>
      </c>
      <c r="AM20" s="14"/>
      <c r="AN20" s="347" t="s">
        <v>171</v>
      </c>
      <c r="AO20" s="510">
        <v>0</v>
      </c>
      <c r="AP20" s="510">
        <v>0</v>
      </c>
      <c r="AQ20" s="510">
        <v>0</v>
      </c>
      <c r="AR20" s="510">
        <v>0</v>
      </c>
      <c r="AS20" s="510">
        <v>0</v>
      </c>
      <c r="AT20" s="510">
        <v>0</v>
      </c>
      <c r="AU20" s="510">
        <v>0</v>
      </c>
      <c r="AV20" s="510">
        <v>0</v>
      </c>
      <c r="AW20" s="510">
        <v>0</v>
      </c>
      <c r="AX20" s="518">
        <v>0</v>
      </c>
      <c r="AY20" s="514">
        <v>0</v>
      </c>
      <c r="AZ20" s="14"/>
      <c r="BA20" s="347" t="s">
        <v>171</v>
      </c>
      <c r="BB20" s="514">
        <v>0</v>
      </c>
      <c r="BC20" s="514">
        <v>0</v>
      </c>
      <c r="BD20" s="514">
        <v>0</v>
      </c>
      <c r="BE20" s="514">
        <v>0</v>
      </c>
      <c r="BF20" s="514">
        <v>0</v>
      </c>
      <c r="BG20" s="514">
        <v>0</v>
      </c>
      <c r="BH20" s="514">
        <v>0</v>
      </c>
      <c r="BI20" s="514">
        <v>0</v>
      </c>
      <c r="BJ20" s="514">
        <v>0</v>
      </c>
      <c r="BK20" s="514">
        <v>0</v>
      </c>
      <c r="BL20" s="514">
        <v>0</v>
      </c>
      <c r="BN20" s="233"/>
    </row>
    <row r="21" spans="1:66" ht="11.1" customHeight="1">
      <c r="A21" s="14" t="s">
        <v>355</v>
      </c>
      <c r="B21" s="347" t="s">
        <v>170</v>
      </c>
      <c r="C21" s="514">
        <v>16483.45</v>
      </c>
      <c r="D21" s="514">
        <v>5401.7250000000004</v>
      </c>
      <c r="E21" s="514">
        <v>62324.58</v>
      </c>
      <c r="F21" s="514">
        <v>2399.4</v>
      </c>
      <c r="G21" s="514">
        <v>27190</v>
      </c>
      <c r="H21" s="514">
        <v>4241.7</v>
      </c>
      <c r="I21" s="514">
        <v>0</v>
      </c>
      <c r="J21" s="514">
        <v>8520</v>
      </c>
      <c r="K21" s="514">
        <v>0</v>
      </c>
      <c r="L21" s="514">
        <v>0</v>
      </c>
      <c r="M21" s="514">
        <v>0</v>
      </c>
      <c r="N21" s="14" t="s">
        <v>355</v>
      </c>
      <c r="O21" s="347" t="s">
        <v>170</v>
      </c>
      <c r="P21" s="514">
        <v>905.06</v>
      </c>
      <c r="Q21" s="514">
        <v>2943</v>
      </c>
      <c r="R21" s="514">
        <v>3211.5</v>
      </c>
      <c r="S21" s="514">
        <v>7655</v>
      </c>
      <c r="T21" s="514">
        <v>0</v>
      </c>
      <c r="U21" s="514">
        <v>6002.5</v>
      </c>
      <c r="V21" s="514">
        <v>41239.5</v>
      </c>
      <c r="W21" s="514">
        <v>5524.16</v>
      </c>
      <c r="X21" s="514">
        <v>32322.209000000003</v>
      </c>
      <c r="Y21" s="514">
        <v>766.6</v>
      </c>
      <c r="Z21" s="514">
        <v>5669.65</v>
      </c>
      <c r="AA21" s="14" t="s">
        <v>355</v>
      </c>
      <c r="AB21" s="347" t="s">
        <v>170</v>
      </c>
      <c r="AC21" s="514">
        <v>13704.278999999999</v>
      </c>
      <c r="AD21" s="514">
        <v>2988.558</v>
      </c>
      <c r="AE21" s="514">
        <v>1447.6869999999999</v>
      </c>
      <c r="AF21" s="514">
        <v>22772.474999999995</v>
      </c>
      <c r="AG21" s="514">
        <v>1753.4990000000003</v>
      </c>
      <c r="AH21" s="514">
        <v>0</v>
      </c>
      <c r="AI21" s="514">
        <v>0</v>
      </c>
      <c r="AJ21" s="514">
        <v>441</v>
      </c>
      <c r="AK21" s="514">
        <v>1637.2</v>
      </c>
      <c r="AL21" s="514">
        <v>13721</v>
      </c>
      <c r="AM21" s="14" t="s">
        <v>355</v>
      </c>
      <c r="AN21" s="347" t="s">
        <v>170</v>
      </c>
      <c r="AO21" s="510">
        <v>0</v>
      </c>
      <c r="AP21" s="510">
        <v>0</v>
      </c>
      <c r="AQ21" s="510">
        <v>393611.43</v>
      </c>
      <c r="AR21" s="510">
        <v>21562.25</v>
      </c>
      <c r="AS21" s="510">
        <v>401.54999999999995</v>
      </c>
      <c r="AT21" s="510">
        <v>15697.900000000001</v>
      </c>
      <c r="AU21" s="510">
        <v>33162.85</v>
      </c>
      <c r="AV21" s="510">
        <v>30754.48</v>
      </c>
      <c r="AW21" s="510">
        <v>8191.8079999999991</v>
      </c>
      <c r="AX21" s="518">
        <v>0</v>
      </c>
      <c r="AY21" s="514">
        <v>2133.0699999999997</v>
      </c>
      <c r="AZ21" s="14" t="s">
        <v>355</v>
      </c>
      <c r="BA21" s="347" t="s">
        <v>170</v>
      </c>
      <c r="BB21" s="514">
        <v>0</v>
      </c>
      <c r="BC21" s="514">
        <v>18385.399999999998</v>
      </c>
      <c r="BD21" s="514">
        <v>4803.0999999999995</v>
      </c>
      <c r="BE21" s="514">
        <v>0</v>
      </c>
      <c r="BF21" s="514">
        <v>144475.68</v>
      </c>
      <c r="BG21" s="514">
        <v>0</v>
      </c>
      <c r="BH21" s="514">
        <v>21767.3</v>
      </c>
      <c r="BI21" s="514">
        <v>130884.4</v>
      </c>
      <c r="BJ21" s="514">
        <v>0</v>
      </c>
      <c r="BK21" s="514">
        <v>0</v>
      </c>
      <c r="BL21" s="514">
        <v>0</v>
      </c>
      <c r="BN21" s="233"/>
    </row>
    <row r="22" spans="1:66" ht="11.1" customHeight="1">
      <c r="A22" s="14"/>
      <c r="B22" s="347" t="s">
        <v>171</v>
      </c>
      <c r="C22" s="514">
        <v>17072.5</v>
      </c>
      <c r="D22" s="514">
        <v>5386.3639999999996</v>
      </c>
      <c r="E22" s="514">
        <v>58047.969999999994</v>
      </c>
      <c r="F22" s="514">
        <v>2665.12</v>
      </c>
      <c r="G22" s="514">
        <v>26394.15</v>
      </c>
      <c r="H22" s="514">
        <v>4209</v>
      </c>
      <c r="I22" s="514">
        <v>0</v>
      </c>
      <c r="J22" s="514">
        <v>15605</v>
      </c>
      <c r="K22" s="514">
        <v>0</v>
      </c>
      <c r="L22" s="514">
        <v>0</v>
      </c>
      <c r="M22" s="514">
        <v>0</v>
      </c>
      <c r="N22" s="14"/>
      <c r="O22" s="347" t="s">
        <v>171</v>
      </c>
      <c r="P22" s="514">
        <v>757.25</v>
      </c>
      <c r="Q22" s="514">
        <v>2340</v>
      </c>
      <c r="R22" s="514">
        <v>3389.8</v>
      </c>
      <c r="S22" s="514">
        <v>8609</v>
      </c>
      <c r="T22" s="514">
        <v>0</v>
      </c>
      <c r="U22" s="514">
        <v>5688.5</v>
      </c>
      <c r="V22" s="514">
        <v>35055.5</v>
      </c>
      <c r="W22" s="514">
        <v>7066.9290000000001</v>
      </c>
      <c r="X22" s="514">
        <v>29058.797999999995</v>
      </c>
      <c r="Y22" s="514">
        <v>808.10400000000004</v>
      </c>
      <c r="Z22" s="514">
        <v>6037.9069999999992</v>
      </c>
      <c r="AA22" s="14"/>
      <c r="AB22" s="347" t="s">
        <v>171</v>
      </c>
      <c r="AC22" s="514">
        <v>10640.043000000001</v>
      </c>
      <c r="AD22" s="514">
        <v>2499.92</v>
      </c>
      <c r="AE22" s="514">
        <v>1221.7660000000001</v>
      </c>
      <c r="AF22" s="514">
        <v>19979.867999999999</v>
      </c>
      <c r="AG22" s="514">
        <v>870.02700000000016</v>
      </c>
      <c r="AH22" s="514">
        <v>0</v>
      </c>
      <c r="AI22" s="514">
        <v>0</v>
      </c>
      <c r="AJ22" s="514">
        <v>518.5</v>
      </c>
      <c r="AK22" s="514">
        <v>2173.5</v>
      </c>
      <c r="AL22" s="514">
        <v>13405</v>
      </c>
      <c r="AM22" s="14"/>
      <c r="AN22" s="347" t="s">
        <v>171</v>
      </c>
      <c r="AO22" s="510">
        <v>0</v>
      </c>
      <c r="AP22" s="510">
        <v>0</v>
      </c>
      <c r="AQ22" s="510">
        <v>438055.72</v>
      </c>
      <c r="AR22" s="510">
        <v>31450.962999999996</v>
      </c>
      <c r="AS22" s="510">
        <v>102.10000000000001</v>
      </c>
      <c r="AT22" s="510">
        <v>11695.5</v>
      </c>
      <c r="AU22" s="510">
        <v>28929.5</v>
      </c>
      <c r="AV22" s="510">
        <v>29837.677</v>
      </c>
      <c r="AW22" s="510">
        <v>10090.860999999999</v>
      </c>
      <c r="AX22" s="518">
        <v>0</v>
      </c>
      <c r="AY22" s="514">
        <v>2771.03</v>
      </c>
      <c r="AZ22" s="14"/>
      <c r="BA22" s="347" t="s">
        <v>171</v>
      </c>
      <c r="BB22" s="514">
        <v>0</v>
      </c>
      <c r="BC22" s="514">
        <v>18715.900000000001</v>
      </c>
      <c r="BD22" s="514">
        <v>3562.7999999999997</v>
      </c>
      <c r="BE22" s="514">
        <v>0</v>
      </c>
      <c r="BF22" s="514">
        <v>198529.948</v>
      </c>
      <c r="BG22" s="514">
        <v>0</v>
      </c>
      <c r="BH22" s="514">
        <v>22384</v>
      </c>
      <c r="BI22" s="514">
        <v>245948.1</v>
      </c>
      <c r="BJ22" s="514">
        <v>0</v>
      </c>
      <c r="BK22" s="514">
        <v>0</v>
      </c>
      <c r="BL22" s="514">
        <v>0</v>
      </c>
      <c r="BN22" s="233"/>
    </row>
    <row r="23" spans="1:66" ht="11.1" customHeight="1">
      <c r="A23" s="14" t="s">
        <v>356</v>
      </c>
      <c r="B23" s="347" t="s">
        <v>170</v>
      </c>
      <c r="C23" s="514">
        <v>7113.579999999999</v>
      </c>
      <c r="D23" s="514">
        <v>1572.9599999999998</v>
      </c>
      <c r="E23" s="514">
        <v>33041.996999999996</v>
      </c>
      <c r="F23" s="514">
        <v>0</v>
      </c>
      <c r="G23" s="514">
        <v>28911.268999999997</v>
      </c>
      <c r="H23" s="514">
        <v>2032.3489999999999</v>
      </c>
      <c r="I23" s="514">
        <v>0</v>
      </c>
      <c r="J23" s="514">
        <v>72.08</v>
      </c>
      <c r="K23" s="514">
        <v>0</v>
      </c>
      <c r="L23" s="514">
        <v>0</v>
      </c>
      <c r="M23" s="514">
        <v>0</v>
      </c>
      <c r="N23" s="14" t="s">
        <v>356</v>
      </c>
      <c r="O23" s="347" t="s">
        <v>170</v>
      </c>
      <c r="P23" s="514">
        <v>1425.6</v>
      </c>
      <c r="Q23" s="514">
        <v>4763</v>
      </c>
      <c r="R23" s="514">
        <v>26670.090000000004</v>
      </c>
      <c r="S23" s="514">
        <v>1309.3399999999999</v>
      </c>
      <c r="T23" s="514">
        <v>1025.1300000000001</v>
      </c>
      <c r="U23" s="514">
        <v>155</v>
      </c>
      <c r="V23" s="514">
        <v>27151</v>
      </c>
      <c r="W23" s="514">
        <v>914.20500000000004</v>
      </c>
      <c r="X23" s="514">
        <v>602.12999999999988</v>
      </c>
      <c r="Y23" s="514">
        <v>190.15</v>
      </c>
      <c r="Z23" s="514">
        <v>563.78300000000002</v>
      </c>
      <c r="AA23" s="14" t="s">
        <v>356</v>
      </c>
      <c r="AB23" s="347" t="s">
        <v>170</v>
      </c>
      <c r="AC23" s="514">
        <v>0</v>
      </c>
      <c r="AD23" s="514">
        <v>44.655000000000001</v>
      </c>
      <c r="AE23" s="514">
        <v>177.59899999999999</v>
      </c>
      <c r="AF23" s="514">
        <v>399.24800000000005</v>
      </c>
      <c r="AG23" s="514">
        <v>0</v>
      </c>
      <c r="AH23" s="514">
        <v>0</v>
      </c>
      <c r="AI23" s="514">
        <v>0</v>
      </c>
      <c r="AJ23" s="514">
        <v>270.553</v>
      </c>
      <c r="AK23" s="514">
        <v>379.072</v>
      </c>
      <c r="AL23" s="514">
        <v>8779.0489999999991</v>
      </c>
      <c r="AM23" s="14" t="s">
        <v>356</v>
      </c>
      <c r="AN23" s="347" t="s">
        <v>170</v>
      </c>
      <c r="AO23" s="510">
        <v>0</v>
      </c>
      <c r="AP23" s="510">
        <v>0</v>
      </c>
      <c r="AQ23" s="510">
        <v>252835.76599999997</v>
      </c>
      <c r="AR23" s="510">
        <v>0</v>
      </c>
      <c r="AS23" s="510">
        <v>179.3</v>
      </c>
      <c r="AT23" s="510">
        <v>6883.95</v>
      </c>
      <c r="AU23" s="510">
        <v>27762.199999999997</v>
      </c>
      <c r="AV23" s="510">
        <v>12.43</v>
      </c>
      <c r="AW23" s="510">
        <v>0</v>
      </c>
      <c r="AX23" s="518">
        <v>0</v>
      </c>
      <c r="AY23" s="514">
        <v>8988.5580000000009</v>
      </c>
      <c r="AZ23" s="14" t="s">
        <v>356</v>
      </c>
      <c r="BA23" s="347" t="s">
        <v>170</v>
      </c>
      <c r="BB23" s="514">
        <v>160.5</v>
      </c>
      <c r="BC23" s="514">
        <v>12703.939</v>
      </c>
      <c r="BD23" s="514">
        <v>7237.9679999999998</v>
      </c>
      <c r="BE23" s="514">
        <v>0</v>
      </c>
      <c r="BF23" s="514">
        <v>148449.38199999998</v>
      </c>
      <c r="BG23" s="514">
        <v>0</v>
      </c>
      <c r="BH23" s="514">
        <v>0</v>
      </c>
      <c r="BI23" s="514">
        <v>16298</v>
      </c>
      <c r="BJ23" s="514">
        <v>0</v>
      </c>
      <c r="BK23" s="514">
        <v>0</v>
      </c>
      <c r="BL23" s="514">
        <v>0</v>
      </c>
      <c r="BN23" s="233"/>
    </row>
    <row r="24" spans="1:66" ht="11.1" customHeight="1">
      <c r="A24" s="14"/>
      <c r="B24" s="347" t="s">
        <v>171</v>
      </c>
      <c r="C24" s="514">
        <v>7984.2000000000007</v>
      </c>
      <c r="D24" s="514">
        <v>1329.6999999999998</v>
      </c>
      <c r="E24" s="514">
        <v>34166.559999999998</v>
      </c>
      <c r="F24" s="514">
        <v>0</v>
      </c>
      <c r="G24" s="514">
        <v>30412.008999999998</v>
      </c>
      <c r="H24" s="514">
        <v>2234.8990000000003</v>
      </c>
      <c r="I24" s="514">
        <v>0</v>
      </c>
      <c r="J24" s="514">
        <v>75.010000000000005</v>
      </c>
      <c r="K24" s="514">
        <v>0</v>
      </c>
      <c r="L24" s="514">
        <v>0</v>
      </c>
      <c r="M24" s="514">
        <v>0</v>
      </c>
      <c r="N24" s="14"/>
      <c r="O24" s="347" t="s">
        <v>171</v>
      </c>
      <c r="P24" s="514">
        <v>1374</v>
      </c>
      <c r="Q24" s="514">
        <v>3247</v>
      </c>
      <c r="R24" s="514">
        <v>26075.848999999998</v>
      </c>
      <c r="S24" s="514">
        <v>515.48900000000003</v>
      </c>
      <c r="T24" s="514">
        <v>960.78</v>
      </c>
      <c r="U24" s="514">
        <v>142.19999999999999</v>
      </c>
      <c r="V24" s="514">
        <v>21282.199999999997</v>
      </c>
      <c r="W24" s="514">
        <v>873.90300000000002</v>
      </c>
      <c r="X24" s="514">
        <v>584.846</v>
      </c>
      <c r="Y24" s="514">
        <v>199.82100000000003</v>
      </c>
      <c r="Z24" s="514">
        <v>573.25</v>
      </c>
      <c r="AA24" s="14"/>
      <c r="AB24" s="347" t="s">
        <v>171</v>
      </c>
      <c r="AC24" s="514">
        <v>0</v>
      </c>
      <c r="AD24" s="514">
        <v>44.741</v>
      </c>
      <c r="AE24" s="514">
        <v>186.90699999999998</v>
      </c>
      <c r="AF24" s="514">
        <v>394.65399999999994</v>
      </c>
      <c r="AG24" s="514">
        <v>0</v>
      </c>
      <c r="AH24" s="514">
        <v>0</v>
      </c>
      <c r="AI24" s="514">
        <v>0</v>
      </c>
      <c r="AJ24" s="514">
        <v>256.608</v>
      </c>
      <c r="AK24" s="514">
        <v>380.78399999999999</v>
      </c>
      <c r="AL24" s="514">
        <v>8839.0759999999991</v>
      </c>
      <c r="AM24" s="14"/>
      <c r="AN24" s="347" t="s">
        <v>171</v>
      </c>
      <c r="AO24" s="510">
        <v>0</v>
      </c>
      <c r="AP24" s="510">
        <v>0</v>
      </c>
      <c r="AQ24" s="510">
        <v>272364.58599999995</v>
      </c>
      <c r="AR24" s="510">
        <v>0</v>
      </c>
      <c r="AS24" s="510">
        <v>178</v>
      </c>
      <c r="AT24" s="510">
        <v>6229.13</v>
      </c>
      <c r="AU24" s="510">
        <v>26860.649999999998</v>
      </c>
      <c r="AV24" s="510">
        <v>12.429</v>
      </c>
      <c r="AW24" s="510">
        <v>0</v>
      </c>
      <c r="AX24" s="518">
        <v>0</v>
      </c>
      <c r="AY24" s="514">
        <v>9782.76</v>
      </c>
      <c r="AZ24" s="14"/>
      <c r="BA24" s="347" t="s">
        <v>171</v>
      </c>
      <c r="BB24" s="514">
        <v>175.1</v>
      </c>
      <c r="BC24" s="514">
        <v>13395.369000000001</v>
      </c>
      <c r="BD24" s="514">
        <v>6771.35</v>
      </c>
      <c r="BE24" s="514">
        <v>0</v>
      </c>
      <c r="BF24" s="514">
        <v>148207.52200000003</v>
      </c>
      <c r="BG24" s="514">
        <v>0</v>
      </c>
      <c r="BH24" s="514">
        <v>0</v>
      </c>
      <c r="BI24" s="514">
        <v>18316</v>
      </c>
      <c r="BJ24" s="514">
        <v>0</v>
      </c>
      <c r="BK24" s="514">
        <v>0</v>
      </c>
      <c r="BL24" s="514">
        <v>0</v>
      </c>
      <c r="BN24" s="233"/>
    </row>
    <row r="25" spans="1:66" ht="11.1" customHeight="1">
      <c r="A25" s="14" t="s">
        <v>503</v>
      </c>
      <c r="B25" s="347" t="s">
        <v>170</v>
      </c>
      <c r="C25" s="514">
        <v>10257</v>
      </c>
      <c r="D25" s="514">
        <v>42962</v>
      </c>
      <c r="E25" s="514">
        <v>15354</v>
      </c>
      <c r="F25" s="514">
        <v>62232</v>
      </c>
      <c r="G25" s="514">
        <v>8387</v>
      </c>
      <c r="H25" s="514">
        <v>559.99899999999991</v>
      </c>
      <c r="I25" s="514">
        <v>0</v>
      </c>
      <c r="J25" s="514">
        <v>0</v>
      </c>
      <c r="K25" s="514">
        <v>528</v>
      </c>
      <c r="L25" s="514">
        <v>0</v>
      </c>
      <c r="M25" s="514">
        <v>0</v>
      </c>
      <c r="N25" s="14" t="s">
        <v>503</v>
      </c>
      <c r="O25" s="347" t="s">
        <v>170</v>
      </c>
      <c r="P25" s="514">
        <v>1254</v>
      </c>
      <c r="Q25" s="514">
        <v>12659</v>
      </c>
      <c r="R25" s="514">
        <v>21567</v>
      </c>
      <c r="S25" s="514">
        <v>4096</v>
      </c>
      <c r="T25" s="514">
        <v>194</v>
      </c>
      <c r="U25" s="514">
        <v>1090</v>
      </c>
      <c r="V25" s="514">
        <v>6229</v>
      </c>
      <c r="W25" s="514">
        <v>3565</v>
      </c>
      <c r="X25" s="514">
        <v>220091</v>
      </c>
      <c r="Y25" s="514">
        <v>611</v>
      </c>
      <c r="Z25" s="514">
        <v>1807</v>
      </c>
      <c r="AA25" s="14" t="s">
        <v>503</v>
      </c>
      <c r="AB25" s="347" t="s">
        <v>170</v>
      </c>
      <c r="AC25" s="514">
        <v>11228</v>
      </c>
      <c r="AD25" s="514">
        <v>4131</v>
      </c>
      <c r="AE25" s="514">
        <v>1095</v>
      </c>
      <c r="AF25" s="514">
        <v>11577</v>
      </c>
      <c r="AG25" s="514">
        <v>825</v>
      </c>
      <c r="AH25" s="514">
        <v>0</v>
      </c>
      <c r="AI25" s="514">
        <v>0</v>
      </c>
      <c r="AJ25" s="514">
        <v>84.600000000000009</v>
      </c>
      <c r="AK25" s="514">
        <v>1492</v>
      </c>
      <c r="AL25" s="514">
        <v>149</v>
      </c>
      <c r="AM25" s="14" t="s">
        <v>503</v>
      </c>
      <c r="AN25" s="347" t="s">
        <v>170</v>
      </c>
      <c r="AO25" s="510">
        <v>0</v>
      </c>
      <c r="AP25" s="510">
        <v>28677</v>
      </c>
      <c r="AQ25" s="510">
        <v>643892</v>
      </c>
      <c r="AR25" s="510">
        <v>53784</v>
      </c>
      <c r="AS25" s="510">
        <v>3566</v>
      </c>
      <c r="AT25" s="510">
        <v>5088</v>
      </c>
      <c r="AU25" s="510">
        <v>24357</v>
      </c>
      <c r="AV25" s="510">
        <v>10782</v>
      </c>
      <c r="AW25" s="510">
        <v>10392</v>
      </c>
      <c r="AX25" s="518">
        <v>0</v>
      </c>
      <c r="AY25" s="514">
        <v>4500</v>
      </c>
      <c r="AZ25" s="14" t="s">
        <v>503</v>
      </c>
      <c r="BA25" s="347" t="s">
        <v>170</v>
      </c>
      <c r="BB25" s="514">
        <v>0</v>
      </c>
      <c r="BC25" s="514">
        <v>3106</v>
      </c>
      <c r="BD25" s="514">
        <v>1185</v>
      </c>
      <c r="BE25" s="514">
        <v>0</v>
      </c>
      <c r="BF25" s="514">
        <v>21494</v>
      </c>
      <c r="BG25" s="514">
        <v>7850</v>
      </c>
      <c r="BH25" s="514">
        <v>0</v>
      </c>
      <c r="BI25" s="514">
        <v>14137</v>
      </c>
      <c r="BJ25" s="514">
        <v>0</v>
      </c>
      <c r="BK25" s="514">
        <v>0</v>
      </c>
      <c r="BL25" s="514">
        <v>0</v>
      </c>
      <c r="BN25" s="233"/>
    </row>
    <row r="26" spans="1:66" ht="11.1" customHeight="1">
      <c r="A26" s="14"/>
      <c r="B26" s="347" t="s">
        <v>171</v>
      </c>
      <c r="C26" s="514">
        <v>11218</v>
      </c>
      <c r="D26" s="514">
        <v>38992.999999999993</v>
      </c>
      <c r="E26" s="514">
        <v>15583.000000000002</v>
      </c>
      <c r="F26" s="514">
        <v>45827</v>
      </c>
      <c r="G26" s="514">
        <v>9017</v>
      </c>
      <c r="H26" s="514">
        <v>553</v>
      </c>
      <c r="I26" s="514">
        <v>0</v>
      </c>
      <c r="J26" s="514">
        <v>0</v>
      </c>
      <c r="K26" s="514">
        <v>436</v>
      </c>
      <c r="L26" s="514">
        <v>0</v>
      </c>
      <c r="M26" s="514">
        <v>0</v>
      </c>
      <c r="N26" s="14"/>
      <c r="O26" s="347" t="s">
        <v>171</v>
      </c>
      <c r="P26" s="514">
        <v>1111</v>
      </c>
      <c r="Q26" s="514">
        <v>13856</v>
      </c>
      <c r="R26" s="514">
        <v>14563</v>
      </c>
      <c r="S26" s="514">
        <v>3203</v>
      </c>
      <c r="T26" s="514">
        <v>140</v>
      </c>
      <c r="U26" s="514">
        <v>1036</v>
      </c>
      <c r="V26" s="514">
        <v>6354</v>
      </c>
      <c r="W26" s="514">
        <v>3547</v>
      </c>
      <c r="X26" s="514">
        <v>227037</v>
      </c>
      <c r="Y26" s="514">
        <v>612.5</v>
      </c>
      <c r="Z26" s="514">
        <v>2435.9989999999998</v>
      </c>
      <c r="AA26" s="14"/>
      <c r="AB26" s="347" t="s">
        <v>171</v>
      </c>
      <c r="AC26" s="514">
        <v>9269</v>
      </c>
      <c r="AD26" s="514">
        <v>2962</v>
      </c>
      <c r="AE26" s="514">
        <v>1112</v>
      </c>
      <c r="AF26" s="514">
        <v>11481</v>
      </c>
      <c r="AG26" s="514">
        <v>823</v>
      </c>
      <c r="AH26" s="514">
        <v>0</v>
      </c>
      <c r="AI26" s="514">
        <v>0</v>
      </c>
      <c r="AJ26" s="514">
        <v>95</v>
      </c>
      <c r="AK26" s="514">
        <v>1554</v>
      </c>
      <c r="AL26" s="514">
        <v>157</v>
      </c>
      <c r="AM26" s="14"/>
      <c r="AN26" s="347" t="s">
        <v>171</v>
      </c>
      <c r="AO26" s="510">
        <v>0</v>
      </c>
      <c r="AP26" s="510">
        <v>31942</v>
      </c>
      <c r="AQ26" s="510">
        <v>716568</v>
      </c>
      <c r="AR26" s="510">
        <v>54420</v>
      </c>
      <c r="AS26" s="510">
        <v>3760</v>
      </c>
      <c r="AT26" s="510">
        <v>4719</v>
      </c>
      <c r="AU26" s="510">
        <v>25682</v>
      </c>
      <c r="AV26" s="510">
        <v>11699</v>
      </c>
      <c r="AW26" s="510">
        <v>13403</v>
      </c>
      <c r="AX26" s="518">
        <v>0</v>
      </c>
      <c r="AY26" s="514">
        <v>4505</v>
      </c>
      <c r="AZ26" s="14"/>
      <c r="BA26" s="347" t="s">
        <v>171</v>
      </c>
      <c r="BB26" s="514">
        <v>0</v>
      </c>
      <c r="BC26" s="514">
        <v>3303</v>
      </c>
      <c r="BD26" s="514">
        <v>1131</v>
      </c>
      <c r="BE26" s="514">
        <v>0</v>
      </c>
      <c r="BF26" s="514">
        <v>24460</v>
      </c>
      <c r="BG26" s="514">
        <v>7422</v>
      </c>
      <c r="BH26" s="514">
        <v>0</v>
      </c>
      <c r="BI26" s="514">
        <v>17551</v>
      </c>
      <c r="BJ26" s="514">
        <v>0</v>
      </c>
      <c r="BK26" s="514">
        <v>0</v>
      </c>
      <c r="BL26" s="514">
        <v>0</v>
      </c>
      <c r="BN26" s="233"/>
    </row>
    <row r="27" spans="1:66" ht="11.1" customHeight="1">
      <c r="A27" s="14" t="s">
        <v>357</v>
      </c>
      <c r="B27" s="347" t="s">
        <v>170</v>
      </c>
      <c r="C27" s="514">
        <v>61.23</v>
      </c>
      <c r="D27" s="514">
        <v>204901.20599999998</v>
      </c>
      <c r="E27" s="514">
        <v>579.67900000000009</v>
      </c>
      <c r="F27" s="514">
        <v>0</v>
      </c>
      <c r="G27" s="514">
        <v>183.05999999999997</v>
      </c>
      <c r="H27" s="514">
        <v>40.15</v>
      </c>
      <c r="I27" s="514">
        <v>189940.74</v>
      </c>
      <c r="J27" s="514">
        <v>42766.100000000006</v>
      </c>
      <c r="K27" s="514">
        <v>3167.87</v>
      </c>
      <c r="L27" s="514">
        <v>0</v>
      </c>
      <c r="M27" s="514">
        <v>335.45</v>
      </c>
      <c r="N27" s="14" t="s">
        <v>357</v>
      </c>
      <c r="O27" s="347" t="s">
        <v>170</v>
      </c>
      <c r="P27" s="514">
        <v>138863.1</v>
      </c>
      <c r="Q27" s="514">
        <v>41973.95</v>
      </c>
      <c r="R27" s="514">
        <v>396.06</v>
      </c>
      <c r="S27" s="514">
        <v>15.6</v>
      </c>
      <c r="T27" s="514">
        <v>43.8</v>
      </c>
      <c r="U27" s="514">
        <v>122773.219</v>
      </c>
      <c r="V27" s="514">
        <v>18494.75</v>
      </c>
      <c r="W27" s="514">
        <v>66332.418000000005</v>
      </c>
      <c r="X27" s="514">
        <v>3096.73</v>
      </c>
      <c r="Y27" s="514">
        <v>7364.4589999999989</v>
      </c>
      <c r="Z27" s="514">
        <v>352.30899999999997</v>
      </c>
      <c r="AA27" s="14" t="s">
        <v>357</v>
      </c>
      <c r="AB27" s="347" t="s">
        <v>170</v>
      </c>
      <c r="AC27" s="514">
        <v>0</v>
      </c>
      <c r="AD27" s="514">
        <v>23.5</v>
      </c>
      <c r="AE27" s="514">
        <v>1363.3899999999999</v>
      </c>
      <c r="AF27" s="514">
        <v>29261.308999999997</v>
      </c>
      <c r="AG27" s="514">
        <v>169652.75</v>
      </c>
      <c r="AH27" s="514">
        <v>55685.680000000008</v>
      </c>
      <c r="AI27" s="514">
        <v>265004.81</v>
      </c>
      <c r="AJ27" s="514">
        <v>1179.99</v>
      </c>
      <c r="AK27" s="514">
        <v>696.15000000000009</v>
      </c>
      <c r="AL27" s="514">
        <v>957.81</v>
      </c>
      <c r="AM27" s="14" t="s">
        <v>357</v>
      </c>
      <c r="AN27" s="347" t="s">
        <v>170</v>
      </c>
      <c r="AO27" s="510">
        <v>6510.55</v>
      </c>
      <c r="AP27" s="510">
        <v>0</v>
      </c>
      <c r="AQ27" s="510">
        <v>118485.62800000001</v>
      </c>
      <c r="AR27" s="510">
        <v>7667.75</v>
      </c>
      <c r="AS27" s="510">
        <v>45644.534000000007</v>
      </c>
      <c r="AT27" s="510">
        <v>0</v>
      </c>
      <c r="AU27" s="510">
        <v>14</v>
      </c>
      <c r="AV27" s="510">
        <v>0</v>
      </c>
      <c r="AW27" s="510">
        <v>0</v>
      </c>
      <c r="AX27" s="518">
        <v>2721.38</v>
      </c>
      <c r="AY27" s="514">
        <v>480.43000000000006</v>
      </c>
      <c r="AZ27" s="14" t="s">
        <v>357</v>
      </c>
      <c r="BA27" s="347" t="s">
        <v>170</v>
      </c>
      <c r="BB27" s="514">
        <v>3174.4889999999996</v>
      </c>
      <c r="BC27" s="514">
        <v>0</v>
      </c>
      <c r="BD27" s="514">
        <v>0</v>
      </c>
      <c r="BE27" s="514">
        <v>0</v>
      </c>
      <c r="BF27" s="514">
        <v>132486.533</v>
      </c>
      <c r="BG27" s="514">
        <v>3351.7</v>
      </c>
      <c r="BH27" s="514">
        <v>0</v>
      </c>
      <c r="BI27" s="514">
        <v>0</v>
      </c>
      <c r="BJ27" s="514">
        <v>30142.264999999999</v>
      </c>
      <c r="BK27" s="514">
        <v>0</v>
      </c>
      <c r="BL27" s="514">
        <v>1465.1</v>
      </c>
      <c r="BN27" s="233"/>
    </row>
    <row r="28" spans="1:66" ht="11.1" customHeight="1">
      <c r="A28" s="14"/>
      <c r="B28" s="347" t="s">
        <v>171</v>
      </c>
      <c r="C28" s="514">
        <v>41.86</v>
      </c>
      <c r="D28" s="514">
        <v>200175.03200000004</v>
      </c>
      <c r="E28" s="514">
        <v>339.05</v>
      </c>
      <c r="F28" s="514">
        <v>0</v>
      </c>
      <c r="G28" s="514">
        <v>112</v>
      </c>
      <c r="H28" s="514">
        <v>52.2</v>
      </c>
      <c r="I28" s="514">
        <v>193108.19</v>
      </c>
      <c r="J28" s="514">
        <v>38586</v>
      </c>
      <c r="K28" s="514">
        <v>3153.2400000000002</v>
      </c>
      <c r="L28" s="514">
        <v>0</v>
      </c>
      <c r="M28" s="514">
        <v>218.4</v>
      </c>
      <c r="N28" s="14"/>
      <c r="O28" s="347" t="s">
        <v>171</v>
      </c>
      <c r="P28" s="514">
        <v>110486.39000000001</v>
      </c>
      <c r="Q28" s="514">
        <v>49376.39</v>
      </c>
      <c r="R28" s="514">
        <v>264.55800000000005</v>
      </c>
      <c r="S28" s="514">
        <v>136.19999999999999</v>
      </c>
      <c r="T28" s="514">
        <v>39.799999999999997</v>
      </c>
      <c r="U28" s="514">
        <v>142565.83199999999</v>
      </c>
      <c r="V28" s="514">
        <v>20019.48</v>
      </c>
      <c r="W28" s="514">
        <v>71591.318999999989</v>
      </c>
      <c r="X28" s="514">
        <v>2779.7</v>
      </c>
      <c r="Y28" s="514">
        <v>7496.8</v>
      </c>
      <c r="Z28" s="514">
        <v>435.06</v>
      </c>
      <c r="AA28" s="14"/>
      <c r="AB28" s="347" t="s">
        <v>171</v>
      </c>
      <c r="AC28" s="514">
        <v>0</v>
      </c>
      <c r="AD28" s="514">
        <v>22.5</v>
      </c>
      <c r="AE28" s="514">
        <v>1502.8129999999999</v>
      </c>
      <c r="AF28" s="514">
        <v>30197.893</v>
      </c>
      <c r="AG28" s="514">
        <v>166666.55000000002</v>
      </c>
      <c r="AH28" s="514">
        <v>37529.320000000007</v>
      </c>
      <c r="AI28" s="514">
        <v>273388.15000000002</v>
      </c>
      <c r="AJ28" s="514">
        <v>1121.6200000000001</v>
      </c>
      <c r="AK28" s="514">
        <v>611.65</v>
      </c>
      <c r="AL28" s="514">
        <v>939</v>
      </c>
      <c r="AM28" s="14"/>
      <c r="AN28" s="347" t="s">
        <v>171</v>
      </c>
      <c r="AO28" s="510">
        <v>6472.7</v>
      </c>
      <c r="AP28" s="510">
        <v>0</v>
      </c>
      <c r="AQ28" s="510">
        <v>134428.30900000001</v>
      </c>
      <c r="AR28" s="510">
        <v>10214</v>
      </c>
      <c r="AS28" s="510">
        <v>37966.94</v>
      </c>
      <c r="AT28" s="510">
        <v>4.3</v>
      </c>
      <c r="AU28" s="510">
        <v>17.25</v>
      </c>
      <c r="AV28" s="510">
        <v>0</v>
      </c>
      <c r="AW28" s="510">
        <v>0</v>
      </c>
      <c r="AX28" s="518">
        <v>2565.5699999999997</v>
      </c>
      <c r="AY28" s="514">
        <v>271.90999999999997</v>
      </c>
      <c r="AZ28" s="14"/>
      <c r="BA28" s="347" t="s">
        <v>171</v>
      </c>
      <c r="BB28" s="514">
        <v>3382.42</v>
      </c>
      <c r="BC28" s="514">
        <v>0</v>
      </c>
      <c r="BD28" s="514">
        <v>0</v>
      </c>
      <c r="BE28" s="514">
        <v>0</v>
      </c>
      <c r="BF28" s="514">
        <v>131676.39300000001</v>
      </c>
      <c r="BG28" s="514">
        <v>9983</v>
      </c>
      <c r="BH28" s="514">
        <v>0</v>
      </c>
      <c r="BI28" s="514">
        <v>0</v>
      </c>
      <c r="BJ28" s="514">
        <v>32203.674999999999</v>
      </c>
      <c r="BK28" s="514">
        <v>0</v>
      </c>
      <c r="BL28" s="514">
        <v>2087.87</v>
      </c>
      <c r="BN28" s="233"/>
    </row>
    <row r="29" spans="1:66" ht="11.1" customHeight="1">
      <c r="A29" s="14" t="s">
        <v>504</v>
      </c>
      <c r="B29" s="347" t="s">
        <v>170</v>
      </c>
      <c r="C29" s="514">
        <v>10162.930000000004</v>
      </c>
      <c r="D29" s="514">
        <v>22894.649999999998</v>
      </c>
      <c r="E29" s="514">
        <v>14583.249999999998</v>
      </c>
      <c r="F29" s="514">
        <v>2206.8000000000002</v>
      </c>
      <c r="G29" s="514">
        <v>20354.960000000006</v>
      </c>
      <c r="H29" s="514">
        <v>3074.45</v>
      </c>
      <c r="I29" s="514">
        <v>0</v>
      </c>
      <c r="J29" s="514">
        <v>5236.7</v>
      </c>
      <c r="K29" s="514">
        <v>795.7</v>
      </c>
      <c r="L29" s="514">
        <v>0</v>
      </c>
      <c r="M29" s="514">
        <v>0</v>
      </c>
      <c r="N29" s="14" t="s">
        <v>504</v>
      </c>
      <c r="O29" s="347" t="s">
        <v>170</v>
      </c>
      <c r="P29" s="514">
        <v>180.89999999999998</v>
      </c>
      <c r="Q29" s="514">
        <v>2042.5000000000002</v>
      </c>
      <c r="R29" s="514">
        <v>29402.319999999996</v>
      </c>
      <c r="S29" s="514">
        <v>29762.7</v>
      </c>
      <c r="T29" s="514">
        <v>4538</v>
      </c>
      <c r="U29" s="514">
        <v>5165.7000000000007</v>
      </c>
      <c r="V29" s="514">
        <v>93736.459999999992</v>
      </c>
      <c r="W29" s="514">
        <v>41449.600000000006</v>
      </c>
      <c r="X29" s="514">
        <v>194836.17499999999</v>
      </c>
      <c r="Y29" s="514">
        <v>1683.2</v>
      </c>
      <c r="Z29" s="514">
        <v>10387.549999999999</v>
      </c>
      <c r="AA29" s="14" t="s">
        <v>504</v>
      </c>
      <c r="AB29" s="347" t="s">
        <v>170</v>
      </c>
      <c r="AC29" s="514">
        <v>406561.20000000007</v>
      </c>
      <c r="AD29" s="514">
        <v>15367.950000000003</v>
      </c>
      <c r="AE29" s="514">
        <v>3234.9999999999995</v>
      </c>
      <c r="AF29" s="514">
        <v>289812.25</v>
      </c>
      <c r="AG29" s="514">
        <v>56396.145999999993</v>
      </c>
      <c r="AH29" s="514">
        <v>43581.000000000015</v>
      </c>
      <c r="AI29" s="514">
        <v>0</v>
      </c>
      <c r="AJ29" s="514">
        <v>115.95</v>
      </c>
      <c r="AK29" s="514">
        <v>170.9</v>
      </c>
      <c r="AL29" s="514">
        <v>177.10000000000002</v>
      </c>
      <c r="AM29" s="14" t="s">
        <v>504</v>
      </c>
      <c r="AN29" s="347" t="s">
        <v>170</v>
      </c>
      <c r="AO29" s="510">
        <v>0</v>
      </c>
      <c r="AP29" s="510">
        <v>0</v>
      </c>
      <c r="AQ29" s="510">
        <v>395400.39999999997</v>
      </c>
      <c r="AR29" s="510">
        <v>108543.59999999999</v>
      </c>
      <c r="AS29" s="510">
        <v>0</v>
      </c>
      <c r="AT29" s="510">
        <v>3652.7000000000003</v>
      </c>
      <c r="AU29" s="510">
        <v>16909.299999999996</v>
      </c>
      <c r="AV29" s="510">
        <v>89837.483999999997</v>
      </c>
      <c r="AW29" s="510">
        <v>24755.442999999999</v>
      </c>
      <c r="AX29" s="518">
        <v>0</v>
      </c>
      <c r="AY29" s="514">
        <v>4761.1289999999999</v>
      </c>
      <c r="AZ29" s="14" t="s">
        <v>504</v>
      </c>
      <c r="BA29" s="347" t="s">
        <v>170</v>
      </c>
      <c r="BB29" s="514">
        <v>0</v>
      </c>
      <c r="BC29" s="514">
        <v>3164.4499999999989</v>
      </c>
      <c r="BD29" s="514">
        <v>1860.92</v>
      </c>
      <c r="BE29" s="514">
        <v>0</v>
      </c>
      <c r="BF29" s="514">
        <v>131080.69999999998</v>
      </c>
      <c r="BG29" s="514">
        <v>0</v>
      </c>
      <c r="BH29" s="514">
        <v>11695.8</v>
      </c>
      <c r="BI29" s="514">
        <v>92146.15</v>
      </c>
      <c r="BJ29" s="514">
        <v>0</v>
      </c>
      <c r="BK29" s="514">
        <v>65.06</v>
      </c>
      <c r="BL29" s="514">
        <v>0</v>
      </c>
      <c r="BN29" s="233"/>
    </row>
    <row r="30" spans="1:66" ht="11.1" customHeight="1">
      <c r="A30" s="14"/>
      <c r="B30" s="347" t="s">
        <v>171</v>
      </c>
      <c r="C30" s="514">
        <v>7829.2199999999984</v>
      </c>
      <c r="D30" s="514">
        <v>25076.210000000006</v>
      </c>
      <c r="E30" s="514">
        <v>12638.939999999997</v>
      </c>
      <c r="F30" s="514">
        <v>2176.1999999999998</v>
      </c>
      <c r="G30" s="514">
        <v>16859.219999999998</v>
      </c>
      <c r="H30" s="514">
        <v>3469.5690000000004</v>
      </c>
      <c r="I30" s="514">
        <v>0</v>
      </c>
      <c r="J30" s="514">
        <v>4296.6499999999996</v>
      </c>
      <c r="K30" s="514">
        <v>957.9</v>
      </c>
      <c r="L30" s="514">
        <v>0</v>
      </c>
      <c r="M30" s="514">
        <v>0</v>
      </c>
      <c r="N30" s="14"/>
      <c r="O30" s="347" t="s">
        <v>171</v>
      </c>
      <c r="P30" s="514">
        <v>167</v>
      </c>
      <c r="Q30" s="514">
        <v>1710.6000000000001</v>
      </c>
      <c r="R30" s="514">
        <v>27151.270000000004</v>
      </c>
      <c r="S30" s="514">
        <v>25213.799999999996</v>
      </c>
      <c r="T30" s="514">
        <v>3126.5999999999995</v>
      </c>
      <c r="U30" s="514">
        <v>3790.76</v>
      </c>
      <c r="V30" s="514">
        <v>75193.3</v>
      </c>
      <c r="W30" s="514">
        <v>44808.41</v>
      </c>
      <c r="X30" s="514">
        <v>206894.18</v>
      </c>
      <c r="Y30" s="514">
        <v>1926.7999999999997</v>
      </c>
      <c r="Z30" s="514">
        <v>10395.458999999999</v>
      </c>
      <c r="AA30" s="14"/>
      <c r="AB30" s="347" t="s">
        <v>171</v>
      </c>
      <c r="AC30" s="514">
        <v>436768.42400000012</v>
      </c>
      <c r="AD30" s="514">
        <v>12293.545</v>
      </c>
      <c r="AE30" s="514">
        <v>3050.25</v>
      </c>
      <c r="AF30" s="514">
        <v>301599.90000000002</v>
      </c>
      <c r="AG30" s="514">
        <v>57720.646000000008</v>
      </c>
      <c r="AH30" s="514">
        <v>43120.427999999993</v>
      </c>
      <c r="AI30" s="514">
        <v>0</v>
      </c>
      <c r="AJ30" s="514">
        <v>115.8</v>
      </c>
      <c r="AK30" s="514">
        <v>159.6</v>
      </c>
      <c r="AL30" s="514">
        <v>168</v>
      </c>
      <c r="AM30" s="14"/>
      <c r="AN30" s="347" t="s">
        <v>171</v>
      </c>
      <c r="AO30" s="510">
        <v>0</v>
      </c>
      <c r="AP30" s="510">
        <v>0</v>
      </c>
      <c r="AQ30" s="510">
        <v>395710.57000000012</v>
      </c>
      <c r="AR30" s="510">
        <v>131425.755</v>
      </c>
      <c r="AS30" s="510">
        <v>0</v>
      </c>
      <c r="AT30" s="510">
        <v>3544.8499999999995</v>
      </c>
      <c r="AU30" s="510">
        <v>15775</v>
      </c>
      <c r="AV30" s="510">
        <v>80429.53</v>
      </c>
      <c r="AW30" s="510">
        <v>25560.083000000002</v>
      </c>
      <c r="AX30" s="518">
        <v>0</v>
      </c>
      <c r="AY30" s="514">
        <v>4270.13</v>
      </c>
      <c r="AZ30" s="14"/>
      <c r="BA30" s="347" t="s">
        <v>171</v>
      </c>
      <c r="BB30" s="514">
        <v>0</v>
      </c>
      <c r="BC30" s="514">
        <v>2753.1900000000005</v>
      </c>
      <c r="BD30" s="514">
        <v>1323.4499999999998</v>
      </c>
      <c r="BE30" s="514">
        <v>0</v>
      </c>
      <c r="BF30" s="514">
        <v>135339.12</v>
      </c>
      <c r="BG30" s="514">
        <v>0</v>
      </c>
      <c r="BH30" s="514">
        <v>7285.0999999999995</v>
      </c>
      <c r="BI30" s="514">
        <v>90572.900000000009</v>
      </c>
      <c r="BJ30" s="514">
        <v>0</v>
      </c>
      <c r="BK30" s="514">
        <v>61.22399999999999</v>
      </c>
      <c r="BL30" s="514">
        <v>0</v>
      </c>
      <c r="BN30" s="233"/>
    </row>
    <row r="31" spans="1:66" ht="11.1" customHeight="1">
      <c r="A31" s="14" t="s">
        <v>416</v>
      </c>
      <c r="B31" s="347" t="s">
        <v>170</v>
      </c>
      <c r="C31" s="514">
        <v>62601.25</v>
      </c>
      <c r="D31" s="514">
        <v>106490.76000000001</v>
      </c>
      <c r="E31" s="514">
        <v>24801.61</v>
      </c>
      <c r="F31" s="514">
        <v>387546.1</v>
      </c>
      <c r="G31" s="514">
        <v>56135.6</v>
      </c>
      <c r="H31" s="514">
        <v>1756.06</v>
      </c>
      <c r="I31" s="514">
        <v>134199.65000000002</v>
      </c>
      <c r="J31" s="514">
        <v>20052.900000000001</v>
      </c>
      <c r="K31" s="514">
        <v>8018.6500000000005</v>
      </c>
      <c r="L31" s="514">
        <v>11785</v>
      </c>
      <c r="M31" s="514">
        <v>8858.2000000000007</v>
      </c>
      <c r="N31" s="14" t="s">
        <v>416</v>
      </c>
      <c r="O31" s="347" t="s">
        <v>170</v>
      </c>
      <c r="P31" s="514">
        <v>5656.7000000000007</v>
      </c>
      <c r="Q31" s="514">
        <v>16076.5</v>
      </c>
      <c r="R31" s="514">
        <v>5802.5</v>
      </c>
      <c r="S31" s="514">
        <v>6872.15</v>
      </c>
      <c r="T31" s="514">
        <v>1811.45</v>
      </c>
      <c r="U31" s="514">
        <v>19310.100000000002</v>
      </c>
      <c r="V31" s="514">
        <v>12774.400000000001</v>
      </c>
      <c r="W31" s="514">
        <v>204526.47799999997</v>
      </c>
      <c r="X31" s="514">
        <v>9683.9389999999985</v>
      </c>
      <c r="Y31" s="514">
        <v>4758.5079999999998</v>
      </c>
      <c r="Z31" s="514">
        <v>3849.3669999999997</v>
      </c>
      <c r="AA31" s="14" t="s">
        <v>416</v>
      </c>
      <c r="AB31" s="347" t="s">
        <v>170</v>
      </c>
      <c r="AC31" s="514">
        <v>21734.489999999998</v>
      </c>
      <c r="AD31" s="514">
        <v>2928.91</v>
      </c>
      <c r="AE31" s="514">
        <v>293.11400000000003</v>
      </c>
      <c r="AF31" s="514">
        <v>2319.3960000000006</v>
      </c>
      <c r="AG31" s="514">
        <v>5028.8599999999988</v>
      </c>
      <c r="AH31" s="514">
        <v>0</v>
      </c>
      <c r="AI31" s="514">
        <v>57216.87999999999</v>
      </c>
      <c r="AJ31" s="514">
        <v>965.50399999999979</v>
      </c>
      <c r="AK31" s="514">
        <v>97.52800000000002</v>
      </c>
      <c r="AL31" s="514">
        <v>1105.3489999999999</v>
      </c>
      <c r="AM31" s="14" t="s">
        <v>416</v>
      </c>
      <c r="AN31" s="347" t="s">
        <v>170</v>
      </c>
      <c r="AO31" s="510">
        <v>231.8</v>
      </c>
      <c r="AP31" s="510">
        <v>0</v>
      </c>
      <c r="AQ31" s="510">
        <v>496523.65000000008</v>
      </c>
      <c r="AR31" s="510">
        <v>12468.9</v>
      </c>
      <c r="AS31" s="510">
        <v>6338.1</v>
      </c>
      <c r="AT31" s="510">
        <v>6463.0999999999995</v>
      </c>
      <c r="AU31" s="510">
        <v>9723.8499999999985</v>
      </c>
      <c r="AV31" s="510">
        <v>224.989</v>
      </c>
      <c r="AW31" s="510">
        <v>29.419999999999998</v>
      </c>
      <c r="AX31" s="518">
        <v>973.80000000000007</v>
      </c>
      <c r="AY31" s="514">
        <v>4177.9000000000005</v>
      </c>
      <c r="AZ31" s="14" t="s">
        <v>416</v>
      </c>
      <c r="BA31" s="347" t="s">
        <v>170</v>
      </c>
      <c r="BB31" s="514">
        <v>173.5</v>
      </c>
      <c r="BC31" s="514">
        <v>6656.9499999999989</v>
      </c>
      <c r="BD31" s="514">
        <v>10305.809000000001</v>
      </c>
      <c r="BE31" s="514">
        <v>4795512.8289999999</v>
      </c>
      <c r="BF31" s="514">
        <v>225044.48799999998</v>
      </c>
      <c r="BG31" s="514">
        <v>175142.7</v>
      </c>
      <c r="BH31" s="514">
        <v>1270.2999999999997</v>
      </c>
      <c r="BI31" s="514">
        <v>22289.199999999997</v>
      </c>
      <c r="BJ31" s="514">
        <v>0</v>
      </c>
      <c r="BK31" s="514">
        <v>0</v>
      </c>
      <c r="BL31" s="514">
        <v>75113.53</v>
      </c>
      <c r="BN31" s="233"/>
    </row>
    <row r="32" spans="1:66" ht="11.1" customHeight="1">
      <c r="A32" s="14"/>
      <c r="B32" s="347" t="s">
        <v>171</v>
      </c>
      <c r="C32" s="514">
        <v>61858.5</v>
      </c>
      <c r="D32" s="514">
        <v>123382.01</v>
      </c>
      <c r="E32" s="514">
        <v>25107.699999999997</v>
      </c>
      <c r="F32" s="514">
        <v>328797.09999999998</v>
      </c>
      <c r="G32" s="514">
        <v>57852.7</v>
      </c>
      <c r="H32" s="514">
        <v>1489.08</v>
      </c>
      <c r="I32" s="514">
        <v>137587.85</v>
      </c>
      <c r="J32" s="514">
        <v>16084</v>
      </c>
      <c r="K32" s="514">
        <v>6719.6500000000005</v>
      </c>
      <c r="L32" s="514">
        <v>4819</v>
      </c>
      <c r="M32" s="514">
        <v>15578.810000000001</v>
      </c>
      <c r="N32" s="14"/>
      <c r="O32" s="347" t="s">
        <v>171</v>
      </c>
      <c r="P32" s="514">
        <v>6378.2</v>
      </c>
      <c r="Q32" s="514">
        <v>20718.3</v>
      </c>
      <c r="R32" s="514">
        <v>5124.66</v>
      </c>
      <c r="S32" s="514">
        <v>8046.65</v>
      </c>
      <c r="T32" s="514">
        <v>1779.9999999999998</v>
      </c>
      <c r="U32" s="514">
        <v>26661.05</v>
      </c>
      <c r="V32" s="514">
        <v>13819.550000000001</v>
      </c>
      <c r="W32" s="514">
        <v>202183.70699999999</v>
      </c>
      <c r="X32" s="514">
        <v>10853.634</v>
      </c>
      <c r="Y32" s="514">
        <v>4866.5190000000011</v>
      </c>
      <c r="Z32" s="514">
        <v>4089.9690000000001</v>
      </c>
      <c r="AA32" s="14"/>
      <c r="AB32" s="347" t="s">
        <v>171</v>
      </c>
      <c r="AC32" s="514">
        <v>22902.65</v>
      </c>
      <c r="AD32" s="514">
        <v>2917.0689999999995</v>
      </c>
      <c r="AE32" s="514">
        <v>282.01900000000006</v>
      </c>
      <c r="AF32" s="514">
        <v>2417.6469999999999</v>
      </c>
      <c r="AG32" s="514">
        <v>5065.04</v>
      </c>
      <c r="AH32" s="514">
        <v>0</v>
      </c>
      <c r="AI32" s="514">
        <v>58881.17</v>
      </c>
      <c r="AJ32" s="514">
        <v>965.62599999999986</v>
      </c>
      <c r="AK32" s="514">
        <v>93.14800000000001</v>
      </c>
      <c r="AL32" s="514">
        <v>1082.3499999999999</v>
      </c>
      <c r="AM32" s="14"/>
      <c r="AN32" s="347" t="s">
        <v>171</v>
      </c>
      <c r="AO32" s="510">
        <v>387.7</v>
      </c>
      <c r="AP32" s="510">
        <v>0</v>
      </c>
      <c r="AQ32" s="510">
        <v>540770.97900000005</v>
      </c>
      <c r="AR32" s="510">
        <v>17450.899999999998</v>
      </c>
      <c r="AS32" s="510">
        <v>6182.0000000000009</v>
      </c>
      <c r="AT32" s="510">
        <v>6920.5</v>
      </c>
      <c r="AU32" s="510">
        <v>10706.399999999998</v>
      </c>
      <c r="AV32" s="510">
        <v>226.35700000000003</v>
      </c>
      <c r="AW32" s="510">
        <v>30.1</v>
      </c>
      <c r="AX32" s="518">
        <v>922.9</v>
      </c>
      <c r="AY32" s="514">
        <v>3475.66</v>
      </c>
      <c r="AZ32" s="14"/>
      <c r="BA32" s="347" t="s">
        <v>171</v>
      </c>
      <c r="BB32" s="514">
        <v>96</v>
      </c>
      <c r="BC32" s="514">
        <v>7098.63</v>
      </c>
      <c r="BD32" s="514">
        <v>10194.050000000001</v>
      </c>
      <c r="BE32" s="514">
        <v>5514277.9140000008</v>
      </c>
      <c r="BF32" s="514">
        <v>230999.78500000003</v>
      </c>
      <c r="BG32" s="514">
        <v>186965.00000000003</v>
      </c>
      <c r="BH32" s="514">
        <v>978</v>
      </c>
      <c r="BI32" s="514">
        <v>20743.499999999996</v>
      </c>
      <c r="BJ32" s="514">
        <v>205</v>
      </c>
      <c r="BK32" s="514">
        <v>0</v>
      </c>
      <c r="BL32" s="514">
        <v>115635.08</v>
      </c>
      <c r="BN32" s="233"/>
    </row>
    <row r="33" spans="1:66" ht="11.1" customHeight="1">
      <c r="A33" s="14" t="s">
        <v>417</v>
      </c>
      <c r="B33" s="347" t="s">
        <v>170</v>
      </c>
      <c r="C33" s="514">
        <v>1132</v>
      </c>
      <c r="D33" s="514">
        <v>98649</v>
      </c>
      <c r="E33" s="514">
        <v>8599</v>
      </c>
      <c r="F33" s="514">
        <v>481921</v>
      </c>
      <c r="G33" s="514">
        <v>64</v>
      </c>
      <c r="H33" s="514">
        <v>178</v>
      </c>
      <c r="I33" s="514">
        <v>4931</v>
      </c>
      <c r="J33" s="514">
        <v>0</v>
      </c>
      <c r="K33" s="514">
        <v>297</v>
      </c>
      <c r="L33" s="514">
        <v>7353</v>
      </c>
      <c r="M33" s="514">
        <v>30965</v>
      </c>
      <c r="N33" s="14" t="s">
        <v>417</v>
      </c>
      <c r="O33" s="347" t="s">
        <v>170</v>
      </c>
      <c r="P33" s="514">
        <v>2690</v>
      </c>
      <c r="Q33" s="514">
        <v>814</v>
      </c>
      <c r="R33" s="514">
        <v>2155</v>
      </c>
      <c r="S33" s="514">
        <v>1212</v>
      </c>
      <c r="T33" s="514">
        <v>0</v>
      </c>
      <c r="U33" s="514">
        <v>24495</v>
      </c>
      <c r="V33" s="514">
        <v>25656</v>
      </c>
      <c r="W33" s="514">
        <v>15559</v>
      </c>
      <c r="X33" s="514">
        <v>17752</v>
      </c>
      <c r="Y33" s="514">
        <v>62079</v>
      </c>
      <c r="Z33" s="514">
        <v>294</v>
      </c>
      <c r="AA33" s="14" t="s">
        <v>417</v>
      </c>
      <c r="AB33" s="347" t="s">
        <v>170</v>
      </c>
      <c r="AC33" s="514">
        <v>0</v>
      </c>
      <c r="AD33" s="514">
        <v>213</v>
      </c>
      <c r="AE33" s="514">
        <v>42558</v>
      </c>
      <c r="AF33" s="514">
        <v>2528</v>
      </c>
      <c r="AG33" s="514">
        <v>0</v>
      </c>
      <c r="AH33" s="514">
        <v>0</v>
      </c>
      <c r="AI33" s="514">
        <v>23501</v>
      </c>
      <c r="AJ33" s="514">
        <v>0</v>
      </c>
      <c r="AK33" s="514">
        <v>0</v>
      </c>
      <c r="AL33" s="514">
        <v>0</v>
      </c>
      <c r="AM33" s="14" t="s">
        <v>417</v>
      </c>
      <c r="AN33" s="347" t="s">
        <v>170</v>
      </c>
      <c r="AO33" s="510">
        <v>0</v>
      </c>
      <c r="AP33" s="510">
        <v>0</v>
      </c>
      <c r="AQ33" s="510">
        <v>3768</v>
      </c>
      <c r="AR33" s="510">
        <v>9266</v>
      </c>
      <c r="AS33" s="510">
        <v>34802</v>
      </c>
      <c r="AT33" s="510">
        <v>75</v>
      </c>
      <c r="AU33" s="510">
        <v>825</v>
      </c>
      <c r="AV33" s="510">
        <v>1748</v>
      </c>
      <c r="AW33" s="510">
        <v>72.800000000000011</v>
      </c>
      <c r="AX33" s="518">
        <v>289</v>
      </c>
      <c r="AY33" s="514">
        <v>594</v>
      </c>
      <c r="AZ33" s="14" t="s">
        <v>417</v>
      </c>
      <c r="BA33" s="347" t="s">
        <v>170</v>
      </c>
      <c r="BB33" s="514">
        <v>4744</v>
      </c>
      <c r="BC33" s="514">
        <v>156</v>
      </c>
      <c r="BD33" s="514">
        <v>511</v>
      </c>
      <c r="BE33" s="514">
        <v>2648009.3330000001</v>
      </c>
      <c r="BF33" s="514">
        <v>71036</v>
      </c>
      <c r="BG33" s="514">
        <v>95431</v>
      </c>
      <c r="BH33" s="514">
        <v>0</v>
      </c>
      <c r="BI33" s="514">
        <v>0</v>
      </c>
      <c r="BJ33" s="514">
        <v>2403</v>
      </c>
      <c r="BK33" s="514">
        <v>0</v>
      </c>
      <c r="BL33" s="514">
        <v>6348.5</v>
      </c>
      <c r="BN33" s="233"/>
    </row>
    <row r="34" spans="1:66" ht="11.1" customHeight="1">
      <c r="A34" s="14"/>
      <c r="B34" s="347" t="s">
        <v>171</v>
      </c>
      <c r="C34" s="514">
        <v>817</v>
      </c>
      <c r="D34" s="514">
        <v>82029.5</v>
      </c>
      <c r="E34" s="514">
        <v>5585.2</v>
      </c>
      <c r="F34" s="514">
        <v>324610</v>
      </c>
      <c r="G34" s="514">
        <v>33.299999999999997</v>
      </c>
      <c r="H34" s="514">
        <v>123</v>
      </c>
      <c r="I34" s="514">
        <v>2097</v>
      </c>
      <c r="J34" s="514">
        <v>0</v>
      </c>
      <c r="K34" s="514">
        <v>85</v>
      </c>
      <c r="L34" s="514">
        <v>16251</v>
      </c>
      <c r="M34" s="514">
        <v>21398</v>
      </c>
      <c r="N34" s="14"/>
      <c r="O34" s="347" t="s">
        <v>171</v>
      </c>
      <c r="P34" s="514">
        <v>2008</v>
      </c>
      <c r="Q34" s="514">
        <v>557</v>
      </c>
      <c r="R34" s="514">
        <v>2164</v>
      </c>
      <c r="S34" s="514">
        <v>301</v>
      </c>
      <c r="T34" s="514">
        <v>0</v>
      </c>
      <c r="U34" s="514">
        <v>21582</v>
      </c>
      <c r="V34" s="514">
        <v>19493.800000000003</v>
      </c>
      <c r="W34" s="514">
        <v>29825</v>
      </c>
      <c r="X34" s="514">
        <v>41574</v>
      </c>
      <c r="Y34" s="514">
        <v>52504</v>
      </c>
      <c r="Z34" s="514">
        <v>539</v>
      </c>
      <c r="AA34" s="14"/>
      <c r="AB34" s="347" t="s">
        <v>171</v>
      </c>
      <c r="AC34" s="514">
        <v>0</v>
      </c>
      <c r="AD34" s="514">
        <v>258</v>
      </c>
      <c r="AE34" s="514">
        <v>37587</v>
      </c>
      <c r="AF34" s="514">
        <v>2863</v>
      </c>
      <c r="AG34" s="514">
        <v>0</v>
      </c>
      <c r="AH34" s="514">
        <v>0</v>
      </c>
      <c r="AI34" s="514">
        <v>25409</v>
      </c>
      <c r="AJ34" s="514">
        <v>0</v>
      </c>
      <c r="AK34" s="514">
        <v>0</v>
      </c>
      <c r="AL34" s="514">
        <v>0</v>
      </c>
      <c r="AM34" s="14"/>
      <c r="AN34" s="347" t="s">
        <v>171</v>
      </c>
      <c r="AO34" s="510">
        <v>0</v>
      </c>
      <c r="AP34" s="510">
        <v>0</v>
      </c>
      <c r="AQ34" s="510">
        <v>960</v>
      </c>
      <c r="AR34" s="510">
        <v>7891</v>
      </c>
      <c r="AS34" s="510">
        <v>30617.5</v>
      </c>
      <c r="AT34" s="510">
        <v>50.6</v>
      </c>
      <c r="AU34" s="510">
        <v>269</v>
      </c>
      <c r="AV34" s="510">
        <v>2009</v>
      </c>
      <c r="AW34" s="510">
        <v>158.69999999999999</v>
      </c>
      <c r="AX34" s="518">
        <v>1219</v>
      </c>
      <c r="AY34" s="514">
        <v>708.8</v>
      </c>
      <c r="AZ34" s="14"/>
      <c r="BA34" s="347" t="s">
        <v>171</v>
      </c>
      <c r="BB34" s="514">
        <v>4199.3999999999996</v>
      </c>
      <c r="BC34" s="514">
        <v>127</v>
      </c>
      <c r="BD34" s="514">
        <v>307.2</v>
      </c>
      <c r="BE34" s="514">
        <v>2592926.7960000001</v>
      </c>
      <c r="BF34" s="514">
        <v>49909</v>
      </c>
      <c r="BG34" s="514">
        <v>55912.2</v>
      </c>
      <c r="BH34" s="514">
        <v>0</v>
      </c>
      <c r="BI34" s="514">
        <v>0</v>
      </c>
      <c r="BJ34" s="514">
        <v>7115.8</v>
      </c>
      <c r="BK34" s="514">
        <v>0</v>
      </c>
      <c r="BL34" s="514">
        <v>25178</v>
      </c>
      <c r="BN34" s="233"/>
    </row>
    <row r="35" spans="1:66" ht="11.1" customHeight="1">
      <c r="A35" s="14" t="s">
        <v>418</v>
      </c>
      <c r="B35" s="347" t="s">
        <v>170</v>
      </c>
      <c r="C35" s="514">
        <v>689.8599999999999</v>
      </c>
      <c r="D35" s="514">
        <v>130506.04999999997</v>
      </c>
      <c r="E35" s="514">
        <v>1242.2699999999998</v>
      </c>
      <c r="F35" s="514">
        <v>0</v>
      </c>
      <c r="G35" s="514">
        <v>667.3</v>
      </c>
      <c r="H35" s="514">
        <v>6.9</v>
      </c>
      <c r="I35" s="514">
        <v>19694.75</v>
      </c>
      <c r="J35" s="514">
        <v>6823.7</v>
      </c>
      <c r="K35" s="514">
        <v>8153.67</v>
      </c>
      <c r="L35" s="514">
        <v>0</v>
      </c>
      <c r="M35" s="514">
        <v>3334.1999999999994</v>
      </c>
      <c r="N35" s="14" t="s">
        <v>418</v>
      </c>
      <c r="O35" s="347" t="s">
        <v>170</v>
      </c>
      <c r="P35" s="514">
        <v>31396.139000000003</v>
      </c>
      <c r="Q35" s="514">
        <v>16196.3</v>
      </c>
      <c r="R35" s="514">
        <v>2938.8</v>
      </c>
      <c r="S35" s="514">
        <v>39543.5</v>
      </c>
      <c r="T35" s="514">
        <v>10359.200000000001</v>
      </c>
      <c r="U35" s="514">
        <v>16855.419999999998</v>
      </c>
      <c r="V35" s="514">
        <v>42793.460000000006</v>
      </c>
      <c r="W35" s="514">
        <v>83606.94</v>
      </c>
      <c r="X35" s="514">
        <v>3767.3</v>
      </c>
      <c r="Y35" s="514">
        <v>7835.26</v>
      </c>
      <c r="Z35" s="514">
        <v>419</v>
      </c>
      <c r="AA35" s="14" t="s">
        <v>418</v>
      </c>
      <c r="AB35" s="347" t="s">
        <v>170</v>
      </c>
      <c r="AC35" s="514">
        <v>0</v>
      </c>
      <c r="AD35" s="514">
        <v>2952</v>
      </c>
      <c r="AE35" s="514">
        <v>12</v>
      </c>
      <c r="AF35" s="514">
        <v>32838.699999999997</v>
      </c>
      <c r="AG35" s="514">
        <v>220307.86000000002</v>
      </c>
      <c r="AH35" s="514">
        <v>9858</v>
      </c>
      <c r="AI35" s="514">
        <v>74510.600000000006</v>
      </c>
      <c r="AJ35" s="514">
        <v>127182.9</v>
      </c>
      <c r="AK35" s="514">
        <v>29524.3</v>
      </c>
      <c r="AL35" s="514">
        <v>9640.5</v>
      </c>
      <c r="AM35" s="14" t="s">
        <v>418</v>
      </c>
      <c r="AN35" s="347" t="s">
        <v>170</v>
      </c>
      <c r="AO35" s="510">
        <v>320</v>
      </c>
      <c r="AP35" s="510">
        <v>0</v>
      </c>
      <c r="AQ35" s="510">
        <v>122758.95</v>
      </c>
      <c r="AR35" s="510">
        <v>33030.199999999997</v>
      </c>
      <c r="AS35" s="510">
        <v>130771.96</v>
      </c>
      <c r="AT35" s="510">
        <v>289.2</v>
      </c>
      <c r="AU35" s="510">
        <v>649.4</v>
      </c>
      <c r="AV35" s="510">
        <v>0</v>
      </c>
      <c r="AW35" s="510">
        <v>0</v>
      </c>
      <c r="AX35" s="518">
        <v>10868.5</v>
      </c>
      <c r="AY35" s="514">
        <v>3988.8</v>
      </c>
      <c r="AZ35" s="14" t="s">
        <v>418</v>
      </c>
      <c r="BA35" s="347" t="s">
        <v>170</v>
      </c>
      <c r="BB35" s="514">
        <v>0</v>
      </c>
      <c r="BC35" s="514">
        <v>159.1</v>
      </c>
      <c r="BD35" s="514">
        <v>13.9</v>
      </c>
      <c r="BE35" s="514">
        <v>1528325.2599999998</v>
      </c>
      <c r="BF35" s="514">
        <v>237281.93900000001</v>
      </c>
      <c r="BG35" s="514">
        <v>470649.43000000005</v>
      </c>
      <c r="BH35" s="514">
        <v>0</v>
      </c>
      <c r="BI35" s="514">
        <v>0</v>
      </c>
      <c r="BJ35" s="514">
        <v>2275.9450000000002</v>
      </c>
      <c r="BK35" s="514">
        <v>0</v>
      </c>
      <c r="BL35" s="514">
        <v>1101</v>
      </c>
      <c r="BN35" s="233"/>
    </row>
    <row r="36" spans="1:66" ht="11.1" customHeight="1">
      <c r="A36" s="14"/>
      <c r="B36" s="347" t="s">
        <v>171</v>
      </c>
      <c r="C36" s="514">
        <v>263.82000000000005</v>
      </c>
      <c r="D36" s="514">
        <v>141142.88</v>
      </c>
      <c r="E36" s="514">
        <v>868.13000000000011</v>
      </c>
      <c r="F36" s="514">
        <v>0</v>
      </c>
      <c r="G36" s="514">
        <v>243</v>
      </c>
      <c r="H36" s="514">
        <v>10.1</v>
      </c>
      <c r="I36" s="514">
        <v>19971.919999999998</v>
      </c>
      <c r="J36" s="514">
        <v>4847.5999999999995</v>
      </c>
      <c r="K36" s="514">
        <v>6763.91</v>
      </c>
      <c r="L36" s="514">
        <v>0</v>
      </c>
      <c r="M36" s="514">
        <v>2219.0200000000004</v>
      </c>
      <c r="N36" s="14"/>
      <c r="O36" s="347" t="s">
        <v>171</v>
      </c>
      <c r="P36" s="514">
        <v>19381.23</v>
      </c>
      <c r="Q36" s="514">
        <v>11415</v>
      </c>
      <c r="R36" s="514">
        <v>2990.1499999999996</v>
      </c>
      <c r="S36" s="514">
        <v>44656.1</v>
      </c>
      <c r="T36" s="514">
        <v>10985.39</v>
      </c>
      <c r="U36" s="514">
        <v>12881.338</v>
      </c>
      <c r="V36" s="514">
        <v>51705.62</v>
      </c>
      <c r="W36" s="514">
        <v>80189.60000000002</v>
      </c>
      <c r="X36" s="514">
        <v>2816.8900000000003</v>
      </c>
      <c r="Y36" s="514">
        <v>7850.1</v>
      </c>
      <c r="Z36" s="514">
        <v>431.88</v>
      </c>
      <c r="AA36" s="14"/>
      <c r="AB36" s="347" t="s">
        <v>171</v>
      </c>
      <c r="AC36" s="514">
        <v>0</v>
      </c>
      <c r="AD36" s="514">
        <v>3033</v>
      </c>
      <c r="AE36" s="514">
        <v>5.0999999999999996</v>
      </c>
      <c r="AF36" s="514">
        <v>34185.5</v>
      </c>
      <c r="AG36" s="514">
        <v>247388.09999999998</v>
      </c>
      <c r="AH36" s="514">
        <v>9512</v>
      </c>
      <c r="AI36" s="514">
        <v>53690.649999999994</v>
      </c>
      <c r="AJ36" s="514">
        <v>128401.06000000001</v>
      </c>
      <c r="AK36" s="514">
        <v>29391.100000000002</v>
      </c>
      <c r="AL36" s="514">
        <v>11341.3</v>
      </c>
      <c r="AM36" s="14"/>
      <c r="AN36" s="347" t="s">
        <v>171</v>
      </c>
      <c r="AO36" s="510">
        <v>852.9</v>
      </c>
      <c r="AP36" s="510">
        <v>0</v>
      </c>
      <c r="AQ36" s="510">
        <v>142798.88699999999</v>
      </c>
      <c r="AR36" s="510">
        <v>37678.61</v>
      </c>
      <c r="AS36" s="510">
        <v>151857.21</v>
      </c>
      <c r="AT36" s="510">
        <v>202.27500000000001</v>
      </c>
      <c r="AU36" s="510">
        <v>539.15000000000009</v>
      </c>
      <c r="AV36" s="510">
        <v>0</v>
      </c>
      <c r="AW36" s="510">
        <v>0</v>
      </c>
      <c r="AX36" s="518">
        <v>9576.6</v>
      </c>
      <c r="AY36" s="514">
        <v>2856.8999999999996</v>
      </c>
      <c r="AZ36" s="14"/>
      <c r="BA36" s="347" t="s">
        <v>171</v>
      </c>
      <c r="BB36" s="514">
        <v>85.5</v>
      </c>
      <c r="BC36" s="514">
        <v>196.9</v>
      </c>
      <c r="BD36" s="514">
        <v>2.7</v>
      </c>
      <c r="BE36" s="514">
        <v>1525063.7899999998</v>
      </c>
      <c r="BF36" s="514">
        <v>232742.88600000006</v>
      </c>
      <c r="BG36" s="514">
        <v>511543.72</v>
      </c>
      <c r="BH36" s="514">
        <v>0</v>
      </c>
      <c r="BI36" s="514">
        <v>170</v>
      </c>
      <c r="BJ36" s="514">
        <v>2763.57</v>
      </c>
      <c r="BK36" s="514">
        <v>0</v>
      </c>
      <c r="BL36" s="514">
        <v>1644.5</v>
      </c>
      <c r="BN36" s="233"/>
    </row>
    <row r="37" spans="1:66" ht="11.1" customHeight="1">
      <c r="A37" s="14" t="s">
        <v>409</v>
      </c>
      <c r="B37" s="347" t="s">
        <v>170</v>
      </c>
      <c r="C37" s="514">
        <v>15.14</v>
      </c>
      <c r="D37" s="514">
        <v>212.92</v>
      </c>
      <c r="E37" s="514">
        <v>12.600000000000001</v>
      </c>
      <c r="F37" s="514">
        <v>0</v>
      </c>
      <c r="G37" s="514">
        <v>0</v>
      </c>
      <c r="H37" s="514">
        <v>12.45</v>
      </c>
      <c r="I37" s="514">
        <v>0</v>
      </c>
      <c r="J37" s="514">
        <v>0</v>
      </c>
      <c r="K37" s="514">
        <v>8019.65</v>
      </c>
      <c r="L37" s="514">
        <v>0</v>
      </c>
      <c r="M37" s="514">
        <v>2867.1299999999997</v>
      </c>
      <c r="N37" s="14" t="s">
        <v>409</v>
      </c>
      <c r="O37" s="347" t="s">
        <v>170</v>
      </c>
      <c r="P37" s="514">
        <v>1791.0000000000002</v>
      </c>
      <c r="Q37" s="514">
        <v>761.25</v>
      </c>
      <c r="R37" s="514">
        <v>151.20000000000002</v>
      </c>
      <c r="S37" s="514">
        <v>373.40000000000003</v>
      </c>
      <c r="T37" s="514">
        <v>86.149999999999991</v>
      </c>
      <c r="U37" s="514">
        <v>5258.6</v>
      </c>
      <c r="V37" s="514">
        <v>675.67</v>
      </c>
      <c r="W37" s="514">
        <v>1503.8000000000002</v>
      </c>
      <c r="X37" s="514">
        <v>317</v>
      </c>
      <c r="Y37" s="514">
        <v>27</v>
      </c>
      <c r="Z37" s="514">
        <v>0</v>
      </c>
      <c r="AA37" s="14" t="s">
        <v>409</v>
      </c>
      <c r="AB37" s="347" t="s">
        <v>170</v>
      </c>
      <c r="AC37" s="514">
        <v>0</v>
      </c>
      <c r="AD37" s="514">
        <v>0</v>
      </c>
      <c r="AE37" s="514">
        <v>0</v>
      </c>
      <c r="AF37" s="514">
        <v>6</v>
      </c>
      <c r="AG37" s="514">
        <v>7319.5999999999995</v>
      </c>
      <c r="AH37" s="514">
        <v>0</v>
      </c>
      <c r="AI37" s="514">
        <v>479.6</v>
      </c>
      <c r="AJ37" s="514">
        <v>952.82</v>
      </c>
      <c r="AK37" s="514">
        <v>53.5</v>
      </c>
      <c r="AL37" s="514">
        <v>682</v>
      </c>
      <c r="AM37" s="14" t="s">
        <v>409</v>
      </c>
      <c r="AN37" s="347" t="s">
        <v>170</v>
      </c>
      <c r="AO37" s="510">
        <v>371</v>
      </c>
      <c r="AP37" s="510">
        <v>0</v>
      </c>
      <c r="AQ37" s="510">
        <v>1051.21</v>
      </c>
      <c r="AR37" s="510">
        <v>285.7</v>
      </c>
      <c r="AS37" s="510">
        <v>6145.04</v>
      </c>
      <c r="AT37" s="510">
        <v>0</v>
      </c>
      <c r="AU37" s="510">
        <v>0</v>
      </c>
      <c r="AV37" s="510">
        <v>0</v>
      </c>
      <c r="AW37" s="510">
        <v>0</v>
      </c>
      <c r="AX37" s="518">
        <v>0</v>
      </c>
      <c r="AY37" s="514">
        <v>154.35000000000002</v>
      </c>
      <c r="AZ37" s="14" t="s">
        <v>409</v>
      </c>
      <c r="BA37" s="347" t="s">
        <v>170</v>
      </c>
      <c r="BB37" s="514">
        <v>0</v>
      </c>
      <c r="BC37" s="514">
        <v>0</v>
      </c>
      <c r="BD37" s="514">
        <v>0</v>
      </c>
      <c r="BE37" s="514">
        <v>0</v>
      </c>
      <c r="BF37" s="514">
        <v>730.3</v>
      </c>
      <c r="BG37" s="514">
        <v>49870.309000000001</v>
      </c>
      <c r="BH37" s="514">
        <v>0</v>
      </c>
      <c r="BI37" s="514">
        <v>0</v>
      </c>
      <c r="BJ37" s="514">
        <v>8.51</v>
      </c>
      <c r="BK37" s="514">
        <v>0</v>
      </c>
      <c r="BL37" s="514">
        <v>0</v>
      </c>
      <c r="BN37" s="233"/>
    </row>
    <row r="38" spans="1:66" ht="11.1" customHeight="1">
      <c r="A38" s="14"/>
      <c r="B38" s="347" t="s">
        <v>171</v>
      </c>
      <c r="C38" s="514">
        <v>15.4</v>
      </c>
      <c r="D38" s="514">
        <v>144.24</v>
      </c>
      <c r="E38" s="514">
        <v>6.39</v>
      </c>
      <c r="F38" s="514">
        <v>0</v>
      </c>
      <c r="G38" s="514">
        <v>15.05</v>
      </c>
      <c r="H38" s="514">
        <v>14.57</v>
      </c>
      <c r="I38" s="514">
        <v>0</v>
      </c>
      <c r="J38" s="514">
        <v>0</v>
      </c>
      <c r="K38" s="514">
        <v>7581.0000000000009</v>
      </c>
      <c r="L38" s="514">
        <v>0</v>
      </c>
      <c r="M38" s="514">
        <v>2501.75</v>
      </c>
      <c r="N38" s="14"/>
      <c r="O38" s="347" t="s">
        <v>171</v>
      </c>
      <c r="P38" s="514">
        <v>1216.97</v>
      </c>
      <c r="Q38" s="514">
        <v>664.51</v>
      </c>
      <c r="R38" s="514">
        <v>139.26</v>
      </c>
      <c r="S38" s="514">
        <v>167.2</v>
      </c>
      <c r="T38" s="514">
        <v>106.4</v>
      </c>
      <c r="U38" s="514">
        <v>5646.2</v>
      </c>
      <c r="V38" s="514">
        <v>904.94</v>
      </c>
      <c r="W38" s="514">
        <v>1498.8799999999999</v>
      </c>
      <c r="X38" s="514">
        <v>277.5</v>
      </c>
      <c r="Y38" s="514">
        <v>25</v>
      </c>
      <c r="Z38" s="514">
        <v>0</v>
      </c>
      <c r="AA38" s="14"/>
      <c r="AB38" s="347" t="s">
        <v>171</v>
      </c>
      <c r="AC38" s="514">
        <v>0</v>
      </c>
      <c r="AD38" s="514">
        <v>0</v>
      </c>
      <c r="AE38" s="514">
        <v>0</v>
      </c>
      <c r="AF38" s="514">
        <v>5.8</v>
      </c>
      <c r="AG38" s="514">
        <v>7207.8400000000011</v>
      </c>
      <c r="AH38" s="514">
        <v>0</v>
      </c>
      <c r="AI38" s="514">
        <v>449.6</v>
      </c>
      <c r="AJ38" s="514">
        <v>930.68899999999996</v>
      </c>
      <c r="AK38" s="514">
        <v>114.2</v>
      </c>
      <c r="AL38" s="514">
        <v>709</v>
      </c>
      <c r="AM38" s="14"/>
      <c r="AN38" s="347" t="s">
        <v>171</v>
      </c>
      <c r="AO38" s="510">
        <v>371.46000000000004</v>
      </c>
      <c r="AP38" s="510">
        <v>0</v>
      </c>
      <c r="AQ38" s="510">
        <v>1140.56</v>
      </c>
      <c r="AR38" s="510">
        <v>374.7</v>
      </c>
      <c r="AS38" s="510">
        <v>6045.6100000000015</v>
      </c>
      <c r="AT38" s="510">
        <v>0</v>
      </c>
      <c r="AU38" s="510">
        <v>0</v>
      </c>
      <c r="AV38" s="510">
        <v>0</v>
      </c>
      <c r="AW38" s="510">
        <v>0</v>
      </c>
      <c r="AX38" s="518">
        <v>0</v>
      </c>
      <c r="AY38" s="514">
        <v>146.47500000000002</v>
      </c>
      <c r="AZ38" s="14"/>
      <c r="BA38" s="347" t="s">
        <v>171</v>
      </c>
      <c r="BB38" s="514">
        <v>0</v>
      </c>
      <c r="BC38" s="514">
        <v>0</v>
      </c>
      <c r="BD38" s="514">
        <v>0</v>
      </c>
      <c r="BE38" s="514">
        <v>0</v>
      </c>
      <c r="BF38" s="514">
        <v>751.5</v>
      </c>
      <c r="BG38" s="514">
        <v>49240.978000000003</v>
      </c>
      <c r="BH38" s="514">
        <v>0</v>
      </c>
      <c r="BI38" s="514">
        <v>0</v>
      </c>
      <c r="BJ38" s="514">
        <v>8.7799999999999994</v>
      </c>
      <c r="BK38" s="514">
        <v>0</v>
      </c>
      <c r="BL38" s="514">
        <v>0</v>
      </c>
      <c r="BN38" s="233"/>
    </row>
    <row r="39" spans="1:66" ht="11.1" customHeight="1">
      <c r="A39" s="14" t="s">
        <v>419</v>
      </c>
      <c r="B39" s="347" t="s">
        <v>170</v>
      </c>
      <c r="C39" s="514">
        <v>0</v>
      </c>
      <c r="D39" s="514">
        <v>118336</v>
      </c>
      <c r="E39" s="514">
        <v>0</v>
      </c>
      <c r="F39" s="514">
        <v>107807</v>
      </c>
      <c r="G39" s="514">
        <v>0</v>
      </c>
      <c r="H39" s="514">
        <v>0</v>
      </c>
      <c r="I39" s="514">
        <v>0</v>
      </c>
      <c r="J39" s="514">
        <v>0</v>
      </c>
      <c r="K39" s="514">
        <v>826</v>
      </c>
      <c r="L39" s="514">
        <v>0</v>
      </c>
      <c r="M39" s="514">
        <v>0</v>
      </c>
      <c r="N39" s="14" t="s">
        <v>419</v>
      </c>
      <c r="O39" s="347" t="s">
        <v>170</v>
      </c>
      <c r="P39" s="514">
        <v>1634</v>
      </c>
      <c r="Q39" s="514">
        <v>2800</v>
      </c>
      <c r="R39" s="514">
        <v>0</v>
      </c>
      <c r="S39" s="514">
        <v>0</v>
      </c>
      <c r="T39" s="514">
        <v>0</v>
      </c>
      <c r="U39" s="514">
        <v>0</v>
      </c>
      <c r="V39" s="514">
        <v>22678</v>
      </c>
      <c r="W39" s="514">
        <v>3530</v>
      </c>
      <c r="X39" s="514">
        <v>277459</v>
      </c>
      <c r="Y39" s="514">
        <v>1265</v>
      </c>
      <c r="Z39" s="514">
        <v>15800</v>
      </c>
      <c r="AA39" s="14" t="s">
        <v>419</v>
      </c>
      <c r="AB39" s="347" t="s">
        <v>170</v>
      </c>
      <c r="AC39" s="514">
        <v>17403</v>
      </c>
      <c r="AD39" s="514">
        <v>186</v>
      </c>
      <c r="AE39" s="514">
        <v>10986</v>
      </c>
      <c r="AF39" s="514">
        <v>3555</v>
      </c>
      <c r="AG39" s="514">
        <v>2756</v>
      </c>
      <c r="AH39" s="514">
        <v>0</v>
      </c>
      <c r="AI39" s="514">
        <v>0</v>
      </c>
      <c r="AJ39" s="514">
        <v>0</v>
      </c>
      <c r="AK39" s="514">
        <v>0</v>
      </c>
      <c r="AL39" s="514">
        <v>0</v>
      </c>
      <c r="AM39" s="14" t="s">
        <v>419</v>
      </c>
      <c r="AN39" s="347" t="s">
        <v>170</v>
      </c>
      <c r="AO39" s="510">
        <v>0</v>
      </c>
      <c r="AP39" s="510">
        <v>113733</v>
      </c>
      <c r="AQ39" s="510">
        <v>0</v>
      </c>
      <c r="AR39" s="510">
        <v>430227</v>
      </c>
      <c r="AS39" s="510">
        <v>0</v>
      </c>
      <c r="AT39" s="510">
        <v>0</v>
      </c>
      <c r="AU39" s="510">
        <v>0</v>
      </c>
      <c r="AV39" s="510">
        <v>178.32999999999998</v>
      </c>
      <c r="AW39" s="510">
        <v>625.79999999999995</v>
      </c>
      <c r="AX39" s="518">
        <v>0</v>
      </c>
      <c r="AY39" s="514">
        <v>4822</v>
      </c>
      <c r="AZ39" s="14" t="s">
        <v>419</v>
      </c>
      <c r="BA39" s="347" t="s">
        <v>170</v>
      </c>
      <c r="BB39" s="514">
        <v>0</v>
      </c>
      <c r="BC39" s="514">
        <v>0</v>
      </c>
      <c r="BD39" s="514">
        <v>0</v>
      </c>
      <c r="BE39" s="514">
        <v>0</v>
      </c>
      <c r="BF39" s="514">
        <v>0</v>
      </c>
      <c r="BG39" s="514">
        <v>0</v>
      </c>
      <c r="BH39" s="514">
        <v>0</v>
      </c>
      <c r="BI39" s="514">
        <v>0</v>
      </c>
      <c r="BJ39" s="514">
        <v>0</v>
      </c>
      <c r="BK39" s="514">
        <v>0</v>
      </c>
      <c r="BL39" s="514">
        <v>0</v>
      </c>
      <c r="BN39" s="233"/>
    </row>
    <row r="40" spans="1:66" ht="11.1" customHeight="1">
      <c r="A40" s="14"/>
      <c r="B40" s="347" t="s">
        <v>171</v>
      </c>
      <c r="C40" s="514">
        <v>0</v>
      </c>
      <c r="D40" s="514">
        <v>108510</v>
      </c>
      <c r="E40" s="514">
        <v>0</v>
      </c>
      <c r="F40" s="514">
        <v>103958</v>
      </c>
      <c r="G40" s="514">
        <v>0</v>
      </c>
      <c r="H40" s="514">
        <v>0</v>
      </c>
      <c r="I40" s="514">
        <v>0</v>
      </c>
      <c r="J40" s="514">
        <v>0</v>
      </c>
      <c r="K40" s="514">
        <v>757</v>
      </c>
      <c r="L40" s="514">
        <v>0</v>
      </c>
      <c r="M40" s="514">
        <v>0</v>
      </c>
      <c r="N40" s="14"/>
      <c r="O40" s="347" t="s">
        <v>171</v>
      </c>
      <c r="P40" s="514">
        <v>1447</v>
      </c>
      <c r="Q40" s="514">
        <v>2393</v>
      </c>
      <c r="R40" s="514">
        <v>0</v>
      </c>
      <c r="S40" s="514">
        <v>0</v>
      </c>
      <c r="T40" s="514">
        <v>0</v>
      </c>
      <c r="U40" s="514">
        <v>0</v>
      </c>
      <c r="V40" s="514">
        <v>15306</v>
      </c>
      <c r="W40" s="514">
        <v>3555</v>
      </c>
      <c r="X40" s="514">
        <v>278415</v>
      </c>
      <c r="Y40" s="514">
        <v>1265</v>
      </c>
      <c r="Z40" s="514">
        <v>15756.74</v>
      </c>
      <c r="AA40" s="14"/>
      <c r="AB40" s="347" t="s">
        <v>171</v>
      </c>
      <c r="AC40" s="514">
        <v>19958</v>
      </c>
      <c r="AD40" s="514">
        <v>183</v>
      </c>
      <c r="AE40" s="514">
        <v>11125</v>
      </c>
      <c r="AF40" s="514">
        <v>3530</v>
      </c>
      <c r="AG40" s="514">
        <v>2729</v>
      </c>
      <c r="AH40" s="514">
        <v>0</v>
      </c>
      <c r="AI40" s="514">
        <v>0</v>
      </c>
      <c r="AJ40" s="514">
        <v>0</v>
      </c>
      <c r="AK40" s="514">
        <v>0</v>
      </c>
      <c r="AL40" s="514">
        <v>0</v>
      </c>
      <c r="AM40" s="14"/>
      <c r="AN40" s="347" t="s">
        <v>171</v>
      </c>
      <c r="AO40" s="510">
        <v>0</v>
      </c>
      <c r="AP40" s="510">
        <v>113800</v>
      </c>
      <c r="AQ40" s="510">
        <v>0</v>
      </c>
      <c r="AR40" s="510">
        <v>432416</v>
      </c>
      <c r="AS40" s="510">
        <v>0</v>
      </c>
      <c r="AT40" s="510">
        <v>0</v>
      </c>
      <c r="AU40" s="510">
        <v>0</v>
      </c>
      <c r="AV40" s="510">
        <v>182.5</v>
      </c>
      <c r="AW40" s="510">
        <v>659.40000000000009</v>
      </c>
      <c r="AX40" s="518">
        <v>0</v>
      </c>
      <c r="AY40" s="514">
        <v>4795</v>
      </c>
      <c r="AZ40" s="14"/>
      <c r="BA40" s="347" t="s">
        <v>171</v>
      </c>
      <c r="BB40" s="514">
        <v>0</v>
      </c>
      <c r="BC40" s="514">
        <v>0</v>
      </c>
      <c r="BD40" s="514">
        <v>0</v>
      </c>
      <c r="BE40" s="514">
        <v>0</v>
      </c>
      <c r="BF40" s="514">
        <v>0</v>
      </c>
      <c r="BG40" s="514">
        <v>0</v>
      </c>
      <c r="BH40" s="514">
        <v>0</v>
      </c>
      <c r="BI40" s="514">
        <v>0</v>
      </c>
      <c r="BJ40" s="514">
        <v>0</v>
      </c>
      <c r="BK40" s="514">
        <v>0</v>
      </c>
      <c r="BL40" s="514">
        <v>0</v>
      </c>
      <c r="BN40" s="233"/>
    </row>
    <row r="41" spans="1:66" ht="11.1" customHeight="1">
      <c r="A41" s="14" t="s">
        <v>438</v>
      </c>
      <c r="B41" s="347" t="s">
        <v>170</v>
      </c>
      <c r="C41" s="514">
        <v>0</v>
      </c>
      <c r="D41" s="514">
        <v>19226.100000000002</v>
      </c>
      <c r="E41" s="514">
        <v>0</v>
      </c>
      <c r="F41" s="514">
        <v>6923.5</v>
      </c>
      <c r="G41" s="514">
        <v>0</v>
      </c>
      <c r="H41" s="514">
        <v>0</v>
      </c>
      <c r="I41" s="514">
        <v>0</v>
      </c>
      <c r="J41" s="514">
        <v>0</v>
      </c>
      <c r="K41" s="514">
        <v>0</v>
      </c>
      <c r="L41" s="514">
        <v>0</v>
      </c>
      <c r="M41" s="514">
        <v>0</v>
      </c>
      <c r="N41" s="14" t="s">
        <v>438</v>
      </c>
      <c r="O41" s="347" t="s">
        <v>170</v>
      </c>
      <c r="P41" s="514">
        <v>0</v>
      </c>
      <c r="Q41" s="514">
        <v>75</v>
      </c>
      <c r="R41" s="514">
        <v>0</v>
      </c>
      <c r="S41" s="514">
        <v>0</v>
      </c>
      <c r="T41" s="514">
        <v>0</v>
      </c>
      <c r="U41" s="514">
        <v>0</v>
      </c>
      <c r="V41" s="514">
        <v>72.48</v>
      </c>
      <c r="W41" s="514">
        <v>508.1</v>
      </c>
      <c r="X41" s="514">
        <v>28889</v>
      </c>
      <c r="Y41" s="514">
        <v>262.79999999999995</v>
      </c>
      <c r="Z41" s="514">
        <v>44395.5</v>
      </c>
      <c r="AA41" s="14" t="s">
        <v>438</v>
      </c>
      <c r="AB41" s="347" t="s">
        <v>170</v>
      </c>
      <c r="AC41" s="514">
        <v>5567</v>
      </c>
      <c r="AD41" s="514">
        <v>0</v>
      </c>
      <c r="AE41" s="514">
        <v>521</v>
      </c>
      <c r="AF41" s="514">
        <v>1112.8999999999999</v>
      </c>
      <c r="AG41" s="514">
        <v>470.59999999999991</v>
      </c>
      <c r="AH41" s="514">
        <v>0</v>
      </c>
      <c r="AI41" s="514">
        <v>0</v>
      </c>
      <c r="AJ41" s="514">
        <v>0</v>
      </c>
      <c r="AK41" s="514">
        <v>0</v>
      </c>
      <c r="AL41" s="514">
        <v>0</v>
      </c>
      <c r="AM41" s="14" t="s">
        <v>438</v>
      </c>
      <c r="AN41" s="347" t="s">
        <v>170</v>
      </c>
      <c r="AO41" s="510">
        <v>0</v>
      </c>
      <c r="AP41" s="510">
        <v>0</v>
      </c>
      <c r="AQ41" s="510">
        <v>0</v>
      </c>
      <c r="AR41" s="510">
        <v>14664.5</v>
      </c>
      <c r="AS41" s="510">
        <v>367.65</v>
      </c>
      <c r="AT41" s="510">
        <v>0</v>
      </c>
      <c r="AU41" s="510">
        <v>0</v>
      </c>
      <c r="AV41" s="510">
        <v>13.090000000000002</v>
      </c>
      <c r="AW41" s="510">
        <v>1065.6990000000001</v>
      </c>
      <c r="AX41" s="518">
        <v>0</v>
      </c>
      <c r="AY41" s="514">
        <v>160.19999999999999</v>
      </c>
      <c r="AZ41" s="14" t="s">
        <v>438</v>
      </c>
      <c r="BA41" s="347" t="s">
        <v>170</v>
      </c>
      <c r="BB41" s="514">
        <v>0</v>
      </c>
      <c r="BC41" s="514">
        <v>0</v>
      </c>
      <c r="BD41" s="514">
        <v>0</v>
      </c>
      <c r="BE41" s="514">
        <v>0</v>
      </c>
      <c r="BF41" s="514">
        <v>0</v>
      </c>
      <c r="BG41" s="514">
        <v>0</v>
      </c>
      <c r="BH41" s="514">
        <v>0</v>
      </c>
      <c r="BI41" s="514">
        <v>0</v>
      </c>
      <c r="BJ41" s="514">
        <v>0</v>
      </c>
      <c r="BK41" s="514">
        <v>0</v>
      </c>
      <c r="BL41" s="514">
        <v>0</v>
      </c>
      <c r="BN41" s="233"/>
    </row>
    <row r="42" spans="1:66" ht="11.1" customHeight="1">
      <c r="A42" s="14"/>
      <c r="B42" s="347" t="s">
        <v>171</v>
      </c>
      <c r="C42" s="514">
        <v>0</v>
      </c>
      <c r="D42" s="514">
        <v>19937.3</v>
      </c>
      <c r="E42" s="514">
        <v>0</v>
      </c>
      <c r="F42" s="514">
        <v>6648.75</v>
      </c>
      <c r="G42" s="514">
        <v>0</v>
      </c>
      <c r="H42" s="514">
        <v>0</v>
      </c>
      <c r="I42" s="514">
        <v>0</v>
      </c>
      <c r="J42" s="514">
        <v>0</v>
      </c>
      <c r="K42" s="514">
        <v>0</v>
      </c>
      <c r="L42" s="514">
        <v>0</v>
      </c>
      <c r="M42" s="514">
        <v>0</v>
      </c>
      <c r="N42" s="14"/>
      <c r="O42" s="347" t="s">
        <v>171</v>
      </c>
      <c r="P42" s="514">
        <v>14.6</v>
      </c>
      <c r="Q42" s="514">
        <v>66.5</v>
      </c>
      <c r="R42" s="514">
        <v>0</v>
      </c>
      <c r="S42" s="514">
        <v>0</v>
      </c>
      <c r="T42" s="514">
        <v>0</v>
      </c>
      <c r="U42" s="514">
        <v>0</v>
      </c>
      <c r="V42" s="514">
        <v>0</v>
      </c>
      <c r="W42" s="514">
        <v>608.1</v>
      </c>
      <c r="X42" s="514">
        <v>34258</v>
      </c>
      <c r="Y42" s="514">
        <v>317.25</v>
      </c>
      <c r="Z42" s="514">
        <v>35981.5</v>
      </c>
      <c r="AA42" s="14"/>
      <c r="AB42" s="347" t="s">
        <v>171</v>
      </c>
      <c r="AC42" s="514">
        <v>5839.0500000000011</v>
      </c>
      <c r="AD42" s="514">
        <v>0</v>
      </c>
      <c r="AE42" s="514">
        <v>607.34999999999991</v>
      </c>
      <c r="AF42" s="514">
        <v>1377.2</v>
      </c>
      <c r="AG42" s="514">
        <v>541.84999999999991</v>
      </c>
      <c r="AH42" s="514">
        <v>0</v>
      </c>
      <c r="AI42" s="514">
        <v>0</v>
      </c>
      <c r="AJ42" s="514">
        <v>0</v>
      </c>
      <c r="AK42" s="514">
        <v>0</v>
      </c>
      <c r="AL42" s="514">
        <v>0</v>
      </c>
      <c r="AM42" s="14"/>
      <c r="AN42" s="347" t="s">
        <v>171</v>
      </c>
      <c r="AO42" s="510">
        <v>0</v>
      </c>
      <c r="AP42" s="510">
        <v>0</v>
      </c>
      <c r="AQ42" s="510">
        <v>0</v>
      </c>
      <c r="AR42" s="510">
        <v>18008</v>
      </c>
      <c r="AS42" s="510">
        <v>834.90000000000009</v>
      </c>
      <c r="AT42" s="510">
        <v>0</v>
      </c>
      <c r="AU42" s="510">
        <v>0</v>
      </c>
      <c r="AV42" s="510">
        <v>19.510000000000002</v>
      </c>
      <c r="AW42" s="510">
        <v>1192.7799999999997</v>
      </c>
      <c r="AX42" s="518">
        <v>0</v>
      </c>
      <c r="AY42" s="514">
        <v>201.8</v>
      </c>
      <c r="AZ42" s="14"/>
      <c r="BA42" s="347" t="s">
        <v>171</v>
      </c>
      <c r="BB42" s="514">
        <v>0</v>
      </c>
      <c r="BC42" s="514">
        <v>0</v>
      </c>
      <c r="BD42" s="514">
        <v>0</v>
      </c>
      <c r="BE42" s="514">
        <v>0</v>
      </c>
      <c r="BF42" s="514">
        <v>0</v>
      </c>
      <c r="BG42" s="514">
        <v>0</v>
      </c>
      <c r="BH42" s="514">
        <v>0</v>
      </c>
      <c r="BI42" s="514">
        <v>0</v>
      </c>
      <c r="BJ42" s="514">
        <v>0</v>
      </c>
      <c r="BK42" s="514">
        <v>0</v>
      </c>
      <c r="BL42" s="514">
        <v>0</v>
      </c>
      <c r="BN42" s="233"/>
    </row>
    <row r="43" spans="1:66" ht="11.1" customHeight="1">
      <c r="A43" s="14" t="s">
        <v>453</v>
      </c>
      <c r="B43" s="347" t="s">
        <v>170</v>
      </c>
      <c r="C43" s="514">
        <v>115.85799999999999</v>
      </c>
      <c r="D43" s="514">
        <v>210.73000000000002</v>
      </c>
      <c r="E43" s="514">
        <v>863.27699999999993</v>
      </c>
      <c r="F43" s="514">
        <v>0</v>
      </c>
      <c r="G43" s="514">
        <v>171.00800000000004</v>
      </c>
      <c r="H43" s="514">
        <v>49.898999999999994</v>
      </c>
      <c r="I43" s="514">
        <v>0</v>
      </c>
      <c r="J43" s="514">
        <v>0</v>
      </c>
      <c r="K43" s="514">
        <v>0</v>
      </c>
      <c r="L43" s="514">
        <v>0</v>
      </c>
      <c r="M43" s="514">
        <v>0</v>
      </c>
      <c r="N43" s="14" t="s">
        <v>453</v>
      </c>
      <c r="O43" s="347" t="s">
        <v>170</v>
      </c>
      <c r="P43" s="514">
        <v>289.32900000000001</v>
      </c>
      <c r="Q43" s="514">
        <v>1212.4789999999998</v>
      </c>
      <c r="R43" s="514">
        <v>149.81</v>
      </c>
      <c r="S43" s="514">
        <v>408.91</v>
      </c>
      <c r="T43" s="514">
        <v>111.64</v>
      </c>
      <c r="U43" s="514">
        <v>1458.2699999999998</v>
      </c>
      <c r="V43" s="514">
        <v>779.01900000000001</v>
      </c>
      <c r="W43" s="514">
        <v>6777.7530000000006</v>
      </c>
      <c r="X43" s="514">
        <v>15.939</v>
      </c>
      <c r="Y43" s="514">
        <v>78.578999999999994</v>
      </c>
      <c r="Z43" s="514">
        <v>18.47</v>
      </c>
      <c r="AA43" s="14" t="s">
        <v>453</v>
      </c>
      <c r="AB43" s="347" t="s">
        <v>170</v>
      </c>
      <c r="AC43" s="514">
        <v>0</v>
      </c>
      <c r="AD43" s="514">
        <v>0</v>
      </c>
      <c r="AE43" s="514">
        <v>58.541000000000004</v>
      </c>
      <c r="AF43" s="514">
        <v>80.63</v>
      </c>
      <c r="AG43" s="514">
        <v>4.7300000000000004</v>
      </c>
      <c r="AH43" s="514">
        <v>0</v>
      </c>
      <c r="AI43" s="514">
        <v>6606.079999999999</v>
      </c>
      <c r="AJ43" s="514">
        <v>571.26900000000001</v>
      </c>
      <c r="AK43" s="514">
        <v>157.089</v>
      </c>
      <c r="AL43" s="514">
        <v>2790.0689999999995</v>
      </c>
      <c r="AM43" s="14" t="s">
        <v>453</v>
      </c>
      <c r="AN43" s="347" t="s">
        <v>170</v>
      </c>
      <c r="AO43" s="510">
        <v>287.95999999999998</v>
      </c>
      <c r="AP43" s="510">
        <v>0</v>
      </c>
      <c r="AQ43" s="510">
        <v>7148.5589999999993</v>
      </c>
      <c r="AR43" s="510">
        <v>0</v>
      </c>
      <c r="AS43" s="510">
        <v>9.8689999999999998</v>
      </c>
      <c r="AT43" s="510">
        <v>126.87</v>
      </c>
      <c r="AU43" s="510">
        <v>42.63</v>
      </c>
      <c r="AV43" s="510">
        <v>0</v>
      </c>
      <c r="AW43" s="510">
        <v>0</v>
      </c>
      <c r="AX43" s="518">
        <v>0</v>
      </c>
      <c r="AY43" s="514">
        <v>73.78</v>
      </c>
      <c r="AZ43" s="14" t="s">
        <v>453</v>
      </c>
      <c r="BA43" s="347" t="s">
        <v>170</v>
      </c>
      <c r="BB43" s="514">
        <v>0</v>
      </c>
      <c r="BC43" s="514">
        <v>172.53899999999999</v>
      </c>
      <c r="BD43" s="514">
        <v>0</v>
      </c>
      <c r="BE43" s="514">
        <v>0</v>
      </c>
      <c r="BF43" s="514">
        <v>532369.39</v>
      </c>
      <c r="BG43" s="514">
        <v>5898.5379999999996</v>
      </c>
      <c r="BH43" s="514">
        <v>0</v>
      </c>
      <c r="BI43" s="514">
        <v>618.32999999999993</v>
      </c>
      <c r="BJ43" s="514">
        <v>0</v>
      </c>
      <c r="BK43" s="514">
        <v>2353.9259999999999</v>
      </c>
      <c r="BL43" s="514">
        <v>0</v>
      </c>
      <c r="BN43" s="233"/>
    </row>
    <row r="44" spans="1:66" ht="11.1" customHeight="1">
      <c r="A44" s="14"/>
      <c r="B44" s="347" t="s">
        <v>171</v>
      </c>
      <c r="C44" s="514">
        <v>83.097999999999999</v>
      </c>
      <c r="D44" s="514">
        <v>199.36100000000002</v>
      </c>
      <c r="E44" s="514">
        <v>782.4559999999999</v>
      </c>
      <c r="F44" s="514">
        <v>0</v>
      </c>
      <c r="G44" s="514">
        <v>110.51200000000001</v>
      </c>
      <c r="H44" s="514">
        <v>39.919999999999995</v>
      </c>
      <c r="I44" s="514">
        <v>0</v>
      </c>
      <c r="J44" s="514">
        <v>0</v>
      </c>
      <c r="K44" s="514">
        <v>0</v>
      </c>
      <c r="L44" s="514">
        <v>0</v>
      </c>
      <c r="M44" s="514">
        <v>0</v>
      </c>
      <c r="N44" s="14"/>
      <c r="O44" s="347" t="s">
        <v>171</v>
      </c>
      <c r="P44" s="514">
        <v>130.76900000000001</v>
      </c>
      <c r="Q44" s="514">
        <v>686.62900000000002</v>
      </c>
      <c r="R44" s="514">
        <v>148.74699999999999</v>
      </c>
      <c r="S44" s="514">
        <v>351.76800000000003</v>
      </c>
      <c r="T44" s="514">
        <v>39.910000000000004</v>
      </c>
      <c r="U44" s="514">
        <v>1763.7899999999997</v>
      </c>
      <c r="V44" s="514">
        <v>753.375</v>
      </c>
      <c r="W44" s="514">
        <v>7556.4379999999992</v>
      </c>
      <c r="X44" s="514">
        <v>6.95</v>
      </c>
      <c r="Y44" s="514">
        <v>77.677000000000007</v>
      </c>
      <c r="Z44" s="514">
        <v>50.12</v>
      </c>
      <c r="AA44" s="14"/>
      <c r="AB44" s="347" t="s">
        <v>171</v>
      </c>
      <c r="AC44" s="514">
        <v>0</v>
      </c>
      <c r="AD44" s="514">
        <v>0</v>
      </c>
      <c r="AE44" s="514">
        <v>57.681000000000004</v>
      </c>
      <c r="AF44" s="514">
        <v>63.738999999999997</v>
      </c>
      <c r="AG44" s="514">
        <v>4.3499999999999996</v>
      </c>
      <c r="AH44" s="514">
        <v>0</v>
      </c>
      <c r="AI44" s="514">
        <v>6512.7900000000009</v>
      </c>
      <c r="AJ44" s="514">
        <v>580.476</v>
      </c>
      <c r="AK44" s="514">
        <v>163.715</v>
      </c>
      <c r="AL44" s="514">
        <v>2646.6689999999999</v>
      </c>
      <c r="AM44" s="14"/>
      <c r="AN44" s="347" t="s">
        <v>171</v>
      </c>
      <c r="AO44" s="510">
        <v>308.70000000000005</v>
      </c>
      <c r="AP44" s="510">
        <v>0</v>
      </c>
      <c r="AQ44" s="510">
        <v>6951.0560000000005</v>
      </c>
      <c r="AR44" s="510">
        <v>0</v>
      </c>
      <c r="AS44" s="510">
        <v>8.35</v>
      </c>
      <c r="AT44" s="510">
        <v>136.68899999999999</v>
      </c>
      <c r="AU44" s="510">
        <v>47.34</v>
      </c>
      <c r="AV44" s="510">
        <v>0</v>
      </c>
      <c r="AW44" s="510">
        <v>0</v>
      </c>
      <c r="AX44" s="518">
        <v>0</v>
      </c>
      <c r="AY44" s="514">
        <v>6.04</v>
      </c>
      <c r="AZ44" s="14"/>
      <c r="BA44" s="347" t="s">
        <v>171</v>
      </c>
      <c r="BB44" s="514">
        <v>0</v>
      </c>
      <c r="BC44" s="514">
        <v>173.49</v>
      </c>
      <c r="BD44" s="514">
        <v>0</v>
      </c>
      <c r="BE44" s="514">
        <v>0</v>
      </c>
      <c r="BF44" s="514">
        <v>623303.35000000009</v>
      </c>
      <c r="BG44" s="514">
        <v>3874.1800000000003</v>
      </c>
      <c r="BH44" s="514">
        <v>0</v>
      </c>
      <c r="BI44" s="514">
        <v>351.91</v>
      </c>
      <c r="BJ44" s="514">
        <v>0</v>
      </c>
      <c r="BK44" s="514">
        <v>2113.8780000000002</v>
      </c>
      <c r="BL44" s="514">
        <v>0</v>
      </c>
      <c r="BN44" s="233"/>
    </row>
    <row r="45" spans="1:66" ht="11.1" customHeight="1">
      <c r="A45" s="14" t="s">
        <v>420</v>
      </c>
      <c r="B45" s="347" t="s">
        <v>170</v>
      </c>
      <c r="C45" s="514">
        <v>314.26000000000005</v>
      </c>
      <c r="D45" s="514">
        <v>6465.18</v>
      </c>
      <c r="E45" s="514">
        <v>2131.02</v>
      </c>
      <c r="F45" s="514">
        <v>2214.84</v>
      </c>
      <c r="G45" s="514">
        <v>261.39999999999998</v>
      </c>
      <c r="H45" s="514">
        <v>0</v>
      </c>
      <c r="I45" s="514">
        <v>0</v>
      </c>
      <c r="J45" s="514">
        <v>0</v>
      </c>
      <c r="K45" s="514">
        <v>3095.64</v>
      </c>
      <c r="L45" s="514">
        <v>0</v>
      </c>
      <c r="M45" s="514">
        <v>0</v>
      </c>
      <c r="N45" s="14" t="s">
        <v>420</v>
      </c>
      <c r="O45" s="347" t="s">
        <v>170</v>
      </c>
      <c r="P45" s="514">
        <v>0</v>
      </c>
      <c r="Q45" s="514">
        <v>12900.78</v>
      </c>
      <c r="R45" s="514">
        <v>2092.4</v>
      </c>
      <c r="S45" s="514">
        <v>622.77299999999991</v>
      </c>
      <c r="T45" s="514">
        <v>13</v>
      </c>
      <c r="U45" s="514">
        <v>0</v>
      </c>
      <c r="V45" s="514">
        <v>10133.669</v>
      </c>
      <c r="W45" s="514">
        <v>2601.4499999999998</v>
      </c>
      <c r="X45" s="514">
        <v>90785.606</v>
      </c>
      <c r="Y45" s="514">
        <v>93</v>
      </c>
      <c r="Z45" s="514">
        <v>3702.0490000000004</v>
      </c>
      <c r="AA45" s="14" t="s">
        <v>420</v>
      </c>
      <c r="AB45" s="347" t="s">
        <v>170</v>
      </c>
      <c r="AC45" s="514">
        <v>1068.2599999999998</v>
      </c>
      <c r="AD45" s="514">
        <v>19767.046999999999</v>
      </c>
      <c r="AE45" s="514">
        <v>113.33</v>
      </c>
      <c r="AF45" s="514">
        <v>596.02</v>
      </c>
      <c r="AG45" s="514">
        <v>247</v>
      </c>
      <c r="AH45" s="514">
        <v>0</v>
      </c>
      <c r="AI45" s="514">
        <v>0</v>
      </c>
      <c r="AJ45" s="514">
        <v>0</v>
      </c>
      <c r="AK45" s="514">
        <v>0</v>
      </c>
      <c r="AL45" s="514">
        <v>19.577999999999999</v>
      </c>
      <c r="AM45" s="14" t="s">
        <v>420</v>
      </c>
      <c r="AN45" s="347" t="s">
        <v>170</v>
      </c>
      <c r="AO45" s="510">
        <v>0</v>
      </c>
      <c r="AP45" s="510">
        <v>0</v>
      </c>
      <c r="AQ45" s="510">
        <v>164784.75900000002</v>
      </c>
      <c r="AR45" s="510">
        <v>85092.467999999993</v>
      </c>
      <c r="AS45" s="510">
        <v>0</v>
      </c>
      <c r="AT45" s="510">
        <v>6859.058</v>
      </c>
      <c r="AU45" s="510">
        <v>9780.7800000000007</v>
      </c>
      <c r="AV45" s="510">
        <v>13610.419999999998</v>
      </c>
      <c r="AW45" s="510">
        <v>3881.2370000000005</v>
      </c>
      <c r="AX45" s="518">
        <v>0</v>
      </c>
      <c r="AY45" s="514">
        <v>999.97</v>
      </c>
      <c r="AZ45" s="14" t="s">
        <v>420</v>
      </c>
      <c r="BA45" s="347" t="s">
        <v>170</v>
      </c>
      <c r="BB45" s="514">
        <v>0</v>
      </c>
      <c r="BC45" s="514">
        <v>902.85899999999992</v>
      </c>
      <c r="BD45" s="514">
        <v>86.550000000000011</v>
      </c>
      <c r="BE45" s="514">
        <v>0</v>
      </c>
      <c r="BF45" s="514">
        <v>3392.8830000000003</v>
      </c>
      <c r="BG45" s="514">
        <v>0</v>
      </c>
      <c r="BH45" s="514">
        <v>0</v>
      </c>
      <c r="BI45" s="514">
        <v>3177.04</v>
      </c>
      <c r="BJ45" s="514">
        <v>0</v>
      </c>
      <c r="BK45" s="514">
        <v>0</v>
      </c>
      <c r="BL45" s="514">
        <v>0</v>
      </c>
      <c r="BN45" s="233"/>
    </row>
    <row r="46" spans="1:66" ht="11.1" customHeight="1">
      <c r="A46" s="14"/>
      <c r="B46" s="347" t="s">
        <v>171</v>
      </c>
      <c r="C46" s="514">
        <v>324.67000000000007</v>
      </c>
      <c r="D46" s="514">
        <v>5992.6570000000011</v>
      </c>
      <c r="E46" s="514">
        <v>1910.4</v>
      </c>
      <c r="F46" s="514">
        <v>1824.8899999999999</v>
      </c>
      <c r="G46" s="514">
        <v>223.57</v>
      </c>
      <c r="H46" s="514">
        <v>0</v>
      </c>
      <c r="I46" s="514">
        <v>0</v>
      </c>
      <c r="J46" s="514">
        <v>0</v>
      </c>
      <c r="K46" s="514">
        <v>3842.8400000000006</v>
      </c>
      <c r="L46" s="514">
        <v>0</v>
      </c>
      <c r="M46" s="514">
        <v>0</v>
      </c>
      <c r="N46" s="14"/>
      <c r="O46" s="347" t="s">
        <v>171</v>
      </c>
      <c r="P46" s="514">
        <v>0</v>
      </c>
      <c r="Q46" s="514">
        <v>13052.508</v>
      </c>
      <c r="R46" s="514">
        <v>2419.2999999999997</v>
      </c>
      <c r="S46" s="514">
        <v>716.9380000000001</v>
      </c>
      <c r="T46" s="514">
        <v>5.5</v>
      </c>
      <c r="U46" s="514">
        <v>0</v>
      </c>
      <c r="V46" s="514">
        <v>12178.579</v>
      </c>
      <c r="W46" s="514">
        <v>2941.7589999999996</v>
      </c>
      <c r="X46" s="514">
        <v>72732.786000000007</v>
      </c>
      <c r="Y46" s="514">
        <v>70</v>
      </c>
      <c r="Z46" s="514">
        <v>2616.34</v>
      </c>
      <c r="AA46" s="14"/>
      <c r="AB46" s="347" t="s">
        <v>171</v>
      </c>
      <c r="AC46" s="514">
        <v>836.0100000000001</v>
      </c>
      <c r="AD46" s="514">
        <v>22143.320000000003</v>
      </c>
      <c r="AE46" s="514">
        <v>90</v>
      </c>
      <c r="AF46" s="514">
        <v>678.3</v>
      </c>
      <c r="AG46" s="514">
        <v>221</v>
      </c>
      <c r="AH46" s="514">
        <v>0</v>
      </c>
      <c r="AI46" s="514">
        <v>0</v>
      </c>
      <c r="AJ46" s="514">
        <v>0</v>
      </c>
      <c r="AK46" s="514">
        <v>0</v>
      </c>
      <c r="AL46" s="514">
        <v>10.91</v>
      </c>
      <c r="AM46" s="14"/>
      <c r="AN46" s="347" t="s">
        <v>171</v>
      </c>
      <c r="AO46" s="510">
        <v>0</v>
      </c>
      <c r="AP46" s="510">
        <v>0</v>
      </c>
      <c r="AQ46" s="510">
        <v>170959.62600000002</v>
      </c>
      <c r="AR46" s="510">
        <v>59415.55799999999</v>
      </c>
      <c r="AS46" s="510">
        <v>0</v>
      </c>
      <c r="AT46" s="510">
        <v>5564.04</v>
      </c>
      <c r="AU46" s="510">
        <v>7357.23</v>
      </c>
      <c r="AV46" s="510">
        <v>11483.968999999999</v>
      </c>
      <c r="AW46" s="510">
        <v>4406.6790000000001</v>
      </c>
      <c r="AX46" s="518">
        <v>0</v>
      </c>
      <c r="AY46" s="514">
        <v>887.21899999999994</v>
      </c>
      <c r="AZ46" s="14"/>
      <c r="BA46" s="347" t="s">
        <v>171</v>
      </c>
      <c r="BB46" s="514">
        <v>0</v>
      </c>
      <c r="BC46" s="514">
        <v>643.8950000000001</v>
      </c>
      <c r="BD46" s="514">
        <v>60.72</v>
      </c>
      <c r="BE46" s="514">
        <v>0</v>
      </c>
      <c r="BF46" s="514">
        <v>3484.0529999999999</v>
      </c>
      <c r="BG46" s="514">
        <v>0</v>
      </c>
      <c r="BH46" s="514">
        <v>0</v>
      </c>
      <c r="BI46" s="514">
        <v>1768.99</v>
      </c>
      <c r="BJ46" s="514">
        <v>0</v>
      </c>
      <c r="BK46" s="514">
        <v>0</v>
      </c>
      <c r="BL46" s="514">
        <v>0</v>
      </c>
      <c r="BN46" s="233"/>
    </row>
    <row r="47" spans="1:66" ht="11.1" customHeight="1">
      <c r="A47" s="14" t="s">
        <v>421</v>
      </c>
      <c r="B47" s="347" t="s">
        <v>170</v>
      </c>
      <c r="C47" s="514">
        <v>11126</v>
      </c>
      <c r="D47" s="514">
        <v>46845</v>
      </c>
      <c r="E47" s="514">
        <v>16283</v>
      </c>
      <c r="F47" s="514">
        <v>513515</v>
      </c>
      <c r="G47" s="514">
        <v>281</v>
      </c>
      <c r="H47" s="514">
        <v>0</v>
      </c>
      <c r="I47" s="514">
        <v>0</v>
      </c>
      <c r="J47" s="514">
        <v>0</v>
      </c>
      <c r="K47" s="514">
        <v>77</v>
      </c>
      <c r="L47" s="514">
        <v>15315</v>
      </c>
      <c r="M47" s="514">
        <v>0</v>
      </c>
      <c r="N47" s="14" t="s">
        <v>421</v>
      </c>
      <c r="O47" s="347" t="s">
        <v>170</v>
      </c>
      <c r="P47" s="514">
        <v>1942</v>
      </c>
      <c r="Q47" s="514">
        <v>303</v>
      </c>
      <c r="R47" s="514">
        <v>791</v>
      </c>
      <c r="S47" s="514">
        <v>548</v>
      </c>
      <c r="T47" s="514">
        <v>192</v>
      </c>
      <c r="U47" s="514">
        <v>2817</v>
      </c>
      <c r="V47" s="514">
        <v>420</v>
      </c>
      <c r="W47" s="514">
        <v>7930</v>
      </c>
      <c r="X47" s="514">
        <v>313907</v>
      </c>
      <c r="Y47" s="514">
        <v>267363</v>
      </c>
      <c r="Z47" s="514">
        <v>479</v>
      </c>
      <c r="AA47" s="14" t="s">
        <v>421</v>
      </c>
      <c r="AB47" s="347" t="s">
        <v>170</v>
      </c>
      <c r="AC47" s="514">
        <v>0</v>
      </c>
      <c r="AD47" s="514">
        <v>942</v>
      </c>
      <c r="AE47" s="514">
        <v>140066.90000000002</v>
      </c>
      <c r="AF47" s="514">
        <v>2384</v>
      </c>
      <c r="AG47" s="514">
        <v>0</v>
      </c>
      <c r="AH47" s="514">
        <v>0</v>
      </c>
      <c r="AI47" s="514">
        <v>167160</v>
      </c>
      <c r="AJ47" s="514">
        <v>0</v>
      </c>
      <c r="AK47" s="514">
        <v>0</v>
      </c>
      <c r="AL47" s="514">
        <v>0</v>
      </c>
      <c r="AM47" s="14" t="s">
        <v>421</v>
      </c>
      <c r="AN47" s="347" t="s">
        <v>170</v>
      </c>
      <c r="AO47" s="510">
        <v>0</v>
      </c>
      <c r="AP47" s="510">
        <v>0</v>
      </c>
      <c r="AQ47" s="510">
        <v>15669</v>
      </c>
      <c r="AR47" s="510">
        <v>6834</v>
      </c>
      <c r="AS47" s="510">
        <v>6067</v>
      </c>
      <c r="AT47" s="510">
        <v>1091</v>
      </c>
      <c r="AU47" s="510">
        <v>1411</v>
      </c>
      <c r="AV47" s="510">
        <v>3660</v>
      </c>
      <c r="AW47" s="510">
        <v>1009</v>
      </c>
      <c r="AX47" s="518">
        <v>2973</v>
      </c>
      <c r="AY47" s="514">
        <v>4684</v>
      </c>
      <c r="AZ47" s="14" t="s">
        <v>421</v>
      </c>
      <c r="BA47" s="347" t="s">
        <v>170</v>
      </c>
      <c r="BB47" s="514">
        <v>0</v>
      </c>
      <c r="BC47" s="514">
        <v>397</v>
      </c>
      <c r="BD47" s="514">
        <v>2809</v>
      </c>
      <c r="BE47" s="514">
        <v>437742.86599999998</v>
      </c>
      <c r="BF47" s="514">
        <v>4262.6000000000004</v>
      </c>
      <c r="BG47" s="514">
        <v>0</v>
      </c>
      <c r="BH47" s="514">
        <v>0</v>
      </c>
      <c r="BI47" s="514">
        <v>0</v>
      </c>
      <c r="BJ47" s="514">
        <v>5945</v>
      </c>
      <c r="BK47" s="514">
        <v>0</v>
      </c>
      <c r="BL47" s="514">
        <v>0</v>
      </c>
      <c r="BN47" s="233"/>
    </row>
    <row r="48" spans="1:66" ht="11.1" customHeight="1">
      <c r="A48" s="14"/>
      <c r="B48" s="347" t="s">
        <v>171</v>
      </c>
      <c r="C48" s="514">
        <v>9019</v>
      </c>
      <c r="D48" s="514">
        <v>60088</v>
      </c>
      <c r="E48" s="514">
        <v>14814</v>
      </c>
      <c r="F48" s="514">
        <v>394793</v>
      </c>
      <c r="G48" s="514">
        <v>302</v>
      </c>
      <c r="H48" s="514">
        <v>0</v>
      </c>
      <c r="I48" s="514">
        <v>0</v>
      </c>
      <c r="J48" s="514">
        <v>0</v>
      </c>
      <c r="K48" s="514">
        <v>0</v>
      </c>
      <c r="L48" s="514">
        <v>1490</v>
      </c>
      <c r="M48" s="514">
        <v>0</v>
      </c>
      <c r="N48" s="14"/>
      <c r="O48" s="347" t="s">
        <v>171</v>
      </c>
      <c r="P48" s="514">
        <v>2557</v>
      </c>
      <c r="Q48" s="514">
        <v>0</v>
      </c>
      <c r="R48" s="514">
        <v>832</v>
      </c>
      <c r="S48" s="514">
        <v>893</v>
      </c>
      <c r="T48" s="514">
        <v>202</v>
      </c>
      <c r="U48" s="514">
        <v>5120</v>
      </c>
      <c r="V48" s="514">
        <v>1959</v>
      </c>
      <c r="W48" s="514">
        <v>5806</v>
      </c>
      <c r="X48" s="514">
        <v>379212</v>
      </c>
      <c r="Y48" s="514">
        <v>434105</v>
      </c>
      <c r="Z48" s="514">
        <v>6043</v>
      </c>
      <c r="AA48" s="14"/>
      <c r="AB48" s="347" t="s">
        <v>171</v>
      </c>
      <c r="AC48" s="514">
        <v>0</v>
      </c>
      <c r="AD48" s="514">
        <v>764</v>
      </c>
      <c r="AE48" s="514">
        <v>172806</v>
      </c>
      <c r="AF48" s="514">
        <v>2694</v>
      </c>
      <c r="AG48" s="514">
        <v>0</v>
      </c>
      <c r="AH48" s="514">
        <v>0</v>
      </c>
      <c r="AI48" s="514">
        <v>172173</v>
      </c>
      <c r="AJ48" s="514">
        <v>0</v>
      </c>
      <c r="AK48" s="514">
        <v>0</v>
      </c>
      <c r="AL48" s="514">
        <v>0</v>
      </c>
      <c r="AM48" s="14"/>
      <c r="AN48" s="347" t="s">
        <v>171</v>
      </c>
      <c r="AO48" s="510">
        <v>0</v>
      </c>
      <c r="AP48" s="510">
        <v>0</v>
      </c>
      <c r="AQ48" s="510">
        <v>21931</v>
      </c>
      <c r="AR48" s="510">
        <v>7087</v>
      </c>
      <c r="AS48" s="510">
        <v>10881</v>
      </c>
      <c r="AT48" s="510">
        <v>1343</v>
      </c>
      <c r="AU48" s="510">
        <v>964</v>
      </c>
      <c r="AV48" s="510">
        <v>4731</v>
      </c>
      <c r="AW48" s="510">
        <v>1438</v>
      </c>
      <c r="AX48" s="518">
        <v>1345</v>
      </c>
      <c r="AY48" s="514">
        <v>3991</v>
      </c>
      <c r="AZ48" s="14"/>
      <c r="BA48" s="347" t="s">
        <v>171</v>
      </c>
      <c r="BB48" s="514">
        <v>0</v>
      </c>
      <c r="BC48" s="514">
        <v>329</v>
      </c>
      <c r="BD48" s="514">
        <v>3239</v>
      </c>
      <c r="BE48" s="514">
        <v>274977.76900000003</v>
      </c>
      <c r="BF48" s="514">
        <v>4844</v>
      </c>
      <c r="BG48" s="514">
        <v>0</v>
      </c>
      <c r="BH48" s="514">
        <v>0</v>
      </c>
      <c r="BI48" s="514">
        <v>0</v>
      </c>
      <c r="BJ48" s="514">
        <v>10968</v>
      </c>
      <c r="BK48" s="514">
        <v>0</v>
      </c>
      <c r="BL48" s="514">
        <v>0</v>
      </c>
      <c r="BN48" s="233"/>
    </row>
    <row r="49" spans="1:66" ht="11.1" customHeight="1">
      <c r="A49" s="14" t="s">
        <v>422</v>
      </c>
      <c r="B49" s="347" t="s">
        <v>170</v>
      </c>
      <c r="C49" s="514">
        <v>1668.65</v>
      </c>
      <c r="D49" s="514">
        <v>4240.46</v>
      </c>
      <c r="E49" s="514">
        <v>6287.9</v>
      </c>
      <c r="F49" s="514">
        <v>208.9</v>
      </c>
      <c r="G49" s="514">
        <v>26294.9</v>
      </c>
      <c r="H49" s="514">
        <v>38858.199999999997</v>
      </c>
      <c r="I49" s="514">
        <v>0</v>
      </c>
      <c r="J49" s="514">
        <v>0</v>
      </c>
      <c r="K49" s="514">
        <v>0</v>
      </c>
      <c r="L49" s="514">
        <v>0</v>
      </c>
      <c r="M49" s="514">
        <v>0</v>
      </c>
      <c r="N49" s="14" t="s">
        <v>422</v>
      </c>
      <c r="O49" s="347" t="s">
        <v>170</v>
      </c>
      <c r="P49" s="514">
        <v>0</v>
      </c>
      <c r="Q49" s="514">
        <v>955</v>
      </c>
      <c r="R49" s="514">
        <v>0</v>
      </c>
      <c r="S49" s="514">
        <v>142</v>
      </c>
      <c r="T49" s="514">
        <v>0</v>
      </c>
      <c r="U49" s="514">
        <v>8281</v>
      </c>
      <c r="V49" s="514">
        <v>154</v>
      </c>
      <c r="W49" s="514">
        <v>2460</v>
      </c>
      <c r="X49" s="514">
        <v>11713</v>
      </c>
      <c r="Y49" s="514">
        <v>0</v>
      </c>
      <c r="Z49" s="514">
        <v>4705</v>
      </c>
      <c r="AA49" s="14" t="s">
        <v>422</v>
      </c>
      <c r="AB49" s="347" t="s">
        <v>170</v>
      </c>
      <c r="AC49" s="514">
        <v>23097</v>
      </c>
      <c r="AD49" s="514">
        <v>916</v>
      </c>
      <c r="AE49" s="514">
        <v>56.1</v>
      </c>
      <c r="AF49" s="514">
        <v>27444</v>
      </c>
      <c r="AG49" s="514">
        <v>7834.5</v>
      </c>
      <c r="AH49" s="514">
        <v>0</v>
      </c>
      <c r="AI49" s="514">
        <v>0</v>
      </c>
      <c r="AJ49" s="514">
        <v>0</v>
      </c>
      <c r="AK49" s="514">
        <v>380.7</v>
      </c>
      <c r="AL49" s="514">
        <v>0</v>
      </c>
      <c r="AM49" s="14" t="s">
        <v>422</v>
      </c>
      <c r="AN49" s="347" t="s">
        <v>170</v>
      </c>
      <c r="AO49" s="510">
        <v>0</v>
      </c>
      <c r="AP49" s="510">
        <v>0</v>
      </c>
      <c r="AQ49" s="510">
        <v>798367</v>
      </c>
      <c r="AR49" s="510">
        <v>22506</v>
      </c>
      <c r="AS49" s="510">
        <v>2279.1999999999998</v>
      </c>
      <c r="AT49" s="510">
        <v>28835.3</v>
      </c>
      <c r="AU49" s="510">
        <v>18264.900000000001</v>
      </c>
      <c r="AV49" s="510">
        <v>7783.8</v>
      </c>
      <c r="AW49" s="510">
        <v>664.8</v>
      </c>
      <c r="AX49" s="518">
        <v>0</v>
      </c>
      <c r="AY49" s="514">
        <v>595.20000000000005</v>
      </c>
      <c r="AZ49" s="14" t="s">
        <v>422</v>
      </c>
      <c r="BA49" s="347" t="s">
        <v>170</v>
      </c>
      <c r="BB49" s="514">
        <v>0</v>
      </c>
      <c r="BC49" s="514">
        <v>12171.638999999999</v>
      </c>
      <c r="BD49" s="514">
        <v>1105.22</v>
      </c>
      <c r="BE49" s="514">
        <v>0</v>
      </c>
      <c r="BF49" s="514">
        <v>1296735</v>
      </c>
      <c r="BG49" s="514">
        <v>0</v>
      </c>
      <c r="BH49" s="514">
        <v>382237</v>
      </c>
      <c r="BI49" s="514">
        <v>1793273</v>
      </c>
      <c r="BJ49" s="514">
        <v>0</v>
      </c>
      <c r="BK49" s="514">
        <v>16</v>
      </c>
      <c r="BL49" s="514">
        <v>0</v>
      </c>
      <c r="BN49" s="233"/>
    </row>
    <row r="50" spans="1:66" ht="11.1" customHeight="1">
      <c r="A50" s="14"/>
      <c r="B50" s="347" t="s">
        <v>171</v>
      </c>
      <c r="C50" s="514">
        <v>1613.14</v>
      </c>
      <c r="D50" s="514">
        <v>4316.0290000000005</v>
      </c>
      <c r="E50" s="514">
        <v>6456.7599999999993</v>
      </c>
      <c r="F50" s="514">
        <v>207.9</v>
      </c>
      <c r="G50" s="514">
        <v>27741.751999999997</v>
      </c>
      <c r="H50" s="514">
        <v>39539.368999999999</v>
      </c>
      <c r="I50" s="514">
        <v>0</v>
      </c>
      <c r="J50" s="514">
        <v>0</v>
      </c>
      <c r="K50" s="514">
        <v>0</v>
      </c>
      <c r="L50" s="514">
        <v>0</v>
      </c>
      <c r="M50" s="514">
        <v>0</v>
      </c>
      <c r="N50" s="14"/>
      <c r="O50" s="347" t="s">
        <v>171</v>
      </c>
      <c r="P50" s="514">
        <v>0</v>
      </c>
      <c r="Q50" s="514">
        <v>919</v>
      </c>
      <c r="R50" s="514">
        <v>0</v>
      </c>
      <c r="S50" s="514">
        <v>142.69999999999999</v>
      </c>
      <c r="T50" s="514">
        <v>0</v>
      </c>
      <c r="U50" s="514">
        <v>7806.8</v>
      </c>
      <c r="V50" s="514">
        <v>0</v>
      </c>
      <c r="W50" s="514">
        <v>2455</v>
      </c>
      <c r="X50" s="514">
        <v>11905</v>
      </c>
      <c r="Y50" s="514">
        <v>0</v>
      </c>
      <c r="Z50" s="514">
        <v>4790</v>
      </c>
      <c r="AA50" s="14"/>
      <c r="AB50" s="347" t="s">
        <v>171</v>
      </c>
      <c r="AC50" s="514">
        <v>19472</v>
      </c>
      <c r="AD50" s="514">
        <v>950</v>
      </c>
      <c r="AE50" s="514">
        <v>57.5</v>
      </c>
      <c r="AF50" s="514">
        <v>27293.5</v>
      </c>
      <c r="AG50" s="514">
        <v>7838</v>
      </c>
      <c r="AH50" s="514">
        <v>0</v>
      </c>
      <c r="AI50" s="514">
        <v>0</v>
      </c>
      <c r="AJ50" s="514">
        <v>0</v>
      </c>
      <c r="AK50" s="514">
        <v>493.5</v>
      </c>
      <c r="AL50" s="514">
        <v>0</v>
      </c>
      <c r="AM50" s="14"/>
      <c r="AN50" s="347" t="s">
        <v>171</v>
      </c>
      <c r="AO50" s="510">
        <v>0</v>
      </c>
      <c r="AP50" s="510">
        <v>0</v>
      </c>
      <c r="AQ50" s="510">
        <v>838776.67</v>
      </c>
      <c r="AR50" s="510">
        <v>24210.1</v>
      </c>
      <c r="AS50" s="510">
        <v>2274.9</v>
      </c>
      <c r="AT50" s="510">
        <v>29282.631000000005</v>
      </c>
      <c r="AU50" s="510">
        <v>18680.917999999998</v>
      </c>
      <c r="AV50" s="510">
        <v>8121.8</v>
      </c>
      <c r="AW50" s="510">
        <v>682.5</v>
      </c>
      <c r="AX50" s="518">
        <v>0</v>
      </c>
      <c r="AY50" s="514">
        <v>628.20000000000005</v>
      </c>
      <c r="AZ50" s="14"/>
      <c r="BA50" s="347" t="s">
        <v>171</v>
      </c>
      <c r="BB50" s="514">
        <v>0</v>
      </c>
      <c r="BC50" s="514">
        <v>12754.764999999999</v>
      </c>
      <c r="BD50" s="514">
        <v>1167.81</v>
      </c>
      <c r="BE50" s="514">
        <v>0</v>
      </c>
      <c r="BF50" s="514">
        <v>1420423.5</v>
      </c>
      <c r="BG50" s="514">
        <v>0</v>
      </c>
      <c r="BH50" s="514">
        <v>363868.87</v>
      </c>
      <c r="BI50" s="514">
        <v>1937348.85</v>
      </c>
      <c r="BJ50" s="514">
        <v>0</v>
      </c>
      <c r="BK50" s="514">
        <v>17</v>
      </c>
      <c r="BL50" s="514">
        <v>0</v>
      </c>
      <c r="BN50" s="233"/>
    </row>
    <row r="51" spans="1:66" ht="11.1" customHeight="1">
      <c r="A51" s="14" t="s">
        <v>456</v>
      </c>
      <c r="B51" s="347" t="s">
        <v>170</v>
      </c>
      <c r="C51" s="514">
        <v>0</v>
      </c>
      <c r="D51" s="514">
        <v>110450.3</v>
      </c>
      <c r="E51" s="514">
        <v>0</v>
      </c>
      <c r="F51" s="514">
        <v>797767</v>
      </c>
      <c r="G51" s="514">
        <v>0</v>
      </c>
      <c r="H51" s="514">
        <v>0</v>
      </c>
      <c r="I51" s="514">
        <v>0</v>
      </c>
      <c r="J51" s="514">
        <v>0</v>
      </c>
      <c r="K51" s="514">
        <v>0</v>
      </c>
      <c r="L51" s="514">
        <v>0</v>
      </c>
      <c r="M51" s="514">
        <v>0</v>
      </c>
      <c r="N51" s="14" t="s">
        <v>456</v>
      </c>
      <c r="O51" s="347" t="s">
        <v>170</v>
      </c>
      <c r="P51" s="514">
        <v>2063.5</v>
      </c>
      <c r="Q51" s="514">
        <v>0</v>
      </c>
      <c r="R51" s="514">
        <v>0</v>
      </c>
      <c r="S51" s="514">
        <v>0</v>
      </c>
      <c r="T51" s="514">
        <v>0</v>
      </c>
      <c r="U51" s="514">
        <v>0</v>
      </c>
      <c r="V51" s="514">
        <v>0</v>
      </c>
      <c r="W51" s="514">
        <v>356</v>
      </c>
      <c r="X51" s="514">
        <v>423574.5</v>
      </c>
      <c r="Y51" s="514">
        <v>1226</v>
      </c>
      <c r="Z51" s="514">
        <v>17302.5</v>
      </c>
      <c r="AA51" s="14" t="s">
        <v>456</v>
      </c>
      <c r="AB51" s="347" t="s">
        <v>170</v>
      </c>
      <c r="AC51" s="514">
        <v>11381.8</v>
      </c>
      <c r="AD51" s="514">
        <v>0</v>
      </c>
      <c r="AE51" s="514">
        <v>4874.1000000000004</v>
      </c>
      <c r="AF51" s="514">
        <v>48710.499999999993</v>
      </c>
      <c r="AG51" s="514">
        <v>435.2</v>
      </c>
      <c r="AH51" s="514">
        <v>0</v>
      </c>
      <c r="AI51" s="514">
        <v>1085.3</v>
      </c>
      <c r="AJ51" s="514">
        <v>0</v>
      </c>
      <c r="AK51" s="514">
        <v>0</v>
      </c>
      <c r="AL51" s="514">
        <v>0</v>
      </c>
      <c r="AM51" s="14" t="s">
        <v>456</v>
      </c>
      <c r="AN51" s="347" t="s">
        <v>170</v>
      </c>
      <c r="AO51" s="510">
        <v>0</v>
      </c>
      <c r="AP51" s="510">
        <v>428346.58100000001</v>
      </c>
      <c r="AQ51" s="510">
        <v>0</v>
      </c>
      <c r="AR51" s="510">
        <v>88497</v>
      </c>
      <c r="AS51" s="510">
        <v>0</v>
      </c>
      <c r="AT51" s="510">
        <v>0</v>
      </c>
      <c r="AU51" s="510">
        <v>0</v>
      </c>
      <c r="AV51" s="510">
        <v>91422.95</v>
      </c>
      <c r="AW51" s="510">
        <v>56136.4</v>
      </c>
      <c r="AX51" s="518">
        <v>0</v>
      </c>
      <c r="AY51" s="514">
        <v>3266.6779999999994</v>
      </c>
      <c r="AZ51" s="14" t="s">
        <v>456</v>
      </c>
      <c r="BA51" s="347" t="s">
        <v>170</v>
      </c>
      <c r="BB51" s="514">
        <v>0</v>
      </c>
      <c r="BC51" s="514">
        <v>0</v>
      </c>
      <c r="BD51" s="514">
        <v>0</v>
      </c>
      <c r="BE51" s="514">
        <v>0</v>
      </c>
      <c r="BF51" s="514">
        <v>0</v>
      </c>
      <c r="BG51" s="514">
        <v>0</v>
      </c>
      <c r="BH51" s="514">
        <v>0</v>
      </c>
      <c r="BI51" s="514">
        <v>0</v>
      </c>
      <c r="BJ51" s="514">
        <v>0</v>
      </c>
      <c r="BK51" s="514">
        <v>0</v>
      </c>
      <c r="BL51" s="514">
        <v>0</v>
      </c>
      <c r="BN51" s="233"/>
    </row>
    <row r="52" spans="1:66" ht="11.1" customHeight="1">
      <c r="A52" s="14"/>
      <c r="B52" s="347" t="s">
        <v>171</v>
      </c>
      <c r="C52" s="514">
        <v>0</v>
      </c>
      <c r="D52" s="514">
        <v>111075.15000000001</v>
      </c>
      <c r="E52" s="514">
        <v>0</v>
      </c>
      <c r="F52" s="514">
        <v>768102.95</v>
      </c>
      <c r="G52" s="514">
        <v>0</v>
      </c>
      <c r="H52" s="514">
        <v>0</v>
      </c>
      <c r="I52" s="514">
        <v>0</v>
      </c>
      <c r="J52" s="514">
        <v>0</v>
      </c>
      <c r="K52" s="514">
        <v>2.8</v>
      </c>
      <c r="L52" s="514">
        <v>0</v>
      </c>
      <c r="M52" s="514">
        <v>0</v>
      </c>
      <c r="N52" s="14"/>
      <c r="O52" s="347" t="s">
        <v>171</v>
      </c>
      <c r="P52" s="514">
        <v>2750.7</v>
      </c>
      <c r="Q52" s="514">
        <v>0</v>
      </c>
      <c r="R52" s="514">
        <v>0</v>
      </c>
      <c r="S52" s="514">
        <v>0</v>
      </c>
      <c r="T52" s="514">
        <v>0</v>
      </c>
      <c r="U52" s="514">
        <v>0</v>
      </c>
      <c r="V52" s="514">
        <v>0</v>
      </c>
      <c r="W52" s="514">
        <v>417.20000000000005</v>
      </c>
      <c r="X52" s="514">
        <v>392006</v>
      </c>
      <c r="Y52" s="514">
        <v>991.5</v>
      </c>
      <c r="Z52" s="514">
        <v>22012.699999999997</v>
      </c>
      <c r="AA52" s="14"/>
      <c r="AB52" s="347" t="s">
        <v>171</v>
      </c>
      <c r="AC52" s="514">
        <v>8505.4</v>
      </c>
      <c r="AD52" s="514">
        <v>0</v>
      </c>
      <c r="AE52" s="514">
        <v>3448.4000000000005</v>
      </c>
      <c r="AF52" s="514">
        <v>45921.200000000004</v>
      </c>
      <c r="AG52" s="514">
        <v>1703.3999999999999</v>
      </c>
      <c r="AH52" s="514">
        <v>0</v>
      </c>
      <c r="AI52" s="514">
        <v>939.59999999999991</v>
      </c>
      <c r="AJ52" s="514">
        <v>0</v>
      </c>
      <c r="AK52" s="514">
        <v>0</v>
      </c>
      <c r="AL52" s="514">
        <v>0</v>
      </c>
      <c r="AM52" s="14"/>
      <c r="AN52" s="347" t="s">
        <v>171</v>
      </c>
      <c r="AO52" s="510">
        <v>0</v>
      </c>
      <c r="AP52" s="510">
        <v>429679.24000000005</v>
      </c>
      <c r="AQ52" s="510">
        <v>0</v>
      </c>
      <c r="AR52" s="510">
        <v>85255.8</v>
      </c>
      <c r="AS52" s="510">
        <v>0</v>
      </c>
      <c r="AT52" s="510">
        <v>0</v>
      </c>
      <c r="AU52" s="510">
        <v>0</v>
      </c>
      <c r="AV52" s="510">
        <v>83425.19</v>
      </c>
      <c r="AW52" s="510">
        <v>48390.600000000006</v>
      </c>
      <c r="AX52" s="518">
        <v>0</v>
      </c>
      <c r="AY52" s="514">
        <v>3031.3960000000002</v>
      </c>
      <c r="AZ52" s="14"/>
      <c r="BA52" s="347" t="s">
        <v>171</v>
      </c>
      <c r="BB52" s="514">
        <v>0</v>
      </c>
      <c r="BC52" s="514">
        <v>0</v>
      </c>
      <c r="BD52" s="514">
        <v>0</v>
      </c>
      <c r="BE52" s="514">
        <v>0</v>
      </c>
      <c r="BF52" s="514">
        <v>0</v>
      </c>
      <c r="BG52" s="514">
        <v>0</v>
      </c>
      <c r="BH52" s="514">
        <v>0</v>
      </c>
      <c r="BI52" s="514">
        <v>0</v>
      </c>
      <c r="BJ52" s="514">
        <v>0</v>
      </c>
      <c r="BK52" s="514">
        <v>0</v>
      </c>
      <c r="BL52" s="514">
        <v>0</v>
      </c>
      <c r="BN52" s="233"/>
    </row>
    <row r="53" spans="1:66" ht="11.1" customHeight="1">
      <c r="A53" s="14" t="s">
        <v>454</v>
      </c>
      <c r="B53" s="347" t="s">
        <v>170</v>
      </c>
      <c r="C53" s="514">
        <v>21</v>
      </c>
      <c r="D53" s="514">
        <v>78</v>
      </c>
      <c r="E53" s="514">
        <v>1283</v>
      </c>
      <c r="F53" s="514">
        <v>0</v>
      </c>
      <c r="G53" s="514">
        <v>6</v>
      </c>
      <c r="H53" s="514">
        <v>454</v>
      </c>
      <c r="I53" s="514">
        <v>0</v>
      </c>
      <c r="J53" s="514">
        <v>0</v>
      </c>
      <c r="K53" s="514">
        <v>11476</v>
      </c>
      <c r="L53" s="514">
        <v>0</v>
      </c>
      <c r="M53" s="514">
        <v>3589</v>
      </c>
      <c r="N53" s="14" t="s">
        <v>454</v>
      </c>
      <c r="O53" s="347" t="s">
        <v>170</v>
      </c>
      <c r="P53" s="514">
        <v>9619</v>
      </c>
      <c r="Q53" s="514">
        <v>11713</v>
      </c>
      <c r="R53" s="514">
        <v>176</v>
      </c>
      <c r="S53" s="514">
        <v>0</v>
      </c>
      <c r="T53" s="514">
        <v>421</v>
      </c>
      <c r="U53" s="514">
        <v>15672</v>
      </c>
      <c r="V53" s="514">
        <v>2443</v>
      </c>
      <c r="W53" s="514">
        <v>280</v>
      </c>
      <c r="X53" s="514">
        <v>24</v>
      </c>
      <c r="Y53" s="514">
        <v>0</v>
      </c>
      <c r="Z53" s="514">
        <v>0</v>
      </c>
      <c r="AA53" s="14" t="s">
        <v>454</v>
      </c>
      <c r="AB53" s="347" t="s">
        <v>170</v>
      </c>
      <c r="AC53" s="514">
        <v>0</v>
      </c>
      <c r="AD53" s="514">
        <v>0</v>
      </c>
      <c r="AE53" s="514">
        <v>0</v>
      </c>
      <c r="AF53" s="514">
        <v>2622</v>
      </c>
      <c r="AG53" s="514">
        <v>0</v>
      </c>
      <c r="AH53" s="514">
        <v>0</v>
      </c>
      <c r="AI53" s="514">
        <v>7584</v>
      </c>
      <c r="AJ53" s="514">
        <v>1534</v>
      </c>
      <c r="AK53" s="514">
        <v>577</v>
      </c>
      <c r="AL53" s="514">
        <v>1342</v>
      </c>
      <c r="AM53" s="14" t="s">
        <v>454</v>
      </c>
      <c r="AN53" s="347" t="s">
        <v>170</v>
      </c>
      <c r="AO53" s="510">
        <v>148097</v>
      </c>
      <c r="AP53" s="510">
        <v>0</v>
      </c>
      <c r="AQ53" s="510">
        <v>10344</v>
      </c>
      <c r="AR53" s="510">
        <v>0</v>
      </c>
      <c r="AS53" s="510">
        <v>1410</v>
      </c>
      <c r="AT53" s="510">
        <v>0</v>
      </c>
      <c r="AU53" s="510">
        <v>0</v>
      </c>
      <c r="AV53" s="510">
        <v>0</v>
      </c>
      <c r="AW53" s="510">
        <v>0</v>
      </c>
      <c r="AX53" s="518">
        <v>415</v>
      </c>
      <c r="AY53" s="514">
        <v>0</v>
      </c>
      <c r="AZ53" s="14" t="s">
        <v>454</v>
      </c>
      <c r="BA53" s="347" t="s">
        <v>170</v>
      </c>
      <c r="BB53" s="514">
        <v>0</v>
      </c>
      <c r="BC53" s="514">
        <v>0</v>
      </c>
      <c r="BD53" s="514">
        <v>0</v>
      </c>
      <c r="BE53" s="514">
        <v>0</v>
      </c>
      <c r="BF53" s="514">
        <v>246399</v>
      </c>
      <c r="BG53" s="514">
        <v>139573</v>
      </c>
      <c r="BH53" s="514">
        <v>0</v>
      </c>
      <c r="BI53" s="514">
        <v>48</v>
      </c>
      <c r="BJ53" s="514">
        <v>0</v>
      </c>
      <c r="BK53" s="514">
        <v>11946</v>
      </c>
      <c r="BL53" s="514">
        <v>0</v>
      </c>
      <c r="BN53" s="233"/>
    </row>
    <row r="54" spans="1:66" ht="11.1" customHeight="1">
      <c r="A54" s="14"/>
      <c r="B54" s="347" t="s">
        <v>171</v>
      </c>
      <c r="C54" s="514">
        <v>9</v>
      </c>
      <c r="D54" s="514">
        <v>14</v>
      </c>
      <c r="E54" s="514">
        <v>2201</v>
      </c>
      <c r="F54" s="514">
        <v>0</v>
      </c>
      <c r="G54" s="514">
        <v>0</v>
      </c>
      <c r="H54" s="514">
        <v>1086</v>
      </c>
      <c r="I54" s="514">
        <v>0</v>
      </c>
      <c r="J54" s="514">
        <v>0</v>
      </c>
      <c r="K54" s="514">
        <v>9159</v>
      </c>
      <c r="L54" s="514">
        <v>0</v>
      </c>
      <c r="M54" s="514">
        <v>2050</v>
      </c>
      <c r="N54" s="14"/>
      <c r="O54" s="347" t="s">
        <v>171</v>
      </c>
      <c r="P54" s="514">
        <v>7701</v>
      </c>
      <c r="Q54" s="514">
        <v>13312</v>
      </c>
      <c r="R54" s="514">
        <v>112</v>
      </c>
      <c r="S54" s="514">
        <v>0</v>
      </c>
      <c r="T54" s="514">
        <v>222</v>
      </c>
      <c r="U54" s="514">
        <v>13050</v>
      </c>
      <c r="V54" s="514">
        <v>1453</v>
      </c>
      <c r="W54" s="514">
        <v>182</v>
      </c>
      <c r="X54" s="514">
        <v>25</v>
      </c>
      <c r="Y54" s="514">
        <v>0</v>
      </c>
      <c r="Z54" s="514">
        <v>0</v>
      </c>
      <c r="AA54" s="14"/>
      <c r="AB54" s="347" t="s">
        <v>171</v>
      </c>
      <c r="AC54" s="514">
        <v>0</v>
      </c>
      <c r="AD54" s="514">
        <v>0</v>
      </c>
      <c r="AE54" s="514">
        <v>0</v>
      </c>
      <c r="AF54" s="514">
        <v>4588</v>
      </c>
      <c r="AG54" s="514">
        <v>0</v>
      </c>
      <c r="AH54" s="514">
        <v>0</v>
      </c>
      <c r="AI54" s="514">
        <v>6856</v>
      </c>
      <c r="AJ54" s="514">
        <v>1730</v>
      </c>
      <c r="AK54" s="514">
        <v>556</v>
      </c>
      <c r="AL54" s="514">
        <v>1370</v>
      </c>
      <c r="AM54" s="14"/>
      <c r="AN54" s="347" t="s">
        <v>171</v>
      </c>
      <c r="AO54" s="510">
        <v>145887</v>
      </c>
      <c r="AP54" s="510">
        <v>0</v>
      </c>
      <c r="AQ54" s="510">
        <v>7927</v>
      </c>
      <c r="AR54" s="510">
        <v>0</v>
      </c>
      <c r="AS54" s="510">
        <v>2388</v>
      </c>
      <c r="AT54" s="510">
        <v>0</v>
      </c>
      <c r="AU54" s="510">
        <v>0</v>
      </c>
      <c r="AV54" s="510">
        <v>0</v>
      </c>
      <c r="AW54" s="510">
        <v>0</v>
      </c>
      <c r="AX54" s="518">
        <v>76</v>
      </c>
      <c r="AY54" s="514">
        <v>0</v>
      </c>
      <c r="AZ54" s="14"/>
      <c r="BA54" s="347" t="s">
        <v>171</v>
      </c>
      <c r="BB54" s="514">
        <v>0</v>
      </c>
      <c r="BC54" s="514">
        <v>0</v>
      </c>
      <c r="BD54" s="514">
        <v>0</v>
      </c>
      <c r="BE54" s="514">
        <v>0</v>
      </c>
      <c r="BF54" s="514">
        <v>236162</v>
      </c>
      <c r="BG54" s="514">
        <v>120660</v>
      </c>
      <c r="BH54" s="514">
        <v>0</v>
      </c>
      <c r="BI54" s="514">
        <v>363</v>
      </c>
      <c r="BJ54" s="514">
        <v>0</v>
      </c>
      <c r="BK54" s="514">
        <v>11174</v>
      </c>
      <c r="BL54" s="514">
        <v>0</v>
      </c>
      <c r="BN54" s="233"/>
    </row>
    <row r="55" spans="1:66" ht="11.1" customHeight="1">
      <c r="A55" s="14" t="s">
        <v>455</v>
      </c>
      <c r="B55" s="347" t="s">
        <v>170</v>
      </c>
      <c r="C55" s="514">
        <v>0</v>
      </c>
      <c r="D55" s="514">
        <v>1149.335</v>
      </c>
      <c r="E55" s="514">
        <v>0</v>
      </c>
      <c r="F55" s="514">
        <v>129194.49299999999</v>
      </c>
      <c r="G55" s="514">
        <v>0</v>
      </c>
      <c r="H55" s="514">
        <v>0</v>
      </c>
      <c r="I55" s="514">
        <v>0</v>
      </c>
      <c r="J55" s="514">
        <v>0</v>
      </c>
      <c r="K55" s="514">
        <v>16.774000000000001</v>
      </c>
      <c r="L55" s="514">
        <v>0</v>
      </c>
      <c r="M55" s="514">
        <v>53.191000000000003</v>
      </c>
      <c r="N55" s="14" t="s">
        <v>455</v>
      </c>
      <c r="O55" s="347" t="s">
        <v>170</v>
      </c>
      <c r="P55" s="514">
        <v>47.8</v>
      </c>
      <c r="Q55" s="514">
        <v>67.83</v>
      </c>
      <c r="R55" s="514">
        <v>0</v>
      </c>
      <c r="S55" s="514">
        <v>0</v>
      </c>
      <c r="T55" s="514">
        <v>0</v>
      </c>
      <c r="U55" s="514">
        <v>0</v>
      </c>
      <c r="V55" s="514">
        <v>2997.0369999999998</v>
      </c>
      <c r="W55" s="514">
        <v>0</v>
      </c>
      <c r="X55" s="514">
        <v>120374.70000000001</v>
      </c>
      <c r="Y55" s="514">
        <v>504.185</v>
      </c>
      <c r="Z55" s="514">
        <v>528.2829999999999</v>
      </c>
      <c r="AA55" s="14" t="s">
        <v>455</v>
      </c>
      <c r="AB55" s="347" t="s">
        <v>170</v>
      </c>
      <c r="AC55" s="514">
        <v>0</v>
      </c>
      <c r="AD55" s="514">
        <v>0</v>
      </c>
      <c r="AE55" s="514">
        <v>32898.217000000004</v>
      </c>
      <c r="AF55" s="514">
        <v>640.25</v>
      </c>
      <c r="AG55" s="514">
        <v>19.2</v>
      </c>
      <c r="AH55" s="514">
        <v>48</v>
      </c>
      <c r="AI55" s="514">
        <v>19</v>
      </c>
      <c r="AJ55" s="514">
        <v>0</v>
      </c>
      <c r="AK55" s="514">
        <v>0</v>
      </c>
      <c r="AL55" s="514">
        <v>0</v>
      </c>
      <c r="AM55" s="14" t="s">
        <v>455</v>
      </c>
      <c r="AN55" s="347" t="s">
        <v>170</v>
      </c>
      <c r="AO55" s="510">
        <v>0</v>
      </c>
      <c r="AP55" s="510">
        <v>0</v>
      </c>
      <c r="AQ55" s="510">
        <v>0</v>
      </c>
      <c r="AR55" s="510">
        <v>1702.6890000000001</v>
      </c>
      <c r="AS55" s="510">
        <v>24.035999999999998</v>
      </c>
      <c r="AT55" s="510">
        <v>0</v>
      </c>
      <c r="AU55" s="510">
        <v>0</v>
      </c>
      <c r="AV55" s="510">
        <v>0</v>
      </c>
      <c r="AW55" s="510">
        <v>682.22400000000005</v>
      </c>
      <c r="AX55" s="518">
        <v>0</v>
      </c>
      <c r="AY55" s="514">
        <v>0</v>
      </c>
      <c r="AZ55" s="14" t="s">
        <v>455</v>
      </c>
      <c r="BA55" s="347" t="s">
        <v>170</v>
      </c>
      <c r="BB55" s="514">
        <v>0</v>
      </c>
      <c r="BC55" s="514">
        <v>0</v>
      </c>
      <c r="BD55" s="514">
        <v>0</v>
      </c>
      <c r="BE55" s="514">
        <v>0</v>
      </c>
      <c r="BF55" s="514">
        <v>0</v>
      </c>
      <c r="BG55" s="514">
        <v>0</v>
      </c>
      <c r="BH55" s="514">
        <v>0</v>
      </c>
      <c r="BI55" s="514">
        <v>0</v>
      </c>
      <c r="BJ55" s="514">
        <v>0</v>
      </c>
      <c r="BK55" s="514">
        <v>0</v>
      </c>
      <c r="BL55" s="514">
        <v>0</v>
      </c>
      <c r="BN55" s="233"/>
    </row>
    <row r="56" spans="1:66" ht="11.1" customHeight="1">
      <c r="A56" s="14"/>
      <c r="B56" s="347" t="s">
        <v>171</v>
      </c>
      <c r="C56" s="514">
        <v>0</v>
      </c>
      <c r="D56" s="514">
        <v>3737.6750000000006</v>
      </c>
      <c r="E56" s="514">
        <v>0</v>
      </c>
      <c r="F56" s="514">
        <v>122489.01000000001</v>
      </c>
      <c r="G56" s="514">
        <v>0</v>
      </c>
      <c r="H56" s="514">
        <v>0</v>
      </c>
      <c r="I56" s="514">
        <v>0</v>
      </c>
      <c r="J56" s="514">
        <v>0</v>
      </c>
      <c r="K56" s="514">
        <v>12.180000000000001</v>
      </c>
      <c r="L56" s="514">
        <v>0</v>
      </c>
      <c r="M56" s="514">
        <v>63.805</v>
      </c>
      <c r="N56" s="14"/>
      <c r="O56" s="347" t="s">
        <v>171</v>
      </c>
      <c r="P56" s="514">
        <v>21.75</v>
      </c>
      <c r="Q56" s="514">
        <v>130.6</v>
      </c>
      <c r="R56" s="514">
        <v>0</v>
      </c>
      <c r="S56" s="514">
        <v>0</v>
      </c>
      <c r="T56" s="514">
        <v>0</v>
      </c>
      <c r="U56" s="514">
        <v>12.7</v>
      </c>
      <c r="V56" s="514">
        <v>2422.4160000000002</v>
      </c>
      <c r="W56" s="514">
        <v>0</v>
      </c>
      <c r="X56" s="514">
        <v>133161.59600000002</v>
      </c>
      <c r="Y56" s="514">
        <v>410.05099999999999</v>
      </c>
      <c r="Z56" s="514">
        <v>1097.0609999999999</v>
      </c>
      <c r="AA56" s="14"/>
      <c r="AB56" s="347" t="s">
        <v>171</v>
      </c>
      <c r="AC56" s="514">
        <v>0</v>
      </c>
      <c r="AD56" s="514">
        <v>0</v>
      </c>
      <c r="AE56" s="514">
        <v>36516.243999999999</v>
      </c>
      <c r="AF56" s="514">
        <v>416.76400000000001</v>
      </c>
      <c r="AG56" s="514">
        <v>9.8000000000000007</v>
      </c>
      <c r="AH56" s="514">
        <v>23.6</v>
      </c>
      <c r="AI56" s="514">
        <v>44</v>
      </c>
      <c r="AJ56" s="514">
        <v>0</v>
      </c>
      <c r="AK56" s="514">
        <v>0</v>
      </c>
      <c r="AL56" s="514">
        <v>0</v>
      </c>
      <c r="AM56" s="14"/>
      <c r="AN56" s="347" t="s">
        <v>171</v>
      </c>
      <c r="AO56" s="510">
        <v>0</v>
      </c>
      <c r="AP56" s="510">
        <v>0</v>
      </c>
      <c r="AQ56" s="510">
        <v>0</v>
      </c>
      <c r="AR56" s="510">
        <v>2475.578</v>
      </c>
      <c r="AS56" s="510">
        <v>11.597999999999999</v>
      </c>
      <c r="AT56" s="510">
        <v>0</v>
      </c>
      <c r="AU56" s="510">
        <v>0</v>
      </c>
      <c r="AV56" s="510">
        <v>0</v>
      </c>
      <c r="AW56" s="510">
        <v>658.17700000000002</v>
      </c>
      <c r="AX56" s="518">
        <v>0</v>
      </c>
      <c r="AY56" s="514">
        <v>0.66</v>
      </c>
      <c r="AZ56" s="14"/>
      <c r="BA56" s="347" t="s">
        <v>171</v>
      </c>
      <c r="BB56" s="514">
        <v>0</v>
      </c>
      <c r="BC56" s="514">
        <v>0</v>
      </c>
      <c r="BD56" s="514">
        <v>0</v>
      </c>
      <c r="BE56" s="514">
        <v>0</v>
      </c>
      <c r="BF56" s="514">
        <v>0</v>
      </c>
      <c r="BG56" s="514">
        <v>0</v>
      </c>
      <c r="BH56" s="514">
        <v>0</v>
      </c>
      <c r="BI56" s="514">
        <v>0</v>
      </c>
      <c r="BJ56" s="514">
        <v>0</v>
      </c>
      <c r="BK56" s="514">
        <v>0</v>
      </c>
      <c r="BL56" s="514">
        <v>0</v>
      </c>
      <c r="BN56" s="233"/>
    </row>
    <row r="57" spans="1:66" ht="11.1" customHeight="1">
      <c r="A57" s="14" t="s">
        <v>457</v>
      </c>
      <c r="B57" s="347" t="s">
        <v>170</v>
      </c>
      <c r="C57" s="514">
        <v>0</v>
      </c>
      <c r="D57" s="514">
        <v>26552.672000000002</v>
      </c>
      <c r="E57" s="514">
        <v>0</v>
      </c>
      <c r="F57" s="514">
        <v>59594.593999999997</v>
      </c>
      <c r="G57" s="514">
        <v>0</v>
      </c>
      <c r="H57" s="514">
        <v>0</v>
      </c>
      <c r="I57" s="514">
        <v>0</v>
      </c>
      <c r="J57" s="514">
        <v>0</v>
      </c>
      <c r="K57" s="514">
        <v>276.94</v>
      </c>
      <c r="L57" s="514">
        <v>0</v>
      </c>
      <c r="M57" s="514">
        <v>0</v>
      </c>
      <c r="N57" s="14" t="s">
        <v>457</v>
      </c>
      <c r="O57" s="347" t="s">
        <v>170</v>
      </c>
      <c r="P57" s="514">
        <v>169.32</v>
      </c>
      <c r="Q57" s="514">
        <v>167.75</v>
      </c>
      <c r="R57" s="514">
        <v>0</v>
      </c>
      <c r="S57" s="514">
        <v>0</v>
      </c>
      <c r="T57" s="514">
        <v>0</v>
      </c>
      <c r="U57" s="514">
        <v>0</v>
      </c>
      <c r="V57" s="514">
        <v>0</v>
      </c>
      <c r="W57" s="514">
        <v>2294.8770000000004</v>
      </c>
      <c r="X57" s="514">
        <v>276773.72200000001</v>
      </c>
      <c r="Y57" s="514">
        <v>4485.5539999999992</v>
      </c>
      <c r="Z57" s="514">
        <v>47235.940999999992</v>
      </c>
      <c r="AA57" s="14" t="s">
        <v>457</v>
      </c>
      <c r="AB57" s="347" t="s">
        <v>170</v>
      </c>
      <c r="AC57" s="514">
        <v>9374.8060000000005</v>
      </c>
      <c r="AD57" s="514">
        <v>536.80399999999997</v>
      </c>
      <c r="AE57" s="514">
        <v>10579.656999999999</v>
      </c>
      <c r="AF57" s="514">
        <v>8046.1349999999984</v>
      </c>
      <c r="AG57" s="514">
        <v>4938.0180000000009</v>
      </c>
      <c r="AH57" s="514">
        <v>2620.636</v>
      </c>
      <c r="AI57" s="514">
        <v>0</v>
      </c>
      <c r="AJ57" s="514">
        <v>0</v>
      </c>
      <c r="AK57" s="514">
        <v>0</v>
      </c>
      <c r="AL57" s="514">
        <v>0</v>
      </c>
      <c r="AM57" s="14" t="s">
        <v>457</v>
      </c>
      <c r="AN57" s="347" t="s">
        <v>170</v>
      </c>
      <c r="AO57" s="510">
        <v>0</v>
      </c>
      <c r="AP57" s="510">
        <v>350244.02799999999</v>
      </c>
      <c r="AQ57" s="510">
        <v>0</v>
      </c>
      <c r="AR57" s="510">
        <v>86751.873999999996</v>
      </c>
      <c r="AS57" s="510">
        <v>482.58</v>
      </c>
      <c r="AT57" s="510">
        <v>0</v>
      </c>
      <c r="AU57" s="510">
        <v>0</v>
      </c>
      <c r="AV57" s="510">
        <v>8325.1010000000006</v>
      </c>
      <c r="AW57" s="510">
        <v>16587.415000000001</v>
      </c>
      <c r="AX57" s="518">
        <v>0</v>
      </c>
      <c r="AY57" s="514">
        <v>1143.7459999999999</v>
      </c>
      <c r="AZ57" s="14" t="s">
        <v>457</v>
      </c>
      <c r="BA57" s="347" t="s">
        <v>170</v>
      </c>
      <c r="BB57" s="514">
        <v>0</v>
      </c>
      <c r="BC57" s="514">
        <v>0</v>
      </c>
      <c r="BD57" s="514">
        <v>0</v>
      </c>
      <c r="BE57" s="514">
        <v>0</v>
      </c>
      <c r="BF57" s="514">
        <v>0</v>
      </c>
      <c r="BG57" s="514">
        <v>0</v>
      </c>
      <c r="BH57" s="514">
        <v>0</v>
      </c>
      <c r="BI57" s="514">
        <v>0</v>
      </c>
      <c r="BJ57" s="514">
        <v>234.50900000000001</v>
      </c>
      <c r="BK57" s="514">
        <v>0</v>
      </c>
      <c r="BL57" s="514">
        <v>0</v>
      </c>
      <c r="BN57" s="233"/>
    </row>
    <row r="58" spans="1:66" ht="11.1" customHeight="1">
      <c r="A58" s="16"/>
      <c r="B58" s="348" t="s">
        <v>171</v>
      </c>
      <c r="C58" s="515">
        <v>0</v>
      </c>
      <c r="D58" s="515">
        <v>25511.573999999993</v>
      </c>
      <c r="E58" s="515">
        <v>0</v>
      </c>
      <c r="F58" s="515">
        <v>93160.587</v>
      </c>
      <c r="G58" s="515">
        <v>0</v>
      </c>
      <c r="H58" s="515">
        <v>0</v>
      </c>
      <c r="I58" s="515">
        <v>0</v>
      </c>
      <c r="J58" s="515">
        <v>0</v>
      </c>
      <c r="K58" s="515">
        <v>32.17</v>
      </c>
      <c r="L58" s="515">
        <v>0</v>
      </c>
      <c r="M58" s="515">
        <v>0</v>
      </c>
      <c r="N58" s="16"/>
      <c r="O58" s="348" t="s">
        <v>171</v>
      </c>
      <c r="P58" s="515">
        <v>138.18799999999999</v>
      </c>
      <c r="Q58" s="515">
        <v>225.18899999999999</v>
      </c>
      <c r="R58" s="515">
        <v>0</v>
      </c>
      <c r="S58" s="515">
        <v>0</v>
      </c>
      <c r="T58" s="515">
        <v>0</v>
      </c>
      <c r="U58" s="515">
        <v>0</v>
      </c>
      <c r="V58" s="515">
        <v>0</v>
      </c>
      <c r="W58" s="515">
        <v>2055.8989999999999</v>
      </c>
      <c r="X58" s="515">
        <v>284167.696</v>
      </c>
      <c r="Y58" s="515">
        <v>3666.2640000000001</v>
      </c>
      <c r="Z58" s="515">
        <v>39135.97</v>
      </c>
      <c r="AA58" s="16"/>
      <c r="AB58" s="348" t="s">
        <v>171</v>
      </c>
      <c r="AC58" s="515">
        <v>9803.6589999999997</v>
      </c>
      <c r="AD58" s="515">
        <v>287.63500000000005</v>
      </c>
      <c r="AE58" s="515">
        <v>11317.744999999999</v>
      </c>
      <c r="AF58" s="515">
        <v>9310.7540000000008</v>
      </c>
      <c r="AG58" s="515">
        <v>4833.0000000000009</v>
      </c>
      <c r="AH58" s="515">
        <v>2471.0250000000001</v>
      </c>
      <c r="AI58" s="515">
        <v>0</v>
      </c>
      <c r="AJ58" s="515">
        <v>0</v>
      </c>
      <c r="AK58" s="515">
        <v>0</v>
      </c>
      <c r="AL58" s="515">
        <v>0</v>
      </c>
      <c r="AM58" s="16"/>
      <c r="AN58" s="348" t="s">
        <v>171</v>
      </c>
      <c r="AO58" s="511">
        <v>0</v>
      </c>
      <c r="AP58" s="511">
        <v>337507.66099999996</v>
      </c>
      <c r="AQ58" s="511">
        <v>0</v>
      </c>
      <c r="AR58" s="511">
        <v>92903.150999999998</v>
      </c>
      <c r="AS58" s="511">
        <v>501.08999999999992</v>
      </c>
      <c r="AT58" s="511">
        <v>0</v>
      </c>
      <c r="AU58" s="511">
        <v>0</v>
      </c>
      <c r="AV58" s="511">
        <v>13622.006000000001</v>
      </c>
      <c r="AW58" s="511">
        <v>17031.115999999998</v>
      </c>
      <c r="AX58" s="519">
        <v>0</v>
      </c>
      <c r="AY58" s="515">
        <v>1008.909</v>
      </c>
      <c r="AZ58" s="16"/>
      <c r="BA58" s="348" t="s">
        <v>171</v>
      </c>
      <c r="BB58" s="515">
        <v>0</v>
      </c>
      <c r="BC58" s="515">
        <v>0</v>
      </c>
      <c r="BD58" s="515">
        <v>0</v>
      </c>
      <c r="BE58" s="515">
        <v>0</v>
      </c>
      <c r="BF58" s="515">
        <v>0</v>
      </c>
      <c r="BG58" s="515">
        <v>0</v>
      </c>
      <c r="BH58" s="515">
        <v>0</v>
      </c>
      <c r="BI58" s="515">
        <v>0</v>
      </c>
      <c r="BJ58" s="515">
        <v>213.46700000000004</v>
      </c>
      <c r="BK58" s="515">
        <v>0</v>
      </c>
      <c r="BL58" s="515">
        <v>0</v>
      </c>
      <c r="BN58" s="234"/>
    </row>
    <row r="59" spans="1:66" ht="12.75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40" t="s">
        <v>328</v>
      </c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61" t="s">
        <v>500</v>
      </c>
      <c r="AA59" s="223"/>
      <c r="AB59" s="223"/>
      <c r="AC59" s="223"/>
      <c r="AD59" s="223"/>
      <c r="AE59" s="223"/>
      <c r="AF59" s="223"/>
      <c r="AG59" s="223"/>
      <c r="AH59" s="223"/>
      <c r="AI59" s="223"/>
      <c r="AJ59" s="223"/>
      <c r="AK59" s="223"/>
      <c r="AL59" s="261" t="s">
        <v>500</v>
      </c>
      <c r="AM59" s="223"/>
      <c r="AN59" s="223"/>
      <c r="AO59" s="223"/>
      <c r="AP59" s="223"/>
      <c r="AQ59" s="223"/>
      <c r="AR59" s="223"/>
      <c r="AS59" s="223"/>
      <c r="AT59" s="223"/>
      <c r="AU59" s="223"/>
      <c r="AV59" s="223"/>
      <c r="AW59" s="223"/>
      <c r="AX59" s="223"/>
      <c r="AY59" s="520" t="s">
        <v>500</v>
      </c>
      <c r="AZ59" s="242" t="s">
        <v>16</v>
      </c>
      <c r="BA59" s="223"/>
      <c r="BB59" s="223"/>
      <c r="BC59" s="223"/>
      <c r="BD59" s="223"/>
      <c r="BE59" s="223"/>
      <c r="BF59" s="223"/>
      <c r="BG59" s="223"/>
      <c r="BH59" s="223"/>
      <c r="BI59" s="223"/>
      <c r="BJ59" s="223"/>
      <c r="BK59" s="223"/>
      <c r="BL59" s="223"/>
      <c r="BM59" s="256"/>
      <c r="BN59" s="26"/>
    </row>
    <row r="60" spans="1:66" ht="12.75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3"/>
      <c r="AP60" s="223"/>
      <c r="AQ60" s="223"/>
      <c r="AR60" s="223"/>
      <c r="AS60" s="223"/>
      <c r="AT60" s="223"/>
      <c r="AU60" s="223"/>
      <c r="AV60" s="223"/>
      <c r="AW60" s="223"/>
      <c r="AX60" s="223"/>
      <c r="AY60" s="223"/>
      <c r="AZ60" s="242" t="s">
        <v>279</v>
      </c>
      <c r="BA60" s="223"/>
      <c r="BB60" s="223"/>
      <c r="BC60" s="223"/>
      <c r="BD60" s="223"/>
      <c r="BE60" s="223"/>
      <c r="BF60" s="223"/>
      <c r="BG60" s="223"/>
      <c r="BH60" s="223"/>
      <c r="BI60" s="223"/>
      <c r="BJ60" s="223"/>
      <c r="BK60" s="223"/>
      <c r="BL60" s="223"/>
      <c r="BM60" s="256"/>
    </row>
    <row r="61" spans="1:66" ht="12.75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330" t="s">
        <v>379</v>
      </c>
      <c r="BA61" s="330"/>
      <c r="BB61" s="256"/>
      <c r="BC61" s="256"/>
      <c r="BD61" s="256"/>
      <c r="BE61" s="256"/>
      <c r="BF61" s="256"/>
      <c r="BG61" s="256"/>
      <c r="BH61" s="256"/>
      <c r="BI61" s="330"/>
      <c r="BJ61" s="330"/>
      <c r="BK61" s="330"/>
      <c r="BL61" s="330"/>
      <c r="BM61" s="330"/>
    </row>
    <row r="62" spans="1:66" ht="12.75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</row>
    <row r="63" spans="1:66" ht="12.75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</row>
    <row r="64" spans="1:66" ht="12.75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220"/>
      <c r="BF64" s="220"/>
      <c r="BG64" s="220"/>
      <c r="BH64" s="220"/>
      <c r="BI64" s="220"/>
      <c r="BJ64" s="220"/>
      <c r="BK64" s="220"/>
      <c r="BL64" s="220"/>
      <c r="BM64" s="220"/>
    </row>
    <row r="85" spans="24:24" ht="17.100000000000001" customHeight="1">
      <c r="X85" s="272" t="s">
        <v>58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.7" right="0.7" top="0.75" bottom="0.75" header="0.3" footer="0.3"/>
  <colBreaks count="4" manualBreakCount="4">
    <brk id="13" max="60" man="1"/>
    <brk id="26" max="60" man="1"/>
    <brk id="38" max="60" man="1"/>
    <brk id="51" max="60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21"/>
  <dimension ref="A1:X121"/>
  <sheetViews>
    <sheetView showGridLines="0" topLeftCell="A102" zoomScale="150" workbookViewId="0">
      <selection activeCell="R123" sqref="R123"/>
    </sheetView>
  </sheetViews>
  <sheetFormatPr baseColWidth="10" defaultColWidth="10.7109375" defaultRowHeight="17.100000000000001" customHeight="1"/>
  <cols>
    <col min="1" max="1" width="10.28515625" style="272" customWidth="1"/>
    <col min="2" max="2" width="5.85546875" style="272" customWidth="1"/>
    <col min="3" max="15" width="6.7109375" style="272" customWidth="1"/>
    <col min="16" max="16384" width="10.7109375" style="272"/>
  </cols>
  <sheetData>
    <row r="1" spans="1:15" ht="16.350000000000001" customHeight="1">
      <c r="A1" s="108" t="s">
        <v>45</v>
      </c>
      <c r="B1" s="289"/>
      <c r="C1" s="290"/>
      <c r="D1" s="53"/>
    </row>
    <row r="2" spans="1:15" ht="13.5">
      <c r="A2" s="108" t="s">
        <v>506</v>
      </c>
      <c r="B2" s="28"/>
      <c r="C2" s="109"/>
    </row>
    <row r="3" spans="1:15" ht="4.3499999999999996" customHeight="1">
      <c r="A3" s="110"/>
      <c r="C3" s="109"/>
    </row>
    <row r="4" spans="1:15" ht="15.95" customHeight="1">
      <c r="A4" s="252" t="s">
        <v>443</v>
      </c>
      <c r="B4" s="253" t="s">
        <v>272</v>
      </c>
      <c r="C4" s="252" t="s">
        <v>47</v>
      </c>
      <c r="D4" s="236" t="s">
        <v>524</v>
      </c>
      <c r="E4" s="236" t="s">
        <v>525</v>
      </c>
      <c r="F4" s="236" t="s">
        <v>526</v>
      </c>
      <c r="G4" s="236" t="s">
        <v>527</v>
      </c>
      <c r="H4" s="236" t="s">
        <v>315</v>
      </c>
      <c r="I4" s="236" t="s">
        <v>316</v>
      </c>
      <c r="J4" s="236" t="s">
        <v>317</v>
      </c>
      <c r="K4" s="236" t="s">
        <v>413</v>
      </c>
      <c r="L4" s="236" t="s">
        <v>414</v>
      </c>
      <c r="M4" s="236" t="s">
        <v>415</v>
      </c>
      <c r="N4" s="236" t="s">
        <v>522</v>
      </c>
      <c r="O4" s="236" t="s">
        <v>523</v>
      </c>
    </row>
    <row r="5" spans="1:15" ht="11.1" customHeight="1">
      <c r="A5" s="110" t="s">
        <v>370</v>
      </c>
      <c r="B5" s="111">
        <v>2018</v>
      </c>
      <c r="C5" s="323">
        <v>196011.97400000002</v>
      </c>
      <c r="D5" s="324">
        <v>18</v>
      </c>
      <c r="E5" s="324">
        <v>70.88</v>
      </c>
      <c r="F5" s="324">
        <v>161.42999999999998</v>
      </c>
      <c r="G5" s="324">
        <v>646.54999999999995</v>
      </c>
      <c r="H5" s="324">
        <v>6574.2480000000014</v>
      </c>
      <c r="I5" s="324">
        <v>39381.228999999999</v>
      </c>
      <c r="J5" s="324">
        <v>65580.042999999991</v>
      </c>
      <c r="K5" s="324">
        <v>49186.731000000014</v>
      </c>
      <c r="L5" s="324">
        <v>23802.061999999994</v>
      </c>
      <c r="M5" s="324">
        <v>4045.0580000000004</v>
      </c>
      <c r="N5" s="324">
        <v>5084.5369999999994</v>
      </c>
      <c r="O5" s="324">
        <v>1461.2060000000001</v>
      </c>
    </row>
    <row r="6" spans="1:15" ht="11.1" customHeight="1">
      <c r="B6" s="111">
        <v>2019</v>
      </c>
      <c r="C6" s="323">
        <v>190560.065</v>
      </c>
      <c r="D6" s="324">
        <v>9.36</v>
      </c>
      <c r="E6" s="324">
        <v>32</v>
      </c>
      <c r="F6" s="324">
        <v>354.4</v>
      </c>
      <c r="G6" s="324">
        <v>866.06</v>
      </c>
      <c r="H6" s="324">
        <v>7819.3490000000011</v>
      </c>
      <c r="I6" s="324">
        <v>39333.908000000003</v>
      </c>
      <c r="J6" s="324">
        <v>58844.999000000003</v>
      </c>
      <c r="K6" s="324">
        <v>52714.29099999999</v>
      </c>
      <c r="L6" s="324">
        <v>18392.694</v>
      </c>
      <c r="M6" s="324">
        <v>5692.8180000000002</v>
      </c>
      <c r="N6" s="324">
        <v>3899.0859999999998</v>
      </c>
      <c r="O6" s="324">
        <v>2601.1</v>
      </c>
    </row>
    <row r="7" spans="1:15" ht="11.1" customHeight="1">
      <c r="A7" s="110" t="s">
        <v>224</v>
      </c>
      <c r="B7" s="111">
        <v>2018</v>
      </c>
      <c r="C7" s="323">
        <v>1266029.858</v>
      </c>
      <c r="D7" s="324">
        <v>117408.469</v>
      </c>
      <c r="E7" s="324">
        <v>115028.69900000002</v>
      </c>
      <c r="F7" s="324">
        <v>94871.049000000014</v>
      </c>
      <c r="G7" s="324">
        <v>63372.745999999999</v>
      </c>
      <c r="H7" s="324">
        <v>83190.983000000007</v>
      </c>
      <c r="I7" s="324">
        <v>130735.02899999997</v>
      </c>
      <c r="J7" s="324">
        <v>161912.10899999994</v>
      </c>
      <c r="K7" s="324">
        <v>122925.928</v>
      </c>
      <c r="L7" s="324">
        <v>105017.63900000001</v>
      </c>
      <c r="M7" s="324">
        <v>87584.729000000021</v>
      </c>
      <c r="N7" s="324">
        <v>83199.847999999998</v>
      </c>
      <c r="O7" s="324">
        <v>100782.63</v>
      </c>
    </row>
    <row r="8" spans="1:15" ht="11.1" customHeight="1">
      <c r="B8" s="111">
        <v>2019</v>
      </c>
      <c r="C8" s="323">
        <v>1271825.4650000001</v>
      </c>
      <c r="D8" s="324">
        <v>102653.35300000002</v>
      </c>
      <c r="E8" s="324">
        <v>107116.69</v>
      </c>
      <c r="F8" s="324">
        <v>78068.957000000009</v>
      </c>
      <c r="G8" s="324">
        <v>61622.018000000004</v>
      </c>
      <c r="H8" s="324">
        <v>75639.507999999987</v>
      </c>
      <c r="I8" s="324">
        <v>152432.62899999999</v>
      </c>
      <c r="J8" s="324">
        <v>208126.36499999999</v>
      </c>
      <c r="K8" s="324">
        <v>106664.32400000001</v>
      </c>
      <c r="L8" s="324">
        <v>93890.821999999986</v>
      </c>
      <c r="M8" s="324">
        <v>90149.790000000008</v>
      </c>
      <c r="N8" s="324">
        <v>81645.31</v>
      </c>
      <c r="O8" s="324">
        <v>113815.69899999998</v>
      </c>
    </row>
    <row r="9" spans="1:15" ht="11.1" customHeight="1">
      <c r="A9" s="110" t="s">
        <v>196</v>
      </c>
      <c r="B9" s="111">
        <v>2018</v>
      </c>
      <c r="C9" s="323">
        <v>313112.26199999999</v>
      </c>
      <c r="D9" s="324">
        <v>141.18</v>
      </c>
      <c r="E9" s="324">
        <v>1135.3239999999998</v>
      </c>
      <c r="F9" s="324">
        <v>2226.0689999999995</v>
      </c>
      <c r="G9" s="324">
        <v>18871.798000000003</v>
      </c>
      <c r="H9" s="324">
        <v>87469.357999999993</v>
      </c>
      <c r="I9" s="324">
        <v>98975.564999999988</v>
      </c>
      <c r="J9" s="324">
        <v>72842.487000000008</v>
      </c>
      <c r="K9" s="324">
        <v>17855.849999999995</v>
      </c>
      <c r="L9" s="324">
        <v>7450.9899999999989</v>
      </c>
      <c r="M9" s="324">
        <v>1947.6990000000001</v>
      </c>
      <c r="N9" s="324">
        <v>2764.9859999999999</v>
      </c>
      <c r="O9" s="324">
        <v>1430.9559999999999</v>
      </c>
    </row>
    <row r="10" spans="1:15" ht="11.1" customHeight="1">
      <c r="B10" s="111">
        <v>2019</v>
      </c>
      <c r="C10" s="323">
        <v>307970.28499999997</v>
      </c>
      <c r="D10" s="324">
        <v>548.61</v>
      </c>
      <c r="E10" s="324">
        <v>966.45</v>
      </c>
      <c r="F10" s="324">
        <v>2152.6879999999996</v>
      </c>
      <c r="G10" s="324">
        <v>31003.968000000001</v>
      </c>
      <c r="H10" s="324">
        <v>77092.569000000003</v>
      </c>
      <c r="I10" s="324">
        <v>97581.917000000016</v>
      </c>
      <c r="J10" s="324">
        <v>58592.293000000005</v>
      </c>
      <c r="K10" s="324">
        <v>29810.38</v>
      </c>
      <c r="L10" s="324">
        <v>5687.4900000000007</v>
      </c>
      <c r="M10" s="324">
        <v>1576.04</v>
      </c>
      <c r="N10" s="324">
        <v>2091.29</v>
      </c>
      <c r="O10" s="324">
        <v>866.59</v>
      </c>
    </row>
    <row r="11" spans="1:15" ht="11.1" customHeight="1">
      <c r="A11" s="110" t="s">
        <v>397</v>
      </c>
      <c r="B11" s="111">
        <v>2018</v>
      </c>
      <c r="C11" s="323">
        <v>3557899.9920000006</v>
      </c>
      <c r="D11" s="324">
        <v>199623.693</v>
      </c>
      <c r="E11" s="324">
        <v>149474.519</v>
      </c>
      <c r="F11" s="324">
        <v>238548.45800000001</v>
      </c>
      <c r="G11" s="324">
        <v>380168.21900000004</v>
      </c>
      <c r="H11" s="324">
        <v>520309.74500000005</v>
      </c>
      <c r="I11" s="324">
        <v>666454.86099999992</v>
      </c>
      <c r="J11" s="324">
        <v>476495.96900000004</v>
      </c>
      <c r="K11" s="324">
        <v>144666.11900000001</v>
      </c>
      <c r="L11" s="324">
        <v>147675.67999999996</v>
      </c>
      <c r="M11" s="324">
        <v>150126.27900000001</v>
      </c>
      <c r="N11" s="324">
        <v>175717.41</v>
      </c>
      <c r="O11" s="324">
        <v>308639.04000000004</v>
      </c>
    </row>
    <row r="12" spans="1:15" ht="11.1" customHeight="1">
      <c r="B12" s="111">
        <v>2019</v>
      </c>
      <c r="C12" s="323">
        <v>3188305.7</v>
      </c>
      <c r="D12" s="324">
        <v>146692.46899999995</v>
      </c>
      <c r="E12" s="324">
        <v>143983.06400000001</v>
      </c>
      <c r="F12" s="324">
        <v>294273.647</v>
      </c>
      <c r="G12" s="324">
        <v>413755.79700000002</v>
      </c>
      <c r="H12" s="324">
        <v>434898.29699999996</v>
      </c>
      <c r="I12" s="324">
        <v>564477.28200000001</v>
      </c>
      <c r="J12" s="324">
        <v>345668.68</v>
      </c>
      <c r="K12" s="324">
        <v>124682.493</v>
      </c>
      <c r="L12" s="324">
        <v>145153.94400000002</v>
      </c>
      <c r="M12" s="324">
        <v>134830.33799999999</v>
      </c>
      <c r="N12" s="324">
        <v>157542.28999999998</v>
      </c>
      <c r="O12" s="324">
        <v>282347.39900000003</v>
      </c>
    </row>
    <row r="13" spans="1:15" ht="11.1" customHeight="1">
      <c r="A13" s="110" t="s">
        <v>499</v>
      </c>
      <c r="B13" s="111">
        <v>2018</v>
      </c>
      <c r="C13" s="323">
        <v>213384.72099999996</v>
      </c>
      <c r="D13" s="324">
        <v>5</v>
      </c>
      <c r="E13" s="324">
        <v>13.4</v>
      </c>
      <c r="F13" s="324">
        <v>355.3</v>
      </c>
      <c r="G13" s="324">
        <v>12500.3</v>
      </c>
      <c r="H13" s="324">
        <v>32784.400000000001</v>
      </c>
      <c r="I13" s="324">
        <v>48979.627</v>
      </c>
      <c r="J13" s="324">
        <v>63235.356999999996</v>
      </c>
      <c r="K13" s="324">
        <v>39967.799000000006</v>
      </c>
      <c r="L13" s="324">
        <v>14045.197999999999</v>
      </c>
      <c r="M13" s="324">
        <v>1073.1099999999999</v>
      </c>
      <c r="N13" s="324">
        <v>365.24</v>
      </c>
      <c r="O13" s="324">
        <v>59.99</v>
      </c>
    </row>
    <row r="14" spans="1:15" ht="11.1" customHeight="1">
      <c r="B14" s="111">
        <v>2019</v>
      </c>
      <c r="C14" s="323">
        <v>215509.05300000001</v>
      </c>
      <c r="D14" s="324">
        <v>0</v>
      </c>
      <c r="E14" s="324">
        <v>42.05</v>
      </c>
      <c r="F14" s="324">
        <v>411.43</v>
      </c>
      <c r="G14" s="324">
        <v>12969.451999999999</v>
      </c>
      <c r="H14" s="324">
        <v>31983.814999999999</v>
      </c>
      <c r="I14" s="324">
        <v>53439.725999999995</v>
      </c>
      <c r="J14" s="324">
        <v>60655.148999999998</v>
      </c>
      <c r="K14" s="324">
        <v>39359.442999999999</v>
      </c>
      <c r="L14" s="324">
        <v>14495.168999999998</v>
      </c>
      <c r="M14" s="324">
        <v>1739.309</v>
      </c>
      <c r="N14" s="324">
        <v>335.2</v>
      </c>
      <c r="O14" s="324">
        <v>78.31</v>
      </c>
    </row>
    <row r="15" spans="1:15" ht="11.1" customHeight="1">
      <c r="A15" s="110" t="s">
        <v>448</v>
      </c>
      <c r="B15" s="111">
        <v>2018</v>
      </c>
      <c r="C15" s="323">
        <v>86737.95</v>
      </c>
      <c r="D15" s="324">
        <v>808.56899999999996</v>
      </c>
      <c r="E15" s="324">
        <v>345.65999999999997</v>
      </c>
      <c r="F15" s="324">
        <v>3161.4989999999998</v>
      </c>
      <c r="G15" s="324">
        <v>28836.208999999999</v>
      </c>
      <c r="H15" s="324">
        <v>25499.777999999998</v>
      </c>
      <c r="I15" s="324">
        <v>16139.170999999997</v>
      </c>
      <c r="J15" s="324">
        <v>6265.6659999999993</v>
      </c>
      <c r="K15" s="324">
        <v>1663.8490000000002</v>
      </c>
      <c r="L15" s="324">
        <v>704.44899999999996</v>
      </c>
      <c r="M15" s="324">
        <v>403.84000000000003</v>
      </c>
      <c r="N15" s="324">
        <v>1056.96</v>
      </c>
      <c r="O15" s="324">
        <v>1852.3</v>
      </c>
    </row>
    <row r="16" spans="1:15" ht="11.1" customHeight="1">
      <c r="B16" s="111">
        <v>2019</v>
      </c>
      <c r="C16" s="323">
        <v>89775.215999999986</v>
      </c>
      <c r="D16" s="324">
        <v>1664.6849999999999</v>
      </c>
      <c r="E16" s="324">
        <v>979.19999999999993</v>
      </c>
      <c r="F16" s="324">
        <v>2433.38</v>
      </c>
      <c r="G16" s="324">
        <v>26012.697999999997</v>
      </c>
      <c r="H16" s="324">
        <v>28017.468999999997</v>
      </c>
      <c r="I16" s="324">
        <v>14247.26</v>
      </c>
      <c r="J16" s="324">
        <v>5614.0969999999998</v>
      </c>
      <c r="K16" s="324">
        <v>5698.7190000000001</v>
      </c>
      <c r="L16" s="324">
        <v>2190.17</v>
      </c>
      <c r="M16" s="324">
        <v>1025.6089999999999</v>
      </c>
      <c r="N16" s="324">
        <v>1068.5349999999999</v>
      </c>
      <c r="O16" s="324">
        <v>823.39400000000001</v>
      </c>
    </row>
    <row r="17" spans="1:15" ht="11.1" customHeight="1">
      <c r="A17" s="110" t="s">
        <v>399</v>
      </c>
      <c r="B17" s="111">
        <v>2018</v>
      </c>
      <c r="C17" s="323">
        <v>360630.14</v>
      </c>
      <c r="D17" s="324">
        <v>30049.909999999996</v>
      </c>
      <c r="E17" s="324">
        <v>27151.949999999997</v>
      </c>
      <c r="F17" s="324">
        <v>30018.1</v>
      </c>
      <c r="G17" s="324">
        <v>29167</v>
      </c>
      <c r="H17" s="324">
        <v>27967.300000000003</v>
      </c>
      <c r="I17" s="324">
        <v>27285.3</v>
      </c>
      <c r="J17" s="324">
        <v>23076.049999999996</v>
      </c>
      <c r="K17" s="324">
        <v>26502.6</v>
      </c>
      <c r="L17" s="324">
        <v>36259.050000000003</v>
      </c>
      <c r="M17" s="324">
        <v>34246.050000000003</v>
      </c>
      <c r="N17" s="324">
        <v>36145.130000000005</v>
      </c>
      <c r="O17" s="324">
        <v>32761.7</v>
      </c>
    </row>
    <row r="18" spans="1:15" ht="11.1" customHeight="1">
      <c r="B18" s="111">
        <v>2019</v>
      </c>
      <c r="C18" s="323">
        <v>366757.96</v>
      </c>
      <c r="D18" s="324">
        <v>31718.049999999996</v>
      </c>
      <c r="E18" s="324">
        <v>29964.1</v>
      </c>
      <c r="F18" s="324">
        <v>31960.400000000001</v>
      </c>
      <c r="G18" s="324">
        <v>28393.54</v>
      </c>
      <c r="H18" s="324">
        <v>26676.29</v>
      </c>
      <c r="I18" s="324">
        <v>28514.34</v>
      </c>
      <c r="J18" s="324">
        <v>22520.300000000003</v>
      </c>
      <c r="K18" s="324">
        <v>25615.17</v>
      </c>
      <c r="L18" s="324">
        <v>32621.83</v>
      </c>
      <c r="M18" s="324">
        <v>32053.800000000003</v>
      </c>
      <c r="N18" s="324">
        <v>34074.800000000003</v>
      </c>
      <c r="O18" s="324">
        <v>42645.340000000004</v>
      </c>
    </row>
    <row r="19" spans="1:15" ht="11.1" customHeight="1">
      <c r="A19" s="110" t="s">
        <v>408</v>
      </c>
      <c r="B19" s="111">
        <v>2018</v>
      </c>
      <c r="C19" s="323">
        <v>154551.94000000003</v>
      </c>
      <c r="D19" s="324">
        <v>7626.2</v>
      </c>
      <c r="E19" s="324">
        <v>9015.2000000000007</v>
      </c>
      <c r="F19" s="324">
        <v>9046.7000000000007</v>
      </c>
      <c r="G19" s="324">
        <v>8773.7000000000007</v>
      </c>
      <c r="H19" s="324">
        <v>6361.9</v>
      </c>
      <c r="I19" s="324">
        <v>6741</v>
      </c>
      <c r="J19" s="324">
        <v>6999.8</v>
      </c>
      <c r="K19" s="324">
        <v>9759.2000000000007</v>
      </c>
      <c r="L19" s="324">
        <v>15840.74</v>
      </c>
      <c r="M19" s="324">
        <v>32719.05</v>
      </c>
      <c r="N19" s="324">
        <v>21477.42</v>
      </c>
      <c r="O19" s="324">
        <v>20191.03</v>
      </c>
    </row>
    <row r="20" spans="1:15" ht="11.1" customHeight="1">
      <c r="B20" s="111">
        <v>2019</v>
      </c>
      <c r="C20" s="323">
        <v>131882.22000000003</v>
      </c>
      <c r="D20" s="324">
        <v>6802.5</v>
      </c>
      <c r="E20" s="324">
        <v>9013.6</v>
      </c>
      <c r="F20" s="324">
        <v>10159.549999999999</v>
      </c>
      <c r="G20" s="324">
        <v>7674.5</v>
      </c>
      <c r="H20" s="324">
        <v>4724.51</v>
      </c>
      <c r="I20" s="324">
        <v>4233.7</v>
      </c>
      <c r="J20" s="324">
        <v>5047.1000000000004</v>
      </c>
      <c r="K20" s="324">
        <v>10211.700000000001</v>
      </c>
      <c r="L20" s="324">
        <v>12472.66</v>
      </c>
      <c r="M20" s="324">
        <v>23977.600000000002</v>
      </c>
      <c r="N20" s="324">
        <v>23504.350000000002</v>
      </c>
      <c r="O20" s="324">
        <v>14060.45</v>
      </c>
    </row>
    <row r="21" spans="1:15" ht="11.1" customHeight="1">
      <c r="A21" s="110" t="s">
        <v>210</v>
      </c>
      <c r="B21" s="111">
        <v>2018</v>
      </c>
      <c r="C21" s="323">
        <v>49715.250999999997</v>
      </c>
      <c r="D21" s="324">
        <v>5838.29</v>
      </c>
      <c r="E21" s="324">
        <v>5235.0600000000004</v>
      </c>
      <c r="F21" s="324">
        <v>4921.8500000000004</v>
      </c>
      <c r="G21" s="324">
        <v>5324.36</v>
      </c>
      <c r="H21" s="324">
        <v>5827.9110000000001</v>
      </c>
      <c r="I21" s="324">
        <v>5355.6760000000004</v>
      </c>
      <c r="J21" s="324">
        <v>5181.6899999999996</v>
      </c>
      <c r="K21" s="324">
        <v>1818.4500000000003</v>
      </c>
      <c r="L21" s="324">
        <v>2180.7500000000005</v>
      </c>
      <c r="M21" s="324">
        <v>2926.11</v>
      </c>
      <c r="N21" s="324">
        <v>2296.81</v>
      </c>
      <c r="O21" s="324">
        <v>2808.2939999999999</v>
      </c>
    </row>
    <row r="22" spans="1:15" ht="11.1" customHeight="1">
      <c r="B22" s="111">
        <v>2019</v>
      </c>
      <c r="C22" s="323">
        <v>43155.163</v>
      </c>
      <c r="D22" s="324">
        <v>4460.07</v>
      </c>
      <c r="E22" s="324">
        <v>4804.57</v>
      </c>
      <c r="F22" s="324">
        <v>6260.4299999999994</v>
      </c>
      <c r="G22" s="324">
        <v>3669.7960000000003</v>
      </c>
      <c r="H22" s="324">
        <v>2803.9719999999998</v>
      </c>
      <c r="I22" s="324">
        <v>4770.0150000000003</v>
      </c>
      <c r="J22" s="324">
        <v>5438.88</v>
      </c>
      <c r="K22" s="324">
        <v>2816.7599999999998</v>
      </c>
      <c r="L22" s="324">
        <v>2698.33</v>
      </c>
      <c r="M22" s="324">
        <v>1822.6</v>
      </c>
      <c r="N22" s="324">
        <v>1365</v>
      </c>
      <c r="O22" s="324">
        <v>2244.7400000000002</v>
      </c>
    </row>
    <row r="23" spans="1:15" ht="11.1" customHeight="1">
      <c r="A23" s="110" t="s">
        <v>385</v>
      </c>
      <c r="B23" s="111">
        <v>2018</v>
      </c>
      <c r="C23" s="323">
        <v>34453</v>
      </c>
      <c r="D23" s="324">
        <v>13750</v>
      </c>
      <c r="E23" s="324">
        <v>2700</v>
      </c>
      <c r="F23" s="324">
        <v>2600</v>
      </c>
      <c r="G23" s="324">
        <v>990</v>
      </c>
      <c r="H23" s="324">
        <v>1375</v>
      </c>
      <c r="I23" s="324">
        <v>1370</v>
      </c>
      <c r="J23" s="324">
        <v>0</v>
      </c>
      <c r="K23" s="324">
        <v>0</v>
      </c>
      <c r="L23" s="324">
        <v>0</v>
      </c>
      <c r="M23" s="324">
        <v>3978</v>
      </c>
      <c r="N23" s="324">
        <v>5077</v>
      </c>
      <c r="O23" s="324">
        <v>2613</v>
      </c>
    </row>
    <row r="24" spans="1:15" ht="11.1" customHeight="1">
      <c r="B24" s="111">
        <v>2019</v>
      </c>
      <c r="C24" s="323">
        <v>22560</v>
      </c>
      <c r="D24" s="324">
        <v>2117</v>
      </c>
      <c r="E24" s="324">
        <v>1982</v>
      </c>
      <c r="F24" s="324">
        <v>720</v>
      </c>
      <c r="G24" s="324">
        <v>0</v>
      </c>
      <c r="H24" s="324">
        <v>0</v>
      </c>
      <c r="I24" s="324">
        <v>12</v>
      </c>
      <c r="J24" s="324">
        <v>1478</v>
      </c>
      <c r="K24" s="324">
        <v>0</v>
      </c>
      <c r="L24" s="324">
        <v>2285</v>
      </c>
      <c r="M24" s="324">
        <v>2428</v>
      </c>
      <c r="N24" s="324">
        <v>7442</v>
      </c>
      <c r="O24" s="324">
        <v>4096</v>
      </c>
    </row>
    <row r="25" spans="1:15" ht="11.1" customHeight="1">
      <c r="A25" s="110" t="s">
        <v>211</v>
      </c>
      <c r="B25" s="111">
        <v>2018</v>
      </c>
      <c r="C25" s="323">
        <v>50002.171000000009</v>
      </c>
      <c r="D25" s="324">
        <v>1270.6999999999998</v>
      </c>
      <c r="E25" s="324">
        <v>1814.4589999999998</v>
      </c>
      <c r="F25" s="324">
        <v>1944.25</v>
      </c>
      <c r="G25" s="324">
        <v>1084</v>
      </c>
      <c r="H25" s="324">
        <v>1049.9000000000001</v>
      </c>
      <c r="I25" s="324">
        <v>7391.5</v>
      </c>
      <c r="J25" s="324">
        <v>650.31999999999994</v>
      </c>
      <c r="K25" s="324">
        <v>799.3370000000001</v>
      </c>
      <c r="L25" s="324">
        <v>9548.75</v>
      </c>
      <c r="M25" s="324">
        <v>7430.1050000000005</v>
      </c>
      <c r="N25" s="324">
        <v>10435.200000000001</v>
      </c>
      <c r="O25" s="324">
        <v>6583.65</v>
      </c>
    </row>
    <row r="26" spans="1:15" ht="11.1" customHeight="1">
      <c r="B26" s="111">
        <v>2019</v>
      </c>
      <c r="C26" s="323">
        <v>44029.784999999996</v>
      </c>
      <c r="D26" s="324">
        <v>2609.15</v>
      </c>
      <c r="E26" s="324">
        <v>5158.5999999999995</v>
      </c>
      <c r="F26" s="324">
        <v>5870.47</v>
      </c>
      <c r="G26" s="324">
        <v>3306.7499999999995</v>
      </c>
      <c r="H26" s="324">
        <v>1458.8</v>
      </c>
      <c r="I26" s="324">
        <v>1484.33</v>
      </c>
      <c r="J26" s="324">
        <v>791.25</v>
      </c>
      <c r="K26" s="324">
        <v>399</v>
      </c>
      <c r="L26" s="324">
        <v>6887.3</v>
      </c>
      <c r="M26" s="324">
        <v>9513</v>
      </c>
      <c r="N26" s="324">
        <v>5997.7349999999997</v>
      </c>
      <c r="O26" s="324">
        <v>553.4</v>
      </c>
    </row>
    <row r="27" spans="1:15" ht="11.1" customHeight="1">
      <c r="A27" s="110" t="s">
        <v>497</v>
      </c>
      <c r="B27" s="111">
        <v>2018</v>
      </c>
      <c r="C27" s="323">
        <v>253449.26400000002</v>
      </c>
      <c r="D27" s="324">
        <v>28758.596000000001</v>
      </c>
      <c r="E27" s="324">
        <v>34148.199999999997</v>
      </c>
      <c r="F27" s="324">
        <v>24037.019</v>
      </c>
      <c r="G27" s="324">
        <v>12830.409</v>
      </c>
      <c r="H27" s="324">
        <v>11979.749</v>
      </c>
      <c r="I27" s="324">
        <v>11031.722999999998</v>
      </c>
      <c r="J27" s="324">
        <v>13283.028999999999</v>
      </c>
      <c r="K27" s="324">
        <v>11843.66</v>
      </c>
      <c r="L27" s="324">
        <v>10950.689</v>
      </c>
      <c r="M27" s="324">
        <v>23142.236000000001</v>
      </c>
      <c r="N27" s="324">
        <v>42714.789999999994</v>
      </c>
      <c r="O27" s="324">
        <v>28729.163999999997</v>
      </c>
    </row>
    <row r="28" spans="1:15" ht="11.1" customHeight="1">
      <c r="B28" s="111">
        <v>2019</v>
      </c>
      <c r="C28" s="323">
        <v>202242.473</v>
      </c>
      <c r="D28" s="324">
        <v>26885.069000000003</v>
      </c>
      <c r="E28" s="324">
        <v>22956</v>
      </c>
      <c r="F28" s="324">
        <v>14930.159999999998</v>
      </c>
      <c r="G28" s="324">
        <v>8959.6099999999988</v>
      </c>
      <c r="H28" s="324">
        <v>9553.094000000001</v>
      </c>
      <c r="I28" s="324">
        <v>11299.652000000002</v>
      </c>
      <c r="J28" s="324">
        <v>10140.698</v>
      </c>
      <c r="K28" s="324">
        <v>15499.458999999999</v>
      </c>
      <c r="L28" s="324">
        <v>10357.288</v>
      </c>
      <c r="M28" s="324">
        <v>25415.99</v>
      </c>
      <c r="N28" s="324">
        <v>21014.696000000004</v>
      </c>
      <c r="O28" s="324">
        <v>25230.757000000001</v>
      </c>
    </row>
    <row r="29" spans="1:15" ht="11.1" customHeight="1">
      <c r="A29" s="110" t="s">
        <v>383</v>
      </c>
      <c r="B29" s="111">
        <v>2018</v>
      </c>
      <c r="C29" s="323">
        <v>210266.42000000004</v>
      </c>
      <c r="D29" s="324">
        <v>21793.489999999998</v>
      </c>
      <c r="E29" s="324">
        <v>21885.131999999998</v>
      </c>
      <c r="F29" s="324">
        <v>18936.96</v>
      </c>
      <c r="G29" s="324">
        <v>16992.629000000001</v>
      </c>
      <c r="H29" s="324">
        <v>16516.650000000001</v>
      </c>
      <c r="I29" s="324">
        <v>11066.66</v>
      </c>
      <c r="J29" s="324">
        <v>12572.772999999999</v>
      </c>
      <c r="K29" s="324">
        <v>26755.269</v>
      </c>
      <c r="L29" s="324">
        <v>15505.6</v>
      </c>
      <c r="M29" s="324">
        <v>15226.13</v>
      </c>
      <c r="N29" s="324">
        <v>20053.067999999999</v>
      </c>
      <c r="O29" s="324">
        <v>12962.059000000001</v>
      </c>
    </row>
    <row r="30" spans="1:15" ht="11.1" customHeight="1">
      <c r="B30" s="111">
        <v>2019</v>
      </c>
      <c r="C30" s="323">
        <v>213305.68599999999</v>
      </c>
      <c r="D30" s="324">
        <v>16507.25</v>
      </c>
      <c r="E30" s="324">
        <v>17570.769999999997</v>
      </c>
      <c r="F30" s="324">
        <v>19983.789999999997</v>
      </c>
      <c r="G30" s="324">
        <v>19001.655999999999</v>
      </c>
      <c r="H30" s="324">
        <v>15780.153999999999</v>
      </c>
      <c r="I30" s="324">
        <v>14659.749000000002</v>
      </c>
      <c r="J30" s="324">
        <v>19936.489999999998</v>
      </c>
      <c r="K30" s="324">
        <v>25506.818000000003</v>
      </c>
      <c r="L30" s="324">
        <v>24417.25</v>
      </c>
      <c r="M30" s="324">
        <v>17010.728999999999</v>
      </c>
      <c r="N30" s="324">
        <v>11565.629999999997</v>
      </c>
      <c r="O30" s="324">
        <v>11365.4</v>
      </c>
    </row>
    <row r="31" spans="1:15" ht="11.1" customHeight="1">
      <c r="A31" s="110" t="s">
        <v>202</v>
      </c>
      <c r="B31" s="111">
        <v>2018</v>
      </c>
      <c r="C31" s="323">
        <v>142327.79999999999</v>
      </c>
      <c r="D31" s="324">
        <v>9527.4599999999991</v>
      </c>
      <c r="E31" s="324">
        <v>15298.47</v>
      </c>
      <c r="F31" s="324">
        <v>15948.757</v>
      </c>
      <c r="G31" s="324">
        <v>18343.413999999997</v>
      </c>
      <c r="H31" s="324">
        <v>14174.4</v>
      </c>
      <c r="I31" s="324">
        <v>12022.668</v>
      </c>
      <c r="J31" s="324">
        <v>10798.183000000001</v>
      </c>
      <c r="K31" s="324">
        <v>10579.543999999998</v>
      </c>
      <c r="L31" s="324">
        <v>11574.536999999998</v>
      </c>
      <c r="M31" s="324">
        <v>9667.2099999999991</v>
      </c>
      <c r="N31" s="324">
        <v>7490.5699999999988</v>
      </c>
      <c r="O31" s="324">
        <v>6902.5869999999995</v>
      </c>
    </row>
    <row r="32" spans="1:15" ht="11.1" customHeight="1">
      <c r="B32" s="111">
        <v>2019</v>
      </c>
      <c r="C32" s="323">
        <v>129198.00699999998</v>
      </c>
      <c r="D32" s="324">
        <v>9940.1179999999986</v>
      </c>
      <c r="E32" s="324">
        <v>13040.857999999998</v>
      </c>
      <c r="F32" s="324">
        <v>17866.499</v>
      </c>
      <c r="G32" s="324">
        <v>15871.597</v>
      </c>
      <c r="H32" s="324">
        <v>11617.560000000001</v>
      </c>
      <c r="I32" s="324">
        <v>11773.61</v>
      </c>
      <c r="J32" s="324">
        <v>9364.357</v>
      </c>
      <c r="K32" s="324">
        <v>11046.796</v>
      </c>
      <c r="L32" s="324">
        <v>10814.831999999999</v>
      </c>
      <c r="M32" s="324">
        <v>6394.6459999999997</v>
      </c>
      <c r="N32" s="324">
        <v>5437.1769999999988</v>
      </c>
      <c r="O32" s="324">
        <v>6029.9569999999994</v>
      </c>
    </row>
    <row r="33" spans="1:15" ht="11.1" customHeight="1">
      <c r="A33" s="110" t="s">
        <v>382</v>
      </c>
      <c r="B33" s="111">
        <v>2018</v>
      </c>
      <c r="C33" s="323">
        <v>178744.39</v>
      </c>
      <c r="D33" s="324">
        <v>16749.131000000001</v>
      </c>
      <c r="E33" s="324">
        <v>12891.740000000002</v>
      </c>
      <c r="F33" s="324">
        <v>14488.509999999998</v>
      </c>
      <c r="G33" s="324">
        <v>13384.638999999999</v>
      </c>
      <c r="H33" s="324">
        <v>14608.075000000001</v>
      </c>
      <c r="I33" s="324">
        <v>16637.947</v>
      </c>
      <c r="J33" s="324">
        <v>16653.173999999999</v>
      </c>
      <c r="K33" s="324">
        <v>19488.656999999996</v>
      </c>
      <c r="L33" s="324">
        <v>14421.669</v>
      </c>
      <c r="M33" s="324">
        <v>10843.980000000001</v>
      </c>
      <c r="N33" s="324">
        <v>13161.13</v>
      </c>
      <c r="O33" s="324">
        <v>15415.737999999999</v>
      </c>
    </row>
    <row r="34" spans="1:15" ht="11.1" customHeight="1">
      <c r="B34" s="111">
        <v>2019</v>
      </c>
      <c r="C34" s="323">
        <v>191556.92600000001</v>
      </c>
      <c r="D34" s="324">
        <v>17494.388999999999</v>
      </c>
      <c r="E34" s="324">
        <v>15460.009</v>
      </c>
      <c r="F34" s="324">
        <v>16111.700000000003</v>
      </c>
      <c r="G34" s="324">
        <v>15443.918000000001</v>
      </c>
      <c r="H34" s="324">
        <v>13963.299000000003</v>
      </c>
      <c r="I34" s="324">
        <v>12210.126999999999</v>
      </c>
      <c r="J34" s="324">
        <v>17637.858</v>
      </c>
      <c r="K34" s="324">
        <v>20837.157000000003</v>
      </c>
      <c r="L34" s="324">
        <v>19093.439999999999</v>
      </c>
      <c r="M34" s="324">
        <v>16416.39</v>
      </c>
      <c r="N34" s="324">
        <v>13323.139999999998</v>
      </c>
      <c r="O34" s="324">
        <v>13565.499000000002</v>
      </c>
    </row>
    <row r="35" spans="1:15" ht="11.1" customHeight="1">
      <c r="A35" s="110" t="s">
        <v>375</v>
      </c>
      <c r="B35" s="111">
        <v>2018</v>
      </c>
      <c r="C35" s="323">
        <v>105097.24400000001</v>
      </c>
      <c r="D35" s="324">
        <v>6642.51</v>
      </c>
      <c r="E35" s="324">
        <v>2260.0500000000002</v>
      </c>
      <c r="F35" s="324">
        <v>1422.664</v>
      </c>
      <c r="G35" s="324">
        <v>2503.5</v>
      </c>
      <c r="H35" s="324">
        <v>3562.8</v>
      </c>
      <c r="I35" s="324">
        <v>6091.5300000000007</v>
      </c>
      <c r="J35" s="324">
        <v>4595.4780000000001</v>
      </c>
      <c r="K35" s="324">
        <v>3288.9229999999998</v>
      </c>
      <c r="L35" s="324">
        <v>6228.7529999999997</v>
      </c>
      <c r="M35" s="324">
        <v>13332.366</v>
      </c>
      <c r="N35" s="324">
        <v>36603.130000000012</v>
      </c>
      <c r="O35" s="324">
        <v>18565.54</v>
      </c>
    </row>
    <row r="36" spans="1:15" ht="11.1" customHeight="1">
      <c r="B36" s="111">
        <v>2019</v>
      </c>
      <c r="C36" s="323">
        <v>83297.430999999997</v>
      </c>
      <c r="D36" s="324">
        <v>4966.7190000000001</v>
      </c>
      <c r="E36" s="324">
        <v>1613.34</v>
      </c>
      <c r="F36" s="324">
        <v>1174.17</v>
      </c>
      <c r="G36" s="324">
        <v>2659.75</v>
      </c>
      <c r="H36" s="324">
        <v>2787.78</v>
      </c>
      <c r="I36" s="324">
        <v>4022.6999999999994</v>
      </c>
      <c r="J36" s="324">
        <v>2841.3899999999994</v>
      </c>
      <c r="K36" s="324">
        <v>4718.1509999999998</v>
      </c>
      <c r="L36" s="324">
        <v>6275.4079999999994</v>
      </c>
      <c r="M36" s="324">
        <v>11170.862000000001</v>
      </c>
      <c r="N36" s="324">
        <v>17990.263999999999</v>
      </c>
      <c r="O36" s="324">
        <v>23076.896999999997</v>
      </c>
    </row>
    <row r="37" spans="1:15" ht="11.1" customHeight="1">
      <c r="A37" s="110" t="s">
        <v>405</v>
      </c>
      <c r="B37" s="111">
        <v>2018</v>
      </c>
      <c r="C37" s="323">
        <v>643954.38599999994</v>
      </c>
      <c r="D37" s="324">
        <v>50042.04</v>
      </c>
      <c r="E37" s="324">
        <v>37799.885000000002</v>
      </c>
      <c r="F37" s="324">
        <v>36726.120000000003</v>
      </c>
      <c r="G37" s="324">
        <v>48436.509000000005</v>
      </c>
      <c r="H37" s="324">
        <v>39587.349999999991</v>
      </c>
      <c r="I37" s="324">
        <v>29791.779000000006</v>
      </c>
      <c r="J37" s="324">
        <v>38728.95900000001</v>
      </c>
      <c r="K37" s="324">
        <v>89849.999000000011</v>
      </c>
      <c r="L37" s="324">
        <v>90634.74</v>
      </c>
      <c r="M37" s="324">
        <v>66397.328999999998</v>
      </c>
      <c r="N37" s="324">
        <v>60202.84</v>
      </c>
      <c r="O37" s="324">
        <v>55756.836000000003</v>
      </c>
    </row>
    <row r="38" spans="1:15" ht="11.1" customHeight="1">
      <c r="B38" s="111">
        <v>2019</v>
      </c>
      <c r="C38" s="323">
        <v>631579.72900000005</v>
      </c>
      <c r="D38" s="324">
        <v>45700.987999999998</v>
      </c>
      <c r="E38" s="324">
        <v>33623.688000000002</v>
      </c>
      <c r="F38" s="324">
        <v>27462.29</v>
      </c>
      <c r="G38" s="324">
        <v>65384.33</v>
      </c>
      <c r="H38" s="324">
        <v>36318.19</v>
      </c>
      <c r="I38" s="324">
        <v>36823.832000000002</v>
      </c>
      <c r="J38" s="324">
        <v>45990.548000000003</v>
      </c>
      <c r="K38" s="324">
        <v>95239.332999999999</v>
      </c>
      <c r="L38" s="324">
        <v>62132.918000000005</v>
      </c>
      <c r="M38" s="324">
        <v>60242.442999999999</v>
      </c>
      <c r="N38" s="324">
        <v>55494.264999999999</v>
      </c>
      <c r="O38" s="324">
        <v>67166.90400000001</v>
      </c>
    </row>
    <row r="39" spans="1:15" ht="11.1" customHeight="1">
      <c r="A39" s="110" t="s">
        <v>366</v>
      </c>
      <c r="B39" s="111">
        <v>2018</v>
      </c>
      <c r="C39" s="323">
        <v>453227.93299999996</v>
      </c>
      <c r="D39" s="324">
        <v>32269.200000000001</v>
      </c>
      <c r="E39" s="324">
        <v>34567.800000000003</v>
      </c>
      <c r="F39" s="324">
        <v>52768.428999999996</v>
      </c>
      <c r="G39" s="324">
        <v>87176.260000000009</v>
      </c>
      <c r="H39" s="324">
        <v>59213.629000000001</v>
      </c>
      <c r="I39" s="324">
        <v>29589.159</v>
      </c>
      <c r="J39" s="324">
        <v>18706.689999999999</v>
      </c>
      <c r="K39" s="324">
        <v>16041.154</v>
      </c>
      <c r="L39" s="324">
        <v>43608.05</v>
      </c>
      <c r="M39" s="324">
        <v>33714.980000000003</v>
      </c>
      <c r="N39" s="324">
        <v>26678.445</v>
      </c>
      <c r="O39" s="324">
        <v>18894.136999999999</v>
      </c>
    </row>
    <row r="40" spans="1:15" ht="11.1" customHeight="1">
      <c r="B40" s="111">
        <v>2019</v>
      </c>
      <c r="C40" s="528">
        <v>421870.02300000004</v>
      </c>
      <c r="D40" s="324">
        <v>36428.33</v>
      </c>
      <c r="E40" s="324">
        <v>29842.559000000001</v>
      </c>
      <c r="F40" s="324">
        <v>48643.57</v>
      </c>
      <c r="G40" s="324">
        <v>75725.206999999995</v>
      </c>
      <c r="H40" s="324">
        <v>63358.54</v>
      </c>
      <c r="I40" s="324">
        <v>27572.209000000003</v>
      </c>
      <c r="J40" s="324">
        <v>13394.625000000002</v>
      </c>
      <c r="K40" s="324">
        <v>17594.63</v>
      </c>
      <c r="L40" s="324">
        <v>31391.384000000005</v>
      </c>
      <c r="M40" s="324">
        <v>37750.85</v>
      </c>
      <c r="N40" s="324">
        <v>23493.87</v>
      </c>
      <c r="O40" s="324">
        <v>16674.249000000003</v>
      </c>
    </row>
    <row r="41" spans="1:15" ht="12.75">
      <c r="A41" s="238"/>
      <c r="B41" s="121"/>
      <c r="C41" s="122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521" t="s">
        <v>500</v>
      </c>
    </row>
    <row r="42" spans="1:15" ht="12.75">
      <c r="A42" s="89" t="s">
        <v>158</v>
      </c>
      <c r="B42" s="123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</row>
    <row r="43" spans="1:15" ht="15.95" customHeight="1">
      <c r="A43" s="252" t="s">
        <v>443</v>
      </c>
      <c r="B43" s="253" t="s">
        <v>272</v>
      </c>
      <c r="C43" s="252" t="s">
        <v>47</v>
      </c>
      <c r="D43" s="236" t="s">
        <v>524</v>
      </c>
      <c r="E43" s="236" t="s">
        <v>525</v>
      </c>
      <c r="F43" s="236" t="s">
        <v>526</v>
      </c>
      <c r="G43" s="236" t="s">
        <v>527</v>
      </c>
      <c r="H43" s="236" t="s">
        <v>315</v>
      </c>
      <c r="I43" s="236" t="s">
        <v>316</v>
      </c>
      <c r="J43" s="236" t="s">
        <v>317</v>
      </c>
      <c r="K43" s="236" t="s">
        <v>413</v>
      </c>
      <c r="L43" s="236" t="s">
        <v>414</v>
      </c>
      <c r="M43" s="236" t="s">
        <v>415</v>
      </c>
      <c r="N43" s="236" t="s">
        <v>522</v>
      </c>
      <c r="O43" s="236" t="s">
        <v>523</v>
      </c>
    </row>
    <row r="44" spans="1:15" ht="11.1" customHeight="1">
      <c r="A44" s="110" t="s">
        <v>372</v>
      </c>
      <c r="B44" s="111">
        <v>2018</v>
      </c>
      <c r="C44" s="323">
        <v>504532.29299999995</v>
      </c>
      <c r="D44" s="324">
        <v>15367.071999999998</v>
      </c>
      <c r="E44" s="324">
        <v>19385.395</v>
      </c>
      <c r="F44" s="324">
        <v>38090.169000000002</v>
      </c>
      <c r="G44" s="324">
        <v>60840.388999999988</v>
      </c>
      <c r="H44" s="324">
        <v>105533.29700000001</v>
      </c>
      <c r="I44" s="324">
        <v>114703.427</v>
      </c>
      <c r="J44" s="324">
        <v>57851.545999999995</v>
      </c>
      <c r="K44" s="324">
        <v>33916.869000000006</v>
      </c>
      <c r="L44" s="324">
        <v>15419.599</v>
      </c>
      <c r="M44" s="324">
        <v>13953.859</v>
      </c>
      <c r="N44" s="324">
        <v>13532.248</v>
      </c>
      <c r="O44" s="324">
        <v>15938.423000000001</v>
      </c>
    </row>
    <row r="45" spans="1:15" ht="11.1" customHeight="1">
      <c r="B45" s="111">
        <v>2019</v>
      </c>
      <c r="C45" s="323">
        <v>535910.96300000011</v>
      </c>
      <c r="D45" s="324">
        <v>15416.327000000001</v>
      </c>
      <c r="E45" s="324">
        <v>16694.832000000002</v>
      </c>
      <c r="F45" s="324">
        <v>41299.424000000006</v>
      </c>
      <c r="G45" s="324">
        <v>81296.088000000003</v>
      </c>
      <c r="H45" s="324">
        <v>122416.46899999998</v>
      </c>
      <c r="I45" s="324">
        <v>114561.784</v>
      </c>
      <c r="J45" s="324">
        <v>49787.172000000013</v>
      </c>
      <c r="K45" s="324">
        <v>23395.319000000003</v>
      </c>
      <c r="L45" s="324">
        <v>17360.829000000009</v>
      </c>
      <c r="M45" s="324">
        <v>17729.310000000005</v>
      </c>
      <c r="N45" s="324">
        <v>18494.256000000001</v>
      </c>
      <c r="O45" s="324">
        <v>17459.153000000002</v>
      </c>
    </row>
    <row r="46" spans="1:15" ht="11.1" customHeight="1">
      <c r="A46" s="110" t="s">
        <v>401</v>
      </c>
      <c r="B46" s="111">
        <v>2018</v>
      </c>
      <c r="C46" s="323">
        <v>2194876.4890000005</v>
      </c>
      <c r="D46" s="324">
        <v>182152.58100000003</v>
      </c>
      <c r="E46" s="324">
        <v>181329.35000000003</v>
      </c>
      <c r="F46" s="324">
        <v>182527.63799999998</v>
      </c>
      <c r="G46" s="324">
        <v>179486.02300000004</v>
      </c>
      <c r="H46" s="324">
        <v>183226.13</v>
      </c>
      <c r="I46" s="324">
        <v>178788.91899999999</v>
      </c>
      <c r="J46" s="324">
        <v>180015.04100000003</v>
      </c>
      <c r="K46" s="324">
        <v>177379.19199999998</v>
      </c>
      <c r="L46" s="324">
        <v>183302.55600000001</v>
      </c>
      <c r="M46" s="324">
        <v>182370.18800000002</v>
      </c>
      <c r="N46" s="324">
        <v>186201.489</v>
      </c>
      <c r="O46" s="324">
        <v>198097.38199999995</v>
      </c>
    </row>
    <row r="47" spans="1:15" ht="11.1" customHeight="1">
      <c r="B47" s="111">
        <v>2019</v>
      </c>
      <c r="C47" s="323">
        <v>2280103.0439999998</v>
      </c>
      <c r="D47" s="324">
        <v>195001.37999999998</v>
      </c>
      <c r="E47" s="324">
        <v>200133.19700000001</v>
      </c>
      <c r="F47" s="324">
        <v>197589.435</v>
      </c>
      <c r="G47" s="324">
        <v>191076.95</v>
      </c>
      <c r="H47" s="324">
        <v>192524.576</v>
      </c>
      <c r="I47" s="324">
        <v>189085.72399999999</v>
      </c>
      <c r="J47" s="324">
        <v>182502.08900000001</v>
      </c>
      <c r="K47" s="324">
        <v>179052.052</v>
      </c>
      <c r="L47" s="324">
        <v>184096.37499999997</v>
      </c>
      <c r="M47" s="324">
        <v>184919.12700000001</v>
      </c>
      <c r="N47" s="324">
        <v>191442.217</v>
      </c>
      <c r="O47" s="324">
        <v>192679.92200000002</v>
      </c>
    </row>
    <row r="48" spans="1:15" ht="11.1" customHeight="1">
      <c r="A48" s="110" t="s">
        <v>368</v>
      </c>
      <c r="B48" s="111">
        <v>2018</v>
      </c>
      <c r="C48" s="323">
        <v>378886.54600000003</v>
      </c>
      <c r="D48" s="324">
        <v>146242.35300000003</v>
      </c>
      <c r="E48" s="324">
        <v>83904.731000000014</v>
      </c>
      <c r="F48" s="324">
        <v>19215.719000000001</v>
      </c>
      <c r="G48" s="324">
        <v>3771.8379999999997</v>
      </c>
      <c r="H48" s="324">
        <v>1119.2450000000001</v>
      </c>
      <c r="I48" s="324">
        <v>482.59</v>
      </c>
      <c r="J48" s="324">
        <v>320.779</v>
      </c>
      <c r="K48" s="324">
        <v>510.59999999999997</v>
      </c>
      <c r="L48" s="324">
        <v>1550.74</v>
      </c>
      <c r="M48" s="324">
        <v>8291.4890000000014</v>
      </c>
      <c r="N48" s="324">
        <v>11631.376999999999</v>
      </c>
      <c r="O48" s="324">
        <v>101845.08500000001</v>
      </c>
    </row>
    <row r="49" spans="1:15" ht="11.1" customHeight="1">
      <c r="B49" s="111">
        <v>2019</v>
      </c>
      <c r="C49" s="323">
        <v>537079.37700000009</v>
      </c>
      <c r="D49" s="324">
        <v>219567.12900000004</v>
      </c>
      <c r="E49" s="324">
        <v>44273.504000000001</v>
      </c>
      <c r="F49" s="324">
        <v>11996.428999999998</v>
      </c>
      <c r="G49" s="324">
        <v>2599.9189999999994</v>
      </c>
      <c r="H49" s="324">
        <v>667.90499999999997</v>
      </c>
      <c r="I49" s="324">
        <v>502.04900000000004</v>
      </c>
      <c r="J49" s="324">
        <v>451.02800000000002</v>
      </c>
      <c r="K49" s="324">
        <v>9290.39</v>
      </c>
      <c r="L49" s="324">
        <v>13531.409</v>
      </c>
      <c r="M49" s="324">
        <v>22464.318000000003</v>
      </c>
      <c r="N49" s="324">
        <v>49224.089000000007</v>
      </c>
      <c r="O49" s="324">
        <v>162511.20799999998</v>
      </c>
    </row>
    <row r="50" spans="1:15" ht="11.1" customHeight="1">
      <c r="A50" s="110" t="s">
        <v>447</v>
      </c>
      <c r="B50" s="111">
        <v>2018</v>
      </c>
      <c r="C50" s="323">
        <v>175988.06299999999</v>
      </c>
      <c r="D50" s="324">
        <v>13438.34</v>
      </c>
      <c r="E50" s="324">
        <v>15630.076000000001</v>
      </c>
      <c r="F50" s="324">
        <v>15367.206000000002</v>
      </c>
      <c r="G50" s="324">
        <v>16055.368</v>
      </c>
      <c r="H50" s="324">
        <v>16031.335999999999</v>
      </c>
      <c r="I50" s="324">
        <v>15345.892</v>
      </c>
      <c r="J50" s="324">
        <v>14516.768</v>
      </c>
      <c r="K50" s="324">
        <v>14741.377999999999</v>
      </c>
      <c r="L50" s="324">
        <v>15110.956</v>
      </c>
      <c r="M50" s="324">
        <v>14530.550999999999</v>
      </c>
      <c r="N50" s="324">
        <v>12181.045999999998</v>
      </c>
      <c r="O50" s="324">
        <v>13039.146000000001</v>
      </c>
    </row>
    <row r="51" spans="1:15" ht="11.1" customHeight="1">
      <c r="B51" s="111">
        <v>2019</v>
      </c>
      <c r="C51" s="323">
        <v>171667.20500000002</v>
      </c>
      <c r="D51" s="324">
        <v>17046.167000000001</v>
      </c>
      <c r="E51" s="324">
        <v>13303.457000000002</v>
      </c>
      <c r="F51" s="324">
        <v>14421.321</v>
      </c>
      <c r="G51" s="324">
        <v>13850.057000000001</v>
      </c>
      <c r="H51" s="324">
        <v>14099.579000000002</v>
      </c>
      <c r="I51" s="324">
        <v>14328.153999999999</v>
      </c>
      <c r="J51" s="324">
        <v>13927.746000000001</v>
      </c>
      <c r="K51" s="324">
        <v>13132.98</v>
      </c>
      <c r="L51" s="324">
        <v>12850.849</v>
      </c>
      <c r="M51" s="324">
        <v>14283.954000000002</v>
      </c>
      <c r="N51" s="324">
        <v>15263.04</v>
      </c>
      <c r="O51" s="324">
        <v>15159.901</v>
      </c>
    </row>
    <row r="52" spans="1:15" ht="11.1" customHeight="1">
      <c r="A52" s="110" t="s">
        <v>204</v>
      </c>
      <c r="B52" s="111">
        <v>2018</v>
      </c>
      <c r="C52" s="323">
        <v>548464.87200000009</v>
      </c>
      <c r="D52" s="324">
        <v>48023.32</v>
      </c>
      <c r="E52" s="324">
        <v>47241.768000000004</v>
      </c>
      <c r="F52" s="324">
        <v>45272.680000000008</v>
      </c>
      <c r="G52" s="324">
        <v>43475.12</v>
      </c>
      <c r="H52" s="324">
        <v>41757.420000000006</v>
      </c>
      <c r="I52" s="324">
        <v>38847.719999999994</v>
      </c>
      <c r="J52" s="324">
        <v>37187.688999999998</v>
      </c>
      <c r="K52" s="324">
        <v>37724.460000000006</v>
      </c>
      <c r="L52" s="324">
        <v>40398.678999999996</v>
      </c>
      <c r="M52" s="324">
        <v>46612.44</v>
      </c>
      <c r="N52" s="324">
        <v>57931.716</v>
      </c>
      <c r="O52" s="324">
        <v>63991.86</v>
      </c>
    </row>
    <row r="53" spans="1:15" ht="11.1" customHeight="1">
      <c r="B53" s="111">
        <v>2019</v>
      </c>
      <c r="C53" s="323">
        <v>568906.87400000007</v>
      </c>
      <c r="D53" s="324">
        <v>52818.968999999997</v>
      </c>
      <c r="E53" s="324">
        <v>50747.483000000007</v>
      </c>
      <c r="F53" s="324">
        <v>48770.47</v>
      </c>
      <c r="G53" s="324">
        <v>45334.849999999991</v>
      </c>
      <c r="H53" s="324">
        <v>43600.855000000003</v>
      </c>
      <c r="I53" s="324">
        <v>40091.670000000006</v>
      </c>
      <c r="J53" s="324">
        <v>40725.519999999997</v>
      </c>
      <c r="K53" s="324">
        <v>38895.699000000001</v>
      </c>
      <c r="L53" s="324">
        <v>40962.008000000002</v>
      </c>
      <c r="M53" s="324">
        <v>45355.307999999997</v>
      </c>
      <c r="N53" s="324">
        <v>57607.589000000007</v>
      </c>
      <c r="O53" s="324">
        <v>63996.452999999994</v>
      </c>
    </row>
    <row r="54" spans="1:15" ht="11.1" customHeight="1">
      <c r="A54" s="110" t="s">
        <v>469</v>
      </c>
      <c r="B54" s="111">
        <v>2018</v>
      </c>
      <c r="C54" s="323">
        <v>55635.436999999998</v>
      </c>
      <c r="D54" s="324">
        <v>3481.75</v>
      </c>
      <c r="E54" s="324">
        <v>4135.9369999999999</v>
      </c>
      <c r="F54" s="324">
        <v>4704.143</v>
      </c>
      <c r="G54" s="324">
        <v>5030.4880000000003</v>
      </c>
      <c r="H54" s="324">
        <v>5556.7169999999996</v>
      </c>
      <c r="I54" s="324">
        <v>4978.5169999999998</v>
      </c>
      <c r="J54" s="324">
        <v>5519.329999999999</v>
      </c>
      <c r="K54" s="324">
        <v>4953.18</v>
      </c>
      <c r="L54" s="324">
        <v>4545.3300000000008</v>
      </c>
      <c r="M54" s="324">
        <v>4317.7479999999996</v>
      </c>
      <c r="N54" s="324">
        <v>4167.76</v>
      </c>
      <c r="O54" s="324">
        <v>4244.5369999999994</v>
      </c>
    </row>
    <row r="55" spans="1:15" ht="11.1" customHeight="1">
      <c r="B55" s="111">
        <v>2019</v>
      </c>
      <c r="C55" s="323">
        <v>53724.239000000001</v>
      </c>
      <c r="D55" s="324">
        <v>3293.8689999999997</v>
      </c>
      <c r="E55" s="324">
        <v>3834.0390000000002</v>
      </c>
      <c r="F55" s="324">
        <v>4806.9620000000014</v>
      </c>
      <c r="G55" s="324">
        <v>4856.8789999999999</v>
      </c>
      <c r="H55" s="324">
        <v>5205.3249999999998</v>
      </c>
      <c r="I55" s="324">
        <v>4468.6479999999992</v>
      </c>
      <c r="J55" s="324">
        <v>4799.9960000000019</v>
      </c>
      <c r="K55" s="324">
        <v>4688.2</v>
      </c>
      <c r="L55" s="324">
        <v>4548.1100000000006</v>
      </c>
      <c r="M55" s="324">
        <v>4655.7489999999998</v>
      </c>
      <c r="N55" s="324">
        <v>4364.451</v>
      </c>
      <c r="O55" s="324">
        <v>4202.0110000000004</v>
      </c>
    </row>
    <row r="56" spans="1:15" ht="11.1" customHeight="1">
      <c r="A56" s="110" t="s">
        <v>492</v>
      </c>
      <c r="B56" s="111">
        <v>2018</v>
      </c>
      <c r="C56" s="323">
        <v>258205.9</v>
      </c>
      <c r="D56" s="324">
        <v>28838.732000000004</v>
      </c>
      <c r="E56" s="324">
        <v>29943.139999999992</v>
      </c>
      <c r="F56" s="324">
        <v>28479.46</v>
      </c>
      <c r="G56" s="324">
        <v>26420.551999999996</v>
      </c>
      <c r="H56" s="324">
        <v>25481.105999999996</v>
      </c>
      <c r="I56" s="324">
        <v>24552.585999999999</v>
      </c>
      <c r="J56" s="324">
        <v>17553.835999999999</v>
      </c>
      <c r="K56" s="324">
        <v>17954.403999999995</v>
      </c>
      <c r="L56" s="324">
        <v>13191.157000000001</v>
      </c>
      <c r="M56" s="324">
        <v>12711.645999999999</v>
      </c>
      <c r="N56" s="324">
        <v>13144.501</v>
      </c>
      <c r="O56" s="324">
        <v>19934.78</v>
      </c>
    </row>
    <row r="57" spans="1:15" ht="11.1" customHeight="1">
      <c r="B57" s="111">
        <v>2019</v>
      </c>
      <c r="C57" s="323">
        <v>289157.12699999998</v>
      </c>
      <c r="D57" s="324">
        <v>27469.209000000003</v>
      </c>
      <c r="E57" s="324">
        <v>30778.067000000006</v>
      </c>
      <c r="F57" s="324">
        <v>33066.334999999992</v>
      </c>
      <c r="G57" s="324">
        <v>31183.749999999996</v>
      </c>
      <c r="H57" s="324">
        <v>30983.439999999995</v>
      </c>
      <c r="I57" s="324">
        <v>26956.258999999998</v>
      </c>
      <c r="J57" s="324">
        <v>18010.905999999999</v>
      </c>
      <c r="K57" s="324">
        <v>13088.366000000002</v>
      </c>
      <c r="L57" s="324">
        <v>16016.873999999998</v>
      </c>
      <c r="M57" s="324">
        <v>17606.849000000002</v>
      </c>
      <c r="N57" s="324">
        <v>21863.682000000001</v>
      </c>
      <c r="O57" s="324">
        <v>22133.39</v>
      </c>
    </row>
    <row r="58" spans="1:15" ht="11.1" customHeight="1">
      <c r="A58" s="110" t="s">
        <v>371</v>
      </c>
      <c r="B58" s="111">
        <v>2018</v>
      </c>
      <c r="C58" s="323">
        <v>502822.45499999996</v>
      </c>
      <c r="D58" s="324">
        <v>24527.870000000003</v>
      </c>
      <c r="E58" s="324">
        <v>27153.3</v>
      </c>
      <c r="F58" s="324">
        <v>32365.326000000001</v>
      </c>
      <c r="G58" s="324">
        <v>43658.345000000001</v>
      </c>
      <c r="H58" s="324">
        <v>58225.739999999991</v>
      </c>
      <c r="I58" s="324">
        <v>60502.700999999994</v>
      </c>
      <c r="J58" s="324">
        <v>73153.196000000011</v>
      </c>
      <c r="K58" s="324">
        <v>55522.23799999999</v>
      </c>
      <c r="L58" s="324">
        <v>34456.833999999995</v>
      </c>
      <c r="M58" s="324">
        <v>31619.257000000001</v>
      </c>
      <c r="N58" s="324">
        <v>32580.818999999996</v>
      </c>
      <c r="O58" s="324">
        <v>29056.828999999998</v>
      </c>
    </row>
    <row r="59" spans="1:15" ht="11.1" customHeight="1">
      <c r="B59" s="111">
        <v>2019</v>
      </c>
      <c r="C59" s="323">
        <v>514930.60599999997</v>
      </c>
      <c r="D59" s="324">
        <v>25063.898999999998</v>
      </c>
      <c r="E59" s="324">
        <v>30209.804999999997</v>
      </c>
      <c r="F59" s="324">
        <v>31892.306999999997</v>
      </c>
      <c r="G59" s="324">
        <v>32288.182000000004</v>
      </c>
      <c r="H59" s="324">
        <v>51526.316000000006</v>
      </c>
      <c r="I59" s="324">
        <v>61531.653000000006</v>
      </c>
      <c r="J59" s="324">
        <v>78195.538</v>
      </c>
      <c r="K59" s="324">
        <v>64691.959000000003</v>
      </c>
      <c r="L59" s="324">
        <v>39474.151000000005</v>
      </c>
      <c r="M59" s="324">
        <v>35014.888999999996</v>
      </c>
      <c r="N59" s="324">
        <v>32287.659999999996</v>
      </c>
      <c r="O59" s="324">
        <v>32754.246999999999</v>
      </c>
    </row>
    <row r="60" spans="1:15" ht="11.1" customHeight="1">
      <c r="A60" s="110" t="s">
        <v>496</v>
      </c>
      <c r="B60" s="111">
        <v>2018</v>
      </c>
      <c r="C60" s="323">
        <v>481593.96299999999</v>
      </c>
      <c r="D60" s="324">
        <v>3685.2090000000003</v>
      </c>
      <c r="E60" s="324">
        <v>10086.859</v>
      </c>
      <c r="F60" s="324">
        <v>27683.808000000001</v>
      </c>
      <c r="G60" s="324">
        <v>74302.517999999996</v>
      </c>
      <c r="H60" s="324">
        <v>64589.05</v>
      </c>
      <c r="I60" s="324">
        <v>73438.566999999995</v>
      </c>
      <c r="J60" s="324">
        <v>86519.009000000005</v>
      </c>
      <c r="K60" s="324">
        <v>55546.359000000004</v>
      </c>
      <c r="L60" s="324">
        <v>32106.339</v>
      </c>
      <c r="M60" s="324">
        <v>17337.3</v>
      </c>
      <c r="N60" s="324">
        <v>22773.268</v>
      </c>
      <c r="O60" s="324">
        <v>13525.677</v>
      </c>
    </row>
    <row r="61" spans="1:15" ht="11.1" customHeight="1">
      <c r="B61" s="111">
        <v>2019</v>
      </c>
      <c r="C61" s="323">
        <v>507595.603</v>
      </c>
      <c r="D61" s="324">
        <v>6695.6859999999997</v>
      </c>
      <c r="E61" s="324">
        <v>12983.489000000001</v>
      </c>
      <c r="F61" s="324">
        <v>39891.21</v>
      </c>
      <c r="G61" s="324">
        <v>58309.357999999993</v>
      </c>
      <c r="H61" s="324">
        <v>70181.237000000008</v>
      </c>
      <c r="I61" s="324">
        <v>68131.58</v>
      </c>
      <c r="J61" s="324">
        <v>85644.678</v>
      </c>
      <c r="K61" s="324">
        <v>56413.008999999998</v>
      </c>
      <c r="L61" s="324">
        <v>35515.11</v>
      </c>
      <c r="M61" s="324">
        <v>26944.419000000002</v>
      </c>
      <c r="N61" s="324">
        <v>29815.289000000001</v>
      </c>
      <c r="O61" s="324">
        <v>17070.538</v>
      </c>
    </row>
    <row r="62" spans="1:15" ht="11.1" customHeight="1">
      <c r="A62" s="110" t="s">
        <v>467</v>
      </c>
      <c r="B62" s="111">
        <v>2018</v>
      </c>
      <c r="C62" s="323">
        <v>112042.31600000002</v>
      </c>
      <c r="D62" s="324">
        <v>3412.1199999999994</v>
      </c>
      <c r="E62" s="324">
        <v>5048.5000000000009</v>
      </c>
      <c r="F62" s="324">
        <v>6975.4189999999999</v>
      </c>
      <c r="G62" s="324">
        <v>7169.7200000000012</v>
      </c>
      <c r="H62" s="324">
        <v>7625.4800000000005</v>
      </c>
      <c r="I62" s="324">
        <v>10234.088000000002</v>
      </c>
      <c r="J62" s="324">
        <v>35594.93</v>
      </c>
      <c r="K62" s="324">
        <v>22553.8</v>
      </c>
      <c r="L62" s="324">
        <v>6806</v>
      </c>
      <c r="M62" s="324">
        <v>2775.5</v>
      </c>
      <c r="N62" s="324">
        <v>1985.71</v>
      </c>
      <c r="O62" s="324">
        <v>1861.049</v>
      </c>
    </row>
    <row r="63" spans="1:15" ht="11.1" customHeight="1">
      <c r="A63" s="262" t="s">
        <v>442</v>
      </c>
      <c r="B63" s="114">
        <v>2019</v>
      </c>
      <c r="C63" s="323">
        <v>93039.373000000021</v>
      </c>
      <c r="D63" s="324">
        <v>3346.9500000000003</v>
      </c>
      <c r="E63" s="324">
        <v>5586.37</v>
      </c>
      <c r="F63" s="324">
        <v>7483.61</v>
      </c>
      <c r="G63" s="324">
        <v>7268.44</v>
      </c>
      <c r="H63" s="324">
        <v>6645.2580000000007</v>
      </c>
      <c r="I63" s="324">
        <v>7325.0489999999982</v>
      </c>
      <c r="J63" s="324">
        <v>29925.040000000005</v>
      </c>
      <c r="K63" s="324">
        <v>13721.44</v>
      </c>
      <c r="L63" s="324">
        <v>4303.57</v>
      </c>
      <c r="M63" s="324">
        <v>2310.6</v>
      </c>
      <c r="N63" s="324">
        <v>2202.268</v>
      </c>
      <c r="O63" s="324">
        <v>2920.7779999999998</v>
      </c>
    </row>
    <row r="64" spans="1:15" ht="11.1" customHeight="1">
      <c r="A64" s="262" t="s">
        <v>407</v>
      </c>
      <c r="B64" s="114">
        <v>2018</v>
      </c>
      <c r="C64" s="323">
        <v>645545.05899999989</v>
      </c>
      <c r="D64" s="324">
        <v>88941.880000000019</v>
      </c>
      <c r="E64" s="324">
        <v>80606.39999999998</v>
      </c>
      <c r="F64" s="324">
        <v>80726.778999999995</v>
      </c>
      <c r="G64" s="324">
        <v>41922.920000000006</v>
      </c>
      <c r="H64" s="324">
        <v>12901.32</v>
      </c>
      <c r="I64" s="324">
        <v>8205.75</v>
      </c>
      <c r="J64" s="324">
        <v>5664.2999999999993</v>
      </c>
      <c r="K64" s="324">
        <v>7388.3</v>
      </c>
      <c r="L64" s="324">
        <v>10990.099999999999</v>
      </c>
      <c r="M64" s="324">
        <v>44396.5</v>
      </c>
      <c r="N64" s="324">
        <v>104265.81</v>
      </c>
      <c r="O64" s="324">
        <v>159534.99999999997</v>
      </c>
    </row>
    <row r="65" spans="1:15" ht="11.1" customHeight="1">
      <c r="A65" s="113"/>
      <c r="B65" s="114">
        <v>2019</v>
      </c>
      <c r="C65" s="323">
        <v>638204.35899999994</v>
      </c>
      <c r="D65" s="324">
        <v>106917.23899999999</v>
      </c>
      <c r="E65" s="324">
        <v>107713.80000000002</v>
      </c>
      <c r="F65" s="324">
        <v>82036.560000000012</v>
      </c>
      <c r="G65" s="324">
        <v>18477.32</v>
      </c>
      <c r="H65" s="324">
        <v>12150.6</v>
      </c>
      <c r="I65" s="324">
        <v>14128.74</v>
      </c>
      <c r="J65" s="324">
        <v>12452.1</v>
      </c>
      <c r="K65" s="324">
        <v>13219.8</v>
      </c>
      <c r="L65" s="324">
        <v>15792.1</v>
      </c>
      <c r="M65" s="324">
        <v>46517.600000000006</v>
      </c>
      <c r="N65" s="324">
        <v>64180.7</v>
      </c>
      <c r="O65" s="324">
        <v>144617.80000000002</v>
      </c>
    </row>
    <row r="66" spans="1:15" ht="11.1" customHeight="1">
      <c r="A66" s="262" t="s">
        <v>374</v>
      </c>
      <c r="B66" s="114">
        <v>2018</v>
      </c>
      <c r="C66" s="323">
        <v>140569.44099999999</v>
      </c>
      <c r="D66" s="324">
        <v>12746.121000000001</v>
      </c>
      <c r="E66" s="324">
        <v>17637.332999999999</v>
      </c>
      <c r="F66" s="324">
        <v>18586.535000000003</v>
      </c>
      <c r="G66" s="324">
        <v>17842.546999999999</v>
      </c>
      <c r="H66" s="324">
        <v>14978.443000000001</v>
      </c>
      <c r="I66" s="324">
        <v>12368.676000000001</v>
      </c>
      <c r="J66" s="324">
        <v>9225.01</v>
      </c>
      <c r="K66" s="324">
        <v>7615.3389999999999</v>
      </c>
      <c r="L66" s="324">
        <v>7195.3</v>
      </c>
      <c r="M66" s="324">
        <v>6828.88</v>
      </c>
      <c r="N66" s="324">
        <v>7865.6499999999987</v>
      </c>
      <c r="O66" s="324">
        <v>7679.6069999999991</v>
      </c>
    </row>
    <row r="67" spans="1:15" ht="11.1" customHeight="1">
      <c r="B67" s="111">
        <v>2019</v>
      </c>
      <c r="C67" s="323">
        <v>142284.25099999999</v>
      </c>
      <c r="D67" s="324">
        <v>9832.1330000000016</v>
      </c>
      <c r="E67" s="324">
        <v>17935.443000000003</v>
      </c>
      <c r="F67" s="324">
        <v>15408.605999999998</v>
      </c>
      <c r="G67" s="324">
        <v>16407.656999999999</v>
      </c>
      <c r="H67" s="324">
        <v>17190.344000000008</v>
      </c>
      <c r="I67" s="324">
        <v>13468.002</v>
      </c>
      <c r="J67" s="324">
        <v>10646.158000000001</v>
      </c>
      <c r="K67" s="324">
        <v>8273.61</v>
      </c>
      <c r="L67" s="324">
        <v>8537.09</v>
      </c>
      <c r="M67" s="324">
        <v>6688.93</v>
      </c>
      <c r="N67" s="324">
        <v>9423.68</v>
      </c>
      <c r="O67" s="324">
        <v>8472.598</v>
      </c>
    </row>
    <row r="68" spans="1:15" ht="11.1" customHeight="1">
      <c r="A68" s="110" t="s">
        <v>267</v>
      </c>
      <c r="B68" s="111">
        <v>2018</v>
      </c>
      <c r="C68" s="323">
        <v>45114.268000000011</v>
      </c>
      <c r="D68" s="324">
        <v>2719.1589999999997</v>
      </c>
      <c r="E68" s="324">
        <v>6907.6010000000006</v>
      </c>
      <c r="F68" s="324">
        <v>9533.3320000000022</v>
      </c>
      <c r="G68" s="324">
        <v>3712.9859999999999</v>
      </c>
      <c r="H68" s="324">
        <v>1888.7049999999999</v>
      </c>
      <c r="I68" s="324">
        <v>2452.3979999999997</v>
      </c>
      <c r="J68" s="324">
        <v>2478.8589999999995</v>
      </c>
      <c r="K68" s="324">
        <v>3399.1</v>
      </c>
      <c r="L68" s="324">
        <v>4029.9</v>
      </c>
      <c r="M68" s="324">
        <v>3559.0499999999997</v>
      </c>
      <c r="N68" s="324">
        <v>2472.2499999999995</v>
      </c>
      <c r="O68" s="324">
        <v>1960.9280000000001</v>
      </c>
    </row>
    <row r="69" spans="1:15" ht="11.1" customHeight="1">
      <c r="B69" s="111">
        <v>2019</v>
      </c>
      <c r="C69" s="323">
        <v>46101.185999999994</v>
      </c>
      <c r="D69" s="324">
        <v>3006.92</v>
      </c>
      <c r="E69" s="324">
        <v>7287.6150000000007</v>
      </c>
      <c r="F69" s="324">
        <v>8536.4240000000027</v>
      </c>
      <c r="G69" s="324">
        <v>4505.3360000000002</v>
      </c>
      <c r="H69" s="324">
        <v>2235.52</v>
      </c>
      <c r="I69" s="324">
        <v>2385.1390000000001</v>
      </c>
      <c r="J69" s="324">
        <v>2077.3469999999998</v>
      </c>
      <c r="K69" s="324">
        <v>3686.2</v>
      </c>
      <c r="L69" s="324">
        <v>3444.2000000000003</v>
      </c>
      <c r="M69" s="324">
        <v>4209.5</v>
      </c>
      <c r="N69" s="324">
        <v>2511.1</v>
      </c>
      <c r="O69" s="324">
        <v>2215.8850000000002</v>
      </c>
    </row>
    <row r="70" spans="1:15" ht="11.1" customHeight="1">
      <c r="A70" s="110" t="s">
        <v>263</v>
      </c>
      <c r="B70" s="111">
        <v>2018</v>
      </c>
      <c r="C70" s="323">
        <v>78140.871999999988</v>
      </c>
      <c r="D70" s="324">
        <v>10615.089</v>
      </c>
      <c r="E70" s="324">
        <v>19372.661</v>
      </c>
      <c r="F70" s="324">
        <v>19883.516000000003</v>
      </c>
      <c r="G70" s="324">
        <v>16579.582000000002</v>
      </c>
      <c r="H70" s="324">
        <v>4808.5559999999996</v>
      </c>
      <c r="I70" s="324">
        <v>1557.299</v>
      </c>
      <c r="J70" s="324">
        <v>695.90000000000009</v>
      </c>
      <c r="K70" s="324">
        <v>412.42</v>
      </c>
      <c r="L70" s="324">
        <v>408.20000000000005</v>
      </c>
      <c r="M70" s="324">
        <v>281.85000000000002</v>
      </c>
      <c r="N70" s="324">
        <v>282.74</v>
      </c>
      <c r="O70" s="324">
        <v>3243.0590000000002</v>
      </c>
    </row>
    <row r="71" spans="1:15" ht="11.1" customHeight="1">
      <c r="B71" s="111">
        <v>2019</v>
      </c>
      <c r="C71" s="323">
        <v>79602.892000000007</v>
      </c>
      <c r="D71" s="324">
        <v>7858.2880000000005</v>
      </c>
      <c r="E71" s="324">
        <v>21013.938000000002</v>
      </c>
      <c r="F71" s="324">
        <v>22133.938999999998</v>
      </c>
      <c r="G71" s="324">
        <v>12820.734</v>
      </c>
      <c r="H71" s="324">
        <v>5405.2460000000001</v>
      </c>
      <c r="I71" s="324">
        <v>3584.91</v>
      </c>
      <c r="J71" s="324">
        <v>1968.7</v>
      </c>
      <c r="K71" s="324">
        <v>463.88</v>
      </c>
      <c r="L71" s="324">
        <v>443.65999999999997</v>
      </c>
      <c r="M71" s="324">
        <v>375.62</v>
      </c>
      <c r="N71" s="324">
        <v>588</v>
      </c>
      <c r="O71" s="324">
        <v>2945.9769999999999</v>
      </c>
    </row>
    <row r="72" spans="1:15" ht="11.1" customHeight="1">
      <c r="A72" s="110" t="s">
        <v>498</v>
      </c>
      <c r="B72" s="111">
        <v>2018</v>
      </c>
      <c r="C72" s="323">
        <v>188982.40899999999</v>
      </c>
      <c r="D72" s="324">
        <v>0</v>
      </c>
      <c r="E72" s="324">
        <v>0</v>
      </c>
      <c r="F72" s="324">
        <v>8330.7999999999993</v>
      </c>
      <c r="G72" s="324">
        <v>46618.3</v>
      </c>
      <c r="H72" s="324">
        <v>63697.81</v>
      </c>
      <c r="I72" s="324">
        <v>29481.199000000001</v>
      </c>
      <c r="J72" s="324">
        <v>19933.86</v>
      </c>
      <c r="K72" s="324">
        <v>11516.05</v>
      </c>
      <c r="L72" s="324">
        <v>6949.39</v>
      </c>
      <c r="M72" s="324">
        <v>2455</v>
      </c>
      <c r="N72" s="324">
        <v>0</v>
      </c>
      <c r="O72" s="324">
        <v>0</v>
      </c>
    </row>
    <row r="73" spans="1:15" ht="11.1" customHeight="1">
      <c r="B73" s="111">
        <v>2019</v>
      </c>
      <c r="C73" s="323">
        <v>190985.74</v>
      </c>
      <c r="D73" s="324">
        <v>0</v>
      </c>
      <c r="E73" s="324">
        <v>0</v>
      </c>
      <c r="F73" s="324">
        <v>8031.55</v>
      </c>
      <c r="G73" s="324">
        <v>51126.45</v>
      </c>
      <c r="H73" s="324">
        <v>76015.360000000001</v>
      </c>
      <c r="I73" s="324">
        <v>40334.65</v>
      </c>
      <c r="J73" s="324">
        <v>7422.45</v>
      </c>
      <c r="K73" s="324">
        <v>7952.38</v>
      </c>
      <c r="L73" s="324">
        <v>102.89999999999999</v>
      </c>
      <c r="M73" s="324">
        <v>0</v>
      </c>
      <c r="N73" s="324">
        <v>0</v>
      </c>
      <c r="O73" s="324">
        <v>0</v>
      </c>
    </row>
    <row r="74" spans="1:15" ht="11.1" customHeight="1">
      <c r="A74" s="110" t="s">
        <v>253</v>
      </c>
      <c r="B74" s="111">
        <v>2018</v>
      </c>
      <c r="C74" s="323">
        <v>921000.60899999994</v>
      </c>
      <c r="D74" s="324">
        <v>73886.670000000013</v>
      </c>
      <c r="E74" s="324">
        <v>64351.402999999998</v>
      </c>
      <c r="F74" s="324">
        <v>70884.964999999997</v>
      </c>
      <c r="G74" s="324">
        <v>73131.576000000001</v>
      </c>
      <c r="H74" s="324">
        <v>66420.976999999999</v>
      </c>
      <c r="I74" s="324">
        <v>60322.235000000001</v>
      </c>
      <c r="J74" s="324">
        <v>71495.69</v>
      </c>
      <c r="K74" s="324">
        <v>86345.597000000009</v>
      </c>
      <c r="L74" s="324">
        <v>82445.008999999991</v>
      </c>
      <c r="M74" s="324">
        <v>92982.939999999988</v>
      </c>
      <c r="N74" s="324">
        <v>93989.638999999996</v>
      </c>
      <c r="O74" s="324">
        <v>84743.907999999996</v>
      </c>
    </row>
    <row r="75" spans="1:15" ht="11.1" customHeight="1">
      <c r="B75" s="111">
        <v>2019</v>
      </c>
      <c r="C75" s="323">
        <v>912928.90099999995</v>
      </c>
      <c r="D75" s="324">
        <v>80902.25</v>
      </c>
      <c r="E75" s="324">
        <v>67314.179999999993</v>
      </c>
      <c r="F75" s="324">
        <v>75550.826000000001</v>
      </c>
      <c r="G75" s="324">
        <v>74480.698999999993</v>
      </c>
      <c r="H75" s="324">
        <v>70463.11</v>
      </c>
      <c r="I75" s="324">
        <v>62187.409</v>
      </c>
      <c r="J75" s="324">
        <v>62454.354999999996</v>
      </c>
      <c r="K75" s="324">
        <v>76514.7</v>
      </c>
      <c r="L75" s="324">
        <v>81768.399999999994</v>
      </c>
      <c r="M75" s="324">
        <v>87001.44</v>
      </c>
      <c r="N75" s="324">
        <v>89379.712999999989</v>
      </c>
      <c r="O75" s="324">
        <v>84911.818999999989</v>
      </c>
    </row>
    <row r="76" spans="1:15" ht="11.1" customHeight="1">
      <c r="A76" s="110" t="s">
        <v>398</v>
      </c>
      <c r="B76" s="111">
        <v>2018</v>
      </c>
      <c r="C76" s="323">
        <v>5131535.4879999999</v>
      </c>
      <c r="D76" s="324">
        <v>241923.72</v>
      </c>
      <c r="E76" s="324">
        <v>271233.81900000002</v>
      </c>
      <c r="F76" s="324">
        <v>466281.00100000005</v>
      </c>
      <c r="G76" s="324">
        <v>966305.304</v>
      </c>
      <c r="H76" s="324">
        <v>1100088.892</v>
      </c>
      <c r="I76" s="324">
        <v>666935.54100000008</v>
      </c>
      <c r="J76" s="324">
        <v>316727.75599999999</v>
      </c>
      <c r="K76" s="324">
        <v>171536.823</v>
      </c>
      <c r="L76" s="324">
        <v>185119.88399999999</v>
      </c>
      <c r="M76" s="324">
        <v>197960.94799999997</v>
      </c>
      <c r="N76" s="324">
        <v>277100.96000000002</v>
      </c>
      <c r="O76" s="324">
        <v>270320.84000000003</v>
      </c>
    </row>
    <row r="77" spans="1:15" ht="11.1" customHeight="1">
      <c r="B77" s="111">
        <v>2019</v>
      </c>
      <c r="C77" s="323">
        <v>5331063.0910000009</v>
      </c>
      <c r="D77" s="324">
        <v>222670.24799999999</v>
      </c>
      <c r="E77" s="324">
        <v>283182.03899999999</v>
      </c>
      <c r="F77" s="324">
        <v>459375.54599999997</v>
      </c>
      <c r="G77" s="324">
        <v>1009629.0190000001</v>
      </c>
      <c r="H77" s="324">
        <v>1213489.7949999999</v>
      </c>
      <c r="I77" s="324">
        <v>624323.25400000007</v>
      </c>
      <c r="J77" s="324">
        <v>300168.55900000001</v>
      </c>
      <c r="K77" s="324">
        <v>237864.33100000001</v>
      </c>
      <c r="L77" s="324">
        <v>218247.21799999999</v>
      </c>
      <c r="M77" s="324">
        <v>253379.73900000003</v>
      </c>
      <c r="N77" s="324">
        <v>255300.65</v>
      </c>
      <c r="O77" s="324">
        <v>253432.69299999997</v>
      </c>
    </row>
    <row r="78" spans="1:15" ht="11.1" customHeight="1">
      <c r="A78" s="110" t="s">
        <v>404</v>
      </c>
      <c r="B78" s="111">
        <v>2018</v>
      </c>
      <c r="C78" s="323">
        <v>1239740.598</v>
      </c>
      <c r="D78" s="324">
        <v>96187.829000000012</v>
      </c>
      <c r="E78" s="324">
        <v>98048.148000000001</v>
      </c>
      <c r="F78" s="324">
        <v>98370.65800000001</v>
      </c>
      <c r="G78" s="324">
        <v>101977.428</v>
      </c>
      <c r="H78" s="324">
        <v>106603.41799999999</v>
      </c>
      <c r="I78" s="324">
        <v>102362.698</v>
      </c>
      <c r="J78" s="324">
        <v>95334.807000000001</v>
      </c>
      <c r="K78" s="324">
        <v>100686.34700000001</v>
      </c>
      <c r="L78" s="324">
        <v>99113.048999999999</v>
      </c>
      <c r="M78" s="324">
        <v>110689.139</v>
      </c>
      <c r="N78" s="324">
        <v>115522.52699999999</v>
      </c>
      <c r="O78" s="324">
        <v>114844.55</v>
      </c>
    </row>
    <row r="79" spans="1:15" ht="11.1" customHeight="1">
      <c r="A79" s="113"/>
      <c r="B79" s="114">
        <v>2019</v>
      </c>
      <c r="C79" s="528">
        <v>1286012.754</v>
      </c>
      <c r="D79" s="324">
        <v>98124.663</v>
      </c>
      <c r="E79" s="324">
        <v>95786.377999999997</v>
      </c>
      <c r="F79" s="324">
        <v>100119.40400000001</v>
      </c>
      <c r="G79" s="324">
        <v>106978.92</v>
      </c>
      <c r="H79" s="324">
        <v>113122.236</v>
      </c>
      <c r="I79" s="324">
        <v>108197.50900000001</v>
      </c>
      <c r="J79" s="324">
        <v>98030.059000000008</v>
      </c>
      <c r="K79" s="324">
        <v>99906.968999999997</v>
      </c>
      <c r="L79" s="324">
        <v>99559.142000000007</v>
      </c>
      <c r="M79" s="324">
        <v>116812.84899999999</v>
      </c>
      <c r="N79" s="324">
        <v>124247.01799999998</v>
      </c>
      <c r="O79" s="324">
        <v>125127.607</v>
      </c>
    </row>
    <row r="80" spans="1:15" ht="12.75">
      <c r="A80" s="238"/>
      <c r="B80" s="121"/>
      <c r="C80" s="122"/>
      <c r="D80" s="239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521" t="s">
        <v>500</v>
      </c>
    </row>
    <row r="81" spans="1:24" ht="12.75">
      <c r="A81" s="89" t="s">
        <v>158</v>
      </c>
      <c r="B81" s="123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</row>
    <row r="82" spans="1:24" ht="15.95" customHeight="1">
      <c r="A82" s="252" t="s">
        <v>443</v>
      </c>
      <c r="B82" s="253" t="s">
        <v>272</v>
      </c>
      <c r="C82" s="252" t="s">
        <v>47</v>
      </c>
      <c r="D82" s="236" t="s">
        <v>524</v>
      </c>
      <c r="E82" s="236" t="s">
        <v>525</v>
      </c>
      <c r="F82" s="236" t="s">
        <v>526</v>
      </c>
      <c r="G82" s="236" t="s">
        <v>527</v>
      </c>
      <c r="H82" s="236" t="s">
        <v>315</v>
      </c>
      <c r="I82" s="236" t="s">
        <v>316</v>
      </c>
      <c r="J82" s="236" t="s">
        <v>317</v>
      </c>
      <c r="K82" s="236" t="s">
        <v>317</v>
      </c>
      <c r="L82" s="236" t="s">
        <v>414</v>
      </c>
      <c r="M82" s="236" t="s">
        <v>415</v>
      </c>
      <c r="N82" s="236" t="s">
        <v>522</v>
      </c>
      <c r="O82" s="236" t="s">
        <v>523</v>
      </c>
    </row>
    <row r="83" spans="1:24" ht="11.1" customHeight="1">
      <c r="A83" s="110" t="s">
        <v>203</v>
      </c>
      <c r="B83" s="111">
        <v>2018</v>
      </c>
      <c r="C83" s="323">
        <v>275322.80200000003</v>
      </c>
      <c r="D83" s="324">
        <v>20342.319999999996</v>
      </c>
      <c r="E83" s="324">
        <v>15827.877999999999</v>
      </c>
      <c r="F83" s="324">
        <v>17656.64</v>
      </c>
      <c r="G83" s="324">
        <v>27742.090000000004</v>
      </c>
      <c r="H83" s="324">
        <v>21016.66</v>
      </c>
      <c r="I83" s="324">
        <v>22231.566000000006</v>
      </c>
      <c r="J83" s="324">
        <v>21656.04</v>
      </c>
      <c r="K83" s="324">
        <v>25243.339</v>
      </c>
      <c r="L83" s="324">
        <v>27889.774000000001</v>
      </c>
      <c r="M83" s="324">
        <v>23183.820000000003</v>
      </c>
      <c r="N83" s="324">
        <v>24139.680000000004</v>
      </c>
      <c r="O83" s="324">
        <v>28392.994999999995</v>
      </c>
    </row>
    <row r="84" spans="1:24" ht="11.1" customHeight="1">
      <c r="B84" s="111">
        <v>2019</v>
      </c>
      <c r="C84" s="323">
        <v>301343.76199999999</v>
      </c>
      <c r="D84" s="324">
        <v>23603.775000000001</v>
      </c>
      <c r="E84" s="324">
        <v>22748.159999999996</v>
      </c>
      <c r="F84" s="324">
        <v>21487.454000000002</v>
      </c>
      <c r="G84" s="324">
        <v>28656.55</v>
      </c>
      <c r="H84" s="324">
        <v>27036.93</v>
      </c>
      <c r="I84" s="324">
        <v>22525.82</v>
      </c>
      <c r="J84" s="324">
        <v>20817.590000000004</v>
      </c>
      <c r="K84" s="324">
        <v>25708.841</v>
      </c>
      <c r="L84" s="324">
        <v>28670.477999999996</v>
      </c>
      <c r="M84" s="324">
        <v>30763.803000000004</v>
      </c>
      <c r="N84" s="324">
        <v>27334.298999999995</v>
      </c>
      <c r="O84" s="324">
        <v>21990.061999999994</v>
      </c>
    </row>
    <row r="85" spans="1:24" ht="11.1" customHeight="1">
      <c r="A85" s="110" t="s">
        <v>384</v>
      </c>
      <c r="B85" s="111">
        <v>2018</v>
      </c>
      <c r="C85" s="323">
        <v>105038.69999999998</v>
      </c>
      <c r="D85" s="324">
        <v>0</v>
      </c>
      <c r="E85" s="324">
        <v>60.5</v>
      </c>
      <c r="F85" s="324">
        <v>944.7</v>
      </c>
      <c r="G85" s="324">
        <v>21089.52</v>
      </c>
      <c r="H85" s="324">
        <v>39596.451000000001</v>
      </c>
      <c r="I85" s="324">
        <v>28678.008999999998</v>
      </c>
      <c r="J85" s="324">
        <v>9974.1700000000019</v>
      </c>
      <c r="K85" s="324">
        <v>3659.7</v>
      </c>
      <c r="L85" s="324">
        <v>834</v>
      </c>
      <c r="M85" s="324">
        <v>164.45</v>
      </c>
      <c r="N85" s="324">
        <v>37.200000000000003</v>
      </c>
      <c r="O85" s="324">
        <v>0</v>
      </c>
      <c r="X85" s="272" t="s">
        <v>57</v>
      </c>
    </row>
    <row r="86" spans="1:24" ht="11.1" customHeight="1">
      <c r="B86" s="111">
        <v>2019</v>
      </c>
      <c r="C86" s="323">
        <v>97246.748000000021</v>
      </c>
      <c r="D86" s="324">
        <v>62</v>
      </c>
      <c r="E86" s="324">
        <v>135.1</v>
      </c>
      <c r="F86" s="324">
        <v>687.97</v>
      </c>
      <c r="G86" s="324">
        <v>21652.539000000004</v>
      </c>
      <c r="H86" s="324">
        <v>36389.469000000005</v>
      </c>
      <c r="I86" s="324">
        <v>25113.629999999997</v>
      </c>
      <c r="J86" s="324">
        <v>8819.4200000000019</v>
      </c>
      <c r="K86" s="324">
        <v>2749.32</v>
      </c>
      <c r="L86" s="324">
        <v>1125.3</v>
      </c>
      <c r="M86" s="324">
        <v>421</v>
      </c>
      <c r="N86" s="324">
        <v>91</v>
      </c>
      <c r="O86" s="324">
        <v>0</v>
      </c>
    </row>
    <row r="87" spans="1:24" ht="11.1" customHeight="1">
      <c r="A87" s="110" t="s">
        <v>252</v>
      </c>
      <c r="B87" s="111">
        <v>2018</v>
      </c>
      <c r="C87" s="323">
        <v>205236.04799999998</v>
      </c>
      <c r="D87" s="324">
        <v>1283.5999999999999</v>
      </c>
      <c r="E87" s="324">
        <v>4421.7999999999993</v>
      </c>
      <c r="F87" s="324">
        <v>12594.76</v>
      </c>
      <c r="G87" s="324">
        <v>32549.040000000001</v>
      </c>
      <c r="H87" s="324">
        <v>65263.227999999996</v>
      </c>
      <c r="I87" s="324">
        <v>56575.469999999994</v>
      </c>
      <c r="J87" s="324">
        <v>24889.4</v>
      </c>
      <c r="K87" s="324">
        <v>4355</v>
      </c>
      <c r="L87" s="324">
        <v>1524</v>
      </c>
      <c r="M87" s="324">
        <v>525</v>
      </c>
      <c r="N87" s="324">
        <v>93.25</v>
      </c>
      <c r="O87" s="324">
        <v>1161.5</v>
      </c>
    </row>
    <row r="88" spans="1:24" ht="11.1" customHeight="1">
      <c r="A88" s="113"/>
      <c r="B88" s="114">
        <v>2019</v>
      </c>
      <c r="C88" s="323">
        <v>198121.872</v>
      </c>
      <c r="D88" s="324">
        <v>1768.4</v>
      </c>
      <c r="E88" s="324">
        <v>5446.9</v>
      </c>
      <c r="F88" s="324">
        <v>11719.71</v>
      </c>
      <c r="G88" s="324">
        <v>31568.717999999997</v>
      </c>
      <c r="H88" s="324">
        <v>64223.469999999994</v>
      </c>
      <c r="I88" s="324">
        <v>46198.600000000006</v>
      </c>
      <c r="J88" s="324">
        <v>22891.003999999997</v>
      </c>
      <c r="K88" s="324">
        <v>6955.0300000000007</v>
      </c>
      <c r="L88" s="324">
        <v>1920.94</v>
      </c>
      <c r="M88" s="324">
        <v>1792.7</v>
      </c>
      <c r="N88" s="324">
        <v>1736.3</v>
      </c>
      <c r="O88" s="324">
        <v>1900.1</v>
      </c>
    </row>
    <row r="89" spans="1:24" ht="11.1" customHeight="1">
      <c r="A89" s="110" t="s">
        <v>264</v>
      </c>
      <c r="B89" s="111">
        <v>2018</v>
      </c>
      <c r="C89" s="323">
        <v>369621.99199999991</v>
      </c>
      <c r="D89" s="324">
        <v>375.8</v>
      </c>
      <c r="E89" s="324">
        <v>6318.1990000000005</v>
      </c>
      <c r="F89" s="324">
        <v>24219.365000000005</v>
      </c>
      <c r="G89" s="324">
        <v>60700.057000000001</v>
      </c>
      <c r="H89" s="324">
        <v>87021.986999999994</v>
      </c>
      <c r="I89" s="324">
        <v>92451.526000000013</v>
      </c>
      <c r="J89" s="324">
        <v>54881.377</v>
      </c>
      <c r="K89" s="324">
        <v>29364.833999999999</v>
      </c>
      <c r="L89" s="324">
        <v>10393.698</v>
      </c>
      <c r="M89" s="324">
        <v>3241.3290000000002</v>
      </c>
      <c r="N89" s="324">
        <v>419.59999999999997</v>
      </c>
      <c r="O89" s="324">
        <v>234.21999999999997</v>
      </c>
    </row>
    <row r="90" spans="1:24" ht="11.1" customHeight="1">
      <c r="B90" s="111">
        <v>2019</v>
      </c>
      <c r="C90" s="323">
        <v>363291.43900000007</v>
      </c>
      <c r="D90" s="324">
        <v>472.1</v>
      </c>
      <c r="E90" s="324">
        <v>7195.9390000000003</v>
      </c>
      <c r="F90" s="324">
        <v>23144.782000000003</v>
      </c>
      <c r="G90" s="324">
        <v>58905.534000000007</v>
      </c>
      <c r="H90" s="324">
        <v>76654.93299999999</v>
      </c>
      <c r="I90" s="324">
        <v>91584.553</v>
      </c>
      <c r="J90" s="324">
        <v>61148.756000000001</v>
      </c>
      <c r="K90" s="324">
        <v>30498.896000000004</v>
      </c>
      <c r="L90" s="324">
        <v>9437.259</v>
      </c>
      <c r="M90" s="324">
        <v>3183.4870000000005</v>
      </c>
      <c r="N90" s="324">
        <v>781.19999999999993</v>
      </c>
      <c r="O90" s="324">
        <v>284</v>
      </c>
    </row>
    <row r="91" spans="1:24" ht="11.1" customHeight="1">
      <c r="A91" s="110" t="s">
        <v>369</v>
      </c>
      <c r="B91" s="111">
        <v>2018</v>
      </c>
      <c r="C91" s="323">
        <v>134675.74399999998</v>
      </c>
      <c r="D91" s="324">
        <v>7838.1870000000008</v>
      </c>
      <c r="E91" s="324">
        <v>8585.0680000000011</v>
      </c>
      <c r="F91" s="324">
        <v>9470.7279999999992</v>
      </c>
      <c r="G91" s="324">
        <v>12341.194</v>
      </c>
      <c r="H91" s="324">
        <v>16482.532999999999</v>
      </c>
      <c r="I91" s="324">
        <v>16599.245999999999</v>
      </c>
      <c r="J91" s="324">
        <v>14577.901000000002</v>
      </c>
      <c r="K91" s="324">
        <v>11944.924000000001</v>
      </c>
      <c r="L91" s="324">
        <v>9470.7420000000002</v>
      </c>
      <c r="M91" s="324">
        <v>8929.8339999999989</v>
      </c>
      <c r="N91" s="324">
        <v>8992.4920000000002</v>
      </c>
      <c r="O91" s="324">
        <v>9442.8950000000004</v>
      </c>
    </row>
    <row r="92" spans="1:24" ht="11.1" customHeight="1">
      <c r="B92" s="111">
        <v>2019</v>
      </c>
      <c r="C92" s="323">
        <v>135927.61200000002</v>
      </c>
      <c r="D92" s="324">
        <v>9069.9559999999983</v>
      </c>
      <c r="E92" s="324">
        <v>9813.4880000000012</v>
      </c>
      <c r="F92" s="324">
        <v>10108.724</v>
      </c>
      <c r="G92" s="324">
        <v>12418.366999999998</v>
      </c>
      <c r="H92" s="324">
        <v>16903.763000000003</v>
      </c>
      <c r="I92" s="324">
        <v>17831.608000000004</v>
      </c>
      <c r="J92" s="324">
        <v>14093.628999999999</v>
      </c>
      <c r="K92" s="324">
        <v>10485.156999999999</v>
      </c>
      <c r="L92" s="324">
        <v>9055.5829999999987</v>
      </c>
      <c r="M92" s="324">
        <v>8484.1170000000002</v>
      </c>
      <c r="N92" s="324">
        <v>9008.0240000000013</v>
      </c>
      <c r="O92" s="324">
        <v>8655.1959999999999</v>
      </c>
    </row>
    <row r="93" spans="1:24" ht="11.1" customHeight="1">
      <c r="A93" s="110" t="s">
        <v>429</v>
      </c>
      <c r="B93" s="111">
        <v>2018</v>
      </c>
      <c r="C93" s="323">
        <v>26231.579999999998</v>
      </c>
      <c r="D93" s="324">
        <v>5486.7</v>
      </c>
      <c r="E93" s="324">
        <v>3021.5</v>
      </c>
      <c r="F93" s="324">
        <v>1737.5</v>
      </c>
      <c r="G93" s="324">
        <v>2074.3200000000002</v>
      </c>
      <c r="H93" s="324">
        <v>2130.66</v>
      </c>
      <c r="I93" s="324">
        <v>2500.8500000000004</v>
      </c>
      <c r="J93" s="324">
        <v>2118.35</v>
      </c>
      <c r="K93" s="324">
        <v>2729.5</v>
      </c>
      <c r="L93" s="324">
        <v>972.2</v>
      </c>
      <c r="M93" s="324">
        <v>510</v>
      </c>
      <c r="N93" s="324">
        <v>1487.5</v>
      </c>
      <c r="O93" s="324">
        <v>1462.5</v>
      </c>
    </row>
    <row r="94" spans="1:24" ht="11.1" customHeight="1">
      <c r="B94" s="111">
        <v>2019</v>
      </c>
      <c r="C94" s="323">
        <v>23312.219999999998</v>
      </c>
      <c r="D94" s="324">
        <v>3083</v>
      </c>
      <c r="E94" s="324">
        <v>1813</v>
      </c>
      <c r="F94" s="324">
        <v>1857.5900000000001</v>
      </c>
      <c r="G94" s="324">
        <v>938.15</v>
      </c>
      <c r="H94" s="324">
        <v>2174.9</v>
      </c>
      <c r="I94" s="324">
        <v>3188.58</v>
      </c>
      <c r="J94" s="324">
        <v>3184.45</v>
      </c>
      <c r="K94" s="324">
        <v>910.19999999999993</v>
      </c>
      <c r="L94" s="324">
        <v>1286.8</v>
      </c>
      <c r="M94" s="324">
        <v>604.29999999999995</v>
      </c>
      <c r="N94" s="324">
        <v>1055.25</v>
      </c>
      <c r="O94" s="324">
        <v>3216</v>
      </c>
    </row>
    <row r="95" spans="1:24" ht="11.1" customHeight="1">
      <c r="A95" s="110" t="s">
        <v>367</v>
      </c>
      <c r="B95" s="111">
        <v>2018</v>
      </c>
      <c r="C95" s="323">
        <v>88865.771000000008</v>
      </c>
      <c r="D95" s="324">
        <v>3417.6990000000005</v>
      </c>
      <c r="E95" s="324">
        <v>1661.2800000000002</v>
      </c>
      <c r="F95" s="324">
        <v>1262.2990000000002</v>
      </c>
      <c r="G95" s="324">
        <v>4219.49</v>
      </c>
      <c r="H95" s="324">
        <v>13645.343000000001</v>
      </c>
      <c r="I95" s="324">
        <v>16763.995000000003</v>
      </c>
      <c r="J95" s="324">
        <v>13686.444000000001</v>
      </c>
      <c r="K95" s="324">
        <v>14692.362999999999</v>
      </c>
      <c r="L95" s="324">
        <v>9259.5499999999993</v>
      </c>
      <c r="M95" s="324">
        <v>4790.4789999999994</v>
      </c>
      <c r="N95" s="324">
        <v>3066.0579999999995</v>
      </c>
      <c r="O95" s="324">
        <v>2400.7710000000002</v>
      </c>
    </row>
    <row r="96" spans="1:24" ht="11.1" customHeight="1">
      <c r="A96" s="113"/>
      <c r="B96" s="114">
        <v>2019</v>
      </c>
      <c r="C96" s="323">
        <v>85941.771000000008</v>
      </c>
      <c r="D96" s="324">
        <v>3017.1840000000002</v>
      </c>
      <c r="E96" s="324">
        <v>1589.2449999999999</v>
      </c>
      <c r="F96" s="324">
        <v>1699.2800000000002</v>
      </c>
      <c r="G96" s="324">
        <v>4639.8450000000003</v>
      </c>
      <c r="H96" s="324">
        <v>12784.709000000001</v>
      </c>
      <c r="I96" s="324">
        <v>17873.672000000002</v>
      </c>
      <c r="J96" s="324">
        <v>13096.707</v>
      </c>
      <c r="K96" s="324">
        <v>13219.034</v>
      </c>
      <c r="L96" s="324">
        <v>7746.4430000000002</v>
      </c>
      <c r="M96" s="324">
        <v>4544.6290000000008</v>
      </c>
      <c r="N96" s="324">
        <v>3762.2379999999998</v>
      </c>
      <c r="O96" s="324">
        <v>1968.7849999999999</v>
      </c>
    </row>
    <row r="97" spans="1:15" ht="11.1" customHeight="1">
      <c r="A97" s="110" t="s">
        <v>468</v>
      </c>
      <c r="B97" s="111">
        <v>2018</v>
      </c>
      <c r="C97" s="323">
        <v>8512.2290000000012</v>
      </c>
      <c r="D97" s="324">
        <v>85.8</v>
      </c>
      <c r="E97" s="324">
        <v>23</v>
      </c>
      <c r="F97" s="324">
        <v>74</v>
      </c>
      <c r="G97" s="324">
        <v>78.150000000000006</v>
      </c>
      <c r="H97" s="324">
        <v>82.88</v>
      </c>
      <c r="I97" s="324">
        <v>61.36</v>
      </c>
      <c r="J97" s="324">
        <v>128.07999999999998</v>
      </c>
      <c r="K97" s="324">
        <v>119.88000000000001</v>
      </c>
      <c r="L97" s="324">
        <v>522.4</v>
      </c>
      <c r="M97" s="324">
        <v>2458.1289999999999</v>
      </c>
      <c r="N97" s="324">
        <v>3670.8500000000004</v>
      </c>
      <c r="O97" s="324">
        <v>1207.7</v>
      </c>
    </row>
    <row r="98" spans="1:15" ht="11.1" customHeight="1">
      <c r="B98" s="111">
        <v>2019</v>
      </c>
      <c r="C98" s="323">
        <v>8232.52</v>
      </c>
      <c r="D98" s="324">
        <v>113.9</v>
      </c>
      <c r="E98" s="324">
        <v>9.08</v>
      </c>
      <c r="F98" s="324">
        <v>103.17</v>
      </c>
      <c r="G98" s="324">
        <v>89.54</v>
      </c>
      <c r="H98" s="324">
        <v>47.11</v>
      </c>
      <c r="I98" s="324">
        <v>75.260000000000005</v>
      </c>
      <c r="J98" s="324">
        <v>134.5</v>
      </c>
      <c r="K98" s="324">
        <v>292.12</v>
      </c>
      <c r="L98" s="324">
        <v>916.36</v>
      </c>
      <c r="M98" s="324">
        <v>2093.6499999999996</v>
      </c>
      <c r="N98" s="324">
        <v>3493.1400000000003</v>
      </c>
      <c r="O98" s="324">
        <v>864.68999999999994</v>
      </c>
    </row>
    <row r="99" spans="1:15" ht="11.1" customHeight="1">
      <c r="A99" s="110" t="s">
        <v>380</v>
      </c>
      <c r="B99" s="111">
        <v>2018</v>
      </c>
      <c r="C99" s="323">
        <v>83513.266000000003</v>
      </c>
      <c r="D99" s="324">
        <v>33.888999999999996</v>
      </c>
      <c r="E99" s="324">
        <v>97.99</v>
      </c>
      <c r="F99" s="324">
        <v>101.2</v>
      </c>
      <c r="G99" s="324">
        <v>8605.8689999999988</v>
      </c>
      <c r="H99" s="324">
        <v>18986.752</v>
      </c>
      <c r="I99" s="324">
        <v>26713.868000000002</v>
      </c>
      <c r="J99" s="324">
        <v>20786.629000000001</v>
      </c>
      <c r="K99" s="324">
        <v>5700.6900000000005</v>
      </c>
      <c r="L99" s="324">
        <v>2293.6899999999996</v>
      </c>
      <c r="M99" s="324">
        <v>52.81</v>
      </c>
      <c r="N99" s="324">
        <v>133.239</v>
      </c>
      <c r="O99" s="324">
        <v>6.6400000000000006</v>
      </c>
    </row>
    <row r="100" spans="1:15" ht="11.1" customHeight="1">
      <c r="B100" s="111">
        <v>2019</v>
      </c>
      <c r="C100" s="323">
        <v>86388.300999999978</v>
      </c>
      <c r="D100" s="324">
        <v>44</v>
      </c>
      <c r="E100" s="324">
        <v>222.43</v>
      </c>
      <c r="F100" s="324">
        <v>591.48399999999992</v>
      </c>
      <c r="G100" s="324">
        <v>10106.11</v>
      </c>
      <c r="H100" s="324">
        <v>18739.131000000001</v>
      </c>
      <c r="I100" s="324">
        <v>26958.635999999999</v>
      </c>
      <c r="J100" s="324">
        <v>20619.14</v>
      </c>
      <c r="K100" s="324">
        <v>6956.9000000000005</v>
      </c>
      <c r="L100" s="324">
        <v>1625.09</v>
      </c>
      <c r="M100" s="324">
        <v>338.90000000000003</v>
      </c>
      <c r="N100" s="324">
        <v>144.13999999999999</v>
      </c>
      <c r="O100" s="324">
        <v>42.34</v>
      </c>
    </row>
    <row r="101" spans="1:15" ht="11.1" customHeight="1">
      <c r="A101" s="110" t="s">
        <v>381</v>
      </c>
      <c r="B101" s="111">
        <v>2018</v>
      </c>
      <c r="C101" s="323">
        <v>54370.753000000004</v>
      </c>
      <c r="D101" s="324">
        <v>13.54</v>
      </c>
      <c r="E101" s="324">
        <v>57.6</v>
      </c>
      <c r="F101" s="324">
        <v>68.600000000000009</v>
      </c>
      <c r="G101" s="324">
        <v>1196.3400000000001</v>
      </c>
      <c r="H101" s="324">
        <v>7703.0899999999992</v>
      </c>
      <c r="I101" s="324">
        <v>11233.415000000001</v>
      </c>
      <c r="J101" s="324">
        <v>12276.164000000001</v>
      </c>
      <c r="K101" s="324">
        <v>8113.9089999999997</v>
      </c>
      <c r="L101" s="324">
        <v>6256.8189999999995</v>
      </c>
      <c r="M101" s="324">
        <v>4293.3570000000009</v>
      </c>
      <c r="N101" s="324">
        <v>2526.6790000000001</v>
      </c>
      <c r="O101" s="324">
        <v>631.24</v>
      </c>
    </row>
    <row r="102" spans="1:15" ht="11.1" customHeight="1">
      <c r="B102" s="111">
        <v>2019</v>
      </c>
      <c r="C102" s="323">
        <v>51840.712000000007</v>
      </c>
      <c r="D102" s="324">
        <v>117.14</v>
      </c>
      <c r="E102" s="324">
        <v>138</v>
      </c>
      <c r="F102" s="324">
        <v>161.12899999999999</v>
      </c>
      <c r="G102" s="324">
        <v>1776.08</v>
      </c>
      <c r="H102" s="324">
        <v>6816.8700000000008</v>
      </c>
      <c r="I102" s="324">
        <v>11195.955</v>
      </c>
      <c r="J102" s="324">
        <v>10504.950000000003</v>
      </c>
      <c r="K102" s="324">
        <v>10236.609</v>
      </c>
      <c r="L102" s="324">
        <v>4340.21</v>
      </c>
      <c r="M102" s="324">
        <v>5136.79</v>
      </c>
      <c r="N102" s="324">
        <v>1210.97</v>
      </c>
      <c r="O102" s="324">
        <v>206.00899999999999</v>
      </c>
    </row>
    <row r="103" spans="1:15" ht="11.1" customHeight="1">
      <c r="A103" s="110" t="s">
        <v>265</v>
      </c>
      <c r="B103" s="111">
        <v>2018</v>
      </c>
      <c r="C103" s="323">
        <v>10336177.907933401</v>
      </c>
      <c r="D103" s="324">
        <v>814883.5610000001</v>
      </c>
      <c r="E103" s="324">
        <v>659542.51099999994</v>
      </c>
      <c r="F103" s="324">
        <v>600336.69400000002</v>
      </c>
      <c r="G103" s="324">
        <v>510918.63099999994</v>
      </c>
      <c r="H103" s="324">
        <v>643581.26799999992</v>
      </c>
      <c r="I103" s="324">
        <v>892333.67769999988</v>
      </c>
      <c r="J103" s="324">
        <v>982803.68119609996</v>
      </c>
      <c r="K103" s="324">
        <v>1013079.8879</v>
      </c>
      <c r="L103" s="324">
        <v>1028822.4001372999</v>
      </c>
      <c r="M103" s="324">
        <v>1029934.4449999999</v>
      </c>
      <c r="N103" s="324">
        <v>1101878.652</v>
      </c>
      <c r="O103" s="324">
        <v>1058062.4990000001</v>
      </c>
    </row>
    <row r="104" spans="1:15" ht="11.1" customHeight="1">
      <c r="A104" s="113"/>
      <c r="B104" s="114">
        <v>2019</v>
      </c>
      <c r="C104" s="323">
        <v>10929340.629000001</v>
      </c>
      <c r="D104" s="324">
        <v>868184.77099999983</v>
      </c>
      <c r="E104" s="324">
        <v>790313.66200000001</v>
      </c>
      <c r="F104" s="324">
        <v>880200.59600000002</v>
      </c>
      <c r="G104" s="324">
        <v>712496.58200000017</v>
      </c>
      <c r="H104" s="324">
        <v>762969.63400000008</v>
      </c>
      <c r="I104" s="324">
        <v>763607.31999999983</v>
      </c>
      <c r="J104" s="324">
        <v>1074083.9819999998</v>
      </c>
      <c r="K104" s="324">
        <v>1050364.6029999999</v>
      </c>
      <c r="L104" s="324">
        <v>1033944.3610000001</v>
      </c>
      <c r="M104" s="324">
        <v>1050133.4109999998</v>
      </c>
      <c r="N104" s="324">
        <v>1010389.8109999999</v>
      </c>
      <c r="O104" s="324">
        <v>932651.89600000007</v>
      </c>
    </row>
    <row r="105" spans="1:15" ht="11.1" customHeight="1">
      <c r="A105" s="110" t="s">
        <v>400</v>
      </c>
      <c r="B105" s="111">
        <v>2018</v>
      </c>
      <c r="C105" s="323">
        <v>6522086.8210000005</v>
      </c>
      <c r="D105" s="324">
        <v>466758.61300000001</v>
      </c>
      <c r="E105" s="324">
        <v>576377.82599999988</v>
      </c>
      <c r="F105" s="324">
        <v>752288.66</v>
      </c>
      <c r="G105" s="324">
        <v>876344.75600000005</v>
      </c>
      <c r="H105" s="324">
        <v>759532.34</v>
      </c>
      <c r="I105" s="324">
        <v>523533.62900000007</v>
      </c>
      <c r="J105" s="324">
        <v>407152.07800000004</v>
      </c>
      <c r="K105" s="324">
        <v>393960.43300000008</v>
      </c>
      <c r="L105" s="324">
        <v>413019.36500000005</v>
      </c>
      <c r="M105" s="324">
        <v>420692.64100000006</v>
      </c>
      <c r="N105" s="324">
        <v>435814.60399999999</v>
      </c>
      <c r="O105" s="324">
        <v>496611.87599999999</v>
      </c>
    </row>
    <row r="106" spans="1:15" ht="11.1" customHeight="1">
      <c r="A106" s="113"/>
      <c r="B106" s="114">
        <v>2019</v>
      </c>
      <c r="C106" s="323">
        <v>6780464.1550000003</v>
      </c>
      <c r="D106" s="324">
        <v>494789.7319999999</v>
      </c>
      <c r="E106" s="324">
        <v>600596.63699999987</v>
      </c>
      <c r="F106" s="324">
        <v>802397.93700000015</v>
      </c>
      <c r="G106" s="324">
        <v>939669.28900000011</v>
      </c>
      <c r="H106" s="324">
        <v>779235.86400000006</v>
      </c>
      <c r="I106" s="324">
        <v>533889.85499999986</v>
      </c>
      <c r="J106" s="324">
        <v>414596.80299999996</v>
      </c>
      <c r="K106" s="324">
        <v>406428.09299999994</v>
      </c>
      <c r="L106" s="324">
        <v>413448.55200000003</v>
      </c>
      <c r="M106" s="324">
        <v>429501.83100000001</v>
      </c>
      <c r="N106" s="324">
        <v>445020.37199999997</v>
      </c>
      <c r="O106" s="324">
        <v>520889.19000000012</v>
      </c>
    </row>
    <row r="107" spans="1:15" ht="11.1" customHeight="1">
      <c r="A107" s="110" t="s">
        <v>430</v>
      </c>
      <c r="B107" s="111">
        <v>2018</v>
      </c>
      <c r="C107" s="323">
        <v>1818040.5210000002</v>
      </c>
      <c r="D107" s="324">
        <v>141587.72200000001</v>
      </c>
      <c r="E107" s="324">
        <v>140907.44</v>
      </c>
      <c r="F107" s="324">
        <v>129527.10100000001</v>
      </c>
      <c r="G107" s="324">
        <v>137111.32</v>
      </c>
      <c r="H107" s="324">
        <v>164037.15</v>
      </c>
      <c r="I107" s="324">
        <v>146972.98000000001</v>
      </c>
      <c r="J107" s="324">
        <v>151523.17800000001</v>
      </c>
      <c r="K107" s="324">
        <v>154004.14800000002</v>
      </c>
      <c r="L107" s="324">
        <v>178654.59999999998</v>
      </c>
      <c r="M107" s="324">
        <v>164069.51400000002</v>
      </c>
      <c r="N107" s="324">
        <v>153031.48100000003</v>
      </c>
      <c r="O107" s="324">
        <v>156613.88700000002</v>
      </c>
    </row>
    <row r="108" spans="1:15" ht="11.1" customHeight="1">
      <c r="B108" s="111">
        <v>2019</v>
      </c>
      <c r="C108" s="323">
        <v>1819833.1179999998</v>
      </c>
      <c r="D108" s="324">
        <v>155554.51499999998</v>
      </c>
      <c r="E108" s="324">
        <v>148006.37</v>
      </c>
      <c r="F108" s="324">
        <v>156885.334</v>
      </c>
      <c r="G108" s="324">
        <v>136895.348</v>
      </c>
      <c r="H108" s="324">
        <v>157162.84599999996</v>
      </c>
      <c r="I108" s="324">
        <v>162370.209</v>
      </c>
      <c r="J108" s="324">
        <v>148806.98899999997</v>
      </c>
      <c r="K108" s="324">
        <v>153417.15899999999</v>
      </c>
      <c r="L108" s="324">
        <v>151138.67000000001</v>
      </c>
      <c r="M108" s="324">
        <v>160377.30900000001</v>
      </c>
      <c r="N108" s="324">
        <v>147691.69899999999</v>
      </c>
      <c r="O108" s="324">
        <v>141526.66999999998</v>
      </c>
    </row>
    <row r="109" spans="1:15" ht="11.1" customHeight="1">
      <c r="A109" s="110" t="s">
        <v>431</v>
      </c>
      <c r="B109" s="111">
        <v>2018</v>
      </c>
      <c r="C109" s="323">
        <v>435964.87700000004</v>
      </c>
      <c r="D109" s="324">
        <v>1964.42</v>
      </c>
      <c r="E109" s="324">
        <v>4162.6090000000004</v>
      </c>
      <c r="F109" s="324">
        <v>13848.958999999999</v>
      </c>
      <c r="G109" s="324">
        <v>172622.109</v>
      </c>
      <c r="H109" s="324">
        <v>212408.83</v>
      </c>
      <c r="I109" s="324">
        <v>16551.128000000001</v>
      </c>
      <c r="J109" s="324">
        <v>4069.67</v>
      </c>
      <c r="K109" s="324">
        <v>2823.288</v>
      </c>
      <c r="L109" s="324">
        <v>2349.0159999999996</v>
      </c>
      <c r="M109" s="324">
        <v>1484.1179999999999</v>
      </c>
      <c r="N109" s="324">
        <v>2125.87</v>
      </c>
      <c r="O109" s="324">
        <v>1554.8600000000001</v>
      </c>
    </row>
    <row r="110" spans="1:15" ht="11.1" customHeight="1">
      <c r="B110" s="111">
        <v>2019</v>
      </c>
      <c r="C110" s="323">
        <v>410513.2429999999</v>
      </c>
      <c r="D110" s="324">
        <v>2044.2950000000001</v>
      </c>
      <c r="E110" s="324">
        <v>4852.9889999999996</v>
      </c>
      <c r="F110" s="324">
        <v>11308.61</v>
      </c>
      <c r="G110" s="324">
        <v>161600.24499999997</v>
      </c>
      <c r="H110" s="324">
        <v>208879.149</v>
      </c>
      <c r="I110" s="324">
        <v>7915.6280000000006</v>
      </c>
      <c r="J110" s="324">
        <v>2720.518</v>
      </c>
      <c r="K110" s="324">
        <v>2408.9300000000003</v>
      </c>
      <c r="L110" s="324">
        <v>2228.41</v>
      </c>
      <c r="M110" s="324">
        <v>2532.1689999999999</v>
      </c>
      <c r="N110" s="324">
        <v>1917.38</v>
      </c>
      <c r="O110" s="324">
        <v>2104.92</v>
      </c>
    </row>
    <row r="111" spans="1:15" ht="11.1" customHeight="1">
      <c r="A111" s="110" t="s">
        <v>432</v>
      </c>
      <c r="B111" s="111">
        <v>2018</v>
      </c>
      <c r="C111" s="323">
        <v>2230984.5569999996</v>
      </c>
      <c r="D111" s="324">
        <v>1473.2</v>
      </c>
      <c r="E111" s="324">
        <v>6820.5</v>
      </c>
      <c r="F111" s="324">
        <v>99379.718999999997</v>
      </c>
      <c r="G111" s="324">
        <v>966316.14300000004</v>
      </c>
      <c r="H111" s="324">
        <v>939588.19799999997</v>
      </c>
      <c r="I111" s="324">
        <v>142580.83899999998</v>
      </c>
      <c r="J111" s="324">
        <v>47709.548999999999</v>
      </c>
      <c r="K111" s="324">
        <v>13552.458999999999</v>
      </c>
      <c r="L111" s="324">
        <v>7601.64</v>
      </c>
      <c r="M111" s="324">
        <v>1527.2599999999998</v>
      </c>
      <c r="N111" s="324">
        <v>2667.84</v>
      </c>
      <c r="O111" s="324">
        <v>1767.21</v>
      </c>
    </row>
    <row r="112" spans="1:15" ht="11.1" customHeight="1">
      <c r="B112" s="111">
        <v>2019</v>
      </c>
      <c r="C112" s="323">
        <v>2496933.0260000001</v>
      </c>
      <c r="D112" s="324">
        <v>3051.41</v>
      </c>
      <c r="E112" s="324">
        <v>19704.864999999998</v>
      </c>
      <c r="F112" s="324">
        <v>50565.758999999998</v>
      </c>
      <c r="G112" s="324">
        <v>950958.66999999993</v>
      </c>
      <c r="H112" s="324">
        <v>1277909.6300000001</v>
      </c>
      <c r="I112" s="324">
        <v>128264.93</v>
      </c>
      <c r="J112" s="324">
        <v>36832.413</v>
      </c>
      <c r="K112" s="324">
        <v>13941.22</v>
      </c>
      <c r="L112" s="324">
        <v>9180.1589999999997</v>
      </c>
      <c r="M112" s="324">
        <v>2879.4</v>
      </c>
      <c r="N112" s="324">
        <v>1588.65</v>
      </c>
      <c r="O112" s="324">
        <v>2055.92</v>
      </c>
    </row>
    <row r="113" spans="1:15" ht="11.1" customHeight="1">
      <c r="A113" s="110" t="s">
        <v>402</v>
      </c>
      <c r="B113" s="111">
        <v>2018</v>
      </c>
      <c r="C113" s="323">
        <v>44194.618999999999</v>
      </c>
      <c r="D113" s="324">
        <v>1445.5399999999997</v>
      </c>
      <c r="E113" s="324">
        <v>1949.2470000000003</v>
      </c>
      <c r="F113" s="324">
        <v>2796.3890000000001</v>
      </c>
      <c r="G113" s="324">
        <v>7640.8789999999999</v>
      </c>
      <c r="H113" s="324">
        <v>14137.79</v>
      </c>
      <c r="I113" s="324">
        <v>4456.13</v>
      </c>
      <c r="J113" s="324">
        <v>4369.9549999999999</v>
      </c>
      <c r="K113" s="324">
        <v>226.06</v>
      </c>
      <c r="L113" s="324">
        <v>227.54000000000002</v>
      </c>
      <c r="M113" s="324">
        <v>992.32</v>
      </c>
      <c r="N113" s="324">
        <v>2403.779</v>
      </c>
      <c r="O113" s="324">
        <v>3548.99</v>
      </c>
    </row>
    <row r="114" spans="1:15" ht="11.1" customHeight="1">
      <c r="B114" s="111">
        <v>2019</v>
      </c>
      <c r="C114" s="323">
        <v>58307.702000000005</v>
      </c>
      <c r="D114" s="324">
        <v>1867.7969999999998</v>
      </c>
      <c r="E114" s="324">
        <v>2532.4499999999994</v>
      </c>
      <c r="F114" s="324">
        <v>4398.33</v>
      </c>
      <c r="G114" s="324">
        <v>13598.150000000001</v>
      </c>
      <c r="H114" s="324">
        <v>15797.99</v>
      </c>
      <c r="I114" s="324">
        <v>6192.18</v>
      </c>
      <c r="J114" s="324">
        <v>1981.229</v>
      </c>
      <c r="K114" s="324">
        <v>57</v>
      </c>
      <c r="L114" s="324">
        <v>1529.57</v>
      </c>
      <c r="M114" s="324">
        <v>4398.7089999999998</v>
      </c>
      <c r="N114" s="324">
        <v>1587.7069999999999</v>
      </c>
      <c r="O114" s="324">
        <v>4366.59</v>
      </c>
    </row>
    <row r="115" spans="1:15" ht="11.1" customHeight="1">
      <c r="A115" s="110" t="s">
        <v>271</v>
      </c>
      <c r="B115" s="111">
        <v>2018</v>
      </c>
      <c r="C115" s="323">
        <v>18405.085999999999</v>
      </c>
      <c r="D115" s="324">
        <v>656.69899999999996</v>
      </c>
      <c r="E115" s="324">
        <v>591.70000000000005</v>
      </c>
      <c r="F115" s="324">
        <v>633.49</v>
      </c>
      <c r="G115" s="324">
        <v>3407.4989999999998</v>
      </c>
      <c r="H115" s="324">
        <v>1956.077</v>
      </c>
      <c r="I115" s="324">
        <v>1042.8</v>
      </c>
      <c r="J115" s="324">
        <v>761.23199999999997</v>
      </c>
      <c r="K115" s="324">
        <v>812.66000000000008</v>
      </c>
      <c r="L115" s="324">
        <v>1495.77</v>
      </c>
      <c r="M115" s="324">
        <v>1928.85</v>
      </c>
      <c r="N115" s="324">
        <v>3540.49</v>
      </c>
      <c r="O115" s="324">
        <v>1577.819</v>
      </c>
    </row>
    <row r="116" spans="1:15" ht="11.1" customHeight="1">
      <c r="A116" s="113"/>
      <c r="B116" s="114">
        <v>2019</v>
      </c>
      <c r="C116" s="323">
        <v>16063.412000000002</v>
      </c>
      <c r="D116" s="324">
        <v>607.79899999999998</v>
      </c>
      <c r="E116" s="324">
        <v>478.00000000000006</v>
      </c>
      <c r="F116" s="324">
        <v>913</v>
      </c>
      <c r="G116" s="324">
        <v>3258.777</v>
      </c>
      <c r="H116" s="324">
        <v>2106.44</v>
      </c>
      <c r="I116" s="324">
        <v>712.43000000000006</v>
      </c>
      <c r="J116" s="324">
        <v>743.82399999999996</v>
      </c>
      <c r="K116" s="324">
        <v>513.19200000000001</v>
      </c>
      <c r="L116" s="324">
        <v>753.04</v>
      </c>
      <c r="M116" s="324">
        <v>1728.8600000000001</v>
      </c>
      <c r="N116" s="324">
        <v>3405.18</v>
      </c>
      <c r="O116" s="324">
        <v>842.87</v>
      </c>
    </row>
    <row r="117" spans="1:15" ht="11.1" customHeight="1">
      <c r="A117" s="110" t="s">
        <v>520</v>
      </c>
      <c r="B117" s="111">
        <v>2018</v>
      </c>
      <c r="C117" s="323">
        <v>84803.060000000012</v>
      </c>
      <c r="D117" s="325">
        <v>5569.57</v>
      </c>
      <c r="E117" s="325">
        <v>2496.83</v>
      </c>
      <c r="F117" s="325">
        <v>1218.8399999999999</v>
      </c>
      <c r="G117" s="325">
        <v>115</v>
      </c>
      <c r="H117" s="325">
        <v>55</v>
      </c>
      <c r="I117" s="325">
        <v>100.52</v>
      </c>
      <c r="J117" s="325">
        <v>1497.5</v>
      </c>
      <c r="K117" s="325">
        <v>7383.9</v>
      </c>
      <c r="L117" s="325">
        <v>15482.05</v>
      </c>
      <c r="M117" s="325">
        <v>23795.06</v>
      </c>
      <c r="N117" s="325">
        <v>15119.52</v>
      </c>
      <c r="O117" s="325">
        <v>11969.27</v>
      </c>
    </row>
    <row r="118" spans="1:15" ht="11.1" customHeight="1">
      <c r="A118" s="115"/>
      <c r="B118" s="112">
        <v>2019</v>
      </c>
      <c r="C118" s="528">
        <v>145669.33000000002</v>
      </c>
      <c r="D118" s="326">
        <v>11186.800000000001</v>
      </c>
      <c r="E118" s="326">
        <v>3781.4</v>
      </c>
      <c r="F118" s="326">
        <v>2152.48</v>
      </c>
      <c r="G118" s="326">
        <v>2857.5</v>
      </c>
      <c r="H118" s="326">
        <v>59.2</v>
      </c>
      <c r="I118" s="326">
        <v>408</v>
      </c>
      <c r="J118" s="326">
        <v>2072.3500000000004</v>
      </c>
      <c r="K118" s="326">
        <v>10546.000000000002</v>
      </c>
      <c r="L118" s="326">
        <v>21299.250000000004</v>
      </c>
      <c r="M118" s="326">
        <v>32027</v>
      </c>
      <c r="N118" s="326">
        <v>31244.63</v>
      </c>
      <c r="O118" s="326">
        <v>28034.719999999998</v>
      </c>
    </row>
    <row r="119" spans="1:15" ht="12.75">
      <c r="A119" s="242" t="s">
        <v>16</v>
      </c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</row>
    <row r="120" spans="1:15" ht="12.75">
      <c r="A120" s="242" t="s">
        <v>279</v>
      </c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</row>
    <row r="121" spans="1:15" ht="12.75">
      <c r="A121" s="394" t="s">
        <v>379</v>
      </c>
      <c r="B121" s="394"/>
      <c r="C121" s="394"/>
      <c r="D121" s="394"/>
      <c r="E121" s="324"/>
      <c r="F121" s="394"/>
      <c r="G121" s="394"/>
      <c r="H121" s="256"/>
      <c r="I121" s="256"/>
      <c r="J121" s="256"/>
      <c r="K121" s="256"/>
      <c r="L121" s="256"/>
      <c r="M121" s="256"/>
      <c r="N121" s="256"/>
      <c r="O121" s="256"/>
    </row>
  </sheetData>
  <phoneticPr fontId="10" type="noConversion"/>
  <pageMargins left="0" right="0" top="0" bottom="0" header="0" footer="0"/>
  <pageSetup paperSize="9" orientation="landscape"/>
  <rowBreaks count="2" manualBreakCount="2">
    <brk id="41" max="14" man="1" pt="1"/>
    <brk id="80" max="14" man="1" pt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22"/>
  <dimension ref="A1:AI85"/>
  <sheetViews>
    <sheetView showGridLines="0" topLeftCell="O1" zoomScale="150" workbookViewId="0">
      <selection activeCell="X85" sqref="X85"/>
    </sheetView>
  </sheetViews>
  <sheetFormatPr baseColWidth="10" defaultColWidth="10.7109375" defaultRowHeight="17.100000000000001" customHeight="1"/>
  <cols>
    <col min="1" max="1" width="10" style="272" customWidth="1"/>
    <col min="2" max="2" width="4.85546875" style="272" customWidth="1"/>
    <col min="3" max="3" width="6.140625" style="272" customWidth="1"/>
    <col min="4" max="7" width="6.7109375" style="272" customWidth="1"/>
    <col min="8" max="9" width="6.140625" style="272" customWidth="1"/>
    <col min="10" max="10" width="6.85546875" style="272" bestFit="1" customWidth="1"/>
    <col min="11" max="11" width="6" style="272" customWidth="1"/>
    <col min="12" max="12" width="6.7109375" style="272" customWidth="1"/>
    <col min="13" max="13" width="9.85546875" style="272" customWidth="1"/>
    <col min="14" max="14" width="4.7109375" style="272" customWidth="1"/>
    <col min="15" max="15" width="6" style="272" customWidth="1"/>
    <col min="16" max="17" width="6.85546875" style="272" bestFit="1" customWidth="1"/>
    <col min="18" max="19" width="6.7109375" style="272" customWidth="1"/>
    <col min="20" max="20" width="6.85546875" style="272" bestFit="1" customWidth="1"/>
    <col min="21" max="21" width="6" style="272" customWidth="1"/>
    <col min="22" max="22" width="6.140625" style="272" customWidth="1"/>
    <col min="23" max="23" width="5.85546875" style="272" customWidth="1"/>
    <col min="24" max="24" width="5.7109375" style="272" customWidth="1"/>
    <col min="25" max="25" width="10.85546875" style="272" customWidth="1"/>
    <col min="26" max="26" width="5.42578125" style="272" customWidth="1"/>
    <col min="27" max="27" width="5.85546875" style="272" customWidth="1"/>
    <col min="28" max="28" width="7.28515625" style="272" customWidth="1"/>
    <col min="29" max="29" width="7.85546875" style="272" customWidth="1"/>
    <col min="30" max="30" width="6.85546875" style="272" customWidth="1"/>
    <col min="31" max="31" width="7.28515625" style="272" customWidth="1"/>
    <col min="32" max="32" width="7.140625" style="272" customWidth="1"/>
    <col min="33" max="33" width="6.42578125" style="272" customWidth="1"/>
    <col min="34" max="34" width="7.140625" style="272" customWidth="1"/>
    <col min="35" max="35" width="7" style="272" customWidth="1"/>
    <col min="36" max="37" width="8.85546875" style="272" customWidth="1"/>
    <col min="38" max="16384" width="10.7109375" style="272"/>
  </cols>
  <sheetData>
    <row r="1" spans="1:35" ht="16.350000000000001" customHeight="1">
      <c r="A1" s="287" t="s">
        <v>157</v>
      </c>
      <c r="B1" s="288"/>
      <c r="C1" s="288"/>
      <c r="D1" s="288"/>
      <c r="E1" s="103"/>
      <c r="F1" s="103"/>
      <c r="G1" s="103"/>
      <c r="H1" s="103"/>
      <c r="I1" s="103"/>
      <c r="J1" s="87"/>
      <c r="K1" s="87"/>
      <c r="L1" s="87"/>
    </row>
    <row r="2" spans="1:35" ht="11.1" customHeight="1">
      <c r="A2" s="393" t="s">
        <v>46</v>
      </c>
      <c r="B2" s="104"/>
      <c r="C2" s="104"/>
      <c r="D2" s="266"/>
      <c r="E2" s="104"/>
      <c r="F2" s="104"/>
      <c r="G2" s="104"/>
      <c r="H2" s="104"/>
      <c r="I2" s="104"/>
      <c r="J2" s="12"/>
      <c r="K2" s="12"/>
      <c r="L2" s="12"/>
      <c r="N2" s="12"/>
      <c r="O2" s="12"/>
      <c r="P2" s="88"/>
      <c r="Q2" s="12"/>
      <c r="R2" s="12"/>
      <c r="S2" s="12"/>
      <c r="T2" s="12"/>
      <c r="U2" s="12"/>
      <c r="V2" s="12"/>
      <c r="W2" s="26"/>
      <c r="X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 spans="1:35" ht="11.1" customHeight="1">
      <c r="A3" s="389" t="s">
        <v>40</v>
      </c>
      <c r="B3" s="104"/>
      <c r="D3" s="28"/>
      <c r="E3" s="28"/>
      <c r="F3" s="28"/>
      <c r="M3" s="89" t="s">
        <v>156</v>
      </c>
      <c r="N3" s="87"/>
      <c r="O3" s="87"/>
      <c r="P3" s="87"/>
      <c r="Q3" s="87"/>
      <c r="R3" s="87"/>
      <c r="S3" s="87"/>
      <c r="T3" s="87"/>
      <c r="U3" s="87"/>
      <c r="V3" s="87"/>
      <c r="W3" s="26"/>
      <c r="X3" s="26"/>
      <c r="Y3" s="89" t="s">
        <v>156</v>
      </c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 spans="1:35" ht="3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ht="23.1" customHeight="1">
      <c r="A5" s="390" t="s">
        <v>433</v>
      </c>
      <c r="B5" s="390" t="s">
        <v>472</v>
      </c>
      <c r="C5" s="390" t="s">
        <v>370</v>
      </c>
      <c r="D5" s="390" t="s">
        <v>233</v>
      </c>
      <c r="E5" s="390" t="s">
        <v>196</v>
      </c>
      <c r="F5" s="390" t="s">
        <v>397</v>
      </c>
      <c r="G5" s="390" t="s">
        <v>499</v>
      </c>
      <c r="H5" s="390" t="s">
        <v>448</v>
      </c>
      <c r="I5" s="390" t="s">
        <v>210</v>
      </c>
      <c r="J5" s="390" t="s">
        <v>385</v>
      </c>
      <c r="K5" s="390" t="s">
        <v>497</v>
      </c>
      <c r="L5" s="390" t="s">
        <v>383</v>
      </c>
      <c r="M5" s="390" t="s">
        <v>433</v>
      </c>
      <c r="N5" s="390" t="s">
        <v>472</v>
      </c>
      <c r="O5" s="390" t="s">
        <v>259</v>
      </c>
      <c r="P5" s="390" t="s">
        <v>382</v>
      </c>
      <c r="Q5" s="390" t="s">
        <v>375</v>
      </c>
      <c r="R5" s="390" t="s">
        <v>405</v>
      </c>
      <c r="S5" s="390" t="s">
        <v>234</v>
      </c>
      <c r="T5" s="390" t="s">
        <v>398</v>
      </c>
      <c r="U5" s="390" t="s">
        <v>404</v>
      </c>
      <c r="V5" s="390" t="s">
        <v>203</v>
      </c>
      <c r="W5" s="390" t="s">
        <v>384</v>
      </c>
      <c r="X5" s="390" t="s">
        <v>252</v>
      </c>
      <c r="Y5" s="390" t="s">
        <v>433</v>
      </c>
      <c r="Z5" s="390" t="s">
        <v>472</v>
      </c>
      <c r="AA5" s="390" t="s">
        <v>429</v>
      </c>
      <c r="AB5" s="390" t="s">
        <v>470</v>
      </c>
      <c r="AC5" s="390" t="s">
        <v>450</v>
      </c>
      <c r="AD5" s="390" t="s">
        <v>451</v>
      </c>
      <c r="AE5" s="390" t="s">
        <v>452</v>
      </c>
      <c r="AF5" s="390" t="s">
        <v>265</v>
      </c>
      <c r="AG5" s="390" t="s">
        <v>235</v>
      </c>
      <c r="AH5" s="390" t="s">
        <v>431</v>
      </c>
      <c r="AI5" s="390" t="s">
        <v>432</v>
      </c>
    </row>
    <row r="6" spans="1:35" ht="11.1" customHeight="1">
      <c r="A6" s="601" t="s">
        <v>318</v>
      </c>
      <c r="B6" s="250" t="s">
        <v>168</v>
      </c>
      <c r="C6" s="265">
        <v>1539.6915620630607</v>
      </c>
      <c r="D6" s="265">
        <v>4929.8586748766738</v>
      </c>
      <c r="E6" s="265">
        <v>1525.3904573829122</v>
      </c>
      <c r="F6" s="265">
        <v>8124.211032847581</v>
      </c>
      <c r="G6" s="265">
        <v>1554.0589113525793</v>
      </c>
      <c r="H6" s="265">
        <v>1318.4714247169832</v>
      </c>
      <c r="I6" s="265">
        <v>10333.877444968719</v>
      </c>
      <c r="J6" s="265">
        <v>22681.369321922317</v>
      </c>
      <c r="K6" s="265">
        <v>45755.158911404964</v>
      </c>
      <c r="L6" s="265">
        <v>26725.611368142756</v>
      </c>
      <c r="M6" s="601" t="s">
        <v>318</v>
      </c>
      <c r="N6" s="250" t="s">
        <v>168</v>
      </c>
      <c r="O6" s="265">
        <v>3925.2283868476748</v>
      </c>
      <c r="P6" s="265">
        <v>24403.297108374518</v>
      </c>
      <c r="Q6" s="265">
        <v>10579.112800860847</v>
      </c>
      <c r="R6" s="265">
        <v>39834.611925249141</v>
      </c>
      <c r="S6" s="265">
        <v>9535.0464573447625</v>
      </c>
      <c r="T6" s="265">
        <v>15760.645888700479</v>
      </c>
      <c r="U6" s="265">
        <v>11867.211032536075</v>
      </c>
      <c r="V6" s="265">
        <v>17913.523948326405</v>
      </c>
      <c r="W6" s="265">
        <v>6872.6862302483059</v>
      </c>
      <c r="X6" s="265">
        <v>6817.2276826493498</v>
      </c>
      <c r="Y6" s="601" t="s">
        <v>318</v>
      </c>
      <c r="Z6" s="250" t="s">
        <v>168</v>
      </c>
      <c r="AA6" s="265">
        <v>5922.0182864883163</v>
      </c>
      <c r="AB6" s="265">
        <v>1185.2190799077337</v>
      </c>
      <c r="AC6" s="265">
        <v>1530.2883595505616</v>
      </c>
      <c r="AD6" s="265">
        <v>1473.0075182002176</v>
      </c>
      <c r="AE6" s="265">
        <v>1127.0301704928227</v>
      </c>
      <c r="AF6" s="265">
        <v>121833.8222544437</v>
      </c>
      <c r="AG6" s="265">
        <v>49089.131265947537</v>
      </c>
      <c r="AH6" s="265">
        <v>20913.598628034153</v>
      </c>
      <c r="AI6" s="265">
        <v>22148.405839833456</v>
      </c>
    </row>
    <row r="7" spans="1:35" ht="11.1" customHeight="1">
      <c r="A7" s="602"/>
      <c r="B7" s="249" t="s">
        <v>169</v>
      </c>
      <c r="C7" s="306">
        <v>1554.0218411595317</v>
      </c>
      <c r="D7" s="306">
        <v>4992.5857385926374</v>
      </c>
      <c r="E7" s="306">
        <v>1534.0393334752955</v>
      </c>
      <c r="F7" s="306">
        <v>7691.7591475028412</v>
      </c>
      <c r="G7" s="306">
        <v>1583.423268731643</v>
      </c>
      <c r="H7" s="306">
        <v>1375.233088235294</v>
      </c>
      <c r="I7" s="306">
        <v>10350.498875132515</v>
      </c>
      <c r="J7" s="306">
        <v>22605.210420841682</v>
      </c>
      <c r="K7" s="306">
        <v>41605.288028339965</v>
      </c>
      <c r="L7" s="306">
        <v>27007.557103064071</v>
      </c>
      <c r="M7" s="602"/>
      <c r="N7" s="249" t="s">
        <v>169</v>
      </c>
      <c r="O7" s="306">
        <v>3751.729451995127</v>
      </c>
      <c r="P7" s="306">
        <v>25501.311429579393</v>
      </c>
      <c r="Q7" s="306">
        <v>10512.295347818788</v>
      </c>
      <c r="R7" s="306">
        <v>40315.315268734841</v>
      </c>
      <c r="S7" s="306">
        <v>9517.5361163031248</v>
      </c>
      <c r="T7" s="306">
        <v>16155.723117638854</v>
      </c>
      <c r="U7" s="306">
        <v>12360.726976548107</v>
      </c>
      <c r="V7" s="306">
        <v>17975.540709015098</v>
      </c>
      <c r="W7" s="306">
        <v>6744.3251454603669</v>
      </c>
      <c r="X7" s="306">
        <v>6885.8545197985568</v>
      </c>
      <c r="Y7" s="602"/>
      <c r="Z7" s="249" t="s">
        <v>169</v>
      </c>
      <c r="AA7" s="306">
        <v>5767.4962889658591</v>
      </c>
      <c r="AB7" s="306">
        <v>1190.0778713637355</v>
      </c>
      <c r="AC7" s="306">
        <v>1439.86847513358</v>
      </c>
      <c r="AD7" s="306">
        <v>1494.3422835915778</v>
      </c>
      <c r="AE7" s="306">
        <v>1147.317937706626</v>
      </c>
      <c r="AF7" s="306">
        <v>125486.98897550385</v>
      </c>
      <c r="AG7" s="306">
        <v>50335.595452785303</v>
      </c>
      <c r="AH7" s="306">
        <v>21649.25867524523</v>
      </c>
      <c r="AI7" s="306">
        <v>23235.929890191699</v>
      </c>
    </row>
    <row r="8" spans="1:35" ht="11.1" customHeight="1">
      <c r="A8" s="14" t="s">
        <v>349</v>
      </c>
      <c r="B8" s="267" t="s">
        <v>440</v>
      </c>
      <c r="C8" s="424">
        <v>989.35722041259498</v>
      </c>
      <c r="D8" s="425">
        <v>2531.598341404947</v>
      </c>
      <c r="E8" s="425">
        <v>842.30252642126118</v>
      </c>
      <c r="F8" s="425">
        <v>9005.8486713242346</v>
      </c>
      <c r="G8" s="424">
        <v>1127.2479999999998</v>
      </c>
      <c r="H8" s="424">
        <v>0</v>
      </c>
      <c r="I8" s="425">
        <v>6475.4385964912281</v>
      </c>
      <c r="J8" s="424">
        <v>0</v>
      </c>
      <c r="K8" s="425">
        <v>7384.9877149877148</v>
      </c>
      <c r="L8" s="425">
        <v>12245.847826086958</v>
      </c>
      <c r="M8" s="14" t="s">
        <v>349</v>
      </c>
      <c r="N8" s="269" t="s">
        <v>440</v>
      </c>
      <c r="O8" s="425">
        <v>2450.1686595342985</v>
      </c>
      <c r="P8" s="425">
        <v>12508.072742474913</v>
      </c>
      <c r="Q8" s="425">
        <v>7933.3333333333339</v>
      </c>
      <c r="R8" s="425">
        <v>7000</v>
      </c>
      <c r="S8" s="425">
        <v>6324.7432093129419</v>
      </c>
      <c r="T8" s="425">
        <v>18325.882867364515</v>
      </c>
      <c r="U8" s="425">
        <v>16022.955566112994</v>
      </c>
      <c r="V8" s="425">
        <v>7472.0930232558139</v>
      </c>
      <c r="W8" s="425">
        <v>6109.9999999999991</v>
      </c>
      <c r="X8" s="425">
        <v>6727.0649350649355</v>
      </c>
      <c r="Y8" s="14" t="s">
        <v>349</v>
      </c>
      <c r="Z8" s="269" t="s">
        <v>440</v>
      </c>
      <c r="AA8" s="424">
        <v>0</v>
      </c>
      <c r="AB8" s="425">
        <v>792.46344797527536</v>
      </c>
      <c r="AC8" s="424">
        <v>0</v>
      </c>
      <c r="AD8" s="425">
        <v>822.82894736842115</v>
      </c>
      <c r="AE8" s="425">
        <v>730.90909090909099</v>
      </c>
      <c r="AF8" s="424">
        <v>0</v>
      </c>
      <c r="AG8" s="424">
        <v>0</v>
      </c>
      <c r="AH8" s="424">
        <v>0</v>
      </c>
      <c r="AI8" s="424">
        <v>0</v>
      </c>
    </row>
    <row r="9" spans="1:35" ht="11.1" customHeight="1">
      <c r="A9" s="14"/>
      <c r="B9" s="267" t="s">
        <v>257</v>
      </c>
      <c r="C9" s="424">
        <v>942.72727272727263</v>
      </c>
      <c r="D9" s="425">
        <v>2505.6920314768131</v>
      </c>
      <c r="E9" s="425">
        <v>775.53505062155568</v>
      </c>
      <c r="F9" s="425">
        <v>8991.2957422546933</v>
      </c>
      <c r="G9" s="424">
        <v>1076.8965517241377</v>
      </c>
      <c r="H9" s="424">
        <v>0</v>
      </c>
      <c r="I9" s="425">
        <v>6809.6202531645577</v>
      </c>
      <c r="J9" s="424">
        <v>0</v>
      </c>
      <c r="K9" s="425">
        <v>8299.3573264781498</v>
      </c>
      <c r="L9" s="425">
        <v>13633.669064748203</v>
      </c>
      <c r="M9" s="14"/>
      <c r="N9" s="269" t="s">
        <v>257</v>
      </c>
      <c r="O9" s="425">
        <v>2439.4952132288945</v>
      </c>
      <c r="P9" s="425">
        <v>13773.189528023602</v>
      </c>
      <c r="Q9" s="425">
        <v>5800</v>
      </c>
      <c r="R9" s="425">
        <v>7000</v>
      </c>
      <c r="S9" s="425">
        <v>6565.074135090611</v>
      </c>
      <c r="T9" s="425">
        <v>19081.348724832209</v>
      </c>
      <c r="U9" s="425">
        <v>16094.948585286986</v>
      </c>
      <c r="V9" s="425">
        <v>7423.2142857142862</v>
      </c>
      <c r="W9" s="425">
        <v>5911.2871287128719</v>
      </c>
      <c r="X9" s="425">
        <v>6456.3768115942021</v>
      </c>
      <c r="Y9" s="14"/>
      <c r="Z9" s="269" t="s">
        <v>257</v>
      </c>
      <c r="AA9" s="424">
        <v>0</v>
      </c>
      <c r="AB9" s="425">
        <v>774.7957030747458</v>
      </c>
      <c r="AC9" s="424">
        <v>0</v>
      </c>
      <c r="AD9" s="425">
        <v>877.40566037735834</v>
      </c>
      <c r="AE9" s="425">
        <v>923.43283582089555</v>
      </c>
      <c r="AF9" s="424">
        <v>0</v>
      </c>
      <c r="AG9" s="424">
        <v>0</v>
      </c>
      <c r="AH9" s="424">
        <v>0</v>
      </c>
      <c r="AI9" s="424">
        <v>0</v>
      </c>
    </row>
    <row r="10" spans="1:35" ht="11.1" customHeight="1">
      <c r="A10" s="14" t="s">
        <v>350</v>
      </c>
      <c r="B10" s="269" t="s">
        <v>440</v>
      </c>
      <c r="C10" s="424">
        <v>1002.6558981129145</v>
      </c>
      <c r="D10" s="425">
        <v>10653.667396496816</v>
      </c>
      <c r="E10" s="425">
        <v>1219.6840521564693</v>
      </c>
      <c r="F10" s="425">
        <v>11908.309455587392</v>
      </c>
      <c r="G10" s="424">
        <v>1005.6022408963586</v>
      </c>
      <c r="H10" s="424">
        <v>1131.0606060606058</v>
      </c>
      <c r="I10" s="425">
        <v>5348.0392156862745</v>
      </c>
      <c r="J10" s="424">
        <v>0</v>
      </c>
      <c r="K10" s="425">
        <v>21047.477744807122</v>
      </c>
      <c r="L10" s="425">
        <v>39684.887459807069</v>
      </c>
      <c r="M10" s="14" t="s">
        <v>350</v>
      </c>
      <c r="N10" s="269" t="s">
        <v>440</v>
      </c>
      <c r="O10" s="425">
        <v>3507.9452054794524</v>
      </c>
      <c r="P10" s="425">
        <v>20603.351955307262</v>
      </c>
      <c r="Q10" s="425">
        <v>5113.0434782608691</v>
      </c>
      <c r="R10" s="425">
        <v>20937.71626297578</v>
      </c>
      <c r="S10" s="425">
        <v>12654.982473710566</v>
      </c>
      <c r="T10" s="425">
        <v>11182.413190107418</v>
      </c>
      <c r="U10" s="425">
        <v>20361.256544502616</v>
      </c>
      <c r="V10" s="425">
        <v>20559.241706161138</v>
      </c>
      <c r="W10" s="425">
        <v>4091.3688212927755</v>
      </c>
      <c r="X10" s="425">
        <v>4657.5887573964501</v>
      </c>
      <c r="Y10" s="14" t="s">
        <v>350</v>
      </c>
      <c r="Z10" s="269" t="s">
        <v>440</v>
      </c>
      <c r="AA10" s="424">
        <v>5336.283185840708</v>
      </c>
      <c r="AB10" s="425">
        <v>1238.0469583778015</v>
      </c>
      <c r="AC10" s="424">
        <v>0</v>
      </c>
      <c r="AD10" s="425">
        <v>1020.2681388012618</v>
      </c>
      <c r="AE10" s="425">
        <v>1019.6337741607324</v>
      </c>
      <c r="AF10" s="424">
        <v>126666.41348775633</v>
      </c>
      <c r="AG10" s="424">
        <v>20544.854881266492</v>
      </c>
      <c r="AH10" s="424">
        <v>0</v>
      </c>
      <c r="AI10" s="424">
        <v>0</v>
      </c>
    </row>
    <row r="11" spans="1:35" ht="11.1" customHeight="1">
      <c r="A11" s="14"/>
      <c r="B11" s="269" t="s">
        <v>257</v>
      </c>
      <c r="C11" s="424">
        <v>1008.9903802930864</v>
      </c>
      <c r="D11" s="425">
        <v>11229.504428747618</v>
      </c>
      <c r="E11" s="425">
        <v>1200.6904156064461</v>
      </c>
      <c r="F11" s="425">
        <v>11955.797101449276</v>
      </c>
      <c r="G11" s="424">
        <v>1004.5216133116295</v>
      </c>
      <c r="H11" s="424">
        <v>1059.9056603773583</v>
      </c>
      <c r="I11" s="425">
        <v>5057.1428571428569</v>
      </c>
      <c r="J11" s="424">
        <v>0</v>
      </c>
      <c r="K11" s="425">
        <v>21170.289855072464</v>
      </c>
      <c r="L11" s="425">
        <v>40253.73134328358</v>
      </c>
      <c r="M11" s="14"/>
      <c r="N11" s="269" t="s">
        <v>257</v>
      </c>
      <c r="O11" s="425">
        <v>3569.7368421052633</v>
      </c>
      <c r="P11" s="425">
        <v>20359.223300970876</v>
      </c>
      <c r="Q11" s="425">
        <v>5500</v>
      </c>
      <c r="R11" s="425">
        <v>20739.130434782608</v>
      </c>
      <c r="S11" s="425">
        <v>12549.731800766283</v>
      </c>
      <c r="T11" s="425">
        <v>11230.18993668777</v>
      </c>
      <c r="U11" s="425">
        <v>20714.932126696833</v>
      </c>
      <c r="V11" s="425">
        <v>20316.225165562915</v>
      </c>
      <c r="W11" s="425">
        <v>4085.9999999999995</v>
      </c>
      <c r="X11" s="425">
        <v>4670.07627118644</v>
      </c>
      <c r="Y11" s="14"/>
      <c r="Z11" s="269" t="s">
        <v>257</v>
      </c>
      <c r="AA11" s="424">
        <v>5230.7692307692305</v>
      </c>
      <c r="AB11" s="425">
        <v>1259</v>
      </c>
      <c r="AC11" s="424">
        <v>0</v>
      </c>
      <c r="AD11" s="425">
        <v>1001.9518542615484</v>
      </c>
      <c r="AE11" s="425">
        <v>1004.8309178743962</v>
      </c>
      <c r="AF11" s="424">
        <v>134839.21383063219</v>
      </c>
      <c r="AG11" s="424">
        <v>20030.874785591768</v>
      </c>
      <c r="AH11" s="424">
        <v>0</v>
      </c>
      <c r="AI11" s="424">
        <v>0</v>
      </c>
    </row>
    <row r="12" spans="1:35" ht="11.1" customHeight="1">
      <c r="A12" s="14" t="s">
        <v>351</v>
      </c>
      <c r="B12" s="269" t="s">
        <v>440</v>
      </c>
      <c r="C12" s="424">
        <v>1982.7325138692481</v>
      </c>
      <c r="D12" s="425">
        <v>2779.6084724005136</v>
      </c>
      <c r="E12" s="425">
        <v>2033.9601982097188</v>
      </c>
      <c r="F12" s="425">
        <v>0</v>
      </c>
      <c r="G12" s="424">
        <v>2061.2113115119128</v>
      </c>
      <c r="H12" s="424">
        <v>2121.6561676783872</v>
      </c>
      <c r="I12" s="425">
        <v>4023.2558139534885</v>
      </c>
      <c r="J12" s="424">
        <v>0</v>
      </c>
      <c r="K12" s="425">
        <v>22336.728682170546</v>
      </c>
      <c r="L12" s="425">
        <v>15810.172839506173</v>
      </c>
      <c r="M12" s="14" t="s">
        <v>351</v>
      </c>
      <c r="N12" s="269" t="s">
        <v>440</v>
      </c>
      <c r="O12" s="425">
        <v>3823.6769299419902</v>
      </c>
      <c r="P12" s="425">
        <v>9207.5550267697799</v>
      </c>
      <c r="Q12" s="425">
        <v>4898.0090497737556</v>
      </c>
      <c r="R12" s="425">
        <v>6232.0614469772054</v>
      </c>
      <c r="S12" s="425">
        <v>8703.7084063047296</v>
      </c>
      <c r="T12" s="425">
        <v>17195.924974003807</v>
      </c>
      <c r="U12" s="425">
        <v>12525.547445255475</v>
      </c>
      <c r="V12" s="425">
        <v>8396.2436548223359</v>
      </c>
      <c r="W12" s="425">
        <v>8236.8171629843109</v>
      </c>
      <c r="X12" s="425">
        <v>9263.63805622789</v>
      </c>
      <c r="Y12" s="14" t="s">
        <v>351</v>
      </c>
      <c r="Z12" s="269" t="s">
        <v>440</v>
      </c>
      <c r="AA12" s="424">
        <v>0</v>
      </c>
      <c r="AB12" s="425">
        <v>1852.1064048407354</v>
      </c>
      <c r="AC12" s="424">
        <v>8000</v>
      </c>
      <c r="AD12" s="425">
        <v>2095.6440549605109</v>
      </c>
      <c r="AE12" s="425">
        <v>1995.7932692307691</v>
      </c>
      <c r="AF12" s="424">
        <v>0</v>
      </c>
      <c r="AG12" s="424">
        <v>0</v>
      </c>
      <c r="AH12" s="424">
        <v>13282.430213464697</v>
      </c>
      <c r="AI12" s="424">
        <v>15034.803812901795</v>
      </c>
    </row>
    <row r="13" spans="1:35" ht="11.1" customHeight="1">
      <c r="A13" s="14"/>
      <c r="B13" s="269" t="s">
        <v>257</v>
      </c>
      <c r="C13" s="424">
        <v>2289.6201550387595</v>
      </c>
      <c r="D13" s="425">
        <v>2357.2043542800593</v>
      </c>
      <c r="E13" s="425">
        <v>2223.1343105708493</v>
      </c>
      <c r="F13" s="425">
        <v>0</v>
      </c>
      <c r="G13" s="424">
        <v>2515.1647737851422</v>
      </c>
      <c r="H13" s="424">
        <v>2225.9744094488192</v>
      </c>
      <c r="I13" s="425">
        <v>3590.909090909091</v>
      </c>
      <c r="J13" s="424">
        <v>0</v>
      </c>
      <c r="K13" s="425">
        <v>18938.371040723981</v>
      </c>
      <c r="L13" s="425">
        <v>21649.699398797598</v>
      </c>
      <c r="M13" s="14"/>
      <c r="N13" s="269" t="s">
        <v>257</v>
      </c>
      <c r="O13" s="425">
        <v>3825.6385908270827</v>
      </c>
      <c r="P13" s="425">
        <v>10010.232258064516</v>
      </c>
      <c r="Q13" s="425">
        <v>6147.5409836065573</v>
      </c>
      <c r="R13" s="425">
        <v>7057.0378006872843</v>
      </c>
      <c r="S13" s="425">
        <v>8534.7803975959305</v>
      </c>
      <c r="T13" s="425">
        <v>17609.89542289402</v>
      </c>
      <c r="U13" s="425">
        <v>14791.489361702126</v>
      </c>
      <c r="V13" s="425">
        <v>12685.496183206107</v>
      </c>
      <c r="W13" s="425">
        <v>8209.9579124579122</v>
      </c>
      <c r="X13" s="425">
        <v>8941.7808219178078</v>
      </c>
      <c r="Y13" s="14"/>
      <c r="Z13" s="269" t="s">
        <v>257</v>
      </c>
      <c r="AA13" s="424">
        <v>0</v>
      </c>
      <c r="AB13" s="425">
        <v>2041.8570337850733</v>
      </c>
      <c r="AC13" s="424">
        <v>4020.0000000000005</v>
      </c>
      <c r="AD13" s="425">
        <v>2187.0177785923756</v>
      </c>
      <c r="AE13" s="425">
        <v>2120.9053343350865</v>
      </c>
      <c r="AF13" s="424">
        <v>0</v>
      </c>
      <c r="AG13" s="424">
        <v>0</v>
      </c>
      <c r="AH13" s="424">
        <v>14075.139146567717</v>
      </c>
      <c r="AI13" s="424">
        <v>16371.146095717886</v>
      </c>
    </row>
    <row r="14" spans="1:35" ht="11.1" customHeight="1">
      <c r="A14" s="14" t="s">
        <v>352</v>
      </c>
      <c r="B14" s="269" t="s">
        <v>440</v>
      </c>
      <c r="C14" s="424">
        <v>6687.3835714285706</v>
      </c>
      <c r="D14" s="425">
        <v>8399.8864864864863</v>
      </c>
      <c r="E14" s="425">
        <v>3033.6058425063502</v>
      </c>
      <c r="F14" s="425">
        <v>13699.590490341754</v>
      </c>
      <c r="G14" s="424">
        <v>2499.670454545454</v>
      </c>
      <c r="H14" s="424">
        <v>3445.5279720279723</v>
      </c>
      <c r="I14" s="425">
        <v>4622.3236914600548</v>
      </c>
      <c r="J14" s="424">
        <v>0</v>
      </c>
      <c r="K14" s="425">
        <v>48009.219114219108</v>
      </c>
      <c r="L14" s="425">
        <v>39100.340684410643</v>
      </c>
      <c r="M14" s="14" t="s">
        <v>352</v>
      </c>
      <c r="N14" s="269" t="s">
        <v>440</v>
      </c>
      <c r="O14" s="425">
        <v>9815.0333086602532</v>
      </c>
      <c r="P14" s="425">
        <v>43267.967664670658</v>
      </c>
      <c r="Q14" s="425">
        <v>13735.721833449967</v>
      </c>
      <c r="R14" s="425">
        <v>44475.595907079645</v>
      </c>
      <c r="S14" s="425">
        <v>18717.877645844092</v>
      </c>
      <c r="T14" s="425">
        <v>36133.130339299445</v>
      </c>
      <c r="U14" s="425">
        <v>14736.190476190475</v>
      </c>
      <c r="V14" s="425">
        <v>12388.161016949152</v>
      </c>
      <c r="W14" s="425">
        <v>4294.4347826086951</v>
      </c>
      <c r="X14" s="425">
        <v>4187.5483870967746</v>
      </c>
      <c r="Y14" s="14" t="s">
        <v>352</v>
      </c>
      <c r="Z14" s="269" t="s">
        <v>440</v>
      </c>
      <c r="AA14" s="424">
        <v>6846.9879518072294</v>
      </c>
      <c r="AB14" s="425">
        <v>2043.3032128514058</v>
      </c>
      <c r="AC14" s="424">
        <v>1749.9047619047622</v>
      </c>
      <c r="AD14" s="425">
        <v>2262.8034934497819</v>
      </c>
      <c r="AE14" s="425">
        <v>1548.125</v>
      </c>
      <c r="AF14" s="424">
        <v>102570.7909180936</v>
      </c>
      <c r="AG14" s="424">
        <v>55528.900987525994</v>
      </c>
      <c r="AH14" s="424">
        <v>15935.993023255813</v>
      </c>
      <c r="AI14" s="424">
        <v>16631.518731988472</v>
      </c>
    </row>
    <row r="15" spans="1:35" ht="11.1" customHeight="1">
      <c r="A15" s="14"/>
      <c r="B15" s="269" t="s">
        <v>257</v>
      </c>
      <c r="C15" s="424">
        <v>6307.8316699933475</v>
      </c>
      <c r="D15" s="425">
        <v>7581.9767441860458</v>
      </c>
      <c r="E15" s="425">
        <v>3153.3571121615819</v>
      </c>
      <c r="F15" s="425">
        <v>13842.954782349731</v>
      </c>
      <c r="G15" s="424">
        <v>3275.458333333333</v>
      </c>
      <c r="H15" s="424">
        <v>3995.8293144208028</v>
      </c>
      <c r="I15" s="425">
        <v>5012.7973231357555</v>
      </c>
      <c r="J15" s="424">
        <v>0</v>
      </c>
      <c r="K15" s="425">
        <v>46097.224965706446</v>
      </c>
      <c r="L15" s="425">
        <v>35041.341409691631</v>
      </c>
      <c r="M15" s="426"/>
      <c r="N15" s="269" t="s">
        <v>257</v>
      </c>
      <c r="O15" s="425">
        <v>10181.458630527817</v>
      </c>
      <c r="P15" s="425">
        <v>45002.607884922749</v>
      </c>
      <c r="Q15" s="425">
        <v>14462.455544200306</v>
      </c>
      <c r="R15" s="425">
        <v>43158.374942209906</v>
      </c>
      <c r="S15" s="425">
        <v>18853.034136546186</v>
      </c>
      <c r="T15" s="425">
        <v>35262.109126984134</v>
      </c>
      <c r="U15" s="425">
        <v>14952.633333333335</v>
      </c>
      <c r="V15" s="425">
        <v>10253.111111111111</v>
      </c>
      <c r="W15" s="425">
        <v>3621.9545454545455</v>
      </c>
      <c r="X15" s="425">
        <v>3735</v>
      </c>
      <c r="Y15" s="426"/>
      <c r="Z15" s="269" t="s">
        <v>257</v>
      </c>
      <c r="AA15" s="424">
        <v>6711.0247026532479</v>
      </c>
      <c r="AB15" s="425">
        <v>1820.2095261599209</v>
      </c>
      <c r="AC15" s="424">
        <v>1844.4444444444446</v>
      </c>
      <c r="AD15" s="425">
        <v>2437.0492957746478</v>
      </c>
      <c r="AE15" s="425">
        <v>1440</v>
      </c>
      <c r="AF15" s="424">
        <v>106784.51600112345</v>
      </c>
      <c r="AG15" s="424">
        <v>56266.869570896743</v>
      </c>
      <c r="AH15" s="424">
        <v>15704.190156599558</v>
      </c>
      <c r="AI15" s="424">
        <v>16381.598870056496</v>
      </c>
    </row>
    <row r="16" spans="1:35" ht="11.1" customHeight="1">
      <c r="A16" s="14" t="s">
        <v>353</v>
      </c>
      <c r="B16" s="269" t="s">
        <v>440</v>
      </c>
      <c r="C16" s="425">
        <v>1450.4043402600062</v>
      </c>
      <c r="D16" s="425">
        <v>2351.7060367454069</v>
      </c>
      <c r="E16" s="425">
        <v>1386.3513950231604</v>
      </c>
      <c r="F16" s="425">
        <v>2142.8571428571427</v>
      </c>
      <c r="G16" s="425">
        <v>1354.9182855380818</v>
      </c>
      <c r="H16" s="425">
        <v>1500.7428369296074</v>
      </c>
      <c r="I16" s="425">
        <v>3951.2195121951218</v>
      </c>
      <c r="J16" s="424">
        <v>0</v>
      </c>
      <c r="K16" s="425">
        <v>11851.85185185185</v>
      </c>
      <c r="L16" s="425">
        <v>11673.913043478262</v>
      </c>
      <c r="M16" s="14" t="s">
        <v>353</v>
      </c>
      <c r="N16" s="269" t="s">
        <v>440</v>
      </c>
      <c r="O16" s="425">
        <v>3221.5836526181356</v>
      </c>
      <c r="P16" s="425">
        <v>8004.0485829959507</v>
      </c>
      <c r="Q16" s="425">
        <v>5055.1378446115286</v>
      </c>
      <c r="R16" s="425">
        <v>8603.911980440098</v>
      </c>
      <c r="S16" s="425">
        <v>5655.4712892741063</v>
      </c>
      <c r="T16" s="425">
        <v>17705.894605290563</v>
      </c>
      <c r="U16" s="425">
        <v>4704.6861184792215</v>
      </c>
      <c r="V16" s="425">
        <v>18777.777777777777</v>
      </c>
      <c r="W16" s="425">
        <v>4757.6323987538935</v>
      </c>
      <c r="X16" s="425">
        <v>5181.5632667367681</v>
      </c>
      <c r="Y16" s="14" t="s">
        <v>353</v>
      </c>
      <c r="Z16" s="269" t="s">
        <v>440</v>
      </c>
      <c r="AA16" s="424">
        <v>0</v>
      </c>
      <c r="AB16" s="425">
        <v>1368.4470820969336</v>
      </c>
      <c r="AC16" s="425">
        <v>1837.8378378378379</v>
      </c>
      <c r="AD16" s="425">
        <v>1454.0978858963219</v>
      </c>
      <c r="AE16" s="425">
        <v>1411.4260407440213</v>
      </c>
      <c r="AF16" s="424">
        <v>0</v>
      </c>
      <c r="AG16" s="424">
        <v>0</v>
      </c>
      <c r="AH16" s="425">
        <v>17394.849785407725</v>
      </c>
      <c r="AI16" s="425">
        <v>19890.899689762151</v>
      </c>
    </row>
    <row r="17" spans="1:35" ht="11.1" customHeight="1">
      <c r="A17" s="14"/>
      <c r="B17" s="269" t="s">
        <v>257</v>
      </c>
      <c r="C17" s="425">
        <v>1341.8351148269658</v>
      </c>
      <c r="D17" s="425">
        <v>2570.7885304659499</v>
      </c>
      <c r="E17" s="425">
        <v>1335.3180630657998</v>
      </c>
      <c r="F17" s="425">
        <v>2843.75</v>
      </c>
      <c r="G17" s="425">
        <v>1303.953488372093</v>
      </c>
      <c r="H17" s="425">
        <v>1369.076444136977</v>
      </c>
      <c r="I17" s="425">
        <v>3115.3846153846152</v>
      </c>
      <c r="J17" s="424">
        <v>0</v>
      </c>
      <c r="K17" s="425">
        <v>13883.928571428571</v>
      </c>
      <c r="L17" s="425">
        <v>10773.584905660377</v>
      </c>
      <c r="M17" s="14"/>
      <c r="N17" s="269" t="s">
        <v>257</v>
      </c>
      <c r="O17" s="425">
        <v>2918.2072829131653</v>
      </c>
      <c r="P17" s="425">
        <v>9436.46408839779</v>
      </c>
      <c r="Q17" s="425">
        <v>4713.1147540983611</v>
      </c>
      <c r="R17" s="425">
        <v>9497.3821989528788</v>
      </c>
      <c r="S17" s="425">
        <v>5225.6770310932798</v>
      </c>
      <c r="T17" s="425">
        <v>16836.181685249496</v>
      </c>
      <c r="U17" s="425">
        <v>10857.142857142857</v>
      </c>
      <c r="V17" s="425">
        <v>15755.555555555557</v>
      </c>
      <c r="W17" s="425">
        <v>5033.6426914153126</v>
      </c>
      <c r="X17" s="425">
        <v>5440.9448818897636</v>
      </c>
      <c r="Y17" s="14"/>
      <c r="Z17" s="269" t="s">
        <v>257</v>
      </c>
      <c r="AA17" s="424">
        <v>0</v>
      </c>
      <c r="AB17" s="425">
        <v>1429.8615291992776</v>
      </c>
      <c r="AC17" s="425">
        <v>1770.4918032786884</v>
      </c>
      <c r="AD17" s="425">
        <v>1316.6590178981182</v>
      </c>
      <c r="AE17" s="425">
        <v>1336.2485615650173</v>
      </c>
      <c r="AF17" s="424">
        <v>0</v>
      </c>
      <c r="AG17" s="424">
        <v>0</v>
      </c>
      <c r="AH17" s="425">
        <v>14642.105263157895</v>
      </c>
      <c r="AI17" s="425">
        <v>17560.169267389578</v>
      </c>
    </row>
    <row r="18" spans="1:35" ht="11.1" customHeight="1">
      <c r="A18" s="14" t="s">
        <v>354</v>
      </c>
      <c r="B18" s="269" t="s">
        <v>440</v>
      </c>
      <c r="C18" s="425">
        <v>1054.7784024055431</v>
      </c>
      <c r="D18" s="425">
        <v>3637.1506448316804</v>
      </c>
      <c r="E18" s="425">
        <v>777.0365891472868</v>
      </c>
      <c r="F18" s="425">
        <v>8001.211900756939</v>
      </c>
      <c r="G18" s="425">
        <v>913.11606569410026</v>
      </c>
      <c r="H18" s="425">
        <v>1074.2236686390531</v>
      </c>
      <c r="I18" s="424">
        <v>0</v>
      </c>
      <c r="J18" s="424">
        <v>0</v>
      </c>
      <c r="K18" s="425">
        <v>6484.5104602510473</v>
      </c>
      <c r="L18" s="425">
        <v>16132.588820602869</v>
      </c>
      <c r="M18" s="14" t="s">
        <v>354</v>
      </c>
      <c r="N18" s="269" t="s">
        <v>440</v>
      </c>
      <c r="O18" s="425">
        <v>1770.3599569236289</v>
      </c>
      <c r="P18" s="425">
        <v>9842.0579288453901</v>
      </c>
      <c r="Q18" s="425">
        <v>5501.468108108108</v>
      </c>
      <c r="R18" s="425">
        <v>12195.460992907801</v>
      </c>
      <c r="S18" s="425">
        <v>2802.2212518195047</v>
      </c>
      <c r="T18" s="425">
        <v>12610.22407653468</v>
      </c>
      <c r="U18" s="425">
        <v>8392.6539033457248</v>
      </c>
      <c r="V18" s="425">
        <v>6352.7708850289491</v>
      </c>
      <c r="W18" s="425">
        <v>4603.9285714285716</v>
      </c>
      <c r="X18" s="425">
        <v>5147.7059158134252</v>
      </c>
      <c r="Y18" s="14" t="s">
        <v>354</v>
      </c>
      <c r="Z18" s="269" t="s">
        <v>440</v>
      </c>
      <c r="AA18" s="424">
        <v>0</v>
      </c>
      <c r="AB18" s="425">
        <v>885.19880907206857</v>
      </c>
      <c r="AC18" s="424">
        <v>0</v>
      </c>
      <c r="AD18" s="425">
        <v>898.80937463742907</v>
      </c>
      <c r="AE18" s="425">
        <v>871.89316589316581</v>
      </c>
      <c r="AF18" s="424">
        <v>0</v>
      </c>
      <c r="AG18" s="424">
        <v>0</v>
      </c>
      <c r="AH18" s="424">
        <v>0</v>
      </c>
      <c r="AI18" s="425">
        <v>19470.305164319248</v>
      </c>
    </row>
    <row r="19" spans="1:35" ht="11.1" customHeight="1">
      <c r="A19" s="14"/>
      <c r="B19" s="269" t="s">
        <v>257</v>
      </c>
      <c r="C19" s="425">
        <v>992.96602030717349</v>
      </c>
      <c r="D19" s="425">
        <v>3837.671422487223</v>
      </c>
      <c r="E19" s="425">
        <v>821.41292387451722</v>
      </c>
      <c r="F19" s="425">
        <v>7969.2098152022309</v>
      </c>
      <c r="G19" s="425">
        <v>894.96747948472182</v>
      </c>
      <c r="H19" s="425">
        <v>1256.8211920529805</v>
      </c>
      <c r="I19" s="424">
        <v>0</v>
      </c>
      <c r="J19" s="424">
        <v>0</v>
      </c>
      <c r="K19" s="425">
        <v>6826.7380952380945</v>
      </c>
      <c r="L19" s="425">
        <v>16449.05638903259</v>
      </c>
      <c r="M19" s="14"/>
      <c r="N19" s="269" t="s">
        <v>257</v>
      </c>
      <c r="O19" s="425">
        <v>1715.0413873065486</v>
      </c>
      <c r="P19" s="425">
        <v>9225.9011785057846</v>
      </c>
      <c r="Q19" s="425">
        <v>6003.8791159224174</v>
      </c>
      <c r="R19" s="425">
        <v>8368.5714285714275</v>
      </c>
      <c r="S19" s="425">
        <v>2644.1352514592299</v>
      </c>
      <c r="T19" s="425">
        <v>12774.803619843189</v>
      </c>
      <c r="U19" s="425">
        <v>8305.7578380521318</v>
      </c>
      <c r="V19" s="425">
        <v>5558.988326848249</v>
      </c>
      <c r="W19" s="425">
        <v>4749.7157296272899</v>
      </c>
      <c r="X19" s="425">
        <v>5313.5665694849367</v>
      </c>
      <c r="Y19" s="14"/>
      <c r="Z19" s="269" t="s">
        <v>257</v>
      </c>
      <c r="AA19" s="424">
        <v>0</v>
      </c>
      <c r="AB19" s="425">
        <v>850.89159292035401</v>
      </c>
      <c r="AC19" s="424">
        <v>0</v>
      </c>
      <c r="AD19" s="425">
        <v>910.00022565722668</v>
      </c>
      <c r="AE19" s="425">
        <v>901.48797617891694</v>
      </c>
      <c r="AF19" s="424">
        <v>0</v>
      </c>
      <c r="AG19" s="424">
        <v>8030.5343511450374</v>
      </c>
      <c r="AH19" s="424">
        <v>0</v>
      </c>
      <c r="AI19" s="425">
        <v>20661.590524534688</v>
      </c>
    </row>
    <row r="20" spans="1:35" ht="11.1" customHeight="1">
      <c r="A20" s="14" t="s">
        <v>410</v>
      </c>
      <c r="B20" s="269" t="s">
        <v>440</v>
      </c>
      <c r="C20" s="424">
        <v>0</v>
      </c>
      <c r="D20" s="424">
        <v>0</v>
      </c>
      <c r="E20" s="424">
        <v>0</v>
      </c>
      <c r="F20" s="424">
        <v>0</v>
      </c>
      <c r="G20" s="424">
        <v>0</v>
      </c>
      <c r="H20" s="424">
        <v>0</v>
      </c>
      <c r="I20" s="424">
        <v>0</v>
      </c>
      <c r="J20" s="424">
        <v>0</v>
      </c>
      <c r="K20" s="424">
        <v>0</v>
      </c>
      <c r="L20" s="424">
        <v>0</v>
      </c>
      <c r="M20" s="14" t="s">
        <v>410</v>
      </c>
      <c r="N20" s="269" t="s">
        <v>440</v>
      </c>
      <c r="O20" s="424">
        <v>0</v>
      </c>
      <c r="P20" s="424">
        <v>0</v>
      </c>
      <c r="Q20" s="424">
        <v>0</v>
      </c>
      <c r="R20" s="424">
        <v>0</v>
      </c>
      <c r="S20" s="424">
        <v>0</v>
      </c>
      <c r="T20" s="424">
        <v>0</v>
      </c>
      <c r="U20" s="424">
        <v>0</v>
      </c>
      <c r="V20" s="424">
        <v>0</v>
      </c>
      <c r="W20" s="424">
        <v>0</v>
      </c>
      <c r="X20" s="424">
        <v>0</v>
      </c>
      <c r="Y20" s="14" t="s">
        <v>410</v>
      </c>
      <c r="Z20" s="269" t="s">
        <v>440</v>
      </c>
      <c r="AA20" s="424">
        <v>0</v>
      </c>
      <c r="AB20" s="424">
        <v>0</v>
      </c>
      <c r="AC20" s="424">
        <v>0</v>
      </c>
      <c r="AD20" s="424">
        <v>0</v>
      </c>
      <c r="AE20" s="424">
        <v>0</v>
      </c>
      <c r="AF20" s="424">
        <v>0</v>
      </c>
      <c r="AG20" s="424">
        <v>0</v>
      </c>
      <c r="AH20" s="424">
        <v>0</v>
      </c>
      <c r="AI20" s="424">
        <v>0</v>
      </c>
    </row>
    <row r="21" spans="1:35" ht="11.1" customHeight="1">
      <c r="A21" s="14"/>
      <c r="B21" s="269" t="s">
        <v>257</v>
      </c>
      <c r="C21" s="424">
        <v>0</v>
      </c>
      <c r="D21" s="424">
        <v>0</v>
      </c>
      <c r="E21" s="424">
        <v>0</v>
      </c>
      <c r="F21" s="424">
        <v>0</v>
      </c>
      <c r="G21" s="424">
        <v>0</v>
      </c>
      <c r="H21" s="424">
        <v>0</v>
      </c>
      <c r="I21" s="424">
        <v>0</v>
      </c>
      <c r="J21" s="424">
        <v>0</v>
      </c>
      <c r="K21" s="424">
        <v>0</v>
      </c>
      <c r="L21" s="424">
        <v>0</v>
      </c>
      <c r="M21" s="14"/>
      <c r="N21" s="269" t="s">
        <v>257</v>
      </c>
      <c r="O21" s="424">
        <v>0</v>
      </c>
      <c r="P21" s="424">
        <v>0</v>
      </c>
      <c r="Q21" s="424">
        <v>0</v>
      </c>
      <c r="R21" s="424">
        <v>0</v>
      </c>
      <c r="S21" s="424">
        <v>0</v>
      </c>
      <c r="T21" s="424">
        <v>0</v>
      </c>
      <c r="U21" s="424">
        <v>0</v>
      </c>
      <c r="V21" s="424">
        <v>0</v>
      </c>
      <c r="W21" s="424">
        <v>0</v>
      </c>
      <c r="X21" s="424">
        <v>0</v>
      </c>
      <c r="Y21" s="14"/>
      <c r="Z21" s="269" t="s">
        <v>257</v>
      </c>
      <c r="AA21" s="424">
        <v>0</v>
      </c>
      <c r="AB21" s="424">
        <v>0</v>
      </c>
      <c r="AC21" s="424">
        <v>0</v>
      </c>
      <c r="AD21" s="424">
        <v>0</v>
      </c>
      <c r="AE21" s="424">
        <v>0</v>
      </c>
      <c r="AF21" s="424">
        <v>0</v>
      </c>
      <c r="AG21" s="424">
        <v>0</v>
      </c>
      <c r="AH21" s="424">
        <v>0</v>
      </c>
      <c r="AI21" s="424">
        <v>0</v>
      </c>
    </row>
    <row r="22" spans="1:35" ht="11.1" customHeight="1">
      <c r="A22" s="14" t="s">
        <v>355</v>
      </c>
      <c r="B22" s="269" t="s">
        <v>440</v>
      </c>
      <c r="C22" s="425">
        <v>1767.4726570877119</v>
      </c>
      <c r="D22" s="425">
        <v>1982.284403669725</v>
      </c>
      <c r="E22" s="425">
        <v>2520.5621831835206</v>
      </c>
      <c r="F22" s="425">
        <v>2002.8380634390653</v>
      </c>
      <c r="G22" s="425">
        <v>1836.2936448976834</v>
      </c>
      <c r="H22" s="425">
        <v>1387.5368007850834</v>
      </c>
      <c r="I22" s="424">
        <v>0</v>
      </c>
      <c r="J22" s="424">
        <v>0</v>
      </c>
      <c r="K22" s="425">
        <v>15340</v>
      </c>
      <c r="L22" s="425">
        <v>19751.677852348996</v>
      </c>
      <c r="M22" s="14" t="s">
        <v>355</v>
      </c>
      <c r="N22" s="269" t="s">
        <v>440</v>
      </c>
      <c r="O22" s="425">
        <v>5352.5</v>
      </c>
      <c r="P22" s="425">
        <v>13994.515539305303</v>
      </c>
      <c r="Q22" s="424">
        <v>0</v>
      </c>
      <c r="R22" s="425">
        <v>12867.095391211145</v>
      </c>
      <c r="S22" s="425">
        <v>17190.287619841602</v>
      </c>
      <c r="T22" s="425">
        <v>12870.963185078488</v>
      </c>
      <c r="U22" s="425">
        <v>5254.3052296325541</v>
      </c>
      <c r="V22" s="425">
        <v>7300.9090909090901</v>
      </c>
      <c r="W22" s="425">
        <v>8462.4797843665765</v>
      </c>
      <c r="X22" s="425">
        <v>7782.8796057263544</v>
      </c>
      <c r="Y22" s="14" t="s">
        <v>355</v>
      </c>
      <c r="Z22" s="269" t="s">
        <v>440</v>
      </c>
      <c r="AA22" s="424">
        <v>0</v>
      </c>
      <c r="AB22" s="425">
        <v>1638.3026113671274</v>
      </c>
      <c r="AC22" s="424">
        <v>0</v>
      </c>
      <c r="AD22" s="425">
        <v>1821.5991281085899</v>
      </c>
      <c r="AE22" s="425">
        <v>1748.4892610120128</v>
      </c>
      <c r="AF22" s="424">
        <v>0</v>
      </c>
      <c r="AG22" s="424">
        <v>0</v>
      </c>
      <c r="AH22" s="425">
        <v>19077.388255915863</v>
      </c>
      <c r="AI22" s="425">
        <v>16660.437881873728</v>
      </c>
    </row>
    <row r="23" spans="1:35" ht="11.1" customHeight="1">
      <c r="A23" s="14"/>
      <c r="B23" s="269" t="s">
        <v>257</v>
      </c>
      <c r="C23" s="425">
        <v>1880.2724861480997</v>
      </c>
      <c r="D23" s="425">
        <v>1589.3667748598405</v>
      </c>
      <c r="E23" s="425">
        <v>2606.3204920977009</v>
      </c>
      <c r="F23" s="425">
        <v>2590.0097181729834</v>
      </c>
      <c r="G23" s="425">
        <v>1912.6195652173915</v>
      </c>
      <c r="H23" s="425">
        <v>1599.1641337386018</v>
      </c>
      <c r="I23" s="424">
        <v>0</v>
      </c>
      <c r="J23" s="424">
        <v>0</v>
      </c>
      <c r="K23" s="425">
        <v>16827.777777777781</v>
      </c>
      <c r="L23" s="425">
        <v>19500</v>
      </c>
      <c r="M23" s="14"/>
      <c r="N23" s="269" t="s">
        <v>257</v>
      </c>
      <c r="O23" s="425">
        <v>4637.209302325582</v>
      </c>
      <c r="P23" s="425">
        <v>13930.42071197411</v>
      </c>
      <c r="Q23" s="424">
        <v>0</v>
      </c>
      <c r="R23" s="425">
        <v>13479.857819905214</v>
      </c>
      <c r="S23" s="425">
        <v>16967.812197483061</v>
      </c>
      <c r="T23" s="425">
        <v>13961.045351690729</v>
      </c>
      <c r="U23" s="425">
        <v>8612.5257067120856</v>
      </c>
      <c r="V23" s="425">
        <v>1823.214285714286</v>
      </c>
      <c r="W23" s="425">
        <v>8968.9417177914111</v>
      </c>
      <c r="X23" s="425">
        <v>8237.329157175398</v>
      </c>
      <c r="Y23" s="14"/>
      <c r="Z23" s="269" t="s">
        <v>257</v>
      </c>
      <c r="AA23" s="424">
        <v>0</v>
      </c>
      <c r="AB23" s="425">
        <v>1505.9945652173915</v>
      </c>
      <c r="AC23" s="424">
        <v>0</v>
      </c>
      <c r="AD23" s="425">
        <v>1910.9556871554014</v>
      </c>
      <c r="AE23" s="425">
        <v>1711.2391930835734</v>
      </c>
      <c r="AF23" s="424">
        <v>0</v>
      </c>
      <c r="AG23" s="424">
        <v>0</v>
      </c>
      <c r="AH23" s="425">
        <v>21318.09523809524</v>
      </c>
      <c r="AI23" s="425">
        <v>18108.386099249008</v>
      </c>
    </row>
    <row r="24" spans="1:35" ht="11.1" customHeight="1">
      <c r="A24" s="14" t="s">
        <v>356</v>
      </c>
      <c r="B24" s="269" t="s">
        <v>440</v>
      </c>
      <c r="C24" s="425">
        <v>1551.1513301351938</v>
      </c>
      <c r="D24" s="425">
        <v>1543.6310107948968</v>
      </c>
      <c r="E24" s="425">
        <v>1588.2521149778888</v>
      </c>
      <c r="F24" s="424">
        <v>0</v>
      </c>
      <c r="G24" s="425">
        <v>1570.0273697358059</v>
      </c>
      <c r="H24" s="425">
        <v>983.71200387221677</v>
      </c>
      <c r="I24" s="424">
        <v>0</v>
      </c>
      <c r="J24" s="424">
        <v>0</v>
      </c>
      <c r="K24" s="425">
        <v>10799.999999999998</v>
      </c>
      <c r="L24" s="425">
        <v>10399.563318777293</v>
      </c>
      <c r="M24" s="14" t="s">
        <v>356</v>
      </c>
      <c r="N24" s="269" t="s">
        <v>440</v>
      </c>
      <c r="O24" s="425">
        <v>3576.9970493562237</v>
      </c>
      <c r="P24" s="425">
        <v>7840.3592814371259</v>
      </c>
      <c r="Q24" s="425">
        <v>5511.4516129032263</v>
      </c>
      <c r="R24" s="425">
        <v>5535.7142857142853</v>
      </c>
      <c r="S24" s="425">
        <v>10954.60964292919</v>
      </c>
      <c r="T24" s="425">
        <v>10046.520811396102</v>
      </c>
      <c r="U24" s="424">
        <v>0</v>
      </c>
      <c r="V24" s="425">
        <v>5433.3333333333339</v>
      </c>
      <c r="W24" s="425">
        <v>5426.8427276310604</v>
      </c>
      <c r="X24" s="425">
        <v>5512.2009331877289</v>
      </c>
      <c r="Y24" s="14" t="s">
        <v>356</v>
      </c>
      <c r="Z24" s="269" t="s">
        <v>440</v>
      </c>
      <c r="AA24" s="424">
        <v>0</v>
      </c>
      <c r="AB24" s="425">
        <v>1555.8136878180499</v>
      </c>
      <c r="AC24" s="424">
        <v>1543.2692307692309</v>
      </c>
      <c r="AD24" s="425">
        <v>1553.5235707734639</v>
      </c>
      <c r="AE24" s="425">
        <v>1549.8860813704496</v>
      </c>
      <c r="AF24" s="424">
        <v>0</v>
      </c>
      <c r="AG24" s="424">
        <v>0</v>
      </c>
      <c r="AH24" s="424">
        <v>0</v>
      </c>
      <c r="AI24" s="425">
        <v>12822.974036191974</v>
      </c>
    </row>
    <row r="25" spans="1:35" ht="11.1" customHeight="1">
      <c r="A25" s="14"/>
      <c r="B25" s="269" t="s">
        <v>257</v>
      </c>
      <c r="C25" s="425">
        <v>1564.1492800470176</v>
      </c>
      <c r="D25" s="425">
        <v>1562.514688601645</v>
      </c>
      <c r="E25" s="425">
        <v>1558.9067846876851</v>
      </c>
      <c r="F25" s="424">
        <v>0</v>
      </c>
      <c r="G25" s="425">
        <v>1561.2314997818216</v>
      </c>
      <c r="H25" s="425">
        <v>966.8609128271687</v>
      </c>
      <c r="I25" s="424">
        <v>0</v>
      </c>
      <c r="J25" s="424">
        <v>0</v>
      </c>
      <c r="K25" s="425">
        <v>10904.761904761905</v>
      </c>
      <c r="L25" s="425">
        <v>9839.3939393939399</v>
      </c>
      <c r="M25" s="14"/>
      <c r="N25" s="269" t="s">
        <v>257</v>
      </c>
      <c r="O25" s="425">
        <v>3542.2645302831679</v>
      </c>
      <c r="P25" s="425">
        <v>5572.8540540540544</v>
      </c>
      <c r="Q25" s="425">
        <v>5458.977272727273</v>
      </c>
      <c r="R25" s="425">
        <v>5469.2307692307686</v>
      </c>
      <c r="S25" s="425">
        <v>10512.324030624844</v>
      </c>
      <c r="T25" s="425">
        <v>9846.8758496023129</v>
      </c>
      <c r="U25" s="424">
        <v>0</v>
      </c>
      <c r="V25" s="425">
        <v>5393.939393939394</v>
      </c>
      <c r="W25" s="425">
        <v>5386.2004084745495</v>
      </c>
      <c r="X25" s="425">
        <v>5455.046709991876</v>
      </c>
      <c r="Y25" s="14"/>
      <c r="Z25" s="269" t="s">
        <v>257</v>
      </c>
      <c r="AA25" s="424">
        <v>0</v>
      </c>
      <c r="AB25" s="425">
        <v>1572.5381771419386</v>
      </c>
      <c r="AC25" s="424">
        <v>1563.3928571428571</v>
      </c>
      <c r="AD25" s="425">
        <v>1559.0513268156426</v>
      </c>
      <c r="AE25" s="425">
        <v>1566.5319455594088</v>
      </c>
      <c r="AF25" s="424">
        <v>0</v>
      </c>
      <c r="AG25" s="424">
        <v>0</v>
      </c>
      <c r="AH25" s="424">
        <v>0</v>
      </c>
      <c r="AI25" s="425">
        <v>12089.768976897689</v>
      </c>
    </row>
    <row r="26" spans="1:35" ht="11.1" customHeight="1">
      <c r="A26" s="14" t="s">
        <v>503</v>
      </c>
      <c r="B26" s="269" t="s">
        <v>440</v>
      </c>
      <c r="C26" s="425">
        <v>1283.4887067509228</v>
      </c>
      <c r="D26" s="425">
        <v>3854.6498586873627</v>
      </c>
      <c r="E26" s="425">
        <v>1136.2812210915818</v>
      </c>
      <c r="F26" s="425">
        <v>6194.087787399224</v>
      </c>
      <c r="G26" s="425">
        <v>1395.9720372836218</v>
      </c>
      <c r="H26" s="425">
        <v>897.79398797595172</v>
      </c>
      <c r="I26" s="425">
        <v>4934.5794392523358</v>
      </c>
      <c r="J26" s="424">
        <v>0</v>
      </c>
      <c r="K26" s="425">
        <v>21075.63025210084</v>
      </c>
      <c r="L26" s="425">
        <v>26876.857749469214</v>
      </c>
      <c r="M26" s="14" t="s">
        <v>503</v>
      </c>
      <c r="N26" s="269" t="s">
        <v>440</v>
      </c>
      <c r="O26" s="425">
        <v>7669.6301564722617</v>
      </c>
      <c r="P26" s="425">
        <v>22413.132694938438</v>
      </c>
      <c r="Q26" s="425">
        <v>5038.9610389610389</v>
      </c>
      <c r="R26" s="425">
        <v>12748.538011695906</v>
      </c>
      <c r="S26" s="425">
        <v>8179.9080761654623</v>
      </c>
      <c r="T26" s="425">
        <v>15628.541435324243</v>
      </c>
      <c r="U26" s="425">
        <v>12147.027271187397</v>
      </c>
      <c r="V26" s="425">
        <v>14025.565388397246</v>
      </c>
      <c r="W26" s="425">
        <v>7368.5734974656043</v>
      </c>
      <c r="X26" s="425">
        <v>11142.268984446478</v>
      </c>
      <c r="Y26" s="14" t="s">
        <v>503</v>
      </c>
      <c r="Z26" s="269" t="s">
        <v>440</v>
      </c>
      <c r="AA26" s="424">
        <v>0</v>
      </c>
      <c r="AB26" s="425">
        <v>1269.8412698412699</v>
      </c>
      <c r="AC26" s="424">
        <v>0</v>
      </c>
      <c r="AD26" s="425">
        <v>1033.3527405805539</v>
      </c>
      <c r="AE26" s="425">
        <v>1044.9735449735449</v>
      </c>
      <c r="AF26" s="424">
        <v>0</v>
      </c>
      <c r="AG26" s="425">
        <v>22019.635343618513</v>
      </c>
      <c r="AH26" s="424">
        <v>0</v>
      </c>
      <c r="AI26" s="425">
        <v>16690.672963400237</v>
      </c>
    </row>
    <row r="27" spans="1:35" ht="11.1" customHeight="1">
      <c r="A27" s="14"/>
      <c r="B27" s="269" t="s">
        <v>257</v>
      </c>
      <c r="C27" s="425">
        <v>1370.430320984638</v>
      </c>
      <c r="D27" s="425">
        <v>3774.3684057690439</v>
      </c>
      <c r="E27" s="425">
        <v>1177.0081951735337</v>
      </c>
      <c r="F27" s="425">
        <v>6095.2317616545861</v>
      </c>
      <c r="G27" s="425">
        <v>1451.7791015939463</v>
      </c>
      <c r="H27" s="425">
        <v>908.79211175020544</v>
      </c>
      <c r="I27" s="425">
        <v>4625.9946949602127</v>
      </c>
      <c r="J27" s="424">
        <v>0</v>
      </c>
      <c r="K27" s="425">
        <v>17776</v>
      </c>
      <c r="L27" s="425">
        <v>26931.000971817299</v>
      </c>
      <c r="M27" s="14"/>
      <c r="N27" s="269" t="s">
        <v>257</v>
      </c>
      <c r="O27" s="425">
        <v>6208.2489608867099</v>
      </c>
      <c r="P27" s="425">
        <v>21641.89189189189</v>
      </c>
      <c r="Q27" s="425">
        <v>5090.909090909091</v>
      </c>
      <c r="R27" s="425">
        <v>12950</v>
      </c>
      <c r="S27" s="425">
        <v>8238.5737439222048</v>
      </c>
      <c r="T27" s="425">
        <v>16553.502125300314</v>
      </c>
      <c r="U27" s="425">
        <v>12680.142133162462</v>
      </c>
      <c r="V27" s="425">
        <v>14310.180780209324</v>
      </c>
      <c r="W27" s="425">
        <v>7257.2087658592845</v>
      </c>
      <c r="X27" s="425">
        <v>11383.86524822695</v>
      </c>
      <c r="Y27" s="14"/>
      <c r="Z27" s="269" t="s">
        <v>257</v>
      </c>
      <c r="AA27" s="424">
        <v>0</v>
      </c>
      <c r="AB27" s="425">
        <v>1292.0341292034129</v>
      </c>
      <c r="AC27" s="424">
        <v>0</v>
      </c>
      <c r="AD27" s="425">
        <v>1083.2171845535788</v>
      </c>
      <c r="AE27" s="425">
        <v>1109.6394407652685</v>
      </c>
      <c r="AF27" s="424">
        <v>0</v>
      </c>
      <c r="AG27" s="425">
        <v>21544.267053701016</v>
      </c>
      <c r="AH27" s="424">
        <v>0</v>
      </c>
      <c r="AI27" s="425">
        <v>17089.581304771178</v>
      </c>
    </row>
    <row r="28" spans="1:35" ht="11.1" customHeight="1">
      <c r="A28" s="14" t="s">
        <v>357</v>
      </c>
      <c r="B28" s="269" t="s">
        <v>440</v>
      </c>
      <c r="C28" s="425">
        <v>1913.4375</v>
      </c>
      <c r="D28" s="425">
        <v>10170.056135997018</v>
      </c>
      <c r="E28" s="425">
        <v>4438.5834609494641</v>
      </c>
      <c r="F28" s="424">
        <v>0</v>
      </c>
      <c r="G28" s="425">
        <v>2578.3098591549292</v>
      </c>
      <c r="H28" s="425">
        <v>2230.5555555555557</v>
      </c>
      <c r="I28" s="425">
        <v>22483.108587650815</v>
      </c>
      <c r="J28" s="424">
        <v>0</v>
      </c>
      <c r="K28" s="425">
        <v>106318.88829339256</v>
      </c>
      <c r="L28" s="425">
        <v>34853.40031553599</v>
      </c>
      <c r="M28" s="14" t="s">
        <v>357</v>
      </c>
      <c r="N28" s="269" t="s">
        <v>440</v>
      </c>
      <c r="O28" s="425">
        <v>4352.3076923076924</v>
      </c>
      <c r="P28" s="424">
        <v>7800</v>
      </c>
      <c r="Q28" s="424">
        <v>10950</v>
      </c>
      <c r="R28" s="425">
        <v>59558.173571359272</v>
      </c>
      <c r="S28" s="425">
        <v>14477.299412915851</v>
      </c>
      <c r="T28" s="425">
        <v>35095.414235360331</v>
      </c>
      <c r="U28" s="425">
        <v>25474.252491694351</v>
      </c>
      <c r="V28" s="425">
        <v>25492.61882155823</v>
      </c>
      <c r="W28" s="424">
        <v>0</v>
      </c>
      <c r="X28" s="425">
        <v>3500</v>
      </c>
      <c r="Y28" s="14" t="s">
        <v>357</v>
      </c>
      <c r="Z28" s="269" t="s">
        <v>440</v>
      </c>
      <c r="AA28" s="425">
        <v>6942.2959183673474</v>
      </c>
      <c r="AB28" s="425">
        <v>1552.2778675282716</v>
      </c>
      <c r="AC28" s="425">
        <v>1239.0667447306789</v>
      </c>
      <c r="AD28" s="424">
        <v>0</v>
      </c>
      <c r="AE28" s="424">
        <v>0</v>
      </c>
      <c r="AF28" s="424">
        <v>0</v>
      </c>
      <c r="AG28" s="425">
        <v>52370.3125</v>
      </c>
      <c r="AH28" s="424">
        <v>0</v>
      </c>
      <c r="AI28" s="424">
        <v>0</v>
      </c>
    </row>
    <row r="29" spans="1:35" ht="11.1" customHeight="1">
      <c r="A29" s="14"/>
      <c r="B29" s="269" t="s">
        <v>257</v>
      </c>
      <c r="C29" s="424">
        <v>2616.25</v>
      </c>
      <c r="D29" s="425">
        <v>9965.3624120579007</v>
      </c>
      <c r="E29" s="425">
        <v>5060.4477611940301</v>
      </c>
      <c r="F29" s="424">
        <v>0</v>
      </c>
      <c r="G29" s="424">
        <v>2800</v>
      </c>
      <c r="H29" s="425">
        <v>1147.2527472527474</v>
      </c>
      <c r="I29" s="425">
        <v>20226.042334830021</v>
      </c>
      <c r="J29" s="424">
        <v>0</v>
      </c>
      <c r="K29" s="425">
        <v>97905.52946389014</v>
      </c>
      <c r="L29" s="425">
        <v>34741.523306948111</v>
      </c>
      <c r="M29" s="14"/>
      <c r="N29" s="269" t="s">
        <v>257</v>
      </c>
      <c r="O29" s="425">
        <v>4199.3333333333348</v>
      </c>
      <c r="P29" s="425">
        <v>8254.545454545454</v>
      </c>
      <c r="Q29" s="424">
        <v>9950</v>
      </c>
      <c r="R29" s="425">
        <v>59781.043274069096</v>
      </c>
      <c r="S29" s="425">
        <v>14682.420242024202</v>
      </c>
      <c r="T29" s="425">
        <v>37239.821873788023</v>
      </c>
      <c r="U29" s="425">
        <v>24523.409363745497</v>
      </c>
      <c r="V29" s="425">
        <v>25235.586573612498</v>
      </c>
      <c r="W29" s="424">
        <v>2150</v>
      </c>
      <c r="X29" s="425">
        <v>3450</v>
      </c>
      <c r="Y29" s="14"/>
      <c r="Z29" s="269" t="s">
        <v>257</v>
      </c>
      <c r="AA29" s="425">
        <v>7087.209944751381</v>
      </c>
      <c r="AB29" s="425">
        <v>1401.5979381443296</v>
      </c>
      <c r="AC29" s="425">
        <v>1117.9521078812115</v>
      </c>
      <c r="AD29" s="424">
        <v>0</v>
      </c>
      <c r="AE29" s="424">
        <v>0</v>
      </c>
      <c r="AF29" s="424">
        <v>0</v>
      </c>
      <c r="AG29" s="425">
        <v>54851.648351648349</v>
      </c>
      <c r="AH29" s="424">
        <v>0</v>
      </c>
      <c r="AI29" s="424">
        <v>0</v>
      </c>
    </row>
    <row r="30" spans="1:35" ht="11.1" customHeight="1">
      <c r="A30" s="14" t="s">
        <v>504</v>
      </c>
      <c r="B30" s="269" t="s">
        <v>440</v>
      </c>
      <c r="C30" s="425">
        <v>2124.3582775919745</v>
      </c>
      <c r="D30" s="425">
        <v>3996.9710195530724</v>
      </c>
      <c r="E30" s="425">
        <v>1696.1211909746451</v>
      </c>
      <c r="F30" s="425">
        <v>3448.125</v>
      </c>
      <c r="G30" s="425">
        <v>1955.7033051498854</v>
      </c>
      <c r="H30" s="425">
        <v>1716.610831937465</v>
      </c>
      <c r="I30" s="425">
        <v>6469.1056910569114</v>
      </c>
      <c r="J30" s="424">
        <v>0</v>
      </c>
      <c r="K30" s="425">
        <v>12059.999999999998</v>
      </c>
      <c r="L30" s="425">
        <v>13177.419354838712</v>
      </c>
      <c r="M30" s="14" t="s">
        <v>504</v>
      </c>
      <c r="N30" s="269" t="s">
        <v>440</v>
      </c>
      <c r="O30" s="425">
        <v>6655.1199637845175</v>
      </c>
      <c r="P30" s="425">
        <v>23963.526570048311</v>
      </c>
      <c r="Q30" s="425">
        <v>8466.4179104477607</v>
      </c>
      <c r="R30" s="425">
        <v>19132.222222222226</v>
      </c>
      <c r="S30" s="425">
        <v>11988.292620539709</v>
      </c>
      <c r="T30" s="425">
        <v>16093.467377589643</v>
      </c>
      <c r="U30" s="425">
        <v>14314.070948173545</v>
      </c>
      <c r="V30" s="424">
        <v>0</v>
      </c>
      <c r="W30" s="425">
        <v>6522.6785714285716</v>
      </c>
      <c r="X30" s="425">
        <v>6633.6994899960746</v>
      </c>
      <c r="Y30" s="14" t="s">
        <v>504</v>
      </c>
      <c r="Z30" s="269" t="s">
        <v>440</v>
      </c>
      <c r="AA30" s="424">
        <v>0</v>
      </c>
      <c r="AB30" s="425">
        <v>1042.7352168199736</v>
      </c>
      <c r="AC30" s="424">
        <v>0</v>
      </c>
      <c r="AD30" s="425">
        <v>1890.3524492234162</v>
      </c>
      <c r="AE30" s="425">
        <v>1914.5267489711935</v>
      </c>
      <c r="AF30" s="424">
        <v>0</v>
      </c>
      <c r="AG30" s="424">
        <v>0</v>
      </c>
      <c r="AH30" s="425">
        <v>17074.160583941604</v>
      </c>
      <c r="AI30" s="425">
        <v>17051.15560407838</v>
      </c>
    </row>
    <row r="31" spans="1:35" ht="11.1" customHeight="1">
      <c r="A31" s="14"/>
      <c r="B31" s="269" t="s">
        <v>257</v>
      </c>
      <c r="C31" s="425">
        <v>2036.7377731529652</v>
      </c>
      <c r="D31" s="425">
        <v>4140.3052434126103</v>
      </c>
      <c r="E31" s="425">
        <v>1730.4727023789146</v>
      </c>
      <c r="F31" s="425">
        <v>3281.6104953630402</v>
      </c>
      <c r="G31" s="425">
        <v>1843.5451066156368</v>
      </c>
      <c r="H31" s="425">
        <v>1813.6795608991117</v>
      </c>
      <c r="I31" s="425">
        <v>6560.9589041095896</v>
      </c>
      <c r="J31" s="424">
        <v>0</v>
      </c>
      <c r="K31" s="425">
        <v>11928.571428571429</v>
      </c>
      <c r="L31" s="425">
        <v>12262.365591397851</v>
      </c>
      <c r="M31" s="14"/>
      <c r="N31" s="269" t="s">
        <v>257</v>
      </c>
      <c r="O31" s="425">
        <v>6283.9688755577781</v>
      </c>
      <c r="P31" s="425">
        <v>23990.294957183629</v>
      </c>
      <c r="Q31" s="425">
        <v>8660.9418282548449</v>
      </c>
      <c r="R31" s="425">
        <v>19049.045226130656</v>
      </c>
      <c r="S31" s="425">
        <v>11572.561965663981</v>
      </c>
      <c r="T31" s="425">
        <v>15922.332718372969</v>
      </c>
      <c r="U31" s="425">
        <v>15551.779406805234</v>
      </c>
      <c r="V31" s="424">
        <v>0</v>
      </c>
      <c r="W31" s="425">
        <v>6257.4580759046767</v>
      </c>
      <c r="X31" s="425">
        <v>6446.6693910911317</v>
      </c>
      <c r="Y31" s="14"/>
      <c r="Z31" s="269" t="s">
        <v>257</v>
      </c>
      <c r="AA31" s="424">
        <v>0</v>
      </c>
      <c r="AB31" s="425">
        <v>997.34438864883805</v>
      </c>
      <c r="AC31" s="424">
        <v>0</v>
      </c>
      <c r="AD31" s="425">
        <v>1884.455852156058</v>
      </c>
      <c r="AE31" s="425">
        <v>1778.83064516129</v>
      </c>
      <c r="AF31" s="424">
        <v>0</v>
      </c>
      <c r="AG31" s="424">
        <v>0</v>
      </c>
      <c r="AH31" s="425">
        <v>16863.657407407405</v>
      </c>
      <c r="AI31" s="425">
        <v>16961.217228464418</v>
      </c>
    </row>
    <row r="32" spans="1:35" ht="11.1" customHeight="1">
      <c r="A32" s="14" t="s">
        <v>416</v>
      </c>
      <c r="B32" s="269" t="s">
        <v>440</v>
      </c>
      <c r="C32" s="425">
        <v>2090.8901135604542</v>
      </c>
      <c r="D32" s="425">
        <v>8581.390064063824</v>
      </c>
      <c r="E32" s="425">
        <v>1656.9755478353823</v>
      </c>
      <c r="F32" s="425">
        <v>11735.10878287332</v>
      </c>
      <c r="G32" s="425">
        <v>2133.8655110807008</v>
      </c>
      <c r="H32" s="425">
        <v>1294.5521562845558</v>
      </c>
      <c r="I32" s="425">
        <v>24152.56024096386</v>
      </c>
      <c r="J32" s="425">
        <v>35929.878048780491</v>
      </c>
      <c r="K32" s="425">
        <v>31339.058171745153</v>
      </c>
      <c r="L32" s="425">
        <v>32842.696629213482</v>
      </c>
      <c r="M32" s="14" t="s">
        <v>416</v>
      </c>
      <c r="N32" s="269" t="s">
        <v>440</v>
      </c>
      <c r="O32" s="425">
        <v>3397.248243559719</v>
      </c>
      <c r="P32" s="425">
        <v>16968.271604938269</v>
      </c>
      <c r="Q32" s="425">
        <v>8444.9883449883455</v>
      </c>
      <c r="R32" s="425">
        <v>40867.936507936516</v>
      </c>
      <c r="S32" s="425">
        <v>11894.227188081939</v>
      </c>
      <c r="T32" s="425">
        <v>20162.578169414446</v>
      </c>
      <c r="U32" s="425">
        <v>13342.857142857141</v>
      </c>
      <c r="V32" s="425">
        <v>14454.047890535918</v>
      </c>
      <c r="W32" s="425">
        <v>6114.5695364238409</v>
      </c>
      <c r="X32" s="425">
        <v>6150.4427577482593</v>
      </c>
      <c r="Y32" s="14" t="s">
        <v>416</v>
      </c>
      <c r="Z32" s="269" t="s">
        <v>440</v>
      </c>
      <c r="AA32" s="425">
        <v>8733.6322869955166</v>
      </c>
      <c r="AB32" s="425">
        <v>1462.8501400560226</v>
      </c>
      <c r="AC32" s="425">
        <v>2496.4028776978416</v>
      </c>
      <c r="AD32" s="425">
        <v>1340.100654252642</v>
      </c>
      <c r="AE32" s="425">
        <v>1137.7576727754472</v>
      </c>
      <c r="AF32" s="425">
        <v>136801.43354282301</v>
      </c>
      <c r="AG32" s="425">
        <v>58468.602904356536</v>
      </c>
      <c r="AH32" s="425">
        <v>12962.244897959181</v>
      </c>
      <c r="AI32" s="425">
        <v>14356.972624798709</v>
      </c>
    </row>
    <row r="33" spans="1:35" ht="11.1" customHeight="1">
      <c r="A33" s="14"/>
      <c r="B33" s="269" t="s">
        <v>257</v>
      </c>
      <c r="C33" s="425">
        <v>2077.8106210741994</v>
      </c>
      <c r="D33" s="425">
        <v>8754.4708236362585</v>
      </c>
      <c r="E33" s="425">
        <v>1671.7291430854248</v>
      </c>
      <c r="F33" s="425">
        <v>10079.153319130022</v>
      </c>
      <c r="G33" s="425">
        <v>2102.7405226620144</v>
      </c>
      <c r="H33" s="425">
        <v>1289.8051104374185</v>
      </c>
      <c r="I33" s="425">
        <v>24524.270072992702</v>
      </c>
      <c r="J33" s="425">
        <v>30891.025641025641</v>
      </c>
      <c r="K33" s="425">
        <v>27315.631691648821</v>
      </c>
      <c r="L33" s="425">
        <v>35506.940874035994</v>
      </c>
      <c r="M33" s="14"/>
      <c r="N33" s="269" t="s">
        <v>257</v>
      </c>
      <c r="O33" s="425">
        <v>3167.2805933250925</v>
      </c>
      <c r="P33" s="425">
        <v>18041.816143497759</v>
      </c>
      <c r="Q33" s="425">
        <v>8725.49019607843</v>
      </c>
      <c r="R33" s="425">
        <v>39852.092675635278</v>
      </c>
      <c r="S33" s="425">
        <v>11711.483050847459</v>
      </c>
      <c r="T33" s="425">
        <v>20986.552013194916</v>
      </c>
      <c r="U33" s="425">
        <v>14953.64181662382</v>
      </c>
      <c r="V33" s="425">
        <v>15151.960784313727</v>
      </c>
      <c r="W33" s="425">
        <v>6151.5555555555557</v>
      </c>
      <c r="X33" s="425">
        <v>6121.4408233276145</v>
      </c>
      <c r="Y33" s="14"/>
      <c r="Z33" s="269" t="s">
        <v>257</v>
      </c>
      <c r="AA33" s="425">
        <v>9229</v>
      </c>
      <c r="AB33" s="425">
        <v>1401.814955231104</v>
      </c>
      <c r="AC33" s="424">
        <v>3200</v>
      </c>
      <c r="AD33" s="425">
        <v>1353.0220146764509</v>
      </c>
      <c r="AE33" s="425">
        <v>1165.9670593617752</v>
      </c>
      <c r="AF33" s="425">
        <v>142427.02517070621</v>
      </c>
      <c r="AG33" s="425">
        <v>58235.477339978206</v>
      </c>
      <c r="AH33" s="425">
        <v>14382.35294117647</v>
      </c>
      <c r="AI33" s="425">
        <v>14639.026111503172</v>
      </c>
    </row>
    <row r="34" spans="1:35" ht="11.1" customHeight="1">
      <c r="A34" s="14" t="s">
        <v>417</v>
      </c>
      <c r="B34" s="269" t="s">
        <v>440</v>
      </c>
      <c r="C34" s="425">
        <v>918.83116883116872</v>
      </c>
      <c r="D34" s="425">
        <v>6714.0134758048052</v>
      </c>
      <c r="E34" s="425">
        <v>2120.5918618988903</v>
      </c>
      <c r="F34" s="425">
        <v>8941.6839839691256</v>
      </c>
      <c r="G34" s="425">
        <v>842.10526315789468</v>
      </c>
      <c r="H34" s="424">
        <v>2311.6883116883118</v>
      </c>
      <c r="I34" s="425">
        <v>9580.645161290322</v>
      </c>
      <c r="J34" s="424">
        <v>26641.304347826084</v>
      </c>
      <c r="K34" s="425">
        <v>23189.655172413793</v>
      </c>
      <c r="L34" s="425">
        <v>26258.06451612903</v>
      </c>
      <c r="M34" s="14" t="s">
        <v>417</v>
      </c>
      <c r="N34" s="269" t="s">
        <v>440</v>
      </c>
      <c r="O34" s="425">
        <v>2650.6765067650676</v>
      </c>
      <c r="P34" s="425">
        <v>11433.962264150943</v>
      </c>
      <c r="Q34" s="424">
        <v>0</v>
      </c>
      <c r="R34" s="425">
        <v>34548.660084626237</v>
      </c>
      <c r="S34" s="425">
        <v>8188.9562719438236</v>
      </c>
      <c r="T34" s="425">
        <v>7246.1538461538457</v>
      </c>
      <c r="U34" s="425">
        <v>13069.111424541608</v>
      </c>
      <c r="V34" s="425">
        <v>12827.865831183193</v>
      </c>
      <c r="W34" s="425">
        <v>3750</v>
      </c>
      <c r="X34" s="425">
        <v>2426.4705882352941</v>
      </c>
      <c r="Y34" s="14" t="s">
        <v>417</v>
      </c>
      <c r="Z34" s="269" t="s">
        <v>440</v>
      </c>
      <c r="AA34" s="425">
        <v>5452.8301886792451</v>
      </c>
      <c r="AB34" s="425">
        <v>932.4960753532182</v>
      </c>
      <c r="AC34" s="425">
        <v>1767.5111773472429</v>
      </c>
      <c r="AD34" s="425">
        <v>780</v>
      </c>
      <c r="AE34" s="425">
        <v>809.82567353407285</v>
      </c>
      <c r="AF34" s="425">
        <v>95941.352105984945</v>
      </c>
      <c r="AG34" s="425">
        <v>39779.491454772826</v>
      </c>
      <c r="AH34" s="424">
        <v>0</v>
      </c>
      <c r="AI34" s="424">
        <v>0</v>
      </c>
    </row>
    <row r="35" spans="1:35" ht="11.1" customHeight="1">
      <c r="A35" s="14"/>
      <c r="B35" s="269" t="s">
        <v>257</v>
      </c>
      <c r="C35" s="425">
        <v>874.73233404710925</v>
      </c>
      <c r="D35" s="425">
        <v>6111.1152499441259</v>
      </c>
      <c r="E35" s="425">
        <v>1954.9177458872944</v>
      </c>
      <c r="F35" s="425">
        <v>6809.2381272025505</v>
      </c>
      <c r="G35" s="425">
        <v>832.49999999999989</v>
      </c>
      <c r="H35" s="424">
        <v>1537.5</v>
      </c>
      <c r="I35" s="425">
        <v>10625</v>
      </c>
      <c r="J35" s="424">
        <v>27266.778523489931</v>
      </c>
      <c r="K35" s="425">
        <v>21136.84210526316</v>
      </c>
      <c r="L35" s="425">
        <v>29315.78947368421</v>
      </c>
      <c r="M35" s="14"/>
      <c r="N35" s="269" t="s">
        <v>257</v>
      </c>
      <c r="O35" s="425">
        <v>2412.4860646599777</v>
      </c>
      <c r="P35" s="425">
        <v>11148.14814814815</v>
      </c>
      <c r="Q35" s="424">
        <v>0</v>
      </c>
      <c r="R35" s="425">
        <v>49958.333333333336</v>
      </c>
      <c r="S35" s="425">
        <v>8102.1612635078991</v>
      </c>
      <c r="T35" s="425">
        <v>8347.826086956522</v>
      </c>
      <c r="U35" s="425">
        <v>12368.338557993731</v>
      </c>
      <c r="V35" s="425">
        <v>12990.029698769622</v>
      </c>
      <c r="W35" s="424">
        <v>2530.0000000000005</v>
      </c>
      <c r="X35" s="425">
        <v>2241.6666666666665</v>
      </c>
      <c r="Y35" s="14"/>
      <c r="Z35" s="269" t="s">
        <v>257</v>
      </c>
      <c r="AA35" s="425">
        <v>7128.6549707602344</v>
      </c>
      <c r="AB35" s="425">
        <v>1148.7844408427877</v>
      </c>
      <c r="AC35" s="425">
        <v>1764.4537815126048</v>
      </c>
      <c r="AD35" s="425">
        <v>717.51412429378536</v>
      </c>
      <c r="AE35" s="425">
        <v>768</v>
      </c>
      <c r="AF35" s="425">
        <v>96360.971626968836</v>
      </c>
      <c r="AG35" s="425">
        <v>34836.261682242992</v>
      </c>
      <c r="AH35" s="424">
        <v>0</v>
      </c>
      <c r="AI35" s="424">
        <v>0</v>
      </c>
    </row>
    <row r="36" spans="1:35" ht="11.1" customHeight="1">
      <c r="A36" s="14" t="s">
        <v>418</v>
      </c>
      <c r="B36" s="269" t="s">
        <v>440</v>
      </c>
      <c r="C36" s="425">
        <v>2838.9300411522627</v>
      </c>
      <c r="D36" s="425">
        <v>9497.8421611865542</v>
      </c>
      <c r="E36" s="425">
        <v>2842.7231121281457</v>
      </c>
      <c r="F36" s="424">
        <v>0</v>
      </c>
      <c r="G36" s="425">
        <v>3457.5129533678751</v>
      </c>
      <c r="H36" s="425">
        <v>1380.0000000000002</v>
      </c>
      <c r="I36" s="425">
        <v>9514.2007001166876</v>
      </c>
      <c r="J36" s="424">
        <v>0</v>
      </c>
      <c r="K36" s="425">
        <v>31939.103763987794</v>
      </c>
      <c r="L36" s="425">
        <v>29882.472324723247</v>
      </c>
      <c r="M36" s="14" t="s">
        <v>418</v>
      </c>
      <c r="N36" s="269" t="s">
        <v>440</v>
      </c>
      <c r="O36" s="425">
        <v>4859.5287308805291</v>
      </c>
      <c r="P36" s="425">
        <v>23821.385542168675</v>
      </c>
      <c r="Q36" s="425">
        <v>6519.6895985298115</v>
      </c>
      <c r="R36" s="425">
        <v>25772.813455657488</v>
      </c>
      <c r="S36" s="425">
        <v>15305.243204577971</v>
      </c>
      <c r="T36" s="425">
        <v>23358.186661592616</v>
      </c>
      <c r="U36" s="425">
        <v>35364.23982869379</v>
      </c>
      <c r="V36" s="425">
        <v>21649.553009734456</v>
      </c>
      <c r="W36" s="425">
        <v>3856</v>
      </c>
      <c r="X36" s="425">
        <v>3888.622754491018</v>
      </c>
      <c r="Y36" s="14" t="s">
        <v>418</v>
      </c>
      <c r="Z36" s="269" t="s">
        <v>440</v>
      </c>
      <c r="AA36" s="425">
        <v>5407.2139303482581</v>
      </c>
      <c r="AB36" s="425">
        <v>2472.9076255424675</v>
      </c>
      <c r="AC36" s="424">
        <v>0</v>
      </c>
      <c r="AD36" s="425">
        <v>1383.4782608695652</v>
      </c>
      <c r="AE36" s="425">
        <v>3475</v>
      </c>
      <c r="AF36" s="425">
        <v>130551.55347203475</v>
      </c>
      <c r="AG36" s="425">
        <v>43771.162985352246</v>
      </c>
      <c r="AH36" s="424">
        <v>0</v>
      </c>
      <c r="AI36" s="424">
        <v>0</v>
      </c>
    </row>
    <row r="37" spans="1:35" ht="11.1" customHeight="1">
      <c r="A37" s="14"/>
      <c r="B37" s="269" t="s">
        <v>257</v>
      </c>
      <c r="C37" s="425">
        <v>1443.6114911080713</v>
      </c>
      <c r="D37" s="425">
        <v>10065.27820862527</v>
      </c>
      <c r="E37" s="425">
        <v>2138.2512315270938</v>
      </c>
      <c r="F37" s="424">
        <v>0</v>
      </c>
      <c r="G37" s="425">
        <v>1793.3579335793356</v>
      </c>
      <c r="H37" s="425">
        <v>1442.8571428571429</v>
      </c>
      <c r="I37" s="425">
        <v>9701.1172783729908</v>
      </c>
      <c r="J37" s="424">
        <v>0</v>
      </c>
      <c r="K37" s="425">
        <v>27846.594827586207</v>
      </c>
      <c r="L37" s="425">
        <v>28609.022556390981</v>
      </c>
      <c r="M37" s="14"/>
      <c r="N37" s="269" t="s">
        <v>257</v>
      </c>
      <c r="O37" s="425">
        <v>4753.8155802861675</v>
      </c>
      <c r="P37" s="425">
        <v>24617.47519294377</v>
      </c>
      <c r="Q37" s="425">
        <v>7312.3323415273808</v>
      </c>
      <c r="R37" s="425">
        <v>24396.473484848484</v>
      </c>
      <c r="S37" s="425">
        <v>16208.658307210033</v>
      </c>
      <c r="T37" s="425">
        <v>26288.454896907217</v>
      </c>
      <c r="U37" s="425">
        <v>36299.238921001932</v>
      </c>
      <c r="V37" s="425">
        <v>21140.901560607534</v>
      </c>
      <c r="W37" s="425">
        <v>3145.8009331259723</v>
      </c>
      <c r="X37" s="425">
        <v>3710.5987611837577</v>
      </c>
      <c r="Y37" s="14"/>
      <c r="Z37" s="269" t="s">
        <v>257</v>
      </c>
      <c r="AA37" s="425">
        <v>5472.3428571428576</v>
      </c>
      <c r="AB37" s="425">
        <v>2623.4159779614324</v>
      </c>
      <c r="AC37" s="425">
        <v>6107.1428571428569</v>
      </c>
      <c r="AD37" s="425">
        <v>2773.2394366197186</v>
      </c>
      <c r="AE37" s="424">
        <v>900</v>
      </c>
      <c r="AF37" s="425">
        <v>127911.54678431241</v>
      </c>
      <c r="AG37" s="425">
        <v>47558.917813313499</v>
      </c>
      <c r="AH37" s="424">
        <v>0</v>
      </c>
      <c r="AI37" s="424">
        <v>10000</v>
      </c>
    </row>
    <row r="38" spans="1:35" ht="11.1" customHeight="1">
      <c r="A38" s="14" t="s">
        <v>409</v>
      </c>
      <c r="B38" s="269" t="s">
        <v>440</v>
      </c>
      <c r="C38" s="425">
        <v>7570</v>
      </c>
      <c r="D38" s="425">
        <v>8871.6666666666661</v>
      </c>
      <c r="E38" s="425">
        <v>3150.0000000000005</v>
      </c>
      <c r="F38" s="424">
        <v>0</v>
      </c>
      <c r="G38" s="424">
        <v>0</v>
      </c>
      <c r="H38" s="425">
        <v>2074.9999999999995</v>
      </c>
      <c r="I38" s="425">
        <v>18521.131639722862</v>
      </c>
      <c r="J38" s="424">
        <v>0</v>
      </c>
      <c r="K38" s="425">
        <v>24534.246575342469</v>
      </c>
      <c r="L38" s="425">
        <v>33097.82608695652</v>
      </c>
      <c r="M38" s="14" t="s">
        <v>409</v>
      </c>
      <c r="N38" s="269" t="s">
        <v>440</v>
      </c>
      <c r="O38" s="425">
        <v>6048.0000000000009</v>
      </c>
      <c r="P38" s="424">
        <v>23337.500000000004</v>
      </c>
      <c r="Q38" s="424">
        <v>6153.5714285714275</v>
      </c>
      <c r="R38" s="425">
        <v>23902.727272727276</v>
      </c>
      <c r="S38" s="424">
        <v>13248.431372549019</v>
      </c>
      <c r="T38" s="424">
        <v>29200.277777777777</v>
      </c>
      <c r="U38" s="425">
        <v>16805.882352941175</v>
      </c>
      <c r="V38" s="425">
        <v>21561.543859649122</v>
      </c>
      <c r="W38" s="424">
        <v>0</v>
      </c>
      <c r="X38" s="424">
        <v>0</v>
      </c>
      <c r="Y38" s="14" t="s">
        <v>409</v>
      </c>
      <c r="Z38" s="269" t="s">
        <v>440</v>
      </c>
      <c r="AA38" s="424">
        <v>0</v>
      </c>
      <c r="AB38" s="425">
        <v>3026.4705882352946</v>
      </c>
      <c r="AC38" s="424">
        <v>0</v>
      </c>
      <c r="AD38" s="424">
        <v>0</v>
      </c>
      <c r="AE38" s="424">
        <v>0</v>
      </c>
      <c r="AF38" s="424">
        <v>0</v>
      </c>
      <c r="AG38" s="425">
        <v>35144.685694150809</v>
      </c>
      <c r="AH38" s="424">
        <v>0</v>
      </c>
      <c r="AI38" s="424">
        <v>0</v>
      </c>
    </row>
    <row r="39" spans="1:35" ht="11.1" customHeight="1">
      <c r="A39" s="14"/>
      <c r="B39" s="269" t="s">
        <v>257</v>
      </c>
      <c r="C39" s="425">
        <v>7700</v>
      </c>
      <c r="D39" s="425">
        <v>8013.3333333333339</v>
      </c>
      <c r="E39" s="425">
        <v>3195</v>
      </c>
      <c r="F39" s="424">
        <v>0</v>
      </c>
      <c r="G39" s="425">
        <v>5016.666666666667</v>
      </c>
      <c r="H39" s="425">
        <v>2081.4285714285716</v>
      </c>
      <c r="I39" s="425">
        <v>17754.098360655738</v>
      </c>
      <c r="J39" s="424">
        <v>0</v>
      </c>
      <c r="K39" s="425">
        <v>24339.4</v>
      </c>
      <c r="L39" s="425">
        <v>33225.5</v>
      </c>
      <c r="M39" s="14"/>
      <c r="N39" s="269" t="s">
        <v>257</v>
      </c>
      <c r="O39" s="425">
        <v>6054.7826086956511</v>
      </c>
      <c r="P39" s="424">
        <v>23885.714285714283</v>
      </c>
      <c r="Q39" s="424">
        <v>6258.8235294117649</v>
      </c>
      <c r="R39" s="425">
        <v>23823.628691983122</v>
      </c>
      <c r="S39" s="425">
        <v>13506.567164179105</v>
      </c>
      <c r="T39" s="424">
        <v>30014.73684210526</v>
      </c>
      <c r="U39" s="425">
        <v>17031.81818181818</v>
      </c>
      <c r="V39" s="425">
        <v>21514.62633451958</v>
      </c>
      <c r="W39" s="424">
        <v>0</v>
      </c>
      <c r="X39" s="424">
        <v>0</v>
      </c>
      <c r="Y39" s="14"/>
      <c r="Z39" s="269" t="s">
        <v>257</v>
      </c>
      <c r="AA39" s="424">
        <v>0</v>
      </c>
      <c r="AB39" s="425">
        <v>3051.5625000000005</v>
      </c>
      <c r="AC39" s="424">
        <v>0</v>
      </c>
      <c r="AD39" s="424">
        <v>0</v>
      </c>
      <c r="AE39" s="424">
        <v>0</v>
      </c>
      <c r="AF39" s="424">
        <v>0</v>
      </c>
      <c r="AG39" s="425">
        <v>35071.921652421661</v>
      </c>
      <c r="AH39" s="424">
        <v>0</v>
      </c>
      <c r="AI39" s="424">
        <v>0</v>
      </c>
    </row>
    <row r="40" spans="1:35" ht="11.1" customHeight="1">
      <c r="A40" s="14" t="s">
        <v>419</v>
      </c>
      <c r="B40" s="269" t="s">
        <v>440</v>
      </c>
      <c r="C40" s="424">
        <v>0</v>
      </c>
      <c r="D40" s="425">
        <v>2941.1209146265687</v>
      </c>
      <c r="E40" s="424">
        <v>0</v>
      </c>
      <c r="F40" s="425">
        <v>2921.7572768171717</v>
      </c>
      <c r="G40" s="424">
        <v>0</v>
      </c>
      <c r="H40" s="424">
        <v>0</v>
      </c>
      <c r="I40" s="425">
        <v>1731.6561844863731</v>
      </c>
      <c r="J40" s="424">
        <v>0</v>
      </c>
      <c r="K40" s="425">
        <v>3355.23613963039</v>
      </c>
      <c r="L40" s="425">
        <v>7070.7070707070707</v>
      </c>
      <c r="M40" s="14" t="s">
        <v>419</v>
      </c>
      <c r="N40" s="269" t="s">
        <v>440</v>
      </c>
      <c r="O40" s="424">
        <v>0</v>
      </c>
      <c r="P40" s="424">
        <v>0</v>
      </c>
      <c r="Q40" s="424">
        <v>0</v>
      </c>
      <c r="R40" s="424">
        <v>0</v>
      </c>
      <c r="S40" s="425">
        <v>4250.7966260543581</v>
      </c>
      <c r="T40" s="424">
        <v>0</v>
      </c>
      <c r="U40" s="425">
        <v>10289.311936479085</v>
      </c>
      <c r="V40" s="424">
        <v>0</v>
      </c>
      <c r="W40" s="424">
        <v>0</v>
      </c>
      <c r="X40" s="424">
        <v>0</v>
      </c>
      <c r="Y40" s="14" t="s">
        <v>419</v>
      </c>
      <c r="Z40" s="269" t="s">
        <v>440</v>
      </c>
      <c r="AA40" s="424">
        <v>0</v>
      </c>
      <c r="AB40" s="424">
        <v>1047.3501303214596</v>
      </c>
      <c r="AC40" s="424">
        <v>0</v>
      </c>
      <c r="AD40" s="424">
        <v>0</v>
      </c>
      <c r="AE40" s="424">
        <v>0</v>
      </c>
      <c r="AF40" s="424">
        <v>0</v>
      </c>
      <c r="AG40" s="424">
        <v>0</v>
      </c>
      <c r="AH40" s="424">
        <v>0</v>
      </c>
      <c r="AI40" s="424">
        <v>0</v>
      </c>
    </row>
    <row r="41" spans="1:35" ht="11.1" customHeight="1">
      <c r="A41" s="14"/>
      <c r="B41" s="269" t="s">
        <v>257</v>
      </c>
      <c r="C41" s="424">
        <v>0</v>
      </c>
      <c r="D41" s="425">
        <v>2928.1126882184685</v>
      </c>
      <c r="E41" s="424">
        <v>0</v>
      </c>
      <c r="F41" s="425">
        <v>2924.9338810421473</v>
      </c>
      <c r="G41" s="424">
        <v>0</v>
      </c>
      <c r="H41" s="424">
        <v>0</v>
      </c>
      <c r="I41" s="425">
        <v>1728.3105022831051</v>
      </c>
      <c r="J41" s="424">
        <v>0</v>
      </c>
      <c r="K41" s="425">
        <v>3396.7136150234742</v>
      </c>
      <c r="L41" s="425">
        <v>7100.8902077151333</v>
      </c>
      <c r="M41" s="14"/>
      <c r="N41" s="269" t="s">
        <v>257</v>
      </c>
      <c r="O41" s="424">
        <v>0</v>
      </c>
      <c r="P41" s="424">
        <v>0</v>
      </c>
      <c r="Q41" s="424">
        <v>0</v>
      </c>
      <c r="R41" s="424">
        <v>0</v>
      </c>
      <c r="S41" s="425">
        <v>4249.3059411438089</v>
      </c>
      <c r="T41" s="424">
        <v>0</v>
      </c>
      <c r="U41" s="425">
        <v>10302.73283934145</v>
      </c>
      <c r="V41" s="424">
        <v>0</v>
      </c>
      <c r="W41" s="424">
        <v>0</v>
      </c>
      <c r="X41" s="424">
        <v>0</v>
      </c>
      <c r="Y41" s="14"/>
      <c r="Z41" s="269" t="s">
        <v>257</v>
      </c>
      <c r="AA41" s="424">
        <v>0</v>
      </c>
      <c r="AB41" s="424">
        <v>1046.7146911154771</v>
      </c>
      <c r="AC41" s="424">
        <v>0</v>
      </c>
      <c r="AD41" s="424">
        <v>0</v>
      </c>
      <c r="AE41" s="424">
        <v>0</v>
      </c>
      <c r="AF41" s="424">
        <v>0</v>
      </c>
      <c r="AG41" s="424">
        <v>0</v>
      </c>
      <c r="AH41" s="424">
        <v>0</v>
      </c>
      <c r="AI41" s="424">
        <v>0</v>
      </c>
    </row>
    <row r="42" spans="1:35" ht="11.1" customHeight="1">
      <c r="A42" s="14" t="s">
        <v>438</v>
      </c>
      <c r="B42" s="269" t="s">
        <v>440</v>
      </c>
      <c r="C42" s="424">
        <v>0</v>
      </c>
      <c r="D42" s="425">
        <v>3051.761904761905</v>
      </c>
      <c r="E42" s="424">
        <v>0</v>
      </c>
      <c r="F42" s="425">
        <v>2829.3829178586025</v>
      </c>
      <c r="G42" s="424">
        <v>0</v>
      </c>
      <c r="H42" s="424">
        <v>0</v>
      </c>
      <c r="I42" s="424">
        <v>0</v>
      </c>
      <c r="J42" s="424">
        <v>0</v>
      </c>
      <c r="K42" s="424">
        <v>0</v>
      </c>
      <c r="L42" s="424">
        <v>13636.363636363636</v>
      </c>
      <c r="M42" s="14" t="s">
        <v>438</v>
      </c>
      <c r="N42" s="269" t="s">
        <v>440</v>
      </c>
      <c r="O42" s="424">
        <v>0</v>
      </c>
      <c r="P42" s="424">
        <v>0</v>
      </c>
      <c r="Q42" s="424">
        <v>0</v>
      </c>
      <c r="R42" s="424">
        <v>0</v>
      </c>
      <c r="S42" s="425">
        <v>6589.0909090909099</v>
      </c>
      <c r="T42" s="424">
        <v>0</v>
      </c>
      <c r="U42" s="425">
        <v>14202.905569007264</v>
      </c>
      <c r="V42" s="425">
        <v>7173.6585365853653</v>
      </c>
      <c r="W42" s="424">
        <v>0</v>
      </c>
      <c r="X42" s="424">
        <v>0</v>
      </c>
      <c r="Y42" s="14" t="s">
        <v>438</v>
      </c>
      <c r="Z42" s="269" t="s">
        <v>440</v>
      </c>
      <c r="AA42" s="424">
        <v>0</v>
      </c>
      <c r="AB42" s="425">
        <v>928.69565217391289</v>
      </c>
      <c r="AC42" s="424">
        <v>0</v>
      </c>
      <c r="AD42" s="424">
        <v>0</v>
      </c>
      <c r="AE42" s="424">
        <v>0</v>
      </c>
      <c r="AF42" s="424">
        <v>0</v>
      </c>
      <c r="AG42" s="424">
        <v>0</v>
      </c>
      <c r="AH42" s="424">
        <v>0</v>
      </c>
      <c r="AI42" s="424">
        <v>0</v>
      </c>
    </row>
    <row r="43" spans="1:35" ht="11.1" customHeight="1">
      <c r="A43" s="14"/>
      <c r="B43" s="269" t="s">
        <v>257</v>
      </c>
      <c r="C43" s="424">
        <v>0</v>
      </c>
      <c r="D43" s="425">
        <v>3112.2853574773649</v>
      </c>
      <c r="E43" s="424">
        <v>0</v>
      </c>
      <c r="F43" s="425">
        <v>2919.3194291986824</v>
      </c>
      <c r="G43" s="424">
        <v>0</v>
      </c>
      <c r="H43" s="424">
        <v>0</v>
      </c>
      <c r="I43" s="424">
        <v>0</v>
      </c>
      <c r="J43" s="424">
        <v>0</v>
      </c>
      <c r="K43" s="424">
        <v>5840</v>
      </c>
      <c r="L43" s="424">
        <v>14000</v>
      </c>
      <c r="M43" s="14"/>
      <c r="N43" s="269" t="s">
        <v>257</v>
      </c>
      <c r="O43" s="424">
        <v>0</v>
      </c>
      <c r="P43" s="424">
        <v>0</v>
      </c>
      <c r="Q43" s="424">
        <v>0</v>
      </c>
      <c r="R43" s="424">
        <v>0</v>
      </c>
      <c r="S43" s="425">
        <v>0</v>
      </c>
      <c r="T43" s="424">
        <v>0</v>
      </c>
      <c r="U43" s="425">
        <v>14140.557518649392</v>
      </c>
      <c r="V43" s="425">
        <v>13412.048192771086</v>
      </c>
      <c r="W43" s="424">
        <v>0</v>
      </c>
      <c r="X43" s="424">
        <v>0</v>
      </c>
      <c r="Y43" s="14"/>
      <c r="Z43" s="269" t="s">
        <v>257</v>
      </c>
      <c r="AA43" s="424">
        <v>0</v>
      </c>
      <c r="AB43" s="425">
        <v>919.36218678815499</v>
      </c>
      <c r="AC43" s="424">
        <v>0</v>
      </c>
      <c r="AD43" s="424">
        <v>0</v>
      </c>
      <c r="AE43" s="424">
        <v>0</v>
      </c>
      <c r="AF43" s="424">
        <v>0</v>
      </c>
      <c r="AG43" s="424">
        <v>0</v>
      </c>
      <c r="AH43" s="424">
        <v>0</v>
      </c>
      <c r="AI43" s="424">
        <v>0</v>
      </c>
    </row>
    <row r="44" spans="1:35" ht="11.1" customHeight="1">
      <c r="A44" s="14" t="s">
        <v>453</v>
      </c>
      <c r="B44" s="269" t="s">
        <v>440</v>
      </c>
      <c r="C44" s="425">
        <v>1147.108910891089</v>
      </c>
      <c r="D44" s="425">
        <v>3454.5901639344265</v>
      </c>
      <c r="E44" s="425">
        <v>1269.5249999999999</v>
      </c>
      <c r="F44" s="424">
        <v>0</v>
      </c>
      <c r="G44" s="425">
        <v>1155.4594594594598</v>
      </c>
      <c r="H44" s="425">
        <v>978.41176470588221</v>
      </c>
      <c r="I44" s="424">
        <v>0</v>
      </c>
      <c r="J44" s="424">
        <v>0</v>
      </c>
      <c r="K44" s="425">
        <v>26302.636363636364</v>
      </c>
      <c r="L44" s="425">
        <v>21651.41071428571</v>
      </c>
      <c r="M44" s="14" t="s">
        <v>453</v>
      </c>
      <c r="N44" s="269" t="s">
        <v>440</v>
      </c>
      <c r="O44" s="425">
        <v>4280.2857142857147</v>
      </c>
      <c r="P44" s="425">
        <v>27260.666666666668</v>
      </c>
      <c r="Q44" s="425">
        <v>7442.666666666667</v>
      </c>
      <c r="R44" s="425">
        <v>27004.999999999996</v>
      </c>
      <c r="S44" s="425">
        <v>16229.5625</v>
      </c>
      <c r="T44" s="425">
        <v>12973.791288566241</v>
      </c>
      <c r="U44" s="424">
        <v>0</v>
      </c>
      <c r="V44" s="424">
        <v>9869</v>
      </c>
      <c r="W44" s="425">
        <v>5766.818181818182</v>
      </c>
      <c r="X44" s="425">
        <v>6090.0000000000009</v>
      </c>
      <c r="Y44" s="14" t="s">
        <v>453</v>
      </c>
      <c r="Z44" s="269" t="s">
        <v>440</v>
      </c>
      <c r="AA44" s="424">
        <v>0</v>
      </c>
      <c r="AB44" s="425">
        <v>3353.6363636363635</v>
      </c>
      <c r="AC44" s="424">
        <v>0</v>
      </c>
      <c r="AD44" s="425">
        <v>1259.4087591240875</v>
      </c>
      <c r="AE44" s="424">
        <v>0</v>
      </c>
      <c r="AF44" s="424">
        <v>0</v>
      </c>
      <c r="AG44" s="425">
        <v>60809.67010309278</v>
      </c>
      <c r="AH44" s="424">
        <v>0</v>
      </c>
      <c r="AI44" s="425">
        <v>16711.62162162162</v>
      </c>
    </row>
    <row r="45" spans="1:35" ht="11.1" customHeight="1">
      <c r="A45" s="14"/>
      <c r="B45" s="269" t="s">
        <v>257</v>
      </c>
      <c r="C45" s="425">
        <v>1138.3287671232877</v>
      </c>
      <c r="D45" s="425">
        <v>3379.0000000000005</v>
      </c>
      <c r="E45" s="425">
        <v>1220.6801872074882</v>
      </c>
      <c r="F45" s="424">
        <v>0</v>
      </c>
      <c r="G45" s="425">
        <v>1151.166666666667</v>
      </c>
      <c r="H45" s="425">
        <v>973.65853658536571</v>
      </c>
      <c r="I45" s="424">
        <v>0</v>
      </c>
      <c r="J45" s="424">
        <v>0</v>
      </c>
      <c r="K45" s="425">
        <v>26153.8</v>
      </c>
      <c r="L45" s="425">
        <v>14609.127659574469</v>
      </c>
      <c r="M45" s="14"/>
      <c r="N45" s="269" t="s">
        <v>257</v>
      </c>
      <c r="O45" s="425">
        <v>4507.484848484848</v>
      </c>
      <c r="P45" s="425">
        <v>27059.076923076926</v>
      </c>
      <c r="Q45" s="424">
        <v>6651.666666666667</v>
      </c>
      <c r="R45" s="425">
        <v>28448.22580645161</v>
      </c>
      <c r="S45" s="425">
        <v>15067.5</v>
      </c>
      <c r="T45" s="425">
        <v>12067.805555555557</v>
      </c>
      <c r="U45" s="424">
        <v>0</v>
      </c>
      <c r="V45" s="425">
        <v>8350</v>
      </c>
      <c r="W45" s="425">
        <v>5943</v>
      </c>
      <c r="X45" s="425">
        <v>5260.0000000000009</v>
      </c>
      <c r="Y45" s="14"/>
      <c r="Z45" s="269" t="s">
        <v>257</v>
      </c>
      <c r="AA45" s="424">
        <v>0</v>
      </c>
      <c r="AB45" s="425">
        <v>2013.3333333333333</v>
      </c>
      <c r="AC45" s="424">
        <v>0</v>
      </c>
      <c r="AD45" s="425">
        <v>1294.7014925373135</v>
      </c>
      <c r="AE45" s="424">
        <v>0</v>
      </c>
      <c r="AF45" s="424">
        <v>0</v>
      </c>
      <c r="AG45" s="425">
        <v>59602.769230769234</v>
      </c>
      <c r="AH45" s="424">
        <v>0</v>
      </c>
      <c r="AI45" s="425">
        <v>15995.909090909094</v>
      </c>
    </row>
    <row r="46" spans="1:35" ht="11.1" customHeight="1">
      <c r="A46" s="14" t="s">
        <v>420</v>
      </c>
      <c r="B46" s="269" t="s">
        <v>440</v>
      </c>
      <c r="C46" s="424">
        <v>1496.4761904761908</v>
      </c>
      <c r="D46" s="425">
        <v>1635.5122691626614</v>
      </c>
      <c r="E46" s="425">
        <v>1418.7882822902795</v>
      </c>
      <c r="F46" s="425">
        <v>1461.9405940594061</v>
      </c>
      <c r="G46" s="424">
        <v>1633.7499999999998</v>
      </c>
      <c r="H46" s="424">
        <v>0</v>
      </c>
      <c r="I46" s="425">
        <v>12687.049180327867</v>
      </c>
      <c r="J46" s="424">
        <v>0</v>
      </c>
      <c r="K46" s="424">
        <v>0</v>
      </c>
      <c r="L46" s="425">
        <v>21645.604026845638</v>
      </c>
      <c r="M46" s="14" t="s">
        <v>420</v>
      </c>
      <c r="N46" s="269" t="s">
        <v>440</v>
      </c>
      <c r="O46" s="425">
        <v>3716.5186500888103</v>
      </c>
      <c r="P46" s="425">
        <v>16175.922077922074</v>
      </c>
      <c r="Q46" s="425">
        <v>866.66666666666674</v>
      </c>
      <c r="R46" s="424">
        <v>0</v>
      </c>
      <c r="S46" s="425">
        <v>13351.34255599473</v>
      </c>
      <c r="T46" s="425">
        <v>18262.746204144965</v>
      </c>
      <c r="U46" s="425">
        <v>13577.863092388701</v>
      </c>
      <c r="V46" s="424">
        <v>0</v>
      </c>
      <c r="W46" s="425">
        <v>10568.656394453004</v>
      </c>
      <c r="X46" s="425">
        <v>12195.486284289278</v>
      </c>
      <c r="Y46" s="14" t="s">
        <v>420</v>
      </c>
      <c r="Z46" s="269" t="s">
        <v>440</v>
      </c>
      <c r="AA46" s="424">
        <v>0</v>
      </c>
      <c r="AB46" s="425">
        <v>1477.0605612998525</v>
      </c>
      <c r="AC46" s="424">
        <v>0</v>
      </c>
      <c r="AD46" s="425">
        <v>1581.1891418563921</v>
      </c>
      <c r="AE46" s="425">
        <v>1219.0140845070425</v>
      </c>
      <c r="AF46" s="424">
        <v>0</v>
      </c>
      <c r="AG46" s="424">
        <v>0</v>
      </c>
      <c r="AH46" s="424">
        <v>0</v>
      </c>
      <c r="AI46" s="425">
        <v>13348.90756302521</v>
      </c>
    </row>
    <row r="47" spans="1:35" ht="11.1" customHeight="1">
      <c r="A47" s="14"/>
      <c r="B47" s="269" t="s">
        <v>257</v>
      </c>
      <c r="C47" s="424">
        <v>1546.0476190476193</v>
      </c>
      <c r="D47" s="425">
        <v>1653.14675862069</v>
      </c>
      <c r="E47" s="425">
        <v>1198.1185324553153</v>
      </c>
      <c r="F47" s="425">
        <v>1447.1768437747819</v>
      </c>
      <c r="G47" s="424">
        <v>1520.8843537414964</v>
      </c>
      <c r="H47" s="424">
        <v>0</v>
      </c>
      <c r="I47" s="425">
        <v>13160.410958904113</v>
      </c>
      <c r="J47" s="424">
        <v>0</v>
      </c>
      <c r="K47" s="424">
        <v>0</v>
      </c>
      <c r="L47" s="425">
        <v>22235.959114139692</v>
      </c>
      <c r="M47" s="14"/>
      <c r="N47" s="269" t="s">
        <v>257</v>
      </c>
      <c r="O47" s="425">
        <v>3397.893258426966</v>
      </c>
      <c r="P47" s="425">
        <v>17702.172839506176</v>
      </c>
      <c r="Q47" s="425">
        <v>916.66666666666663</v>
      </c>
      <c r="R47" s="424">
        <v>0</v>
      </c>
      <c r="S47" s="425">
        <v>14655.32972322503</v>
      </c>
      <c r="T47" s="425">
        <v>18795.033641160953</v>
      </c>
      <c r="U47" s="425">
        <v>13820.785764131191</v>
      </c>
      <c r="V47" s="424">
        <v>0</v>
      </c>
      <c r="W47" s="425">
        <v>9076.7373572593806</v>
      </c>
      <c r="X47" s="425">
        <v>10246.83844011142</v>
      </c>
      <c r="Y47" s="14"/>
      <c r="Z47" s="269" t="s">
        <v>257</v>
      </c>
      <c r="AA47" s="424">
        <v>0</v>
      </c>
      <c r="AB47" s="425">
        <v>1362.8556067588324</v>
      </c>
      <c r="AC47" s="424">
        <v>0</v>
      </c>
      <c r="AD47" s="425">
        <v>1262.5392156862747</v>
      </c>
      <c r="AE47" s="425">
        <v>1029.1525423728813</v>
      </c>
      <c r="AF47" s="424">
        <v>0</v>
      </c>
      <c r="AG47" s="424">
        <v>0</v>
      </c>
      <c r="AH47" s="424">
        <v>0</v>
      </c>
      <c r="AI47" s="425">
        <v>8979.6446700507622</v>
      </c>
    </row>
    <row r="48" spans="1:35" ht="11.1" customHeight="1">
      <c r="A48" s="14" t="s">
        <v>421</v>
      </c>
      <c r="B48" s="269" t="s">
        <v>440</v>
      </c>
      <c r="C48" s="425">
        <v>969.07934848880757</v>
      </c>
      <c r="D48" s="425">
        <v>3700.5292677146695</v>
      </c>
      <c r="E48" s="425">
        <v>1035.5507504451793</v>
      </c>
      <c r="F48" s="425">
        <v>8600.5828462324353</v>
      </c>
      <c r="G48" s="425">
        <v>833.82789317507422</v>
      </c>
      <c r="H48" s="424">
        <v>0</v>
      </c>
      <c r="I48" s="425">
        <v>6416.666666666667</v>
      </c>
      <c r="J48" s="425">
        <v>16737.704918032785</v>
      </c>
      <c r="K48" s="425">
        <v>23682.926829268294</v>
      </c>
      <c r="L48" s="425">
        <v>4150.6849315068494</v>
      </c>
      <c r="M48" s="14" t="s">
        <v>421</v>
      </c>
      <c r="N48" s="269" t="s">
        <v>440</v>
      </c>
      <c r="O48" s="425">
        <v>1997.4747474747473</v>
      </c>
      <c r="P48" s="425">
        <v>12744.186046511628</v>
      </c>
      <c r="Q48" s="425">
        <v>1794.3925233644859</v>
      </c>
      <c r="R48" s="425">
        <v>21837.209302325584</v>
      </c>
      <c r="S48" s="425">
        <v>6000</v>
      </c>
      <c r="T48" s="425">
        <v>9967.557251908398</v>
      </c>
      <c r="U48" s="425">
        <v>6667.3170731707314</v>
      </c>
      <c r="V48" s="425">
        <v>11622.605363984674</v>
      </c>
      <c r="W48" s="425">
        <v>2956.6395663956641</v>
      </c>
      <c r="X48" s="425">
        <v>3163.6771300448431</v>
      </c>
      <c r="Y48" s="14" t="s">
        <v>421</v>
      </c>
      <c r="Z48" s="269" t="s">
        <v>440</v>
      </c>
      <c r="AA48" s="425">
        <v>4873.7704918032787</v>
      </c>
      <c r="AB48" s="425">
        <v>818.73798287012755</v>
      </c>
      <c r="AC48" s="424">
        <v>0</v>
      </c>
      <c r="AD48" s="425">
        <v>927.57009345794393</v>
      </c>
      <c r="AE48" s="425">
        <v>640.00911369332425</v>
      </c>
      <c r="AF48" s="425">
        <v>143145.37986873905</v>
      </c>
      <c r="AG48" s="424">
        <v>0</v>
      </c>
      <c r="AH48" s="424">
        <v>0</v>
      </c>
      <c r="AI48" s="424">
        <v>0</v>
      </c>
    </row>
    <row r="49" spans="1:35" ht="11.1" customHeight="1">
      <c r="A49" s="14"/>
      <c r="B49" s="269" t="s">
        <v>257</v>
      </c>
      <c r="C49" s="425">
        <v>985.03713411970296</v>
      </c>
      <c r="D49" s="425">
        <v>4372.2622425962309</v>
      </c>
      <c r="E49" s="425">
        <v>959.20745920745924</v>
      </c>
      <c r="F49" s="425">
        <v>8073.6415877625304</v>
      </c>
      <c r="G49" s="425">
        <v>860.39886039886039</v>
      </c>
      <c r="H49" s="424">
        <v>0</v>
      </c>
      <c r="I49" s="424">
        <v>0</v>
      </c>
      <c r="J49" s="425">
        <v>6056.9105691056911</v>
      </c>
      <c r="K49" s="425">
        <v>26091.836734693879</v>
      </c>
      <c r="L49" s="424">
        <v>0</v>
      </c>
      <c r="M49" s="14"/>
      <c r="N49" s="269" t="s">
        <v>257</v>
      </c>
      <c r="O49" s="425">
        <v>1985.6801909307876</v>
      </c>
      <c r="P49" s="425">
        <v>9706.5217391304359</v>
      </c>
      <c r="Q49" s="425">
        <v>2244.4444444444443</v>
      </c>
      <c r="R49" s="425">
        <v>23167.420814479636</v>
      </c>
      <c r="S49" s="425">
        <v>5744.868035190616</v>
      </c>
      <c r="T49" s="425">
        <v>11042.799597180261</v>
      </c>
      <c r="U49" s="425">
        <v>8202.5462962962956</v>
      </c>
      <c r="V49" s="425">
        <v>15954.545454545456</v>
      </c>
      <c r="W49" s="425">
        <v>2623.046875</v>
      </c>
      <c r="X49" s="425">
        <v>2912.3867069486405</v>
      </c>
      <c r="Y49" s="14"/>
      <c r="Z49" s="269" t="s">
        <v>257</v>
      </c>
      <c r="AA49" s="425">
        <v>2695.3907815631264</v>
      </c>
      <c r="AB49" s="425">
        <v>810.35532994923858</v>
      </c>
      <c r="AC49" s="424">
        <v>0</v>
      </c>
      <c r="AD49" s="425">
        <v>830.80808080808072</v>
      </c>
      <c r="AE49" s="425">
        <v>784.26150121065371</v>
      </c>
      <c r="AF49" s="425">
        <v>149315.41168229628</v>
      </c>
      <c r="AG49" s="424">
        <v>0</v>
      </c>
      <c r="AH49" s="424">
        <v>0</v>
      </c>
      <c r="AI49" s="424">
        <v>0</v>
      </c>
    </row>
    <row r="50" spans="1:35" ht="11.1" customHeight="1">
      <c r="A50" s="14" t="s">
        <v>422</v>
      </c>
      <c r="B50" s="269" t="s">
        <v>440</v>
      </c>
      <c r="C50" s="425">
        <v>1117.6490288010716</v>
      </c>
      <c r="D50" s="425">
        <v>1641.6802168021679</v>
      </c>
      <c r="E50" s="425">
        <v>1610.6301229508194</v>
      </c>
      <c r="F50" s="425">
        <v>1832.4561403508771</v>
      </c>
      <c r="G50" s="425">
        <v>1061.1768029379718</v>
      </c>
      <c r="H50" s="425">
        <v>1081.9189219289453</v>
      </c>
      <c r="I50" s="424">
        <v>0</v>
      </c>
      <c r="J50" s="424">
        <v>0</v>
      </c>
      <c r="K50" s="424">
        <v>0</v>
      </c>
      <c r="L50" s="425">
        <v>10268.817204301076</v>
      </c>
      <c r="M50" s="14" t="s">
        <v>422</v>
      </c>
      <c r="N50" s="269" t="s">
        <v>440</v>
      </c>
      <c r="O50" s="424">
        <v>0</v>
      </c>
      <c r="P50" s="425">
        <v>7473.6842105263158</v>
      </c>
      <c r="Q50" s="424">
        <v>0</v>
      </c>
      <c r="R50" s="425">
        <v>18160.087719298248</v>
      </c>
      <c r="S50" s="425">
        <v>8555.5555555555547</v>
      </c>
      <c r="T50" s="425">
        <v>13310.331605008252</v>
      </c>
      <c r="U50" s="425">
        <v>11180.327868852459</v>
      </c>
      <c r="V50" s="425">
        <v>9227.5303643724692</v>
      </c>
      <c r="W50" s="425">
        <v>8290.770557791835</v>
      </c>
      <c r="X50" s="425">
        <v>6589.0692640692641</v>
      </c>
      <c r="Y50" s="14" t="s">
        <v>422</v>
      </c>
      <c r="Z50" s="269" t="s">
        <v>440</v>
      </c>
      <c r="AA50" s="424">
        <v>0</v>
      </c>
      <c r="AB50" s="425">
        <v>1167.0588235294119</v>
      </c>
      <c r="AC50" s="424">
        <v>0</v>
      </c>
      <c r="AD50" s="425">
        <v>1236.829488873082</v>
      </c>
      <c r="AE50" s="425">
        <v>1049.5916429249762</v>
      </c>
      <c r="AF50" s="424">
        <v>0</v>
      </c>
      <c r="AG50" s="424">
        <v>0</v>
      </c>
      <c r="AH50" s="425">
        <v>21656.487252124643</v>
      </c>
      <c r="AI50" s="425">
        <v>23857.819463846205</v>
      </c>
    </row>
    <row r="51" spans="1:35" ht="11.1" customHeight="1">
      <c r="A51" s="14"/>
      <c r="B51" s="269" t="s">
        <v>257</v>
      </c>
      <c r="C51" s="425">
        <v>1140.8345120226309</v>
      </c>
      <c r="D51" s="425">
        <v>1649.2277416889569</v>
      </c>
      <c r="E51" s="425">
        <v>1640.4369918699185</v>
      </c>
      <c r="F51" s="425">
        <v>1823.6842105263158</v>
      </c>
      <c r="G51" s="425">
        <v>1136.7706933289624</v>
      </c>
      <c r="H51" s="425">
        <v>1095.5161531641361</v>
      </c>
      <c r="I51" s="424">
        <v>0</v>
      </c>
      <c r="J51" s="424">
        <v>0</v>
      </c>
      <c r="K51" s="424">
        <v>0</v>
      </c>
      <c r="L51" s="425">
        <v>10098.901098901099</v>
      </c>
      <c r="M51" s="14"/>
      <c r="N51" s="269" t="s">
        <v>257</v>
      </c>
      <c r="O51" s="424">
        <v>0</v>
      </c>
      <c r="P51" s="425">
        <v>7510.5263157894733</v>
      </c>
      <c r="Q51" s="424">
        <v>0</v>
      </c>
      <c r="R51" s="425">
        <v>17233.55408388521</v>
      </c>
      <c r="S51" s="424">
        <v>0</v>
      </c>
      <c r="T51" s="425">
        <v>13811.570393545202</v>
      </c>
      <c r="U51" s="425">
        <v>11218.767377201111</v>
      </c>
      <c r="V51" s="425">
        <v>9285.3061224489793</v>
      </c>
      <c r="W51" s="425">
        <v>8330.7627311522047</v>
      </c>
      <c r="X51" s="425">
        <v>6763.5474293989855</v>
      </c>
      <c r="Y51" s="14"/>
      <c r="Z51" s="269" t="s">
        <v>257</v>
      </c>
      <c r="AA51" s="424">
        <v>0</v>
      </c>
      <c r="AB51" s="425">
        <v>1174.2056074766356</v>
      </c>
      <c r="AC51" s="424">
        <v>0</v>
      </c>
      <c r="AD51" s="425">
        <v>1271.915137614679</v>
      </c>
      <c r="AE51" s="425">
        <v>1127.2297297297296</v>
      </c>
      <c r="AF51" s="424">
        <v>0</v>
      </c>
      <c r="AG51" s="424">
        <v>0</v>
      </c>
      <c r="AH51" s="425">
        <v>22280.868899638721</v>
      </c>
      <c r="AI51" s="425">
        <v>25827.874283428875</v>
      </c>
    </row>
    <row r="52" spans="1:35" ht="11.1" customHeight="1">
      <c r="A52" s="14" t="s">
        <v>456</v>
      </c>
      <c r="B52" s="269" t="s">
        <v>440</v>
      </c>
      <c r="C52" s="424">
        <v>0</v>
      </c>
      <c r="D52" s="425">
        <v>2463.4289410295296</v>
      </c>
      <c r="E52" s="424">
        <v>0</v>
      </c>
      <c r="F52" s="425">
        <v>7447.7617513886944</v>
      </c>
      <c r="G52" s="424">
        <v>0</v>
      </c>
      <c r="H52" s="424">
        <v>0</v>
      </c>
      <c r="I52" s="424">
        <v>0</v>
      </c>
      <c r="J52" s="424">
        <v>0</v>
      </c>
      <c r="K52" s="425">
        <v>14521.463757916959</v>
      </c>
      <c r="L52" s="424">
        <v>0</v>
      </c>
      <c r="M52" s="14" t="s">
        <v>456</v>
      </c>
      <c r="N52" s="269" t="s">
        <v>440</v>
      </c>
      <c r="O52" s="424">
        <v>0</v>
      </c>
      <c r="P52" s="424">
        <v>0</v>
      </c>
      <c r="Q52" s="424">
        <v>0</v>
      </c>
      <c r="R52" s="424">
        <v>0</v>
      </c>
      <c r="S52" s="424">
        <v>0</v>
      </c>
      <c r="T52" s="424">
        <v>0</v>
      </c>
      <c r="U52" s="425">
        <v>15834.1384863124</v>
      </c>
      <c r="V52" s="424">
        <v>0</v>
      </c>
      <c r="W52" s="424">
        <v>0</v>
      </c>
      <c r="X52" s="424">
        <v>0</v>
      </c>
      <c r="Y52" s="14" t="s">
        <v>456</v>
      </c>
      <c r="Z52" s="269" t="s">
        <v>440</v>
      </c>
      <c r="AA52" s="424">
        <v>0</v>
      </c>
      <c r="AB52" s="425">
        <v>993.81746273197427</v>
      </c>
      <c r="AC52" s="424">
        <v>0</v>
      </c>
      <c r="AD52" s="424">
        <v>0</v>
      </c>
      <c r="AE52" s="424">
        <v>0</v>
      </c>
      <c r="AF52" s="424">
        <v>0</v>
      </c>
      <c r="AG52" s="424">
        <v>0</v>
      </c>
      <c r="AH52" s="424">
        <v>0</v>
      </c>
      <c r="AI52" s="424">
        <v>0</v>
      </c>
    </row>
    <row r="53" spans="1:35" ht="11.1" customHeight="1">
      <c r="A53" s="14"/>
      <c r="B53" s="269" t="s">
        <v>257</v>
      </c>
      <c r="C53" s="424">
        <v>0</v>
      </c>
      <c r="D53" s="425">
        <v>2529.4078130870917</v>
      </c>
      <c r="E53" s="424">
        <v>0</v>
      </c>
      <c r="F53" s="425">
        <v>7544.1781091009088</v>
      </c>
      <c r="G53" s="424">
        <v>0</v>
      </c>
      <c r="H53" s="424">
        <v>0</v>
      </c>
      <c r="I53" s="425">
        <v>700</v>
      </c>
      <c r="J53" s="424">
        <v>0</v>
      </c>
      <c r="K53" s="425">
        <v>12408.426560808372</v>
      </c>
      <c r="L53" s="424">
        <v>0</v>
      </c>
      <c r="M53" s="14"/>
      <c r="N53" s="269" t="s">
        <v>257</v>
      </c>
      <c r="O53" s="424">
        <v>0</v>
      </c>
      <c r="P53" s="424">
        <v>0</v>
      </c>
      <c r="Q53" s="424">
        <v>0</v>
      </c>
      <c r="R53" s="424">
        <v>0</v>
      </c>
      <c r="S53" s="424">
        <v>0</v>
      </c>
      <c r="T53" s="424">
        <v>0</v>
      </c>
      <c r="U53" s="425">
        <v>15831.64814350575</v>
      </c>
      <c r="V53" s="424">
        <v>0</v>
      </c>
      <c r="W53" s="424">
        <v>0</v>
      </c>
      <c r="X53" s="424">
        <v>0</v>
      </c>
      <c r="Y53" s="14"/>
      <c r="Z53" s="269" t="s">
        <v>257</v>
      </c>
      <c r="AA53" s="424">
        <v>0</v>
      </c>
      <c r="AB53" s="425">
        <v>977.08170829975825</v>
      </c>
      <c r="AC53" s="424">
        <v>0</v>
      </c>
      <c r="AD53" s="424">
        <v>0</v>
      </c>
      <c r="AE53" s="424">
        <v>0</v>
      </c>
      <c r="AF53" s="424">
        <v>0</v>
      </c>
      <c r="AG53" s="424">
        <v>0</v>
      </c>
      <c r="AH53" s="424">
        <v>0</v>
      </c>
      <c r="AI53" s="424">
        <v>0</v>
      </c>
    </row>
    <row r="54" spans="1:35" ht="11.1" customHeight="1">
      <c r="A54" s="14" t="s">
        <v>454</v>
      </c>
      <c r="B54" s="269" t="s">
        <v>440</v>
      </c>
      <c r="C54" s="425">
        <v>2100</v>
      </c>
      <c r="D54" s="425">
        <v>3545.4545454545455</v>
      </c>
      <c r="E54" s="425">
        <v>2990.6759906759908</v>
      </c>
      <c r="F54" s="424">
        <v>0</v>
      </c>
      <c r="G54" s="424">
        <v>2000</v>
      </c>
      <c r="H54" s="425">
        <v>2292.9292929292928</v>
      </c>
      <c r="I54" s="425">
        <v>11991.640543364681</v>
      </c>
      <c r="J54" s="424">
        <v>0</v>
      </c>
      <c r="K54" s="425">
        <v>35891.791044776117</v>
      </c>
      <c r="L54" s="425">
        <v>35068.862275449101</v>
      </c>
      <c r="M54" s="14" t="s">
        <v>454</v>
      </c>
      <c r="N54" s="269" t="s">
        <v>440</v>
      </c>
      <c r="O54" s="425">
        <v>5333.333333333333</v>
      </c>
      <c r="P54" s="424">
        <v>0</v>
      </c>
      <c r="Q54" s="425">
        <v>10794.871794871795</v>
      </c>
      <c r="R54" s="425">
        <v>32855.345911949684</v>
      </c>
      <c r="S54" s="425">
        <v>13134.408602150537</v>
      </c>
      <c r="T54" s="425">
        <v>19298.507462686568</v>
      </c>
      <c r="U54" s="424">
        <v>0</v>
      </c>
      <c r="V54" s="425">
        <v>14387.755102040817</v>
      </c>
      <c r="W54" s="424">
        <v>0</v>
      </c>
      <c r="X54" s="424">
        <v>0</v>
      </c>
      <c r="Y54" s="14" t="s">
        <v>454</v>
      </c>
      <c r="Z54" s="269" t="s">
        <v>440</v>
      </c>
      <c r="AA54" s="425">
        <v>6803.2786885245896</v>
      </c>
      <c r="AB54" s="424">
        <v>0</v>
      </c>
      <c r="AC54" s="424">
        <v>0</v>
      </c>
      <c r="AD54" s="424">
        <v>0</v>
      </c>
      <c r="AE54" s="424">
        <v>0</v>
      </c>
      <c r="AF54" s="424">
        <v>0</v>
      </c>
      <c r="AG54" s="425">
        <v>49811.92005710207</v>
      </c>
      <c r="AH54" s="424">
        <v>0</v>
      </c>
      <c r="AI54" s="425">
        <v>12000</v>
      </c>
    </row>
    <row r="55" spans="1:35" ht="11.1" customHeight="1">
      <c r="A55" s="14"/>
      <c r="B55" s="269" t="s">
        <v>257</v>
      </c>
      <c r="C55" s="424">
        <v>3000</v>
      </c>
      <c r="D55" s="425">
        <v>2800</v>
      </c>
      <c r="E55" s="425">
        <v>3692.9530201342282</v>
      </c>
      <c r="F55" s="424">
        <v>0</v>
      </c>
      <c r="G55" s="424">
        <v>0</v>
      </c>
      <c r="H55" s="425">
        <v>2125.2446183953034</v>
      </c>
      <c r="I55" s="425">
        <v>10314.18918918919</v>
      </c>
      <c r="J55" s="424">
        <v>0</v>
      </c>
      <c r="K55" s="425">
        <v>39290.816326530607</v>
      </c>
      <c r="L55" s="425">
        <v>37818.181818181823</v>
      </c>
      <c r="M55" s="14"/>
      <c r="N55" s="269" t="s">
        <v>257</v>
      </c>
      <c r="O55" s="425">
        <v>5894.7368421052624</v>
      </c>
      <c r="P55" s="424">
        <v>0</v>
      </c>
      <c r="Q55" s="425">
        <v>10571.428571428571</v>
      </c>
      <c r="R55" s="425">
        <v>33720.930232558138</v>
      </c>
      <c r="S55" s="425">
        <v>13707.54716981132</v>
      </c>
      <c r="T55" s="425">
        <v>18964.114832535884</v>
      </c>
      <c r="U55" s="424">
        <v>0</v>
      </c>
      <c r="V55" s="425">
        <v>13645.714285714286</v>
      </c>
      <c r="W55" s="424">
        <v>0</v>
      </c>
      <c r="X55" s="424">
        <v>0</v>
      </c>
      <c r="Y55" s="14"/>
      <c r="Z55" s="269" t="s">
        <v>257</v>
      </c>
      <c r="AA55" s="425">
        <v>5066.6666666666661</v>
      </c>
      <c r="AB55" s="424">
        <v>0</v>
      </c>
      <c r="AC55" s="424">
        <v>0</v>
      </c>
      <c r="AD55" s="424">
        <v>0</v>
      </c>
      <c r="AE55" s="424">
        <v>0</v>
      </c>
      <c r="AF55" s="424">
        <v>0</v>
      </c>
      <c r="AG55" s="425">
        <v>47096.018735362995</v>
      </c>
      <c r="AH55" s="424">
        <v>0</v>
      </c>
      <c r="AI55" s="425">
        <v>11343.75</v>
      </c>
    </row>
    <row r="56" spans="1:35" ht="11.1" customHeight="1">
      <c r="A56" s="14" t="s">
        <v>455</v>
      </c>
      <c r="B56" s="269" t="s">
        <v>440</v>
      </c>
      <c r="C56" s="424">
        <v>0</v>
      </c>
      <c r="D56" s="425">
        <v>3635.4104064526337</v>
      </c>
      <c r="E56" s="424">
        <v>0</v>
      </c>
      <c r="F56" s="425">
        <v>8505.6761678636467</v>
      </c>
      <c r="G56" s="424">
        <v>0</v>
      </c>
      <c r="H56" s="424">
        <v>0</v>
      </c>
      <c r="I56" s="425">
        <v>6709.6</v>
      </c>
      <c r="J56" s="424">
        <v>0</v>
      </c>
      <c r="K56" s="425">
        <v>16771.929824561401</v>
      </c>
      <c r="L56" s="425">
        <v>10355.725190839694</v>
      </c>
      <c r="M56" s="14" t="s">
        <v>455</v>
      </c>
      <c r="N56" s="269" t="s">
        <v>440</v>
      </c>
      <c r="O56" s="424">
        <v>0</v>
      </c>
      <c r="P56" s="424">
        <v>0</v>
      </c>
      <c r="Q56" s="424">
        <v>0</v>
      </c>
      <c r="R56" s="424">
        <v>0</v>
      </c>
      <c r="S56" s="425">
        <v>6261.4373759532009</v>
      </c>
      <c r="T56" s="424">
        <v>0</v>
      </c>
      <c r="U56" s="425">
        <v>11919.418970948549</v>
      </c>
      <c r="V56" s="425">
        <v>9070.1886792452824</v>
      </c>
      <c r="W56" s="424">
        <v>0</v>
      </c>
      <c r="X56" s="424">
        <v>0</v>
      </c>
      <c r="Y56" s="14" t="s">
        <v>455</v>
      </c>
      <c r="Z56" s="269" t="s">
        <v>440</v>
      </c>
      <c r="AA56" s="424">
        <v>0</v>
      </c>
      <c r="AB56" s="424">
        <v>0</v>
      </c>
      <c r="AC56" s="424">
        <v>0</v>
      </c>
      <c r="AD56" s="424">
        <v>0</v>
      </c>
      <c r="AE56" s="424">
        <v>0</v>
      </c>
      <c r="AF56" s="424">
        <v>0</v>
      </c>
      <c r="AG56" s="424">
        <v>0</v>
      </c>
      <c r="AH56" s="424">
        <v>0</v>
      </c>
      <c r="AI56" s="424">
        <v>0</v>
      </c>
    </row>
    <row r="57" spans="1:35" ht="11.1" customHeight="1">
      <c r="A57" s="14"/>
      <c r="B57" s="269" t="s">
        <v>257</v>
      </c>
      <c r="C57" s="424">
        <v>0</v>
      </c>
      <c r="D57" s="425">
        <v>3065.4268842778652</v>
      </c>
      <c r="E57" s="424">
        <v>0</v>
      </c>
      <c r="F57" s="425">
        <v>8606.1984240461206</v>
      </c>
      <c r="G57" s="424">
        <v>0</v>
      </c>
      <c r="H57" s="424">
        <v>0</v>
      </c>
      <c r="I57" s="425">
        <v>8120.0000000000009</v>
      </c>
      <c r="J57" s="424">
        <v>0</v>
      </c>
      <c r="K57" s="425">
        <v>14500</v>
      </c>
      <c r="L57" s="425">
        <v>7682.3529411764703</v>
      </c>
      <c r="M57" s="14"/>
      <c r="N57" s="269" t="s">
        <v>257</v>
      </c>
      <c r="O57" s="424">
        <v>0</v>
      </c>
      <c r="P57" s="424">
        <v>0</v>
      </c>
      <c r="Q57" s="424">
        <v>0</v>
      </c>
      <c r="R57" s="424">
        <v>7470.588235294118</v>
      </c>
      <c r="S57" s="425">
        <v>6464.0853902601721</v>
      </c>
      <c r="T57" s="424">
        <v>0</v>
      </c>
      <c r="U57" s="425">
        <v>14481.298625329044</v>
      </c>
      <c r="V57" s="425">
        <v>7731.9999999999982</v>
      </c>
      <c r="W57" s="424">
        <v>0</v>
      </c>
      <c r="X57" s="424">
        <v>0</v>
      </c>
      <c r="Y57" s="14"/>
      <c r="Z57" s="269" t="s">
        <v>257</v>
      </c>
      <c r="AA57" s="424">
        <v>0</v>
      </c>
      <c r="AB57" s="424">
        <v>1100</v>
      </c>
      <c r="AC57" s="424">
        <v>0</v>
      </c>
      <c r="AD57" s="424">
        <v>0</v>
      </c>
      <c r="AE57" s="424">
        <v>0</v>
      </c>
      <c r="AF57" s="424">
        <v>0</v>
      </c>
      <c r="AG57" s="424">
        <v>0</v>
      </c>
      <c r="AH57" s="424">
        <v>0</v>
      </c>
      <c r="AI57" s="424">
        <v>0</v>
      </c>
    </row>
    <row r="58" spans="1:35" ht="11.1" customHeight="1">
      <c r="A58" s="14" t="s">
        <v>457</v>
      </c>
      <c r="B58" s="269" t="s">
        <v>440</v>
      </c>
      <c r="C58" s="424">
        <v>0</v>
      </c>
      <c r="D58" s="425">
        <v>2379.9114457291389</v>
      </c>
      <c r="E58" s="424">
        <v>0</v>
      </c>
      <c r="F58" s="425">
        <v>4054.0540136054419</v>
      </c>
      <c r="G58" s="424">
        <v>0</v>
      </c>
      <c r="H58" s="424">
        <v>0</v>
      </c>
      <c r="I58" s="425">
        <v>5325.7692307692305</v>
      </c>
      <c r="J58" s="424">
        <v>0</v>
      </c>
      <c r="K58" s="424">
        <v>5644</v>
      </c>
      <c r="L58" s="424">
        <v>16775</v>
      </c>
      <c r="M58" s="14" t="s">
        <v>457</v>
      </c>
      <c r="N58" s="269" t="s">
        <v>440</v>
      </c>
      <c r="O58" s="424">
        <v>0</v>
      </c>
      <c r="P58" s="424">
        <v>0</v>
      </c>
      <c r="Q58" s="424">
        <v>0</v>
      </c>
      <c r="R58" s="424">
        <v>0</v>
      </c>
      <c r="S58" s="424">
        <v>0</v>
      </c>
      <c r="T58" s="424">
        <v>0</v>
      </c>
      <c r="U58" s="425">
        <v>12503.873450562121</v>
      </c>
      <c r="V58" s="425">
        <v>5422.2471910112354</v>
      </c>
      <c r="W58" s="424">
        <v>0</v>
      </c>
      <c r="X58" s="424">
        <v>0</v>
      </c>
      <c r="Y58" s="14" t="s">
        <v>457</v>
      </c>
      <c r="Z58" s="269" t="s">
        <v>440</v>
      </c>
      <c r="AA58" s="424">
        <v>0</v>
      </c>
      <c r="AB58" s="425">
        <v>1462.5907928388747</v>
      </c>
      <c r="AC58" s="424">
        <v>0</v>
      </c>
      <c r="AD58" s="424">
        <v>0</v>
      </c>
      <c r="AE58" s="424">
        <v>0</v>
      </c>
      <c r="AF58" s="424">
        <v>0</v>
      </c>
      <c r="AG58" s="424">
        <v>0</v>
      </c>
      <c r="AH58" s="424">
        <v>0</v>
      </c>
      <c r="AI58" s="424">
        <v>0</v>
      </c>
    </row>
    <row r="59" spans="1:35" ht="11.1" customHeight="1">
      <c r="A59" s="16"/>
      <c r="B59" s="268" t="s">
        <v>257</v>
      </c>
      <c r="C59" s="427">
        <v>0</v>
      </c>
      <c r="D59" s="428">
        <v>2380.0330254687929</v>
      </c>
      <c r="E59" s="427">
        <v>0</v>
      </c>
      <c r="F59" s="428">
        <v>4548.6346858063571</v>
      </c>
      <c r="G59" s="427">
        <v>0</v>
      </c>
      <c r="H59" s="427">
        <v>0</v>
      </c>
      <c r="I59" s="428">
        <v>2297.8571428571431</v>
      </c>
      <c r="J59" s="427">
        <v>0</v>
      </c>
      <c r="K59" s="428">
        <v>4848.7017543859647</v>
      </c>
      <c r="L59" s="428">
        <v>16084.928571428571</v>
      </c>
      <c r="M59" s="16"/>
      <c r="N59" s="268" t="s">
        <v>257</v>
      </c>
      <c r="O59" s="427">
        <v>0</v>
      </c>
      <c r="P59" s="427">
        <v>0</v>
      </c>
      <c r="Q59" s="427">
        <v>0</v>
      </c>
      <c r="R59" s="427">
        <v>0</v>
      </c>
      <c r="S59" s="427">
        <v>0</v>
      </c>
      <c r="T59" s="427">
        <v>0</v>
      </c>
      <c r="U59" s="428">
        <v>12397.004403522818</v>
      </c>
      <c r="V59" s="428">
        <v>5330.7446808510631</v>
      </c>
      <c r="W59" s="427">
        <v>0</v>
      </c>
      <c r="X59" s="427">
        <v>0</v>
      </c>
      <c r="Y59" s="16"/>
      <c r="Z59" s="268" t="s">
        <v>257</v>
      </c>
      <c r="AA59" s="427">
        <v>0</v>
      </c>
      <c r="AB59" s="427">
        <v>1466.4375</v>
      </c>
      <c r="AC59" s="427">
        <v>0</v>
      </c>
      <c r="AD59" s="427">
        <v>0</v>
      </c>
      <c r="AE59" s="427">
        <v>0</v>
      </c>
      <c r="AF59" s="427">
        <v>0</v>
      </c>
      <c r="AG59" s="427">
        <v>0</v>
      </c>
      <c r="AH59" s="427">
        <v>0</v>
      </c>
      <c r="AI59" s="427">
        <v>0</v>
      </c>
    </row>
    <row r="60" spans="1:35" ht="10.35" customHeight="1">
      <c r="A60" s="220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61" t="s">
        <v>500</v>
      </c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397" t="s">
        <v>500</v>
      </c>
      <c r="Y60" s="275" t="s">
        <v>16</v>
      </c>
      <c r="Z60" s="223"/>
      <c r="AA60" s="223"/>
      <c r="AB60" s="223"/>
      <c r="AC60" s="223"/>
      <c r="AD60" s="223"/>
      <c r="AE60" s="223"/>
      <c r="AF60" s="26"/>
      <c r="AG60" s="26"/>
      <c r="AH60" s="26"/>
      <c r="AI60" s="26"/>
    </row>
    <row r="61" spans="1:35" ht="10.35" customHeight="1">
      <c r="A61" s="220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75" t="s">
        <v>279</v>
      </c>
      <c r="Z61" s="223"/>
      <c r="AA61" s="223"/>
      <c r="AB61" s="223"/>
      <c r="AC61" s="223"/>
      <c r="AD61" s="223"/>
      <c r="AE61" s="223"/>
      <c r="AF61" s="26"/>
      <c r="AG61" s="26"/>
      <c r="AH61" s="26"/>
      <c r="AI61" s="26"/>
    </row>
    <row r="62" spans="1:35" ht="10.3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576" t="s">
        <v>379</v>
      </c>
      <c r="Z62" s="576"/>
      <c r="AA62" s="576"/>
      <c r="AB62" s="576"/>
      <c r="AC62" s="576"/>
      <c r="AD62" s="576"/>
      <c r="AE62" s="576"/>
    </row>
    <row r="63" spans="1:35" ht="12.75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</row>
    <row r="64" spans="1:35" ht="12.75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</row>
    <row r="65" spans="1:31" ht="12.75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</row>
    <row r="85" spans="24:24" ht="17.100000000000001" customHeight="1">
      <c r="X85" s="272" t="s">
        <v>57</v>
      </c>
    </row>
  </sheetData>
  <mergeCells count="4">
    <mergeCell ref="Y62:AE62"/>
    <mergeCell ref="A6:A7"/>
    <mergeCell ref="M6:M7"/>
    <mergeCell ref="Y6:Y7"/>
  </mergeCells>
  <phoneticPr fontId="10" type="noConversion"/>
  <pageMargins left="0.7" right="0.7" top="0.75" bottom="0.75" header="0.3" footer="0.3"/>
  <colBreaks count="1" manualBreakCount="1">
    <brk id="12" max="63" man="1"/>
  </colBreaks>
  <ignoredErrors>
    <ignoredError sqref="B8:AJ59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Edwin Albujar Ramirez</dc:creator>
  <cp:lastModifiedBy>Agueda Sihuas Meza</cp:lastModifiedBy>
  <cp:lastPrinted>2020-02-14T20:31:07Z</cp:lastPrinted>
  <dcterms:created xsi:type="dcterms:W3CDTF">2018-05-02T15:50:35Z</dcterms:created>
  <dcterms:modified xsi:type="dcterms:W3CDTF">2020-02-14T22:42:36Z</dcterms:modified>
</cp:coreProperties>
</file>