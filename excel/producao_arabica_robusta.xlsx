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04040"/>
      <sz val="10"/>
    </font>
    <font>
      <name val="Arial"/>
      <color rgb="00404040"/>
      <sz val="10"/>
    </font>
    <font>
      <name val="Arial"/>
      <b val="1"/>
      <color rgb="000000FF"/>
      <sz val="10"/>
    </font>
    <font>
      <name val="Arial"/>
      <i val="1"/>
      <color rgb="00404040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1" applyAlignment="1" pivotButton="0" quotePrefix="0" xfId="0">
      <alignment horizontal="center"/>
    </xf>
    <xf numFmtId="3" fontId="2" fillId="0" borderId="1" pivotButton="0" quotePrefix="0" xfId="0"/>
    <xf numFmtId="0" fontId="2" fillId="0" borderId="0" pivotButton="0" quotePrefix="0" xfId="0"/>
    <xf numFmtId="3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roundedCorners val="0"/>
  <chart>
    <plotArea>
      <barChart>
        <barDir val="col"/>
        <grouping val="clustered"/>
        <ser>
          <idx val="0"/>
          <order val="0"/>
          <tx>
            <strRef>
              <f>'Producao'!B1</f>
            </strRef>
          </tx>
          <spPr>
            <a:solidFill>
              <a:srgbClr val="4472C4"/>
            </a:solidFill>
            <a:ln>
              <a:noFill/>
              <a:prstDash val="solid"/>
            </a:ln>
          </spPr>
          <cat>
            <strRef>
              <f>'Producao'!$A$2:$A$18</f>
            </strRef>
          </cat>
          <val>
            <numRef>
              <f>'Producao'!$B$2:$B$18</f>
            </numRef>
          </val>
        </ser>
        <ser>
          <idx val="1"/>
          <order val="1"/>
          <tx>
            <strRef>
              <f>'Producao'!C1</f>
            </strRef>
          </tx>
          <spPr>
            <a:solidFill>
              <a:srgbClr val="ED7D31"/>
            </a:solidFill>
            <a:ln>
              <a:noFill/>
              <a:prstDash val="solid"/>
            </a:ln>
          </spPr>
          <cat>
            <strRef>
              <f>'Producao'!$A$2:$A$18</f>
            </strRef>
          </cat>
          <val>
            <numRef>
              <f>'Producao'!$C$2:$C$18</f>
            </numRef>
          </val>
        </ser>
        <gapWidth val="55"/>
        <overlap val="0"/>
        <axId val="10"/>
        <axId val="100"/>
      </barChart>
      <lineChart>
        <grouping val="standard"/>
        <ser>
          <idx val="2"/>
          <order val="2"/>
          <tx>
            <strRef>
              <f>'Producao'!E1</f>
            </strRef>
          </tx>
          <spPr>
            <a:ln w="19050">
              <a:solidFill>
                <a:srgbClr val="1B2A4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'Producao'!$A$2:$A$18</f>
            </strRef>
          </cat>
          <val>
            <numRef>
              <f>'Producao'!$E$2:$E$18</f>
            </numRef>
          </val>
          <smooth val="0"/>
        </ser>
        <ser>
          <idx val="3"/>
          <order val="3"/>
          <tx>
            <strRef>
              <f>'Producao'!F1</f>
            </strRef>
          </tx>
          <spPr>
            <a:ln w="15875">
              <a:solidFill>
                <a:srgbClr val="E8A33D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'Producao'!$A$2:$A$18</f>
            </strRef>
          </cat>
          <val>
            <numRef>
              <f>'Producao'!$F$2:$F$18</f>
            </numRef>
          </val>
          <smooth val="0"/>
        </ser>
        <ser>
          <idx val="4"/>
          <order val="4"/>
          <tx>
            <strRef>
              <f>'Producao'!G1</f>
            </strRef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dLbl>
              <idx val="0"/>
              <numFmt formatCode="&quot;ON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OFF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ON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OFF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numFmt formatCode="&quot;ON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numFmt formatCode="&quot;OFF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numFmt formatCode="&quot;ON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7"/>
              <numFmt formatCode="&quot;OFF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8"/>
              <numFmt formatCode="&quot;ON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9"/>
              <numFmt formatCode="&quot;OFF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0"/>
              <numFmt formatCode="&quot;ON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1"/>
              <numFmt formatCode="&quot;OFF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2"/>
              <numFmt formatCode="&quot;ON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3"/>
              <numFmt formatCode="&quot;OFF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4"/>
              <numFmt formatCode="&quot;ON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5"/>
              <numFmt formatCode="&quot;OFF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6"/>
              <numFmt formatCode="&quot;ON&quot;" sourceLinked="0"/>
              <txPr>
                <a:bodyPr/>
                <a:p>
                  <a:pPr>
                    <a:defRPr sz="650" b="1">
                      <a:solidFill>
                        <a:srgbClr val="404040"/>
                      </a:solidFill>
                      <a:latin typeface="Arial"/>
                    </a:defRPr>
                  </a:pPr>
                  <a:r>
                    <a:t/>
                  </a:r>
                  <a:endParaRPr sz="650" b="1">
                    <a:solidFill>
                      <a:srgbClr val="404040"/>
                    </a:solidFill>
                  </a:endParaRPr>
                </a:p>
              </txPr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'Producao'!$A$2:$A$18</f>
            </strRef>
          </cat>
          <val>
            <numRef>
              <f>'Producao'!$G$2:$G$18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 sz="850" b="1">
                    <a:solidFill>
                      <a:srgbClr val="404040"/>
                    </a:solidFill>
                    <a:latin typeface="Arial"/>
                  </a:defRPr>
                </a:pPr>
                <a:r>
                  <a:t>Market Year</a:t>
                </a:r>
              </a:p>
            </rich>
          </tx>
        </title>
        <majorTickMark val="none"/>
        <minorTickMark val="none"/>
        <tickLblPos val="low"/>
        <spPr>
          <a:ln w="9525">
            <a:solidFill>
              <a:srgbClr val="BFBFBF"/>
            </a:solidFill>
            <a:prstDash val="solid"/>
          </a:ln>
        </spPr>
        <txPr>
          <a:bodyPr/>
          <a:p>
            <a:pPr>
              <a:defRPr sz="75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750" b="0">
              <a:solidFill>
                <a:srgbClr val="404040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62000"/>
          <min val="0"/>
        </scaling>
        <delete val="0"/>
        <axPos val="l"/>
        <majorGridlines>
          <spPr>
            <a:ln w="9525">
              <a:solidFill>
                <a:srgbClr val="D9D9D9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 sz="850" b="1">
                    <a:solidFill>
                      <a:srgbClr val="404040"/>
                    </a:solidFill>
                    <a:latin typeface="Arial"/>
                  </a:defRPr>
                </a:pPr>
                <a:r>
                  <a:t>Production (1,000 bags)</a:t>
                </a:r>
              </a:p>
            </rich>
          </tx>
        </title>
        <numFmt formatCode="#,##0" sourceLinked="0"/>
        <majorTickMark val="none"/>
        <minorTickMark val="none"/>
        <spPr>
          <a:ln w="9525">
            <a:solidFill>
              <a:srgbClr val="BFBFBF"/>
            </a:solidFill>
            <a:prstDash val="solid"/>
          </a:ln>
        </spPr>
        <txPr>
          <a:bodyPr/>
          <a:p>
            <a:pPr>
              <a:defRPr sz="750" b="0">
                <a:solidFill>
                  <a:srgbClr val="404040"/>
                </a:solidFill>
                <a:latin typeface="Arial"/>
              </a:defRPr>
            </a:pPr>
            <a:r>
              <a:t/>
            </a:r>
            <a:endParaRPr sz="750" b="0">
              <a:solidFill>
                <a:srgbClr val="404040"/>
              </a:solidFill>
            </a:endParaRPr>
          </a:p>
        </txPr>
        <crossAx val="10"/>
        <majorUnit val="10000"/>
      </valAx>
    </plotArea>
    <legend>
      <legendPos val="b"/>
      <legendEntry>
        <idx val="4"/>
        <delete val="1"/>
      </legendEntry>
      <overlay val="0"/>
      <txPr>
        <a:bodyPr/>
        <a:p>
          <a:pPr>
            <a:defRPr sz="800" b="0">
              <a:solidFill>
                <a:srgbClr val="404040"/>
              </a:solidFill>
              <a:latin typeface="Arial"/>
            </a:defRPr>
          </a:pPr>
          <a:r>
            <a:t/>
          </a:r>
          <a:endParaRPr sz="800" b="0">
            <a:solidFill>
              <a:srgbClr val="404040"/>
            </a:solidFill>
          </a:endParaRPr>
        </a:p>
      </txPr>
    </legend>
    <plotVisOnly val="1"/>
    <dispBlanksAs val="gap"/>
  </chart>
  <spPr>
    <a:solidFill>
      <a:srgbClr val="FFFFFF"/>
    </a:solidFill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936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6" customWidth="1" min="5" max="5"/>
    <col width="15" customWidth="1" min="6" max="6"/>
    <col width="16" customWidth="1" min="7" max="7"/>
    <col width="11" customWidth="1" min="8" max="8"/>
    <col width="30" customWidth="1" min="10" max="10"/>
    <col width="12" customWidth="1" min="11" max="11"/>
  </cols>
  <sheetData>
    <row r="1" ht="30" customHeight="1">
      <c r="A1" s="1" t="inlineStr">
        <is>
          <t>Market Year</t>
        </is>
      </c>
      <c r="B1" s="1" t="inlineStr">
        <is>
          <t>Arabica Production</t>
        </is>
      </c>
      <c r="C1" s="1" t="inlineStr">
        <is>
          <t>Robusta Production</t>
        </is>
      </c>
      <c r="D1" s="1" t="inlineStr">
        <is>
          <t>Biennial cycle</t>
        </is>
      </c>
      <c r="E1" s="1" t="inlineStr">
        <is>
          <t>Biennial ON/OFF pattern</t>
        </is>
      </c>
      <c r="F1" s="1" t="inlineStr">
        <is>
          <t>Robusta progression</t>
        </is>
      </c>
      <c r="G1" s="1" t="inlineStr">
        <is>
          <t>Rotulo ON/OFF (posicao)</t>
        </is>
      </c>
      <c r="H1" s="1" t="inlineStr">
        <is>
          <t>Indice do ano</t>
        </is>
      </c>
      <c r="J1" s="2" t="inlineStr">
        <is>
          <t>Premissas do grafico (editaveis)</t>
        </is>
      </c>
    </row>
    <row r="2">
      <c r="A2" s="3" t="inlineStr">
        <is>
          <t>2010/11</t>
        </is>
      </c>
      <c r="B2" s="4" t="n">
        <v>37800</v>
      </c>
      <c r="C2" s="4" t="n">
        <v>11500</v>
      </c>
      <c r="D2" s="3" t="inlineStr">
        <is>
          <t>ON</t>
        </is>
      </c>
      <c r="E2" s="4">
        <f>IF($D2="ON",$K$2,$K$3)</f>
        <v/>
      </c>
      <c r="F2" s="4">
        <f>SLOPE($C$2:$C$18,$H$2:$H$18)*$H2+INTERCEPT($C$2:$C$18,$H$2:$H$18)</f>
        <v/>
      </c>
      <c r="G2" s="4">
        <f>$B2+$K$4</f>
        <v/>
      </c>
      <c r="H2" s="3" t="n">
        <v>1</v>
      </c>
      <c r="J2" s="5" t="inlineStr">
        <is>
          <t>Nivel da linha em ano ON</t>
        </is>
      </c>
      <c r="K2" s="6" t="n">
        <v>61000</v>
      </c>
    </row>
    <row r="3">
      <c r="A3" s="3" t="inlineStr">
        <is>
          <t>2011/12</t>
        </is>
      </c>
      <c r="B3" s="4" t="n">
        <v>35200</v>
      </c>
      <c r="C3" s="4" t="n">
        <v>14300</v>
      </c>
      <c r="D3" s="3" t="inlineStr">
        <is>
          <t>OFF</t>
        </is>
      </c>
      <c r="E3" s="4">
        <f>IF($D3="ON",$K$2,$K$3)</f>
        <v/>
      </c>
      <c r="F3" s="4">
        <f>SLOPE($C$2:$C$18,$H$2:$H$18)*$H3+INTERCEPT($C$2:$C$18,$H$2:$H$18)</f>
        <v/>
      </c>
      <c r="G3" s="4">
        <f>$B3+$K$4</f>
        <v/>
      </c>
      <c r="H3" s="3" t="n">
        <v>2</v>
      </c>
      <c r="J3" s="5" t="inlineStr">
        <is>
          <t>Nivel da linha em ano OFF</t>
        </is>
      </c>
      <c r="K3" s="6" t="n">
        <v>33000</v>
      </c>
    </row>
    <row r="4">
      <c r="A4" s="3" t="inlineStr">
        <is>
          <t>2012/13</t>
        </is>
      </c>
      <c r="B4" s="4" t="n">
        <v>41000</v>
      </c>
      <c r="C4" s="4" t="n">
        <v>14800</v>
      </c>
      <c r="D4" s="3" t="inlineStr">
        <is>
          <t>ON</t>
        </is>
      </c>
      <c r="E4" s="4">
        <f>IF($D4="ON",$K$2,$K$3)</f>
        <v/>
      </c>
      <c r="F4" s="4">
        <f>SLOPE($C$2:$C$18,$H$2:$H$18)*$H4+INTERCEPT($C$2:$C$18,$H$2:$H$18)</f>
        <v/>
      </c>
      <c r="G4" s="4">
        <f>$B4+$K$4</f>
        <v/>
      </c>
      <c r="H4" s="3" t="n">
        <v>3</v>
      </c>
      <c r="J4" s="5" t="inlineStr">
        <is>
          <t>Deslocamento do rotulo ON/OFF</t>
        </is>
      </c>
      <c r="K4" s="6" t="n">
        <v>2200</v>
      </c>
    </row>
    <row r="5">
      <c r="A5" s="3" t="inlineStr">
        <is>
          <t>2013/14</t>
        </is>
      </c>
      <c r="B5" s="4" t="n">
        <v>38600</v>
      </c>
      <c r="C5" s="4" t="n">
        <v>15200</v>
      </c>
      <c r="D5" s="3" t="inlineStr">
        <is>
          <t>OFF</t>
        </is>
      </c>
      <c r="E5" s="4">
        <f>IF($D5="ON",$K$2,$K$3)</f>
        <v/>
      </c>
      <c r="F5" s="4">
        <f>SLOPE($C$2:$C$18,$H$2:$H$18)*$H5+INTERCEPT($C$2:$C$18,$H$2:$H$18)</f>
        <v/>
      </c>
      <c r="G5" s="4">
        <f>$B5+$K$4</f>
        <v/>
      </c>
      <c r="H5" s="3" t="n">
        <v>4</v>
      </c>
    </row>
    <row r="6">
      <c r="A6" s="3" t="inlineStr">
        <is>
          <t>2014/15</t>
        </is>
      </c>
      <c r="B6" s="4" t="n">
        <v>37800</v>
      </c>
      <c r="C6" s="4" t="n">
        <v>16800</v>
      </c>
      <c r="D6" s="3" t="inlineStr">
        <is>
          <t>ON</t>
        </is>
      </c>
      <c r="E6" s="4">
        <f>IF($D6="ON",$K$2,$K$3)</f>
        <v/>
      </c>
      <c r="F6" s="4">
        <f>SLOPE($C$2:$C$18,$H$2:$H$18)*$H6+INTERCEPT($C$2:$C$18,$H$2:$H$18)</f>
        <v/>
      </c>
      <c r="G6" s="4">
        <f>$B6+$K$4</f>
        <v/>
      </c>
      <c r="H6" s="3" t="n">
        <v>5</v>
      </c>
      <c r="J6" s="7" t="inlineStr">
        <is>
          <t>Serie 'Biennial ON/OFF pattern' = nivel ON/OFF conforme a coluna D. Serie 'Robusta progression' = reta de minimos quadrados (SLOPE/INTERCEPT) sobre a producao de Robusta.</t>
        </is>
      </c>
    </row>
    <row r="7">
      <c r="A7" s="3" t="inlineStr">
        <is>
          <t>2015/16</t>
        </is>
      </c>
      <c r="B7" s="4" t="n">
        <v>36700</v>
      </c>
      <c r="C7" s="4" t="n">
        <v>13400</v>
      </c>
      <c r="D7" s="3" t="inlineStr">
        <is>
          <t>OFF</t>
        </is>
      </c>
      <c r="E7" s="4">
        <f>IF($D7="ON",$K$2,$K$3)</f>
        <v/>
      </c>
      <c r="F7" s="4">
        <f>SLOPE($C$2:$C$18,$H$2:$H$18)*$H7+INTERCEPT($C$2:$C$18,$H$2:$H$18)</f>
        <v/>
      </c>
      <c r="G7" s="4">
        <f>$B7+$K$4</f>
        <v/>
      </c>
      <c r="H7" s="3" t="n">
        <v>6</v>
      </c>
      <c r="J7" s="7" t="inlineStr">
        <is>
          <t>Fonte dos valores: digitalizados do grafico enviado pelo usuario (producao em mil sacas de 60 kg).</t>
        </is>
      </c>
    </row>
    <row r="8">
      <c r="A8" s="3" t="inlineStr">
        <is>
          <t>2016/17</t>
        </is>
      </c>
      <c r="B8" s="4" t="n">
        <v>45400</v>
      </c>
      <c r="C8" s="4" t="n">
        <v>10200</v>
      </c>
      <c r="D8" s="3" t="inlineStr">
        <is>
          <t>ON</t>
        </is>
      </c>
      <c r="E8" s="4">
        <f>IF($D8="ON",$K$2,$K$3)</f>
        <v/>
      </c>
      <c r="F8" s="4">
        <f>SLOPE($C$2:$C$18,$H$2:$H$18)*$H8+INTERCEPT($C$2:$C$18,$H$2:$H$18)</f>
        <v/>
      </c>
      <c r="G8" s="4">
        <f>$B8+$K$4</f>
        <v/>
      </c>
      <c r="H8" s="3" t="n">
        <v>7</v>
      </c>
    </row>
    <row r="9">
      <c r="A9" s="3" t="inlineStr">
        <is>
          <t>2017/18</t>
        </is>
      </c>
      <c r="B9" s="4" t="n">
        <v>36400</v>
      </c>
      <c r="C9" s="4" t="n">
        <v>12600</v>
      </c>
      <c r="D9" s="3" t="inlineStr">
        <is>
          <t>OFF</t>
        </is>
      </c>
      <c r="E9" s="4">
        <f>IF($D9="ON",$K$2,$K$3)</f>
        <v/>
      </c>
      <c r="F9" s="4">
        <f>SLOPE($C$2:$C$18,$H$2:$H$18)*$H9+INTERCEPT($C$2:$C$18,$H$2:$H$18)</f>
        <v/>
      </c>
      <c r="G9" s="4">
        <f>$B9+$K$4</f>
        <v/>
      </c>
      <c r="H9" s="3" t="n">
        <v>8</v>
      </c>
    </row>
    <row r="10">
      <c r="A10" s="3" t="inlineStr">
        <is>
          <t>2018/19</t>
        </is>
      </c>
      <c r="B10" s="4" t="n">
        <v>49300</v>
      </c>
      <c r="C10" s="4" t="n">
        <v>18300</v>
      </c>
      <c r="D10" s="3" t="inlineStr">
        <is>
          <t>ON</t>
        </is>
      </c>
      <c r="E10" s="4">
        <f>IF($D10="ON",$K$2,$K$3)</f>
        <v/>
      </c>
      <c r="F10" s="4">
        <f>SLOPE($C$2:$C$18,$H$2:$H$18)*$H10+INTERCEPT($C$2:$C$18,$H$2:$H$18)</f>
        <v/>
      </c>
      <c r="G10" s="4">
        <f>$B10+$K$4</f>
        <v/>
      </c>
      <c r="H10" s="3" t="n">
        <v>9</v>
      </c>
    </row>
    <row r="11">
      <c r="A11" s="3" t="inlineStr">
        <is>
          <t>2019/20</t>
        </is>
      </c>
      <c r="B11" s="4" t="n">
        <v>38900</v>
      </c>
      <c r="C11" s="4" t="n">
        <v>17600</v>
      </c>
      <c r="D11" s="3" t="inlineStr">
        <is>
          <t>OFF</t>
        </is>
      </c>
      <c r="E11" s="4">
        <f>IF($D11="ON",$K$2,$K$3)</f>
        <v/>
      </c>
      <c r="F11" s="4">
        <f>SLOPE($C$2:$C$18,$H$2:$H$18)*$H11+INTERCEPT($C$2:$C$18,$H$2:$H$18)</f>
        <v/>
      </c>
      <c r="G11" s="4">
        <f>$B11+$K$4</f>
        <v/>
      </c>
      <c r="H11" s="3" t="n">
        <v>10</v>
      </c>
    </row>
    <row r="12">
      <c r="A12" s="3" t="inlineStr">
        <is>
          <t>2020/21</t>
        </is>
      </c>
      <c r="B12" s="4" t="n">
        <v>48800</v>
      </c>
      <c r="C12" s="4" t="n">
        <v>20100</v>
      </c>
      <c r="D12" s="3" t="inlineStr">
        <is>
          <t>ON</t>
        </is>
      </c>
      <c r="E12" s="4">
        <f>IF($D12="ON",$K$2,$K$3)</f>
        <v/>
      </c>
      <c r="F12" s="4">
        <f>SLOPE($C$2:$C$18,$H$2:$H$18)*$H12+INTERCEPT($C$2:$C$18,$H$2:$H$18)</f>
        <v/>
      </c>
      <c r="G12" s="4">
        <f>$B12+$K$4</f>
        <v/>
      </c>
      <c r="H12" s="3" t="n">
        <v>11</v>
      </c>
    </row>
    <row r="13">
      <c r="A13" s="3" t="inlineStr">
        <is>
          <t>2021/22</t>
        </is>
      </c>
      <c r="B13" s="4" t="n">
        <v>36800</v>
      </c>
      <c r="C13" s="4" t="n">
        <v>21000</v>
      </c>
      <c r="D13" s="3" t="inlineStr">
        <is>
          <t>OFF</t>
        </is>
      </c>
      <c r="E13" s="4">
        <f>IF($D13="ON",$K$2,$K$3)</f>
        <v/>
      </c>
      <c r="F13" s="4">
        <f>SLOPE($C$2:$C$18,$H$2:$H$18)*$H13+INTERCEPT($C$2:$C$18,$H$2:$H$18)</f>
        <v/>
      </c>
      <c r="G13" s="4">
        <f>$B13+$K$4</f>
        <v/>
      </c>
      <c r="H13" s="3" t="n">
        <v>12</v>
      </c>
    </row>
    <row r="14">
      <c r="A14" s="3" t="inlineStr">
        <is>
          <t>2022/23</t>
        </is>
      </c>
      <c r="B14" s="4" t="n">
        <v>39400</v>
      </c>
      <c r="C14" s="4" t="n">
        <v>22300</v>
      </c>
      <c r="D14" s="3" t="inlineStr">
        <is>
          <t>ON</t>
        </is>
      </c>
      <c r="E14" s="4">
        <f>IF($D14="ON",$K$2,$K$3)</f>
        <v/>
      </c>
      <c r="F14" s="4">
        <f>SLOPE($C$2:$C$18,$H$2:$H$18)*$H14+INTERCEPT($C$2:$C$18,$H$2:$H$18)</f>
        <v/>
      </c>
      <c r="G14" s="4">
        <f>$B14+$K$4</f>
        <v/>
      </c>
      <c r="H14" s="3" t="n">
        <v>13</v>
      </c>
    </row>
    <row r="15">
      <c r="A15" s="3" t="inlineStr">
        <is>
          <t>2023/24</t>
        </is>
      </c>
      <c r="B15" s="4" t="n">
        <v>45300</v>
      </c>
      <c r="C15" s="4" t="n">
        <v>21200</v>
      </c>
      <c r="D15" s="3" t="inlineStr">
        <is>
          <t>OFF</t>
        </is>
      </c>
      <c r="E15" s="4">
        <f>IF($D15="ON",$K$2,$K$3)</f>
        <v/>
      </c>
      <c r="F15" s="4">
        <f>SLOPE($C$2:$C$18,$H$2:$H$18)*$H15+INTERCEPT($C$2:$C$18,$H$2:$H$18)</f>
        <v/>
      </c>
      <c r="G15" s="4">
        <f>$B15+$K$4</f>
        <v/>
      </c>
      <c r="H15" s="3" t="n">
        <v>14</v>
      </c>
    </row>
    <row r="16">
      <c r="A16" s="3" t="inlineStr">
        <is>
          <t>2024/25</t>
        </is>
      </c>
      <c r="B16" s="4" t="n">
        <v>44400</v>
      </c>
      <c r="C16" s="4" t="n">
        <v>22100</v>
      </c>
      <c r="D16" s="3" t="inlineStr">
        <is>
          <t>ON</t>
        </is>
      </c>
      <c r="E16" s="4">
        <f>IF($D16="ON",$K$2,$K$3)</f>
        <v/>
      </c>
      <c r="F16" s="4">
        <f>SLOPE($C$2:$C$18,$H$2:$H$18)*$H16+INTERCEPT($C$2:$C$18,$H$2:$H$18)</f>
        <v/>
      </c>
      <c r="G16" s="4">
        <f>$B16+$K$4</f>
        <v/>
      </c>
      <c r="H16" s="3" t="n">
        <v>15</v>
      </c>
    </row>
    <row r="17">
      <c r="A17" s="3" t="inlineStr">
        <is>
          <t>2025/26</t>
        </is>
      </c>
      <c r="B17" s="4" t="n">
        <v>38300</v>
      </c>
      <c r="C17" s="4" t="n">
        <v>25400</v>
      </c>
      <c r="D17" s="3" t="inlineStr">
        <is>
          <t>OFF</t>
        </is>
      </c>
      <c r="E17" s="4">
        <f>IF($D17="ON",$K$2,$K$3)</f>
        <v/>
      </c>
      <c r="F17" s="4">
        <f>SLOPE($C$2:$C$18,$H$2:$H$18)*$H17+INTERCEPT($C$2:$C$18,$H$2:$H$18)</f>
        <v/>
      </c>
      <c r="G17" s="4">
        <f>$B17+$K$4</f>
        <v/>
      </c>
      <c r="H17" s="3" t="n">
        <v>16</v>
      </c>
    </row>
    <row r="18">
      <c r="A18" s="3" t="inlineStr">
        <is>
          <t>2026/27</t>
        </is>
      </c>
      <c r="B18" s="4" t="n">
        <v>49000</v>
      </c>
      <c r="C18" s="4" t="n">
        <v>24200</v>
      </c>
      <c r="D18" s="3" t="inlineStr">
        <is>
          <t>ON</t>
        </is>
      </c>
      <c r="E18" s="4">
        <f>IF($D18="ON",$K$2,$K$3)</f>
        <v/>
      </c>
      <c r="F18" s="4">
        <f>SLOPE($C$2:$C$18,$H$2:$H$18)*$H18+INTERCEPT($C$2:$C$18,$H$2:$H$18)</f>
        <v/>
      </c>
      <c r="G18" s="4">
        <f>$B18+$K$4</f>
        <v/>
      </c>
      <c r="H18" s="3" t="n">
        <v>17</v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2026-09-01T20:13:36Z</dcterms:created>
  <dcterms:modified xsi:type="dcterms:W3CDTF">2026-09-01T20:13:36Z</dcterms:modified>
</cp:coreProperties>
</file>