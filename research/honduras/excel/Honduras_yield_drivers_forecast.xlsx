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Data" sheetId="2" r:id="rId2"/>
    <sheet name="Changes" sheetId="3" r:id="rId3"/>
    <sheet name="Tests" sheetId="4" r:id="rId4"/>
    <sheet name="Biennial" sheetId="5" r:id="rId5"/>
    <sheet name="Yield_split" sheetId="6" r:id="rId6"/>
    <sheet name="Fertiliser" sheetId="7" r:id="rId7"/>
    <sheet name="Weather" sheetId="8" r:id="rId8"/>
    <sheet name="Backtest" sheetId="9" r:id="rId9"/>
    <sheet name="Exports_nowcast" sheetId="10" r:id="rId10"/>
    <sheet name="Forecast_2026_27" sheetId="11" r:id="rId11"/>
  </sheets>
  <calcPr calcId="191029" fullCalcOnLoad="1"/>
</workbook>
</file>

<file path=xl/styles.xml><?xml version="1.0" encoding="utf-8"?>
<styleSheet xmlns="http://schemas.openxmlformats.org/spreadsheetml/2006/main">
  <numFmts count="6">
    <numFmt numFmtId="164" formatCode="#,##0"/>
    <numFmt numFmtId="165" formatCode="0.00"/>
    <numFmt numFmtId="166" formatCode="0.000"/>
    <numFmt numFmtId="167" formatCode="#,##0.0"/>
    <numFmt numFmtId="168" formatCode="0.0%"/>
    <numFmt numFmtId="169" formatCode="0.0000"/>
  </numFmts>
  <fonts count="10">
    <font>
      <sz val="10"/>
      <color rgb="FF000000"/>
      <name val="Arial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7030A0"/>
      <name val="Arial"/>
    </font>
    <font>
      <b/>
      <sz val="10"/>
      <color rgb="FF2E7D32"/>
      <name val="Arial"/>
    </font>
    <font>
      <b/>
      <sz val="10"/>
      <color rgb="FFC55A11"/>
      <name val="Arial"/>
    </font>
    <font>
      <b/>
      <sz val="10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 applyAlignment="1">
      <alignment wrapText="1" vertical="top"/>
    </xf>
    <xf numFmtId="0" fontId="4" fillId="2" borderId="0" xfId="0" applyFont="1" applyFill="1" applyAlignment="1">
      <alignment horizontal="center" wrapText="1" vertical="top"/>
    </xf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7" fontId="0" fillId="0" borderId="0" xfId="0" applyNumberFormat="1" applyFont="1"/>
    <xf numFmtId="166" fontId="0" fillId="0" borderId="0" xfId="0" applyNumberFormat="1" applyFont="1"/>
    <xf numFmtId="165" fontId="0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0" fontId="7" fillId="0" borderId="0" xfId="0" applyFont="1"/>
    <xf numFmtId="0" fontId="8" fillId="0" borderId="0" xfId="0" applyFont="1"/>
    <xf numFmtId="168" fontId="6" fillId="0" borderId="0" xfId="0" applyNumberFormat="1" applyFont="1"/>
    <xf numFmtId="169" fontId="6" fillId="0" borderId="0" xfId="0" applyNumberFormat="1" applyFont="1"/>
    <xf numFmtId="164" fontId="0" fillId="0" borderId="0" xfId="0" applyNumberFormat="1" applyFont="1"/>
    <xf numFmtId="164" fontId="6" fillId="0" borderId="0" xfId="0" applyNumberFormat="1" applyFont="1"/>
    <xf numFmtId="168" fontId="0" fillId="0" borderId="0" xfId="0" applyNumberFormat="1" applyFont="1"/>
    <xf numFmtId="168" fontId="3" fillId="0" borderId="0" xfId="0" applyNumberFormat="1" applyFont="1"/>
    <xf numFmtId="164" fontId="3" fillId="0" borderId="0" xfId="0" applyNumberFormat="1" applyFont="1"/>
    <xf numFmtId="0" fontId="9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190" customWidth="1"/>
  </cols>
  <sheetData>
    <row r="1">
      <c r="A1" s="1" t="inlineStr">
        <is>
          <t xml:space="preserve">Honduras coffee: what drives production and yield, and how to forecast 2026/27</t>
        </is>
      </c>
    </row>
    <row r="2">
      <c r="A2" s="2" t="inlineStr">
        <is>
          <t xml:space="preserve">Built 25 Sep 2026 by research/honduras/excel/build_yield_drivers_xlsx.py. Tests run in research/honduras/yield_drivers/analysis.py and robustness.py (Python, standard library).</t>
        </is>
      </c>
    </row>
    <row r="3">
      <c r="A3" t="inlineStr">
        <is>
          <t xml:space="preserve"/>
        </is>
      </c>
    </row>
    <row r="4">
      <c r="A4" s="3" t="inlineStr">
        <is>
          <t xml:space="preserve">Answer in one line</t>
        </is>
      </c>
    </row>
    <row r="5">
      <c r="A5" s="4" t="inlineStr">
        <is>
          <t xml:space="preserve">Year-to-year output moves with one-off shocks that do not repeat (not an on/off biennial cycle), with fertiliser use (the tightest link: r = +0.75), with heat in Sep-Oct just before the harvest (r = -0.45, exploratory) and with three documented crises (rust 2012/13, price slump 2019/20, rust after hurricanes Eta/Iota 2021/22). ENSO and seasonal rain show no reliable national effect. Some USDA "yield" jumps are bearing-area revisions.</t>
        </is>
      </c>
    </row>
    <row r="6">
      <c r="A6" s="4" t="inlineStr">
        <is>
          <t xml:space="preserve">2026/27: IHCAFE exports put 2025/26 near 6.0 M bags (USDA 5.53). From there, mean reversion and the record September heat point to about 5.5 M bags (range 4.9-6.1) for 2026/27, below USDA 6.03. Without the heat term: about 6.0 M.</t>
        </is>
      </c>
    </row>
    <row r="7">
      <c r="A7" t="inlineStr">
        <is>
          <t xml:space="preserve"/>
        </is>
      </c>
    </row>
    <row r="8">
      <c r="A8" s="3" t="inlineStr">
        <is>
          <t xml:space="preserve">Colours</t>
        </is>
      </c>
    </row>
    <row r="9">
      <c r="A9" t="inlineStr">
        <is>
          <t xml:space="preserve">Blue = input read from a file (source given on the sheet). Black = Excel formula. Purple = computed in Python (permutation p-values, regressions, simulated bands): not an Excel formula, re-run the scripts to reproduce.</t>
        </is>
      </c>
    </row>
    <row r="10">
      <c r="A10" t="inlineStr">
        <is>
          <t xml:space="preserve"/>
        </is>
      </c>
    </row>
    <row r="11">
      <c r="A11" s="3" t="inlineStr">
        <is>
          <t xml:space="preserve">Crop year</t>
        </is>
      </c>
    </row>
    <row r="12">
      <c r="A12" s="4" t="inlineStr">
        <is>
          <t xml:space="preserve">Crop year t = October t to September t+1 (label t/t+1). Harvest Nov t - Mar t+1; flowering Feb - Apr t; fertiliser and fruit fill May - Oct t. World prices, urea and FAO nitrogen use are calendar-year t values, the year the crop t is fertilised and filled.</t>
        </is>
      </c>
    </row>
    <row r="13">
      <c r="A13" t="inlineStr">
        <is>
          <t xml:space="preserve"/>
        </is>
      </c>
    </row>
    <row r="14">
      <c r="A14" s="3" t="inlineStr">
        <is>
          <t xml:space="preserve">Sheets</t>
        </is>
      </c>
    </row>
    <row r="15">
      <c r="A15" t="inlineStr">
        <is>
          <t xml:space="preserve">Data: every series by crop year 1970/71 - 2026/27.  Changes: year-on-year log changes (formulas).  Tests: one driver at a time, Pearson r (Excel CORREL check), permutation p, Holm-corrected p.</t>
        </is>
      </c>
    </row>
    <row r="16">
      <c r="A16" t="inlineStr">
        <is>
          <t xml:space="preserve">Biennial: is there an on/off cycle?  Yield_split: yield change = production change - area change.  Fertiliser: nitrogen use vs output and what moves nitrogen.</t>
        </is>
      </c>
    </row>
    <row r="17">
      <c r="A17" t="inlineStr">
        <is>
          <t xml:space="preserve">Weather: El Nino / La Nina years, driest seasons, coffee-zone temperature (ERA5-Land).  Backtest: forecast errors 2000/01 - 2025/26 of simple methods and of the USDA May forecast.</t>
        </is>
      </c>
    </row>
    <row r="18">
      <c r="A18" t="inlineStr">
        <is>
          <t xml:space="preserve">Exports_nowcast: IHCAFE monthly export profile, what the 2025/26 exports imply for the 2025/26 crop.  Forecast_2026_27: scorecard and range.</t>
        </is>
      </c>
    </row>
    <row r="19">
      <c r="A19" t="inlineStr">
        <is>
          <t xml:space="preserve"/>
        </is>
      </c>
    </row>
    <row r="20">
      <c r="A20" s="3" t="inlineStr">
        <is>
          <t xml:space="preserve">Sources</t>
        </is>
      </c>
    </row>
    <row r="21">
      <c r="A21" s="4" t="inlineStr">
        <is>
          <t xml:space="preserve">IHCAFE Resumen Informe 2020-2021 (exports 1970/71-2020/21, 46-kg bags, export unit price) - raw/ihcafe_docs2/040. IHCAFE Boletin Estadistico de Comercializacion 30-08-2022 and 07-02-2023 (monthly exports) - raw/ihcafe_docs2/051, 052.</t>
        </is>
      </c>
    </row>
    <row r="22">
      <c r="A22" s="4" t="inlineStr">
        <is>
          <t xml:space="preserve">USDA PSD online (production, 1 000 60-kg bags, download July 2026) and USDA FAS Coffee Annual Honduras 2011-2026 (bearing area; May forecasts) - data/area_trees_attache.json, raw/usda_gain/.</t>
        </is>
      </c>
    </row>
    <row r="23">
      <c r="A23" s="4" t="inlineStr">
        <is>
          <t xml:space="preserve">World Bank Pink Sheet monthly (arabica = ICO other milds, urea) - research/indonesia/raw/worldbank_cmo_monthly.xlsx. FAOSTAT nitrogen use (t N, all crops) - data/faostat_inputs_land_labour.json.</t>
        </is>
      </c>
    </row>
    <row r="24">
      <c r="A24" s="4" t="inlineStr">
        <is>
          <t xml:space="preserve">GPCC monthly rain at Santa Rosa de Copan, Nueva Ocotepeque, Comayagua (Full V2022 to 2019, Monitoring, First Guess 2026) - raw/rain_check/. NOAA CPC ONI. ERA5-Land (Open-Meteo archive) at 13 coffee points - raw/coffee_zones/.</t>
        </is>
      </c>
    </row>
    <row r="25">
      <c r="A25" s="4" t="inlineStr">
        <is>
          <t xml:space="preserve">Press figures for 2025/26 exports and 2026/27 outlooks: see Exports_nowcast and Forecast_2026_27, with status per line.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5" topLeftCell="C6" activePane="bottomRight" state="frozen"/>
    </sheetView>
  </sheetViews>
  <sheetFormatPr defaultRowHeight="13.2"/>
  <cols>
    <col min="1" max="1" width="10" customWidth="1"/>
    <col min="2" max="2" width="6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</cols>
  <sheetData>
    <row r="1">
      <c r="A1" s="1" t="inlineStr">
        <is>
          <t xml:space="preserve">Data by crop year (t = October t to September t+1)</t>
        </is>
      </c>
    </row>
    <row r="2">
      <c r="A2" s="2" t="inlineStr">
        <is>
          <t xml:space="preserve">Blue = input, black = formula. Rain = total of the window / 1991-2020 normal of the same months (1.00 = normal). ONI = NOAA Oceanic Nino Index of the 3-month season.</t>
        </is>
      </c>
    </row>
    <row r="5">
      <c r="A5" s="5" t="inlineStr">
        <is>
          <t xml:space="preserve">Crop year</t>
        </is>
      </c>
      <c r="B5" s="5" t="inlineStr">
        <is>
          <t xml:space="preserve">t</t>
        </is>
      </c>
      <c r="C5" s="5" t="inlineStr">
        <is>
          <t xml:space="preserve">IHCAFE exports (46-kg bags)</t>
        </is>
      </c>
      <c r="D5" s="5" t="inlineStr">
        <is>
          <t xml:space="preserve">IHCAFE export price (US$ / 46 kg)</t>
        </is>
      </c>
      <c r="E5" s="5" t="inlineStr">
        <is>
          <t xml:space="preserve">USDA production (1 000 60-kg bags)</t>
        </is>
      </c>
      <c r="F5" s="5" t="inlineStr">
        <is>
          <t xml:space="preserve">USDA bearing area (kha)</t>
        </is>
      </c>
      <c r="G5" s="5" t="inlineStr">
        <is>
          <t xml:space="preserve">Yield (60-kg bags / bearing ha)</t>
        </is>
      </c>
      <c r="H5" s="5" t="inlineStr">
        <is>
          <t xml:space="preserve">Arabica, calendar t (US$/kg)</t>
        </is>
      </c>
      <c r="I5" s="5" t="inlineStr">
        <is>
          <t xml:space="preserve">Urea, calendar t (US$/t)</t>
        </is>
      </c>
      <c r="J5" s="5" t="inlineStr">
        <is>
          <t xml:space="preserve">kg urea bought by 1 kg coffee</t>
        </is>
      </c>
      <c r="K5" s="5" t="inlineStr">
        <is>
          <t xml:space="preserve">FAO nitrogen use, calendar t (t N)</t>
        </is>
      </c>
      <c r="L5" s="5" t="inlineStr">
        <is>
          <t xml:space="preserve">Rain Dec(t-1)-Mar t / normal (GPCC)</t>
        </is>
      </c>
      <c r="M5" s="5" t="inlineStr">
        <is>
          <t xml:space="preserve">Rain Apr-May t / normal</t>
        </is>
      </c>
      <c r="N5" s="5" t="inlineStr">
        <is>
          <t xml:space="preserve">Rain Jun-Oct t / normal</t>
        </is>
      </c>
      <c r="O5" s="5" t="inlineStr">
        <is>
          <t xml:space="preserve">ONI DJF t</t>
        </is>
      </c>
      <c r="P5" s="5" t="inlineStr">
        <is>
          <t xml:space="preserve">ONI JJA t</t>
        </is>
      </c>
      <c r="Q5" s="5" t="inlineStr">
        <is>
          <t xml:space="preserve">ONI OND t</t>
        </is>
      </c>
      <c r="R5" s="5" t="inlineStr">
        <is>
          <t xml:space="preserve">Coffee-zone max. temperature Sep-Oct, deg C vs 1991-2020 (ERA5-Land)</t>
        </is>
      </c>
    </row>
    <row r="6">
      <c r="A6" t="inlineStr">
        <is>
          <t xml:space="preserve">1970/71</t>
        </is>
      </c>
      <c r="B6">
        <v>1970</v>
      </c>
      <c r="C6" s="6">
        <v>493989.0</v>
      </c>
      <c r="D6" s="7">
        <v>43.67</v>
      </c>
      <c r="E6" s="6">
        <v>545.0</v>
      </c>
      <c r="H6" s="8">
        <v>1.1475000000000002</v>
      </c>
      <c r="I6" s="9">
        <v>18.300000000000004</v>
      </c>
      <c r="J6" s="10">
        <f>H6*1000/I6</f>
        <v>62.704918032786885</v>
      </c>
      <c r="O6" s="7">
        <v>0.46</v>
      </c>
      <c r="P6" s="7">
        <v>-0.55</v>
      </c>
      <c r="Q6" s="7">
        <v>-0.78</v>
      </c>
    </row>
    <row r="7">
      <c r="A7" t="inlineStr">
        <is>
          <t xml:space="preserve">1971/72</t>
        </is>
      </c>
      <c r="B7">
        <v>1971</v>
      </c>
      <c r="C7" s="6">
        <v>730349.0</v>
      </c>
      <c r="D7" s="7">
        <v>38.29</v>
      </c>
      <c r="E7" s="6">
        <v>586.0</v>
      </c>
      <c r="H7" s="8">
        <v>0.9908333333333333</v>
      </c>
      <c r="I7" s="9">
        <v>16.0</v>
      </c>
      <c r="J7" s="10">
        <f>H7*1000/I7</f>
        <v>61.927083333333336</v>
      </c>
      <c r="O7" s="7">
        <v>-1.29</v>
      </c>
      <c r="P7" s="7">
        <v>-0.68</v>
      </c>
      <c r="Q7" s="7">
        <v>-0.86</v>
      </c>
    </row>
    <row r="8">
      <c r="A8" t="inlineStr">
        <is>
          <t xml:space="preserve">1972/73</t>
        </is>
      </c>
      <c r="B8">
        <v>1972</v>
      </c>
      <c r="C8" s="6">
        <v>894446.0</v>
      </c>
      <c r="D8" s="7">
        <v>53.93</v>
      </c>
      <c r="E8" s="6">
        <v>759.0</v>
      </c>
      <c r="H8" s="8">
        <v>1.1108333333333333</v>
      </c>
      <c r="I8" s="9">
        <v>29.300000000000008</v>
      </c>
      <c r="J8" s="10">
        <f>H8*1000/I8</f>
        <v>37.91240045506256</v>
      </c>
      <c r="O8" s="7">
        <v>-0.57</v>
      </c>
      <c r="P8" s="7">
        <v>1.0</v>
      </c>
      <c r="Q8" s="7">
        <v>1.84</v>
      </c>
    </row>
    <row r="9">
      <c r="A9" t="inlineStr">
        <is>
          <t xml:space="preserve">1973/74</t>
        </is>
      </c>
      <c r="B9">
        <v>1973</v>
      </c>
      <c r="C9" s="6">
        <v>622061.0</v>
      </c>
      <c r="D9" s="7">
        <v>66.5</v>
      </c>
      <c r="E9" s="6">
        <v>689.0</v>
      </c>
      <c r="H9" s="8">
        <v>1.373333333333333</v>
      </c>
      <c r="I9" s="9">
        <v>64.79999999999998</v>
      </c>
      <c r="J9" s="10">
        <f>H9*1000/I9</f>
        <v>21.193415637860085</v>
      </c>
      <c r="O9" s="7">
        <v>1.55</v>
      </c>
      <c r="P9" s="7">
        <v>-0.99</v>
      </c>
      <c r="Q9" s="7">
        <v>-1.89</v>
      </c>
    </row>
    <row r="10">
      <c r="A10" t="inlineStr">
        <is>
          <t xml:space="preserve">1974/75</t>
        </is>
      </c>
      <c r="B10">
        <v>1974</v>
      </c>
      <c r="C10" s="6">
        <v>1118404.0</v>
      </c>
      <c r="D10" s="7">
        <v>53.6</v>
      </c>
      <c r="E10" s="6">
        <v>983.0</v>
      </c>
      <c r="H10" s="8">
        <v>1.4525</v>
      </c>
      <c r="I10" s="9">
        <v>285.80000000000007</v>
      </c>
      <c r="J10" s="10">
        <f>H10*1000/I10</f>
        <v>5.082225332400279</v>
      </c>
      <c r="O10" s="7">
        <v>-1.87</v>
      </c>
      <c r="P10" s="7">
        <v>-0.46</v>
      </c>
      <c r="Q10" s="7">
        <v>-0.88</v>
      </c>
    </row>
    <row r="11">
      <c r="A11" t="inlineStr">
        <is>
          <t xml:space="preserve">1975/76</t>
        </is>
      </c>
      <c r="B11">
        <v>1975</v>
      </c>
      <c r="C11" s="6">
        <v>824865.0</v>
      </c>
      <c r="D11" s="7">
        <v>99.99</v>
      </c>
      <c r="E11" s="6">
        <v>847.0</v>
      </c>
      <c r="H11" s="8">
        <v>1.4416666666666664</v>
      </c>
      <c r="I11" s="9">
        <v>168.0</v>
      </c>
      <c r="J11" s="10">
        <f>H11*1000/I11</f>
        <v>8.581349206349206</v>
      </c>
      <c r="O11" s="7">
        <v>-0.56</v>
      </c>
      <c r="P11" s="7">
        <v>-1.08</v>
      </c>
      <c r="Q11" s="7">
        <v>-1.47</v>
      </c>
    </row>
    <row r="12">
      <c r="A12" t="inlineStr">
        <is>
          <t xml:space="preserve">1976/77</t>
        </is>
      </c>
      <c r="B12">
        <v>1976</v>
      </c>
      <c r="C12" s="6">
        <v>820603.0</v>
      </c>
      <c r="D12" s="7">
        <v>206.02</v>
      </c>
      <c r="E12" s="6">
        <v>691.0</v>
      </c>
      <c r="H12" s="8">
        <v>3.1475000000000004</v>
      </c>
      <c r="I12" s="9">
        <v>82.0</v>
      </c>
      <c r="J12" s="10">
        <f>H12*1000/I12</f>
        <v>38.38414634146342</v>
      </c>
      <c r="O12" s="7">
        <v>-1.49</v>
      </c>
      <c r="P12" s="7">
        <v>0.23</v>
      </c>
      <c r="Q12" s="7">
        <v>0.81</v>
      </c>
    </row>
    <row r="13">
      <c r="A13" t="inlineStr">
        <is>
          <t xml:space="preserve">1977/78</t>
        </is>
      </c>
      <c r="B13">
        <v>1977</v>
      </c>
      <c r="C13" s="6">
        <v>1224716.0</v>
      </c>
      <c r="D13" s="7">
        <v>173.12</v>
      </c>
      <c r="E13" s="6">
        <v>1036.0</v>
      </c>
      <c r="H13" s="8">
        <v>5.17</v>
      </c>
      <c r="I13" s="9">
        <v>120.75833333333334</v>
      </c>
      <c r="J13" s="10">
        <f>H13*1000/I13</f>
        <v>42.81278034642192</v>
      </c>
      <c r="O13" s="7">
        <v>0.71</v>
      </c>
      <c r="P13" s="7">
        <v>0.39</v>
      </c>
      <c r="Q13" s="7">
        <v>0.84</v>
      </c>
    </row>
    <row r="14">
      <c r="A14" t="inlineStr">
        <is>
          <t xml:space="preserve">1978/79</t>
        </is>
      </c>
      <c r="B14">
        <v>1978</v>
      </c>
      <c r="C14" s="6">
        <v>1370789.0</v>
      </c>
      <c r="D14" s="7">
        <v>128.28</v>
      </c>
      <c r="E14" s="6">
        <v>1132.0</v>
      </c>
      <c r="H14" s="8">
        <v>3.5908333333333338</v>
      </c>
      <c r="I14" s="9">
        <v>136.04166666666666</v>
      </c>
      <c r="J14" s="10">
        <f>H14*1000/I14</f>
        <v>26.395099540581935</v>
      </c>
      <c r="O14" s="7">
        <v>0.71</v>
      </c>
      <c r="P14" s="7">
        <v>-0.37</v>
      </c>
      <c r="Q14" s="7">
        <v>-0.07</v>
      </c>
    </row>
    <row r="15">
      <c r="A15" t="inlineStr">
        <is>
          <t xml:space="preserve">1979/80</t>
        </is>
      </c>
      <c r="B15">
        <v>1979</v>
      </c>
      <c r="C15" s="6">
        <v>1274178.0</v>
      </c>
      <c r="D15" s="7">
        <v>176.78</v>
      </c>
      <c r="E15" s="6">
        <v>1137.0</v>
      </c>
      <c r="H15" s="8">
        <v>3.8250000000000006</v>
      </c>
      <c r="I15" s="9">
        <v>153.01666666666665</v>
      </c>
      <c r="J15" s="10">
        <f>H15*1000/I15</f>
        <v>24.997276985077885</v>
      </c>
      <c r="O15" s="7">
        <v>0.19</v>
      </c>
      <c r="P15" s="7">
        <v>0.09</v>
      </c>
      <c r="Q15" s="7">
        <v>0.5</v>
      </c>
    </row>
    <row r="16">
      <c r="A16" t="inlineStr">
        <is>
          <t xml:space="preserve">1980/81</t>
        </is>
      </c>
      <c r="B16">
        <v>1980</v>
      </c>
      <c r="C16" s="6">
        <v>1345082.0</v>
      </c>
      <c r="D16" s="7">
        <v>108.27</v>
      </c>
      <c r="E16" s="6">
        <v>1265.0</v>
      </c>
      <c r="H16" s="8">
        <v>3.4675000000000007</v>
      </c>
      <c r="I16" s="9">
        <v>200.5666666666667</v>
      </c>
      <c r="J16" s="10">
        <f>H16*1000/I16</f>
        <v>17.288515871696863</v>
      </c>
      <c r="O16" s="7">
        <v>0.62</v>
      </c>
      <c r="P16" s="7">
        <v>0.18</v>
      </c>
      <c r="Q16" s="7">
        <v>0.08</v>
      </c>
    </row>
    <row r="17">
      <c r="A17" t="inlineStr">
        <is>
          <t xml:space="preserve">1981/82</t>
        </is>
      </c>
      <c r="B17">
        <v>1981</v>
      </c>
      <c r="C17" s="6">
        <v>1188189.0</v>
      </c>
      <c r="D17" s="7">
        <v>128.89</v>
      </c>
      <c r="E17" s="6">
        <v>1200.0</v>
      </c>
      <c r="H17" s="8">
        <v>2.8675</v>
      </c>
      <c r="I17" s="9">
        <v>182.5</v>
      </c>
      <c r="J17" s="10">
        <f>H17*1000/I17</f>
        <v>15.712328767123287</v>
      </c>
      <c r="M17" s="7">
        <v>0.8955486177955394</v>
      </c>
      <c r="N17" s="7">
        <v>1.2698114787849502</v>
      </c>
      <c r="O17" s="7">
        <v>-0.27</v>
      </c>
      <c r="P17" s="7">
        <v>-0.28</v>
      </c>
      <c r="Q17" s="7">
        <v>-0.19</v>
      </c>
      <c r="R17" s="7">
        <v>-0.47976666666666823</v>
      </c>
    </row>
    <row r="18">
      <c r="A18" t="inlineStr">
        <is>
          <t xml:space="preserve">1982/83</t>
        </is>
      </c>
      <c r="B18">
        <v>1982</v>
      </c>
      <c r="C18" s="6">
        <v>1617981.0</v>
      </c>
      <c r="D18" s="7">
        <v>93.48</v>
      </c>
      <c r="E18" s="6">
        <v>1500.0</v>
      </c>
      <c r="H18" s="8">
        <v>3.0866666666666664</v>
      </c>
      <c r="I18" s="9">
        <v>123.95833333333333</v>
      </c>
      <c r="J18" s="10">
        <f>H18*1000/I18</f>
        <v>24.900840336134454</v>
      </c>
      <c r="L18" s="7">
        <v>1.3359308904912337</v>
      </c>
      <c r="M18" s="7">
        <v>1.2291386742849109</v>
      </c>
      <c r="N18" s="7">
        <v>0.863326175336</v>
      </c>
      <c r="O18" s="7">
        <v>-0.05</v>
      </c>
      <c r="P18" s="7">
        <v>0.78</v>
      </c>
      <c r="Q18" s="7">
        <v>2.03</v>
      </c>
      <c r="R18" s="7">
        <v>-0.755766666666668</v>
      </c>
    </row>
    <row r="19">
      <c r="A19" t="inlineStr">
        <is>
          <t xml:space="preserve">1983/84</t>
        </is>
      </c>
      <c r="B19">
        <v>1983</v>
      </c>
      <c r="C19" s="6">
        <v>1364128.0</v>
      </c>
      <c r="D19" s="7">
        <v>115.37</v>
      </c>
      <c r="E19" s="6">
        <v>1310.0</v>
      </c>
      <c r="H19" s="8">
        <v>2.9125</v>
      </c>
      <c r="I19" s="9">
        <v>114.54166666666667</v>
      </c>
      <c r="J19" s="10">
        <f>H19*1000/I19</f>
        <v>25.42742815569298</v>
      </c>
      <c r="L19" s="7">
        <v>0.8976319282204924</v>
      </c>
      <c r="M19" s="7">
        <v>0.5676007155361495</v>
      </c>
      <c r="N19" s="7">
        <v>0.9801066288726747</v>
      </c>
      <c r="O19" s="7">
        <v>2.14</v>
      </c>
      <c r="P19" s="7">
        <v>0.25</v>
      </c>
      <c r="Q19" s="7">
        <v>-0.96</v>
      </c>
      <c r="R19" s="7">
        <v>-0.16926666666666712</v>
      </c>
    </row>
    <row r="20">
      <c r="A20" t="inlineStr">
        <is>
          <t xml:space="preserve">1984/85</t>
        </is>
      </c>
      <c r="B20">
        <v>1984</v>
      </c>
      <c r="C20" s="6">
        <v>1675151.0</v>
      </c>
      <c r="D20" s="7">
        <v>110.82</v>
      </c>
      <c r="E20" s="6">
        <v>1400.0</v>
      </c>
      <c r="H20" s="8">
        <v>3.189166666666667</v>
      </c>
      <c r="I20" s="9">
        <v>150.16666666666666</v>
      </c>
      <c r="J20" s="10">
        <f>H20*1000/I20</f>
        <v>21.237513873473922</v>
      </c>
      <c r="L20" s="7">
        <v>1.1486428798733304</v>
      </c>
      <c r="M20" s="7">
        <v>1.146411744066951</v>
      </c>
      <c r="N20" s="7">
        <v>1.0841526587275312</v>
      </c>
      <c r="O20" s="7">
        <v>-0.63</v>
      </c>
      <c r="P20" s="7">
        <v>-0.39</v>
      </c>
      <c r="Q20" s="7">
        <v>-0.95</v>
      </c>
      <c r="R20" s="7">
        <v>-0.6142666666666674</v>
      </c>
    </row>
    <row r="21">
      <c r="A21" t="inlineStr">
        <is>
          <t xml:space="preserve">1985/86</t>
        </is>
      </c>
      <c r="B21">
        <v>1985</v>
      </c>
      <c r="C21" s="6">
        <v>1931944.0</v>
      </c>
      <c r="D21" s="7">
        <v>183.81</v>
      </c>
      <c r="E21" s="6">
        <v>1062.0</v>
      </c>
      <c r="H21" s="8">
        <v>3.231666666666667</v>
      </c>
      <c r="I21" s="9">
        <v>111.625</v>
      </c>
      <c r="J21" s="10">
        <f>H21*1000/I21</f>
        <v>28.95110115714819</v>
      </c>
      <c r="L21" s="7">
        <v>0.7395276275040944</v>
      </c>
      <c r="M21" s="7">
        <v>0.6542864031482604</v>
      </c>
      <c r="N21" s="7">
        <v>0.8776491131289541</v>
      </c>
      <c r="O21" s="7">
        <v>-1.01</v>
      </c>
      <c r="P21" s="7">
        <v>-0.44</v>
      </c>
      <c r="Q21" s="7">
        <v>-0.28</v>
      </c>
      <c r="R21" s="7">
        <v>-0.06826666666666803</v>
      </c>
    </row>
    <row r="22">
      <c r="A22" t="inlineStr">
        <is>
          <t xml:space="preserve">1986/87</t>
        </is>
      </c>
      <c r="B22">
        <v>1986</v>
      </c>
      <c r="C22" s="6">
        <v>1824220.0</v>
      </c>
      <c r="D22" s="7">
        <v>108.61</v>
      </c>
      <c r="E22" s="6">
        <v>1535.0</v>
      </c>
      <c r="H22" s="8">
        <v>4.2908333333333335</v>
      </c>
      <c r="I22" s="9">
        <v>70.75</v>
      </c>
      <c r="J22" s="10">
        <f>H22*1000/I22</f>
        <v>60.64782096584218</v>
      </c>
      <c r="L22" s="7">
        <v>1.060043930797352</v>
      </c>
      <c r="M22" s="7">
        <v>0.7957657328233401</v>
      </c>
      <c r="N22" s="7">
        <v>0.6999525967217631</v>
      </c>
      <c r="O22" s="7">
        <v>-0.4</v>
      </c>
      <c r="P22" s="7">
        <v>0.24</v>
      </c>
      <c r="Q22" s="7">
        <v>1.06</v>
      </c>
      <c r="R22" s="7">
        <v>-0.7537666666666674</v>
      </c>
    </row>
    <row r="23">
      <c r="A23" t="inlineStr">
        <is>
          <t xml:space="preserve">1987/88</t>
        </is>
      </c>
      <c r="B23">
        <v>1987</v>
      </c>
      <c r="C23" s="6">
        <v>1596725.0</v>
      </c>
      <c r="D23" s="7">
        <v>119.75</v>
      </c>
      <c r="E23" s="6">
        <v>1553.0</v>
      </c>
      <c r="H23" s="8">
        <v>2.5050000000000003</v>
      </c>
      <c r="I23" s="9">
        <v>82.5</v>
      </c>
      <c r="J23" s="10">
        <f>H23*1000/I23</f>
        <v>30.36363636363637</v>
      </c>
      <c r="L23" s="7">
        <v>0.8387600027941852</v>
      </c>
      <c r="M23" s="7">
        <v>0.3822420749315079</v>
      </c>
      <c r="N23" s="7">
        <v>0.8988095681828846</v>
      </c>
      <c r="O23" s="7">
        <v>1.18</v>
      </c>
      <c r="P23" s="7">
        <v>1.3</v>
      </c>
      <c r="Q23" s="7">
        <v>1.2</v>
      </c>
      <c r="R23" s="7">
        <v>-0.5912666666666677</v>
      </c>
    </row>
    <row r="24">
      <c r="A24" t="inlineStr">
        <is>
          <t xml:space="preserve">1988/89</t>
        </is>
      </c>
      <c r="B24">
        <v>1988</v>
      </c>
      <c r="C24" s="6">
        <v>1910204.0</v>
      </c>
      <c r="D24" s="7">
        <v>117.46</v>
      </c>
      <c r="E24" s="6">
        <v>1635.0</v>
      </c>
      <c r="H24" s="8">
        <v>3.0324999999999993</v>
      </c>
      <c r="I24" s="9">
        <v>113.54166666666667</v>
      </c>
      <c r="J24" s="10">
        <f>H24*1000/I24</f>
        <v>26.708256880733934</v>
      </c>
      <c r="L24" s="7">
        <v>1.0985027825425533</v>
      </c>
      <c r="M24" s="7">
        <v>0.7793202406579184</v>
      </c>
      <c r="N24" s="7">
        <v>1.201130443209689</v>
      </c>
      <c r="O24" s="7">
        <v>0.63</v>
      </c>
      <c r="P24" s="7">
        <v>-1.3</v>
      </c>
      <c r="Q24" s="7">
        <v>-1.81</v>
      </c>
      <c r="R24" s="7">
        <v>-1.0112666666666676</v>
      </c>
    </row>
    <row r="25">
      <c r="A25" t="inlineStr">
        <is>
          <t xml:space="preserve">1989/90</t>
        </is>
      </c>
      <c r="B25">
        <v>1989</v>
      </c>
      <c r="C25" s="6">
        <v>2261332.0</v>
      </c>
      <c r="D25" s="7">
        <v>69.91</v>
      </c>
      <c r="E25" s="6">
        <v>1928.0</v>
      </c>
      <c r="H25" s="8">
        <v>2.3875</v>
      </c>
      <c r="I25" s="9">
        <v>102.95833333333333</v>
      </c>
      <c r="J25" s="10">
        <f>H25*1000/I25</f>
        <v>23.188992310805343</v>
      </c>
      <c r="L25" s="7">
        <v>1.0459565814698966</v>
      </c>
      <c r="M25" s="7">
        <v>1.3486783484952098</v>
      </c>
      <c r="N25" s="7">
        <v>1.0606735650641788</v>
      </c>
      <c r="O25" s="7">
        <v>-1.64</v>
      </c>
      <c r="P25" s="7">
        <v>-0.37</v>
      </c>
      <c r="Q25" s="7">
        <v>-0.12</v>
      </c>
      <c r="R25" s="7">
        <v>-0.6712666666666678</v>
      </c>
    </row>
    <row r="26">
      <c r="A26" t="inlineStr">
        <is>
          <t xml:space="preserve">1990/91</t>
        </is>
      </c>
      <c r="B26">
        <v>1990</v>
      </c>
      <c r="C26" s="6">
        <v>1861302.0</v>
      </c>
      <c r="D26" s="7">
        <v>78.39</v>
      </c>
      <c r="E26" s="6">
        <v>1685.0</v>
      </c>
      <c r="H26" s="8">
        <v>1.9733333333333334</v>
      </c>
      <c r="I26" s="9">
        <v>115.64999999999999</v>
      </c>
      <c r="J26" s="10">
        <f>H26*1000/I26</f>
        <v>17.062977374261422</v>
      </c>
      <c r="L26" s="7">
        <v>1.0554257639379383</v>
      </c>
      <c r="M26" s="7">
        <v>1.3501767566677623</v>
      </c>
      <c r="N26" s="7">
        <v>0.9019175305742375</v>
      </c>
      <c r="O26" s="7">
        <v>0.18</v>
      </c>
      <c r="P26" s="7">
        <v>0.26</v>
      </c>
      <c r="Q26" s="7">
        <v>0.31</v>
      </c>
      <c r="R26" s="7">
        <v>0.15923333333333112</v>
      </c>
    </row>
    <row r="27">
      <c r="A27" t="inlineStr">
        <is>
          <t xml:space="preserve">1991/92</t>
        </is>
      </c>
      <c r="B27">
        <v>1991</v>
      </c>
      <c r="C27" s="6">
        <v>2348302.0</v>
      </c>
      <c r="D27" s="7">
        <v>59.82</v>
      </c>
      <c r="E27" s="6">
        <v>2255.0</v>
      </c>
      <c r="H27" s="8">
        <v>1.8733333333333333</v>
      </c>
      <c r="I27" s="9">
        <v>138.4</v>
      </c>
      <c r="J27" s="10">
        <f>H27*1000/I27</f>
        <v>13.535645472061656</v>
      </c>
      <c r="L27" s="7">
        <v>0.8200156784824473</v>
      </c>
      <c r="M27" s="7">
        <v>0.8102503451580142</v>
      </c>
      <c r="N27" s="7">
        <v>0.8527985693944966</v>
      </c>
      <c r="O27" s="7">
        <v>0.35</v>
      </c>
      <c r="P27" s="7">
        <v>0.77</v>
      </c>
      <c r="Q27" s="7">
        <v>1.18</v>
      </c>
      <c r="R27" s="7">
        <v>0.043233333333333235</v>
      </c>
    </row>
    <row r="28">
      <c r="A28" t="inlineStr">
        <is>
          <t xml:space="preserve">1992/93</t>
        </is>
      </c>
      <c r="B28">
        <v>1992</v>
      </c>
      <c r="C28" s="6">
        <v>2473759.0</v>
      </c>
      <c r="D28" s="7">
        <v>54.44</v>
      </c>
      <c r="E28" s="6">
        <v>1981.0</v>
      </c>
      <c r="H28" s="8">
        <v>1.4108333333333334</v>
      </c>
      <c r="I28" s="9">
        <v>117.60833333333333</v>
      </c>
      <c r="J28" s="10">
        <f>H28*1000/I28</f>
        <v>11.996032027208958</v>
      </c>
      <c r="L28" s="7">
        <v>1.350561553566855</v>
      </c>
      <c r="M28" s="7">
        <v>0.7814661091519441</v>
      </c>
      <c r="N28" s="7">
        <v>1.076976390010143</v>
      </c>
      <c r="O28" s="7">
        <v>1.54</v>
      </c>
      <c r="P28" s="7">
        <v>0.35</v>
      </c>
      <c r="Q28" s="7">
        <v>-0.24</v>
      </c>
      <c r="R28" s="7">
        <v>0.0912333333333315</v>
      </c>
    </row>
    <row r="29">
      <c r="A29" t="inlineStr">
        <is>
          <t xml:space="preserve">1993/94</t>
        </is>
      </c>
      <c r="B29">
        <v>1993</v>
      </c>
      <c r="C29" s="6">
        <v>2166754.0</v>
      </c>
      <c r="D29" s="7">
        <v>80.37</v>
      </c>
      <c r="E29" s="6">
        <v>2060.0</v>
      </c>
      <c r="H29" s="8">
        <v>1.5599999999999996</v>
      </c>
      <c r="I29" s="9">
        <v>85.54166666666667</v>
      </c>
      <c r="J29" s="10">
        <f>H29*1000/I29</f>
        <v>18.236726741354108</v>
      </c>
      <c r="L29" s="7">
        <v>1.075838837619044</v>
      </c>
      <c r="M29" s="7">
        <v>0.9505642462544419</v>
      </c>
      <c r="N29" s="7">
        <v>0.9775446154304908</v>
      </c>
      <c r="O29" s="7">
        <v>0.13</v>
      </c>
      <c r="P29" s="7">
        <v>0.28</v>
      </c>
      <c r="Q29" s="7">
        <v>0.2</v>
      </c>
      <c r="R29" s="7">
        <v>-0.6592666666666673</v>
      </c>
    </row>
    <row r="30">
      <c r="A30" t="inlineStr">
        <is>
          <t xml:space="preserve">1994/95</t>
        </is>
      </c>
      <c r="B30">
        <v>1994</v>
      </c>
      <c r="C30" s="6">
        <v>2134726.0</v>
      </c>
      <c r="D30" s="7">
        <v>157.65</v>
      </c>
      <c r="E30" s="6">
        <v>2295.0</v>
      </c>
      <c r="H30" s="8">
        <v>3.308333333333333</v>
      </c>
      <c r="I30" s="9">
        <v>93.88333333333333</v>
      </c>
      <c r="J30" s="10">
        <f>H30*1000/I30</f>
        <v>35.2387715249423</v>
      </c>
      <c r="L30" s="7">
        <v>0.8141556516272247</v>
      </c>
      <c r="M30" s="7">
        <v>0.884097819538626</v>
      </c>
      <c r="N30" s="7">
        <v>0.8092607851228255</v>
      </c>
      <c r="O30" s="7">
        <v>0.07</v>
      </c>
      <c r="P30" s="7">
        <v>0.3</v>
      </c>
      <c r="Q30" s="7">
        <v>0.93</v>
      </c>
      <c r="R30" s="7">
        <v>0.27823333333333267</v>
      </c>
    </row>
    <row r="31">
      <c r="A31" t="inlineStr">
        <is>
          <t xml:space="preserve">1995/96</t>
        </is>
      </c>
      <c r="B31">
        <v>1995</v>
      </c>
      <c r="C31" s="6">
        <v>2679569.0</v>
      </c>
      <c r="D31" s="7">
        <v>103.9</v>
      </c>
      <c r="E31" s="6">
        <v>2254.0</v>
      </c>
      <c r="H31" s="8">
        <v>3.3324999999999996</v>
      </c>
      <c r="I31" s="9">
        <v>126.86666666666667</v>
      </c>
      <c r="J31" s="10">
        <f>H31*1000/I31</f>
        <v>26.267735155018386</v>
      </c>
      <c r="L31" s="7">
        <v>0.7514029137140154</v>
      </c>
      <c r="M31" s="7">
        <v>1.0948184058786932</v>
      </c>
      <c r="N31" s="7">
        <v>1.1686201699414103</v>
      </c>
      <c r="O31" s="7">
        <v>0.88</v>
      </c>
      <c r="P31" s="7">
        <v>-0.3</v>
      </c>
      <c r="Q31" s="7">
        <v>-1.05</v>
      </c>
      <c r="R31" s="7">
        <v>-0.6827666666666676</v>
      </c>
    </row>
    <row r="32">
      <c r="A32" t="inlineStr">
        <is>
          <t xml:space="preserve">1996/97</t>
        </is>
      </c>
      <c r="B32">
        <v>1996</v>
      </c>
      <c r="C32" s="6">
        <v>2380742.0</v>
      </c>
      <c r="D32" s="7">
        <v>136.34</v>
      </c>
      <c r="E32" s="6">
        <v>2279.0</v>
      </c>
      <c r="H32" s="8">
        <v>2.6950000000000003</v>
      </c>
      <c r="I32" s="9">
        <v>153.69166666666666</v>
      </c>
      <c r="J32" s="10">
        <f>H32*1000/I32</f>
        <v>17.535108171121838</v>
      </c>
      <c r="L32" s="7">
        <v>1.1590046492133594</v>
      </c>
      <c r="M32" s="7">
        <v>1.5049752700988641</v>
      </c>
      <c r="N32" s="7">
        <v>0.9953899106003116</v>
      </c>
      <c r="O32" s="7">
        <v>-0.88</v>
      </c>
      <c r="P32" s="7">
        <v>-0.22</v>
      </c>
      <c r="Q32" s="7">
        <v>-0.39</v>
      </c>
      <c r="R32" s="7">
        <v>-0.05276666666666685</v>
      </c>
    </row>
    <row r="33">
      <c r="A33" t="inlineStr">
        <is>
          <t xml:space="preserve">1997/98</t>
        </is>
      </c>
      <c r="B33">
        <v>1997</v>
      </c>
      <c r="C33" s="6">
        <v>2999315.0</v>
      </c>
      <c r="D33" s="7">
        <v>148.12</v>
      </c>
      <c r="E33" s="6">
        <v>2905.0</v>
      </c>
      <c r="H33" s="8">
        <v>4.1675</v>
      </c>
      <c r="I33" s="9">
        <v>117.49166666666666</v>
      </c>
      <c r="J33" s="10">
        <f>H33*1000/I33</f>
        <v>35.470600751826375</v>
      </c>
      <c r="L33" s="7">
        <v>1.1876838534915672</v>
      </c>
      <c r="M33" s="7">
        <v>0.47841768096978465</v>
      </c>
      <c r="N33" s="7">
        <v>1.0021386289358207</v>
      </c>
      <c r="O33" s="7">
        <v>-0.41</v>
      </c>
      <c r="P33" s="7">
        <v>1.48</v>
      </c>
      <c r="Q33" s="7">
        <v>2.34</v>
      </c>
      <c r="R33" s="7">
        <v>-0.03276666666666728</v>
      </c>
    </row>
    <row r="34">
      <c r="A34" t="inlineStr">
        <is>
          <t xml:space="preserve">1998/99</t>
        </is>
      </c>
      <c r="B34">
        <v>1998</v>
      </c>
      <c r="C34" s="6">
        <v>2720247.0</v>
      </c>
      <c r="D34" s="7">
        <v>99.2</v>
      </c>
      <c r="E34" s="6">
        <v>2494.0</v>
      </c>
      <c r="H34" s="8">
        <v>2.9824999999999995</v>
      </c>
      <c r="I34" s="9">
        <v>83.21666666666668</v>
      </c>
      <c r="J34" s="10">
        <f>H34*1000/I34</f>
        <v>35.84017624674543</v>
      </c>
      <c r="L34" s="7">
        <v>0.6699058514890678</v>
      </c>
      <c r="M34" s="7">
        <v>0.8072905265455649</v>
      </c>
      <c r="N34" s="7">
        <v>1.0431045332180338</v>
      </c>
      <c r="O34" s="7">
        <v>2.22</v>
      </c>
      <c r="P34" s="7">
        <v>-0.63</v>
      </c>
      <c r="Q34" s="7">
        <v>-1.31</v>
      </c>
      <c r="R34" s="7">
        <v>0.21073333333333188</v>
      </c>
    </row>
    <row r="35">
      <c r="A35" t="inlineStr">
        <is>
          <t xml:space="preserve">1999/00</t>
        </is>
      </c>
      <c r="B35">
        <v>1999</v>
      </c>
      <c r="C35" s="6">
        <v>3726387.0</v>
      </c>
      <c r="D35" s="7">
        <v>92.64</v>
      </c>
      <c r="E35" s="6">
        <v>3067.0</v>
      </c>
      <c r="H35" s="8">
        <v>2.2899999999999996</v>
      </c>
      <c r="I35" s="9">
        <v>65.95</v>
      </c>
      <c r="J35" s="10">
        <f>H35*1000/I35</f>
        <v>34.72327520849127</v>
      </c>
      <c r="L35" s="7">
        <v>0.9511483324148747</v>
      </c>
      <c r="M35" s="7">
        <v>0.5693581078372913</v>
      </c>
      <c r="N35" s="7">
        <v>1.1655187852482403</v>
      </c>
      <c r="O35" s="7">
        <v>-1.51</v>
      </c>
      <c r="P35" s="7">
        <v>-0.9</v>
      </c>
      <c r="Q35" s="7">
        <v>-1.35</v>
      </c>
      <c r="R35" s="7">
        <v>-1.0552666666666664</v>
      </c>
    </row>
    <row r="36">
      <c r="A36" t="inlineStr">
        <is>
          <t xml:space="preserve">2000/01</t>
        </is>
      </c>
      <c r="B36">
        <v>2000</v>
      </c>
      <c r="C36" s="6">
        <v>3221355.0</v>
      </c>
      <c r="D36" s="7">
        <v>52.04</v>
      </c>
      <c r="E36" s="6">
        <v>2821.0</v>
      </c>
      <c r="H36" s="8">
        <v>1.9216666666666669</v>
      </c>
      <c r="I36" s="9">
        <v>100.93333333333334</v>
      </c>
      <c r="J36" s="10">
        <f>H36*1000/I36</f>
        <v>19.038969616908854</v>
      </c>
      <c r="L36" s="7">
        <v>0.8641017083336568</v>
      </c>
      <c r="M36" s="7">
        <v>1.75504294511818</v>
      </c>
      <c r="N36" s="7">
        <v>0.8903342040744019</v>
      </c>
      <c r="O36" s="7">
        <v>-1.47</v>
      </c>
      <c r="P36" s="7">
        <v>-0.48</v>
      </c>
      <c r="Q36" s="7">
        <v>-0.76</v>
      </c>
      <c r="R36" s="7">
        <v>-0.6012666666666675</v>
      </c>
    </row>
    <row r="37">
      <c r="A37" t="inlineStr">
        <is>
          <t xml:space="preserve">2001/02</t>
        </is>
      </c>
      <c r="B37">
        <v>2001</v>
      </c>
      <c r="C37" s="6">
        <v>3413094.0</v>
      </c>
      <c r="D37" s="7">
        <v>51.2</v>
      </c>
      <c r="E37" s="6">
        <v>3098.0</v>
      </c>
      <c r="H37" s="8">
        <v>1.3733333333333333</v>
      </c>
      <c r="I37" s="9">
        <v>96.46666666666668</v>
      </c>
      <c r="J37" s="10">
        <f>H37*1000/I37</f>
        <v>14.236351071181753</v>
      </c>
      <c r="L37" s="7">
        <v>1.040018938364936</v>
      </c>
      <c r="M37" s="7">
        <v>0.6972777684940874</v>
      </c>
      <c r="N37" s="7">
        <v>0.7935006202769388</v>
      </c>
      <c r="O37" s="7">
        <v>-0.76</v>
      </c>
      <c r="P37" s="7">
        <v>-0.05</v>
      </c>
      <c r="Q37" s="7">
        <v>-0.33</v>
      </c>
      <c r="R37" s="7">
        <v>-0.43626666666666836</v>
      </c>
    </row>
    <row r="38">
      <c r="A38" t="inlineStr">
        <is>
          <t xml:space="preserve">2002/03</t>
        </is>
      </c>
      <c r="B38">
        <v>2002</v>
      </c>
      <c r="C38" s="6">
        <v>3179735.0</v>
      </c>
      <c r="D38" s="7">
        <v>57.98</v>
      </c>
      <c r="E38" s="6">
        <v>2496.0</v>
      </c>
      <c r="H38" s="8">
        <v>1.355833333333333</v>
      </c>
      <c r="I38" s="9">
        <v>94.43333333333334</v>
      </c>
      <c r="J38" s="10">
        <f>H38*1000/I38</f>
        <v>14.357571478997526</v>
      </c>
      <c r="L38" s="7">
        <v>0.7541970987045848</v>
      </c>
      <c r="M38" s="7">
        <v>0.7846109164276716</v>
      </c>
      <c r="N38" s="7">
        <v>0.8604254104374038</v>
      </c>
      <c r="O38" s="7">
        <v>-0.15</v>
      </c>
      <c r="P38" s="7">
        <v>0.57</v>
      </c>
      <c r="Q38" s="7">
        <v>1.19</v>
      </c>
      <c r="R38" s="7">
        <v>0.5027333333333335</v>
      </c>
    </row>
    <row r="39">
      <c r="A39" t="inlineStr">
        <is>
          <t xml:space="preserve">2003/04</t>
        </is>
      </c>
      <c r="B39">
        <v>2003</v>
      </c>
      <c r="C39" s="6">
        <v>3643971.0</v>
      </c>
      <c r="D39" s="7">
        <v>67.45</v>
      </c>
      <c r="E39" s="6">
        <v>2968.0</v>
      </c>
      <c r="H39" s="8">
        <v>1.4158333333333333</v>
      </c>
      <c r="I39" s="9">
        <v>138.18333333333334</v>
      </c>
      <c r="J39" s="10">
        <f>H39*1000/I39</f>
        <v>10.246049933663008</v>
      </c>
      <c r="L39" s="7">
        <v>1.474669936897989</v>
      </c>
      <c r="M39" s="7">
        <v>0.9673242191474366</v>
      </c>
      <c r="N39" s="7">
        <v>0.9816227883038003</v>
      </c>
      <c r="O39" s="7">
        <v>0.9</v>
      </c>
      <c r="P39" s="7">
        <v>0.09</v>
      </c>
      <c r="Q39" s="7">
        <v>0.29</v>
      </c>
      <c r="R39" s="7">
        <v>0.5002333333333322</v>
      </c>
    </row>
    <row r="40">
      <c r="A40" t="inlineStr">
        <is>
          <t xml:space="preserve">2004/05</t>
        </is>
      </c>
      <c r="B40">
        <v>2004</v>
      </c>
      <c r="C40" s="6">
        <v>3126830.0</v>
      </c>
      <c r="D40" s="7">
        <v>104.35</v>
      </c>
      <c r="E40" s="6">
        <v>2575.0</v>
      </c>
      <c r="H40" s="8">
        <v>1.7733333333333334</v>
      </c>
      <c r="I40" s="9">
        <v>174.92499999999998</v>
      </c>
      <c r="J40" s="10">
        <f>H40*1000/I40</f>
        <v>10.137678052498691</v>
      </c>
      <c r="K40" s="6">
        <v>26290.0</v>
      </c>
      <c r="L40" s="7">
        <v>1.0168892959429987</v>
      </c>
      <c r="M40" s="7">
        <v>1.091340619009065</v>
      </c>
      <c r="N40" s="7">
        <v>0.8277506947145565</v>
      </c>
      <c r="O40" s="7">
        <v>0.34</v>
      </c>
      <c r="P40" s="7">
        <v>0.39</v>
      </c>
      <c r="Q40" s="7">
        <v>0.64</v>
      </c>
      <c r="R40" s="7">
        <v>0.813233333333331</v>
      </c>
    </row>
    <row r="41">
      <c r="A41" t="inlineStr">
        <is>
          <t xml:space="preserve">2005/06</t>
        </is>
      </c>
      <c r="B41">
        <v>2005</v>
      </c>
      <c r="C41" s="6">
        <v>3817948.0</v>
      </c>
      <c r="D41" s="7">
        <v>105.32</v>
      </c>
      <c r="E41" s="6">
        <v>3204.0</v>
      </c>
      <c r="F41" s="6">
        <v>184</v>
      </c>
      <c r="G41" s="10">
        <f>E41/F41</f>
        <v>17.41304347826087</v>
      </c>
      <c r="H41" s="8">
        <v>2.5325</v>
      </c>
      <c r="I41" s="9">
        <v>217.35833333333335</v>
      </c>
      <c r="J41" s="10">
        <f>H41*1000/I41</f>
        <v>11.651267108844841</v>
      </c>
      <c r="K41" s="6">
        <v>41865.0</v>
      </c>
      <c r="L41" s="7">
        <v>0.8691079564417609</v>
      </c>
      <c r="M41" s="7">
        <v>0.878011692516777</v>
      </c>
      <c r="N41" s="7">
        <v>1.0302582886671086</v>
      </c>
      <c r="O41" s="7">
        <v>0.62</v>
      </c>
      <c r="P41" s="7">
        <v>-0.04</v>
      </c>
      <c r="Q41" s="7">
        <v>-0.57</v>
      </c>
      <c r="R41" s="7">
        <v>-0.7307666666666659</v>
      </c>
    </row>
    <row r="42">
      <c r="A42" t="inlineStr">
        <is>
          <t xml:space="preserve">2006/07</t>
        </is>
      </c>
      <c r="B42">
        <v>2006</v>
      </c>
      <c r="C42" s="6">
        <v>4194523.0</v>
      </c>
      <c r="D42" s="7">
        <v>112.03</v>
      </c>
      <c r="E42" s="6">
        <v>3460.0</v>
      </c>
      <c r="F42" s="6">
        <v>230</v>
      </c>
      <c r="G42" s="10">
        <f>E42/F42</f>
        <v>15.043478260869565</v>
      </c>
      <c r="H42" s="8">
        <v>2.5216666666666665</v>
      </c>
      <c r="I42" s="9">
        <v>222.14166666666665</v>
      </c>
      <c r="J42" s="10">
        <f>H42*1000/I42</f>
        <v>11.351614960423154</v>
      </c>
      <c r="K42" s="6">
        <v>66688.0</v>
      </c>
      <c r="L42" s="7">
        <v>0.6784048308353838</v>
      </c>
      <c r="M42" s="7">
        <v>0.7396401723847691</v>
      </c>
      <c r="N42" s="7">
        <v>0.9028745856598288</v>
      </c>
      <c r="O42" s="7">
        <v>-0.86</v>
      </c>
      <c r="P42" s="7">
        <v>0.12</v>
      </c>
      <c r="Q42" s="7">
        <v>0.88</v>
      </c>
      <c r="R42" s="7">
        <v>0.5617333333333328</v>
      </c>
    </row>
    <row r="43">
      <c r="A43" t="inlineStr">
        <is>
          <t xml:space="preserve">2007/08</t>
        </is>
      </c>
      <c r="B43">
        <v>2007</v>
      </c>
      <c r="C43" s="6">
        <v>4427991.0</v>
      </c>
      <c r="D43" s="7">
        <v>134.24</v>
      </c>
      <c r="E43" s="6">
        <v>3642.0</v>
      </c>
      <c r="F43" s="6">
        <v>230</v>
      </c>
      <c r="G43" s="10">
        <f>E43/F43</f>
        <v>15.834782608695653</v>
      </c>
      <c r="H43" s="8">
        <v>2.7241666666666666</v>
      </c>
      <c r="I43" s="9">
        <v>307.1166666666667</v>
      </c>
      <c r="J43" s="10">
        <f>H43*1000/I43</f>
        <v>8.870136213165463</v>
      </c>
      <c r="K43" s="6">
        <v>63491.0</v>
      </c>
      <c r="L43" s="7">
        <v>1.0717251763829279</v>
      </c>
      <c r="M43" s="7">
        <v>0.7841669436358042</v>
      </c>
      <c r="N43" s="7">
        <v>1.1407274407974275</v>
      </c>
      <c r="O43" s="7">
        <v>0.62</v>
      </c>
      <c r="P43" s="7">
        <v>-0.49</v>
      </c>
      <c r="Q43" s="7">
        <v>-1.57</v>
      </c>
      <c r="R43" s="7">
        <v>-0.7302666666666671</v>
      </c>
    </row>
    <row r="44">
      <c r="A44" t="inlineStr">
        <is>
          <t xml:space="preserve">2008/09</t>
        </is>
      </c>
      <c r="B44">
        <v>2008</v>
      </c>
      <c r="C44" s="6">
        <v>3940279.0</v>
      </c>
      <c r="D44" s="7">
        <v>117.74</v>
      </c>
      <c r="E44" s="6">
        <v>3225.0</v>
      </c>
      <c r="F44" s="6">
        <v>224</v>
      </c>
      <c r="G44" s="10">
        <f>E44/F44</f>
        <v>14.397321428571429</v>
      </c>
      <c r="H44" s="8">
        <v>3.080833333333333</v>
      </c>
      <c r="I44" s="9">
        <v>514.9833333333333</v>
      </c>
      <c r="J44" s="10">
        <f>H44*1000/I44</f>
        <v>5.982394252241172</v>
      </c>
      <c r="K44" s="6">
        <v>55554.0</v>
      </c>
      <c r="L44" s="7">
        <v>0.9270484868712114</v>
      </c>
      <c r="M44" s="7">
        <v>0.8859847039040623</v>
      </c>
      <c r="N44" s="7">
        <v>1.3732227607651706</v>
      </c>
      <c r="O44" s="7">
        <v>-1.76</v>
      </c>
      <c r="P44" s="7">
        <v>-0.33</v>
      </c>
      <c r="Q44" s="7">
        <v>-0.57</v>
      </c>
      <c r="R44" s="7">
        <v>-0.6442666666666685</v>
      </c>
    </row>
    <row r="45">
      <c r="A45" t="inlineStr">
        <is>
          <t xml:space="preserve">2009/10</t>
        </is>
      </c>
      <c r="B45">
        <v>2009</v>
      </c>
      <c r="C45" s="6">
        <v>4122888.0</v>
      </c>
      <c r="D45" s="7">
        <v>146.87</v>
      </c>
      <c r="E45" s="6">
        <v>3550.0</v>
      </c>
      <c r="F45" s="6">
        <v>224</v>
      </c>
      <c r="G45" s="10">
        <f>E45/F45</f>
        <v>15.848214285714286</v>
      </c>
      <c r="H45" s="8">
        <v>3.170833333333334</v>
      </c>
      <c r="I45" s="9">
        <v>251.10000000000002</v>
      </c>
      <c r="J45" s="10">
        <f>H45*1000/I45</f>
        <v>12.627771140315945</v>
      </c>
      <c r="K45" s="6">
        <v>47616.0</v>
      </c>
      <c r="L45" s="7">
        <v>0.9522737680360762</v>
      </c>
      <c r="M45" s="7">
        <v>1.2530947061794229</v>
      </c>
      <c r="N45" s="7">
        <v>0.9379962051066619</v>
      </c>
      <c r="O45" s="7">
        <v>-0.89</v>
      </c>
      <c r="P45" s="7">
        <v>0.5</v>
      </c>
      <c r="Q45" s="7">
        <v>1.31</v>
      </c>
      <c r="R45" s="7">
        <v>1.1522333333333332</v>
      </c>
    </row>
    <row r="46">
      <c r="A46" t="inlineStr">
        <is>
          <t xml:space="preserve">2010/11</t>
        </is>
      </c>
      <c r="B46">
        <v>2010</v>
      </c>
      <c r="C46" s="6">
        <v>5042612.0</v>
      </c>
      <c r="D46" s="7">
        <v>245.69</v>
      </c>
      <c r="E46" s="6">
        <v>3975.0</v>
      </c>
      <c r="F46" s="6">
        <v>238</v>
      </c>
      <c r="G46" s="10">
        <f>E46/F46</f>
        <v>16.701680672268907</v>
      </c>
      <c r="H46" s="8">
        <v>4.319999999999999</v>
      </c>
      <c r="I46" s="9">
        <v>288.9166666666667</v>
      </c>
      <c r="J46" s="10">
        <f>H46*1000/I46</f>
        <v>14.952408422267085</v>
      </c>
      <c r="K46" s="6">
        <v>56041.0</v>
      </c>
      <c r="L46" s="7">
        <v>0.9739287017129906</v>
      </c>
      <c r="M46" s="7">
        <v>1.352026643300543</v>
      </c>
      <c r="N46" s="7">
        <v>1.2210740240998093</v>
      </c>
      <c r="O46" s="7">
        <v>1.47</v>
      </c>
      <c r="P46" s="7">
        <v>-0.98</v>
      </c>
      <c r="Q46" s="7">
        <v>-1.57</v>
      </c>
      <c r="R46" s="7">
        <v>-0.8197666666666681</v>
      </c>
    </row>
    <row r="47">
      <c r="A47" t="inlineStr">
        <is>
          <t xml:space="preserve">2011/12</t>
        </is>
      </c>
      <c r="B47">
        <v>2011</v>
      </c>
      <c r="C47" s="6">
        <v>7139810.0</v>
      </c>
      <c r="D47" s="7">
        <v>201.56</v>
      </c>
      <c r="E47" s="6">
        <v>5600.0</v>
      </c>
      <c r="F47" s="6">
        <v>245</v>
      </c>
      <c r="G47" s="10">
        <f>E47/F47</f>
        <v>22.857142857142858</v>
      </c>
      <c r="H47" s="8">
        <v>5.9766666666666675</v>
      </c>
      <c r="I47" s="9">
        <v>398.94166666666666</v>
      </c>
      <c r="J47" s="10">
        <f>H47*1000/I47</f>
        <v>14.981304702024108</v>
      </c>
      <c r="K47" s="6">
        <v>85542.0</v>
      </c>
      <c r="L47" s="7">
        <v>1.2710825138350967</v>
      </c>
      <c r="M47" s="7">
        <v>1.1462267554036731</v>
      </c>
      <c r="N47" s="7">
        <v>1.3071464936702812</v>
      </c>
      <c r="O47" s="7">
        <v>-1.29</v>
      </c>
      <c r="P47" s="7">
        <v>-0.37</v>
      </c>
      <c r="Q47" s="7">
        <v>-1.02</v>
      </c>
      <c r="R47" s="7">
        <v>-0.8227666666666664</v>
      </c>
    </row>
    <row r="48">
      <c r="A48" t="inlineStr">
        <is>
          <t xml:space="preserve">2012/13</t>
        </is>
      </c>
      <c r="B48">
        <v>2012</v>
      </c>
      <c r="C48" s="6">
        <v>5660894.0</v>
      </c>
      <c r="D48" s="7">
        <v>140.47</v>
      </c>
      <c r="E48" s="6">
        <v>4725.0</v>
      </c>
      <c r="F48" s="6">
        <v>267</v>
      </c>
      <c r="G48" s="10">
        <f>E48/F48</f>
        <v>17.696629213483146</v>
      </c>
      <c r="H48" s="8">
        <v>4.111666666666667</v>
      </c>
      <c r="I48" s="9">
        <v>398.59999999999997</v>
      </c>
      <c r="J48" s="10">
        <f>H48*1000/I48</f>
        <v>10.315270112058874</v>
      </c>
      <c r="K48" s="6">
        <v>75417.0</v>
      </c>
      <c r="L48" s="7">
        <v>0.9822336404349615</v>
      </c>
      <c r="M48" s="7">
        <v>1.697381978774401</v>
      </c>
      <c r="N48" s="7">
        <v>1.0413285547086892</v>
      </c>
      <c r="O48" s="7">
        <v>-0.71</v>
      </c>
      <c r="P48" s="7">
        <v>0.28</v>
      </c>
      <c r="Q48" s="7">
        <v>0.13</v>
      </c>
      <c r="R48" s="7">
        <v>0.0497333333333323</v>
      </c>
    </row>
    <row r="49">
      <c r="A49" t="inlineStr">
        <is>
          <t xml:space="preserve">2013/14</t>
        </is>
      </c>
      <c r="B49">
        <v>2013</v>
      </c>
      <c r="C49" s="6">
        <v>5446757.0</v>
      </c>
      <c r="D49" s="7">
        <v>145.43</v>
      </c>
      <c r="E49" s="6">
        <v>4400.0</v>
      </c>
      <c r="F49" s="6">
        <v>213</v>
      </c>
      <c r="G49" s="10">
        <f>E49/F49</f>
        <v>20.657276995305164</v>
      </c>
      <c r="H49" s="8">
        <v>3.0766666666666667</v>
      </c>
      <c r="I49" s="9">
        <v>339.60833333333335</v>
      </c>
      <c r="J49" s="10">
        <f>H49*1000/I49</f>
        <v>9.05945574558928</v>
      </c>
      <c r="K49" s="6">
        <v>74712.0</v>
      </c>
      <c r="L49" s="7">
        <v>1.287110269406003</v>
      </c>
      <c r="M49" s="7">
        <v>1.1058252313437391</v>
      </c>
      <c r="N49" s="7">
        <v>1.0004810489937657</v>
      </c>
      <c r="O49" s="7">
        <v>-0.24</v>
      </c>
      <c r="P49" s="7">
        <v>-0.45</v>
      </c>
      <c r="Q49" s="7">
        <v>-0.12</v>
      </c>
      <c r="R49" s="7">
        <v>0.31223333333333336</v>
      </c>
    </row>
    <row r="50">
      <c r="A50" t="inlineStr">
        <is>
          <t xml:space="preserve">2014/15</t>
        </is>
      </c>
      <c r="B50">
        <v>2014</v>
      </c>
      <c r="C50" s="6">
        <v>6547920.0</v>
      </c>
      <c r="D50" s="7">
        <v>155.04</v>
      </c>
      <c r="E50" s="6">
        <v>5100.0</v>
      </c>
      <c r="F50" s="6">
        <v>227</v>
      </c>
      <c r="G50" s="10">
        <f>E50/F50</f>
        <v>22.46696035242291</v>
      </c>
      <c r="H50" s="8">
        <v>4.425</v>
      </c>
      <c r="I50" s="9">
        <v>308.44166666666666</v>
      </c>
      <c r="J50" s="10">
        <f>H50*1000/I50</f>
        <v>14.346310755680436</v>
      </c>
      <c r="K50" s="6">
        <v>74007.0</v>
      </c>
      <c r="L50" s="7">
        <v>1.249660428907396</v>
      </c>
      <c r="M50" s="7">
        <v>0.8836538467467585</v>
      </c>
      <c r="N50" s="7">
        <v>0.9993924399445194</v>
      </c>
      <c r="O50" s="7">
        <v>-0.24</v>
      </c>
      <c r="P50" s="7">
        <v>0.07</v>
      </c>
      <c r="Q50" s="7">
        <v>0.7</v>
      </c>
      <c r="R50" s="7">
        <v>-0.172266666666669</v>
      </c>
    </row>
    <row r="51">
      <c r="A51" t="inlineStr">
        <is>
          <t xml:space="preserve">2015/16</t>
        </is>
      </c>
      <c r="B51">
        <v>2015</v>
      </c>
      <c r="C51" s="6">
        <v>6704360.0</v>
      </c>
      <c r="D51" s="7">
        <v>125.6</v>
      </c>
      <c r="E51" s="6">
        <v>5300.0</v>
      </c>
      <c r="F51" s="6">
        <v>240</v>
      </c>
      <c r="G51" s="10">
        <f>E51/F51</f>
        <v>22.083333333333332</v>
      </c>
      <c r="H51" s="8">
        <v>3.5258333333333334</v>
      </c>
      <c r="I51" s="9">
        <v>277.94166666666666</v>
      </c>
      <c r="J51" s="10">
        <f>H51*1000/I51</f>
        <v>12.685515545827963</v>
      </c>
      <c r="K51" s="6">
        <v>75343.0</v>
      </c>
      <c r="L51" s="7">
        <v>1.1149186193621499</v>
      </c>
      <c r="M51" s="7">
        <v>0.589392380070308</v>
      </c>
      <c r="N51" s="7">
        <v>0.9007467002977068</v>
      </c>
      <c r="O51" s="7">
        <v>0.73</v>
      </c>
      <c r="P51" s="7">
        <v>1.44</v>
      </c>
      <c r="Q51" s="7">
        <v>2.45</v>
      </c>
      <c r="R51" s="7">
        <v>0.8392333333333326</v>
      </c>
    </row>
    <row r="52">
      <c r="A52" t="inlineStr">
        <is>
          <t xml:space="preserve">2016/17</t>
        </is>
      </c>
      <c r="B52">
        <v>2016</v>
      </c>
      <c r="C52" s="6">
        <v>9509895.0</v>
      </c>
      <c r="D52" s="7">
        <v>139.61</v>
      </c>
      <c r="E52" s="6">
        <v>7510.0</v>
      </c>
      <c r="F52" s="6">
        <v>280</v>
      </c>
      <c r="G52" s="10">
        <f>E52/F52</f>
        <v>26.821428571428573</v>
      </c>
      <c r="H52" s="8">
        <v>3.6125000000000003</v>
      </c>
      <c r="I52" s="9">
        <v>194.15</v>
      </c>
      <c r="J52" s="10">
        <f>H52*1000/I52</f>
        <v>18.606747360288438</v>
      </c>
      <c r="K52" s="6">
        <v>95944.0</v>
      </c>
      <c r="L52" s="7">
        <v>1.1932722234727065</v>
      </c>
      <c r="M52" s="7">
        <v>0.5859700897996635</v>
      </c>
      <c r="N52" s="7">
        <v>0.8067513932661035</v>
      </c>
      <c r="O52" s="7">
        <v>2.5</v>
      </c>
      <c r="P52" s="7">
        <v>-0.19</v>
      </c>
      <c r="Q52" s="7">
        <v>-0.49</v>
      </c>
      <c r="R52" s="7">
        <v>0.13723333333333265</v>
      </c>
    </row>
    <row r="53">
      <c r="A53" t="inlineStr">
        <is>
          <t xml:space="preserve">2017/18</t>
        </is>
      </c>
      <c r="B53">
        <v>2017</v>
      </c>
      <c r="C53" s="6">
        <v>9410583.0</v>
      </c>
      <c r="D53" s="7">
        <v>120.85</v>
      </c>
      <c r="E53" s="6">
        <v>7600.0</v>
      </c>
      <c r="F53" s="6">
        <v>298</v>
      </c>
      <c r="G53" s="10">
        <f>E53/F53</f>
        <v>25.503355704697988</v>
      </c>
      <c r="H53" s="8">
        <v>3.3241666666666667</v>
      </c>
      <c r="I53" s="9">
        <v>213.88333333333333</v>
      </c>
      <c r="J53" s="10">
        <f>H53*1000/I53</f>
        <v>15.541962128886464</v>
      </c>
      <c r="K53" s="6">
        <v>110175.0</v>
      </c>
      <c r="L53" s="7">
        <v>0.9253021212521053</v>
      </c>
      <c r="M53" s="7">
        <v>1.49918512493826</v>
      </c>
      <c r="N53" s="7">
        <v>1.2040279192591934</v>
      </c>
      <c r="O53" s="7">
        <v>-0.08</v>
      </c>
      <c r="P53" s="7">
        <v>0.14</v>
      </c>
      <c r="Q53" s="7">
        <v>-0.61</v>
      </c>
      <c r="R53" s="7">
        <v>-0.06326666666666902</v>
      </c>
    </row>
    <row r="54">
      <c r="A54" t="inlineStr">
        <is>
          <t xml:space="preserve">2018/19</t>
        </is>
      </c>
      <c r="B54">
        <v>2018</v>
      </c>
      <c r="C54" s="6">
        <v>8887536.0</v>
      </c>
      <c r="D54" s="7">
        <v>106.89</v>
      </c>
      <c r="E54" s="6">
        <v>7100.0</v>
      </c>
      <c r="F54" s="6">
        <v>286</v>
      </c>
      <c r="G54" s="10">
        <f>E54/F54</f>
        <v>24.825174825174827</v>
      </c>
      <c r="H54" s="8">
        <v>2.9250000000000003</v>
      </c>
      <c r="I54" s="9">
        <v>249.45000000000002</v>
      </c>
      <c r="J54" s="10">
        <f>H54*1000/I54</f>
        <v>11.725796752856285</v>
      </c>
      <c r="K54" s="6">
        <v>122752.0</v>
      </c>
      <c r="L54" s="7">
        <v>0.98984003290929</v>
      </c>
      <c r="M54" s="7">
        <v>1.2874286020838357</v>
      </c>
      <c r="N54" s="7">
        <v>0.743010209026093</v>
      </c>
      <c r="O54" s="7">
        <v>-0.71</v>
      </c>
      <c r="P54" s="7">
        <v>0.2</v>
      </c>
      <c r="Q54" s="7">
        <v>1.04</v>
      </c>
      <c r="R54" s="7">
        <v>0.1487333333333325</v>
      </c>
    </row>
    <row r="55">
      <c r="A55" t="inlineStr">
        <is>
          <t xml:space="preserve">2019/20</t>
        </is>
      </c>
      <c r="B55">
        <v>2019</v>
      </c>
      <c r="C55" s="6">
        <v>7182026.0</v>
      </c>
      <c r="D55" s="7">
        <v>124.93</v>
      </c>
      <c r="E55" s="6">
        <v>5200.0</v>
      </c>
      <c r="F55" s="6">
        <v>270</v>
      </c>
      <c r="G55" s="10">
        <f>E55/F55</f>
        <v>19.25925925925926</v>
      </c>
      <c r="H55" s="8">
        <v>2.8800000000000003</v>
      </c>
      <c r="I55" s="9">
        <v>245.28333333333333</v>
      </c>
      <c r="J55" s="10">
        <f>H55*1000/I55</f>
        <v>11.741523408303324</v>
      </c>
      <c r="K55" s="6">
        <v>86136.0</v>
      </c>
      <c r="L55" s="7">
        <v>0.6618725696411802</v>
      </c>
      <c r="M55" s="7">
        <v>1.065164723155216</v>
      </c>
      <c r="N55" s="7">
        <v>0.8854995959100751</v>
      </c>
      <c r="O55" s="7">
        <v>0.99</v>
      </c>
      <c r="P55" s="7">
        <v>0.38</v>
      </c>
      <c r="Q55" s="7">
        <v>0.72</v>
      </c>
      <c r="R55" s="7">
        <v>1.6022333333333325</v>
      </c>
    </row>
    <row r="56">
      <c r="A56" t="inlineStr">
        <is>
          <t xml:space="preserve">2020/21</t>
        </is>
      </c>
      <c r="B56">
        <v>2020</v>
      </c>
      <c r="C56" s="6">
        <v>7660696.0</v>
      </c>
      <c r="D56" s="7">
        <v>152.13</v>
      </c>
      <c r="E56" s="6">
        <v>6500.0</v>
      </c>
      <c r="F56" s="6">
        <v>273</v>
      </c>
      <c r="G56" s="10">
        <f>E56/F56</f>
        <v>23.80952380952381</v>
      </c>
      <c r="H56" s="8">
        <v>3.3233333333333337</v>
      </c>
      <c r="I56" s="9">
        <v>229.1</v>
      </c>
      <c r="J56" s="10">
        <f>H56*1000/I56</f>
        <v>14.506038120180417</v>
      </c>
      <c r="K56" s="6">
        <v>128016.0</v>
      </c>
      <c r="L56" s="7">
        <v>0.9524678086604212</v>
      </c>
      <c r="M56" s="7">
        <v>1.0700114261331017</v>
      </c>
      <c r="N56" s="7">
        <v>1.0604762341186962</v>
      </c>
      <c r="O56" s="7">
        <v>0.71</v>
      </c>
      <c r="P56" s="7">
        <v>-0.29</v>
      </c>
      <c r="Q56" s="7">
        <v>-1.11</v>
      </c>
      <c r="R56" s="7">
        <v>0.2607333333333326</v>
      </c>
    </row>
    <row r="57">
      <c r="A57" t="inlineStr">
        <is>
          <t xml:space="preserve">2021/22</t>
        </is>
      </c>
      <c r="B57">
        <v>2021</v>
      </c>
      <c r="E57" s="6">
        <v>4800.0</v>
      </c>
      <c r="F57" s="6">
        <v>275</v>
      </c>
      <c r="G57" s="10">
        <f>E57/F57</f>
        <v>17.454545454545453</v>
      </c>
      <c r="H57" s="8">
        <v>4.510833333333334</v>
      </c>
      <c r="I57" s="9">
        <v>483.2166666666667</v>
      </c>
      <c r="J57" s="10">
        <f>H57*1000/I57</f>
        <v>9.335011899424</v>
      </c>
      <c r="K57" s="6">
        <v>104868.0</v>
      </c>
      <c r="L57" s="7">
        <v>1.0442490239756597</v>
      </c>
      <c r="M57" s="7">
        <v>0.892403810519812</v>
      </c>
      <c r="N57" s="7">
        <v>0.8535747377800621</v>
      </c>
      <c r="O57" s="7">
        <v>-0.99</v>
      </c>
      <c r="P57" s="7">
        <v>-0.35</v>
      </c>
      <c r="Q57" s="7">
        <v>-0.91</v>
      </c>
      <c r="R57" s="7">
        <v>1.2527333333333317</v>
      </c>
    </row>
    <row r="58">
      <c r="A58" t="inlineStr">
        <is>
          <t xml:space="preserve">2022/23</t>
        </is>
      </c>
      <c r="B58">
        <v>2022</v>
      </c>
      <c r="E58" s="6">
        <v>5700.0</v>
      </c>
      <c r="F58" s="6">
        <v>285</v>
      </c>
      <c r="G58" s="10">
        <f>E58/F58</f>
        <v>20.0</v>
      </c>
      <c r="H58" s="8">
        <v>5.630833333333334</v>
      </c>
      <c r="I58" s="9">
        <v>700.0333333333334</v>
      </c>
      <c r="J58" s="10">
        <f>H58*1000/I58</f>
        <v>8.0436645874006</v>
      </c>
      <c r="K58" s="6">
        <v>104865.0</v>
      </c>
      <c r="L58" s="7">
        <v>0.7647917167938281</v>
      </c>
      <c r="M58" s="7">
        <v>1.2148575494798428</v>
      </c>
      <c r="N58" s="7">
        <v>1.1475846911529524</v>
      </c>
      <c r="O58" s="7">
        <v>-0.76</v>
      </c>
      <c r="P58" s="7">
        <v>-0.7</v>
      </c>
      <c r="Q58" s="7">
        <v>-0.82</v>
      </c>
      <c r="R58" s="7">
        <v>-0.43026666666666635</v>
      </c>
    </row>
    <row r="59">
      <c r="A59" t="inlineStr">
        <is>
          <t xml:space="preserve">2023/24</t>
        </is>
      </c>
      <c r="B59">
        <v>2023</v>
      </c>
      <c r="E59" s="6">
        <v>5050.0</v>
      </c>
      <c r="F59" s="6">
        <v>292</v>
      </c>
      <c r="G59" s="10">
        <f>E59/F59</f>
        <v>17.294520547945204</v>
      </c>
      <c r="H59" s="8">
        <v>4.540833333333333</v>
      </c>
      <c r="I59" s="9">
        <v>358.0083333333334</v>
      </c>
      <c r="J59" s="10">
        <f>H59*1000/I59</f>
        <v>12.683596750541186</v>
      </c>
      <c r="K59" s="6">
        <v>104427.0</v>
      </c>
      <c r="L59" s="7">
        <v>0.8053462072819566</v>
      </c>
      <c r="M59" s="7">
        <v>0.7718097009288281</v>
      </c>
      <c r="N59" s="7">
        <v>0.719527826513649</v>
      </c>
      <c r="O59" s="7">
        <v>-0.55</v>
      </c>
      <c r="P59" s="7">
        <v>1.0</v>
      </c>
      <c r="Q59" s="7">
        <v>1.9</v>
      </c>
      <c r="R59" s="7">
        <v>1.386733333333332</v>
      </c>
    </row>
    <row r="60">
      <c r="A60" t="inlineStr">
        <is>
          <t xml:space="preserve">2024/25</t>
        </is>
      </c>
      <c r="B60">
        <v>2024</v>
      </c>
      <c r="E60" s="6">
        <v>5200.0</v>
      </c>
      <c r="F60" s="6">
        <v>300</v>
      </c>
      <c r="G60" s="10">
        <f>E60/F60</f>
        <v>17.333333333333332</v>
      </c>
      <c r="H60" s="8">
        <v>5.620833333333333</v>
      </c>
      <c r="I60" s="9">
        <v>338.28333333333336</v>
      </c>
      <c r="J60" s="10">
        <f>H60*1000/I60</f>
        <v>16.615756023057592</v>
      </c>
      <c r="K60" s="6">
        <v>106830.0</v>
      </c>
      <c r="L60" s="7">
        <v>0.5642701355955883</v>
      </c>
      <c r="M60" s="7">
        <v>0.36951485489797564</v>
      </c>
      <c r="N60" s="7">
        <v>0.9658955119488274</v>
      </c>
      <c r="O60" s="7">
        <v>1.84</v>
      </c>
      <c r="P60" s="7">
        <v>0.06</v>
      </c>
      <c r="Q60" s="7">
        <v>-0.29</v>
      </c>
      <c r="R60" s="7">
        <v>0.5212333333333312</v>
      </c>
    </row>
    <row r="61">
      <c r="A61" t="inlineStr">
        <is>
          <t xml:space="preserve">2025/26</t>
        </is>
      </c>
      <c r="B61">
        <v>2025</v>
      </c>
      <c r="E61" s="6">
        <v>5530.0</v>
      </c>
      <c r="F61" s="6">
        <v>310</v>
      </c>
      <c r="G61" s="10">
        <f>E61/F61</f>
        <v>17.838709677419356</v>
      </c>
      <c r="H61" s="8">
        <v>8.47</v>
      </c>
      <c r="I61" s="9">
        <v>422.6583333333333</v>
      </c>
      <c r="J61" s="10">
        <f>H61*1000/I61</f>
        <v>20.03982728366096</v>
      </c>
      <c r="L61" s="7">
        <v>1.1817462103866068</v>
      </c>
      <c r="M61" s="7">
        <v>0.543311704047737</v>
      </c>
      <c r="N61" s="7">
        <v>1.1820288076869614</v>
      </c>
      <c r="O61" s="7">
        <v>-0.46</v>
      </c>
      <c r="P61" s="7">
        <v>-0.11</v>
      </c>
      <c r="Q61" s="7">
        <v>-0.61</v>
      </c>
      <c r="R61" s="7">
        <v>0.6842333333333332</v>
      </c>
    </row>
    <row r="62">
      <c r="A62" t="inlineStr">
        <is>
          <t xml:space="preserve">2026/27</t>
        </is>
      </c>
      <c r="B62">
        <v>2026</v>
      </c>
      <c r="E62" s="6">
        <v>6030.0</v>
      </c>
      <c r="F62" s="6">
        <v>330</v>
      </c>
      <c r="G62" s="10">
        <f>E62/F62</f>
        <v>18.272727272727273</v>
      </c>
      <c r="H62" s="8">
        <v>7.42375</v>
      </c>
      <c r="I62" s="9">
        <v>560.4375</v>
      </c>
      <c r="J62" s="10">
        <f>H62*1000/I62</f>
        <v>13.246347719415635</v>
      </c>
      <c r="L62" s="7">
        <v>1.4271299839334364</v>
      </c>
      <c r="M62" s="7">
        <v>0.8985454341406444</v>
      </c>
      <c r="O62" s="7">
        <v>-0.39</v>
      </c>
      <c r="P62" s="7">
        <v>1.8</v>
      </c>
    </row>
    <row r="64">
      <c r="A64" s="3" t="inlineStr">
        <is>
          <t xml:space="preserve">Notes</t>
        </is>
      </c>
    </row>
    <row r="65">
      <c r="A65" t="inlineStr">
        <is>
          <t xml:space="preserve">2026/27: USDA production and area are the USDA forecast (May 2026); arabica, urea = Jan-Aug 2026 mean; rain Jun-Oct 2026 not complete (see Weather).</t>
        </is>
      </c>
    </row>
    <row r="66">
      <c r="A66" t="inlineStr">
        <is>
          <t xml:space="preserve">IHCAFE exports stop at 2020/21 in the IHCAFE report read; 2021/22 = 6 131 226 bags of 46 kg (bulletin 07-02-2023, not used in the tests).</t>
        </is>
      </c>
    </row>
    <row r="67">
      <c r="A67" t="inlineStr">
        <is>
          <t xml:space="preserve">FAO nitrogen use is for all crops (coffee is not separated) and stops in 2022.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5" topLeftCell="C6" activePane="bottomRight" state="frozen"/>
    </sheetView>
  </sheetViews>
  <sheetFormatPr defaultRowHeight="13.2"/>
  <cols>
    <col min="1" max="1" width="10" customWidth="1"/>
    <col min="2" max="2" width="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</cols>
  <sheetData>
    <row r="1">
      <c r="A1" s="1" t="inlineStr">
        <is>
          <t xml:space="preserve">Year-on-year changes (natural log: 0.10 = about +10 %)</t>
        </is>
      </c>
    </row>
    <row r="2">
      <c r="A2" s="2" t="inlineStr">
        <is>
          <t xml:space="preserve">All black cells are formulas on the Data sheet. "Last year" columns = the same column one row up (the biennial / mean-reversion test).</t>
        </is>
      </c>
    </row>
    <row r="5">
      <c r="A5" s="5" t="inlineStr">
        <is>
          <t xml:space="preserve">Crop year</t>
        </is>
      </c>
      <c r="B5" s="5" t="inlineStr">
        <is>
          <t xml:space="preserve">t</t>
        </is>
      </c>
      <c r="C5" s="5" t="inlineStr">
        <is>
          <t xml:space="preserve">Exports</t>
        </is>
      </c>
      <c r="D5" s="5" t="inlineStr">
        <is>
          <t xml:space="preserve">USDA production</t>
        </is>
      </c>
      <c r="E5" s="5" t="inlineStr">
        <is>
          <t xml:space="preserve">Yield</t>
        </is>
      </c>
      <c r="F5" s="5" t="inlineStr">
        <is>
          <t xml:space="preserve">Bearing area</t>
        </is>
      </c>
      <c r="G5" s="5" t="inlineStr">
        <is>
          <t xml:space="preserve">Arabica price</t>
        </is>
      </c>
      <c r="H5" s="5" t="inlineStr">
        <is>
          <t xml:space="preserve">Coffee/urea ratio</t>
        </is>
      </c>
      <c r="I5" s="5" t="inlineStr">
        <is>
          <t xml:space="preserve">Nitrogen use</t>
        </is>
      </c>
      <c r="J5" s="5" t="inlineStr">
        <is>
          <t xml:space="preserve">Rain Dec-Mar (log of ratio)</t>
        </is>
      </c>
      <c r="K5" s="5" t="inlineStr">
        <is>
          <t xml:space="preserve">Rain Apr-May</t>
        </is>
      </c>
      <c r="L5" s="5" t="inlineStr">
        <is>
          <t xml:space="preserve">Rain Jun-Oct</t>
        </is>
      </c>
      <c r="M5" s="5" t="inlineStr">
        <is>
          <t xml:space="preserve">ONI DJF</t>
        </is>
      </c>
      <c r="N5" s="5" t="inlineStr">
        <is>
          <t xml:space="preserve">ONI JJA</t>
        </is>
      </c>
      <c r="O5" s="5" t="inlineStr">
        <is>
          <t xml:space="preserve">Last year: production change</t>
        </is>
      </c>
      <c r="P5" s="5" t="inlineStr">
        <is>
          <t xml:space="preserve">Last year: exports change</t>
        </is>
      </c>
      <c r="Q5" s="5" t="inlineStr">
        <is>
          <t xml:space="preserve">Coffee-zone max. temperature Sep-Oct (deg C vs normal)</t>
        </is>
      </c>
    </row>
    <row r="6">
      <c r="A6" t="inlineStr">
        <is>
          <t xml:space="preserve">1970/71</t>
        </is>
      </c>
      <c r="B6">
        <v>1970</v>
      </c>
    </row>
    <row r="7">
      <c r="A7" t="inlineStr">
        <is>
          <t xml:space="preserve">1971/72</t>
        </is>
      </c>
      <c r="B7">
        <v>1971</v>
      </c>
      <c r="C7" s="11">
        <f>LN(Data!C7/Data!C6)</f>
        <v>0.39100925235581063</v>
      </c>
      <c r="D7" s="11">
        <f>LN(Data!E7/Data!E6)</f>
        <v>0.0725339949137685</v>
      </c>
      <c r="G7" s="11">
        <f>LN(Data!H7/Data!H6)</f>
        <v>-0.1467946020378732</v>
      </c>
      <c r="H7" s="11">
        <f>LN(Data!J7/Data!J6)</f>
        <v>-0.012482264430278915</v>
      </c>
      <c r="M7" s="12">
        <f>Data!O7</f>
        <v>-1.29</v>
      </c>
      <c r="N7" s="12">
        <f>Data!P7</f>
        <v>-0.68</v>
      </c>
    </row>
    <row r="8">
      <c r="A8" t="inlineStr">
        <is>
          <t xml:space="preserve">1972/73</t>
        </is>
      </c>
      <c r="B8">
        <v>1972</v>
      </c>
      <c r="C8" s="11">
        <f>LN(Data!C8/Data!C7)</f>
        <v>0.20268203011597483</v>
      </c>
      <c r="D8" s="11">
        <f>LN(Data!E8/Data!E7)</f>
        <v>0.25868198781861734</v>
      </c>
      <c r="G8" s="11">
        <f>LN(Data!H8/Data!H7)</f>
        <v>0.11431942348792674</v>
      </c>
      <c r="H8" s="11">
        <f>LN(Data!J8/Data!J7)</f>
        <v>-0.49067937029531383</v>
      </c>
      <c r="M8" s="12">
        <f>Data!O8</f>
        <v>-0.57</v>
      </c>
      <c r="N8" s="12">
        <f>Data!P8</f>
        <v>1.0</v>
      </c>
      <c r="O8" s="11">
        <f>D7</f>
        <v>0.0725339949137685</v>
      </c>
      <c r="P8" s="11">
        <f>C7</f>
        <v>0.39100925235581063</v>
      </c>
    </row>
    <row r="9">
      <c r="A9" t="inlineStr">
        <is>
          <t xml:space="preserve">1973/74</t>
        </is>
      </c>
      <c r="B9">
        <v>1973</v>
      </c>
      <c r="C9" s="11">
        <f>LN(Data!C9/Data!C8)</f>
        <v>-0.36316637353520353</v>
      </c>
      <c r="D9" s="11">
        <f>LN(Data!E9/Data!E8)</f>
        <v>-0.09676050638197134</v>
      </c>
      <c r="G9" s="11">
        <f>LN(Data!H9/Data!H8)</f>
        <v>0.2121303902907081</v>
      </c>
      <c r="H9" s="11">
        <f>LN(Data!J9/Data!J8)</f>
        <v>-0.5815876970444986</v>
      </c>
      <c r="M9" s="12">
        <f>Data!O9</f>
        <v>1.55</v>
      </c>
      <c r="N9" s="12">
        <f>Data!P9</f>
        <v>-0.99</v>
      </c>
      <c r="O9" s="11">
        <f>D8</f>
        <v>0.25868198781861734</v>
      </c>
      <c r="P9" s="11">
        <f>C8</f>
        <v>0.20268203011597483</v>
      </c>
    </row>
    <row r="10">
      <c r="A10" t="inlineStr">
        <is>
          <t xml:space="preserve">1974/75</t>
        </is>
      </c>
      <c r="B10">
        <v>1974</v>
      </c>
      <c r="C10" s="11">
        <f>LN(Data!C10/Data!C9)</f>
        <v>0.5866197893409526</v>
      </c>
      <c r="D10" s="11">
        <f>LN(Data!E10/Data!E9)</f>
        <v>0.35536784913350805</v>
      </c>
      <c r="G10" s="11">
        <f>LN(Data!H10/Data!H9)</f>
        <v>0.05604533505060413</v>
      </c>
      <c r="H10" s="11">
        <f>LN(Data!J10/Data!J9)</f>
        <v>-1.4279413270869346</v>
      </c>
      <c r="M10" s="12">
        <f>Data!O10</f>
        <v>-1.87</v>
      </c>
      <c r="N10" s="12">
        <f>Data!P10</f>
        <v>-0.46</v>
      </c>
      <c r="O10" s="11">
        <f>D9</f>
        <v>-0.09676050638197134</v>
      </c>
      <c r="P10" s="11">
        <f>C9</f>
        <v>-0.36316637353520353</v>
      </c>
    </row>
    <row r="11">
      <c r="A11" t="inlineStr">
        <is>
          <t xml:space="preserve">1975/76</t>
        </is>
      </c>
      <c r="B11">
        <v>1975</v>
      </c>
      <c r="C11" s="11">
        <f>LN(Data!C11/Data!C10)</f>
        <v>-0.30443821142990724</v>
      </c>
      <c r="D11" s="11">
        <f>LN(Data!E11/Data!E10)</f>
        <v>-0.14890842549511218</v>
      </c>
      <c r="G11" s="11">
        <f>LN(Data!H11/Data!H10)</f>
        <v>-0.007486358028196399</v>
      </c>
      <c r="H11" s="11">
        <f>LN(Data!J11/Data!J10)</f>
        <v>0.523841928064312</v>
      </c>
      <c r="M11" s="12">
        <f>Data!O11</f>
        <v>-0.56</v>
      </c>
      <c r="N11" s="12">
        <f>Data!P11</f>
        <v>-1.08</v>
      </c>
      <c r="O11" s="11">
        <f>D10</f>
        <v>0.35536784913350805</v>
      </c>
      <c r="P11" s="11">
        <f>C10</f>
        <v>0.5866197893409526</v>
      </c>
    </row>
    <row r="12">
      <c r="A12" t="inlineStr">
        <is>
          <t xml:space="preserve">1976/77</t>
        </is>
      </c>
      <c r="B12">
        <v>1976</v>
      </c>
      <c r="C12" s="11">
        <f>LN(Data!C12/Data!C11)</f>
        <v>-0.005180300718186318</v>
      </c>
      <c r="D12" s="11">
        <f>LN(Data!E12/Data!E11)</f>
        <v>-0.20356087088438451</v>
      </c>
      <c r="G12" s="11">
        <f>LN(Data!H12/Data!H11)</f>
        <v>0.7808086352206325</v>
      </c>
      <c r="H12" s="11">
        <f>LN(Data!J12/Data!J11)</f>
        <v>1.4980533673596383</v>
      </c>
      <c r="M12" s="12">
        <f>Data!O12</f>
        <v>-1.49</v>
      </c>
      <c r="N12" s="12">
        <f>Data!P12</f>
        <v>0.23</v>
      </c>
      <c r="O12" s="11">
        <f>D11</f>
        <v>-0.14890842549511218</v>
      </c>
      <c r="P12" s="11">
        <f>C11</f>
        <v>-0.30443821142990724</v>
      </c>
    </row>
    <row r="13">
      <c r="A13" t="inlineStr">
        <is>
          <t xml:space="preserve">1977/78</t>
        </is>
      </c>
      <c r="B13">
        <v>1977</v>
      </c>
      <c r="C13" s="11">
        <f>LN(Data!C13/Data!C12)</f>
        <v>0.40042482350287556</v>
      </c>
      <c r="D13" s="11">
        <f>LN(Data!E13/Data!E12)</f>
        <v>0.40498259905175843</v>
      </c>
      <c r="G13" s="11">
        <f>LN(Data!H13/Data!H12)</f>
        <v>0.4962642015839725</v>
      </c>
      <c r="H13" s="11">
        <f>LN(Data!J13/Data!J12)</f>
        <v>0.10919214558434731</v>
      </c>
      <c r="M13" s="12">
        <f>Data!O13</f>
        <v>0.71</v>
      </c>
      <c r="N13" s="12">
        <f>Data!P13</f>
        <v>0.39</v>
      </c>
      <c r="O13" s="11">
        <f>D12</f>
        <v>-0.20356087088438451</v>
      </c>
      <c r="P13" s="11">
        <f>C12</f>
        <v>-0.005180300718186318</v>
      </c>
    </row>
    <row r="14">
      <c r="A14" t="inlineStr">
        <is>
          <t xml:space="preserve">1978/79</t>
        </is>
      </c>
      <c r="B14">
        <v>1978</v>
      </c>
      <c r="C14" s="11">
        <f>LN(Data!C14/Data!C13)</f>
        <v>0.11267750609117952</v>
      </c>
      <c r="D14" s="11">
        <f>LN(Data!E14/Data!E13)</f>
        <v>0.0886188359436999</v>
      </c>
      <c r="G14" s="11">
        <f>LN(Data!H14/Data!H13)</f>
        <v>-0.36448838668059125</v>
      </c>
      <c r="H14" s="11">
        <f>LN(Data!J14/Data!J13)</f>
        <v>-0.48365829477929884</v>
      </c>
      <c r="M14" s="12">
        <f>Data!O14</f>
        <v>0.71</v>
      </c>
      <c r="N14" s="12">
        <f>Data!P14</f>
        <v>-0.37</v>
      </c>
      <c r="O14" s="11">
        <f>D13</f>
        <v>0.40498259905175843</v>
      </c>
      <c r="P14" s="11">
        <f>C13</f>
        <v>0.40042482350287556</v>
      </c>
    </row>
    <row r="15">
      <c r="A15" t="inlineStr">
        <is>
          <t xml:space="preserve">1979/80</t>
        </is>
      </c>
      <c r="B15">
        <v>1979</v>
      </c>
      <c r="C15" s="11">
        <f>LN(Data!C15/Data!C14)</f>
        <v>-0.07308522165905292</v>
      </c>
      <c r="D15" s="11">
        <f>LN(Data!E15/Data!E14)</f>
        <v>0.004407234987407827</v>
      </c>
      <c r="G15" s="11">
        <f>LN(Data!H15/Data!H14)</f>
        <v>0.06317416543875286</v>
      </c>
      <c r="H15" s="11">
        <f>LN(Data!J15/Data!J14)</f>
        <v>-0.05441147112026055</v>
      </c>
      <c r="M15" s="12">
        <f>Data!O15</f>
        <v>0.19</v>
      </c>
      <c r="N15" s="12">
        <f>Data!P15</f>
        <v>0.09</v>
      </c>
      <c r="O15" s="11">
        <f>D14</f>
        <v>0.0886188359436999</v>
      </c>
      <c r="P15" s="11">
        <f>C14</f>
        <v>0.11267750609117952</v>
      </c>
    </row>
    <row r="16">
      <c r="A16" t="inlineStr">
        <is>
          <t xml:space="preserve">1980/81</t>
        </is>
      </c>
      <c r="B16">
        <v>1980</v>
      </c>
      <c r="C16" s="11">
        <f>LN(Data!C16/Data!C15)</f>
        <v>0.05415371292233629</v>
      </c>
      <c r="D16" s="11">
        <f>LN(Data!E16/Data!E15)</f>
        <v>0.1066789074110846</v>
      </c>
      <c r="G16" s="11">
        <f>LN(Data!H16/Data!H15)</f>
        <v>-0.09812459407164956</v>
      </c>
      <c r="H16" s="11">
        <f>LN(Data!J16/Data!J15)</f>
        <v>-0.3687244397082468</v>
      </c>
      <c r="M16" s="12">
        <f>Data!O16</f>
        <v>0.62</v>
      </c>
      <c r="N16" s="12">
        <f>Data!P16</f>
        <v>0.18</v>
      </c>
      <c r="O16" s="11">
        <f>D15</f>
        <v>0.004407234987407827</v>
      </c>
      <c r="P16" s="11">
        <f>C15</f>
        <v>-0.07308522165905292</v>
      </c>
    </row>
    <row r="17">
      <c r="A17" t="inlineStr">
        <is>
          <t xml:space="preserve">1981/82</t>
        </is>
      </c>
      <c r="B17">
        <v>1981</v>
      </c>
      <c r="C17" s="11">
        <f>LN(Data!C17/Data!C16)</f>
        <v>-0.12402467854224176</v>
      </c>
      <c r="D17" s="11">
        <f>LN(Data!E17/Data!E16)</f>
        <v>-0.05275056538552897</v>
      </c>
      <c r="G17" s="11">
        <f>LN(Data!H17/Data!H16)</f>
        <v>-0.189993303185461</v>
      </c>
      <c r="H17" s="11">
        <f>LN(Data!J17/Data!J16)</f>
        <v>-0.09559678264981077</v>
      </c>
      <c r="K17" s="11">
        <f>LN(Data!M17)</f>
        <v>-0.11031876772611962</v>
      </c>
      <c r="L17" s="11">
        <f>LN(Data!N17)</f>
        <v>0.23886844755029635</v>
      </c>
      <c r="M17" s="12">
        <f>Data!O17</f>
        <v>-0.27</v>
      </c>
      <c r="N17" s="12">
        <f>Data!P17</f>
        <v>-0.28</v>
      </c>
      <c r="O17" s="11">
        <f>D16</f>
        <v>0.1066789074110846</v>
      </c>
      <c r="P17" s="11">
        <f>C16</f>
        <v>0.05415371292233629</v>
      </c>
      <c r="Q17" s="12">
        <f>Data!R17</f>
        <v>-0.47976666666666823</v>
      </c>
    </row>
    <row r="18">
      <c r="A18" t="inlineStr">
        <is>
          <t xml:space="preserve">1982/83</t>
        </is>
      </c>
      <c r="B18">
        <v>1982</v>
      </c>
      <c r="C18" s="11">
        <f>LN(Data!C18/Data!C17)</f>
        <v>0.3087487764789643</v>
      </c>
      <c r="D18" s="11">
        <f>LN(Data!E18/Data!E17)</f>
        <v>0.22314355131420976</v>
      </c>
      <c r="G18" s="11">
        <f>LN(Data!H18/Data!H17)</f>
        <v>0.07365118996858953</v>
      </c>
      <c r="H18" s="11">
        <f>LN(Data!J18/Data!J17)</f>
        <v>0.46045587535935123</v>
      </c>
      <c r="J18" s="11">
        <f>LN(Data!L18)</f>
        <v>0.2896283451022537</v>
      </c>
      <c r="K18" s="11">
        <f>LN(Data!M18)</f>
        <v>0.2063136592753859</v>
      </c>
      <c r="L18" s="11">
        <f>LN(Data!N18)</f>
        <v>-0.14696270410763715</v>
      </c>
      <c r="M18" s="12">
        <f>Data!O18</f>
        <v>-0.05</v>
      </c>
      <c r="N18" s="12">
        <f>Data!P18</f>
        <v>0.78</v>
      </c>
      <c r="O18" s="11">
        <f>D17</f>
        <v>-0.05275056538552897</v>
      </c>
      <c r="P18" s="11">
        <f>C17</f>
        <v>-0.12402467854224176</v>
      </c>
      <c r="Q18" s="12">
        <f>Data!R18</f>
        <v>-0.755766666666668</v>
      </c>
    </row>
    <row r="19">
      <c r="A19" t="inlineStr">
        <is>
          <t xml:space="preserve">1983/84</t>
        </is>
      </c>
      <c r="B19">
        <v>1983</v>
      </c>
      <c r="C19" s="11">
        <f>LN(Data!C19/Data!C18)</f>
        <v>-0.17066367901424417</v>
      </c>
      <c r="D19" s="11">
        <f>LN(Data!E19/Data!E18)</f>
        <v>-0.13543797089510426</v>
      </c>
      <c r="G19" s="11">
        <f>LN(Data!H19/Data!H18)</f>
        <v>-0.058079941098159324</v>
      </c>
      <c r="H19" s="11">
        <f>LN(Data!J19/Data!J18)</f>
        <v>0.02092688871632491</v>
      </c>
      <c r="J19" s="11">
        <f>LN(Data!L19)</f>
        <v>-0.10799517419069714</v>
      </c>
      <c r="K19" s="11">
        <f>LN(Data!M19)</f>
        <v>-0.5663370730625311</v>
      </c>
      <c r="L19" s="11">
        <f>LN(Data!N19)</f>
        <v>-0.02009390826423401</v>
      </c>
      <c r="M19" s="12">
        <f>Data!O19</f>
        <v>2.14</v>
      </c>
      <c r="N19" s="12">
        <f>Data!P19</f>
        <v>0.25</v>
      </c>
      <c r="O19" s="11">
        <f>D18</f>
        <v>0.22314355131420976</v>
      </c>
      <c r="P19" s="11">
        <f>C18</f>
        <v>0.3087487764789643</v>
      </c>
      <c r="Q19" s="12">
        <f>Data!R19</f>
        <v>-0.16926666666666712</v>
      </c>
    </row>
    <row r="20">
      <c r="A20" t="inlineStr">
        <is>
          <t xml:space="preserve">1984/85</t>
        </is>
      </c>
      <c r="B20">
        <v>1984</v>
      </c>
      <c r="C20" s="11">
        <f>LN(Data!C20/Data!C19)</f>
        <v>0.20538791380691374</v>
      </c>
      <c r="D20" s="11">
        <f>LN(Data!E20/Data!E19)</f>
        <v>0.06644509940815276</v>
      </c>
      <c r="G20" s="11">
        <f>LN(Data!H20/Data!H19)</f>
        <v>0.09074783075779165</v>
      </c>
      <c r="H20" s="11">
        <f>LN(Data!J20/Data!J19)</f>
        <v>-0.18005929980519098</v>
      </c>
      <c r="J20" s="11">
        <f>LN(Data!L20)</f>
        <v>0.13858114104561112</v>
      </c>
      <c r="K20" s="11">
        <f>LN(Data!M20)</f>
        <v>0.13663684178060082</v>
      </c>
      <c r="L20" s="11">
        <f>LN(Data!N20)</f>
        <v>0.08079872218640824</v>
      </c>
      <c r="M20" s="12">
        <f>Data!O20</f>
        <v>-0.63</v>
      </c>
      <c r="N20" s="12">
        <f>Data!P20</f>
        <v>-0.39</v>
      </c>
      <c r="O20" s="11">
        <f>D19</f>
        <v>-0.13543797089510426</v>
      </c>
      <c r="P20" s="11">
        <f>C19</f>
        <v>-0.17066367901424417</v>
      </c>
      <c r="Q20" s="12">
        <f>Data!R20</f>
        <v>-0.6142666666666674</v>
      </c>
    </row>
    <row r="21">
      <c r="A21" t="inlineStr">
        <is>
          <t xml:space="preserve">1985/86</t>
        </is>
      </c>
      <c r="B21">
        <v>1985</v>
      </c>
      <c r="C21" s="11">
        <f>LN(Data!C21/Data!C20)</f>
        <v>0.14262343939543057</v>
      </c>
      <c r="D21" s="11">
        <f>LN(Data!E21/Data!E20)</f>
        <v>-0.2763183138014659</v>
      </c>
      <c r="G21" s="11">
        <f>LN(Data!H21/Data!H20)</f>
        <v>0.013238350376894845</v>
      </c>
      <c r="H21" s="11">
        <f>LN(Data!J21/Data!J20)</f>
        <v>0.3098390995605145</v>
      </c>
      <c r="J21" s="11">
        <f>LN(Data!L21)</f>
        <v>-0.3017436378211007</v>
      </c>
      <c r="K21" s="11">
        <f>LN(Data!M21)</f>
        <v>-0.4242100980830878</v>
      </c>
      <c r="L21" s="11">
        <f>LN(Data!N21)</f>
        <v>-0.13050840858681123</v>
      </c>
      <c r="M21" s="12">
        <f>Data!O21</f>
        <v>-1.01</v>
      </c>
      <c r="N21" s="12">
        <f>Data!P21</f>
        <v>-0.44</v>
      </c>
      <c r="O21" s="11">
        <f>D20</f>
        <v>0.06644509940815276</v>
      </c>
      <c r="P21" s="11">
        <f>C20</f>
        <v>0.20538791380691374</v>
      </c>
      <c r="Q21" s="12">
        <f>Data!R21</f>
        <v>-0.06826666666666803</v>
      </c>
    </row>
    <row r="22">
      <c r="A22" t="inlineStr">
        <is>
          <t xml:space="preserve">1986/87</t>
        </is>
      </c>
      <c r="B22">
        <v>1986</v>
      </c>
      <c r="C22" s="11">
        <f>LN(Data!C22/Data!C21)</f>
        <v>-0.05737425144905245</v>
      </c>
      <c r="D22" s="11">
        <f>LN(Data!E22/Data!E21)</f>
        <v>0.36837645821941345</v>
      </c>
      <c r="G22" s="11">
        <f>LN(Data!H22/Data!H21)</f>
        <v>0.2834829642435443</v>
      </c>
      <c r="H22" s="11">
        <f>LN(Data!J22/Data!J21)</f>
        <v>0.7394754669168604</v>
      </c>
      <c r="J22" s="11">
        <f>LN(Data!L22)</f>
        <v>0.058310351413636</v>
      </c>
      <c r="K22" s="11">
        <f>LN(Data!M22)</f>
        <v>-0.22845044195243275</v>
      </c>
      <c r="L22" s="11">
        <f>LN(Data!N22)</f>
        <v>-0.3567426652006751</v>
      </c>
      <c r="M22" s="12">
        <f>Data!O22</f>
        <v>-0.4</v>
      </c>
      <c r="N22" s="12">
        <f>Data!P22</f>
        <v>0.24</v>
      </c>
      <c r="O22" s="11">
        <f>D21</f>
        <v>-0.2763183138014659</v>
      </c>
      <c r="P22" s="11">
        <f>C21</f>
        <v>0.14262343939543057</v>
      </c>
      <c r="Q22" s="12">
        <f>Data!R22</f>
        <v>-0.7537666666666674</v>
      </c>
    </row>
    <row r="23">
      <c r="A23" t="inlineStr">
        <is>
          <t xml:space="preserve">1987/88</t>
        </is>
      </c>
      <c r="B23">
        <v>1987</v>
      </c>
      <c r="C23" s="11">
        <f>LN(Data!C23/Data!C22)</f>
        <v>-0.1331978418798278</v>
      </c>
      <c r="D23" s="11">
        <f>LN(Data!E23/Data!E22)</f>
        <v>0.01165816312738946</v>
      </c>
      <c r="G23" s="11">
        <f>LN(Data!H23/Data!H22)</f>
        <v>-0.5381922297332216</v>
      </c>
      <c r="H23" s="11">
        <f>LN(Data!J23/Data!J22)</f>
        <v>-0.6918379865505099</v>
      </c>
      <c r="J23" s="11">
        <f>LN(Data!L23)</f>
        <v>-0.17583066493226363</v>
      </c>
      <c r="K23" s="11">
        <f>LN(Data!M23)</f>
        <v>-0.961701167071977</v>
      </c>
      <c r="L23" s="11">
        <f>LN(Data!N23)</f>
        <v>-0.10668409321929864</v>
      </c>
      <c r="M23" s="12">
        <f>Data!O23</f>
        <v>1.18</v>
      </c>
      <c r="N23" s="12">
        <f>Data!P23</f>
        <v>1.3</v>
      </c>
      <c r="O23" s="11">
        <f>D22</f>
        <v>0.36837645821941345</v>
      </c>
      <c r="P23" s="11">
        <f>C22</f>
        <v>-0.05737425144905245</v>
      </c>
      <c r="Q23" s="12">
        <f>Data!R23</f>
        <v>-0.5912666666666677</v>
      </c>
    </row>
    <row r="24">
      <c r="A24" t="inlineStr">
        <is>
          <t xml:space="preserve">1988/89</t>
        </is>
      </c>
      <c r="B24">
        <v>1988</v>
      </c>
      <c r="C24" s="11">
        <f>LN(Data!C24/Data!C23)</f>
        <v>0.17925538610376446</v>
      </c>
      <c r="D24" s="11">
        <f>LN(Data!E24/Data!E23)</f>
        <v>0.051454260182666724</v>
      </c>
      <c r="G24" s="11">
        <f>LN(Data!H24/Data!H23)</f>
        <v>0.19109862729923957</v>
      </c>
      <c r="H24" s="11">
        <f>LN(Data!J24/Data!J23)</f>
        <v>-0.12827295610952397</v>
      </c>
      <c r="J24" s="11">
        <f>LN(Data!L24)</f>
        <v>0.09394814587760218</v>
      </c>
      <c r="K24" s="11">
        <f>LN(Data!M24)</f>
        <v>-0.24933322559949087</v>
      </c>
      <c r="L24" s="11">
        <f>LN(Data!N24)</f>
        <v>0.18326314936457605</v>
      </c>
      <c r="M24" s="12">
        <f>Data!O24</f>
        <v>0.63</v>
      </c>
      <c r="N24" s="12">
        <f>Data!P24</f>
        <v>-1.3</v>
      </c>
      <c r="O24" s="11">
        <f>D23</f>
        <v>0.01165816312738946</v>
      </c>
      <c r="P24" s="11">
        <f>C23</f>
        <v>-0.1331978418798278</v>
      </c>
      <c r="Q24" s="12">
        <f>Data!R24</f>
        <v>-1.0112666666666676</v>
      </c>
    </row>
    <row r="25">
      <c r="A25" t="inlineStr">
        <is>
          <t xml:space="preserve">1989/90</t>
        </is>
      </c>
      <c r="B25">
        <v>1989</v>
      </c>
      <c r="C25" s="11">
        <f>LN(Data!C25/Data!C24)</f>
        <v>0.16874397756080084</v>
      </c>
      <c r="D25" s="11">
        <f>LN(Data!E25/Data!E24)</f>
        <v>0.1648403918391371</v>
      </c>
      <c r="G25" s="11">
        <f>LN(Data!H25/Data!H24)</f>
        <v>-0.23914056846331955</v>
      </c>
      <c r="H25" s="11">
        <f>LN(Data!J25/Data!J24)</f>
        <v>-0.1412950673545851</v>
      </c>
      <c r="J25" s="11">
        <f>LN(Data!L25)</f>
        <v>0.04493185567020662</v>
      </c>
      <c r="K25" s="11">
        <f>LN(Data!M25)</f>
        <v>0.2991251118010853</v>
      </c>
      <c r="L25" s="11">
        <f>LN(Data!N25)</f>
        <v>0.05890414505805663</v>
      </c>
      <c r="M25" s="12">
        <f>Data!O25</f>
        <v>-1.64</v>
      </c>
      <c r="N25" s="12">
        <f>Data!P25</f>
        <v>-0.37</v>
      </c>
      <c r="O25" s="11">
        <f>D24</f>
        <v>0.051454260182666724</v>
      </c>
      <c r="P25" s="11">
        <f>C24</f>
        <v>0.17925538610376446</v>
      </c>
      <c r="Q25" s="12">
        <f>Data!R25</f>
        <v>-0.6712666666666678</v>
      </c>
    </row>
    <row r="26">
      <c r="A26" t="inlineStr">
        <is>
          <t xml:space="preserve">1990/91</t>
        </is>
      </c>
      <c r="B26">
        <v>1990</v>
      </c>
      <c r="C26" s="11">
        <f>LN(Data!C26/Data!C25)</f>
        <v>-0.19467777735929376</v>
      </c>
      <c r="D26" s="11">
        <f>LN(Data!E26/Data!E25)</f>
        <v>-0.1347176323840288</v>
      </c>
      <c r="G26" s="11">
        <f>LN(Data!H26/Data!H25)</f>
        <v>-0.19052263314494366</v>
      </c>
      <c r="H26" s="11">
        <f>LN(Data!J26/Data!J25)</f>
        <v>-0.30676664618172733</v>
      </c>
      <c r="J26" s="11">
        <f>LN(Data!L26)</f>
        <v>0.05394425323016829</v>
      </c>
      <c r="K26" s="11">
        <f>LN(Data!M26)</f>
        <v>0.30023551474464955</v>
      </c>
      <c r="L26" s="11">
        <f>LN(Data!N26)</f>
        <v>-0.1032321926180303</v>
      </c>
      <c r="M26" s="12">
        <f>Data!O26</f>
        <v>0.18</v>
      </c>
      <c r="N26" s="12">
        <f>Data!P26</f>
        <v>0.26</v>
      </c>
      <c r="O26" s="11">
        <f>D25</f>
        <v>0.1648403918391371</v>
      </c>
      <c r="P26" s="11">
        <f>C25</f>
        <v>0.16874397756080084</v>
      </c>
      <c r="Q26" s="12">
        <f>Data!R26</f>
        <v>0.15923333333333112</v>
      </c>
    </row>
    <row r="27">
      <c r="A27" t="inlineStr">
        <is>
          <t xml:space="preserve">1991/92</t>
        </is>
      </c>
      <c r="B27">
        <v>1991</v>
      </c>
      <c r="C27" s="11">
        <f>LN(Data!C27/Data!C26)</f>
        <v>0.23241627095782527</v>
      </c>
      <c r="D27" s="11">
        <f>LN(Data!E27/Data!E26)</f>
        <v>0.29138440915031655</v>
      </c>
      <c r="G27" s="11">
        <f>LN(Data!H27/Data!H26)</f>
        <v>-0.052004784990314704</v>
      </c>
      <c r="H27" s="11">
        <f>LN(Data!J27/Data!J26)</f>
        <v>-0.23158443949643584</v>
      </c>
      <c r="J27" s="11">
        <f>LN(Data!L27)</f>
        <v>-0.1984318188060796</v>
      </c>
      <c r="K27" s="11">
        <f>LN(Data!M27)</f>
        <v>-0.2104120109710441</v>
      </c>
      <c r="L27" s="11">
        <f>LN(Data!N27)</f>
        <v>-0.15923190311125038</v>
      </c>
      <c r="M27" s="12">
        <f>Data!O27</f>
        <v>0.35</v>
      </c>
      <c r="N27" s="12">
        <f>Data!P27</f>
        <v>0.77</v>
      </c>
      <c r="O27" s="11">
        <f>D26</f>
        <v>-0.1347176323840288</v>
      </c>
      <c r="P27" s="11">
        <f>C26</f>
        <v>-0.19467777735929376</v>
      </c>
      <c r="Q27" s="12">
        <f>Data!R27</f>
        <v>0.043233333333333235</v>
      </c>
    </row>
    <row r="28">
      <c r="A28" t="inlineStr">
        <is>
          <t xml:space="preserve">1992/93</t>
        </is>
      </c>
      <c r="B28">
        <v>1992</v>
      </c>
      <c r="C28" s="11">
        <f>LN(Data!C28/Data!C27)</f>
        <v>0.0520463423319234</v>
      </c>
      <c r="D28" s="11">
        <f>LN(Data!E28/Data!E27)</f>
        <v>-0.12954820523822774</v>
      </c>
      <c r="G28" s="11">
        <f>LN(Data!H28/Data!H27)</f>
        <v>-0.28353882888044635</v>
      </c>
      <c r="H28" s="11">
        <f>LN(Data!J28/Data!J27)</f>
        <v>-0.1207506803288381</v>
      </c>
      <c r="J28" s="11">
        <f>LN(Data!L28)</f>
        <v>0.30052047156570716</v>
      </c>
      <c r="K28" s="11">
        <f>LN(Data!M28)</f>
        <v>-0.24658349646921648</v>
      </c>
      <c r="L28" s="11">
        <f>LN(Data!N28)</f>
        <v>0.07415747593780785</v>
      </c>
      <c r="M28" s="12">
        <f>Data!O28</f>
        <v>1.54</v>
      </c>
      <c r="N28" s="12">
        <f>Data!P28</f>
        <v>0.35</v>
      </c>
      <c r="O28" s="11">
        <f>D27</f>
        <v>0.29138440915031655</v>
      </c>
      <c r="P28" s="11">
        <f>C27</f>
        <v>0.23241627095782527</v>
      </c>
      <c r="Q28" s="12">
        <f>Data!R28</f>
        <v>0.0912333333333315</v>
      </c>
    </row>
    <row r="29">
      <c r="A29" t="inlineStr">
        <is>
          <t xml:space="preserve">1993/94</t>
        </is>
      </c>
      <c r="B29">
        <v>1993</v>
      </c>
      <c r="C29" s="11">
        <f>LN(Data!C29/Data!C28)</f>
        <v>-0.13250866101567568</v>
      </c>
      <c r="D29" s="11">
        <f>LN(Data!E29/Data!E28)</f>
        <v>0.03910421508507577</v>
      </c>
      <c r="G29" s="11">
        <f>LN(Data!H29/Data!H28)</f>
        <v>0.10050527490440168</v>
      </c>
      <c r="H29" s="11">
        <f>LN(Data!J29/Data!J28)</f>
        <v>0.41886158286537484</v>
      </c>
      <c r="J29" s="11">
        <f>LN(Data!L29)</f>
        <v>0.07310067135711619</v>
      </c>
      <c r="K29" s="11">
        <f>LN(Data!M29)</f>
        <v>-0.05069952727640822</v>
      </c>
      <c r="L29" s="11">
        <f>LN(Data!N29)</f>
        <v>-0.022711345780064368</v>
      </c>
      <c r="M29" s="12">
        <f>Data!O29</f>
        <v>0.13</v>
      </c>
      <c r="N29" s="12">
        <f>Data!P29</f>
        <v>0.28</v>
      </c>
      <c r="O29" s="11">
        <f>D28</f>
        <v>-0.12954820523822774</v>
      </c>
      <c r="P29" s="11">
        <f>C28</f>
        <v>0.0520463423319234</v>
      </c>
      <c r="Q29" s="12">
        <f>Data!R29</f>
        <v>-0.6592666666666673</v>
      </c>
    </row>
    <row r="30">
      <c r="A30" t="inlineStr">
        <is>
          <t xml:space="preserve">1994/95</t>
        </is>
      </c>
      <c r="B30">
        <v>1994</v>
      </c>
      <c r="C30" s="11">
        <f>LN(Data!C30/Data!C29)</f>
        <v>-0.014891893905330116</v>
      </c>
      <c r="D30" s="11">
        <f>LN(Data!E30/Data!E29)</f>
        <v>0.10802686071101882</v>
      </c>
      <c r="G30" s="11">
        <f>LN(Data!H30/Data!H29)</f>
        <v>0.751758716643699</v>
      </c>
      <c r="H30" s="11">
        <f>LN(Data!J30/Data!J29)</f>
        <v>0.6587094266420737</v>
      </c>
      <c r="J30" s="11">
        <f>LN(Data!L30)</f>
        <v>-0.20560371304420566</v>
      </c>
      <c r="K30" s="11">
        <f>LN(Data!M30)</f>
        <v>-0.12318756687969046</v>
      </c>
      <c r="L30" s="11">
        <f>LN(Data!N30)</f>
        <v>-0.2116340589580412</v>
      </c>
      <c r="M30" s="12">
        <f>Data!O30</f>
        <v>0.07</v>
      </c>
      <c r="N30" s="12">
        <f>Data!P30</f>
        <v>0.3</v>
      </c>
      <c r="O30" s="11">
        <f>D29</f>
        <v>0.03910421508507577</v>
      </c>
      <c r="P30" s="11">
        <f>C29</f>
        <v>-0.13250866101567568</v>
      </c>
      <c r="Q30" s="12">
        <f>Data!R30</f>
        <v>0.27823333333333267</v>
      </c>
    </row>
    <row r="31">
      <c r="A31" t="inlineStr">
        <is>
          <t xml:space="preserve">1995/96</t>
        </is>
      </c>
      <c r="B31">
        <v>1995</v>
      </c>
      <c r="C31" s="11">
        <f>LN(Data!C31/Data!C30)</f>
        <v>0.22731765948605004</v>
      </c>
      <c r="D31" s="11">
        <f>LN(Data!E31/Data!E30)</f>
        <v>-0.018026427894923893</v>
      </c>
      <c r="G31" s="11">
        <f>LN(Data!H31/Data!H30)</f>
        <v>0.007278235165582293</v>
      </c>
      <c r="H31" s="11">
        <f>LN(Data!J31/Data!J30)</f>
        <v>-0.2938055543557441</v>
      </c>
      <c r="J31" s="11">
        <f>LN(Data!L31)</f>
        <v>-0.28581326813616514</v>
      </c>
      <c r="K31" s="11">
        <f>LN(Data!M31)</f>
        <v>0.09058851013540471</v>
      </c>
      <c r="L31" s="11">
        <f>LN(Data!N31)</f>
        <v>0.15582371090830613</v>
      </c>
      <c r="M31" s="12">
        <f>Data!O31</f>
        <v>0.88</v>
      </c>
      <c r="N31" s="12">
        <f>Data!P31</f>
        <v>-0.3</v>
      </c>
      <c r="O31" s="11">
        <f>D30</f>
        <v>0.10802686071101882</v>
      </c>
      <c r="P31" s="11">
        <f>C30</f>
        <v>-0.014891893905330116</v>
      </c>
      <c r="Q31" s="12">
        <f>Data!R31</f>
        <v>-0.6827666666666676</v>
      </c>
    </row>
    <row r="32">
      <c r="A32" t="inlineStr">
        <is>
          <t xml:space="preserve">1996/97</t>
        </is>
      </c>
      <c r="B32">
        <v>1996</v>
      </c>
      <c r="C32" s="11">
        <f>LN(Data!C32/Data!C31)</f>
        <v>-0.11824375689342782</v>
      </c>
      <c r="D32" s="11">
        <f>LN(Data!E32/Data!E31)</f>
        <v>0.011030334645962597</v>
      </c>
      <c r="G32" s="11">
        <f>LN(Data!H32/Data!H31)</f>
        <v>-0.21232456870976602</v>
      </c>
      <c r="H32" s="11">
        <f>LN(Data!J32/Data!J31)</f>
        <v>-0.40413633341658645</v>
      </c>
      <c r="J32" s="11">
        <f>LN(Data!L32)</f>
        <v>0.14756157575022427</v>
      </c>
      <c r="K32" s="11">
        <f>LN(Data!M32)</f>
        <v>0.4087764662378378</v>
      </c>
      <c r="L32" s="11">
        <f>LN(Data!N32)</f>
        <v>-0.004620748634458395</v>
      </c>
      <c r="M32" s="12">
        <f>Data!O32</f>
        <v>-0.88</v>
      </c>
      <c r="N32" s="12">
        <f>Data!P32</f>
        <v>-0.22</v>
      </c>
      <c r="O32" s="11">
        <f>D31</f>
        <v>-0.018026427894923893</v>
      </c>
      <c r="P32" s="11">
        <f>C31</f>
        <v>0.22731765948605004</v>
      </c>
      <c r="Q32" s="12">
        <f>Data!R32</f>
        <v>-0.05276666666666685</v>
      </c>
    </row>
    <row r="33">
      <c r="A33" t="inlineStr">
        <is>
          <t xml:space="preserve">1997/98</t>
        </is>
      </c>
      <c r="B33">
        <v>1997</v>
      </c>
      <c r="C33" s="11">
        <f>LN(Data!C33/Data!C32)</f>
        <v>0.23097172546200373</v>
      </c>
      <c r="D33" s="11">
        <f>LN(Data!E33/Data!E32)</f>
        <v>0.24269664004032734</v>
      </c>
      <c r="G33" s="11">
        <f>LN(Data!H33/Data!H32)</f>
        <v>0.4359181312818516</v>
      </c>
      <c r="H33" s="11">
        <f>LN(Data!J33/Data!J32)</f>
        <v>0.7044991530992964</v>
      </c>
      <c r="J33" s="11">
        <f>LN(Data!L33)</f>
        <v>0.1720050689355605</v>
      </c>
      <c r="K33" s="11">
        <f>LN(Data!M33)</f>
        <v>-0.7372711184797844</v>
      </c>
      <c r="L33" s="11">
        <f>LN(Data!N33)</f>
        <v>0.0021363453242437664</v>
      </c>
      <c r="M33" s="12">
        <f>Data!O33</f>
        <v>-0.41</v>
      </c>
      <c r="N33" s="12">
        <f>Data!P33</f>
        <v>1.48</v>
      </c>
      <c r="O33" s="11">
        <f>D32</f>
        <v>0.011030334645962597</v>
      </c>
      <c r="P33" s="11">
        <f>C32</f>
        <v>-0.11824375689342782</v>
      </c>
      <c r="Q33" s="12">
        <f>Data!R33</f>
        <v>-0.03276666666666728</v>
      </c>
    </row>
    <row r="34">
      <c r="A34" t="inlineStr">
        <is>
          <t xml:space="preserve">1998/99</t>
        </is>
      </c>
      <c r="B34">
        <v>1998</v>
      </c>
      <c r="C34" s="11">
        <f>LN(Data!C34/Data!C33)</f>
        <v>-0.09766124425418825</v>
      </c>
      <c r="D34" s="11">
        <f>LN(Data!E34/Data!E33)</f>
        <v>-0.1525455430460298</v>
      </c>
      <c r="G34" s="11">
        <f>LN(Data!H34/Data!H33)</f>
        <v>-0.3345544606528782</v>
      </c>
      <c r="H34" s="11">
        <f>LN(Data!J34/Data!J33)</f>
        <v>0.010365300151927997</v>
      </c>
      <c r="J34" s="11">
        <f>LN(Data!L34)</f>
        <v>-0.40061809663657927</v>
      </c>
      <c r="K34" s="11">
        <f>LN(Data!M34)</f>
        <v>-0.21407166738857442</v>
      </c>
      <c r="L34" s="11">
        <f>LN(Data!N34)</f>
        <v>0.042201394599686075</v>
      </c>
      <c r="M34" s="12">
        <f>Data!O34</f>
        <v>2.22</v>
      </c>
      <c r="N34" s="12">
        <f>Data!P34</f>
        <v>-0.63</v>
      </c>
      <c r="O34" s="11">
        <f>D33</f>
        <v>0.24269664004032734</v>
      </c>
      <c r="P34" s="11">
        <f>C33</f>
        <v>0.23097172546200373</v>
      </c>
      <c r="Q34" s="12">
        <f>Data!R34</f>
        <v>0.21073333333333188</v>
      </c>
    </row>
    <row r="35">
      <c r="A35" t="inlineStr">
        <is>
          <t xml:space="preserve">1999/00</t>
        </is>
      </c>
      <c r="B35">
        <v>1999</v>
      </c>
      <c r="C35" s="11">
        <f>LN(Data!C35/Data!C34)</f>
        <v>0.31471644651156444</v>
      </c>
      <c r="D35" s="11">
        <f>LN(Data!E35/Data!E34)</f>
        <v>0.2068120378742698</v>
      </c>
      <c r="G35" s="11">
        <f>LN(Data!H35/Data!H34)</f>
        <v>-0.26421005742378584</v>
      </c>
      <c r="H35" s="11">
        <f>LN(Data!J35/Data!J34)</f>
        <v>-0.03165928830860085</v>
      </c>
      <c r="J35" s="11">
        <f>LN(Data!L35)</f>
        <v>-0.05008525339995551</v>
      </c>
      <c r="K35" s="11">
        <f>LN(Data!M35)</f>
        <v>-0.5632456793117846</v>
      </c>
      <c r="L35" s="11">
        <f>LN(Data!N35)</f>
        <v>0.15316629712289298</v>
      </c>
      <c r="M35" s="12">
        <f>Data!O35</f>
        <v>-1.51</v>
      </c>
      <c r="N35" s="12">
        <f>Data!P35</f>
        <v>-0.9</v>
      </c>
      <c r="O35" s="11">
        <f>D34</f>
        <v>-0.1525455430460298</v>
      </c>
      <c r="P35" s="11">
        <f>C34</f>
        <v>-0.09766124425418825</v>
      </c>
      <c r="Q35" s="12">
        <f>Data!R35</f>
        <v>-1.0552666666666664</v>
      </c>
    </row>
    <row r="36">
      <c r="A36" t="inlineStr">
        <is>
          <t xml:space="preserve">2000/01</t>
        </is>
      </c>
      <c r="B36">
        <v>2000</v>
      </c>
      <c r="C36" s="11">
        <f>LN(Data!C36/Data!C35)</f>
        <v>-0.14563705302502059</v>
      </c>
      <c r="D36" s="11">
        <f>LN(Data!E36/Data!E35)</f>
        <v>-0.08360845311225523</v>
      </c>
      <c r="G36" s="11">
        <f>LN(Data!H36/Data!H35)</f>
        <v>-0.17535895251323538</v>
      </c>
      <c r="H36" s="11">
        <f>LN(Data!J36/Data!J35)</f>
        <v>-0.6009223062450956</v>
      </c>
      <c r="J36" s="11">
        <f>LN(Data!L36)</f>
        <v>-0.14606479912752948</v>
      </c>
      <c r="K36" s="11">
        <f>LN(Data!M36)</f>
        <v>0.5624933267712489</v>
      </c>
      <c r="L36" s="11">
        <f>LN(Data!N36)</f>
        <v>-0.11615837654630298</v>
      </c>
      <c r="M36" s="12">
        <f>Data!O36</f>
        <v>-1.47</v>
      </c>
      <c r="N36" s="12">
        <f>Data!P36</f>
        <v>-0.48</v>
      </c>
      <c r="O36" s="11">
        <f>D35</f>
        <v>0.2068120378742698</v>
      </c>
      <c r="P36" s="11">
        <f>C35</f>
        <v>0.31471644651156444</v>
      </c>
      <c r="Q36" s="12">
        <f>Data!R36</f>
        <v>-0.6012666666666675</v>
      </c>
    </row>
    <row r="37">
      <c r="A37" t="inlineStr">
        <is>
          <t xml:space="preserve">2001/02</t>
        </is>
      </c>
      <c r="B37">
        <v>2001</v>
      </c>
      <c r="C37" s="11">
        <f>LN(Data!C37/Data!C36)</f>
        <v>0.0578171328023197</v>
      </c>
      <c r="D37" s="11">
        <f>LN(Data!E37/Data!E36)</f>
        <v>0.09366530997481762</v>
      </c>
      <c r="G37" s="11">
        <f>LN(Data!H37/Data!H36)</f>
        <v>-0.33595199035958745</v>
      </c>
      <c r="H37" s="11">
        <f>LN(Data!J37/Data!J36)</f>
        <v>-0.2906892829936774</v>
      </c>
      <c r="J37" s="11">
        <f>LN(Data!L37)</f>
        <v>0.03923892295376657</v>
      </c>
      <c r="K37" s="11">
        <f>LN(Data!M37)</f>
        <v>-0.3605714275320479</v>
      </c>
      <c r="L37" s="11">
        <f>LN(Data!N37)</f>
        <v>-0.2313009573185134</v>
      </c>
      <c r="M37" s="12">
        <f>Data!O37</f>
        <v>-0.76</v>
      </c>
      <c r="N37" s="12">
        <f>Data!P37</f>
        <v>-0.05</v>
      </c>
      <c r="O37" s="11">
        <f>D36</f>
        <v>-0.08360845311225523</v>
      </c>
      <c r="P37" s="11">
        <f>C36</f>
        <v>-0.14563705302502059</v>
      </c>
      <c r="Q37" s="12">
        <f>Data!R37</f>
        <v>-0.43626666666666836</v>
      </c>
    </row>
    <row r="38">
      <c r="A38" t="inlineStr">
        <is>
          <t xml:space="preserve">2002/03</t>
        </is>
      </c>
      <c r="B38">
        <v>2002</v>
      </c>
      <c r="C38" s="11">
        <f>LN(Data!C38/Data!C37)</f>
        <v>-0.07082135131109013</v>
      </c>
      <c r="D38" s="11">
        <f>LN(Data!E38/Data!E37)</f>
        <v>-0.21606729148749565</v>
      </c>
      <c r="G38" s="11">
        <f>LN(Data!H38/Data!H37)</f>
        <v>-0.012824603250379402</v>
      </c>
      <c r="H38" s="11">
        <f>LN(Data!J38/Data!J37)</f>
        <v>0.008478804110533398</v>
      </c>
      <c r="J38" s="11">
        <f>LN(Data!L38)</f>
        <v>-0.28210154101679785</v>
      </c>
      <c r="K38" s="11">
        <f>LN(Data!M38)</f>
        <v>-0.24256733193657254</v>
      </c>
      <c r="L38" s="11">
        <f>LN(Data!N38)</f>
        <v>-0.15032834874083498</v>
      </c>
      <c r="M38" s="12">
        <f>Data!O38</f>
        <v>-0.15</v>
      </c>
      <c r="N38" s="12">
        <f>Data!P38</f>
        <v>0.57</v>
      </c>
      <c r="O38" s="11">
        <f>D37</f>
        <v>0.09366530997481762</v>
      </c>
      <c r="P38" s="11">
        <f>C37</f>
        <v>0.0578171328023197</v>
      </c>
      <c r="Q38" s="12">
        <f>Data!R38</f>
        <v>0.5027333333333335</v>
      </c>
    </row>
    <row r="39">
      <c r="A39" t="inlineStr">
        <is>
          <t xml:space="preserve">2003/04</t>
        </is>
      </c>
      <c r="B39">
        <v>2003</v>
      </c>
      <c r="C39" s="11">
        <f>LN(Data!C39/Data!C38)</f>
        <v>0.1362761610921115</v>
      </c>
      <c r="D39" s="11">
        <f>LN(Data!E39/Data!E38)</f>
        <v>0.1731988747979528</v>
      </c>
      <c r="G39" s="11">
        <f>LN(Data!H39/Data!H38)</f>
        <v>0.043302014452894416</v>
      </c>
      <c r="H39" s="11">
        <f>LN(Data!J39/Data!J38)</f>
        <v>-0.3373851732728623</v>
      </c>
      <c r="J39" s="11">
        <f>LN(Data!L39)</f>
        <v>0.3884341931566005</v>
      </c>
      <c r="K39" s="11">
        <f>LN(Data!M39)</f>
        <v>-0.03322155622075913</v>
      </c>
      <c r="L39" s="11">
        <f>LN(Data!N39)</f>
        <v>-0.018548170386490932</v>
      </c>
      <c r="M39" s="12">
        <f>Data!O39</f>
        <v>0.9</v>
      </c>
      <c r="N39" s="12">
        <f>Data!P39</f>
        <v>0.09</v>
      </c>
      <c r="O39" s="11">
        <f>D38</f>
        <v>-0.21606729148749565</v>
      </c>
      <c r="P39" s="11">
        <f>C38</f>
        <v>-0.07082135131109013</v>
      </c>
      <c r="Q39" s="12">
        <f>Data!R39</f>
        <v>0.5002333333333322</v>
      </c>
    </row>
    <row r="40">
      <c r="A40" t="inlineStr">
        <is>
          <t xml:space="preserve">2004/05</t>
        </is>
      </c>
      <c r="B40">
        <v>2004</v>
      </c>
      <c r="C40" s="11">
        <f>LN(Data!C40/Data!C39)</f>
        <v>-0.15305430928685368</v>
      </c>
      <c r="D40" s="11">
        <f>LN(Data!E40/Data!E39)</f>
        <v>-0.14203879118943455</v>
      </c>
      <c r="G40" s="11">
        <f>LN(Data!H40/Data!H39)</f>
        <v>0.22514272878960312</v>
      </c>
      <c r="H40" s="11">
        <f>LN(Data!J40/Data!J39)</f>
        <v>-0.010633275948239245</v>
      </c>
      <c r="J40" s="11">
        <f>LN(Data!L40)</f>
        <v>0.01674825759473834</v>
      </c>
      <c r="K40" s="11">
        <f>LN(Data!M40)</f>
        <v>0.08740686619843809</v>
      </c>
      <c r="L40" s="11">
        <f>LN(Data!N40)</f>
        <v>-0.18904326327448542</v>
      </c>
      <c r="M40" s="12">
        <f>Data!O40</f>
        <v>0.34</v>
      </c>
      <c r="N40" s="12">
        <f>Data!P40</f>
        <v>0.39</v>
      </c>
      <c r="O40" s="11">
        <f>D39</f>
        <v>0.1731988747979528</v>
      </c>
      <c r="P40" s="11">
        <f>C39</f>
        <v>0.1362761610921115</v>
      </c>
      <c r="Q40" s="12">
        <f>Data!R40</f>
        <v>0.813233333333331</v>
      </c>
    </row>
    <row r="41">
      <c r="A41" t="inlineStr">
        <is>
          <t xml:space="preserve">2005/06</t>
        </is>
      </c>
      <c r="B41">
        <v>2005</v>
      </c>
      <c r="C41" s="11">
        <f>LN(Data!C41/Data!C40)</f>
        <v>0.19969339372303604</v>
      </c>
      <c r="D41" s="11">
        <f>LN(Data!E41/Data!E40)</f>
        <v>0.2185504950904133</v>
      </c>
      <c r="G41" s="11">
        <f>LN(Data!H41/Data!H40)</f>
        <v>0.3563459424552581</v>
      </c>
      <c r="H41" s="11">
        <f>LN(Data!J41/Data!J40)</f>
        <v>0.1391559557693492</v>
      </c>
      <c r="I41" s="11">
        <f>LN(Data!K41/Data!K40)</f>
        <v>0.46526151691460527</v>
      </c>
      <c r="J41" s="11">
        <f>LN(Data!L41)</f>
        <v>-0.1402879307747815</v>
      </c>
      <c r="K41" s="11">
        <f>LN(Data!M41)</f>
        <v>-0.13009536821840784</v>
      </c>
      <c r="L41" s="11">
        <f>LN(Data!N41)</f>
        <v>0.02980953650130445</v>
      </c>
      <c r="M41" s="12">
        <f>Data!O41</f>
        <v>0.62</v>
      </c>
      <c r="N41" s="12">
        <f>Data!P41</f>
        <v>-0.04</v>
      </c>
      <c r="O41" s="11">
        <f>D40</f>
        <v>-0.14203879118943455</v>
      </c>
      <c r="P41" s="11">
        <f>C40</f>
        <v>-0.15305430928685368</v>
      </c>
      <c r="Q41" s="12">
        <f>Data!R41</f>
        <v>-0.7307666666666659</v>
      </c>
    </row>
    <row r="42">
      <c r="A42" t="inlineStr">
        <is>
          <t xml:space="preserve">2006/07</t>
        </is>
      </c>
      <c r="B42">
        <v>2006</v>
      </c>
      <c r="C42" s="11">
        <f>LN(Data!C42/Data!C41)</f>
        <v>0.09406652114562881</v>
      </c>
      <c r="D42" s="11">
        <f>LN(Data!E42/Data!E41)</f>
        <v>0.07686855986352008</v>
      </c>
      <c r="E42" s="11">
        <f>LN(Data!G42/Data!G41)</f>
        <v>-0.14627499145068978</v>
      </c>
      <c r="F42" s="11">
        <f>LN(Data!F42/Data!F41)</f>
        <v>0.22314355131420976</v>
      </c>
      <c r="G42" s="11">
        <f>LN(Data!H42/Data!H41)</f>
        <v>-0.004286898568491942</v>
      </c>
      <c r="H42" s="11">
        <f>LN(Data!J42/Data!J41)</f>
        <v>-0.026054917737478086</v>
      </c>
      <c r="I42" s="11">
        <f>LN(Data!K42/Data!K41)</f>
        <v>0.4655748710344518</v>
      </c>
      <c r="J42" s="11">
        <f>LN(Data!L42)</f>
        <v>-0.38801107360499815</v>
      </c>
      <c r="K42" s="11">
        <f>LN(Data!M42)</f>
        <v>-0.3015914645776048</v>
      </c>
      <c r="L42" s="11">
        <f>LN(Data!N42)</f>
        <v>-0.10217162152323057</v>
      </c>
      <c r="M42" s="12">
        <f>Data!O42</f>
        <v>-0.86</v>
      </c>
      <c r="N42" s="12">
        <f>Data!P42</f>
        <v>0.12</v>
      </c>
      <c r="O42" s="11">
        <f>D41</f>
        <v>0.2185504950904133</v>
      </c>
      <c r="P42" s="11">
        <f>C41</f>
        <v>0.19969339372303604</v>
      </c>
      <c r="Q42" s="12">
        <f>Data!R42</f>
        <v>0.5617333333333328</v>
      </c>
    </row>
    <row r="43">
      <c r="A43" t="inlineStr">
        <is>
          <t xml:space="preserve">2007/08</t>
        </is>
      </c>
      <c r="B43">
        <v>2007</v>
      </c>
      <c r="C43" s="11">
        <f>LN(Data!C43/Data!C42)</f>
        <v>0.05416635566373991</v>
      </c>
      <c r="D43" s="11">
        <f>LN(Data!E43/Data!E42)</f>
        <v>0.05126439223578338</v>
      </c>
      <c r="E43" s="11">
        <f>LN(Data!G43/Data!G42)</f>
        <v>0.05126439223578338</v>
      </c>
      <c r="F43" s="11">
        <f>LN(Data!F43/Data!F42)</f>
        <v>0.0</v>
      </c>
      <c r="G43" s="11">
        <f>LN(Data!H43/Data!H42)</f>
        <v>0.07724251237590944</v>
      </c>
      <c r="H43" s="11">
        <f>LN(Data!J43/Data!J42)</f>
        <v>-0.24666986824999548</v>
      </c>
      <c r="I43" s="11">
        <f>LN(Data!K43/Data!K42)</f>
        <v>-0.04912686312063486</v>
      </c>
      <c r="J43" s="11">
        <f>LN(Data!L43)</f>
        <v>0.0692696644669726</v>
      </c>
      <c r="K43" s="11">
        <f>LN(Data!M43)</f>
        <v>-0.24313334298889872</v>
      </c>
      <c r="L43" s="11">
        <f>LN(Data!N43)</f>
        <v>0.1316661648660164</v>
      </c>
      <c r="M43" s="12">
        <f>Data!O43</f>
        <v>0.62</v>
      </c>
      <c r="N43" s="12">
        <f>Data!P43</f>
        <v>-0.49</v>
      </c>
      <c r="O43" s="11">
        <f>D42</f>
        <v>0.07686855986352008</v>
      </c>
      <c r="P43" s="11">
        <f>C42</f>
        <v>0.09406652114562881</v>
      </c>
      <c r="Q43" s="12">
        <f>Data!R43</f>
        <v>-0.7302666666666671</v>
      </c>
    </row>
    <row r="44">
      <c r="A44" t="inlineStr">
        <is>
          <t xml:space="preserve">2008/09</t>
        </is>
      </c>
      <c r="B44">
        <v>2008</v>
      </c>
      <c r="C44" s="11">
        <f>LN(Data!C44/Data!C43)</f>
        <v>-0.1166944493384804</v>
      </c>
      <c r="D44" s="11">
        <f>LN(Data!E44/Data!E43)</f>
        <v>-0.12160003105768044</v>
      </c>
      <c r="E44" s="11">
        <f>LN(Data!G44/Data!G43)</f>
        <v>-0.09516677398952492</v>
      </c>
      <c r="F44" s="11">
        <f>LN(Data!F44/Data!F43)</f>
        <v>-0.026433257068155483</v>
      </c>
      <c r="G44" s="11">
        <f>LN(Data!H44/Data!H43)</f>
        <v>0.1230375522124213</v>
      </c>
      <c r="H44" s="11">
        <f>LN(Data!J44/Data!J43)</f>
        <v>-0.3938692883553322</v>
      </c>
      <c r="I44" s="11">
        <f>LN(Data!K44/Data!K43)</f>
        <v>-0.13354264287624712</v>
      </c>
      <c r="J44" s="11">
        <f>LN(Data!L44)</f>
        <v>-0.0757494096372105</v>
      </c>
      <c r="K44" s="11">
        <f>LN(Data!M44)</f>
        <v>-0.12105559274271843</v>
      </c>
      <c r="L44" s="11">
        <f>LN(Data!N44)</f>
        <v>0.317160357445955</v>
      </c>
      <c r="M44" s="12">
        <f>Data!O44</f>
        <v>-1.76</v>
      </c>
      <c r="N44" s="12">
        <f>Data!P44</f>
        <v>-0.33</v>
      </c>
      <c r="O44" s="11">
        <f>D43</f>
        <v>0.05126439223578338</v>
      </c>
      <c r="P44" s="11">
        <f>C43</f>
        <v>0.05416635566373991</v>
      </c>
      <c r="Q44" s="12">
        <f>Data!R44</f>
        <v>-0.6442666666666685</v>
      </c>
    </row>
    <row r="45">
      <c r="A45" t="inlineStr">
        <is>
          <t xml:space="preserve">2009/10</t>
        </is>
      </c>
      <c r="B45">
        <v>2009</v>
      </c>
      <c r="C45" s="11">
        <f>LN(Data!C45/Data!C44)</f>
        <v>0.04530235568436849</v>
      </c>
      <c r="D45" s="11">
        <f>LN(Data!E45/Data!E44)</f>
        <v>0.09601465323958858</v>
      </c>
      <c r="E45" s="11">
        <f>LN(Data!G45/Data!G44)</f>
        <v>0.09601465323958858</v>
      </c>
      <c r="F45" s="11">
        <f>LN(Data!F45/Data!F44)</f>
        <v>0.0</v>
      </c>
      <c r="G45" s="11">
        <f>LN(Data!H45/Data!H44)</f>
        <v>0.02879431135915456</v>
      </c>
      <c r="H45" s="11">
        <f>LN(Data!J45/Data!J44)</f>
        <v>0.7470775828761287</v>
      </c>
      <c r="I45" s="11">
        <f>LN(Data!K45/Data!K44)</f>
        <v>-0.1541866814833384</v>
      </c>
      <c r="J45" s="11">
        <f>LN(Data!L45)</f>
        <v>-0.048902714065053865</v>
      </c>
      <c r="K45" s="11">
        <f>LN(Data!M45)</f>
        <v>0.2256162566006742</v>
      </c>
      <c r="L45" s="11">
        <f>LN(Data!N45)</f>
        <v>-0.06400937571260176</v>
      </c>
      <c r="M45" s="12">
        <f>Data!O45</f>
        <v>-0.89</v>
      </c>
      <c r="N45" s="12">
        <f>Data!P45</f>
        <v>0.5</v>
      </c>
      <c r="O45" s="11">
        <f>D44</f>
        <v>-0.12160003105768044</v>
      </c>
      <c r="P45" s="11">
        <f>C44</f>
        <v>-0.1166944493384804</v>
      </c>
      <c r="Q45" s="12">
        <f>Data!R45</f>
        <v>1.1522333333333332</v>
      </c>
    </row>
    <row r="46">
      <c r="A46" t="inlineStr">
        <is>
          <t xml:space="preserve">2010/11</t>
        </is>
      </c>
      <c r="B46">
        <v>2010</v>
      </c>
      <c r="C46" s="11">
        <f>LN(Data!C46/Data!C45)</f>
        <v>0.20137031313443626</v>
      </c>
      <c r="D46" s="11">
        <f>LN(Data!E46/Data!E45)</f>
        <v>0.11307714461897085</v>
      </c>
      <c r="E46" s="11">
        <f>LN(Data!G46/Data!G45)</f>
        <v>0.052452522802535796</v>
      </c>
      <c r="F46" s="11">
        <f>LN(Data!F46/Data!F45)</f>
        <v>0.06062462181643484</v>
      </c>
      <c r="G46" s="11">
        <f>LN(Data!H46/Data!H45)</f>
        <v>0.3092609677363241</v>
      </c>
      <c r="H46" s="11">
        <f>LN(Data!J46/Data!J45)</f>
        <v>0.16897393800284025</v>
      </c>
      <c r="I46" s="11">
        <f>LN(Data!K46/Data!K45)</f>
        <v>0.16291472649582966</v>
      </c>
      <c r="J46" s="11">
        <f>LN(Data!L46)</f>
        <v>-0.02641717954566814</v>
      </c>
      <c r="K46" s="11">
        <f>LN(Data!M46)</f>
        <v>0.3016046840098421</v>
      </c>
      <c r="L46" s="11">
        <f>LN(Data!N46)</f>
        <v>0.19973081908926776</v>
      </c>
      <c r="M46" s="12">
        <f>Data!O46</f>
        <v>1.47</v>
      </c>
      <c r="N46" s="12">
        <f>Data!P46</f>
        <v>-0.98</v>
      </c>
      <c r="O46" s="11">
        <f>D45</f>
        <v>0.09601465323958858</v>
      </c>
      <c r="P46" s="11">
        <f>C45</f>
        <v>0.04530235568436849</v>
      </c>
      <c r="Q46" s="12">
        <f>Data!R46</f>
        <v>-0.8197666666666681</v>
      </c>
    </row>
    <row r="47">
      <c r="A47" t="inlineStr">
        <is>
          <t xml:space="preserve">2011/12</t>
        </is>
      </c>
      <c r="B47">
        <v>2011</v>
      </c>
      <c r="C47" s="11">
        <f>LN(Data!C47/Data!C46)</f>
        <v>0.34776196354884176</v>
      </c>
      <c r="D47" s="11">
        <f>LN(Data!E47/Data!E46)</f>
        <v>0.34274184963480825</v>
      </c>
      <c r="E47" s="11">
        <f>LN(Data!G47/Data!G46)</f>
        <v>0.31375431276155613</v>
      </c>
      <c r="F47" s="11">
        <f>LN(Data!F47/Data!F46)</f>
        <v>0.028987536873252187</v>
      </c>
      <c r="G47" s="11">
        <f>LN(Data!H47/Data!H46)</f>
        <v>0.3246075966929131</v>
      </c>
      <c r="H47" s="11">
        <f>LN(Data!J47/Data!J46)</f>
        <v>0.0019306852185730875</v>
      </c>
      <c r="I47" s="11">
        <f>LN(Data!K47/Data!K46)</f>
        <v>0.4229239176934226</v>
      </c>
      <c r="J47" s="11">
        <f>LN(Data!L47)</f>
        <v>0.23986891050534756</v>
      </c>
      <c r="K47" s="11">
        <f>LN(Data!M47)</f>
        <v>0.13647546556387755</v>
      </c>
      <c r="L47" s="11">
        <f>LN(Data!N47)</f>
        <v>0.26784651227108486</v>
      </c>
      <c r="M47" s="12">
        <f>Data!O47</f>
        <v>-1.29</v>
      </c>
      <c r="N47" s="12">
        <f>Data!P47</f>
        <v>-0.37</v>
      </c>
      <c r="O47" s="11">
        <f>D46</f>
        <v>0.11307714461897085</v>
      </c>
      <c r="P47" s="11">
        <f>C46</f>
        <v>0.20137031313443626</v>
      </c>
      <c r="Q47" s="12">
        <f>Data!R47</f>
        <v>-0.8227666666666664</v>
      </c>
    </row>
    <row r="48">
      <c r="A48" t="inlineStr">
        <is>
          <t xml:space="preserve">2012/13</t>
        </is>
      </c>
      <c r="B48">
        <v>2012</v>
      </c>
      <c r="C48" s="11">
        <f>LN(Data!C48/Data!C47)</f>
        <v>-0.23210433508091052</v>
      </c>
      <c r="D48" s="11">
        <f>LN(Data!E48/Data!E47)</f>
        <v>-0.16989903679539747</v>
      </c>
      <c r="E48" s="11">
        <f>LN(Data!G48/Data!G47)</f>
        <v>-0.2558894846509201</v>
      </c>
      <c r="F48" s="11">
        <f>LN(Data!F48/Data!F47)</f>
        <v>0.08599044785552251</v>
      </c>
      <c r="G48" s="11">
        <f>LN(Data!H48/Data!H47)</f>
        <v>-0.3740345376357215</v>
      </c>
      <c r="H48" s="11">
        <f>LN(Data!J48/Data!J47)</f>
        <v>-0.37317773804305243</v>
      </c>
      <c r="I48" s="11">
        <f>LN(Data!K48/Data!K47)</f>
        <v>-0.12597476960821796</v>
      </c>
      <c r="J48" s="11">
        <f>LN(Data!L48)</f>
        <v>-0.0179260758770124</v>
      </c>
      <c r="K48" s="11">
        <f>LN(Data!M48)</f>
        <v>0.529087051538437</v>
      </c>
      <c r="L48" s="11">
        <f>LN(Data!N48)</f>
        <v>0.04049735435067885</v>
      </c>
      <c r="M48" s="12">
        <f>Data!O48</f>
        <v>-0.71</v>
      </c>
      <c r="N48" s="12">
        <f>Data!P48</f>
        <v>0.28</v>
      </c>
      <c r="O48" s="11">
        <f>D47</f>
        <v>0.34274184963480825</v>
      </c>
      <c r="P48" s="11">
        <f>C47</f>
        <v>0.34776196354884176</v>
      </c>
      <c r="Q48" s="12">
        <f>Data!R48</f>
        <v>0.0497333333333323</v>
      </c>
    </row>
    <row r="49">
      <c r="A49" t="inlineStr">
        <is>
          <t xml:space="preserve">2013/14</t>
        </is>
      </c>
      <c r="B49">
        <v>2013</v>
      </c>
      <c r="C49" s="11">
        <f>LN(Data!C49/Data!C48)</f>
        <v>-0.038561444578719406</v>
      </c>
      <c r="D49" s="11">
        <f>LN(Data!E49/Data!E48)</f>
        <v>-0.07126302002149065</v>
      </c>
      <c r="E49" s="11">
        <f>LN(Data!G49/Data!G48)</f>
        <v>0.1546934726693339</v>
      </c>
      <c r="F49" s="11">
        <f>LN(Data!F49/Data!F48)</f>
        <v>-0.2259564926908245</v>
      </c>
      <c r="G49" s="11">
        <f>LN(Data!H49/Data!H48)</f>
        <v>-0.2899817014665593</v>
      </c>
      <c r="H49" s="11">
        <f>LN(Data!J49/Data!J48)</f>
        <v>-0.12981628649693788</v>
      </c>
      <c r="I49" s="11">
        <f>LN(Data!K49/Data!K48)</f>
        <v>-0.009391991984244195</v>
      </c>
      <c r="J49" s="11">
        <f>LN(Data!L49)</f>
        <v>0.252399604357862</v>
      </c>
      <c r="K49" s="11">
        <f>LN(Data!M49)</f>
        <v>0.10059187193732969</v>
      </c>
      <c r="L49" s="11">
        <f>LN(Data!N49)</f>
        <v>0.00048093332679129776</v>
      </c>
      <c r="M49" s="12">
        <f>Data!O49</f>
        <v>-0.24</v>
      </c>
      <c r="N49" s="12">
        <f>Data!P49</f>
        <v>-0.45</v>
      </c>
      <c r="O49" s="11">
        <f>D48</f>
        <v>-0.16989903679539747</v>
      </c>
      <c r="P49" s="11">
        <f>C48</f>
        <v>-0.23210433508091052</v>
      </c>
      <c r="Q49" s="12">
        <f>Data!R49</f>
        <v>0.31223333333333336</v>
      </c>
    </row>
    <row r="50">
      <c r="A50" t="inlineStr">
        <is>
          <t xml:space="preserve">2014/15</t>
        </is>
      </c>
      <c r="B50">
        <v>2014</v>
      </c>
      <c r="C50" s="11">
        <f>LN(Data!C50/Data!C49)</f>
        <v>0.18412705626973525</v>
      </c>
      <c r="D50" s="11">
        <f>LN(Data!E50/Data!E49)</f>
        <v>0.14763599880606468</v>
      </c>
      <c r="E50" s="11">
        <f>LN(Data!G50/Data!G49)</f>
        <v>0.0839781470340871</v>
      </c>
      <c r="F50" s="11">
        <f>LN(Data!F50/Data!F49)</f>
        <v>0.06365785177197762</v>
      </c>
      <c r="G50" s="11">
        <f>LN(Data!H50/Data!H49)</f>
        <v>0.3634235186132417</v>
      </c>
      <c r="H50" s="11">
        <f>LN(Data!J50/Data!J49)</f>
        <v>0.4596837729360794</v>
      </c>
      <c r="I50" s="11">
        <f>LN(Data!K50/Data!K49)</f>
        <v>-0.009481038482438888</v>
      </c>
      <c r="J50" s="11">
        <f>LN(Data!L50)</f>
        <v>0.22287185753471409</v>
      </c>
      <c r="K50" s="11">
        <f>LN(Data!M50)</f>
        <v>-0.12368986910875322</v>
      </c>
      <c r="L50" s="11">
        <f>LN(Data!N50)</f>
        <v>-0.0006077446948812167</v>
      </c>
      <c r="M50" s="12">
        <f>Data!O50</f>
        <v>-0.24</v>
      </c>
      <c r="N50" s="12">
        <f>Data!P50</f>
        <v>0.07</v>
      </c>
      <c r="O50" s="11">
        <f>D49</f>
        <v>-0.07126302002149065</v>
      </c>
      <c r="P50" s="11">
        <f>C49</f>
        <v>-0.038561444578719406</v>
      </c>
      <c r="Q50" s="12">
        <f>Data!R50</f>
        <v>-0.172266666666669</v>
      </c>
    </row>
    <row r="51">
      <c r="A51" t="inlineStr">
        <is>
          <t xml:space="preserve">2015/16</t>
        </is>
      </c>
      <c r="B51">
        <v>2015</v>
      </c>
      <c r="C51" s="11">
        <f>LN(Data!C51/Data!C50)</f>
        <v>0.02361061905876542</v>
      </c>
      <c r="D51" s="11">
        <f>LN(Data!E51/Data!E50)</f>
        <v>0.03846628082779614</v>
      </c>
      <c r="E51" s="11">
        <f>LN(Data!G51/Data!G50)</f>
        <v>-0.01722262503279273</v>
      </c>
      <c r="F51" s="11">
        <f>LN(Data!F51/Data!F50)</f>
        <v>0.05568890586058863</v>
      </c>
      <c r="G51" s="11">
        <f>LN(Data!H51/Data!H50)</f>
        <v>-0.227153463515917</v>
      </c>
      <c r="H51" s="11">
        <f>LN(Data!J51/Data!J50)</f>
        <v>-0.12303198456818426</v>
      </c>
      <c r="I51" s="11">
        <f>LN(Data!K51/Data!K50)</f>
        <v>0.017891337631143887</v>
      </c>
      <c r="J51" s="11">
        <f>LN(Data!L51)</f>
        <v>0.1087814151292446</v>
      </c>
      <c r="K51" s="11">
        <f>LN(Data!M51)</f>
        <v>-0.5286631370445907</v>
      </c>
      <c r="L51" s="11">
        <f>LN(Data!N51)</f>
        <v>-0.1045311926437897</v>
      </c>
      <c r="M51" s="12">
        <f>Data!O51</f>
        <v>0.73</v>
      </c>
      <c r="N51" s="12">
        <f>Data!P51</f>
        <v>1.44</v>
      </c>
      <c r="O51" s="11">
        <f>D50</f>
        <v>0.14763599880606468</v>
      </c>
      <c r="P51" s="11">
        <f>C50</f>
        <v>0.18412705626973525</v>
      </c>
      <c r="Q51" s="12">
        <f>Data!R51</f>
        <v>0.8392333333333326</v>
      </c>
    </row>
    <row r="52">
      <c r="A52" t="inlineStr">
        <is>
          <t xml:space="preserve">2016/17</t>
        </is>
      </c>
      <c r="B52">
        <v>2016</v>
      </c>
      <c r="C52" s="11">
        <f>LN(Data!C52/Data!C51)</f>
        <v>0.3495747744648463</v>
      </c>
      <c r="D52" s="11">
        <f>LN(Data!E52/Data!E51)</f>
        <v>0.3485286452179672</v>
      </c>
      <c r="E52" s="11">
        <f>LN(Data!G52/Data!G51)</f>
        <v>0.19437796539070903</v>
      </c>
      <c r="F52" s="11">
        <f>LN(Data!F52/Data!F51)</f>
        <v>0.15415067982725836</v>
      </c>
      <c r="G52" s="11">
        <f>LN(Data!H52/Data!H51)</f>
        <v>0.02428323849457474</v>
      </c>
      <c r="H52" s="11">
        <f>LN(Data!J52/Data!J51)</f>
        <v>0.3830634418554005</v>
      </c>
      <c r="I52" s="11">
        <f>LN(Data!K52/Data!K51)</f>
        <v>0.24171366697329819</v>
      </c>
      <c r="J52" s="11">
        <f>LN(Data!L52)</f>
        <v>0.17669930105284057</v>
      </c>
      <c r="K52" s="11">
        <f>LN(Data!M52)</f>
        <v>-0.5344865320052784</v>
      </c>
      <c r="L52" s="11">
        <f>LN(Data!N52)</f>
        <v>-0.2147397210405829</v>
      </c>
      <c r="M52" s="12">
        <f>Data!O52</f>
        <v>2.5</v>
      </c>
      <c r="N52" s="12">
        <f>Data!P52</f>
        <v>-0.19</v>
      </c>
      <c r="O52" s="11">
        <f>D51</f>
        <v>0.03846628082779614</v>
      </c>
      <c r="P52" s="11">
        <f>C51</f>
        <v>0.02361061905876542</v>
      </c>
      <c r="Q52" s="12">
        <f>Data!R52</f>
        <v>0.13723333333333265</v>
      </c>
    </row>
    <row r="53">
      <c r="A53" t="inlineStr">
        <is>
          <t xml:space="preserve">2017/18</t>
        </is>
      </c>
      <c r="B53">
        <v>2017</v>
      </c>
      <c r="C53" s="11">
        <f>LN(Data!C53/Data!C52)</f>
        <v>-0.010497928442117763</v>
      </c>
      <c r="D53" s="11">
        <f>LN(Data!E53/Data!E52)</f>
        <v>0.011912781516241961</v>
      </c>
      <c r="E53" s="11">
        <f>LN(Data!G53/Data!G52)</f>
        <v>-0.05039110181991282</v>
      </c>
      <c r="F53" s="11">
        <f>LN(Data!F53/Data!F52)</f>
        <v>0.06230388333615484</v>
      </c>
      <c r="G53" s="11">
        <f>LN(Data!H53/Data!H52)</f>
        <v>-0.08318103730923568</v>
      </c>
      <c r="H53" s="11">
        <f>LN(Data!J53/Data!J52)</f>
        <v>-0.17998067615391963</v>
      </c>
      <c r="I53" s="11">
        <f>LN(Data!K53/Data!K52)</f>
        <v>0.13830532279863075</v>
      </c>
      <c r="J53" s="11">
        <f>LN(Data!L53)</f>
        <v>-0.07763497722777517</v>
      </c>
      <c r="K53" s="11">
        <f>LN(Data!M53)</f>
        <v>0.40492171045323755</v>
      </c>
      <c r="L53" s="11">
        <f>LN(Data!N53)</f>
        <v>0.1856725353712572</v>
      </c>
      <c r="M53" s="12">
        <f>Data!O53</f>
        <v>-0.08</v>
      </c>
      <c r="N53" s="12">
        <f>Data!P53</f>
        <v>0.14</v>
      </c>
      <c r="O53" s="11">
        <f>D52</f>
        <v>0.3485286452179672</v>
      </c>
      <c r="P53" s="11">
        <f>C52</f>
        <v>0.3495747744648463</v>
      </c>
      <c r="Q53" s="12">
        <f>Data!R53</f>
        <v>-0.06326666666666902</v>
      </c>
    </row>
    <row r="54">
      <c r="A54" t="inlineStr">
        <is>
          <t xml:space="preserve">2018/19</t>
        </is>
      </c>
      <c r="B54">
        <v>2018</v>
      </c>
      <c r="C54" s="11">
        <f>LN(Data!C54/Data!C53)</f>
        <v>-0.0571850612906982</v>
      </c>
      <c r="D54" s="11">
        <f>LN(Data!E54/Data!E53)</f>
        <v>-0.06805346324501564</v>
      </c>
      <c r="E54" s="11">
        <f>LN(Data!G54/Data!G53)</f>
        <v>-0.026951787559463817</v>
      </c>
      <c r="F54" s="11">
        <f>LN(Data!F54/Data!F53)</f>
        <v>-0.04110167568555192</v>
      </c>
      <c r="G54" s="11">
        <f>LN(Data!H54/Data!H53)</f>
        <v>-0.127924535445495</v>
      </c>
      <c r="H54" s="11">
        <f>LN(Data!J54/Data!J53)</f>
        <v>-0.2817523347301812</v>
      </c>
      <c r="I54" s="11">
        <f>LN(Data!K54/Data!K53)</f>
        <v>0.10809604909286759</v>
      </c>
      <c r="J54" s="11">
        <f>LN(Data!L54)</f>
        <v>-0.01021193182933695</v>
      </c>
      <c r="K54" s="11">
        <f>LN(Data!M54)</f>
        <v>0.25264689732591944</v>
      </c>
      <c r="L54" s="11">
        <f>LN(Data!N54)</f>
        <v>-0.297045494081395</v>
      </c>
      <c r="M54" s="12">
        <f>Data!O54</f>
        <v>-0.71</v>
      </c>
      <c r="N54" s="12">
        <f>Data!P54</f>
        <v>0.2</v>
      </c>
      <c r="O54" s="11">
        <f>D53</f>
        <v>0.011912781516241961</v>
      </c>
      <c r="P54" s="11">
        <f>C53</f>
        <v>-0.010497928442117763</v>
      </c>
      <c r="Q54" s="12">
        <f>Data!R54</f>
        <v>0.1487333333333325</v>
      </c>
    </row>
    <row r="55">
      <c r="A55" t="inlineStr">
        <is>
          <t xml:space="preserve">2019/20</t>
        </is>
      </c>
      <c r="B55">
        <v>2019</v>
      </c>
      <c r="C55" s="11">
        <f>LN(Data!C55/Data!C54)</f>
        <v>-0.2130683297952136</v>
      </c>
      <c r="D55" s="11">
        <f>LN(Data!E55/Data!E54)</f>
        <v>-0.31143615845988804</v>
      </c>
      <c r="E55" s="11">
        <f>LN(Data!G55/Data!G54)</f>
        <v>-0.25386630663841026</v>
      </c>
      <c r="F55" s="11">
        <f>LN(Data!F55/Data!F54)</f>
        <v>-0.05756985182147782</v>
      </c>
      <c r="G55" s="11">
        <f>LN(Data!H55/Data!H54)</f>
        <v>-0.015504186535965199</v>
      </c>
      <c r="H55" s="11">
        <f>LN(Data!J55/Data!J54)</f>
        <v>0.001340302829069075</v>
      </c>
      <c r="I55" s="11">
        <f>LN(Data!K55/Data!K54)</f>
        <v>-0.3542386173075025</v>
      </c>
      <c r="J55" s="11">
        <f>LN(Data!L55)</f>
        <v>-0.41268223456343583</v>
      </c>
      <c r="K55" s="11">
        <f>LN(Data!M55)</f>
        <v>0.06312945683058528</v>
      </c>
      <c r="L55" s="11">
        <f>LN(Data!N55)</f>
        <v>-0.12160327810031839</v>
      </c>
      <c r="M55" s="12">
        <f>Data!O55</f>
        <v>0.99</v>
      </c>
      <c r="N55" s="12">
        <f>Data!P55</f>
        <v>0.38</v>
      </c>
      <c r="O55" s="11">
        <f>D54</f>
        <v>-0.06805346324501564</v>
      </c>
      <c r="P55" s="11">
        <f>C54</f>
        <v>-0.0571850612906982</v>
      </c>
      <c r="Q55" s="12">
        <f>Data!R55</f>
        <v>1.6022333333333325</v>
      </c>
    </row>
    <row r="56">
      <c r="A56" t="inlineStr">
        <is>
          <t xml:space="preserve">2020/21</t>
        </is>
      </c>
      <c r="B56">
        <v>2020</v>
      </c>
      <c r="C56" s="11">
        <f>LN(Data!C56/Data!C55)</f>
        <v>0.06452132528477879</v>
      </c>
      <c r="D56" s="11">
        <f>LN(Data!E56/Data!E55)</f>
        <v>0.22314355131420976</v>
      </c>
      <c r="E56" s="11">
        <f>LN(Data!G56/Data!G55)</f>
        <v>0.21209371512762482</v>
      </c>
      <c r="F56" s="11">
        <f>LN(Data!F56/Data!F55)</f>
        <v>0.011049836186584935</v>
      </c>
      <c r="G56" s="11">
        <f>LN(Data!H56/Data!H55)</f>
        <v>0.14317800115778265</v>
      </c>
      <c r="H56" s="11">
        <f>LN(Data!J56/Data!J55)</f>
        <v>0.21143341664034512</v>
      </c>
      <c r="I56" s="11">
        <f>LN(Data!K56/Data!K55)</f>
        <v>0.39622781359435233</v>
      </c>
      <c r="J56" s="11">
        <f>LN(Data!L56)</f>
        <v>-0.048698969234374195</v>
      </c>
      <c r="K56" s="11">
        <f>LN(Data!M56)</f>
        <v>0.0676693270458657</v>
      </c>
      <c r="L56" s="11">
        <f>LN(Data!N56)</f>
        <v>0.058718084699539874</v>
      </c>
      <c r="M56" s="12">
        <f>Data!O56</f>
        <v>0.71</v>
      </c>
      <c r="N56" s="12">
        <f>Data!P56</f>
        <v>-0.29</v>
      </c>
      <c r="O56" s="11">
        <f>D55</f>
        <v>-0.31143615845988804</v>
      </c>
      <c r="P56" s="11">
        <f>C55</f>
        <v>-0.2130683297952136</v>
      </c>
      <c r="Q56" s="12">
        <f>Data!R56</f>
        <v>0.2607333333333326</v>
      </c>
    </row>
    <row r="57">
      <c r="A57" t="inlineStr">
        <is>
          <t xml:space="preserve">2021/22</t>
        </is>
      </c>
      <c r="B57">
        <v>2021</v>
      </c>
      <c r="D57" s="11">
        <f>LN(Data!E57/Data!E56)</f>
        <v>-0.30318625898774615</v>
      </c>
      <c r="E57" s="11">
        <f>LN(Data!G57/Data!G56)</f>
        <v>-0.31048556146935785</v>
      </c>
      <c r="F57" s="11">
        <f>LN(Data!F57/Data!F56)</f>
        <v>0.007299302481611535</v>
      </c>
      <c r="G57" s="11">
        <f>LN(Data!H57/Data!H56)</f>
        <v>0.305513615715249</v>
      </c>
      <c r="H57" s="11">
        <f>LN(Data!J57/Data!J56)</f>
        <v>-0.44079293312479245</v>
      </c>
      <c r="I57" s="11">
        <f>LN(Data!K57/Data!K56)</f>
        <v>-0.19945283967436056</v>
      </c>
      <c r="J57" s="11">
        <f>LN(Data!L57)</f>
        <v>0.043297989729314326</v>
      </c>
      <c r="K57" s="11">
        <f>LN(Data!M57)</f>
        <v>-0.11383654646446263</v>
      </c>
      <c r="L57" s="11">
        <f>LN(Data!N57)</f>
        <v>-0.15832217434811022</v>
      </c>
      <c r="M57" s="12">
        <f>Data!O57</f>
        <v>-0.99</v>
      </c>
      <c r="N57" s="12">
        <f>Data!P57</f>
        <v>-0.35</v>
      </c>
      <c r="O57" s="11">
        <f>D56</f>
        <v>0.22314355131420976</v>
      </c>
      <c r="P57" s="11">
        <f>C56</f>
        <v>0.06452132528477879</v>
      </c>
      <c r="Q57" s="12">
        <f>Data!R57</f>
        <v>1.2527333333333317</v>
      </c>
    </row>
    <row r="58">
      <c r="A58" t="inlineStr">
        <is>
          <t xml:space="preserve">2022/23</t>
        </is>
      </c>
      <c r="B58">
        <v>2022</v>
      </c>
      <c r="D58" s="11">
        <f>LN(Data!E58/Data!E57)</f>
        <v>0.17185025692665923</v>
      </c>
      <c r="E58" s="11">
        <f>LN(Data!G58/Data!G57)</f>
        <v>0.1361321743245801</v>
      </c>
      <c r="F58" s="11">
        <f>LN(Data!F58/Data!F57)</f>
        <v>0.035718082602079246</v>
      </c>
      <c r="G58" s="11">
        <f>LN(Data!H58/Data!H57)</f>
        <v>0.22177553675519676</v>
      </c>
      <c r="H58" s="11">
        <f>LN(Data!J58/Data!J57)</f>
        <v>-0.148887277902585</v>
      </c>
      <c r="I58" s="11">
        <f>LN(Data!K58/Data!K57)</f>
        <v>-2.8607801349406424e-05</v>
      </c>
      <c r="J58" s="11">
        <f>LN(Data!L58)</f>
        <v>-0.2681517478555994</v>
      </c>
      <c r="K58" s="11">
        <f>LN(Data!M58)</f>
        <v>0.19462682669252063</v>
      </c>
      <c r="L58" s="11">
        <f>LN(Data!N58)</f>
        <v>0.13765946515543373</v>
      </c>
      <c r="M58" s="12">
        <f>Data!O58</f>
        <v>-0.76</v>
      </c>
      <c r="N58" s="12">
        <f>Data!P58</f>
        <v>-0.7</v>
      </c>
      <c r="O58" s="11">
        <f>D57</f>
        <v>-0.30318625898774615</v>
      </c>
      <c r="Q58" s="12">
        <f>Data!R58</f>
        <v>-0.43026666666666635</v>
      </c>
    </row>
    <row r="59">
      <c r="A59" t="inlineStr">
        <is>
          <t xml:space="preserve">2023/24</t>
        </is>
      </c>
      <c r="B59">
        <v>2023</v>
      </c>
      <c r="D59" s="11">
        <f>LN(Data!E59/Data!E58)</f>
        <v>-0.12107793155323604</v>
      </c>
      <c r="E59" s="11">
        <f>LN(Data!G59/Data!G58)</f>
        <v>-0.1453425535528673</v>
      </c>
      <c r="F59" s="11">
        <f>LN(Data!F59/Data!F58)</f>
        <v>0.024264621999631298</v>
      </c>
      <c r="G59" s="11">
        <f>LN(Data!H59/Data!H58)</f>
        <v>-0.21514689896907657</v>
      </c>
      <c r="H59" s="11">
        <f>LN(Data!J59/Data!J58)</f>
        <v>0.4554247903910004</v>
      </c>
      <c r="I59" s="11">
        <f>LN(Data!K59/Data!K58)</f>
        <v>-0.004185545930430453</v>
      </c>
      <c r="J59" s="11">
        <f>LN(Data!L59)</f>
        <v>-0.21648302285995702</v>
      </c>
      <c r="K59" s="11">
        <f>LN(Data!M59)</f>
        <v>-0.25901726073134995</v>
      </c>
      <c r="L59" s="11">
        <f>LN(Data!N59)</f>
        <v>-0.32916007860944624</v>
      </c>
      <c r="M59" s="12">
        <f>Data!O59</f>
        <v>-0.55</v>
      </c>
      <c r="N59" s="12">
        <f>Data!P59</f>
        <v>1.0</v>
      </c>
      <c r="O59" s="11">
        <f>D58</f>
        <v>0.17185025692665923</v>
      </c>
      <c r="Q59" s="12">
        <f>Data!R59</f>
        <v>1.386733333333332</v>
      </c>
    </row>
    <row r="60">
      <c r="A60" t="inlineStr">
        <is>
          <t xml:space="preserve">2024/25</t>
        </is>
      </c>
      <c r="B60">
        <v>2024</v>
      </c>
      <c r="D60" s="11">
        <f>LN(Data!E60/Data!E59)</f>
        <v>0.029270382300113237</v>
      </c>
      <c r="E60" s="11">
        <f>LN(Data!G60/Data!G59)</f>
        <v>0.0022417099121939776</v>
      </c>
      <c r="F60" s="11">
        <f>LN(Data!F60/Data!F59)</f>
        <v>0.02702867238791942</v>
      </c>
      <c r="G60" s="11">
        <f>LN(Data!H60/Data!H59)</f>
        <v>0.213369384058758</v>
      </c>
      <c r="H60" s="11">
        <f>LN(Data!J60/Data!J59)</f>
        <v>0.27004183902042805</v>
      </c>
      <c r="I60" s="11">
        <f>LN(Data!K60/Data!K59)</f>
        <v>0.022750523256168362</v>
      </c>
      <c r="J60" s="11">
        <f>LN(Data!L60)</f>
        <v>-0.572222178328672</v>
      </c>
      <c r="K60" s="11">
        <f>LN(Data!M60)</f>
        <v>-0.9955643367011062</v>
      </c>
      <c r="L60" s="11">
        <f>LN(Data!N60)</f>
        <v>-0.03469961630439227</v>
      </c>
      <c r="M60" s="12">
        <f>Data!O60</f>
        <v>1.84</v>
      </c>
      <c r="N60" s="12">
        <f>Data!P60</f>
        <v>0.06</v>
      </c>
      <c r="O60" s="11">
        <f>D59</f>
        <v>-0.12107793155323604</v>
      </c>
      <c r="Q60" s="12">
        <f>Data!R60</f>
        <v>0.5212333333333312</v>
      </c>
    </row>
    <row r="61">
      <c r="A61" t="inlineStr">
        <is>
          <t xml:space="preserve">2025/26</t>
        </is>
      </c>
      <c r="B61">
        <v>2025</v>
      </c>
      <c r="D61" s="11">
        <f>LN(Data!E61/Data!E60)</f>
        <v>0.06152918994686176</v>
      </c>
      <c r="E61" s="11">
        <f>LN(Data!G61/Data!G60)</f>
        <v>0.028739367123870915</v>
      </c>
      <c r="F61" s="11">
        <f>LN(Data!F61/Data!F60)</f>
        <v>0.03278982282299097</v>
      </c>
      <c r="G61" s="11">
        <f>LN(Data!H61/Data!H60)</f>
        <v>0.4100505757981986</v>
      </c>
      <c r="H61" s="11">
        <f>LN(Data!J61/Data!J60)</f>
        <v>0.18737025438735566</v>
      </c>
      <c r="J61" s="11">
        <f>LN(Data!L61)</f>
        <v>0.16699318390511225</v>
      </c>
      <c r="K61" s="11">
        <f>LN(Data!M61)</f>
        <v>-0.6100720831429157</v>
      </c>
      <c r="L61" s="11">
        <f>LN(Data!N61)</f>
        <v>0.16723229067249937</v>
      </c>
      <c r="M61" s="12">
        <f>Data!O61</f>
        <v>-0.46</v>
      </c>
      <c r="N61" s="12">
        <f>Data!P61</f>
        <v>-0.11</v>
      </c>
      <c r="O61" s="11">
        <f>D60</f>
        <v>0.029270382300113237</v>
      </c>
      <c r="Q61" s="12">
        <f>Data!R61</f>
        <v>0.6842333333333332</v>
      </c>
    </row>
    <row r="62">
      <c r="A62" t="inlineStr">
        <is>
          <t xml:space="preserve">2026/27</t>
        </is>
      </c>
      <c r="B62">
        <v>2026</v>
      </c>
      <c r="D62" s="11">
        <f>LN(Data!E62/Data!E61)</f>
        <v>0.08655919520485071</v>
      </c>
      <c r="E62" s="11">
        <f>LN(Data!G62/Data!G61)</f>
        <v>0.024038838223516646</v>
      </c>
      <c r="F62" s="11">
        <f>LN(Data!F62/Data!F61)</f>
        <v>0.06252035698133393</v>
      </c>
      <c r="G62" s="11">
        <f>LN(Data!H62/Data!H61)</f>
        <v>-0.13184618831603023</v>
      </c>
      <c r="H62" s="11">
        <f>LN(Data!J62/Data!J61)</f>
        <v>-0.4139997869819278</v>
      </c>
      <c r="J62" s="11">
        <f>LN(Data!L62)</f>
        <v>0.3556654232976046</v>
      </c>
      <c r="K62" s="11">
        <f>LN(Data!M62)</f>
        <v>-0.10697800738071943</v>
      </c>
      <c r="M62" s="12">
        <f>Data!O62</f>
        <v>-0.39</v>
      </c>
      <c r="N62" s="12">
        <f>Data!P62</f>
        <v>1.8</v>
      </c>
      <c r="O62" s="11">
        <f>D61</f>
        <v>0.06152918994686176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44" customWidth="1"/>
    <col min="2" max="2" width="5" customWidth="1"/>
    <col min="3" max="3" width="11" customWidth="1"/>
    <col min="4" max="4" width="13" customWidth="1"/>
    <col min="5" max="5" width="9" customWidth="1"/>
    <col min="6" max="6" width="20" customWidth="1"/>
    <col min="7" max="7" width="13" customWidth="1"/>
  </cols>
  <sheetData>
    <row r="1">
      <c r="A1" s="1" t="inlineStr">
        <is>
          <t xml:space="preserve">One driver at a time: does it move with output the same year?</t>
        </is>
      </c>
    </row>
    <row r="2">
      <c r="A2" s="2" t="inlineStr">
        <is>
          <t xml:space="preserve">r = Pearson correlation of year-on-year changes. p = share of 5 000 random shuffles giving |r| at least as large (purple, Python). Holm p = corrected for testing 14 drivers on the same sample: below 0.05 = survives. Excel check = the same r recomputed with CORREL where the driver is a column of Changes.</t>
        </is>
      </c>
    </row>
    <row r="4">
      <c r="A4" s="3" t="inlineStr">
        <is>
          <t xml:space="preserve">A. USDA production, crop years 1982/83 - 2025/26</t>
        </is>
      </c>
    </row>
    <row r="5">
      <c r="A5" s="5" t="inlineStr">
        <is>
          <t xml:space="preserve">Driver</t>
        </is>
      </c>
      <c r="B5" s="5" t="inlineStr">
        <is>
          <t xml:space="preserve">n</t>
        </is>
      </c>
      <c r="C5" s="5" t="inlineStr">
        <is>
          <t xml:space="preserve">r (Python)</t>
        </is>
      </c>
      <c r="D5" s="5" t="inlineStr">
        <is>
          <t xml:space="preserve">p (permutation)</t>
        </is>
      </c>
      <c r="E5" s="5" t="inlineStr">
        <is>
          <t xml:space="preserve">Holm p</t>
        </is>
      </c>
      <c r="F5" s="5" t="inlineStr">
        <is>
          <t xml:space="preserve">Verdict</t>
        </is>
      </c>
      <c r="G5" s="5" t="inlineStr">
        <is>
          <t xml:space="preserve">Excel check r</t>
        </is>
      </c>
    </row>
    <row r="6">
      <c r="A6" t="inlineStr">
        <is>
          <t xml:space="preserve">Nitrogen use change (FAO)</t>
        </is>
      </c>
      <c r="B6">
        <v>20</v>
      </c>
      <c r="C6" s="13">
        <v>0.751</v>
      </c>
      <c r="D6" s="14">
        <v>0.0004</v>
      </c>
      <c r="E6" s="14">
        <v>0.0056</v>
      </c>
      <c r="F6" s="15" t="inlineStr">
        <is>
          <t xml:space="preserve">robust</t>
        </is>
      </c>
      <c r="G6" s="12">
        <f>CORREL(Changes!D18:D61,Changes!I18:I61)</f>
        <v>0.7509896692236512</v>
      </c>
    </row>
    <row r="7">
      <c r="A7" t="inlineStr">
        <is>
          <t xml:space="preserve">Last year's change (biennial / mean reversion)</t>
        </is>
      </c>
      <c r="B7">
        <v>44</v>
      </c>
      <c r="C7" s="13">
        <v>-0.521</v>
      </c>
      <c r="D7" s="14">
        <v>0.0008</v>
      </c>
      <c r="E7" s="14">
        <v>0.010400000000000001</v>
      </c>
      <c r="F7" s="15" t="inlineStr">
        <is>
          <t xml:space="preserve">robust</t>
        </is>
      </c>
      <c r="G7" s="12">
        <f>CORREL(Changes!D18:D61,Changes!O18:O61)</f>
        <v>-0.5205171553623409</v>
      </c>
    </row>
    <row r="8">
      <c r="A8" t="inlineStr">
        <is>
          <t xml:space="preserve">Coffee/urea price ratio change</t>
        </is>
      </c>
      <c r="B8">
        <v>44</v>
      </c>
      <c r="C8" s="13">
        <v>0.369</v>
      </c>
      <c r="D8" s="14">
        <v>0.015</v>
      </c>
      <c r="E8" s="14">
        <v>0.18</v>
      </c>
      <c r="F8" s="16" t="inlineStr">
        <is>
          <t xml:space="preserve">weak (p&lt;0.05 alone)</t>
        </is>
      </c>
      <c r="G8" s="12">
        <f>CORREL(Changes!D18:D61,Changes!H18:H61)</f>
        <v>0.3690202140074713</v>
      </c>
    </row>
    <row r="9">
      <c r="A9" t="inlineStr">
        <is>
          <t xml:space="preserve">Rain Dec-Mar (dry season, before flowering)</t>
        </is>
      </c>
      <c r="B9">
        <v>44</v>
      </c>
      <c r="C9" s="13">
        <v>0.344</v>
      </c>
      <c r="D9" s="14">
        <v>0.0228</v>
      </c>
      <c r="E9" s="14">
        <v>0.2508</v>
      </c>
      <c r="F9" s="16" t="inlineStr">
        <is>
          <t xml:space="preserve">weak (p&lt;0.05 alone)</t>
        </is>
      </c>
      <c r="G9" s="12">
        <f>CORREL(Changes!D18:D61,Changes!J18:J61)</f>
        <v>0.3442246199680959</v>
      </c>
    </row>
    <row r="10">
      <c r="A10" t="inlineStr">
        <is>
          <t xml:space="preserve">World arabica price change, year t</t>
        </is>
      </c>
      <c r="B10">
        <v>44</v>
      </c>
      <c r="C10" s="13">
        <v>0.33</v>
      </c>
      <c r="D10" s="14">
        <v>0.03</v>
      </c>
      <c r="E10" s="14">
        <v>0.3</v>
      </c>
      <c r="F10" s="16" t="inlineStr">
        <is>
          <t xml:space="preserve">weak (p&lt;0.05 alone)</t>
        </is>
      </c>
      <c r="G10" s="12">
        <f>CORREL(Changes!D18:D61,Changes!G18:G61)</f>
        <v>0.33012892618468</v>
      </c>
    </row>
    <row r="11">
      <c r="A11" t="inlineStr">
        <is>
          <t xml:space="preserve">Coffee/urea ratio vs its 5-year mean</t>
        </is>
      </c>
      <c r="B11">
        <v>44</v>
      </c>
      <c r="C11" s="13">
        <v>0.32</v>
      </c>
      <c r="D11" s="14">
        <v>0.0358</v>
      </c>
      <c r="E11" s="14">
        <v>0.3222</v>
      </c>
      <c r="F11" s="16" t="inlineStr">
        <is>
          <t xml:space="preserve">weak (p&lt;0.05 alone)</t>
        </is>
      </c>
    </row>
    <row r="12">
      <c r="A12" t="inlineStr">
        <is>
          <t xml:space="preserve">Max temperature Mar-May (NASA POWER)</t>
        </is>
      </c>
      <c r="B12">
        <v>44</v>
      </c>
      <c r="C12" s="13">
        <v>0.199</v>
      </c>
      <c r="D12" s="14">
        <v>0.1998</v>
      </c>
      <c r="E12" s="14">
        <v>1</v>
      </c>
      <c r="F12" t="inlineStr">
        <is>
          <t xml:space="preserve">no link</t>
        </is>
      </c>
    </row>
    <row r="13">
      <c r="A13" t="inlineStr">
        <is>
          <t xml:space="preserve">Rain Jun-Oct (fruit fill)</t>
        </is>
      </c>
      <c r="B13">
        <v>44</v>
      </c>
      <c r="C13" s="13">
        <v>0.101</v>
      </c>
      <c r="D13" s="14">
        <v>0.5065</v>
      </c>
      <c r="E13" s="14">
        <v>1</v>
      </c>
      <c r="F13" t="inlineStr">
        <is>
          <t xml:space="preserve">no link</t>
        </is>
      </c>
      <c r="G13" s="12">
        <f>CORREL(Changes!D18:D61,Changes!L18:L61)</f>
        <v>0.10143212443940035</v>
      </c>
    </row>
    <row r="14">
      <c r="A14" t="inlineStr">
        <is>
          <t xml:space="preserve">Rain Apr-May (flowering, fruit set)</t>
        </is>
      </c>
      <c r="B14">
        <v>44</v>
      </c>
      <c r="C14" s="13">
        <v>-0.103</v>
      </c>
      <c r="D14" s="14">
        <v>0.5089</v>
      </c>
      <c r="E14" s="14">
        <v>1</v>
      </c>
      <c r="F14" t="inlineStr">
        <is>
          <t xml:space="preserve">no link</t>
        </is>
      </c>
      <c r="G14" s="12">
        <f>CORREL(Changes!D18:D61,Changes!K18:K61)</f>
        <v>-0.10323980859597548</v>
      </c>
    </row>
    <row r="15">
      <c r="A15" t="inlineStr">
        <is>
          <t xml:space="preserve">World arabica price change, year t-1</t>
        </is>
      </c>
      <c r="B15">
        <v>44</v>
      </c>
      <c r="C15" s="13">
        <v>-0.078</v>
      </c>
      <c r="D15" s="14">
        <v>0.6279</v>
      </c>
      <c r="E15" s="14">
        <v>1</v>
      </c>
      <c r="F15" t="inlineStr">
        <is>
          <t xml:space="preserve">no link</t>
        </is>
      </c>
    </row>
    <row r="16">
      <c r="A16" t="inlineStr">
        <is>
          <t xml:space="preserve">Rain May-Oct t-1 (wood for this crop)</t>
        </is>
      </c>
      <c r="B16">
        <v>44</v>
      </c>
      <c r="C16" s="13">
        <v>-0.07</v>
      </c>
      <c r="D16" s="14">
        <v>0.6515</v>
      </c>
      <c r="E16" s="14">
        <v>1</v>
      </c>
      <c r="F16" t="inlineStr">
        <is>
          <t xml:space="preserve">no link</t>
        </is>
      </c>
    </row>
    <row r="17">
      <c r="A17" t="inlineStr">
        <is>
          <t xml:space="preserve">Price level t-1 vs its 5-year mean</t>
        </is>
      </c>
      <c r="B17">
        <v>44</v>
      </c>
      <c r="C17" s="13">
        <v>-0.028</v>
      </c>
      <c r="D17" s="14">
        <v>0.8594</v>
      </c>
      <c r="E17" s="14">
        <v>1</v>
      </c>
      <c r="F17" t="inlineStr">
        <is>
          <t xml:space="preserve">no link</t>
        </is>
      </c>
    </row>
    <row r="18">
      <c r="A18" t="inlineStr">
        <is>
          <t xml:space="preserve">ENSO: ONI Jun-Aug</t>
        </is>
      </c>
      <c r="B18">
        <v>44</v>
      </c>
      <c r="C18" s="13">
        <v>-0.01</v>
      </c>
      <c r="D18" s="14">
        <v>0.951</v>
      </c>
      <c r="E18" s="14">
        <v>1</v>
      </c>
      <c r="F18" t="inlineStr">
        <is>
          <t xml:space="preserve">no link</t>
        </is>
      </c>
      <c r="G18" s="12">
        <f>CORREL(Changes!D18:D61,Changes!N18:N61)</f>
        <v>-0.010291694584658137</v>
      </c>
    </row>
    <row r="19">
      <c r="A19" t="inlineStr">
        <is>
          <t xml:space="preserve">ENSO: ONI Dec-Feb</t>
        </is>
      </c>
      <c r="B19">
        <v>44</v>
      </c>
      <c r="C19" s="13">
        <v>-0.009</v>
      </c>
      <c r="D19" s="14">
        <v>0.955</v>
      </c>
      <c r="E19" s="14">
        <v>1</v>
      </c>
      <c r="F19" t="inlineStr">
        <is>
          <t xml:space="preserve">no link</t>
        </is>
      </c>
      <c r="G19" s="12">
        <f>CORREL(Changes!D18:D61,Changes!M18:M61)</f>
        <v>-0.008555449002016059</v>
      </c>
    </row>
    <row r="21">
      <c r="A21" s="3" t="inlineStr">
        <is>
          <t xml:space="preserve">B. IHCAFE measured exports, 1982/83 - 2020/21</t>
        </is>
      </c>
    </row>
    <row r="22">
      <c r="A22" s="5" t="inlineStr">
        <is>
          <t xml:space="preserve">Driver</t>
        </is>
      </c>
      <c r="B22" s="5" t="inlineStr">
        <is>
          <t xml:space="preserve">n</t>
        </is>
      </c>
      <c r="C22" s="5" t="inlineStr">
        <is>
          <t xml:space="preserve">r (Python)</t>
        </is>
      </c>
      <c r="D22" s="5" t="inlineStr">
        <is>
          <t xml:space="preserve">p (permutation)</t>
        </is>
      </c>
      <c r="E22" s="5" t="inlineStr">
        <is>
          <t xml:space="preserve">Holm p</t>
        </is>
      </c>
      <c r="F22" s="5" t="inlineStr">
        <is>
          <t xml:space="preserve">Verdict</t>
        </is>
      </c>
      <c r="G22" s="5" t="inlineStr">
        <is>
          <t xml:space="preserve">Excel check r</t>
        </is>
      </c>
    </row>
    <row r="23">
      <c r="A23" t="inlineStr">
        <is>
          <t xml:space="preserve">Nitrogen use change (FAO)</t>
        </is>
      </c>
      <c r="B23">
        <v>16</v>
      </c>
      <c r="C23" s="13">
        <v>0.691</v>
      </c>
      <c r="D23" s="14">
        <v>0.0044</v>
      </c>
      <c r="E23" s="14">
        <v>0.0616</v>
      </c>
      <c r="F23" s="16" t="inlineStr">
        <is>
          <t xml:space="preserve">weak (p&lt;0.05 alone)</t>
        </is>
      </c>
      <c r="G23" s="12">
        <f>CORREL(Changes!C18:C56,Changes!I18:I56)</f>
        <v>0.6910485398659446</v>
      </c>
    </row>
    <row r="24">
      <c r="A24" t="inlineStr">
        <is>
          <t xml:space="preserve">Last year's change (biennial / mean reversion)</t>
        </is>
      </c>
      <c r="B24">
        <v>39</v>
      </c>
      <c r="C24" s="13">
        <v>-0.411</v>
      </c>
      <c r="D24" s="14">
        <v>0.0102</v>
      </c>
      <c r="E24" s="14">
        <v>0.1326</v>
      </c>
      <c r="F24" s="16" t="inlineStr">
        <is>
          <t xml:space="preserve">weak (p&lt;0.05 alone)</t>
        </is>
      </c>
      <c r="G24" s="12">
        <f>CORREL(Changes!C18:C56,Changes!P18:P56)</f>
        <v>-0.41097455859741355</v>
      </c>
    </row>
    <row r="25">
      <c r="A25" t="inlineStr">
        <is>
          <t xml:space="preserve">World arabica price change, year t</t>
        </is>
      </c>
      <c r="B25">
        <v>39</v>
      </c>
      <c r="C25" s="13">
        <v>0.335</v>
      </c>
      <c r="D25" s="14">
        <v>0.0342</v>
      </c>
      <c r="E25" s="14">
        <v>0.4104</v>
      </c>
      <c r="F25" s="16" t="inlineStr">
        <is>
          <t xml:space="preserve">weak (p&lt;0.05 alone)</t>
        </is>
      </c>
      <c r="G25" s="12">
        <f>CORREL(Changes!C18:C56,Changes!G18:G56)</f>
        <v>0.3354971424972331</v>
      </c>
    </row>
    <row r="26">
      <c r="A26" t="inlineStr">
        <is>
          <t xml:space="preserve">Rain Dec-Mar (dry season, before flowering)</t>
        </is>
      </c>
      <c r="B26">
        <v>39</v>
      </c>
      <c r="C26" s="13">
        <v>0.308</v>
      </c>
      <c r="D26" s="14">
        <v>0.0576</v>
      </c>
      <c r="E26" s="14">
        <v>0.6335999999999999</v>
      </c>
      <c r="F26" s="16" t="inlineStr">
        <is>
          <t xml:space="preserve">hint (p&lt;0.10)</t>
        </is>
      </c>
      <c r="G26" s="12">
        <f>CORREL(Changes!C18:C56,Changes!J18:J56)</f>
        <v>0.3077765053902418</v>
      </c>
    </row>
    <row r="27">
      <c r="A27" t="inlineStr">
        <is>
          <t xml:space="preserve">Coffee/urea price ratio change</t>
        </is>
      </c>
      <c r="B27">
        <v>39</v>
      </c>
      <c r="C27" s="13">
        <v>0.305</v>
      </c>
      <c r="D27" s="14">
        <v>0.0616</v>
      </c>
      <c r="E27" s="14">
        <v>0.6335999999999999</v>
      </c>
      <c r="F27" s="16" t="inlineStr">
        <is>
          <t xml:space="preserve">hint (p&lt;0.10)</t>
        </is>
      </c>
      <c r="G27" s="12">
        <f>CORREL(Changes!C18:C56,Changes!H18:H56)</f>
        <v>0.3053452499057237</v>
      </c>
    </row>
    <row r="28">
      <c r="A28" t="inlineStr">
        <is>
          <t xml:space="preserve">Rain Jun-Oct (fruit fill)</t>
        </is>
      </c>
      <c r="B28">
        <v>39</v>
      </c>
      <c r="C28" s="13">
        <v>0.247</v>
      </c>
      <c r="D28" s="14">
        <v>0.125</v>
      </c>
      <c r="E28" s="14">
        <v>1</v>
      </c>
      <c r="F28" t="inlineStr">
        <is>
          <t xml:space="preserve">no link</t>
        </is>
      </c>
      <c r="G28" s="12">
        <f>CORREL(Changes!C18:C56,Changes!L18:L56)</f>
        <v>0.24681084155942593</v>
      </c>
    </row>
    <row r="29">
      <c r="A29" t="inlineStr">
        <is>
          <t xml:space="preserve">Coffee/urea ratio vs its 5-year mean</t>
        </is>
      </c>
      <c r="B29">
        <v>39</v>
      </c>
      <c r="C29" s="13">
        <v>0.245</v>
      </c>
      <c r="D29" s="14">
        <v>0.146</v>
      </c>
      <c r="E29" s="14">
        <v>1</v>
      </c>
      <c r="F29" t="inlineStr">
        <is>
          <t xml:space="preserve">no link</t>
        </is>
      </c>
    </row>
    <row r="30">
      <c r="A30" t="inlineStr">
        <is>
          <t xml:space="preserve">ENSO: ONI Jun-Aug</t>
        </is>
      </c>
      <c r="B30">
        <v>39</v>
      </c>
      <c r="C30" s="13">
        <v>-0.211</v>
      </c>
      <c r="D30" s="14">
        <v>0.1964</v>
      </c>
      <c r="E30" s="14">
        <v>1</v>
      </c>
      <c r="F30" t="inlineStr">
        <is>
          <t xml:space="preserve">no link</t>
        </is>
      </c>
      <c r="G30" s="12">
        <f>CORREL(Changes!C18:C56,Changes!N18:N56)</f>
        <v>-0.211484254029829</v>
      </c>
    </row>
    <row r="31">
      <c r="A31" t="inlineStr">
        <is>
          <t xml:space="preserve">Max temperature Mar-May (NASA POWER)</t>
        </is>
      </c>
      <c r="B31">
        <v>39</v>
      </c>
      <c r="C31" s="13">
        <v>0.205</v>
      </c>
      <c r="D31" s="14">
        <v>0.2046</v>
      </c>
      <c r="E31" s="14">
        <v>1</v>
      </c>
      <c r="F31" t="inlineStr">
        <is>
          <t xml:space="preserve">no link</t>
        </is>
      </c>
    </row>
    <row r="32">
      <c r="A32" t="inlineStr">
        <is>
          <t xml:space="preserve">Rain Apr-May (flowering, fruit set)</t>
        </is>
      </c>
      <c r="B32">
        <v>39</v>
      </c>
      <c r="C32" s="13">
        <v>-0.204</v>
      </c>
      <c r="D32" s="14">
        <v>0.2108</v>
      </c>
      <c r="E32" s="14">
        <v>1</v>
      </c>
      <c r="F32" t="inlineStr">
        <is>
          <t xml:space="preserve">no link</t>
        </is>
      </c>
      <c r="G32" s="12">
        <f>CORREL(Changes!C18:C56,Changes!K18:K56)</f>
        <v>-0.20418549530352773</v>
      </c>
    </row>
    <row r="33">
      <c r="A33" t="inlineStr">
        <is>
          <t xml:space="preserve">World arabica price change, year t-1</t>
        </is>
      </c>
      <c r="B33">
        <v>39</v>
      </c>
      <c r="C33" s="13">
        <v>-0.046</v>
      </c>
      <c r="D33" s="14">
        <v>0.7822</v>
      </c>
      <c r="E33" s="14">
        <v>1</v>
      </c>
      <c r="F33" t="inlineStr">
        <is>
          <t xml:space="preserve">no link</t>
        </is>
      </c>
    </row>
    <row r="34">
      <c r="A34" t="inlineStr">
        <is>
          <t xml:space="preserve">ENSO: ONI Dec-Feb</t>
        </is>
      </c>
      <c r="B34">
        <v>39</v>
      </c>
      <c r="C34" s="13">
        <v>-0.03</v>
      </c>
      <c r="D34" s="14">
        <v>0.845</v>
      </c>
      <c r="E34" s="14">
        <v>1</v>
      </c>
      <c r="F34" t="inlineStr">
        <is>
          <t xml:space="preserve">no link</t>
        </is>
      </c>
      <c r="G34" s="12">
        <f>CORREL(Changes!C18:C56,Changes!M18:M56)</f>
        <v>-0.030139388659392963</v>
      </c>
    </row>
    <row r="35">
      <c r="A35" t="inlineStr">
        <is>
          <t xml:space="preserve">Price level t-1 vs its 5-year mean</t>
        </is>
      </c>
      <c r="B35">
        <v>39</v>
      </c>
      <c r="C35" s="13">
        <v>-0.02</v>
      </c>
      <c r="D35" s="14">
        <v>0.905</v>
      </c>
      <c r="E35" s="14">
        <v>1</v>
      </c>
      <c r="F35" t="inlineStr">
        <is>
          <t xml:space="preserve">no link</t>
        </is>
      </c>
    </row>
    <row r="36">
      <c r="A36" t="inlineStr">
        <is>
          <t xml:space="preserve">Rain May-Oct t-1 (wood for this crop)</t>
        </is>
      </c>
      <c r="B36">
        <v>39</v>
      </c>
      <c r="C36" s="13">
        <v>0.014</v>
      </c>
      <c r="D36" s="14">
        <v>0.9348</v>
      </c>
      <c r="E36" s="14">
        <v>1</v>
      </c>
      <c r="F36" t="inlineStr">
        <is>
          <t xml:space="preserve">no link</t>
        </is>
      </c>
    </row>
    <row r="38">
      <c r="A38" s="3" t="inlineStr">
        <is>
          <t xml:space="preserve">C. USDA yield per bearing hectare, 2006/07 - 2025/26</t>
        </is>
      </c>
    </row>
    <row r="39">
      <c r="A39" s="5" t="inlineStr">
        <is>
          <t xml:space="preserve">Driver</t>
        </is>
      </c>
      <c r="B39" s="5" t="inlineStr">
        <is>
          <t xml:space="preserve">n</t>
        </is>
      </c>
      <c r="C39" s="5" t="inlineStr">
        <is>
          <t xml:space="preserve">r (Python)</t>
        </is>
      </c>
      <c r="D39" s="5" t="inlineStr">
        <is>
          <t xml:space="preserve">p (permutation)</t>
        </is>
      </c>
      <c r="E39" s="5" t="inlineStr">
        <is>
          <t xml:space="preserve">Holm p</t>
        </is>
      </c>
      <c r="F39" s="5" t="inlineStr">
        <is>
          <t xml:space="preserve">Verdict</t>
        </is>
      </c>
      <c r="G39" s="5" t="inlineStr">
        <is>
          <t xml:space="preserve">Excel check r</t>
        </is>
      </c>
    </row>
    <row r="40">
      <c r="A40" t="inlineStr">
        <is>
          <t xml:space="preserve">Last year's change (biennial / mean reversion)</t>
        </is>
      </c>
      <c r="B40">
        <v>19</v>
      </c>
      <c r="C40" s="13">
        <v>-0.573</v>
      </c>
      <c r="D40" s="14">
        <v>0.0124</v>
      </c>
      <c r="E40" s="14">
        <v>0.1736</v>
      </c>
      <c r="F40" s="16" t="inlineStr">
        <is>
          <t xml:space="preserve">weak (p&lt;0.05 alone)</t>
        </is>
      </c>
      <c r="G40" s="12">
        <f>CORREL(Changes!E42:E61,Changes!O42:O61)</f>
        <v>-0.5478349774329411</v>
      </c>
    </row>
    <row r="41">
      <c r="A41" t="inlineStr">
        <is>
          <t xml:space="preserve">Nitrogen use change (FAO)</t>
        </is>
      </c>
      <c r="B41">
        <v>19</v>
      </c>
      <c r="C41" s="13">
        <v>0.557</v>
      </c>
      <c r="D41" s="14">
        <v>0.0124</v>
      </c>
      <c r="E41" s="14">
        <v>0.1736</v>
      </c>
      <c r="F41" s="16" t="inlineStr">
        <is>
          <t xml:space="preserve">weak (p&lt;0.05 alone)</t>
        </is>
      </c>
      <c r="G41" s="12">
        <f>CORREL(Changes!E42:E61,Changes!I42:I61)</f>
        <v>0.5565621505746131</v>
      </c>
    </row>
    <row r="42">
      <c r="A42" t="inlineStr">
        <is>
          <t xml:space="preserve">Rain Dec-Mar (dry season, before flowering)</t>
        </is>
      </c>
      <c r="B42">
        <v>20</v>
      </c>
      <c r="C42" s="13">
        <v>0.437</v>
      </c>
      <c r="D42" s="14">
        <v>0.0572</v>
      </c>
      <c r="E42" s="14">
        <v>0.6864</v>
      </c>
      <c r="F42" s="16" t="inlineStr">
        <is>
          <t xml:space="preserve">hint (p&lt;0.10)</t>
        </is>
      </c>
      <c r="G42" s="12">
        <f>CORREL(Changes!E42:E61,Changes!J42:J61)</f>
        <v>0.4366318303651015</v>
      </c>
    </row>
    <row r="43">
      <c r="A43" t="inlineStr">
        <is>
          <t xml:space="preserve">Coffee/urea ratio vs its 5-year mean</t>
        </is>
      </c>
      <c r="B43">
        <v>20</v>
      </c>
      <c r="C43" s="13">
        <v>0.407</v>
      </c>
      <c r="D43" s="14">
        <v>0.0776</v>
      </c>
      <c r="E43" s="14">
        <v>0.8536</v>
      </c>
      <c r="F43" s="16" t="inlineStr">
        <is>
          <t xml:space="preserve">hint (p&lt;0.10)</t>
        </is>
      </c>
    </row>
    <row r="44">
      <c r="A44" t="inlineStr">
        <is>
          <t xml:space="preserve">Coffee/urea price ratio change</t>
        </is>
      </c>
      <c r="B44">
        <v>20</v>
      </c>
      <c r="C44" s="13">
        <v>0.406</v>
      </c>
      <c r="D44" s="14">
        <v>0.0784</v>
      </c>
      <c r="E44" s="14">
        <v>0.8536</v>
      </c>
      <c r="F44" s="16" t="inlineStr">
        <is>
          <t xml:space="preserve">hint (p&lt;0.10)</t>
        </is>
      </c>
      <c r="G44" s="12">
        <f>CORREL(Changes!E42:E61,Changes!H42:H61)</f>
        <v>0.40564119088031625</v>
      </c>
    </row>
    <row r="45">
      <c r="A45" t="inlineStr">
        <is>
          <t xml:space="preserve">ENSO: ONI Jun-Aug</t>
        </is>
      </c>
      <c r="B45">
        <v>20</v>
      </c>
      <c r="C45" s="13">
        <v>-0.355</v>
      </c>
      <c r="D45" s="14">
        <v>0.12</v>
      </c>
      <c r="E45" s="14">
        <v>1</v>
      </c>
      <c r="F45" t="inlineStr">
        <is>
          <t xml:space="preserve">no link</t>
        </is>
      </c>
      <c r="G45" s="12">
        <f>CORREL(Changes!E42:E61,Changes!N42:N61)</f>
        <v>-0.35523053502636337</v>
      </c>
    </row>
    <row r="46">
      <c r="A46" t="inlineStr">
        <is>
          <t xml:space="preserve">Rain Jun-Oct (fruit fill)</t>
        </is>
      </c>
      <c r="B46">
        <v>20</v>
      </c>
      <c r="C46" s="13">
        <v>0.334</v>
      </c>
      <c r="D46" s="14">
        <v>0.1494</v>
      </c>
      <c r="E46" s="14">
        <v>1</v>
      </c>
      <c r="F46" t="inlineStr">
        <is>
          <t xml:space="preserve">no link</t>
        </is>
      </c>
      <c r="G46" s="12">
        <f>CORREL(Changes!E42:E61,Changes!L42:L61)</f>
        <v>0.33427848405081995</v>
      </c>
    </row>
    <row r="47">
      <c r="A47" t="inlineStr">
        <is>
          <t xml:space="preserve">World arabica price change, year t</t>
        </is>
      </c>
      <c r="B47">
        <v>20</v>
      </c>
      <c r="C47" s="13">
        <v>0.306</v>
      </c>
      <c r="D47" s="14">
        <v>0.1938</v>
      </c>
      <c r="E47" s="14">
        <v>1</v>
      </c>
      <c r="F47" t="inlineStr">
        <is>
          <t xml:space="preserve">no link</t>
        </is>
      </c>
      <c r="G47" s="12">
        <f>CORREL(Changes!E42:E61,Changes!G42:G61)</f>
        <v>0.306363717257976</v>
      </c>
    </row>
    <row r="48">
      <c r="A48" t="inlineStr">
        <is>
          <t xml:space="preserve">Max temperature Mar-May (NASA POWER)</t>
        </is>
      </c>
      <c r="B48">
        <v>20</v>
      </c>
      <c r="C48" s="13">
        <v>0.265</v>
      </c>
      <c r="D48" s="14">
        <v>0.2635</v>
      </c>
      <c r="E48" s="14">
        <v>1</v>
      </c>
      <c r="F48" t="inlineStr">
        <is>
          <t xml:space="preserve">no link</t>
        </is>
      </c>
    </row>
    <row r="49">
      <c r="A49" t="inlineStr">
        <is>
          <t xml:space="preserve">World arabica price change, year t-1</t>
        </is>
      </c>
      <c r="B49">
        <v>20</v>
      </c>
      <c r="C49" s="13">
        <v>-0.232</v>
      </c>
      <c r="D49" s="14">
        <v>0.3301</v>
      </c>
      <c r="E49" s="14">
        <v>1</v>
      </c>
      <c r="F49" t="inlineStr">
        <is>
          <t xml:space="preserve">no link</t>
        </is>
      </c>
    </row>
    <row r="50">
      <c r="A50" t="inlineStr">
        <is>
          <t xml:space="preserve">ENSO: ONI Dec-Feb</t>
        </is>
      </c>
      <c r="B50">
        <v>20</v>
      </c>
      <c r="C50" s="13">
        <v>0.2</v>
      </c>
      <c r="D50" s="14">
        <v>0.3883</v>
      </c>
      <c r="E50" s="14">
        <v>1</v>
      </c>
      <c r="F50" t="inlineStr">
        <is>
          <t xml:space="preserve">no link</t>
        </is>
      </c>
      <c r="G50" s="12">
        <f>CORREL(Changes!E42:E61,Changes!M42:M61)</f>
        <v>0.20028249069851742</v>
      </c>
    </row>
    <row r="51">
      <c r="A51" t="inlineStr">
        <is>
          <t xml:space="preserve">Price level t-1 vs its 5-year mean</t>
        </is>
      </c>
      <c r="B51">
        <v>20</v>
      </c>
      <c r="C51" s="13">
        <v>-0.166</v>
      </c>
      <c r="D51" s="14">
        <v>0.4945</v>
      </c>
      <c r="E51" s="14">
        <v>1</v>
      </c>
      <c r="F51" t="inlineStr">
        <is>
          <t xml:space="preserve">no link</t>
        </is>
      </c>
    </row>
    <row r="52">
      <c r="A52" t="inlineStr">
        <is>
          <t xml:space="preserve">Rain May-Oct t-1 (wood for this crop)</t>
        </is>
      </c>
      <c r="B52">
        <v>20</v>
      </c>
      <c r="C52" s="13">
        <v>-0.08</v>
      </c>
      <c r="D52" s="14">
        <v>0.7353</v>
      </c>
      <c r="E52" s="14">
        <v>1</v>
      </c>
      <c r="F52" t="inlineStr">
        <is>
          <t xml:space="preserve">no link</t>
        </is>
      </c>
    </row>
    <row r="53">
      <c r="A53" t="inlineStr">
        <is>
          <t xml:space="preserve">Rain Apr-May (flowering, fruit set)</t>
        </is>
      </c>
      <c r="B53">
        <v>20</v>
      </c>
      <c r="C53" s="13">
        <v>-0.04</v>
      </c>
      <c r="D53" s="14">
        <v>0.8654</v>
      </c>
      <c r="E53" s="14">
        <v>1</v>
      </c>
      <c r="F53" t="inlineStr">
        <is>
          <t xml:space="preserve">no link</t>
        </is>
      </c>
      <c r="G53" s="12">
        <f>CORREL(Changes!E42:E61,Changes!K42:K61)</f>
        <v>-0.04021879094602182</v>
      </c>
    </row>
    <row r="55">
      <c r="A55" s="4" t="inlineStr">
        <is>
          <t xml:space="preserve">Reading: only "last year's change" (mean reversion) and nitrogen use survive the correction on the long samples. Price, the coffee/urea ratio and dry-season rain pass only one by one. ENSO, flowering rain, rainy-season rain and temperature: no link.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40" customWidth="1"/>
    <col min="2" max="2" width="5" customWidth="1"/>
    <col min="3" max="3" width="14" customWidth="1"/>
    <col min="4" max="4" width="20" customWidth="1"/>
    <col min="5" max="5" width="16" customWidth="1"/>
    <col min="6" max="6" width="10" customWidth="1"/>
    <col min="7" max="7" width="12" customWidth="1"/>
    <col min="8" max="8" width="34" customWidth="1"/>
  </cols>
  <sheetData>
    <row r="1">
      <c r="A1" s="1" t="inlineStr">
        <is>
          <t xml:space="preserve">Is there an on/off (biennial) cycle, or only one-off shocks?</t>
        </is>
      </c>
    </row>
    <row r="2">
      <c r="A2" s="2" t="inlineStr">
        <is>
          <t xml:space="preserve">If output = trend + independent yearly shocks, the correlation between this year's change and last year's is -0.50 by construction and the direction flips 2 years in 3. An on/off cycle gives less than -0.50 and more flips; lasting shocks give more than -0.50.</t>
        </is>
      </c>
    </row>
    <row r="4">
      <c r="A4" s="5" t="inlineStr">
        <is>
          <t xml:space="preserve">Series</t>
        </is>
      </c>
      <c r="B4" s="5" t="inlineStr">
        <is>
          <t xml:space="preserve">n</t>
        </is>
      </c>
      <c r="C4" s="5" t="inlineStr">
        <is>
          <t xml:space="preserve">r(change t, change t-1)</t>
        </is>
      </c>
      <c r="D4" s="5" t="inlineStr">
        <is>
          <t xml:space="preserve">Implied year-to-year link of the level (phi = 1 + 2r)</t>
        </is>
      </c>
      <c r="E4" s="5" t="inlineStr">
        <is>
          <t xml:space="preserve">95 % band if shocks are independent (low)</t>
        </is>
      </c>
      <c r="F4" s="5" t="inlineStr">
        <is>
          <t xml:space="preserve">(high)</t>
        </is>
      </c>
      <c r="G4" s="5" t="inlineStr">
        <is>
          <t xml:space="preserve">Direction flips</t>
        </is>
      </c>
      <c r="H4" s="5" t="inlineStr">
        <is>
          <t xml:space="preserve">Verdict</t>
        </is>
      </c>
    </row>
    <row r="5">
      <c r="A5" t="inlineStr">
        <is>
          <t xml:space="preserve">IHCAFE exports 1970/71-2020/21</t>
        </is>
      </c>
      <c r="B5">
        <v>49</v>
      </c>
      <c r="C5" s="12">
        <f>CORREL(Changes!C8:C56,Changes!P8:P56)</f>
        <v>-0.44701808602376125</v>
      </c>
      <c r="D5" s="12">
        <f>1+2*C5</f>
        <v>0.1059638279524775</v>
      </c>
      <c r="E5" s="13">
        <v>-0.6787811464793222</v>
      </c>
      <c r="F5" s="13">
        <v>-0.27539438386803033</v>
      </c>
      <c r="G5" s="17">
        <v>0.6530612244897959</v>
      </c>
      <c r="H5" s="15" t="inlineStr">
        <is>
          <t xml:space="preserve">independent shocks, no on/off cycle</t>
        </is>
      </c>
    </row>
    <row r="6">
      <c r="A6" t="inlineStr">
        <is>
          <t xml:space="preserve">USDA production 1980/81-2025/26</t>
        </is>
      </c>
      <c r="B6">
        <v>44</v>
      </c>
      <c r="C6" s="12">
        <f>CORREL(Changes!D18:D61,Changes!O18:O61)</f>
        <v>-0.5205171553623409</v>
      </c>
      <c r="D6" s="12">
        <f>1+2*C6</f>
        <v>-0.04103431072468178</v>
      </c>
      <c r="E6" s="13">
        <v>-0.6739313500752527</v>
      </c>
      <c r="F6" s="13">
        <v>-0.2725737611259664</v>
      </c>
      <c r="G6" s="17">
        <v>0.6590909090909091</v>
      </c>
      <c r="H6" s="15" t="inlineStr">
        <is>
          <t xml:space="preserve">independent shocks, no on/off cycle</t>
        </is>
      </c>
    </row>
    <row r="7">
      <c r="A7" t="inlineStr">
        <is>
          <t xml:space="preserve">USDA yield per bearing ha 2005/06-2025/26</t>
        </is>
      </c>
      <c r="B7">
        <v>19</v>
      </c>
      <c r="C7" s="13">
        <v>-0.5726216481914438</v>
      </c>
      <c r="D7" s="12">
        <f>1+2*C7</f>
        <v>-0.14524329638288758</v>
      </c>
      <c r="E7" s="13">
        <v>-0.7610562507318589</v>
      </c>
      <c r="F7" s="13">
        <v>-0.10577903758840158</v>
      </c>
      <c r="G7" s="17">
        <v>0.6842105263157895</v>
      </c>
      <c r="H7" s="15" t="inlineStr">
        <is>
          <t xml:space="preserve">independent shocks, no on/off cycle</t>
        </is>
      </c>
    </row>
    <row r="9">
      <c r="A9" s="3" t="inlineStr">
        <is>
          <t xml:space="preserve">What it means for a forecast</t>
        </is>
      </c>
    </row>
    <row r="10">
      <c r="A10" s="4" t="inlineStr">
        <is>
          <t xml:space="preserve">A big crop is followed by a smaller one and a small crop by a bigger one, but only because the shock is not repeated: the crop goes back to its trend, it does not swing below it. Forecast from the multi-year level (trend), not from last year's number and not from an assumed "on/off" year.</t>
        </is>
      </c>
    </row>
    <row r="11">
      <c r="A11" s="2" t="inlineStr">
        <is>
          <t xml:space="preserve">Python checks the exports and production rows over slightly different spans (first change 1971 and 1981); the Excel check uses the rows available in Changes.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30" customWidth="1"/>
    <col min="2" max="2" width="14" customWidth="1"/>
    <col min="3" max="3" width="14" customWidth="1"/>
    <col min="4" max="4" width="12" customWidth="1"/>
    <col min="5" max="5" width="14" customWidth="1"/>
    <col min="6" max="6" width="18" customWidth="1"/>
  </cols>
  <sheetData>
    <row r="1">
      <c r="A1" s="1" t="inlineStr">
        <is>
          <t xml:space="preserve">Yield change = production change - bearing-area change</t>
        </is>
      </c>
    </row>
    <row r="2">
      <c r="A2" s="2" t="inlineStr">
        <is>
          <t xml:space="preserve">USDA yield = USDA production / attache bearing area. Both are estimates; area revisions move the yield without any change in the trees.</t>
        </is>
      </c>
    </row>
    <row r="4">
      <c r="A4" s="5" t="inlineStr">
        <is>
          <t xml:space="preserve">Crop year</t>
        </is>
      </c>
      <c r="B4" s="5" t="inlineStr">
        <is>
          <t xml:space="preserve">Production change</t>
        </is>
      </c>
      <c r="C4" s="5" t="inlineStr">
        <is>
          <t xml:space="preserve">Bearing-area change</t>
        </is>
      </c>
      <c r="D4" s="5" t="inlineStr">
        <is>
          <t xml:space="preserve">Yield change</t>
        </is>
      </c>
      <c r="E4" s="5" t="inlineStr">
        <is>
          <t xml:space="preserve">Check: production - area</t>
        </is>
      </c>
      <c r="F4" s="5" t="inlineStr">
        <is>
          <t xml:space="preserve">Area moved yield by more than 8 points?</t>
        </is>
      </c>
    </row>
    <row r="5">
      <c r="A5" t="inlineStr">
        <is>
          <t xml:space="preserve">2006/07</t>
        </is>
      </c>
      <c r="B5" s="11">
        <f>Changes!D42</f>
        <v>0.07686855986352008</v>
      </c>
      <c r="C5" s="11">
        <f>Changes!F42</f>
        <v>0.22314355131420976</v>
      </c>
      <c r="D5" s="11">
        <f>Changes!E42</f>
        <v>-0.14627499145068978</v>
      </c>
      <c r="E5" s="11">
        <f>B5-C5</f>
        <v>-0.14627499145068967</v>
      </c>
      <c r="F5" t="str">
        <f>IF(ABS(C5)&gt;0.08,"yes","no")</f>
        <v>yes</v>
      </c>
    </row>
    <row r="6">
      <c r="A6" t="inlineStr">
        <is>
          <t xml:space="preserve">2007/08</t>
        </is>
      </c>
      <c r="B6" s="11">
        <f>Changes!D43</f>
        <v>0.05126439223578338</v>
      </c>
      <c r="C6" s="11">
        <f>Changes!F43</f>
        <v>0.0</v>
      </c>
      <c r="D6" s="11">
        <f>Changes!E43</f>
        <v>0.05126439223578338</v>
      </c>
      <c r="E6" s="11">
        <f>B6-C6</f>
        <v>0.05126439223578338</v>
      </c>
      <c r="F6" t="str">
        <f>IF(ABS(C6)&gt;0.08,"yes","no")</f>
        <v>no</v>
      </c>
    </row>
    <row r="7">
      <c r="A7" t="inlineStr">
        <is>
          <t xml:space="preserve">2008/09</t>
        </is>
      </c>
      <c r="B7" s="11">
        <f>Changes!D44</f>
        <v>-0.12160003105768044</v>
      </c>
      <c r="C7" s="11">
        <f>Changes!F44</f>
        <v>-0.026433257068155483</v>
      </c>
      <c r="D7" s="11">
        <f>Changes!E44</f>
        <v>-0.09516677398952492</v>
      </c>
      <c r="E7" s="11">
        <f>B7-C7</f>
        <v>-0.09516677398952496</v>
      </c>
      <c r="F7" t="str">
        <f>IF(ABS(C7)&gt;0.08,"yes","no")</f>
        <v>no</v>
      </c>
    </row>
    <row r="8">
      <c r="A8" t="inlineStr">
        <is>
          <t xml:space="preserve">2009/10</t>
        </is>
      </c>
      <c r="B8" s="11">
        <f>Changes!D45</f>
        <v>0.09601465323958858</v>
      </c>
      <c r="C8" s="11">
        <f>Changes!F45</f>
        <v>0.0</v>
      </c>
      <c r="D8" s="11">
        <f>Changes!E45</f>
        <v>0.09601465323958858</v>
      </c>
      <c r="E8" s="11">
        <f>B8-C8</f>
        <v>0.09601465323958858</v>
      </c>
      <c r="F8" t="str">
        <f>IF(ABS(C8)&gt;0.08,"yes","no")</f>
        <v>no</v>
      </c>
    </row>
    <row r="9">
      <c r="A9" t="inlineStr">
        <is>
          <t xml:space="preserve">2010/11</t>
        </is>
      </c>
      <c r="B9" s="11">
        <f>Changes!D46</f>
        <v>0.11307714461897085</v>
      </c>
      <c r="C9" s="11">
        <f>Changes!F46</f>
        <v>0.06062462181643484</v>
      </c>
      <c r="D9" s="11">
        <f>Changes!E46</f>
        <v>0.052452522802535796</v>
      </c>
      <c r="E9" s="11">
        <f>B9-C9</f>
        <v>0.05245252280253601</v>
      </c>
      <c r="F9" t="str">
        <f>IF(ABS(C9)&gt;0.08,"yes","no")</f>
        <v>no</v>
      </c>
    </row>
    <row r="10">
      <c r="A10" t="inlineStr">
        <is>
          <t xml:space="preserve">2011/12</t>
        </is>
      </c>
      <c r="B10" s="11">
        <f>Changes!D47</f>
        <v>0.34274184963480825</v>
      </c>
      <c r="C10" s="11">
        <f>Changes!F47</f>
        <v>0.028987536873252187</v>
      </c>
      <c r="D10" s="11">
        <f>Changes!E47</f>
        <v>0.31375431276155613</v>
      </c>
      <c r="E10" s="11">
        <f>B10-C10</f>
        <v>0.3137543127615561</v>
      </c>
      <c r="F10" t="str">
        <f>IF(ABS(C10)&gt;0.08,"yes","no")</f>
        <v>no</v>
      </c>
    </row>
    <row r="11">
      <c r="A11" t="inlineStr">
        <is>
          <t xml:space="preserve">2012/13</t>
        </is>
      </c>
      <c r="B11" s="11">
        <f>Changes!D48</f>
        <v>-0.16989903679539747</v>
      </c>
      <c r="C11" s="11">
        <f>Changes!F48</f>
        <v>0.08599044785552251</v>
      </c>
      <c r="D11" s="11">
        <f>Changes!E48</f>
        <v>-0.2558894846509201</v>
      </c>
      <c r="E11" s="11">
        <f>B11-C11</f>
        <v>-0.25588948465092</v>
      </c>
      <c r="F11" t="str">
        <f>IF(ABS(C11)&gt;0.08,"yes","no")</f>
        <v>yes</v>
      </c>
    </row>
    <row r="12">
      <c r="A12" t="inlineStr">
        <is>
          <t xml:space="preserve">2013/14</t>
        </is>
      </c>
      <c r="B12" s="11">
        <f>Changes!D49</f>
        <v>-0.07126302002149065</v>
      </c>
      <c r="C12" s="11">
        <f>Changes!F49</f>
        <v>-0.2259564926908245</v>
      </c>
      <c r="D12" s="11">
        <f>Changes!E49</f>
        <v>0.1546934726693339</v>
      </c>
      <c r="E12" s="11">
        <f>B12-C12</f>
        <v>0.15469347266933384</v>
      </c>
      <c r="F12" t="str">
        <f>IF(ABS(C12)&gt;0.08,"yes","no")</f>
        <v>yes</v>
      </c>
    </row>
    <row r="13">
      <c r="A13" t="inlineStr">
        <is>
          <t xml:space="preserve">2014/15</t>
        </is>
      </c>
      <c r="B13" s="11">
        <f>Changes!D50</f>
        <v>0.14763599880606468</v>
      </c>
      <c r="C13" s="11">
        <f>Changes!F50</f>
        <v>0.06365785177197762</v>
      </c>
      <c r="D13" s="11">
        <f>Changes!E50</f>
        <v>0.0839781470340871</v>
      </c>
      <c r="E13" s="11">
        <f>B13-C13</f>
        <v>0.08397814703408706</v>
      </c>
      <c r="F13" t="str">
        <f>IF(ABS(C13)&gt;0.08,"yes","no")</f>
        <v>no</v>
      </c>
    </row>
    <row r="14">
      <c r="A14" t="inlineStr">
        <is>
          <t xml:space="preserve">2015/16</t>
        </is>
      </c>
      <c r="B14" s="11">
        <f>Changes!D51</f>
        <v>0.03846628082779614</v>
      </c>
      <c r="C14" s="11">
        <f>Changes!F51</f>
        <v>0.05568890586058863</v>
      </c>
      <c r="D14" s="11">
        <f>Changes!E51</f>
        <v>-0.01722262503279273</v>
      </c>
      <c r="E14" s="11">
        <f>B14-C14</f>
        <v>-0.01722262503279249</v>
      </c>
      <c r="F14" t="str">
        <f>IF(ABS(C14)&gt;0.08,"yes","no")</f>
        <v>no</v>
      </c>
    </row>
    <row r="15">
      <c r="A15" t="inlineStr">
        <is>
          <t xml:space="preserve">2016/17</t>
        </is>
      </c>
      <c r="B15" s="11">
        <f>Changes!D52</f>
        <v>0.3485286452179672</v>
      </c>
      <c r="C15" s="11">
        <f>Changes!F52</f>
        <v>0.15415067982725836</v>
      </c>
      <c r="D15" s="11">
        <f>Changes!E52</f>
        <v>0.19437796539070903</v>
      </c>
      <c r="E15" s="11">
        <f>B15-C15</f>
        <v>0.19437796539070887</v>
      </c>
      <c r="F15" t="str">
        <f>IF(ABS(C15)&gt;0.08,"yes","no")</f>
        <v>yes</v>
      </c>
    </row>
    <row r="16">
      <c r="A16" t="inlineStr">
        <is>
          <t xml:space="preserve">2017/18</t>
        </is>
      </c>
      <c r="B16" s="11">
        <f>Changes!D53</f>
        <v>0.011912781516241961</v>
      </c>
      <c r="C16" s="11">
        <f>Changes!F53</f>
        <v>0.06230388333615484</v>
      </c>
      <c r="D16" s="11">
        <f>Changes!E53</f>
        <v>-0.05039110181991282</v>
      </c>
      <c r="E16" s="11">
        <f>B16-C16</f>
        <v>-0.050391101819912874</v>
      </c>
      <c r="F16" t="str">
        <f>IF(ABS(C16)&gt;0.08,"yes","no")</f>
        <v>no</v>
      </c>
    </row>
    <row r="17">
      <c r="A17" t="inlineStr">
        <is>
          <t xml:space="preserve">2018/19</t>
        </is>
      </c>
      <c r="B17" s="11">
        <f>Changes!D54</f>
        <v>-0.06805346324501564</v>
      </c>
      <c r="C17" s="11">
        <f>Changes!F54</f>
        <v>-0.04110167568555192</v>
      </c>
      <c r="D17" s="11">
        <f>Changes!E54</f>
        <v>-0.026951787559463817</v>
      </c>
      <c r="E17" s="11">
        <f>B17-C17</f>
        <v>-0.026951787559463723</v>
      </c>
      <c r="F17" t="str">
        <f>IF(ABS(C17)&gt;0.08,"yes","no")</f>
        <v>no</v>
      </c>
    </row>
    <row r="18">
      <c r="A18" t="inlineStr">
        <is>
          <t xml:space="preserve">2019/20</t>
        </is>
      </c>
      <c r="B18" s="11">
        <f>Changes!D55</f>
        <v>-0.31143615845988804</v>
      </c>
      <c r="C18" s="11">
        <f>Changes!F55</f>
        <v>-0.05756985182147782</v>
      </c>
      <c r="D18" s="11">
        <f>Changes!E55</f>
        <v>-0.25386630663841026</v>
      </c>
      <c r="E18" s="11">
        <f>B18-C18</f>
        <v>-0.2538663066384102</v>
      </c>
      <c r="F18" t="str">
        <f>IF(ABS(C18)&gt;0.08,"yes","no")</f>
        <v>no</v>
      </c>
    </row>
    <row r="19">
      <c r="A19" t="inlineStr">
        <is>
          <t xml:space="preserve">2020/21</t>
        </is>
      </c>
      <c r="B19" s="11">
        <f>Changes!D56</f>
        <v>0.22314355131420976</v>
      </c>
      <c r="C19" s="11">
        <f>Changes!F56</f>
        <v>0.011049836186584935</v>
      </c>
      <c r="D19" s="11">
        <f>Changes!E56</f>
        <v>0.21209371512762482</v>
      </c>
      <c r="E19" s="11">
        <f>B19-C19</f>
        <v>0.21209371512762482</v>
      </c>
      <c r="F19" t="str">
        <f>IF(ABS(C19)&gt;0.08,"yes","no")</f>
        <v>no</v>
      </c>
    </row>
    <row r="20">
      <c r="A20" t="inlineStr">
        <is>
          <t xml:space="preserve">2021/22</t>
        </is>
      </c>
      <c r="B20" s="11">
        <f>Changes!D57</f>
        <v>-0.30318625898774615</v>
      </c>
      <c r="C20" s="11">
        <f>Changes!F57</f>
        <v>0.007299302481611535</v>
      </c>
      <c r="D20" s="11">
        <f>Changes!E57</f>
        <v>-0.31048556146935785</v>
      </c>
      <c r="E20" s="11">
        <f>B20-C20</f>
        <v>-0.3104855614693577</v>
      </c>
      <c r="F20" t="str">
        <f>IF(ABS(C20)&gt;0.08,"yes","no")</f>
        <v>no</v>
      </c>
    </row>
    <row r="21">
      <c r="A21" t="inlineStr">
        <is>
          <t xml:space="preserve">2022/23</t>
        </is>
      </c>
      <c r="B21" s="11">
        <f>Changes!D58</f>
        <v>0.17185025692665923</v>
      </c>
      <c r="C21" s="11">
        <f>Changes!F58</f>
        <v>0.035718082602079246</v>
      </c>
      <c r="D21" s="11">
        <f>Changes!E58</f>
        <v>0.1361321743245801</v>
      </c>
      <c r="E21" s="11">
        <f>B21-C21</f>
        <v>0.13613217432457997</v>
      </c>
      <c r="F21" t="str">
        <f>IF(ABS(C21)&gt;0.08,"yes","no")</f>
        <v>no</v>
      </c>
    </row>
    <row r="22">
      <c r="A22" t="inlineStr">
        <is>
          <t xml:space="preserve">2023/24</t>
        </is>
      </c>
      <c r="B22" s="11">
        <f>Changes!D59</f>
        <v>-0.12107793155323604</v>
      </c>
      <c r="C22" s="11">
        <f>Changes!F59</f>
        <v>0.024264621999631298</v>
      </c>
      <c r="D22" s="11">
        <f>Changes!E59</f>
        <v>-0.1453425535528673</v>
      </c>
      <c r="E22" s="11">
        <f>B22-C22</f>
        <v>-0.14534255355286735</v>
      </c>
      <c r="F22" t="str">
        <f>IF(ABS(C22)&gt;0.08,"yes","no")</f>
        <v>no</v>
      </c>
    </row>
    <row r="23">
      <c r="A23" t="inlineStr">
        <is>
          <t xml:space="preserve">2024/25</t>
        </is>
      </c>
      <c r="B23" s="11">
        <f>Changes!D60</f>
        <v>0.029270382300113237</v>
      </c>
      <c r="C23" s="11">
        <f>Changes!F60</f>
        <v>0.02702867238791942</v>
      </c>
      <c r="D23" s="11">
        <f>Changes!E60</f>
        <v>0.0022417099121939776</v>
      </c>
      <c r="E23" s="11">
        <f>B23-C23</f>
        <v>0.0022417099121938185</v>
      </c>
      <c r="F23" t="str">
        <f>IF(ABS(C23)&gt;0.08,"yes","no")</f>
        <v>no</v>
      </c>
    </row>
    <row r="24">
      <c r="A24" t="inlineStr">
        <is>
          <t xml:space="preserve">2025/26</t>
        </is>
      </c>
      <c r="B24" s="11">
        <f>Changes!D61</f>
        <v>0.06152918994686176</v>
      </c>
      <c r="C24" s="11">
        <f>Changes!F61</f>
        <v>0.03278982282299097</v>
      </c>
      <c r="D24" s="11">
        <f>Changes!E61</f>
        <v>0.028739367123870915</v>
      </c>
      <c r="E24" s="11">
        <f>B24-C24</f>
        <v>0.02873936712387079</v>
      </c>
      <c r="F24" t="str">
        <f>IF(ABS(C24)&gt;0.08,"yes","no")</f>
        <v>no</v>
      </c>
    </row>
    <row r="26">
      <c r="A26" s="3" t="inlineStr">
        <is>
          <t xml:space="preserve">Variance of yield changes</t>
        </is>
      </c>
      <c r="B26" s="18">
        <v>0.026379562318044544</v>
      </c>
    </row>
    <row r="27">
      <c r="A27" t="inlineStr">
        <is>
          <t xml:space="preserve">of production changes</t>
        </is>
      </c>
      <c r="B27" s="18">
        <v>0.030945717473396996</v>
      </c>
    </row>
    <row r="28">
      <c r="A28" t="inlineStr">
        <is>
          <t xml:space="preserve">of area changes</t>
        </is>
      </c>
      <c r="B28" s="18">
        <v>0.007174995742837311</v>
      </c>
    </row>
    <row r="29">
      <c r="A29" t="inlineStr">
        <is>
          <t xml:space="preserve">-2 x covariance</t>
        </is>
      </c>
      <c r="B29" s="18">
        <v>-0.011741150898189778</v>
      </c>
    </row>
    <row r="31">
      <c r="A31" s="4" t="inlineStr">
        <is>
          <t xml:space="preserve">Reading (log changes above; in plain %): area revisions of more than 8 % (2006/07 +25 %, 2012/13 +9 %, 2013/14 -20 %, 2016/17 +17 %) move the yield by themselves. The 2013/14 yield rebound (+17 %) is an area cut, not better trees.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62" customWidth="1"/>
    <col min="2" max="2" width="10" customWidth="1"/>
    <col min="3" max="3" width="12" customWidth="1"/>
    <col min="4" max="4" width="16" customWidth="1"/>
    <col min="5" max="5" width="12" customWidth="1"/>
    <col min="6" max="6" width="10" customWidth="1"/>
  </cols>
  <sheetData>
    <row r="1">
      <c r="A1" s="1" t="inlineStr">
        <is>
          <t xml:space="preserve">Nitrogen: the tightest link with output (FAOSTAT, t N, all crops)</t>
        </is>
      </c>
    </row>
    <row r="2">
      <c r="A2" s="2" t="inlineStr">
        <is>
          <t xml:space="preserve">Nitrogen bought in calendar year t is spread May-Oct t on the crop harvested from November t. The link is with the same crop year, not the next one.</t>
        </is>
      </c>
    </row>
    <row r="4">
      <c r="A4" s="5" t="inlineStr">
        <is>
          <t xml:space="preserve">Crop year</t>
        </is>
      </c>
      <c r="B4" s="5" t="inlineStr">
        <is>
          <t xml:space="preserve">N use (t)</t>
        </is>
      </c>
      <c r="C4" s="5" t="inlineStr">
        <is>
          <t xml:space="preserve">N use change</t>
        </is>
      </c>
      <c r="D4" s="5" t="inlineStr">
        <is>
          <t xml:space="preserve">USDA production change</t>
        </is>
      </c>
      <c r="E4" s="5" t="inlineStr">
        <is>
          <t xml:space="preserve">Arabica (US$/kg)</t>
        </is>
      </c>
      <c r="F4" s="5" t="inlineStr">
        <is>
          <t xml:space="preserve">Urea (US$/t)</t>
        </is>
      </c>
    </row>
    <row r="5">
      <c r="A5" t="inlineStr">
        <is>
          <t xml:space="preserve">2005/06</t>
        </is>
      </c>
      <c r="B5" s="19">
        <f>Data!K41</f>
        <v>41865.0</v>
      </c>
      <c r="C5" s="11">
        <f>Changes!I41</f>
        <v>0.46526151691460527</v>
      </c>
      <c r="D5" s="11">
        <f>Changes!D41</f>
        <v>0.2185504950904133</v>
      </c>
      <c r="E5" s="12">
        <f>Data!H41</f>
        <v>2.5325</v>
      </c>
      <c r="F5" s="19">
        <f>Data!I41</f>
        <v>217.35833333333335</v>
      </c>
    </row>
    <row r="6">
      <c r="A6" t="inlineStr">
        <is>
          <t xml:space="preserve">2006/07</t>
        </is>
      </c>
      <c r="B6" s="19">
        <f>Data!K42</f>
        <v>66688.0</v>
      </c>
      <c r="C6" s="11">
        <f>Changes!I42</f>
        <v>0.4655748710344518</v>
      </c>
      <c r="D6" s="11">
        <f>Changes!D42</f>
        <v>0.07686855986352008</v>
      </c>
      <c r="E6" s="12">
        <f>Data!H42</f>
        <v>2.5216666666666665</v>
      </c>
      <c r="F6" s="19">
        <f>Data!I42</f>
        <v>222.14166666666665</v>
      </c>
    </row>
    <row r="7">
      <c r="A7" t="inlineStr">
        <is>
          <t xml:space="preserve">2007/08</t>
        </is>
      </c>
      <c r="B7" s="19">
        <f>Data!K43</f>
        <v>63491.0</v>
      </c>
      <c r="C7" s="11">
        <f>Changes!I43</f>
        <v>-0.04912686312063486</v>
      </c>
      <c r="D7" s="11">
        <f>Changes!D43</f>
        <v>0.05126439223578338</v>
      </c>
      <c r="E7" s="12">
        <f>Data!H43</f>
        <v>2.7241666666666666</v>
      </c>
      <c r="F7" s="19">
        <f>Data!I43</f>
        <v>307.1166666666667</v>
      </c>
    </row>
    <row r="8">
      <c r="A8" t="inlineStr">
        <is>
          <t xml:space="preserve">2008/09</t>
        </is>
      </c>
      <c r="B8" s="19">
        <f>Data!K44</f>
        <v>55554.0</v>
      </c>
      <c r="C8" s="11">
        <f>Changes!I44</f>
        <v>-0.13354264287624712</v>
      </c>
      <c r="D8" s="11">
        <f>Changes!D44</f>
        <v>-0.12160003105768044</v>
      </c>
      <c r="E8" s="12">
        <f>Data!H44</f>
        <v>3.080833333333333</v>
      </c>
      <c r="F8" s="19">
        <f>Data!I44</f>
        <v>514.9833333333333</v>
      </c>
    </row>
    <row r="9">
      <c r="A9" t="inlineStr">
        <is>
          <t xml:space="preserve">2009/10</t>
        </is>
      </c>
      <c r="B9" s="19">
        <f>Data!K45</f>
        <v>47616.0</v>
      </c>
      <c r="C9" s="11">
        <f>Changes!I45</f>
        <v>-0.1541866814833384</v>
      </c>
      <c r="D9" s="11">
        <f>Changes!D45</f>
        <v>0.09601465323958858</v>
      </c>
      <c r="E9" s="12">
        <f>Data!H45</f>
        <v>3.170833333333334</v>
      </c>
      <c r="F9" s="19">
        <f>Data!I45</f>
        <v>251.10000000000002</v>
      </c>
    </row>
    <row r="10">
      <c r="A10" t="inlineStr">
        <is>
          <t xml:space="preserve">2010/11</t>
        </is>
      </c>
      <c r="B10" s="19">
        <f>Data!K46</f>
        <v>56041.0</v>
      </c>
      <c r="C10" s="11">
        <f>Changes!I46</f>
        <v>0.16291472649582966</v>
      </c>
      <c r="D10" s="11">
        <f>Changes!D46</f>
        <v>0.11307714461897085</v>
      </c>
      <c r="E10" s="12">
        <f>Data!H46</f>
        <v>4.319999999999999</v>
      </c>
      <c r="F10" s="19">
        <f>Data!I46</f>
        <v>288.9166666666667</v>
      </c>
    </row>
    <row r="11">
      <c r="A11" t="inlineStr">
        <is>
          <t xml:space="preserve">2011/12</t>
        </is>
      </c>
      <c r="B11" s="19">
        <f>Data!K47</f>
        <v>85542.0</v>
      </c>
      <c r="C11" s="11">
        <f>Changes!I47</f>
        <v>0.4229239176934226</v>
      </c>
      <c r="D11" s="11">
        <f>Changes!D47</f>
        <v>0.34274184963480825</v>
      </c>
      <c r="E11" s="12">
        <f>Data!H47</f>
        <v>5.9766666666666675</v>
      </c>
      <c r="F11" s="19">
        <f>Data!I47</f>
        <v>398.94166666666666</v>
      </c>
    </row>
    <row r="12">
      <c r="A12" t="inlineStr">
        <is>
          <t xml:space="preserve">2012/13</t>
        </is>
      </c>
      <c r="B12" s="19">
        <f>Data!K48</f>
        <v>75417.0</v>
      </c>
      <c r="C12" s="11">
        <f>Changes!I48</f>
        <v>-0.12597476960821796</v>
      </c>
      <c r="D12" s="11">
        <f>Changes!D48</f>
        <v>-0.16989903679539747</v>
      </c>
      <c r="E12" s="12">
        <f>Data!H48</f>
        <v>4.111666666666667</v>
      </c>
      <c r="F12" s="19">
        <f>Data!I48</f>
        <v>398.59999999999997</v>
      </c>
    </row>
    <row r="13">
      <c r="A13" t="inlineStr">
        <is>
          <t xml:space="preserve">2013/14</t>
        </is>
      </c>
      <c r="B13" s="19">
        <f>Data!K49</f>
        <v>74712.0</v>
      </c>
      <c r="C13" s="11">
        <f>Changes!I49</f>
        <v>-0.009391991984244195</v>
      </c>
      <c r="D13" s="11">
        <f>Changes!D49</f>
        <v>-0.07126302002149065</v>
      </c>
      <c r="E13" s="12">
        <f>Data!H49</f>
        <v>3.0766666666666667</v>
      </c>
      <c r="F13" s="19">
        <f>Data!I49</f>
        <v>339.60833333333335</v>
      </c>
    </row>
    <row r="14">
      <c r="A14" t="inlineStr">
        <is>
          <t xml:space="preserve">2014/15</t>
        </is>
      </c>
      <c r="B14" s="19">
        <f>Data!K50</f>
        <v>74007.0</v>
      </c>
      <c r="C14" s="11">
        <f>Changes!I50</f>
        <v>-0.009481038482438888</v>
      </c>
      <c r="D14" s="11">
        <f>Changes!D50</f>
        <v>0.14763599880606468</v>
      </c>
      <c r="E14" s="12">
        <f>Data!H50</f>
        <v>4.425</v>
      </c>
      <c r="F14" s="19">
        <f>Data!I50</f>
        <v>308.44166666666666</v>
      </c>
    </row>
    <row r="15">
      <c r="A15" t="inlineStr">
        <is>
          <t xml:space="preserve">2015/16</t>
        </is>
      </c>
      <c r="B15" s="19">
        <f>Data!K51</f>
        <v>75343.0</v>
      </c>
      <c r="C15" s="11">
        <f>Changes!I51</f>
        <v>0.017891337631143887</v>
      </c>
      <c r="D15" s="11">
        <f>Changes!D51</f>
        <v>0.03846628082779614</v>
      </c>
      <c r="E15" s="12">
        <f>Data!H51</f>
        <v>3.5258333333333334</v>
      </c>
      <c r="F15" s="19">
        <f>Data!I51</f>
        <v>277.94166666666666</v>
      </c>
    </row>
    <row r="16">
      <c r="A16" t="inlineStr">
        <is>
          <t xml:space="preserve">2016/17</t>
        </is>
      </c>
      <c r="B16" s="19">
        <f>Data!K52</f>
        <v>95944.0</v>
      </c>
      <c r="C16" s="11">
        <f>Changes!I52</f>
        <v>0.24171366697329819</v>
      </c>
      <c r="D16" s="11">
        <f>Changes!D52</f>
        <v>0.3485286452179672</v>
      </c>
      <c r="E16" s="12">
        <f>Data!H52</f>
        <v>3.6125000000000003</v>
      </c>
      <c r="F16" s="19">
        <f>Data!I52</f>
        <v>194.15</v>
      </c>
    </row>
    <row r="17">
      <c r="A17" t="inlineStr">
        <is>
          <t xml:space="preserve">2017/18</t>
        </is>
      </c>
      <c r="B17" s="19">
        <f>Data!K53</f>
        <v>110175.0</v>
      </c>
      <c r="C17" s="11">
        <f>Changes!I53</f>
        <v>0.13830532279863075</v>
      </c>
      <c r="D17" s="11">
        <f>Changes!D53</f>
        <v>0.011912781516241961</v>
      </c>
      <c r="E17" s="12">
        <f>Data!H53</f>
        <v>3.3241666666666667</v>
      </c>
      <c r="F17" s="19">
        <f>Data!I53</f>
        <v>213.88333333333333</v>
      </c>
    </row>
    <row r="18">
      <c r="A18" t="inlineStr">
        <is>
          <t xml:space="preserve">2018/19</t>
        </is>
      </c>
      <c r="B18" s="19">
        <f>Data!K54</f>
        <v>122752.0</v>
      </c>
      <c r="C18" s="11">
        <f>Changes!I54</f>
        <v>0.10809604909286759</v>
      </c>
      <c r="D18" s="11">
        <f>Changes!D54</f>
        <v>-0.06805346324501564</v>
      </c>
      <c r="E18" s="12">
        <f>Data!H54</f>
        <v>2.9250000000000003</v>
      </c>
      <c r="F18" s="19">
        <f>Data!I54</f>
        <v>249.45000000000002</v>
      </c>
    </row>
    <row r="19">
      <c r="A19" t="inlineStr">
        <is>
          <t xml:space="preserve">2019/20</t>
        </is>
      </c>
      <c r="B19" s="19">
        <f>Data!K55</f>
        <v>86136.0</v>
      </c>
      <c r="C19" s="11">
        <f>Changes!I55</f>
        <v>-0.3542386173075025</v>
      </c>
      <c r="D19" s="11">
        <f>Changes!D55</f>
        <v>-0.31143615845988804</v>
      </c>
      <c r="E19" s="12">
        <f>Data!H55</f>
        <v>2.8800000000000003</v>
      </c>
      <c r="F19" s="19">
        <f>Data!I55</f>
        <v>245.28333333333333</v>
      </c>
    </row>
    <row r="20">
      <c r="A20" t="inlineStr">
        <is>
          <t xml:space="preserve">2020/21</t>
        </is>
      </c>
      <c r="B20" s="19">
        <f>Data!K56</f>
        <v>128016.0</v>
      </c>
      <c r="C20" s="11">
        <f>Changes!I56</f>
        <v>0.39622781359435233</v>
      </c>
      <c r="D20" s="11">
        <f>Changes!D56</f>
        <v>0.22314355131420976</v>
      </c>
      <c r="E20" s="12">
        <f>Data!H56</f>
        <v>3.3233333333333337</v>
      </c>
      <c r="F20" s="19">
        <f>Data!I56</f>
        <v>229.1</v>
      </c>
    </row>
    <row r="21">
      <c r="A21" t="inlineStr">
        <is>
          <t xml:space="preserve">2021/22</t>
        </is>
      </c>
      <c r="B21" s="19">
        <f>Data!K57</f>
        <v>104868.0</v>
      </c>
      <c r="C21" s="11">
        <f>Changes!I57</f>
        <v>-0.19945283967436056</v>
      </c>
      <c r="D21" s="11">
        <f>Changes!D57</f>
        <v>-0.30318625898774615</v>
      </c>
      <c r="E21" s="12">
        <f>Data!H57</f>
        <v>4.510833333333334</v>
      </c>
      <c r="F21" s="19">
        <f>Data!I57</f>
        <v>483.2166666666667</v>
      </c>
    </row>
    <row r="22">
      <c r="A22" t="inlineStr">
        <is>
          <t xml:space="preserve">2022/23</t>
        </is>
      </c>
      <c r="B22" s="19">
        <f>Data!K58</f>
        <v>104865.0</v>
      </c>
      <c r="C22" s="11">
        <f>Changes!I58</f>
        <v>-2.8607801349406424e-05</v>
      </c>
      <c r="D22" s="11">
        <f>Changes!D58</f>
        <v>0.17185025692665923</v>
      </c>
      <c r="E22" s="12">
        <f>Data!H58</f>
        <v>5.630833333333334</v>
      </c>
      <c r="F22" s="19">
        <f>Data!I58</f>
        <v>700.0333333333334</v>
      </c>
    </row>
    <row r="24">
      <c r="A24" s="3" t="inlineStr">
        <is>
          <t xml:space="preserve">r(N use change, production change)</t>
        </is>
      </c>
      <c r="C24" s="12">
        <f>CORREL(C5:C22,D5:D22)</f>
        <v>0.7532522388489884</v>
      </c>
    </row>
    <row r="25">
      <c r="A25" t="inlineStr">
        <is>
          <t xml:space="preserve">Smallest r when any one year is left out (Python)</t>
        </is>
      </c>
      <c r="C25" s="13">
        <v>0.6900174039113661</v>
      </c>
    </row>
    <row r="27">
      <c r="A27" s="5" t="inlineStr">
        <is>
          <t xml:space="preserve">What moves nitrogen use?</t>
        </is>
      </c>
      <c r="B27" s="5" t="inlineStr">
        <is>
          <t xml:space="preserve">n</t>
        </is>
      </c>
      <c r="C27" s="5" t="inlineStr">
        <is>
          <t xml:space="preserve">r</t>
        </is>
      </c>
      <c r="D27" s="5" t="inlineStr">
        <is>
          <t xml:space="preserve">p (permutation)</t>
        </is>
      </c>
      <c r="E27" s="5" t="inlineStr">
        <is>
          <t xml:space="preserve">Verdict</t>
        </is>
      </c>
    </row>
    <row r="28">
      <c r="A28" t="inlineStr">
        <is>
          <t xml:space="preserve">N use change vs output change, same crop year</t>
        </is>
      </c>
      <c r="B28">
        <v>18</v>
      </c>
      <c r="C28" s="13">
        <v>0.7532522388489884</v>
      </c>
      <c r="D28" s="14">
        <v>0.0003999200159968006</v>
      </c>
      <c r="E28" s="15" t="inlineStr">
        <is>
          <t xml:space="preserve">yes</t>
        </is>
      </c>
    </row>
    <row r="29">
      <c r="A29" t="inlineStr">
        <is>
          <t xml:space="preserve">N use change vs output change of the crop before (income)</t>
        </is>
      </c>
      <c r="B29">
        <v>18</v>
      </c>
      <c r="C29" s="13">
        <v>-0.06605295740219877</v>
      </c>
      <c r="D29" s="14">
        <v>0.7908418316336733</v>
      </c>
      <c r="E29" t="inlineStr">
        <is>
          <t xml:space="preserve">no</t>
        </is>
      </c>
    </row>
    <row r="30">
      <c r="A30" t="inlineStr">
        <is>
          <t xml:space="preserve">N use change vs world arabica price change, same calendar year</t>
        </is>
      </c>
      <c r="B30">
        <v>18</v>
      </c>
      <c r="C30" s="13">
        <v>0.2803703387486554</v>
      </c>
      <c r="D30" s="14">
        <v>0.2465506898620276</v>
      </c>
      <c r="E30" t="inlineStr">
        <is>
          <t xml:space="preserve">no</t>
        </is>
      </c>
    </row>
    <row r="31">
      <c r="A31" t="inlineStr">
        <is>
          <t xml:space="preserve">N use change vs coffee/urea price ratio change</t>
        </is>
      </c>
      <c r="B31">
        <v>18</v>
      </c>
      <c r="C31" s="13">
        <v>0.22692652676931513</v>
      </c>
      <c r="D31" s="14">
        <v>0.3693261347730454</v>
      </c>
      <c r="E31" t="inlineStr">
        <is>
          <t xml:space="preserve">no</t>
        </is>
      </c>
    </row>
    <row r="32">
      <c r="A32" t="inlineStr">
        <is>
          <t xml:space="preserve">N use change vs urea price change</t>
        </is>
      </c>
      <c r="B32">
        <v>18</v>
      </c>
      <c r="C32" s="13">
        <v>-0.026533683105172953</v>
      </c>
      <c r="D32" s="14">
        <v>0.9154169166166767</v>
      </c>
      <c r="E32" t="inlineStr">
        <is>
          <t xml:space="preserve">no</t>
        </is>
      </c>
    </row>
    <row r="33">
      <c r="A33" t="inlineStr">
        <is>
          <t xml:space="preserve">N use change vs IHCAFE export price change of the crop before</t>
        </is>
      </c>
      <c r="B33">
        <v>17</v>
      </c>
      <c r="C33" s="13">
        <v>0.46848608577687656</v>
      </c>
      <c r="D33" s="14">
        <v>0.05658868226354729</v>
      </c>
      <c r="E33" s="16" t="inlineStr">
        <is>
          <t xml:space="preserve">hint</t>
        </is>
      </c>
    </row>
    <row r="35">
      <c r="A35" s="4" t="inlineStr">
        <is>
          <t xml:space="preserve">Reading: nitrogen and output rise and fall together, in plain % (2011 +53 % / +41 %, 2016 +27 % / +42 %, 2019 -30 % / -27 %, 2020 +49 % / +25 %, 2021 -18 % / -26 %).</t>
        </is>
      </c>
    </row>
    <row r="36">
      <c r="A36" s="4" t="inlineStr">
        <is>
          <t xml:space="preserve">Nitrogen does not follow the world price of the same year; it follows (weakly) the export price received for the previous crop (cash in hand), and state programmes: Bono Cafetalero 2020 = 25 188 t of fertiliser to 91 778 producers (USDA 2021), the year nitrogen use jumped 49 %.</t>
        </is>
      </c>
    </row>
    <row r="37">
      <c r="A37" s="4" t="inlineStr">
        <is>
          <t xml:space="preserve">Caution: part of the link can run the other way - growers fertilise more when flowering promises a big crop. For forecasting both readings point the same way: fertiliser bought Apr-Sep is a leading signal of the crop harvested from November. FAOSTAT stops in 2022: track fertiliser imports and urea prices instead.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58" customWidth="1"/>
    <col min="2" max="2" width="18" customWidth="1"/>
    <col min="3" max="3" width="16" customWidth="1"/>
    <col min="4" max="4" width="16" customWidth="1"/>
    <col min="5" max="5" width="14" customWidth="1"/>
  </cols>
  <sheetData>
    <row r="1">
      <c r="A1" s="1" t="inlineStr">
        <is>
          <t xml:space="preserve">Weather: El Nino, La Nina and the driest seasons against output</t>
        </is>
      </c>
    </row>
    <row r="2">
      <c r="A2" s="2" t="inlineStr">
        <is>
          <t xml:space="preserve">Production change of the crop filled during the event (t) and of the next crop (t+1), flowered in the dry season that follows. USDA production, log change.</t>
        </is>
      </c>
    </row>
    <row r="4">
      <c r="A4" s="5" t="inlineStr">
        <is>
          <t xml:space="preserve">El Nino (ONI Oct-Dec &gt;= 1.0)</t>
        </is>
      </c>
      <c r="B4" s="5" t="inlineStr">
        <is>
          <t xml:space="preserve">ONI OND</t>
        </is>
      </c>
      <c r="C4" s="5" t="inlineStr">
        <is>
          <t xml:space="preserve">Change crop t</t>
        </is>
      </c>
      <c r="D4" s="5" t="inlineStr">
        <is>
          <t xml:space="preserve">Change crop t+1</t>
        </is>
      </c>
    </row>
    <row r="5">
      <c r="A5" t="inlineStr">
        <is>
          <t xml:space="preserve">1982/83</t>
        </is>
      </c>
      <c r="B5" s="7">
        <v>2.03</v>
      </c>
      <c r="C5" s="11">
        <f>Changes!D18</f>
        <v>0.22314355131420976</v>
      </c>
      <c r="D5" s="11">
        <f>Changes!D19</f>
        <v>-0.13543797089510426</v>
      </c>
    </row>
    <row r="6">
      <c r="A6" t="inlineStr">
        <is>
          <t xml:space="preserve">1986/87</t>
        </is>
      </c>
      <c r="B6" s="7">
        <v>1.06</v>
      </c>
      <c r="C6" s="11">
        <f>Changes!D22</f>
        <v>0.36837645821941345</v>
      </c>
      <c r="D6" s="11">
        <f>Changes!D23</f>
        <v>0.01165816312738946</v>
      </c>
    </row>
    <row r="7">
      <c r="A7" t="inlineStr">
        <is>
          <t xml:space="preserve">1987/88</t>
        </is>
      </c>
      <c r="B7" s="7">
        <v>1.2</v>
      </c>
      <c r="C7" s="11">
        <f>Changes!D23</f>
        <v>0.01165816312738946</v>
      </c>
      <c r="D7" s="11">
        <f>Changes!D24</f>
        <v>0.051454260182666724</v>
      </c>
    </row>
    <row r="8">
      <c r="A8" t="inlineStr">
        <is>
          <t xml:space="preserve">1991/92</t>
        </is>
      </c>
      <c r="B8" s="7">
        <v>1.18</v>
      </c>
      <c r="C8" s="11">
        <f>Changes!D27</f>
        <v>0.29138440915031655</v>
      </c>
      <c r="D8" s="11">
        <f>Changes!D28</f>
        <v>-0.12954820523822774</v>
      </c>
    </row>
    <row r="9">
      <c r="A9" t="inlineStr">
        <is>
          <t xml:space="preserve">1997/98</t>
        </is>
      </c>
      <c r="B9" s="7">
        <v>2.34</v>
      </c>
      <c r="C9" s="11">
        <f>Changes!D33</f>
        <v>0.24269664004032734</v>
      </c>
      <c r="D9" s="11">
        <f>Changes!D34</f>
        <v>-0.1525455430460298</v>
      </c>
    </row>
    <row r="10">
      <c r="A10" t="inlineStr">
        <is>
          <t xml:space="preserve">2002/03</t>
        </is>
      </c>
      <c r="B10" s="7">
        <v>1.19</v>
      </c>
      <c r="C10" s="11">
        <f>Changes!D38</f>
        <v>-0.21606729148749565</v>
      </c>
      <c r="D10" s="11">
        <f>Changes!D39</f>
        <v>0.1731988747979528</v>
      </c>
    </row>
    <row r="11">
      <c r="A11" t="inlineStr">
        <is>
          <t xml:space="preserve">2009/10</t>
        </is>
      </c>
      <c r="B11" s="7">
        <v>1.31</v>
      </c>
      <c r="C11" s="11">
        <f>Changes!D45</f>
        <v>0.09601465323958858</v>
      </c>
      <c r="D11" s="11">
        <f>Changes!D46</f>
        <v>0.11307714461897085</v>
      </c>
    </row>
    <row r="12">
      <c r="A12" t="inlineStr">
        <is>
          <t xml:space="preserve">2015/16</t>
        </is>
      </c>
      <c r="B12" s="7">
        <v>2.45</v>
      </c>
      <c r="C12" s="11">
        <f>Changes!D51</f>
        <v>0.03846628082779614</v>
      </c>
      <c r="D12" s="11">
        <f>Changes!D52</f>
        <v>0.3485286452179672</v>
      </c>
    </row>
    <row r="13">
      <c r="A13" t="inlineStr">
        <is>
          <t xml:space="preserve">2018/19</t>
        </is>
      </c>
      <c r="B13" s="7">
        <v>1.04</v>
      </c>
      <c r="C13" s="11">
        <f>Changes!D54</f>
        <v>-0.06805346324501564</v>
      </c>
      <c r="D13" s="11">
        <f>Changes!D55</f>
        <v>-0.31143615845988804</v>
      </c>
    </row>
    <row r="14">
      <c r="A14" t="inlineStr">
        <is>
          <t xml:space="preserve">2023/24</t>
        </is>
      </c>
      <c r="B14" s="7">
        <v>1.9</v>
      </c>
      <c r="C14" s="11">
        <f>Changes!D59</f>
        <v>-0.12107793155323604</v>
      </c>
      <c r="D14" s="11">
        <f>Changes!D60</f>
        <v>0.029270382300113237</v>
      </c>
    </row>
    <row r="15">
      <c r="A15" s="3" t="inlineStr">
        <is>
          <t xml:space="preserve">Average</t>
        </is>
      </c>
      <c r="C15" s="11">
        <f>AVERAGE(C5:C14)</f>
        <v>0.08665414696332943</v>
      </c>
      <c r="D15" s="11">
        <f>AVERAGE(D5:D14)</f>
        <v>-0.00017804073941895675</v>
      </c>
    </row>
    <row r="17">
      <c r="A17" s="5" t="inlineStr">
        <is>
          <t xml:space="preserve">La Nina (ONI Oct-Dec &lt;= -1.0)</t>
        </is>
      </c>
      <c r="B17" s="5" t="inlineStr">
        <is>
          <t xml:space="preserve">ONI OND</t>
        </is>
      </c>
      <c r="C17" s="5" t="inlineStr">
        <is>
          <t xml:space="preserve">Change crop t</t>
        </is>
      </c>
      <c r="D17" s="5" t="inlineStr">
        <is>
          <t xml:space="preserve">Change crop t+1</t>
        </is>
      </c>
    </row>
    <row r="18">
      <c r="A18" t="inlineStr">
        <is>
          <t xml:space="preserve">1988/89</t>
        </is>
      </c>
      <c r="B18" s="7">
        <v>-1.81</v>
      </c>
      <c r="C18" s="11">
        <f>Changes!D24</f>
        <v>0.051454260182666724</v>
      </c>
      <c r="D18" s="11">
        <f>Changes!D25</f>
        <v>0.1648403918391371</v>
      </c>
    </row>
    <row r="19">
      <c r="A19" t="inlineStr">
        <is>
          <t xml:space="preserve">1995/96</t>
        </is>
      </c>
      <c r="B19" s="7">
        <v>-1.05</v>
      </c>
      <c r="C19" s="11">
        <f>Changes!D31</f>
        <v>-0.018026427894923893</v>
      </c>
      <c r="D19" s="11">
        <f>Changes!D32</f>
        <v>0.011030334645962597</v>
      </c>
    </row>
    <row r="20">
      <c r="A20" t="inlineStr">
        <is>
          <t xml:space="preserve">1998/99</t>
        </is>
      </c>
      <c r="B20" s="7">
        <v>-1.31</v>
      </c>
      <c r="C20" s="11">
        <f>Changes!D34</f>
        <v>-0.1525455430460298</v>
      </c>
      <c r="D20" s="11">
        <f>Changes!D35</f>
        <v>0.2068120378742698</v>
      </c>
    </row>
    <row r="21">
      <c r="A21" t="inlineStr">
        <is>
          <t xml:space="preserve">1999/00</t>
        </is>
      </c>
      <c r="B21" s="7">
        <v>-1.35</v>
      </c>
      <c r="C21" s="11">
        <f>Changes!D35</f>
        <v>0.2068120378742698</v>
      </c>
      <c r="D21" s="11">
        <f>Changes!D36</f>
        <v>-0.08360845311225523</v>
      </c>
    </row>
    <row r="22">
      <c r="A22" t="inlineStr">
        <is>
          <t xml:space="preserve">2007/08</t>
        </is>
      </c>
      <c r="B22" s="7">
        <v>-1.57</v>
      </c>
      <c r="C22" s="11">
        <f>Changes!D43</f>
        <v>0.05126439223578338</v>
      </c>
      <c r="D22" s="11">
        <f>Changes!D44</f>
        <v>-0.12160003105768044</v>
      </c>
    </row>
    <row r="23">
      <c r="A23" t="inlineStr">
        <is>
          <t xml:space="preserve">2010/11</t>
        </is>
      </c>
      <c r="B23" s="7">
        <v>-1.57</v>
      </c>
      <c r="C23" s="11">
        <f>Changes!D46</f>
        <v>0.11307714461897085</v>
      </c>
      <c r="D23" s="11">
        <f>Changes!D47</f>
        <v>0.34274184963480825</v>
      </c>
    </row>
    <row r="24">
      <c r="A24" t="inlineStr">
        <is>
          <t xml:space="preserve">2011/12</t>
        </is>
      </c>
      <c r="B24" s="7">
        <v>-1.02</v>
      </c>
      <c r="C24" s="11">
        <f>Changes!D47</f>
        <v>0.34274184963480825</v>
      </c>
      <c r="D24" s="11">
        <f>Changes!D48</f>
        <v>-0.16989903679539747</v>
      </c>
    </row>
    <row r="25">
      <c r="A25" t="inlineStr">
        <is>
          <t xml:space="preserve">2020/21</t>
        </is>
      </c>
      <c r="B25" s="7">
        <v>-1.11</v>
      </c>
      <c r="C25" s="11">
        <f>Changes!D56</f>
        <v>0.22314355131420976</v>
      </c>
      <c r="D25" s="11">
        <f>Changes!D57</f>
        <v>-0.30318625898774615</v>
      </c>
    </row>
    <row r="26">
      <c r="A26" s="3" t="inlineStr">
        <is>
          <t xml:space="preserve">Average</t>
        </is>
      </c>
      <c r="C26" s="11">
        <f>AVERAGE(C18:C25)</f>
        <v>0.10224015811496939</v>
      </c>
      <c r="D26" s="11">
        <f>AVERAGE(D18:D25)</f>
        <v>0.005891354255137302</v>
      </c>
    </row>
    <row r="28">
      <c r="A28" s="5" t="inlineStr">
        <is>
          <t xml:space="preserve">Driest dry seasons Dec(t-1)-Mar t (GPCC, 3 towns)</t>
        </is>
      </c>
      <c r="B28" s="5" t="inlineStr">
        <is>
          <t xml:space="preserve">Rain vs normal</t>
        </is>
      </c>
      <c r="C28" s="5" t="inlineStr">
        <is>
          <t xml:space="preserve">Change crop t</t>
        </is>
      </c>
      <c r="D28" s="5" t="inlineStr">
        <is>
          <t xml:space="preserve">Change crop t+1</t>
        </is>
      </c>
    </row>
    <row r="29">
      <c r="A29" t="inlineStr">
        <is>
          <t xml:space="preserve">2024/25</t>
        </is>
      </c>
      <c r="B29" s="17">
        <v>-0.43572986440441175</v>
      </c>
      <c r="C29" s="11">
        <f>Changes!D60</f>
        <v>0.029270382300113237</v>
      </c>
      <c r="D29" s="11">
        <f>Changes!D61</f>
        <v>0.06152918994686176</v>
      </c>
    </row>
    <row r="30">
      <c r="A30" t="inlineStr">
        <is>
          <t xml:space="preserve">2019/20</t>
        </is>
      </c>
      <c r="B30" s="17">
        <v>-0.3381274303588198</v>
      </c>
      <c r="C30" s="11">
        <f>Changes!D55</f>
        <v>-0.31143615845988804</v>
      </c>
      <c r="D30" s="11">
        <f>Changes!D56</f>
        <v>0.22314355131420976</v>
      </c>
    </row>
    <row r="31">
      <c r="A31" t="inlineStr">
        <is>
          <t xml:space="preserve">1998/99</t>
        </is>
      </c>
      <c r="B31" s="17">
        <v>-0.33009414851093216</v>
      </c>
      <c r="C31" s="11">
        <f>Changes!D34</f>
        <v>-0.1525455430460298</v>
      </c>
      <c r="D31" s="11">
        <f>Changes!D35</f>
        <v>0.2068120378742698</v>
      </c>
    </row>
    <row r="32">
      <c r="A32" t="inlineStr">
        <is>
          <t xml:space="preserve">2006/07</t>
        </is>
      </c>
      <c r="B32" s="17">
        <v>-0.32159516916461617</v>
      </c>
      <c r="C32" s="11">
        <f>Changes!D42</f>
        <v>0.07686855986352008</v>
      </c>
      <c r="D32" s="11">
        <f>Changes!D43</f>
        <v>0.05126439223578338</v>
      </c>
    </row>
    <row r="33">
      <c r="A33" t="inlineStr">
        <is>
          <t xml:space="preserve">1985/86</t>
        </is>
      </c>
      <c r="B33" s="17">
        <v>-0.2604723724959056</v>
      </c>
      <c r="C33" s="11">
        <f>Changes!D21</f>
        <v>-0.2763183138014659</v>
      </c>
      <c r="D33" s="11">
        <f>Changes!D22</f>
        <v>0.36837645821941345</v>
      </c>
    </row>
    <row r="34">
      <c r="A34" t="inlineStr">
        <is>
          <t xml:space="preserve">1995/96</t>
        </is>
      </c>
      <c r="B34" s="17">
        <v>-0.24859708628598465</v>
      </c>
      <c r="C34" s="11">
        <f>Changes!D31</f>
        <v>-0.018026427894923893</v>
      </c>
      <c r="D34" s="11">
        <f>Changes!D32</f>
        <v>0.011030334645962597</v>
      </c>
    </row>
    <row r="35">
      <c r="A35" t="inlineStr">
        <is>
          <t xml:space="preserve">2002/03</t>
        </is>
      </c>
      <c r="B35" s="17">
        <v>-0.24580290129541515</v>
      </c>
      <c r="C35" s="11">
        <f>Changes!D38</f>
        <v>-0.21606729148749565</v>
      </c>
      <c r="D35" s="11">
        <f>Changes!D39</f>
        <v>0.1731988747979528</v>
      </c>
    </row>
    <row r="37">
      <c r="A37" s="5" t="inlineStr">
        <is>
          <t xml:space="preserve">Driest rainy seasons Jun-Oct t</t>
        </is>
      </c>
      <c r="B37" s="5" t="inlineStr">
        <is>
          <t xml:space="preserve">Rain vs normal</t>
        </is>
      </c>
      <c r="C37" s="5" t="inlineStr">
        <is>
          <t xml:space="preserve">Change crop t</t>
        </is>
      </c>
      <c r="D37" s="5" t="inlineStr">
        <is>
          <t xml:space="preserve">Change crop t+1</t>
        </is>
      </c>
    </row>
    <row r="38">
      <c r="A38" t="inlineStr">
        <is>
          <t xml:space="preserve">1986/87</t>
        </is>
      </c>
      <c r="B38" s="17">
        <v>-0.30004740327823687</v>
      </c>
      <c r="C38" s="11">
        <f>Changes!D22</f>
        <v>0.36837645821941345</v>
      </c>
      <c r="D38" s="11">
        <f>Changes!D23</f>
        <v>0.01165816312738946</v>
      </c>
    </row>
    <row r="39">
      <c r="A39" t="inlineStr">
        <is>
          <t xml:space="preserve">2023/24</t>
        </is>
      </c>
      <c r="B39" s="17">
        <v>-0.280472173486351</v>
      </c>
      <c r="C39" s="11">
        <f>Changes!D59</f>
        <v>-0.12107793155323604</v>
      </c>
      <c r="D39" s="11">
        <f>Changes!D60</f>
        <v>0.029270382300113237</v>
      </c>
    </row>
    <row r="40">
      <c r="A40" t="inlineStr">
        <is>
          <t xml:space="preserve">2018/19</t>
        </is>
      </c>
      <c r="B40" s="17">
        <v>-0.25698979097390695</v>
      </c>
      <c r="C40" s="11">
        <f>Changes!D54</f>
        <v>-0.06805346324501564</v>
      </c>
      <c r="D40" s="11">
        <f>Changes!D55</f>
        <v>-0.31143615845988804</v>
      </c>
    </row>
    <row r="41">
      <c r="A41" t="inlineStr">
        <is>
          <t xml:space="preserve">2001/02</t>
        </is>
      </c>
      <c r="B41" s="17">
        <v>-0.2064993797230612</v>
      </c>
      <c r="C41" s="11">
        <f>Changes!D37</f>
        <v>0.09366530997481762</v>
      </c>
      <c r="D41" s="11">
        <f>Changes!D38</f>
        <v>-0.21606729148749565</v>
      </c>
    </row>
    <row r="42">
      <c r="A42" t="inlineStr">
        <is>
          <t xml:space="preserve">2016/17</t>
        </is>
      </c>
      <c r="B42" s="17">
        <v>-0.19324860673389654</v>
      </c>
      <c r="C42" s="11">
        <f>Changes!D52</f>
        <v>0.3485286452179672</v>
      </c>
      <c r="D42" s="11">
        <f>Changes!D53</f>
        <v>0.011912781516241961</v>
      </c>
    </row>
    <row r="43">
      <c r="A43" t="inlineStr">
        <is>
          <t xml:space="preserve">1994/95</t>
        </is>
      </c>
      <c r="B43" s="17">
        <v>-0.1907392148771745</v>
      </c>
      <c r="C43" s="11">
        <f>Changes!D30</f>
        <v>0.10802686071101882</v>
      </c>
      <c r="D43" s="11">
        <f>Changes!D31</f>
        <v>-0.018026427894923893</v>
      </c>
    </row>
    <row r="44">
      <c r="A44" t="inlineStr">
        <is>
          <t xml:space="preserve">2004/05</t>
        </is>
      </c>
      <c r="B44" s="17">
        <v>-0.1722493052854435</v>
      </c>
      <c r="C44" s="11">
        <f>Changes!D40</f>
        <v>-0.14203879118943455</v>
      </c>
      <c r="D44" s="11">
        <f>Changes!D41</f>
        <v>0.2185504950904133</v>
      </c>
    </row>
    <row r="46">
      <c r="A46" s="5" t="inlineStr">
        <is>
          <t xml:space="preserve">2026 so far (crop 2026/27)</t>
        </is>
      </c>
      <c r="B46" s="5" t="inlineStr">
        <is>
          <t xml:space="preserve">GPCC 3 towns</t>
        </is>
      </c>
      <c r="C46" s="5" t="inlineStr">
        <is>
          <t xml:space="preserve">ERA5-Land 13 coffee points</t>
        </is>
      </c>
    </row>
    <row r="47">
      <c r="A47" t="inlineStr">
        <is>
          <t xml:space="preserve">Rain dry Dec-Mar vs 1991-2020 normal</t>
        </is>
      </c>
      <c r="B47" s="17">
        <v>0.4271299839334364</v>
      </c>
    </row>
    <row r="48">
      <c r="A48" t="inlineStr">
        <is>
          <t xml:space="preserve">Rain flowering Apr-May vs 1991-2020 normal</t>
        </is>
      </c>
      <c r="B48" s="17">
        <v>-0.10145456585935564</v>
      </c>
    </row>
    <row r="49">
      <c r="A49" t="inlineStr">
        <is>
          <t xml:space="preserve">Rain Jun-Aug vs 1991-2020 normal</t>
        </is>
      </c>
      <c r="B49" s="17">
        <v>-0.45337658418884685</v>
      </c>
    </row>
    <row r="50">
      <c r="A50" t="inlineStr">
        <is>
          <t xml:space="preserve">Tmax Dec-Feb, deg C vs 1991-2020 (ERA5-Land coffee zones)</t>
        </is>
      </c>
      <c r="C50" s="13">
        <v>-0.869477777777778</v>
      </c>
    </row>
    <row r="51">
      <c r="A51" t="inlineStr">
        <is>
          <t xml:space="preserve">Tmax Mar-May (flowering), deg C vs 1991-2020 (ERA5-Land coffee zones)</t>
        </is>
      </c>
      <c r="C51" s="13">
        <v>-0.25039999999999907</v>
      </c>
    </row>
    <row r="52">
      <c r="A52" t="inlineStr">
        <is>
          <t xml:space="preserve">Tmax Jun-Aug (fruit fill), deg C vs 1991-2020 (ERA5-Land coffee zones)</t>
        </is>
      </c>
      <c r="C52" s="13">
        <v>0.8501333333333333</v>
      </c>
    </row>
    <row r="53">
      <c r="A53" t="inlineStr">
        <is>
          <t xml:space="preserve">Tmax 1-18 Sep 2026, deg C vs September normal (warmer than any full September since 1981)</t>
        </is>
      </c>
      <c r="C53" s="13">
        <v>2.034866666666666</v>
      </c>
    </row>
    <row r="55">
      <c r="A55" s="5" t="inlineStr">
        <is>
          <t xml:space="preserve">Max. temperature (ERA5-Land, mean of 10 coffee points) vs output</t>
        </is>
      </c>
      <c r="B55" s="5" t="inlineStr">
        <is>
          <t xml:space="preserve">Output</t>
        </is>
      </c>
      <c r="C55" s="5" t="inlineStr">
        <is>
          <t xml:space="preserve">n</t>
        </is>
      </c>
      <c r="D55" s="5" t="inlineStr">
        <is>
          <t xml:space="preserve">r</t>
        </is>
      </c>
      <c r="E55" s="5" t="inlineStr">
        <is>
          <t xml:space="preserve">p (permutation)</t>
        </is>
      </c>
    </row>
    <row r="56">
      <c r="A56" t="inlineStr">
        <is>
          <t xml:space="preserve">Tmax Dec-Feb</t>
        </is>
      </c>
      <c r="B56" t="inlineStr">
        <is>
          <t xml:space="preserve">USDA production</t>
        </is>
      </c>
      <c r="C56">
        <v>44</v>
      </c>
      <c r="D56" s="13">
        <v>-0.14597005532086774</v>
      </c>
      <c r="E56" s="14">
        <v>0.33813237352529496</v>
      </c>
    </row>
    <row r="57">
      <c r="A57" t="inlineStr">
        <is>
          <t xml:space="preserve">Tmax Dec-Feb</t>
        </is>
      </c>
      <c r="B57" t="inlineStr">
        <is>
          <t xml:space="preserve">IHCAFE exports</t>
        </is>
      </c>
      <c r="C57">
        <v>39</v>
      </c>
      <c r="D57" s="13">
        <v>-0.12102380613795989</v>
      </c>
      <c r="E57" s="14">
        <v>0.47230553889222154</v>
      </c>
    </row>
    <row r="58">
      <c r="A58" t="inlineStr">
        <is>
          <t xml:space="preserve">Tmax Mar-May (flowering)</t>
        </is>
      </c>
      <c r="B58" t="inlineStr">
        <is>
          <t xml:space="preserve">USDA production</t>
        </is>
      </c>
      <c r="C58">
        <v>44</v>
      </c>
      <c r="D58" s="13">
        <v>0.16206242211528962</v>
      </c>
      <c r="E58" s="14">
        <v>0.28514297140571887</v>
      </c>
    </row>
    <row r="59">
      <c r="A59" t="inlineStr">
        <is>
          <t xml:space="preserve">Tmax Mar-May (flowering)</t>
        </is>
      </c>
      <c r="B59" t="inlineStr">
        <is>
          <t xml:space="preserve">IHCAFE exports</t>
        </is>
      </c>
      <c r="C59">
        <v>39</v>
      </c>
      <c r="D59" s="13">
        <v>0.2652774445033983</v>
      </c>
      <c r="E59" s="14">
        <v>0.10997800439912017</v>
      </c>
    </row>
    <row r="60">
      <c r="A60" t="inlineStr">
        <is>
          <t xml:space="preserve">Tmax Jun-Aug (fruit fill)</t>
        </is>
      </c>
      <c r="B60" t="inlineStr">
        <is>
          <t xml:space="preserve">USDA production</t>
        </is>
      </c>
      <c r="C60">
        <v>44</v>
      </c>
      <c r="D60" s="13">
        <v>-0.295079173656936</v>
      </c>
      <c r="E60" s="14">
        <v>0.052589482103579284</v>
      </c>
    </row>
    <row r="61">
      <c r="A61" t="inlineStr">
        <is>
          <t xml:space="preserve">Tmax Jun-Aug (fruit fill)</t>
        </is>
      </c>
      <c r="B61" t="inlineStr">
        <is>
          <t xml:space="preserve">IHCAFE exports</t>
        </is>
      </c>
      <c r="C61">
        <v>39</v>
      </c>
      <c r="D61" s="13">
        <v>-0.13150030305448143</v>
      </c>
      <c r="E61" s="14">
        <v>0.4277144571085783</v>
      </c>
    </row>
    <row r="62">
      <c r="A62" t="inlineStr">
        <is>
          <t xml:space="preserve">Tmax Sep-Oct</t>
        </is>
      </c>
      <c r="B62" t="inlineStr">
        <is>
          <t xml:space="preserve">USDA production</t>
        </is>
      </c>
      <c r="C62">
        <v>44</v>
      </c>
      <c r="D62" s="13">
        <v>-0.45284158573931876</v>
      </c>
      <c r="E62" s="14">
        <v>0.002599480103979204</v>
      </c>
    </row>
    <row r="63">
      <c r="A63" t="inlineStr">
        <is>
          <t xml:space="preserve">Tmax Sep-Oct</t>
        </is>
      </c>
      <c r="B63" t="inlineStr">
        <is>
          <t xml:space="preserve">IHCAFE exports</t>
        </is>
      </c>
      <c r="C63">
        <v>39</v>
      </c>
      <c r="D63" s="13">
        <v>-0.386901950622252</v>
      </c>
      <c r="E63" s="14">
        <v>0.014997000599880024</v>
      </c>
    </row>
    <row r="64">
      <c r="A64" t="inlineStr">
        <is>
          <t xml:space="preserve">Tmax Sep-Oct, vs mean of the 10 years before (removes warming)</t>
        </is>
      </c>
      <c r="B64" t="inlineStr">
        <is>
          <t xml:space="preserve">USDA production</t>
        </is>
      </c>
      <c r="C64">
        <v>35</v>
      </c>
      <c r="D64" s="13">
        <v>-0.44034735086320853</v>
      </c>
      <c r="E64" s="14">
        <v>0.0057988402319536095</v>
      </c>
    </row>
    <row r="65">
      <c r="A65" t="inlineStr">
        <is>
          <t xml:space="preserve">Tmax Sep-Oct, change on the year before</t>
        </is>
      </c>
      <c r="B65" t="inlineStr">
        <is>
          <t xml:space="preserve">USDA production</t>
        </is>
      </c>
      <c r="C65">
        <v>43</v>
      </c>
      <c r="D65" s="13">
        <v>-0.5281885471493315</v>
      </c>
      <c r="E65" s="14">
        <v>0.0005998800239952009</v>
      </c>
    </row>
    <row r="66">
      <c r="A66" t="inlineStr">
        <is>
          <t xml:space="preserve">Rain Sep-Oct (GPCC)</t>
        </is>
      </c>
      <c r="B66" t="inlineStr">
        <is>
          <t xml:space="preserve">USDA production</t>
        </is>
      </c>
      <c r="C66">
        <v>44</v>
      </c>
      <c r="D66" s="13">
        <v>0.0457120796264875</v>
      </c>
      <c r="E66" s="14">
        <v>0.7624475104979004</v>
      </c>
    </row>
    <row r="67">
      <c r="A67" t="inlineStr">
        <is>
          <t xml:space="preserve">Excel check: CORREL(production change, Sep-Oct max. temperature), 1982/83-2025/26</t>
        </is>
      </c>
      <c r="D67" s="12">
        <f>CORREL(Changes!D18:D61,Changes!Q18:Q61)</f>
        <v>-0.45284158573931876</v>
      </c>
    </row>
    <row r="68">
      <c r="A68" s="2" t="inlineStr">
        <is>
          <t xml:space="preserve">Points: comayagua_lalibertad, comayagua_siguatepeque, copan_santarosa, el_paraiso_danli, el_paraiso_town, fmorazan_valledeangeles, lapaz_marcala, ocotepeque, santabarbara, yoro. Open-Meteo returned no rain for ERA5-Land; Lempira, Intibuca and Olancho points not obtained (daily quota).</t>
        </is>
      </c>
    </row>
    <row r="70">
      <c r="A70" s="5" t="inlineStr">
        <is>
          <t xml:space="preserve">Hottest Sep-Oct (coffee zones)</t>
        </is>
      </c>
      <c r="B70" s="5" t="inlineStr">
        <is>
          <t xml:space="preserve">deg C vs normal</t>
        </is>
      </c>
      <c r="C70" s="5" t="inlineStr">
        <is>
          <t xml:space="preserve">Output change, crop t</t>
        </is>
      </c>
    </row>
    <row r="71">
      <c r="A71" t="inlineStr">
        <is>
          <t xml:space="preserve">2019/20</t>
        </is>
      </c>
      <c r="B71" s="13">
        <v>1.6022333333333325</v>
      </c>
      <c r="C71" s="11">
        <f>Changes!D55</f>
        <v>-0.31143615845988804</v>
      </c>
    </row>
    <row r="72">
      <c r="A72" t="inlineStr">
        <is>
          <t xml:space="preserve">2023/24</t>
        </is>
      </c>
      <c r="B72" s="13">
        <v>1.386733333333332</v>
      </c>
      <c r="C72" s="11">
        <f>Changes!D59</f>
        <v>-0.12107793155323604</v>
      </c>
    </row>
    <row r="73">
      <c r="A73" t="inlineStr">
        <is>
          <t xml:space="preserve">2021/22</t>
        </is>
      </c>
      <c r="B73" s="13">
        <v>1.2527333333333317</v>
      </c>
      <c r="C73" s="11">
        <f>Changes!D57</f>
        <v>-0.30318625898774615</v>
      </c>
    </row>
    <row r="74">
      <c r="A74" t="inlineStr">
        <is>
          <t xml:space="preserve">2009/10</t>
        </is>
      </c>
      <c r="B74" s="13">
        <v>1.1522333333333332</v>
      </c>
      <c r="C74" s="11">
        <f>Changes!D45</f>
        <v>0.09601465323958858</v>
      </c>
    </row>
    <row r="75">
      <c r="A75" t="inlineStr">
        <is>
          <t xml:space="preserve">2015/16</t>
        </is>
      </c>
      <c r="B75" s="13">
        <v>0.8392333333333326</v>
      </c>
      <c r="C75" s="11">
        <f>Changes!D51</f>
        <v>0.03846628082779614</v>
      </c>
    </row>
    <row r="76">
      <c r="A76" t="inlineStr">
        <is>
          <t xml:space="preserve">2004/05</t>
        </is>
      </c>
      <c r="B76" s="13">
        <v>0.813233333333331</v>
      </c>
      <c r="C76" s="11">
        <f>Changes!D40</f>
        <v>-0.14203879118943455</v>
      </c>
    </row>
    <row r="78">
      <c r="A78" s="4" t="inlineStr">
        <is>
          <t xml:space="preserve">Reading: in El Nino years output rose as often as it fell, and the average change is close to zero. 1982, 1997 and 2015 (the three strongest before 2026) gave +25 %/-13 %, +27 %/-14 % and +4 %/+42 % (crop t / t+1, plain %).</t>
        </is>
      </c>
    </row>
    <row r="79">
      <c r="A79" s="4" t="inlineStr">
        <is>
          <t xml:space="preserve">Dry seasons: of the 7 driest Dec-Mar, 4 were followed by a fall of 14 % or more (1985, 1998, 2002, 2019) - the only weather window with a hint, and it does not survive the correction for 14 tests.</t>
        </is>
      </c>
    </row>
    <row r="80">
      <c r="A80" s="4" t="inlineStr">
        <is>
          <t xml:space="preserve">Jun-Aug 2026 is the driest in the 1981-2026 record at the three GPCC towns (August at about a fifth of normal). History has no year this dry, so the tests above cannot say how much it will cost.</t>
        </is>
      </c>
    </row>
    <row r="81">
      <c r="A81" s="4" t="inlineStr">
        <is>
          <t xml:space="preserve">Heat is different: maximum temperature in Sep-Oct, the two months before the harvest starts, moves against output (r = -0.45; -0.44 once the warming trend is removed; 4 of the 6 hottest Sep-Oct years saw falls). Found after trying 4 windows, so exploratory - but it also improves the out-of-sample back-test.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</sheetView>
  </sheetViews>
  <sheetFormatPr defaultRowHeight="13.2"/>
  <cols>
    <col min="1" max="1" width="12" customWidth="1"/>
    <col min="2" max="2" width="1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</cols>
  <sheetData>
    <row r="1">
      <c r="A1" s="1" t="inlineStr">
        <is>
          <t xml:space="preserve">How well can output be forecast? Errors 2000/01 - 2025/26 (forecast made with data up to the year before)</t>
        </is>
      </c>
    </row>
    <row r="2">
      <c r="A2" s="2" t="inlineStr">
        <is>
          <t xml:space="preserve">Actual = USDA production (July 2026 data). Averages and last-year are Excel formulas; the trend and the regressions are refitted each year in Python (purple).</t>
        </is>
      </c>
    </row>
    <row r="4">
      <c r="A4" s="5" t="inlineStr">
        <is>
          <t xml:space="preserve">Crop year</t>
        </is>
      </c>
      <c r="B4" s="5" t="inlineStr">
        <is>
          <t xml:space="preserve">Actual</t>
        </is>
      </c>
      <c r="C4" s="5" t="inlineStr">
        <is>
          <t xml:space="preserve">Last year (random walk)</t>
        </is>
      </c>
      <c r="D4" s="5" t="inlineStr">
        <is>
          <t xml:space="preserve">Average of last 2 years</t>
        </is>
      </c>
      <c r="E4" s="5" t="inlineStr">
        <is>
          <t xml:space="preserve">Average of last 3 years</t>
        </is>
      </c>
      <c r="F4" s="5" t="inlineStr">
        <is>
          <t xml:space="preserve">Average of last 4 years</t>
        </is>
      </c>
      <c r="G4" s="5" t="inlineStr">
        <is>
          <t xml:space="preserve">Linear trend, last 8 years</t>
        </is>
      </c>
      <c r="H4" s="5" t="inlineStr">
        <is>
          <t xml:space="preserve">Model: mean reversion + price + dry-season rain</t>
        </is>
      </c>
      <c r="I4" s="5" t="inlineStr">
        <is>
          <t xml:space="preserve">Average of last 4 years + price + dry-season rain</t>
        </is>
      </c>
      <c r="J4" s="5" t="inlineStr">
        <is>
          <t xml:space="preserve">Combination: mean of (last 2 years) and the model</t>
        </is>
      </c>
      <c r="K4" s="5" t="inlineStr">
        <is>
          <t xml:space="preserve">Error: Last year (random walk)</t>
        </is>
      </c>
      <c r="L4" s="5" t="inlineStr">
        <is>
          <t xml:space="preserve">Error: Average of last 2 years</t>
        </is>
      </c>
      <c r="M4" s="5" t="inlineStr">
        <is>
          <t xml:space="preserve">Error: Average of last 3 years</t>
        </is>
      </c>
      <c r="N4" s="5" t="inlineStr">
        <is>
          <t xml:space="preserve">Error: Average of last 4 years</t>
        </is>
      </c>
      <c r="O4" s="5" t="inlineStr">
        <is>
          <t xml:space="preserve">Error: Linear trend, last 8 years</t>
        </is>
      </c>
      <c r="P4" s="5" t="inlineStr">
        <is>
          <t xml:space="preserve">Error: Model: mean reversion + price + dry-season rain</t>
        </is>
      </c>
      <c r="Q4" s="5" t="inlineStr">
        <is>
          <t xml:space="preserve">Error: Average of last 4 years + price + dry-season rain</t>
        </is>
      </c>
      <c r="R4" s="5" t="inlineStr">
        <is>
          <t xml:space="preserve">Error: Combination: mean of (last 2 years) and the model</t>
        </is>
      </c>
    </row>
    <row r="5">
      <c r="A5" t="inlineStr">
        <is>
          <t xml:space="preserve">2000/01</t>
        </is>
      </c>
      <c r="B5" s="19">
        <f>Data!E36</f>
        <v>2821.0</v>
      </c>
      <c r="C5" s="19">
        <f>Data!E35</f>
        <v>3067.000000000002</v>
      </c>
      <c r="D5" s="19">
        <f>EXP((LN(Data!E35)+LN(Data!E34))/2)</f>
        <v>2765.7002729869346</v>
      </c>
      <c r="E5" s="19">
        <f>EXP((LN(Data!E35)+LN(Data!E34)+LN(Data!E33))/3)</f>
        <v>2811.3750563832864</v>
      </c>
      <c r="F5" s="19">
        <f>EXP((LN(Data!E35)+LN(Data!E34)+LN(Data!E33)+LN(Data!E32))/4)</f>
        <v>2667.6274136344396</v>
      </c>
      <c r="G5" s="20">
        <v>3081.4667098405826</v>
      </c>
      <c r="H5" s="20">
        <v>2837.305665885377</v>
      </c>
      <c r="I5" s="20">
        <v>3042.1704403662347</v>
      </c>
      <c r="J5" s="19">
        <f>SQRT(D5*H5)</f>
        <v>2801.274184132386</v>
      </c>
      <c r="K5" s="21">
        <f>ABS(C5/B5-1)</f>
        <v>0.08720311946118464</v>
      </c>
      <c r="L5" s="21">
        <f>ABS(D5/B5-1)</f>
        <v>0.019602880897931718</v>
      </c>
      <c r="M5" s="21">
        <f>ABS(E5/B5-1)</f>
        <v>0.003411890682989527</v>
      </c>
      <c r="N5" s="21">
        <f>ABS(F5/B5-1)</f>
        <v>0.05436816248336063</v>
      </c>
      <c r="O5" s="21">
        <f>ABS(G5/B5-1)</f>
        <v>0.09233133989386122</v>
      </c>
      <c r="P5" s="21">
        <f>ABS(H5/B5-1)</f>
        <v>0.0057801013418563585</v>
      </c>
      <c r="Q5" s="21">
        <f>ABS(I5/B5-1)</f>
        <v>0.0784014322460953</v>
      </c>
      <c r="R5" s="21">
        <f>ABS(J5/B5-1)</f>
        <v>0.006992490559239339</v>
      </c>
    </row>
    <row r="6">
      <c r="A6" t="inlineStr">
        <is>
          <t xml:space="preserve">2001/02</t>
        </is>
      </c>
      <c r="B6" s="19">
        <f>Data!E37</f>
        <v>3098.0</v>
      </c>
      <c r="C6" s="19">
        <f>Data!E36</f>
        <v>2820.999999999999</v>
      </c>
      <c r="D6" s="19">
        <f>EXP((LN(Data!E36)+LN(Data!E35))/2)</f>
        <v>2941.4294144174205</v>
      </c>
      <c r="E6" s="19">
        <f>EXP((LN(Data!E36)+LN(Data!E35)+LN(Data!E34))/3)</f>
        <v>2784.0120055556677</v>
      </c>
      <c r="F6" s="19">
        <f>EXP((LN(Data!E36)+LN(Data!E35)+LN(Data!E34)+LN(Data!E33))/4)</f>
        <v>2813.77820922213</v>
      </c>
      <c r="G6" s="20">
        <v>3129.353746100891</v>
      </c>
      <c r="H6" s="20">
        <v>3184.8775010955123</v>
      </c>
      <c r="I6" s="20">
        <v>3181.3955630406927</v>
      </c>
      <c r="J6" s="19">
        <f>SQRT(D6*H6)</f>
        <v>3060.733958226127</v>
      </c>
      <c r="K6" s="21">
        <f>ABS(C6/B6-1)</f>
        <v>0.08941252420916745</v>
      </c>
      <c r="L6" s="21">
        <f>ABS(D6/B6-1)</f>
        <v>0.05053924647597785</v>
      </c>
      <c r="M6" s="21">
        <f>ABS(E6/B6-1)</f>
        <v>0.10135183810339976</v>
      </c>
      <c r="N6" s="21">
        <f>ABS(F6/B6-1)</f>
        <v>0.09174363808194641</v>
      </c>
      <c r="O6" s="21">
        <f>ABS(G6/B6-1)</f>
        <v>0.010120641091313942</v>
      </c>
      <c r="P6" s="21">
        <f>ABS(H6/B6-1)</f>
        <v>0.028043092671243386</v>
      </c>
      <c r="Q6" s="21">
        <f>ABS(I6/B6-1)</f>
        <v>0.02691916173037212</v>
      </c>
      <c r="R6" s="21">
        <f>ABS(J6/B6-1)</f>
        <v>0.01202906448478791</v>
      </c>
    </row>
    <row r="7">
      <c r="A7" t="inlineStr">
        <is>
          <t xml:space="preserve">2002/03</t>
        </is>
      </c>
      <c r="B7" s="19">
        <f>Data!E38</f>
        <v>2496.0</v>
      </c>
      <c r="C7" s="19">
        <f>Data!E37</f>
        <v>3098.0</v>
      </c>
      <c r="D7" s="19">
        <f>EXP((LN(Data!E37)+LN(Data!E36))/2)</f>
        <v>2956.2574312803013</v>
      </c>
      <c r="E7" s="19">
        <f>EXP((LN(Data!E37)+LN(Data!E36)+LN(Data!E35))/3)</f>
        <v>2992.7200404266464</v>
      </c>
      <c r="F7" s="19">
        <f>EXP((LN(Data!E37)+LN(Data!E36)+LN(Data!E35)+LN(Data!E34))/4)</f>
        <v>2859.3918907193497</v>
      </c>
      <c r="G7" s="20">
        <v>3251.6803387354817</v>
      </c>
      <c r="H7" s="20">
        <v>3055.7851876124364</v>
      </c>
      <c r="I7" s="20">
        <v>3245.242300595847</v>
      </c>
      <c r="J7" s="19">
        <f>SQRT(D7*H7)</f>
        <v>3005.6093673788573</v>
      </c>
      <c r="K7" s="21">
        <f>ABS(C7/B7-1)</f>
        <v>0.24118589743589736</v>
      </c>
      <c r="L7" s="21">
        <f>ABS(D7/B7-1)</f>
        <v>0.18439800932704387</v>
      </c>
      <c r="M7" s="21">
        <f>ABS(E7/B7-1)</f>
        <v>0.1990064264529834</v>
      </c>
      <c r="N7" s="21">
        <f>ABS(F7/B7-1)</f>
        <v>0.14558969980743175</v>
      </c>
      <c r="O7" s="21">
        <f>ABS(G7/B7-1)</f>
        <v>0.30275654596774104</v>
      </c>
      <c r="P7" s="21">
        <f>ABS(H7/B7-1)</f>
        <v>0.22427291170370056</v>
      </c>
      <c r="Q7" s="21">
        <f>ABS(I7/B7-1)</f>
        <v>0.30017720376436174</v>
      </c>
      <c r="R7" s="21">
        <f>ABS(J7/B7-1)</f>
        <v>0.2041704196229397</v>
      </c>
    </row>
    <row r="8">
      <c r="A8" t="inlineStr">
        <is>
          <t xml:space="preserve">2003/04</t>
        </is>
      </c>
      <c r="B8" s="19">
        <f>Data!E39</f>
        <v>2968.0</v>
      </c>
      <c r="C8" s="19">
        <f>Data!E38</f>
        <v>2496.000000000001</v>
      </c>
      <c r="D8" s="19">
        <f>EXP((LN(Data!E38)+LN(Data!E37))/2)</f>
        <v>2780.7567315390984</v>
      </c>
      <c r="E8" s="19">
        <f>EXP((LN(Data!E38)+LN(Data!E37)+LN(Data!E36))/3)</f>
        <v>2794.106958246083</v>
      </c>
      <c r="F8" s="19">
        <f>EXP((LN(Data!E38)+LN(Data!E37)+LN(Data!E36)+LN(Data!E35))/4)</f>
        <v>2859.96497259815</v>
      </c>
      <c r="G8" s="20">
        <v>3017.2472812614487</v>
      </c>
      <c r="H8" s="20">
        <v>3253.600627825408</v>
      </c>
      <c r="I8" s="20">
        <v>3442.27534968869</v>
      </c>
      <c r="J8" s="19">
        <f>SQRT(D8*H8)</f>
        <v>3007.9015687959836</v>
      </c>
      <c r="K8" s="21">
        <f>ABS(C8/B8-1)</f>
        <v>0.159029649595687</v>
      </c>
      <c r="L8" s="21">
        <f>ABS(D8/B8-1)</f>
        <v>0.06308735460272963</v>
      </c>
      <c r="M8" s="21">
        <f>ABS(E8/B8-1)</f>
        <v>0.05858929978231697</v>
      </c>
      <c r="N8" s="21">
        <f>ABS(F8/B8-1)</f>
        <v>0.036399941846984585</v>
      </c>
      <c r="O8" s="21">
        <f>ABS(G8/B8-1)</f>
        <v>0.016592749751161984</v>
      </c>
      <c r="P8" s="21">
        <f>ABS(H8/B8-1)</f>
        <v>0.09622662662581138</v>
      </c>
      <c r="Q8" s="21">
        <f>ABS(I8/B8-1)</f>
        <v>0.1597962768492891</v>
      </c>
      <c r="R8" s="21">
        <f>ABS(J8/B8-1)</f>
        <v>0.01344392479649037</v>
      </c>
    </row>
    <row r="9">
      <c r="A9" t="inlineStr">
        <is>
          <t xml:space="preserve">2004/05</t>
        </is>
      </c>
      <c r="B9" s="19">
        <f>Data!E40</f>
        <v>2575.0</v>
      </c>
      <c r="C9" s="19">
        <f>Data!E39</f>
        <v>2968.0000000000005</v>
      </c>
      <c r="D9" s="19">
        <f>EXP((LN(Data!E39)+LN(Data!E38))/2)</f>
        <v>2721.7876478520516</v>
      </c>
      <c r="E9" s="19">
        <f>EXP((LN(Data!E39)+LN(Data!E38)+LN(Data!E37))/3)</f>
        <v>2841.8204185403724</v>
      </c>
      <c r="F9" s="19">
        <f>EXP((LN(Data!E39)+LN(Data!E38)+LN(Data!E37)+LN(Data!E36))/4)</f>
        <v>2836.6009519016875</v>
      </c>
      <c r="G9" s="20">
        <v>3006.221653289633</v>
      </c>
      <c r="H9" s="20">
        <v>2859.8328627162755</v>
      </c>
      <c r="I9" s="20">
        <v>3219.0431840171227</v>
      </c>
      <c r="J9" s="19">
        <f>SQRT(D9*H9)</f>
        <v>2789.9565875946046</v>
      </c>
      <c r="K9" s="21">
        <f>ABS(C9/B9-1)</f>
        <v>0.15262135922330122</v>
      </c>
      <c r="L9" s="21">
        <f>ABS(D9/B9-1)</f>
        <v>0.05700491178720446</v>
      </c>
      <c r="M9" s="21">
        <f>ABS(E9/B9-1)</f>
        <v>0.1036195800156785</v>
      </c>
      <c r="N9" s="21">
        <f>ABS(F9/B9-1)</f>
        <v>0.10159260268026693</v>
      </c>
      <c r="O9" s="21">
        <f>ABS(G9/B9-1)</f>
        <v>0.16746471972412946</v>
      </c>
      <c r="P9" s="21">
        <f>ABS(H9/B9-1)</f>
        <v>0.11061470396748563</v>
      </c>
      <c r="Q9" s="21">
        <f>ABS(I9/B9-1)</f>
        <v>0.2501138578707274</v>
      </c>
      <c r="R9" s="21">
        <f>ABS(J9/B9-1)</f>
        <v>0.08347828644450672</v>
      </c>
    </row>
    <row r="10">
      <c r="A10" t="inlineStr">
        <is>
          <t xml:space="preserve">2005/06</t>
        </is>
      </c>
      <c r="B10" s="19">
        <f>Data!E41</f>
        <v>3204.0</v>
      </c>
      <c r="C10" s="19">
        <f>Data!E40</f>
        <v>2575.000000000001</v>
      </c>
      <c r="D10" s="19">
        <f>EXP((LN(Data!E40)+LN(Data!E39))/2)</f>
        <v>2764.5252757028666</v>
      </c>
      <c r="E10" s="19">
        <f>EXP((LN(Data!E40)+LN(Data!E39)+LN(Data!E38))/3)</f>
        <v>2671.9514973207774</v>
      </c>
      <c r="F10" s="19">
        <f>EXP((LN(Data!E40)+LN(Data!E39)+LN(Data!E38)+LN(Data!E37))/4)</f>
        <v>2772.6291259237555</v>
      </c>
      <c r="G10" s="20">
        <v>2719.5307995895446</v>
      </c>
      <c r="H10" s="20">
        <v>2951.8450935782625</v>
      </c>
      <c r="I10" s="20">
        <v>3050.8134652406925</v>
      </c>
      <c r="J10" s="19">
        <f>SQRT(D10*H10)</f>
        <v>2856.650201049578</v>
      </c>
      <c r="K10" s="21">
        <f>ABS(C10/B10-1)</f>
        <v>0.19631710362047416</v>
      </c>
      <c r="L10" s="21">
        <f>ABS(D10/B10-1)</f>
        <v>0.13716439584804418</v>
      </c>
      <c r="M10" s="21">
        <f>ABS(E10/B10-1)</f>
        <v>0.16605758510587476</v>
      </c>
      <c r="N10" s="21">
        <f>ABS(F10/B10-1)</f>
        <v>0.1346351042684908</v>
      </c>
      <c r="O10" s="21">
        <f>ABS(G10/B10-1)</f>
        <v>0.1512076156087564</v>
      </c>
      <c r="P10" s="21">
        <f>ABS(H10/B10-1)</f>
        <v>0.07870003321527386</v>
      </c>
      <c r="Q10" s="21">
        <f>ABS(I10/B10-1)</f>
        <v>0.047811028326875005</v>
      </c>
      <c r="R10" s="21">
        <f>ABS(J10/B10-1)</f>
        <v>0.10841129804944516</v>
      </c>
    </row>
    <row r="11">
      <c r="A11" t="inlineStr">
        <is>
          <t xml:space="preserve">2006/07</t>
        </is>
      </c>
      <c r="B11" s="19">
        <f>Data!E42</f>
        <v>3460.0</v>
      </c>
      <c r="C11" s="19">
        <f>Data!E41</f>
        <v>3204.000000000002</v>
      </c>
      <c r="D11" s="19">
        <f>EXP((LN(Data!E41)+LN(Data!E40))/2)</f>
        <v>2872.333546091054</v>
      </c>
      <c r="E11" s="19">
        <f>EXP((LN(Data!E41)+LN(Data!E40)+LN(Data!E39))/3)</f>
        <v>2903.8747413131196</v>
      </c>
      <c r="F11" s="19">
        <f>EXP((LN(Data!E41)+LN(Data!E40)+LN(Data!E39)+LN(Data!E38))/4)</f>
        <v>2796.047561516382</v>
      </c>
      <c r="G11" s="20">
        <v>2953.83347976901</v>
      </c>
      <c r="H11" s="20">
        <v>2831.176483874695</v>
      </c>
      <c r="I11" s="20">
        <v>3042.9165151825255</v>
      </c>
      <c r="J11" s="19">
        <f>SQRT(D11*H11)</f>
        <v>2851.680765712985</v>
      </c>
      <c r="K11" s="21">
        <f>ABS(C11/B11-1)</f>
        <v>0.0739884393063579</v>
      </c>
      <c r="L11" s="21">
        <f>ABS(D11/B11-1)</f>
        <v>0.1698457959274411</v>
      </c>
      <c r="M11" s="21">
        <f>ABS(E11/B11-1)</f>
        <v>0.16072984355112152</v>
      </c>
      <c r="N11" s="21">
        <f>ABS(F11/B11-1)</f>
        <v>0.19189376834786653</v>
      </c>
      <c r="O11" s="21">
        <f>ABS(G11/B11-1)</f>
        <v>0.14629090180086413</v>
      </c>
      <c r="P11" s="21">
        <f>ABS(H11/B11-1)</f>
        <v>0.18174090061425008</v>
      </c>
      <c r="Q11" s="21">
        <f>ABS(I11/B11-1)</f>
        <v>0.1205443597738366</v>
      </c>
      <c r="R11" s="21">
        <f>ABS(J11/B11-1)</f>
        <v>0.1758148075974032</v>
      </c>
    </row>
    <row r="12">
      <c r="A12" t="inlineStr">
        <is>
          <t xml:space="preserve">2007/08</t>
        </is>
      </c>
      <c r="B12" s="19">
        <f>Data!E43</f>
        <v>3642.0</v>
      </c>
      <c r="C12" s="19">
        <f>Data!E42</f>
        <v>3460.0000000000023</v>
      </c>
      <c r="D12" s="19">
        <f>EXP((LN(Data!E42)+LN(Data!E41))/2)</f>
        <v>3329.540508839022</v>
      </c>
      <c r="E12" s="19">
        <f>EXP((LN(Data!E42)+LN(Data!E41)+LN(Data!E40))/3)</f>
        <v>3056.2012324886814</v>
      </c>
      <c r="F12" s="19">
        <f>EXP((LN(Data!E42)+LN(Data!E41)+LN(Data!E40)+LN(Data!E39))/4)</f>
        <v>3033.9081879915293</v>
      </c>
      <c r="G12" s="20">
        <v>3124.2853243045565</v>
      </c>
      <c r="H12" s="20">
        <v>3523.706014062629</v>
      </c>
      <c r="I12" s="20">
        <v>3385.2886629531295</v>
      </c>
      <c r="J12" s="19">
        <f>SQRT(D12*H12)</f>
        <v>3425.2477158683296</v>
      </c>
      <c r="K12" s="21">
        <f>ABS(C12/B12-1)</f>
        <v>0.04997254255903283</v>
      </c>
      <c r="L12" s="21">
        <f>ABS(D12/B12-1)</f>
        <v>0.0857933803297578</v>
      </c>
      <c r="M12" s="21">
        <f>ABS(E12/B12-1)</f>
        <v>0.1608453507719162</v>
      </c>
      <c r="N12" s="21">
        <f>ABS(F12/B12-1)</f>
        <v>0.16696645030435764</v>
      </c>
      <c r="O12" s="21">
        <f>ABS(G12/B12-1)</f>
        <v>0.1421512014539933</v>
      </c>
      <c r="P12" s="21">
        <f>ABS(H12/B12-1)</f>
        <v>0.032480501355675706</v>
      </c>
      <c r="Q12" s="21">
        <f>ABS(I12/B12-1)</f>
        <v>0.07048636382396223</v>
      </c>
      <c r="R12" s="21">
        <f>ABS(J12/B12-1)</f>
        <v>0.059514630458997964</v>
      </c>
    </row>
    <row r="13">
      <c r="A13" t="inlineStr">
        <is>
          <t xml:space="preserve">2008/09</t>
        </is>
      </c>
      <c r="B13" s="19">
        <f>Data!E44</f>
        <v>3225.0</v>
      </c>
      <c r="C13" s="19">
        <f>Data!E43</f>
        <v>3642.000000000002</v>
      </c>
      <c r="D13" s="19">
        <f>EXP((LN(Data!E43)+LN(Data!E42))/2)</f>
        <v>3549.8337989263687</v>
      </c>
      <c r="E13" s="19">
        <f>EXP((LN(Data!E43)+LN(Data!E42)+LN(Data!E41))/3)</f>
        <v>3430.5955180388373</v>
      </c>
      <c r="F13" s="19">
        <f>EXP((LN(Data!E43)+LN(Data!E42)+LN(Data!E41)+LN(Data!E40))/4)</f>
        <v>3193.165624220586</v>
      </c>
      <c r="G13" s="20">
        <v>3524.450157344793</v>
      </c>
      <c r="H13" s="20">
        <v>3764.5539445882823</v>
      </c>
      <c r="I13" s="20">
        <v>3579.186383893541</v>
      </c>
      <c r="J13" s="19">
        <f>SQRT(D13*H13)</f>
        <v>3655.6177084565434</v>
      </c>
      <c r="K13" s="21">
        <f>ABS(C13/B13-1)</f>
        <v>0.12930232558139587</v>
      </c>
      <c r="L13" s="21">
        <f>ABS(D13/B13-1)</f>
        <v>0.10072365858181964</v>
      </c>
      <c r="M13" s="21">
        <f>ABS(E13/B13-1)</f>
        <v>0.06375054822909676</v>
      </c>
      <c r="N13" s="21">
        <f>ABS(F13/B13-1)</f>
        <v>0.009871124272686549</v>
      </c>
      <c r="O13" s="21">
        <f>ABS(G13/B13-1)</f>
        <v>0.09285276196737757</v>
      </c>
      <c r="P13" s="21">
        <f>ABS(H13/B13-1)</f>
        <v>0.1673035487095449</v>
      </c>
      <c r="Q13" s="21">
        <f>ABS(I13/B13-1)</f>
        <v>0.10982523531582666</v>
      </c>
      <c r="R13" s="21">
        <f>ABS(J13/B13-1)</f>
        <v>0.13352487083923825</v>
      </c>
    </row>
    <row r="14">
      <c r="A14" t="inlineStr">
        <is>
          <t xml:space="preserve">2009/10</t>
        </is>
      </c>
      <c r="B14" s="19">
        <f>Data!E45</f>
        <v>3550.0</v>
      </c>
      <c r="C14" s="19">
        <f>Data!E44</f>
        <v>3224.9999999999973</v>
      </c>
      <c r="D14" s="19">
        <f>EXP((LN(Data!E44)+LN(Data!E43))/2)</f>
        <v>3427.163550226338</v>
      </c>
      <c r="E14" s="19">
        <f>EXP((LN(Data!E44)+LN(Data!E43)+LN(Data!E42))/3)</f>
        <v>3438.0742613049874</v>
      </c>
      <c r="F14" s="19">
        <f>EXP((LN(Data!E44)+LN(Data!E43)+LN(Data!E42)+LN(Data!E41))/4)</f>
        <v>3377.999388823975</v>
      </c>
      <c r="G14" s="20">
        <v>3565.0299455038853</v>
      </c>
      <c r="H14" s="20">
        <v>3694.433408036896</v>
      </c>
      <c r="I14" s="20">
        <v>3759.7914784707586</v>
      </c>
      <c r="J14" s="19">
        <f>SQRT(D14*H14)</f>
        <v>3558.2899705845384</v>
      </c>
      <c r="K14" s="21">
        <f>ABS(C14/B14-1)</f>
        <v>0.09154929577464865</v>
      </c>
      <c r="L14" s="21">
        <f>ABS(D14/B14-1)</f>
        <v>0.03460181683765129</v>
      </c>
      <c r="M14" s="21">
        <f>ABS(E14/B14-1)</f>
        <v>0.03152837709718659</v>
      </c>
      <c r="N14" s="21">
        <f>ABS(F14/B14-1)</f>
        <v>0.048450876387612696</v>
      </c>
      <c r="O14" s="21">
        <f>ABS(G14/B14-1)</f>
        <v>0.004233787465883099</v>
      </c>
      <c r="P14" s="21">
        <f>ABS(H14/B14-1)</f>
        <v>0.04068546705264664</v>
      </c>
      <c r="Q14" s="21">
        <f>ABS(I14/B14-1)</f>
        <v>0.05909619111852349</v>
      </c>
      <c r="R14" s="21">
        <f>ABS(J14/B14-1)</f>
        <v>0.0023352029815602027</v>
      </c>
    </row>
    <row r="15">
      <c r="A15" t="inlineStr">
        <is>
          <t xml:space="preserve">2010/11</t>
        </is>
      </c>
      <c r="B15" s="19">
        <f>Data!E46</f>
        <v>3975.0</v>
      </c>
      <c r="C15" s="19">
        <f>Data!E45</f>
        <v>3549.999999999998</v>
      </c>
      <c r="D15" s="19">
        <f>EXP((LN(Data!E45)+LN(Data!E44))/2)</f>
        <v>3383.600153682463</v>
      </c>
      <c r="E15" s="19">
        <f>EXP((LN(Data!E45)+LN(Data!E44)+LN(Data!E43))/3)</f>
        <v>3467.6293579857074</v>
      </c>
      <c r="F15" s="19">
        <f>EXP((LN(Data!E45)+LN(Data!E44)+LN(Data!E43)+LN(Data!E42))/4)</f>
        <v>3465.7204427931665</v>
      </c>
      <c r="G15" s="20">
        <v>3856.420907842748</v>
      </c>
      <c r="H15" s="20">
        <v>3559.980812885843</v>
      </c>
      <c r="I15" s="20">
        <v>3863.912442684258</v>
      </c>
      <c r="J15" s="19">
        <f>SQRT(D15*H15)</f>
        <v>3470.67019833161</v>
      </c>
      <c r="K15" s="21">
        <f>ABS(C15/B15-1)</f>
        <v>0.10691823899371111</v>
      </c>
      <c r="L15" s="21">
        <f>ABS(D15/B15-1)</f>
        <v>0.1487798355515817</v>
      </c>
      <c r="M15" s="21">
        <f>ABS(E15/B15-1)</f>
        <v>0.12764041308535667</v>
      </c>
      <c r="N15" s="21">
        <f>ABS(F15/B15-1)</f>
        <v>0.12812064332247386</v>
      </c>
      <c r="O15" s="21">
        <f>ABS(G15/B15-1)</f>
        <v>0.02983121815276779</v>
      </c>
      <c r="P15" s="21">
        <f>ABS(H15/B15-1)</f>
        <v>0.10440734267022811</v>
      </c>
      <c r="Q15" s="21">
        <f>ABS(I15/B15-1)</f>
        <v>0.027946555299557696</v>
      </c>
      <c r="R15" s="21">
        <f>ABS(J15/B15-1)</f>
        <v>0.12687542180336853</v>
      </c>
    </row>
    <row r="16">
      <c r="A16" t="inlineStr">
        <is>
          <t xml:space="preserve">2011/12</t>
        </is>
      </c>
      <c r="B16" s="19">
        <f>Data!E47</f>
        <v>5600.0</v>
      </c>
      <c r="C16" s="19">
        <f>Data!E46</f>
        <v>3975.000000000001</v>
      </c>
      <c r="D16" s="19">
        <f>EXP((LN(Data!E46)+LN(Data!E45))/2)</f>
        <v>3756.494376410002</v>
      </c>
      <c r="E16" s="19">
        <f>EXP((LN(Data!E46)+LN(Data!E45)+LN(Data!E44))/3)</f>
        <v>3570.248140838779</v>
      </c>
      <c r="F16" s="19">
        <f>EXP((LN(Data!E46)+LN(Data!E45)+LN(Data!E44)+LN(Data!E43))/4)</f>
        <v>3588.052480589237</v>
      </c>
      <c r="G16" s="20">
        <v>4027.2606507521855</v>
      </c>
      <c r="H16" s="20">
        <v>4049.6613547198986</v>
      </c>
      <c r="I16" s="20">
        <v>4026.8401324846786</v>
      </c>
      <c r="J16" s="19">
        <f>SQRT(D16*H16)</f>
        <v>3900.324358995058</v>
      </c>
      <c r="K16" s="21">
        <f>ABS(C16/B16-1)</f>
        <v>0.2901785714285713</v>
      </c>
      <c r="L16" s="21">
        <f>ABS(D16/B16-1)</f>
        <v>0.3291974327839282</v>
      </c>
      <c r="M16" s="21">
        <f>ABS(E16/B16-1)</f>
        <v>0.3624556891359323</v>
      </c>
      <c r="N16" s="21">
        <f>ABS(F16/B16-1)</f>
        <v>0.359276342751922</v>
      </c>
      <c r="O16" s="21">
        <f>ABS(G16/B16-1)</f>
        <v>0.28084631236568114</v>
      </c>
      <c r="P16" s="21">
        <f>ABS(H16/B16-1)</f>
        <v>0.276846186657161</v>
      </c>
      <c r="Q16" s="21">
        <f>ABS(I16/B16-1)</f>
        <v>0.2809214049134502</v>
      </c>
      <c r="R16" s="21">
        <f>ABS(J16/B16-1)</f>
        <v>0.3035135073223111</v>
      </c>
    </row>
    <row r="17">
      <c r="A17" t="inlineStr">
        <is>
          <t xml:space="preserve">2012/13</t>
        </is>
      </c>
      <c r="B17" s="19">
        <f>Data!E48</f>
        <v>4725.0</v>
      </c>
      <c r="C17" s="19">
        <f>Data!E47</f>
        <v>5600.000000000005</v>
      </c>
      <c r="D17" s="19">
        <f>EXP((LN(Data!E47)+LN(Data!E46))/2)</f>
        <v>4718.050444834183</v>
      </c>
      <c r="E17" s="19">
        <f>EXP((LN(Data!E47)+LN(Data!E46)+LN(Data!E45))/3)</f>
        <v>4291.256797295933</v>
      </c>
      <c r="F17" s="19">
        <f>EXP((LN(Data!E47)+LN(Data!E46)+LN(Data!E45)+LN(Data!E44))/4)</f>
        <v>3995.496991642289</v>
      </c>
      <c r="G17" s="20">
        <v>5052.097968004602</v>
      </c>
      <c r="H17" s="20">
        <v>4840.623947411121</v>
      </c>
      <c r="I17" s="20">
        <v>4396.235537676695</v>
      </c>
      <c r="J17" s="19">
        <f>SQRT(D17*H17)</f>
        <v>4778.944231559727</v>
      </c>
      <c r="K17" s="21">
        <f>ABS(C17/B17-1)</f>
        <v>0.18518518518518623</v>
      </c>
      <c r="L17" s="21">
        <f>ABS(D17/B17-1)</f>
        <v>0.0014708053260988896</v>
      </c>
      <c r="M17" s="21">
        <f>ABS(E17/B17-1)</f>
        <v>0.0917975032177919</v>
      </c>
      <c r="N17" s="21">
        <f>ABS(F17/B17-1)</f>
        <v>0.15439217108099712</v>
      </c>
      <c r="O17" s="21">
        <f>ABS(G17/B17-1)</f>
        <v>0.06922708317557724</v>
      </c>
      <c r="P17" s="21">
        <f>ABS(H17/B17-1)</f>
        <v>0.024470676700766303</v>
      </c>
      <c r="Q17" s="21">
        <f>ABS(I17/B17-1)</f>
        <v>0.06957978038588475</v>
      </c>
      <c r="R17" s="21">
        <f>ABS(J17/B17-1)</f>
        <v>0.011416768584069148</v>
      </c>
    </row>
    <row r="18">
      <c r="A18" t="inlineStr">
        <is>
          <t xml:space="preserve">2013/14</t>
        </is>
      </c>
      <c r="B18" s="19">
        <f>Data!E49</f>
        <v>4400.0</v>
      </c>
      <c r="C18" s="19">
        <f>Data!E48</f>
        <v>4725.000000000002</v>
      </c>
      <c r="D18" s="19">
        <f>EXP((LN(Data!E48)+LN(Data!E47))/2)</f>
        <v>5143.928459844682</v>
      </c>
      <c r="E18" s="19">
        <f>EXP((LN(Data!E48)+LN(Data!E47)+LN(Data!E46))/3)</f>
        <v>4720.365826763885</v>
      </c>
      <c r="F18" s="19">
        <f>EXP((LN(Data!E48)+LN(Data!E47)+LN(Data!E46)+LN(Data!E45))/4)</f>
        <v>4395.809178304025</v>
      </c>
      <c r="G18" s="20">
        <v>5169.729968831999</v>
      </c>
      <c r="H18" s="20">
        <v>5552.301000369688</v>
      </c>
      <c r="I18" s="20">
        <v>5029.928501749428</v>
      </c>
      <c r="J18" s="19">
        <f>SQRT(D18*H18)</f>
        <v>5344.215483438681</v>
      </c>
      <c r="K18" s="21">
        <f>ABS(C18/B18-1)</f>
        <v>0.07386363636363669</v>
      </c>
      <c r="L18" s="21">
        <f>ABS(D18/B18-1)</f>
        <v>0.16907464996470045</v>
      </c>
      <c r="M18" s="21">
        <f>ABS(E18/B18-1)</f>
        <v>0.0728104151736102</v>
      </c>
      <c r="N18" s="21">
        <f>ABS(F18/B18-1)</f>
        <v>0.0009524594763579142</v>
      </c>
      <c r="O18" s="21">
        <f>ABS(G18/B18-1)</f>
        <v>0.1749386292799997</v>
      </c>
      <c r="P18" s="21">
        <f>ABS(H18/B18-1)</f>
        <v>0.26188659099311096</v>
      </c>
      <c r="Q18" s="21">
        <f>ABS(I18/B18-1)</f>
        <v>0.14316556857941531</v>
      </c>
      <c r="R18" s="21">
        <f>ABS(J18/B18-1)</f>
        <v>0.21459442805424578</v>
      </c>
    </row>
    <row r="19">
      <c r="A19" t="inlineStr">
        <is>
          <t xml:space="preserve">2014/15</t>
        </is>
      </c>
      <c r="B19" s="19">
        <f>Data!E50</f>
        <v>5100.0</v>
      </c>
      <c r="C19" s="19">
        <f>Data!E49</f>
        <v>4400.000000000004</v>
      </c>
      <c r="D19" s="19">
        <f>EXP((LN(Data!E49)+LN(Data!E48))/2)</f>
        <v>4559.605246071202</v>
      </c>
      <c r="E19" s="19">
        <f>EXP((LN(Data!E49)+LN(Data!E48)+LN(Data!E47))/3)</f>
        <v>4882.933826638621</v>
      </c>
      <c r="F19" s="19">
        <f>EXP((LN(Data!E49)+LN(Data!E48)+LN(Data!E47)+LN(Data!E46))/4)</f>
        <v>4638.151308387266</v>
      </c>
      <c r="G19" s="20">
        <v>5171.805789197675</v>
      </c>
      <c r="H19" s="20">
        <v>5205.3513089419075</v>
      </c>
      <c r="I19" s="20">
        <v>5433.795831509469</v>
      </c>
      <c r="J19" s="19">
        <f>SQRT(D19*H19)</f>
        <v>4871.790957737731</v>
      </c>
      <c r="K19" s="21">
        <f>ABS(C19/B19-1)</f>
        <v>0.1372549019607836</v>
      </c>
      <c r="L19" s="21">
        <f>ABS(D19/B19-1)</f>
        <v>0.10595975567231342</v>
      </c>
      <c r="M19" s="21">
        <f>ABS(E19/B19-1)</f>
        <v>0.04256199477674094</v>
      </c>
      <c r="N19" s="21">
        <f>ABS(F19/B19-1)</f>
        <v>0.090558566982889</v>
      </c>
      <c r="O19" s="21">
        <f>ABS(G19/B19-1)</f>
        <v>0.014079566509348052</v>
      </c>
      <c r="P19" s="21">
        <f>ABS(H19/B19-1)</f>
        <v>0.020657119400373958</v>
      </c>
      <c r="Q19" s="21">
        <f>ABS(I19/B19-1)</f>
        <v>0.06545016304107243</v>
      </c>
      <c r="R19" s="21">
        <f>ABS(J19/B19-1)</f>
        <v>0.0447468710318174</v>
      </c>
    </row>
    <row r="20">
      <c r="A20" t="inlineStr">
        <is>
          <t xml:space="preserve">2015/16</t>
        </is>
      </c>
      <c r="B20" s="19">
        <f>Data!E51</f>
        <v>5300.0</v>
      </c>
      <c r="C20" s="19">
        <f>Data!E50</f>
        <v>5100.000000000005</v>
      </c>
      <c r="D20" s="19">
        <f>EXP((LN(Data!E50)+LN(Data!E49))/2)</f>
        <v>4737.087712930813</v>
      </c>
      <c r="E20" s="19">
        <f>EXP((LN(Data!E50)+LN(Data!E49)+LN(Data!E48))/3)</f>
        <v>4733.055043260833</v>
      </c>
      <c r="F20" s="19">
        <f>EXP((LN(Data!E50)+LN(Data!E49)+LN(Data!E48)+LN(Data!E47))/4)</f>
        <v>4936.318496949459</v>
      </c>
      <c r="G20" s="20">
        <v>5533.985280954793</v>
      </c>
      <c r="H20" s="20">
        <v>4941.711046440392</v>
      </c>
      <c r="I20" s="20">
        <v>5502.667460521086</v>
      </c>
      <c r="J20" s="19">
        <f>SQRT(D20*H20)</f>
        <v>4838.317752995069</v>
      </c>
      <c r="K20" s="21">
        <f>ABS(C20/B20-1)</f>
        <v>0.03773584905660288</v>
      </c>
      <c r="L20" s="21">
        <f>ABS(D20/B20-1)</f>
        <v>0.10620986548475231</v>
      </c>
      <c r="M20" s="21">
        <f>ABS(E20/B20-1)</f>
        <v>0.10697074655455974</v>
      </c>
      <c r="N20" s="21">
        <f>ABS(F20/B20-1)</f>
        <v>0.06861915151897002</v>
      </c>
      <c r="O20" s="21">
        <f>ABS(G20/B20-1)</f>
        <v>0.04414816621788553</v>
      </c>
      <c r="P20" s="21">
        <f>ABS(H20/B20-1)</f>
        <v>0.06760168935086941</v>
      </c>
      <c r="Q20" s="21">
        <f>ABS(I20/B20-1)</f>
        <v>0.03823914349454438</v>
      </c>
      <c r="R20" s="21">
        <f>ABS(J20/B20-1)</f>
        <v>0.08710985792545867</v>
      </c>
    </row>
    <row r="21">
      <c r="A21" t="inlineStr">
        <is>
          <t xml:space="preserve">2016/17</t>
        </is>
      </c>
      <c r="B21" s="19">
        <f>Data!E52</f>
        <v>7510.0</v>
      </c>
      <c r="C21" s="19">
        <f>Data!E51</f>
        <v>5299.999999999996</v>
      </c>
      <c r="D21" s="19">
        <f>EXP((LN(Data!E51)+LN(Data!E50))/2)</f>
        <v>5199.038372622384</v>
      </c>
      <c r="E21" s="19">
        <f>EXP((LN(Data!E51)+LN(Data!E50)+LN(Data!E49))/3)</f>
        <v>4917.747663616004</v>
      </c>
      <c r="F21" s="19">
        <f>EXP((LN(Data!E51)+LN(Data!E50)+LN(Data!E49)+LN(Data!E48))/4)</f>
        <v>4868.83586068934</v>
      </c>
      <c r="G21" s="20">
        <v>5897.732541811163</v>
      </c>
      <c r="H21" s="20">
        <v>5658.473556465808</v>
      </c>
      <c r="I21" s="20">
        <v>5518.846421184675</v>
      </c>
      <c r="J21" s="19">
        <f>SQRT(D21*H21)</f>
        <v>5423.893541593054</v>
      </c>
      <c r="K21" s="21">
        <f>ABS(C21/B21-1)</f>
        <v>0.29427430093209106</v>
      </c>
      <c r="L21" s="21">
        <f>ABS(D21/B21-1)</f>
        <v>0.30771792641512874</v>
      </c>
      <c r="M21" s="21">
        <f>ABS(E21/B21-1)</f>
        <v>0.3451734136330221</v>
      </c>
      <c r="N21" s="21">
        <f>ABS(F21/B21-1)</f>
        <v>0.3516863035034168</v>
      </c>
      <c r="O21" s="21">
        <f>ABS(G21/B21-1)</f>
        <v>0.21468275075750154</v>
      </c>
      <c r="P21" s="21">
        <f>ABS(H21/B21-1)</f>
        <v>0.24654147051054487</v>
      </c>
      <c r="Q21" s="21">
        <f>ABS(I21/B21-1)</f>
        <v>0.26513363233226694</v>
      </c>
      <c r="R21" s="21">
        <f>ABS(J21/B21-1)</f>
        <v>0.27777715824326854</v>
      </c>
    </row>
    <row r="22">
      <c r="A22" t="inlineStr">
        <is>
          <t xml:space="preserve">2017/18</t>
        </is>
      </c>
      <c r="B22" s="19">
        <f>Data!E53</f>
        <v>7600.0</v>
      </c>
      <c r="C22" s="19">
        <f>Data!E52</f>
        <v>7509.999999999999</v>
      </c>
      <c r="D22" s="19">
        <f>EXP((LN(Data!E52)+LN(Data!E51))/2)</f>
        <v>6308.9618797390085</v>
      </c>
      <c r="E22" s="19">
        <f>EXP((LN(Data!E52)+LN(Data!E51)+LN(Data!E50))/3)</f>
        <v>5877.085301694685</v>
      </c>
      <c r="F22" s="19">
        <f>EXP((LN(Data!E52)+LN(Data!E51)+LN(Data!E50)+LN(Data!E49))/4)</f>
        <v>5466.818617977048</v>
      </c>
      <c r="G22" s="20">
        <v>6881.703655159594</v>
      </c>
      <c r="H22" s="20">
        <v>6766.048187163166</v>
      </c>
      <c r="I22" s="20">
        <v>6116.81657865967</v>
      </c>
      <c r="J22" s="19">
        <f>SQRT(D22*H22)</f>
        <v>6533.5090180767</v>
      </c>
      <c r="K22" s="21">
        <f>ABS(C22/B22-1)</f>
        <v>0.011842105263157987</v>
      </c>
      <c r="L22" s="21">
        <f>ABS(D22/B22-1)</f>
        <v>0.1698734368764463</v>
      </c>
      <c r="M22" s="21">
        <f>ABS(E22/B22-1)</f>
        <v>0.22669930240859415</v>
      </c>
      <c r="N22" s="21">
        <f>ABS(F22/B22-1)</f>
        <v>0.28068176079249363</v>
      </c>
      <c r="O22" s="21">
        <f>ABS(G22/B22-1)</f>
        <v>0.09451267695268506</v>
      </c>
      <c r="P22" s="21">
        <f>ABS(H22/B22-1)</f>
        <v>0.10973050168905707</v>
      </c>
      <c r="Q22" s="21">
        <f>ABS(I22/B22-1)</f>
        <v>0.19515571333425397</v>
      </c>
      <c r="R22" s="21">
        <f>ABS(J22/B22-1)</f>
        <v>0.14032776077938158</v>
      </c>
    </row>
    <row r="23">
      <c r="A23" t="inlineStr">
        <is>
          <t xml:space="preserve">2018/19</t>
        </is>
      </c>
      <c r="B23" s="19">
        <f>Data!E54</f>
        <v>7100.0</v>
      </c>
      <c r="C23" s="19">
        <f>Data!E53</f>
        <v>7600.000000000003</v>
      </c>
      <c r="D23" s="19">
        <f>EXP((LN(Data!E53)+LN(Data!E52))/2)</f>
        <v>7554.865981604168</v>
      </c>
      <c r="E23" s="19">
        <f>EXP((LN(Data!E53)+LN(Data!E52)+LN(Data!E51))/3)</f>
        <v>6712.894156418685</v>
      </c>
      <c r="F23" s="19">
        <f>EXP((LN(Data!E53)+LN(Data!E52)+LN(Data!E51)+LN(Data!E50))/4)</f>
        <v>6267.2193306425415</v>
      </c>
      <c r="G23" s="20">
        <v>7635.769663070811</v>
      </c>
      <c r="H23" s="20">
        <v>7925.217546561956</v>
      </c>
      <c r="I23" s="20">
        <v>7093.094299164842</v>
      </c>
      <c r="J23" s="19">
        <f>SQRT(D23*H23)</f>
        <v>7737.826338147779</v>
      </c>
      <c r="K23" s="21">
        <f>ABS(C23/B23-1)</f>
        <v>0.07042253521126796</v>
      </c>
      <c r="L23" s="21">
        <f>ABS(D23/B23-1)</f>
        <v>0.0640656312118546</v>
      </c>
      <c r="M23" s="21">
        <f>ABS(E23/B23-1)</f>
        <v>0.05452194980018521</v>
      </c>
      <c r="N23" s="21">
        <f>ABS(F23/B23-1)</f>
        <v>0.11729305202217721</v>
      </c>
      <c r="O23" s="21">
        <f>ABS(G23/B23-1)</f>
        <v>0.07546051592546621</v>
      </c>
      <c r="P23" s="21">
        <f>ABS(H23/B23-1)</f>
        <v>0.11622782345943028</v>
      </c>
      <c r="Q23" s="21">
        <f>ABS(I23/B23-1)</f>
        <v>0.0009726339204448875</v>
      </c>
      <c r="R23" s="21">
        <f>ABS(J23/B23-1)</f>
        <v>0.08983469551377166</v>
      </c>
    </row>
    <row r="24">
      <c r="A24" t="inlineStr">
        <is>
          <t xml:space="preserve">2019/20</t>
        </is>
      </c>
      <c r="B24" s="19">
        <f>Data!E55</f>
        <v>5200.0</v>
      </c>
      <c r="C24" s="19">
        <f>Data!E54</f>
        <v>7099.999999999997</v>
      </c>
      <c r="D24" s="19">
        <f>EXP((LN(Data!E54)+LN(Data!E53))/2)</f>
        <v>7345.74706888279</v>
      </c>
      <c r="E24" s="19">
        <f>EXP((LN(Data!E54)+LN(Data!E53)+LN(Data!E52))/3)</f>
        <v>7400.094958606152</v>
      </c>
      <c r="F24" s="19">
        <f>EXP((LN(Data!E54)+LN(Data!E53)+LN(Data!E52)+LN(Data!E51))/4)</f>
        <v>6807.64557213329</v>
      </c>
      <c r="G24" s="20">
        <v>7858.706197931014</v>
      </c>
      <c r="H24" s="20">
        <v>7224.025579635655</v>
      </c>
      <c r="I24" s="20">
        <v>7498.664324718619</v>
      </c>
      <c r="J24" s="19">
        <f>SQRT(D24*H24)</f>
        <v>7284.632092778805</v>
      </c>
      <c r="K24" s="21">
        <f>ABS(C24/B24-1)</f>
        <v>0.36538461538461475</v>
      </c>
      <c r="L24" s="21">
        <f>ABS(D24/B24-1)</f>
        <v>0.41264366709284417</v>
      </c>
      <c r="M24" s="21">
        <f>ABS(E24/B24-1)</f>
        <v>0.42309518434733695</v>
      </c>
      <c r="N24" s="21">
        <f>ABS(F24/B24-1)</f>
        <v>0.30916261002563283</v>
      </c>
      <c r="O24" s="21">
        <f>ABS(G24/B24-1)</f>
        <v>0.5112896534482718</v>
      </c>
      <c r="P24" s="21">
        <f>ABS(H24/B24-1)</f>
        <v>0.38923568839147205</v>
      </c>
      <c r="Q24" s="21">
        <f>ABS(I24/B24-1)</f>
        <v>0.4420508316766576</v>
      </c>
      <c r="R24" s="21">
        <f>ABS(J24/B24-1)</f>
        <v>0.4008907870728471</v>
      </c>
    </row>
    <row r="25">
      <c r="A25" t="inlineStr">
        <is>
          <t xml:space="preserve">2020/21</t>
        </is>
      </c>
      <c r="B25" s="19">
        <f>Data!E56</f>
        <v>6500.0</v>
      </c>
      <c r="C25" s="19">
        <f>Data!E55</f>
        <v>5200.000000000001</v>
      </c>
      <c r="D25" s="19">
        <f>EXP((LN(Data!E55)+LN(Data!E54))/2)</f>
        <v>6076.183012385324</v>
      </c>
      <c r="E25" s="19">
        <f>EXP((LN(Data!E55)+LN(Data!E54)+LN(Data!E53))/3)</f>
        <v>6546.740020627765</v>
      </c>
      <c r="F25" s="19">
        <f>EXP((LN(Data!E55)+LN(Data!E54)+LN(Data!E53)+LN(Data!E52))/4)</f>
        <v>6775.304298573683</v>
      </c>
      <c r="G25" s="20">
        <v>7351.758942286866</v>
      </c>
      <c r="H25" s="20">
        <v>6067.323316503413</v>
      </c>
      <c r="I25" s="20">
        <v>7648.474252655536</v>
      </c>
      <c r="J25" s="19">
        <f>SQRT(D25*H25)</f>
        <v>6071.751548473265</v>
      </c>
      <c r="K25" s="21">
        <f>ABS(C25/B25-1)</f>
        <v>0.19999999999999984</v>
      </c>
      <c r="L25" s="21">
        <f>ABS(D25/B25-1)</f>
        <v>0.06520261347918088</v>
      </c>
      <c r="M25" s="21">
        <f>ABS(E25/B25-1)</f>
        <v>0.007190772404271684</v>
      </c>
      <c r="N25" s="21">
        <f>ABS(F25/B25-1)</f>
        <v>0.04235450747287439</v>
      </c>
      <c r="O25" s="21">
        <f>ABS(G25/B25-1)</f>
        <v>0.13103983727490243</v>
      </c>
      <c r="P25" s="21">
        <f>ABS(H25/B25-1)</f>
        <v>0.06656564361485962</v>
      </c>
      <c r="Q25" s="21">
        <f>ABS(I25/B25-1)</f>
        <v>0.17668834656239008</v>
      </c>
      <c r="R25" s="21">
        <f>ABS(J25/B25-1)</f>
        <v>0.06588437715795925</v>
      </c>
    </row>
    <row r="26">
      <c r="A26" t="inlineStr">
        <is>
          <t xml:space="preserve">2021/22</t>
        </is>
      </c>
      <c r="B26" s="19">
        <f>Data!E57</f>
        <v>4800.0</v>
      </c>
      <c r="C26" s="19">
        <f>Data!E56</f>
        <v>6499.999999999995</v>
      </c>
      <c r="D26" s="19">
        <f>EXP((LN(Data!E56)+LN(Data!E55))/2)</f>
        <v>5813.776741499451</v>
      </c>
      <c r="E26" s="19">
        <f>EXP((LN(Data!E56)+LN(Data!E55)+LN(Data!E54))/3)</f>
        <v>6214.292383084273</v>
      </c>
      <c r="F26" s="19">
        <f>EXP((LN(Data!E56)+LN(Data!E55)+LN(Data!E54)+LN(Data!E53))/4)</f>
        <v>6535.023600417098</v>
      </c>
      <c r="G26" s="20">
        <v>7294.283024616793</v>
      </c>
      <c r="H26" s="20">
        <v>6832.260572356235</v>
      </c>
      <c r="I26" s="20">
        <v>7517.905960616129</v>
      </c>
      <c r="J26" s="19">
        <f>SQRT(D26*H26)</f>
        <v>6302.478687582244</v>
      </c>
      <c r="K26" s="21">
        <f>ABS(C26/B26-1)</f>
        <v>0.35416666666666563</v>
      </c>
      <c r="L26" s="21">
        <f>ABS(D26/B26-1)</f>
        <v>0.21120348781238563</v>
      </c>
      <c r="M26" s="21">
        <f>ABS(E26/B26-1)</f>
        <v>0.29464424647589027</v>
      </c>
      <c r="N26" s="21">
        <f>ABS(F26/B26-1)</f>
        <v>0.3614632500868955</v>
      </c>
      <c r="O26" s="21">
        <f>ABS(G26/B26-1)</f>
        <v>0.5196422967951653</v>
      </c>
      <c r="P26" s="21">
        <f>ABS(H26/B26-1)</f>
        <v>0.4233876192408823</v>
      </c>
      <c r="Q26" s="21">
        <f>ABS(I26/B26-1)</f>
        <v>0.5662304084616936</v>
      </c>
      <c r="R26" s="21">
        <f>ABS(J26/B26-1)</f>
        <v>0.3130163932463008</v>
      </c>
    </row>
    <row r="27">
      <c r="A27" t="inlineStr">
        <is>
          <t xml:space="preserve">2022/23</t>
        </is>
      </c>
      <c r="B27" s="19">
        <f>Data!E58</f>
        <v>5700.0</v>
      </c>
      <c r="C27" s="19">
        <f>Data!E57</f>
        <v>4800.000000000001</v>
      </c>
      <c r="D27" s="19">
        <f>EXP((LN(Data!E57)+LN(Data!E56))/2)</f>
        <v>5585.69601750757</v>
      </c>
      <c r="E27" s="19">
        <f>EXP((LN(Data!E57)+LN(Data!E56)+LN(Data!E55))/3)</f>
        <v>5454.0524806996145</v>
      </c>
      <c r="F27" s="19">
        <f>EXP((LN(Data!E57)+LN(Data!E56)+LN(Data!E55)+LN(Data!E54))/4)</f>
        <v>5825.779883751861</v>
      </c>
      <c r="G27" s="20">
        <v>5859.278174011746</v>
      </c>
      <c r="H27" s="20">
        <v>5486.514430705928</v>
      </c>
      <c r="I27" s="20">
        <v>6151.563738173782</v>
      </c>
      <c r="J27" s="19">
        <f>SQRT(D27*H27)</f>
        <v>5535.883109820136</v>
      </c>
      <c r="K27" s="21">
        <f>ABS(C27/B27-1)</f>
        <v>0.1578947368421051</v>
      </c>
      <c r="L27" s="21">
        <f>ABS(D27/B27-1)</f>
        <v>0.02005333026182976</v>
      </c>
      <c r="M27" s="21">
        <f>ABS(E27/B27-1)</f>
        <v>0.04314868759655888</v>
      </c>
      <c r="N27" s="21">
        <f>ABS(F27/B27-1)</f>
        <v>0.022066646272256296</v>
      </c>
      <c r="O27" s="21">
        <f>ABS(G27/B27-1)</f>
        <v>0.02794353930030624</v>
      </c>
      <c r="P27" s="21">
        <f>ABS(H27/B27-1)</f>
        <v>0.03745360864808278</v>
      </c>
      <c r="Q27" s="21">
        <f>ABS(I27/B27-1)</f>
        <v>0.07922170845154075</v>
      </c>
      <c r="R27" s="21">
        <f>ABS(J27/B27-1)</f>
        <v>0.028792436873660288</v>
      </c>
    </row>
    <row r="28">
      <c r="A28" t="inlineStr">
        <is>
          <t xml:space="preserve">2023/24</t>
        </is>
      </c>
      <c r="B28" s="19">
        <f>Data!E59</f>
        <v>5050.0</v>
      </c>
      <c r="C28" s="19">
        <f>Data!E58</f>
        <v>5699.999999999998</v>
      </c>
      <c r="D28" s="19">
        <f>EXP((LN(Data!E58)+LN(Data!E57))/2)</f>
        <v>5230.678732248813</v>
      </c>
      <c r="E28" s="19">
        <f>EXP((LN(Data!E58)+LN(Data!E57)+LN(Data!E56))/3)</f>
        <v>5623.54036201029</v>
      </c>
      <c r="F28" s="19">
        <f>EXP((LN(Data!E58)+LN(Data!E57)+LN(Data!E56)+LN(Data!E55))/4)</f>
        <v>5514.52612250626</v>
      </c>
      <c r="G28" s="20">
        <v>5356.397089896003</v>
      </c>
      <c r="H28" s="20">
        <v>5189.155743686766</v>
      </c>
      <c r="I28" s="20">
        <v>5878.657023661607</v>
      </c>
      <c r="J28" s="19">
        <f>SQRT(D28*H28)</f>
        <v>5209.875870577838</v>
      </c>
      <c r="K28" s="21">
        <f>ABS(C28/B28-1)</f>
        <v>0.12871287128712838</v>
      </c>
      <c r="L28" s="21">
        <f>ABS(D28/B28-1)</f>
        <v>0.035777966781943116</v>
      </c>
      <c r="M28" s="21">
        <f>ABS(E28/B28-1)</f>
        <v>0.11357234891292856</v>
      </c>
      <c r="N28" s="21">
        <f>ABS(F28/B28-1)</f>
        <v>0.09198537079331892</v>
      </c>
      <c r="O28" s="21">
        <f>ABS(G28/B28-1)</f>
        <v>0.06067269106851558</v>
      </c>
      <c r="P28" s="21">
        <f>ABS(H28/B28-1)</f>
        <v>0.027555592809260565</v>
      </c>
      <c r="Q28" s="21">
        <f>ABS(I28/B28-1)</f>
        <v>0.1640904997349717</v>
      </c>
      <c r="R28" s="21">
        <f>ABS(J28/B28-1)</f>
        <v>0.031658588233235196</v>
      </c>
    </row>
    <row r="29">
      <c r="A29" t="inlineStr">
        <is>
          <t xml:space="preserve">2024/25</t>
        </is>
      </c>
      <c r="B29" s="19">
        <f>Data!E60</f>
        <v>5200.0</v>
      </c>
      <c r="C29" s="19">
        <f>Data!E59</f>
        <v>5049.999999999998</v>
      </c>
      <c r="D29" s="19">
        <f>EXP((LN(Data!E59)+LN(Data!E58))/2)</f>
        <v>5365.165421494479</v>
      </c>
      <c r="E29" s="19">
        <f>EXP((LN(Data!E59)+LN(Data!E58)+LN(Data!E57))/3)</f>
        <v>5169.745419063146</v>
      </c>
      <c r="F29" s="19">
        <f>EXP((LN(Data!E59)+LN(Data!E58)+LN(Data!E57)+LN(Data!E56))/4)</f>
        <v>5474.320334809705</v>
      </c>
      <c r="G29" s="20">
        <v>4617.431834330335</v>
      </c>
      <c r="H29" s="20">
        <v>5011.543633104202</v>
      </c>
      <c r="I29" s="20">
        <v>5344.458458561327</v>
      </c>
      <c r="J29" s="19">
        <f>SQRT(D29*H29)</f>
        <v>5185.340934658157</v>
      </c>
      <c r="K29" s="21">
        <f>ABS(C29/B29-1)</f>
        <v>0.028846153846154188</v>
      </c>
      <c r="L29" s="21">
        <f>ABS(D29/B29-1)</f>
        <v>0.03176258105663066</v>
      </c>
      <c r="M29" s="21">
        <f>ABS(E29/B29-1)</f>
        <v>0.005818188641702693</v>
      </c>
      <c r="N29" s="21">
        <f>ABS(F29/B29-1)</f>
        <v>0.05275391054032785</v>
      </c>
      <c r="O29" s="21">
        <f>ABS(G29/B29-1)</f>
        <v>0.11203233955185865</v>
      </c>
      <c r="P29" s="21">
        <f>ABS(H29/B29-1)</f>
        <v>0.03624160901842266</v>
      </c>
      <c r="Q29" s="21">
        <f>ABS(I29/B29-1)</f>
        <v>0.027780472800255085</v>
      </c>
      <c r="R29" s="21">
        <f>ABS(J29/B29-1)</f>
        <v>0.0028190510272775304</v>
      </c>
    </row>
    <row r="30">
      <c r="A30" t="inlineStr">
        <is>
          <t xml:space="preserve">2025/26</t>
        </is>
      </c>
      <c r="B30" s="19">
        <f>Data!E61</f>
        <v>5530.0</v>
      </c>
      <c r="C30" s="19">
        <f>Data!E60</f>
        <v>5200.000000000001</v>
      </c>
      <c r="D30" s="19">
        <f>EXP((LN(Data!E60)+LN(Data!E59))/2)</f>
        <v>5124.451190127578</v>
      </c>
      <c r="E30" s="19">
        <f>EXP((LN(Data!E60)+LN(Data!E59)+LN(Data!E58))/3)</f>
        <v>5309.535462498769</v>
      </c>
      <c r="F30" s="19">
        <f>EXP((LN(Data!E60)+LN(Data!E59)+LN(Data!E58)+LN(Data!E57))/4)</f>
        <v>5177.292521641735</v>
      </c>
      <c r="G30" s="20">
        <v>4598.234724997297</v>
      </c>
      <c r="H30" s="20">
        <v>5895.3661631545165</v>
      </c>
      <c r="I30" s="20">
        <v>5923.6187368312985</v>
      </c>
      <c r="J30" s="19">
        <f>SQRT(D30*H30)</f>
        <v>5496.409387137663</v>
      </c>
      <c r="K30" s="21">
        <f>ABS(C30/B30-1)</f>
        <v>0.059674502712477207</v>
      </c>
      <c r="L30" s="21">
        <f>ABS(D30/B30-1)</f>
        <v>0.07333613198416311</v>
      </c>
      <c r="M30" s="21">
        <f>ABS(E30/B30-1)</f>
        <v>0.0398670049730977</v>
      </c>
      <c r="N30" s="21">
        <f>ABS(F30/B30-1)</f>
        <v>0.06378073749697377</v>
      </c>
      <c r="O30" s="21">
        <f>ABS(G30/B30-1)</f>
        <v>0.16849281645618497</v>
      </c>
      <c r="P30" s="21">
        <f>ABS(H30/B30-1)</f>
        <v>0.06606983058852012</v>
      </c>
      <c r="Q30" s="21">
        <f>ABS(I30/B30-1)</f>
        <v>0.07117879508703417</v>
      </c>
      <c r="R30" s="21">
        <f>ABS(J30/B30-1)</f>
        <v>0.006074251873840364</v>
      </c>
    </row>
    <row r="31">
      <c r="A31" s="3" t="inlineStr">
        <is>
          <t xml:space="preserve">Mean abs. error</t>
        </is>
      </c>
      <c r="K31" s="22">
        <f>AVERAGE(K5:K30)</f>
        <v>0.14511296645774238</v>
      </c>
      <c r="L31" s="22">
        <f>AVERAGE(L5:L30)</f>
        <v>0.12134963724505327</v>
      </c>
      <c r="M31" s="22">
        <f>AVERAGE(M5:M30)</f>
        <v>0.13103302311269793</v>
      </c>
      <c r="N31" s="22">
        <f>AVERAGE(N5:N30)</f>
        <v>0.13371764817773016</v>
      </c>
      <c r="O31" s="22">
        <f>AVERAGE(O5:O30)</f>
        <v>0.14057085992143092</v>
      </c>
      <c r="P31" s="22">
        <f>AVERAGE(P5:P30)</f>
        <v>0.12464334157694348</v>
      </c>
      <c r="Q31" s="22">
        <f>AVERAGE(Q5:Q30)</f>
        <v>0.14757602957289637</v>
      </c>
      <c r="R31" s="22">
        <f>AVERAGE(R5:R30)</f>
        <v>0.11327105194528553</v>
      </c>
    </row>
    <row r="34">
      <c r="A34" s="3" t="inlineStr">
        <is>
          <t xml:space="preserve">USDA attache first forecast of the coming crop (Coffee Annual, May of year t), 1 000 60-kg bags</t>
        </is>
      </c>
    </row>
    <row r="35">
      <c r="A35" s="5" t="inlineStr">
        <is>
          <t xml:space="preserve">Crop year</t>
        </is>
      </c>
      <c r="B35" s="5" t="inlineStr">
        <is>
          <t xml:space="preserve">USDA May forecast</t>
        </is>
      </c>
      <c r="C35" s="5" t="inlineStr">
        <is>
          <t xml:space="preserve">Actual</t>
        </is>
      </c>
      <c r="D35" s="5" t="inlineStr">
        <is>
          <t xml:space="preserve">Abs. error</t>
        </is>
      </c>
      <c r="E35" s="5" t="inlineStr">
        <is>
          <t xml:space="preserve">Direction right?</t>
        </is>
      </c>
    </row>
    <row r="36">
      <c r="A36" t="inlineStr">
        <is>
          <t xml:space="preserve">2011/12</t>
        </is>
      </c>
      <c r="B36" s="6">
        <v>3900</v>
      </c>
      <c r="C36" s="19">
        <f>Data!E47</f>
        <v>5600.0</v>
      </c>
      <c r="D36" s="21">
        <f>ABS(B36/C36-1)</f>
        <v>0.3035714285714286</v>
      </c>
      <c r="E36" t="str">
        <f>IF((B36&gt;Data!E46)=(C36&gt;Data!E46),"yes","no")</f>
        <v>no</v>
      </c>
    </row>
    <row r="37">
      <c r="A37" t="inlineStr">
        <is>
          <t xml:space="preserve">2012/13</t>
        </is>
      </c>
      <c r="B37" s="6">
        <v>5000</v>
      </c>
      <c r="C37" s="19">
        <f>Data!E48</f>
        <v>4725.0</v>
      </c>
      <c r="D37" s="21">
        <f>ABS(B37/C37-1)</f>
        <v>0.05820105820105814</v>
      </c>
      <c r="E37" t="str">
        <f>IF((B37&gt;Data!E47)=(C37&gt;Data!E47),"yes","no")</f>
        <v>yes</v>
      </c>
    </row>
    <row r="38">
      <c r="A38" t="inlineStr">
        <is>
          <t xml:space="preserve">2013/14</t>
        </is>
      </c>
      <c r="B38" s="6">
        <v>5100</v>
      </c>
      <c r="C38" s="19">
        <f>Data!E49</f>
        <v>4400.0</v>
      </c>
      <c r="D38" s="21">
        <f>ABS(B38/C38-1)</f>
        <v>0.15909090909090917</v>
      </c>
      <c r="E38" t="str">
        <f>IF((B38&gt;Data!E48)=(C38&gt;Data!E48),"yes","no")</f>
        <v>no</v>
      </c>
    </row>
    <row r="39">
      <c r="A39" t="inlineStr">
        <is>
          <t xml:space="preserve">2014/15</t>
        </is>
      </c>
      <c r="B39" s="6">
        <v>5000</v>
      </c>
      <c r="C39" s="19">
        <f>Data!E50</f>
        <v>5100.0</v>
      </c>
      <c r="D39" s="21">
        <f>ABS(B39/C39-1)</f>
        <v>0.019607843137254943</v>
      </c>
      <c r="E39" t="str">
        <f>IF((B39&gt;Data!E49)=(C39&gt;Data!E49),"yes","no")</f>
        <v>yes</v>
      </c>
    </row>
    <row r="40">
      <c r="A40" t="inlineStr">
        <is>
          <t xml:space="preserve">2015/16</t>
        </is>
      </c>
      <c r="B40" s="6">
        <v>5900</v>
      </c>
      <c r="C40" s="19">
        <f>Data!E51</f>
        <v>5300.0</v>
      </c>
      <c r="D40" s="21">
        <f>ABS(B40/C40-1)</f>
        <v>0.1132075471698113</v>
      </c>
      <c r="E40" t="str">
        <f>IF((B40&gt;Data!E50)=(C40&gt;Data!E50),"yes","no")</f>
        <v>yes</v>
      </c>
    </row>
    <row r="41">
      <c r="A41" t="inlineStr">
        <is>
          <t xml:space="preserve">2016/17</t>
        </is>
      </c>
      <c r="B41" s="6">
        <v>6100</v>
      </c>
      <c r="C41" s="19">
        <f>Data!E52</f>
        <v>7510.0</v>
      </c>
      <c r="D41" s="21">
        <f>ABS(B41/C41-1)</f>
        <v>0.18774966711051932</v>
      </c>
      <c r="E41" t="str">
        <f>IF((B41&gt;Data!E51)=(C41&gt;Data!E51),"yes","no")</f>
        <v>yes</v>
      </c>
    </row>
    <row r="42">
      <c r="A42" t="inlineStr">
        <is>
          <t xml:space="preserve">2017/18</t>
        </is>
      </c>
      <c r="B42" s="6">
        <v>6500</v>
      </c>
      <c r="C42" s="19">
        <f>Data!E53</f>
        <v>7600.0</v>
      </c>
      <c r="D42" s="21">
        <f>ABS(B42/C42-1)</f>
        <v>0.14473684210526316</v>
      </c>
      <c r="E42" t="str">
        <f>IF((B42&gt;Data!E52)=(C42&gt;Data!E52),"yes","no")</f>
        <v>no</v>
      </c>
    </row>
    <row r="43">
      <c r="A43" t="inlineStr">
        <is>
          <t xml:space="preserve">2018/19</t>
        </is>
      </c>
      <c r="B43" s="6">
        <v>7300</v>
      </c>
      <c r="C43" s="19">
        <f>Data!E54</f>
        <v>7100.0</v>
      </c>
      <c r="D43" s="21">
        <f>ABS(B43/C43-1)</f>
        <v>0.028169014084507005</v>
      </c>
      <c r="E43" t="str">
        <f>IF((B43&gt;Data!E53)=(C43&gt;Data!E53),"yes","no")</f>
        <v>yes</v>
      </c>
    </row>
    <row r="44">
      <c r="A44" t="inlineStr">
        <is>
          <t xml:space="preserve">2020/21</t>
        </is>
      </c>
      <c r="B44" s="6">
        <v>6100</v>
      </c>
      <c r="C44" s="19">
        <f>Data!E56</f>
        <v>6500.0</v>
      </c>
      <c r="D44" s="21">
        <f>ABS(B44/C44-1)</f>
        <v>0.06153846153846154</v>
      </c>
      <c r="E44" t="str">
        <f>IF((B44&gt;Data!E55)=(C44&gt;Data!E55),"yes","no")</f>
        <v>yes</v>
      </c>
    </row>
    <row r="45">
      <c r="A45" t="inlineStr">
        <is>
          <t xml:space="preserve">2021/22</t>
        </is>
      </c>
      <c r="B45" s="6">
        <v>5500</v>
      </c>
      <c r="C45" s="19">
        <f>Data!E57</f>
        <v>4800.0</v>
      </c>
      <c r="D45" s="21">
        <f>ABS(B45/C45-1)</f>
        <v>0.14583333333333326</v>
      </c>
      <c r="E45" t="str">
        <f>IF((B45&gt;Data!E56)=(C45&gt;Data!E56),"yes","no")</f>
        <v>yes</v>
      </c>
    </row>
    <row r="46">
      <c r="A46" t="inlineStr">
        <is>
          <t xml:space="preserve">2025/26</t>
        </is>
      </c>
      <c r="B46" s="6">
        <v>5800</v>
      </c>
      <c r="C46" s="19">
        <f>Data!E61</f>
        <v>5530.0</v>
      </c>
      <c r="D46" s="21">
        <f>ABS(B46/C46-1)</f>
        <v>0.0488245931283906</v>
      </c>
      <c r="E46" t="str">
        <f>IF((B46&gt;Data!E60)=(C46&gt;Data!E60),"yes","no")</f>
        <v>yes</v>
      </c>
    </row>
    <row r="47">
      <c r="A47" s="3" t="inlineStr">
        <is>
          <t xml:space="preserve">Mean abs. error</t>
        </is>
      </c>
      <c r="D47" s="22">
        <f>AVERAGE(D36:D46)</f>
        <v>0.1155027906791761</v>
      </c>
    </row>
    <row r="48">
      <c r="A48" t="inlineStr">
        <is>
          <t xml:space="preserve">Same 11 years, best simple method (average of last 2 years)</t>
        </is>
      </c>
      <c r="D48" s="17">
        <v>0.1457556124555412</v>
      </c>
    </row>
    <row r="50">
      <c r="A50" s="4" t="inlineStr">
        <is>
          <t xml:space="preserve">Not used: 2019 (report not found); May 2022, 2023, 2024 reports forecast the crop then being harvested, not the next one.</t>
        </is>
      </c>
    </row>
    <row r="51">
      <c r="A51" s="4" t="inlineStr">
        <is>
          <t xml:space="preserve">Reading: every method misses by 12-15 % on average; the USDA May forecast (field information: flowering, rust surveys, IHCAFE) does best at 11.6 %. Price and rain add nothing out of sample. The edge is in-season tracking (exports, fertiliser, rust bulletins), not a better formula.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58" customWidth="1"/>
    <col min="2" max="2" width="16" customWidth="1"/>
    <col min="3" max="3" width="16" customWidth="1"/>
    <col min="4" max="4" width="11" customWidth="1"/>
    <col min="5" max="5" width="32" customWidth="1"/>
    <col min="6" max="6" width="110" customWidth="1"/>
  </cols>
  <sheetData>
    <row r="1">
      <c r="A1" s="1" t="inlineStr">
        <is>
          <t xml:space="preserve">What the 2025/26 exports say about the 2025/26 crop</t>
        </is>
      </c>
    </row>
    <row r="2">
      <c r="A2" s="2" t="inlineStr">
        <is>
          <t xml:space="preserve">Export volumes in quintales (bags of 46 kg), as IHCAFE and the press give them. 1 bag of 60 kg = 60/46 quintales. Crop year from 1 October.</t>
        </is>
      </c>
    </row>
    <row r="4">
      <c r="A4" s="5" t="inlineStr">
        <is>
          <t xml:space="preserve">Cumulative exports to</t>
        </is>
      </c>
      <c r="B4" s="5" t="inlineStr">
        <is>
          <t xml:space="preserve">2025/26 (quintales)</t>
        </is>
      </c>
      <c r="C4" s="5" t="inlineStr">
        <is>
          <t xml:space="preserve">2024/25 same date</t>
        </is>
      </c>
      <c r="D4" s="5" t="inlineStr">
        <is>
          <t xml:space="preserve">Change</t>
        </is>
      </c>
      <c r="E4" s="5" t="inlineStr">
        <is>
          <t xml:space="preserve">Source (read, raw/coffee_zones/)</t>
        </is>
      </c>
      <c r="F4" s="5" t="inlineStr">
        <is>
          <t xml:space="preserve">Quote</t>
        </is>
      </c>
    </row>
    <row r="5">
      <c r="A5" t="inlineStr">
        <is>
          <t xml:space="preserve">31 Oct 2025</t>
        </is>
      </c>
      <c r="B5" s="6">
        <v>51183.91</v>
      </c>
      <c r="C5" s="19">
        <f>B5-28603.67</f>
        <v>22580.240000000005</v>
      </c>
      <c r="D5" s="21">
        <f>B5/C5-1</f>
        <v>1.2667566863771151</v>
      </c>
      <c r="E5" s="15" t="inlineStr">
        <is>
          <t xml:space="preserve">press/01 La Prensa 5 Nov 2025</t>
        </is>
      </c>
      <c r="F5" t="inlineStr">
        <is>
          <t xml:space="preserve">51,183.91 sacos de 46 kilogramos durante octubre ... alza interanual del 126.7%, equivalente a 28,603.67 sacos más</t>
        </is>
      </c>
    </row>
    <row r="6">
      <c r="A6" t="inlineStr">
        <is>
          <t xml:space="preserve">3 Mar 2026</t>
        </is>
      </c>
      <c r="B6" s="6">
        <v>3023652</v>
      </c>
      <c r="C6" s="6">
        <v>1918225</v>
      </c>
      <c r="D6" s="21">
        <f>B6/C6-1</f>
        <v>0.5762759843084102</v>
      </c>
      <c r="E6" s="15" t="inlineStr">
        <is>
          <t xml:space="preserve">press/02 La Prensa 4 Mar 2026</t>
        </is>
      </c>
      <c r="F6" t="inlineStr">
        <is>
          <t xml:space="preserve">3,023,652 sacos (de 46 kilogramos) ... 57.6% ... cuando envió al exterior 1,918,225 sacos</t>
        </is>
      </c>
    </row>
    <row r="7">
      <c r="A7" t="inlineStr">
        <is>
          <t xml:space="preserve">30 Apr 2026</t>
        </is>
      </c>
      <c r="B7" s="6">
        <v>4970000</v>
      </c>
      <c r="C7" s="6">
        <v>3600000</v>
      </c>
      <c r="D7" s="21">
        <f>B7/C7-1</f>
        <v>0.38055555555555554</v>
      </c>
      <c r="E7" s="15" t="inlineStr">
        <is>
          <t xml:space="preserve">press/06 El Heraldo 4 May 2026</t>
        </is>
      </c>
      <c r="F7" t="inlineStr">
        <is>
          <t xml:space="preserve">4.97 millones de sacos de 46 kilogramos ... comparado a los 3.60 millones de sacos registrados durante el período 2024-2025</t>
        </is>
      </c>
    </row>
    <row r="8">
      <c r="A8" t="inlineStr">
        <is>
          <t xml:space="preserve">1 Jul 2026</t>
        </is>
      </c>
      <c r="B8" s="6">
        <v>6663920</v>
      </c>
      <c r="C8" s="6">
        <v>5773579</v>
      </c>
      <c r="D8" s="21">
        <f>B8/C8-1</f>
        <v>0.15420954662610487</v>
      </c>
      <c r="E8" s="15" t="inlineStr">
        <is>
          <t xml:space="preserve">press/03 La Prensa 3 Jul 2026</t>
        </is>
      </c>
      <c r="F8" t="inlineStr">
        <is>
          <t xml:space="preserve">se exportaron 6,663,920 sacos de 46 kilogramos ... cuando se exportaron 5,773,579 sacos</t>
        </is>
      </c>
    </row>
    <row r="9">
      <c r="A9" t="inlineStr">
        <is>
          <t xml:space="preserve">14 Jul 2026</t>
        </is>
      </c>
      <c r="B9" s="6">
        <v>6853390.59</v>
      </c>
      <c r="C9" s="6">
        <v>5510000</v>
      </c>
      <c r="D9" s="21">
        <f>B9/C9-1</f>
        <v>0.24380954446460978</v>
      </c>
      <c r="E9" s="15" t="inlineStr">
        <is>
          <t xml:space="preserve">press/04 La Prensa 15 Jul 2026</t>
        </is>
      </c>
      <c r="F9" t="inlineStr">
        <is>
          <t xml:space="preserve">se exportaron 6,853,390.59 quintales de 46 kilogramos ... comparado con 5.51 millones registrados en igual período de 2024-2025</t>
        </is>
      </c>
    </row>
    <row r="11">
      <c r="A11" s="3" t="inlineStr">
        <is>
          <t xml:space="preserve">2024/25 full season (quintales)</t>
        </is>
      </c>
      <c r="B11" s="6">
        <v>6117313.13</v>
      </c>
      <c r="E11" s="15" t="inlineStr">
        <is>
          <t xml:space="preserve">press/04 La Prensa 15 Jul 2026</t>
        </is>
      </c>
    </row>
    <row r="12">
      <c r="A12" t="inlineStr">
        <is>
          <t xml:space="preserve">Still to ship at 14 July (sales registered), quintales</t>
        </is>
      </c>
      <c r="B12" s="6">
        <v>290000</v>
      </c>
      <c r="E12" s="15" t="inlineStr">
        <is>
          <t xml:space="preserve">press/04</t>
        </is>
      </c>
    </row>
    <row r="13">
      <c r="A13" t="inlineStr">
        <is>
          <t xml:space="preserve">Expected July and August shipments, upper case, each month</t>
        </is>
      </c>
      <c r="B13" s="6">
        <v>340000</v>
      </c>
      <c r="E13" s="15" t="inlineStr">
        <is>
          <t xml:space="preserve">press/03 (310 000 - 340 000)</t>
        </is>
      </c>
    </row>
    <row r="15">
      <c r="A15" s="5" t="inlineStr">
        <is>
          <t xml:space="preserve">Full-year 2025/26 exports</t>
        </is>
      </c>
      <c r="B15" s="5" t="inlineStr">
        <is>
          <t xml:space="preserve">Quintales</t>
        </is>
      </c>
      <c r="C15" s="5" t="inlineStr">
        <is>
          <t xml:space="preserve">1 000 60-kg bags</t>
        </is>
      </c>
      <c r="D15" s="5" t="inlineStr">
        <is>
          <t xml:space="preserve">vs 2024/25</t>
        </is>
      </c>
    </row>
    <row r="16">
      <c r="A16" t="inlineStr">
        <is>
          <t xml:space="preserve">Low: to 14 July + still to ship</t>
        </is>
      </c>
      <c r="B16" s="19">
        <f>B9+B12</f>
        <v>7143390.59</v>
      </c>
      <c r="C16" s="19">
        <f>B16*46/60/1000</f>
        <v>5476.599452333333</v>
      </c>
      <c r="D16" s="21">
        <f>B16/B$11-1</f>
        <v>0.16773335583689497</v>
      </c>
    </row>
    <row r="17">
      <c r="A17" t="inlineStr">
        <is>
          <t xml:space="preserve">High: to 1 July + July + August at the upper case</t>
        </is>
      </c>
      <c r="B17" s="19">
        <f>B8+2*B13</f>
        <v>7343920</v>
      </c>
      <c r="C17" s="19">
        <f>B17*46/60/1000</f>
        <v>5630.3386666666665</v>
      </c>
      <c r="D17" s="21">
        <f>B17/B$11-1</f>
        <v>0.20051399101749112</v>
      </c>
    </row>
    <row r="18">
      <c r="A18" s="3" t="inlineStr">
        <is>
          <t xml:space="preserve">Middle</t>
        </is>
      </c>
      <c r="B18" s="19">
        <f>AVERAGE(B16:B17)</f>
        <v>7243655.295</v>
      </c>
      <c r="C18" s="19">
        <f>B18*46/60/1000</f>
        <v>5553.469059499999</v>
      </c>
      <c r="D18" s="21">
        <f>B18/B$11-1</f>
        <v>0.18412367342719294</v>
      </c>
    </row>
    <row r="20">
      <c r="A20" s="5" t="inlineStr">
        <is>
          <t xml:space="preserve">2025/26 production implied (1 000 60-kg bags)</t>
        </is>
      </c>
      <c r="B20" s="5" t="inlineStr">
        <is>
          <t xml:space="preserve">Value</t>
        </is>
      </c>
      <c r="C20" s="5" t="inlineStr">
        <is>
          <t xml:space="preserve">How</t>
        </is>
      </c>
    </row>
    <row r="21">
      <c r="A21" t="inlineStr">
        <is>
          <t xml:space="preserve">USDA domestic consumption 2025/26</t>
        </is>
      </c>
      <c r="B21" s="6">
        <v>380</v>
      </c>
    </row>
    <row r="22">
      <c r="A22" t="inlineStr">
        <is>
          <t xml:space="preserve">Stock change assumed (0 = everything exported or used came from the crop)</t>
        </is>
      </c>
      <c r="B22" s="6">
        <v>0</v>
      </c>
    </row>
    <row r="23">
      <c r="A23" t="inlineStr">
        <is>
          <t xml:space="preserve">A. Balance: exports + domestic use + stock change</t>
        </is>
      </c>
      <c r="B23" s="19">
        <f>C18+B21+B22</f>
        <v>5933.469059499999</v>
      </c>
    </row>
    <row r="24">
      <c r="A24" t="inlineStr">
        <is>
          <t xml:space="preserve">B. USDA 2024/25 production x IHCAFE export growth</t>
        </is>
      </c>
      <c r="B24" s="19">
        <f>Data!E60*B18/B11</f>
        <v>6157.443101821404</v>
      </c>
    </row>
    <row r="25">
      <c r="A25" s="3" t="inlineStr">
        <is>
          <t xml:space="preserve">Export-implied 2025/26 production (average of A and B)</t>
        </is>
      </c>
      <c r="B25" s="23">
        <f>AVERAGE(B23:B24)</f>
        <v>6045.456080660701</v>
      </c>
    </row>
    <row r="26">
      <c r="A26" t="inlineStr">
        <is>
          <t xml:space="preserve">USDA estimate of 2025/26 production (May 2026)</t>
        </is>
      </c>
      <c r="B26" s="19">
        <f>Data!E61</f>
        <v>5530.0</v>
      </c>
    </row>
    <row r="27">
      <c r="A27" s="3" t="inlineStr">
        <is>
          <t xml:space="preserve">Export-implied minus USDA</t>
        </is>
      </c>
      <c r="B27" s="22">
        <f>B25/B26-1</f>
        <v>0.093210864495606</v>
      </c>
    </row>
    <row r="28">
      <c r="A28" t="inlineStr">
        <is>
          <t xml:space="preserve">USDA export estimate 2025/26 (1 000 bags) and change on 2024/25</t>
        </is>
      </c>
      <c r="B28" s="6">
        <v>5028</v>
      </c>
      <c r="C28" s="21">
        <f>B28/4958-1</f>
        <v>0.014118596208148482</v>
      </c>
    </row>
    <row r="30">
      <c r="A30" s="5" t="inlineStr">
        <is>
          <t xml:space="preserve">Share of the year shipped by the end of month</t>
        </is>
      </c>
      <c r="B30" s="5" t="inlineStr">
        <is>
          <t xml:space="preserve">2020/21</t>
        </is>
      </c>
      <c r="C30" s="5" t="inlineStr">
        <is>
          <t xml:space="preserve">2021/22</t>
        </is>
      </c>
    </row>
    <row r="31">
      <c r="A31" t="inlineStr">
        <is>
          <t xml:space="preserve">Oct</t>
        </is>
      </c>
      <c r="B31" s="21">
        <v>0.0034751815921145383</v>
      </c>
      <c r="C31" s="21">
        <v>0.01708891345917887</v>
      </c>
    </row>
    <row r="32">
      <c r="A32" t="inlineStr">
        <is>
          <t xml:space="preserve">Nov</t>
        </is>
      </c>
      <c r="B32" s="21">
        <v>0.012933600153995407</v>
      </c>
      <c r="C32" s="21">
        <v>0.039202735501200264</v>
      </c>
    </row>
    <row r="33">
      <c r="A33" t="inlineStr">
        <is>
          <t xml:space="preserve">Dec</t>
        </is>
      </c>
      <c r="B33" s="21">
        <v>0.04740589056236258</v>
      </c>
      <c r="C33" s="21">
        <v>0.10228798499168675</v>
      </c>
    </row>
    <row r="34">
      <c r="A34" t="inlineStr">
        <is>
          <t xml:space="preserve">Jan</t>
        </is>
      </c>
      <c r="B34" s="21">
        <v>0.12666006455120982</v>
      </c>
      <c r="C34" s="21">
        <v>0.21003207454772702</v>
      </c>
    </row>
    <row r="35">
      <c r="A35" t="inlineStr">
        <is>
          <t xml:space="preserve">Feb</t>
        </is>
      </c>
      <c r="B35" s="21">
        <v>0.2359272696796503</v>
      </c>
      <c r="C35" s="21">
        <v>0.31693764012419856</v>
      </c>
    </row>
    <row r="36">
      <c r="A36" t="inlineStr">
        <is>
          <t xml:space="preserve">Mar</t>
        </is>
      </c>
      <c r="B36" s="21">
        <v>0.37341720780026033</v>
      </c>
      <c r="C36" s="21">
        <v>0.47335276895690737</v>
      </c>
    </row>
    <row r="37">
      <c r="A37" t="inlineStr">
        <is>
          <t xml:space="preserve">Apr</t>
        </is>
      </c>
      <c r="B37" s="21">
        <v>0.5010954644215568</v>
      </c>
      <c r="C37" s="21">
        <v>0.5976053790755979</v>
      </c>
    </row>
    <row r="38">
      <c r="A38" t="inlineStr">
        <is>
          <t xml:space="preserve">May</t>
        </is>
      </c>
      <c r="B38" s="21">
        <v>0.6430033418059837</v>
      </c>
      <c r="C38" s="21">
        <v>0.7088350977871397</v>
      </c>
    </row>
    <row r="39">
      <c r="A39" t="inlineStr">
        <is>
          <t xml:space="preserve">Jun</t>
        </is>
      </c>
      <c r="B39" s="21">
        <v>0.7761761108789477</v>
      </c>
      <c r="C39" s="21">
        <v>0.8286938884426731</v>
      </c>
    </row>
    <row r="40">
      <c r="A40" t="inlineStr">
        <is>
          <t xml:space="preserve">Jul</t>
        </is>
      </c>
      <c r="B40" s="21">
        <v>0.8887956575872933</v>
      </c>
      <c r="C40" s="21">
        <v>0.9117930960877634</v>
      </c>
    </row>
    <row r="41">
      <c r="A41" t="inlineStr">
        <is>
          <t xml:space="preserve">Aug</t>
        </is>
      </c>
      <c r="B41" s="21">
        <v>0.9599792033519753</v>
      </c>
      <c r="C41" s="21">
        <v>0.9639639280820701</v>
      </c>
    </row>
    <row r="42">
      <c r="A42" t="inlineStr">
        <is>
          <t xml:space="preserve">Sep</t>
        </is>
      </c>
      <c r="B42" s="21">
        <v>1.0</v>
      </c>
      <c r="C42" s="21">
        <v>1.0</v>
      </c>
    </row>
    <row r="43">
      <c r="A43" s="2" t="inlineStr">
        <is>
          <t xml:space="preserve">IHCAFE bulletins 30-08-2022 and 07-02-2023 (monthly exports, read). In 2025/26, 3 March already held about 42 % of the middle full-year figure, against 24-32 % by end February in 2020/21-2021/22: a front-loaded year.</t>
        </is>
      </c>
    </row>
    <row r="45">
      <c r="A45" s="4" t="inlineStr">
        <is>
          <t xml:space="preserve">The 2024/25 comparisons in the press do not all agree (5 773 579 by 1 July in one article, 5.51 M by 14 July in another); the 2025/26 figures are used, the 2024/25 total (6 117 313) only as the base.</t>
        </is>
      </c>
    </row>
    <row r="46">
      <c r="A46" s="4" t="inlineStr">
        <is>
          <t xml:space="preserve">The pace was front-loaded: +127 % in October, +58 % to 3 March, +38 % to 30 April, +24 % to 14 July. Growers sold faster at record prices, so early-season growth overstated the crop. Do not extrapolate the Oct-Dec 2026 pace for 2026/27 either.</t>
        </is>
      </c>
    </row>
    <row r="47">
      <c r="A47" s="4" t="inlineStr">
        <is>
          <t xml:space="preserve">Low case = exports to 14 July + the 290 000 quintales still to ship (sales already registered). High case = exports to 1 July + 340 000 in July and in August. September shipments and stocks carried in from 2024/25 are not measured; coffee crossing from neighbouring countries is not measured either.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58" customWidth="1"/>
    <col min="2" max="2" width="16" customWidth="1"/>
    <col min="3" max="3" width="18" customWidth="1"/>
    <col min="4" max="4" width="16" customWidth="1"/>
    <col min="5" max="5" width="46" customWidth="1"/>
    <col min="6" max="6" width="36" customWidth="1"/>
  </cols>
  <sheetData>
    <row r="1">
      <c r="A1" s="1" t="inlineStr">
        <is>
          <t xml:space="preserve">Crop 2026/27 (harvest Nov 2026 - Mar 2027): scorecard and range</t>
        </is>
      </c>
    </row>
    <row r="2">
      <c r="A2" s="2" t="inlineStr">
        <is>
          <t xml:space="preserve">Each line: the 2026 value, what history says it does, and the direction for 2026/27. Production in 1 000 60-kg bags.</t>
        </is>
      </c>
    </row>
    <row r="4">
      <c r="A4" s="5" t="inlineStr">
        <is>
          <t xml:space="preserve">Driver</t>
        </is>
      </c>
      <c r="B4" s="5" t="inlineStr">
        <is>
          <t xml:space="preserve">2025 (or before)</t>
        </is>
      </c>
      <c r="C4" s="5" t="inlineStr">
        <is>
          <t xml:space="preserve">2026</t>
        </is>
      </c>
      <c r="D4" s="5" t="inlineStr">
        <is>
          <t xml:space="preserve">Change</t>
        </is>
      </c>
      <c r="E4" s="5" t="inlineStr">
        <is>
          <t xml:space="preserve">Evidence (this workbook)</t>
        </is>
      </c>
      <c r="F4" s="5" t="inlineStr">
        <is>
          <t xml:space="preserve">Direction for 2026/27</t>
        </is>
      </c>
    </row>
    <row r="5">
      <c r="A5" t="inlineStr">
        <is>
          <t xml:space="preserve">World arabica, US$/kg (World Bank, 2026 = Jan-Aug)</t>
        </is>
      </c>
      <c r="B5" s="12">
        <f>Data!H61</f>
        <v>8.47</v>
      </c>
      <c r="C5" s="12">
        <f>Data!H62</f>
        <v>7.42375</v>
      </c>
      <c r="D5" s="21">
        <f>C5/B5-1</f>
        <v>-0.12352420306965772</v>
      </c>
      <c r="E5" t="inlineStr">
        <is>
          <t xml:space="preserve">price change alone: weak (Tests); still 32 % above 2024</t>
        </is>
      </c>
      <c r="F5" s="16" t="inlineStr">
        <is>
          <t xml:space="preserve">neutral to slightly negative</t>
        </is>
      </c>
    </row>
    <row r="6">
      <c r="A6" t="inlineStr">
        <is>
          <t xml:space="preserve">Urea, US$/t</t>
        </is>
      </c>
      <c r="B6" s="12">
        <f>Data!I61</f>
        <v>422.6583333333333</v>
      </c>
      <c r="C6" s="12">
        <f>Data!I62</f>
        <v>560.4375</v>
      </c>
      <c r="D6" s="21">
        <f>C6/B6-1</f>
        <v>0.32598237346950865</v>
      </c>
      <c r="E6" t="inlineStr">
        <is>
          <t xml:space="preserve">fertiliser is the tightest link (Fertiliser)</t>
        </is>
      </c>
      <c r="F6" s="16" t="inlineStr">
        <is>
          <t xml:space="preserve">negative: dearer nitrogen</t>
        </is>
      </c>
    </row>
    <row r="7">
      <c r="A7" t="inlineStr">
        <is>
          <t xml:space="preserve">kg urea bought by 1 kg coffee</t>
        </is>
      </c>
      <c r="B7" s="12">
        <f>Data!J61</f>
        <v>20.03982728366096</v>
      </c>
      <c r="C7" s="12">
        <f>Data!J62</f>
        <v>13.246347719415635</v>
      </c>
      <c r="D7" s="21">
        <f>C7/B7-1</f>
        <v>-0.3389989079289242</v>
      </c>
      <c r="E7" t="inlineStr">
        <is>
          <t xml:space="preserve">back to the 2014-2015 level (12.7-14.3)</t>
        </is>
      </c>
      <c r="F7" s="16" t="inlineStr">
        <is>
          <t xml:space="preserve">negative vs 2025, normal vs history</t>
        </is>
      </c>
    </row>
    <row r="8">
      <c r="A8" t="inlineStr">
        <is>
          <t xml:space="preserve">Max. temperature Sep 2026 (1-18), coffee zones, deg C vs normal</t>
        </is>
      </c>
      <c r="C8" s="7">
        <v>2.03</v>
      </c>
      <c r="E8" t="inlineStr">
        <is>
          <t xml:space="preserve">Sep-Oct heat: r = -0.45 with output (exploratory); hottest September since 1981</t>
        </is>
      </c>
      <c r="F8" s="24" t="inlineStr">
        <is>
          <t xml:space="preserve">negative: heat before harvest</t>
        </is>
      </c>
    </row>
    <row r="9">
      <c r="A9" t="inlineStr">
        <is>
          <t xml:space="preserve">Rain Jun - Aug 2026 / normal (GPCC, 3 towns)</t>
        </is>
      </c>
      <c r="C9" s="7">
        <v>0.55</v>
      </c>
      <c r="E9" t="inlineStr">
        <is>
          <t xml:space="preserve">Jun-Oct rain: no reliable link; 2026 is the driest Jun-Aug since 1981</t>
        </is>
      </c>
      <c r="F9" s="24" t="inlineStr">
        <is>
          <t xml:space="preserve">downside risk, size unknown</t>
        </is>
      </c>
    </row>
    <row r="10">
      <c r="A10" t="inlineStr">
        <is>
          <t xml:space="preserve">Rain Dec 2025 - Mar 2026 / normal</t>
        </is>
      </c>
      <c r="C10" s="7">
        <v>1.43</v>
      </c>
      <c r="E10" t="inlineStr">
        <is>
          <t xml:space="preserve">only rain window with a hint (p = 0.02 alone, not robust)</t>
        </is>
      </c>
      <c r="F10" s="15" t="inlineStr">
        <is>
          <t xml:space="preserve">positive: moisture before flowering</t>
        </is>
      </c>
    </row>
    <row r="11">
      <c r="A11" t="inlineStr">
        <is>
          <t xml:space="preserve">Rust, national average incidence % (IHCAFE, end Jan 2026)</t>
        </is>
      </c>
      <c r="B11" s="7">
        <v>7.57</v>
      </c>
      <c r="C11" s="7">
        <v>8.44</v>
      </c>
      <c r="E11" t="inlineStr">
        <is>
          <t xml:space="preserve">2012/13: rust on 25 % of the area, output -16 %</t>
        </is>
      </c>
      <c r="F11" s="16" t="inlineStr">
        <is>
          <t xml:space="preserve">mild negative (yellow alert, level 4)</t>
        </is>
      </c>
    </row>
    <row r="12">
      <c r="A12" t="inlineStr">
        <is>
          <t xml:space="preserve">ONI Jun-Aug 2026 (NOAA): very strong El Nino forecast for Oct-Dec</t>
        </is>
      </c>
      <c r="C12" s="7">
        <v>1.8</v>
      </c>
      <c r="E12" t="inlineStr">
        <is>
          <t xml:space="preserve">ONI: no link to national output 1982-2025</t>
        </is>
      </c>
      <c r="F12" s="16" t="inlineStr">
        <is>
          <t xml:space="preserve">through heat, not rain; main risk also for 2027/28 flowering</t>
        </is>
      </c>
    </row>
    <row r="13">
      <c r="A13" t="inlineStr">
        <is>
          <t xml:space="preserve">Export revenue 2025/26 to 14 July, US$ million</t>
        </is>
      </c>
      <c r="C13" s="6">
        <v>2158.5</v>
      </c>
      <c r="E13" t="inlineStr">
        <is>
          <t xml:space="preserve">nitrogen follows the export price of the crop before (r = +0.47, p = 0.06)</t>
        </is>
      </c>
      <c r="F13" s="15" t="inlineStr">
        <is>
          <t xml:space="preserve">positive: cash for fertiliser and harvest labour</t>
        </is>
      </c>
    </row>
    <row r="15">
      <c r="A15" s="3" t="inlineStr">
        <is>
          <t xml:space="preserve">Model inputs</t>
        </is>
      </c>
    </row>
    <row r="16">
      <c r="A16" s="5" t="inlineStr">
        <is>
          <t xml:space="preserve">Input</t>
        </is>
      </c>
      <c r="B16" s="5" t="inlineStr">
        <is>
          <t xml:space="preserve">Value</t>
        </is>
      </c>
      <c r="C16" s="5" t="inlineStr">
        <is>
          <t xml:space="preserve">Source</t>
        </is>
      </c>
    </row>
    <row r="17">
      <c r="A17" t="inlineStr">
        <is>
          <t xml:space="preserve">USDA production 2025/26</t>
        </is>
      </c>
      <c r="B17" s="19">
        <f>Data!E61</f>
        <v>5530.0</v>
      </c>
      <c r="C17" t="inlineStr">
        <is>
          <t xml:space="preserve">formula</t>
        </is>
      </c>
    </row>
    <row r="18">
      <c r="A18" t="inlineStr">
        <is>
          <t xml:space="preserve">Export-implied production 2025/26</t>
        </is>
      </c>
      <c r="B18" s="19">
        <f>Exports_nowcast!B25</f>
        <v>6045.456080660701</v>
      </c>
      <c r="C18" t="inlineStr">
        <is>
          <t xml:space="preserve">formula</t>
        </is>
      </c>
    </row>
    <row r="19">
      <c r="A19" t="inlineStr">
        <is>
          <t xml:space="preserve">USDA production 2024/25</t>
        </is>
      </c>
      <c r="B19" s="19">
        <f>Data!E60</f>
        <v>5200.0</v>
      </c>
      <c r="C19" t="inlineStr">
        <is>
          <t xml:space="preserve">formula</t>
        </is>
      </c>
    </row>
    <row r="20">
      <c r="A20" t="inlineStr">
        <is>
          <t xml:space="preserve">World price change 2026 vs 2025 (log)</t>
        </is>
      </c>
      <c r="B20" s="11">
        <f>LN(Data!H62/Data!H61)</f>
        <v>-0.13184618831603023</v>
      </c>
      <c r="C20" t="inlineStr">
        <is>
          <t xml:space="preserve">formula</t>
        </is>
      </c>
    </row>
    <row r="21">
      <c r="A21" t="inlineStr">
        <is>
          <t xml:space="preserve">Rain Dec 2025 - Mar 2026 / normal</t>
        </is>
      </c>
      <c r="B21" s="12">
        <f>Data!L62</f>
        <v>1.4271299839334364</v>
      </c>
      <c r="C21" t="inlineStr">
        <is>
          <t xml:space="preserve">formula</t>
        </is>
      </c>
    </row>
    <row r="22">
      <c r="A22" t="inlineStr">
        <is>
          <t xml:space="preserve">Model without heat: intercept</t>
        </is>
      </c>
      <c r="B22" s="18">
        <v>0.0529</v>
      </c>
      <c r="C22" t="inlineStr">
        <is>
          <t xml:space="preserve">Python fit, USDA production 1983/84-2025/26 (robustness.py / analysis.py)</t>
        </is>
      </c>
    </row>
    <row r="23">
      <c r="A23" t="inlineStr">
        <is>
          <t xml:space="preserve">  last year's change</t>
        </is>
      </c>
      <c r="B23" s="18">
        <v>-0.4277</v>
      </c>
      <c r="C23" t="inlineStr">
        <is>
          <t xml:space="preserve">Python fit, USDA production 1983/84-2025/26 (robustness.py / analysis.py)</t>
        </is>
      </c>
    </row>
    <row r="24">
      <c r="A24" t="inlineStr">
        <is>
          <t xml:space="preserve">  price change</t>
        </is>
      </c>
      <c r="B24" s="18">
        <v>0.1091</v>
      </c>
      <c r="C24" t="inlineStr">
        <is>
          <t xml:space="preserve">Python fit, USDA production 1983/84-2025/26 (robustness.py / analysis.py)</t>
        </is>
      </c>
    </row>
    <row r="25">
      <c r="A25" t="inlineStr">
        <is>
          <t xml:space="preserve">  rain Dec-Mar (log)</t>
        </is>
      </c>
      <c r="B25" s="18">
        <v>0.2288</v>
      </c>
      <c r="C25" t="inlineStr">
        <is>
          <t xml:space="preserve">Python fit, USDA production 1983/84-2025/26 (robustness.py / analysis.py)</t>
        </is>
      </c>
    </row>
    <row r="26">
      <c r="A26" t="inlineStr">
        <is>
          <t xml:space="preserve">Model with heat: intercept</t>
        </is>
      </c>
      <c r="B26" s="18">
        <v>0.046481267897309546</v>
      </c>
      <c r="C26" t="inlineStr">
        <is>
          <t xml:space="preserve">Python fit, USDA production 1983/84-2025/26 (robustness.py / analysis.py)</t>
        </is>
      </c>
    </row>
    <row r="27">
      <c r="A27" t="inlineStr">
        <is>
          <t xml:space="preserve">  last year's change</t>
        </is>
      </c>
      <c r="B27" s="18">
        <v>-0.3854606267288491</v>
      </c>
      <c r="C27" t="inlineStr">
        <is>
          <t xml:space="preserve">Python fit, USDA production 1983/84-2025/26 (robustness.py / analysis.py)</t>
        </is>
      </c>
    </row>
    <row r="28">
      <c r="A28" t="inlineStr">
        <is>
          <t xml:space="preserve">  price change</t>
        </is>
      </c>
      <c r="B28" s="18">
        <v>0.11735572918890907</v>
      </c>
      <c r="C28" t="inlineStr">
        <is>
          <t xml:space="preserve">Python fit, USDA production 1983/84-2025/26 (robustness.py / analysis.py)</t>
        </is>
      </c>
    </row>
    <row r="29">
      <c r="A29" t="inlineStr">
        <is>
          <t xml:space="preserve">  rain Dec-Mar (log)</t>
        </is>
      </c>
      <c r="B29" s="18">
        <v>0.1666484498708438</v>
      </c>
      <c r="C29" t="inlineStr">
        <is>
          <t xml:space="preserve">Python fit, USDA production 1983/84-2025/26 (robustness.py / analysis.py)</t>
        </is>
      </c>
    </row>
    <row r="30">
      <c r="A30" t="inlineStr">
        <is>
          <t xml:space="preserve">  max. temperature Sep-Oct, deg C vs normal</t>
        </is>
      </c>
      <c r="B30" s="18">
        <v>-0.09093193538177799</v>
      </c>
      <c r="C30" t="inlineStr">
        <is>
          <t xml:space="preserve">Python fit, USDA production 1983/84-2025/26 (robustness.py / analysis.py)</t>
        </is>
      </c>
    </row>
    <row r="32">
      <c r="A32" s="5" t="inlineStr">
        <is>
          <t xml:space="preserve">Sep-Oct 2026 heat scenario (deg C above 1991-2020)</t>
        </is>
      </c>
      <c r="B32" s="5" t="inlineStr">
        <is>
          <t xml:space="preserve">Value</t>
        </is>
      </c>
      <c r="C32" s="5" t="inlineStr">
        <is>
          <t xml:space="preserve">Why</t>
        </is>
      </c>
    </row>
    <row r="33">
      <c r="A33" t="inlineStr">
        <is>
          <t xml:space="preserve">Mild: Sep-Oct like Jun-Aug 2026</t>
        </is>
      </c>
      <c r="B33" s="7">
        <v>0.8501333333333333</v>
      </c>
      <c r="C33" t="inlineStr">
        <is>
          <t xml:space="preserve">Jun-Aug 2026 coffee-zone anomaly (ERA5-Land)</t>
        </is>
      </c>
    </row>
    <row r="34">
      <c r="A34" t="inlineStr">
        <is>
          <t xml:space="preserve">Central: 1-18 Sep so far, October like Jun-Aug</t>
        </is>
      </c>
      <c r="B34" s="12">
        <f>AVERAGE(B33,B35)</f>
        <v>1.4424999999999997</v>
      </c>
      <c r="C34" t="inlineStr">
        <is>
          <t xml:space="preserve">average of the two</t>
        </is>
      </c>
    </row>
    <row r="35">
      <c r="A35" t="inlineStr">
        <is>
          <t xml:space="preserve">Hot: October as hot as 1-18 September</t>
        </is>
      </c>
      <c r="B35" s="7">
        <v>2.034866666666666</v>
      </c>
      <c r="C35" t="inlineStr">
        <is>
          <t xml:space="preserve">1-18 Sep 2026 anomaly, warmer than any full September since 1981</t>
        </is>
      </c>
    </row>
    <row r="37">
      <c r="A37" s="5" t="inlineStr">
        <is>
          <t xml:space="preserve">2026/27 production by method (1 000 60-kg bags)</t>
        </is>
      </c>
      <c r="B37" s="5" t="inlineStr">
        <is>
          <t xml:space="preserve">On USDA base</t>
        </is>
      </c>
      <c r="C37" s="5" t="inlineStr">
        <is>
          <t xml:space="preserve">On export-implied base</t>
        </is>
      </c>
      <c r="D37" s="5" t="inlineStr">
        <is>
          <t xml:space="preserve">Change vs export-implied 2025/26</t>
        </is>
      </c>
      <c r="E37" s="5" t="inlineStr">
        <is>
          <t xml:space="preserve">Back-test miss</t>
        </is>
      </c>
      <c r="F37" s="5" t="inlineStr">
        <is>
          <t xml:space="preserve">Note</t>
        </is>
      </c>
    </row>
    <row r="38">
      <c r="A38" t="inlineStr">
        <is>
          <t xml:space="preserve">USDA (May 2026)</t>
        </is>
      </c>
      <c r="B38" s="6">
        <v>6030</v>
      </c>
      <c r="E38" s="17">
        <v>0.116</v>
      </c>
      <c r="F38" t="inlineStr">
        <is>
          <t xml:space="preserve">IHCAFE-based; assumes 2025/26 = 5 530</t>
        </is>
      </c>
    </row>
    <row r="39">
      <c r="A39" t="inlineStr">
        <is>
          <t xml:space="preserve">A. Average of last 2 years</t>
        </is>
      </c>
      <c r="B39" s="19">
        <f>SQRT(B19*B17)</f>
        <v>5362.462121078339</v>
      </c>
      <c r="C39" s="19">
        <f>SQRT(B19*B18)</f>
        <v>5606.814748093221</v>
      </c>
      <c r="D39" s="21">
        <f>C39/B18-1</f>
        <v>-0.07255719448044384</v>
      </c>
      <c r="E39" s="17">
        <v>0.12134963724505327</v>
      </c>
      <c r="F39" t="inlineStr">
        <is>
          <t xml:space="preserve">best simple method</t>
        </is>
      </c>
    </row>
    <row r="40">
      <c r="A40" t="inlineStr">
        <is>
          <t xml:space="preserve">B. Model: mean reversion + price + Dec-Mar rain</t>
        </is>
      </c>
      <c r="B40" s="19">
        <f>B17*EXP(B22+B23*LN(B17/B19)+B24*B20+B25*LN(B21))</f>
        <v>6072.458882057531</v>
      </c>
      <c r="C40" s="19">
        <f>B18*EXP(B22+B23*LN(B18/B19)+B24*B20+B25*LN(B21))</f>
        <v>6390.205830556369</v>
      </c>
      <c r="D40" s="21">
        <f>C40/B18-1</f>
        <v>0.05702625993736277</v>
      </c>
      <c r="E40" s="17">
        <v>0.12464334157694348</v>
      </c>
      <c r="F40" t="inlineStr">
        <is>
          <t xml:space="preserve">does not see the heat or the Jun-Aug drought</t>
        </is>
      </c>
    </row>
    <row r="41">
      <c r="A41" t="inlineStr">
        <is>
          <t xml:space="preserve">C. Model B + Sep-Oct heat, mild scenario</t>
        </is>
      </c>
      <c r="B41" s="19">
        <f>B17*EXP(B26+B27*LN(B17/B19)+B28*B20+B29*LN(B21)+B30*B33)</f>
        <v>5470.915226378551</v>
      </c>
      <c r="C41" s="19">
        <f>B18*EXP(B26+B27*LN(B18/B19)+B28*B20+B29*LN(B21)+B30*B33)</f>
        <v>5778.898675116597</v>
      </c>
      <c r="D41" s="21">
        <f>C41/B18-1</f>
        <v>-0.04409219122388741</v>
      </c>
      <c r="E41" s="17">
        <v>0.1052795508947989</v>
      </c>
      <c r="F41" t="inlineStr">
        <is>
          <t xml:space="preserve"/>
        </is>
      </c>
    </row>
    <row r="42">
      <c r="A42" t="inlineStr">
        <is>
          <t xml:space="preserve">C. Model B + Sep-Oct heat, central scenario</t>
        </is>
      </c>
      <c r="B42" s="19">
        <f>B17*EXP(B26+B27*LN(B17/B19)+B28*B20+B29*LN(B21)+B30*B34)</f>
        <v>5184.020286944209</v>
      </c>
      <c r="C42" s="19">
        <f>B18*EXP(B26+B27*LN(B18/B19)+B28*B20+B29*LN(B21)+B30*B34)</f>
        <v>5475.853075469783</v>
      </c>
      <c r="D42" s="21">
        <f>C42/B18-1</f>
        <v>-0.0942200220448326</v>
      </c>
      <c r="E42" s="17">
        <v>0.1052795508947989</v>
      </c>
      <c r="F42" t="inlineStr">
        <is>
          <t xml:space="preserve">best back-test (10.5 %)</t>
        </is>
      </c>
    </row>
    <row r="43">
      <c r="A43" t="inlineStr">
        <is>
          <t xml:space="preserve">C. Model B + Sep-Oct heat, hot scenario</t>
        </is>
      </c>
      <c r="B43" s="19">
        <f>B17*EXP(B26+B27*LN(B17/B19)+B28*B20+B29*LN(B21)+B30*B35)</f>
        <v>4912.170125735671</v>
      </c>
      <c r="C43" s="19">
        <f>B18*EXP(B26+B27*LN(B18/B19)+B28*B20+B29*LN(B21)+B30*B35)</f>
        <v>5188.699195098259</v>
      </c>
      <c r="D43" s="21">
        <f>C43/B18-1</f>
        <v>-0.14171914808928832</v>
      </c>
      <c r="E43" s="17">
        <v>0.1052795508947989</v>
      </c>
      <c r="F43" t="inlineStr">
        <is>
          <t xml:space="preserve"/>
        </is>
      </c>
    </row>
    <row r="44">
      <c r="A44" s="3" t="inlineStr">
        <is>
          <t xml:space="preserve">Combination A and C central</t>
        </is>
      </c>
      <c r="B44" s="19">
        <f>SQRT(B39*B42)</f>
        <v>5272.486360687904</v>
      </c>
      <c r="C44" s="23">
        <f>SQRT(C39*C42)</f>
        <v>5540.947011291085</v>
      </c>
      <c r="D44" s="21">
        <f>C44/B18-1</f>
        <v>-0.08345260682374844</v>
      </c>
      <c r="E44" s="17">
        <v>0.10877187188279278</v>
      </c>
      <c r="F44" t="inlineStr">
        <is>
          <t xml:space="preserve">central forecast</t>
        </is>
      </c>
    </row>
    <row r="45">
      <c r="A45" t="inlineStr">
        <is>
          <t xml:space="preserve">Last year (random walk)</t>
        </is>
      </c>
      <c r="B45" s="19">
        <f>B17</f>
        <v>5530.0</v>
      </c>
      <c r="C45" s="19">
        <f>B18</f>
        <v>6045.456080660701</v>
      </c>
      <c r="D45" s="21">
        <f>C45/B18-1</f>
        <v>0.0</v>
      </c>
      <c r="E45" s="17">
        <v>0.14511296645774238</v>
      </c>
      <c r="F45" t="inlineStr">
        <is>
          <t xml:space="preserve">worst direction score (38 %)</t>
        </is>
      </c>
    </row>
    <row r="46">
      <c r="A46" t="inlineStr">
        <is>
          <t xml:space="preserve">Range = central +/- its back-test miss</t>
        </is>
      </c>
      <c r="B46" s="19">
        <f>C44*(1-E44)</f>
        <v>4938.247832869587</v>
      </c>
      <c r="C46" s="19">
        <f>C44*(1+E44)</f>
        <v>6143.646189712583</v>
      </c>
    </row>
    <row r="48">
      <c r="A48" s="4" t="inlineStr">
        <is>
          <t xml:space="preserve">Reading: USDA puts 2026/27 at 6 030 (+9 %) from a 2025/26 base of 5 530. IHCAFE exports say 2025/26 was about 6 000: on that base a +9 % year is not what history gives. Without the heat term the best back-tested mix gives about 5 600-6 000; with the Sep-Oct heat seen so far it gives about 5 500.</t>
        </is>
      </c>
    </row>
    <row r="49">
      <c r="A49" s="4" t="inlineStr">
        <is>
          <t xml:space="preserve">The heat term was found in this study after trying 4 temperature windows (Dec-Feb, Mar-May, Jun-Aug, Sep-Oct). It survives removing the warming trend and it improves the out-of-sample back-test (12.5 % -&gt; 10.5 %), but treat it as a strong hint, not a proven law. Sep 2026 = 1-18 September only (ERA5-Land preliminary data).</t>
        </is>
      </c>
    </row>
    <row r="50">
      <c r="A50" s="4" t="inlineStr">
        <is>
          <t xml:space="preserve">Watch, in order: ERA5 / station temperatures for the rest of September and October 2026; the final 2025/26 export total; IHCAFE exports Nov 2026 - Feb 2027 (remember 2025/26 was front-loaded); IHCAFE rust bulletins; fertiliser imports and the urea price; rain Dec 2026 - Apr 2027 for the 2027/28 flowering (El Nino).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Sumatra weather by ENSO season</dc:title>
</cp:coreProperties>
</file>