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README" sheetId="1" r:id="rId1"/>
    <sheet name="YoY" sheetId="2" r:id="rId2"/>
    <sheet name="Productivity" sheetId="3" r:id="rId3"/>
    <sheet name="Fertiliser" sheetId="4" r:id="rId4"/>
    <sheet name="Disease" sheetId="5" r:id="rId5"/>
    <sheet name="Varieties" sheetId="6" r:id="rId6"/>
    <sheet name="Finance" sheetId="7" r:id="rId7"/>
    <sheet name="FX" sheetId="8" r:id="rId8"/>
  </sheets>
  <calcPr calcId="191029" fullCalcOnLoad="1"/>
</workbook>
</file>

<file path=xl/styles.xml><?xml version="1.0" encoding="utf-8"?>
<styleSheet xmlns="http://schemas.openxmlformats.org/spreadsheetml/2006/main">
  <numFmts count="6">
    <numFmt numFmtId="164" formatCode="#,##0"/>
    <numFmt numFmtId="165" formatCode="#,##0.0"/>
    <numFmt numFmtId="166" formatCode="0.000"/>
    <numFmt numFmtId="167" formatCode="0.00"/>
    <numFmt numFmtId="168" formatCode="+0.0%;-0.0%;0.0%"/>
    <numFmt numFmtId="169" formatCode="0.0%"/>
  </numFmts>
  <fonts count="8">
    <font>
      <sz val="10"/>
      <color rgb="FF000000"/>
      <name val="Arial"/>
    </font>
    <font>
      <b/>
      <sz val="14"/>
      <color rgb="FF1F3864"/>
      <name val="Arial"/>
    </font>
    <font>
      <i/>
      <sz val="10"/>
      <color rgb="FF595959"/>
      <name val="Arial"/>
    </font>
    <font>
      <b/>
      <sz val="10"/>
      <color rgb="FF000000"/>
      <name val="Arial"/>
    </font>
    <font>
      <b/>
      <sz val="10"/>
      <color rgb="FFFFFFFF"/>
      <name val="Arial"/>
    </font>
    <font>
      <sz val="10"/>
      <color rgb="FF0000FF"/>
      <name val="Arial"/>
    </font>
    <font>
      <b/>
      <sz val="10"/>
      <color rgb="FF2E7D32"/>
      <name val="Arial"/>
    </font>
    <font>
      <b/>
      <sz val="10"/>
      <color rgb="FFC00000"/>
      <name val="Arial"/>
    </font>
  </fonts>
  <fills count="4">
    <fill>
      <patternFill patternType="none"/>
    </fill>
    <fill>
      <patternFill patternType="gray125"/>
    </fill>
    <fill>
      <patternFill patternType="solid">
        <fgColor rgb="FF1F3864"/>
        <bgColor indexed="64"/>
      </patternFill>
    </fill>
    <fill>
      <patternFill patternType="solid">
        <fgColor rgb="FF2E75B6"/>
        <bgColor indexed="64"/>
      </patternFill>
    </fill>
  </fills>
  <borders count="2">
    <border>
      <left/>
      <right/>
      <top/>
      <bottom/>
      <diagonal/>
    </border>
    <border>
      <left/>
      <right/>
      <top/>
      <bottom style="thin">
        <color rgb="FFBFBFBF"/>
      </bottom>
      <diagonal/>
    </border>
  </borders>
  <cellStyleXfs count="1">
    <xf numFmtId="0" fontId="0" fillId="0" borderId="0"/>
  </cellStyleXfs>
  <cellXfs count="20">
    <xf numFmtId="0" fontId="0" fillId="0" borderId="0" xfId="0" applyFont="1"/>
    <xf numFmtId="0" fontId="1" fillId="0" borderId="0" xfId="0" applyFont="1"/>
    <xf numFmtId="0" fontId="2" fillId="0" borderId="0" xfId="0" applyFont="1"/>
    <xf numFmtId="0" fontId="3" fillId="0" borderId="0" xfId="0" applyFont="1"/>
    <xf numFmtId="0" fontId="4" fillId="2" borderId="0" xfId="0" applyFont="1" applyFill="1" applyAlignment="1">
      <alignment horizontal="center" wrapText="1" vertical="top"/>
    </xf>
    <xf numFmtId="0" fontId="4" fillId="3" borderId="0" xfId="0" applyFont="1" applyFill="1" applyAlignment="1">
      <alignment horizontal="center" wrapText="1" vertical="top"/>
    </xf>
    <xf numFmtId="164" fontId="5" fillId="0" borderId="0" xfId="0" applyNumberFormat="1" applyFont="1"/>
    <xf numFmtId="165" fontId="0" fillId="0" borderId="0" xfId="0" applyNumberFormat="1" applyFont="1"/>
    <xf numFmtId="166" fontId="0" fillId="0" borderId="0" xfId="0" applyNumberFormat="1" applyFont="1"/>
    <xf numFmtId="164" fontId="0" fillId="0" borderId="0" xfId="0" applyNumberFormat="1" applyFont="1"/>
    <xf numFmtId="165" fontId="5" fillId="0" borderId="0" xfId="0" applyNumberFormat="1" applyFont="1"/>
    <xf numFmtId="167" fontId="5" fillId="0" borderId="0" xfId="0" applyNumberFormat="1" applyFont="1"/>
    <xf numFmtId="166" fontId="5" fillId="0" borderId="0" xfId="0" applyNumberFormat="1" applyFont="1"/>
    <xf numFmtId="168" fontId="0" fillId="0" borderId="0" xfId="0" applyNumberFormat="1" applyFont="1"/>
    <xf numFmtId="0" fontId="0" fillId="0" borderId="0" xfId="0" applyFont="1" applyAlignment="1">
      <alignment wrapText="1" vertical="top"/>
    </xf>
    <xf numFmtId="168" fontId="3" fillId="0" borderId="0" xfId="0" applyNumberFormat="1" applyFont="1"/>
    <xf numFmtId="167" fontId="0" fillId="0" borderId="0" xfId="0" applyNumberFormat="1" applyFont="1"/>
    <xf numFmtId="0" fontId="6" fillId="0" borderId="0" xfId="0" applyFont="1"/>
    <xf numFmtId="0" fontId="7" fillId="0" borderId="0" xfId="0" applyFont="1"/>
    <xf numFmtId="169" fontId="0" fillId="0" borderId="0" xfId="0" applyNumberFormat="1"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FormatPr defaultRowHeight="13.2"/>
  <cols>
    <col min="1" max="1" width="180" customWidth="1"/>
  </cols>
  <sheetData>
    <row r="1">
      <c r="A1" s="1" t="inlineStr">
        <is>
          <t xml:space="preserve">Honduras coffee, year by year 2005 - 2026, with the change on the year before</t>
        </is>
      </c>
    </row>
    <row r="2">
      <c r="A2" s="2" t="inlineStr">
        <is>
          <t xml:space="preserve">Built 25 Sep 2026 by research/honduras/excel/build_yoy_xlsx.py (data: research/honduras/yoy/data_yoy.py).</t>
        </is>
      </c>
    </row>
    <row r="3">
      <c r="A3" t="inlineStr">
        <is>
          <t xml:space="preserve"/>
        </is>
      </c>
    </row>
    <row r="4">
      <c r="A4" s="3" t="inlineStr">
        <is>
          <t xml:space="preserve">Question: area and trees go up - so is productivity really falling? Did growers use less fertiliser? How much disease? Which varieties? Which financing? What did the lempira do?</t>
        </is>
      </c>
    </row>
    <row r="5">
      <c r="A5" t="inlineStr">
        <is>
          <t xml:space="preserve"/>
        </is>
      </c>
    </row>
    <row r="6">
      <c r="A6" s="3" t="inlineStr">
        <is>
          <t xml:space="preserve">Sheets</t>
        </is>
      </c>
    </row>
    <row r="7">
      <c r="A7" t="inlineStr">
        <is>
          <t xml:space="preserve">YoY: every yearly series side by side, each followed by its change on the year before (formulas).</t>
        </is>
      </c>
    </row>
    <row r="8">
      <c r="A8" t="inlineStr">
        <is>
          <t xml:space="preserve">Productivity: output per bearing hectare and per bearing tree, trees per hectare, the IHCAFE registry, and the 2016-18 vs 2022-24 comparison.</t>
        </is>
      </c>
    </row>
    <row r="9">
      <c r="A9" t="inlineStr">
        <is>
          <t xml:space="preserve">Fertiliser: FAOSTAT nitrogen / phosphate / potash use, urea imports, urea price in US$ and in lempiras, kg of urea bought by 1 kg of coffee, Bono Cafetalero.</t>
        </is>
      </c>
    </row>
    <row r="10">
      <c r="A10" t="inlineStr">
        <is>
          <t xml:space="preserve">Disease: every rust (roya) figure found, by year, and the USDA remarks on rust, berry borer, drought and fertiliser.</t>
        </is>
      </c>
    </row>
    <row r="11">
      <c r="A11" t="inlineStr">
        <is>
          <t xml:space="preserve">Varieties: resistant varieties released, and every figure on the share planted.</t>
        </is>
      </c>
    </row>
    <row r="12">
      <c r="A12" t="inlineStr">
        <is>
          <t xml:space="preserve">Finance: state and bank programmes by year, debt, Bono Cafetalero, BCH bank credit to agriculture 2017-2026.</t>
        </is>
      </c>
    </row>
    <row r="13">
      <c r="A13" t="inlineStr">
        <is>
          <t xml:space="preserve">FX: lempiras per US$ (BCH daily reference rate, annual mean), coffee and urea prices in lempiras.</t>
        </is>
      </c>
    </row>
    <row r="14">
      <c r="A14" t="inlineStr">
        <is>
          <t xml:space="preserve"/>
        </is>
      </c>
    </row>
    <row r="15">
      <c r="A15" t="inlineStr">
        <is>
          <t xml:space="preserve">Crop year t = October t to September t+1 (label t/t+1). Calendar-year series (FAOSTAT, World Bank, BCH) are put on the crop year that starts in that year.</t>
        </is>
      </c>
    </row>
    <row r="16">
      <c r="A16" t="inlineStr">
        <is>
          <t xml:space="preserve">Colours: blue = input with its source; black = formula. Status: ✔ read in the source file; ⚠ web-search extract, page not read.</t>
        </is>
      </c>
    </row>
    <row r="17">
      <c r="A17" t="inlineStr">
        <is>
          <t xml:space="preserve">Units: bag = 60 kg of green coffee; quintal (qq) = 46 kg; lempira = L; kha = thousand hectares.</t>
        </is>
      </c>
    </row>
  </sheetData>
</worksheet>
</file>

<file path=xl/worksheets/sheet2.xml><?xml version="1.0" encoding="utf-8"?>
<worksheet xmlns="http://schemas.openxmlformats.org/spreadsheetml/2006/main" xmlns:r="http://schemas.openxmlformats.org/officeDocument/2006/relationships">
  <sheetViews>
    <sheetView workbookViewId="0">
      <pane xSplit="1" ySplit="4" topLeftCell="B5" activePane="bottomRight" state="frozen"/>
    </sheetView>
  </sheetViews>
  <sheetFormatPr defaultRowHeight="13.2"/>
  <cols>
    <col min="1" max="1" width="10" customWidth="1"/>
    <col min="2" max="2" width="11"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s>
  <sheetData>
    <row r="1">
      <c r="A1" s="1" t="inlineStr">
        <is>
          <t xml:space="preserve">Year by year and change on the year before</t>
        </is>
      </c>
    </row>
    <row r="2">
      <c r="A2" s="2" t="inlineStr">
        <is>
          <t xml:space="preserve">Each series is followed by its change on the year before (black formula). Blank = no data. 2026/27: USDA forecast (area, trees, production); prices = Jan-Aug 2026; lempira = Jan - 25 Sep 2026.</t>
        </is>
      </c>
    </row>
    <row r="4">
      <c r="A4" s="4" t="inlineStr">
        <is>
          <t xml:space="preserve">Crop year</t>
        </is>
      </c>
      <c r="B4" s="4" t="inlineStr">
        <is>
          <t xml:space="preserve">Bearing area (kha) [USDA attache]</t>
        </is>
      </c>
      <c r="C4" s="5" t="inlineStr">
        <is>
          <t xml:space="preserve">change</t>
        </is>
      </c>
      <c r="D4" s="4" t="inlineStr">
        <is>
          <t xml:space="preserve">Bearing trees (million) [USDA attache]</t>
        </is>
      </c>
      <c r="E4" s="5" t="inlineStr">
        <is>
          <t xml:space="preserve">change</t>
        </is>
      </c>
      <c r="F4" s="4" t="inlineStr">
        <is>
          <t xml:space="preserve">Non-bearing area (kha) [USDA attache]</t>
        </is>
      </c>
      <c r="G4" s="5" t="inlineStr">
        <is>
          <t xml:space="preserve">change</t>
        </is>
      </c>
      <c r="H4" s="4" t="inlineStr">
        <is>
          <t xml:space="preserve">Production (1 000 bags) [USDA PSD]</t>
        </is>
      </c>
      <c r="I4" s="5" t="inlineStr">
        <is>
          <t xml:space="preserve">change</t>
        </is>
      </c>
      <c r="J4" s="4" t="inlineStr">
        <is>
          <t xml:space="preserve">Yield (bags / bearing ha) [formula]</t>
        </is>
      </c>
      <c r="K4" s="5" t="inlineStr">
        <is>
          <t xml:space="preserve">change</t>
        </is>
      </c>
      <c r="L4" s="4" t="inlineStr">
        <is>
          <t xml:space="preserve">Green coffee per bearing tree (kg) [formula]</t>
        </is>
      </c>
      <c r="M4" s="5" t="inlineStr">
        <is>
          <t xml:space="preserve">change</t>
        </is>
      </c>
      <c r="N4" s="4" t="inlineStr">
        <is>
          <t xml:space="preserve">Bearing trees per ha [formula]</t>
        </is>
      </c>
      <c r="O4" s="5" t="inlineStr">
        <is>
          <t xml:space="preserve">change</t>
        </is>
      </c>
      <c r="P4" s="4" t="inlineStr">
        <is>
          <t xml:space="preserve">IHCAFE exports (1 000 qq of 46 kg) [IHCAFE]</t>
        </is>
      </c>
      <c r="Q4" s="5" t="inlineStr">
        <is>
          <t xml:space="preserve">change</t>
        </is>
      </c>
      <c r="R4" s="4" t="inlineStr">
        <is>
          <t xml:space="preserve">Nitrogen use, all crops (t N) [FAOSTAT]</t>
        </is>
      </c>
      <c r="S4" s="5" t="inlineStr">
        <is>
          <t xml:space="preserve">change</t>
        </is>
      </c>
      <c r="T4" s="4" t="inlineStr">
        <is>
          <t xml:space="preserve">Urea imports (t) [FAOSTAT]</t>
        </is>
      </c>
      <c r="U4" s="5" t="inlineStr">
        <is>
          <t xml:space="preserve">change</t>
        </is>
      </c>
      <c r="V4" s="4" t="inlineStr">
        <is>
          <t xml:space="preserve">Urea world price (US$/t) [World Bank]</t>
        </is>
      </c>
      <c r="W4" s="5" t="inlineStr">
        <is>
          <t xml:space="preserve">change</t>
        </is>
      </c>
      <c r="X4" s="4" t="inlineStr">
        <is>
          <t xml:space="preserve">Urea price (L per t) [formula]</t>
        </is>
      </c>
      <c r="Y4" s="5" t="inlineStr">
        <is>
          <t xml:space="preserve">change</t>
        </is>
      </c>
      <c r="Z4" s="4" t="inlineStr">
        <is>
          <t xml:space="preserve">Arabica world price (US$/kg) [World Bank]</t>
        </is>
      </c>
      <c r="AA4" s="5" t="inlineStr">
        <is>
          <t xml:space="preserve">change</t>
        </is>
      </c>
      <c r="AB4" s="4" t="inlineStr">
        <is>
          <t xml:space="preserve">Arabica in lempiras (L per qq) [formula]</t>
        </is>
      </c>
      <c r="AC4" s="5" t="inlineStr">
        <is>
          <t xml:space="preserve">change</t>
        </is>
      </c>
      <c r="AD4" s="4" t="inlineStr">
        <is>
          <t xml:space="preserve">kg urea bought by 1 kg coffee [formula]</t>
        </is>
      </c>
      <c r="AE4" s="5" t="inlineStr">
        <is>
          <t xml:space="preserve">change</t>
        </is>
      </c>
      <c r="AF4" s="4" t="inlineStr">
        <is>
          <t xml:space="preserve">Lempiras per US$ (BCH) [BCH]</t>
        </is>
      </c>
      <c r="AG4" s="5" t="inlineStr">
        <is>
          <t xml:space="preserve">change</t>
        </is>
      </c>
    </row>
    <row r="5">
      <c r="A5" t="inlineStr">
        <is>
          <t xml:space="preserve"/>
        </is>
      </c>
    </row>
    <row r="6">
      <c r="A6" t="inlineStr">
        <is>
          <t xml:space="preserve">2005/06</t>
        </is>
      </c>
      <c r="B6" s="6">
        <v>184</v>
      </c>
      <c r="D6" s="6">
        <v>753</v>
      </c>
      <c r="F6" s="6">
        <v>64</v>
      </c>
      <c r="H6" s="6">
        <v>3204.0</v>
      </c>
      <c r="J6" s="7">
        <f>H6/B6</f>
        <v>17.41304347826087</v>
      </c>
      <c r="L6" s="8">
        <f>H6*60/D6/1000</f>
        <v>0.25529880478087646</v>
      </c>
      <c r="N6" s="9">
        <f>D6*1000/B6</f>
        <v>4092.391304347826</v>
      </c>
      <c r="P6" s="6">
        <v>3817.948</v>
      </c>
      <c r="R6" s="6">
        <v>41865.0</v>
      </c>
      <c r="T6" s="6">
        <v>35952.04</v>
      </c>
      <c r="V6" s="10">
        <v>217.35833333333335</v>
      </c>
      <c r="X6" s="9">
        <f>V6*AF6</f>
        <v>4093.5362369303384</v>
      </c>
      <c r="Z6" s="11">
        <v>2.5325</v>
      </c>
      <c r="AB6" s="9">
        <f>Z6*46*AF6</f>
        <v>2193.964669345703</v>
      </c>
      <c r="AD6" s="7">
        <f>Z6*1000/V6</f>
        <v>11.651267108844841</v>
      </c>
      <c r="AF6" s="12">
        <v>18.833123046875</v>
      </c>
    </row>
    <row r="7">
      <c r="A7" t="inlineStr">
        <is>
          <t xml:space="preserve">2006/07</t>
        </is>
      </c>
      <c r="B7" s="6">
        <v>230</v>
      </c>
      <c r="C7" s="13">
        <f>B7/B6-1</f>
        <v>0.25</v>
      </c>
      <c r="D7" s="6">
        <v>1049</v>
      </c>
      <c r="E7" s="13">
        <f>D7/D6-1</f>
        <v>0.39309428950863223</v>
      </c>
      <c r="F7" s="6">
        <v>13</v>
      </c>
      <c r="G7" s="13">
        <f>F7/F6-1</f>
        <v>-0.796875</v>
      </c>
      <c r="H7" s="6">
        <v>3460.0</v>
      </c>
      <c r="I7" s="13">
        <f>H7/H6-1</f>
        <v>0.07990012484394504</v>
      </c>
      <c r="J7" s="7">
        <f>H7/B7</f>
        <v>15.043478260869565</v>
      </c>
      <c r="K7" s="13">
        <f>J7/J6-1</f>
        <v>-0.13607990012484406</v>
      </c>
      <c r="L7" s="8">
        <f>H7*60/D7/1000</f>
        <v>0.19790276453765493</v>
      </c>
      <c r="M7" s="13">
        <f>L7/L6-1</f>
        <v>-0.22481907148952263</v>
      </c>
      <c r="N7" s="9">
        <f>D7*1000/B7</f>
        <v>4560.869565217391</v>
      </c>
      <c r="O7" s="13">
        <f>N7/N6-1</f>
        <v>0.11447543160690565</v>
      </c>
      <c r="P7" s="6">
        <v>4194.523</v>
      </c>
      <c r="Q7" s="13">
        <f>P7/P6-1</f>
        <v>0.09863282580066568</v>
      </c>
      <c r="R7" s="6">
        <v>66688.0</v>
      </c>
      <c r="S7" s="13">
        <f>R7/R6-1</f>
        <v>0.5929296548429475</v>
      </c>
      <c r="T7" s="6">
        <v>85809.62</v>
      </c>
      <c r="U7" s="13">
        <f>T7/T6-1</f>
        <v>1.38678027728051</v>
      </c>
      <c r="V7" s="10">
        <v>222.14166666666665</v>
      </c>
      <c r="W7" s="13">
        <f>V7/V6-1</f>
        <v>0.022006671011769896</v>
      </c>
      <c r="X7" s="9">
        <f>V7*AF7</f>
        <v>4197.412459037184</v>
      </c>
      <c r="Y7" s="13">
        <f>X7/X6-1</f>
        <v>0.02537566937107183</v>
      </c>
      <c r="Z7" s="11">
        <v>2.5216666666666665</v>
      </c>
      <c r="AA7" s="13">
        <f>Z7/Z6-1</f>
        <v>-0.0042777229351761425</v>
      </c>
      <c r="AB7" s="9">
        <f>Z7*46*AF7</f>
        <v>2191.7808629933597</v>
      </c>
      <c r="AC7" s="13">
        <f>AB7/AB6-1</f>
        <v>-0.0009953698812271705</v>
      </c>
      <c r="AD7" s="7">
        <f>Z7*1000/V7</f>
        <v>11.351614960423154</v>
      </c>
      <c r="AE7" s="13">
        <f>AD7/AD6-1</f>
        <v>-0.025718417200667587</v>
      </c>
      <c r="AF7" s="12">
        <v>18.895205577689243</v>
      </c>
      <c r="AG7" s="13">
        <f>AF7/AF6-1</f>
        <v>0.0032964543724225415</v>
      </c>
    </row>
    <row r="8">
      <c r="A8" t="inlineStr">
        <is>
          <t xml:space="preserve">2007/08</t>
        </is>
      </c>
      <c r="B8" s="6">
        <v>230</v>
      </c>
      <c r="C8" s="13">
        <f>B8/B7-1</f>
        <v>0.0</v>
      </c>
      <c r="D8" s="6">
        <v>1049</v>
      </c>
      <c r="E8" s="13">
        <f>D8/D7-1</f>
        <v>0.0</v>
      </c>
      <c r="F8" s="6">
        <v>13</v>
      </c>
      <c r="G8" s="13">
        <f>F8/F7-1</f>
        <v>0.0</v>
      </c>
      <c r="H8" s="6">
        <v>3642.0</v>
      </c>
      <c r="I8" s="13">
        <f>H8/H7-1</f>
        <v>0.05260115606936422</v>
      </c>
      <c r="J8" s="7">
        <f>H8/B8</f>
        <v>15.834782608695653</v>
      </c>
      <c r="K8" s="13">
        <f>J8/J7-1</f>
        <v>0.05260115606936422</v>
      </c>
      <c r="L8" s="8">
        <f>H8*60/D8/1000</f>
        <v>0.2083126787416587</v>
      </c>
      <c r="M8" s="13">
        <f>L8/L7-1</f>
        <v>0.052601156069364</v>
      </c>
      <c r="N8" s="9">
        <f>D8*1000/B8</f>
        <v>4560.869565217391</v>
      </c>
      <c r="O8" s="13">
        <f>N8/N7-1</f>
        <v>0.0</v>
      </c>
      <c r="P8" s="6">
        <v>4427.991</v>
      </c>
      <c r="Q8" s="13">
        <f>P8/P7-1</f>
        <v>0.055660202602298314</v>
      </c>
      <c r="R8" s="6">
        <v>63491.0</v>
      </c>
      <c r="S8" s="13">
        <f>R8/R7-1</f>
        <v>-0.04793965930902111</v>
      </c>
      <c r="T8" s="6">
        <v>79076.84</v>
      </c>
      <c r="U8" s="13">
        <f>T8/T7-1</f>
        <v>-0.0784618321349051</v>
      </c>
      <c r="V8" s="10">
        <v>307.1166666666667</v>
      </c>
      <c r="W8" s="13">
        <f>V8/V7-1</f>
        <v>0.38252616573507914</v>
      </c>
      <c r="X8" s="9">
        <f>V8*AF8</f>
        <v>5803.00061972</v>
      </c>
      <c r="Y8" s="13">
        <f>X8/X7-1</f>
        <v>0.38251855788580547</v>
      </c>
      <c r="Z8" s="11">
        <v>2.7241666666666666</v>
      </c>
      <c r="AA8" s="13">
        <f>Z8/Z7-1</f>
        <v>0.08030403172504963</v>
      </c>
      <c r="AB8" s="9">
        <f>Z8*46*AF8</f>
        <v>2367.776673332</v>
      </c>
      <c r="AC8" s="13">
        <f>AB8/AB7-1</f>
        <v>0.08029808696216056</v>
      </c>
      <c r="AD8" s="7">
        <f>Z8*1000/V8</f>
        <v>8.870136213165463</v>
      </c>
      <c r="AE8" s="13">
        <f>AD8/AD7-1</f>
        <v>-0.21860138455270417</v>
      </c>
      <c r="AF8" s="12">
        <v>18.8951016</v>
      </c>
      <c r="AG8" s="13">
        <f>AF8/AF7-1</f>
        <v>-5.502860967343537e-06</v>
      </c>
    </row>
    <row r="9">
      <c r="A9" t="inlineStr">
        <is>
          <t xml:space="preserve">2008/09</t>
        </is>
      </c>
      <c r="B9" s="6">
        <v>224</v>
      </c>
      <c r="C9" s="13">
        <f>B9/B8-1</f>
        <v>-0.02608695652173909</v>
      </c>
      <c r="D9" s="6">
        <v>1049</v>
      </c>
      <c r="E9" s="13">
        <f>D9/D8-1</f>
        <v>0.0</v>
      </c>
      <c r="F9" s="6">
        <v>20</v>
      </c>
      <c r="G9" s="13">
        <f>F9/F8-1</f>
        <v>0.5384615384615385</v>
      </c>
      <c r="H9" s="6">
        <v>3225.0</v>
      </c>
      <c r="I9" s="13">
        <f>H9/H8-1</f>
        <v>-0.11449752883031306</v>
      </c>
      <c r="J9" s="7">
        <f>H9/B9</f>
        <v>14.397321428571429</v>
      </c>
      <c r="K9" s="13">
        <f>J9/J8-1</f>
        <v>-0.09077871263826787</v>
      </c>
      <c r="L9" s="8">
        <f>H9*60/D9/1000</f>
        <v>0.18446139180171595</v>
      </c>
      <c r="M9" s="13">
        <f>L9/L8-1</f>
        <v>-0.11449752883031283</v>
      </c>
      <c r="N9" s="9">
        <f>D9*1000/B9</f>
        <v>4683.035714285715</v>
      </c>
      <c r="O9" s="13">
        <f>N9/N8-1</f>
        <v>0.026785714285714413</v>
      </c>
      <c r="P9" s="6">
        <v>3940.279</v>
      </c>
      <c r="Q9" s="13">
        <f>P9/P8-1</f>
        <v>-0.11014295196173618</v>
      </c>
      <c r="R9" s="6">
        <v>55554.0</v>
      </c>
      <c r="S9" s="13">
        <f>R9/R8-1</f>
        <v>-0.12500984391488557</v>
      </c>
      <c r="V9" s="10">
        <v>514.9833333333333</v>
      </c>
      <c r="W9" s="13">
        <f>V9/V8-1</f>
        <v>0.6768329082324849</v>
      </c>
      <c r="X9" s="9">
        <f>V9*AF9</f>
        <v>9732.132616411764</v>
      </c>
      <c r="Y9" s="13">
        <f>X9/X8-1</f>
        <v>0.6770862617762994</v>
      </c>
      <c r="Z9" s="11">
        <v>3.080833333333333</v>
      </c>
      <c r="AA9" s="13">
        <f>Z9/Z8-1</f>
        <v>0.13092688895686755</v>
      </c>
      <c r="AB9" s="9">
        <f>Z9*46*AF9</f>
        <v>2678.1868944176467</v>
      </c>
      <c r="AC9" s="13">
        <f>AB9/AB8-1</f>
        <v>0.13109776128034456</v>
      </c>
      <c r="AD9" s="7">
        <f>Z9*1000/V9</f>
        <v>5.982394252241172</v>
      </c>
      <c r="AE9" s="13">
        <f>AD9/AD8-1</f>
        <v>-0.3255577920706755</v>
      </c>
      <c r="AF9" s="12">
        <v>18.897956470588234</v>
      </c>
      <c r="AG9" s="13">
        <f>AF9/AF8-1</f>
        <v>0.00015109051269845963</v>
      </c>
    </row>
    <row r="10">
      <c r="A10" t="inlineStr">
        <is>
          <t xml:space="preserve">2009/10</t>
        </is>
      </c>
      <c r="B10" s="6">
        <v>224</v>
      </c>
      <c r="C10" s="13">
        <f>B10/B9-1</f>
        <v>0.0</v>
      </c>
      <c r="D10" s="6">
        <v>1049</v>
      </c>
      <c r="E10" s="13">
        <f>D10/D9-1</f>
        <v>0.0</v>
      </c>
      <c r="F10" s="6">
        <v>20</v>
      </c>
      <c r="G10" s="13">
        <f>F10/F9-1</f>
        <v>0.0</v>
      </c>
      <c r="H10" s="6">
        <v>3550.0</v>
      </c>
      <c r="I10" s="13">
        <f>H10/H9-1</f>
        <v>0.10077519379844957</v>
      </c>
      <c r="J10" s="7">
        <f>H10/B10</f>
        <v>15.848214285714286</v>
      </c>
      <c r="K10" s="13">
        <f>J10/J9-1</f>
        <v>0.10077519379844957</v>
      </c>
      <c r="L10" s="8">
        <f>H10*60/D10/1000</f>
        <v>0.20305052430886558</v>
      </c>
      <c r="M10" s="13">
        <f>L10/L9-1</f>
        <v>0.10077519379844935</v>
      </c>
      <c r="N10" s="9">
        <f>D10*1000/B10</f>
        <v>4683.035714285715</v>
      </c>
      <c r="O10" s="13">
        <f>N10/N9-1</f>
        <v>0.0</v>
      </c>
      <c r="P10" s="6">
        <v>4122.888</v>
      </c>
      <c r="Q10" s="13">
        <f>P10/P9-1</f>
        <v>0.04634418019637687</v>
      </c>
      <c r="R10" s="6">
        <v>47616.0</v>
      </c>
      <c r="S10" s="13">
        <f>R10/R9-1</f>
        <v>-0.1428880008640242</v>
      </c>
      <c r="T10" s="6">
        <v>60810.87</v>
      </c>
      <c r="V10" s="10">
        <v>251.10000000000002</v>
      </c>
      <c r="W10" s="13">
        <f>V10/V9-1</f>
        <v>-0.5124114048998349</v>
      </c>
      <c r="X10" s="9">
        <f>V10*AF10</f>
        <v>4744.55961</v>
      </c>
      <c r="Y10" s="13">
        <f>X10/X9-1</f>
        <v>-0.5124851050633012</v>
      </c>
      <c r="Z10" s="11">
        <v>3.170833333333334</v>
      </c>
      <c r="AA10" s="13">
        <f>Z10/Z9-1</f>
        <v>0.029212875304301056</v>
      </c>
      <c r="AB10" s="9">
        <f>Z10*46*AF10</f>
        <v>2756.007794166667</v>
      </c>
      <c r="AC10" s="13">
        <f>AB10/AB9-1</f>
        <v>0.02905730735641643</v>
      </c>
      <c r="AD10" s="7">
        <f>Z10*1000/V10</f>
        <v>12.627771140315945</v>
      </c>
      <c r="AE10" s="13">
        <f>AD10/AD9-1</f>
        <v>1.1108222908554093</v>
      </c>
      <c r="AF10" s="12">
        <v>18.8951</v>
      </c>
      <c r="AG10" s="13">
        <f>AF10/AF9-1</f>
        <v>-0.0001511523530430825</v>
      </c>
    </row>
    <row r="11">
      <c r="A11" t="inlineStr">
        <is>
          <t xml:space="preserve">2010/11</t>
        </is>
      </c>
      <c r="B11" s="6">
        <v>238</v>
      </c>
      <c r="C11" s="13">
        <f>B11/B10-1</f>
        <v>0.0625</v>
      </c>
      <c r="D11" s="6">
        <v>1049</v>
      </c>
      <c r="E11" s="13">
        <f>D11/D10-1</f>
        <v>0.0</v>
      </c>
      <c r="F11" s="6">
        <v>28</v>
      </c>
      <c r="G11" s="13">
        <f>F11/F10-1</f>
        <v>0.3999999999999999</v>
      </c>
      <c r="H11" s="6">
        <v>3975.0</v>
      </c>
      <c r="I11" s="13">
        <f>H11/H10-1</f>
        <v>0.11971830985915499</v>
      </c>
      <c r="J11" s="7">
        <f>H11/B11</f>
        <v>16.701680672268907</v>
      </c>
      <c r="K11" s="13">
        <f>J11/J10-1</f>
        <v>0.0538525269262633</v>
      </c>
      <c r="L11" s="8">
        <f>H11*60/D11/1000</f>
        <v>0.22735938989513824</v>
      </c>
      <c r="M11" s="13">
        <f>L11/L10-1</f>
        <v>0.11971830985915499</v>
      </c>
      <c r="N11" s="9">
        <f>D11*1000/B11</f>
        <v>4407.563025210084</v>
      </c>
      <c r="O11" s="13">
        <f>N11/N10-1</f>
        <v>-0.05882352941176483</v>
      </c>
      <c r="P11" s="6">
        <v>5042.612</v>
      </c>
      <c r="Q11" s="13">
        <f>P11/P10-1</f>
        <v>0.2230776096755478</v>
      </c>
      <c r="R11" s="6">
        <v>56041.0</v>
      </c>
      <c r="S11" s="13">
        <f>R11/R10-1</f>
        <v>0.17693632392473124</v>
      </c>
      <c r="T11" s="6">
        <v>82828.86</v>
      </c>
      <c r="U11" s="13">
        <f>T11/T10-1</f>
        <v>0.3620732609153594</v>
      </c>
      <c r="V11" s="10">
        <v>288.9166666666667</v>
      </c>
      <c r="W11" s="13">
        <f>V11/V10-1</f>
        <v>0.15060400902694804</v>
      </c>
      <c r="X11" s="9">
        <f>V11*AF11</f>
        <v>5459.076677745098</v>
      </c>
      <c r="Y11" s="13">
        <f>X11/X10-1</f>
        <v>0.15059713155234178</v>
      </c>
      <c r="Z11" s="11">
        <v>4.319999999999999</v>
      </c>
      <c r="AA11" s="13">
        <f>Z11/Z10-1</f>
        <v>0.3624178712220758</v>
      </c>
      <c r="AB11" s="9">
        <f>Z11*46*AF11</f>
        <v>3754.8118283294107</v>
      </c>
      <c r="AC11" s="13">
        <f>AB11/AB10-1</f>
        <v>0.3624097276781295</v>
      </c>
      <c r="AD11" s="7">
        <f>Z11*1000/V11</f>
        <v>14.952408422267085</v>
      </c>
      <c r="AE11" s="13">
        <f>AD11/AD10-1</f>
        <v>0.18408927879041204</v>
      </c>
      <c r="AF11" s="12">
        <v>18.894987058823528</v>
      </c>
      <c r="AG11" s="13">
        <f>AF11/AF10-1</f>
        <v>-5.977273286328355e-06</v>
      </c>
    </row>
    <row r="12">
      <c r="A12" t="inlineStr">
        <is>
          <t xml:space="preserve">2011/12</t>
        </is>
      </c>
      <c r="B12" s="6">
        <v>245</v>
      </c>
      <c r="C12" s="13">
        <f>B12/B11-1</f>
        <v>0.02941176470588225</v>
      </c>
      <c r="D12" s="6">
        <v>1042</v>
      </c>
      <c r="E12" s="13">
        <f>D12/D11-1</f>
        <v>-0.006673021925643452</v>
      </c>
      <c r="F12" s="6">
        <v>40</v>
      </c>
      <c r="G12" s="13">
        <f>F12/F11-1</f>
        <v>0.4285714285714286</v>
      </c>
      <c r="H12" s="6">
        <v>5600.0</v>
      </c>
      <c r="I12" s="13">
        <f>H12/H11-1</f>
        <v>0.4088050314465408</v>
      </c>
      <c r="J12" s="7">
        <f>H12/B12</f>
        <v>22.857142857142858</v>
      </c>
      <c r="K12" s="13">
        <f>J12/J11-1</f>
        <v>0.368553459119497</v>
      </c>
      <c r="L12" s="8">
        <f>H12*60/D12/1000</f>
        <v>0.32245681381957775</v>
      </c>
      <c r="M12" s="13">
        <f>L12/L11-1</f>
        <v>0.4182691727326502</v>
      </c>
      <c r="N12" s="9">
        <f>D12*1000/B12</f>
        <v>4253.061224489796</v>
      </c>
      <c r="O12" s="13">
        <f>N12/N11-1</f>
        <v>-0.035053792727767874</v>
      </c>
      <c r="P12" s="6">
        <v>7139.81</v>
      </c>
      <c r="Q12" s="13">
        <f>P12/P11-1</f>
        <v>0.4158951749609132</v>
      </c>
      <c r="R12" s="6">
        <v>85542.0</v>
      </c>
      <c r="S12" s="13">
        <f>R12/R11-1</f>
        <v>0.5264181581342231</v>
      </c>
      <c r="T12" s="6">
        <v>128026.7</v>
      </c>
      <c r="U12" s="13">
        <f>T12/T11-1</f>
        <v>0.5456774365843016</v>
      </c>
      <c r="V12" s="10">
        <v>398.94166666666666</v>
      </c>
      <c r="W12" s="13">
        <f>V12/V11-1</f>
        <v>0.3808191520046149</v>
      </c>
      <c r="X12" s="9">
        <f>V12*AF12</f>
        <v>7546.332214936666</v>
      </c>
      <c r="Y12" s="13">
        <f>X12/X11-1</f>
        <v>0.38234589114687445</v>
      </c>
      <c r="Z12" s="11">
        <v>5.9766666666666675</v>
      </c>
      <c r="AA12" s="13">
        <f>Z12/Z11-1</f>
        <v>0.38348765432098797</v>
      </c>
      <c r="AB12" s="9">
        <f>Z12*46*AF12</f>
        <v>5200.4795055546665</v>
      </c>
      <c r="AC12" s="13">
        <f>AB12/AB11-1</f>
        <v>0.38501734396326914</v>
      </c>
      <c r="AD12" s="7">
        <f>Z12*1000/V12</f>
        <v>14.981304702024108</v>
      </c>
      <c r="AE12" s="13">
        <f>AD12/AD11-1</f>
        <v>0.001932550191311666</v>
      </c>
      <c r="AF12" s="12">
        <v>18.915878799999998</v>
      </c>
      <c r="AG12" s="13">
        <f>AF12/AF11-1</f>
        <v>0.0011056763950898496</v>
      </c>
    </row>
    <row r="13">
      <c r="A13" t="inlineStr">
        <is>
          <t xml:space="preserve">2012/13</t>
        </is>
      </c>
      <c r="B13" s="6">
        <v>267</v>
      </c>
      <c r="C13" s="13">
        <f>B13/B12-1</f>
        <v>0.0897959183673469</v>
      </c>
      <c r="D13" s="6">
        <v>1068</v>
      </c>
      <c r="E13" s="13">
        <f>D13/D12-1</f>
        <v>0.0249520153550864</v>
      </c>
      <c r="F13" s="6">
        <v>48</v>
      </c>
      <c r="G13" s="13">
        <f>F13/F12-1</f>
        <v>0.19999999999999996</v>
      </c>
      <c r="H13" s="6">
        <v>4725.0</v>
      </c>
      <c r="I13" s="13">
        <f>H13/H12-1</f>
        <v>-0.15625</v>
      </c>
      <c r="J13" s="7">
        <f>H13/B13</f>
        <v>17.696629213483146</v>
      </c>
      <c r="K13" s="13">
        <f>J13/J12-1</f>
        <v>-0.2257724719101124</v>
      </c>
      <c r="L13" s="8">
        <f>H13*60/D13/1000</f>
        <v>0.26544943820224715</v>
      </c>
      <c r="M13" s="13">
        <f>L13/L12-1</f>
        <v>-0.17679073033707882</v>
      </c>
      <c r="N13" s="9">
        <f>D13*1000/B13</f>
        <v>4000.0</v>
      </c>
      <c r="O13" s="13">
        <f>N13/N12-1</f>
        <v>-0.05950095969289826</v>
      </c>
      <c r="P13" s="6">
        <v>5660.894</v>
      </c>
      <c r="Q13" s="13">
        <f>P13/P12-1</f>
        <v>-0.20713660447546922</v>
      </c>
      <c r="R13" s="6">
        <v>75417.0</v>
      </c>
      <c r="S13" s="13">
        <f>R13/R12-1</f>
        <v>-0.11836290944799044</v>
      </c>
      <c r="T13" s="6">
        <v>126987.33</v>
      </c>
      <c r="U13" s="13">
        <f>T13/T12-1</f>
        <v>-0.008118384680695478</v>
      </c>
      <c r="V13" s="10">
        <v>398.59999999999997</v>
      </c>
      <c r="W13" s="13">
        <f>V13/V12-1</f>
        <v>-0.0008564326447058068</v>
      </c>
      <c r="X13" s="9">
        <f>V13*AF13</f>
        <v>7774.316198437498</v>
      </c>
      <c r="Y13" s="13">
        <f>X13/X12-1</f>
        <v>0.03021123070219156</v>
      </c>
      <c r="Z13" s="11">
        <v>4.111666666666667</v>
      </c>
      <c r="AA13" s="13">
        <f>Z13/Z12-1</f>
        <v>-0.3120468488566648</v>
      </c>
      <c r="AB13" s="9">
        <f>Z13*46*AF13</f>
        <v>3688.931890078125</v>
      </c>
      <c r="AC13" s="13">
        <f>AB13/AB12-1</f>
        <v>-0.29065543165049446</v>
      </c>
      <c r="AD13" s="7">
        <f>Z13*1000/V13</f>
        <v>10.315270112058874</v>
      </c>
      <c r="AE13" s="13">
        <f>AD13/AD12-1</f>
        <v>-0.31145715828974563</v>
      </c>
      <c r="AF13" s="12">
        <v>19.5040546875</v>
      </c>
      <c r="AG13" s="13">
        <f>AF13/AF12-1</f>
        <v>0.031094293514927873</v>
      </c>
    </row>
    <row r="14">
      <c r="A14" t="inlineStr">
        <is>
          <t xml:space="preserve">2013/14</t>
        </is>
      </c>
      <c r="B14" s="6">
        <v>213</v>
      </c>
      <c r="C14" s="13">
        <f>B14/B13-1</f>
        <v>-0.202247191011236</v>
      </c>
      <c r="D14" s="6">
        <v>900</v>
      </c>
      <c r="E14" s="13">
        <f>D14/D13-1</f>
        <v>-0.1573033707865169</v>
      </c>
      <c r="F14" s="6">
        <v>50</v>
      </c>
      <c r="G14" s="13">
        <f>F14/F13-1</f>
        <v>0.04166666666666674</v>
      </c>
      <c r="H14" s="6">
        <v>4400.0</v>
      </c>
      <c r="I14" s="13">
        <f>H14/H13-1</f>
        <v>-0.06878306878306883</v>
      </c>
      <c r="J14" s="7">
        <f>H14/B14</f>
        <v>20.657276995305164</v>
      </c>
      <c r="K14" s="13">
        <f>J14/J13-1</f>
        <v>0.16730009687756175</v>
      </c>
      <c r="L14" s="8">
        <f>H14*60/D14/1000</f>
        <v>0.29333333333333333</v>
      </c>
      <c r="M14" s="13">
        <f>L14/L13-1</f>
        <v>0.10504409171075868</v>
      </c>
      <c r="N14" s="9">
        <f>D14*1000/B14</f>
        <v>4225.352112676056</v>
      </c>
      <c r="O14" s="13">
        <f>N14/N13-1</f>
        <v>0.05633802816901401</v>
      </c>
      <c r="P14" s="6">
        <v>5446.757</v>
      </c>
      <c r="Q14" s="13">
        <f>P14/P13-1</f>
        <v>-0.03782741736552575</v>
      </c>
      <c r="R14" s="6">
        <v>74712.0</v>
      </c>
      <c r="S14" s="13">
        <f>R14/R13-1</f>
        <v>-0.009348024981105096</v>
      </c>
      <c r="V14" s="10">
        <v>339.60833333333335</v>
      </c>
      <c r="W14" s="13">
        <f>V14/V13-1</f>
        <v>-0.14799715671516966</v>
      </c>
      <c r="X14" s="9">
        <f>V14*AF14</f>
        <v>6913.2489841963115</v>
      </c>
      <c r="Y14" s="13">
        <f>X14/X13-1</f>
        <v>-0.11075793578015858</v>
      </c>
      <c r="Z14" s="11">
        <v>3.0766666666666667</v>
      </c>
      <c r="AA14" s="13">
        <f>Z14/Z13-1</f>
        <v>-0.2517227401702473</v>
      </c>
      <c r="AB14" s="9">
        <f>Z14*46*AF14</f>
        <v>2880.9925686060606</v>
      </c>
      <c r="AC14" s="13">
        <f>AB14/AB13-1</f>
        <v>-0.21901714250814042</v>
      </c>
      <c r="AD14" s="7">
        <f>Z14*1000/V14</f>
        <v>9.05945574558928</v>
      </c>
      <c r="AE14" s="13">
        <f>AD14/AD13-1</f>
        <v>-0.12174323627274741</v>
      </c>
      <c r="AF14" s="12">
        <v>20.356535177865613</v>
      </c>
      <c r="AG14" s="13">
        <f>AF14/AF13-1</f>
        <v>0.04370785993088733</v>
      </c>
    </row>
    <row r="15">
      <c r="A15" t="inlineStr">
        <is>
          <t xml:space="preserve">2014/15</t>
        </is>
      </c>
      <c r="B15" s="6">
        <v>227</v>
      </c>
      <c r="C15" s="13">
        <f>B15/B14-1</f>
        <v>0.06572769953051649</v>
      </c>
      <c r="D15" s="6">
        <v>966</v>
      </c>
      <c r="E15" s="13">
        <f>D15/D14-1</f>
        <v>0.07333333333333325</v>
      </c>
      <c r="F15" s="6">
        <v>66</v>
      </c>
      <c r="G15" s="13">
        <f>F15/F14-1</f>
        <v>0.32000000000000006</v>
      </c>
      <c r="H15" s="6">
        <v>5100.0</v>
      </c>
      <c r="I15" s="13">
        <f>H15/H14-1</f>
        <v>0.15909090909090917</v>
      </c>
      <c r="J15" s="7">
        <f>H15/B15</f>
        <v>22.46696035242291</v>
      </c>
      <c r="K15" s="13">
        <f>J15/J14-1</f>
        <v>0.08760512615138172</v>
      </c>
      <c r="L15" s="8">
        <f>H15*60/D15/1000</f>
        <v>0.3167701863354037</v>
      </c>
      <c r="M15" s="13">
        <f>L15/L14-1</f>
        <v>0.07989836250705817</v>
      </c>
      <c r="N15" s="9">
        <f>D15*1000/B15</f>
        <v>4255.506607929516</v>
      </c>
      <c r="O15" s="13">
        <f>N15/N14-1</f>
        <v>0.007136563876652069</v>
      </c>
      <c r="P15" s="6">
        <v>6547.92</v>
      </c>
      <c r="Q15" s="13">
        <f>P15/P14-1</f>
        <v>0.20216855644560616</v>
      </c>
      <c r="R15" s="6">
        <v>74007.0</v>
      </c>
      <c r="S15" s="13">
        <f>R15/R14-1</f>
        <v>-0.00943623514294889</v>
      </c>
      <c r="T15" s="6">
        <v>103967.9</v>
      </c>
      <c r="V15" s="10">
        <v>308.44166666666666</v>
      </c>
      <c r="W15" s="13">
        <f>V15/V14-1</f>
        <v>-0.09177238485510275</v>
      </c>
      <c r="X15" s="9">
        <f>V15*AF15</f>
        <v>6473.764933833334</v>
      </c>
      <c r="Y15" s="13">
        <f>X15/X14-1</f>
        <v>-0.06357127471723323</v>
      </c>
      <c r="Z15" s="11">
        <v>4.425</v>
      </c>
      <c r="AA15" s="13">
        <f>Z15/Z14-1</f>
        <v>0.4382448537378114</v>
      </c>
      <c r="AB15" s="9">
        <f>Z15*46*AF15</f>
        <v>4272.233601</v>
      </c>
      <c r="AC15" s="13">
        <f>AB15/AB14-1</f>
        <v>0.4829033741892217</v>
      </c>
      <c r="AD15" s="7">
        <f>Z15*1000/V15</f>
        <v>14.346310755680436</v>
      </c>
      <c r="AE15" s="13">
        <f>AD15/AD14-1</f>
        <v>0.5835731371241735</v>
      </c>
      <c r="AF15" s="12">
        <v>20.98862</v>
      </c>
      <c r="AG15" s="13">
        <f>AF15/AF14-1</f>
        <v>0.031050707628362817</v>
      </c>
    </row>
    <row r="16">
      <c r="A16" t="inlineStr">
        <is>
          <t xml:space="preserve">2015/16</t>
        </is>
      </c>
      <c r="B16" s="6">
        <v>240</v>
      </c>
      <c r="C16" s="13">
        <f>B16/B15-1</f>
        <v>0.05726872246696035</v>
      </c>
      <c r="D16" s="6">
        <v>1020</v>
      </c>
      <c r="E16" s="13">
        <f>D16/D15-1</f>
        <v>0.05590062111801242</v>
      </c>
      <c r="F16" s="6">
        <v>63</v>
      </c>
      <c r="G16" s="13">
        <f>F16/F15-1</f>
        <v>-0.045454545454545414</v>
      </c>
      <c r="H16" s="6">
        <v>5300.0</v>
      </c>
      <c r="I16" s="13">
        <f>H16/H15-1</f>
        <v>0.03921568627450989</v>
      </c>
      <c r="J16" s="7">
        <f>H16/B16</f>
        <v>22.083333333333332</v>
      </c>
      <c r="K16" s="13">
        <f>J16/J15-1</f>
        <v>-0.017075163398692972</v>
      </c>
      <c r="L16" s="8">
        <f>H16*60/D16/1000</f>
        <v>0.31176470588235294</v>
      </c>
      <c r="M16" s="13">
        <f>L16/L15-1</f>
        <v>-0.015801614763552463</v>
      </c>
      <c r="N16" s="9">
        <f>D16*1000/B16</f>
        <v>4250.0</v>
      </c>
      <c r="O16" s="13">
        <f>N16/N15-1</f>
        <v>-0.0012939958592133038</v>
      </c>
      <c r="P16" s="6">
        <v>6704.36</v>
      </c>
      <c r="Q16" s="13">
        <f>P16/P15-1</f>
        <v>0.023891556402643843</v>
      </c>
      <c r="R16" s="6">
        <v>75343.0</v>
      </c>
      <c r="S16" s="13">
        <f>R16/R15-1</f>
        <v>0.01805234639966491</v>
      </c>
      <c r="T16" s="6">
        <v>111558.82</v>
      </c>
      <c r="U16" s="13">
        <f>T16/T15-1</f>
        <v>0.07301215086579615</v>
      </c>
      <c r="V16" s="10">
        <v>277.94166666666666</v>
      </c>
      <c r="W16" s="13">
        <f>V16/V15-1</f>
        <v>-0.09888417583011377</v>
      </c>
      <c r="X16" s="9">
        <f>V16*AF16</f>
        <v>6099.914143524865</v>
      </c>
      <c r="Y16" s="13">
        <f>X16/X15-1</f>
        <v>-0.05774858897867019</v>
      </c>
      <c r="Z16" s="11">
        <v>3.5258333333333334</v>
      </c>
      <c r="AA16" s="13">
        <f>Z16/Z15-1</f>
        <v>-0.20320150659133707</v>
      </c>
      <c r="AB16" s="9">
        <f>Z16*46*AF16</f>
        <v>3559.5055620114244</v>
      </c>
      <c r="AC16" s="13">
        <f>AB16/AB15-1</f>
        <v>-0.16682796531110744</v>
      </c>
      <c r="AD16" s="7">
        <f>Z16*1000/V16</f>
        <v>12.685515545827963</v>
      </c>
      <c r="AE16" s="13">
        <f>AD16/AD15-1</f>
        <v>-0.11576461977828545</v>
      </c>
      <c r="AF16" s="12">
        <v>21.946742338709676</v>
      </c>
      <c r="AG16" s="13">
        <f>AF16/AF15-1</f>
        <v>0.04564961101347653</v>
      </c>
    </row>
    <row r="17">
      <c r="A17" t="inlineStr">
        <is>
          <t xml:space="preserve">2016/17</t>
        </is>
      </c>
      <c r="B17" s="6">
        <v>280</v>
      </c>
      <c r="C17" s="13">
        <f>B17/B16-1</f>
        <v>0.16666666666666674</v>
      </c>
      <c r="D17" s="6">
        <v>1191</v>
      </c>
      <c r="E17" s="13">
        <f>D17/D16-1</f>
        <v>0.16764705882352948</v>
      </c>
      <c r="F17" s="6">
        <v>54</v>
      </c>
      <c r="G17" s="13">
        <f>F17/F16-1</f>
        <v>-0.1428571428571429</v>
      </c>
      <c r="H17" s="6">
        <v>7510.0</v>
      </c>
      <c r="I17" s="13">
        <f>H17/H16-1</f>
        <v>0.4169811320754717</v>
      </c>
      <c r="J17" s="7">
        <f>H17/B17</f>
        <v>26.821428571428573</v>
      </c>
      <c r="K17" s="13">
        <f>J17/J16-1</f>
        <v>0.21455525606469017</v>
      </c>
      <c r="L17" s="8">
        <f>H17*60/D17/1000</f>
        <v>0.3783375314861461</v>
      </c>
      <c r="M17" s="13">
        <f>L17/L16-1</f>
        <v>0.21353547835178932</v>
      </c>
      <c r="N17" s="9">
        <f>D17*1000/B17</f>
        <v>4253.571428571428</v>
      </c>
      <c r="O17" s="13">
        <f>N17/N16-1</f>
        <v>0.0008403361344537785</v>
      </c>
      <c r="P17" s="6">
        <v>9509.895</v>
      </c>
      <c r="Q17" s="13">
        <f>P17/P16-1</f>
        <v>0.4184642531128997</v>
      </c>
      <c r="R17" s="6">
        <v>95944.0</v>
      </c>
      <c r="S17" s="13">
        <f>R17/R16-1</f>
        <v>0.273429515681616</v>
      </c>
      <c r="T17" s="6">
        <v>143032.93</v>
      </c>
      <c r="U17" s="13">
        <f>T17/T16-1</f>
        <v>0.2821301802941263</v>
      </c>
      <c r="V17" s="10">
        <v>194.15</v>
      </c>
      <c r="W17" s="13">
        <f>V17/V16-1</f>
        <v>-0.3014721314424489</v>
      </c>
      <c r="X17" s="9">
        <f>V17*AF17</f>
        <v>4434.10432592742</v>
      </c>
      <c r="Y17" s="13">
        <f>X17/X16-1</f>
        <v>-0.2730874203148781</v>
      </c>
      <c r="Z17" s="11">
        <v>3.6125000000000003</v>
      </c>
      <c r="AA17" s="13">
        <f>Z17/Z16-1</f>
        <v>0.02458047742850389</v>
      </c>
      <c r="AB17" s="9">
        <f>Z17*46*AF17</f>
        <v>3795.1959122379035</v>
      </c>
      <c r="AC17" s="13">
        <f>AB17/AB16-1</f>
        <v>0.06621435087554506</v>
      </c>
      <c r="AD17" s="7">
        <f>Z17*1000/V17</f>
        <v>18.606747360288438</v>
      </c>
      <c r="AE17" s="13">
        <f>AD17/AD16-1</f>
        <v>0.46677108179555704</v>
      </c>
      <c r="AF17" s="12">
        <v>22.83854919354839</v>
      </c>
      <c r="AG17" s="13">
        <f>AF17/AF16-1</f>
        <v>0.04063504464923451</v>
      </c>
    </row>
    <row r="18">
      <c r="A18" t="inlineStr">
        <is>
          <t xml:space="preserve">2017/18</t>
        </is>
      </c>
      <c r="B18" s="6">
        <v>298</v>
      </c>
      <c r="C18" s="13">
        <f>B18/B17-1</f>
        <v>0.06428571428571428</v>
      </c>
      <c r="D18" s="6">
        <v>1269</v>
      </c>
      <c r="E18" s="13">
        <f>D18/D17-1</f>
        <v>0.06549118387909325</v>
      </c>
      <c r="F18" s="6">
        <v>44</v>
      </c>
      <c r="G18" s="13">
        <f>F18/F17-1</f>
        <v>-0.18518518518518523</v>
      </c>
      <c r="H18" s="6">
        <v>7600.0</v>
      </c>
      <c r="I18" s="13">
        <f>H18/H17-1</f>
        <v>0.011984021304926706</v>
      </c>
      <c r="J18" s="7">
        <f>H18/B18</f>
        <v>25.503355704697988</v>
      </c>
      <c r="K18" s="13">
        <f>J18/J17-1</f>
        <v>-0.049142530317518474</v>
      </c>
      <c r="L18" s="8">
        <f>H18*60/D18/1000</f>
        <v>0.35933806146572106</v>
      </c>
      <c r="M18" s="13">
        <f>L18/L17-1</f>
        <v>-0.05021830624573054</v>
      </c>
      <c r="N18" s="9">
        <f>D18*1000/B18</f>
        <v>4258.3892617449665</v>
      </c>
      <c r="O18" s="13">
        <f>N18/N17-1</f>
        <v>0.001132655993778986</v>
      </c>
      <c r="P18" s="6">
        <v>9410.583</v>
      </c>
      <c r="Q18" s="13">
        <f>P18/P17-1</f>
        <v>-0.010443017509657038</v>
      </c>
      <c r="R18" s="6">
        <v>110175.0</v>
      </c>
      <c r="S18" s="13">
        <f>R18/R17-1</f>
        <v>0.14832610689568915</v>
      </c>
      <c r="T18" s="6">
        <v>157715.35</v>
      </c>
      <c r="U18" s="13">
        <f>T18/T17-1</f>
        <v>0.1026506273765071</v>
      </c>
      <c r="V18" s="10">
        <v>213.88333333333333</v>
      </c>
      <c r="W18" s="13">
        <f>V18/V17-1</f>
        <v>0.1016396257189458</v>
      </c>
      <c r="X18" s="9">
        <f>V18*AF18</f>
        <v>5023.420434596994</v>
      </c>
      <c r="Y18" s="13">
        <f>X18/X17-1</f>
        <v>0.13290533225023182</v>
      </c>
      <c r="Z18" s="11">
        <v>3.3241666666666667</v>
      </c>
      <c r="AA18" s="13">
        <f>Z18/Z17-1</f>
        <v>-0.07981545559400238</v>
      </c>
      <c r="AB18" s="9">
        <f>Z18*46*AF18</f>
        <v>3591.39526699112</v>
      </c>
      <c r="AC18" s="13">
        <f>AB18/AB17-1</f>
        <v>-0.053699637636521635</v>
      </c>
      <c r="AD18" s="7">
        <f>Z18*1000/V18</f>
        <v>15.541962128886464</v>
      </c>
      <c r="AE18" s="13">
        <f>AD18/AD17-1</f>
        <v>-0.1647136477997767</v>
      </c>
      <c r="AF18" s="12">
        <v>23.48673155737705</v>
      </c>
      <c r="AG18" s="13">
        <f>AF18/AF17-1</f>
        <v>0.028381065641934988</v>
      </c>
    </row>
    <row r="19">
      <c r="A19" t="inlineStr">
        <is>
          <t xml:space="preserve">2018/19</t>
        </is>
      </c>
      <c r="B19" s="6">
        <v>286</v>
      </c>
      <c r="C19" s="13">
        <f>B19/B18-1</f>
        <v>-0.04026845637583898</v>
      </c>
      <c r="D19" s="6">
        <v>1362</v>
      </c>
      <c r="E19" s="13">
        <f>D19/D18-1</f>
        <v>0.07328605200945626</v>
      </c>
      <c r="F19" s="6">
        <v>36</v>
      </c>
      <c r="G19" s="13">
        <f>F19/F18-1</f>
        <v>-0.18181818181818177</v>
      </c>
      <c r="H19" s="6">
        <v>7100.0</v>
      </c>
      <c r="I19" s="13">
        <f>H19/H18-1</f>
        <v>-0.06578947368421051</v>
      </c>
      <c r="J19" s="7">
        <f>H19/B19</f>
        <v>24.825174825174827</v>
      </c>
      <c r="K19" s="13">
        <f>J19/J18-1</f>
        <v>-0.026591829223408192</v>
      </c>
      <c r="L19" s="8">
        <f>H19*60/D19/1000</f>
        <v>0.3127753303964758</v>
      </c>
      <c r="M19" s="13">
        <f>L19/L18-1</f>
        <v>-0.12957917922559692</v>
      </c>
      <c r="N19" s="9">
        <f>D19*1000/B19</f>
        <v>4762.237762237763</v>
      </c>
      <c r="O19" s="13">
        <f>N19/N18-1</f>
        <v>0.11831903321265025</v>
      </c>
      <c r="P19" s="6">
        <v>8887.536</v>
      </c>
      <c r="Q19" s="13">
        <f>P19/P18-1</f>
        <v>-0.0555807222570589</v>
      </c>
      <c r="R19" s="6">
        <v>122752.0</v>
      </c>
      <c r="S19" s="13">
        <f>R19/R18-1</f>
        <v>0.11415475380077145</v>
      </c>
      <c r="T19" s="6">
        <v>178390.81</v>
      </c>
      <c r="U19" s="13">
        <f>T19/T18-1</f>
        <v>0.13109351753015797</v>
      </c>
      <c r="V19" s="10">
        <v>249.45000000000002</v>
      </c>
      <c r="W19" s="13">
        <f>V19/V18-1</f>
        <v>0.16629003350736404</v>
      </c>
      <c r="X19" s="9">
        <f>V19*AF19</f>
        <v>5962.133502409639</v>
      </c>
      <c r="Y19" s="13">
        <f>X19/X18-1</f>
        <v>0.18686731083617802</v>
      </c>
      <c r="Z19" s="11">
        <v>2.9250000000000003</v>
      </c>
      <c r="AA19" s="13">
        <f>Z19/Z18-1</f>
        <v>-0.12008022060666823</v>
      </c>
      <c r="AB19" s="9">
        <f>Z19*46*AF19</f>
        <v>3215.895220481928</v>
      </c>
      <c r="AC19" s="13">
        <f>AB19/AB18-1</f>
        <v>-0.10455547735456783</v>
      </c>
      <c r="AD19" s="7">
        <f>Z19*1000/V19</f>
        <v>11.725796752856285</v>
      </c>
      <c r="AE19" s="13">
        <f>AD19/AD18-1</f>
        <v>-0.24553948493655198</v>
      </c>
      <c r="AF19" s="12">
        <v>23.901116465863453</v>
      </c>
      <c r="AG19" s="13">
        <f>AF19/AF18-1</f>
        <v>0.017643362060577816</v>
      </c>
    </row>
    <row r="20">
      <c r="A20" t="inlineStr">
        <is>
          <t xml:space="preserve">2019/20</t>
        </is>
      </c>
      <c r="B20" s="6">
        <v>270</v>
      </c>
      <c r="C20" s="13">
        <f>B20/B19-1</f>
        <v>-0.05594405594405594</v>
      </c>
      <c r="D20" s="6">
        <v>1290</v>
      </c>
      <c r="E20" s="13">
        <f>D20/D19-1</f>
        <v>-0.052863436123347984</v>
      </c>
      <c r="F20" s="6">
        <v>35</v>
      </c>
      <c r="G20" s="13">
        <f>F20/F19-1</f>
        <v>-0.02777777777777779</v>
      </c>
      <c r="H20" s="6">
        <v>5200.0</v>
      </c>
      <c r="I20" s="13">
        <f>H20/H19-1</f>
        <v>-0.2676056338028169</v>
      </c>
      <c r="J20" s="7">
        <f>H20/B20</f>
        <v>19.25925925925926</v>
      </c>
      <c r="K20" s="13">
        <f>J20/J19-1</f>
        <v>-0.22420448617631716</v>
      </c>
      <c r="L20" s="8">
        <f>H20*60/D20/1000</f>
        <v>0.24186046511627907</v>
      </c>
      <c r="M20" s="13">
        <f>L20/L19-1</f>
        <v>-0.22672780871274167</v>
      </c>
      <c r="N20" s="9">
        <f>D20*1000/B20</f>
        <v>4777.777777777777</v>
      </c>
      <c r="O20" s="13">
        <f>N20/N19-1</f>
        <v>0.0032631750693423722</v>
      </c>
      <c r="P20" s="6">
        <v>7182.026</v>
      </c>
      <c r="Q20" s="13">
        <f>P20/P19-1</f>
        <v>-0.1918990820402866</v>
      </c>
      <c r="R20" s="6">
        <v>86136.0</v>
      </c>
      <c r="S20" s="13">
        <f>R20/R19-1</f>
        <v>-0.2982924921793535</v>
      </c>
      <c r="T20" s="6">
        <v>134078.54</v>
      </c>
      <c r="U20" s="13">
        <f>T20/T19-1</f>
        <v>-0.24839995961675376</v>
      </c>
      <c r="V20" s="10">
        <v>245.28333333333333</v>
      </c>
      <c r="W20" s="13">
        <f>V20/V19-1</f>
        <v>-0.016703414177858034</v>
      </c>
      <c r="X20" s="9">
        <f>V20*AF20</f>
        <v>6011.313267874494</v>
      </c>
      <c r="Y20" s="13">
        <f>X20/X19-1</f>
        <v>0.008248685717114457</v>
      </c>
      <c r="Z20" s="11">
        <v>2.8800000000000003</v>
      </c>
      <c r="AA20" s="13">
        <f>Z20/Z19-1</f>
        <v>-0.01538461538461533</v>
      </c>
      <c r="AB20" s="9">
        <f>Z20*46*AF20</f>
        <v>3246.7708706720655</v>
      </c>
      <c r="AC20" s="13">
        <f>AB20/AB19-1</f>
        <v>0.009600950302575573</v>
      </c>
      <c r="AD20" s="7">
        <f>Z20*1000/V20</f>
        <v>11.741523408303324</v>
      </c>
      <c r="AE20" s="13">
        <f>AD20/AD19-1</f>
        <v>0.0013412014363296532</v>
      </c>
      <c r="AF20" s="12">
        <v>24.50763036437247</v>
      </c>
      <c r="AG20" s="13">
        <f>AF20/AF19-1</f>
        <v>0.025375965151053226</v>
      </c>
    </row>
    <row r="21">
      <c r="A21" t="inlineStr">
        <is>
          <t xml:space="preserve">2020/21</t>
        </is>
      </c>
      <c r="B21" s="6">
        <v>273</v>
      </c>
      <c r="C21" s="13">
        <f>B21/B20-1</f>
        <v>0.011111111111111072</v>
      </c>
      <c r="D21" s="6">
        <v>1295</v>
      </c>
      <c r="E21" s="13">
        <f>D21/D20-1</f>
        <v>0.003875968992248069</v>
      </c>
      <c r="F21" s="6">
        <v>34</v>
      </c>
      <c r="G21" s="13">
        <f>F21/F20-1</f>
        <v>-0.02857142857142858</v>
      </c>
      <c r="H21" s="6">
        <v>6500.0</v>
      </c>
      <c r="I21" s="13">
        <f>H21/H20-1</f>
        <v>0.25</v>
      </c>
      <c r="J21" s="7">
        <f>H21/B21</f>
        <v>23.80952380952381</v>
      </c>
      <c r="K21" s="13">
        <f>J21/J20-1</f>
        <v>0.2362637362637363</v>
      </c>
      <c r="L21" s="8">
        <f>H21*60/D21/1000</f>
        <v>0.30115830115830117</v>
      </c>
      <c r="M21" s="13">
        <f>L21/L20-1</f>
        <v>0.24517374517374524</v>
      </c>
      <c r="N21" s="9">
        <f>D21*1000/B21</f>
        <v>4743.589743589743</v>
      </c>
      <c r="O21" s="13">
        <f>N21/N20-1</f>
        <v>-0.007155635062611854</v>
      </c>
      <c r="P21" s="6">
        <v>7660.696</v>
      </c>
      <c r="Q21" s="13">
        <f>P21/P20-1</f>
        <v>0.06664832458139247</v>
      </c>
      <c r="R21" s="6">
        <v>128016.0</v>
      </c>
      <c r="S21" s="13">
        <f>R21/R20-1</f>
        <v>0.486207857341878</v>
      </c>
      <c r="T21" s="6">
        <v>190619.62</v>
      </c>
      <c r="U21" s="13">
        <f>T21/T20-1</f>
        <v>0.4217011909586723</v>
      </c>
      <c r="V21" s="10">
        <v>229.1</v>
      </c>
      <c r="W21" s="13">
        <f>V21/V20-1</f>
        <v>-0.06597812054087115</v>
      </c>
      <c r="X21" s="9">
        <f>V21*AF21</f>
        <v>5631.8036916216215</v>
      </c>
      <c r="Y21" s="13">
        <f>X21/X20-1</f>
        <v>-0.0631325567877219</v>
      </c>
      <c r="Z21" s="11">
        <v>3.3233333333333337</v>
      </c>
      <c r="AA21" s="13">
        <f>Z21/Z20-1</f>
        <v>0.15393518518518512</v>
      </c>
      <c r="AB21" s="9">
        <f>Z21*46*AF21</f>
        <v>3757.977315657658</v>
      </c>
      <c r="AC21" s="13">
        <f>AB21/AB20-1</f>
        <v>0.15745073038670432</v>
      </c>
      <c r="AD21" s="7">
        <f>Z21*1000/V21</f>
        <v>14.506038120180417</v>
      </c>
      <c r="AE21" s="13">
        <f>AD21/AD20-1</f>
        <v>0.23544770263133774</v>
      </c>
      <c r="AF21" s="12">
        <v>24.582294594594593</v>
      </c>
      <c r="AG21" s="13">
        <f>AF21/AF20-1</f>
        <v>0.0030465707664117936</v>
      </c>
    </row>
    <row r="22">
      <c r="A22" t="inlineStr">
        <is>
          <t xml:space="preserve">2021/22</t>
        </is>
      </c>
      <c r="B22" s="6">
        <v>275</v>
      </c>
      <c r="C22" s="13">
        <f>B22/B21-1</f>
        <v>0.0073260073260073</v>
      </c>
      <c r="D22" s="6">
        <v>1375</v>
      </c>
      <c r="E22" s="13">
        <f>D22/D21-1</f>
        <v>0.061776061776061875</v>
      </c>
      <c r="F22" s="6">
        <v>32</v>
      </c>
      <c r="G22" s="13">
        <f>F22/F21-1</f>
        <v>-0.05882352941176472</v>
      </c>
      <c r="H22" s="6">
        <v>4800.0</v>
      </c>
      <c r="I22" s="13">
        <f>H22/H21-1</f>
        <v>-0.2615384615384615</v>
      </c>
      <c r="J22" s="7">
        <f>H22/B22</f>
        <v>17.454545454545453</v>
      </c>
      <c r="K22" s="13">
        <f>J22/J21-1</f>
        <v>-0.266909090909091</v>
      </c>
      <c r="L22" s="8">
        <f>H22*60/D22/1000</f>
        <v>0.20945454545454548</v>
      </c>
      <c r="M22" s="13">
        <f>L22/L21-1</f>
        <v>-0.3045034965034964</v>
      </c>
      <c r="N22" s="9">
        <f>D22*1000/B22</f>
        <v>5000.0</v>
      </c>
      <c r="O22" s="13">
        <f>N22/N21-1</f>
        <v>0.05405405405405417</v>
      </c>
      <c r="P22" s="6">
        <v>6131.2259699999995</v>
      </c>
      <c r="Q22" s="13">
        <f>P22/P21-1</f>
        <v>-0.19965157604478767</v>
      </c>
      <c r="R22" s="6">
        <v>104868.0</v>
      </c>
      <c r="S22" s="13">
        <f>R22/R21-1</f>
        <v>-0.1808211473565804</v>
      </c>
      <c r="T22" s="6">
        <v>173224.31</v>
      </c>
      <c r="U22" s="13">
        <f>T22/T21-1</f>
        <v>-0.09125666077815076</v>
      </c>
      <c r="V22" s="10">
        <v>483.2166666666667</v>
      </c>
      <c r="W22" s="13">
        <f>V22/V21-1</f>
        <v>1.1091954022988508</v>
      </c>
      <c r="X22" s="9">
        <f>V22*AF22</f>
        <v>11604.574614993388</v>
      </c>
      <c r="Y22" s="13">
        <f>X22/X21-1</f>
        <v>1.060543167059853</v>
      </c>
      <c r="Z22" s="11">
        <v>4.510833333333334</v>
      </c>
      <c r="AA22" s="13">
        <f>Z22/Z21-1</f>
        <v>0.35732196589769316</v>
      </c>
      <c r="AB22" s="9">
        <f>Z22*46*AF22</f>
        <v>4983.12673746098</v>
      </c>
      <c r="AC22" s="13">
        <f>AB22/AB21-1</f>
        <v>0.32601299020585395</v>
      </c>
      <c r="AD22" s="7">
        <f>Z22*1000/V22</f>
        <v>9.335011899424</v>
      </c>
      <c r="AE22" s="13">
        <f>AD22/AD21-1</f>
        <v>-0.35647405431553514</v>
      </c>
      <c r="AF22" s="12">
        <v>24.015261507936508</v>
      </c>
      <c r="AG22" s="13">
        <f>AF22/AF21-1</f>
        <v>-0.02306672733402071</v>
      </c>
    </row>
    <row r="23">
      <c r="A23" t="inlineStr">
        <is>
          <t xml:space="preserve">2022/23</t>
        </is>
      </c>
      <c r="B23" s="6">
        <v>285</v>
      </c>
      <c r="C23" s="13">
        <f>B23/B22-1</f>
        <v>0.036363636363636376</v>
      </c>
      <c r="D23" s="6">
        <v>1600</v>
      </c>
      <c r="E23" s="13">
        <f>D23/D22-1</f>
        <v>0.16363636363636358</v>
      </c>
      <c r="F23" s="6">
        <v>35</v>
      </c>
      <c r="G23" s="13">
        <f>F23/F22-1</f>
        <v>0.09375</v>
      </c>
      <c r="H23" s="6">
        <v>5700.0</v>
      </c>
      <c r="I23" s="13">
        <f>H23/H22-1</f>
        <v>0.1875</v>
      </c>
      <c r="J23" s="7">
        <f>H23/B23</f>
        <v>20.0</v>
      </c>
      <c r="K23" s="13">
        <f>J23/J22-1</f>
        <v>0.14583333333333348</v>
      </c>
      <c r="L23" s="8">
        <f>H23*60/D23/1000</f>
        <v>0.21375</v>
      </c>
      <c r="M23" s="13">
        <f>L23/L22-1</f>
        <v>0.020507812499999778</v>
      </c>
      <c r="N23" s="9">
        <f>D23*1000/B23</f>
        <v>5614.035087719299</v>
      </c>
      <c r="O23" s="13">
        <f>N23/N22-1</f>
        <v>0.12280701754385981</v>
      </c>
      <c r="P23" s="6">
        <v>6900.0</v>
      </c>
      <c r="Q23" s="13">
        <f>P23/P22-1</f>
        <v>0.12538667368673106</v>
      </c>
      <c r="R23" s="6">
        <v>104865.0</v>
      </c>
      <c r="S23" s="13">
        <f>R23/R22-1</f>
        <v>-2.8607392150159505e-05</v>
      </c>
      <c r="V23" s="10">
        <v>700.0333333333334</v>
      </c>
      <c r="W23" s="13">
        <f>V23/V22-1</f>
        <v>0.4486945124685269</v>
      </c>
      <c r="X23" s="9">
        <f>V23*AF23</f>
        <v>17141.61977204725</v>
      </c>
      <c r="Y23" s="13">
        <f>X23/X22-1</f>
        <v>0.4771433112162393</v>
      </c>
      <c r="Z23" s="11">
        <v>5.630833333333334</v>
      </c>
      <c r="AA23" s="13">
        <f>Z23/Z22-1</f>
        <v>0.2482911509329393</v>
      </c>
      <c r="AB23" s="9">
        <f>Z23*46*AF23</f>
        <v>6342.54623683071</v>
      </c>
      <c r="AC23" s="13">
        <f>AB23/AB22-1</f>
        <v>0.2728045203326268</v>
      </c>
      <c r="AD23" s="7">
        <f>Z23*1000/V23</f>
        <v>8.0436645874006</v>
      </c>
      <c r="AE23" s="13">
        <f>AD23/AD22-1</f>
        <v>-0.13833376174947132</v>
      </c>
      <c r="AF23" s="12">
        <v>24.48686220472441</v>
      </c>
      <c r="AG23" s="13">
        <f>AF23/AF22-1</f>
        <v>0.01963754159545794</v>
      </c>
    </row>
    <row r="24">
      <c r="A24" t="inlineStr">
        <is>
          <t xml:space="preserve">2023/24</t>
        </is>
      </c>
      <c r="B24" s="6">
        <v>292</v>
      </c>
      <c r="C24" s="13">
        <f>B24/B23-1</f>
        <v>0.024561403508772006</v>
      </c>
      <c r="D24" s="6">
        <v>1800</v>
      </c>
      <c r="E24" s="13">
        <f>D24/D23-1</f>
        <v>0.125</v>
      </c>
      <c r="F24" s="6">
        <v>38</v>
      </c>
      <c r="G24" s="13">
        <f>F24/F23-1</f>
        <v>0.08571428571428563</v>
      </c>
      <c r="H24" s="6">
        <v>5050.0</v>
      </c>
      <c r="I24" s="13">
        <f>H24/H23-1</f>
        <v>-0.11403508771929827</v>
      </c>
      <c r="J24" s="7">
        <f>H24/B24</f>
        <v>17.294520547945204</v>
      </c>
      <c r="K24" s="13">
        <f>J24/J23-1</f>
        <v>-0.13527397260273977</v>
      </c>
      <c r="L24" s="8">
        <f>H24*60/D24/1000</f>
        <v>0.16833333333333333</v>
      </c>
      <c r="M24" s="13">
        <f>L24/L23-1</f>
        <v>-0.21247563352826504</v>
      </c>
      <c r="N24" s="9">
        <f>D24*1000/B24</f>
        <v>6164.3835616438355</v>
      </c>
      <c r="O24" s="13">
        <f>N24/N23-1</f>
        <v>0.0980308219178081</v>
      </c>
      <c r="R24" s="6">
        <v>104427.0</v>
      </c>
      <c r="S24" s="13">
        <f>R24/R23-1</f>
        <v>-0.004176798741238774</v>
      </c>
      <c r="T24" s="6">
        <v>166700.89</v>
      </c>
      <c r="V24" s="10">
        <v>358.0083333333334</v>
      </c>
      <c r="W24" s="13">
        <f>V24/V23-1</f>
        <v>-0.4885838769582401</v>
      </c>
      <c r="X24" s="9">
        <f>V24*AF24</f>
        <v>8807.57105574632</v>
      </c>
      <c r="Y24" s="13">
        <f>X24/X23-1</f>
        <v>-0.4861879348118092</v>
      </c>
      <c r="Z24" s="11">
        <v>4.540833333333333</v>
      </c>
      <c r="AA24" s="13">
        <f>Z24/Z23-1</f>
        <v>-0.19357703122687608</v>
      </c>
      <c r="AB24" s="9">
        <f>Z24*46*AF24</f>
        <v>5138.737262649933</v>
      </c>
      <c r="AC24" s="13">
        <f>AB24/AB23-1</f>
        <v>-0.1897990064605828</v>
      </c>
      <c r="AD24" s="7">
        <f>Z24*1000/V24</f>
        <v>12.683596750541186</v>
      </c>
      <c r="AE24" s="13">
        <f>AD24/AD23-1</f>
        <v>0.5768430685695749</v>
      </c>
      <c r="AF24" s="12">
        <v>24.601581124497994</v>
      </c>
      <c r="AG24" s="13">
        <f>AF24/AF23-1</f>
        <v>0.004684917112468989</v>
      </c>
    </row>
    <row r="25">
      <c r="A25" t="inlineStr">
        <is>
          <t xml:space="preserve">2024/25</t>
        </is>
      </c>
      <c r="B25" s="6">
        <v>300</v>
      </c>
      <c r="C25" s="13">
        <f>B25/B24-1</f>
        <v>0.027397260273972712</v>
      </c>
      <c r="D25" s="6">
        <v>1900</v>
      </c>
      <c r="E25" s="13">
        <f>D25/D24-1</f>
        <v>0.05555555555555558</v>
      </c>
      <c r="F25" s="6">
        <v>40</v>
      </c>
      <c r="G25" s="13">
        <f>F25/F24-1</f>
        <v>0.05263157894736836</v>
      </c>
      <c r="H25" s="6">
        <v>5200.0</v>
      </c>
      <c r="I25" s="13">
        <f>H25/H24-1</f>
        <v>0.02970297029702973</v>
      </c>
      <c r="J25" s="7">
        <f>H25/B25</f>
        <v>17.333333333333332</v>
      </c>
      <c r="K25" s="13">
        <f>J25/J24-1</f>
        <v>0.0022442244224423202</v>
      </c>
      <c r="L25" s="8">
        <f>H25*60/D25/1000</f>
        <v>0.16421052631578947</v>
      </c>
      <c r="M25" s="13">
        <f>L25/L24-1</f>
        <v>-0.02449192287649815</v>
      </c>
      <c r="N25" s="9">
        <f>D25*1000/B25</f>
        <v>6333.333333333333</v>
      </c>
      <c r="O25" s="13">
        <f>N25/N24-1</f>
        <v>0.027407407407407325</v>
      </c>
      <c r="P25" s="6">
        <v>6117.31313</v>
      </c>
      <c r="R25" s="6">
        <v>106830.0</v>
      </c>
      <c r="S25" s="13">
        <f>R25/R24-1</f>
        <v>0.023011290183573285</v>
      </c>
      <c r="T25" s="6">
        <v>179565.06</v>
      </c>
      <c r="U25" s="13">
        <f>T25/T24-1</f>
        <v>0.07716917408179391</v>
      </c>
      <c r="V25" s="10">
        <v>338.28333333333336</v>
      </c>
      <c r="W25" s="13">
        <f>V25/V24-1</f>
        <v>-0.05509648285654434</v>
      </c>
      <c r="X25" s="9">
        <f>V25*AF25</f>
        <v>8387.732921734143</v>
      </c>
      <c r="Y25" s="13">
        <f>X25/X24-1</f>
        <v>-0.04766786794621003</v>
      </c>
      <c r="Z25" s="11">
        <v>5.620833333333333</v>
      </c>
      <c r="AA25" s="13">
        <f>Z25/Z24-1</f>
        <v>0.23784180583593328</v>
      </c>
      <c r="AB25" s="9">
        <f>Z25*46*AF25</f>
        <v>6410.952095448717</v>
      </c>
      <c r="AC25" s="13">
        <f>AB25/AB24-1</f>
        <v>0.24757343443994873</v>
      </c>
      <c r="AD25" s="7">
        <f>Z25*1000/V25</f>
        <v>16.615756023057592</v>
      </c>
      <c r="AE25" s="13">
        <f>AD25/AD24-1</f>
        <v>0.31001925950922615</v>
      </c>
      <c r="AF25" s="12">
        <v>24.794993117408907</v>
      </c>
      <c r="AG25" s="13">
        <f>AF25/AF24-1</f>
        <v>0.00786177083221351</v>
      </c>
    </row>
    <row r="26">
      <c r="A26" t="inlineStr">
        <is>
          <t xml:space="preserve">2025/26</t>
        </is>
      </c>
      <c r="B26" s="6">
        <v>310</v>
      </c>
      <c r="C26" s="13">
        <f>B26/B25-1</f>
        <v>0.03333333333333344</v>
      </c>
      <c r="D26" s="6">
        <v>2000</v>
      </c>
      <c r="E26" s="13">
        <f>D26/D25-1</f>
        <v>0.05263157894736836</v>
      </c>
      <c r="F26" s="6">
        <v>40</v>
      </c>
      <c r="G26" s="13">
        <f>F26/F25-1</f>
        <v>0.0</v>
      </c>
      <c r="H26" s="6">
        <v>5530.0</v>
      </c>
      <c r="I26" s="13">
        <f>H26/H25-1</f>
        <v>0.06346153846153846</v>
      </c>
      <c r="J26" s="7">
        <f>H26/B26</f>
        <v>17.838709677419356</v>
      </c>
      <c r="K26" s="13">
        <f>J26/J25-1</f>
        <v>0.029156327543424343</v>
      </c>
      <c r="L26" s="8">
        <f>H26*60/D26/1000</f>
        <v>0.1659</v>
      </c>
      <c r="M26" s="13">
        <f>L26/L25-1</f>
        <v>0.010288461538461524</v>
      </c>
      <c r="N26" s="9">
        <f>D26*1000/B26</f>
        <v>6451.612903225807</v>
      </c>
      <c r="O26" s="13">
        <f>N26/N25-1</f>
        <v>0.018675721561969505</v>
      </c>
      <c r="V26" s="10">
        <v>422.6583333333333</v>
      </c>
      <c r="W26" s="13">
        <f>V26/V25-1</f>
        <v>0.24942109671379997</v>
      </c>
      <c r="X26" s="9">
        <f>V26*AF26</f>
        <v>10969.976653329917</v>
      </c>
      <c r="Y26" s="13">
        <f>X26/X25-1</f>
        <v>0.3078595558168895</v>
      </c>
      <c r="Z26" s="11">
        <v>8.47</v>
      </c>
      <c r="AA26" s="13">
        <f>Z26/Z25-1</f>
        <v>0.5068939955522611</v>
      </c>
      <c r="AB26" s="9">
        <f>Z26*46*AF26</f>
        <v>10112.476122172131</v>
      </c>
      <c r="AC26" s="13">
        <f>AB26/AB25-1</f>
        <v>0.5773750874462487</v>
      </c>
      <c r="AD26" s="7">
        <f>Z26*1000/V26</f>
        <v>20.03982728366096</v>
      </c>
      <c r="AE26" s="13">
        <f>AD26/AD25-1</f>
        <v>0.20607375649063453</v>
      </c>
      <c r="AF26" s="12">
        <v>25.954715163934427</v>
      </c>
      <c r="AG26" s="13">
        <f>AF26/AF25-1</f>
        <v>0.046772428652592124</v>
      </c>
    </row>
    <row r="27">
      <c r="A27" t="inlineStr">
        <is>
          <t xml:space="preserve">2026/27</t>
        </is>
      </c>
      <c r="B27" s="6">
        <v>330</v>
      </c>
      <c r="C27" s="13">
        <f>B27/B26-1</f>
        <v>0.06451612903225801</v>
      </c>
      <c r="D27" s="6">
        <v>2100</v>
      </c>
      <c r="E27" s="13">
        <f>D27/D26-1</f>
        <v>0.050000000000000044</v>
      </c>
      <c r="F27" s="6">
        <v>30</v>
      </c>
      <c r="G27" s="13">
        <f>F27/F26-1</f>
        <v>-0.25</v>
      </c>
      <c r="H27" s="6">
        <v>6030.0</v>
      </c>
      <c r="I27" s="13">
        <f>H27/H26-1</f>
        <v>0.0904159132007234</v>
      </c>
      <c r="J27" s="7">
        <f>H27/B27</f>
        <v>18.272727272727273</v>
      </c>
      <c r="K27" s="13">
        <f>J27/J26-1</f>
        <v>0.02433010027946736</v>
      </c>
      <c r="L27" s="8">
        <f>H27*60/D27/1000</f>
        <v>0.17228571428571426</v>
      </c>
      <c r="M27" s="13">
        <f>L27/L26-1</f>
        <v>0.03849134590545078</v>
      </c>
      <c r="N27" s="9">
        <f>D27*1000/B27</f>
        <v>6363.636363636364</v>
      </c>
      <c r="O27" s="13">
        <f>N27/N26-1</f>
        <v>-0.013636363636363669</v>
      </c>
      <c r="V27" s="10">
        <v>560.4375</v>
      </c>
      <c r="W27" s="13">
        <f>V27/V26-1</f>
        <v>0.32598237346950865</v>
      </c>
      <c r="X27" s="9">
        <f>V27*AF27</f>
        <v>14930.064590374332</v>
      </c>
      <c r="Y27" s="13">
        <f>X27/X26-1</f>
        <v>0.36099328760579774</v>
      </c>
      <c r="Z27" s="11">
        <v>7.42375</v>
      </c>
      <c r="AA27" s="13">
        <f>Z27/Z26-1</f>
        <v>-0.12352420306965772</v>
      </c>
      <c r="AB27" s="9">
        <f>Z27*46*AF27</f>
        <v>9097.366043721924</v>
      </c>
      <c r="AC27" s="13">
        <f>AB27/AB26-1</f>
        <v>-0.10038195059116384</v>
      </c>
      <c r="AD27" s="7">
        <f>Z27*1000/V27</f>
        <v>13.246347719415635</v>
      </c>
      <c r="AE27" s="13">
        <f>AD27/AD26-1</f>
        <v>-0.3389989079289242</v>
      </c>
      <c r="AF27" s="12">
        <v>26.640017112299464</v>
      </c>
      <c r="AG27" s="13">
        <f>AF27/AF26-1</f>
        <v>0.026403755311378063</v>
      </c>
    </row>
    <row r="29">
      <c r="A29" s="14" t="inlineStr">
        <is>
          <t xml:space="preserve">Notes: bearing trees and area are the USDA attache estimates (IHCAFE data); the tree count jumps from 1 375 M (2021) to 2 100 M (2026) while the bearing area rises 20 %: check before quoting per-tree numbers.</t>
        </is>
      </c>
    </row>
    <row r="30">
      <c r="A30" s="14" t="inlineStr">
        <is>
          <t xml:space="preserve">IHCAFE exports: 2005/06 - 2020/21 IHCAFE report 2020-2021; 2021/22 bulletin 07-02-2023; 2024/25 La Prensa 15 Jul 2026. 2025/26 estimate: 7 244 000 qq (Exports_nowcast of the forecast workbook) - not in this column.</t>
        </is>
      </c>
    </row>
    <row r="31">
      <c r="A31" s="14" t="inlineStr">
        <is>
          <t xml:space="preserve">FAOSTAT nitrogen = imports - exports of nitrogen in all fertilisers (all crops, coffee not separated); 2022 is imputed by FAO (flag I).</t>
        </is>
      </c>
    </row>
    <row r="32">
      <c r="A32" s="14" t="inlineStr">
        <is>
          <t xml:space="preserve">Lempira column: BCH daily reference rate (buying), mean of the days of the year; 2026 = 1 Jan - 25 Sep.</t>
        </is>
      </c>
    </row>
  </sheetData>
</worksheet>
</file>

<file path=xl/worksheets/sheet3.xml><?xml version="1.0" encoding="utf-8"?>
<worksheet xmlns="http://schemas.openxmlformats.org/spreadsheetml/2006/main" xmlns:r="http://schemas.openxmlformats.org/officeDocument/2006/relationships">
  <sheetFormatPr defaultRowHeight="13.2"/>
  <cols>
    <col min="1" max="1" width="60" customWidth="1"/>
    <col min="2" max="2" width="16" customWidth="1"/>
    <col min="3" max="3" width="16" customWidth="1"/>
    <col min="4" max="4" width="12" customWidth="1"/>
    <col min="5" max="5" width="12" customWidth="1"/>
    <col min="6" max="6" width="50" customWidth="1"/>
  </cols>
  <sheetData>
    <row r="1">
      <c r="A1" s="1" t="inlineStr">
        <is>
          <t xml:space="preserve">Is productivity really falling while area and trees go up?</t>
        </is>
      </c>
    </row>
    <row r="2">
      <c r="A2" s="2" t="inlineStr">
        <is>
          <t xml:space="preserve">Averages of 2016/17-2018/19 (peak) against 2022/23-2024/25 (last three crops with an outcome). Formulas on the YoY sheet.</t>
        </is>
      </c>
    </row>
    <row r="4">
      <c r="A4" s="4" t="inlineStr">
        <is>
          <t xml:space="preserve">Series</t>
        </is>
      </c>
      <c r="B4" s="4" t="inlineStr">
        <is>
          <t xml:space="preserve">2016/17-2018/19</t>
        </is>
      </c>
      <c r="C4" s="4" t="inlineStr">
        <is>
          <t xml:space="preserve">2022/23-2024/25</t>
        </is>
      </c>
      <c r="D4" s="4" t="inlineStr">
        <is>
          <t xml:space="preserve">Change</t>
        </is>
      </c>
    </row>
    <row r="5">
      <c r="A5" t="inlineStr">
        <is>
          <t xml:space="preserve">Bearing area (kha)</t>
        </is>
      </c>
      <c r="B5" s="9">
        <f>AVERAGE(YoY!B17:B19)</f>
        <v>288.0</v>
      </c>
      <c r="C5" s="9">
        <f>AVERAGE(YoY!B23:B25)</f>
        <v>292.3333333333333</v>
      </c>
      <c r="D5" s="15">
        <f>C5/B5-1</f>
        <v>0.01504629629629628</v>
      </c>
    </row>
    <row r="6">
      <c r="A6" t="inlineStr">
        <is>
          <t xml:space="preserve">Bearing trees (million)</t>
        </is>
      </c>
      <c r="B6" s="9">
        <f>AVERAGE(YoY!D17:D19)</f>
        <v>1274.0</v>
      </c>
      <c r="C6" s="9">
        <f>AVERAGE(YoY!D23:D25)</f>
        <v>1766.6666666666667</v>
      </c>
      <c r="D6" s="15">
        <f>C6/B6-1</f>
        <v>0.3867085295656725</v>
      </c>
    </row>
    <row r="7">
      <c r="A7" t="inlineStr">
        <is>
          <t xml:space="preserve">Production (1 000 bags)</t>
        </is>
      </c>
      <c r="B7" s="9">
        <f>AVERAGE(YoY!H17:H19)</f>
        <v>7403.333333333333</v>
      </c>
      <c r="C7" s="9">
        <f>AVERAGE(YoY!H23:H25)</f>
        <v>5316.666666666667</v>
      </c>
      <c r="D7" s="15">
        <f>C7/B7-1</f>
        <v>-0.2818550202611435</v>
      </c>
    </row>
    <row r="8">
      <c r="A8" t="inlineStr">
        <is>
          <t xml:space="preserve">Yield (bags / bearing ha)</t>
        </is>
      </c>
      <c r="B8" s="7">
        <f>AVERAGE(YoY!J17:J19)</f>
        <v>25.71665303376713</v>
      </c>
      <c r="C8" s="7">
        <f>AVERAGE(YoY!J23:J25)</f>
        <v>18.209284627092845</v>
      </c>
      <c r="D8" s="15">
        <f>C8/B8-1</f>
        <v>-0.2919263403685064</v>
      </c>
    </row>
    <row r="9">
      <c r="A9" t="inlineStr">
        <is>
          <t xml:space="preserve">Green coffee per bearing tree (kg)</t>
        </is>
      </c>
      <c r="B9" s="8">
        <f>AVERAGE(YoY!L17:L19)</f>
        <v>0.350150307782781</v>
      </c>
      <c r="C9" s="8">
        <f>AVERAGE(YoY!L23:L25)</f>
        <v>0.18209795321637426</v>
      </c>
      <c r="D9" s="15">
        <f>C9/B9-1</f>
        <v>-0.4799434723634731</v>
      </c>
    </row>
    <row r="10">
      <c r="A10" t="inlineStr">
        <is>
          <t xml:space="preserve">Bearing trees per ha</t>
        </is>
      </c>
      <c r="B10" s="9">
        <f>AVERAGE(YoY!N17:N19)</f>
        <v>4424.732817518053</v>
      </c>
      <c r="C10" s="9">
        <f>AVERAGE(YoY!N23:N25)</f>
        <v>6037.250660898822</v>
      </c>
      <c r="D10" s="15">
        <f>C10/B10-1</f>
        <v>0.3644328165977879</v>
      </c>
    </row>
    <row r="11">
      <c r="A11" t="inlineStr">
        <is>
          <t xml:space="preserve">Nitrogen use, all crops (t N)</t>
        </is>
      </c>
      <c r="B11" s="9">
        <f>AVERAGE(YoY!R17:R19)</f>
        <v>109623.66666666667</v>
      </c>
      <c r="C11" s="9">
        <f>AVERAGE(YoY!R23:R25)</f>
        <v>105374.0</v>
      </c>
      <c r="D11" s="15">
        <f>C11/B11-1</f>
        <v>-0.03876595990525167</v>
      </c>
    </row>
    <row r="12">
      <c r="A12" t="inlineStr">
        <is>
          <t xml:space="preserve">Urea imports (t)</t>
        </is>
      </c>
      <c r="B12" s="9">
        <f>AVERAGE(YoY!T17:T19)</f>
        <v>159713.03</v>
      </c>
      <c r="C12" s="9">
        <f>AVERAGE(YoY!T23:T25)</f>
        <v>173132.975</v>
      </c>
      <c r="D12" s="15">
        <f>C12/B12-1</f>
        <v>0.08402536098651447</v>
      </c>
    </row>
    <row r="13">
      <c r="A13" t="inlineStr">
        <is>
          <t xml:space="preserve">Urea price (L per t)</t>
        </is>
      </c>
      <c r="B13" s="9">
        <f>AVERAGE(YoY!X17:X19)</f>
        <v>5139.886087644684</v>
      </c>
      <c r="C13" s="9">
        <f>AVERAGE(YoY!X23:X25)</f>
        <v>11445.64124984257</v>
      </c>
      <c r="D13" s="15">
        <f>C13/B13-1</f>
        <v>1.2268278040938947</v>
      </c>
    </row>
    <row r="14">
      <c r="A14" t="inlineStr">
        <is>
          <t xml:space="preserve">kg urea bought by 1 kg coffee</t>
        </is>
      </c>
      <c r="B14" s="7">
        <f>AVERAGE(YoY!AD17:AD19)</f>
        <v>15.291502080677063</v>
      </c>
      <c r="C14" s="7">
        <f>AVERAGE(YoY!AD23:AD25)</f>
        <v>12.447672453666462</v>
      </c>
      <c r="D14" s="15">
        <f>C14/B14-1</f>
        <v>-0.18597451133359721</v>
      </c>
    </row>
    <row r="15">
      <c r="A15" t="inlineStr">
        <is>
          <t xml:space="preserve">Lempiras per US$</t>
        </is>
      </c>
      <c r="B15" s="16">
        <f>AVERAGE(YoY!AF17:AF19)</f>
        <v>23.408799072262962</v>
      </c>
      <c r="C15" s="16">
        <f>AVERAGE(YoY!AF23:AF25)</f>
        <v>24.6278121488771</v>
      </c>
      <c r="D15" s="15">
        <f>C15/B15-1</f>
        <v>0.05207499422977846</v>
      </c>
    </row>
    <row r="17">
      <c r="A17" s="4" t="inlineStr">
        <is>
          <t xml:space="preserve">IHCAFE registry (farms registered with IHCAFE)</t>
        </is>
      </c>
      <c r="B17" s="4" t="inlineStr">
        <is>
          <t xml:space="preserve">Harvested ha</t>
        </is>
      </c>
      <c r="C17" s="4" t="inlineStr">
        <is>
          <t xml:space="preserve">60-kg bags</t>
        </is>
      </c>
      <c r="D17" s="4" t="inlineStr">
        <is>
          <t xml:space="preserve">Bags per ha</t>
        </is>
      </c>
      <c r="E17" s="4" t="inlineStr">
        <is>
          <t xml:space="preserve">Producers</t>
        </is>
      </c>
      <c r="F17" s="4" t="inlineStr">
        <is>
          <t xml:space="preserve">Source</t>
        </is>
      </c>
    </row>
    <row r="18">
      <c r="A18" t="inlineStr">
        <is>
          <t xml:space="preserve">2022/23</t>
        </is>
      </c>
      <c r="B18" s="6">
        <v>315731.11</v>
      </c>
      <c r="C18" s="6">
        <v>5576639</v>
      </c>
      <c r="D18" s="7">
        <f>C18/B18</f>
        <v>17.66262120954758</v>
      </c>
      <c r="E18" s="6">
        <v>97277</v>
      </c>
      <c r="F18" s="17" t="inlineStr">
        <is>
          <t xml:space="preserve">GAIN 2024, table 1 (IHCAFE Coffee Statistics Report)</t>
        </is>
      </c>
    </row>
    <row r="19">
      <c r="A19" t="inlineStr">
        <is>
          <t xml:space="preserve">2023/24</t>
        </is>
      </c>
      <c r="B19" s="6">
        <v>280097</v>
      </c>
      <c r="C19" s="6">
        <v>4650354</v>
      </c>
      <c r="D19" s="7">
        <f>C19/B19</f>
        <v>16.602655508627368</v>
      </c>
      <c r="E19" s="6">
        <v>92421</v>
      </c>
      <c r="F19" s="17" t="inlineStr">
        <is>
          <t xml:space="preserve">GAIN 2025, table 1 (IHCAFE Coffee Statistics Report)</t>
        </is>
      </c>
    </row>
    <row r="20">
      <c r="A20" t="inlineStr">
        <is>
          <t xml:space="preserve">2024/25</t>
        </is>
      </c>
      <c r="B20" s="6">
        <v>285557</v>
      </c>
      <c r="C20" s="6">
        <v>4804430</v>
      </c>
      <c r="D20" s="7">
        <f>C20/B20</f>
        <v>16.824767034252357</v>
      </c>
      <c r="E20" s="6">
        <v>93628</v>
      </c>
      <c r="F20" s="17" t="inlineStr">
        <is>
          <t xml:space="preserve">GAIN 2026, table 1 (IHCAFE Coffee Statistics Report)</t>
        </is>
      </c>
    </row>
    <row r="21">
      <c r="A21" t="inlineStr">
        <is>
          <t xml:space="preserve">Coffee producers 2018: about 130,000, 110,000 registered with IHCAFE (El Heraldo 5 Sep 2018 (read))</t>
        </is>
      </c>
    </row>
    <row r="22">
      <c r="A22" t="inlineStr">
        <is>
          <t xml:space="preserve">Coffee producers 2022: about 100,000 (La Prensa / EFE 1 Nov 2022 (read): "mas de 100,000 productores")</t>
        </is>
      </c>
    </row>
    <row r="24">
      <c r="A24" s="14" t="inlineStr">
        <is>
          <t xml:space="preserve">2025/26: production implied by IHCAFE exports 6,045 thousand bags on 310 kha = 19.5 bags per ha (USDA estimate: 17.8).</t>
        </is>
      </c>
    </row>
    <row r="26">
      <c r="A26" s="14" t="inlineStr">
        <is>
          <t xml:space="preserve">Reading: yes, output per hectare fell by about 30 % from the 2016-18 peak (25.7 to 18.2 bags per ha), and the IHCAFE registry (16.6-17.7 bags per ha in 2022-24) says the same as USDA. Output per tree fell by about half (0.35 to 0.18 kg) because USDA counts about 40 % more trees on about the same area (6 000 instead of 4 400 trees per ha: denser, younger plantings).</t>
        </is>
      </c>
    </row>
    <row r="27">
      <c r="A27" s="14" t="inlineStr">
        <is>
          <t xml:space="preserve">Fertiliser does not explain it on its own: national nitrogen use in 2022-24 was only 4 % below 2016-18 (5 % per bearing coffee hectare), small next to the 30 % fall in yield. What changed: the 2012-15 renewal wave aged ("cyclical decline in productivity after a widespread re-planting effort ten years ago", USDA 2022), rust came back (Lempira lost its resistance in 2016/17; 15-25 % incidence after Eta/Iota in 2020; 5-8 % since 2022), fertiliser became dearer in lempiras (2021-22), the 2019-20 price slump cut care, labour ran short (USDA 2024) and Sep-Oct heat was higher (see the forecast workbook).</t>
        </is>
      </c>
    </row>
  </sheetData>
</worksheet>
</file>

<file path=xl/worksheets/sheet4.xml><?xml version="1.0" encoding="utf-8"?>
<worksheet xmlns="http://schemas.openxmlformats.org/spreadsheetml/2006/main" xmlns:r="http://schemas.openxmlformats.org/officeDocument/2006/relationships">
  <sheetViews>
    <sheetView workbookViewId="0">
      <pane xSplit="1" ySplit="4" topLeftCell="B5" activePane="bottomRight" state="frozen"/>
    </sheetView>
  </sheetViews>
  <sheetFormatPr defaultRowHeight="13.2"/>
  <cols>
    <col min="1" max="1" width="8" customWidth="1"/>
    <col min="2" max="2" width="12" customWidth="1"/>
    <col min="3" max="3" width="12"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s>
  <sheetData>
    <row r="1">
      <c r="A1" s="1" t="inlineStr">
        <is>
          <t xml:space="preserve">Fertiliser: how much, how dear, and the state gift (Bono Cafetalero)</t>
        </is>
      </c>
    </row>
    <row r="2">
      <c r="A2" s="2" t="inlineStr">
        <is>
          <t xml:space="preserve">FAOSTAT: agricultural use = imports - exports of the nutrient in all fertilisers (all crops). Flag I = imputed by FAO. Urea imports: FAOSTAT fertilisers by product.</t>
        </is>
      </c>
    </row>
    <row r="4">
      <c r="A4" s="4" t="inlineStr">
        <is>
          <t xml:space="preserve">Year</t>
        </is>
      </c>
      <c r="B4" s="4" t="inlineStr">
        <is>
          <t xml:space="preserve">N (t)</t>
        </is>
      </c>
      <c r="C4" s="4" t="inlineStr">
        <is>
          <t xml:space="preserve">change</t>
        </is>
      </c>
      <c r="D4" s="4" t="inlineStr">
        <is>
          <t xml:space="preserve">P2O5 (t)</t>
        </is>
      </c>
      <c r="E4" s="4" t="inlineStr">
        <is>
          <t xml:space="preserve">change</t>
        </is>
      </c>
      <c r="F4" s="4" t="inlineStr">
        <is>
          <t xml:space="preserve">K2O (t)</t>
        </is>
      </c>
      <c r="G4" s="4" t="inlineStr">
        <is>
          <t xml:space="preserve">change</t>
        </is>
      </c>
      <c r="H4" s="4" t="inlineStr">
        <is>
          <t xml:space="preserve">FAO flag (N imports)</t>
        </is>
      </c>
      <c r="I4" s="4" t="inlineStr">
        <is>
          <t xml:space="preserve">Urea imports (t)</t>
        </is>
      </c>
      <c r="J4" s="4" t="inlineStr">
        <is>
          <t xml:space="preserve">change</t>
        </is>
      </c>
      <c r="K4" s="4" t="inlineStr">
        <is>
          <t xml:space="preserve">Urea import unit value (US$/t)</t>
        </is>
      </c>
      <c r="L4" s="4" t="inlineStr">
        <is>
          <t xml:space="preserve">Urea world (US$/t)</t>
        </is>
      </c>
      <c r="M4" s="4" t="inlineStr">
        <is>
          <t xml:space="preserve">change</t>
        </is>
      </c>
      <c r="N4" s="4" t="inlineStr">
        <is>
          <t xml:space="preserve">Urea (L/t)</t>
        </is>
      </c>
      <c r="O4" s="4" t="inlineStr">
        <is>
          <t xml:space="preserve">change</t>
        </is>
      </c>
      <c r="P4" s="4" t="inlineStr">
        <is>
          <t xml:space="preserve">N per bearing coffee ha (kg, all-crop N)</t>
        </is>
      </c>
      <c r="Q4" s="4" t="inlineStr">
        <is>
          <t xml:space="preserve">Coffee bags per t of N</t>
        </is>
      </c>
    </row>
    <row r="5">
      <c r="A5">
        <v>2005</v>
      </c>
      <c r="B5" s="6">
        <v>41865.0</v>
      </c>
      <c r="D5" s="6">
        <v>14829.0</v>
      </c>
      <c r="F5" s="6">
        <v>6958.0</v>
      </c>
      <c r="H5" t="inlineStr">
        <is>
          <t xml:space="preserve">E</t>
        </is>
      </c>
      <c r="I5" s="6">
        <v>35952.04</v>
      </c>
      <c r="K5" s="6">
        <v>278.11857129664963</v>
      </c>
      <c r="L5" s="10">
        <v>217.35833333333335</v>
      </c>
      <c r="N5" s="9">
        <f>L5*YoY!AF6</f>
        <v>4093.5362369303384</v>
      </c>
      <c r="P5" s="9">
        <f>B5/YoY!B6</f>
        <v>227.52717391304347</v>
      </c>
      <c r="Q5" s="7">
        <f>YoY!H6*1000/B5</f>
        <v>76.53170906485131</v>
      </c>
    </row>
    <row r="6">
      <c r="A6">
        <v>2006</v>
      </c>
      <c r="B6" s="6">
        <v>66688.0</v>
      </c>
      <c r="C6" s="13">
        <f>B6/B5-1</f>
        <v>0.5929296548429475</v>
      </c>
      <c r="D6" s="6">
        <v>20783.0</v>
      </c>
      <c r="E6" s="13">
        <f>D6/D5-1</f>
        <v>0.4015105536448851</v>
      </c>
      <c r="F6" s="6">
        <v>15891.0</v>
      </c>
      <c r="G6" s="13">
        <f>F6/F5-1</f>
        <v>1.2838459327392928</v>
      </c>
      <c r="H6" t="inlineStr">
        <is>
          <t xml:space="preserve">E</t>
        </is>
      </c>
      <c r="I6" s="6">
        <v>85809.62</v>
      </c>
      <c r="J6" s="13">
        <f>I6/I5-1</f>
        <v>1.38678027728051</v>
      </c>
      <c r="K6" s="6">
        <v>280.3509676420896</v>
      </c>
      <c r="L6" s="10">
        <v>222.14166666666665</v>
      </c>
      <c r="M6" s="13">
        <f>L6/L5-1</f>
        <v>0.022006671011769896</v>
      </c>
      <c r="N6" s="9">
        <f>L6*YoY!AF7</f>
        <v>4197.412459037184</v>
      </c>
      <c r="O6" s="13">
        <f>N6/N5-1</f>
        <v>0.02537566937107183</v>
      </c>
      <c r="P6" s="9">
        <f>B6/YoY!B7</f>
        <v>289.9478260869565</v>
      </c>
      <c r="Q6" s="7">
        <f>YoY!H7*1000/B6</f>
        <v>51.883397312859884</v>
      </c>
    </row>
    <row r="7">
      <c r="A7">
        <v>2007</v>
      </c>
      <c r="B7" s="6">
        <v>63491.0</v>
      </c>
      <c r="C7" s="13">
        <f>B7/B6-1</f>
        <v>-0.04793965930902111</v>
      </c>
      <c r="D7" s="6">
        <v>21414.0</v>
      </c>
      <c r="E7" s="13">
        <f>D7/D6-1</f>
        <v>0.03036135302891796</v>
      </c>
      <c r="F7" s="6">
        <v>9776.0</v>
      </c>
      <c r="G7" s="13">
        <f>F7/F6-1</f>
        <v>-0.38480901139009505</v>
      </c>
      <c r="H7" t="inlineStr">
        <is>
          <t xml:space="preserve">E</t>
        </is>
      </c>
      <c r="I7" s="6">
        <v>79076.84</v>
      </c>
      <c r="J7" s="13">
        <f>I7/I6-1</f>
        <v>-0.0784618321349051</v>
      </c>
      <c r="K7" s="6">
        <v>350.1217296998717</v>
      </c>
      <c r="L7" s="10">
        <v>307.1166666666667</v>
      </c>
      <c r="M7" s="13">
        <f>L7/L6-1</f>
        <v>0.38252616573507914</v>
      </c>
      <c r="N7" s="9">
        <f>L7*YoY!AF8</f>
        <v>5803.00061972</v>
      </c>
      <c r="O7" s="13">
        <f>N7/N6-1</f>
        <v>0.38251855788580547</v>
      </c>
      <c r="P7" s="9">
        <f>B7/YoY!B8</f>
        <v>276.04782608695655</v>
      </c>
      <c r="Q7" s="7">
        <f>YoY!H8*1000/B7</f>
        <v>57.362460821218754</v>
      </c>
    </row>
    <row r="8">
      <c r="A8">
        <v>2008</v>
      </c>
      <c r="B8" s="6">
        <v>55554.0</v>
      </c>
      <c r="C8" s="13">
        <f>B8/B7-1</f>
        <v>-0.12500984391488557</v>
      </c>
      <c r="D8" s="6">
        <v>16565.0</v>
      </c>
      <c r="E8" s="13">
        <f>D8/D7-1</f>
        <v>-0.2264406463061549</v>
      </c>
      <c r="F8" s="6">
        <v>6892.0</v>
      </c>
      <c r="G8" s="13">
        <f>F8/F7-1</f>
        <v>-0.2950081833060556</v>
      </c>
      <c r="H8" t="inlineStr">
        <is>
          <t xml:space="preserve">I</t>
        </is>
      </c>
      <c r="L8" s="10">
        <v>514.9833333333333</v>
      </c>
      <c r="M8" s="13">
        <f>L8/L7-1</f>
        <v>0.6768329082324849</v>
      </c>
      <c r="N8" s="9">
        <f>L8*YoY!AF9</f>
        <v>9732.132616411764</v>
      </c>
      <c r="O8" s="13">
        <f>N8/N7-1</f>
        <v>0.6770862617762994</v>
      </c>
      <c r="P8" s="9">
        <f>B8/YoY!B9</f>
        <v>248.00892857142858</v>
      </c>
      <c r="Q8" s="7">
        <f>YoY!H9*1000/B8</f>
        <v>58.05162544551247</v>
      </c>
    </row>
    <row r="9">
      <c r="A9">
        <v>2009</v>
      </c>
      <c r="B9" s="6">
        <v>47616.0</v>
      </c>
      <c r="C9" s="13">
        <f>B9/B8-1</f>
        <v>-0.1428880008640242</v>
      </c>
      <c r="D9" s="6">
        <v>11716.0</v>
      </c>
      <c r="E9" s="13">
        <f>D9/D8-1</f>
        <v>-0.29272562632055543</v>
      </c>
      <c r="F9" s="6">
        <v>4008.0</v>
      </c>
      <c r="G9" s="13">
        <f>F9/F8-1</f>
        <v>-0.41845618107951243</v>
      </c>
      <c r="H9" t="inlineStr">
        <is>
          <t xml:space="preserve">E</t>
        </is>
      </c>
      <c r="I9" s="6">
        <v>60810.87</v>
      </c>
      <c r="K9" s="6">
        <v>306.9627190007313</v>
      </c>
      <c r="L9" s="10">
        <v>251.10000000000002</v>
      </c>
      <c r="M9" s="13">
        <f>L9/L8-1</f>
        <v>-0.5124114048998349</v>
      </c>
      <c r="N9" s="9">
        <f>L9*YoY!AF10</f>
        <v>4744.55961</v>
      </c>
      <c r="O9" s="13">
        <f>N9/N8-1</f>
        <v>-0.5124851050633012</v>
      </c>
      <c r="P9" s="9">
        <f>B9/YoY!B10</f>
        <v>212.57142857142858</v>
      </c>
      <c r="Q9" s="7">
        <f>YoY!H10*1000/B9</f>
        <v>74.55477150537635</v>
      </c>
    </row>
    <row r="10">
      <c r="A10">
        <v>2010</v>
      </c>
      <c r="B10" s="6">
        <v>56041.0</v>
      </c>
      <c r="C10" s="13">
        <f>B10/B9-1</f>
        <v>0.17693632392473124</v>
      </c>
      <c r="D10" s="6">
        <v>15327.0</v>
      </c>
      <c r="E10" s="13">
        <f>D10/D9-1</f>
        <v>0.3082109935131445</v>
      </c>
      <c r="F10" s="6">
        <v>15828.0</v>
      </c>
      <c r="G10" s="13">
        <f>F10/F9-1</f>
        <v>2.9491017964071857</v>
      </c>
      <c r="H10" t="inlineStr">
        <is>
          <t xml:space="preserve">E</t>
        </is>
      </c>
      <c r="I10" s="6">
        <v>82828.86</v>
      </c>
      <c r="J10" s="13">
        <f>I10/I9-1</f>
        <v>0.3620732609153594</v>
      </c>
      <c r="K10" s="6">
        <v>327.73878573241257</v>
      </c>
      <c r="L10" s="10">
        <v>288.9166666666667</v>
      </c>
      <c r="M10" s="13">
        <f>L10/L9-1</f>
        <v>0.15060400902694804</v>
      </c>
      <c r="N10" s="9">
        <f>L10*YoY!AF11</f>
        <v>5459.076677745098</v>
      </c>
      <c r="O10" s="13">
        <f>N10/N9-1</f>
        <v>0.15059713155234178</v>
      </c>
      <c r="P10" s="9">
        <f>B10/YoY!B11</f>
        <v>235.46638655462183</v>
      </c>
      <c r="Q10" s="7">
        <f>YoY!H11*1000/B10</f>
        <v>70.93021180921112</v>
      </c>
    </row>
    <row r="11">
      <c r="A11">
        <v>2011</v>
      </c>
      <c r="B11" s="6">
        <v>85542.0</v>
      </c>
      <c r="C11" s="13">
        <f>B11/B10-1</f>
        <v>0.5264181581342231</v>
      </c>
      <c r="D11" s="6">
        <v>23195.0</v>
      </c>
      <c r="E11" s="13">
        <f>D11/D10-1</f>
        <v>0.5133424675409408</v>
      </c>
      <c r="F11" s="6">
        <v>25119.0</v>
      </c>
      <c r="G11" s="13">
        <f>F11/F10-1</f>
        <v>0.5869977255496588</v>
      </c>
      <c r="H11" t="inlineStr">
        <is>
          <t xml:space="preserve">E</t>
        </is>
      </c>
      <c r="I11" s="6">
        <v>128026.7</v>
      </c>
      <c r="J11" s="13">
        <f>I11/I10-1</f>
        <v>0.5456774365843016</v>
      </c>
      <c r="K11" s="6">
        <v>418.44302789964905</v>
      </c>
      <c r="L11" s="10">
        <v>398.94166666666666</v>
      </c>
      <c r="M11" s="13">
        <f>L11/L10-1</f>
        <v>0.3808191520046149</v>
      </c>
      <c r="N11" s="9">
        <f>L11*YoY!AF12</f>
        <v>7546.332214936666</v>
      </c>
      <c r="O11" s="13">
        <f>N11/N10-1</f>
        <v>0.38234589114687445</v>
      </c>
      <c r="P11" s="9">
        <f>B11/YoY!B12</f>
        <v>349.1510204081633</v>
      </c>
      <c r="Q11" s="7">
        <f>YoY!H12*1000/B11</f>
        <v>65.46491781814781</v>
      </c>
    </row>
    <row r="12">
      <c r="A12">
        <v>2012</v>
      </c>
      <c r="B12" s="6">
        <v>75417.0</v>
      </c>
      <c r="C12" s="13">
        <f>B12/B11-1</f>
        <v>-0.11836290944799044</v>
      </c>
      <c r="D12" s="6">
        <v>18301.0</v>
      </c>
      <c r="E12" s="13">
        <f>D12/D11-1</f>
        <v>-0.2109937486527269</v>
      </c>
      <c r="F12" s="6">
        <v>16134.0</v>
      </c>
      <c r="G12" s="13">
        <f>F12/F11-1</f>
        <v>-0.3576973605637167</v>
      </c>
      <c r="H12" t="inlineStr">
        <is>
          <t xml:space="preserve">E</t>
        </is>
      </c>
      <c r="I12" s="6">
        <v>126987.33</v>
      </c>
      <c r="J12" s="13">
        <f>I12/I11-1</f>
        <v>-0.008118384680695478</v>
      </c>
      <c r="K12" s="6">
        <v>462.85594003748247</v>
      </c>
      <c r="L12" s="10">
        <v>398.59999999999997</v>
      </c>
      <c r="M12" s="13">
        <f>L12/L11-1</f>
        <v>-0.0008564326447058068</v>
      </c>
      <c r="N12" s="9">
        <f>L12*YoY!AF13</f>
        <v>7774.316198437498</v>
      </c>
      <c r="O12" s="13">
        <f>N12/N11-1</f>
        <v>0.03021123070219156</v>
      </c>
      <c r="P12" s="9">
        <f>B12/YoY!B13</f>
        <v>282.46067415730334</v>
      </c>
      <c r="Q12" s="7">
        <f>YoY!H13*1000/B12</f>
        <v>62.65165678825729</v>
      </c>
    </row>
    <row r="13">
      <c r="A13">
        <v>2013</v>
      </c>
      <c r="B13" s="6">
        <v>74712.0</v>
      </c>
      <c r="C13" s="13">
        <f>B13/B12-1</f>
        <v>-0.009348024981105096</v>
      </c>
      <c r="D13" s="6">
        <v>21794.0</v>
      </c>
      <c r="E13" s="13">
        <f>D13/D12-1</f>
        <v>0.1908638872192776</v>
      </c>
      <c r="F13" s="6">
        <v>29688.0</v>
      </c>
      <c r="G13" s="13">
        <f>F13/F12-1</f>
        <v>0.8400892525102268</v>
      </c>
      <c r="H13" t="inlineStr">
        <is>
          <t xml:space="preserve">I</t>
        </is>
      </c>
      <c r="L13" s="10">
        <v>339.60833333333335</v>
      </c>
      <c r="M13" s="13">
        <f>L13/L12-1</f>
        <v>-0.14799715671516966</v>
      </c>
      <c r="N13" s="9">
        <f>L13*YoY!AF14</f>
        <v>6913.2489841963115</v>
      </c>
      <c r="O13" s="13">
        <f>N13/N12-1</f>
        <v>-0.11075793578015858</v>
      </c>
      <c r="P13" s="9">
        <f>B13/YoY!B14</f>
        <v>350.76056338028167</v>
      </c>
      <c r="Q13" s="7">
        <f>YoY!H14*1000/B13</f>
        <v>58.89281507656066</v>
      </c>
    </row>
    <row r="14">
      <c r="A14">
        <v>2014</v>
      </c>
      <c r="B14" s="6">
        <v>74007.0</v>
      </c>
      <c r="C14" s="13">
        <f>B14/B13-1</f>
        <v>-0.00943623514294889</v>
      </c>
      <c r="D14" s="6">
        <v>25287.0</v>
      </c>
      <c r="E14" s="13">
        <f>D14/D13-1</f>
        <v>0.16027346976231982</v>
      </c>
      <c r="F14" s="6">
        <v>43243.0</v>
      </c>
      <c r="G14" s="13">
        <f>F14/F13-1</f>
        <v>0.4565817838857451</v>
      </c>
      <c r="H14" t="inlineStr">
        <is>
          <t xml:space="preserve">E</t>
        </is>
      </c>
      <c r="I14" s="6">
        <v>103967.9</v>
      </c>
      <c r="K14" s="6">
        <v>366.54332731545026</v>
      </c>
      <c r="L14" s="10">
        <v>308.44166666666666</v>
      </c>
      <c r="M14" s="13">
        <f>L14/L13-1</f>
        <v>-0.09177238485510275</v>
      </c>
      <c r="N14" s="9">
        <f>L14*YoY!AF15</f>
        <v>6473.764933833334</v>
      </c>
      <c r="O14" s="13">
        <f>N14/N13-1</f>
        <v>-0.06357127471723323</v>
      </c>
      <c r="P14" s="9">
        <f>B14/YoY!B15</f>
        <v>326.0220264317181</v>
      </c>
      <c r="Q14" s="7">
        <f>YoY!H15*1000/B14</f>
        <v>68.91240017836151</v>
      </c>
    </row>
    <row r="15">
      <c r="A15">
        <v>2015</v>
      </c>
      <c r="B15" s="6">
        <v>75343.0</v>
      </c>
      <c r="C15" s="13">
        <f>B15/B14-1</f>
        <v>0.01805234639966491</v>
      </c>
      <c r="D15" s="6">
        <v>33145.0</v>
      </c>
      <c r="E15" s="13">
        <f>D15/D14-1</f>
        <v>0.31075256060426315</v>
      </c>
      <c r="F15" s="6">
        <v>25793.0</v>
      </c>
      <c r="G15" s="13">
        <f>F15/F14-1</f>
        <v>-0.40353351987604935</v>
      </c>
      <c r="H15" t="inlineStr">
        <is>
          <t xml:space="preserve">E</t>
        </is>
      </c>
      <c r="I15" s="6">
        <v>111558.82</v>
      </c>
      <c r="J15" s="13">
        <f>I15/I14-1</f>
        <v>0.07301215086579615</v>
      </c>
      <c r="K15" s="6">
        <v>324.59540177997576</v>
      </c>
      <c r="L15" s="10">
        <v>277.94166666666666</v>
      </c>
      <c r="M15" s="13">
        <f>L15/L14-1</f>
        <v>-0.09888417583011377</v>
      </c>
      <c r="N15" s="9">
        <f>L15*YoY!AF16</f>
        <v>6099.914143524865</v>
      </c>
      <c r="O15" s="13">
        <f>N15/N14-1</f>
        <v>-0.05774858897867019</v>
      </c>
      <c r="P15" s="9">
        <f>B15/YoY!B16</f>
        <v>313.9291666666667</v>
      </c>
      <c r="Q15" s="7">
        <f>YoY!H16*1000/B15</f>
        <v>70.34495573576842</v>
      </c>
    </row>
    <row r="16">
      <c r="A16">
        <v>2016</v>
      </c>
      <c r="B16" s="6">
        <v>95944.0</v>
      </c>
      <c r="C16" s="13">
        <f>B16/B15-1</f>
        <v>0.273429515681616</v>
      </c>
      <c r="D16" s="6">
        <v>34653.0</v>
      </c>
      <c r="E16" s="13">
        <f>D16/D15-1</f>
        <v>0.04549705837984619</v>
      </c>
      <c r="F16" s="6">
        <v>36674.0</v>
      </c>
      <c r="G16" s="13">
        <f>F16/F15-1</f>
        <v>0.42185864381809024</v>
      </c>
      <c r="H16" t="inlineStr">
        <is>
          <t xml:space="preserve">E</t>
        </is>
      </c>
      <c r="I16" s="6">
        <v>143032.93</v>
      </c>
      <c r="J16" s="13">
        <f>I16/I15-1</f>
        <v>0.2821301802941263</v>
      </c>
      <c r="K16" s="6">
        <v>238.62071482420168</v>
      </c>
      <c r="L16" s="10">
        <v>194.15</v>
      </c>
      <c r="M16" s="13">
        <f>L16/L15-1</f>
        <v>-0.3014721314424489</v>
      </c>
      <c r="N16" s="9">
        <f>L16*YoY!AF17</f>
        <v>4434.10432592742</v>
      </c>
      <c r="O16" s="13">
        <f>N16/N15-1</f>
        <v>-0.2730874203148781</v>
      </c>
      <c r="P16" s="9">
        <f>B16/YoY!B17</f>
        <v>342.65714285714284</v>
      </c>
      <c r="Q16" s="7">
        <f>YoY!H17*1000/B16</f>
        <v>78.27482698240641</v>
      </c>
    </row>
    <row r="17">
      <c r="A17">
        <v>2017</v>
      </c>
      <c r="B17" s="6">
        <v>110175.0</v>
      </c>
      <c r="C17" s="13">
        <f>B17/B16-1</f>
        <v>0.14832610689568915</v>
      </c>
      <c r="D17" s="6">
        <v>34591.0</v>
      </c>
      <c r="E17" s="13">
        <f>D17/D16-1</f>
        <v>-0.0017891668830981589</v>
      </c>
      <c r="F17" s="6">
        <v>43065.0</v>
      </c>
      <c r="G17" s="13">
        <f>F17/F16-1</f>
        <v>0.1742651469706058</v>
      </c>
      <c r="H17" t="inlineStr">
        <is>
          <t xml:space="preserve">E</t>
        </is>
      </c>
      <c r="I17" s="6">
        <v>157715.35</v>
      </c>
      <c r="J17" s="13">
        <f>I17/I16-1</f>
        <v>0.1026506273765071</v>
      </c>
      <c r="K17" s="6">
        <v>258.6629646385085</v>
      </c>
      <c r="L17" s="10">
        <v>213.88333333333333</v>
      </c>
      <c r="M17" s="13">
        <f>L17/L16-1</f>
        <v>0.1016396257189458</v>
      </c>
      <c r="N17" s="9">
        <f>L17*YoY!AF18</f>
        <v>5023.420434596994</v>
      </c>
      <c r="O17" s="13">
        <f>N17/N16-1</f>
        <v>0.13290533225023182</v>
      </c>
      <c r="P17" s="9">
        <f>B17/YoY!B18</f>
        <v>369.7147651006711</v>
      </c>
      <c r="Q17" s="7">
        <f>YoY!H18*1000/B17</f>
        <v>68.98116632629907</v>
      </c>
    </row>
    <row r="18">
      <c r="A18">
        <v>2018</v>
      </c>
      <c r="B18" s="6">
        <v>122752.0</v>
      </c>
      <c r="C18" s="13">
        <f>B18/B17-1</f>
        <v>0.11415475380077145</v>
      </c>
      <c r="D18" s="6">
        <v>39277.0</v>
      </c>
      <c r="E18" s="13">
        <f>D18/D17-1</f>
        <v>0.13546876355121285</v>
      </c>
      <c r="F18" s="6">
        <v>47080.0</v>
      </c>
      <c r="G18" s="13">
        <f>F18/F17-1</f>
        <v>0.09323116219667948</v>
      </c>
      <c r="H18" t="inlineStr">
        <is>
          <t xml:space="preserve">E</t>
        </is>
      </c>
      <c r="I18" s="6">
        <v>178390.81</v>
      </c>
      <c r="J18" s="13">
        <f>I18/I17-1</f>
        <v>0.13109351753015797</v>
      </c>
      <c r="K18" s="6">
        <v>293.3260407304614</v>
      </c>
      <c r="L18" s="10">
        <v>249.45000000000002</v>
      </c>
      <c r="M18" s="13">
        <f>L18/L17-1</f>
        <v>0.16629003350736404</v>
      </c>
      <c r="N18" s="9">
        <f>L18*YoY!AF19</f>
        <v>5962.133502409639</v>
      </c>
      <c r="O18" s="13">
        <f>N18/N17-1</f>
        <v>0.18686731083617802</v>
      </c>
      <c r="P18" s="9">
        <f>B18/YoY!B19</f>
        <v>429.2027972027972</v>
      </c>
      <c r="Q18" s="7">
        <f>YoY!H19*1000/B18</f>
        <v>57.840198123044836</v>
      </c>
    </row>
    <row r="19">
      <c r="A19">
        <v>2019</v>
      </c>
      <c r="B19" s="6">
        <v>86136.0</v>
      </c>
      <c r="C19" s="13">
        <f>B19/B18-1</f>
        <v>-0.2982924921793535</v>
      </c>
      <c r="D19" s="6">
        <v>31343.0</v>
      </c>
      <c r="E19" s="13">
        <f>D19/D18-1</f>
        <v>-0.2020011711688775</v>
      </c>
      <c r="F19" s="6">
        <v>42804.0</v>
      </c>
      <c r="G19" s="13">
        <f>F19/F18-1</f>
        <v>-0.0908241291418862</v>
      </c>
      <c r="H19" t="inlineStr">
        <is>
          <t xml:space="preserve">E</t>
        </is>
      </c>
      <c r="I19" s="6">
        <v>134078.54</v>
      </c>
      <c r="J19" s="13">
        <f>I19/I18-1</f>
        <v>-0.24839995961675376</v>
      </c>
      <c r="K19" s="6">
        <v>288.57511425765824</v>
      </c>
      <c r="L19" s="10">
        <v>245.28333333333333</v>
      </c>
      <c r="M19" s="13">
        <f>L19/L18-1</f>
        <v>-0.016703414177858034</v>
      </c>
      <c r="N19" s="9">
        <f>L19*YoY!AF20</f>
        <v>6011.313267874494</v>
      </c>
      <c r="O19" s="13">
        <f>N19/N18-1</f>
        <v>0.008248685717114457</v>
      </c>
      <c r="P19" s="9">
        <f>B19/YoY!B20</f>
        <v>319.02222222222224</v>
      </c>
      <c r="Q19" s="7">
        <f>YoY!H20*1000/B19</f>
        <v>60.369647998513976</v>
      </c>
    </row>
    <row r="20">
      <c r="A20">
        <v>2020</v>
      </c>
      <c r="B20" s="6">
        <v>128016.0</v>
      </c>
      <c r="C20" s="13">
        <f>B20/B19-1</f>
        <v>0.486207857341878</v>
      </c>
      <c r="D20" s="6">
        <v>44680.0</v>
      </c>
      <c r="E20" s="13">
        <f>D20/D19-1</f>
        <v>0.42551765944549014</v>
      </c>
      <c r="F20" s="6">
        <v>69967.0</v>
      </c>
      <c r="G20" s="13">
        <f>F20/F19-1</f>
        <v>0.634590225212597</v>
      </c>
      <c r="H20" t="inlineStr">
        <is>
          <t xml:space="preserve">E</t>
        </is>
      </c>
      <c r="I20" s="6">
        <v>190619.62</v>
      </c>
      <c r="J20" s="13">
        <f>I20/I19-1</f>
        <v>0.4217011909586723</v>
      </c>
      <c r="K20" s="6">
        <v>265.93479726798324</v>
      </c>
      <c r="L20" s="10">
        <v>229.1</v>
      </c>
      <c r="M20" s="13">
        <f>L20/L19-1</f>
        <v>-0.06597812054087115</v>
      </c>
      <c r="N20" s="9">
        <f>L20*YoY!AF21</f>
        <v>5631.8036916216215</v>
      </c>
      <c r="O20" s="13">
        <f>N20/N19-1</f>
        <v>-0.0631325567877219</v>
      </c>
      <c r="P20" s="9">
        <f>B20/YoY!B21</f>
        <v>468.9230769230769</v>
      </c>
      <c r="Q20" s="7">
        <f>YoY!H21*1000/B20</f>
        <v>50.77490313710786</v>
      </c>
    </row>
    <row r="21">
      <c r="A21">
        <v>2021</v>
      </c>
      <c r="B21" s="6">
        <v>104868.0</v>
      </c>
      <c r="C21" s="13">
        <f>B21/B20-1</f>
        <v>-0.1808211473565804</v>
      </c>
      <c r="D21" s="6">
        <v>33278.0</v>
      </c>
      <c r="E21" s="13">
        <f>D21/D20-1</f>
        <v>-0.2551924798567592</v>
      </c>
      <c r="F21" s="6">
        <v>56411.0</v>
      </c>
      <c r="G21" s="13">
        <f>F21/F20-1</f>
        <v>-0.19374848142695844</v>
      </c>
      <c r="H21" t="inlineStr">
        <is>
          <t xml:space="preserve">E</t>
        </is>
      </c>
      <c r="I21" s="6">
        <v>173224.31</v>
      </c>
      <c r="J21" s="13">
        <f>I21/I20-1</f>
        <v>-0.09125666077815076</v>
      </c>
      <c r="K21" s="6">
        <v>406.13756810461535</v>
      </c>
      <c r="L21" s="10">
        <v>483.2166666666667</v>
      </c>
      <c r="M21" s="13">
        <f>L21/L20-1</f>
        <v>1.1091954022988508</v>
      </c>
      <c r="N21" s="9">
        <f>L21*YoY!AF22</f>
        <v>11604.574614993388</v>
      </c>
      <c r="O21" s="13">
        <f>N21/N20-1</f>
        <v>1.060543167059853</v>
      </c>
      <c r="P21" s="9">
        <f>B21/YoY!B22</f>
        <v>381.3381818181818</v>
      </c>
      <c r="Q21" s="7">
        <f>YoY!H22*1000/B21</f>
        <v>45.77182744021055</v>
      </c>
    </row>
    <row r="22">
      <c r="A22">
        <v>2022</v>
      </c>
      <c r="B22" s="6">
        <v>104865.0</v>
      </c>
      <c r="C22" s="13">
        <f>B22/B21-1</f>
        <v>-2.8607392150159505e-05</v>
      </c>
      <c r="D22" s="6">
        <v>33274.0</v>
      </c>
      <c r="E22" s="13">
        <f>D22/D21-1</f>
        <v>-0.00012019953122177629</v>
      </c>
      <c r="F22" s="6">
        <v>56407.0</v>
      </c>
      <c r="G22" s="13">
        <f>F22/F21-1</f>
        <v>-7.090815621069169e-05</v>
      </c>
      <c r="H22" t="inlineStr">
        <is>
          <t xml:space="preserve">I</t>
        </is>
      </c>
      <c r="L22" s="10">
        <v>700.0333333333334</v>
      </c>
      <c r="M22" s="13">
        <f>L22/L21-1</f>
        <v>0.4486945124685269</v>
      </c>
      <c r="N22" s="9">
        <f>L22*YoY!AF23</f>
        <v>17141.61977204725</v>
      </c>
      <c r="O22" s="13">
        <f>N22/N21-1</f>
        <v>0.4771433112162393</v>
      </c>
      <c r="P22" s="9">
        <f>B22/YoY!B23</f>
        <v>367.94736842105266</v>
      </c>
      <c r="Q22" s="7">
        <f>YoY!H23*1000/B22</f>
        <v>54.35560005721642</v>
      </c>
    </row>
    <row r="23">
      <c r="A23">
        <v>2023</v>
      </c>
      <c r="B23" s="6">
        <v>104427.0</v>
      </c>
      <c r="C23" s="13">
        <f>B23/B22-1</f>
        <v>-0.004176798741238774</v>
      </c>
      <c r="D23" s="6">
        <v>35527.0</v>
      </c>
      <c r="E23" s="13">
        <f>D23/D22-1</f>
        <v>0.06771052473402661</v>
      </c>
      <c r="F23" s="6">
        <v>51399.0</v>
      </c>
      <c r="G23" s="13">
        <f>F23/F22-1</f>
        <v>-0.08878330703636073</v>
      </c>
      <c r="H23" t="inlineStr">
        <is>
          <t xml:space="preserve">E</t>
        </is>
      </c>
      <c r="I23" s="6">
        <v>166700.89</v>
      </c>
      <c r="K23" s="6">
        <v>395.6757519410964</v>
      </c>
      <c r="L23" s="10">
        <v>358.0083333333334</v>
      </c>
      <c r="M23" s="13">
        <f>L23/L22-1</f>
        <v>-0.4885838769582401</v>
      </c>
      <c r="N23" s="9">
        <f>L23*YoY!AF24</f>
        <v>8807.57105574632</v>
      </c>
      <c r="O23" s="13">
        <f>N23/N22-1</f>
        <v>-0.4861879348118092</v>
      </c>
      <c r="P23" s="9">
        <f>B23/YoY!B24</f>
        <v>357.6267123287671</v>
      </c>
      <c r="Q23" s="7">
        <f>YoY!H24*1000/B23</f>
        <v>48.35914083522461</v>
      </c>
    </row>
    <row r="24">
      <c r="A24">
        <v>2024</v>
      </c>
      <c r="B24" s="6">
        <v>106830.0</v>
      </c>
      <c r="C24" s="13">
        <f>B24/B23-1</f>
        <v>0.023011290183573285</v>
      </c>
      <c r="D24" s="6">
        <v>38420.0</v>
      </c>
      <c r="E24" s="13">
        <f>D24/D23-1</f>
        <v>0.08143102429138405</v>
      </c>
      <c r="F24" s="6">
        <v>56337.0</v>
      </c>
      <c r="G24" s="13">
        <f>F24/F23-1</f>
        <v>0.09607190801377463</v>
      </c>
      <c r="H24" t="inlineStr">
        <is>
          <t xml:space="preserve">E</t>
        </is>
      </c>
      <c r="I24" s="6">
        <v>179565.06</v>
      </c>
      <c r="J24" s="13">
        <f>I24/I23-1</f>
        <v>0.07716917408179391</v>
      </c>
      <c r="K24" s="6">
        <v>365.2237801719332</v>
      </c>
      <c r="L24" s="10">
        <v>338.28333333333336</v>
      </c>
      <c r="M24" s="13">
        <f>L24/L23-1</f>
        <v>-0.05509648285654434</v>
      </c>
      <c r="N24" s="9">
        <f>L24*YoY!AF25</f>
        <v>8387.732921734143</v>
      </c>
      <c r="O24" s="13">
        <f>N24/N23-1</f>
        <v>-0.04766786794621003</v>
      </c>
      <c r="P24" s="9">
        <f>B24/YoY!B25</f>
        <v>356.1</v>
      </c>
      <c r="Q24" s="7">
        <f>YoY!H25*1000/B24</f>
        <v>48.67546569315735</v>
      </c>
    </row>
    <row r="25">
      <c r="A25">
        <v>2025</v>
      </c>
      <c r="L25" s="10">
        <v>422.6583333333333</v>
      </c>
      <c r="M25" s="13">
        <f>L25/L24-1</f>
        <v>0.24942109671379997</v>
      </c>
      <c r="N25" s="9">
        <f>L25*YoY!AF26</f>
        <v>10969.976653329917</v>
      </c>
      <c r="O25" s="13">
        <f>N25/N24-1</f>
        <v>0.3078595558168895</v>
      </c>
    </row>
    <row r="26">
      <c r="A26">
        <v>2026</v>
      </c>
      <c r="L26" s="10">
        <v>560.4375</v>
      </c>
      <c r="M26" s="13">
        <f>L26/L25-1</f>
        <v>0.32598237346950865</v>
      </c>
      <c r="N26" s="9">
        <f>L26*YoY!AF27</f>
        <v>14930.064590374332</v>
      </c>
      <c r="O26" s="13">
        <f>N26/N25-1</f>
        <v>0.36099328760579774</v>
      </c>
    </row>
    <row r="29">
      <c r="A29" s="4" t="inlineStr">
        <is>
          <t xml:space="preserve">Bono Cafetalero (fertiliser given by the state)</t>
        </is>
      </c>
      <c r="B29" s="4" t="inlineStr">
        <is>
          <t xml:space="preserve">Fertiliser (qq of 46 kg)</t>
        </is>
      </c>
      <c r="C29" s="4" t="inlineStr">
        <is>
          <t xml:space="preserve">Fertiliser (t)</t>
        </is>
      </c>
      <c r="D29" s="4" t="inlineStr">
        <is>
          <t xml:space="preserve">Producers</t>
        </is>
      </c>
      <c r="E29" s="4" t="inlineStr">
        <is>
          <t xml:space="preserve">Lempiras (M)</t>
        </is>
      </c>
      <c r="F29" s="4" t="inlineStr">
        <is>
          <t xml:space="preserve">US$ (M)</t>
        </is>
      </c>
      <c r="G29" s="4" t="inlineStr">
        <is>
          <t xml:space="preserve">Status</t>
        </is>
      </c>
      <c r="H29" s="4" t="inlineStr">
        <is>
          <t xml:space="preserve">Source</t>
        </is>
      </c>
    </row>
    <row r="30">
      <c r="A30">
        <v>2020</v>
      </c>
      <c r="B30" s="9">
        <f>C30*1000/46</f>
        <v>547565.2173913043</v>
      </c>
      <c r="C30" s="6">
        <v>25188</v>
      </c>
      <c r="D30" s="6">
        <v>91778</v>
      </c>
      <c r="F30" s="10">
        <v>12</v>
      </c>
      <c r="G30" s="17" t="inlineStr">
        <is>
          <t xml:space="preserve">✔ USDA report (read)</t>
        </is>
      </c>
      <c r="H30" t="inlineStr">
        <is>
          <t xml:space="preserve">GAIN 2021</t>
        </is>
      </c>
    </row>
    <row r="31">
      <c r="A31">
        <v>2021</v>
      </c>
      <c r="D31" s="6">
        <v>91500</v>
      </c>
      <c r="F31" s="10">
        <v>12.5</v>
      </c>
      <c r="G31" s="17" t="inlineStr">
        <is>
          <t xml:space="preserve">✔ USDA report (read)</t>
        </is>
      </c>
      <c r="H31" t="inlineStr">
        <is>
          <t xml:space="preserve">GAIN 2021 (extension to Dec 2021)</t>
        </is>
      </c>
    </row>
    <row r="32">
      <c r="A32">
        <v>2022</v>
      </c>
      <c r="B32" s="6">
        <v>216223</v>
      </c>
      <c r="C32" s="9">
        <f>B32*46/1000</f>
        <v>9946.258</v>
      </c>
      <c r="D32" s="6">
        <v>83273</v>
      </c>
      <c r="E32" s="6">
        <v>250</v>
      </c>
      <c r="G32" s="17" t="inlineStr">
        <is>
          <t xml:space="preserve">✔ document read</t>
        </is>
      </c>
      <c r="H32" t="inlineStr">
        <is>
          <t xml:space="preserve">La Prensa 27 Jul 2022 (read): 2-5 qq per grower, formula 17-3-17</t>
        </is>
      </c>
    </row>
    <row r="33">
      <c r="A33">
        <v>2023</v>
      </c>
      <c r="B33" s="6">
        <v>253032</v>
      </c>
      <c r="C33" s="9">
        <f>B33*46/1000</f>
        <v>11639.472</v>
      </c>
      <c r="D33" s="6">
        <v>95000</v>
      </c>
      <c r="G33" s="18" t="inlineStr">
        <is>
          <t xml:space="preserve">⚠ web extract, not read</t>
        </is>
      </c>
      <c r="H33" t="inlineStr">
        <is>
          <t xml:space="preserve">Gobierno Solidario (search summary)</t>
        </is>
      </c>
    </row>
    <row r="34">
      <c r="A34">
        <v>2024</v>
      </c>
      <c r="B34" s="6">
        <v>186000</v>
      </c>
      <c r="C34" s="9">
        <f>B34*46/1000</f>
        <v>8556.0</v>
      </c>
      <c r="G34" s="18" t="inlineStr">
        <is>
          <t xml:space="preserve">⚠ web extract, not read</t>
        </is>
      </c>
      <c r="H34" t="inlineStr">
        <is>
          <t xml:space="preserve">TNH (search summary: "mas de 186 mil sacos")</t>
        </is>
      </c>
    </row>
    <row r="35">
      <c r="A35">
        <v>2025</v>
      </c>
      <c r="B35" s="6">
        <v>300000</v>
      </c>
      <c r="C35" s="9">
        <f>B35*46/1000</f>
        <v>13800.0</v>
      </c>
      <c r="G35" s="17" t="inlineStr">
        <is>
          <t xml:space="preserve">✔ document read</t>
        </is>
      </c>
      <c r="H35" t="inlineStr">
        <is>
          <t xml:space="preserve">El Heraldo 14 Feb 2026 (read): "pasando de 300 mil quintales a cerca de 400 mil"</t>
        </is>
      </c>
    </row>
    <row r="36">
      <c r="A36">
        <v>2026</v>
      </c>
      <c r="B36" s="6">
        <v>400000</v>
      </c>
      <c r="C36" s="9">
        <f>B36*46/1000</f>
        <v>18400.0</v>
      </c>
      <c r="D36" s="6">
        <v>85600</v>
      </c>
      <c r="G36" s="17" t="inlineStr">
        <is>
          <t xml:space="preserve">✔ document read</t>
        </is>
      </c>
      <c r="H36" t="inlineStr">
        <is>
          <t xml:space="preserve">El Heraldo 14 Feb 2026 (read): plan "cerca de 400 mil quintales", &gt; 85 600 producers</t>
        </is>
      </c>
    </row>
    <row r="39">
      <c r="A39" s="14" t="inlineStr">
        <is>
          <t xml:space="preserve">Reading: national nitrogen use in 2021-24 (about 105 000 t) is below the 2018 and 2020 peaks (123 000 and 128 000 t) but above 2016 (96 000 t), the year before the record crop. Per bearing coffee hectare it is 5 % below 2016-18. The fall in yield since 2019 is therefore not a fall in national fertiliser use; the big one-year cuts (2019: -30 %) do line up with output.</t>
        </is>
      </c>
    </row>
    <row r="40">
      <c r="A40" s="14" t="inlineStr">
        <is>
          <t xml:space="preserve">What did change is the price in lempiras: urea cost L 4 400/t in 2016 and L 17 100/t in 2022 (4 times more), L 8 400/t in 2024 and about L 14 900/t in Jan-Aug 2026. Coffee bought 18.6 kg of urea per kg in 2016, 8.0 in 2022, 13.2 in 2026.</t>
        </is>
      </c>
    </row>
    <row r="41">
      <c r="A41" s="14" t="inlineStr">
        <is>
          <t xml:space="preserve">The Bono Cafetalero gives 2-5 qq per small or medium grower: 25 188 t in 2020, 216 223 qq in 2022, 300 000 qq in 2025, about 400 000 qq planned for 2026. 300 000 qq = 13 800 t of product, about 8 % of national urea imports by weight (it is not all urea).</t>
        </is>
      </c>
    </row>
  </sheetData>
</worksheet>
</file>

<file path=xl/worksheets/sheet5.xml><?xml version="1.0" encoding="utf-8"?>
<worksheet xmlns="http://schemas.openxmlformats.org/spreadsheetml/2006/main" xmlns:r="http://schemas.openxmlformats.org/officeDocument/2006/relationships">
  <sheetFormatPr defaultRowHeight="13.2"/>
  <cols>
    <col min="1" max="1" width="8" customWidth="1"/>
    <col min="2" max="2" width="110" customWidth="1"/>
    <col min="3" max="3" width="10" customWidth="1"/>
    <col min="4" max="4" width="70" customWidth="1"/>
    <col min="5" max="5" width="24" customWidth="1"/>
    <col min="6" max="6" width="50" customWidth="1"/>
  </cols>
  <sheetData>
    <row r="1">
      <c r="A1" s="1" t="inlineStr">
        <is>
          <t xml:space="preserve">Rust (roya) and other problems, every figure found</t>
        </is>
      </c>
    </row>
    <row r="2">
      <c r="A2" s="2" t="inlineStr">
        <is>
          <t xml:space="preserve">There is no published yearly series in the files we could reach: IHCAFE early-warning bulletins (monthly, about 1 200 farms) are behind the blocked ihcafe.hn host. Figures below are those printed by USDA or the press.</t>
        </is>
      </c>
    </row>
    <row r="4">
      <c r="A4" s="4" t="inlineStr">
        <is>
          <t xml:space="preserve">Year</t>
        </is>
      </c>
      <c r="B4" s="4" t="inlineStr">
        <is>
          <t xml:space="preserve">When</t>
        </is>
      </c>
      <c r="C4" s="4" t="inlineStr">
        <is>
          <t xml:space="preserve">Value (%)</t>
        </is>
      </c>
      <c r="D4" s="4" t="inlineStr">
        <is>
          <t xml:space="preserve">What it measures</t>
        </is>
      </c>
      <c r="E4" s="4" t="inlineStr">
        <is>
          <t xml:space="preserve">Status</t>
        </is>
      </c>
      <c r="F4" s="4" t="inlineStr">
        <is>
          <t xml:space="preserve">Source</t>
        </is>
      </c>
    </row>
    <row r="5">
      <c r="A5">
        <v>2012</v>
      </c>
      <c r="B5" t="inlineStr">
        <is>
          <t xml:space="preserve">2012/13 crop</t>
        </is>
      </c>
      <c r="C5" s="11">
        <v>25.0</v>
      </c>
      <c r="D5" t="inlineStr">
        <is>
          <t xml:space="preserve">% of coffee AREA affected (71 000 ha)</t>
        </is>
      </c>
      <c r="E5" s="17" t="inlineStr">
        <is>
          <t xml:space="preserve">✔ USDA report (read)</t>
        </is>
      </c>
      <c r="F5" t="inlineStr">
        <is>
          <t xml:space="preserve">GAIN 2013, 2014</t>
        </is>
      </c>
    </row>
    <row r="6">
      <c r="A6">
        <v>2014</v>
      </c>
      <c r="B6" t="inlineStr">
        <is>
          <t xml:space="preserve">Apr 2014</t>
        </is>
      </c>
      <c r="C6" s="11">
        <v>12.0</v>
      </c>
      <c r="D6" t="inlineStr">
        <is>
          <t xml:space="preserve">national average incidence (first national survey)</t>
        </is>
      </c>
      <c r="E6" s="17" t="inlineStr">
        <is>
          <t xml:space="preserve">✔ USDA report (read)</t>
        </is>
      </c>
      <c r="F6" t="inlineStr">
        <is>
          <t xml:space="preserve">GAIN 2014</t>
        </is>
      </c>
    </row>
    <row r="7">
      <c r="A7">
        <v>2017</v>
      </c>
      <c r="B7" t="inlineStr">
        <is>
          <t xml:space="preserve">Apr 2017</t>
        </is>
      </c>
      <c r="C7" s="11">
        <v>3.0</v>
      </c>
      <c r="D7" t="inlineStr">
        <is>
          <t xml:space="preserve">% of LEMPIRA plants with rust (Lempira lost its resistance in 2016/17)</t>
        </is>
      </c>
      <c r="E7" s="17" t="inlineStr">
        <is>
          <t xml:space="preserve">✔ USDA report (read)</t>
        </is>
      </c>
      <c r="F7" t="inlineStr">
        <is>
          <t xml:space="preserve">GAIN 2017, 2018</t>
        </is>
      </c>
    </row>
    <row r="8">
      <c r="A8">
        <v>2020</v>
      </c>
      <c r="B8" t="inlineStr">
        <is>
          <t xml:space="preserve">end 2020</t>
        </is>
      </c>
      <c r="C8" s="11">
        <v>20.0</v>
      </c>
      <c r="D8" t="inlineStr">
        <is>
          <t xml:space="preserve">incidence in 5 departments after hurricanes Eta and Iota</t>
        </is>
      </c>
      <c r="E8" s="17" t="inlineStr">
        <is>
          <t xml:space="preserve">✔ USDA report (read)</t>
        </is>
      </c>
      <c r="F8" t="inlineStr">
        <is>
          <t xml:space="preserve">GAIN 2021</t>
        </is>
      </c>
    </row>
    <row r="9">
      <c r="A9">
        <v>2020</v>
      </c>
      <c r="B9" t="inlineStr">
        <is>
          <t xml:space="preserve">Nov 2020</t>
        </is>
      </c>
      <c r="D9" t="inlineStr">
        <is>
          <t xml:space="preserve">Eta and Iota: &gt; 4 200 ha of coffee farms hit, &gt; 150 000 qq lost</t>
        </is>
      </c>
      <c r="E9" s="17" t="inlineStr">
        <is>
          <t xml:space="preserve">✔ document read</t>
        </is>
      </c>
      <c r="F9" t="inlineStr">
        <is>
          <t xml:space="preserve">La Prensa / EFE 1 Nov 2022 (read)</t>
        </is>
      </c>
    </row>
    <row r="10">
      <c r="A10">
        <v>2022</v>
      </c>
      <c r="B10" t="inlineStr">
        <is>
          <t xml:space="preserve">2022/23 crop</t>
        </is>
      </c>
      <c r="C10" s="11">
        <v>20.0</v>
      </c>
      <c r="D10" t="inlineStr">
        <is>
          <t xml:space="preserve">% of PRODUCTION affected by rust (IHCAFE director)</t>
        </is>
      </c>
      <c r="E10" s="17" t="inlineStr">
        <is>
          <t xml:space="preserve">✔ document read</t>
        </is>
      </c>
      <c r="F10" t="inlineStr">
        <is>
          <t xml:space="preserve">La Prensa / EFE 1 Nov 2022 (read)</t>
        </is>
      </c>
    </row>
    <row r="11">
      <c r="A11">
        <v>2022</v>
      </c>
      <c r="B11" t="inlineStr">
        <is>
          <t xml:space="preserve">Apr 2022</t>
        </is>
      </c>
      <c r="C11" s="11">
        <v>5.42</v>
      </c>
      <c r="D11" t="inlineStr">
        <is>
          <t xml:space="preserve">national average incidence (66 % of farms low, 29 % medium, 5 % high)</t>
        </is>
      </c>
      <c r="E11" s="17" t="inlineStr">
        <is>
          <t xml:space="preserve">✔ USDA report (read)</t>
        </is>
      </c>
      <c r="F11" t="inlineStr">
        <is>
          <t xml:space="preserve">GAIN 2022</t>
        </is>
      </c>
    </row>
    <row r="12">
      <c r="A12">
        <v>2023</v>
      </c>
      <c r="B12" t="inlineStr">
        <is>
          <t xml:space="preserve">May 2023</t>
        </is>
      </c>
      <c r="C12" s="11">
        <v>5.8</v>
      </c>
      <c r="D12" t="inlineStr">
        <is>
          <t xml:space="preserve">national average incidence (La Paz 9.7 %, Fco. Morazan 8.2 %)</t>
        </is>
      </c>
      <c r="E12" s="17" t="inlineStr">
        <is>
          <t xml:space="preserve">✔ USDA report (read)</t>
        </is>
      </c>
      <c r="F12" t="inlineStr">
        <is>
          <t xml:space="preserve">GAIN 2023 (repeated in GAIN 2024)</t>
        </is>
      </c>
    </row>
    <row r="13">
      <c r="A13">
        <v>2024</v>
      </c>
      <c r="B13" t="inlineStr">
        <is>
          <t xml:space="preserve">Mar 2024</t>
        </is>
      </c>
      <c r="C13" s="11">
        <v>7.38</v>
      </c>
      <c r="D13" t="inlineStr">
        <is>
          <t xml:space="preserve">national average incidence</t>
        </is>
      </c>
      <c r="E13" s="18" t="inlineStr">
        <is>
          <t xml:space="preserve">⚠ web extract, not read</t>
        </is>
      </c>
      <c r="F13" t="inlineStr">
        <is>
          <t xml:space="preserve">web search summary (La Prensa / El Heraldo)</t>
        </is>
      </c>
    </row>
    <row r="14">
      <c r="A14">
        <v>2024</v>
      </c>
      <c r="B14" t="inlineStr">
        <is>
          <t xml:space="preserve">Apr 2024</t>
        </is>
      </c>
      <c r="D14" t="inlineStr">
        <is>
          <t xml:space="preserve">76 % of sampled farms low, 19 % medium, 5 % high</t>
        </is>
      </c>
      <c r="E14" s="17" t="inlineStr">
        <is>
          <t xml:space="preserve">✔ USDA report (read)</t>
        </is>
      </c>
      <c r="F14" t="inlineStr">
        <is>
          <t xml:space="preserve">GAIN 2025</t>
        </is>
      </c>
    </row>
    <row r="15">
      <c r="A15">
        <v>2024</v>
      </c>
      <c r="B15" t="inlineStr">
        <is>
          <t xml:space="preserve">2024</t>
        </is>
      </c>
      <c r="D15" t="inlineStr">
        <is>
          <t xml:space="preserve">BCH: exports about 500 000 qq lower than 2023 "due to high rust incidence and labour shortage"</t>
        </is>
      </c>
      <c r="E15" s="17" t="inlineStr">
        <is>
          <t xml:space="preserve">✔ document read</t>
        </is>
      </c>
      <c r="F15" t="inlineStr">
        <is>
          <t xml:space="preserve">El Heraldo 23 Jun 2024 (read)</t>
        </is>
      </c>
    </row>
    <row r="16">
      <c r="A16">
        <v>2025</v>
      </c>
      <c r="B16" t="inlineStr">
        <is>
          <t xml:space="preserve">Jan-Mar 2025</t>
        </is>
      </c>
      <c r="C16" s="11">
        <v>5.71</v>
      </c>
      <c r="D16" t="inlineStr">
        <is>
          <t xml:space="preserve">national average (13 of 15 departments hit; Santa Barbara 9.29 %, El Paraiso 7.91 %, Comayagua 7.20 %; worst varieties Obata and Catuai)</t>
        </is>
      </c>
      <c r="E16" s="17" t="inlineStr">
        <is>
          <t xml:space="preserve">✔ document read</t>
        </is>
      </c>
      <c r="F16" t="inlineStr">
        <is>
          <t xml:space="preserve">El Heraldo 13 May 2025 (read)</t>
        </is>
      </c>
    </row>
    <row r="17">
      <c r="A17">
        <v>2025</v>
      </c>
      <c r="B17" t="inlineStr">
        <is>
          <t xml:space="preserve">Apr 2025</t>
        </is>
      </c>
      <c r="D17" t="inlineStr">
        <is>
          <t xml:space="preserve">sampled farms: 16.7 % medium (5-10 %), 7.8 % high (10-15 %), 21.6 % very high (&gt; 15 %)</t>
        </is>
      </c>
      <c r="E17" s="17" t="inlineStr">
        <is>
          <t xml:space="preserve">✔ USDA report (read)</t>
        </is>
      </c>
      <c r="F17" t="inlineStr">
        <is>
          <t xml:space="preserve">GAIN 2026</t>
        </is>
      </c>
    </row>
    <row r="18">
      <c r="A18">
        <v>2026</v>
      </c>
      <c r="B18" t="inlineStr">
        <is>
          <t xml:space="preserve">end Jan 2026</t>
        </is>
      </c>
      <c r="C18" s="11">
        <v>8.44</v>
      </c>
      <c r="D18" t="inlineStr">
        <is>
          <t xml:space="preserve">national average incidence (from 7.57 %); departments 2.06-14.08 %; ~30 % of farms &gt; 10 %</t>
        </is>
      </c>
      <c r="E18" s="17" t="inlineStr">
        <is>
          <t xml:space="preserve">✔ document read</t>
        </is>
      </c>
      <c r="F18" t="inlineStr">
        <is>
          <t xml:space="preserve">El Heraldo 15 Feb 2026 (read); GAIN 2026</t>
        </is>
      </c>
    </row>
    <row r="20">
      <c r="A20" s="3" t="inlineStr">
        <is>
          <t xml:space="preserve">IHCAFE rule of thumb</t>
        </is>
      </c>
    </row>
    <row r="21">
      <c r="A21" s="14" t="inlineStr">
        <is>
          <t xml:space="preserve">IHCAFE rule of thumb: rust damage of 15 % means about 20 % less production (GAIN 2017: "if the damage from rust reaches 15 percent, there could be a 20 percent reduction in production").</t>
        </is>
      </c>
    </row>
    <row r="22">
      <c r="A22" s="14" t="inlineStr">
        <is>
          <t xml:space="preserve">IHCAFE thresholds: 0-5 % low, 5-20 % medium (USDA 2022-2025).</t>
        </is>
      </c>
    </row>
    <row r="24">
      <c r="A24" s="4" t="inlineStr">
        <is>
          <t xml:space="preserve">Crop year</t>
        </is>
      </c>
      <c r="B24" s="4" t="inlineStr">
        <is>
          <t xml:space="preserve">What USDA wrote that year (drought, disease, fertiliser, labour)</t>
        </is>
      </c>
    </row>
    <row r="25">
      <c r="A25" t="inlineStr">
        <is>
          <t xml:space="preserve">2015/16</t>
        </is>
      </c>
      <c r="B25" t="inlineStr">
        <is>
          <t xml:space="preserve">El Nino drought: "Producers did not apply fertilizer due to the drought" (GAIN 2016).</t>
        </is>
      </c>
    </row>
    <row r="26">
      <c r="A26" t="inlineStr">
        <is>
          <t xml:space="preserve">2016/17</t>
        </is>
      </c>
      <c r="B26" t="inlineStr">
        <is>
          <t xml:space="preserve">First crop from plantings renewed after the 2012-14 rust (GAIN 2016).</t>
        </is>
      </c>
    </row>
    <row r="27">
      <c r="A27" t="inlineStr">
        <is>
          <t xml:space="preserve">2017/18</t>
        </is>
      </c>
      <c r="B27" t="inlineStr">
        <is>
          <t xml:space="preserve">Drought forecast; "Small farmers lack the resources to apply fertilizers" (GAIN 2017). Lempira hit by rust in 2016/17 (GAIN 2018).</t>
        </is>
      </c>
    </row>
    <row r="28">
      <c r="A28" t="inlineStr">
        <is>
          <t xml:space="preserve">2019/20</t>
        </is>
      </c>
      <c r="B28" t="inlineStr">
        <is>
          <t xml:space="preserve">Price 2.88 $/kg, lowest since 2007.</t>
        </is>
      </c>
    </row>
    <row r="29">
      <c r="A29" t="inlineStr">
        <is>
          <t xml:space="preserve">2020/21</t>
        </is>
      </c>
      <c r="B29" t="inlineStr">
        <is>
          <t xml:space="preserve">Bono Cafetalero: 25 188 t of fertiliser to 91 778 producers (GAIN 2021); hurricanes Eta and Iota in November.</t>
        </is>
      </c>
    </row>
    <row r="30">
      <c r="A30" t="inlineStr">
        <is>
          <t xml:space="preserve">2021/22</t>
        </is>
      </c>
      <c r="B30" t="inlineStr">
        <is>
          <t xml:space="preserve">"cyclical decline in productivity after a widespread re-planting effort ten years ago" and rust (GAIN 2022); fertiliser prices up (Russia) (GAIN 2022).</t>
        </is>
      </c>
    </row>
    <row r="31">
      <c r="A31" t="inlineStr">
        <is>
          <t xml:space="preserve">2022/23</t>
        </is>
      </c>
      <c r="B31" t="inlineStr">
        <is>
          <t xml:space="preserve">Less rust and "coffee drill bit" (berry borer) expected; high fertiliser costs (GAIN 2023).</t>
        </is>
      </c>
    </row>
    <row r="32">
      <c r="A32" t="inlineStr">
        <is>
          <t xml:space="preserve">2023/24</t>
        </is>
      </c>
      <c r="B32" t="inlineStr">
        <is>
          <t xml:space="preserve">"high incidence of coffee rust and ongoing labor shortage" (GAIN 2024).</t>
        </is>
      </c>
    </row>
    <row r="33">
      <c r="A33" t="inlineStr">
        <is>
          <t xml:space="preserve">2024/25</t>
        </is>
      </c>
      <c r="B33" t="inlineStr">
        <is>
          <t xml:space="preserve">Less rust, better labour availability, prices +81 % (GAIN 2025).</t>
        </is>
      </c>
    </row>
    <row r="34">
      <c r="A34" t="inlineStr">
        <is>
          <t xml:space="preserve">2025/26</t>
        </is>
      </c>
      <c r="B34" t="inlineStr">
        <is>
          <t xml:space="preserve">Parainema plantings harvested; rust up to 8.44 % by Jan 2026; fertiliser supply risk (Persian Gulf) (GAIN 2026).</t>
        </is>
      </c>
    </row>
  </sheetData>
</worksheet>
</file>

<file path=xl/worksheets/sheet6.xml><?xml version="1.0" encoding="utf-8"?>
<worksheet xmlns="http://schemas.openxmlformats.org/spreadsheetml/2006/main" xmlns:r="http://schemas.openxmlformats.org/officeDocument/2006/relationships">
  <sheetFormatPr defaultRowHeight="13.2"/>
  <cols>
    <col min="1" max="1" width="16" customWidth="1"/>
    <col min="2" max="2" width="36" customWidth="1"/>
    <col min="3" max="3" width="14" customWidth="1"/>
    <col min="4" max="4" width="24" customWidth="1"/>
    <col min="5" max="5" width="44" customWidth="1"/>
    <col min="6" max="6" width="110" customWidth="1"/>
  </cols>
  <sheetData>
    <row r="1">
      <c r="A1" s="1" t="inlineStr">
        <is>
          <t xml:space="preserve">Rust-resistant varieties: releases and share planted</t>
        </is>
      </c>
    </row>
    <row r="3">
      <c r="A3" s="4" t="inlineStr">
        <is>
          <t xml:space="preserve">Variety</t>
        </is>
      </c>
      <c r="B3" s="4" t="inlineStr">
        <is>
          <t xml:space="preserve">Released</t>
        </is>
      </c>
      <c r="C3" s="4" t="inlineStr">
        <is>
          <t xml:space="preserve">Type</t>
        </is>
      </c>
      <c r="D3" s="4" t="inlineStr">
        <is>
          <t xml:space="preserve">Status now</t>
        </is>
      </c>
      <c r="E3" s="4" t="inlineStr">
        <is>
          <t xml:space="preserve">Source</t>
        </is>
      </c>
    </row>
    <row r="4">
      <c r="A4" t="inlineStr">
        <is>
          <t xml:space="preserve">IHCAFE 90</t>
        </is>
      </c>
      <c r="B4" t="inlineStr">
        <is>
          <t xml:space="preserve">1990</t>
        </is>
      </c>
      <c r="C4" t="inlineStr">
        <is>
          <t xml:space="preserve"/>
        </is>
      </c>
      <c r="D4" t="inlineStr">
        <is>
          <t xml:space="preserve">Resistant 1990–2015; from 2016 about 20 % of plants susceptible to the new rust races (IHCAFE, 2019); 80 % resistance to the new strain (IHCAFE via La Prensa, 24 Aug 2017). USDA 2018: still resistant. World Coffee Research: "recently confirmed susceptible in Honduras"</t>
        </is>
      </c>
      <c r="E4" t="inlineStr">
        <is>
          <t xml:space="preserve">Morales &amp; Grajeda (IHCAFE), PROMECAFE 24th symposium 2019, table "Durabilidad de resistencia"; GAIN 2018; WCR variety page</t>
        </is>
      </c>
    </row>
    <row r="5">
      <c r="A5" t="inlineStr">
        <is>
          <t xml:space="preserve">Lempira</t>
        </is>
      </c>
      <c r="B5" t="inlineStr">
        <is>
          <t xml:space="preserve">1998</t>
        </is>
      </c>
      <c r="C5" t="inlineStr">
        <is>
          <t xml:space="preserve"/>
        </is>
      </c>
      <c r="D5" t="inlineStr">
        <is>
          <t xml:space="preserve">Resistant 1998–2001; tolerant 2002–2015 (rust already on 100 % of plants, low severity, in seed plots in July 2007); susceptible in 2016 (Olancho, full defoliation), spread over the whole country 2017–2019. USDA: IHCAFE confirmed the loss in April 2017</t>
        </is>
      </c>
      <c r="E5" t="inlineStr">
        <is>
          <t xml:space="preserve">Morales &amp; Grajeda (IHCAFE), PROMECAFE 2019; GAIN 2017; WCR variety page</t>
        </is>
      </c>
    </row>
    <row r="6">
      <c r="A6" t="inlineStr">
        <is>
          <t xml:space="preserve">Parainema</t>
        </is>
      </c>
      <c r="B6" t="inlineStr">
        <is>
          <t xml:space="preserve">2004</t>
        </is>
      </c>
      <c r="C6" t="inlineStr">
        <is>
          <t xml:space="preserve"/>
        </is>
      </c>
      <c r="D6" t="inlineStr">
        <is>
          <t xml:space="preserve">Resistant 2004–2019 in IHCAFE tests (fully resistant to the new races); USDA 2018, 2020, 2021: still resistant. Nothing later found</t>
        </is>
      </c>
      <c r="E6" t="inlineStr">
        <is>
          <t xml:space="preserve">Morales &amp; Grajeda (IHCAFE), PROMECAFE 2019; WCR ("released in 2004"); GAIN 2018, 2020, 2021, 2025</t>
        </is>
      </c>
    </row>
    <row r="7">
      <c r="A7" t="inlineStr">
        <is>
          <t xml:space="preserve">Ihcatú 75, Anacafé 14 SHN, Obatá SHN</t>
        </is>
      </c>
      <c r="B7" t="inlineStr">
        <is>
          <t xml:space="preserve">2024</t>
        </is>
      </c>
      <c r="C7" t="inlineStr">
        <is>
          <t xml:space="preserve"/>
        </is>
      </c>
      <c r="D7" t="inlineStr">
        <is>
          <t xml:space="preserve">Presented as more rust resistant and productive; seed for at least 1 500 manzanas in 2024. Caution: IHCAFE's 2019 study listed the Icatu 75 line as susceptible since 2016 and Obatá as 20 % susceptible</t>
        </is>
      </c>
      <c r="E7" t="inlineStr">
        <is>
          <t xml:space="preserve">El Heraldo, 29 Feb 2024 (read); La Prensa, 29 Sep 2023 (read: "at least 4" to be released in 2024; last release Parainema 2004); PROMECAFE 2019</t>
        </is>
      </c>
    </row>
    <row r="9">
      <c r="A9" s="4" t="inlineStr">
        <is>
          <t xml:space="preserve">When</t>
        </is>
      </c>
      <c r="B9" s="4" t="inlineStr">
        <is>
          <t xml:space="preserve">Scope</t>
        </is>
      </c>
      <c r="C9" s="4" t="inlineStr">
        <is>
          <t xml:space="preserve">Resistant share (%)</t>
        </is>
      </c>
      <c r="D9" s="4" t="inlineStr">
        <is>
          <t xml:space="preserve">Status</t>
        </is>
      </c>
      <c r="E9" s="4" t="inlineStr">
        <is>
          <t xml:space="preserve">Source</t>
        </is>
      </c>
      <c r="F9" s="4" t="inlineStr">
        <is>
          <t xml:space="preserve">Quote</t>
        </is>
      </c>
    </row>
    <row r="10">
      <c r="A10" t="inlineStr">
        <is>
          <t xml:space="preserve">Jun 2013</t>
        </is>
      </c>
      <c r="B10" t="inlineStr">
        <is>
          <t xml:space="preserve">national, % of coffee AREA</t>
        </is>
      </c>
      <c r="C10" s="10">
        <v>50</v>
      </c>
      <c r="D10" s="17" t="inlineStr">
        <is>
          <t xml:space="preserve">✔ USDA report (read)</t>
        </is>
      </c>
      <c r="E10" t="inlineStr">
        <is>
          <t xml:space="preserve">GAIN 2013</t>
        </is>
      </c>
      <c r="F10" t="inlineStr">
        <is>
          <t xml:space="preserve">IHCAFE reports that 50 percent of the total area of coffee production is planted with rust susceptible varieties.</t>
        </is>
      </c>
    </row>
    <row r="11">
      <c r="A11" t="inlineStr">
        <is>
          <t xml:space="preserve">since 2012</t>
        </is>
      </c>
      <c r="B11" t="inlineStr">
        <is>
          <t xml:space="preserve">cultivated area, dominated by Lempira</t>
        </is>
      </c>
      <c r="C11" s="10">
        <v>65</v>
      </c>
      <c r="D11" s="17" t="inlineStr">
        <is>
          <t xml:space="preserve">✔ document read</t>
        </is>
      </c>
      <c r="E11" t="inlineStr">
        <is>
          <t xml:space="preserve">Morales &amp; Grajeda (IHCAFE), PROMECAFE 2019 (read)</t>
        </is>
      </c>
      <c r="F11" t="inlineStr">
        <is>
          <t xml:space="preserve">Estos materiales resistentes reemplazaron los susceptibles y constituyen el 65% del área cultivada desde 2012 dominada por Lempira.</t>
        </is>
      </c>
    </row>
    <row r="12">
      <c r="A12" t="inlineStr">
        <is>
          <t xml:space="preserve">Apr 2014</t>
        </is>
      </c>
      <c r="B12" t="inlineStr">
        <is>
          <t xml:space="preserve">national, % of PRODUCERS</t>
        </is>
      </c>
      <c r="C12" s="10">
        <v>60</v>
      </c>
      <c r="D12" s="17" t="inlineStr">
        <is>
          <t xml:space="preserve">✔ USDA report (read)</t>
        </is>
      </c>
      <c r="E12" t="inlineStr">
        <is>
          <t xml:space="preserve">GAIN 2014</t>
        </is>
      </c>
      <c r="F12" t="inlineStr">
        <is>
          <t xml:space="preserve">the number of coffee producers, growing coffee rust resistant varieties, is moving up to 60 percent and 40 percent of them are still using non-resistant types.</t>
        </is>
      </c>
    </row>
    <row r="13">
      <c r="A13" t="inlineStr">
        <is>
          <t xml:space="preserve">2014</t>
        </is>
      </c>
      <c r="B13" t="inlineStr">
        <is>
          <t xml:space="preserve">5 departments (60 % of area), % of FARMS</t>
        </is>
      </c>
      <c r="C13" s="10">
        <v>62</v>
      </c>
      <c r="D13" s="17" t="inlineStr">
        <is>
          <t xml:space="preserve">✔ USDA report (read)</t>
        </is>
      </c>
      <c r="E13" t="inlineStr">
        <is>
          <t xml:space="preserve">GAIN 2014 (USDA/TechnoServe baseline)</t>
        </is>
      </c>
      <c r="F13" t="inlineStr">
        <is>
          <t xml:space="preserve">62 percent of the coffee farms had resistant varieties to coffee leaf rust and 38 percent had varieties susceptible</t>
        </is>
      </c>
    </row>
    <row r="14">
      <c r="A14" t="inlineStr">
        <is>
          <t xml:space="preserve">24 Aug 2017</t>
        </is>
      </c>
      <c r="B14" t="inlineStr">
        <is>
          <t xml:space="preserve">national coffee park (plants)</t>
        </is>
      </c>
      <c r="C14" s="10">
        <v>60</v>
      </c>
      <c r="D14" s="17" t="inlineStr">
        <is>
          <t xml:space="preserve">✔ document read</t>
        </is>
      </c>
      <c r="E14" t="inlineStr">
        <is>
          <t xml:space="preserve">La Prensa, 24 Aug 2017 (read, ihcafe_docs3)</t>
        </is>
      </c>
      <c r="F14" t="inlineStr">
        <is>
          <t xml:space="preserve">En la actualidad, el 60% del parque cafetalero nacional está conformado por plantas mejoradas y resistentes a la roya y otras enfermedades.</t>
        </is>
      </c>
    </row>
    <row r="15">
      <c r="A15" t="inlineStr">
        <is>
          <t xml:space="preserve">Oct 2017</t>
        </is>
      </c>
      <c r="B15" t="inlineStr">
        <is>
          <t xml:space="preserve">farms sampled by the rust early-warning system</t>
        </is>
      </c>
      <c r="C15" s="10">
        <v>17.2</v>
      </c>
      <c r="D15" s="18" t="inlineStr">
        <is>
          <t xml:space="preserve">⚠ web extract, not read</t>
        </is>
      </c>
      <c r="E15" t="inlineStr">
        <is>
          <t xml:space="preserve">IHCAFE SAT bulletin No 8 (search snippet)</t>
        </is>
      </c>
      <c r="F15" t="inlineStr">
        <is>
          <t xml:space="preserve">Lempira = 56.08 % of sampled farms, 67.74 % of farms classed as susceptible</t>
        </is>
      </c>
    </row>
    <row r="16">
      <c r="A16" t="inlineStr">
        <is>
          <t xml:space="preserve">~2020</t>
        </is>
      </c>
      <c r="B16" t="inlineStr">
        <is>
          <t xml:space="preserve">national, % of cultivation</t>
        </is>
      </c>
      <c r="C16" s="10">
        <v>60</v>
      </c>
      <c r="D16" s="18" t="inlineStr">
        <is>
          <t xml:space="preserve">⚠ web extract, not read</t>
        </is>
      </c>
      <c r="E16" t="inlineStr">
        <is>
          <t xml:space="preserve">Perfect Daily Grind, Mar 2020 (search extract)</t>
        </is>
      </c>
      <c r="F16" t="inlineStr">
        <is>
          <t xml:space="preserve">about 60 % of Honduran coffee is planted with resistant varieties (Lempira, IHCAFE 90, Parainema)</t>
        </is>
      </c>
    </row>
    <row r="18">
      <c r="A18" s="14" t="inlineStr">
        <is>
          <t xml:space="preserve">Reading: about half the area was resistant in 2013 and about 60-65 % from 2014-2017 on; no later national figure was found. Lempira, the main resistant variety, lost its resistance in 2016/17, so part of that 60 % became susceptible again. Parainema (2004) plantings are now being harvested (USDA 2025, 2026). Three more (Ihcatu 75, Anacafe 14, Obata) were released in 2024.</t>
        </is>
      </c>
    </row>
    <row r="19">
      <c r="A19" s="14" t="inlineStr">
        <is>
          <t xml:space="preserve">Not found: yield by variety, and any share after 2020.</t>
        </is>
      </c>
    </row>
  </sheetData>
</worksheet>
</file>

<file path=xl/worksheets/sheet7.xml><?xml version="1.0" encoding="utf-8"?>
<worksheet xmlns="http://schemas.openxmlformats.org/spreadsheetml/2006/main" xmlns:r="http://schemas.openxmlformats.org/officeDocument/2006/relationships">
  <sheetFormatPr defaultRowHeight="13.2"/>
  <cols>
    <col min="1" max="1" width="7" customWidth="1"/>
    <col min="2" max="2" width="60" customWidth="1"/>
    <col min="3" max="3" width="9" customWidth="1"/>
    <col min="4" max="4" width="11" customWidth="1"/>
    <col min="5" max="5" width="40" customWidth="1"/>
    <col min="6" max="6" width="60" customWidth="1"/>
    <col min="7" max="7" width="24" customWidth="1"/>
    <col min="8" max="8" width="50" customWidth="1"/>
  </cols>
  <sheetData>
    <row r="1">
      <c r="A1" s="1" t="inlineStr">
        <is>
          <t xml:space="preserve">Financing: state, IHCAFE and banks, by year</t>
        </is>
      </c>
    </row>
    <row r="2">
      <c r="A2" s="2" t="inlineStr">
        <is>
          <t xml:space="preserve">No yearly series of bank credit to coffee could be reached (BCH credit by activity is not in the files). The programmes and amounts below are those read in USDA reports, decrees and the press.</t>
        </is>
      </c>
    </row>
    <row r="4">
      <c r="A4" s="4" t="inlineStr">
        <is>
          <t xml:space="preserve">Year</t>
        </is>
      </c>
      <c r="B4" s="4" t="inlineStr">
        <is>
          <t xml:space="preserve">Programme</t>
        </is>
      </c>
      <c r="C4" s="4" t="inlineStr">
        <is>
          <t xml:space="preserve">US$ M</t>
        </is>
      </c>
      <c r="D4" s="4" t="inlineStr">
        <is>
          <t xml:space="preserve">Lempiras M</t>
        </is>
      </c>
      <c r="E4" s="4" t="inlineStr">
        <is>
          <t xml:space="preserve">Who</t>
        </is>
      </c>
      <c r="F4" s="4" t="inlineStr">
        <is>
          <t xml:space="preserve">Terms</t>
        </is>
      </c>
      <c r="G4" s="4" t="inlineStr">
        <is>
          <t xml:space="preserve">Status</t>
        </is>
      </c>
      <c r="H4" s="4" t="inlineStr">
        <is>
          <t xml:space="preserve">Source</t>
        </is>
      </c>
    </row>
    <row r="5">
      <c r="A5">
        <v>2002</v>
      </c>
      <c r="B5" t="inlineStr">
        <is>
          <t xml:space="preserve">Government loan to all growers (coffee crisis)</t>
        </is>
      </c>
      <c r="C5" s="10">
        <v>20</v>
      </c>
      <c r="E5" t="inlineStr">
        <is>
          <t xml:space="preserve">all producers</t>
        </is>
      </c>
      <c r="F5" t="inlineStr">
        <is>
          <t xml:space="preserve">20 years</t>
        </is>
      </c>
      <c r="G5" s="17" t="inlineStr">
        <is>
          <t xml:space="preserve">✔ USDA report (read)</t>
        </is>
      </c>
      <c r="H5" t="inlineStr">
        <is>
          <t xml:space="preserve">GAIN 2011</t>
        </is>
      </c>
    </row>
    <row r="6">
      <c r="A6">
        <v>2004</v>
      </c>
      <c r="B6" t="inlineStr">
        <is>
          <t xml:space="preserve">Coffee trust fund (Law of Financial Reactivation, 2003)</t>
        </is>
      </c>
      <c r="E6" t="inlineStr">
        <is>
          <t xml:space="preserve">87,000 producers take part (2011)</t>
        </is>
      </c>
      <c r="F6" t="inlineStr">
        <is>
          <t xml:space="preserve">US$13.25/qq deducted at sale: US$9 trust fund (returned if no debt), US$1 for 1999–2001 loans, US$3.25 (US$0.50 to the 2002 loan; rest 36 % IHCAFE, 64 % National Coffee Fund)</t>
        </is>
      </c>
      <c r="G6" s="17" t="inlineStr">
        <is>
          <t xml:space="preserve">✔ USDA report (read)</t>
        </is>
      </c>
      <c r="H6" t="inlineStr">
        <is>
          <t xml:space="preserve">GAIN 2011, GAIN 2015</t>
        </is>
      </c>
    </row>
    <row r="7">
      <c r="A7">
        <v>2013</v>
      </c>
      <c r="B7" t="inlineStr">
        <is>
          <t xml:space="preserve">Rust credit made available (banks, BCH, BANHPROVI, BANADESA, IHCAFE)</t>
        </is>
      </c>
      <c r="C7" s="7">
        <f>D7/YoY!AF14</f>
        <v>84.24812891855883</v>
      </c>
      <c r="D7" s="6">
        <v>1715</v>
      </c>
      <c r="E7" t="inlineStr">
        <is>
          <t xml:space="preserve">L335 M actually used by April 2014; BANADESA loans up to L25,000, banks up to L150,000</t>
        </is>
      </c>
      <c r="F7" t="inlineStr">
        <is>
          <t xml:space="preserve">10 % interest, 7 years; to be repaid by 2019 (USDA)</t>
        </is>
      </c>
      <c r="G7" s="17" t="inlineStr">
        <is>
          <t xml:space="preserve">✔ document read</t>
        </is>
      </c>
      <c r="H7" t="inlineStr">
        <is>
          <t xml:space="preserve">El Heraldo, 7 Apr 2014 (read); GAIN 2017 for the 2019 repayment date</t>
        </is>
      </c>
    </row>
    <row r="8">
      <c r="A8">
        <v>2015</v>
      </c>
      <c r="B8" t="inlineStr">
        <is>
          <t xml:space="preserve">IHCAFE fertiliser credit line</t>
        </is>
      </c>
      <c r="C8" s="10">
        <v>17</v>
      </c>
      <c r="D8" s="6">
        <v>370</v>
      </c>
      <c r="E8" t="inlineStr">
        <is>
          <t xml:space="preserve">coffee producers</t>
        </is>
      </c>
      <c r="F8" t="inlineStr">
        <is>
          <t xml:space="preserve">fertiliser at cost, 1 year, interest-free</t>
        </is>
      </c>
      <c r="G8" s="17" t="inlineStr">
        <is>
          <t xml:space="preserve">✔ USDA report (read)</t>
        </is>
      </c>
      <c r="H8" t="inlineStr">
        <is>
          <t xml:space="preserve">GAIN 2015</t>
        </is>
      </c>
    </row>
    <row r="9">
      <c r="A9">
        <v>2015</v>
      </c>
      <c r="B9" t="inlineStr">
        <is>
          <t xml:space="preserve">PAPP (IHCAFE + National Coffee Fund) and PEPP (BANADESA)</t>
        </is>
      </c>
      <c r="E9" t="inlineStr">
        <is>
          <t xml:space="preserve">about 23,000 small producers</t>
        </is>
      </c>
      <c r="F9" t="inlineStr">
        <is>
          <t xml:space="preserve">replant 1 manzana (0.7 ha), no interest; aim 5 → 45 qq per manzana</t>
        </is>
      </c>
      <c r="G9" s="17" t="inlineStr">
        <is>
          <t xml:space="preserve">✔ USDA report (read)</t>
        </is>
      </c>
      <c r="H9" t="inlineStr">
        <is>
          <t xml:space="preserve">GAIN 2015–2017</t>
        </is>
      </c>
    </row>
    <row r="10">
      <c r="A10">
        <v>2018</v>
      </c>
      <c r="B10" t="inlineStr">
        <is>
          <t xml:space="preserve">Decreto 93-2018: IHCAFE loan to growers (low prices, rust)</t>
        </is>
      </c>
      <c r="C10" s="10">
        <v>77</v>
      </c>
      <c r="D10" s="6">
        <v>1900</v>
      </c>
      <c r="E10" t="inlineStr">
        <is>
          <t xml:space="preserve">all growers who ask</t>
        </is>
      </c>
      <c r="F10" t="inlineStr">
        <is>
          <t xml:space="preserve">L200 per quintal oro produced in 2016/17 (≈ 8,4 $, not the "25 $" in USDA 2020); up to L1 900 M; repaid by 1,50 $ per qq retained at export</t>
        </is>
      </c>
      <c r="G10" s="17" t="inlineStr">
        <is>
          <t xml:space="preserve">✔ document read</t>
        </is>
      </c>
      <c r="H10" t="inlineStr">
        <is>
          <t xml:space="preserve">El Heraldo, 29 Aug 2018 (read); GAIN 2020 (about 77 M$, 5 Sep 2018)</t>
        </is>
      </c>
    </row>
    <row r="11">
      <c r="A11">
        <v>2018</v>
      </c>
      <c r="B11" t="inlineStr">
        <is>
          <t xml:space="preserve">Fondo para el Sector Cafetero (BANHPROVI)</t>
        </is>
      </c>
      <c r="C11" s="7">
        <f>D11/YoY!AF19</f>
        <v>12.55171491375611</v>
      </c>
      <c r="D11" s="6">
        <v>300</v>
      </c>
      <c r="E11" t="inlineStr">
        <is>
          <t xml:space="preserve">backs refinancing and debt readjustment of growers</t>
        </is>
      </c>
      <c r="F11" t="inlineStr">
        <is>
          <t xml:space="preserve">L300 M in three instalments</t>
        </is>
      </c>
      <c r="G11" s="17" t="inlineStr">
        <is>
          <t xml:space="preserve">✔ document read</t>
        </is>
      </c>
      <c r="H11" t="inlineStr">
        <is>
          <t xml:space="preserve">El Heraldo, 29 Aug 2018 (read)</t>
        </is>
      </c>
    </row>
    <row r="12">
      <c r="A12">
        <v>2020</v>
      </c>
      <c r="B12" t="inlineStr">
        <is>
          <t xml:space="preserve">Bono Cafetalero (PCM 030-2020): free fertiliser</t>
        </is>
      </c>
      <c r="C12" s="10">
        <v>12</v>
      </c>
      <c r="E12" t="inlineStr">
        <is>
          <t xml:space="preserve">91,778 small and medium producers (87 %)</t>
        </is>
      </c>
      <c r="F12" t="inlineStr">
        <is>
          <t xml:space="preserve">25,188 t of fertiliser, producers up to 6.8 t</t>
        </is>
      </c>
      <c r="G12" s="17" t="inlineStr">
        <is>
          <t xml:space="preserve">✔ USDA report (read)</t>
        </is>
      </c>
      <c r="H12" t="inlineStr">
        <is>
          <t xml:space="preserve">GAIN 2021</t>
        </is>
      </c>
    </row>
    <row r="13">
      <c r="A13">
        <v>2021</v>
      </c>
      <c r="B13" t="inlineStr">
        <is>
          <t xml:space="preserve">Bono Cafetalero extension (PCM 031-2021)</t>
        </is>
      </c>
      <c r="C13" s="10">
        <v>12.5</v>
      </c>
      <c r="E13" t="inlineStr">
        <is>
          <t xml:space="preserve">over 91,500 producers</t>
        </is>
      </c>
      <c r="F13" t="inlineStr">
        <is>
          <t xml:space="preserve">fertiliser; plus state credit at 5 % and guarantees</t>
        </is>
      </c>
      <c r="G13" s="17" t="inlineStr">
        <is>
          <t xml:space="preserve">✔ USDA report (read)</t>
        </is>
      </c>
      <c r="H13" t="inlineStr">
        <is>
          <t xml:space="preserve">GAIN 2021</t>
        </is>
      </c>
    </row>
    <row r="14">
      <c r="A14">
        <v>2023</v>
      </c>
      <c r="B14" t="inlineStr">
        <is>
          <t xml:space="preserve">IHCAFE renovation programme 2023–2027</t>
        </is>
      </c>
      <c r="E14" t="inlineStr">
        <is>
          <t xml:space="preserve">33,000 producers, 250,000 manzanas (63 % of the coffee park)</t>
        </is>
      </c>
      <c r="F14" t="inlineStr">
        <is>
          <t xml:space="preserve">target 7.0–7.5 million 46-kg bags</t>
        </is>
      </c>
      <c r="G14" s="17" t="inlineStr">
        <is>
          <t xml:space="preserve">✔ USDA report (read)</t>
        </is>
      </c>
      <c r="H14" t="inlineStr">
        <is>
          <t xml:space="preserve">GAIN 2024</t>
        </is>
      </c>
    </row>
    <row r="15">
      <c r="A15">
        <v>2025</v>
      </c>
      <c r="B15" t="inlineStr">
        <is>
          <t xml:space="preserve">Bono Cafetalero 2025</t>
        </is>
      </c>
      <c r="C15" s="7">
        <f>D15/YoY!AF26</f>
        <v>13.485025660630065</v>
      </c>
      <c r="D15" s="6">
        <v>350</v>
      </c>
      <c r="E15" t="inlineStr">
        <is>
          <t xml:space="preserve">119,803 producers</t>
        </is>
      </c>
      <c r="F15" t="inlineStr">
        <is>
          <t xml:space="preserve">300,000 qq of fertiliser</t>
        </is>
      </c>
      <c r="G15" s="18" t="inlineStr">
        <is>
          <t xml:space="preserve">⚠ web extract, not read</t>
        </is>
      </c>
      <c r="H15" t="inlineStr">
        <is>
          <t xml:space="preserve">TNH (search snippet)</t>
        </is>
      </c>
    </row>
    <row r="17">
      <c r="A17">
        <v>2021</v>
      </c>
      <c r="B17" t="inlineStr">
        <is>
          <t xml:space="preserve">Debt of growers to banks, cooperatives and IHCAFE</t>
        </is>
      </c>
      <c r="C17" s="7">
        <f>D17/YoY!AF22</f>
        <v>231.72764527926927</v>
      </c>
      <c r="D17" s="6">
        <v>5565</v>
      </c>
      <c r="G17" s="18" t="inlineStr">
        <is>
          <t xml:space="preserve">⚠ web extract, not read</t>
        </is>
      </c>
      <c r="H17" t="inlineStr">
        <is>
          <t xml:space="preserve">La Tribuna, 25 Jun 2021 (search snippet)</t>
        </is>
      </c>
    </row>
    <row r="20">
      <c r="A20" s="3" t="inlineStr">
        <is>
          <t xml:space="preserve">Bank credit to agriculture (BCH, all farming: coffee is not separated), millions of lempiras</t>
        </is>
      </c>
    </row>
    <row r="21">
      <c r="A21" s="4" t="inlineStr">
        <is>
          <t xml:space="preserve">Year</t>
        </is>
      </c>
      <c r="B21" s="4" t="inlineStr">
        <is>
          <t xml:space="preserve">Loans outstanding, December</t>
        </is>
      </c>
      <c r="C21" s="4" t="inlineStr">
        <is>
          <t xml:space="preserve">change</t>
        </is>
      </c>
      <c r="D21" s="4" t="inlineStr">
        <is>
          <t xml:space="preserve">New loans in the year</t>
        </is>
      </c>
      <c r="E21" s="4" t="inlineStr">
        <is>
          <t xml:space="preserve">change</t>
        </is>
      </c>
      <c r="F21" s="4" t="inlineStr">
        <is>
          <t xml:space="preserve">Share of all new loans</t>
        </is>
      </c>
      <c r="G21" s="4" t="inlineStr">
        <is>
          <t xml:space="preserve">Loans outstanding in US$ M</t>
        </is>
      </c>
      <c r="H21" s="4" t="inlineStr">
        <is>
          <t xml:space="preserve">Source</t>
        </is>
      </c>
    </row>
    <row r="22">
      <c r="A22">
        <v>2017</v>
      </c>
      <c r="B22" s="6">
        <v>20610.3</v>
      </c>
      <c r="D22" s="6">
        <v>10924.8</v>
      </c>
      <c r="F22" s="19">
        <v>0.04678030027293646</v>
      </c>
      <c r="G22" s="9">
        <f>B22/YoY!AF18</f>
        <v>877.529508507812</v>
      </c>
      <c r="H22" s="17" t="inlineStr">
        <is>
          <t xml:space="preserve">BCH, Prestamos de las Otras Sociedades de Depositos por Actividad (xlsx read, raw/ihcafe_docs5)</t>
        </is>
      </c>
    </row>
    <row r="23">
      <c r="A23">
        <v>2018</v>
      </c>
      <c r="B23" s="6">
        <v>24314.800000000003</v>
      </c>
      <c r="C23" s="13">
        <f>B23/B22-1</f>
        <v>0.17974022697389191</v>
      </c>
      <c r="D23" s="6">
        <v>16237.0</v>
      </c>
      <c r="E23" s="13">
        <f>D23/D22-1</f>
        <v>0.4862514645577036</v>
      </c>
      <c r="F23" s="19">
        <v>0.061453298407482634</v>
      </c>
      <c r="G23" s="9">
        <f>B23/YoY!AF19</f>
        <v>1017.3081259499902</v>
      </c>
      <c r="H23" s="17" t="inlineStr">
        <is>
          <t xml:space="preserve">BCH, Prestamos de las Otras Sociedades de Depositos por Actividad (xlsx read, raw/ihcafe_docs5)</t>
        </is>
      </c>
    </row>
    <row r="24">
      <c r="A24">
        <v>2019</v>
      </c>
      <c r="B24" s="6">
        <v>25923.5</v>
      </c>
      <c r="C24" s="13">
        <f>B24/B23-1</f>
        <v>0.06616135028871284</v>
      </c>
      <c r="D24" s="6">
        <v>15389.3</v>
      </c>
      <c r="E24" s="13">
        <f>D24/D23-1</f>
        <v>-0.052207920182299694</v>
      </c>
      <c r="F24" s="19">
        <v>0.05743827810199472</v>
      </c>
      <c r="G24" s="9">
        <f>B24/YoY!AF20</f>
        <v>1057.7726044736592</v>
      </c>
      <c r="H24" s="17" t="inlineStr">
        <is>
          <t xml:space="preserve">BCH, Prestamos de las Otras Sociedades de Depositos por Actividad (xlsx read, raw/ihcafe_docs5)</t>
        </is>
      </c>
    </row>
    <row r="25">
      <c r="A25">
        <v>2020</v>
      </c>
      <c r="B25" s="6">
        <v>23787.4</v>
      </c>
      <c r="C25" s="13">
        <f>B25/B24-1</f>
        <v>-0.08240013887013709</v>
      </c>
      <c r="D25" s="6">
        <v>14129.4</v>
      </c>
      <c r="E25" s="13">
        <f>D25/D24-1</f>
        <v>-0.08186857102012435</v>
      </c>
      <c r="F25" s="19">
        <v>0.050463440488469714</v>
      </c>
      <c r="G25" s="9">
        <f>B25/YoY!AF21</f>
        <v>967.6639383058496</v>
      </c>
      <c r="H25" s="17" t="inlineStr">
        <is>
          <t xml:space="preserve">BCH, Prestamos de las Otras Sociedades de Depositos por Actividad (xlsx read, raw/ihcafe_docs5)</t>
        </is>
      </c>
    </row>
    <row r="26">
      <c r="A26">
        <v>2021</v>
      </c>
      <c r="B26" s="6">
        <v>25569.699999999997</v>
      </c>
      <c r="C26" s="13">
        <f>B26/B25-1</f>
        <v>0.07492622144496641</v>
      </c>
      <c r="D26" s="6">
        <v>14373.699999999999</v>
      </c>
      <c r="E26" s="13">
        <f>D26/D25-1</f>
        <v>0.017290189250781962</v>
      </c>
      <c r="F26" s="19">
        <v>0.04722363951584739</v>
      </c>
      <c r="G26" s="9">
        <f>B26/YoY!AF22</f>
        <v>1064.7271107811914</v>
      </c>
      <c r="H26" s="17" t="inlineStr">
        <is>
          <t xml:space="preserve">BCH, Prestamos de las Otras Sociedades de Depositos por Actividad (xlsx read, raw/ihcafe_docs5)</t>
        </is>
      </c>
    </row>
    <row r="27">
      <c r="A27">
        <v>2022</v>
      </c>
      <c r="B27" s="6">
        <v>27310.5</v>
      </c>
      <c r="C27" s="13">
        <f>B27/B26-1</f>
        <v>0.06808057974868698</v>
      </c>
      <c r="D27" s="6">
        <v>15012.9</v>
      </c>
      <c r="E27" s="13">
        <f>D27/D26-1</f>
        <v>0.04447010860112566</v>
      </c>
      <c r="F27" s="19">
        <v>0.03977877627978923</v>
      </c>
      <c r="G27" s="9">
        <f>B27/YoY!AF23</f>
        <v>1115.3123569556742</v>
      </c>
      <c r="H27" s="17" t="inlineStr">
        <is>
          <t xml:space="preserve">BCH, Prestamos de las Otras Sociedades de Depositos por Actividad (xlsx read, raw/ihcafe_docs5)</t>
        </is>
      </c>
    </row>
    <row r="28">
      <c r="A28">
        <v>2023</v>
      </c>
      <c r="B28" s="6">
        <v>27976.06574996</v>
      </c>
      <c r="C28" s="13">
        <f>B28/B27-1</f>
        <v>0.02437032459896371</v>
      </c>
      <c r="D28" s="6">
        <v>15346.5</v>
      </c>
      <c r="E28" s="13">
        <f>D28/D27-1</f>
        <v>0.022220890034570395</v>
      </c>
      <c r="F28" s="19">
        <v>0.03555675109092603</v>
      </c>
      <c r="G28" s="9">
        <f>B28/YoY!AF24</f>
        <v>1137.1653556893434</v>
      </c>
      <c r="H28" s="17" t="inlineStr">
        <is>
          <t xml:space="preserve">BCH, Prestamos de las Otras Sociedades de Depositos por Actividad (xlsx read, raw/ihcafe_docs5)</t>
        </is>
      </c>
    </row>
    <row r="29">
      <c r="A29">
        <v>2024</v>
      </c>
      <c r="B29" s="6">
        <v>30700.613323690002</v>
      </c>
      <c r="C29" s="13">
        <f>B29/B28-1</f>
        <v>0.09738851767367973</v>
      </c>
      <c r="D29" s="6">
        <v>17038.59566647</v>
      </c>
      <c r="E29" s="13">
        <f>D29/D28-1</f>
        <v>0.11025938594923912</v>
      </c>
      <c r="F29" s="19">
        <v>0.03404848055528372</v>
      </c>
      <c r="G29" s="9">
        <f>B29/YoY!AF25</f>
        <v>1238.1779328720474</v>
      </c>
      <c r="H29" s="17" t="inlineStr">
        <is>
          <t xml:space="preserve">BCH, Prestamos de las Otras Sociedades de Depositos por Actividad (xlsx read, raw/ihcafe_docs5)</t>
        </is>
      </c>
    </row>
    <row r="30">
      <c r="A30">
        <v>2025</v>
      </c>
      <c r="B30" s="6">
        <v>31109.74988466</v>
      </c>
      <c r="C30" s="13">
        <f>B30/B29-1</f>
        <v>0.013326657570527756</v>
      </c>
      <c r="D30" s="6">
        <v>19080.13470844</v>
      </c>
      <c r="E30" s="13">
        <f>D30/D29-1</f>
        <v>0.11981850393853266</v>
      </c>
      <c r="F30" s="19">
        <v>0.03554160550007587</v>
      </c>
      <c r="G30" s="9">
        <f>B30/YoY!AF26</f>
        <v>1198.6165014012095</v>
      </c>
      <c r="H30" s="17" t="inlineStr">
        <is>
          <t xml:space="preserve">BCH, Prestamos de las Otras Sociedades de Depositos por Actividad (xlsx read, raw/ihcafe_docs5)</t>
        </is>
      </c>
    </row>
    <row r="31">
      <c r="A31" t="inlineStr">
        <is>
          <t xml:space="preserve">2026 Jan-Jul</t>
        </is>
      </c>
      <c r="B31" s="6">
        <v>32548.21990825</v>
      </c>
      <c r="C31" s="13">
        <f>B31/B32-1</f>
        <v>0.1039674506401238</v>
      </c>
      <c r="D31" s="6">
        <v>19250.33787004</v>
      </c>
      <c r="E31" s="13">
        <f>D31/D32-1</f>
        <v>0.8361685637942358</v>
      </c>
    </row>
    <row r="32">
      <c r="A32" t="inlineStr">
        <is>
          <t xml:space="preserve">2025 Jan-Jul</t>
        </is>
      </c>
      <c r="B32" s="6">
        <v>29482.95249953</v>
      </c>
      <c r="D32" s="6">
        <v>10483.97094342</v>
      </c>
    </row>
    <row r="34">
      <c r="A34" s="14" t="inlineStr">
        <is>
          <t xml:space="preserve">Reading: credit to agriculture grew slower than total credit (its share of new loans fell from 6.1 % in 2018 to 3.4 % in 2024) and fell in 2020 (-8 %). It picked up in 2024-2025 (+11 %, +12 % new loans) and jumped in 2026: new loans Jan-Jul +84 % on Jan-Jul 2025, with average lending rates down 3.8 points (BCH communique, June 2026). Coffee is not separated in BCH data.</t>
        </is>
      </c>
    </row>
  </sheetData>
</worksheet>
</file>

<file path=xl/worksheets/sheet8.xml><?xml version="1.0" encoding="utf-8"?>
<worksheet xmlns="http://schemas.openxmlformats.org/spreadsheetml/2006/main" xmlns:r="http://schemas.openxmlformats.org/officeDocument/2006/relationships">
  <sheetViews>
    <sheetView workbookViewId="0">
      <pane xSplit="1" ySplit="4" topLeftCell="B5" activePane="bottomRight" state="frozen"/>
    </sheetView>
  </sheetViews>
  <sheetFormatPr defaultRowHeight="13.2"/>
  <cols>
    <col min="1" max="1" width="8"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s>
  <sheetData>
    <row r="1">
      <c r="A1" s="1" t="inlineStr">
        <is>
          <t xml:space="preserve">Lempira against the dollar, and what it did to coffee and urea prices in lempiras</t>
        </is>
      </c>
    </row>
    <row r="2">
      <c r="A2" s="2" t="inlineStr">
        <is>
          <t xml:space="preserve">BCH reference rate (buying), mean of the daily values; 2026 = 1 Jan - 25 Sep. Coffee = World Bank arabica (other milds, ex-dock) x 46 kg x rate: a world price in lempiras, not the farm-gate price.</t>
        </is>
      </c>
    </row>
    <row r="4">
      <c r="A4" s="4" t="inlineStr">
        <is>
          <t xml:space="preserve">Year</t>
        </is>
      </c>
      <c r="B4" s="4" t="inlineStr">
        <is>
          <t xml:space="preserve">L per US$</t>
        </is>
      </c>
      <c r="C4" s="4" t="inlineStr">
        <is>
          <t xml:space="preserve">change</t>
        </is>
      </c>
      <c r="D4" s="4" t="inlineStr">
        <is>
          <t xml:space="preserve">Arabica (US$/kg)</t>
        </is>
      </c>
      <c r="E4" s="4" t="inlineStr">
        <is>
          <t xml:space="preserve">change</t>
        </is>
      </c>
      <c r="F4" s="4" t="inlineStr">
        <is>
          <t xml:space="preserve">Arabica (L per qq)</t>
        </is>
      </c>
      <c r="G4" s="4" t="inlineStr">
        <is>
          <t xml:space="preserve">change</t>
        </is>
      </c>
      <c r="H4" s="4" t="inlineStr">
        <is>
          <t xml:space="preserve">Urea (US$/t)</t>
        </is>
      </c>
      <c r="I4" s="4" t="inlineStr">
        <is>
          <t xml:space="preserve">Urea (L per t)</t>
        </is>
      </c>
      <c r="J4" s="4" t="inlineStr">
        <is>
          <t xml:space="preserve">change</t>
        </is>
      </c>
      <c r="K4" s="4" t="inlineStr">
        <is>
          <t xml:space="preserve">FAOSTAT farm-gate (L per t, official only)</t>
        </is>
      </c>
      <c r="L4" s="4" t="inlineStr">
        <is>
          <t xml:space="preserve">change</t>
        </is>
      </c>
    </row>
    <row r="5">
      <c r="A5">
        <v>2005</v>
      </c>
      <c r="B5" s="8">
        <f>YoY!AF6</f>
        <v>18.833123046875</v>
      </c>
      <c r="D5" s="16">
        <f>YoY!Z6</f>
        <v>2.5325</v>
      </c>
      <c r="F5" s="9">
        <f>D5*46*B5</f>
        <v>2193.964669345703</v>
      </c>
      <c r="H5" s="7">
        <f>YoY!V6</f>
        <v>217.35833333333335</v>
      </c>
      <c r="I5" s="9">
        <f>H5*B5</f>
        <v>4093.5362369303384</v>
      </c>
      <c r="K5" s="6">
        <v>33000.0</v>
      </c>
    </row>
    <row r="6">
      <c r="A6">
        <v>2006</v>
      </c>
      <c r="B6" s="8">
        <f>YoY!AF7</f>
        <v>18.895205577689243</v>
      </c>
      <c r="C6" s="13">
        <f>B6/B5-1</f>
        <v>0.0032964543724225415</v>
      </c>
      <c r="D6" s="16">
        <f>YoY!Z7</f>
        <v>2.5216666666666665</v>
      </c>
      <c r="E6" s="13">
        <f>D6/D5-1</f>
        <v>-0.0042777229351761425</v>
      </c>
      <c r="F6" s="9">
        <f>D6*46*B6</f>
        <v>2191.7808629933597</v>
      </c>
      <c r="G6" s="13">
        <f>F6/F5-1</f>
        <v>-0.0009953698812271705</v>
      </c>
      <c r="H6" s="7">
        <f>YoY!V7</f>
        <v>222.14166666666665</v>
      </c>
      <c r="I6" s="9">
        <f>H6*B6</f>
        <v>4197.412459037184</v>
      </c>
      <c r="J6" s="13">
        <f>I6/I5-1</f>
        <v>0.02537566937107183</v>
      </c>
      <c r="K6" s="6">
        <v>39600.0</v>
      </c>
      <c r="L6" s="13">
        <f>K6/K5-1</f>
        <v>0.19999999999999996</v>
      </c>
    </row>
    <row r="7">
      <c r="A7">
        <v>2007</v>
      </c>
      <c r="B7" s="8">
        <f>YoY!AF8</f>
        <v>18.8951016</v>
      </c>
      <c r="C7" s="13">
        <f>B7/B6-1</f>
        <v>-5.502860967343537e-06</v>
      </c>
      <c r="D7" s="16">
        <f>YoY!Z8</f>
        <v>2.7241666666666666</v>
      </c>
      <c r="E7" s="13">
        <f>D7/D6-1</f>
        <v>0.08030403172504963</v>
      </c>
      <c r="F7" s="9">
        <f>D7*46*B7</f>
        <v>2367.776673332</v>
      </c>
      <c r="G7" s="13">
        <f>F7/F6-1</f>
        <v>0.08029808696216056</v>
      </c>
      <c r="H7" s="7">
        <f>YoY!V8</f>
        <v>307.1166666666667</v>
      </c>
      <c r="I7" s="9">
        <f>H7*B7</f>
        <v>5803.00061972</v>
      </c>
      <c r="J7" s="13">
        <f>I7/I6-1</f>
        <v>0.38251855788580547</v>
      </c>
      <c r="K7" s="6">
        <v>44000.0</v>
      </c>
      <c r="L7" s="13">
        <f>K7/K6-1</f>
        <v>0.11111111111111116</v>
      </c>
    </row>
    <row r="8">
      <c r="A8">
        <v>2008</v>
      </c>
      <c r="B8" s="8">
        <f>YoY!AF9</f>
        <v>18.897956470588234</v>
      </c>
      <c r="C8" s="13">
        <f>B8/B7-1</f>
        <v>0.00015109051269845963</v>
      </c>
      <c r="D8" s="16">
        <f>YoY!Z9</f>
        <v>3.080833333333333</v>
      </c>
      <c r="E8" s="13">
        <f>D8/D7-1</f>
        <v>0.13092688895686755</v>
      </c>
      <c r="F8" s="9">
        <f>D8*46*B8</f>
        <v>2678.1868944176467</v>
      </c>
      <c r="G8" s="13">
        <f>F8/F7-1</f>
        <v>0.13109776128034434</v>
      </c>
      <c r="H8" s="7">
        <f>YoY!V9</f>
        <v>514.9833333333333</v>
      </c>
      <c r="I8" s="9">
        <f>H8*B8</f>
        <v>9732.132616411764</v>
      </c>
      <c r="J8" s="13">
        <f>I8/I7-1</f>
        <v>0.6770862617762994</v>
      </c>
      <c r="K8" s="6">
        <v>44950.0</v>
      </c>
      <c r="L8" s="13">
        <f>K8/K7-1</f>
        <v>0.021590909090908994</v>
      </c>
    </row>
    <row r="9">
      <c r="A9">
        <v>2009</v>
      </c>
      <c r="B9" s="8">
        <f>YoY!AF10</f>
        <v>18.8951</v>
      </c>
      <c r="C9" s="13">
        <f>B9/B8-1</f>
        <v>-0.0001511523530430825</v>
      </c>
      <c r="D9" s="16">
        <f>YoY!Z10</f>
        <v>3.170833333333334</v>
      </c>
      <c r="E9" s="13">
        <f>D9/D8-1</f>
        <v>0.029212875304301056</v>
      </c>
      <c r="F9" s="9">
        <f>D9*46*B9</f>
        <v>2756.007794166667</v>
      </c>
      <c r="G9" s="13">
        <f>F9/F8-1</f>
        <v>0.02905730735641665</v>
      </c>
      <c r="H9" s="7">
        <f>YoY!V10</f>
        <v>251.10000000000002</v>
      </c>
      <c r="I9" s="9">
        <f>H9*B9</f>
        <v>4744.55961</v>
      </c>
      <c r="J9" s="13">
        <f>I9/I8-1</f>
        <v>-0.5124851050633012</v>
      </c>
    </row>
    <row r="10">
      <c r="A10">
        <v>2010</v>
      </c>
      <c r="B10" s="8">
        <f>YoY!AF11</f>
        <v>18.894987058823528</v>
      </c>
      <c r="C10" s="13">
        <f>B10/B9-1</f>
        <v>-5.977273286328355e-06</v>
      </c>
      <c r="D10" s="16">
        <f>YoY!Z11</f>
        <v>4.319999999999999</v>
      </c>
      <c r="E10" s="13">
        <f>D10/D9-1</f>
        <v>0.3624178712220758</v>
      </c>
      <c r="F10" s="9">
        <f>D10*46*B10</f>
        <v>3754.8118283294107</v>
      </c>
      <c r="G10" s="13">
        <f>F10/F9-1</f>
        <v>0.3624097276781295</v>
      </c>
      <c r="H10" s="7">
        <f>YoY!V11</f>
        <v>288.9166666666667</v>
      </c>
      <c r="I10" s="9">
        <f>H10*B10</f>
        <v>5459.076677745098</v>
      </c>
      <c r="J10" s="13">
        <f>I10/I9-1</f>
        <v>0.15059713155234178</v>
      </c>
    </row>
    <row r="11">
      <c r="A11">
        <v>2011</v>
      </c>
      <c r="B11" s="8">
        <f>YoY!AF12</f>
        <v>18.915878799999998</v>
      </c>
      <c r="C11" s="13">
        <f>B11/B10-1</f>
        <v>0.0011056763950898496</v>
      </c>
      <c r="D11" s="16">
        <f>YoY!Z12</f>
        <v>5.9766666666666675</v>
      </c>
      <c r="E11" s="13">
        <f>D11/D10-1</f>
        <v>0.38348765432098797</v>
      </c>
      <c r="F11" s="9">
        <f>D11*46*B11</f>
        <v>5200.4795055546665</v>
      </c>
      <c r="G11" s="13">
        <f>F11/F10-1</f>
        <v>0.38501734396326914</v>
      </c>
      <c r="H11" s="7">
        <f>YoY!V12</f>
        <v>398.94166666666666</v>
      </c>
      <c r="I11" s="9">
        <f>H11*B11</f>
        <v>7546.332214936666</v>
      </c>
      <c r="J11" s="13">
        <f>I11/I10-1</f>
        <v>0.38234589114687445</v>
      </c>
    </row>
    <row r="12">
      <c r="A12">
        <v>2012</v>
      </c>
      <c r="B12" s="8">
        <f>YoY!AF13</f>
        <v>19.5040546875</v>
      </c>
      <c r="C12" s="13">
        <f>B12/B11-1</f>
        <v>0.031094293514927873</v>
      </c>
      <c r="D12" s="16">
        <f>YoY!Z13</f>
        <v>4.111666666666667</v>
      </c>
      <c r="E12" s="13">
        <f>D12/D11-1</f>
        <v>-0.3120468488566648</v>
      </c>
      <c r="F12" s="9">
        <f>D12*46*B12</f>
        <v>3688.931890078125</v>
      </c>
      <c r="G12" s="13">
        <f>F12/F11-1</f>
        <v>-0.29065543165049446</v>
      </c>
      <c r="H12" s="7">
        <f>YoY!V13</f>
        <v>398.59999999999997</v>
      </c>
      <c r="I12" s="9">
        <f>H12*B12</f>
        <v>7774.316198437498</v>
      </c>
      <c r="J12" s="13">
        <f>I12/I11-1</f>
        <v>0.03021123070219156</v>
      </c>
    </row>
    <row r="13">
      <c r="A13">
        <v>2013</v>
      </c>
      <c r="B13" s="8">
        <f>YoY!AF14</f>
        <v>20.356535177865613</v>
      </c>
      <c r="C13" s="13">
        <f>B13/B12-1</f>
        <v>0.04370785993088733</v>
      </c>
      <c r="D13" s="16">
        <f>YoY!Z14</f>
        <v>3.0766666666666667</v>
      </c>
      <c r="E13" s="13">
        <f>D13/D12-1</f>
        <v>-0.2517227401702473</v>
      </c>
      <c r="F13" s="9">
        <f>D13*46*B13</f>
        <v>2880.9925686060606</v>
      </c>
      <c r="G13" s="13">
        <f>F13/F12-1</f>
        <v>-0.21901714250814042</v>
      </c>
      <c r="H13" s="7">
        <f>YoY!V14</f>
        <v>339.60833333333335</v>
      </c>
      <c r="I13" s="9">
        <f>H13*B13</f>
        <v>6913.2489841963115</v>
      </c>
      <c r="J13" s="13">
        <f>I13/I12-1</f>
        <v>-0.11075793578015858</v>
      </c>
    </row>
    <row r="14">
      <c r="A14">
        <v>2014</v>
      </c>
      <c r="B14" s="8">
        <f>YoY!AF15</f>
        <v>20.98862</v>
      </c>
      <c r="C14" s="13">
        <f>B14/B13-1</f>
        <v>0.031050707628362817</v>
      </c>
      <c r="D14" s="16">
        <f>YoY!Z15</f>
        <v>4.425</v>
      </c>
      <c r="E14" s="13">
        <f>D14/D13-1</f>
        <v>0.4382448537378114</v>
      </c>
      <c r="F14" s="9">
        <f>D14*46*B14</f>
        <v>4272.233601</v>
      </c>
      <c r="G14" s="13">
        <f>F14/F13-1</f>
        <v>0.4829033741892217</v>
      </c>
      <c r="H14" s="7">
        <f>YoY!V15</f>
        <v>308.44166666666666</v>
      </c>
      <c r="I14" s="9">
        <f>H14*B14</f>
        <v>6473.764933833334</v>
      </c>
      <c r="J14" s="13">
        <f>I14/I13-1</f>
        <v>-0.06357127471723323</v>
      </c>
    </row>
    <row r="15">
      <c r="A15">
        <v>2015</v>
      </c>
      <c r="B15" s="8">
        <f>YoY!AF16</f>
        <v>21.946742338709676</v>
      </c>
      <c r="C15" s="13">
        <f>B15/B14-1</f>
        <v>0.04564961101347653</v>
      </c>
      <c r="D15" s="16">
        <f>YoY!Z16</f>
        <v>3.5258333333333334</v>
      </c>
      <c r="E15" s="13">
        <f>D15/D14-1</f>
        <v>-0.20320150659133707</v>
      </c>
      <c r="F15" s="9">
        <f>D15*46*B15</f>
        <v>3559.5055620114244</v>
      </c>
      <c r="G15" s="13">
        <f>F15/F14-1</f>
        <v>-0.16682796531110733</v>
      </c>
      <c r="H15" s="7">
        <f>YoY!V16</f>
        <v>277.94166666666666</v>
      </c>
      <c r="I15" s="9">
        <f>H15*B15</f>
        <v>6099.914143524865</v>
      </c>
      <c r="J15" s="13">
        <f>I15/I14-1</f>
        <v>-0.05774858897867019</v>
      </c>
    </row>
    <row r="16">
      <c r="A16">
        <v>2016</v>
      </c>
      <c r="B16" s="8">
        <f>YoY!AF17</f>
        <v>22.83854919354839</v>
      </c>
      <c r="C16" s="13">
        <f>B16/B15-1</f>
        <v>0.04063504464923451</v>
      </c>
      <c r="D16" s="16">
        <f>YoY!Z17</f>
        <v>3.6125000000000003</v>
      </c>
      <c r="E16" s="13">
        <f>D16/D15-1</f>
        <v>0.02458047742850389</v>
      </c>
      <c r="F16" s="9">
        <f>D16*46*B16</f>
        <v>3795.1959122379035</v>
      </c>
      <c r="G16" s="13">
        <f>F16/F15-1</f>
        <v>0.06621435087554528</v>
      </c>
      <c r="H16" s="7">
        <f>YoY!V17</f>
        <v>194.15</v>
      </c>
      <c r="I16" s="9">
        <f>H16*B16</f>
        <v>4434.10432592742</v>
      </c>
      <c r="J16" s="13">
        <f>I16/I15-1</f>
        <v>-0.2730874203148781</v>
      </c>
    </row>
    <row r="17">
      <c r="A17">
        <v>2017</v>
      </c>
      <c r="B17" s="8">
        <f>YoY!AF18</f>
        <v>23.48673155737705</v>
      </c>
      <c r="C17" s="13">
        <f>B17/B16-1</f>
        <v>0.028381065641934988</v>
      </c>
      <c r="D17" s="16">
        <f>YoY!Z18</f>
        <v>3.3241666666666667</v>
      </c>
      <c r="E17" s="13">
        <f>D17/D16-1</f>
        <v>-0.07981545559400238</v>
      </c>
      <c r="F17" s="9">
        <f>D17*46*B17</f>
        <v>3591.39526699112</v>
      </c>
      <c r="G17" s="13">
        <f>F17/F16-1</f>
        <v>-0.053699637636521635</v>
      </c>
      <c r="H17" s="7">
        <f>YoY!V18</f>
        <v>213.88333333333333</v>
      </c>
      <c r="I17" s="9">
        <f>H17*B17</f>
        <v>5023.420434596994</v>
      </c>
      <c r="J17" s="13">
        <f>I17/I16-1</f>
        <v>0.13290533225023182</v>
      </c>
    </row>
    <row r="18">
      <c r="A18">
        <v>2018</v>
      </c>
      <c r="B18" s="8">
        <f>YoY!AF19</f>
        <v>23.901116465863453</v>
      </c>
      <c r="C18" s="13">
        <f>B18/B17-1</f>
        <v>0.017643362060577816</v>
      </c>
      <c r="D18" s="16">
        <f>YoY!Z19</f>
        <v>2.9250000000000003</v>
      </c>
      <c r="E18" s="13">
        <f>D18/D17-1</f>
        <v>-0.12008022060666823</v>
      </c>
      <c r="F18" s="9">
        <f>D18*46*B18</f>
        <v>3215.895220481928</v>
      </c>
      <c r="G18" s="13">
        <f>F18/F17-1</f>
        <v>-0.10455547735456794</v>
      </c>
      <c r="H18" s="7">
        <f>YoY!V19</f>
        <v>249.45000000000002</v>
      </c>
      <c r="I18" s="9">
        <f>H18*B18</f>
        <v>5962.133502409639</v>
      </c>
      <c r="J18" s="13">
        <f>I18/I17-1</f>
        <v>0.18686731083617802</v>
      </c>
    </row>
    <row r="19">
      <c r="A19">
        <v>2019</v>
      </c>
      <c r="B19" s="8">
        <f>YoY!AF20</f>
        <v>24.50763036437247</v>
      </c>
      <c r="C19" s="13">
        <f>B19/B18-1</f>
        <v>0.025375965151053226</v>
      </c>
      <c r="D19" s="16">
        <f>YoY!Z20</f>
        <v>2.8800000000000003</v>
      </c>
      <c r="E19" s="13">
        <f>D19/D18-1</f>
        <v>-0.01538461538461533</v>
      </c>
      <c r="F19" s="9">
        <f>D19*46*B19</f>
        <v>3246.7708706720655</v>
      </c>
      <c r="G19" s="13">
        <f>F19/F18-1</f>
        <v>0.009600950302575795</v>
      </c>
      <c r="H19" s="7">
        <f>YoY!V20</f>
        <v>245.28333333333333</v>
      </c>
      <c r="I19" s="9">
        <f>H19*B19</f>
        <v>6011.313267874494</v>
      </c>
      <c r="J19" s="13">
        <f>I19/I18-1</f>
        <v>0.008248685717114457</v>
      </c>
    </row>
    <row r="20">
      <c r="A20">
        <v>2020</v>
      </c>
      <c r="B20" s="8">
        <f>YoY!AF21</f>
        <v>24.582294594594593</v>
      </c>
      <c r="C20" s="13">
        <f>B20/B19-1</f>
        <v>0.0030465707664117936</v>
      </c>
      <c r="D20" s="16">
        <f>YoY!Z21</f>
        <v>3.3233333333333337</v>
      </c>
      <c r="E20" s="13">
        <f>D20/D19-1</f>
        <v>0.15393518518518512</v>
      </c>
      <c r="F20" s="9">
        <f>D20*46*B20</f>
        <v>3757.977315657658</v>
      </c>
      <c r="G20" s="13">
        <f>F20/F19-1</f>
        <v>0.15745073038670432</v>
      </c>
      <c r="H20" s="7">
        <f>YoY!V21</f>
        <v>229.1</v>
      </c>
      <c r="I20" s="9">
        <f>H20*B20</f>
        <v>5631.8036916216215</v>
      </c>
      <c r="J20" s="13">
        <f>I20/I19-1</f>
        <v>-0.0631325567877219</v>
      </c>
    </row>
    <row r="21">
      <c r="A21">
        <v>2021</v>
      </c>
      <c r="B21" s="8">
        <f>YoY!AF22</f>
        <v>24.015261507936508</v>
      </c>
      <c r="C21" s="13">
        <f>B21/B20-1</f>
        <v>-0.02306672733402071</v>
      </c>
      <c r="D21" s="16">
        <f>YoY!Z22</f>
        <v>4.510833333333334</v>
      </c>
      <c r="E21" s="13">
        <f>D21/D20-1</f>
        <v>0.35732196589769316</v>
      </c>
      <c r="F21" s="9">
        <f>D21*46*B21</f>
        <v>4983.12673746098</v>
      </c>
      <c r="G21" s="13">
        <f>F21/F20-1</f>
        <v>0.32601299020585395</v>
      </c>
      <c r="H21" s="7">
        <f>YoY!V22</f>
        <v>483.2166666666667</v>
      </c>
      <c r="I21" s="9">
        <f>H21*B21</f>
        <v>11604.574614993388</v>
      </c>
      <c r="J21" s="13">
        <f>I21/I20-1</f>
        <v>1.060543167059853</v>
      </c>
    </row>
    <row r="22">
      <c r="A22">
        <v>2022</v>
      </c>
      <c r="B22" s="8">
        <f>YoY!AF23</f>
        <v>24.48686220472441</v>
      </c>
      <c r="C22" s="13">
        <f>B22/B21-1</f>
        <v>0.01963754159545794</v>
      </c>
      <c r="D22" s="16">
        <f>YoY!Z23</f>
        <v>5.630833333333334</v>
      </c>
      <c r="E22" s="13">
        <f>D22/D21-1</f>
        <v>0.2482911509329393</v>
      </c>
      <c r="F22" s="9">
        <f>D22*46*B22</f>
        <v>6342.54623683071</v>
      </c>
      <c r="G22" s="13">
        <f>F22/F21-1</f>
        <v>0.2728045203326268</v>
      </c>
      <c r="H22" s="7">
        <f>YoY!V23</f>
        <v>700.0333333333334</v>
      </c>
      <c r="I22" s="9">
        <f>H22*B22</f>
        <v>17141.61977204725</v>
      </c>
      <c r="J22" s="13">
        <f>I22/I21-1</f>
        <v>0.4771433112162393</v>
      </c>
      <c r="K22" s="6">
        <v>98273.9</v>
      </c>
    </row>
    <row r="23">
      <c r="A23">
        <v>2023</v>
      </c>
      <c r="B23" s="8">
        <f>YoY!AF24</f>
        <v>24.601581124497994</v>
      </c>
      <c r="C23" s="13">
        <f>B23/B22-1</f>
        <v>0.004684917112468989</v>
      </c>
      <c r="D23" s="16">
        <f>YoY!Z24</f>
        <v>4.540833333333333</v>
      </c>
      <c r="E23" s="13">
        <f>D23/D22-1</f>
        <v>-0.19357703122687608</v>
      </c>
      <c r="F23" s="9">
        <f>D23*46*B23</f>
        <v>5138.737262649933</v>
      </c>
      <c r="G23" s="13">
        <f>F23/F22-1</f>
        <v>-0.1897990064605829</v>
      </c>
      <c r="H23" s="7">
        <f>YoY!V24</f>
        <v>358.0083333333334</v>
      </c>
      <c r="I23" s="9">
        <f>H23*B23</f>
        <v>8807.57105574632</v>
      </c>
      <c r="J23" s="13">
        <f>I23/I22-1</f>
        <v>-0.4861879348118092</v>
      </c>
      <c r="K23" s="6">
        <v>76161.7</v>
      </c>
      <c r="L23" s="13">
        <f>K23/K22-1</f>
        <v>-0.22500582555490312</v>
      </c>
    </row>
    <row r="24">
      <c r="A24">
        <v>2024</v>
      </c>
      <c r="B24" s="8">
        <f>YoY!AF25</f>
        <v>24.794993117408907</v>
      </c>
      <c r="C24" s="13">
        <f>B24/B23-1</f>
        <v>0.00786177083221351</v>
      </c>
      <c r="D24" s="16">
        <f>YoY!Z25</f>
        <v>5.620833333333333</v>
      </c>
      <c r="E24" s="13">
        <f>D24/D23-1</f>
        <v>0.23784180583593328</v>
      </c>
      <c r="F24" s="9">
        <f>D24*46*B24</f>
        <v>6410.952095448717</v>
      </c>
      <c r="G24" s="13">
        <f>F24/F23-1</f>
        <v>0.24757343443994895</v>
      </c>
      <c r="H24" s="7">
        <f>YoY!V25</f>
        <v>338.28333333333336</v>
      </c>
      <c r="I24" s="9">
        <f>H24*B24</f>
        <v>8387.732921734143</v>
      </c>
      <c r="J24" s="13">
        <f>I24/I23-1</f>
        <v>-0.04766786794621003</v>
      </c>
      <c r="K24" s="6">
        <v>128803.6</v>
      </c>
      <c r="L24" s="13">
        <f>K24/K23-1</f>
        <v>0.691185989808526</v>
      </c>
    </row>
    <row r="25">
      <c r="A25">
        <v>2025</v>
      </c>
      <c r="B25" s="8">
        <f>YoY!AF26</f>
        <v>25.954715163934427</v>
      </c>
      <c r="C25" s="13">
        <f>B25/B24-1</f>
        <v>0.046772428652592124</v>
      </c>
      <c r="D25" s="16">
        <f>YoY!Z26</f>
        <v>8.47</v>
      </c>
      <c r="E25" s="13">
        <f>D25/D24-1</f>
        <v>0.5068939955522611</v>
      </c>
      <c r="F25" s="9">
        <f>D25*46*B25</f>
        <v>10112.476122172131</v>
      </c>
      <c r="G25" s="13">
        <f>F25/F24-1</f>
        <v>0.5773750874462487</v>
      </c>
      <c r="H25" s="7">
        <f>YoY!V26</f>
        <v>422.6583333333333</v>
      </c>
      <c r="I25" s="9">
        <f>H25*B25</f>
        <v>10969.976653329917</v>
      </c>
      <c r="J25" s="13">
        <f>I25/I24-1</f>
        <v>0.3078595558168895</v>
      </c>
    </row>
    <row r="26">
      <c r="A26">
        <v>2026</v>
      </c>
      <c r="B26" s="8">
        <f>YoY!AF27</f>
        <v>26.640017112299464</v>
      </c>
      <c r="C26" s="13">
        <f>B26/B25-1</f>
        <v>0.026403755311378063</v>
      </c>
      <c r="D26" s="16">
        <f>YoY!Z27</f>
        <v>7.42375</v>
      </c>
      <c r="E26" s="13">
        <f>D26/D25-1</f>
        <v>-0.12352420306965772</v>
      </c>
      <c r="F26" s="9">
        <f>D26*46*B26</f>
        <v>9097.366043721924</v>
      </c>
      <c r="G26" s="13">
        <f>F26/F25-1</f>
        <v>-0.10038195059116395</v>
      </c>
      <c r="H26" s="7">
        <f>YoY!V27</f>
        <v>560.4375</v>
      </c>
      <c r="I26" s="9">
        <f>H26*B26</f>
        <v>14930.064590374332</v>
      </c>
      <c r="J26" s="13">
        <f>I26/I25-1</f>
        <v>0.36099328760579774</v>
      </c>
    </row>
    <row r="29">
      <c r="A29" s="14" t="inlineStr">
        <is>
          <t xml:space="preserve">Reading: the lempira lost value slowly: 18.9 per US$ in 2005-2011 (fixed band), then 2-5 % more lempiras per dollar each year to 24.5 in 2019, flat 2019-2024 (24.0-24.8), then +4.7 % in 2025 (25.95) and +2.6 % so far in 2026 (26.64; 26.89 on 25 Sep).</t>
        </is>
      </c>
    </row>
    <row r="30">
      <c r="A30" s="14" t="inlineStr">
        <is>
          <t xml:space="preserve">For growers paid in lempiras the depreciation adds a few % a year to the dollar price; it is small next to the swings of the coffee price itself (-31 % in 2012, +81 % in 2024-25 in US$).</t>
        </is>
      </c>
    </row>
    <row r="31">
      <c r="A31" s="14" t="inlineStr">
        <is>
          <t xml:space="preserve">The same depreciation makes imported urea dearer in lempiras: +33 % in US$ and +36 % in lempiras in 2026.</t>
        </is>
      </c>
    </row>
  </sheetData>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dc:title>Sumatra weather by ENSO season</dc:title>
</cp:coreProperties>
</file>