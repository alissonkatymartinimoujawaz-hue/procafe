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activeTab="0"/>
  </bookViews>
  <sheets>
    <sheet name="README" sheetId="1" r:id="rId1"/>
    <sheet name="Annual" sheetId="2" r:id="rId2"/>
    <sheet name="Regimes" sheetId="3" r:id="rId3"/>
    <sheet name="Margin" sheetId="4" r:id="rId4"/>
    <sheet name="Rust_2012" sheetId="5" r:id="rId5"/>
    <sheet name="USDA_quotes" sheetId="6" r:id="rId6"/>
    <sheet name="Production_1960_2026" sheetId="7" r:id="rId7"/>
  </sheets>
  <calcPr calcId="19102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0"/>
    <numFmt numFmtId="168" formatCode="+0.0%;-0.0%;0.0%"/>
    <numFmt numFmtId="169" formatCode="0"/>
  </numFmts>
  <fonts count="10">
    <font>
      <sz val="10"/>
      <color rgb="FF000000"/>
      <name val="Arial"/>
    </font>
    <font>
      <b/>
      <sz val="10"/>
      <color rgb="FFFFFFFF"/>
      <name val="Arial"/>
    </font>
    <font>
      <sz val="10"/>
      <color rgb="FF0000FF"/>
      <name val="Arial"/>
    </font>
    <font>
      <i/>
      <sz val="10"/>
      <color rgb="FF595959"/>
      <name val="Arial"/>
    </font>
    <font>
      <b/>
      <sz val="14"/>
      <color rgb="FF1F3864"/>
      <name val="Arial"/>
    </font>
    <font>
      <b/>
      <sz val="10"/>
      <color rgb="FF000000"/>
      <name val="Arial"/>
    </font>
    <font>
      <sz val="10"/>
      <color rgb="FF808080"/>
      <name val="Arial"/>
    </font>
    <font>
      <b/>
      <sz val="10"/>
      <color rgb="FF0000FF"/>
      <name val="Arial"/>
    </font>
    <font>
      <sz val="10"/>
      <color rgb="FF404040"/>
      <name val="Arial"/>
    </font>
    <font>
      <b/>
      <sz val="10"/>
      <color rgb="FFC00000"/>
      <name val="Arial"/>
    </font>
  </fonts>
  <fills count="4">
    <fill>
      <patternFill patternType="none"/>
    </fill>
    <fill>
      <patternFill patternType="gray125"/>
    </fill>
    <fill>
      <patternFill patternType="solid">
        <fgColor rgb="FF1F3864"/>
        <bgColor indexed="64"/>
      </patternFill>
    </fill>
    <fill>
      <patternFill patternType="solid">
        <fgColor rgb="FFFFFF00"/>
        <bgColor indexed="64"/>
      </patternFill>
    </fill>
  </fills>
  <borders count="2">
    <border>
      <left/>
      <right/>
      <top/>
      <bottom/>
      <diagonal/>
    </border>
    <border>
      <left/>
      <right/>
      <top/>
      <bottom style="thin">
        <color rgb="FFBFBFBF"/>
      </bottom>
      <diagonal/>
    </border>
  </borders>
  <cellStyleXfs count="1">
    <xf numFmtId="0" fontId="0" fillId="0" borderId="0"/>
  </cellStyleXfs>
  <cellXfs count="20">
    <xf numFmtId="0" fontId="0" fillId="0" borderId="0" xfId="0" applyFont="1"/>
    <xf numFmtId="0" fontId="1" fillId="2" borderId="0" xfId="0" applyFont="1" applyFill="1" applyAlignment="1">
      <alignment horizontal="center" wrapText="1" vertical="top"/>
    </xf>
    <xf numFmtId="0" fontId="0" fillId="0" borderId="0" xfId="0" applyFont="1" applyAlignment="1">
      <alignment horizontal="center" vertical="top"/>
    </xf>
    <xf numFmtId="164" fontId="2" fillId="0" borderId="0" xfId="0" applyNumberFormat="1" applyFont="1"/>
    <xf numFmtId="164" fontId="0" fillId="0" borderId="0" xfId="0" applyNumberFormat="1" applyFont="1"/>
    <xf numFmtId="165" fontId="0" fillId="0" borderId="0" xfId="0" applyNumberFormat="1" applyFont="1"/>
    <xf numFmtId="166" fontId="2" fillId="0" borderId="0" xfId="0" applyNumberFormat="1" applyFont="1"/>
    <xf numFmtId="166" fontId="0" fillId="0" borderId="0" xfId="0" applyNumberFormat="1" applyFont="1"/>
    <xf numFmtId="167" fontId="0" fillId="0" borderId="0" xfId="0" applyNumberFormat="1" applyFont="1"/>
    <xf numFmtId="168" fontId="0" fillId="0" borderId="0" xfId="0" applyNumberFormat="1" applyFont="1"/>
    <xf numFmtId="0" fontId="3" fillId="0" borderId="0" xfId="0" applyFont="1"/>
    <xf numFmtId="0" fontId="4" fillId="0" borderId="0" xfId="0" applyFont="1"/>
    <xf numFmtId="0" fontId="5" fillId="0" borderId="0" xfId="0" applyFont="1"/>
    <xf numFmtId="166" fontId="2" fillId="3" borderId="0" xfId="0" applyNumberFormat="1" applyFont="1" applyFill="1"/>
    <xf numFmtId="0" fontId="0" fillId="0" borderId="0" xfId="0" applyFont="1" applyAlignment="1">
      <alignment wrapText="1" vertical="top"/>
    </xf>
    <xf numFmtId="0" fontId="6" fillId="0" borderId="0" xfId="0" applyFont="1"/>
    <xf numFmtId="166" fontId="7" fillId="0" borderId="0" xfId="0" applyNumberFormat="1" applyFont="1"/>
    <xf numFmtId="0" fontId="8" fillId="0" borderId="0" xfId="0" applyFont="1"/>
    <xf numFmtId="169" fontId="0" fillId="0" borderId="0" xfId="0" applyNumberFormat="1" applyFont="1"/>
    <xf numFmtId="0" fontId="9" fillId="0" borderId="0" xfId="0" applyFont="1"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FormatPr defaultRowHeight="13.2"/>
  <cols>
    <col min="1" max="1" width="150" customWidth="1"/>
  </cols>
  <sheetData>
    <row r="1">
      <c r="A1" s="11" t="inlineStr">
        <is>
          <t xml:space="preserve">Honduras arabica : ce qui fait bouger la surface et les arbres (2005–2026)</t>
        </is>
      </c>
    </row>
    <row r="2">
      <c r="A2" s="10" t="inlineStr">
        <is>
          <t xml:space="preserve">Une ligne par campagne (octobre N – septembre N+1). Chiffres en bleu = copiés des sources ; en noir = formules. Les feuilles se recalculent dans Excel.</t>
        </is>
      </c>
    </row>
    <row r="3">
      <c r="A3" t="inlineStr">
        <is>
          <t xml:space="preserve"/>
        </is>
      </c>
    </row>
    <row r="4">
      <c r="A4" s="14" t="inlineStr">
        <is>
          <t xml:space="preserve">Annual : surfaces en production / pas encore en production, total, variations, arbres, densité, production, rendement, prix de l'arabica et des engrais, usage d'engrais au Honduras, forêts, cultures permanentes, pâturages, emploi agricole, registre IHCAFE.</t>
        </is>
      </c>
    </row>
    <row r="5">
      <c r="A5" s="14" t="inlineStr">
        <is>
          <t xml:space="preserve">Regimes : variation moyenne de la surface par phase de prix (boom 2010–2012, rouille 2013, rénovation 2014–2017, crise 2018–2019, prix hauts 2022–2026).</t>
        </is>
      </c>
    </row>
    <row r="6">
      <c r="A6" s="14" t="inlineStr">
        <is>
          <t xml:space="preserve">Margin : marge indicative par quintal et par hectare. C'est une estimation : le coût vient de quelques chiffres datés (IHCAFE, presse, non vérifiés). Modifie les cellules bleues.</t>
        </is>
      </c>
    </row>
    <row r="7">
      <c r="A7" s="14" t="inlineStr">
        <is>
          <t xml:space="preserve">Rust_2012 : la météo de 2011–2013 dans les 3 zones (pluie des pluviomètres GPCC, températures des stations), pour voir ce qui a favorisé la rouille.</t>
        </is>
      </c>
    </row>
    <row r="8">
      <c r="A8" s="14" t="inlineStr">
        <is>
          <t xml:space="preserve">USDA_quotes : ce que disent les rapports de l'attaché USDA, année par année (rouille, rénovation, terres, main-d'œuvre, variétés, engrais).</t>
        </is>
      </c>
    </row>
    <row r="9">
      <c r="A9" s="14" t="inlineStr">
        <is>
          <t xml:space="preserve">Production_1960_2026 : la production USDA du Honduras depuis 1960/61, avec la variation d'une année sur l'autre.</t>
        </is>
      </c>
    </row>
    <row r="10">
      <c r="A10" t="inlineStr">
        <is>
          <t xml:space="preserve"/>
        </is>
      </c>
    </row>
    <row r="11">
      <c r="A11" s="12" t="inlineStr">
        <is>
          <t xml:space="preserve">À SAVOIR AVANT D'INTERPRÉTER</t>
        </is>
      </c>
    </row>
    <row r="12">
      <c r="A12" s="19" t="inlineStr">
        <is>
          <t xml:space="preserve">Les nombres d'arbres de l'USDA sont des estimations : 1 049 millions chaque année de 2006 à 2010, puis une densité fixe d'environ 4 250 arbres/ha jusqu'en 2017, et 6 400/ha depuis 2023. Depuis 2020, les deux tiers de la hausse des arbres viennent de cette densité, pas de nouvelles surfaces.</t>
        </is>
      </c>
    </row>
    <row r="13">
      <c r="A13" s="14" t="inlineStr">
        <is>
          <t xml:space="preserve">La FAO marque la surface de café du Honduras comme imputée depuis 2013 et le prix producteur comme estimé : non utilisés.</t>
        </is>
      </c>
    </row>
    <row r="14">
      <c r="A14" s="14" t="inlineStr">
        <is>
          <t xml:space="preserve">Le registre de l'IHCAFE (surface récoltée des fermes inscrites) baisse de 315 700 ha (2022/23) à 280 100 (2023/24) puis 285 600 ha (2024/25), alors que l'USDA l'augmente : la hausse récente de la surface est incertaine.</t>
        </is>
      </c>
    </row>
  </sheetData>
</worksheet>
</file>

<file path=xl/worksheets/sheet2.xml><?xml version="1.0" encoding="utf-8"?>
<worksheet xmlns="http://schemas.openxmlformats.org/spreadsheetml/2006/main" xmlns:r="http://schemas.openxmlformats.org/officeDocument/2006/relationships">
  <sheetViews>
    <sheetView workbookViewId="0">
      <pane xSplit="2" ySplit="1" topLeftCell="C2" activePane="bottomRight" state="frozen"/>
    </sheetView>
  </sheetViews>
  <sheetFormatPr defaultRowHeight="13.2"/>
  <cols>
    <col min="1" max="1" width="8" customWidth="1"/>
    <col min="2" max="2" width="9" customWidth="1"/>
    <col min="3" max="3" width="12" customWidth="1"/>
    <col min="4" max="4" width="12" customWidth="1"/>
    <col min="5" max="5" width="12" customWidth="1"/>
    <col min="6" max="6" width="12" customWidth="1"/>
    <col min="7" max="7" width="12" customWidth="1"/>
    <col min="8" max="8" width="12" customWidth="1"/>
    <col min="9" max="9" width="12" customWidth="1"/>
    <col min="10" max="10" width="12" customWidth="1"/>
    <col min="11" max="11" width="12" customWidth="1"/>
    <col min="12" max="12" width="12" customWidth="1"/>
    <col min="13" max="13" width="12" customWidth="1"/>
    <col min="14" max="14" width="12" customWidth="1"/>
    <col min="15" max="15" width="12" customWidth="1"/>
    <col min="16" max="16" width="12" customWidth="1"/>
    <col min="17" max="17" width="12" customWidth="1"/>
    <col min="18" max="18" width="12" customWidth="1"/>
    <col min="19" max="19" width="12" customWidth="1"/>
    <col min="20" max="20" width="12" customWidth="1"/>
    <col min="21" max="21" width="12" customWidth="1"/>
    <col min="22" max="22" width="12" customWidth="1"/>
    <col min="23" max="23" width="12" customWidth="1"/>
    <col min="24" max="24" width="12" customWidth="1"/>
    <col min="25" max="25" width="12" customWidth="1"/>
    <col min="26" max="26" width="12" customWidth="1"/>
    <col min="27" max="27" width="12" customWidth="1"/>
    <col min="28" max="28" width="12" customWidth="1"/>
    <col min="29" max="29" width="12" customWidth="1"/>
    <col min="30" max="30" width="12" customWidth="1"/>
    <col min="31" max="31" width="12" customWidth="1"/>
    <col min="32" max="32" width="12" customWidth="1"/>
    <col min="33" max="33" width="26" customWidth="1"/>
  </cols>
  <sheetData>
    <row r="1">
      <c r="A1" s="1" t="inlineStr">
        <is>
          <t xml:space="preserve">Year (MY start)</t>
        </is>
      </c>
      <c r="B1" s="1" t="inlineStr">
        <is>
          <t xml:space="preserve">Marketing year</t>
        </is>
      </c>
      <c r="C1" s="1" t="inlineStr">
        <is>
          <t xml:space="preserve">Bearing area (1000 ha)</t>
        </is>
      </c>
      <c r="D1" s="1" t="inlineStr">
        <is>
          <t xml:space="preserve">Non-bearing area (1000 ha)</t>
        </is>
      </c>
      <c r="E1" s="1" t="inlineStr">
        <is>
          <t xml:space="preserve">Total planted area (1000 ha)</t>
        </is>
      </c>
      <c r="F1" s="1" t="inlineStr">
        <is>
          <t xml:space="preserve">Total area, change (1000 ha)</t>
        </is>
      </c>
      <c r="G1" s="1" t="inlineStr">
        <is>
          <t xml:space="preserve">Bearing area, change (1000 ha)</t>
        </is>
      </c>
      <c r="H1" s="1" t="inlineStr">
        <is>
          <t xml:space="preserve">Non-bearing area, change (1000 ha)</t>
        </is>
      </c>
      <c r="I1" s="1" t="inlineStr">
        <is>
          <t xml:space="preserve">Bearing trees (million)</t>
        </is>
      </c>
      <c r="J1" s="1" t="inlineStr">
        <is>
          <t xml:space="preserve">Non-bearing trees (million)</t>
        </is>
      </c>
      <c r="K1" s="1" t="inlineStr">
        <is>
          <t xml:space="preserve">Trees per ha, bearing</t>
        </is>
      </c>
      <c r="L1" s="1" t="inlineStr">
        <is>
          <t xml:space="preserve">Trees per ha, non-bearing</t>
        </is>
      </c>
      <c r="M1" s="1" t="inlineStr">
        <is>
          <t xml:space="preserve">Production, USDA PSD (1000 bags 60 kg)</t>
        </is>
      </c>
      <c r="N1" s="1" t="inlineStr">
        <is>
          <t xml:space="preserve">Yield (bags 60 kg per bearing ha)</t>
        </is>
      </c>
      <c r="O1" s="1" t="inlineStr">
        <is>
          <t xml:space="preserve">Production, change %</t>
        </is>
      </c>
      <c r="P1" s="1" t="inlineStr">
        <is>
          <t xml:space="preserve">Arabica, World Bank "Other Milds" ($/kg, calendar year N)</t>
        </is>
      </c>
      <c r="Q1" s="1" t="inlineStr">
        <is>
          <t xml:space="preserve">Arabica ($/lb)</t>
        </is>
      </c>
      <c r="R1" s="1" t="inlineStr">
        <is>
          <t xml:space="preserve">Urea, World Bank ($/t)</t>
        </is>
      </c>
      <c r="S1" s="1" t="inlineStr">
        <is>
          <t xml:space="preserve">DAP ($/t)</t>
        </is>
      </c>
      <c r="T1" s="1" t="inlineStr">
        <is>
          <t xml:space="preserve">Potassium chloride ($/t)</t>
        </is>
      </c>
      <c r="U1" s="1" t="inlineStr">
        <is>
          <t xml:space="preserve">kg urea bought by 1 kg arabica</t>
        </is>
      </c>
      <c r="V1" s="1" t="inlineStr">
        <is>
          <t xml:space="preserve">Fertiliser use Honduras: N (t, FAO)</t>
        </is>
      </c>
      <c r="W1" s="1" t="inlineStr">
        <is>
          <t xml:space="preserve">P2O5 (t, FAO)</t>
        </is>
      </c>
      <c r="X1" s="1" t="inlineStr">
        <is>
          <t xml:space="preserve">K2O (t, FAO)</t>
        </is>
      </c>
      <c r="Y1" s="1" t="inlineStr">
        <is>
          <t xml:space="preserve">N+P2O5+K2O (t)</t>
        </is>
      </c>
      <c r="Z1" s="1" t="inlineStr">
        <is>
          <t xml:space="preserve">Urea import price Honduras ($/t, FAO trade)</t>
        </is>
      </c>
      <c r="AA1" s="1" t="inlineStr">
        <is>
          <t xml:space="preserve">Forest land (1000 ha, FAO)</t>
        </is>
      </c>
      <c r="AB1" s="1" t="inlineStr">
        <is>
          <t xml:space="preserve">Permanent crops (1000 ha, FAO)</t>
        </is>
      </c>
      <c r="AC1" s="1" t="inlineStr">
        <is>
          <t xml:space="preserve">Pastures (1000 ha, FAO)</t>
        </is>
      </c>
      <c r="AD1" s="1" t="inlineStr">
        <is>
          <t xml:space="preserve">Employment in agriculture (1000, ILO model via FAO)</t>
        </is>
      </c>
      <c r="AE1" s="1" t="inlineStr">
        <is>
          <t xml:space="preserve">IHCAFE registered harvested area (ha)</t>
        </is>
      </c>
      <c r="AF1" s="1" t="inlineStr">
        <is>
          <t xml:space="preserve">IHCAFE registered small producers</t>
        </is>
      </c>
      <c r="AG1" s="1" t="inlineStr">
        <is>
          <t xml:space="preserve">Price regime</t>
        </is>
      </c>
    </row>
    <row r="2">
      <c r="A2" s="2">
        <v>2005</v>
      </c>
      <c r="B2" s="2" t="inlineStr">
        <is>
          <t xml:space="preserve">2005/06</t>
        </is>
      </c>
      <c r="C2" s="3">
        <v>184</v>
      </c>
      <c r="D2" s="3">
        <v>64</v>
      </c>
      <c r="E2" s="4">
        <f>C2+D2</f>
        <v>248</v>
      </c>
      <c r="I2" s="3">
        <v>753</v>
      </c>
      <c r="J2" s="3">
        <v>131</v>
      </c>
      <c r="K2" s="4">
        <f>I2/C2*1000</f>
        <v>4092.391304347826</v>
      </c>
      <c r="L2" s="4">
        <f>J2/D2*1000</f>
        <v>2046.875</v>
      </c>
      <c r="M2" s="3">
        <v>3204.0</v>
      </c>
      <c r="N2" s="5">
        <f>M2/C2</f>
        <v>17.41304347826087</v>
      </c>
      <c r="P2" s="6">
        <v>2.532</v>
      </c>
      <c r="Q2" s="7">
        <f>P2/2.20462</f>
        <v>1.14849724669104</v>
      </c>
      <c r="R2" s="3">
        <v>217.358</v>
      </c>
      <c r="S2" s="3">
        <v>226.8</v>
      </c>
      <c r="T2" s="3">
        <v>155.0</v>
      </c>
      <c r="U2" s="5">
        <f>P2*1000/R2</f>
        <v>11.648984624444465</v>
      </c>
      <c r="V2" s="3">
        <v>41865.0</v>
      </c>
      <c r="W2" s="3">
        <v>14829.0</v>
      </c>
      <c r="X2" s="3">
        <v>6958.0</v>
      </c>
      <c r="Y2" s="4">
        <f>V2+W2+X2</f>
        <v>63652.0</v>
      </c>
      <c r="Z2" s="3">
        <v>278.11857129664963</v>
      </c>
      <c r="AA2" s="3">
        <v>6937.08</v>
      </c>
      <c r="AB2" s="3">
        <v>400.0</v>
      </c>
      <c r="AC2" s="3">
        <v>1663.0</v>
      </c>
      <c r="AD2" s="3">
        <v>658.35</v>
      </c>
      <c r="AG2" s="2" t="inlineStr">
        <is>
          <t xml:space="preserve">1 · 2005–2009 flat prices</t>
        </is>
      </c>
    </row>
    <row r="3">
      <c r="A3" s="2">
        <v>2006</v>
      </c>
      <c r="B3" s="2" t="inlineStr">
        <is>
          <t xml:space="preserve">2006/07</t>
        </is>
      </c>
      <c r="C3" s="3">
        <v>230</v>
      </c>
      <c r="D3" s="3">
        <v>13</v>
      </c>
      <c r="E3" s="4">
        <f>C3+D3</f>
        <v>243</v>
      </c>
      <c r="F3" s="8">
        <f>E3-E2</f>
        <v>-5</v>
      </c>
      <c r="G3" s="8">
        <f>C3-C2</f>
        <v>46</v>
      </c>
      <c r="H3" s="8">
        <f>D3-D2</f>
        <v>-51</v>
      </c>
      <c r="I3" s="3">
        <v>1049</v>
      </c>
      <c r="J3" s="3">
        <v>141</v>
      </c>
      <c r="K3" s="4">
        <f>I3/C3*1000</f>
        <v>4560.869565217391</v>
      </c>
      <c r="L3" s="4">
        <f>J3/D3*1000</f>
        <v>10846.153846153848</v>
      </c>
      <c r="M3" s="3">
        <v>3460.0</v>
      </c>
      <c r="N3" s="5">
        <f>M3/C3</f>
        <v>15.043478260869565</v>
      </c>
      <c r="O3" s="9">
        <f>M3/M2-1</f>
        <v>0.07990012484394504</v>
      </c>
      <c r="P3" s="6">
        <v>2.522</v>
      </c>
      <c r="Q3" s="7">
        <f>P3/2.20462</f>
        <v>1.1439613175966834</v>
      </c>
      <c r="R3" s="3">
        <v>222.142</v>
      </c>
      <c r="S3" s="3">
        <v>229.875</v>
      </c>
      <c r="T3" s="3">
        <v>178.333</v>
      </c>
      <c r="U3" s="5">
        <f>P3*1000/R3</f>
        <v>11.353098468547145</v>
      </c>
      <c r="V3" s="3">
        <v>66688.0</v>
      </c>
      <c r="W3" s="3">
        <v>20783.0</v>
      </c>
      <c r="X3" s="3">
        <v>15891.0</v>
      </c>
      <c r="Y3" s="4">
        <f>V3+W3+X3</f>
        <v>103362.0</v>
      </c>
      <c r="Z3" s="3">
        <v>280.3509676420896</v>
      </c>
      <c r="AA3" s="3">
        <v>6898.6</v>
      </c>
      <c r="AB3" s="3">
        <v>410.0</v>
      </c>
      <c r="AC3" s="3">
        <v>1694.0</v>
      </c>
      <c r="AD3" s="3">
        <v>730.8</v>
      </c>
      <c r="AG3" s="2" t="inlineStr">
        <is>
          <t xml:space="preserve">1 · 2005–2009 flat prices</t>
        </is>
      </c>
    </row>
    <row r="4">
      <c r="A4" s="2">
        <v>2007</v>
      </c>
      <c r="B4" s="2" t="inlineStr">
        <is>
          <t xml:space="preserve">2007/08</t>
        </is>
      </c>
      <c r="C4" s="3">
        <v>230</v>
      </c>
      <c r="D4" s="3">
        <v>13</v>
      </c>
      <c r="E4" s="4">
        <f>C4+D4</f>
        <v>243</v>
      </c>
      <c r="F4" s="8">
        <f>E4-E3</f>
        <v>0</v>
      </c>
      <c r="G4" s="8">
        <f>C4-C3</f>
        <v>0</v>
      </c>
      <c r="H4" s="8">
        <f>D4-D3</f>
        <v>0</v>
      </c>
      <c r="I4" s="3">
        <v>1049</v>
      </c>
      <c r="J4" s="3">
        <v>141</v>
      </c>
      <c r="K4" s="4">
        <f>I4/C4*1000</f>
        <v>4560.869565217391</v>
      </c>
      <c r="L4" s="4">
        <f>J4/D4*1000</f>
        <v>10846.153846153848</v>
      </c>
      <c r="M4" s="3">
        <v>3642.0</v>
      </c>
      <c r="N4" s="5">
        <f>M4/C4</f>
        <v>15.834782608695653</v>
      </c>
      <c r="O4" s="9">
        <f>M4/M3-1</f>
        <v>0.05260115606936422</v>
      </c>
      <c r="P4" s="6">
        <v>2.724</v>
      </c>
      <c r="Q4" s="7">
        <f>P4/2.20462</f>
        <v>1.2355870853026827</v>
      </c>
      <c r="R4" s="3">
        <v>307.117</v>
      </c>
      <c r="S4" s="3">
        <v>391.958</v>
      </c>
      <c r="T4" s="3">
        <v>195.417</v>
      </c>
      <c r="U4" s="5">
        <f>P4*1000/R4</f>
        <v>8.869583904505449</v>
      </c>
      <c r="V4" s="3">
        <v>63491.0</v>
      </c>
      <c r="W4" s="3">
        <v>21414.0</v>
      </c>
      <c r="X4" s="3">
        <v>9776.0</v>
      </c>
      <c r="Y4" s="4">
        <f>V4+W4+X4</f>
        <v>94681.0</v>
      </c>
      <c r="Z4" s="3">
        <v>350.1217296998717</v>
      </c>
      <c r="AA4" s="3">
        <v>6860.12</v>
      </c>
      <c r="AB4" s="3">
        <v>410.0</v>
      </c>
      <c r="AC4" s="3">
        <v>1725.0</v>
      </c>
      <c r="AD4" s="3">
        <v>706.37</v>
      </c>
      <c r="AG4" s="2" t="inlineStr">
        <is>
          <t xml:space="preserve">1 · 2005–2009 flat prices</t>
        </is>
      </c>
    </row>
    <row r="5">
      <c r="A5" s="2">
        <v>2008</v>
      </c>
      <c r="B5" s="2" t="inlineStr">
        <is>
          <t xml:space="preserve">2008/09</t>
        </is>
      </c>
      <c r="C5" s="3">
        <v>224</v>
      </c>
      <c r="D5" s="3">
        <v>20</v>
      </c>
      <c r="E5" s="4">
        <f>C5+D5</f>
        <v>244</v>
      </c>
      <c r="F5" s="8">
        <f>E5-E4</f>
        <v>1</v>
      </c>
      <c r="G5" s="8">
        <f>C5-C4</f>
        <v>-6</v>
      </c>
      <c r="H5" s="8">
        <f>D5-D4</f>
        <v>7</v>
      </c>
      <c r="I5" s="3">
        <v>1049</v>
      </c>
      <c r="J5" s="3">
        <v>141</v>
      </c>
      <c r="K5" s="4">
        <f>I5/C5*1000</f>
        <v>4683.035714285715</v>
      </c>
      <c r="L5" s="4">
        <f>J5/D5*1000</f>
        <v>7050.0</v>
      </c>
      <c r="M5" s="3">
        <v>3225.0</v>
      </c>
      <c r="N5" s="5">
        <f>M5/C5</f>
        <v>14.397321428571429</v>
      </c>
      <c r="O5" s="9">
        <f>M5/M4-1</f>
        <v>-0.11449752883031306</v>
      </c>
      <c r="P5" s="6">
        <v>3.081</v>
      </c>
      <c r="Q5" s="7">
        <f>P5/2.20462</f>
        <v>1.397519753971206</v>
      </c>
      <c r="R5" s="3">
        <v>514.983</v>
      </c>
      <c r="S5" s="3">
        <v>861.625</v>
      </c>
      <c r="T5" s="3">
        <v>455.967</v>
      </c>
      <c r="U5" s="5">
        <f>P5*1000/R5</f>
        <v>5.98272175974741</v>
      </c>
      <c r="V5" s="3">
        <v>55554.0</v>
      </c>
      <c r="W5" s="3">
        <v>16565.0</v>
      </c>
      <c r="X5" s="3">
        <v>6892.0</v>
      </c>
      <c r="Y5" s="4">
        <f>V5+W5+X5</f>
        <v>79011.0</v>
      </c>
      <c r="AA5" s="3">
        <v>6821.65</v>
      </c>
      <c r="AB5" s="3">
        <v>410.0</v>
      </c>
      <c r="AC5" s="3">
        <v>1756.0</v>
      </c>
      <c r="AD5" s="3">
        <v>729.37</v>
      </c>
      <c r="AG5" s="2" t="inlineStr">
        <is>
          <t xml:space="preserve">1 · 2005–2009 flat prices</t>
        </is>
      </c>
    </row>
    <row r="6">
      <c r="A6" s="2">
        <v>2009</v>
      </c>
      <c r="B6" s="2" t="inlineStr">
        <is>
          <t xml:space="preserve">2009/10</t>
        </is>
      </c>
      <c r="C6" s="3">
        <v>224</v>
      </c>
      <c r="D6" s="3">
        <v>20</v>
      </c>
      <c r="E6" s="4">
        <f>C6+D6</f>
        <v>244</v>
      </c>
      <c r="F6" s="8">
        <f>E6-E5</f>
        <v>0</v>
      </c>
      <c r="G6" s="8">
        <f>C6-C5</f>
        <v>0</v>
      </c>
      <c r="H6" s="8">
        <f>D6-D5</f>
        <v>0</v>
      </c>
      <c r="I6" s="3">
        <v>1049</v>
      </c>
      <c r="J6" s="3">
        <v>141</v>
      </c>
      <c r="K6" s="4">
        <f>I6/C6*1000</f>
        <v>4683.035714285715</v>
      </c>
      <c r="L6" s="4">
        <f>J6/D6*1000</f>
        <v>7050.0</v>
      </c>
      <c r="M6" s="3">
        <v>3550.0</v>
      </c>
      <c r="N6" s="5">
        <f>M6/C6</f>
        <v>15.848214285714286</v>
      </c>
      <c r="O6" s="9">
        <f>M6/M5-1</f>
        <v>0.10077519379844957</v>
      </c>
      <c r="P6" s="6">
        <v>3.171</v>
      </c>
      <c r="Q6" s="7">
        <f>P6/2.20462</f>
        <v>1.4383431158204136</v>
      </c>
      <c r="R6" s="3">
        <v>251.1</v>
      </c>
      <c r="S6" s="3">
        <v>288.475</v>
      </c>
      <c r="T6" s="3">
        <v>558.475</v>
      </c>
      <c r="U6" s="5">
        <f>P6*1000/R6</f>
        <v>12.628434886499402</v>
      </c>
      <c r="V6" s="3">
        <v>47616.0</v>
      </c>
      <c r="W6" s="3">
        <v>11716.0</v>
      </c>
      <c r="X6" s="3">
        <v>4008.0</v>
      </c>
      <c r="Y6" s="4">
        <f>V6+W6+X6</f>
        <v>63340.0</v>
      </c>
      <c r="Z6" s="3">
        <v>306.9627190007313</v>
      </c>
      <c r="AA6" s="3">
        <v>6783.17</v>
      </c>
      <c r="AB6" s="3">
        <v>418.0</v>
      </c>
      <c r="AC6" s="3">
        <v>1737.69</v>
      </c>
      <c r="AD6" s="3">
        <v>801.84</v>
      </c>
      <c r="AG6" s="2" t="inlineStr">
        <is>
          <t xml:space="preserve">1 · 2005–2009 flat prices</t>
        </is>
      </c>
    </row>
    <row r="7">
      <c r="A7" s="2">
        <v>2010</v>
      </c>
      <c r="B7" s="2" t="inlineStr">
        <is>
          <t xml:space="preserve">2010/11</t>
        </is>
      </c>
      <c r="C7" s="3">
        <v>238</v>
      </c>
      <c r="D7" s="3">
        <v>28</v>
      </c>
      <c r="E7" s="4">
        <f>C7+D7</f>
        <v>266</v>
      </c>
      <c r="F7" s="8">
        <f>E7-E6</f>
        <v>22</v>
      </c>
      <c r="G7" s="8">
        <f>C7-C6</f>
        <v>14</v>
      </c>
      <c r="H7" s="8">
        <f>D7-D6</f>
        <v>8</v>
      </c>
      <c r="I7" s="3">
        <v>1049</v>
      </c>
      <c r="J7" s="3">
        <v>141</v>
      </c>
      <c r="K7" s="4">
        <f>I7/C7*1000</f>
        <v>4407.563025210085</v>
      </c>
      <c r="L7" s="4">
        <f>J7/D7*1000</f>
        <v>5035.714285714285</v>
      </c>
      <c r="M7" s="3">
        <v>3975.0</v>
      </c>
      <c r="N7" s="5">
        <f>M7/C7</f>
        <v>16.701680672268907</v>
      </c>
      <c r="O7" s="9">
        <f>M7/M6-1</f>
        <v>0.11971830985915499</v>
      </c>
      <c r="P7" s="6">
        <v>4.32</v>
      </c>
      <c r="Q7" s="7">
        <f>P7/2.20462</f>
        <v>1.959521368761964</v>
      </c>
      <c r="R7" s="3">
        <v>288.917</v>
      </c>
      <c r="S7" s="3">
        <v>456.425</v>
      </c>
      <c r="T7" s="3">
        <v>332.15</v>
      </c>
      <c r="U7" s="5">
        <f>P7*1000/R7</f>
        <v>14.952391171166807</v>
      </c>
      <c r="V7" s="3">
        <v>56041.0</v>
      </c>
      <c r="W7" s="3">
        <v>15327.0</v>
      </c>
      <c r="X7" s="3">
        <v>15828.0</v>
      </c>
      <c r="Y7" s="4">
        <f>V7+W7+X7</f>
        <v>87196.0</v>
      </c>
      <c r="Z7" s="3">
        <v>327.73878573241257</v>
      </c>
      <c r="AA7" s="3">
        <v>6744.69</v>
      </c>
      <c r="AB7" s="3">
        <v>480.0</v>
      </c>
      <c r="AC7" s="3">
        <v>1719.38</v>
      </c>
      <c r="AD7" s="3">
        <v>862.14</v>
      </c>
      <c r="AG7" s="2" t="inlineStr">
        <is>
          <t xml:space="preserve">2 · 2010–2012 price boom</t>
        </is>
      </c>
    </row>
    <row r="8">
      <c r="A8" s="2">
        <v>2011</v>
      </c>
      <c r="B8" s="2" t="inlineStr">
        <is>
          <t xml:space="preserve">2011/12</t>
        </is>
      </c>
      <c r="C8" s="3">
        <v>245</v>
      </c>
      <c r="D8" s="3">
        <v>40</v>
      </c>
      <c r="E8" s="4">
        <f>C8+D8</f>
        <v>285</v>
      </c>
      <c r="F8" s="8">
        <f>E8-E7</f>
        <v>19</v>
      </c>
      <c r="G8" s="8">
        <f>C8-C7</f>
        <v>7</v>
      </c>
      <c r="H8" s="8">
        <f>D8-D7</f>
        <v>12</v>
      </c>
      <c r="I8" s="3">
        <v>1042</v>
      </c>
      <c r="J8" s="3">
        <v>170</v>
      </c>
      <c r="K8" s="4">
        <f>I8/C8*1000</f>
        <v>4253.061224489797</v>
      </c>
      <c r="L8" s="4">
        <f>J8/D8*1000</f>
        <v>4250.0</v>
      </c>
      <c r="M8" s="3">
        <v>5600.0</v>
      </c>
      <c r="N8" s="5">
        <f>M8/C8</f>
        <v>22.857142857142858</v>
      </c>
      <c r="O8" s="9">
        <f>M8/M7-1</f>
        <v>0.4088050314465408</v>
      </c>
      <c r="P8" s="6">
        <v>5.977</v>
      </c>
      <c r="Q8" s="7">
        <f>P8/2.20462</f>
        <v>2.7111248196968187</v>
      </c>
      <c r="R8" s="3">
        <v>398.942</v>
      </c>
      <c r="S8" s="3">
        <v>516.292</v>
      </c>
      <c r="T8" s="3">
        <v>392.825</v>
      </c>
      <c r="U8" s="5">
        <f>P8*1000/R8</f>
        <v>14.982127727840137</v>
      </c>
      <c r="V8" s="3">
        <v>85542.0</v>
      </c>
      <c r="W8" s="3">
        <v>23195.0</v>
      </c>
      <c r="X8" s="3">
        <v>25119.0</v>
      </c>
      <c r="Y8" s="4">
        <f>V8+W8+X8</f>
        <v>133856.0</v>
      </c>
      <c r="Z8" s="3">
        <v>418.44302789964905</v>
      </c>
      <c r="AA8" s="3">
        <v>6701.15</v>
      </c>
      <c r="AB8" s="3">
        <v>510.0</v>
      </c>
      <c r="AC8" s="3">
        <v>1701.07</v>
      </c>
      <c r="AD8" s="3">
        <v>820.02</v>
      </c>
      <c r="AG8" s="2" t="inlineStr">
        <is>
          <t xml:space="preserve">2 · 2010–2012 price boom</t>
        </is>
      </c>
    </row>
    <row r="9">
      <c r="A9" s="2">
        <v>2012</v>
      </c>
      <c r="B9" s="2" t="inlineStr">
        <is>
          <t xml:space="preserve">2012/13</t>
        </is>
      </c>
      <c r="C9" s="3">
        <v>267</v>
      </c>
      <c r="D9" s="3">
        <v>48</v>
      </c>
      <c r="E9" s="4">
        <f>C9+D9</f>
        <v>315</v>
      </c>
      <c r="F9" s="8">
        <f>E9-E8</f>
        <v>30</v>
      </c>
      <c r="G9" s="8">
        <f>C9-C8</f>
        <v>22</v>
      </c>
      <c r="H9" s="8">
        <f>D9-D8</f>
        <v>8</v>
      </c>
      <c r="I9" s="3">
        <v>1068</v>
      </c>
      <c r="J9" s="3">
        <v>188</v>
      </c>
      <c r="K9" s="4">
        <f>I9/C9*1000</f>
        <v>4000.0</v>
      </c>
      <c r="L9" s="4">
        <f>J9/D9*1000</f>
        <v>3916.6666666666665</v>
      </c>
      <c r="M9" s="3">
        <v>4725.0</v>
      </c>
      <c r="N9" s="5">
        <f>M9/C9</f>
        <v>17.696629213483146</v>
      </c>
      <c r="O9" s="9">
        <f>M9/M8-1</f>
        <v>-0.15625</v>
      </c>
      <c r="P9" s="6">
        <v>4.112</v>
      </c>
      <c r="Q9" s="7">
        <f>P9/2.20462</f>
        <v>1.8651740435993507</v>
      </c>
      <c r="R9" s="3">
        <v>398.6</v>
      </c>
      <c r="S9" s="3">
        <v>480.242</v>
      </c>
      <c r="T9" s="3">
        <v>465.375</v>
      </c>
      <c r="U9" s="5">
        <f>P9*1000/R9</f>
        <v>10.31610637230306</v>
      </c>
      <c r="V9" s="3">
        <v>75417.0</v>
      </c>
      <c r="W9" s="3">
        <v>18301.0</v>
      </c>
      <c r="X9" s="3">
        <v>16134.0</v>
      </c>
      <c r="Y9" s="4">
        <f>V9+W9+X9</f>
        <v>109852.0</v>
      </c>
      <c r="Z9" s="3">
        <v>462.85594003748247</v>
      </c>
      <c r="AA9" s="3">
        <v>6657.61</v>
      </c>
      <c r="AB9" s="3">
        <v>540.0</v>
      </c>
      <c r="AC9" s="3">
        <v>1682.76</v>
      </c>
      <c r="AD9" s="3">
        <v>882.57</v>
      </c>
      <c r="AG9" s="2" t="inlineStr">
        <is>
          <t xml:space="preserve">2 · 2010–2012 price boom</t>
        </is>
      </c>
    </row>
    <row r="10">
      <c r="A10" s="2">
        <v>2013</v>
      </c>
      <c r="B10" s="2" t="inlineStr">
        <is>
          <t xml:space="preserve">2013/14</t>
        </is>
      </c>
      <c r="C10" s="3">
        <v>213</v>
      </c>
      <c r="D10" s="3">
        <v>50</v>
      </c>
      <c r="E10" s="4">
        <f>C10+D10</f>
        <v>263</v>
      </c>
      <c r="F10" s="8">
        <f>E10-E9</f>
        <v>-52</v>
      </c>
      <c r="G10" s="8">
        <f>C10-C9</f>
        <v>-54</v>
      </c>
      <c r="H10" s="8">
        <f>D10-D9</f>
        <v>2</v>
      </c>
      <c r="I10" s="3">
        <v>900</v>
      </c>
      <c r="J10" s="3">
        <v>210</v>
      </c>
      <c r="K10" s="4">
        <f>I10/C10*1000</f>
        <v>4225.352112676056</v>
      </c>
      <c r="L10" s="4">
        <f>J10/D10*1000</f>
        <v>4200.0</v>
      </c>
      <c r="M10" s="3">
        <v>4400.0</v>
      </c>
      <c r="N10" s="5">
        <f>M10/C10</f>
        <v>20.657276995305164</v>
      </c>
      <c r="O10" s="9">
        <f>M10/M9-1</f>
        <v>-0.06878306878306883</v>
      </c>
      <c r="P10" s="6">
        <v>3.077</v>
      </c>
      <c r="Q10" s="7">
        <f>P10/2.20462</f>
        <v>1.3957053823334635</v>
      </c>
      <c r="R10" s="3">
        <v>339.608</v>
      </c>
      <c r="S10" s="3">
        <v>410.975</v>
      </c>
      <c r="T10" s="3">
        <v>395.0</v>
      </c>
      <c r="U10" s="5">
        <f>P10*1000/R10</f>
        <v>9.060446161456738</v>
      </c>
      <c r="V10" s="3">
        <v>74712.0</v>
      </c>
      <c r="W10" s="3">
        <v>21794.0</v>
      </c>
      <c r="X10" s="3">
        <v>29688.0</v>
      </c>
      <c r="Y10" s="4">
        <f>V10+W10+X10</f>
        <v>126194.0</v>
      </c>
      <c r="AA10" s="3">
        <v>6614.08</v>
      </c>
      <c r="AB10" s="3">
        <v>540.0</v>
      </c>
      <c r="AC10" s="3">
        <v>1664.45</v>
      </c>
      <c r="AD10" s="3">
        <v>879.75</v>
      </c>
      <c r="AG10" s="2" t="inlineStr">
        <is>
          <t xml:space="preserve">3 · 2013 rust + price crash</t>
        </is>
      </c>
    </row>
    <row r="11">
      <c r="A11" s="2">
        <v>2014</v>
      </c>
      <c r="B11" s="2" t="inlineStr">
        <is>
          <t xml:space="preserve">2014/15</t>
        </is>
      </c>
      <c r="C11" s="3">
        <v>227</v>
      </c>
      <c r="D11" s="3">
        <v>66</v>
      </c>
      <c r="E11" s="4">
        <f>C11+D11</f>
        <v>293</v>
      </c>
      <c r="F11" s="8">
        <f>E11-E10</f>
        <v>30</v>
      </c>
      <c r="G11" s="8">
        <f>C11-C10</f>
        <v>14</v>
      </c>
      <c r="H11" s="8">
        <f>D11-D10</f>
        <v>16</v>
      </c>
      <c r="I11" s="3">
        <v>966</v>
      </c>
      <c r="J11" s="3">
        <v>279</v>
      </c>
      <c r="K11" s="4">
        <f>I11/C11*1000</f>
        <v>4255.506607929515</v>
      </c>
      <c r="L11" s="4">
        <f>J11/D11*1000</f>
        <v>4227.272727272728</v>
      </c>
      <c r="M11" s="3">
        <v>5100.0</v>
      </c>
      <c r="N11" s="5">
        <f>M11/C11</f>
        <v>22.46696035242291</v>
      </c>
      <c r="O11" s="9">
        <f>M11/M10-1</f>
        <v>0.15909090909090917</v>
      </c>
      <c r="P11" s="6">
        <v>4.425</v>
      </c>
      <c r="Q11" s="7">
        <f>P11/2.20462</f>
        <v>2.007148624252706</v>
      </c>
      <c r="R11" s="3">
        <v>308.442</v>
      </c>
      <c r="S11" s="3">
        <v>429.6</v>
      </c>
      <c r="T11" s="3">
        <v>296.625</v>
      </c>
      <c r="U11" s="5">
        <f>P11*1000/R11</f>
        <v>14.346295251619429</v>
      </c>
      <c r="V11" s="3">
        <v>74007.0</v>
      </c>
      <c r="W11" s="3">
        <v>25287.0</v>
      </c>
      <c r="X11" s="3">
        <v>43243.0</v>
      </c>
      <c r="Y11" s="4">
        <f>V11+W11+X11</f>
        <v>142537.0</v>
      </c>
      <c r="Z11" s="3">
        <v>366.54332731545026</v>
      </c>
      <c r="AA11" s="3">
        <v>6570.54</v>
      </c>
      <c r="AB11" s="3">
        <v>540.0</v>
      </c>
      <c r="AC11" s="3">
        <v>1646.13</v>
      </c>
      <c r="AD11" s="3">
        <v>735.24</v>
      </c>
      <c r="AG11" s="2" t="inlineStr">
        <is>
          <t xml:space="preserve">4 · 2014–2017 renovation</t>
        </is>
      </c>
    </row>
    <row r="12">
      <c r="A12" s="2">
        <v>2015</v>
      </c>
      <c r="B12" s="2" t="inlineStr">
        <is>
          <t xml:space="preserve">2015/16</t>
        </is>
      </c>
      <c r="C12" s="3">
        <v>240</v>
      </c>
      <c r="D12" s="3">
        <v>63</v>
      </c>
      <c r="E12" s="4">
        <f>C12+D12</f>
        <v>303</v>
      </c>
      <c r="F12" s="8">
        <f>E12-E11</f>
        <v>10</v>
      </c>
      <c r="G12" s="8">
        <f>C12-C11</f>
        <v>13</v>
      </c>
      <c r="H12" s="8">
        <f>D12-D11</f>
        <v>-3</v>
      </c>
      <c r="I12" s="3">
        <v>1020</v>
      </c>
      <c r="J12" s="3">
        <v>270</v>
      </c>
      <c r="K12" s="4">
        <f>I12/C12*1000</f>
        <v>4250.0</v>
      </c>
      <c r="L12" s="4">
        <f>J12/D12*1000</f>
        <v>4285.714285714285</v>
      </c>
      <c r="M12" s="3">
        <v>5300.0</v>
      </c>
      <c r="N12" s="5">
        <f>M12/C12</f>
        <v>22.083333333333332</v>
      </c>
      <c r="O12" s="9">
        <f>M12/M11-1</f>
        <v>0.03921568627450989</v>
      </c>
      <c r="P12" s="6">
        <v>3.526</v>
      </c>
      <c r="Q12" s="7">
        <f>P12/2.20462</f>
        <v>1.5993685986700656</v>
      </c>
      <c r="R12" s="3">
        <v>277.942</v>
      </c>
      <c r="S12" s="3">
        <v>416.633</v>
      </c>
      <c r="T12" s="3">
        <v>296.067</v>
      </c>
      <c r="U12" s="5">
        <f>P12*1000/R12</f>
        <v>12.686099977693187</v>
      </c>
      <c r="V12" s="3">
        <v>75343.0</v>
      </c>
      <c r="W12" s="3">
        <v>33145.0</v>
      </c>
      <c r="X12" s="3">
        <v>25793.0</v>
      </c>
      <c r="Y12" s="4">
        <f>V12+W12+X12</f>
        <v>134281.0</v>
      </c>
      <c r="Z12" s="3">
        <v>324.59540177997576</v>
      </c>
      <c r="AA12" s="3">
        <v>6527.0</v>
      </c>
      <c r="AB12" s="3">
        <v>540.0</v>
      </c>
      <c r="AC12" s="3">
        <v>1627.82</v>
      </c>
      <c r="AD12" s="3">
        <v>761.26</v>
      </c>
      <c r="AG12" s="2" t="inlineStr">
        <is>
          <t xml:space="preserve">4 · 2014–2017 renovation</t>
        </is>
      </c>
    </row>
    <row r="13">
      <c r="A13" s="2">
        <v>2016</v>
      </c>
      <c r="B13" s="2" t="inlineStr">
        <is>
          <t xml:space="preserve">2016/17</t>
        </is>
      </c>
      <c r="C13" s="3">
        <v>280</v>
      </c>
      <c r="D13" s="3">
        <v>54</v>
      </c>
      <c r="E13" s="4">
        <f>C13+D13</f>
        <v>334</v>
      </c>
      <c r="F13" s="8">
        <f>E13-E12</f>
        <v>31</v>
      </c>
      <c r="G13" s="8">
        <f>C13-C12</f>
        <v>40</v>
      </c>
      <c r="H13" s="8">
        <f>D13-D12</f>
        <v>-9</v>
      </c>
      <c r="I13" s="3">
        <v>1191</v>
      </c>
      <c r="J13" s="3">
        <v>234</v>
      </c>
      <c r="K13" s="4">
        <f>I13/C13*1000</f>
        <v>4253.571428571429</v>
      </c>
      <c r="L13" s="4">
        <f>J13/D13*1000</f>
        <v>4333.333333333333</v>
      </c>
      <c r="M13" s="3">
        <v>7510.0</v>
      </c>
      <c r="N13" s="5">
        <f>M13/C13</f>
        <v>26.821428571428573</v>
      </c>
      <c r="O13" s="9">
        <f>M13/M12-1</f>
        <v>0.4169811320754717</v>
      </c>
      <c r="P13" s="6">
        <v>3.612</v>
      </c>
      <c r="Q13" s="7">
        <f>P13/2.20462</f>
        <v>1.6383775888815308</v>
      </c>
      <c r="R13" s="3">
        <v>194.15</v>
      </c>
      <c r="S13" s="3">
        <v>315.808</v>
      </c>
      <c r="T13" s="3">
        <v>260.333</v>
      </c>
      <c r="U13" s="5">
        <f>P13*1000/R13</f>
        <v>18.60417203193407</v>
      </c>
      <c r="V13" s="3">
        <v>95944.0</v>
      </c>
      <c r="W13" s="3">
        <v>34653.0</v>
      </c>
      <c r="X13" s="3">
        <v>36674.0</v>
      </c>
      <c r="Y13" s="4">
        <f>V13+W13+X13</f>
        <v>167271.0</v>
      </c>
      <c r="Z13" s="3">
        <v>238.62071482420168</v>
      </c>
      <c r="AA13" s="3">
        <v>6444.09</v>
      </c>
      <c r="AB13" s="3">
        <v>540.0</v>
      </c>
      <c r="AC13" s="3">
        <v>1609.51</v>
      </c>
      <c r="AD13" s="3">
        <v>726.4</v>
      </c>
      <c r="AG13" s="2" t="inlineStr">
        <is>
          <t xml:space="preserve">4 · 2014–2017 renovation</t>
        </is>
      </c>
    </row>
    <row r="14">
      <c r="A14" s="2">
        <v>2017</v>
      </c>
      <c r="B14" s="2" t="inlineStr">
        <is>
          <t xml:space="preserve">2017/18</t>
        </is>
      </c>
      <c r="C14" s="3">
        <v>298</v>
      </c>
      <c r="D14" s="3">
        <v>44</v>
      </c>
      <c r="E14" s="4">
        <f>C14+D14</f>
        <v>342</v>
      </c>
      <c r="F14" s="8">
        <f>E14-E13</f>
        <v>8</v>
      </c>
      <c r="G14" s="8">
        <f>C14-C13</f>
        <v>18</v>
      </c>
      <c r="H14" s="8">
        <f>D14-D13</f>
        <v>-10</v>
      </c>
      <c r="I14" s="3">
        <v>1269</v>
      </c>
      <c r="J14" s="3">
        <v>186</v>
      </c>
      <c r="K14" s="4">
        <f>I14/C14*1000</f>
        <v>4258.3892617449665</v>
      </c>
      <c r="L14" s="4">
        <f>J14/D14*1000</f>
        <v>4227.272727272728</v>
      </c>
      <c r="M14" s="3">
        <v>7600.0</v>
      </c>
      <c r="N14" s="5">
        <f>M14/C14</f>
        <v>25.503355704697988</v>
      </c>
      <c r="O14" s="9">
        <f>M14/M13-1</f>
        <v>0.011984021304926706</v>
      </c>
      <c r="P14" s="6">
        <v>3.324</v>
      </c>
      <c r="Q14" s="7">
        <f>P14/2.20462</f>
        <v>1.5077428309640664</v>
      </c>
      <c r="R14" s="3">
        <v>213.883</v>
      </c>
      <c r="S14" s="3">
        <v>323.042</v>
      </c>
      <c r="T14" s="3">
        <v>218.233</v>
      </c>
      <c r="U14" s="5">
        <f>P14*1000/R14</f>
        <v>15.541207108559352</v>
      </c>
      <c r="V14" s="3">
        <v>110175.0</v>
      </c>
      <c r="W14" s="3">
        <v>34591.0</v>
      </c>
      <c r="X14" s="3">
        <v>43065.0</v>
      </c>
      <c r="Y14" s="4">
        <f>V14+W14+X14</f>
        <v>187831.0</v>
      </c>
      <c r="Z14" s="3">
        <v>258.6629646385085</v>
      </c>
      <c r="AA14" s="3">
        <v>6361.17</v>
      </c>
      <c r="AB14" s="3">
        <v>652.83</v>
      </c>
      <c r="AC14" s="3">
        <v>1591.2</v>
      </c>
      <c r="AD14" s="3">
        <v>925.6</v>
      </c>
      <c r="AG14" s="2" t="inlineStr">
        <is>
          <t xml:space="preserve">4 · 2014–2017 renovation</t>
        </is>
      </c>
    </row>
    <row r="15">
      <c r="A15" s="2">
        <v>2018</v>
      </c>
      <c r="B15" s="2" t="inlineStr">
        <is>
          <t xml:space="preserve">2018/19</t>
        </is>
      </c>
      <c r="C15" s="3">
        <v>286</v>
      </c>
      <c r="D15" s="3">
        <v>36</v>
      </c>
      <c r="E15" s="4">
        <f>C15+D15</f>
        <v>322</v>
      </c>
      <c r="F15" s="8">
        <f>E15-E14</f>
        <v>-20</v>
      </c>
      <c r="G15" s="8">
        <f>C15-C14</f>
        <v>-12</v>
      </c>
      <c r="H15" s="8">
        <f>D15-D14</f>
        <v>-8</v>
      </c>
      <c r="I15" s="3">
        <v>1362</v>
      </c>
      <c r="J15" s="3">
        <v>153</v>
      </c>
      <c r="K15" s="4">
        <f>I15/C15*1000</f>
        <v>4762.237762237763</v>
      </c>
      <c r="L15" s="4">
        <f>J15/D15*1000</f>
        <v>4250.0</v>
      </c>
      <c r="M15" s="3">
        <v>7100.0</v>
      </c>
      <c r="N15" s="5">
        <f>M15/C15</f>
        <v>24.825174825174827</v>
      </c>
      <c r="O15" s="9">
        <f>M15/M14-1</f>
        <v>-0.06578947368421051</v>
      </c>
      <c r="P15" s="6">
        <v>2.925</v>
      </c>
      <c r="Q15" s="7">
        <f>P15/2.20462</f>
        <v>1.3267592600992462</v>
      </c>
      <c r="R15" s="3">
        <v>249.45</v>
      </c>
      <c r="S15" s="3">
        <v>393.442</v>
      </c>
      <c r="T15" s="3">
        <v>215.5</v>
      </c>
      <c r="U15" s="5">
        <f>P15*1000/R15</f>
        <v>11.725796752856285</v>
      </c>
      <c r="V15" s="3">
        <v>122752.0</v>
      </c>
      <c r="W15" s="3">
        <v>39277.0</v>
      </c>
      <c r="X15" s="3">
        <v>47080.0</v>
      </c>
      <c r="Y15" s="4">
        <f>V15+W15+X15</f>
        <v>209109.0</v>
      </c>
      <c r="Z15" s="3">
        <v>293.3260407304614</v>
      </c>
      <c r="AA15" s="3">
        <v>6278.26</v>
      </c>
      <c r="AB15" s="3">
        <v>652.83</v>
      </c>
      <c r="AC15" s="3">
        <v>1572.89</v>
      </c>
      <c r="AD15" s="3">
        <v>964.19</v>
      </c>
      <c r="AG15" s="2" t="inlineStr">
        <is>
          <t xml:space="preserve">5 · 2018–2019 price below cost</t>
        </is>
      </c>
    </row>
    <row r="16">
      <c r="A16" s="2">
        <v>2019</v>
      </c>
      <c r="B16" s="2" t="inlineStr">
        <is>
          <t xml:space="preserve">2019/20</t>
        </is>
      </c>
      <c r="C16" s="3">
        <v>270</v>
      </c>
      <c r="D16" s="3">
        <v>35</v>
      </c>
      <c r="E16" s="4">
        <f>C16+D16</f>
        <v>305</v>
      </c>
      <c r="F16" s="8">
        <f>E16-E15</f>
        <v>-17</v>
      </c>
      <c r="G16" s="8">
        <f>C16-C15</f>
        <v>-16</v>
      </c>
      <c r="H16" s="8">
        <f>D16-D15</f>
        <v>-1</v>
      </c>
      <c r="I16" s="3">
        <v>1290</v>
      </c>
      <c r="J16" s="3">
        <v>150</v>
      </c>
      <c r="K16" s="4">
        <f>I16/C16*1000</f>
        <v>4777.777777777777</v>
      </c>
      <c r="L16" s="4">
        <f>J16/D16*1000</f>
        <v>4285.714285714285</v>
      </c>
      <c r="M16" s="3">
        <v>5200.0</v>
      </c>
      <c r="N16" s="5">
        <f>M16/C16</f>
        <v>19.25925925925926</v>
      </c>
      <c r="O16" s="9">
        <f>M16/M15-1</f>
        <v>-0.2676056338028169</v>
      </c>
      <c r="P16" s="6">
        <v>2.88</v>
      </c>
      <c r="Q16" s="7">
        <f>P16/2.20462</f>
        <v>1.3063475791746424</v>
      </c>
      <c r="R16" s="3">
        <v>245.283</v>
      </c>
      <c r="S16" s="3">
        <v>306.367</v>
      </c>
      <c r="T16" s="3">
        <v>255.5</v>
      </c>
      <c r="U16" s="5">
        <f>P16*1000/R16</f>
        <v>11.741539364733798</v>
      </c>
      <c r="V16" s="3">
        <v>86136.0</v>
      </c>
      <c r="W16" s="3">
        <v>31343.0</v>
      </c>
      <c r="X16" s="3">
        <v>42804.0</v>
      </c>
      <c r="Y16" s="4">
        <f>V16+W16+X16</f>
        <v>160283.0</v>
      </c>
      <c r="Z16" s="3">
        <v>288.57511425765824</v>
      </c>
      <c r="AA16" s="3">
        <v>6195.34</v>
      </c>
      <c r="AB16" s="3">
        <v>652.83</v>
      </c>
      <c r="AC16" s="3">
        <v>1554.58</v>
      </c>
      <c r="AD16" s="3">
        <v>898.75</v>
      </c>
      <c r="AG16" s="2" t="inlineStr">
        <is>
          <t xml:space="preserve">5 · 2018–2019 price below cost</t>
        </is>
      </c>
    </row>
    <row r="17">
      <c r="A17" s="2">
        <v>2020</v>
      </c>
      <c r="B17" s="2" t="inlineStr">
        <is>
          <t xml:space="preserve">2020/21</t>
        </is>
      </c>
      <c r="C17" s="3">
        <v>273</v>
      </c>
      <c r="D17" s="3">
        <v>34</v>
      </c>
      <c r="E17" s="4">
        <f>C17+D17</f>
        <v>307</v>
      </c>
      <c r="F17" s="8">
        <f>E17-E16</f>
        <v>2</v>
      </c>
      <c r="G17" s="8">
        <f>C17-C16</f>
        <v>3</v>
      </c>
      <c r="H17" s="8">
        <f>D17-D16</f>
        <v>-1</v>
      </c>
      <c r="I17" s="3">
        <v>1295</v>
      </c>
      <c r="J17" s="3">
        <v>163</v>
      </c>
      <c r="K17" s="4">
        <f>I17/C17*1000</f>
        <v>4743.589743589743</v>
      </c>
      <c r="L17" s="4">
        <f>J17/D17*1000</f>
        <v>4794.117647058823</v>
      </c>
      <c r="M17" s="3">
        <v>6500.0</v>
      </c>
      <c r="N17" s="5">
        <f>M17/C17</f>
        <v>23.80952380952381</v>
      </c>
      <c r="O17" s="9">
        <f>M17/M16-1</f>
        <v>0.25</v>
      </c>
      <c r="P17" s="6">
        <v>3.323</v>
      </c>
      <c r="Q17" s="7">
        <f>P17/2.20462</f>
        <v>1.5072892380546308</v>
      </c>
      <c r="R17" s="3">
        <v>229.1</v>
      </c>
      <c r="S17" s="3">
        <v>312.425</v>
      </c>
      <c r="T17" s="3">
        <v>241.083</v>
      </c>
      <c r="U17" s="5">
        <f>P17*1000/R17</f>
        <v>14.504583151462244</v>
      </c>
      <c r="V17" s="3">
        <v>128016.0</v>
      </c>
      <c r="W17" s="3">
        <v>44680.0</v>
      </c>
      <c r="X17" s="3">
        <v>69967.0</v>
      </c>
      <c r="Y17" s="4">
        <f>V17+W17+X17</f>
        <v>242663.0</v>
      </c>
      <c r="Z17" s="3">
        <v>265.93479726798324</v>
      </c>
      <c r="AA17" s="3">
        <v>6112.43</v>
      </c>
      <c r="AB17" s="3">
        <v>652.83</v>
      </c>
      <c r="AC17" s="3">
        <v>1536.27</v>
      </c>
      <c r="AD17" s="3">
        <v>856.79</v>
      </c>
      <c r="AG17" s="2" t="inlineStr">
        <is>
          <t xml:space="preserve">6 · 2020–2021 recovery</t>
        </is>
      </c>
    </row>
    <row r="18">
      <c r="A18" s="2">
        <v>2021</v>
      </c>
      <c r="B18" s="2" t="inlineStr">
        <is>
          <t xml:space="preserve">2021/22</t>
        </is>
      </c>
      <c r="C18" s="3">
        <v>275</v>
      </c>
      <c r="D18" s="3">
        <v>32</v>
      </c>
      <c r="E18" s="4">
        <f>C18+D18</f>
        <v>307</v>
      </c>
      <c r="F18" s="8">
        <f>E18-E17</f>
        <v>0</v>
      </c>
      <c r="G18" s="8">
        <f>C18-C17</f>
        <v>2</v>
      </c>
      <c r="H18" s="8">
        <f>D18-D17</f>
        <v>-2</v>
      </c>
      <c r="I18" s="3">
        <v>1375</v>
      </c>
      <c r="J18" s="3">
        <v>172</v>
      </c>
      <c r="K18" s="4">
        <f>I18/C18*1000</f>
        <v>5000.0</v>
      </c>
      <c r="L18" s="4">
        <f>J18/D18*1000</f>
        <v>5375.0</v>
      </c>
      <c r="M18" s="3">
        <v>4800.0</v>
      </c>
      <c r="N18" s="5">
        <f>M18/C18</f>
        <v>17.454545454545453</v>
      </c>
      <c r="O18" s="9">
        <f>M18/M17-1</f>
        <v>-0.2615384615384615</v>
      </c>
      <c r="P18" s="6">
        <v>4.511</v>
      </c>
      <c r="Q18" s="7">
        <f>P18/2.20462</f>
        <v>2.046157614464171</v>
      </c>
      <c r="R18" s="3">
        <v>483.217</v>
      </c>
      <c r="S18" s="3">
        <v>600.967</v>
      </c>
      <c r="T18" s="3">
        <v>542.817</v>
      </c>
      <c r="U18" s="5">
        <f>P18*1000/R18</f>
        <v>9.33535037053746</v>
      </c>
      <c r="V18" s="3">
        <v>104868.0</v>
      </c>
      <c r="W18" s="3">
        <v>33278.0</v>
      </c>
      <c r="X18" s="3">
        <v>56411.0</v>
      </c>
      <c r="Y18" s="4">
        <f>V18+W18+X18</f>
        <v>194557.0</v>
      </c>
      <c r="Z18" s="3">
        <v>406.13756810461535</v>
      </c>
      <c r="AA18" s="3">
        <v>6062.21</v>
      </c>
      <c r="AB18" s="3">
        <v>652.83</v>
      </c>
      <c r="AC18" s="3">
        <v>1517.96</v>
      </c>
      <c r="AD18" s="3">
        <v>888.76</v>
      </c>
      <c r="AG18" s="2" t="inlineStr">
        <is>
          <t xml:space="preserve">6 · 2020–2021 recovery</t>
        </is>
      </c>
    </row>
    <row r="19">
      <c r="A19" s="2">
        <v>2022</v>
      </c>
      <c r="B19" s="2" t="inlineStr">
        <is>
          <t xml:space="preserve">2022/23</t>
        </is>
      </c>
      <c r="C19" s="3">
        <v>285</v>
      </c>
      <c r="D19" s="3">
        <v>35</v>
      </c>
      <c r="E19" s="4">
        <f>C19+D19</f>
        <v>320</v>
      </c>
      <c r="F19" s="8">
        <f>E19-E18</f>
        <v>13</v>
      </c>
      <c r="G19" s="8">
        <f>C19-C18</f>
        <v>10</v>
      </c>
      <c r="H19" s="8">
        <f>D19-D18</f>
        <v>3</v>
      </c>
      <c r="I19" s="3">
        <v>1600</v>
      </c>
      <c r="J19" s="3">
        <v>200</v>
      </c>
      <c r="K19" s="4">
        <f>I19/C19*1000</f>
        <v>5614.035087719298</v>
      </c>
      <c r="L19" s="4">
        <f>J19/D19*1000</f>
        <v>5714.285714285715</v>
      </c>
      <c r="M19" s="3">
        <v>5700.0</v>
      </c>
      <c r="N19" s="5">
        <f>M19/C19</f>
        <v>20.0</v>
      </c>
      <c r="O19" s="9">
        <f>M19/M18-1</f>
        <v>0.1875</v>
      </c>
      <c r="P19" s="6">
        <v>5.631</v>
      </c>
      <c r="Q19" s="7">
        <f>P19/2.20462</f>
        <v>2.5541816730320877</v>
      </c>
      <c r="R19" s="3">
        <v>700.033</v>
      </c>
      <c r="S19" s="3">
        <v>772.158</v>
      </c>
      <c r="T19" s="3">
        <v>863.425</v>
      </c>
      <c r="U19" s="5">
        <f>P19*1000/R19</f>
        <v>8.04390650155064</v>
      </c>
      <c r="V19" s="3">
        <v>104865.0</v>
      </c>
      <c r="W19" s="3">
        <v>33274.0</v>
      </c>
      <c r="X19" s="3">
        <v>56407.0</v>
      </c>
      <c r="Y19" s="4">
        <f>V19+W19+X19</f>
        <v>194546.0</v>
      </c>
      <c r="AA19" s="3">
        <v>6011.99</v>
      </c>
      <c r="AB19" s="3">
        <v>652.83</v>
      </c>
      <c r="AC19" s="3">
        <v>1499.65</v>
      </c>
      <c r="AD19" s="3">
        <v>824.33</v>
      </c>
      <c r="AE19" s="3">
        <v>315731.11</v>
      </c>
      <c r="AF19" s="3">
        <v>90522</v>
      </c>
      <c r="AG19" s="2" t="inlineStr">
        <is>
          <t xml:space="preserve">7 · 2022–2026 high prices</t>
        </is>
      </c>
    </row>
    <row r="20">
      <c r="A20" s="2">
        <v>2023</v>
      </c>
      <c r="B20" s="2" t="inlineStr">
        <is>
          <t xml:space="preserve">2023/24</t>
        </is>
      </c>
      <c r="C20" s="3">
        <v>292</v>
      </c>
      <c r="D20" s="3">
        <v>38</v>
      </c>
      <c r="E20" s="4">
        <f>C20+D20</f>
        <v>330</v>
      </c>
      <c r="F20" s="8">
        <f>E20-E19</f>
        <v>10</v>
      </c>
      <c r="G20" s="8">
        <f>C20-C19</f>
        <v>7</v>
      </c>
      <c r="H20" s="8">
        <f>D20-D19</f>
        <v>3</v>
      </c>
      <c r="I20" s="3">
        <v>1800</v>
      </c>
      <c r="J20" s="3">
        <v>232</v>
      </c>
      <c r="K20" s="4">
        <f>I20/C20*1000</f>
        <v>6164.3835616438355</v>
      </c>
      <c r="L20" s="4">
        <f>J20/D20*1000</f>
        <v>6105.263157894738</v>
      </c>
      <c r="M20" s="3">
        <v>5050.0</v>
      </c>
      <c r="N20" s="5">
        <f>M20/C20</f>
        <v>17.294520547945204</v>
      </c>
      <c r="O20" s="9">
        <f>M20/M19-1</f>
        <v>-0.11403508771929827</v>
      </c>
      <c r="P20" s="6">
        <v>4.541</v>
      </c>
      <c r="Q20" s="7">
        <f>P20/2.20462</f>
        <v>2.0597654017472404</v>
      </c>
      <c r="R20" s="3">
        <v>358.008</v>
      </c>
      <c r="S20" s="3">
        <v>550.067</v>
      </c>
      <c r="T20" s="3">
        <v>383.233</v>
      </c>
      <c r="U20" s="5">
        <f>P20*1000/R20</f>
        <v>12.68407409890282</v>
      </c>
      <c r="V20" s="3">
        <v>104427.0</v>
      </c>
      <c r="W20" s="3">
        <v>35527.0</v>
      </c>
      <c r="X20" s="3">
        <v>51399.0</v>
      </c>
      <c r="Y20" s="4">
        <f>V20+W20+X20</f>
        <v>191353.0</v>
      </c>
      <c r="Z20" s="3">
        <v>395.6757519410964</v>
      </c>
      <c r="AA20" s="3">
        <v>5961.77</v>
      </c>
      <c r="AB20" s="3">
        <v>652.83</v>
      </c>
      <c r="AC20" s="3">
        <v>1481.34</v>
      </c>
      <c r="AD20" s="3">
        <v>895.66</v>
      </c>
      <c r="AE20" s="3">
        <v>280097</v>
      </c>
      <c r="AF20" s="3">
        <v>87136</v>
      </c>
      <c r="AG20" s="2" t="inlineStr">
        <is>
          <t xml:space="preserve">7 · 2022–2026 high prices</t>
        </is>
      </c>
    </row>
    <row r="21">
      <c r="A21" s="2">
        <v>2024</v>
      </c>
      <c r="B21" s="2" t="inlineStr">
        <is>
          <t xml:space="preserve">2024/25</t>
        </is>
      </c>
      <c r="C21" s="3">
        <v>300</v>
      </c>
      <c r="D21" s="3">
        <v>40</v>
      </c>
      <c r="E21" s="4">
        <f>C21+D21</f>
        <v>340</v>
      </c>
      <c r="F21" s="8">
        <f>E21-E20</f>
        <v>10</v>
      </c>
      <c r="G21" s="8">
        <f>C21-C20</f>
        <v>8</v>
      </c>
      <c r="H21" s="8">
        <f>D21-D20</f>
        <v>2</v>
      </c>
      <c r="I21" s="3">
        <v>1900</v>
      </c>
      <c r="J21" s="3">
        <v>245</v>
      </c>
      <c r="K21" s="4">
        <f>I21/C21*1000</f>
        <v>6333.333333333333</v>
      </c>
      <c r="L21" s="4">
        <f>J21/D21*1000</f>
        <v>6125.0</v>
      </c>
      <c r="M21" s="3">
        <v>5200.0</v>
      </c>
      <c r="N21" s="5">
        <f>M21/C21</f>
        <v>17.333333333333332</v>
      </c>
      <c r="O21" s="9">
        <f>M21/M20-1</f>
        <v>0.02970297029702973</v>
      </c>
      <c r="P21" s="6">
        <v>5.621</v>
      </c>
      <c r="Q21" s="7">
        <f>P21/2.20462</f>
        <v>2.5496457439377314</v>
      </c>
      <c r="R21" s="3">
        <v>338.283</v>
      </c>
      <c r="S21" s="3">
        <v>563.667</v>
      </c>
      <c r="T21" s="3">
        <v>295.108</v>
      </c>
      <c r="U21" s="5">
        <f>P21*1000/R21</f>
        <v>16.61626507982961</v>
      </c>
      <c r="V21" s="3">
        <v>106830.0</v>
      </c>
      <c r="W21" s="3">
        <v>38420.0</v>
      </c>
      <c r="X21" s="3">
        <v>56337.0</v>
      </c>
      <c r="Y21" s="4">
        <f>V21+W21+X21</f>
        <v>201587.0</v>
      </c>
      <c r="Z21" s="3">
        <v>365.2237801719332</v>
      </c>
      <c r="AA21" s="3">
        <v>5911.55</v>
      </c>
      <c r="AB21" s="3">
        <v>706.8276</v>
      </c>
      <c r="AC21" s="3">
        <v>1463.0246</v>
      </c>
      <c r="AD21" s="3">
        <v>914.59</v>
      </c>
      <c r="AE21" s="3">
        <v>285557</v>
      </c>
      <c r="AF21" s="3">
        <v>86895</v>
      </c>
      <c r="AG21" s="2" t="inlineStr">
        <is>
          <t xml:space="preserve">7 · 2022–2026 high prices</t>
        </is>
      </c>
    </row>
    <row r="22">
      <c r="A22" s="2">
        <v>2025</v>
      </c>
      <c r="B22" s="2" t="inlineStr">
        <is>
          <t xml:space="preserve">2025/26</t>
        </is>
      </c>
      <c r="C22" s="3">
        <v>310</v>
      </c>
      <c r="D22" s="3">
        <v>40</v>
      </c>
      <c r="E22" s="4">
        <f>C22+D22</f>
        <v>350</v>
      </c>
      <c r="F22" s="8">
        <f>E22-E21</f>
        <v>10</v>
      </c>
      <c r="G22" s="8">
        <f>C22-C21</f>
        <v>10</v>
      </c>
      <c r="H22" s="8">
        <f>D22-D21</f>
        <v>0</v>
      </c>
      <c r="I22" s="3">
        <v>2000</v>
      </c>
      <c r="J22" s="3">
        <v>260</v>
      </c>
      <c r="K22" s="4">
        <f>I22/C22*1000</f>
        <v>6451.612903225806</v>
      </c>
      <c r="L22" s="4">
        <f>J22/D22*1000</f>
        <v>6500.0</v>
      </c>
      <c r="M22" s="3">
        <v>5530.0</v>
      </c>
      <c r="N22" s="5">
        <f>M22/C22</f>
        <v>17.838709677419356</v>
      </c>
      <c r="O22" s="9">
        <f>M22/M21-1</f>
        <v>0.06346153846153846</v>
      </c>
      <c r="P22" s="6">
        <v>8.47</v>
      </c>
      <c r="Q22" s="7">
        <f>P22/2.20462</f>
        <v>3.841931942919869</v>
      </c>
      <c r="R22" s="3">
        <v>422.658</v>
      </c>
      <c r="S22" s="3">
        <v>685.225</v>
      </c>
      <c r="T22" s="3">
        <v>347.517</v>
      </c>
      <c r="U22" s="5">
        <f>P22*1000/R22</f>
        <v>20.039843088265215</v>
      </c>
      <c r="AA22" s="3">
        <v>5861.33</v>
      </c>
      <c r="AD22" s="3">
        <v>925.47</v>
      </c>
      <c r="AG22" s="2" t="inlineStr">
        <is>
          <t xml:space="preserve">7 · 2022–2026 high prices</t>
        </is>
      </c>
    </row>
    <row r="23">
      <c r="A23" s="2">
        <v>2026</v>
      </c>
      <c r="B23" s="2" t="inlineStr">
        <is>
          <t xml:space="preserve">2026/27</t>
        </is>
      </c>
      <c r="C23" s="3">
        <v>330</v>
      </c>
      <c r="D23" s="3">
        <v>30</v>
      </c>
      <c r="E23" s="4">
        <f>C23+D23</f>
        <v>360</v>
      </c>
      <c r="F23" s="8">
        <f>E23-E22</f>
        <v>10</v>
      </c>
      <c r="G23" s="8">
        <f>C23-C22</f>
        <v>20</v>
      </c>
      <c r="H23" s="8">
        <f>D23-D22</f>
        <v>-10</v>
      </c>
      <c r="I23" s="3">
        <v>2100</v>
      </c>
      <c r="J23" s="3">
        <v>270</v>
      </c>
      <c r="K23" s="4">
        <f>I23/C23*1000</f>
        <v>6363.636363636363</v>
      </c>
      <c r="L23" s="4">
        <f>J23/D23*1000</f>
        <v>9000.0</v>
      </c>
      <c r="M23" s="3">
        <v>6030.0</v>
      </c>
      <c r="N23" s="5">
        <f>M23/C23</f>
        <v>18.272727272727273</v>
      </c>
      <c r="O23" s="9">
        <f>M23/M22-1</f>
        <v>0.0904159132007234</v>
      </c>
      <c r="P23" s="6">
        <v>7.424</v>
      </c>
      <c r="Q23" s="7">
        <f>P23/2.20462</f>
        <v>3.36747375965019</v>
      </c>
      <c r="R23" s="3">
        <v>560.438</v>
      </c>
      <c r="S23" s="3">
        <v>719.675</v>
      </c>
      <c r="T23" s="3">
        <v>388.913</v>
      </c>
      <c r="U23" s="5">
        <f>P23*1000/R23</f>
        <v>13.246781981236104</v>
      </c>
      <c r="AG23" s="2" t="inlineStr">
        <is>
          <t xml:space="preserve">7 · 2022–2026 high prices</t>
        </is>
      </c>
    </row>
    <row r="25">
      <c r="A25" s="10" t="inlineStr">
        <is>
          <t xml:space="preserve">Sources. Areas and trees: USDA attaché, Coffee Annual reports from Tegucigalpa (latest revision of each year; non-bearing area = area planted − area harvested). Production: USDA PSD online, Honduras arabica, marketing year Oct–Sep. Prices: World Bank Pink Sheet, update 2 Sep 2026 (2026 = Jan–Aug). Fertiliser use, urea import value ÷ quantity, land use, employment: FAOSTAT bulk files (Sep 2026). IHCAFE registry: tables reproduced in the USDA reports.</t>
        </is>
      </c>
    </row>
    <row r="26">
      <c r="A26" s="10" t="inlineStr">
        <is>
          <t xml:space="preserve">Read with care: the USDA tree numbers are estimates (1,049 million every year 2006–2010; a fixed ~4,250 trees/ha until 2017, then ~6,400/ha). FAO flags Honduras coffee area as imputed after 2012 and producer prices as estimated, so neither is used here. FAO 2022 fertiliser use repeats 2021.</t>
        </is>
      </c>
    </row>
    <row r="27">
      <c r="A27" s="10" t="inlineStr">
        <is>
          <t xml:space="preserve">Blue = input copied from the source; black = formula.</t>
        </is>
      </c>
    </row>
  </sheetData>
</worksheet>
</file>

<file path=xl/worksheets/sheet3.xml><?xml version="1.0" encoding="utf-8"?>
<worksheet xmlns="http://schemas.openxmlformats.org/spreadsheetml/2006/main" xmlns:r="http://schemas.openxmlformats.org/officeDocument/2006/relationships">
  <sheetFormatPr defaultRowHeight="13.2"/>
  <cols>
    <col min="1" max="1" width="32" customWidth="1"/>
    <col min="2" max="2" width="7" customWidth="1"/>
    <col min="3" max="3" width="12" customWidth="1"/>
    <col min="4" max="4" width="12" customWidth="1"/>
    <col min="5" max="5" width="14" customWidth="1"/>
    <col min="6" max="6" width="14" customWidth="1"/>
    <col min="7" max="7" width="14" customWidth="1"/>
    <col min="8" max="8" width="12" customWidth="1"/>
  </cols>
  <sheetData>
    <row r="1">
      <c r="A1" s="11" t="inlineStr">
        <is>
          <t xml:space="preserve">Area change by price regime (averages per year, from the Annual sheet)</t>
        </is>
      </c>
    </row>
    <row r="3">
      <c r="A3" s="1" t="inlineStr">
        <is>
          <t xml:space="preserve">Price regime</t>
        </is>
      </c>
      <c r="B3" s="1" t="inlineStr">
        <is>
          <t xml:space="preserve">Years</t>
        </is>
      </c>
      <c r="C3" s="1" t="inlineStr">
        <is>
          <t xml:space="preserve">Arabica ($/kg)</t>
        </is>
      </c>
      <c r="D3" s="1" t="inlineStr">
        <is>
          <t xml:space="preserve">kg urea per kg arabica</t>
        </is>
      </c>
      <c r="E3" s="1" t="inlineStr">
        <is>
          <t xml:space="preserve">Total area change (1000 ha/yr)</t>
        </is>
      </c>
      <c r="F3" s="1" t="inlineStr">
        <is>
          <t xml:space="preserve">Bearing area change (1000 ha/yr)</t>
        </is>
      </c>
      <c r="G3" s="1" t="inlineStr">
        <is>
          <t xml:space="preserve">Non-bearing area change (1000 ha/yr)</t>
        </is>
      </c>
      <c r="H3" s="1" t="inlineStr">
        <is>
          <t xml:space="preserve">Production change (%/yr)</t>
        </is>
      </c>
    </row>
    <row r="4">
      <c r="A4" s="12" t="inlineStr">
        <is>
          <t xml:space="preserve">1 · 2005–2009 flat prices</t>
        </is>
      </c>
      <c r="B4" s="2">
        <f>COUNTIF(Annual!$AG$2:$AG$23,$A4)</f>
        <v>5</v>
      </c>
      <c r="C4" s="7">
        <f>AVERAGEIFS(Annual!$P$2:$P$23,Annual!$AG$2:$AG$23,$A4)</f>
        <v>2.806</v>
      </c>
      <c r="D4" s="5">
        <f>AVERAGEIFS(Annual!$U$2:$U$23,Annual!$AG$2:$AG$23,$A4)</f>
        <v>10.096564728748774</v>
      </c>
      <c r="E4" s="8">
        <f>AVERAGEIFS(Annual!$F$2:$F$23,Annual!$AG$2:$AG$23,$A4)</f>
        <v>-1</v>
      </c>
      <c r="F4" s="8">
        <f>AVERAGEIFS(Annual!$G$2:$G$23,Annual!$AG$2:$AG$23,$A4)</f>
        <v>10</v>
      </c>
      <c r="G4" s="8">
        <f>AVERAGEIFS(Annual!$H$2:$H$23,Annual!$AG$2:$AG$23,$A4)</f>
        <v>-11</v>
      </c>
      <c r="H4" s="9">
        <f>AVERAGEIFS(Annual!$O$2:$O$23,Annual!$AG$2:$AG$23,$A4)</f>
        <v>0.029694736470361444</v>
      </c>
    </row>
    <row r="5">
      <c r="A5" s="12" t="inlineStr">
        <is>
          <t xml:space="preserve">2 · 2010–2012 price boom</t>
        </is>
      </c>
      <c r="B5" s="2">
        <f>COUNTIF(Annual!$AG$2:$AG$23,$A5)</f>
        <v>3</v>
      </c>
      <c r="C5" s="7">
        <f>AVERAGEIFS(Annual!$P$2:$P$23,Annual!$AG$2:$AG$23,$A5)</f>
        <v>4.803</v>
      </c>
      <c r="D5" s="5">
        <f>AVERAGEIFS(Annual!$U$2:$U$23,Annual!$AG$2:$AG$23,$A5)</f>
        <v>13.416875090436669</v>
      </c>
      <c r="E5" s="8">
        <f>AVERAGEIFS(Annual!$F$2:$F$23,Annual!$AG$2:$AG$23,$A5)</f>
        <v>23.666666666666668</v>
      </c>
      <c r="F5" s="8">
        <f>AVERAGEIFS(Annual!$G$2:$G$23,Annual!$AG$2:$AG$23,$A5)</f>
        <v>14.333333333333334</v>
      </c>
      <c r="G5" s="8">
        <f>AVERAGEIFS(Annual!$H$2:$H$23,Annual!$AG$2:$AG$23,$A5)</f>
        <v>9.333333333333334</v>
      </c>
      <c r="H5" s="9">
        <f>AVERAGEIFS(Annual!$O$2:$O$23,Annual!$AG$2:$AG$23,$A5)</f>
        <v>0.12409111376856526</v>
      </c>
    </row>
    <row r="6">
      <c r="A6" s="12" t="inlineStr">
        <is>
          <t xml:space="preserve">3 · 2013 rust + price crash</t>
        </is>
      </c>
      <c r="B6" s="2">
        <f>COUNTIF(Annual!$AG$2:$AG$23,$A6)</f>
        <v>1</v>
      </c>
      <c r="C6" s="7">
        <f>AVERAGEIFS(Annual!$P$2:$P$23,Annual!$AG$2:$AG$23,$A6)</f>
        <v>3.077</v>
      </c>
      <c r="D6" s="5">
        <f>AVERAGEIFS(Annual!$U$2:$U$23,Annual!$AG$2:$AG$23,$A6)</f>
        <v>9.060446161456738</v>
      </c>
      <c r="E6" s="8">
        <f>AVERAGEIFS(Annual!$F$2:$F$23,Annual!$AG$2:$AG$23,$A6)</f>
        <v>-52</v>
      </c>
      <c r="F6" s="8">
        <f>AVERAGEIFS(Annual!$G$2:$G$23,Annual!$AG$2:$AG$23,$A6)</f>
        <v>-54</v>
      </c>
      <c r="G6" s="8">
        <f>AVERAGEIFS(Annual!$H$2:$H$23,Annual!$AG$2:$AG$23,$A6)</f>
        <v>2</v>
      </c>
      <c r="H6" s="9">
        <f>AVERAGEIFS(Annual!$O$2:$O$23,Annual!$AG$2:$AG$23,$A6)</f>
        <v>-0.06878306878306883</v>
      </c>
    </row>
    <row r="7">
      <c r="A7" s="12" t="inlineStr">
        <is>
          <t xml:space="preserve">4 · 2014–2017 renovation</t>
        </is>
      </c>
      <c r="B7" s="2">
        <f>COUNTIF(Annual!$AG$2:$AG$23,$A7)</f>
        <v>4</v>
      </c>
      <c r="C7" s="7">
        <f>AVERAGEIFS(Annual!$P$2:$P$23,Annual!$AG$2:$AG$23,$A7)</f>
        <v>3.72175</v>
      </c>
      <c r="D7" s="5">
        <f>AVERAGEIFS(Annual!$U$2:$U$23,Annual!$AG$2:$AG$23,$A7)</f>
        <v>15.29444359245151</v>
      </c>
      <c r="E7" s="8">
        <f>AVERAGEIFS(Annual!$F$2:$F$23,Annual!$AG$2:$AG$23,$A7)</f>
        <v>19.75</v>
      </c>
      <c r="F7" s="8">
        <f>AVERAGEIFS(Annual!$G$2:$G$23,Annual!$AG$2:$AG$23,$A7)</f>
        <v>21.25</v>
      </c>
      <c r="G7" s="8">
        <f>AVERAGEIFS(Annual!$H$2:$H$23,Annual!$AG$2:$AG$23,$A7)</f>
        <v>-1.5</v>
      </c>
      <c r="H7" s="9">
        <f>AVERAGEIFS(Annual!$O$2:$O$23,Annual!$AG$2:$AG$23,$A7)</f>
        <v>0.15681793718645437</v>
      </c>
    </row>
    <row r="8">
      <c r="A8" s="12" t="inlineStr">
        <is>
          <t xml:space="preserve">5 · 2018–2019 price below cost</t>
        </is>
      </c>
      <c r="B8" s="2">
        <f>COUNTIF(Annual!$AG$2:$AG$23,$A8)</f>
        <v>2</v>
      </c>
      <c r="C8" s="7">
        <f>AVERAGEIFS(Annual!$P$2:$P$23,Annual!$AG$2:$AG$23,$A8)</f>
        <v>2.9025</v>
      </c>
      <c r="D8" s="5">
        <f>AVERAGEIFS(Annual!$U$2:$U$23,Annual!$AG$2:$AG$23,$A8)</f>
        <v>11.733668058795041</v>
      </c>
      <c r="E8" s="8">
        <f>AVERAGEIFS(Annual!$F$2:$F$23,Annual!$AG$2:$AG$23,$A8)</f>
        <v>-18.5</v>
      </c>
      <c r="F8" s="8">
        <f>AVERAGEIFS(Annual!$G$2:$G$23,Annual!$AG$2:$AG$23,$A8)</f>
        <v>-14</v>
      </c>
      <c r="G8" s="8">
        <f>AVERAGEIFS(Annual!$H$2:$H$23,Annual!$AG$2:$AG$23,$A8)</f>
        <v>-4.5</v>
      </c>
      <c r="H8" s="9">
        <f>AVERAGEIFS(Annual!$O$2:$O$23,Annual!$AG$2:$AG$23,$A8)</f>
        <v>-0.1666975537435137</v>
      </c>
    </row>
    <row r="9">
      <c r="A9" s="12" t="inlineStr">
        <is>
          <t xml:space="preserve">6 · 2020–2021 recovery</t>
        </is>
      </c>
      <c r="B9" s="2">
        <f>COUNTIF(Annual!$AG$2:$AG$23,$A9)</f>
        <v>2</v>
      </c>
      <c r="C9" s="7">
        <f>AVERAGEIFS(Annual!$P$2:$P$23,Annual!$AG$2:$AG$23,$A9)</f>
        <v>3.917</v>
      </c>
      <c r="D9" s="5">
        <f>AVERAGEIFS(Annual!$U$2:$U$23,Annual!$AG$2:$AG$23,$A9)</f>
        <v>11.919966760999852</v>
      </c>
      <c r="E9" s="8">
        <f>AVERAGEIFS(Annual!$F$2:$F$23,Annual!$AG$2:$AG$23,$A9)</f>
        <v>1</v>
      </c>
      <c r="F9" s="8">
        <f>AVERAGEIFS(Annual!$G$2:$G$23,Annual!$AG$2:$AG$23,$A9)</f>
        <v>2.5</v>
      </c>
      <c r="G9" s="8">
        <f>AVERAGEIFS(Annual!$H$2:$H$23,Annual!$AG$2:$AG$23,$A9)</f>
        <v>-1.5</v>
      </c>
      <c r="H9" s="9">
        <f>AVERAGEIFS(Annual!$O$2:$O$23,Annual!$AG$2:$AG$23,$A9)</f>
        <v>-0.005769230769230749</v>
      </c>
    </row>
    <row r="10">
      <c r="A10" s="12" t="inlineStr">
        <is>
          <t xml:space="preserve">7 · 2022–2026 high prices</t>
        </is>
      </c>
      <c r="B10" s="2">
        <f>COUNTIF(Annual!$AG$2:$AG$23,$A10)</f>
        <v>5</v>
      </c>
      <c r="C10" s="7">
        <f>AVERAGEIFS(Annual!$P$2:$P$23,Annual!$AG$2:$AG$23,$A10)</f>
        <v>6.337400000000001</v>
      </c>
      <c r="D10" s="5">
        <f>AVERAGEIFS(Annual!$U$2:$U$23,Annual!$AG$2:$AG$23,$A10)</f>
        <v>14.126174149956878</v>
      </c>
      <c r="E10" s="8">
        <f>AVERAGEIFS(Annual!$F$2:$F$23,Annual!$AG$2:$AG$23,$A10)</f>
        <v>10.6</v>
      </c>
      <c r="F10" s="8">
        <f>AVERAGEIFS(Annual!$G$2:$G$23,Annual!$AG$2:$AG$23,$A10)</f>
        <v>11</v>
      </c>
      <c r="G10" s="8">
        <f>AVERAGEIFS(Annual!$H$2:$H$23,Annual!$AG$2:$AG$23,$A10)</f>
        <v>-0.4</v>
      </c>
      <c r="H10" s="9">
        <f>AVERAGEIFS(Annual!$O$2:$O$23,Annual!$AG$2:$AG$23,$A10)</f>
        <v>0.05140906684799866</v>
      </c>
    </row>
    <row r="12">
      <c r="A12" s="10" t="inlineStr">
        <is>
          <t xml:space="preserve">Averages skip 2005 for the changes (no 2004 row). The regimes are defined by the arabica price path and the 2012–2013 rust.</t>
        </is>
      </c>
    </row>
  </sheetData>
</worksheet>
</file>

<file path=xl/worksheets/sheet4.xml><?xml version="1.0" encoding="utf-8"?>
<worksheet xmlns="http://schemas.openxmlformats.org/spreadsheetml/2006/main" xmlns:r="http://schemas.openxmlformats.org/officeDocument/2006/relationships">
  <sheetFormatPr defaultRowHeight="13.2"/>
  <cols>
    <col min="1" max="1" width="8" customWidth="1"/>
    <col min="2" max="2" width="13" customWidth="1"/>
    <col min="3" max="3" width="13" customWidth="1"/>
    <col min="4" max="4" width="13" customWidth="1"/>
    <col min="5" max="5" width="40" customWidth="1"/>
    <col min="6" max="6" width="13" customWidth="1"/>
    <col min="7" max="7" width="13" customWidth="1"/>
    <col min="8" max="8" width="14" customWidth="1"/>
    <col min="9" max="9" width="12" customWidth="1"/>
  </cols>
  <sheetData>
    <row r="1">
      <c r="A1" s="11" t="inlineStr">
        <is>
          <t xml:space="preserve">Indicative producer margin per quintal (100 lb = 45.36 kg) and per hectare</t>
        </is>
      </c>
    </row>
    <row r="2">
      <c r="A2" s="10" t="inlineStr">
        <is>
          <t xml:space="preserve">An estimate, not a measured margin: edit the blue cells. Farm-gate factor and costs come from the few dated figures below (IHCAFE, press).</t>
        </is>
      </c>
    </row>
    <row r="4">
      <c r="A4" s="12" t="inlineStr">
        <is>
          <t xml:space="preserve">Farm-gate price ÷ international "Other Milds" price</t>
        </is>
      </c>
      <c r="D4" s="13">
        <v>0.78</v>
      </c>
      <c r="E4" s="14" t="inlineStr">
        <is>
          <t xml:space="preserve">Calibration: 2021/22 IHCAFE producer average L4,584.61 = $187.85/qq vs World Bank 2022 $255/qq → 0.74; 2024 producers paid L5,270/qq ≈ $212/qq vs $255/qq → 0.83 (press, unverified).</t>
        </is>
      </c>
    </row>
    <row r="6">
      <c r="A6" s="1" t="inlineStr">
        <is>
          <t xml:space="preserve">Year</t>
        </is>
      </c>
      <c r="B6" s="1" t="inlineStr">
        <is>
          <t xml:space="preserve">Arabica Other Milds ($/lb)</t>
        </is>
      </c>
      <c r="C6" s="1" t="inlineStr">
        <is>
          <t xml:space="preserve">Farm-gate estimate ($/lb)</t>
        </is>
      </c>
      <c r="D6" s="1" t="inlineStr">
        <is>
          <t xml:space="preserve">Cost of production ($/lb)</t>
        </is>
      </c>
      <c r="E6" s="1" t="inlineStr">
        <is>
          <t xml:space="preserve">Cost basis</t>
        </is>
      </c>
      <c r="F6" s="1" t="inlineStr">
        <is>
          <t xml:space="preserve">Margin ($ per quintal)</t>
        </is>
      </c>
      <c r="G6" s="1" t="inlineStr">
        <is>
          <t xml:space="preserve">Yield (quintals per bearing ha)</t>
        </is>
      </c>
      <c r="H6" s="1" t="inlineStr">
        <is>
          <t xml:space="preserve">Margin ($ per bearing ha)</t>
        </is>
      </c>
      <c r="I6" s="1" t="inlineStr">
        <is>
          <t xml:space="preserve">kg urea per kg arabica</t>
        </is>
      </c>
    </row>
    <row r="7">
      <c r="A7" s="2">
        <v>2005</v>
      </c>
      <c r="B7" s="7">
        <f>Annual!Q2</f>
        <v>1.14849724669104</v>
      </c>
      <c r="C7" s="7">
        <f>B7*$D$4</f>
        <v>0.8958278524190112</v>
      </c>
      <c r="E7" s="15" t="inlineStr">
        <is>
          <t xml:space="preserve">no cost data</t>
        </is>
      </c>
      <c r="G7" s="5">
        <f>Annual!N2*60/45.3592</f>
        <v>23.033532529137467</v>
      </c>
      <c r="I7" s="5">
        <f>Annual!U2</f>
        <v>11.648984624444465</v>
      </c>
    </row>
    <row r="8">
      <c r="A8" s="2">
        <v>2006</v>
      </c>
      <c r="B8" s="7">
        <f>Annual!Q3</f>
        <v>1.1439613175966834</v>
      </c>
      <c r="C8" s="7">
        <f>B8*$D$4</f>
        <v>0.8922898277254131</v>
      </c>
      <c r="E8" s="15" t="inlineStr">
        <is>
          <t xml:space="preserve">no cost data</t>
        </is>
      </c>
      <c r="G8" s="5">
        <f>Annual!N3*60/45.3592</f>
        <v>19.899131723050093</v>
      </c>
      <c r="I8" s="5">
        <f>Annual!U3</f>
        <v>11.353098468547145</v>
      </c>
    </row>
    <row r="9">
      <c r="A9" s="2">
        <v>2007</v>
      </c>
      <c r="B9" s="7">
        <f>Annual!Q4</f>
        <v>1.2355870853026827</v>
      </c>
      <c r="C9" s="7">
        <f>B9*$D$4</f>
        <v>0.9637579265360925</v>
      </c>
      <c r="E9" s="15" t="inlineStr">
        <is>
          <t xml:space="preserve">no cost data</t>
        </is>
      </c>
      <c r="G9" s="5">
        <f>Annual!N4*60/45.3592</f>
        <v>20.94584905645909</v>
      </c>
      <c r="I9" s="5">
        <f>Annual!U4</f>
        <v>8.869583904505449</v>
      </c>
    </row>
    <row r="10">
      <c r="A10" s="2">
        <v>2008</v>
      </c>
      <c r="B10" s="7">
        <f>Annual!Q5</f>
        <v>1.397519753971206</v>
      </c>
      <c r="C10" s="7">
        <f>B10*$D$4</f>
        <v>1.0900654080975407</v>
      </c>
      <c r="E10" s="15" t="inlineStr">
        <is>
          <t xml:space="preserve">no cost data</t>
        </is>
      </c>
      <c r="G10" s="5">
        <f>Annual!N5*60/45.3592</f>
        <v>19.044411843998258</v>
      </c>
      <c r="I10" s="5">
        <f>Annual!U5</f>
        <v>5.98272175974741</v>
      </c>
    </row>
    <row r="11">
      <c r="A11" s="2">
        <v>2009</v>
      </c>
      <c r="B11" s="7">
        <f>Annual!Q6</f>
        <v>1.4383431158204136</v>
      </c>
      <c r="C11" s="7">
        <f>B11*$D$4</f>
        <v>1.1219076303399227</v>
      </c>
      <c r="E11" s="15" t="inlineStr">
        <is>
          <t xml:space="preserve">no cost data</t>
        </is>
      </c>
      <c r="G11" s="5">
        <f>Annual!N6*60/45.3592</f>
        <v>20.96361613835467</v>
      </c>
      <c r="I11" s="5">
        <f>Annual!U6</f>
        <v>12.628434886499402</v>
      </c>
    </row>
    <row r="12">
      <c r="A12" s="2">
        <v>2010</v>
      </c>
      <c r="B12" s="7">
        <f>Annual!Q7</f>
        <v>1.959521368761964</v>
      </c>
      <c r="C12" s="7">
        <f>B12*$D$4</f>
        <v>1.5284266676343319</v>
      </c>
      <c r="E12" s="15" t="inlineStr">
        <is>
          <t xml:space="preserve">no cost data</t>
        </is>
      </c>
      <c r="G12" s="5">
        <f>Annual!N7*60/45.3592</f>
        <v>22.092559840917264</v>
      </c>
      <c r="I12" s="5">
        <f>Annual!U7</f>
        <v>14.952391171166807</v>
      </c>
    </row>
    <row r="13">
      <c r="A13" s="2">
        <v>2011</v>
      </c>
      <c r="B13" s="7">
        <f>Annual!Q8</f>
        <v>2.7111248196968187</v>
      </c>
      <c r="C13" s="7">
        <f>B13*$D$4</f>
        <v>2.114677359363519</v>
      </c>
      <c r="E13" s="15" t="inlineStr">
        <is>
          <t xml:space="preserve">no cost data</t>
        </is>
      </c>
      <c r="G13" s="5">
        <f>Annual!N8*60/45.3592</f>
        <v>30.234849191091808</v>
      </c>
      <c r="I13" s="5">
        <f>Annual!U8</f>
        <v>14.982127727840137</v>
      </c>
    </row>
    <row r="14">
      <c r="A14" s="2">
        <v>2012</v>
      </c>
      <c r="B14" s="7">
        <f>Annual!Q9</f>
        <v>1.8651740435993507</v>
      </c>
      <c r="C14" s="7">
        <f>B14*$D$4</f>
        <v>1.4548357540074937</v>
      </c>
      <c r="D14" s="16">
        <v>1.5</v>
      </c>
      <c r="E14" s="17" t="inlineStr">
        <is>
          <t xml:space="preserve">benchmark</t>
        </is>
      </c>
      <c r="F14" s="8">
        <f>(C14-D14)*100</f>
        <v>-4.516424599250635</v>
      </c>
      <c r="G14" s="5">
        <f>Annual!N9*60/45.3592</f>
        <v>23.408652551389544</v>
      </c>
      <c r="H14" s="8">
        <f>F14*G14</f>
        <v>-105.72341421840687</v>
      </c>
      <c r="I14" s="5">
        <f>Annual!U9</f>
        <v>10.31610637230306</v>
      </c>
    </row>
    <row r="15">
      <c r="A15" s="2">
        <v>2013</v>
      </c>
      <c r="B15" s="7">
        <f>Annual!Q10</f>
        <v>1.3957053823334635</v>
      </c>
      <c r="C15" s="7">
        <f>B15*$D$4</f>
        <v>1.0886501982201016</v>
      </c>
      <c r="D15" s="6">
        <v>1.457142857142857</v>
      </c>
      <c r="E15" s="17" t="inlineStr">
        <is>
          <t xml:space="preserve">interpolated 2012–2019</t>
        </is>
      </c>
      <c r="F15" s="8">
        <f>(C15-D15)*100</f>
        <v>-36.849265892275554</v>
      </c>
      <c r="G15" s="5">
        <f>Annual!N10*60/45.3592</f>
        <v>27.3249223910102</v>
      </c>
      <c r="H15" s="8">
        <f>F15*G15</f>
        <v>-1006.9033306721287</v>
      </c>
      <c r="I15" s="5">
        <f>Annual!U10</f>
        <v>9.060446161456738</v>
      </c>
    </row>
    <row r="16">
      <c r="A16" s="2">
        <v>2014</v>
      </c>
      <c r="B16" s="7">
        <f>Annual!Q11</f>
        <v>2.007148624252706</v>
      </c>
      <c r="C16" s="7">
        <f>B16*$D$4</f>
        <v>1.5655759269171106</v>
      </c>
      <c r="D16" s="6">
        <v>1.4142857142857144</v>
      </c>
      <c r="E16" s="17" t="inlineStr">
        <is>
          <t xml:space="preserve">interpolated 2012–2019</t>
        </is>
      </c>
      <c r="F16" s="8">
        <f>(C16-D16)*100</f>
        <v>15.12902126313962</v>
      </c>
      <c r="G16" s="5">
        <f>Annual!N11*60/45.3592</f>
        <v>29.71872566415136</v>
      </c>
      <c r="H16" s="8">
        <f>F16*G16</f>
        <v>449.61523248635905</v>
      </c>
      <c r="I16" s="5">
        <f>Annual!U11</f>
        <v>14.346295251619429</v>
      </c>
    </row>
    <row r="17">
      <c r="A17" s="2">
        <v>2015</v>
      </c>
      <c r="B17" s="7">
        <f>Annual!Q12</f>
        <v>1.5993685986700656</v>
      </c>
      <c r="C17" s="7">
        <f>B17*$D$4</f>
        <v>1.2475075069626513</v>
      </c>
      <c r="D17" s="6">
        <v>1.3714285714285714</v>
      </c>
      <c r="E17" s="17" t="inlineStr">
        <is>
          <t xml:space="preserve">interpolated 2012–2019</t>
        </is>
      </c>
      <c r="F17" s="8">
        <f>(C17-D17)*100</f>
        <v>-12.39210644659201</v>
      </c>
      <c r="G17" s="5">
        <f>Annual!N12*60/45.3592</f>
        <v>29.21127356743505</v>
      </c>
      <c r="H17" s="8">
        <f>F17*G17</f>
        <v>-361.98921148817465</v>
      </c>
      <c r="I17" s="5">
        <f>Annual!U12</f>
        <v>12.686099977693187</v>
      </c>
    </row>
    <row r="18">
      <c r="A18" s="2">
        <v>2016</v>
      </c>
      <c r="B18" s="7">
        <f>Annual!Q13</f>
        <v>1.6383775888815308</v>
      </c>
      <c r="C18" s="7">
        <f>B18*$D$4</f>
        <v>1.2779345193275942</v>
      </c>
      <c r="D18" s="6">
        <v>1.3285714285714285</v>
      </c>
      <c r="E18" s="17" t="inlineStr">
        <is>
          <t xml:space="preserve">interpolated 2012–2019</t>
        </is>
      </c>
      <c r="F18" s="8">
        <f>(C18-D18)*100</f>
        <v>-5.063690924383435</v>
      </c>
      <c r="G18" s="5">
        <f>Annual!N13*60/45.3592</f>
        <v>35.47870584767179</v>
      </c>
      <c r="H18" s="8">
        <f>F18*G18</f>
        <v>-179.65320080972515</v>
      </c>
      <c r="I18" s="5">
        <f>Annual!U13</f>
        <v>18.60417203193407</v>
      </c>
    </row>
    <row r="19">
      <c r="A19" s="2">
        <v>2017</v>
      </c>
      <c r="B19" s="7">
        <f>Annual!Q14</f>
        <v>1.5077428309640664</v>
      </c>
      <c r="C19" s="7">
        <f>B19*$D$4</f>
        <v>1.1760394081519718</v>
      </c>
      <c r="D19" s="6">
        <v>1.2857142857142856</v>
      </c>
      <c r="E19" s="17" t="inlineStr">
        <is>
          <t xml:space="preserve">interpolated 2012–2019</t>
        </is>
      </c>
      <c r="F19" s="8">
        <f>(C19-D19)*100</f>
        <v>-10.967487756231375</v>
      </c>
      <c r="G19" s="5">
        <f>Annual!N14*60/45.3592</f>
        <v>33.73519246992626</v>
      </c>
      <c r="H19" s="8">
        <f>F19*G19</f>
        <v>-369.9903103680251</v>
      </c>
      <c r="I19" s="5">
        <f>Annual!U14</f>
        <v>15.541207108559352</v>
      </c>
    </row>
    <row r="20">
      <c r="A20" s="2">
        <v>2018</v>
      </c>
      <c r="B20" s="7">
        <f>Annual!Q15</f>
        <v>1.3267592600992462</v>
      </c>
      <c r="C20" s="7">
        <f>B20*$D$4</f>
        <v>1.034872222877412</v>
      </c>
      <c r="D20" s="6">
        <v>1.2428571428571429</v>
      </c>
      <c r="E20" s="17" t="inlineStr">
        <is>
          <t xml:space="preserve">interpolated 2012–2019</t>
        </is>
      </c>
      <c r="F20" s="8">
        <f>(C20-D20)*100</f>
        <v>-20.79849199797308</v>
      </c>
      <c r="G20" s="5">
        <f>Annual!N15*60/45.3592</f>
        <v>32.83811199294718</v>
      </c>
      <c r="H20" s="8">
        <f>F20*G20</f>
        <v>-682.9832095138557</v>
      </c>
      <c r="I20" s="5">
        <f>Annual!U15</f>
        <v>11.725796752856285</v>
      </c>
    </row>
    <row r="21">
      <c r="A21" s="2">
        <v>2019</v>
      </c>
      <c r="B21" s="7">
        <f>Annual!Q16</f>
        <v>1.3063475791746424</v>
      </c>
      <c r="C21" s="7">
        <f>B21*$D$4</f>
        <v>1.018951111756221</v>
      </c>
      <c r="D21" s="16">
        <v>1.2</v>
      </c>
      <c r="E21" s="17" t="inlineStr">
        <is>
          <t xml:space="preserve">benchmark</t>
        </is>
      </c>
      <c r="F21" s="8">
        <f>(C21-D21)*100</f>
        <v>-18.104888824377884</v>
      </c>
      <c r="G21" s="5">
        <f>Annual!N16*60/45.3592</f>
        <v>25.4756599665681</v>
      </c>
      <c r="H21" s="8">
        <f>F21*G21</f>
        <v>-461.23399142236985</v>
      </c>
      <c r="I21" s="5">
        <f>Annual!U16</f>
        <v>11.741539364733798</v>
      </c>
    </row>
    <row r="22">
      <c r="A22" s="2">
        <v>2020</v>
      </c>
      <c r="B22" s="7">
        <f>Annual!Q17</f>
        <v>1.5072892380546308</v>
      </c>
      <c r="C22" s="7">
        <f>B22*$D$4</f>
        <v>1.1756856056826122</v>
      </c>
      <c r="D22" s="6">
        <v>1.2333333333333334</v>
      </c>
      <c r="E22" s="17" t="inlineStr">
        <is>
          <t xml:space="preserve">interpolated 2019–2022</t>
        </is>
      </c>
      <c r="F22" s="8">
        <f>(C22-D22)*100</f>
        <v>-5.764772765072124</v>
      </c>
      <c r="G22" s="5">
        <f>Annual!N17*60/45.3592</f>
        <v>31.494634574053965</v>
      </c>
      <c r="H22" s="8">
        <f>F22*G22</f>
        <v>-181.55941163840518</v>
      </c>
      <c r="I22" s="5">
        <f>Annual!U17</f>
        <v>14.504583151462244</v>
      </c>
    </row>
    <row r="23">
      <c r="A23" s="2">
        <v>2021</v>
      </c>
      <c r="B23" s="7">
        <f>Annual!Q18</f>
        <v>2.046157614464171</v>
      </c>
      <c r="C23" s="7">
        <f>B23*$D$4</f>
        <v>1.5960029392820536</v>
      </c>
      <c r="D23" s="6">
        <v>1.2666666666666666</v>
      </c>
      <c r="E23" s="17" t="inlineStr">
        <is>
          <t xml:space="preserve">interpolated 2019–2022</t>
        </is>
      </c>
      <c r="F23" s="8">
        <f>(C23-D23)*100</f>
        <v>32.9336272615387</v>
      </c>
      <c r="G23" s="5">
        <f>Annual!N18*60/45.3592</f>
        <v>23.088430291379197</v>
      </c>
      <c r="H23" s="8">
        <f>F23*G23</f>
        <v>760.385757270302</v>
      </c>
      <c r="I23" s="5">
        <f>Annual!U18</f>
        <v>9.33535037053746</v>
      </c>
    </row>
    <row r="24">
      <c r="A24" s="2">
        <v>2022</v>
      </c>
      <c r="B24" s="7">
        <f>Annual!Q19</f>
        <v>2.5541816730320877</v>
      </c>
      <c r="C24" s="7">
        <f>B24*$D$4</f>
        <v>1.9922617049650284</v>
      </c>
      <c r="D24" s="16">
        <v>1.3</v>
      </c>
      <c r="E24" s="17" t="inlineStr">
        <is>
          <t xml:space="preserve">benchmark</t>
        </is>
      </c>
      <c r="F24" s="8">
        <f>(C24-D24)*100</f>
        <v>69.22617049650283</v>
      </c>
      <c r="G24" s="5">
        <f>Annual!N19*60/45.3592</f>
        <v>26.45549304220533</v>
      </c>
      <c r="H24" s="8">
        <f>F24*G24</f>
        <v>1831.4124719087506</v>
      </c>
      <c r="I24" s="5">
        <f>Annual!U19</f>
        <v>8.04390650155064</v>
      </c>
    </row>
    <row r="25">
      <c r="A25" s="2">
        <v>2023</v>
      </c>
      <c r="B25" s="7">
        <f>Annual!Q20</f>
        <v>2.0597654017472404</v>
      </c>
      <c r="C25" s="7">
        <f>B25*$D$4</f>
        <v>1.6066170133628477</v>
      </c>
      <c r="D25" s="16">
        <v>1.3</v>
      </c>
      <c r="E25" s="17" t="inlineStr">
        <is>
          <t xml:space="preserve">benchmark</t>
        </is>
      </c>
      <c r="F25" s="8">
        <f>(C25-D25)*100</f>
        <v>30.661701336284764</v>
      </c>
      <c r="G25" s="5">
        <f>Annual!N20*60/45.3592</f>
        <v>22.876753401222075</v>
      </c>
      <c r="H25" s="8">
        <f>F25*G25</f>
        <v>701.440180332108</v>
      </c>
      <c r="I25" s="5">
        <f>Annual!U20</f>
        <v>12.68407409890282</v>
      </c>
    </row>
    <row r="26">
      <c r="A26" s="2">
        <v>2024</v>
      </c>
      <c r="B26" s="7">
        <f>Annual!Q21</f>
        <v>2.5496457439377314</v>
      </c>
      <c r="C26" s="7">
        <f>B26*$D$4</f>
        <v>1.9887236802714305</v>
      </c>
      <c r="D26" s="6">
        <v>1.3</v>
      </c>
      <c r="E26" s="17" t="inlineStr">
        <is>
          <t xml:space="preserve">held at 2023 level (2026 picking wages +67%, urea +32%: cost understated)</t>
        </is>
      </c>
      <c r="F26" s="8">
        <f>(C26-D26)*100</f>
        <v>68.87236802714305</v>
      </c>
      <c r="G26" s="5">
        <f>Annual!N21*60/45.3592</f>
        <v>22.928093969911284</v>
      </c>
      <c r="H26" s="8">
        <f>F26*G26</f>
        <v>1579.1121260566495</v>
      </c>
      <c r="I26" s="5">
        <f>Annual!U21</f>
        <v>16.61626507982961</v>
      </c>
    </row>
    <row r="27">
      <c r="A27" s="2">
        <v>2025</v>
      </c>
      <c r="B27" s="7">
        <f>Annual!Q22</f>
        <v>3.841931942919869</v>
      </c>
      <c r="C27" s="7">
        <f>B27*$D$4</f>
        <v>2.996706915477498</v>
      </c>
      <c r="D27" s="6">
        <v>1.3</v>
      </c>
      <c r="E27" s="17" t="inlineStr">
        <is>
          <t xml:space="preserve">held at 2023 level (2026 picking wages +67%, urea +32%: cost understated)</t>
        </is>
      </c>
      <c r="F27" s="8">
        <f>(C27-D27)*100</f>
        <v>169.67069154774978</v>
      </c>
      <c r="G27" s="5">
        <f>Annual!N22*60/45.3592</f>
        <v>23.596592987644435</v>
      </c>
      <c r="H27" s="8">
        <f>F27*G27</f>
        <v>4003.6502503844144</v>
      </c>
      <c r="I27" s="5">
        <f>Annual!U22</f>
        <v>20.039843088265215</v>
      </c>
    </row>
    <row r="28">
      <c r="A28" s="2">
        <v>2026</v>
      </c>
      <c r="B28" s="7">
        <f>Annual!Q23</f>
        <v>3.36747375965019</v>
      </c>
      <c r="C28" s="7">
        <f>B28*$D$4</f>
        <v>2.626629532527148</v>
      </c>
      <c r="D28" s="6">
        <v>1.3</v>
      </c>
      <c r="E28" s="17" t="inlineStr">
        <is>
          <t xml:space="preserve">held at 2023 level (2026 picking wages +67%, urea +32%: cost understated)</t>
        </is>
      </c>
      <c r="F28" s="8">
        <f>(C28-D28)*100</f>
        <v>132.6629532527148</v>
      </c>
      <c r="G28" s="5">
        <f>Annual!N23*60/45.3592</f>
        <v>24.1707004612876</v>
      </c>
      <c r="H28" s="8">
        <f>F28*G28</f>
        <v>3206.556505381169</v>
      </c>
      <c r="I28" s="5">
        <f>Annual!U23</f>
        <v>13.246781981236104</v>
      </c>
    </row>
    <row r="30">
      <c r="A30" s="12" t="inlineStr">
        <is>
          <t xml:space="preserve">Cost benchmarks and sources</t>
        </is>
      </c>
    </row>
    <row r="31">
      <c r="A31" s="2">
        <v>2012</v>
      </c>
      <c r="B31" s="6">
        <v>1.5</v>
      </c>
      <c r="C31" s="14" t="inlineStr">
        <is>
          <t xml:space="preserve">IHCAFE: a price over $150/qq is favourable (USDA May 2012) — upper bound</t>
        </is>
      </c>
    </row>
    <row r="32">
      <c r="A32" s="2">
        <v>2019</v>
      </c>
      <c r="B32" s="6">
        <v>1.2</v>
      </c>
      <c r="C32" s="14" t="inlineStr">
        <is>
          <t xml:space="preserve">Press, Jul 2019: producers about $20 below a cost near $120/qq; exporters said the market needed ≥ $135 (unverified)</t>
        </is>
      </c>
    </row>
    <row r="33">
      <c r="A33" s="2">
        <v>2022</v>
      </c>
      <c r="B33" s="6">
        <v>1.3</v>
      </c>
      <c r="C33" s="14" t="inlineStr">
        <is>
          <t xml:space="preserve">Press on 2022–23: cost about $130/qq; fertiliser bags doubled to L1,200–1,500 (unverified)</t>
        </is>
      </c>
    </row>
    <row r="34">
      <c r="A34" s="2">
        <v>2023</v>
      </c>
      <c r="B34" s="6">
        <v>1.3</v>
      </c>
      <c r="C34" s="14" t="inlineStr">
        <is>
          <t xml:space="preserve">Same as 2022 (unverified)</t>
        </is>
      </c>
    </row>
    <row r="35">
      <c r="A35" s="10" t="inlineStr">
        <is>
          <t xml:space="preserve">Other dated figures (press, unverified): picking paid L60 per lata in 2025, L100 in Feb 2026; pickers earn L200–400 a day; exporters pay producers L5,270/qq (2024).</t>
        </is>
      </c>
    </row>
    <row r="36">
      <c r="A36" s="10" t="inlineStr">
        <is>
          <t xml:space="preserve">Yield in quintals uses USDA production ÷ USDA bearing area (60-kg bags converted to 100-lb quintals).</t>
        </is>
      </c>
    </row>
  </sheetData>
</worksheet>
</file>

<file path=xl/worksheets/sheet5.xml><?xml version="1.0" encoding="utf-8"?>
<worksheet xmlns="http://schemas.openxmlformats.org/spreadsheetml/2006/main" xmlns:r="http://schemas.openxmlformats.org/officeDocument/2006/relationships">
  <sheetFormatPr defaultRowHeight="13.2"/>
  <cols>
    <col min="1" max="1" width="10" customWidth="1"/>
    <col min="2" max="2" width="14" customWidth="1"/>
    <col min="3" max="3" width="14" customWidth="1"/>
    <col min="4" max="4" width="14" customWidth="1"/>
    <col min="5" max="5" width="14" customWidth="1"/>
    <col min="6" max="6" width="14" customWidth="1"/>
    <col min="7" max="7" width="14" customWidth="1"/>
  </cols>
  <sheetData>
    <row r="1">
      <c r="A1" s="11" t="inlineStr">
        <is>
          <t xml:space="preserve">Weather before and during the 2012–2013 rust epidemic: mean of Comayagua, Ocotepeque and Copán</t>
        </is>
      </c>
    </row>
    <row r="2">
      <c r="A2" s="10" t="inlineStr">
        <is>
          <t xml:space="preserve">Mean of the 3 grid cells. Normal = 2005–2019 average of the same month. Rain from two independent gauge analyses (GPCC 1°, CPC 0.5°); temperatures and humidity from NASA POWER (the most consistent temperature source here; station temperature grids have breaks). The 2012 pattern matches Avelino et al. (2015, Food Security 7:303–321): a wet first half, a drier second half and a reduced day–night range, which favour rust infection.</t>
        </is>
      </c>
    </row>
    <row r="4">
      <c r="A4" s="1" t="inlineStr">
        <is>
          <t xml:space="preserve">Month</t>
        </is>
      </c>
      <c r="B4" s="1" t="inlineStr">
        <is>
          <t xml:space="preserve">Rain, % of 2005–2019 normal (GPCC gauges)</t>
        </is>
      </c>
      <c r="C4" s="1" t="inlineStr">
        <is>
          <t xml:space="preserve">Rain, % of normal (CPC gauges)</t>
        </is>
      </c>
      <c r="D4" s="1" t="inlineStr">
        <is>
          <t xml:space="preserve">Min temperature anomaly (°C, NASA)</t>
        </is>
      </c>
      <c r="E4" s="1" t="inlineStr">
        <is>
          <t xml:space="preserve">Max temperature anomaly (°C, NASA)</t>
        </is>
      </c>
      <c r="F4" s="1" t="inlineStr">
        <is>
          <t xml:space="preserve">Day–night range anomaly (°C, NASA)</t>
        </is>
      </c>
      <c r="G4" s="1" t="inlineStr">
        <is>
          <t xml:space="preserve">Relative humidity anomaly (points, NASA)</t>
        </is>
      </c>
    </row>
    <row r="5">
      <c r="A5" s="2" t="inlineStr">
        <is>
          <t xml:space="preserve">2011-01</t>
        </is>
      </c>
      <c r="B5" s="18">
        <v>135</v>
      </c>
      <c r="C5" s="18">
        <v>80</v>
      </c>
      <c r="D5" s="7">
        <v>0.07</v>
      </c>
      <c r="E5" s="7">
        <v>0.79</v>
      </c>
      <c r="F5" s="7">
        <v>0.72</v>
      </c>
      <c r="G5" s="7">
        <v>-1.1</v>
      </c>
    </row>
    <row r="6">
      <c r="A6" s="2" t="inlineStr">
        <is>
          <t xml:space="preserve">2011-02</t>
        </is>
      </c>
      <c r="B6" s="18">
        <v>236</v>
      </c>
      <c r="C6" s="18">
        <v>171</v>
      </c>
      <c r="D6" s="7">
        <v>0.12</v>
      </c>
      <c r="E6" s="7">
        <v>0.09</v>
      </c>
      <c r="F6" s="7">
        <v>-0.03</v>
      </c>
      <c r="G6" s="7">
        <v>0.2</v>
      </c>
    </row>
    <row r="7">
      <c r="A7" s="2" t="inlineStr">
        <is>
          <t xml:space="preserve">2011-03</t>
        </is>
      </c>
      <c r="B7" s="18">
        <v>109</v>
      </c>
      <c r="C7" s="18">
        <v>84</v>
      </c>
      <c r="D7" s="7">
        <v>-0.98</v>
      </c>
      <c r="E7" s="7">
        <v>-0.31</v>
      </c>
      <c r="F7" s="7">
        <v>0.68</v>
      </c>
      <c r="G7" s="7">
        <v>-2.8</v>
      </c>
    </row>
    <row r="8">
      <c r="A8" s="2" t="inlineStr">
        <is>
          <t xml:space="preserve">2011-04</t>
        </is>
      </c>
      <c r="B8" s="18">
        <v>156</v>
      </c>
      <c r="C8" s="18">
        <v>165</v>
      </c>
      <c r="D8" s="7">
        <v>-0.36</v>
      </c>
      <c r="E8" s="7">
        <v>0.06</v>
      </c>
      <c r="F8" s="7">
        <v>0.42</v>
      </c>
      <c r="G8" s="7">
        <v>-3.2</v>
      </c>
    </row>
    <row r="9">
      <c r="A9" s="2" t="inlineStr">
        <is>
          <t xml:space="preserve">2011-05</t>
        </is>
      </c>
      <c r="B9" s="18">
        <v>94</v>
      </c>
      <c r="C9" s="18">
        <v>92</v>
      </c>
      <c r="D9" s="7">
        <v>-0.3</v>
      </c>
      <c r="E9" s="7">
        <v>-0.17</v>
      </c>
      <c r="F9" s="7">
        <v>0.14</v>
      </c>
      <c r="G9" s="7">
        <v>1.2</v>
      </c>
    </row>
    <row r="10">
      <c r="A10" s="2" t="inlineStr">
        <is>
          <t xml:space="preserve">2011-06</t>
        </is>
      </c>
      <c r="B10" s="18">
        <v>118</v>
      </c>
      <c r="C10" s="18">
        <v>127</v>
      </c>
      <c r="D10" s="7">
        <v>-0.15</v>
      </c>
      <c r="E10" s="7">
        <v>-0.28</v>
      </c>
      <c r="F10" s="7">
        <v>-0.12</v>
      </c>
      <c r="G10" s="7">
        <v>-0.7</v>
      </c>
    </row>
    <row r="11">
      <c r="A11" s="2" t="inlineStr">
        <is>
          <t xml:space="preserve">2011-07</t>
        </is>
      </c>
      <c r="B11" s="18">
        <v>166</v>
      </c>
      <c r="C11" s="18">
        <v>185</v>
      </c>
      <c r="D11" s="7">
        <v>-0.07</v>
      </c>
      <c r="E11" s="7">
        <v>-1.17</v>
      </c>
      <c r="F11" s="7">
        <v>-1.1</v>
      </c>
      <c r="G11" s="7">
        <v>4.1</v>
      </c>
    </row>
    <row r="12">
      <c r="A12" s="2" t="inlineStr">
        <is>
          <t xml:space="preserve">2011-08</t>
        </is>
      </c>
      <c r="B12" s="18">
        <v>95</v>
      </c>
      <c r="C12" s="18">
        <v>101</v>
      </c>
      <c r="D12" s="7">
        <v>0.02</v>
      </c>
      <c r="E12" s="7">
        <v>-0.65</v>
      </c>
      <c r="F12" s="7">
        <v>-0.67</v>
      </c>
      <c r="G12" s="7">
        <v>2.4</v>
      </c>
    </row>
    <row r="13">
      <c r="A13" s="2" t="inlineStr">
        <is>
          <t xml:space="preserve">2011-09</t>
        </is>
      </c>
      <c r="B13" s="18">
        <v>115</v>
      </c>
      <c r="C13" s="18">
        <v>109</v>
      </c>
      <c r="D13" s="7">
        <v>-0.12</v>
      </c>
      <c r="E13" s="7">
        <v>-0.69</v>
      </c>
      <c r="F13" s="7">
        <v>-0.57</v>
      </c>
      <c r="G13" s="7">
        <v>1.8</v>
      </c>
    </row>
    <row r="14">
      <c r="A14" s="2" t="inlineStr">
        <is>
          <t xml:space="preserve">2011-10</t>
        </is>
      </c>
      <c r="B14" s="18">
        <v>148</v>
      </c>
      <c r="C14" s="18">
        <v>155</v>
      </c>
      <c r="D14" s="7">
        <v>-0.76</v>
      </c>
      <c r="E14" s="7">
        <v>-1.7</v>
      </c>
      <c r="F14" s="7">
        <v>-0.94</v>
      </c>
      <c r="G14" s="7">
        <v>2.3</v>
      </c>
    </row>
    <row r="15">
      <c r="A15" s="2" t="inlineStr">
        <is>
          <t xml:space="preserve">2011-11</t>
        </is>
      </c>
      <c r="B15" s="18">
        <v>91</v>
      </c>
      <c r="C15" s="18">
        <v>91</v>
      </c>
      <c r="D15" s="7">
        <v>-0.64</v>
      </c>
      <c r="E15" s="7">
        <v>-0.58</v>
      </c>
      <c r="F15" s="7">
        <v>0.07</v>
      </c>
      <c r="G15" s="7">
        <v>1.4</v>
      </c>
    </row>
    <row r="16">
      <c r="A16" s="2" t="inlineStr">
        <is>
          <t xml:space="preserve">2011-12</t>
        </is>
      </c>
      <c r="B16" s="18">
        <v>129</v>
      </c>
      <c r="C16" s="18">
        <v>124</v>
      </c>
      <c r="D16" s="7">
        <v>-0.53</v>
      </c>
      <c r="E16" s="7">
        <v>-1.67</v>
      </c>
      <c r="F16" s="7">
        <v>-1.14</v>
      </c>
      <c r="G16" s="7">
        <v>4.2</v>
      </c>
    </row>
    <row r="17">
      <c r="A17" s="2" t="inlineStr">
        <is>
          <t xml:space="preserve">2012-01</t>
        </is>
      </c>
      <c r="B17" s="18">
        <v>59</v>
      </c>
      <c r="C17" s="18">
        <v>57</v>
      </c>
      <c r="D17" s="7">
        <v>0.22</v>
      </c>
      <c r="E17" s="7">
        <v>-0.99</v>
      </c>
      <c r="F17" s="7">
        <v>-1.22</v>
      </c>
      <c r="G17" s="7">
        <v>3.7</v>
      </c>
    </row>
    <row r="18">
      <c r="A18" s="2" t="inlineStr">
        <is>
          <t xml:space="preserve">2012-02</t>
        </is>
      </c>
      <c r="B18" s="18">
        <v>104</v>
      </c>
      <c r="C18" s="18">
        <v>100</v>
      </c>
      <c r="D18" s="7">
        <v>0.39</v>
      </c>
      <c r="E18" s="7">
        <v>-1.16</v>
      </c>
      <c r="F18" s="7">
        <v>-1.56</v>
      </c>
      <c r="G18" s="7">
        <v>5.2</v>
      </c>
    </row>
    <row r="19">
      <c r="A19" s="2" t="inlineStr">
        <is>
          <t xml:space="preserve">2012-03</t>
        </is>
      </c>
      <c r="B19" s="18">
        <v>100</v>
      </c>
      <c r="C19" s="18">
        <v>149</v>
      </c>
      <c r="D19" s="7">
        <v>-0.31</v>
      </c>
      <c r="E19" s="7">
        <v>-1.4</v>
      </c>
      <c r="F19" s="7">
        <v>-1.09</v>
      </c>
      <c r="G19" s="7">
        <v>3.6</v>
      </c>
    </row>
    <row r="20">
      <c r="A20" s="2" t="inlineStr">
        <is>
          <t xml:space="preserve">2012-04</t>
        </is>
      </c>
      <c r="B20" s="18">
        <v>190</v>
      </c>
      <c r="C20" s="18">
        <v>148</v>
      </c>
      <c r="D20" s="7">
        <v>-0.74</v>
      </c>
      <c r="E20" s="7">
        <v>-1.94</v>
      </c>
      <c r="F20" s="7">
        <v>-1.19</v>
      </c>
      <c r="G20" s="7">
        <v>4.5</v>
      </c>
    </row>
    <row r="21">
      <c r="A21" s="2" t="inlineStr">
        <is>
          <t xml:space="preserve">2012-05</t>
        </is>
      </c>
      <c r="B21" s="18">
        <v>152</v>
      </c>
      <c r="C21" s="18">
        <v>136</v>
      </c>
      <c r="D21" s="7">
        <v>-0.08</v>
      </c>
      <c r="E21" s="7">
        <v>-1.51</v>
      </c>
      <c r="F21" s="7">
        <v>-1.43</v>
      </c>
      <c r="G21" s="7">
        <v>4.8</v>
      </c>
    </row>
    <row r="22">
      <c r="A22" s="2" t="inlineStr">
        <is>
          <t xml:space="preserve">2012-06</t>
        </is>
      </c>
      <c r="B22" s="18">
        <v>80</v>
      </c>
      <c r="C22" s="18">
        <v>57</v>
      </c>
      <c r="D22" s="7">
        <v>-0.18</v>
      </c>
      <c r="E22" s="7">
        <v>-0.09</v>
      </c>
      <c r="F22" s="7">
        <v>0.09</v>
      </c>
      <c r="G22" s="7">
        <v>0.3</v>
      </c>
    </row>
    <row r="23">
      <c r="A23" s="2" t="inlineStr">
        <is>
          <t xml:space="preserve">2012-07</t>
        </is>
      </c>
      <c r="B23" s="18">
        <v>86</v>
      </c>
      <c r="C23" s="18">
        <v>69</v>
      </c>
      <c r="D23" s="7">
        <v>-0.21</v>
      </c>
      <c r="E23" s="7">
        <v>-0.27</v>
      </c>
      <c r="F23" s="7">
        <v>-0.06</v>
      </c>
      <c r="G23" s="7">
        <v>0.3</v>
      </c>
    </row>
    <row r="24">
      <c r="A24" s="2" t="inlineStr">
        <is>
          <t xml:space="preserve">2012-08</t>
        </is>
      </c>
      <c r="B24" s="18">
        <v>156</v>
      </c>
      <c r="C24" s="18">
        <v>173</v>
      </c>
      <c r="D24" s="7">
        <v>-0.16</v>
      </c>
      <c r="E24" s="7">
        <v>-0.41</v>
      </c>
      <c r="F24" s="7">
        <v>-0.25</v>
      </c>
      <c r="G24" s="7">
        <v>0.4</v>
      </c>
    </row>
    <row r="25">
      <c r="A25" s="2" t="inlineStr">
        <is>
          <t xml:space="preserve">2012-09</t>
        </is>
      </c>
      <c r="B25" s="18">
        <v>78</v>
      </c>
      <c r="C25" s="18">
        <v>64</v>
      </c>
      <c r="D25" s="7">
        <v>-0.48</v>
      </c>
      <c r="E25" s="7">
        <v>-0.16</v>
      </c>
      <c r="F25" s="7">
        <v>0.32</v>
      </c>
      <c r="G25" s="7">
        <v>-0.4</v>
      </c>
    </row>
    <row r="26">
      <c r="A26" s="2" t="inlineStr">
        <is>
          <t xml:space="preserve">2012-10</t>
        </is>
      </c>
      <c r="B26" s="18">
        <v>112</v>
      </c>
      <c r="C26" s="18">
        <v>102</v>
      </c>
      <c r="D26" s="7">
        <v>-0.31</v>
      </c>
      <c r="E26" s="7">
        <v>-0.37</v>
      </c>
      <c r="F26" s="7">
        <v>-0.06</v>
      </c>
      <c r="G26" s="7">
        <v>0.7</v>
      </c>
    </row>
    <row r="27">
      <c r="A27" s="2" t="inlineStr">
        <is>
          <t xml:space="preserve">2012-11</t>
        </is>
      </c>
      <c r="B27" s="18">
        <v>63</v>
      </c>
      <c r="C27" s="18">
        <v>96</v>
      </c>
      <c r="D27" s="7">
        <v>-1.17</v>
      </c>
      <c r="E27" s="7">
        <v>-1.28</v>
      </c>
      <c r="F27" s="7">
        <v>-0.1</v>
      </c>
      <c r="G27" s="7">
        <v>1.2</v>
      </c>
    </row>
    <row r="28">
      <c r="A28" s="2" t="inlineStr">
        <is>
          <t xml:space="preserve">2012-12</t>
        </is>
      </c>
      <c r="B28" s="18">
        <v>83</v>
      </c>
      <c r="C28" s="18">
        <v>121</v>
      </c>
      <c r="D28" s="7">
        <v>-0.31</v>
      </c>
      <c r="E28" s="7">
        <v>0.26</v>
      </c>
      <c r="F28" s="7">
        <v>0.57</v>
      </c>
      <c r="G28" s="7">
        <v>-1.0</v>
      </c>
    </row>
    <row r="29">
      <c r="A29" s="2" t="inlineStr">
        <is>
          <t xml:space="preserve">2013-01</t>
        </is>
      </c>
      <c r="B29" s="18">
        <v>95</v>
      </c>
      <c r="C29" s="18">
        <v>126</v>
      </c>
      <c r="D29" s="7">
        <v>0.46</v>
      </c>
      <c r="E29" s="7">
        <v>0.36</v>
      </c>
      <c r="F29" s="7">
        <v>-0.11</v>
      </c>
      <c r="G29" s="7">
        <v>0.5</v>
      </c>
    </row>
    <row r="30">
      <c r="A30" s="2" t="inlineStr">
        <is>
          <t xml:space="preserve">2013-02</t>
        </is>
      </c>
      <c r="B30" s="18">
        <v>61</v>
      </c>
      <c r="C30" s="18">
        <v>71</v>
      </c>
      <c r="D30" s="7">
        <v>0.33</v>
      </c>
      <c r="E30" s="7">
        <v>1.04</v>
      </c>
      <c r="F30" s="7">
        <v>0.71</v>
      </c>
      <c r="G30" s="7">
        <v>-1.8</v>
      </c>
    </row>
    <row r="31">
      <c r="A31" s="2" t="inlineStr">
        <is>
          <t xml:space="preserve">2013-03</t>
        </is>
      </c>
      <c r="B31" s="18">
        <v>279</v>
      </c>
      <c r="C31" s="18">
        <v>189</v>
      </c>
      <c r="D31" s="7">
        <v>-0.98</v>
      </c>
      <c r="E31" s="7">
        <v>-1.27</v>
      </c>
      <c r="F31" s="7">
        <v>-0.29</v>
      </c>
      <c r="G31" s="7">
        <v>1.8</v>
      </c>
    </row>
    <row r="32">
      <c r="A32" s="2" t="inlineStr">
        <is>
          <t xml:space="preserve">2013-04</t>
        </is>
      </c>
      <c r="B32" s="18">
        <v>29</v>
      </c>
      <c r="C32" s="18">
        <v>51</v>
      </c>
      <c r="D32" s="7">
        <v>0.58</v>
      </c>
      <c r="E32" s="7">
        <v>1.0</v>
      </c>
      <c r="F32" s="7">
        <v>0.42</v>
      </c>
      <c r="G32" s="7">
        <v>-1.3</v>
      </c>
    </row>
    <row r="33">
      <c r="A33" s="2" t="inlineStr">
        <is>
          <t xml:space="preserve">2013-05</t>
        </is>
      </c>
      <c r="B33" s="18">
        <v>130</v>
      </c>
      <c r="C33" s="18">
        <v>109</v>
      </c>
      <c r="D33" s="7">
        <v>-0.42</v>
      </c>
      <c r="E33" s="7">
        <v>0.09</v>
      </c>
      <c r="F33" s="7">
        <v>0.51</v>
      </c>
      <c r="G33" s="7">
        <v>-1.0</v>
      </c>
    </row>
    <row r="34">
      <c r="A34" s="2" t="inlineStr">
        <is>
          <t xml:space="preserve">2013-06</t>
        </is>
      </c>
      <c r="B34" s="18">
        <v>78</v>
      </c>
      <c r="C34" s="18">
        <v>66</v>
      </c>
      <c r="D34" s="7">
        <v>-0.02</v>
      </c>
      <c r="E34" s="7">
        <v>-0.15</v>
      </c>
      <c r="F34" s="7">
        <v>-0.13</v>
      </c>
      <c r="G34" s="7">
        <v>0.5</v>
      </c>
    </row>
    <row r="35">
      <c r="A35" s="2" t="inlineStr">
        <is>
          <t xml:space="preserve">2013-07</t>
        </is>
      </c>
      <c r="B35" s="18">
        <v>95</v>
      </c>
      <c r="C35" s="18">
        <v>95</v>
      </c>
      <c r="D35" s="7">
        <v>-0.07</v>
      </c>
      <c r="E35" s="7">
        <v>-0.79</v>
      </c>
      <c r="F35" s="7">
        <v>-0.73</v>
      </c>
      <c r="G35" s="7">
        <v>2.1</v>
      </c>
    </row>
    <row r="36">
      <c r="A36" s="2" t="inlineStr">
        <is>
          <t xml:space="preserve">2013-08</t>
        </is>
      </c>
      <c r="B36" s="18">
        <v>102</v>
      </c>
      <c r="C36" s="18">
        <v>87</v>
      </c>
      <c r="D36" s="7">
        <v>-0.2</v>
      </c>
      <c r="E36" s="7">
        <v>-0.41</v>
      </c>
      <c r="F36" s="7">
        <v>-0.21</v>
      </c>
      <c r="G36" s="7">
        <v>0.8</v>
      </c>
    </row>
    <row r="37">
      <c r="A37" s="2" t="inlineStr">
        <is>
          <t xml:space="preserve">2013-09</t>
        </is>
      </c>
      <c r="B37" s="18">
        <v>109</v>
      </c>
      <c r="C37" s="18">
        <v>93</v>
      </c>
      <c r="D37" s="7">
        <v>-0.07</v>
      </c>
      <c r="E37" s="7">
        <v>-0.47</v>
      </c>
      <c r="F37" s="7">
        <v>-0.4</v>
      </c>
      <c r="G37" s="7">
        <v>1.2</v>
      </c>
    </row>
    <row r="38">
      <c r="A38" s="2" t="inlineStr">
        <is>
          <t xml:space="preserve">2013-10</t>
        </is>
      </c>
      <c r="B38" s="18">
        <v>99</v>
      </c>
      <c r="C38" s="18">
        <v>105</v>
      </c>
      <c r="D38" s="7">
        <v>0.54</v>
      </c>
      <c r="E38" s="7">
        <v>0.56</v>
      </c>
      <c r="F38" s="7">
        <v>0.02</v>
      </c>
      <c r="G38" s="7">
        <v>0.1</v>
      </c>
    </row>
    <row r="39">
      <c r="A39" s="2" t="inlineStr">
        <is>
          <t xml:space="preserve">2013-11</t>
        </is>
      </c>
      <c r="B39" s="18">
        <v>109</v>
      </c>
      <c r="C39" s="18">
        <v>114</v>
      </c>
      <c r="D39" s="7">
        <v>0.64</v>
      </c>
      <c r="E39" s="7">
        <v>-0.01</v>
      </c>
      <c r="F39" s="7">
        <v>-0.65</v>
      </c>
      <c r="G39" s="7">
        <v>1.1</v>
      </c>
    </row>
    <row r="40">
      <c r="A40" s="2" t="inlineStr">
        <is>
          <t xml:space="preserve">2013-12</t>
        </is>
      </c>
      <c r="B40" s="18">
        <v>90</v>
      </c>
      <c r="C40" s="18">
        <v>76</v>
      </c>
      <c r="D40" s="7">
        <v>0.42</v>
      </c>
      <c r="E40" s="7">
        <v>-0.29</v>
      </c>
      <c r="F40" s="7">
        <v>-0.71</v>
      </c>
      <c r="G40" s="7">
        <v>2.4</v>
      </c>
    </row>
    <row r="41">
      <c r="A41" s="2" t="inlineStr">
        <is>
          <t xml:space="preserve"/>
        </is>
      </c>
      <c r="B41" s="7" t="inlineStr">
        <is>
          <t xml:space="preserve"/>
        </is>
      </c>
      <c r="C41" s="7" t="inlineStr">
        <is>
          <t xml:space="preserve"/>
        </is>
      </c>
      <c r="D41" s="7" t="inlineStr">
        <is>
          <t xml:space="preserve"/>
        </is>
      </c>
      <c r="E41" s="7" t="inlineStr">
        <is>
          <t xml:space="preserve"/>
        </is>
      </c>
      <c r="F41" s="7" t="inlineStr">
        <is>
          <t xml:space="preserve"/>
        </is>
      </c>
      <c r="G41" s="7" t="inlineStr">
        <is>
          <t xml:space="preserve"/>
        </is>
      </c>
    </row>
    <row r="42">
      <c r="A42" s="2" t="inlineStr">
        <is>
          <t xml:space="preserve">Year</t>
        </is>
      </c>
      <c r="B42" s="7" t="inlineStr">
        <is>
          <t xml:space="preserve">Rain % (GPCC)</t>
        </is>
      </c>
      <c r="C42" s="7" t="inlineStr">
        <is>
          <t xml:space="preserve">Rain May–Oct % (GPCC)</t>
        </is>
      </c>
      <c r="D42" s="7" t="inlineStr">
        <is>
          <t xml:space="preserve">Min temp anomaly</t>
        </is>
      </c>
      <c r="E42" s="7" t="inlineStr">
        <is>
          <t xml:space="preserve">Max temp anomaly</t>
        </is>
      </c>
      <c r="F42" s="7" t="inlineStr">
        <is>
          <t xml:space="preserve">Day–night range anomaly</t>
        </is>
      </c>
      <c r="G42" s="7" t="inlineStr">
        <is>
          <t xml:space="preserve">Humidity anomaly</t>
        </is>
      </c>
    </row>
    <row r="43">
      <c r="A43" s="2" t="inlineStr">
        <is>
          <t xml:space="preserve">2005</t>
        </is>
      </c>
      <c r="B43" s="18">
        <v>95</v>
      </c>
      <c r="C43" s="18">
        <v>98</v>
      </c>
      <c r="D43" s="7">
        <v>0.31</v>
      </c>
      <c r="E43" s="7">
        <v>0.66</v>
      </c>
      <c r="F43" s="7">
        <v>0.35</v>
      </c>
      <c r="G43" s="7">
        <v>-2.4</v>
      </c>
    </row>
    <row r="44">
      <c r="A44" s="2" t="inlineStr">
        <is>
          <t xml:space="preserve">2006</t>
        </is>
      </c>
      <c r="B44" s="18">
        <v>86</v>
      </c>
      <c r="C44" s="18">
        <v>85</v>
      </c>
      <c r="D44" s="7">
        <v>0.06</v>
      </c>
      <c r="E44" s="7">
        <v>0.02</v>
      </c>
      <c r="F44" s="7">
        <v>-0.04</v>
      </c>
      <c r="G44" s="7">
        <v>-0.8</v>
      </c>
    </row>
    <row r="45">
      <c r="A45" s="2" t="inlineStr">
        <is>
          <t xml:space="preserve">2007</t>
        </is>
      </c>
      <c r="B45" s="18">
        <v>102</v>
      </c>
      <c r="C45" s="18">
        <v>104</v>
      </c>
      <c r="D45" s="7">
        <v>-0.1</v>
      </c>
      <c r="E45" s="7">
        <v>-0.18</v>
      </c>
      <c r="F45" s="7">
        <v>-0.08</v>
      </c>
      <c r="G45" s="7">
        <v>0.2</v>
      </c>
    </row>
    <row r="46">
      <c r="A46" s="2" t="inlineStr">
        <is>
          <t xml:space="preserve">2008</t>
        </is>
      </c>
      <c r="B46" s="18">
        <v>121</v>
      </c>
      <c r="C46" s="18">
        <v>127</v>
      </c>
      <c r="D46" s="7">
        <v>-0.33</v>
      </c>
      <c r="E46" s="7">
        <v>-0.79</v>
      </c>
      <c r="F46" s="7">
        <v>-0.46</v>
      </c>
      <c r="G46" s="7">
        <v>1.6</v>
      </c>
    </row>
    <row r="47">
      <c r="A47" s="2" t="inlineStr">
        <is>
          <t xml:space="preserve">2009</t>
        </is>
      </c>
      <c r="B47" s="18">
        <v>103</v>
      </c>
      <c r="C47" s="18">
        <v>98</v>
      </c>
      <c r="D47" s="7">
        <v>-0.32</v>
      </c>
      <c r="E47" s="7">
        <v>-0.62</v>
      </c>
      <c r="F47" s="7">
        <v>-0.31</v>
      </c>
      <c r="G47" s="7">
        <v>1.6</v>
      </c>
    </row>
    <row r="48">
      <c r="A48" s="2" t="inlineStr">
        <is>
          <t xml:space="preserve">2010</t>
        </is>
      </c>
      <c r="B48" s="18">
        <v>115</v>
      </c>
      <c r="C48" s="18">
        <v>114</v>
      </c>
      <c r="D48" s="7">
        <v>-0.43</v>
      </c>
      <c r="E48" s="7">
        <v>-0.43</v>
      </c>
      <c r="F48" s="7">
        <v>-0.0</v>
      </c>
      <c r="G48" s="7">
        <v>1.1</v>
      </c>
    </row>
    <row r="49">
      <c r="A49" s="2" t="inlineStr">
        <is>
          <t xml:space="preserve">2011</t>
        </is>
      </c>
      <c r="B49" s="18">
        <v>124</v>
      </c>
      <c r="C49" s="18">
        <v>123</v>
      </c>
      <c r="D49" s="7">
        <v>-0.31</v>
      </c>
      <c r="E49" s="7">
        <v>-0.52</v>
      </c>
      <c r="F49" s="7">
        <v>-0.21</v>
      </c>
      <c r="G49" s="7">
        <v>0.8</v>
      </c>
    </row>
    <row r="50">
      <c r="A50" s="2" t="inlineStr">
        <is>
          <t xml:space="preserve">2012</t>
        </is>
      </c>
      <c r="B50" s="18">
        <v>107</v>
      </c>
      <c r="C50" s="18">
        <v>107</v>
      </c>
      <c r="D50" s="7">
        <v>-0.28</v>
      </c>
      <c r="E50" s="7">
        <v>-0.78</v>
      </c>
      <c r="F50" s="7">
        <v>-0.5</v>
      </c>
      <c r="G50" s="7">
        <v>1.9</v>
      </c>
    </row>
    <row r="51">
      <c r="A51" s="2" t="inlineStr">
        <is>
          <t xml:space="preserve">2013</t>
        </is>
      </c>
      <c r="B51" s="18">
        <v>101</v>
      </c>
      <c r="C51" s="18">
        <v>101</v>
      </c>
      <c r="D51" s="7">
        <v>0.1</v>
      </c>
      <c r="E51" s="7">
        <v>-0.03</v>
      </c>
      <c r="F51" s="7">
        <v>-0.13</v>
      </c>
      <c r="G51" s="7">
        <v>0.5</v>
      </c>
    </row>
    <row r="52">
      <c r="A52" s="2" t="inlineStr">
        <is>
          <t xml:space="preserve">2014</t>
        </is>
      </c>
      <c r="B52" s="18">
        <v>99</v>
      </c>
      <c r="C52" s="18">
        <v>98</v>
      </c>
      <c r="D52" s="7">
        <v>-0.02</v>
      </c>
      <c r="E52" s="7">
        <v>-0.17</v>
      </c>
      <c r="F52" s="7">
        <v>-0.16</v>
      </c>
      <c r="G52" s="7">
        <v>0.5</v>
      </c>
    </row>
    <row r="53">
      <c r="A53" s="2" t="inlineStr">
        <is>
          <t xml:space="preserve">2015</t>
        </is>
      </c>
      <c r="B53" s="18">
        <v>89</v>
      </c>
      <c r="C53" s="18">
        <v>83</v>
      </c>
      <c r="D53" s="7">
        <v>0.4</v>
      </c>
      <c r="E53" s="7">
        <v>0.38</v>
      </c>
      <c r="F53" s="7">
        <v>-0.02</v>
      </c>
      <c r="G53" s="7">
        <v>-0.3</v>
      </c>
    </row>
    <row r="54">
      <c r="A54" s="2" t="inlineStr">
        <is>
          <t xml:space="preserve">2016</t>
        </is>
      </c>
      <c r="B54" s="18">
        <v>78</v>
      </c>
      <c r="C54" s="18">
        <v>75</v>
      </c>
      <c r="D54" s="7">
        <v>0.41</v>
      </c>
      <c r="E54" s="7">
        <v>0.61</v>
      </c>
      <c r="F54" s="7">
        <v>0.2</v>
      </c>
      <c r="G54" s="7">
        <v>-0.6</v>
      </c>
    </row>
    <row r="55">
      <c r="A55" s="2" t="inlineStr">
        <is>
          <t xml:space="preserve">2017</t>
        </is>
      </c>
      <c r="B55" s="18">
        <v>116</v>
      </c>
      <c r="C55" s="18">
        <v>121</v>
      </c>
      <c r="D55" s="7">
        <v>0.04</v>
      </c>
      <c r="E55" s="7">
        <v>-0.18</v>
      </c>
      <c r="F55" s="7">
        <v>-0.23</v>
      </c>
      <c r="G55" s="7">
        <v>1.0</v>
      </c>
    </row>
    <row r="56">
      <c r="A56" s="2" t="inlineStr">
        <is>
          <t xml:space="preserve">2018</t>
        </is>
      </c>
      <c r="B56" s="18">
        <v>79</v>
      </c>
      <c r="C56" s="18">
        <v>77</v>
      </c>
      <c r="D56" s="7">
        <v>-0.11</v>
      </c>
      <c r="E56" s="7">
        <v>0.39</v>
      </c>
      <c r="F56" s="7">
        <v>0.5</v>
      </c>
      <c r="G56" s="7">
        <v>-1.2</v>
      </c>
    </row>
    <row r="57">
      <c r="A57" s="2" t="inlineStr">
        <is>
          <t xml:space="preserve">2019</t>
        </is>
      </c>
      <c r="B57" s="18">
        <v>85</v>
      </c>
      <c r="C57" s="18">
        <v>90</v>
      </c>
      <c r="D57" s="7">
        <v>0.56</v>
      </c>
      <c r="E57" s="7">
        <v>1.65</v>
      </c>
      <c r="F57" s="7">
        <v>1.09</v>
      </c>
      <c r="G57" s="7">
        <v>-3.9</v>
      </c>
    </row>
  </sheetData>
</worksheet>
</file>

<file path=xl/worksheets/sheet6.xml><?xml version="1.0" encoding="utf-8"?>
<worksheet xmlns="http://schemas.openxmlformats.org/spreadsheetml/2006/main" xmlns:r="http://schemas.openxmlformats.org/officeDocument/2006/relationships">
  <sheetFormatPr defaultRowHeight="13.2"/>
  <cols>
    <col min="1" max="1" width="10" customWidth="1"/>
    <col min="2" max="2" width="11" customWidth="1"/>
    <col min="3" max="3" width="110" customWidth="1"/>
    <col min="4" max="4" width="28" customWidth="1"/>
  </cols>
  <sheetData>
    <row r="1">
      <c r="A1" s="1" t="inlineStr">
        <is>
          <t xml:space="preserve">Report date</t>
        </is>
      </c>
      <c r="B1" s="1" t="inlineStr">
        <is>
          <t xml:space="preserve">Topic</t>
        </is>
      </c>
      <c r="C1" s="1" t="inlineStr">
        <is>
          <t xml:space="preserve">What the USDA attaché report says (close to the original English)</t>
        </is>
      </c>
      <c r="D1" s="1" t="inlineStr">
        <is>
          <t xml:space="preserve">Report</t>
        </is>
      </c>
    </row>
    <row r="2">
      <c r="A2" s="14" t="inlineStr">
        <is>
          <t xml:space="preserve">May 2011</t>
        </is>
      </c>
      <c r="B2" s="14" t="inlineStr">
        <is>
          <t xml:space="preserve">Land</t>
        </is>
      </c>
      <c r="C2" s="14" t="inlineStr">
        <is>
          <t xml:space="preserve">Higher prices are motivating landholders with other crops or in other professions to convert larger portions of their lands to coffee growing.</t>
        </is>
      </c>
      <c r="D2" s="14" t="inlineStr">
        <is>
          <t xml:space="preserve">Coffee Annual 4-18-2011</t>
        </is>
      </c>
    </row>
    <row r="3">
      <c r="A3" s="14" t="inlineStr">
        <is>
          <t xml:space="preserve">May 2012</t>
        </is>
      </c>
      <c r="B3" s="14" t="inlineStr">
        <is>
          <t xml:space="preserve">Inputs</t>
        </is>
      </c>
      <c r="C3" s="14" t="inlineStr">
        <is>
          <t xml:space="preserve">Producers used more inputs such as fertilizer, new seeds, the improvement of planting density, and soil conservation techniques to increase yields.</t>
        </is>
      </c>
      <c r="D3" s="14" t="inlineStr">
        <is>
          <t xml:space="preserve">Coffee Annual 5-9-2012</t>
        </is>
      </c>
    </row>
    <row r="4">
      <c r="A4" s="14" t="inlineStr">
        <is>
          <t xml:space="preserve">May 2012</t>
        </is>
      </c>
      <c r="B4" s="14" t="inlineStr">
        <is>
          <t xml:space="preserve">Cost</t>
        </is>
      </c>
      <c r="C4" s="14" t="inlineStr">
        <is>
          <t xml:space="preserve">IHCAFE estimates that even though coffee prices are going down, there is still an incentive to the producer since a price over US$150 per quintal is favorable.</t>
        </is>
      </c>
      <c r="D4" s="14" t="inlineStr">
        <is>
          <t xml:space="preserve">Coffee Annual 5-9-2012</t>
        </is>
      </c>
    </row>
    <row r="5">
      <c r="A5" s="14" t="inlineStr">
        <is>
          <t xml:space="preserve">Jun 2013</t>
        </is>
      </c>
      <c r="B5" s="14" t="inlineStr">
        <is>
          <t xml:space="preserve">Rust</t>
        </is>
      </c>
      <c r="C5" s="14" t="inlineStr">
        <is>
          <t xml:space="preserve">On January 24, 2013, Honduras became the fourth Central American country to declare a state of emergency due to coffee rust. 25 percent (~71,000 ha) affected: more than 14,000 ha completely devastated, ~57,000 ha heavily affected.</t>
        </is>
      </c>
      <c r="D5" s="14" t="inlineStr">
        <is>
          <t xml:space="preserve">Coffee Annual 6-20-2013</t>
        </is>
      </c>
    </row>
    <row r="6">
      <c r="A6" s="14" t="inlineStr">
        <is>
          <t xml:space="preserve">Jun 2013</t>
        </is>
      </c>
      <c r="B6" s="14" t="inlineStr">
        <is>
          <t xml:space="preserve">Rust</t>
        </is>
      </c>
      <c r="C6" s="14" t="inlineStr">
        <is>
          <t xml:space="preserve">About 50 percent of the total area of coffee production is still planted with rust-susceptible varieties. The decrease is attributed to coffee leaf rust and low coffee prices.</t>
        </is>
      </c>
      <c r="D6" s="14" t="inlineStr">
        <is>
          <t xml:space="preserve">Coffee Annual 6-20-2013</t>
        </is>
      </c>
    </row>
    <row r="7">
      <c r="A7" s="14" t="inlineStr">
        <is>
          <t xml:space="preserve">Jun 2013</t>
        </is>
      </c>
      <c r="B7" s="14" t="inlineStr">
        <is>
          <t xml:space="preserve">Area</t>
        </is>
      </c>
      <c r="C7" s="14" t="inlineStr">
        <is>
          <t xml:space="preserve">Areas planted and harvested in 2013/14 and 2012/13 will remain below 2011/12 due to the rust and the renovation and rehabilitation of plantations; bearing trees have decreased.</t>
        </is>
      </c>
      <c r="D7" s="14" t="inlineStr">
        <is>
          <t xml:space="preserve">Coffee Annual 6-20-2013</t>
        </is>
      </c>
    </row>
    <row r="8">
      <c r="A8" s="14" t="inlineStr">
        <is>
          <t xml:space="preserve">May 2014</t>
        </is>
      </c>
      <c r="B8" s="14" t="inlineStr">
        <is>
          <t xml:space="preserve">Renovation</t>
        </is>
      </c>
      <c r="C8" s="14" t="inlineStr">
        <is>
          <t xml:space="preserve">The renovation and re-planting of new trees started five years ago and continues to rehabilitate the farms damaged by the rust. April 2014 national survey: rust incidence 12 percent; 62 percent of farms with resistant varieties.</t>
        </is>
      </c>
      <c r="D8" s="14" t="inlineStr">
        <is>
          <t xml:space="preserve">Coffee Annual HO1402 5-30-2014</t>
        </is>
      </c>
    </row>
    <row r="9">
      <c r="A9" s="14" t="inlineStr">
        <is>
          <t xml:space="preserve">Apr 2015</t>
        </is>
      </c>
      <c r="B9" s="14" t="inlineStr">
        <is>
          <t xml:space="preserve">Rust</t>
        </is>
      </c>
      <c r="C9" s="14" t="inlineStr">
        <is>
          <t xml:space="preserve">About 22,000 hectares (10,000 families) had a total loss of their farms; 58,000 ha (20,000 families) saw production fall by 50 percent. Restoration depended on the producer's access to credit.</t>
        </is>
      </c>
      <c r="D9" s="14" t="inlineStr">
        <is>
          <t xml:space="preserve">Coffee Annual 4-20-2015</t>
        </is>
      </c>
    </row>
    <row r="10">
      <c r="A10" s="14" t="inlineStr">
        <is>
          <t xml:space="preserve">Apr 2016</t>
        </is>
      </c>
      <c r="B10" s="14" t="inlineStr">
        <is>
          <t xml:space="preserve">Renovation</t>
        </is>
      </c>
      <c r="C10" s="14" t="inlineStr">
        <is>
          <t xml:space="preserve">New planted area with bean-bearing trees will be harvested for the first time since the rust; PAPP funds small producers to replant one manzana (0.71 ha), about 23,000 producers, interest-free.</t>
        </is>
      </c>
      <c r="D10" s="14" t="inlineStr">
        <is>
          <t xml:space="preserve">Coffee Annual 4-26-2016</t>
        </is>
      </c>
    </row>
    <row r="11">
      <c r="A11" s="14" t="inlineStr">
        <is>
          <t xml:space="preserve">May 2017</t>
        </is>
      </c>
      <c r="B11" s="14" t="inlineStr">
        <is>
          <t xml:space="preserve">Genetics</t>
        </is>
      </c>
      <c r="C11" s="14" t="inlineStr">
        <is>
          <t xml:space="preserve">In April 2017 IHCAFE confirmed the loss of resistance of the Lempira variety to coffee leaf rust.</t>
        </is>
      </c>
      <c r="D11" s="14" t="inlineStr">
        <is>
          <t xml:space="preserve">Coffee Annual 5-24-2017</t>
        </is>
      </c>
    </row>
    <row r="12">
      <c r="A12" s="14" t="inlineStr">
        <is>
          <t xml:space="preserve">May 2018</t>
        </is>
      </c>
      <c r="B12" s="14" t="inlineStr">
        <is>
          <t xml:space="preserve">Cost</t>
        </is>
      </c>
      <c r="C12" s="14" t="inlineStr">
        <is>
          <t xml:space="preserve">Producers face increased production costs to prevent rust and a decline in international coffee prices; many still repay the 2012 rust loans, due by 2019.</t>
        </is>
      </c>
      <c r="D12" s="14" t="inlineStr">
        <is>
          <t xml:space="preserve">Coffee Annual 5-22-2018</t>
        </is>
      </c>
    </row>
    <row r="13">
      <c r="A13" s="14" t="inlineStr">
        <is>
          <t xml:space="preserve">May 2020</t>
        </is>
      </c>
      <c r="B13" s="14" t="inlineStr">
        <is>
          <t xml:space="preserve">Fertiliser</t>
        </is>
      </c>
      <c r="C13" s="14" t="inlineStr">
        <is>
          <t xml:space="preserve">Coffee Bonus: the government distributes about $12 million of fertilizer (25,000+ t) to 91,462 small and medium producers (84–87 percent of production).</t>
        </is>
      </c>
      <c r="D13" s="14" t="inlineStr">
        <is>
          <t xml:space="preserve">Coffee Annual 05-15-2020</t>
        </is>
      </c>
    </row>
    <row r="14">
      <c r="A14" s="14" t="inlineStr">
        <is>
          <t xml:space="preserve">May 2022</t>
        </is>
      </c>
      <c r="B14" s="14" t="inlineStr">
        <is>
          <t xml:space="preserve">Yield</t>
        </is>
      </c>
      <c r="C14" s="14" t="inlineStr">
        <is>
          <t xml:space="preserve">Expected cyclical decline in productivity after a widespread re-planting effort ten years ago; Russia supplies ~20 percent of world ammonium, raising fertilizer prices.</t>
        </is>
      </c>
      <c r="D14" s="14" t="inlineStr">
        <is>
          <t xml:space="preserve">Coffee Annual HO2022-0005</t>
        </is>
      </c>
    </row>
    <row r="15">
      <c r="A15" s="14" t="inlineStr">
        <is>
          <t xml:space="preserve">May 2023</t>
        </is>
      </c>
      <c r="B15" s="14" t="inlineStr">
        <is>
          <t xml:space="preserve">Area</t>
        </is>
      </c>
      <c r="C15" s="14" t="inlineStr">
        <is>
          <t xml:space="preserve">Production rise causes: positive biennial harvest, improved plant nutrition, better farm practices, increase in new coffee areas, new coffee plants entering production.</t>
        </is>
      </c>
      <c r="D15" s="14" t="inlineStr">
        <is>
          <t xml:space="preserve">Coffee Annual HO2023-0003</t>
        </is>
      </c>
    </row>
    <row r="16">
      <c r="A16" s="14" t="inlineStr">
        <is>
          <t xml:space="preserve">Apr 2024</t>
        </is>
      </c>
      <c r="B16" s="14" t="inlineStr">
        <is>
          <t xml:space="preserve">Labour</t>
        </is>
      </c>
      <c r="C16" s="14" t="inlineStr">
        <is>
          <t xml:space="preserve">The decrease in production is attributed to high incidence of coffee rust and an ongoing labor shortage; a program addresses migration with workforce professionalization, new pay schemes and semi-mechanized harvest.</t>
        </is>
      </c>
      <c r="D16" s="14" t="inlineStr">
        <is>
          <t xml:space="preserve">Coffee Annual HO2024-0002</t>
        </is>
      </c>
    </row>
    <row r="17">
      <c r="A17" s="14" t="inlineStr">
        <is>
          <t xml:space="preserve">May 2025</t>
        </is>
      </c>
      <c r="B17" s="14" t="inlineStr">
        <is>
          <t xml:space="preserve">Genetics</t>
        </is>
      </c>
      <c r="C17" s="14" t="inlineStr">
        <is>
          <t xml:space="preserve">Area growth in MY 2025/26 is driven by the introduction of the Parainema variety (rust-resistant); production rises on less rust, improved labor availability and an 81 percent price rise.</t>
        </is>
      </c>
      <c r="D17" s="14" t="inlineStr">
        <is>
          <t xml:space="preserve">Coffee Annual HO2025-0002</t>
        </is>
      </c>
    </row>
    <row r="18">
      <c r="A18" s="14" t="inlineStr">
        <is>
          <t xml:space="preserve">Apr 2026</t>
        </is>
      </c>
      <c r="B18" s="14" t="inlineStr">
        <is>
          <t xml:space="preserve">Area</t>
        </is>
      </c>
      <c r="C18" s="14" t="inlineStr">
        <is>
          <t xml:space="preserve">IHCAFE: growth driven by improved plant nutrition, favorable biennial cycles, expansion of productive area, enhanced pruning and crop management, and maturation of newly established plantations. IHCAFE helps growers meet the EU Deforestation Regulation.</t>
        </is>
      </c>
      <c r="D18" s="14" t="inlineStr">
        <is>
          <t xml:space="preserve">Coffee Annual HO2026-0002</t>
        </is>
      </c>
    </row>
  </sheetData>
</worksheet>
</file>

<file path=xl/worksheets/sheet7.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3.2"/>
  <cols>
    <col min="1" max="1" width="16" customWidth="1"/>
    <col min="2" max="2" width="8" customWidth="1"/>
    <col min="3" max="3" width="16" customWidth="1"/>
    <col min="4" max="4" width="14" customWidth="1"/>
    <col min="5" max="5" width="14" customWidth="1"/>
  </cols>
  <sheetData>
    <row r="1">
      <c r="A1" s="1" t="inlineStr">
        <is>
          <t xml:space="preserve">Marketing year (Oct N – Sep N+1)</t>
        </is>
      </c>
      <c r="B1" s="1" t="inlineStr">
        <is>
          <t xml:space="preserve">Year N</t>
        </is>
      </c>
      <c r="C1" s="1" t="inlineStr">
        <is>
          <t xml:space="preserve">Production (1000 bags 60 kg)</t>
        </is>
      </c>
      <c r="D1" s="1" t="inlineStr">
        <is>
          <t xml:space="preserve">Change on the year before</t>
        </is>
      </c>
      <c r="E1" s="1" t="inlineStr">
        <is>
          <t xml:space="preserve">Bean exports (1000 bags)</t>
        </is>
      </c>
    </row>
    <row r="2">
      <c r="A2" s="2" t="inlineStr">
        <is>
          <t xml:space="preserve">1960/61</t>
        </is>
      </c>
      <c r="B2" s="2">
        <v>1960</v>
      </c>
      <c r="C2" s="3">
        <v>291.0</v>
      </c>
      <c r="E2" s="3">
        <v>225.0</v>
      </c>
    </row>
    <row r="3">
      <c r="A3" s="2" t="inlineStr">
        <is>
          <t xml:space="preserve">1961/62</t>
        </is>
      </c>
      <c r="B3" s="2">
        <v>1961</v>
      </c>
      <c r="C3" s="3">
        <v>315.0</v>
      </c>
      <c r="D3" s="9">
        <f>IF(C2=0,"",C3/C2-1)</f>
        <v>0.08247422680412364</v>
      </c>
      <c r="E3" s="3">
        <v>247.0</v>
      </c>
    </row>
    <row r="4">
      <c r="A4" s="2" t="inlineStr">
        <is>
          <t xml:space="preserve">1962/63</t>
        </is>
      </c>
      <c r="B4" s="2">
        <v>1962</v>
      </c>
      <c r="C4" s="3">
        <v>405.0</v>
      </c>
      <c r="D4" s="9">
        <f>IF(C3=0,"",C4/C3-1)</f>
        <v>0.2857142857142858</v>
      </c>
      <c r="E4" s="3">
        <v>334.0</v>
      </c>
    </row>
    <row r="5">
      <c r="A5" s="2" t="inlineStr">
        <is>
          <t xml:space="preserve">1963/64</t>
        </is>
      </c>
      <c r="B5" s="2">
        <v>1963</v>
      </c>
      <c r="C5" s="3">
        <v>390.0</v>
      </c>
      <c r="D5" s="9">
        <f>IF(C4=0,"",C5/C4-1)</f>
        <v>-0.03703703703703709</v>
      </c>
      <c r="E5" s="3">
        <v>317.0</v>
      </c>
    </row>
    <row r="6">
      <c r="A6" s="2" t="inlineStr">
        <is>
          <t xml:space="preserve">1964/65</t>
        </is>
      </c>
      <c r="B6" s="2">
        <v>1964</v>
      </c>
      <c r="C6" s="3">
        <v>479.0</v>
      </c>
      <c r="D6" s="9">
        <f>IF(C5=0,"",C6/C5-1)</f>
        <v>0.22820512820512828</v>
      </c>
      <c r="E6" s="3">
        <v>404.0</v>
      </c>
    </row>
    <row r="7">
      <c r="A7" s="2" t="inlineStr">
        <is>
          <t xml:space="preserve">1965/66</t>
        </is>
      </c>
      <c r="B7" s="2">
        <v>1965</v>
      </c>
      <c r="C7" s="3">
        <v>461.0</v>
      </c>
      <c r="D7" s="9">
        <f>IF(C6=0,"",C7/C6-1)</f>
        <v>-0.0375782881002088</v>
      </c>
      <c r="E7" s="3">
        <v>383.0</v>
      </c>
    </row>
    <row r="8">
      <c r="A8" s="2" t="inlineStr">
        <is>
          <t xml:space="preserve">1966/67</t>
        </is>
      </c>
      <c r="B8" s="2">
        <v>1966</v>
      </c>
      <c r="C8" s="3">
        <v>431.0</v>
      </c>
      <c r="D8" s="9">
        <f>IF(C7=0,"",C8/C7-1)</f>
        <v>-0.06507592190889366</v>
      </c>
      <c r="E8" s="3">
        <v>351.0</v>
      </c>
    </row>
    <row r="9">
      <c r="A9" s="2" t="inlineStr">
        <is>
          <t xml:space="preserve">1967/68</t>
        </is>
      </c>
      <c r="B9" s="2">
        <v>1967</v>
      </c>
      <c r="C9" s="3">
        <v>495.0</v>
      </c>
      <c r="D9" s="9">
        <f>IF(C8=0,"",C9/C8-1)</f>
        <v>0.14849187935034802</v>
      </c>
      <c r="E9" s="3">
        <v>413.0</v>
      </c>
    </row>
    <row r="10">
      <c r="A10" s="2" t="inlineStr">
        <is>
          <t xml:space="preserve">1968/69</t>
        </is>
      </c>
      <c r="B10" s="2">
        <v>1968</v>
      </c>
      <c r="C10" s="3">
        <v>514.0</v>
      </c>
      <c r="D10" s="9">
        <f>IF(C9=0,"",C10/C9-1)</f>
        <v>0.03838383838383841</v>
      </c>
      <c r="E10" s="3">
        <v>364.0</v>
      </c>
    </row>
    <row r="11">
      <c r="A11" s="2" t="inlineStr">
        <is>
          <t xml:space="preserve">1969/70</t>
        </is>
      </c>
      <c r="B11" s="2">
        <v>1969</v>
      </c>
      <c r="C11" s="3">
        <v>443.0</v>
      </c>
      <c r="D11" s="9">
        <f>IF(C10=0,"",C11/C10-1)</f>
        <v>-0.1381322957198443</v>
      </c>
      <c r="E11" s="3">
        <v>470.0</v>
      </c>
    </row>
    <row r="12">
      <c r="A12" s="2" t="inlineStr">
        <is>
          <t xml:space="preserve">1970/71</t>
        </is>
      </c>
      <c r="B12" s="2">
        <v>1970</v>
      </c>
      <c r="C12" s="3">
        <v>545.0</v>
      </c>
      <c r="D12" s="9">
        <f>IF(C11=0,"",C12/C11-1)</f>
        <v>0.23024830699774257</v>
      </c>
      <c r="E12" s="3">
        <v>379.0</v>
      </c>
    </row>
    <row r="13">
      <c r="A13" s="2" t="inlineStr">
        <is>
          <t xml:space="preserve">1971/72</t>
        </is>
      </c>
      <c r="B13" s="2">
        <v>1971</v>
      </c>
      <c r="C13" s="3">
        <v>586.0</v>
      </c>
      <c r="D13" s="9">
        <f>IF(C12=0,"",C13/C12-1)</f>
        <v>0.07522935779816509</v>
      </c>
      <c r="E13" s="3">
        <v>560.0</v>
      </c>
    </row>
    <row r="14">
      <c r="A14" s="2" t="inlineStr">
        <is>
          <t xml:space="preserve">1972/73</t>
        </is>
      </c>
      <c r="B14" s="2">
        <v>1972</v>
      </c>
      <c r="C14" s="3">
        <v>759.0</v>
      </c>
      <c r="D14" s="9">
        <f>IF(C13=0,"",C14/C13-1)</f>
        <v>0.29522184300341303</v>
      </c>
      <c r="E14" s="3">
        <v>686.0</v>
      </c>
    </row>
    <row r="15">
      <c r="A15" s="2" t="inlineStr">
        <is>
          <t xml:space="preserve">1973/74</t>
        </is>
      </c>
      <c r="B15" s="2">
        <v>1973</v>
      </c>
      <c r="C15" s="3">
        <v>689.0</v>
      </c>
      <c r="D15" s="9">
        <f>IF(C14=0,"",C15/C14-1)</f>
        <v>-0.09222661396574439</v>
      </c>
      <c r="E15" s="3">
        <v>477.0</v>
      </c>
    </row>
    <row r="16">
      <c r="A16" s="2" t="inlineStr">
        <is>
          <t xml:space="preserve">1974/75</t>
        </is>
      </c>
      <c r="B16" s="2">
        <v>1974</v>
      </c>
      <c r="C16" s="3">
        <v>983.0</v>
      </c>
      <c r="D16" s="9">
        <f>IF(C15=0,"",C16/C15-1)</f>
        <v>0.4267053701015966</v>
      </c>
      <c r="E16" s="3">
        <v>857.0</v>
      </c>
    </row>
    <row r="17">
      <c r="A17" s="2" t="inlineStr">
        <is>
          <t xml:space="preserve">1975/76</t>
        </is>
      </c>
      <c r="B17" s="2">
        <v>1975</v>
      </c>
      <c r="C17" s="3">
        <v>847.0</v>
      </c>
      <c r="D17" s="9">
        <f>IF(C16=0,"",C17/C16-1)</f>
        <v>-0.13835198372329605</v>
      </c>
      <c r="E17" s="3">
        <v>832.0</v>
      </c>
    </row>
    <row r="18">
      <c r="A18" s="2" t="inlineStr">
        <is>
          <t xml:space="preserve">1976/77</t>
        </is>
      </c>
      <c r="B18" s="2">
        <v>1976</v>
      </c>
      <c r="C18" s="3">
        <v>691.0</v>
      </c>
      <c r="D18" s="9">
        <f>IF(C17=0,"",C18/C17-1)</f>
        <v>-0.18417945690672965</v>
      </c>
      <c r="E18" s="3">
        <v>640.0</v>
      </c>
    </row>
    <row r="19">
      <c r="A19" s="2" t="inlineStr">
        <is>
          <t xml:space="preserve">1977/78</t>
        </is>
      </c>
      <c r="B19" s="2">
        <v>1977</v>
      </c>
      <c r="C19" s="3">
        <v>1036.0</v>
      </c>
      <c r="D19" s="9">
        <f>IF(C18=0,"",C19/C18-1)</f>
        <v>0.4992764109985528</v>
      </c>
      <c r="E19" s="3">
        <v>939.0</v>
      </c>
    </row>
    <row r="20">
      <c r="A20" s="2" t="inlineStr">
        <is>
          <t xml:space="preserve">1978/79</t>
        </is>
      </c>
      <c r="B20" s="2">
        <v>1978</v>
      </c>
      <c r="C20" s="3">
        <v>1132.0</v>
      </c>
      <c r="D20" s="9">
        <f>IF(C19=0,"",C20/C19-1)</f>
        <v>0.0926640926640927</v>
      </c>
      <c r="E20" s="3">
        <v>1051.0</v>
      </c>
    </row>
    <row r="21">
      <c r="A21" s="2" t="inlineStr">
        <is>
          <t xml:space="preserve">1979/80</t>
        </is>
      </c>
      <c r="B21" s="2">
        <v>1979</v>
      </c>
      <c r="C21" s="3">
        <v>1137.0</v>
      </c>
      <c r="D21" s="9">
        <f>IF(C20=0,"",C21/C20-1)</f>
        <v>0.004416961130742081</v>
      </c>
      <c r="E21" s="3">
        <v>980.0</v>
      </c>
    </row>
    <row r="22">
      <c r="A22" s="2" t="inlineStr">
        <is>
          <t xml:space="preserve">1980/81</t>
        </is>
      </c>
      <c r="B22" s="2">
        <v>1980</v>
      </c>
      <c r="C22" s="3">
        <v>1265.0</v>
      </c>
      <c r="D22" s="9">
        <f>IF(C21=0,"",C22/C21-1)</f>
        <v>0.11257695690413372</v>
      </c>
      <c r="E22" s="3">
        <v>1030.0</v>
      </c>
    </row>
    <row r="23">
      <c r="A23" s="2" t="inlineStr">
        <is>
          <t xml:space="preserve">1981/82</t>
        </is>
      </c>
      <c r="B23" s="2">
        <v>1981</v>
      </c>
      <c r="C23" s="3">
        <v>1200.0</v>
      </c>
      <c r="D23" s="9">
        <f>IF(C22=0,"",C23/C22-1)</f>
        <v>-0.0513833992094862</v>
      </c>
      <c r="E23" s="3">
        <v>911.0</v>
      </c>
    </row>
    <row r="24">
      <c r="A24" s="2" t="inlineStr">
        <is>
          <t xml:space="preserve">1982/83</t>
        </is>
      </c>
      <c r="B24" s="2">
        <v>1982</v>
      </c>
      <c r="C24" s="3">
        <v>1500.0</v>
      </c>
      <c r="D24" s="9">
        <f>IF(C23=0,"",C24/C23-1)</f>
        <v>0.25</v>
      </c>
      <c r="E24" s="3">
        <v>1146.0</v>
      </c>
    </row>
    <row r="25">
      <c r="A25" s="2" t="inlineStr">
        <is>
          <t xml:space="preserve">1983/84</t>
        </is>
      </c>
      <c r="B25" s="2">
        <v>1983</v>
      </c>
      <c r="C25" s="3">
        <v>1310.0</v>
      </c>
      <c r="D25" s="9">
        <f>IF(C24=0,"",C25/C24-1)</f>
        <v>-0.1266666666666667</v>
      </c>
      <c r="E25" s="3">
        <v>1050.0</v>
      </c>
    </row>
    <row r="26">
      <c r="A26" s="2" t="inlineStr">
        <is>
          <t xml:space="preserve">1984/85</t>
        </is>
      </c>
      <c r="B26" s="2">
        <v>1984</v>
      </c>
      <c r="C26" s="3">
        <v>1400.0</v>
      </c>
      <c r="D26" s="9">
        <f>IF(C25=0,"",C26/C25-1)</f>
        <v>0.06870229007633588</v>
      </c>
      <c r="E26" s="3">
        <v>1281.0</v>
      </c>
    </row>
    <row r="27">
      <c r="A27" s="2" t="inlineStr">
        <is>
          <t xml:space="preserve">1985/86</t>
        </is>
      </c>
      <c r="B27" s="2">
        <v>1985</v>
      </c>
      <c r="C27" s="3">
        <v>1062.0</v>
      </c>
      <c r="D27" s="9">
        <f>IF(C26=0,"",C27/C26-1)</f>
        <v>-0.24142857142857144</v>
      </c>
      <c r="E27" s="3">
        <v>1481.0</v>
      </c>
    </row>
    <row r="28">
      <c r="A28" s="2" t="inlineStr">
        <is>
          <t xml:space="preserve">1986/87</t>
        </is>
      </c>
      <c r="B28" s="2">
        <v>1986</v>
      </c>
      <c r="C28" s="3">
        <v>1535.0</v>
      </c>
      <c r="D28" s="9">
        <f>IF(C27=0,"",C28/C27-1)</f>
        <v>0.4453860640301319</v>
      </c>
      <c r="E28" s="3">
        <v>1398.0</v>
      </c>
    </row>
    <row r="29">
      <c r="A29" s="2" t="inlineStr">
        <is>
          <t xml:space="preserve">1987/88</t>
        </is>
      </c>
      <c r="B29" s="2">
        <v>1987</v>
      </c>
      <c r="C29" s="3">
        <v>1553.0</v>
      </c>
      <c r="D29" s="9">
        <f>IF(C28=0,"",C29/C28-1)</f>
        <v>0.011726384364820763</v>
      </c>
      <c r="E29" s="3">
        <v>1224.0</v>
      </c>
    </row>
    <row r="30">
      <c r="A30" s="2" t="inlineStr">
        <is>
          <t xml:space="preserve">1988/89</t>
        </is>
      </c>
      <c r="B30" s="2">
        <v>1988</v>
      </c>
      <c r="C30" s="3">
        <v>1635.0</v>
      </c>
      <c r="D30" s="9">
        <f>IF(C29=0,"",C30/C29-1)</f>
        <v>0.05280103026400518</v>
      </c>
      <c r="E30" s="3">
        <v>1464.0</v>
      </c>
    </row>
    <row r="31">
      <c r="A31" s="2" t="inlineStr">
        <is>
          <t xml:space="preserve">1989/90</t>
        </is>
      </c>
      <c r="B31" s="2">
        <v>1989</v>
      </c>
      <c r="C31" s="3">
        <v>1928.0</v>
      </c>
      <c r="D31" s="9">
        <f>IF(C30=0,"",C31/C30-1)</f>
        <v>0.17920489296636077</v>
      </c>
      <c r="E31" s="3">
        <v>1810.0</v>
      </c>
    </row>
    <row r="32">
      <c r="A32" s="2" t="inlineStr">
        <is>
          <t xml:space="preserve">1990/91</t>
        </is>
      </c>
      <c r="B32" s="2">
        <v>1990</v>
      </c>
      <c r="C32" s="3">
        <v>1685.0</v>
      </c>
      <c r="D32" s="9">
        <f>IF(C31=0,"",C32/C31-1)</f>
        <v>-0.12603734439834025</v>
      </c>
      <c r="E32" s="3">
        <v>1490.0</v>
      </c>
    </row>
    <row r="33">
      <c r="A33" s="2" t="inlineStr">
        <is>
          <t xml:space="preserve">1991/92</t>
        </is>
      </c>
      <c r="B33" s="2">
        <v>1991</v>
      </c>
      <c r="C33" s="3">
        <v>2255.0</v>
      </c>
      <c r="D33" s="9">
        <f>IF(C32=0,"",C33/C32-1)</f>
        <v>0.33827893175074175</v>
      </c>
      <c r="E33" s="3">
        <v>1800.0</v>
      </c>
    </row>
    <row r="34">
      <c r="A34" s="2" t="inlineStr">
        <is>
          <t xml:space="preserve">1992/93</t>
        </is>
      </c>
      <c r="B34" s="2">
        <v>1992</v>
      </c>
      <c r="C34" s="3">
        <v>1981.0</v>
      </c>
      <c r="D34" s="9">
        <f>IF(C33=0,"",C34/C33-1)</f>
        <v>-0.12150776053215073</v>
      </c>
      <c r="E34" s="3">
        <v>2042.0</v>
      </c>
    </row>
    <row r="35">
      <c r="A35" s="2" t="inlineStr">
        <is>
          <t xml:space="preserve">1993/94</t>
        </is>
      </c>
      <c r="B35" s="2">
        <v>1993</v>
      </c>
      <c r="C35" s="3">
        <v>2060.0</v>
      </c>
      <c r="D35" s="9">
        <f>IF(C34=0,"",C35/C34-1)</f>
        <v>0.03987884906612815</v>
      </c>
      <c r="E35" s="3">
        <v>1815.0</v>
      </c>
    </row>
    <row r="36">
      <c r="A36" s="2" t="inlineStr">
        <is>
          <t xml:space="preserve">1994/95</t>
        </is>
      </c>
      <c r="B36" s="2">
        <v>1994</v>
      </c>
      <c r="C36" s="3">
        <v>2295.0</v>
      </c>
      <c r="D36" s="9">
        <f>IF(C35=0,"",C36/C35-1)</f>
        <v>0.11407766990291268</v>
      </c>
      <c r="E36" s="3">
        <v>1753.0</v>
      </c>
    </row>
    <row r="37">
      <c r="A37" s="2" t="inlineStr">
        <is>
          <t xml:space="preserve">1995/96</t>
        </is>
      </c>
      <c r="B37" s="2">
        <v>1995</v>
      </c>
      <c r="C37" s="3">
        <v>2254.0</v>
      </c>
      <c r="D37" s="9">
        <f>IF(C36=0,"",C37/C36-1)</f>
        <v>-0.017864923747276662</v>
      </c>
      <c r="E37" s="3">
        <v>2279.0</v>
      </c>
    </row>
    <row r="38">
      <c r="A38" s="2" t="inlineStr">
        <is>
          <t xml:space="preserve">1996/97</t>
        </is>
      </c>
      <c r="B38" s="2">
        <v>1996</v>
      </c>
      <c r="C38" s="3">
        <v>2279.0</v>
      </c>
      <c r="D38" s="9">
        <f>IF(C37=0,"",C38/C37-1)</f>
        <v>0.011091393078970668</v>
      </c>
      <c r="E38" s="3">
        <v>2025.0</v>
      </c>
    </row>
    <row r="39">
      <c r="A39" s="2" t="inlineStr">
        <is>
          <t xml:space="preserve">1997/98</t>
        </is>
      </c>
      <c r="B39" s="2">
        <v>1997</v>
      </c>
      <c r="C39" s="3">
        <v>2905.0</v>
      </c>
      <c r="D39" s="9">
        <f>IF(C38=0,"",C39/C38-1)</f>
        <v>0.274681878016674</v>
      </c>
      <c r="E39" s="3">
        <v>2554.0</v>
      </c>
    </row>
    <row r="40">
      <c r="A40" s="2" t="inlineStr">
        <is>
          <t xml:space="preserve">1998/99</t>
        </is>
      </c>
      <c r="B40" s="2">
        <v>1998</v>
      </c>
      <c r="C40" s="3">
        <v>2494.0</v>
      </c>
      <c r="D40" s="9">
        <f>IF(C39=0,"",C40/C39-1)</f>
        <v>-0.14148020654044746</v>
      </c>
      <c r="E40" s="3">
        <v>2255.0</v>
      </c>
    </row>
    <row r="41">
      <c r="A41" s="2" t="inlineStr">
        <is>
          <t xml:space="preserve">1999/00</t>
        </is>
      </c>
      <c r="B41" s="2">
        <v>1999</v>
      </c>
      <c r="C41" s="3">
        <v>3067.0</v>
      </c>
      <c r="D41" s="9">
        <f>IF(C40=0,"",C41/C40-1)</f>
        <v>0.22975140336808342</v>
      </c>
      <c r="E41" s="3">
        <v>2825.0</v>
      </c>
    </row>
    <row r="42">
      <c r="A42" s="2" t="inlineStr">
        <is>
          <t xml:space="preserve">2000/01</t>
        </is>
      </c>
      <c r="B42" s="2">
        <v>2000</v>
      </c>
      <c r="C42" s="3">
        <v>2821.0</v>
      </c>
      <c r="D42" s="9">
        <f>IF(C41=0,"",C42/C41-1)</f>
        <v>-0.0802086729703293</v>
      </c>
      <c r="E42" s="3">
        <v>2470.0</v>
      </c>
    </row>
    <row r="43">
      <c r="A43" s="2" t="inlineStr">
        <is>
          <t xml:space="preserve">2001/02</t>
        </is>
      </c>
      <c r="B43" s="2">
        <v>2001</v>
      </c>
      <c r="C43" s="3">
        <v>3098.0</v>
      </c>
      <c r="D43" s="9">
        <f>IF(C42=0,"",C43/C42-1)</f>
        <v>0.09819213045019493</v>
      </c>
      <c r="E43" s="3">
        <v>2617.0</v>
      </c>
    </row>
    <row r="44">
      <c r="A44" s="2" t="inlineStr">
        <is>
          <t xml:space="preserve">2002/03</t>
        </is>
      </c>
      <c r="B44" s="2">
        <v>2002</v>
      </c>
      <c r="C44" s="3">
        <v>2496.0</v>
      </c>
      <c r="D44" s="9">
        <f>IF(C43=0,"",C44/C43-1)</f>
        <v>-0.19431891542930924</v>
      </c>
      <c r="E44" s="3">
        <v>2438.0</v>
      </c>
    </row>
    <row r="45">
      <c r="A45" s="2" t="inlineStr">
        <is>
          <t xml:space="preserve">2003/04</t>
        </is>
      </c>
      <c r="B45" s="2">
        <v>2003</v>
      </c>
      <c r="C45" s="3">
        <v>2968.0</v>
      </c>
      <c r="D45" s="9">
        <f>IF(C44=0,"",C45/C44-1)</f>
        <v>0.1891025641025641</v>
      </c>
      <c r="E45" s="3">
        <v>2794.0</v>
      </c>
    </row>
    <row r="46">
      <c r="A46" s="2" t="inlineStr">
        <is>
          <t xml:space="preserve">2004/05</t>
        </is>
      </c>
      <c r="B46" s="2">
        <v>2004</v>
      </c>
      <c r="C46" s="3">
        <v>2575.0</v>
      </c>
      <c r="D46" s="9">
        <f>IF(C45=0,"",C46/C45-1)</f>
        <v>-0.13241239892183287</v>
      </c>
      <c r="E46" s="3">
        <v>2450.0</v>
      </c>
    </row>
    <row r="47">
      <c r="A47" s="2" t="inlineStr">
        <is>
          <t xml:space="preserve">2005/06</t>
        </is>
      </c>
      <c r="B47" s="2">
        <v>2005</v>
      </c>
      <c r="C47" s="3">
        <v>3204.0</v>
      </c>
      <c r="D47" s="9">
        <f>IF(C46=0,"",C47/C46-1)</f>
        <v>0.24427184466019414</v>
      </c>
      <c r="E47" s="3">
        <v>2850.0</v>
      </c>
    </row>
    <row r="48">
      <c r="A48" s="2" t="inlineStr">
        <is>
          <t xml:space="preserve">2006/07</t>
        </is>
      </c>
      <c r="B48" s="2">
        <v>2006</v>
      </c>
      <c r="C48" s="3">
        <v>3460.0</v>
      </c>
      <c r="D48" s="9">
        <f>IF(C47=0,"",C48/C47-1)</f>
        <v>0.07990012484394504</v>
      </c>
      <c r="E48" s="3">
        <v>3370.0</v>
      </c>
    </row>
    <row r="49">
      <c r="A49" s="2" t="inlineStr">
        <is>
          <t xml:space="preserve">2007/08</t>
        </is>
      </c>
      <c r="B49" s="2">
        <v>2007</v>
      </c>
      <c r="C49" s="3">
        <v>3642.0</v>
      </c>
      <c r="D49" s="9">
        <f>IF(C48=0,"",C49/C48-1)</f>
        <v>0.05260115606936422</v>
      </c>
      <c r="E49" s="3">
        <v>3440.0</v>
      </c>
    </row>
    <row r="50">
      <c r="A50" s="2" t="inlineStr">
        <is>
          <t xml:space="preserve">2008/09</t>
        </is>
      </c>
      <c r="B50" s="2">
        <v>2008</v>
      </c>
      <c r="C50" s="3">
        <v>3225.0</v>
      </c>
      <c r="D50" s="9">
        <f>IF(C49=0,"",C50/C49-1)</f>
        <v>-0.11449752883031306</v>
      </c>
      <c r="E50" s="3">
        <v>3050.0</v>
      </c>
    </row>
    <row r="51">
      <c r="A51" s="2" t="inlineStr">
        <is>
          <t xml:space="preserve">2009/10</t>
        </is>
      </c>
      <c r="B51" s="2">
        <v>2009</v>
      </c>
      <c r="C51" s="3">
        <v>3550.0</v>
      </c>
      <c r="D51" s="9">
        <f>IF(C50=0,"",C51/C50-1)</f>
        <v>0.10077519379844957</v>
      </c>
      <c r="E51" s="3">
        <v>3200.0</v>
      </c>
    </row>
    <row r="52">
      <c r="A52" s="2" t="inlineStr">
        <is>
          <t xml:space="preserve">2010/11</t>
        </is>
      </c>
      <c r="B52" s="2">
        <v>2010</v>
      </c>
      <c r="C52" s="3">
        <v>3975.0</v>
      </c>
      <c r="D52" s="9">
        <f>IF(C51=0,"",C52/C51-1)</f>
        <v>0.11971830985915499</v>
      </c>
      <c r="E52" s="3">
        <v>3900.0</v>
      </c>
    </row>
    <row r="53">
      <c r="A53" s="2" t="inlineStr">
        <is>
          <t xml:space="preserve">2011/12</t>
        </is>
      </c>
      <c r="B53" s="2">
        <v>2011</v>
      </c>
      <c r="C53" s="3">
        <v>5600.0</v>
      </c>
      <c r="D53" s="9">
        <f>IF(C52=0,"",C53/C52-1)</f>
        <v>0.4088050314465408</v>
      </c>
      <c r="E53" s="3">
        <v>5290.0</v>
      </c>
    </row>
    <row r="54">
      <c r="A54" s="2" t="inlineStr">
        <is>
          <t xml:space="preserve">2012/13</t>
        </is>
      </c>
      <c r="B54" s="2">
        <v>2012</v>
      </c>
      <c r="C54" s="3">
        <v>4725.0</v>
      </c>
      <c r="D54" s="9">
        <f>IF(C53=0,"",C54/C53-1)</f>
        <v>-0.15625</v>
      </c>
      <c r="E54" s="3">
        <v>4480.0</v>
      </c>
    </row>
    <row r="55">
      <c r="A55" s="2" t="inlineStr">
        <is>
          <t xml:space="preserve">2013/14</t>
        </is>
      </c>
      <c r="B55" s="2">
        <v>2013</v>
      </c>
      <c r="C55" s="3">
        <v>4400.0</v>
      </c>
      <c r="D55" s="9">
        <f>IF(C54=0,"",C55/C54-1)</f>
        <v>-0.06878306878306883</v>
      </c>
      <c r="E55" s="3">
        <v>3940.0</v>
      </c>
    </row>
    <row r="56">
      <c r="A56" s="2" t="inlineStr">
        <is>
          <t xml:space="preserve">2014/15</t>
        </is>
      </c>
      <c r="B56" s="2">
        <v>2014</v>
      </c>
      <c r="C56" s="3">
        <v>5100.0</v>
      </c>
      <c r="D56" s="9">
        <f>IF(C55=0,"",C56/C55-1)</f>
        <v>0.15909090909090917</v>
      </c>
      <c r="E56" s="3">
        <v>4760.0</v>
      </c>
    </row>
    <row r="57">
      <c r="A57" s="2" t="inlineStr">
        <is>
          <t xml:space="preserve">2015/16</t>
        </is>
      </c>
      <c r="B57" s="2">
        <v>2015</v>
      </c>
      <c r="C57" s="3">
        <v>5300.0</v>
      </c>
      <c r="D57" s="9">
        <f>IF(C56=0,"",C57/C56-1)</f>
        <v>0.03921568627450989</v>
      </c>
      <c r="E57" s="3">
        <v>5000.0</v>
      </c>
    </row>
    <row r="58">
      <c r="A58" s="2" t="inlineStr">
        <is>
          <t xml:space="preserve">2016/17</t>
        </is>
      </c>
      <c r="B58" s="2">
        <v>2016</v>
      </c>
      <c r="C58" s="3">
        <v>7510.0</v>
      </c>
      <c r="D58" s="9">
        <f>IF(C57=0,"",C58/C57-1)</f>
        <v>0.4169811320754717</v>
      </c>
      <c r="E58" s="3">
        <v>7175.0</v>
      </c>
    </row>
    <row r="59">
      <c r="A59" s="2" t="inlineStr">
        <is>
          <t xml:space="preserve">2017/18</t>
        </is>
      </c>
      <c r="B59" s="2">
        <v>2017</v>
      </c>
      <c r="C59" s="3">
        <v>7600.0</v>
      </c>
      <c r="D59" s="9">
        <f>IF(C58=0,"",C59/C58-1)</f>
        <v>0.011984021304926706</v>
      </c>
      <c r="E59" s="3">
        <v>7225.0</v>
      </c>
    </row>
    <row r="60">
      <c r="A60" s="2" t="inlineStr">
        <is>
          <t xml:space="preserve">2018/19</t>
        </is>
      </c>
      <c r="B60" s="2">
        <v>2018</v>
      </c>
      <c r="C60" s="3">
        <v>7100.0</v>
      </c>
      <c r="D60" s="9">
        <f>IF(C59=0,"",C60/C59-1)</f>
        <v>-0.06578947368421051</v>
      </c>
      <c r="E60" s="3">
        <v>6910.0</v>
      </c>
    </row>
    <row r="61">
      <c r="A61" s="2" t="inlineStr">
        <is>
          <t xml:space="preserve">2019/20</t>
        </is>
      </c>
      <c r="B61" s="2">
        <v>2019</v>
      </c>
      <c r="C61" s="3">
        <v>5200.0</v>
      </c>
      <c r="D61" s="9">
        <f>IF(C60=0,"",C61/C60-1)</f>
        <v>-0.2676056338028169</v>
      </c>
      <c r="E61" s="3">
        <v>4900.0</v>
      </c>
    </row>
    <row r="62">
      <c r="A62" s="2" t="inlineStr">
        <is>
          <t xml:space="preserve">2020/21</t>
        </is>
      </c>
      <c r="B62" s="2">
        <v>2020</v>
      </c>
      <c r="C62" s="3">
        <v>6500.0</v>
      </c>
      <c r="D62" s="9">
        <f>IF(C61=0,"",C62/C61-1)</f>
        <v>0.25</v>
      </c>
      <c r="E62" s="3">
        <v>6010.0</v>
      </c>
    </row>
    <row r="63">
      <c r="A63" s="2" t="inlineStr">
        <is>
          <t xml:space="preserve">2021/22</t>
        </is>
      </c>
      <c r="B63" s="2">
        <v>2021</v>
      </c>
      <c r="C63" s="3">
        <v>4800.0</v>
      </c>
      <c r="D63" s="9">
        <f>IF(C62=0,"",C63/C62-1)</f>
        <v>-0.2615384615384615</v>
      </c>
      <c r="E63" s="3">
        <v>4650.0</v>
      </c>
    </row>
    <row r="64">
      <c r="A64" s="2" t="inlineStr">
        <is>
          <t xml:space="preserve">2022/23</t>
        </is>
      </c>
      <c r="B64" s="2">
        <v>2022</v>
      </c>
      <c r="C64" s="3">
        <v>5700.0</v>
      </c>
      <c r="D64" s="9">
        <f>IF(C63=0,"",C64/C63-1)</f>
        <v>0.1875</v>
      </c>
      <c r="E64" s="3">
        <v>5310.0</v>
      </c>
    </row>
    <row r="65">
      <c r="A65" s="2" t="inlineStr">
        <is>
          <t xml:space="preserve">2023/24</t>
        </is>
      </c>
      <c r="B65" s="2">
        <v>2023</v>
      </c>
      <c r="C65" s="3">
        <v>5050.0</v>
      </c>
      <c r="D65" s="9">
        <f>IF(C64=0,"",C65/C64-1)</f>
        <v>-0.11403508771929827</v>
      </c>
      <c r="E65" s="3">
        <v>4715.0</v>
      </c>
    </row>
    <row r="66">
      <c r="A66" s="2" t="inlineStr">
        <is>
          <t xml:space="preserve">2024/25</t>
        </is>
      </c>
      <c r="B66" s="2">
        <v>2024</v>
      </c>
      <c r="C66" s="3">
        <v>5200.0</v>
      </c>
      <c r="D66" s="9">
        <f>IF(C65=0,"",C66/C65-1)</f>
        <v>0.02970297029702973</v>
      </c>
      <c r="E66" s="3">
        <v>4958.0</v>
      </c>
    </row>
    <row r="67">
      <c r="A67" s="2" t="inlineStr">
        <is>
          <t xml:space="preserve">2025/26</t>
        </is>
      </c>
      <c r="B67" s="2">
        <v>2025</v>
      </c>
      <c r="C67" s="3">
        <v>5530.0</v>
      </c>
      <c r="D67" s="9">
        <f>IF(C66=0,"",C67/C66-1)</f>
        <v>0.06346153846153846</v>
      </c>
      <c r="E67" s="3">
        <v>5028.0</v>
      </c>
    </row>
    <row r="68">
      <c r="A68" s="2" t="inlineStr">
        <is>
          <t xml:space="preserve">2026/27</t>
        </is>
      </c>
      <c r="B68" s="2">
        <v>2026</v>
      </c>
      <c r="C68" s="3">
        <v>6030.0</v>
      </c>
      <c r="D68" s="9">
        <f>IF(C67=0,"",C68/C67-1)</f>
        <v>0.0904159132007234</v>
      </c>
      <c r="E68" s="3">
        <v>5500.0</v>
      </c>
    </row>
    <row r="70">
      <c r="A70" s="10" t="inlineStr">
        <is>
          <t xml:space="preserve">USDA PSD online, Coffee, Green, Honduras, 1000 60-kg bags, marketing year Oct-Sep, download of July 2026. 2025/26 and 2026/27 are USDA estimates and forecasts.</t>
        </is>
      </c>
    </row>
  </sheetData>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dc:title>Sumatra weather by ENSO season</dc:title>
</cp:coreProperties>
</file>