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ADME" sheetId="1" r:id="rId1"/>
    <sheet name="Price_annual" sheetId="2" r:id="rId2"/>
    <sheet name="Price_vs_cost" sheetId="3" r:id="rId3"/>
    <sheet name="Varieties" sheetId="4" r:id="rId4"/>
    <sheet name="Adoption" sheetId="5" r:id="rId5"/>
    <sheet name="Rust" sheetId="6" r:id="rId6"/>
    <sheet name="Finance" sheetId="7" r:id="rId7"/>
    <sheet name="Yield" sheetId="8" r:id="rId8"/>
    <sheet name="Web_extracts" sheetId="9" r:id="rId9"/>
  </sheets>
  <calcPr calcId="191029" fullCalcOnLoad="1"/>
</workbook>
</file>

<file path=xl/styles.xml><?xml version="1.0" encoding="utf-8"?>
<styleSheet xmlns="http://schemas.openxmlformats.org/spreadsheetml/2006/main">
  <numFmts count="5">
    <numFmt numFmtId="164" formatCode="0.000"/>
    <numFmt numFmtId="165" formatCode="#,##0.0"/>
    <numFmt numFmtId="166" formatCode="0.00"/>
    <numFmt numFmtId="167" formatCode="#,##0"/>
    <numFmt numFmtId="168" formatCode="0.0%"/>
  </numFmts>
  <fonts count="8">
    <font>
      <sz val="10"/>
      <color rgb="FF000000"/>
      <name val="Arial"/>
    </font>
    <font>
      <b/>
      <sz val="14"/>
      <color rgb="FF1F3864"/>
      <name val="Arial"/>
    </font>
    <font>
      <i/>
      <sz val="10"/>
      <color rgb="FF595959"/>
      <name val="Arial"/>
    </font>
    <font>
      <b/>
      <sz val="10"/>
      <color rgb="FF000000"/>
      <name val="Arial"/>
    </font>
    <font>
      <b/>
      <sz val="10"/>
      <color rgb="FFC00000"/>
      <name val="Arial"/>
    </font>
    <font>
      <b/>
      <sz val="10"/>
      <color rgb="FFFFFFFF"/>
      <name val="Arial"/>
    </font>
    <font>
      <sz val="10"/>
      <color rgb="FF0000FF"/>
      <name val="Arial"/>
    </font>
    <font>
      <b/>
      <sz val="10"/>
      <color rgb="FF2E7D32"/>
      <name val="Arial"/>
    </font>
  </fonts>
  <fills count="3">
    <fill>
      <patternFill patternType="none"/>
    </fill>
    <fill>
      <patternFill patternType="gray125"/>
    </fill>
    <fill>
      <patternFill patternType="solid">
        <fgColor rgb="FF1F3864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BFBFBF"/>
      </bottom>
      <diagonal/>
    </border>
  </borders>
  <cellStyleXfs count="1">
    <xf numFmtId="0" fontId="0" fillId="0" borderId="0"/>
  </cellStyleXfs>
  <cellXfs count="16">
    <xf numFmtId="0" fontId="0" fillId="0" borderId="0" xfId="0" applyFont="1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2" borderId="0" xfId="0" applyFont="1" applyFill="1" applyAlignment="1">
      <alignment horizontal="center" wrapText="1" vertical="top"/>
    </xf>
    <xf numFmtId="164" fontId="6" fillId="0" borderId="0" xfId="0" applyNumberFormat="1" applyFont="1"/>
    <xf numFmtId="165" fontId="0" fillId="0" borderId="0" xfId="0" applyNumberFormat="1" applyFont="1"/>
    <xf numFmtId="166" fontId="6" fillId="0" borderId="0" xfId="0" applyNumberFormat="1" applyFont="1"/>
    <xf numFmtId="167" fontId="6" fillId="0" borderId="0" xfId="0" applyNumberFormat="1" applyFont="1"/>
    <xf numFmtId="165" fontId="6" fillId="0" borderId="0" xfId="0" applyNumberFormat="1" applyFont="1"/>
    <xf numFmtId="168" fontId="0" fillId="0" borderId="0" xfId="0" applyNumberFormat="1" applyFont="1"/>
    <xf numFmtId="0" fontId="0" fillId="0" borderId="0" xfId="0" applyFont="1" applyAlignment="1">
      <alignment wrapText="1" vertical="top"/>
    </xf>
    <xf numFmtId="166" fontId="0" fillId="0" borderId="0" xfId="0" applyNumberFormat="1" applyFont="1"/>
    <xf numFmtId="0" fontId="7" fillId="0" borderId="0" xfId="0" applyFont="1"/>
    <xf numFmtId="167" fontId="0" fillId="0" borderId="0" xfId="0" applyNumberFormat="1" applyFont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3.2"/>
  <cols>
    <col min="1" max="1" width="160" customWidth="1"/>
  </cols>
  <sheetData>
    <row r="1">
      <c r="A1" s="1" t="inlineStr">
        <is>
          <t xml:space="preserve">Honduras coffee: price, farm-gate, cost, varieties, rust, financing, yield (2005 → 2026)</t>
        </is>
      </c>
    </row>
    <row r="2">
      <c r="A2" s="2" t="inlineStr">
        <is>
          <t xml:space="preserve">Built 25 Sep 2026 by research/honduras/excel/build_finance_varieties_xlsx.py from files saved in research/honduras/.</t>
        </is>
      </c>
    </row>
    <row r="3">
      <c r="A3" t="inlineStr">
        <is>
          <t xml:space="preserve"/>
        </is>
      </c>
    </row>
    <row r="4">
      <c r="A4" s="3" t="inlineStr">
        <is>
          <t xml:space="preserve">Status column</t>
        </is>
      </c>
    </row>
    <row r="5">
      <c r="A5" t="inlineStr">
        <is>
          <t xml:space="preserve">✔ USDA report (read) = quoted from a USDA FAS Coffee Annual Honduras report saved in research/honduras/raw/usda_gain/ (2011-2018, 2020-2026; the 2019 report was not found).</t>
        </is>
      </c>
    </row>
    <row r="6">
      <c r="A6" t="inlineStr">
        <is>
          <t xml:space="preserve">✔ FAOSTAT (read) = FAOSTAT bulk file saved in research/honduras/raw/faostat/ (official "A" values only; exchange rates flag X = IMF).</t>
        </is>
      </c>
    </row>
    <row r="7">
      <c r="A7" s="4" t="inlineStr">
        <is>
          <t xml:space="preserve">⚠ web extract, NOT verified = seen only in a web-search summary. The page itself (IHCAFE, World Coffee Research, PROMECAFE, ICO, BCH, Honduran press) could not be opened: the network policy of this environment blocks those hosts. Check these before quoting them.</t>
        </is>
      </c>
    </row>
    <row r="8">
      <c r="A8" t="inlineStr">
        <is>
          <t xml:space="preserve"/>
        </is>
      </c>
    </row>
    <row r="9">
      <c r="A9" s="3" t="inlineStr">
        <is>
          <t xml:space="preserve">Units</t>
        </is>
      </c>
    </row>
    <row r="10">
      <c r="A10" t="inlineStr">
        <is>
          <t xml:space="preserve">qq = quintal oro = 46 kg = 100 lb of green coffee.  Bag = 60 kg.  1 manzana = 0.7 ha.  L = lempira.  Lempira amounts are converted with the FAOSTAT annual average rate of the same year.</t>
        </is>
      </c>
    </row>
    <row r="11">
      <c r="A11" t="inlineStr">
        <is>
          <t xml:space="preserve">World price = World Bank Pink Sheet "Coffee, Arabica" (ICO other milds, ex-dock), annual mean of monthly prices; 2026 = Jan-Aug.</t>
        </is>
      </c>
    </row>
    <row r="12">
      <c r="A12" t="inlineStr">
        <is>
          <t xml:space="preserve"/>
        </is>
      </c>
    </row>
    <row r="13">
      <c r="A13" s="3" t="inlineStr">
        <is>
          <t xml:space="preserve">Sheets</t>
        </is>
      </c>
    </row>
    <row r="14">
      <c r="A14" t="inlineStr">
        <is>
          <t xml:space="preserve">Price_annual: world price, YoY, farm-gate price (FAOSTAT), share of the world price, exchange rate.</t>
        </is>
      </c>
    </row>
    <row r="15">
      <c r="A15" t="inlineStr">
        <is>
          <t xml:space="preserve">Price_vs_cost: every cost figure found, against the world price and the Honduran export price of the same year.</t>
        </is>
      </c>
    </row>
    <row r="16">
      <c r="A16" t="inlineStr">
        <is>
          <t xml:space="preserve">Varieties, Adoption: rust-resistant varieties released by IHCAFE, resistance status, share planted.</t>
        </is>
      </c>
    </row>
    <row r="17">
      <c r="A17" t="inlineStr">
        <is>
          <t xml:space="preserve">Rust: IHCAFE / early-warning survey results as printed by USDA.</t>
        </is>
      </c>
    </row>
    <row r="18">
      <c r="A18" t="inlineStr">
        <is>
          <t xml:space="preserve">Finance: programmes, amounts (US$ million), beneficiaries, terms.</t>
        </is>
      </c>
    </row>
    <row r="19">
      <c r="A19" t="inlineStr">
        <is>
          <t xml:space="preserve">Yield: USDA production / bearing area, and the IHCAFE registry by farm size.</t>
        </is>
      </c>
    </row>
    <row r="20">
      <c r="A20" t="inlineStr">
        <is>
          <t xml:space="preserve">Web_extracts: every unverified extract collected, with the URL to check.</t>
        </is>
      </c>
    </row>
    <row r="21">
      <c r="A21" t="inlineStr">
        <is>
          <t xml:space="preserve"/>
        </is>
      </c>
    </row>
    <row r="22">
      <c r="A22" s="3" t="inlineStr">
        <is>
          <t xml:space="preserve">Not found anywhere we could reach: yield by variety, a yearly series of bank credit to coffee (BCH), a yearly farm-gate series 2009-2021, official IHCAFE cost-of-production studies.</t>
        </is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sheetViews>
    <sheetView workbookViewId="0">
      <pane xSplit="1" ySplit="4" topLeftCell="B5" activePane="bottomRight" state="frozen"/>
    </sheetView>
  </sheetViews>
  <sheetFormatPr defaultRowHeight="13.2"/>
  <cols>
    <col min="1" max="1" width="7" customWidth="1"/>
    <col min="2" max="2" width="11" customWidth="1"/>
    <col min="3" max="3" width="8" customWidth="1"/>
    <col min="4" max="4" width="11" customWidth="1"/>
    <col min="5" max="5" width="13" customWidth="1"/>
    <col min="6" max="6" width="11" customWidth="1"/>
    <col min="7" max="7" width="11" customWidth="1"/>
    <col min="8" max="8" width="11" customWidth="1"/>
    <col min="9" max="9" width="12" customWidth="1"/>
    <col min="10" max="10" width="60" customWidth="1"/>
  </cols>
  <sheetData>
    <row r="1">
      <c r="A1" s="1" t="inlineStr">
        <is>
          <t xml:space="preserve">World arabica price and Honduran farm-gate price, annual</t>
        </is>
      </c>
    </row>
    <row r="2">
      <c r="A2" s="2" t="inlineStr">
        <is>
          <t xml:space="preserve">Blue = input. Farm-gate: FAOSTAT "Coffee, green" producer price, official values only (2009-2021 and 2025 not published). 2024: the FAOSTAT USD cell repeats 2023, so US$/t = lempiras / rate.</t>
        </is>
      </c>
    </row>
    <row r="4">
      <c r="A4" s="5" t="inlineStr">
        <is>
          <t xml:space="preserve">Year</t>
        </is>
      </c>
      <c r="B4" s="5" t="inlineStr">
        <is>
          <t xml:space="preserve">World price $/kg</t>
        </is>
      </c>
      <c r="C4" s="5" t="inlineStr">
        <is>
          <t xml:space="preserve">YoY</t>
        </is>
      </c>
      <c r="D4" s="5" t="inlineStr">
        <is>
          <t xml:space="preserve">World price $/qq</t>
        </is>
      </c>
      <c r="E4" s="5" t="inlineStr">
        <is>
          <t xml:space="preserve">Farm-gate L/t (FAOSTAT)</t>
        </is>
      </c>
      <c r="F4" s="5" t="inlineStr">
        <is>
          <t xml:space="preserve">L per US$ (FAOSTAT)</t>
        </is>
      </c>
      <c r="G4" s="5" t="inlineStr">
        <is>
          <t xml:space="preserve">Farm-gate $/t</t>
        </is>
      </c>
      <c r="H4" s="5" t="inlineStr">
        <is>
          <t xml:space="preserve">Farm-gate $/qq</t>
        </is>
      </c>
      <c r="I4" s="5" t="inlineStr">
        <is>
          <t xml:space="preserve">Farm-gate / world price</t>
        </is>
      </c>
      <c r="J4" s="5" t="inlineStr">
        <is>
          <t xml:space="preserve">Note</t>
        </is>
      </c>
    </row>
    <row r="5">
      <c r="A5" s="3">
        <v>2005</v>
      </c>
      <c r="B5" s="6">
        <v>2.5325</v>
      </c>
      <c r="D5" s="7">
        <f>B5*46</f>
        <v>116.495</v>
      </c>
      <c r="E5" s="9">
        <v>33000.0</v>
      </c>
      <c r="F5" s="8">
        <v>18.83234167</v>
      </c>
      <c r="G5" s="10">
        <v>1752.3</v>
      </c>
      <c r="H5" s="7">
        <f>G5*0.046</f>
        <v>80.6058</v>
      </c>
      <c r="I5" s="11">
        <f>H5/D5</f>
        <v>0.6919249753208292</v>
      </c>
      <c r="J5" t="inlineStr">
        <is>
          <t xml:space="preserve"/>
        </is>
      </c>
    </row>
    <row r="6">
      <c r="A6" s="3">
        <v>2006</v>
      </c>
      <c r="B6" s="6">
        <v>2.5216666666666665</v>
      </c>
      <c r="C6" s="11">
        <f>B6/B5-1</f>
        <v>-0.0042777229351761425</v>
      </c>
      <c r="D6" s="7">
        <f>B6*46</f>
        <v>115.99666666666666</v>
      </c>
      <c r="E6" s="9">
        <v>39600.0</v>
      </c>
      <c r="F6" s="8">
        <v>18.89520833</v>
      </c>
      <c r="G6" s="10">
        <v>2095.8</v>
      </c>
      <c r="H6" s="7">
        <f>G6*0.046</f>
        <v>96.4068</v>
      </c>
      <c r="I6" s="11">
        <f>H6/D6</f>
        <v>0.831116986120291</v>
      </c>
      <c r="J6" t="inlineStr">
        <is>
          <t xml:space="preserve"/>
        </is>
      </c>
    </row>
    <row r="7">
      <c r="A7" s="3">
        <v>2007</v>
      </c>
      <c r="B7" s="6">
        <v>2.7241666666666666</v>
      </c>
      <c r="C7" s="11">
        <f>B7/B6-1</f>
        <v>0.08030403172504963</v>
      </c>
      <c r="D7" s="7">
        <f>B7*46</f>
        <v>125.31166666666667</v>
      </c>
      <c r="E7" s="9">
        <v>44000.0</v>
      </c>
      <c r="F7" s="8">
        <v>18.8951</v>
      </c>
      <c r="G7" s="10">
        <v>2328.6</v>
      </c>
      <c r="H7" s="7">
        <f>G7*0.046</f>
        <v>107.1156</v>
      </c>
      <c r="I7" s="11">
        <f>H7/D7</f>
        <v>0.8547935148363414</v>
      </c>
      <c r="J7" t="inlineStr">
        <is>
          <t xml:space="preserve"/>
        </is>
      </c>
    </row>
    <row r="8">
      <c r="A8" s="3">
        <v>2008</v>
      </c>
      <c r="B8" s="6">
        <v>3.080833333333333</v>
      </c>
      <c r="C8" s="11">
        <f>B8/B7-1</f>
        <v>0.13092688895686755</v>
      </c>
      <c r="D8" s="7">
        <f>B8*46</f>
        <v>141.71833333333333</v>
      </c>
      <c r="E8" s="9">
        <v>44950.0</v>
      </c>
      <c r="F8" s="8">
        <v>18.90375833</v>
      </c>
      <c r="G8" s="10">
        <v>2377.8</v>
      </c>
      <c r="H8" s="7">
        <f>G8*0.046</f>
        <v>109.37880000000001</v>
      </c>
      <c r="I8" s="11">
        <f>H8/D8</f>
        <v>0.7718041655396268</v>
      </c>
      <c r="J8" t="inlineStr">
        <is>
          <t xml:space="preserve"/>
        </is>
      </c>
    </row>
    <row r="9">
      <c r="A9" s="3">
        <v>2009</v>
      </c>
      <c r="B9" s="6">
        <v>3.170833333333334</v>
      </c>
      <c r="C9" s="11">
        <f>B9/B8-1</f>
        <v>0.029212875304301056</v>
      </c>
      <c r="D9" s="7">
        <f>B9*46</f>
        <v>145.85833333333335</v>
      </c>
      <c r="F9" s="8">
        <v>18.8951</v>
      </c>
      <c r="J9" t="inlineStr">
        <is>
          <t xml:space="preserve"/>
        </is>
      </c>
    </row>
    <row r="10">
      <c r="A10" s="3">
        <v>2010</v>
      </c>
      <c r="B10" s="6">
        <v>4.319999999999999</v>
      </c>
      <c r="C10" s="11">
        <f>B10/B9-1</f>
        <v>0.3624178712220758</v>
      </c>
      <c r="D10" s="7">
        <f>B10*46</f>
        <v>198.71999999999997</v>
      </c>
      <c r="F10" s="8">
        <v>18.8951</v>
      </c>
      <c r="J10" t="inlineStr">
        <is>
          <t xml:space="preserve"/>
        </is>
      </c>
    </row>
    <row r="11">
      <c r="A11" s="3">
        <v>2011</v>
      </c>
      <c r="B11" s="6">
        <v>5.9766666666666675</v>
      </c>
      <c r="C11" s="11">
        <f>B11/B10-1</f>
        <v>0.38348765432098797</v>
      </c>
      <c r="D11" s="7">
        <f>B11*46</f>
        <v>274.9266666666667</v>
      </c>
      <c r="F11" s="8">
        <v>18.91714167</v>
      </c>
      <c r="J11" t="inlineStr">
        <is>
          <t xml:space="preserve"/>
        </is>
      </c>
    </row>
    <row r="12">
      <c r="A12" s="3">
        <v>2012</v>
      </c>
      <c r="B12" s="6">
        <v>4.111666666666667</v>
      </c>
      <c r="C12" s="11">
        <f>B12/B11-1</f>
        <v>-0.3120468488566648</v>
      </c>
      <c r="D12" s="7">
        <f>B12*46</f>
        <v>189.13666666666668</v>
      </c>
      <c r="F12" s="8">
        <v>19.50224951</v>
      </c>
      <c r="J12" t="inlineStr">
        <is>
          <t xml:space="preserve">rust epidemic</t>
        </is>
      </c>
    </row>
    <row r="13">
      <c r="A13" s="3">
        <v>2013</v>
      </c>
      <c r="B13" s="6">
        <v>3.0766666666666667</v>
      </c>
      <c r="C13" s="11">
        <f>B13/B12-1</f>
        <v>-0.2517227401702473</v>
      </c>
      <c r="D13" s="7">
        <f>B13*46</f>
        <v>141.52666666666667</v>
      </c>
      <c r="F13" s="8">
        <v>20.35377917</v>
      </c>
      <c r="J13" t="inlineStr">
        <is>
          <t xml:space="preserve">rust epidemic</t>
        </is>
      </c>
    </row>
    <row r="14">
      <c r="A14" s="3">
        <v>2014</v>
      </c>
      <c r="B14" s="6">
        <v>4.425</v>
      </c>
      <c r="C14" s="11">
        <f>B14/B13-1</f>
        <v>0.4382448537378114</v>
      </c>
      <c r="D14" s="7">
        <f>B14*46</f>
        <v>203.54999999999998</v>
      </c>
      <c r="F14" s="8">
        <v>20.98715833</v>
      </c>
      <c r="J14" t="inlineStr">
        <is>
          <t xml:space="preserve">mean 4.425 $/kg (Brazil drought)</t>
        </is>
      </c>
    </row>
    <row r="15">
      <c r="A15" s="3">
        <v>2015</v>
      </c>
      <c r="B15" s="6">
        <v>3.5258333333333334</v>
      </c>
      <c r="C15" s="11">
        <f>B15/B14-1</f>
        <v>-0.20320150659133707</v>
      </c>
      <c r="D15" s="7">
        <f>B15*46</f>
        <v>162.18833333333333</v>
      </c>
      <c r="F15" s="8">
        <v>21.945175</v>
      </c>
      <c r="J15" t="inlineStr">
        <is>
          <t xml:space="preserve"/>
        </is>
      </c>
    </row>
    <row r="16">
      <c r="A16" s="3">
        <v>2016</v>
      </c>
      <c r="B16" s="6">
        <v>3.6125000000000003</v>
      </c>
      <c r="C16" s="11">
        <f>B16/B15-1</f>
        <v>0.02458047742850389</v>
      </c>
      <c r="D16" s="7">
        <f>B16*46</f>
        <v>166.175</v>
      </c>
      <c r="F16" s="8">
        <v>22.83501839</v>
      </c>
      <c r="J16" t="inlineStr">
        <is>
          <t xml:space="preserve"/>
        </is>
      </c>
    </row>
    <row r="17">
      <c r="A17" s="3">
        <v>2017</v>
      </c>
      <c r="B17" s="6">
        <v>3.3241666666666667</v>
      </c>
      <c r="C17" s="11">
        <f>B17/B16-1</f>
        <v>-0.07981545559400238</v>
      </c>
      <c r="D17" s="7">
        <f>B17*46</f>
        <v>152.91166666666666</v>
      </c>
      <c r="F17" s="8">
        <v>23.48708394</v>
      </c>
      <c r="J17" t="inlineStr">
        <is>
          <t xml:space="preserve"/>
        </is>
      </c>
    </row>
    <row r="18">
      <c r="A18" s="3">
        <v>2018</v>
      </c>
      <c r="B18" s="6">
        <v>2.9250000000000003</v>
      </c>
      <c r="C18" s="11">
        <f>B18/B17-1</f>
        <v>-0.12008022060666823</v>
      </c>
      <c r="D18" s="7">
        <f>B18*46</f>
        <v>134.55</v>
      </c>
      <c r="F18" s="8">
        <v>23.90272829</v>
      </c>
      <c r="J18" t="inlineStr">
        <is>
          <t xml:space="preserve"/>
        </is>
      </c>
    </row>
    <row r="19">
      <c r="A19" s="3">
        <v>2019</v>
      </c>
      <c r="B19" s="6">
        <v>2.8800000000000003</v>
      </c>
      <c r="C19" s="11">
        <f>B19/B18-1</f>
        <v>-0.01538461538461533</v>
      </c>
      <c r="D19" s="7">
        <f>B19*46</f>
        <v>132.48000000000002</v>
      </c>
      <c r="F19" s="8">
        <v>24.50853891</v>
      </c>
      <c r="J19" t="inlineStr">
        <is>
          <t xml:space="preserve"/>
        </is>
      </c>
    </row>
    <row r="20">
      <c r="A20" s="3">
        <v>2020</v>
      </c>
      <c r="B20" s="6">
        <v>3.3233333333333337</v>
      </c>
      <c r="C20" s="11">
        <f>B20/B19-1</f>
        <v>0.15393518518518512</v>
      </c>
      <c r="D20" s="7">
        <f>B20*46</f>
        <v>152.87333333333336</v>
      </c>
      <c r="F20" s="8">
        <v>24.58188052</v>
      </c>
      <c r="J20" t="inlineStr">
        <is>
          <t xml:space="preserve"/>
        </is>
      </c>
    </row>
    <row r="21">
      <c r="A21" s="3">
        <v>2021</v>
      </c>
      <c r="B21" s="6">
        <v>4.510833333333334</v>
      </c>
      <c r="C21" s="11">
        <f>B21/B20-1</f>
        <v>0.35732196589769316</v>
      </c>
      <c r="D21" s="7">
        <f>B21*46</f>
        <v>207.49833333333336</v>
      </c>
      <c r="F21" s="8">
        <v>24.01665532</v>
      </c>
      <c r="J21" t="inlineStr">
        <is>
          <t xml:space="preserve"/>
        </is>
      </c>
    </row>
    <row r="22">
      <c r="A22" s="3">
        <v>2022</v>
      </c>
      <c r="B22" s="6">
        <v>5.630833333333334</v>
      </c>
      <c r="C22" s="11">
        <f>B22/B21-1</f>
        <v>0.2482911509329393</v>
      </c>
      <c r="D22" s="7">
        <f>B22*46</f>
        <v>259.0183333333334</v>
      </c>
      <c r="E22" s="9">
        <v>98273.9</v>
      </c>
      <c r="F22" s="8">
        <v>24.48587373</v>
      </c>
      <c r="G22" s="10">
        <v>4013.5</v>
      </c>
      <c r="H22" s="7">
        <f>G22*0.046</f>
        <v>184.621</v>
      </c>
      <c r="I22" s="11">
        <f>H22/D22</f>
        <v>0.7127719402101523</v>
      </c>
      <c r="J22" t="inlineStr">
        <is>
          <t xml:space="preserve"/>
        </is>
      </c>
    </row>
    <row r="23">
      <c r="A23" s="3">
        <v>2023</v>
      </c>
      <c r="B23" s="6">
        <v>4.540833333333333</v>
      </c>
      <c r="C23" s="11">
        <f>B23/B22-1</f>
        <v>-0.19357703122687608</v>
      </c>
      <c r="D23" s="7">
        <f>B23*46</f>
        <v>208.8783333333333</v>
      </c>
      <c r="E23" s="9">
        <v>76161.7</v>
      </c>
      <c r="F23" s="8">
        <v>24.60164642</v>
      </c>
      <c r="G23" s="10">
        <v>3095.8</v>
      </c>
      <c r="H23" s="7">
        <f>G23*0.046</f>
        <v>142.4068</v>
      </c>
      <c r="I23" s="11">
        <f>H23/D23</f>
        <v>0.6817691319508168</v>
      </c>
      <c r="J23" t="inlineStr">
        <is>
          <t xml:space="preserve"/>
        </is>
      </c>
    </row>
    <row r="24">
      <c r="A24" s="3">
        <v>2024</v>
      </c>
      <c r="B24" s="6">
        <v>5.620833333333333</v>
      </c>
      <c r="C24" s="11">
        <f>B24/B23-1</f>
        <v>0.23784180583593328</v>
      </c>
      <c r="D24" s="7">
        <f>B24*46</f>
        <v>258.5583333333333</v>
      </c>
      <c r="E24" s="9">
        <v>128803.6</v>
      </c>
      <c r="F24" s="8">
        <v>24.79928244</v>
      </c>
      <c r="G24" s="7">
        <f>E24/F24</f>
        <v>5193.843826394197</v>
      </c>
      <c r="H24" s="7">
        <f>G24*0.046</f>
        <v>238.91681601413308</v>
      </c>
      <c r="I24" s="11">
        <f>H24/D24</f>
        <v>0.9240344835690197</v>
      </c>
      <c r="J24" t="inlineStr">
        <is>
          <t xml:space="preserve">FAOSTAT 2024 row inconsistent (USD = 2023 value): farm-gate from lempiras</t>
        </is>
      </c>
    </row>
    <row r="25">
      <c r="A25" s="3">
        <v>2025</v>
      </c>
      <c r="B25" s="6">
        <v>8.47</v>
      </c>
      <c r="C25" s="11">
        <f>B25/B24-1</f>
        <v>0.5068939955522611</v>
      </c>
      <c r="D25" s="7">
        <f>B25*46</f>
        <v>389.62</v>
      </c>
      <c r="F25" s="8">
        <v>25.95267482</v>
      </c>
      <c r="J25" t="inlineStr">
        <is>
          <t xml:space="preserve">record year</t>
        </is>
      </c>
    </row>
    <row r="26">
      <c r="A26" s="3">
        <v>2026</v>
      </c>
      <c r="B26" s="6">
        <v>7.42375</v>
      </c>
      <c r="C26" s="11">
        <f>B26/B25-1</f>
        <v>-0.12352420306965772</v>
      </c>
      <c r="D26" s="7">
        <f>B26*46</f>
        <v>341.4925</v>
      </c>
      <c r="J26" t="inlineStr">
        <is>
          <t xml:space="preserve">Jan-Aug only</t>
        </is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sheetFormatPr defaultRowHeight="13.2"/>
  <cols>
    <col min="1" max="1" width="9" customWidth="1"/>
    <col min="2" max="2" width="42" customWidth="1"/>
    <col min="3" max="3" width="12" customWidth="1"/>
    <col min="4" max="4" width="10" customWidth="1"/>
    <col min="5" max="5" width="12" customWidth="1"/>
    <col min="6" max="6" width="13" customWidth="1"/>
    <col min="7" max="7" width="12" customWidth="1"/>
    <col min="8" max="8" width="24" customWidth="1"/>
    <col min="9" max="9" width="40" customWidth="1"/>
    <col min="10" max="10" width="70" customWidth="1"/>
  </cols>
  <sheetData>
    <row r="1">
      <c r="A1" s="1" t="inlineStr">
        <is>
          <t xml:space="preserve">Cost of production against the price, US$ per quintal oro (46 kg)</t>
        </is>
      </c>
    </row>
    <row r="2">
      <c r="A2" s="2" t="inlineStr">
        <is>
          <t xml:space="preserve">World price looked up in Price_annual. Export price = Honduran average export price printed by USDA for the crop year ending that year.</t>
        </is>
      </c>
    </row>
    <row r="4">
      <c r="A4" s="5" t="inlineStr">
        <is>
          <t xml:space="preserve">Year</t>
        </is>
      </c>
      <c r="B4" s="5" t="inlineStr">
        <is>
          <t xml:space="preserve">What the figure is</t>
        </is>
      </c>
      <c r="C4" s="5" t="inlineStr">
        <is>
          <t xml:space="preserve">Cost or threshold $/qq</t>
        </is>
      </c>
      <c r="D4" s="5" t="inlineStr">
        <is>
          <t xml:space="preserve">Same in $/kg</t>
        </is>
      </c>
      <c r="E4" s="5" t="inlineStr">
        <is>
          <t xml:space="preserve">World price $/qq</t>
        </is>
      </c>
      <c r="F4" s="5" t="inlineStr">
        <is>
          <t xml:space="preserve">Honduran export price $/qq</t>
        </is>
      </c>
      <c r="G4" s="5" t="inlineStr">
        <is>
          <t xml:space="preserve">Export price − cost</t>
        </is>
      </c>
      <c r="H4" s="5" t="inlineStr">
        <is>
          <t xml:space="preserve">Status</t>
        </is>
      </c>
      <c r="I4" s="5" t="inlineStr">
        <is>
          <t xml:space="preserve">Source</t>
        </is>
      </c>
      <c r="J4" s="5" t="inlineStr">
        <is>
          <t xml:space="preserve">Quote / extract</t>
        </is>
      </c>
    </row>
    <row r="5">
      <c r="A5" s="3">
        <v>2012</v>
      </c>
      <c r="B5" s="12" t="inlineStr">
        <is>
          <t xml:space="preserve">price IHCAFE calls "favourable" (a threshold, not a cost)</t>
        </is>
      </c>
      <c r="C5" s="10">
        <v>150</v>
      </c>
      <c r="D5" s="13">
        <f>C5/46</f>
        <v>3.260869565217391</v>
      </c>
      <c r="E5" s="7">
        <f>INDEX(Price_annual!D5:D26,MATCH(A5,Price_annual!A5:A26,0))</f>
        <v>189.13666666666668</v>
      </c>
      <c r="F5" s="8">
        <v>197</v>
      </c>
      <c r="G5" s="7">
        <f>F5-C5</f>
        <v>47</v>
      </c>
      <c r="H5" s="14" t="inlineStr">
        <is>
          <t xml:space="preserve">✔ USDA report (read)</t>
        </is>
      </c>
      <c r="I5" s="12" t="inlineStr">
        <is>
          <t xml:space="preserve">GAIN 2012</t>
        </is>
      </c>
      <c r="J5" s="12" t="inlineStr">
        <is>
          <t xml:space="preserve">there is still an incentive to the producer since a price over US$150 per quintal (hundred pounds) is favorable</t>
        </is>
      </c>
    </row>
    <row r="6">
      <c r="A6" s="3">
        <v>2018</v>
      </c>
      <c r="B6" s="12" t="inlineStr">
        <is>
          <t xml:space="preserve">total cost, conventional coffee (PROMECAFE 2018 study: 3.49 $/kg)</t>
        </is>
      </c>
      <c r="C6" s="10">
        <v>160.5</v>
      </c>
      <c r="D6" s="13">
        <f>C6/46</f>
        <v>3.489130434782609</v>
      </c>
      <c r="E6" s="7">
        <f>INDEX(Price_annual!D5:D26,MATCH(A6,Price_annual!A5:A26,0))</f>
        <v>134.55</v>
      </c>
      <c r="H6" s="4" t="inlineStr">
        <is>
          <t xml:space="preserve">⚠ web extract, NOT verified</t>
        </is>
      </c>
      <c r="I6" s="12" t="inlineStr">
        <is>
          <t xml:space="preserve">PROMECAFE 2018 as cited in Carpio et al., HortTechnology 33(1), 2023 (search snippet)</t>
        </is>
      </c>
      <c r="J6" s="12" t="inlineStr">
        <is>
          <t xml:space="preserve">A 2018 study by PROMECAFE estimated that the total cost of producing 1 kg of conventional coffee in Honduras is $3.49</t>
        </is>
      </c>
    </row>
    <row r="7">
      <c r="A7" s="3">
        <v>2019</v>
      </c>
      <c r="B7" s="12" t="inlineStr">
        <is>
          <t xml:space="preserve">cost implied: producers "20 dollars below" cost at a 100–107 $/qq price (range 120-127; upper bound used)</t>
        </is>
      </c>
      <c r="C7" s="10">
        <v>127</v>
      </c>
      <c r="D7" s="13">
        <f>C7/46</f>
        <v>2.760869565217391</v>
      </c>
      <c r="E7" s="7">
        <f>INDEX(Price_annual!D5:D26,MATCH(A7,Price_annual!A5:A26,0))</f>
        <v>132.48000000000002</v>
      </c>
      <c r="F7" s="8">
        <v>106.89</v>
      </c>
      <c r="G7" s="7">
        <f>F7-C7</f>
        <v>-20.11</v>
      </c>
      <c r="H7" s="4" t="inlineStr">
        <is>
          <t xml:space="preserve">⚠ web extract, NOT verified</t>
        </is>
      </c>
      <c r="I7" s="12" t="inlineStr">
        <is>
          <t xml:space="preserve">La Prensa 2019, "Precios de café no cubren costo de producción"; hondurasensusmanos.info, 2 Oct 2019 (search snippets)</t>
        </is>
      </c>
      <c r="J7" s="12" t="inlineStr">
        <is>
          <t xml:space="preserve">the 2018-2019 season closed at 107 dollars average per quintal oro ... producers were 20 dollars below the production cost of a quintal</t>
        </is>
      </c>
    </row>
    <row r="8">
      <c r="A8" s="3">
        <v>2019</v>
      </c>
      <c r="B8" s="12" t="inlineStr">
        <is>
          <t xml:space="preserve">minimum price growers said they needed</t>
        </is>
      </c>
      <c r="C8" s="10">
        <v>135</v>
      </c>
      <c r="D8" s="13">
        <f>C8/46</f>
        <v>2.9347826086956523</v>
      </c>
      <c r="E8" s="7">
        <f>INDEX(Price_annual!D5:D26,MATCH(A8,Price_annual!A5:A26,0))</f>
        <v>132.48000000000002</v>
      </c>
      <c r="F8" s="8">
        <v>106.89</v>
      </c>
      <c r="G8" s="7">
        <f>F8-C8</f>
        <v>-28.11</v>
      </c>
      <c r="H8" s="4" t="inlineStr">
        <is>
          <t xml:space="preserve">⚠ web extract, NOT verified</t>
        </is>
      </c>
      <c r="I8" s="12" t="inlineStr">
        <is>
          <t xml:space="preserve">La Prensa 2019 (search snippet)</t>
        </is>
      </c>
      <c r="J8" s="12" t="inlineStr">
        <is>
          <t xml:space="preserve">growers needed an international price of at least US$135/qq</t>
        </is>
      </c>
    </row>
    <row r="9">
      <c r="A9" s="3" t="inlineStr">
        <is>
          <t xml:space="preserve">n.d.</t>
        </is>
      </c>
      <c r="B9" s="12" t="inlineStr">
        <is>
          <t xml:space="preserve">average cost; margin only at 130–140 $/qq (year not given)</t>
        </is>
      </c>
      <c r="C9" s="10">
        <v>117</v>
      </c>
      <c r="D9" s="13">
        <f>C9/46</f>
        <v>2.5434782608695654</v>
      </c>
      <c r="H9" s="4" t="inlineStr">
        <is>
          <t xml:space="preserve">⚠ web extract, NOT verified</t>
        </is>
      </c>
      <c r="I9" s="12" t="inlineStr">
        <is>
          <t xml:space="preserve">El Heraldo (search snippet, undated)</t>
        </is>
      </c>
      <c r="J9" s="12" t="inlineStr">
        <is>
          <t xml:space="preserve">a coffee producer invests the equivalent of 117 dollars to produce a single quintal of coffee, and to obtain a profit margin requires market prices between 130 and 140 dollars per quintal</t>
        </is>
      </c>
    </row>
    <row r="10">
      <c r="A10" s="3">
        <v>2023</v>
      </c>
      <c r="B10" s="12" t="inlineStr">
        <is>
          <t xml:space="preserve">production cost</t>
        </is>
      </c>
      <c r="C10" s="10">
        <v>130</v>
      </c>
      <c r="D10" s="13">
        <f>C10/46</f>
        <v>2.8260869565217392</v>
      </c>
      <c r="E10" s="7">
        <f>INDEX(Price_annual!D5:D26,MATCH(A10,Price_annual!A5:A26,0))</f>
        <v>208.8783333333333</v>
      </c>
      <c r="H10" s="4" t="inlineStr">
        <is>
          <t xml:space="preserve">⚠ web extract, NOT verified</t>
        </is>
      </c>
      <c r="I10" s="12" t="inlineStr">
        <is>
          <t xml:space="preserve">La Prensa, Jan 2023 (search snippet)</t>
        </is>
      </c>
      <c r="J10" s="12" t="inlineStr">
        <is>
          <t xml:space="preserve">production cost about US$130 per quintal</t>
        </is>
      </c>
    </row>
    <row r="12">
      <c r="A12" s="3" t="inlineStr">
        <is>
          <t xml:space="preserve">Honduran average export price (USDA)</t>
        </is>
      </c>
    </row>
    <row r="13">
      <c r="A13" s="5" t="inlineStr">
        <is>
          <t xml:space="preserve">Crop year</t>
        </is>
      </c>
      <c r="B13" s="5" t="inlineStr">
        <is>
          <t xml:space="preserve">US$ per 46-kg bag</t>
        </is>
      </c>
      <c r="C13" s="5" t="inlineStr">
        <is>
          <t xml:space="preserve">$/kg</t>
        </is>
      </c>
      <c r="D13" s="5" t="inlineStr">
        <is>
          <t xml:space="preserve">Source</t>
        </is>
      </c>
      <c r="E13" s="5" t="inlineStr">
        <is>
          <t xml:space="preserve">Quote</t>
        </is>
      </c>
      <c r="F13" s="5" t="inlineStr">
        <is>
          <t xml:space="preserve">Note</t>
        </is>
      </c>
    </row>
    <row r="14">
      <c r="A14" s="3" t="inlineStr">
        <is>
          <t xml:space="preserve">2010/11</t>
        </is>
      </c>
      <c r="B14" s="8">
        <v>248</v>
      </c>
      <c r="C14" s="13">
        <f>B14/46</f>
        <v>5.391304347826087</v>
      </c>
      <c r="D14" s="12" t="inlineStr">
        <is>
          <t xml:space="preserve">GAIN 2012 (Coffee Annual_Tegucigalpa_Honduras_5-9-2012)</t>
        </is>
      </c>
      <c r="E14" s="12" t="inlineStr">
        <is>
          <t xml:space="preserve">The average export price in the 2010/2011 harvest was US$248 per 46 kg bag</t>
        </is>
      </c>
      <c r="F14" s="12" t="inlineStr">
        <is>
          <t xml:space="preserve"/>
        </is>
      </c>
    </row>
    <row r="15">
      <c r="A15" s="3" t="inlineStr">
        <is>
          <t xml:space="preserve">2011/12</t>
        </is>
      </c>
      <c r="B15" s="8">
        <v>197</v>
      </c>
      <c r="C15" s="13">
        <f>B15/46</f>
        <v>4.282608695652174</v>
      </c>
      <c r="D15" s="12" t="inlineStr">
        <is>
          <t xml:space="preserve">GAIN 2013 (Coffee Annual_Tegucigalpa_Honduras_6-20-2013)</t>
        </is>
      </c>
      <c r="E15" s="12" t="inlineStr">
        <is>
          <t xml:space="preserve">The average export price in the 2011/2012 harvest was US $197 per 46-kg bag</t>
        </is>
      </c>
      <c r="F15" s="12" t="inlineStr">
        <is>
          <t xml:space="preserve"/>
        </is>
      </c>
    </row>
    <row r="16">
      <c r="A16" s="3" t="inlineStr">
        <is>
          <t xml:space="preserve">2012/13</t>
        </is>
      </c>
      <c r="B16" s="8">
        <v>140</v>
      </c>
      <c r="C16" s="13">
        <f>B16/46</f>
        <v>3.0434782608695654</v>
      </c>
      <c r="D16" s="12" t="inlineStr">
        <is>
          <t xml:space="preserve">GAIN 2014 (Coffee Annual_Tegucigalpa_Honduras_5-28-2014)</t>
        </is>
      </c>
      <c r="E16" s="12" t="inlineStr">
        <is>
          <t xml:space="preserve">The average export price for MY 2012/2013 harvest was US $140 per 46-kg bag compared to the average price of US $201 in MY 2011/2012</t>
        </is>
      </c>
      <c r="F16" s="12" t="inlineStr">
        <is>
          <t xml:space="preserve"/>
        </is>
      </c>
    </row>
    <row r="17">
      <c r="A17" s="3" t="inlineStr">
        <is>
          <t xml:space="preserve">2018/19</t>
        </is>
      </c>
      <c r="B17" s="8">
        <v>106.89</v>
      </c>
      <c r="C17" s="13">
        <f>B17/46</f>
        <v>2.323695652173913</v>
      </c>
      <c r="D17" s="12" t="inlineStr">
        <is>
          <t xml:space="preserve">GAIN 2020 (Coffee Annual_Tegucigalpa_Honduras_05-15-2020)</t>
        </is>
      </c>
      <c r="E17" s="12" t="inlineStr">
        <is>
          <t xml:space="preserve">During MY 2018/19, Honduras exported to 60 countries at an average price of $106.89 per bag</t>
        </is>
      </c>
      <c r="F17" s="12" t="inlineStr">
        <is>
          <t xml:space="preserve">bag size not stated; 106.89 $/46 kg = 2.32 $/kg matches the ~107 $/qq press figure, so read as per quintal</t>
        </is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>
  <sheetFormatPr defaultRowHeight="13.2"/>
  <cols>
    <col min="1" max="1" width="30" customWidth="1"/>
    <col min="2" max="2" width="30" customWidth="1"/>
    <col min="3" max="3" width="11" customWidth="1"/>
    <col min="4" max="4" width="24" customWidth="1"/>
    <col min="5" max="5" width="55" customWidth="1"/>
    <col min="6" max="6" width="10" customWidth="1"/>
    <col min="7" max="7" width="55" customWidth="1"/>
    <col min="8" max="8" width="55" customWidth="1"/>
  </cols>
  <sheetData>
    <row r="1">
      <c r="A1" s="1" t="inlineStr">
        <is>
          <t xml:space="preserve">Rust-resistant varieties released by IHCAFE</t>
        </is>
      </c>
    </row>
    <row r="2">
      <c r="A2" s="2" t="inlineStr">
        <is>
          <t xml:space="preserve">Resistance status is read in USDA reports; release years are web extracts (the IHCAFE and World Coffee Research pages could not be opened).</t>
        </is>
      </c>
    </row>
    <row r="4">
      <c r="A4" s="5" t="inlineStr">
        <is>
          <t xml:space="preserve">Variety</t>
        </is>
      </c>
      <c r="B4" s="5" t="inlineStr">
        <is>
          <t xml:space="preserve">Family</t>
        </is>
      </c>
      <c r="C4" s="5" t="inlineStr">
        <is>
          <t xml:space="preserve">Released</t>
        </is>
      </c>
      <c r="D4" s="5" t="inlineStr">
        <is>
          <t xml:space="preserve">Release year status</t>
        </is>
      </c>
      <c r="E4" s="5" t="inlineStr">
        <is>
          <t xml:space="preserve">Resistance status</t>
        </is>
      </c>
      <c r="F4" s="5" t="inlineStr">
        <is>
          <t xml:space="preserve">Year resistance lost</t>
        </is>
      </c>
      <c r="G4" s="5" t="inlineStr">
        <is>
          <t xml:space="preserve">Source</t>
        </is>
      </c>
      <c r="H4" s="5" t="inlineStr">
        <is>
          <t xml:space="preserve">Note</t>
        </is>
      </c>
    </row>
    <row r="5">
      <c r="A5" s="3" t="inlineStr">
        <is>
          <t xml:space="preserve">IHCAFE 90</t>
        </is>
      </c>
      <c r="B5" s="12" t="inlineStr">
        <is>
          <t xml:space="preserve">Catimor (Caturra × Timor Hybrid)</t>
        </is>
      </c>
      <c r="C5" s="12" t="inlineStr">
        <is>
          <t xml:space="preserve">1990s</t>
        </is>
      </c>
      <c r="D5" s="12" t="inlineStr">
        <is>
          <t xml:space="preserve">⚠ web extract, NOT verified</t>
        </is>
      </c>
      <c r="E5" s="12" t="inlineStr">
        <is>
          <t xml:space="preserve">Still resistant in April 2018 (IHCAFE, 4 new rust strains found); not listed as resistant in USDA 2020 (16 new strains, April 2019)</t>
        </is>
      </c>
      <c r="F5" s="12" t="inlineStr">
        <is>
          <t xml:space="preserve"/>
        </is>
      </c>
      <c r="G5" s="12" t="inlineStr">
        <is>
          <t xml:space="preserve">GAIN 2013 ("The varieties developed were the IHCAFE 90 and Lempira"); GAIN 2018; GAIN 2020</t>
        </is>
      </c>
      <c r="H5" s="12" t="inlineStr">
        <is>
          <t xml:space="preserve">Release year not in a document we could open; the name points to 1990.</t>
        </is>
      </c>
    </row>
    <row r="6">
      <c r="A6" s="3" t="inlineStr">
        <is>
          <t xml:space="preserve">Lempira</t>
        </is>
      </c>
      <c r="B6" s="12" t="inlineStr">
        <is>
          <t xml:space="preserve">Catimor (Timor Hybrid 832/1 × Caturra)</t>
        </is>
      </c>
      <c r="C6" s="12" t="inlineStr">
        <is>
          <t xml:space="preserve">1997–98</t>
        </is>
      </c>
      <c r="D6" s="12" t="inlineStr">
        <is>
          <t xml:space="preserve">⚠ web extract, NOT verified</t>
        </is>
      </c>
      <c r="E6" s="12" t="inlineStr">
        <is>
          <t xml:space="preserve">Resistance loss confirmed by IHCAFE in April 2017; rust on 3 % of Lempira plants</t>
        </is>
      </c>
      <c r="F6" s="12">
        <v>2017</v>
      </c>
      <c r="G6" s="12" t="inlineStr">
        <is>
          <t xml:space="preserve">GAIN 2017 ("In April 2017, IHCAFE confirmed the loss of resistance of the Lempira variety"; "rust was present on three percent of Lempira variety plants")</t>
        </is>
      </c>
      <c r="H6" s="12" t="inlineStr">
        <is>
          <t xml:space="preserve">Release 1997/98 and the 56 % share of sampled farms (IHCAFE bulletin No 8, Oct 2017) are search snippets only.</t>
        </is>
      </c>
    </row>
    <row r="7">
      <c r="A7" s="3" t="inlineStr">
        <is>
          <t xml:space="preserve">Parainema</t>
        </is>
      </c>
      <c r="B7" s="12" t="inlineStr">
        <is>
          <t xml:space="preserve">Sarchimor T-5296 (Villa Sarchí × Timor Hybrid)</t>
        </is>
      </c>
      <c r="C7" s="12" t="inlineStr">
        <is>
          <t xml:space="preserve">2004</t>
        </is>
      </c>
      <c r="D7" s="12" t="inlineStr">
        <is>
          <t xml:space="preserve">⚠ web extract, NOT verified</t>
        </is>
      </c>
      <c r="E7" s="12" t="inlineStr">
        <is>
          <t xml:space="preserve">Still resistant per IHCAFE (USDA 2018, 2020, 2021); USDA 2025–26: area growth "driven by the introduction of the Parainema variety"</t>
        </is>
      </c>
      <c r="F7" s="12" t="inlineStr">
        <is>
          <t xml:space="preserve"/>
        </is>
      </c>
      <c r="G7" s="12" t="inlineStr">
        <is>
          <t xml:space="preserve">GAIN 2014 (third IHCAFE variety listed); GAIN 2018; GAIN 2020; GAIN 2025</t>
        </is>
      </c>
      <c r="H7" s="12" t="inlineStr">
        <is>
          <t xml:space="preserve">Release year 2004 is a search snippet.</t>
        </is>
      </c>
    </row>
    <row r="8">
      <c r="A8" s="3" t="inlineStr">
        <is>
          <t xml:space="preserve">Ihcatú 75, Anacafé 14 SHN, Obatá SHN</t>
        </is>
      </c>
      <c r="B8" s="12" t="inlineStr">
        <is>
          <t xml:space="preserve">3 varieties presented by IHCAFE</t>
        </is>
      </c>
      <c r="C8" s="12" t="inlineStr">
        <is>
          <t xml:space="preserve">Feb 2024</t>
        </is>
      </c>
      <c r="D8" s="12" t="inlineStr">
        <is>
          <t xml:space="preserve">⚠ web extract, NOT verified</t>
        </is>
      </c>
      <c r="E8" s="12" t="inlineStr">
        <is>
          <t xml:space="preserve">Presented as rust resistant, productive; seed for at least 1 500 manzanas in 2024</t>
        </is>
      </c>
      <c r="F8" s="12" t="inlineStr">
        <is>
          <t xml:space="preserve"/>
        </is>
      </c>
      <c r="G8" s="12" t="inlineStr">
        <is>
          <t xml:space="preserve">El Heraldo, "Honduras dispone de tres nuevas variedades de café" (2024)</t>
        </is>
      </c>
      <c r="H8" s="12" t="inlineStr">
        <is>
          <t xml:space="preserve">Search snippet only; first releases about 20 years after Parainema.</t>
        </is>
      </c>
    </row>
    <row r="9">
      <c r="A9" s="3" t="inlineStr">
        <is>
          <t xml:space="preserve">4 more in the pipeline</t>
        </is>
      </c>
      <c r="B9" s="12" t="inlineStr">
        <is>
          <t xml:space="preserve">IHCAFE research centres</t>
        </is>
      </c>
      <c r="C9" s="12" t="inlineStr">
        <is>
          <t xml:space="preserve">announced</t>
        </is>
      </c>
      <c r="D9" s="12" t="inlineStr">
        <is>
          <t xml:space="preserve">⚠ web extract, NOT verified</t>
        </is>
      </c>
      <c r="E9" s="12" t="inlineStr">
        <is>
          <t xml:space="preserve">"at least 4 more rust-resistant varieties" being prepared</t>
        </is>
      </c>
      <c r="F9" s="12" t="inlineStr">
        <is>
          <t xml:space="preserve"/>
        </is>
      </c>
      <c r="G9" s="12" t="inlineStr">
        <is>
          <t xml:space="preserve">La Prensa, "Ihcafé se prepara para liberar 4 variedades más resistentes a roya"</t>
        </is>
      </c>
      <c r="H9" s="12" t="inlineStr">
        <is>
          <t xml:space="preserve">Search snippet only.</t>
        </is>
      </c>
    </row>
    <row r="11">
      <c r="A11" s="3" t="inlineStr">
        <is>
          <t xml:space="preserve">Count</t>
        </is>
      </c>
    </row>
    <row r="12">
      <c r="A12" t="inlineStr">
        <is>
          <t xml:space="preserve">1990-2004: 3 releases (IHCAFE 90, Lempira, Parainema). 2005-2023: none. Feb 2024: 3 (Ihcatú 75, Anacafé 14 SHN, Obatá SHN, ⚠). Announced: 4 more (⚠).</t>
        </is>
      </c>
    </row>
    <row r="13">
      <c r="A13" t="inlineStr">
        <is>
          <t xml:space="preserve">Yield by variety: no official figure found. Web extract: Obatá about 20 % more productive than Caturra (⚠). PAPP target 5 → 45 qq per manzana (USDA 2017).</t>
        </is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>
  <sheetFormatPr defaultRowHeight="13.2"/>
  <cols>
    <col min="1" max="1" width="10" customWidth="1"/>
    <col min="2" max="2" width="40" customWidth="1"/>
    <col min="3" max="3" width="12" customWidth="1"/>
    <col min="4" max="4" width="12" customWidth="1"/>
    <col min="5" max="5" width="24" customWidth="1"/>
    <col min="6" max="6" width="36" customWidth="1"/>
    <col min="7" max="7" width="90" customWidth="1"/>
  </cols>
  <sheetData>
    <row r="1">
      <c r="A1" s="1" t="inlineStr">
        <is>
          <t xml:space="preserve">Share planted with rust-resistant varieties</t>
        </is>
      </c>
    </row>
    <row r="3">
      <c r="A3" s="5" t="inlineStr">
        <is>
          <t xml:space="preserve">When</t>
        </is>
      </c>
      <c r="B3" s="5" t="inlineStr">
        <is>
          <t xml:space="preserve">Scope</t>
        </is>
      </c>
      <c r="C3" s="5" t="inlineStr">
        <is>
          <t xml:space="preserve">Resistant share %</t>
        </is>
      </c>
      <c r="D3" s="5" t="inlineStr">
        <is>
          <t xml:space="preserve">Lempira share %</t>
        </is>
      </c>
      <c r="E3" s="5" t="inlineStr">
        <is>
          <t xml:space="preserve">Status</t>
        </is>
      </c>
      <c r="F3" s="5" t="inlineStr">
        <is>
          <t xml:space="preserve">Source</t>
        </is>
      </c>
      <c r="G3" s="5" t="inlineStr">
        <is>
          <t xml:space="preserve">Quote / extract</t>
        </is>
      </c>
    </row>
    <row r="4">
      <c r="A4" s="3" t="inlineStr">
        <is>
          <t xml:space="preserve">Jun 2013</t>
        </is>
      </c>
      <c r="B4" s="12" t="inlineStr">
        <is>
          <t xml:space="preserve">national, % of coffee AREA</t>
        </is>
      </c>
      <c r="C4" s="9">
        <v>50</v>
      </c>
      <c r="E4" s="14" t="inlineStr">
        <is>
          <t xml:space="preserve">✔ USDA report (read)</t>
        </is>
      </c>
      <c r="F4" s="12" t="inlineStr">
        <is>
          <t xml:space="preserve">GAIN 2013</t>
        </is>
      </c>
      <c r="G4" s="12" t="inlineStr">
        <is>
          <t xml:space="preserve">IHCAFE reports that 50 percent of the total area of coffee production is planted with rust susceptible varieties.</t>
        </is>
      </c>
    </row>
    <row r="5">
      <c r="A5" s="3" t="inlineStr">
        <is>
          <t xml:space="preserve">2013</t>
        </is>
      </c>
      <c r="B5" s="12" t="inlineStr">
        <is>
          <t xml:space="preserve">national, manzanas</t>
        </is>
      </c>
      <c r="C5" s="9">
        <v>50</v>
      </c>
      <c r="E5" s="4" t="inlineStr">
        <is>
          <t xml:space="preserve">⚠ web extract, NOT verified</t>
        </is>
      </c>
      <c r="F5" s="12" t="inlineStr">
        <is>
          <t xml:space="preserve">El Heraldo 2013 (search snippet)</t>
        </is>
      </c>
      <c r="G5" s="12" t="inlineStr">
        <is>
          <t xml:space="preserve">of 400,000 manzanas cultivated, 200,000 resistant; the rest Catuaí, Caturra, Bourbon, Pacas</t>
        </is>
      </c>
    </row>
    <row r="6">
      <c r="A6" s="3" t="inlineStr">
        <is>
          <t xml:space="preserve">Apr 2014</t>
        </is>
      </c>
      <c r="B6" s="12" t="inlineStr">
        <is>
          <t xml:space="preserve">national, % of PRODUCERS</t>
        </is>
      </c>
      <c r="C6" s="9">
        <v>60</v>
      </c>
      <c r="E6" s="14" t="inlineStr">
        <is>
          <t xml:space="preserve">✔ USDA report (read)</t>
        </is>
      </c>
      <c r="F6" s="12" t="inlineStr">
        <is>
          <t xml:space="preserve">GAIN 2014</t>
        </is>
      </c>
      <c r="G6" s="12" t="inlineStr">
        <is>
          <t xml:space="preserve">the number of coffee producers, growing coffee rust resistant varieties, is moving up to 60 percent and 40 percent of them are still using non-resistant types.</t>
        </is>
      </c>
    </row>
    <row r="7">
      <c r="A7" s="3" t="inlineStr">
        <is>
          <t xml:space="preserve">2014</t>
        </is>
      </c>
      <c r="B7" s="12" t="inlineStr">
        <is>
          <t xml:space="preserve">5 departments (60 % of area), % of FARMS</t>
        </is>
      </c>
      <c r="C7" s="9">
        <v>62</v>
      </c>
      <c r="E7" s="14" t="inlineStr">
        <is>
          <t xml:space="preserve">✔ USDA report (read)</t>
        </is>
      </c>
      <c r="F7" s="12" t="inlineStr">
        <is>
          <t xml:space="preserve">GAIN 2014 (USDA/TechnoServe baseline)</t>
        </is>
      </c>
      <c r="G7" s="12" t="inlineStr">
        <is>
          <t xml:space="preserve">62 percent of the coffee farms had resistant varieties to coffee leaf rust and 38 percent had varieties susceptible</t>
        </is>
      </c>
    </row>
    <row r="8">
      <c r="A8" s="3" t="inlineStr">
        <is>
          <t xml:space="preserve">Oct 2017</t>
        </is>
      </c>
      <c r="B8" s="12" t="inlineStr">
        <is>
          <t xml:space="preserve">farms sampled by the rust early-warning system</t>
        </is>
      </c>
      <c r="D8" s="8">
        <v>56.08</v>
      </c>
      <c r="E8" s="4" t="inlineStr">
        <is>
          <t xml:space="preserve">⚠ web extract, NOT verified</t>
        </is>
      </c>
      <c r="F8" s="12" t="inlineStr">
        <is>
          <t xml:space="preserve">IHCAFE SAT bulletin No 8 (search snippet)</t>
        </is>
      </c>
      <c r="G8" s="12" t="inlineStr">
        <is>
          <t xml:space="preserve">Lempira = 56.08 % of sampled farms, 67.74 % of farms classed as susceptible</t>
        </is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>
  <sheetFormatPr defaultRowHeight="13.2"/>
  <cols>
    <col min="1" max="1" width="10" customWidth="1"/>
    <col min="2" max="2" width="8" customWidth="1"/>
    <col min="3" max="3" width="45" customWidth="1"/>
    <col min="4" max="4" width="22" customWidth="1"/>
    <col min="5" max="5" width="45" customWidth="1"/>
    <col min="6" max="6" width="90" customWidth="1"/>
  </cols>
  <sheetData>
    <row r="1">
      <c r="A1" s="1" t="inlineStr">
        <is>
          <t xml:space="preserve">Coffee leaf rust in Honduras: surveys and events (IHCAFE, as printed by USDA)</t>
        </is>
      </c>
    </row>
    <row r="2">
      <c r="A2" s="2" t="inlineStr">
        <is>
          <t xml:space="preserve">IHCAFE rule of thumb: rust damage of 15 % means about 20 % less production (GAIN 2017: "if the damage from rust reaches 15 percent, there could be a 20 percent reduction in production").</t>
        </is>
      </c>
    </row>
    <row r="4">
      <c r="A4" s="5" t="inlineStr">
        <is>
          <t xml:space="preserve">When</t>
        </is>
      </c>
      <c r="B4" s="5" t="inlineStr">
        <is>
          <t xml:space="preserve">Value</t>
        </is>
      </c>
      <c r="C4" s="5" t="inlineStr">
        <is>
          <t xml:space="preserve">Unit / what</t>
        </is>
      </c>
      <c r="D4" s="5" t="inlineStr">
        <is>
          <t xml:space="preserve">Status</t>
        </is>
      </c>
      <c r="E4" s="5" t="inlineStr">
        <is>
          <t xml:space="preserve">Source</t>
        </is>
      </c>
      <c r="F4" s="5" t="inlineStr">
        <is>
          <t xml:space="preserve">Quote</t>
        </is>
      </c>
    </row>
    <row r="5">
      <c r="A5" s="3" t="inlineStr">
        <is>
          <t xml:space="preserve">2012/13</t>
        </is>
      </c>
      <c r="B5" s="8">
        <v>25</v>
      </c>
      <c r="C5" s="12" t="inlineStr">
        <is>
          <t xml:space="preserve">% of coffee area affected</t>
        </is>
      </c>
      <c r="D5" s="14" t="inlineStr">
        <is>
          <t xml:space="preserve">✔ USDA report (read)</t>
        </is>
      </c>
      <c r="E5" s="12" t="inlineStr">
        <is>
          <t xml:space="preserve">GAIN 2014 (Coffee Annual_Tegucigalpa_Honduras_5-28-2014)</t>
        </is>
      </c>
      <c r="F5" s="12" t="inlineStr">
        <is>
          <t xml:space="preserve">affected by the coffee leaf rust in about 25 percent of the cultivated coffee acreage (71,000 hectares) in MY 2012/2013</t>
        </is>
      </c>
    </row>
    <row r="6">
      <c r="A6" s="3" t="inlineStr">
        <is>
          <t xml:space="preserve">2012/13</t>
        </is>
      </c>
      <c r="C6" s="12" t="inlineStr">
        <is>
          <t xml:space="preserve">damage</t>
        </is>
      </c>
      <c r="D6" s="14" t="inlineStr">
        <is>
          <t xml:space="preserve">✔ USDA report (read)</t>
        </is>
      </c>
      <c r="E6" s="12" t="inlineStr">
        <is>
          <t xml:space="preserve">GAIN 2015 (Coffee Annual_Tegucigalpa_Honduras_4-20-2015)</t>
        </is>
      </c>
      <c r="F6" s="12" t="inlineStr">
        <is>
          <t xml:space="preserve">About 22,000 hectares (10,000 families) had a total loss of their farms; 58,000 ha. (20,000 families) saw a decrease of their coffee production by 50 percent.</t>
        </is>
      </c>
    </row>
    <row r="7">
      <c r="A7" s="3" t="inlineStr">
        <is>
          <t xml:space="preserve">Apr 2014</t>
        </is>
      </c>
      <c r="B7" s="8">
        <v>12</v>
      </c>
      <c r="C7" s="12" t="inlineStr">
        <is>
          <t xml:space="preserve">national average incidence, %</t>
        </is>
      </c>
      <c r="D7" s="14" t="inlineStr">
        <is>
          <t xml:space="preserve">✔ USDA report (read)</t>
        </is>
      </c>
      <c r="E7" s="12" t="inlineStr">
        <is>
          <t xml:space="preserve">GAIN 2014 (Coffee Annual_Tegucigalpa_Honduras_5-28-2014)</t>
        </is>
      </c>
      <c r="F7" s="12" t="inlineStr">
        <is>
          <t xml:space="preserve">a low national average incidence of coffee rust with 12 percent and an average of severely affected coffee farms of one percent</t>
        </is>
      </c>
    </row>
    <row r="8">
      <c r="A8" s="3" t="inlineStr">
        <is>
          <t xml:space="preserve">Apr 2017</t>
        </is>
      </c>
      <c r="B8" s="8">
        <v>3</v>
      </c>
      <c r="C8" s="12" t="inlineStr">
        <is>
          <t xml:space="preserve">% of Lempira plants with rust</t>
        </is>
      </c>
      <c r="D8" s="14" t="inlineStr">
        <is>
          <t xml:space="preserve">✔ USDA report (read)</t>
        </is>
      </c>
      <c r="E8" s="12" t="inlineStr">
        <is>
          <t xml:space="preserve">GAIN 2017 (Coffee Annual_Tegucigalpa_Honduras_5-24-2017)</t>
        </is>
      </c>
      <c r="F8" s="12" t="inlineStr">
        <is>
          <t xml:space="preserve">As of April 2017, rust was present on three percent of Lempira variety plants.</t>
        </is>
      </c>
    </row>
    <row r="9">
      <c r="A9" s="3" t="inlineStr">
        <is>
          <t xml:space="preserve">Apr 2018</t>
        </is>
      </c>
      <c r="B9" s="8">
        <v>4</v>
      </c>
      <c r="C9" s="12" t="inlineStr">
        <is>
          <t xml:space="preserve">new strains</t>
        </is>
      </c>
      <c r="D9" s="14" t="inlineStr">
        <is>
          <t xml:space="preserve">✔ USDA report (read)</t>
        </is>
      </c>
      <c r="E9" s="12" t="inlineStr">
        <is>
          <t xml:space="preserve">GAIN 2018 (Coffee Annual_Tegucigalpa_Honduras_5-22-2018)</t>
        </is>
      </c>
      <c r="F9" s="12" t="inlineStr">
        <is>
          <t xml:space="preserve">in April 2018, studies done by IHCAFE identified four new coffee rust strains</t>
        </is>
      </c>
    </row>
    <row r="10">
      <c r="A10" s="3" t="inlineStr">
        <is>
          <t xml:space="preserve">Apr 2019</t>
        </is>
      </c>
      <c r="B10" s="8">
        <v>16</v>
      </c>
      <c r="C10" s="12" t="inlineStr">
        <is>
          <t xml:space="preserve">new strains</t>
        </is>
      </c>
      <c r="D10" s="14" t="inlineStr">
        <is>
          <t xml:space="preserve">✔ USDA report (read)</t>
        </is>
      </c>
      <c r="E10" s="12" t="inlineStr">
        <is>
          <t xml:space="preserve">GAIN 2020 (Coffee Annual_Tegucigalpa_Honduras_05-15-2020)</t>
        </is>
      </c>
      <c r="F10" s="12" t="inlineStr">
        <is>
          <t xml:space="preserve">In April 2019, studies done by IHCAFE identified 16 new coffee rust strains.</t>
        </is>
      </c>
    </row>
    <row r="11">
      <c r="A11" s="3" t="inlineStr">
        <is>
          <t xml:space="preserve">end 2020</t>
        </is>
      </c>
      <c r="B11" s="8">
        <v>20</v>
      </c>
      <c r="C11" s="12" t="inlineStr">
        <is>
          <t xml:space="preserve">incidence in 5 departments after hurricanes Eta and Iota, % (range 15-25 %)</t>
        </is>
      </c>
      <c r="D11" s="14" t="inlineStr">
        <is>
          <t xml:space="preserve">✔ USDA report (read)</t>
        </is>
      </c>
      <c r="E11" s="12" t="inlineStr">
        <is>
          <t xml:space="preserve">GAIN 2021 (Coffee Annual_Tegucigalpa_Honduras_05-15-2021)</t>
        </is>
      </c>
      <c r="F11" s="12" t="inlineStr">
        <is>
          <t xml:space="preserve">favored a 15 - 25% incidence of leaf rust in five departments of Honduras by the end of 2020</t>
        </is>
      </c>
    </row>
    <row r="12">
      <c r="A12" s="3" t="inlineStr">
        <is>
          <t xml:space="preserve">Apr 2022</t>
        </is>
      </c>
      <c r="B12" s="8">
        <v>5.42</v>
      </c>
      <c r="C12" s="12" t="inlineStr">
        <is>
          <t xml:space="preserve">national average incidence, %</t>
        </is>
      </c>
      <c r="D12" s="14" t="inlineStr">
        <is>
          <t xml:space="preserve">✔ USDA report (read)</t>
        </is>
      </c>
      <c r="E12" s="12" t="inlineStr">
        <is>
          <t xml:space="preserve">GAIN 2022 (Coffee Annual_Tegucigalpa_Honduras_HO2022-0005)</t>
        </is>
      </c>
      <c r="F12" s="12" t="inlineStr">
        <is>
          <t xml:space="preserve">an average coffee rust incidence of 5.42% ... 66% of them showed a low-level presence of coffee rust, 29% a medium presence and 5% with a high presence</t>
        </is>
      </c>
    </row>
    <row r="13">
      <c r="A13" s="3" t="inlineStr">
        <is>
          <t xml:space="preserve">May 2023</t>
        </is>
      </c>
      <c r="B13" s="8">
        <v>5.8</v>
      </c>
      <c r="C13" s="12" t="inlineStr">
        <is>
          <t xml:space="preserve">national average incidence, %</t>
        </is>
      </c>
      <c r="D13" s="14" t="inlineStr">
        <is>
          <t xml:space="preserve">✔ USDA report (read)</t>
        </is>
      </c>
      <c r="E13" s="12" t="inlineStr">
        <is>
          <t xml:space="preserve">GAIN 2023 (Coffee Annual_Tegucigalpa_Honduras_HO2023-0003)</t>
        </is>
      </c>
      <c r="F13" s="12" t="inlineStr">
        <is>
          <t xml:space="preserve">an average coffee rust incidence of 5.8%</t>
        </is>
      </c>
    </row>
    <row r="14">
      <c r="A14" s="3" t="inlineStr">
        <is>
          <t xml:space="preserve">2024/25</t>
        </is>
      </c>
      <c r="B14" s="8">
        <v>2.9</v>
      </c>
      <c r="C14" s="12" t="inlineStr">
        <is>
          <t xml:space="preserve">national average incidence (forecast Jul 2024–Aug 2025), %</t>
        </is>
      </c>
      <c r="D14" s="14" t="inlineStr">
        <is>
          <t xml:space="preserve">✔ USDA report (read)</t>
        </is>
      </c>
      <c r="E14" s="12" t="inlineStr">
        <is>
          <t xml:space="preserve">GAIN 2025 (Coffee Annual_Tegucigalpa_Honduras_HO2025-0002)</t>
        </is>
      </c>
      <c r="F14" s="12" t="inlineStr">
        <is>
          <t xml:space="preserve">national incidence levels forecast to remain low through August 2025, averaging 2.9 percent</t>
        </is>
      </c>
    </row>
    <row r="15">
      <c r="A15" s="3" t="inlineStr">
        <is>
          <t xml:space="preserve">Mar 2026</t>
        </is>
      </c>
      <c r="B15" s="8">
        <v>8.44</v>
      </c>
      <c r="C15" s="12" t="inlineStr">
        <is>
          <t xml:space="preserve">national average incidence, %</t>
        </is>
      </c>
      <c r="D15" s="14" t="inlineStr">
        <is>
          <t xml:space="preserve">✔ USDA report (read)</t>
        </is>
      </c>
      <c r="E15" s="12" t="inlineStr">
        <is>
          <t xml:space="preserve">GAIN 2026 (Coffee Annual_Tegucigalpa_Honduras_HO2026-0002)</t>
        </is>
      </c>
      <c r="F15" s="12" t="inlineStr">
        <is>
          <t xml:space="preserve">As of March 2026, national average incidence increased from 7.57 percent to 8.44 percent</t>
        </is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>
  <sheetFormatPr defaultRowHeight="13.2"/>
  <cols>
    <col min="1" max="1" width="8" customWidth="1"/>
    <col min="2" max="2" width="40" customWidth="1"/>
    <col min="3" max="3" width="10" customWidth="1"/>
    <col min="4" max="4" width="11" customWidth="1"/>
    <col min="5" max="5" width="9" customWidth="1"/>
    <col min="6" max="6" width="10" customWidth="1"/>
    <col min="7" max="7" width="34" customWidth="1"/>
    <col min="8" max="8" width="45" customWidth="1"/>
    <col min="9" max="9" width="24" customWidth="1"/>
    <col min="10" max="10" width="40" customWidth="1"/>
    <col min="11" max="11" width="70" customWidth="1"/>
  </cols>
  <sheetData>
    <row r="1">
      <c r="A1" s="1" t="inlineStr">
        <is>
          <t xml:space="preserve">Financing programmes for Honduran coffee growers</t>
        </is>
      </c>
    </row>
    <row r="2">
      <c r="A2" s="2" t="inlineStr">
        <is>
          <t xml:space="preserve">US$ used = amount stated in US$, otherwise lempiras / FAOSTAT rate of that year (looked up in Price_annual).</t>
        </is>
      </c>
    </row>
    <row r="4">
      <c r="A4" s="5" t="inlineStr">
        <is>
          <t xml:space="preserve">Year</t>
        </is>
      </c>
      <c r="B4" s="5" t="inlineStr">
        <is>
          <t xml:space="preserve">Programme</t>
        </is>
      </c>
      <c r="C4" s="5" t="inlineStr">
        <is>
          <t xml:space="preserve">US$ M stated</t>
        </is>
      </c>
      <c r="D4" s="5" t="inlineStr">
        <is>
          <t xml:space="preserve">Lempiras M</t>
        </is>
      </c>
      <c r="E4" s="5" t="inlineStr">
        <is>
          <t xml:space="preserve">L per US$</t>
        </is>
      </c>
      <c r="F4" s="5" t="inlineStr">
        <is>
          <t xml:space="preserve">US$ M used</t>
        </is>
      </c>
      <c r="G4" s="5" t="inlineStr">
        <is>
          <t xml:space="preserve">Who</t>
        </is>
      </c>
      <c r="H4" s="5" t="inlineStr">
        <is>
          <t xml:space="preserve">Terms</t>
        </is>
      </c>
      <c r="I4" s="5" t="inlineStr">
        <is>
          <t xml:space="preserve">Status</t>
        </is>
      </c>
      <c r="J4" s="5" t="inlineStr">
        <is>
          <t xml:space="preserve">Source</t>
        </is>
      </c>
      <c r="K4" s="5" t="inlineStr">
        <is>
          <t xml:space="preserve">Quote / extract</t>
        </is>
      </c>
    </row>
    <row r="5">
      <c r="A5" s="3">
        <v>2002</v>
      </c>
      <c r="B5" s="12" t="inlineStr">
        <is>
          <t xml:space="preserve">Government loan to all growers (coffee crisis)</t>
        </is>
      </c>
      <c r="C5" s="10">
        <v>20</v>
      </c>
      <c r="F5" s="7">
        <f>C5</f>
        <v>20</v>
      </c>
      <c r="G5" s="12" t="inlineStr">
        <is>
          <t xml:space="preserve">all producers</t>
        </is>
      </c>
      <c r="H5" s="12" t="inlineStr">
        <is>
          <t xml:space="preserve">20 years</t>
        </is>
      </c>
      <c r="I5" s="14" t="inlineStr">
        <is>
          <t xml:space="preserve">✔ USDA report (read)</t>
        </is>
      </c>
      <c r="J5" s="12" t="inlineStr">
        <is>
          <t xml:space="preserve">GAIN 2011</t>
        </is>
      </c>
      <c r="K5" s="12" t="inlineStr">
        <is>
          <t xml:space="preserve">the GOH obtained a loan for US$20 million to be paid over 20 years. Through the loan, funds supported all coffee producers in 2002.</t>
        </is>
      </c>
    </row>
    <row r="6">
      <c r="A6" s="3">
        <v>2004</v>
      </c>
      <c r="B6" s="12" t="inlineStr">
        <is>
          <t xml:space="preserve">Coffee trust fund (Law of Financial Reactivation, 2003)</t>
        </is>
      </c>
      <c r="G6" s="12" t="inlineStr">
        <is>
          <t xml:space="preserve">87,000 producers take part (2011)</t>
        </is>
      </c>
      <c r="H6" s="12" t="inlineStr">
        <is>
          <t xml:space="preserve">US$13.25/qq deducted at sale: US$9 trust fund (returned if no debt), US$1 for 1999–2001 loans, US$3.25 (US$0.50 to the 2002 loan; rest 36 % IHCAFE, 64 % National Coffee Fund)</t>
        </is>
      </c>
      <c r="I6" s="14" t="inlineStr">
        <is>
          <t xml:space="preserve">✔ USDA report (read)</t>
        </is>
      </c>
      <c r="J6" s="12" t="inlineStr">
        <is>
          <t xml:space="preserve">GAIN 2011, GAIN 2015</t>
        </is>
      </c>
      <c r="K6" s="12" t="inlineStr">
        <is>
          <t xml:space="preserve">deduction of US$ 13.25 per quintal ... distributed in blocks of US$ 9.00, US $ 1.00 and US$ 3.25</t>
        </is>
      </c>
    </row>
    <row r="7">
      <c r="A7" s="3">
        <v>2013</v>
      </c>
      <c r="B7" s="12" t="inlineStr">
        <is>
          <t xml:space="preserve">Rust emergency credit (banks, BANHPROVI, BANADESA)</t>
        </is>
      </c>
      <c r="D7" s="9">
        <v>1715</v>
      </c>
      <c r="E7" s="13">
        <f>INDEX(Price_annual!F5:F26,MATCH(A7,Price_annual!A5:A26,0))</f>
        <v>20.35377917</v>
      </c>
      <c r="F7" s="7">
        <f>D7/E7</f>
        <v>84.25953655465547</v>
      </c>
      <c r="G7" s="12" t="inlineStr">
        <is>
          <t xml:space="preserve">growers hit by rust; BANADESA loans up to L25,000</t>
        </is>
      </c>
      <c r="H7" s="12" t="inlineStr">
        <is>
          <t xml:space="preserve">to be repaid by 2019 (USDA)</t>
        </is>
      </c>
      <c r="I7" s="4" t="inlineStr">
        <is>
          <t xml:space="preserve">⚠ web extract, NOT verified</t>
        </is>
      </c>
      <c r="J7" s="12" t="inlineStr">
        <is>
          <t xml:space="preserve">El Heraldo 2013 (search snippet); GAIN 2017 for the 2019 repayment date</t>
        </is>
      </c>
      <c r="K7" s="12" t="inlineStr">
        <is>
          <t xml:space="preserve">approximately 1,715 million lempiras were made available to coffee growers to confront the advance of coffee rust</t>
        </is>
      </c>
    </row>
    <row r="8">
      <c r="A8" s="3">
        <v>2015</v>
      </c>
      <c r="B8" s="12" t="inlineStr">
        <is>
          <t xml:space="preserve">IHCAFE fertiliser credit line</t>
        </is>
      </c>
      <c r="C8" s="10">
        <v>17</v>
      </c>
      <c r="D8" s="9">
        <v>370</v>
      </c>
      <c r="E8" s="13">
        <f>INDEX(Price_annual!F5:F26,MATCH(A8,Price_annual!A5:A26,0))</f>
        <v>21.945175</v>
      </c>
      <c r="F8" s="7">
        <f>C8</f>
        <v>17</v>
      </c>
      <c r="G8" s="12" t="inlineStr">
        <is>
          <t xml:space="preserve">coffee producers</t>
        </is>
      </c>
      <c r="H8" s="12" t="inlineStr">
        <is>
          <t xml:space="preserve">fertiliser at cost, 1 year, interest-free</t>
        </is>
      </c>
      <c r="I8" s="14" t="inlineStr">
        <is>
          <t xml:space="preserve">✔ USDA report (read)</t>
        </is>
      </c>
      <c r="J8" s="12" t="inlineStr">
        <is>
          <t xml:space="preserve">GAIN 2015</t>
        </is>
      </c>
      <c r="K8" s="12" t="inlineStr">
        <is>
          <t xml:space="preserve">IHCAFE maintains a credit line for 370 million Lempiras (about US$ 17 million) to buy fertilizer</t>
        </is>
      </c>
    </row>
    <row r="9">
      <c r="A9" s="3">
        <v>2015</v>
      </c>
      <c r="B9" s="12" t="inlineStr">
        <is>
          <t xml:space="preserve">PAPP (IHCAFE + National Coffee Fund) and PEPP (BANADESA)</t>
        </is>
      </c>
      <c r="E9" s="13">
        <f>INDEX(Price_annual!F5:F26,MATCH(A9,Price_annual!A5:A26,0))</f>
        <v>21.945175</v>
      </c>
      <c r="G9" s="12" t="inlineStr">
        <is>
          <t xml:space="preserve">about 23,000 small producers</t>
        </is>
      </c>
      <c r="H9" s="12" t="inlineStr">
        <is>
          <t xml:space="preserve">replant 1 manzana (0.7 ha), no interest; aim 5 → 45 qq per manzana</t>
        </is>
      </c>
      <c r="I9" s="14" t="inlineStr">
        <is>
          <t xml:space="preserve">✔ USDA report (read)</t>
        </is>
      </c>
      <c r="J9" s="12" t="inlineStr">
        <is>
          <t xml:space="preserve">GAIN 2015–2017</t>
        </is>
      </c>
      <c r="K9" s="12" t="inlineStr">
        <is>
          <t xml:space="preserve">This program supports about 23,000 small producers ... The program aims to increase production from 5 to 45 quintals per manzana ... No interest is charged.</t>
        </is>
      </c>
    </row>
    <row r="10">
      <c r="A10" s="3">
        <v>2018</v>
      </c>
      <c r="B10" s="12" t="inlineStr">
        <is>
          <t xml:space="preserve">Decreto 93-2018: IHCAFE loan to growers (low prices, rust)</t>
        </is>
      </c>
      <c r="C10" s="10">
        <v>77</v>
      </c>
      <c r="D10" s="9">
        <v>1900</v>
      </c>
      <c r="E10" s="13">
        <f>INDEX(Price_annual!F5:F26,MATCH(A10,Price_annual!A5:A26,0))</f>
        <v>23.90272829</v>
      </c>
      <c r="F10" s="7">
        <f>C10</f>
        <v>77</v>
      </c>
      <c r="G10" s="12" t="inlineStr">
        <is>
          <t xml:space="preserve">all registered growers who ask</t>
        </is>
      </c>
      <c r="H10" s="12" t="inlineStr">
        <is>
          <t xml:space="preserve">L200 per qq produced in 2016/17 (decree, snippet) — USDA wrote "about $25 per 100 pounds"; repaid by US$1.50/qq deducted on exports</t>
        </is>
      </c>
      <c r="I10" s="14" t="inlineStr">
        <is>
          <t xml:space="preserve">✔ USDA report (read)</t>
        </is>
      </c>
      <c r="J10" s="12" t="inlineStr">
        <is>
          <t xml:space="preserve">GAIN 2020 (US$77 million, 5 Sep 2018); decree text via search snippet (L1,900 M, L200/qq)</t>
        </is>
      </c>
      <c r="K10" s="12" t="inlineStr">
        <is>
          <t xml:space="preserve">On September 5, 2018, the Honduran Congress authorized IHCAFE to contract ... financing for about $77 million.</t>
        </is>
      </c>
    </row>
    <row r="11">
      <c r="A11" s="3">
        <v>2019</v>
      </c>
      <c r="B11" s="12" t="inlineStr">
        <is>
          <t xml:space="preserve">Decreto 47-2018 debt readjustment + BANHPROVI coffee fund</t>
        </is>
      </c>
      <c r="D11" s="9">
        <v>300</v>
      </c>
      <c r="E11" s="13">
        <f>INDEX(Price_annual!F5:F26,MATCH(A11,Price_annual!A5:A26,0))</f>
        <v>24.50853891</v>
      </c>
      <c r="F11" s="7">
        <f>D11/E11</f>
        <v>12.240631769264454</v>
      </c>
      <c r="G11" s="12" t="inlineStr">
        <is>
          <t xml:space="preserve">&gt; 55,000 growers</t>
        </is>
      </c>
      <c r="H11" s="12" t="inlineStr">
        <is>
          <t xml:space="preserve">up to 20 years at 2 %</t>
        </is>
      </c>
      <c r="I11" s="4" t="inlineStr">
        <is>
          <t xml:space="preserve">⚠ web extract, NOT verified</t>
        </is>
      </c>
      <c r="J11" s="12" t="inlineStr">
        <is>
          <t xml:space="preserve">El Heraldo; MiAmbiente (search snippets)</t>
        </is>
      </c>
      <c r="K11" s="12" t="inlineStr">
        <is>
          <t xml:space="preserve">BANHPROVI Coffee Sector Fund L300 million</t>
        </is>
      </c>
    </row>
    <row r="12">
      <c r="A12" s="3">
        <v>2020</v>
      </c>
      <c r="B12" s="12" t="inlineStr">
        <is>
          <t xml:space="preserve">Bono Cafetalero (PCM 030-2020): free fertiliser</t>
        </is>
      </c>
      <c r="C12" s="10">
        <v>12</v>
      </c>
      <c r="E12" s="13">
        <f>INDEX(Price_annual!F5:F26,MATCH(A12,Price_annual!A5:A26,0))</f>
        <v>24.58188052</v>
      </c>
      <c r="F12" s="7">
        <f>C12</f>
        <v>12</v>
      </c>
      <c r="G12" s="12" t="inlineStr">
        <is>
          <t xml:space="preserve">91,778 small and medium producers (87 %)</t>
        </is>
      </c>
      <c r="H12" s="12" t="inlineStr">
        <is>
          <t xml:space="preserve">25,188 t of fertiliser, producers up to 6.8 t</t>
        </is>
      </c>
      <c r="I12" s="14" t="inlineStr">
        <is>
          <t xml:space="preserve">✔ USDA report (read)</t>
        </is>
      </c>
      <c r="J12" s="12" t="inlineStr">
        <is>
          <t xml:space="preserve">GAIN 2021</t>
        </is>
      </c>
      <c r="K12" s="12" t="inlineStr">
        <is>
          <t xml:space="preserve">In 2020, The GOH (via this program) distributed about $12million in fertilizer (25,188 MT) to 91,778 small and medium sized coffee producers</t>
        </is>
      </c>
    </row>
    <row r="13">
      <c r="A13" s="3">
        <v>2021</v>
      </c>
      <c r="B13" s="12" t="inlineStr">
        <is>
          <t xml:space="preserve">Bono Cafetalero extension (PCM 031-2021)</t>
        </is>
      </c>
      <c r="C13" s="10">
        <v>12.5</v>
      </c>
      <c r="E13" s="13">
        <f>INDEX(Price_annual!F5:F26,MATCH(A13,Price_annual!A5:A26,0))</f>
        <v>24.01665532</v>
      </c>
      <c r="F13" s="7">
        <f>C13</f>
        <v>12.5</v>
      </c>
      <c r="G13" s="12" t="inlineStr">
        <is>
          <t xml:space="preserve">over 91,500 producers</t>
        </is>
      </c>
      <c r="H13" s="12" t="inlineStr">
        <is>
          <t xml:space="preserve">fertiliser; plus state credit at 5 % and guarantees</t>
        </is>
      </c>
      <c r="I13" s="14" t="inlineStr">
        <is>
          <t xml:space="preserve">✔ USDA report (read)</t>
        </is>
      </c>
      <c r="J13" s="12" t="inlineStr">
        <is>
          <t xml:space="preserve">GAIN 2021</t>
        </is>
      </c>
      <c r="K13" s="12" t="inlineStr">
        <is>
          <t xml:space="preserve">On April 13, 2021, the GOH extended the Coffee Bonus Program via Presidential decree PCM 031-2021 with an additional $12.5 million investment</t>
        </is>
      </c>
    </row>
    <row r="14">
      <c r="A14" s="3">
        <v>2023</v>
      </c>
      <c r="B14" s="12" t="inlineStr">
        <is>
          <t xml:space="preserve">IHCAFE renovation programme 2023–2027</t>
        </is>
      </c>
      <c r="E14" s="13">
        <f>INDEX(Price_annual!F5:F26,MATCH(A14,Price_annual!A5:A26,0))</f>
        <v>24.60164642</v>
      </c>
      <c r="G14" s="12" t="inlineStr">
        <is>
          <t xml:space="preserve">33,000 producers, 250,000 manzanas (63 % of the coffee park)</t>
        </is>
      </c>
      <c r="H14" s="12" t="inlineStr">
        <is>
          <t xml:space="preserve">target 7.0–7.5 million 46-kg bags</t>
        </is>
      </c>
      <c r="I14" s="14" t="inlineStr">
        <is>
          <t xml:space="preserve">✔ USDA report (read)</t>
        </is>
      </c>
      <c r="J14" s="12" t="inlineStr">
        <is>
          <t xml:space="preserve">GAIN 2024</t>
        </is>
      </c>
      <c r="K14" s="12" t="inlineStr">
        <is>
          <t xml:space="preserve">support to 33 thousand producers, covering an area of 250 thousand blocks (63 percent of the total coffee park)</t>
        </is>
      </c>
    </row>
    <row r="15">
      <c r="A15" s="3">
        <v>2025</v>
      </c>
      <c r="B15" s="12" t="inlineStr">
        <is>
          <t xml:space="preserve">Bono Cafetalero 2025</t>
        </is>
      </c>
      <c r="D15" s="9">
        <v>350</v>
      </c>
      <c r="E15" s="13">
        <f>INDEX(Price_annual!F5:F26,MATCH(A15,Price_annual!A5:A26,0))</f>
        <v>25.95267482</v>
      </c>
      <c r="F15" s="7">
        <f>D15/E15</f>
        <v>13.486085824582455</v>
      </c>
      <c r="G15" s="12" t="inlineStr">
        <is>
          <t xml:space="preserve">119,803 producers</t>
        </is>
      </c>
      <c r="H15" s="12" t="inlineStr">
        <is>
          <t xml:space="preserve">300,000 qq of fertiliser</t>
        </is>
      </c>
      <c r="I15" s="4" t="inlineStr">
        <is>
          <t xml:space="preserve">⚠ web extract, NOT verified</t>
        </is>
      </c>
      <c r="J15" s="12" t="inlineStr">
        <is>
          <t xml:space="preserve">TNH (search snippet)</t>
        </is>
      </c>
      <c r="K15" s="12" t="inlineStr">
        <is>
          <t xml:space="preserve">L350 million, 119,803 producers, 300,000 qq fertiliser</t>
        </is>
      </c>
    </row>
    <row r="17">
      <c r="A17" s="3" t="inlineStr">
        <is>
          <t xml:space="preserve">Debt</t>
        </is>
      </c>
    </row>
    <row r="18">
      <c r="A18" t="inlineStr">
        <is>
          <t xml:space="preserve">Jun 2021</t>
        </is>
      </c>
      <c r="B18" s="12" t="inlineStr">
        <is>
          <t xml:space="preserve">Growers owed banks, co-ops and IHCAFE</t>
        </is>
      </c>
      <c r="D18" s="9">
        <v>5565</v>
      </c>
      <c r="E18" s="13">
        <f>INDEX(Price_annual!F5:F26,MATCH(2021,Price_annual!A5:A26,0))</f>
        <v>24.01665532</v>
      </c>
      <c r="F18" s="7">
        <f>D18/E18</f>
        <v>231.71419691257825</v>
      </c>
      <c r="I18" s="4" t="inlineStr">
        <is>
          <t xml:space="preserve">⚠ web extract, NOT verified</t>
        </is>
      </c>
      <c r="J18" s="12" t="inlineStr">
        <is>
          <t xml:space="preserve">La Tribuna, 25 Jun 2021 (search snippet)</t>
        </is>
      </c>
    </row>
    <row r="20">
      <c r="A20" s="3" t="inlineStr">
        <is>
          <t xml:space="preserve">Ratios</t>
        </is>
      </c>
    </row>
    <row r="21">
      <c r="B21" t="inlineStr">
        <is>
          <t xml:space="preserve">Bono 2020: US$ per producer</t>
        </is>
      </c>
      <c r="F21" s="15">
        <f>12000000/91778</f>
        <v>130.75028874022098</v>
      </c>
    </row>
    <row r="22">
      <c r="B22" t="inlineStr">
        <is>
          <t xml:space="preserve">Decree 93-2018: L200 per qq in US$ (2018 rate)</t>
        </is>
      </c>
      <c r="F22" s="13">
        <f>200/INDEX(Price_annual!F5:F26,MATCH(2018,Price_annual!A5:A26,0))</f>
        <v>8.367245678965965</v>
      </c>
    </row>
    <row r="23">
      <c r="B23" t="inlineStr">
        <is>
          <t xml:space="preserve">… as a share of the 2018/19 export price (106.89 $/qq)</t>
        </is>
      </c>
      <c r="F23" s="11">
        <f>F22/106.89</f>
        <v>0.07827903151806496</v>
      </c>
    </row>
  </sheetData>
</worksheet>
</file>

<file path=xl/worksheets/sheet8.xml><?xml version="1.0" encoding="utf-8"?>
<worksheet xmlns="http://schemas.openxmlformats.org/spreadsheetml/2006/main" xmlns:r="http://schemas.openxmlformats.org/officeDocument/2006/relationships">
  <sheetFormatPr defaultRowHeight="13.2"/>
  <cols>
    <col min="1" max="1" width="18" customWidth="1"/>
    <col min="2" max="2" width="14" customWidth="1"/>
    <col min="3" max="3" width="14" customWidth="1"/>
    <col min="4" max="4" width="14" customWidth="1"/>
    <col min="5" max="5" width="12" customWidth="1"/>
    <col min="6" max="6" width="30" customWidth="1"/>
  </cols>
  <sheetData>
    <row r="1">
      <c r="A1" s="1" t="inlineStr">
        <is>
          <t xml:space="preserve">Yield: USDA production per bearing hectare, and the IHCAFE registry by farm size</t>
        </is>
      </c>
    </row>
    <row r="2">
      <c r="A2" s="2" t="inlineStr">
        <is>
          <t xml:space="preserve">Marketing year Oct-Sep (e.g. 2012 = 2012/13). Production: USDA PSD, 1 000 60-kg bags. Bearing area: USDA attaché tables, 1 000 ha. Last year = USDA forecast.</t>
        </is>
      </c>
    </row>
    <row r="4">
      <c r="A4" s="5" t="inlineStr">
        <is>
          <t xml:space="preserve">Marketing year</t>
        </is>
      </c>
      <c r="B4" s="5" t="inlineStr">
        <is>
          <t xml:space="preserve">Production (1 000 bags)</t>
        </is>
      </c>
      <c r="C4" s="5" t="inlineStr">
        <is>
          <t xml:space="preserve">Bearing area (1 000 ha)</t>
        </is>
      </c>
      <c r="D4" s="5" t="inlineStr">
        <is>
          <t xml:space="preserve">Bags per bearing ha</t>
        </is>
      </c>
      <c r="E4" s="5" t="inlineStr">
        <is>
          <t xml:space="preserve">qq oro per manzana</t>
        </is>
      </c>
    </row>
    <row r="5">
      <c r="A5" s="3" t="inlineStr">
        <is>
          <t xml:space="preserve">2005/06</t>
        </is>
      </c>
      <c r="B5" s="9">
        <v>3204.0</v>
      </c>
      <c r="C5" s="9">
        <v>184</v>
      </c>
      <c r="D5" s="7">
        <f>B5/C5</f>
        <v>17.41304347826087</v>
      </c>
      <c r="E5" s="7">
        <f>D5*60*0.7/46</f>
        <v>15.898865784499055</v>
      </c>
    </row>
    <row r="6">
      <c r="A6" s="3" t="inlineStr">
        <is>
          <t xml:space="preserve">2006/07</t>
        </is>
      </c>
      <c r="B6" s="9">
        <v>3460.0</v>
      </c>
      <c r="C6" s="9">
        <v>230</v>
      </c>
      <c r="D6" s="7">
        <f>B6/C6</f>
        <v>15.043478260869565</v>
      </c>
      <c r="E6" s="7">
        <f>D6*60*0.7/46</f>
        <v>13.735349716446123</v>
      </c>
    </row>
    <row r="7">
      <c r="A7" s="3" t="inlineStr">
        <is>
          <t xml:space="preserve">2007/08</t>
        </is>
      </c>
      <c r="B7" s="9">
        <v>3642.0</v>
      </c>
      <c r="C7" s="9">
        <v>230</v>
      </c>
      <c r="D7" s="7">
        <f>B7/C7</f>
        <v>15.834782608695653</v>
      </c>
      <c r="E7" s="7">
        <f>D7*60*0.7/46</f>
        <v>14.457844990548203</v>
      </c>
    </row>
    <row r="8">
      <c r="A8" s="3" t="inlineStr">
        <is>
          <t xml:space="preserve">2008/09</t>
        </is>
      </c>
      <c r="B8" s="9">
        <v>3225.0</v>
      </c>
      <c r="C8" s="9">
        <v>224</v>
      </c>
      <c r="D8" s="7">
        <f>B8/C8</f>
        <v>14.397321428571429</v>
      </c>
      <c r="E8" s="7">
        <f>D8*60*0.7/46</f>
        <v>13.14538043478261</v>
      </c>
    </row>
    <row r="9">
      <c r="A9" s="3" t="inlineStr">
        <is>
          <t xml:space="preserve">2009/10</t>
        </is>
      </c>
      <c r="B9" s="9">
        <v>3550.0</v>
      </c>
      <c r="C9" s="9">
        <v>224</v>
      </c>
      <c r="D9" s="7">
        <f>B9/C9</f>
        <v>15.848214285714286</v>
      </c>
      <c r="E9" s="7">
        <f>D9*60*0.7/46</f>
        <v>14.470108695652174</v>
      </c>
    </row>
    <row r="10">
      <c r="A10" s="3" t="inlineStr">
        <is>
          <t xml:space="preserve">2010/11</t>
        </is>
      </c>
      <c r="B10" s="9">
        <v>3975.0</v>
      </c>
      <c r="C10" s="9">
        <v>238</v>
      </c>
      <c r="D10" s="7">
        <f>B10/C10</f>
        <v>16.701680672268907</v>
      </c>
      <c r="E10" s="7">
        <f>D10*60*0.7/46</f>
        <v>15.24936061381074</v>
      </c>
    </row>
    <row r="11">
      <c r="A11" s="3" t="inlineStr">
        <is>
          <t xml:space="preserve">2011/12</t>
        </is>
      </c>
      <c r="B11" s="9">
        <v>5600.0</v>
      </c>
      <c r="C11" s="9">
        <v>245</v>
      </c>
      <c r="D11" s="7">
        <f>B11/C11</f>
        <v>22.857142857142858</v>
      </c>
      <c r="E11" s="7">
        <f>D11*60*0.7/46</f>
        <v>20.869565217391305</v>
      </c>
    </row>
    <row r="12">
      <c r="A12" s="3" t="inlineStr">
        <is>
          <t xml:space="preserve">2012/13</t>
        </is>
      </c>
      <c r="B12" s="9">
        <v>4725.0</v>
      </c>
      <c r="C12" s="9">
        <v>267</v>
      </c>
      <c r="D12" s="7">
        <f>B12/C12</f>
        <v>17.696629213483146</v>
      </c>
      <c r="E12" s="7">
        <f>D12*60*0.7/46</f>
        <v>16.157791890571566</v>
      </c>
    </row>
    <row r="13">
      <c r="A13" s="3" t="inlineStr">
        <is>
          <t xml:space="preserve">2013/14</t>
        </is>
      </c>
      <c r="B13" s="9">
        <v>4400.0</v>
      </c>
      <c r="C13" s="9">
        <v>213</v>
      </c>
      <c r="D13" s="7">
        <f>B13/C13</f>
        <v>20.657276995305164</v>
      </c>
      <c r="E13" s="7">
        <f>D13*60*0.7/46</f>
        <v>18.86099203919167</v>
      </c>
    </row>
    <row r="14">
      <c r="A14" s="3" t="inlineStr">
        <is>
          <t xml:space="preserve">2014/15</t>
        </is>
      </c>
      <c r="B14" s="9">
        <v>5100.0</v>
      </c>
      <c r="C14" s="9">
        <v>227</v>
      </c>
      <c r="D14" s="7">
        <f>B14/C14</f>
        <v>22.46696035242291</v>
      </c>
      <c r="E14" s="7">
        <f>D14*60*0.7/46</f>
        <v>20.513311626125265</v>
      </c>
    </row>
    <row r="15">
      <c r="A15" s="3" t="inlineStr">
        <is>
          <t xml:space="preserve">2015/16</t>
        </is>
      </c>
      <c r="B15" s="9">
        <v>5300.0</v>
      </c>
      <c r="C15" s="9">
        <v>240</v>
      </c>
      <c r="D15" s="7">
        <f>B15/C15</f>
        <v>22.083333333333332</v>
      </c>
      <c r="E15" s="7">
        <f>D15*60*0.7/46</f>
        <v>20.163043478260867</v>
      </c>
    </row>
    <row r="16">
      <c r="A16" s="3" t="inlineStr">
        <is>
          <t xml:space="preserve">2016/17</t>
        </is>
      </c>
      <c r="B16" s="9">
        <v>7510.0</v>
      </c>
      <c r="C16" s="9">
        <v>280</v>
      </c>
      <c r="D16" s="7">
        <f>B16/C16</f>
        <v>26.821428571428573</v>
      </c>
      <c r="E16" s="7">
        <f>D16*60*0.7/46</f>
        <v>24.48913043478261</v>
      </c>
    </row>
    <row r="17">
      <c r="A17" s="3" t="inlineStr">
        <is>
          <t xml:space="preserve">2017/18</t>
        </is>
      </c>
      <c r="B17" s="9">
        <v>7600.0</v>
      </c>
      <c r="C17" s="9">
        <v>298</v>
      </c>
      <c r="D17" s="7">
        <f>B17/C17</f>
        <v>25.503355704697988</v>
      </c>
      <c r="E17" s="7">
        <f>D17*60*0.7/46</f>
        <v>23.28567259994164</v>
      </c>
    </row>
    <row r="18">
      <c r="A18" s="3" t="inlineStr">
        <is>
          <t xml:space="preserve">2018/19</t>
        </is>
      </c>
      <c r="B18" s="9">
        <v>7100.0</v>
      </c>
      <c r="C18" s="9">
        <v>286</v>
      </c>
      <c r="D18" s="7">
        <f>B18/C18</f>
        <v>24.825174825174827</v>
      </c>
      <c r="E18" s="7">
        <f>D18*60*0.7/46</f>
        <v>22.666463970811797</v>
      </c>
    </row>
    <row r="19">
      <c r="A19" s="3" t="inlineStr">
        <is>
          <t xml:space="preserve">2019/20</t>
        </is>
      </c>
      <c r="B19" s="9">
        <v>5200.0</v>
      </c>
      <c r="C19" s="9">
        <v>270</v>
      </c>
      <c r="D19" s="7">
        <f>B19/C19</f>
        <v>19.25925925925926</v>
      </c>
      <c r="E19" s="7">
        <f>D19*60*0.7/46</f>
        <v>17.584541062801932</v>
      </c>
    </row>
    <row r="20">
      <c r="A20" s="3" t="inlineStr">
        <is>
          <t xml:space="preserve">2020/21</t>
        </is>
      </c>
      <c r="B20" s="9">
        <v>6500.0</v>
      </c>
      <c r="C20" s="9">
        <v>273</v>
      </c>
      <c r="D20" s="7">
        <f>B20/C20</f>
        <v>23.80952380952381</v>
      </c>
      <c r="E20" s="7">
        <f>D20*60*0.7/46</f>
        <v>21.73913043478261</v>
      </c>
    </row>
    <row r="21">
      <c r="A21" s="3" t="inlineStr">
        <is>
          <t xml:space="preserve">2021/22</t>
        </is>
      </c>
      <c r="B21" s="9">
        <v>4800.0</v>
      </c>
      <c r="C21" s="9">
        <v>275</v>
      </c>
      <c r="D21" s="7">
        <f>B21/C21</f>
        <v>17.454545454545453</v>
      </c>
      <c r="E21" s="7">
        <f>D21*60*0.7/46</f>
        <v>15.936758893280631</v>
      </c>
    </row>
    <row r="22">
      <c r="A22" s="3" t="inlineStr">
        <is>
          <t xml:space="preserve">2022/23</t>
        </is>
      </c>
      <c r="B22" s="9">
        <v>5700.0</v>
      </c>
      <c r="C22" s="9">
        <v>285</v>
      </c>
      <c r="D22" s="7">
        <f>B22/C22</f>
        <v>20.0</v>
      </c>
      <c r="E22" s="7">
        <f>D22*60*0.7/46</f>
        <v>18.26086956521739</v>
      </c>
    </row>
    <row r="23">
      <c r="A23" s="3" t="inlineStr">
        <is>
          <t xml:space="preserve">2023/24</t>
        </is>
      </c>
      <c r="B23" s="9">
        <v>5050.0</v>
      </c>
      <c r="C23" s="9">
        <v>292</v>
      </c>
      <c r="D23" s="7">
        <f>B23/C23</f>
        <v>17.294520547945204</v>
      </c>
      <c r="E23" s="7">
        <f>D23*60*0.7/46</f>
        <v>15.79064919594997</v>
      </c>
    </row>
    <row r="24">
      <c r="A24" s="3" t="inlineStr">
        <is>
          <t xml:space="preserve">2024/25</t>
        </is>
      </c>
      <c r="B24" s="9">
        <v>5200.0</v>
      </c>
      <c r="C24" s="9">
        <v>300</v>
      </c>
      <c r="D24" s="7">
        <f>B24/C24</f>
        <v>17.333333333333332</v>
      </c>
      <c r="E24" s="7">
        <f>D24*60*0.7/46</f>
        <v>15.826086956521738</v>
      </c>
    </row>
    <row r="25">
      <c r="A25" s="3" t="inlineStr">
        <is>
          <t xml:space="preserve">2025/26</t>
        </is>
      </c>
      <c r="B25" s="9">
        <v>5530.0</v>
      </c>
      <c r="C25" s="9">
        <v>310</v>
      </c>
      <c r="D25" s="7">
        <f>B25/C25</f>
        <v>17.838709677419356</v>
      </c>
      <c r="E25" s="7">
        <f>D25*60*0.7/46</f>
        <v>16.2875175315568</v>
      </c>
    </row>
    <row r="26">
      <c r="A26" s="3" t="inlineStr">
        <is>
          <t xml:space="preserve">2026/27</t>
        </is>
      </c>
      <c r="B26" s="9">
        <v>6030.0</v>
      </c>
      <c r="C26" s="9">
        <v>330</v>
      </c>
      <c r="D26" s="7">
        <f>B26/C26</f>
        <v>18.272727272727273</v>
      </c>
      <c r="E26" s="7">
        <f>D26*60*0.7/46</f>
        <v>16.683794466403164</v>
      </c>
    </row>
    <row r="28">
      <c r="A28" s="3" t="inlineStr">
        <is>
          <t xml:space="preserve">IHCAFE registry (Coffee Statistics Reports, table 1 of USDA reports 2024-2026)</t>
        </is>
      </c>
    </row>
    <row r="29">
      <c r="A29" s="5" t="inlineStr">
        <is>
          <t xml:space="preserve">Crop year / size</t>
        </is>
      </c>
      <c r="B29" s="5" t="inlineStr">
        <is>
          <t xml:space="preserve">Farmers</t>
        </is>
      </c>
      <c r="C29" s="5" t="inlineStr">
        <is>
          <t xml:space="preserve">Hectares harvested</t>
        </is>
      </c>
      <c r="D29" s="5" t="inlineStr">
        <is>
          <t xml:space="preserve">60-kg bags</t>
        </is>
      </c>
      <c r="E29" s="5" t="inlineStr">
        <is>
          <t xml:space="preserve">Bags per ha</t>
        </is>
      </c>
      <c r="F29" s="5" t="inlineStr">
        <is>
          <t xml:space="preserve">Source</t>
        </is>
      </c>
    </row>
    <row r="30">
      <c r="A30" s="3" t="inlineStr">
        <is>
          <t xml:space="preserve">2022/23 small</t>
        </is>
      </c>
      <c r="B30" s="9">
        <v>90522</v>
      </c>
      <c r="C30" s="9">
        <v>209202</v>
      </c>
      <c r="D30" s="9">
        <v>2907394</v>
      </c>
      <c r="E30" s="7">
        <f>D30/C30</f>
        <v>13.897544000535367</v>
      </c>
      <c r="F30" t="inlineStr">
        <is>
          <t xml:space="preserve">GAIN 2024, table 1</t>
        </is>
      </c>
    </row>
    <row r="31">
      <c r="A31" s="3" t="inlineStr">
        <is>
          <t xml:space="preserve">2022/23 medium</t>
        </is>
      </c>
      <c r="B31" s="9">
        <v>6126</v>
      </c>
      <c r="C31" s="9">
        <v>79764.38</v>
      </c>
      <c r="D31" s="9">
        <v>1820667</v>
      </c>
      <c r="E31" s="7">
        <f>D31/C31</f>
        <v>22.82556449382544</v>
      </c>
      <c r="F31" t="inlineStr">
        <is>
          <t xml:space="preserve">GAIN 2024, table 1</t>
        </is>
      </c>
    </row>
    <row r="32">
      <c r="A32" s="3" t="inlineStr">
        <is>
          <t xml:space="preserve">2022/23 large</t>
        </is>
      </c>
      <c r="B32" s="9">
        <v>629</v>
      </c>
      <c r="C32" s="9">
        <v>26764.73</v>
      </c>
      <c r="D32" s="9">
        <v>848578</v>
      </c>
      <c r="E32" s="7">
        <f>D32/C32</f>
        <v>31.70508351849617</v>
      </c>
      <c r="F32" t="inlineStr">
        <is>
          <t xml:space="preserve">GAIN 2024, table 1</t>
        </is>
      </c>
    </row>
    <row r="33">
      <c r="A33" s="3" t="inlineStr">
        <is>
          <t xml:space="preserve">2023/24 small</t>
        </is>
      </c>
      <c r="B33" s="9">
        <v>87136</v>
      </c>
      <c r="C33" s="9">
        <v>193092</v>
      </c>
      <c r="D33" s="9">
        <v>2502386</v>
      </c>
      <c r="E33" s="7">
        <f>D33/C33</f>
        <v>12.959552959211154</v>
      </c>
      <c r="F33" t="inlineStr">
        <is>
          <t xml:space="preserve">GAIN 2025, table 1</t>
        </is>
      </c>
    </row>
    <row r="34">
      <c r="A34" s="3" t="inlineStr">
        <is>
          <t xml:space="preserve">2023/24 medium</t>
        </is>
      </c>
      <c r="B34" s="9">
        <v>4746</v>
      </c>
      <c r="C34" s="9">
        <v>62494</v>
      </c>
      <c r="D34" s="9">
        <v>1400613</v>
      </c>
      <c r="E34" s="7">
        <f>D34/C34</f>
        <v>22.41195954811662</v>
      </c>
      <c r="F34" t="inlineStr">
        <is>
          <t xml:space="preserve">GAIN 2025, table 1</t>
        </is>
      </c>
    </row>
    <row r="35">
      <c r="A35" s="3" t="inlineStr">
        <is>
          <t xml:space="preserve">2023/24 large</t>
        </is>
      </c>
      <c r="B35" s="9">
        <v>539</v>
      </c>
      <c r="C35" s="9">
        <v>24511</v>
      </c>
      <c r="D35" s="9">
        <v>747355</v>
      </c>
      <c r="E35" s="7">
        <f>D35/C35</f>
        <v>30.490596058912324</v>
      </c>
      <c r="F35" t="inlineStr">
        <is>
          <t xml:space="preserve">GAIN 2025, table 1</t>
        </is>
      </c>
    </row>
    <row r="36">
      <c r="A36" s="3" t="inlineStr">
        <is>
          <t xml:space="preserve">2024/25 small</t>
        </is>
      </c>
      <c r="B36" s="9">
        <v>86895</v>
      </c>
      <c r="C36" s="9">
        <v>179271</v>
      </c>
      <c r="D36" s="9">
        <v>2627164</v>
      </c>
      <c r="E36" s="7">
        <f>D36/C36</f>
        <v>14.654707119389082</v>
      </c>
      <c r="F36" t="inlineStr">
        <is>
          <t xml:space="preserve">GAIN 2026, table 1</t>
        </is>
      </c>
    </row>
    <row r="37">
      <c r="A37" s="3" t="inlineStr">
        <is>
          <t xml:space="preserve">2024/25 medium</t>
        </is>
      </c>
      <c r="B37" s="9">
        <v>6359</v>
      </c>
      <c r="C37" s="9">
        <v>85040</v>
      </c>
      <c r="D37" s="9">
        <v>1661733</v>
      </c>
      <c r="E37" s="7">
        <f>D37/C37</f>
        <v>19.54060442144873</v>
      </c>
      <c r="F37" t="inlineStr">
        <is>
          <t xml:space="preserve">GAIN 2026, table 1</t>
        </is>
      </c>
    </row>
    <row r="38">
      <c r="A38" s="3" t="inlineStr">
        <is>
          <t xml:space="preserve">2024/25 large</t>
        </is>
      </c>
      <c r="B38" s="9">
        <v>374</v>
      </c>
      <c r="C38" s="9">
        <v>21246</v>
      </c>
      <c r="D38" s="9">
        <v>515533</v>
      </c>
      <c r="E38" s="7">
        <f>D38/C38</f>
        <v>24.26494398945684</v>
      </c>
      <c r="F38" t="inlineStr">
        <is>
          <t xml:space="preserve">GAIN 2026, table 1</t>
        </is>
      </c>
    </row>
  </sheetData>
</worksheet>
</file>

<file path=xl/worksheets/sheet9.xml><?xml version="1.0" encoding="utf-8"?>
<worksheet xmlns="http://schemas.openxmlformats.org/spreadsheetml/2006/main" xmlns:r="http://schemas.openxmlformats.org/officeDocument/2006/relationships">
  <sheetFormatPr defaultRowHeight="13.2"/>
  <cols>
    <col min="1" max="1" width="7" customWidth="1"/>
    <col min="2" max="2" width="22" customWidth="1"/>
    <col min="3" max="3" width="70" customWidth="1"/>
    <col min="4" max="4" width="16" customWidth="1"/>
    <col min="5" max="5" width="16" customWidth="1"/>
    <col min="6" max="6" width="9" customWidth="1"/>
    <col min="7" max="7" width="22" customWidth="1"/>
    <col min="8" max="8" width="30" customWidth="1"/>
    <col min="9" max="9" width="60" customWidth="1"/>
  </cols>
  <sheetData>
    <row r="1">
      <c r="A1" s="1" t="inlineStr">
        <is>
          <t xml:space="preserve">Web-search extracts collected on 25 Sep 2026: NOT verified (pages blocked by the network policy)</t>
        </is>
      </c>
    </row>
    <row r="3">
      <c r="A3" s="5" t="inlineStr">
        <is>
          <t xml:space="preserve">section</t>
        </is>
      </c>
      <c r="B3" s="5" t="inlineStr">
        <is>
          <t xml:space="preserve">topic</t>
        </is>
      </c>
      <c r="C3" s="5" t="inlineStr">
        <is>
          <t xml:space="preserve">claim_as_in_search_summary</t>
        </is>
      </c>
      <c r="D3" s="5" t="inlineStr">
        <is>
          <t xml:space="preserve">value</t>
        </is>
      </c>
      <c r="E3" s="5" t="inlineStr">
        <is>
          <t xml:space="preserve">unit</t>
        </is>
      </c>
      <c r="F3" s="5" t="inlineStr">
        <is>
          <t xml:space="preserve">year</t>
        </is>
      </c>
      <c r="G3" s="5" t="inlineStr">
        <is>
          <t xml:space="preserve">verification_status</t>
        </is>
      </c>
      <c r="H3" s="5" t="inlineStr">
        <is>
          <t xml:space="preserve">search_query</t>
        </is>
      </c>
      <c r="I3" s="5" t="inlineStr">
        <is>
          <t xml:space="preserve">candidate_source_urls</t>
        </is>
      </c>
    </row>
    <row r="4">
      <c r="A4" s="12" t="inlineStr">
        <is>
          <t xml:space="preserve">1</t>
        </is>
      </c>
      <c r="B4" s="12" t="inlineStr">
        <is>
          <t xml:space="preserve">Lempira</t>
        </is>
      </c>
      <c r="C4" s="12" t="inlineStr">
        <is>
          <t xml:space="preserve">IHCAFE recognized in 2017 that Lempira 98 had lost rust resistance; new races broke resistance in 2017</t>
        </is>
      </c>
      <c r="D4" s="12" t="inlineStr">
        <is>
          <t xml:space="preserve">2017</t>
        </is>
      </c>
      <c r="E4" s="12" t="inlineStr">
        <is>
          <t xml:space="preserve">year</t>
        </is>
      </c>
      <c r="F4" s="12" t="inlineStr">
        <is>
          <t xml:space="preserve">2017</t>
        </is>
      </c>
      <c r="G4" s="12" t="inlineStr">
        <is>
          <t xml:space="preserve">UNVERIFIED - search-engine summary only; document NOT downloaded</t>
        </is>
      </c>
      <c r="H4" s="12" t="inlineStr">
        <is>
          <t xml:space="preserve">variedad Lempira IHCAFE pérdida de resistencia roya 2017</t>
        </is>
      </c>
      <c r="I4" s="12" t="inlineStr">
        <is>
          <t xml:space="preserve">https://www.ihcafe.hn/?mdocs-file=5360 ; https://mvcafe.es/variedad-popular-hondurena-lempira-encontrada-susceptible-a-la-roya-de-la-hoja/</t>
        </is>
      </c>
    </row>
    <row r="5">
      <c r="A5" s="12" t="inlineStr">
        <is>
          <t xml:space="preserve">1</t>
        </is>
      </c>
      <c r="B5" s="12" t="inlineStr">
        <is>
          <t xml:space="preserve">Lempira</t>
        </is>
      </c>
      <c r="C5" s="12" t="inlineStr">
        <is>
          <t xml:space="preserve">IHCAFE breeding programme monitored progressive loss of Lempira resistance since 2007; susceptible by 2015; appears as susceptible in national monitoring 2016-17</t>
        </is>
      </c>
      <c r="D5" s="12" t="inlineStr">
        <is>
          <t xml:space="preserve">2007/2015</t>
        </is>
      </c>
      <c r="E5" s="12" t="inlineStr">
        <is>
          <t xml:space="preserve">year</t>
        </is>
      </c>
      <c r="F5" s="12" t="inlineStr">
        <is>
          <t xml:space="preserve">2016-17</t>
        </is>
      </c>
      <c r="G5" s="12" t="inlineStr">
        <is>
          <t xml:space="preserve">UNVERIFIED - search-engine summary only; document NOT downloaded</t>
        </is>
      </c>
      <c r="H5" s="12" t="inlineStr">
        <is>
          <t xml:space="preserve">variedad Lempira IHCAFE pérdida de resistencia roya 2017</t>
        </is>
      </c>
      <c r="I5" s="12" t="inlineStr">
        <is>
          <t xml:space="preserve">https://wikicafe.promecafe.net/index.php/DURABILIDAD_DE_LA_RESISTENCIA_GEN%C3%89TICA_A_LA_ROYA_DEL_CAF%C3%89_(HEMILEIA_VASTATRIX)_EN_VARIEDADES_MEJORADAS_EN_HONDURAS_AL_2019</t>
        </is>
      </c>
    </row>
    <row r="6">
      <c r="A6" s="12" t="inlineStr">
        <is>
          <t xml:space="preserve">2</t>
        </is>
      </c>
      <c r="B6" s="12" t="inlineStr">
        <is>
          <t xml:space="preserve">Lempira share of sampled farms</t>
        </is>
      </c>
      <c r="C6" s="12" t="inlineStr">
        <is>
          <t xml:space="preserve">Lempira = 56.08% of total sampled farms and 67.74% of farms classed as rust-susceptible varieties (IHCAFE Boletín No 8, Oct 2017)</t>
        </is>
      </c>
      <c r="D6" s="12" t="inlineStr">
        <is>
          <t xml:space="preserve">56.08 ; 67.74</t>
        </is>
      </c>
      <c r="E6" s="12" t="inlineStr">
        <is>
          <t xml:space="preserve">% of sampled farms (SAT monitoring)</t>
        </is>
      </c>
      <c r="F6" s="12" t="inlineStr">
        <is>
          <t xml:space="preserve">2017</t>
        </is>
      </c>
      <c r="G6" s="12" t="inlineStr">
        <is>
          <t xml:space="preserve">UNVERIFIED - search-engine summary only; document NOT downloaded</t>
        </is>
      </c>
      <c r="H6" s="12" t="inlineStr">
        <is>
          <t xml:space="preserve">variedad Lempira IHCAFE pérdida de resistencia roya 2017</t>
        </is>
      </c>
      <c r="I6" s="12" t="inlineStr">
        <is>
          <t xml:space="preserve">https://www.ihcafe.hn/?mdocs-file=5360</t>
        </is>
      </c>
    </row>
    <row r="7">
      <c r="A7" s="12" t="inlineStr">
        <is>
          <t xml:space="preserve">1</t>
        </is>
      </c>
      <c r="B7" s="12" t="inlineStr">
        <is>
          <t xml:space="preserve">Lempira</t>
        </is>
      </c>
      <c r="C7" s="12" t="inlineStr">
        <is>
          <t xml:space="preserve">Lempira national average rust incidence 3.21% (range 0-33.99%) (IHCAFE Boletín No 8, Oct 2017)</t>
        </is>
      </c>
      <c r="D7" s="12" t="inlineStr">
        <is>
          <t xml:space="preserve">3.21</t>
        </is>
      </c>
      <c r="E7" s="12" t="inlineStr">
        <is>
          <t xml:space="preserve">% incidence</t>
        </is>
      </c>
      <c r="F7" s="12" t="inlineStr">
        <is>
          <t xml:space="preserve">2017</t>
        </is>
      </c>
      <c r="G7" s="12" t="inlineStr">
        <is>
          <t xml:space="preserve">UNVERIFIED - search-engine summary only; document NOT downloaded</t>
        </is>
      </c>
      <c r="H7" s="12" t="inlineStr">
        <is>
          <t xml:space="preserve">variedad Lempira IHCAFE pérdida de resistencia roya 2017</t>
        </is>
      </c>
      <c r="I7" s="12" t="inlineStr">
        <is>
          <t xml:space="preserve">https://www.ihcafe.hn/?mdocs-file=5360</t>
        </is>
      </c>
    </row>
    <row r="8">
      <c r="A8" s="12" t="inlineStr">
        <is>
          <t xml:space="preserve">1</t>
        </is>
      </c>
      <c r="B8" s="12" t="inlineStr">
        <is>
          <t xml:space="preserve">Lempira</t>
        </is>
      </c>
      <c r="C8" s="12" t="inlineStr">
        <is>
          <t xml:space="preserve">Catimor; cross Hybrid Timor 832/1 x Caturra; released 1997 (also called Lempira-98)</t>
        </is>
      </c>
      <c r="D8" s="12" t="inlineStr">
        <is>
          <t xml:space="preserve">1997/1998</t>
        </is>
      </c>
      <c r="E8" s="12" t="inlineStr">
        <is>
          <t xml:space="preserve">release year</t>
        </is>
      </c>
      <c r="F8" s="12" t="inlineStr">
        <is>
          <t xml:space="preserve"/>
        </is>
      </c>
      <c r="G8" s="12" t="inlineStr">
        <is>
          <t xml:space="preserve">UNVERIFIED - search-engine summary only; document NOT downloaded</t>
        </is>
      </c>
      <c r="H8" s="12" t="inlineStr">
        <is>
          <t xml:space="preserve">variedad Lempira liberada 1998 IHCAFE Catimor</t>
        </is>
      </c>
      <c r="I8" s="12" t="inlineStr">
        <is>
          <t xml:space="preserve">https://varieties.worldcoffeeresearch.org/varieties/lempira ; https://cafesmyway.com/variedad/lempira/</t>
        </is>
      </c>
    </row>
    <row r="9">
      <c r="A9" s="12" t="inlineStr">
        <is>
          <t xml:space="preserve">1</t>
        </is>
      </c>
      <c r="B9" s="12" t="inlineStr">
        <is>
          <t xml:space="preserve">IHCAFE 90</t>
        </is>
      </c>
      <c r="C9" s="12" t="inlineStr">
        <is>
          <t xml:space="preserve">Catimor (Caturra x Timor Hybrid, CIFC Portugal 1959); Catimor lines introduced in Honduras from 1979; IHCAFE 90 selected after ~10 years of evaluation</t>
        </is>
      </c>
      <c r="D9" s="12" t="inlineStr">
        <is>
          <t xml:space="preserve">1979</t>
        </is>
      </c>
      <c r="E9" s="12" t="inlineStr">
        <is>
          <t xml:space="preserve">year lines introduced</t>
        </is>
      </c>
      <c r="F9" s="12" t="inlineStr">
        <is>
          <t xml:space="preserve"/>
        </is>
      </c>
      <c r="G9" s="12" t="inlineStr">
        <is>
          <t xml:space="preserve">UNVERIFIED - search-engine summary only; document NOT downloaded</t>
        </is>
      </c>
      <c r="H9" s="12" t="inlineStr">
        <is>
          <t xml:space="preserve">IHCAFE 90 variedad Catimor liberada año</t>
        </is>
      </c>
      <c r="I9" s="12" t="inlineStr">
        <is>
          <t xml:space="preserve">https://www.yumpu.com/es/document/view/58384474/guia-de-variedades-de-cafe/15 ; https://inheritancecoffee.com/pages/cultivar/ihcafe-90</t>
        </is>
      </c>
    </row>
    <row r="10">
      <c r="A10" s="12" t="inlineStr">
        <is>
          <t xml:space="preserve">1</t>
        </is>
      </c>
      <c r="B10" s="12" t="inlineStr">
        <is>
          <t xml:space="preserve">Parainema</t>
        </is>
      </c>
      <c r="C10" s="12" t="inlineStr">
        <is>
          <t xml:space="preserve">Sarchimor selection by IHCAFE (crossed 1980s), officially released 2004; rust + nematode resistance; target 1000-1400 m</t>
        </is>
      </c>
      <c r="D10" s="12" t="inlineStr">
        <is>
          <t xml:space="preserve">2004</t>
        </is>
      </c>
      <c r="E10" s="12" t="inlineStr">
        <is>
          <t xml:space="preserve">release year</t>
        </is>
      </c>
      <c r="F10" s="12" t="inlineStr">
        <is>
          <t xml:space="preserve"/>
        </is>
      </c>
      <c r="G10" s="12" t="inlineStr">
        <is>
          <t xml:space="preserve">UNVERIFIED - search-engine summary only; document NOT downloaded</t>
        </is>
      </c>
      <c r="H10" s="12" t="inlineStr">
        <is>
          <t xml:space="preserve">Parainema variety World Coffee Research Honduras IHCAFE</t>
        </is>
      </c>
      <c r="I10" s="12" t="inlineStr">
        <is>
          <t xml:space="preserve">https://varieties.worldcoffeeresearch.org/varieties/parainema ; https://library.sweetmarias.com/glossary/parainema/</t>
        </is>
      </c>
    </row>
    <row r="11">
      <c r="A11" s="12" t="inlineStr">
        <is>
          <t xml:space="preserve">1</t>
        </is>
      </c>
      <c r="B11" s="12" t="inlineStr">
        <is>
          <t xml:space="preserve">New releases 2024</t>
        </is>
      </c>
      <c r="C11" s="12" t="inlineStr">
        <is>
          <t xml:space="preserve">Feb 2024 IHCAFE presented three varieties: Ihcatú 75, Anacafé 14 SHN, Ihcatú 75 Obatá SHN (first releases ~20 years after Parainema); seed for &gt;=1,500 manzanas in 2024</t>
        </is>
      </c>
      <c r="D11" s="12" t="inlineStr">
        <is>
          <t xml:space="preserve">2024 ; 1500</t>
        </is>
      </c>
      <c r="E11" s="12" t="inlineStr">
        <is>
          <t xml:space="preserve">year ; manzanas of seed</t>
        </is>
      </c>
      <c r="F11" s="12" t="inlineStr">
        <is>
          <t xml:space="preserve">2024</t>
        </is>
      </c>
      <c r="G11" s="12" t="inlineStr">
        <is>
          <t xml:space="preserve">UNVERIFIED - search-engine summary only; document NOT downloaded</t>
        </is>
      </c>
      <c r="H11" s="12" t="inlineStr">
        <is>
          <t xml:space="preserve">IHCAFE nuevas variedades liberadas 2022 2023 2024</t>
        </is>
      </c>
      <c r="I11" s="12" t="inlineStr">
        <is>
          <t xml:space="preserve">https://www.elheraldo.hn/economia/honduras-dispone-de-tres-nuevas-variedades-de-cafe-IK17849302</t>
        </is>
      </c>
    </row>
    <row r="12">
      <c r="A12" s="12" t="inlineStr">
        <is>
          <t xml:space="preserve">1</t>
        </is>
      </c>
      <c r="B12" s="12" t="inlineStr">
        <is>
          <t xml:space="preserve">New releases pipeline</t>
        </is>
      </c>
      <c r="C12" s="12" t="inlineStr">
        <is>
          <t xml:space="preserve">IHCAFE preparing to release at least 4 more rust-resistant varieties, evaluated in 7 research centres</t>
        </is>
      </c>
      <c r="D12" s="12" t="inlineStr">
        <is>
          <t xml:space="preserve">4</t>
        </is>
      </c>
      <c r="E12" s="12" t="inlineStr">
        <is>
          <t xml:space="preserve">varieties</t>
        </is>
      </c>
      <c r="F12" s="12" t="inlineStr">
        <is>
          <t xml:space="preserve">2023</t>
        </is>
      </c>
      <c r="G12" s="12" t="inlineStr">
        <is>
          <t xml:space="preserve">UNVERIFIED - search-engine summary only; document NOT downloaded</t>
        </is>
      </c>
      <c r="H12" s="12" t="inlineStr">
        <is>
          <t xml:space="preserve">IHCAFE nuevas variedades liberadas 2022 2023 2024</t>
        </is>
      </c>
      <c r="I12" s="12" t="inlineStr">
        <is>
          <t xml:space="preserve">https://www.laprensa.hn/honduras/honduras-ihcafe-prepara-liberar-4-variedades-resistentes-roya-KC15606396</t>
        </is>
      </c>
    </row>
    <row r="13">
      <c r="A13" s="12" t="inlineStr">
        <is>
          <t xml:space="preserve">1</t>
        </is>
      </c>
      <c r="B13" s="12" t="inlineStr">
        <is>
          <t xml:space="preserve">Obatá</t>
        </is>
      </c>
      <c r="C13" s="12" t="inlineStr">
        <is>
          <t xml:space="preserve">Obatá SHN (from Brazil) official in Honduras; productivity ~20% above Caturra; moderate rust resistance; in Proyecto de Renovación de Fincas official list</t>
        </is>
      </c>
      <c r="D13" s="12" t="inlineStr">
        <is>
          <t xml:space="preserve">20</t>
        </is>
      </c>
      <c r="E13" s="12" t="inlineStr">
        <is>
          <t xml:space="preserve">% above Caturra</t>
        </is>
      </c>
      <c r="F13" s="12" t="inlineStr">
        <is>
          <t xml:space="preserve"/>
        </is>
      </c>
      <c r="G13" s="12" t="inlineStr">
        <is>
          <t xml:space="preserve">UNVERIFIED - search-engine summary only; document NOT downloaded</t>
        </is>
      </c>
      <c r="H13" s="12" t="inlineStr">
        <is>
          <t xml:space="preserve">Obatá Rojo IHCAFE Honduras</t>
        </is>
      </c>
      <c r="I13" s="12" t="inlineStr">
        <is>
          <t xml:space="preserve">https://www.anacafe.org/uploads/file/b5280eca11c54a24a2adf4c5647c9205/07-obata-variedad-brasilena.pdf ; https://tripartito.coffee/estas-son-las-nuevas-variedades-de-cafe-en-honduras/</t>
        </is>
      </c>
    </row>
    <row r="14">
      <c r="A14" s="12" t="inlineStr">
        <is>
          <t xml:space="preserve">2</t>
        </is>
      </c>
      <c r="B14" s="12" t="inlineStr">
        <is>
          <t xml:space="preserve">Resistant share</t>
        </is>
      </c>
      <c r="C14" s="12" t="inlineStr">
        <is>
          <t xml:space="preserve">~60% of Honduran coffee in resistant varieties (Lempira, IHCAFE 90, Parainema) [date unclear, secondary blog]</t>
        </is>
      </c>
      <c r="D14" s="12" t="inlineStr">
        <is>
          <t xml:space="preserve">60</t>
        </is>
      </c>
      <c r="E14" s="12" t="inlineStr">
        <is>
          <t xml:space="preserve">% cultivation</t>
        </is>
      </c>
      <c r="F14" s="12" t="inlineStr">
        <is>
          <t xml:space="preserve">~2020</t>
        </is>
      </c>
      <c r="G14" s="12" t="inlineStr">
        <is>
          <t xml:space="preserve">UNVERIFIED - search-engine summary only; document NOT downloaded</t>
        </is>
      </c>
      <c r="H14" s="12" t="inlineStr">
        <is>
          <t xml:space="preserve">Honduras porcentaje área café variedades resistentes</t>
        </is>
      </c>
      <c r="I14" s="12" t="inlineStr">
        <is>
          <t xml:space="preserve">https://perfectdailygrind.com/es/2020/03/18/explorando-las-variedades-comunes-de-cafe-de-honduras/</t>
        </is>
      </c>
    </row>
    <row r="15">
      <c r="A15" s="12" t="inlineStr">
        <is>
          <t xml:space="preserve">2</t>
        </is>
      </c>
      <c r="B15" s="12" t="inlineStr">
        <is>
          <t xml:space="preserve">Resistant share 2012-13</t>
        </is>
      </c>
      <c r="C15" s="12" t="inlineStr">
        <is>
          <t xml:space="preserve">Of 400,000 manzanas cultivated, 200,000 resistant to rust; rest Catuaí, Caturra, Bourbon, Pacas (press, rust era)</t>
        </is>
      </c>
      <c r="D15" s="12" t="inlineStr">
        <is>
          <t xml:space="preserve">200000 of 400000</t>
        </is>
      </c>
      <c r="E15" s="12" t="inlineStr">
        <is>
          <t xml:space="preserve">manzanas</t>
        </is>
      </c>
      <c r="F15" s="12" t="inlineStr">
        <is>
          <t xml:space="preserve">2012-13</t>
        </is>
      </c>
      <c r="G15" s="12" t="inlineStr">
        <is>
          <t xml:space="preserve">UNVERIFIED - search-engine summary only; document NOT downloaded</t>
        </is>
      </c>
      <c r="H15" s="12" t="inlineStr">
        <is>
          <t xml:space="preserve">roya Honduras 2012-2013 manzanas afectadas</t>
        </is>
      </c>
      <c r="I15" s="12" t="inlineStr">
        <is>
          <t xml:space="preserve">https://www.elheraldo.hn/honduras/precios-bajos-y-ataque-de-la-roya-dejaran-perdidas-por-700-millones-GOEH566347 ; https://bdigital.zamorano.edu/items/e6eb0227-c664-4e78-a24e-15fb71ce3f71</t>
        </is>
      </c>
    </row>
    <row r="16">
      <c r="A16" s="12" t="inlineStr">
        <is>
          <t xml:space="preserve">2</t>
        </is>
      </c>
      <c r="B16" s="12" t="inlineStr">
        <is>
          <t xml:space="preserve">Rust impact 2012-13</t>
        </is>
      </c>
      <c r="C16" s="12" t="inlineStr">
        <is>
          <t xml:space="preserve">Rust affected 25% of area (~100,000 mz): ~30,000 mz severe (renovation), ~70,000 mz moderate (rehabilitation); IHCAFE prelim loss ~1.5 million qq, ~US$250 million</t>
        </is>
      </c>
      <c r="D16" s="12" t="inlineStr">
        <is>
          <t xml:space="preserve">100000 ; 1.5 million qq ; 250 million USD</t>
        </is>
      </c>
      <c r="E16" s="12" t="inlineStr">
        <is>
          <t xml:space="preserve">mz ; qq ; USD</t>
        </is>
      </c>
      <c r="F16" s="12" t="inlineStr">
        <is>
          <t xml:space="preserve">2012-13</t>
        </is>
      </c>
      <c r="G16" s="12" t="inlineStr">
        <is>
          <t xml:space="preserve">UNVERIFIED - search-engine summary only; document NOT downloaded</t>
        </is>
      </c>
      <c r="H16" s="12" t="inlineStr">
        <is>
          <t xml:space="preserve">roya Honduras 2012-2013 manzanas afectadas</t>
        </is>
      </c>
      <c r="I16" s="12" t="inlineStr">
        <is>
          <t xml:space="preserve">https://www.elheraldo.hn/economia/caficultura-tardara-tres-anos-para-recuperarse-de-estragos-de-la-roya-FKEH610243 ; https://www.elheraldo.hn/honduras/precios-bajos-y-ataque-de-la-roya-dejaran-perdidas-por-700-millones-GOEH566347</t>
        </is>
      </c>
    </row>
    <row r="17">
      <c r="A17" s="12" t="inlineStr">
        <is>
          <t xml:space="preserve">2</t>
        </is>
      </c>
      <c r="B17" s="12" t="inlineStr">
        <is>
          <t xml:space="preserve">Avelino 2015</t>
        </is>
      </c>
      <c r="C17" s="12" t="inlineStr">
        <is>
          <t xml:space="preserve">Central America production -16% in 2013 vs 2011-12 and -10% in 2013-14 vs 2012-13 (Colombia -31% avg vs 2007)</t>
        </is>
      </c>
      <c r="D17" s="12" t="inlineStr">
        <is>
          <t xml:space="preserve">-16 ; -10</t>
        </is>
      </c>
      <c r="E17" s="12" t="inlineStr">
        <is>
          <t xml:space="preserve">%</t>
        </is>
      </c>
      <c r="F17" s="12" t="inlineStr">
        <is>
          <t xml:space="preserve">2013</t>
        </is>
      </c>
      <c r="G17" s="12" t="inlineStr">
        <is>
          <t xml:space="preserve">UNVERIFIED - search-engine summary only; document NOT downloaded</t>
        </is>
      </c>
      <c r="H17" s="12" t="inlineStr">
        <is>
          <t xml:space="preserve">Avelino 2015 coffee rust crises</t>
        </is>
      </c>
      <c r="I17" s="12" t="inlineStr">
        <is>
          <t xml:space="preserve">https://agritrop.cirad.fr/575723/ ; https://d-nb.info/1198124938/34</t>
        </is>
      </c>
    </row>
    <row r="18">
      <c r="A18" s="12" t="inlineStr">
        <is>
          <t xml:space="preserve">3</t>
        </is>
      </c>
      <c r="B18" s="12" t="inlineStr">
        <is>
          <t xml:space="preserve">National yield</t>
        </is>
      </c>
      <c r="C18" s="12" t="inlineStr">
        <is>
          <t xml:space="preserve">Average yield ~18 qq/mz (could reach 30 with investment); 2022-23 production 7,159,804 qq oro</t>
        </is>
      </c>
      <c r="D18" s="12" t="inlineStr">
        <is>
          <t xml:space="preserve">18 ; 7159804</t>
        </is>
      </c>
      <c r="E18" s="12" t="inlineStr">
        <is>
          <t xml:space="preserve">qq oro/mz ; qq oro</t>
        </is>
      </c>
      <c r="F18" s="12" t="inlineStr">
        <is>
          <t xml:space="preserve">2022-23</t>
        </is>
      </c>
      <c r="G18" s="12" t="inlineStr">
        <is>
          <t xml:space="preserve">UNVERIFIED - search-engine summary only; document NOT downloaded</t>
        </is>
      </c>
      <c r="H18" s="12" t="inlineStr">
        <is>
          <t xml:space="preserve">Honduras rendimiento promedio quintales oro por manzana</t>
        </is>
      </c>
      <c r="I18" s="12" t="inlineStr">
        <is>
          <t xml:space="preserve">https://www.elheraldo.hn/economia/siete-departamentos-mas-cafe-producen-honduras-PA19802085 ; https://www.laprensa.hn/economia/departamentos-cafe-producen-honduras-EA19803315</t>
        </is>
      </c>
    </row>
    <row r="19">
      <c r="A19" s="12" t="inlineStr">
        <is>
          <t xml:space="preserve">3</t>
        </is>
      </c>
      <c r="B19" s="12" t="inlineStr">
        <is>
          <t xml:space="preserve">Dept yields</t>
        </is>
      </c>
      <c r="C19" s="12" t="inlineStr">
        <is>
          <t xml:space="preserve">Copán 21.25 qq/mz on 51,131 mz; Comayagua 17.34 on 66,121 mz; Lempira 18.82; Ocotepeque 19.20; Yoro 18.92; Intibucá 18.39</t>
        </is>
      </c>
      <c r="D19" s="12" t="inlineStr">
        <is>
          <t xml:space="preserve">see claim</t>
        </is>
      </c>
      <c r="E19" s="12" t="inlineStr">
        <is>
          <t xml:space="preserve">qq oro/mz</t>
        </is>
      </c>
      <c r="F19" s="12" t="inlineStr">
        <is>
          <t xml:space="preserve">~2023</t>
        </is>
      </c>
      <c r="G19" s="12" t="inlineStr">
        <is>
          <t xml:space="preserve">UNVERIFIED - search-engine summary only; document NOT downloaded</t>
        </is>
      </c>
      <c r="H19" s="12" t="inlineStr">
        <is>
          <t xml:space="preserve">Honduras rendimiento promedio quintales oro por manzana</t>
        </is>
      </c>
      <c r="I19" s="12" t="inlineStr">
        <is>
          <t xml:space="preserve">https://www.elheraldo.hn/economia/siete-departamentos-mas-cafe-producen-honduras-PA19802085</t>
        </is>
      </c>
    </row>
    <row r="20">
      <c r="A20" s="12" t="inlineStr">
        <is>
          <t xml:space="preserve">4</t>
        </is>
      </c>
      <c r="B20" s="12" t="inlineStr">
        <is>
          <t xml:space="preserve">Fideicomiso 2003</t>
        </is>
      </c>
      <c r="C20" s="12" t="inlineStr">
        <is>
          <t xml:space="preserve">Decreto 152-2003 (17 Sep 2003) Ley de Reactivación Financiera del Sector Productor de Café created the trust; reformed by Decreto 56-2007 (8 May 2007); snippet mentions US$4/qq retention (NOT US$9 - conflicts with brief)</t>
        </is>
      </c>
      <c r="D20" s="12" t="inlineStr">
        <is>
          <t xml:space="preserve">4</t>
        </is>
      </c>
      <c r="E20" s="12" t="inlineStr">
        <is>
          <t xml:space="preserve">USD/qq retention</t>
        </is>
      </c>
      <c r="F20" s="12" t="inlineStr">
        <is>
          <t xml:space="preserve">2003</t>
        </is>
      </c>
      <c r="G20" s="12" t="inlineStr">
        <is>
          <t xml:space="preserve">UNVERIFIED - search-engine summary only; document NOT downloaded</t>
        </is>
      </c>
      <c r="H20" s="12" t="inlineStr">
        <is>
          <t xml:space="preserve">Ley de Reactivación Financiera ... 2003</t>
        </is>
      </c>
      <c r="I20" s="12" t="inlineStr">
        <is>
          <t xml:space="preserve">https://faolex.fao.org/docs/pdf/hon94834.pdf ; https://www.ecolex.org/es/details/legislation/decreto-no-5607-modifica-el-decreto-no-15203-ley-de-reactivacion-financiera-del-sector-productor-de-cafe-lex-faoc094836/</t>
        </is>
      </c>
    </row>
    <row r="21">
      <c r="A21" s="12" t="inlineStr">
        <is>
          <t xml:space="preserve">4</t>
        </is>
      </c>
      <c r="B21" s="12" t="inlineStr">
        <is>
          <t xml:space="preserve">Decreto 93-2018</t>
        </is>
      </c>
      <c r="C21" s="12" t="inlineStr">
        <is>
          <t xml:space="preserve">Authorised IHCAFE to contract financing up to L1,900 million to lend L200 per quintal clean coffee, based on 2016/17 registered production (snippet did NOT confirm US$25/qq or US$1.50/qq)</t>
        </is>
      </c>
      <c r="D21" s="12" t="inlineStr">
        <is>
          <t xml:space="preserve">1900 million ; 200</t>
        </is>
      </c>
      <c r="E21" s="12" t="inlineStr">
        <is>
          <t xml:space="preserve">Lempiras ; L/qq</t>
        </is>
      </c>
      <c r="F21" s="12" t="inlineStr">
        <is>
          <t xml:space="preserve">2018</t>
        </is>
      </c>
      <c r="G21" s="12" t="inlineStr">
        <is>
          <t xml:space="preserve">UNVERIFIED - search-engine summary only; document NOT downloaded</t>
        </is>
      </c>
      <c r="H21" s="12" t="inlineStr">
        <is>
          <t xml:space="preserve">Decreto 93-2018 fideicomiso café</t>
        </is>
      </c>
      <c r="I21" s="12" t="inlineStr">
        <is>
          <t xml:space="preserve">https://www.ihcafe.hn/wp-content/uploads/2021/06/Decreto-93-2018_Prestamo-L200_Leyes-IHCAFE-1.pdf ; https://hn.vlex.com/vid/decreto-no-93-2018-742043561</t>
        </is>
      </c>
    </row>
    <row r="22">
      <c r="A22" s="12" t="inlineStr">
        <is>
          <t xml:space="preserve">4</t>
        </is>
      </c>
      <c r="B22" s="12" t="inlineStr">
        <is>
          <t xml:space="preserve">2018 debt relief</t>
        </is>
      </c>
      <c r="C22" s="12" t="inlineStr">
        <is>
          <t xml:space="preserve">Decreto 47-2018 agricultural debt readjustment up to 20 years at 2%; BANHPROVI Coffee Sector Fund L300 million (guarantee supporting &gt;L5 billion refinancing); &gt;55,000 growers</t>
        </is>
      </c>
      <c r="D22" s="12" t="inlineStr">
        <is>
          <t xml:space="preserve">300 million ; 20 yrs ; 2%</t>
        </is>
      </c>
      <c r="E22" s="12" t="inlineStr">
        <is>
          <t xml:space="preserve">L ; years ; interest</t>
        </is>
      </c>
      <c r="F22" s="12" t="inlineStr">
        <is>
          <t xml:space="preserve">2018-19</t>
        </is>
      </c>
      <c r="G22" s="12" t="inlineStr">
        <is>
          <t xml:space="preserve">UNVERIFIED - search-engine summary only; document NOT downloaded</t>
        </is>
      </c>
      <c r="H22" s="12" t="inlineStr">
        <is>
          <t xml:space="preserve">readecuación deudas caficultores Honduras 2019</t>
        </is>
      </c>
      <c r="I22" s="12" t="inlineStr">
        <is>
          <t xml:space="preserve">https://www.elheraldo.hn/honduras/aprueban-dos-formas-de-financiamiento-para-los-caficultores-FWEH1211602 ; http://www.miambiente.gob.hn/blog/view/mas-de-55000-caficultores-se-beneficiaran-con-readecuacion-y-refinanciamiento-de-deuda</t>
        </is>
      </c>
    </row>
    <row r="23">
      <c r="A23" s="12" t="inlineStr">
        <is>
          <t xml:space="preserve">4</t>
        </is>
      </c>
      <c r="B23" s="12" t="inlineStr">
        <is>
          <t xml:space="preserve">Rust credit 2013</t>
        </is>
      </c>
      <c r="C23" s="12" t="inlineStr">
        <is>
          <t xml:space="preserve">~L1,715 million made available to growers through different sources to face rust (2013); banks to lend L900 million</t>
        </is>
      </c>
      <c r="D23" s="12" t="inlineStr">
        <is>
          <t xml:space="preserve">1715 million ; 900 million</t>
        </is>
      </c>
      <c r="E23" s="12" t="inlineStr">
        <is>
          <t xml:space="preserve">Lempiras</t>
        </is>
      </c>
      <c r="F23" s="12" t="inlineStr">
        <is>
          <t xml:space="preserve">2013</t>
        </is>
      </c>
      <c r="G23" s="12" t="inlineStr">
        <is>
          <t xml:space="preserve">UNVERIFIED - search-engine summary only; document NOT downloaded</t>
        </is>
      </c>
      <c r="H23" s="12" t="inlineStr">
        <is>
          <t xml:space="preserve">línea de crédito 370 millones lempiras fertilizante</t>
        </is>
      </c>
      <c r="I23" s="12" t="inlineStr">
        <is>
          <t xml:space="preserve">https://www.elheraldo.hn/economia/caficultura-tardara-tres-anos-para-recuperarse-de-estragos-de-la-roya-FKEH610243 ; https://www.elheraldo.hn/economia/bancos-prestaran-l-900-millones-a-los-caficultores-BKEH610212</t>
        </is>
      </c>
    </row>
    <row r="24">
      <c r="A24" s="12" t="inlineStr">
        <is>
          <t xml:space="preserve">4</t>
        </is>
      </c>
      <c r="B24" s="12" t="inlineStr">
        <is>
          <t xml:space="preserve">Rust emergency 2013</t>
        </is>
      </c>
      <c r="C24" s="12" t="inlineStr">
        <is>
          <t xml:space="preserve">Gaceta No. 33,050 of 13 Feb 2013 references phytosanitary emergency for coffee rust (decree number not in snippet)</t>
        </is>
      </c>
      <c r="D24" s="12" t="inlineStr">
        <is>
          <t xml:space="preserve">13 Feb 2013</t>
        </is>
      </c>
      <c r="E24" s="12" t="inlineStr">
        <is>
          <t xml:space="preserve">date</t>
        </is>
      </c>
      <c r="F24" s="12" t="inlineStr">
        <is>
          <t xml:space="preserve">2013</t>
        </is>
      </c>
      <c r="G24" s="12" t="inlineStr">
        <is>
          <t xml:space="preserve">UNVERIFIED - search-engine summary only; document NOT downloaded</t>
        </is>
      </c>
      <c r="H24" s="12" t="inlineStr">
        <is>
          <t xml:space="preserve">emergencia roya Honduras febrero 2013 decreto</t>
        </is>
      </c>
      <c r="I24" s="12" t="inlineStr">
        <is>
          <t xml:space="preserve">https://faolex.fao.org/docs/pdf/hon123550.pdf</t>
        </is>
      </c>
    </row>
    <row r="25">
      <c r="A25" s="12" t="inlineStr">
        <is>
          <t xml:space="preserve">4</t>
        </is>
      </c>
      <c r="B25" s="12" t="inlineStr">
        <is>
          <t xml:space="preserve">BANADESA rust</t>
        </is>
      </c>
      <c r="C25" s="12" t="inlineStr">
        <is>
          <t xml:space="preserve">BANADESA attended 360 rust-affected producers, lending &gt;L28 million (regional, year unclear)</t>
        </is>
      </c>
      <c r="D25" s="12" t="inlineStr">
        <is>
          <t xml:space="preserve">28 million ; 360</t>
        </is>
      </c>
      <c r="E25" s="12" t="inlineStr">
        <is>
          <t xml:space="preserve">L ; producers</t>
        </is>
      </c>
      <c r="F25" s="12" t="inlineStr">
        <is>
          <t xml:space="preserve">~2013</t>
        </is>
      </c>
      <c r="G25" s="12" t="inlineStr">
        <is>
          <t xml:space="preserve">UNVERIFIED - search-engine summary only; document NOT downloaded</t>
        </is>
      </c>
      <c r="H25" s="12" t="inlineStr">
        <is>
          <t xml:space="preserve">emergencia roya Honduras ... BANADESA</t>
        </is>
      </c>
      <c r="I25" s="12" t="inlineStr">
        <is>
          <t xml:space="preserve">https://www.elheraldo.hn/honduras/caficultura-movio-prestamos-por-59-millones-de-lempiras-DCEH781103</t>
        </is>
      </c>
    </row>
    <row r="26">
      <c r="A26" s="12" t="inlineStr">
        <is>
          <t xml:space="preserve">4</t>
        </is>
      </c>
      <c r="B26" s="12" t="inlineStr">
        <is>
          <t xml:space="preserve">Bono Cafetalero (2020/21)</t>
        </is>
      </c>
      <c r="C26" s="12" t="inlineStr">
        <is>
          <t xml:space="preserve">L250 million (~US$10.12 million), 83,273 producers, 222 municipalities, 15 depts, 216,223 qq fertiliser 17-3-17; 2 qq for 1-50 qq producers, 4 for 51-100, 5 for 101-125</t>
        </is>
      </c>
      <c r="D26" s="12" t="inlineStr">
        <is>
          <t xml:space="preserve">250 million ; 83273 ; 216223</t>
        </is>
      </c>
      <c r="E26" s="12" t="inlineStr">
        <is>
          <t xml:space="preserve">L ; producers ; qq fert</t>
        </is>
      </c>
      <c r="F26" s="12" t="inlineStr">
        <is>
          <t xml:space="preserve">2020/2021</t>
        </is>
      </c>
      <c r="G26" s="12" t="inlineStr">
        <is>
          <t xml:space="preserve">UNVERIFIED - search-engine summary only; document NOT downloaded</t>
        </is>
      </c>
      <c r="H26" s="12" t="inlineStr">
        <is>
          <t xml:space="preserve">Bono Cafetalero PCM 030-2020</t>
        </is>
      </c>
      <c r="I26" s="12" t="inlineStr">
        <is>
          <t xml:space="preserve">https://www.laprensa.hn/economia/83-000-productores-recibiran-bono-cafetalero-honduras-BJ9308982 ; https://www.tsc.gob.hn/web/leyes/PCM-031-2021.pdf</t>
        </is>
      </c>
    </row>
    <row r="27">
      <c r="A27" s="12" t="inlineStr">
        <is>
          <t xml:space="preserve">4</t>
        </is>
      </c>
      <c r="B27" s="12" t="inlineStr">
        <is>
          <t xml:space="preserve">Bono Cafetalero 2021</t>
        </is>
      </c>
      <c r="C27" s="12" t="inlineStr">
        <is>
          <t xml:space="preserve">Presidencia: bono will benefit &gt;88,207 producers in 2021 (title only)</t>
        </is>
      </c>
      <c r="D27" s="12" t="inlineStr">
        <is>
          <t xml:space="preserve">88207</t>
        </is>
      </c>
      <c r="E27" s="12" t="inlineStr">
        <is>
          <t xml:space="preserve">producers</t>
        </is>
      </c>
      <c r="F27" s="12" t="inlineStr">
        <is>
          <t xml:space="preserve">2021</t>
        </is>
      </c>
      <c r="G27" s="12" t="inlineStr">
        <is>
          <t xml:space="preserve">UNVERIFIED - search-engine summary only; document NOT downloaded</t>
        </is>
      </c>
      <c r="H27" s="12" t="inlineStr">
        <is>
          <t xml:space="preserve">PCM 031-2021 bono cafetalero</t>
        </is>
      </c>
      <c r="I27" s="12" t="inlineStr">
        <is>
          <t xml:space="preserve">https://presidencia.gob.hn/index.php/sala-de-prensa/9515-bono-cafetalero-beneficiara-a-mas-de-88-207-productores-de-todo-el-pais-en-2021</t>
        </is>
      </c>
    </row>
    <row r="28">
      <c r="A28" s="12" t="inlineStr">
        <is>
          <t xml:space="preserve">4</t>
        </is>
      </c>
      <c r="B28" s="12" t="inlineStr">
        <is>
          <t xml:space="preserve">Bono Cafetalero 2025</t>
        </is>
      </c>
      <c r="C28" s="12" t="inlineStr">
        <is>
          <t xml:space="preserve">L350 million, 119,803 producers, 226 municipalities, 300,000 qq fertiliser; plus renovation plan 100 million plants for 35,000 mz</t>
        </is>
      </c>
      <c r="D28" s="12" t="inlineStr">
        <is>
          <t xml:space="preserve">350 million ; 119803 ; 300000 ; 35000</t>
        </is>
      </c>
      <c r="E28" s="12" t="inlineStr">
        <is>
          <t xml:space="preserve">L ; producers ; qq ; mz</t>
        </is>
      </c>
      <c r="F28" s="12" t="inlineStr">
        <is>
          <t xml:space="preserve">2025</t>
        </is>
      </c>
      <c r="G28" s="12" t="inlineStr">
        <is>
          <t xml:space="preserve">UNVERIFIED - search-engine summary only; document NOT downloaded</t>
        </is>
      </c>
      <c r="H28" s="12" t="inlineStr">
        <is>
          <t xml:space="preserve">línea de crédito 370 millones ... fertilizante</t>
        </is>
      </c>
      <c r="I28" s="12" t="inlineStr">
        <is>
          <t xml:space="preserve">https://tnh.gob.hn/nacional/bono-cafetalero-impulsa-a-mas-de-5600-productores-de-yoro-con-entrega-de-15000-quintales-de-fertilizante/</t>
        </is>
      </c>
    </row>
    <row r="29">
      <c r="A29" s="12" t="inlineStr">
        <is>
          <t xml:space="preserve">4</t>
        </is>
      </c>
      <c r="B29" s="12" t="inlineStr">
        <is>
          <t xml:space="preserve">Bono 2022</t>
        </is>
      </c>
      <c r="C29" s="12" t="inlineStr">
        <is>
          <t xml:space="preserve">Honduras to benefit 100,000 producers with bono cafetalero (Oct 2022, title)</t>
        </is>
      </c>
      <c r="D29" s="12" t="inlineStr">
        <is>
          <t xml:space="preserve">100000</t>
        </is>
      </c>
      <c r="E29" s="12" t="inlineStr">
        <is>
          <t xml:space="preserve">producers</t>
        </is>
      </c>
      <c r="F29" s="12" t="inlineStr">
        <is>
          <t xml:space="preserve">2022</t>
        </is>
      </c>
      <c r="G29" s="12" t="inlineStr">
        <is>
          <t xml:space="preserve">UNVERIFIED - search-engine summary only; document NOT downloaded</t>
        </is>
      </c>
      <c r="H29" s="12" t="inlineStr">
        <is>
          <t xml:space="preserve">Bono Cafetalero</t>
        </is>
      </c>
      <c r="I29" s="12" t="inlineStr">
        <is>
          <t xml:space="preserve">https://www.prensa-latina.cu/2022/10/05/honduras-beneficiara-a-100-mil-productores-con-bono-cafetalero</t>
        </is>
      </c>
    </row>
    <row r="30">
      <c r="A30" s="12" t="inlineStr">
        <is>
          <t xml:space="preserve">4</t>
        </is>
      </c>
      <c r="B30" s="12" t="inlineStr">
        <is>
          <t xml:space="preserve">CAF loan</t>
        </is>
      </c>
      <c r="C30" s="12" t="inlineStr">
        <is>
          <t xml:space="preserve">CAF US$350 million loan (coffee + social); US$40 million credit &amp; guarantee programme for coffee; first CAF disbursement to BANADESA L12,937,534.30</t>
        </is>
      </c>
      <c r="D30" s="12" t="inlineStr">
        <is>
          <t xml:space="preserve">350 million ; 40 million ; 12937534.30</t>
        </is>
      </c>
      <c r="E30" s="12" t="inlineStr">
        <is>
          <t xml:space="preserve">USD ; USD ; L</t>
        </is>
      </c>
      <c r="F30" s="12" t="inlineStr">
        <is>
          <t xml:space="preserve">~2024-25</t>
        </is>
      </c>
      <c r="G30" s="12" t="inlineStr">
        <is>
          <t xml:space="preserve">UNVERIFIED - search-engine summary only; document NOT downloaded</t>
        </is>
      </c>
      <c r="H30" s="12" t="inlineStr">
        <is>
          <t xml:space="preserve">Banco Central de Honduras préstamos sector café</t>
        </is>
      </c>
      <c r="I30" s="12" t="inlineStr">
        <is>
          <t xml:space="preserve">https://icndigital.com/caf-prestara-a-honduras-usd-350-millones-para-sector-cafe-y-desarrollo-social/ ; https://banadesa.hn/noticias-recientes/caf-realiza-primer-desembolso-a-banadesa-por-mas-de-12-9-millones-de-lempiras-para-el-financiamiento-al-sub-sector-cafe/</t>
        </is>
      </c>
    </row>
    <row r="31">
      <c r="A31" s="12" t="inlineStr">
        <is>
          <t xml:space="preserve">4</t>
        </is>
      </c>
      <c r="B31" s="12" t="inlineStr">
        <is>
          <t xml:space="preserve">Renovation 2020s</t>
        </is>
      </c>
      <c r="C31" s="12" t="inlineStr">
        <is>
          <t xml:space="preserve">"Renovar sin dejar de producir" SAG-IHCAFE: 134 demo farms, target 250,000 mz in five years; 70,000 mz renewed so far (33,000 producers not confirmed)</t>
        </is>
      </c>
      <c r="D31" s="12" t="inlineStr">
        <is>
          <t xml:space="preserve">250000 ; 70000</t>
        </is>
      </c>
      <c r="E31" s="12" t="inlineStr">
        <is>
          <t xml:space="preserve">mz</t>
        </is>
      </c>
      <c r="F31" s="12" t="inlineStr">
        <is>
          <t xml:space="preserve">~2024-26</t>
        </is>
      </c>
      <c r="G31" s="12" t="inlineStr">
        <is>
          <t xml:space="preserve">UNVERIFIED - search-engine summary only; document NOT downloaded</t>
        </is>
      </c>
      <c r="H31" s="12" t="inlineStr">
        <is>
          <t xml:space="preserve">IHCAFE programa renovación 2023-2027</t>
        </is>
      </c>
      <c r="I31" s="12" t="inlineStr">
        <is>
          <t xml:space="preserve">https://proceso.hn/honduras-renueva-70-mil-manzanas-de-cafe-y-proyecta-aumentar-exportaciones/</t>
        </is>
      </c>
    </row>
    <row r="32">
      <c r="A32" s="12" t="inlineStr">
        <is>
          <t xml:space="preserve">5</t>
        </is>
      </c>
      <c r="B32" s="12" t="inlineStr">
        <is>
          <t xml:space="preserve">Coffee debt stock</t>
        </is>
      </c>
      <c r="C32" s="12" t="inlineStr">
        <is>
          <t xml:space="preserve">Growers owe banks, cooperatives and IHCAFE ~L5,565 million (June 2021)</t>
        </is>
      </c>
      <c r="D32" s="12" t="inlineStr">
        <is>
          <t xml:space="preserve">5565 million</t>
        </is>
      </c>
      <c r="E32" s="12" t="inlineStr">
        <is>
          <t xml:space="preserve">Lempiras</t>
        </is>
      </c>
      <c r="F32" s="12" t="inlineStr">
        <is>
          <t xml:space="preserve">2021</t>
        </is>
      </c>
      <c r="G32" s="12" t="inlineStr">
        <is>
          <t xml:space="preserve">UNVERIFIED - search-engine summary only; document NOT downloaded</t>
        </is>
      </c>
      <c r="H32" s="12" t="inlineStr">
        <is>
          <t xml:space="preserve">Banco Central de Honduras préstamos sector café</t>
        </is>
      </c>
      <c r="I32" s="12" t="inlineStr">
        <is>
          <t xml:space="preserve">https://www.latribuna.hn/2021/06/25/caficultores-deben-a-bancos-e-ihcafe-l5565-millones/</t>
        </is>
      </c>
    </row>
    <row r="33">
      <c r="A33" s="12" t="inlineStr">
        <is>
          <t xml:space="preserve">5</t>
        </is>
      </c>
      <c r="B33" s="12" t="inlineStr">
        <is>
          <t xml:space="preserve">Loans approved</t>
        </is>
      </c>
      <c r="C33" s="12" t="inlineStr">
        <is>
          <t xml:space="preserve">"Aprueban L6,700 millones en préstamos para caficultores" (headline only, year unknown)</t>
        </is>
      </c>
      <c r="D33" s="12" t="inlineStr">
        <is>
          <t xml:space="preserve">6700 million</t>
        </is>
      </c>
      <c r="E33" s="12" t="inlineStr">
        <is>
          <t xml:space="preserve">Lempiras</t>
        </is>
      </c>
      <c r="F33" s="12" t="inlineStr">
        <is>
          <t xml:space="preserve">?</t>
        </is>
      </c>
      <c r="G33" s="12" t="inlineStr">
        <is>
          <t xml:space="preserve">UNVERIFIED - search-engine summary only; document NOT downloaded</t>
        </is>
      </c>
      <c r="H33" s="12" t="inlineStr">
        <is>
          <t xml:space="preserve">Banco Central de Honduras préstamos sector café</t>
        </is>
      </c>
      <c r="I33" s="12" t="inlineStr">
        <is>
          <t xml:space="preserve">https://www.laprensa.hn/economia/habilitados-fondos-ayuda-productores-hondurenos-cafe-OXLP1213148</t>
        </is>
      </c>
    </row>
    <row r="34">
      <c r="A34" s="12" t="inlineStr">
        <is>
          <t xml:space="preserve">5</t>
        </is>
      </c>
      <c r="B34" s="12" t="inlineStr">
        <is>
          <t xml:space="preserve">BANADESA 2023</t>
        </is>
      </c>
      <c r="C34" s="12" t="inlineStr">
        <is>
          <t xml:space="preserve">&gt;L33 million coffee credit placed in El Paraíso in 2023 (headline)</t>
        </is>
      </c>
      <c r="D34" s="12" t="inlineStr">
        <is>
          <t xml:space="preserve">33 million</t>
        </is>
      </c>
      <c r="E34" s="12" t="inlineStr">
        <is>
          <t xml:space="preserve">Lempiras</t>
        </is>
      </c>
      <c r="F34" s="12" t="inlineStr">
        <is>
          <t xml:space="preserve">2023</t>
        </is>
      </c>
      <c r="G34" s="12" t="inlineStr">
        <is>
          <t xml:space="preserve">UNVERIFIED - search-engine summary only; document NOT downloaded</t>
        </is>
      </c>
      <c r="H34" s="12" t="inlineStr">
        <is>
          <t xml:space="preserve">Banco Central de Honduras préstamos sector café</t>
        </is>
      </c>
      <c r="I34" s="12" t="inlineStr">
        <is>
          <t xml:space="preserve">https://banadesa.hn/noticias-recientes/mas-de-33-millones-de-lempiras-para-el-rubro-de-cafe-se-colocaron-en-creditos-en-el-paraiso-durante-2023/</t>
        </is>
      </c>
    </row>
    <row r="35">
      <c r="A35" s="12" t="inlineStr">
        <is>
          <t xml:space="preserve">6</t>
        </is>
      </c>
      <c r="B35" s="12" t="inlineStr">
        <is>
          <t xml:space="preserve">Cost 2023</t>
        </is>
      </c>
      <c r="C35" s="12" t="inlineStr">
        <is>
          <t xml:space="preserve">Production cost ~US$130 per quintal (Jan 2023 article)</t>
        </is>
      </c>
      <c r="D35" s="12" t="inlineStr">
        <is>
          <t xml:space="preserve">130</t>
        </is>
      </c>
      <c r="E35" s="12" t="inlineStr">
        <is>
          <t xml:space="preserve">USD/qq</t>
        </is>
      </c>
      <c r="F35" s="12" t="inlineStr">
        <is>
          <t xml:space="preserve">2023</t>
        </is>
      </c>
      <c r="G35" s="12" t="inlineStr">
        <is>
          <t xml:space="preserve">UNVERIFIED - search-engine summary only; document NOT downloaded</t>
        </is>
      </c>
      <c r="H35" s="12" t="inlineStr">
        <is>
          <t xml:space="preserve">IHCAFE costo de producción quintal</t>
        </is>
      </c>
      <c r="I35" s="12" t="inlineStr">
        <is>
          <t xml:space="preserve">https://www.laprensa.hn/economia/cafe-precios-crisis-economia-honduras-EL29448185</t>
        </is>
      </c>
    </row>
    <row r="36">
      <c r="A36" s="12" t="inlineStr">
        <is>
          <t xml:space="preserve">6</t>
        </is>
      </c>
      <c r="B36" s="12" t="inlineStr">
        <is>
          <t xml:space="preserve">Break-even 2019</t>
        </is>
      </c>
      <c r="C36" s="12" t="inlineStr">
        <is>
          <t xml:space="preserve">Growers needed international price of at least US$135/qq (2018/19); price had risen 90-&gt;110</t>
        </is>
      </c>
      <c r="D36" s="12" t="inlineStr">
        <is>
          <t xml:space="preserve">135</t>
        </is>
      </c>
      <c r="E36" s="12" t="inlineStr">
        <is>
          <t xml:space="preserve">USD/qq</t>
        </is>
      </c>
      <c r="F36" s="12" t="inlineStr">
        <is>
          <t xml:space="preserve">2019</t>
        </is>
      </c>
      <c r="G36" s="12" t="inlineStr">
        <is>
          <t xml:space="preserve">UNVERIFIED - search-engine summary only; document NOT downloaded</t>
        </is>
      </c>
      <c r="H36" s="12" t="inlineStr">
        <is>
          <t xml:space="preserve">costo producción manzana café Honduras 2019</t>
        </is>
      </c>
      <c r="I36" s="12" t="inlineStr">
        <is>
          <t xml:space="preserve">https://www.laprensa.hn/economia/precios-cafe-cubren-costo-produccion-caficultores-hondurenos-AGLP1299801</t>
        </is>
      </c>
    </row>
    <row r="37">
      <c r="A37" s="12" t="inlineStr">
        <is>
          <t xml:space="preserve">7</t>
        </is>
      </c>
      <c r="B37" s="12" t="inlineStr">
        <is>
          <t xml:space="preserve">Export price 2023-24</t>
        </is>
      </c>
      <c r="C37" s="12" t="inlineStr">
        <is>
          <t xml:space="preserve">Average export price 2023-24 US$198.83 per 46 kg; first 5 months US$190.77; volume 5.36 million qq</t>
        </is>
      </c>
      <c r="D37" s="12" t="inlineStr">
        <is>
          <t xml:space="preserve">198.83 ; 5.36 million</t>
        </is>
      </c>
      <c r="E37" s="12" t="inlineStr">
        <is>
          <t xml:space="preserve">USD/46kg ; qq</t>
        </is>
      </c>
      <c r="F37" s="12" t="inlineStr">
        <is>
          <t xml:space="preserve">2023-24</t>
        </is>
      </c>
      <c r="G37" s="12" t="inlineStr">
        <is>
          <t xml:space="preserve">UNVERIFIED - search-engine summary only; document NOT downloaded</t>
        </is>
      </c>
      <c r="H37" s="12" t="inlineStr">
        <is>
          <t xml:space="preserve">Honduras precio promedio exportación café 2023-2024</t>
        </is>
      </c>
      <c r="I37" s="12" t="inlineStr">
        <is>
          <t xml:space="preserve">https://www.swissinfo.ch/spa/los-ingresos-por-la-exportaci%C3%B3n-de-caf%C3%A9-hondure%C3%B1o-bajan-un-11,4-%25-en-la-cosecha-2023-2024/84332095 ; https://www.elheraldo.hn/economia/avance-74-exportacion-cafe-honduras-cosecha-2023-2024-JI19998908</t>
        </is>
      </c>
    </row>
    <row r="38">
      <c r="A38" s="12" t="inlineStr">
        <is>
          <t xml:space="preserve">7</t>
        </is>
      </c>
      <c r="B38" s="12" t="inlineStr">
        <is>
          <t xml:space="preserve">Farm-gate 2025</t>
        </is>
      </c>
      <c r="C38" s="12" t="inlineStr">
        <is>
          <t xml:space="preserve">Farm-gate price fell from L67-70 to ~L50 per lb pergamino seco; 100 lb café uva L550-600 (early 2025)</t>
        </is>
      </c>
      <c r="D38" s="12" t="inlineStr">
        <is>
          <t xml:space="preserve">50 ; 67-70 ; 550-600</t>
        </is>
      </c>
      <c r="E38" s="12" t="inlineStr">
        <is>
          <t xml:space="preserve">L/lb pergamino ; L/100 lb uva</t>
        </is>
      </c>
      <c r="F38" s="12" t="inlineStr">
        <is>
          <t xml:space="preserve">2025</t>
        </is>
      </c>
      <c r="G38" s="12" t="inlineStr">
        <is>
          <t xml:space="preserve">UNVERIFIED - search-engine summary only; document NOT downloaded</t>
        </is>
      </c>
      <c r="H38" s="12" t="inlineStr">
        <is>
          <t xml:space="preserve">precio pagado al productor café Honduras 2024 2025</t>
        </is>
      </c>
      <c r="I38" s="12" t="inlineStr">
        <is>
          <t xml:space="preserve">https://www.tunota.com/honduras-hoy/precio-del-cafe-hoy-en-honduras-cuanto-cuesta-el-quintal-en-2025-01-17 ; https://www.radioamerica.hn/productores-de-cafe-de-honduras-preocupados-por-caida-del-precio-del-grano-aromatico/</t>
        </is>
      </c>
    </row>
    <row r="39">
      <c r="A39" s="12" t="inlineStr">
        <is>
          <t xml:space="preserve">7</t>
        </is>
      </c>
      <c r="B39" s="12" t="inlineStr">
        <is>
          <t xml:space="preserve">Exchange rate</t>
        </is>
      </c>
      <c r="C39" s="12" t="inlineStr">
        <is>
          <t xml:space="preserve">TCR closed 2024 at L25.1522/US$; 2023 moved 24.5978 -&gt; 24.6513 (end-period, not annual average)</t>
        </is>
      </c>
      <c r="D39" s="12" t="inlineStr">
        <is>
          <t xml:space="preserve">25.1522 ; 24.6513</t>
        </is>
      </c>
      <c r="E39" s="12" t="inlineStr">
        <is>
          <t xml:space="preserve">L/USD</t>
        </is>
      </c>
      <c r="F39" s="12" t="inlineStr">
        <is>
          <t xml:space="preserve">2023-24</t>
        </is>
      </c>
      <c r="G39" s="12" t="inlineStr">
        <is>
          <t xml:space="preserve">UNVERIFIED - search-engine summary only; document NOT downloaded</t>
        </is>
      </c>
      <c r="H39" s="12" t="inlineStr">
        <is>
          <t xml:space="preserve">Honduras tipo de cambio promedio anual</t>
        </is>
      </c>
      <c r="I39" s="12" t="inlineStr">
        <is>
          <t xml:space="preserve">https://www.laprensa.hn/economia/honduras-tipo-cambio-lempira-alcanza-record-historico-devaluacion-frente-dolar-subasta-banco-central-DB22893066</t>
        </is>
      </c>
    </row>
    <row r="40">
      <c r="A40" s="12" t="inlineStr">
        <is>
          <t xml:space="preserve">7</t>
        </is>
      </c>
      <c r="B40" s="12" t="inlineStr">
        <is>
          <t xml:space="preserve">ICO I-CIP</t>
        </is>
      </c>
      <c r="C40" s="12" t="inlineStr">
        <is>
          <t xml:space="preserve">I-CIP averaged 310.12 USc/lb Jan 2025; 297.05 Aug 2025; Other Milds 354.47 Jan 2025</t>
        </is>
      </c>
      <c r="D40" s="12" t="inlineStr">
        <is>
          <t xml:space="preserve">310.12 ; 297.05 ; 354.47</t>
        </is>
      </c>
      <c r="E40" s="12" t="inlineStr">
        <is>
          <t xml:space="preserve">US cents/lb</t>
        </is>
      </c>
      <c r="F40" s="12" t="inlineStr">
        <is>
          <t xml:space="preserve">2025</t>
        </is>
      </c>
      <c r="G40" s="12" t="inlineStr">
        <is>
          <t xml:space="preserve">UNVERIFIED - search-engine summary only; document NOT downloaded</t>
        </is>
      </c>
      <c r="H40" s="12" t="inlineStr">
        <is>
          <t xml:space="preserve">ICO prices paid to growers Honduras</t>
        </is>
      </c>
      <c r="I40" s="12" t="inlineStr">
        <is>
          <t xml:space="preserve">https://www.ico.org/documents/cy2024-25/cmr-0125-e.pdf ; https://www.ico.org/documents/cy2024-25/cmr-0825-e.pdf</t>
        </is>
      </c>
    </row>
  </sheetData>
</worksheet>
</file>

<file path=docProps/app.xml><?xml version="1.0" encoding="utf-8"?>
<Properties xmlns="http://schemas.openxmlformats.org/officeDocument/2006/extended-properti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>
  <dc:title>Sumatra weather by ENSO season</dc:title>
</cp:coreProperties>
</file>